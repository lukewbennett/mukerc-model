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9126"/>
  <workbookPr filterPrivacy="1" codeName="ThisWorkbook" defaultThemeVersion="124226"/>
  <xr:revisionPtr revIDLastSave="0" documentId="10_ncr:100000_{9ACCF040-8DDC-451B-8445-E796CF2881AE}" xr6:coauthVersionLast="31" xr6:coauthVersionMax="31" xr10:uidLastSave="{00000000-0000-0000-0000-000000000000}"/>
  <bookViews>
    <workbookView xWindow="25095" yWindow="30" windowWidth="25065" windowHeight="11760" tabRatio="916" firstSheet="3" activeTab="8" xr2:uid="{00000000-000D-0000-FFFF-FFFF00000000}"/>
  </bookViews>
  <sheets>
    <sheet name="Overview" sheetId="1" r:id="rId1"/>
    <sheet name="Annex 1 LV and HV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Nodal prices" sheetId="7" r:id="rId10"/>
    <sheet name="SSC TPR unit rate lookup" sheetId="16" r:id="rId11"/>
    <sheet name="Charge Calculator" sheetId="15" r:id="rId12"/>
  </sheets>
  <externalReferences>
    <externalReference r:id="rId13"/>
  </externalReferences>
  <definedNames>
    <definedName name="_xlnm._FilterDatabase" localSheetId="1" hidden="1">'Annex 1 LV and HV charges'!$A$13:$O$43</definedName>
    <definedName name="_xlnm._FilterDatabase" localSheetId="2" hidden="1">'Annex 2 EHV charges'!$A$10:$O$238</definedName>
    <definedName name="_xlnm._FilterDatabase" localSheetId="6" hidden="1">'Annex 4 LDNO charges'!$A$12:$J$190</definedName>
    <definedName name="_xlnm._FilterDatabase" localSheetId="7" hidden="1">'Annex 5 LLFs'!$A$2:$F$93</definedName>
    <definedName name="_xlnm._FilterDatabase" localSheetId="9" hidden="1">'Nodal prices'!$A$3:$G$3</definedName>
    <definedName name="_xlnm._FilterDatabase" localSheetId="10" hidden="1">'SSC TPR unit rate lookup'!$A$28:$D$1205</definedName>
    <definedName name="OLE_LINK1" localSheetId="5">'Annex 3 Preserved charges'!#REF!</definedName>
    <definedName name="_xlnm.Print_Area" localSheetId="1">'Annex 1 LV and HV charges'!$A$2:$K$43</definedName>
    <definedName name="_xlnm.Print_Area" localSheetId="2">'Annex 2 EHV charges'!$A$2:$O$159</definedName>
    <definedName name="_xlnm.Print_Area" localSheetId="3">'Annex 2a Import'!$A$2:$H$150</definedName>
    <definedName name="_xlnm.Print_Area" localSheetId="4">'Annex 2b Export'!$A$2:$H$140</definedName>
    <definedName name="_xlnm.Print_Area" localSheetId="5">'Annex 3 Preserved charges'!$A$2:$J$31</definedName>
    <definedName name="_xlnm.Print_Area" localSheetId="6">'Annex 4 LDNO charges'!$A$2:$J$190</definedName>
    <definedName name="_xlnm.Print_Area" localSheetId="7">'Annex 5 LLFs'!$A$2:$F$138</definedName>
    <definedName name="_xlnm.Print_Area" localSheetId="8">'Annex 6 new or amended EHV'!$A$4:$R$31</definedName>
    <definedName name="_xlnm.Print_Area" localSheetId="9">'Nodal prices'!$A$2:$D$26</definedName>
    <definedName name="_xlnm.Print_Titles" localSheetId="1">'Annex 1 LV and HV charges'!$2:$13</definedName>
    <definedName name="_xlnm.Print_Titles" localSheetId="2">'Annex 2 EHV charges'!$10:$10</definedName>
    <definedName name="_xlnm.Print_Titles" localSheetId="3">'Annex 2a Import'!$2:$4</definedName>
    <definedName name="_xlnm.Print_Titles" localSheetId="4">'Annex 2b Export'!$2:$4</definedName>
    <definedName name="_xlnm.Print_Titles" localSheetId="6">'Annex 4 LDNO charges'!$12:$12</definedName>
    <definedName name="_xlnm.Print_Titles" localSheetId="8">'Annex 6 new or amended EHV'!$4:$5</definedName>
    <definedName name="_xlnm.Print_Titles" localSheetId="9">'Nodal prices'!$2:$3</definedName>
    <definedName name="_xlnm.Print_Titles" localSheetId="10">'SSC TPR unit rate lookup'!$28:$28</definedName>
    <definedName name="Z_5032A364_B81A_48DA_88DA_AB3B86B47EE9_.wvu.PrintArea" localSheetId="2" hidden="1">'Annex 2 EHV charges'!$A$2:$I$20</definedName>
    <definedName name="Z_5032A364_B81A_48DA_88DA_AB3B86B47EE9_.wvu.PrintTitles" localSheetId="2" hidden="1">'Annex 2 EHV charges'!$2:$10</definedName>
  </definedNames>
  <calcPr calcId="179017"/>
</workbook>
</file>

<file path=xl/calcChain.xml><?xml version="1.0" encoding="utf-8"?>
<calcChain xmlns="http://schemas.openxmlformats.org/spreadsheetml/2006/main">
  <c r="A20" i="8" l="1"/>
  <c r="B13" i="1" l="1"/>
  <c r="I14" i="15" l="1"/>
  <c r="H14" i="15"/>
  <c r="B2" i="15" l="1"/>
  <c r="A2" i="7"/>
  <c r="A4" i="8"/>
  <c r="A2" i="14" l="1"/>
  <c r="A2" i="13"/>
  <c r="I10" i="15" l="1"/>
  <c r="H10" i="15"/>
  <c r="B11" i="1"/>
  <c r="B9" i="1"/>
  <c r="H17" i="15" l="1"/>
  <c r="R9" i="15"/>
  <c r="S9" i="15"/>
  <c r="T9" i="15"/>
  <c r="Q9" i="15"/>
  <c r="N9" i="15"/>
  <c r="O9" i="15"/>
  <c r="P9" i="15"/>
  <c r="M9" i="15"/>
  <c r="D9" i="15"/>
  <c r="E9" i="15"/>
  <c r="F9" i="15"/>
  <c r="G9" i="15"/>
  <c r="I9" i="15"/>
  <c r="H9" i="15"/>
  <c r="C9" i="15"/>
  <c r="P5" i="8" l="1"/>
  <c r="J5" i="8"/>
  <c r="K5" i="8"/>
  <c r="L5" i="8"/>
  <c r="M5" i="8"/>
  <c r="N5" i="8"/>
  <c r="O5" i="8"/>
  <c r="I5" i="8"/>
  <c r="F4" i="14"/>
  <c r="G4" i="14"/>
  <c r="H4" i="14"/>
  <c r="E4" i="14"/>
  <c r="F4" i="13"/>
  <c r="G4" i="13"/>
  <c r="H4" i="13"/>
  <c r="E4" i="13"/>
  <c r="N10" i="15" l="1"/>
  <c r="C14" i="15" l="1"/>
  <c r="A5" i="14" a="1"/>
  <c r="A5" i="14" s="1"/>
  <c r="A5" i="13" a="1"/>
  <c r="A5" i="13" s="1"/>
  <c r="D5" i="14" l="1"/>
  <c r="A6" i="14" a="1"/>
  <c r="A6" i="14" s="1"/>
  <c r="B5" i="14"/>
  <c r="C5" i="14"/>
  <c r="D5" i="13"/>
  <c r="C5" i="13"/>
  <c r="B5" i="13"/>
  <c r="A6" i="13" a="1"/>
  <c r="A6" i="13" s="1"/>
  <c r="A7" i="14" l="1" a="1"/>
  <c r="A7" i="14" s="1"/>
  <c r="D6" i="14"/>
  <c r="B6" i="14"/>
  <c r="C6" i="14"/>
  <c r="B6" i="13"/>
  <c r="C6" i="13"/>
  <c r="D6" i="13"/>
  <c r="A7" i="13" a="1"/>
  <c r="A7" i="13" s="1"/>
  <c r="R13" i="15"/>
  <c r="R14" i="15" s="1"/>
  <c r="N14" i="15"/>
  <c r="O14" i="15"/>
  <c r="P14" i="15"/>
  <c r="Q14" i="15"/>
  <c r="S14" i="15"/>
  <c r="T14" i="15"/>
  <c r="M14" i="15"/>
  <c r="T10" i="15"/>
  <c r="S10" i="15"/>
  <c r="R10" i="15"/>
  <c r="Q10" i="15"/>
  <c r="Q17" i="15" s="1"/>
  <c r="P10" i="15"/>
  <c r="P17" i="15" s="1"/>
  <c r="O10" i="15"/>
  <c r="O17" i="15" s="1"/>
  <c r="N17" i="15"/>
  <c r="M10" i="15"/>
  <c r="M17" i="15" s="1"/>
  <c r="D14" i="15"/>
  <c r="E14" i="15"/>
  <c r="F14" i="15"/>
  <c r="H18" i="15" s="1"/>
  <c r="G14" i="15"/>
  <c r="C7" i="14" l="1"/>
  <c r="D7" i="14"/>
  <c r="B7" i="14"/>
  <c r="A8" i="14" a="1"/>
  <c r="A8" i="14" s="1"/>
  <c r="C7" i="13"/>
  <c r="D7" i="13"/>
  <c r="A8" i="13" a="1"/>
  <c r="A8" i="13" s="1"/>
  <c r="B7" i="13"/>
  <c r="S17" i="15"/>
  <c r="T18" i="15"/>
  <c r="R17" i="15"/>
  <c r="P18" i="15"/>
  <c r="M21" i="15"/>
  <c r="T17" i="15"/>
  <c r="M18" i="15"/>
  <c r="Q18" i="15"/>
  <c r="N18" i="15"/>
  <c r="S18" i="15"/>
  <c r="O18" i="15"/>
  <c r="R18" i="15"/>
  <c r="E8" i="13" l="1"/>
  <c r="G8" i="13"/>
  <c r="F8" i="13"/>
  <c r="H8" i="13"/>
  <c r="D8" i="14"/>
  <c r="B8" i="14"/>
  <c r="C8" i="14"/>
  <c r="A9" i="14" a="1"/>
  <c r="A9" i="14" s="1"/>
  <c r="B8" i="13"/>
  <c r="D8" i="13"/>
  <c r="C8" i="13"/>
  <c r="A9" i="13" a="1"/>
  <c r="A9" i="13" s="1"/>
  <c r="N21" i="15"/>
  <c r="M22" i="15"/>
  <c r="N22" i="15"/>
  <c r="E10" i="15"/>
  <c r="G10" i="15"/>
  <c r="C10" i="15"/>
  <c r="C17" i="15" s="1"/>
  <c r="F10" i="15"/>
  <c r="D10" i="15"/>
  <c r="B9" i="14" l="1"/>
  <c r="C9" i="14"/>
  <c r="D9" i="14"/>
  <c r="A10" i="14" a="1"/>
  <c r="A10" i="14" s="1"/>
  <c r="B9" i="13"/>
  <c r="D9" i="13"/>
  <c r="C9" i="13"/>
  <c r="A10" i="13" a="1"/>
  <c r="A10" i="13" s="1"/>
  <c r="B10" i="13" s="1"/>
  <c r="C18" i="15"/>
  <c r="G17" i="15"/>
  <c r="G18" i="15"/>
  <c r="D17" i="15"/>
  <c r="D18" i="15"/>
  <c r="E18" i="15"/>
  <c r="E17" i="15"/>
  <c r="F17" i="15"/>
  <c r="F18" i="15"/>
  <c r="I17" i="15"/>
  <c r="I18" i="15"/>
  <c r="C21" i="15" l="1"/>
  <c r="C22" i="15"/>
  <c r="B10" i="14"/>
  <c r="C10" i="14"/>
  <c r="D10" i="14"/>
  <c r="A11" i="14" a="1"/>
  <c r="A11" i="14" s="1"/>
  <c r="A12" i="14" s="1" a="1"/>
  <c r="A12" i="14" s="1"/>
  <c r="A11" i="13" a="1"/>
  <c r="A11" i="13" s="1"/>
  <c r="A12" i="13" s="1" a="1"/>
  <c r="A12" i="13" s="1"/>
  <c r="C10" i="13"/>
  <c r="D10" i="13"/>
  <c r="D12" i="14" l="1"/>
  <c r="B12" i="14"/>
  <c r="C12" i="14"/>
  <c r="A13" i="14" a="1"/>
  <c r="A13" i="14" s="1"/>
  <c r="C11" i="14"/>
  <c r="D11" i="14"/>
  <c r="B11" i="14"/>
  <c r="D12" i="13"/>
  <c r="C12" i="13"/>
  <c r="B11" i="13"/>
  <c r="C11" i="13"/>
  <c r="D11" i="13"/>
  <c r="B12" i="13"/>
  <c r="A13" i="13" a="1"/>
  <c r="A13" i="13" s="1"/>
  <c r="B13" i="14" l="1"/>
  <c r="C13" i="14"/>
  <c r="D13" i="14"/>
  <c r="A14" i="14" a="1"/>
  <c r="A14" i="14" s="1"/>
  <c r="D13" i="13"/>
  <c r="C13" i="13"/>
  <c r="B13" i="13"/>
  <c r="A14" i="13" a="1"/>
  <c r="A14" i="13" s="1"/>
  <c r="A15" i="14" l="1" a="1"/>
  <c r="A15" i="14" s="1"/>
  <c r="B14" i="14"/>
  <c r="C14" i="14"/>
  <c r="D14" i="14"/>
  <c r="C14" i="13"/>
  <c r="D14" i="13"/>
  <c r="A15" i="13" a="1"/>
  <c r="A15" i="13" s="1"/>
  <c r="B14" i="13"/>
  <c r="A16" i="14" l="1" a="1"/>
  <c r="A16" i="14" s="1"/>
  <c r="C15" i="14"/>
  <c r="D15" i="14"/>
  <c r="B15" i="14"/>
  <c r="C15" i="13"/>
  <c r="D15" i="13"/>
  <c r="A16" i="13" a="1"/>
  <c r="A16" i="13" s="1"/>
  <c r="B15" i="13"/>
  <c r="A17" i="14" l="1" a="1"/>
  <c r="A17" i="14" s="1"/>
  <c r="D16" i="14"/>
  <c r="B16" i="14"/>
  <c r="C16" i="14"/>
  <c r="B16" i="13"/>
  <c r="C16" i="13"/>
  <c r="D16" i="13"/>
  <c r="A17" i="13" a="1"/>
  <c r="A17" i="13" s="1"/>
  <c r="A18" i="14" l="1" a="1"/>
  <c r="A18" i="14" s="1"/>
  <c r="B17" i="14"/>
  <c r="C17" i="14"/>
  <c r="D17" i="14"/>
  <c r="B17" i="13"/>
  <c r="D17" i="13"/>
  <c r="C17" i="13"/>
  <c r="A18" i="13" a="1"/>
  <c r="A18" i="13" s="1"/>
  <c r="A19" i="14" l="1" a="1"/>
  <c r="A19" i="14" s="1"/>
  <c r="B18" i="14"/>
  <c r="C18" i="14"/>
  <c r="D18" i="14"/>
  <c r="B18" i="13"/>
  <c r="C18" i="13"/>
  <c r="D18" i="13"/>
  <c r="A19" i="13" a="1"/>
  <c r="A19" i="13" s="1"/>
  <c r="A20" i="14" l="1" a="1"/>
  <c r="A20" i="14" s="1"/>
  <c r="C19" i="14"/>
  <c r="D19" i="14"/>
  <c r="B19" i="14"/>
  <c r="B19" i="13"/>
  <c r="C19" i="13"/>
  <c r="D19" i="13"/>
  <c r="A20" i="13" a="1"/>
  <c r="A20" i="13" s="1"/>
  <c r="A21" i="14" l="1" a="1"/>
  <c r="A21" i="14" s="1"/>
  <c r="D20" i="14"/>
  <c r="B20" i="14"/>
  <c r="C20" i="14"/>
  <c r="D20" i="13"/>
  <c r="C20" i="13"/>
  <c r="B20" i="13"/>
  <c r="A21" i="13" a="1"/>
  <c r="A21" i="13" s="1"/>
  <c r="A22" i="14" l="1" a="1"/>
  <c r="A22" i="14" s="1"/>
  <c r="B21" i="14"/>
  <c r="C21" i="14"/>
  <c r="D21" i="14"/>
  <c r="B21" i="13"/>
  <c r="D21" i="13"/>
  <c r="C21" i="13"/>
  <c r="A22" i="13" a="1"/>
  <c r="A22" i="13" s="1"/>
  <c r="A23" i="14" l="1" a="1"/>
  <c r="A23" i="14" s="1"/>
  <c r="B22" i="14"/>
  <c r="C22" i="14"/>
  <c r="D22" i="14"/>
  <c r="C22" i="13"/>
  <c r="D22" i="13"/>
  <c r="B22" i="13"/>
  <c r="A23" i="13" a="1"/>
  <c r="A23" i="13" s="1"/>
  <c r="A24" i="14" l="1" a="1"/>
  <c r="A24" i="14" s="1"/>
  <c r="C23" i="14"/>
  <c r="D23" i="14"/>
  <c r="B23" i="14"/>
  <c r="B23" i="13"/>
  <c r="C23" i="13"/>
  <c r="D23" i="13"/>
  <c r="A24" i="13" a="1"/>
  <c r="A24" i="13" s="1"/>
  <c r="A25" i="13" s="1" a="1"/>
  <c r="A25" i="13" s="1"/>
  <c r="A25" i="14" l="1" a="1"/>
  <c r="A25" i="14" s="1"/>
  <c r="D24" i="14"/>
  <c r="B24" i="14"/>
  <c r="C24" i="14"/>
  <c r="A26" i="13" a="1"/>
  <c r="A26" i="13" s="1"/>
  <c r="C25" i="13"/>
  <c r="D25" i="13"/>
  <c r="B25" i="13"/>
  <c r="C24" i="13"/>
  <c r="D24" i="13"/>
  <c r="B24" i="13"/>
  <c r="D26" i="13" l="1"/>
  <c r="C26" i="13"/>
  <c r="A26" i="14" a="1"/>
  <c r="A26" i="14" s="1"/>
  <c r="B25" i="14"/>
  <c r="C25" i="14"/>
  <c r="D25" i="14"/>
  <c r="A27" i="13" a="1"/>
  <c r="A27" i="13" s="1"/>
  <c r="B26" i="13"/>
  <c r="C27" i="13" l="1"/>
  <c r="A27" i="14" a="1"/>
  <c r="A27" i="14" s="1"/>
  <c r="B26" i="14"/>
  <c r="C26" i="14"/>
  <c r="D26" i="14"/>
  <c r="A28" i="13" a="1"/>
  <c r="A28" i="13" s="1"/>
  <c r="B27" i="13"/>
  <c r="D27" i="13"/>
  <c r="A28" i="14" l="1" a="1"/>
  <c r="A28" i="14" s="1"/>
  <c r="C27" i="14"/>
  <c r="D27" i="14"/>
  <c r="B27" i="14"/>
  <c r="D28" i="13"/>
  <c r="B28" i="13"/>
  <c r="C28" i="13"/>
  <c r="A29" i="13" a="1"/>
  <c r="A29" i="13" s="1"/>
  <c r="A29" i="14" l="1" a="1"/>
  <c r="A29" i="14" s="1"/>
  <c r="D28" i="14"/>
  <c r="B28" i="14"/>
  <c r="C28" i="14"/>
  <c r="B29" i="13"/>
  <c r="C29" i="13"/>
  <c r="D29" i="13"/>
  <c r="A30" i="13" a="1"/>
  <c r="A30" i="13" s="1"/>
  <c r="A30" i="14" l="1" a="1"/>
  <c r="A30" i="14" s="1"/>
  <c r="B29" i="14"/>
  <c r="C29" i="14"/>
  <c r="D29" i="14"/>
  <c r="C30" i="13"/>
  <c r="D30" i="13"/>
  <c r="B30" i="13"/>
  <c r="A31" i="13" a="1"/>
  <c r="A31" i="13" s="1"/>
  <c r="B30" i="14" l="1"/>
  <c r="C30" i="14"/>
  <c r="D30" i="14"/>
  <c r="A31" i="14" a="1"/>
  <c r="A31" i="14" s="1"/>
  <c r="B31" i="13"/>
  <c r="C31" i="13"/>
  <c r="D31" i="13"/>
  <c r="A32" i="13" a="1"/>
  <c r="A32" i="13" s="1"/>
  <c r="A32" i="14" l="1" a="1"/>
  <c r="A32" i="14" s="1"/>
  <c r="C31" i="14"/>
  <c r="D31" i="14"/>
  <c r="B31" i="14"/>
  <c r="C32" i="13"/>
  <c r="D32" i="13"/>
  <c r="B32" i="13"/>
  <c r="A33" i="13" a="1"/>
  <c r="A33" i="13" s="1"/>
  <c r="A33" i="14" l="1" a="1"/>
  <c r="A33" i="14" s="1"/>
  <c r="D32" i="14"/>
  <c r="B32" i="14"/>
  <c r="C32" i="14"/>
  <c r="B33" i="13"/>
  <c r="C33" i="13"/>
  <c r="D33" i="13"/>
  <c r="A34" i="13" a="1"/>
  <c r="A34" i="13" s="1"/>
  <c r="A34" i="14" l="1" a="1"/>
  <c r="A34" i="14" s="1"/>
  <c r="B33" i="14"/>
  <c r="C33" i="14"/>
  <c r="D33" i="14"/>
  <c r="C34" i="13"/>
  <c r="D34" i="13"/>
  <c r="B34" i="13"/>
  <c r="A35" i="13" a="1"/>
  <c r="A35" i="13" s="1"/>
  <c r="A35" i="14" l="1" a="1"/>
  <c r="A35" i="14" s="1"/>
  <c r="B34" i="14"/>
  <c r="C34" i="14"/>
  <c r="D34" i="14"/>
  <c r="B35" i="13"/>
  <c r="C35" i="13"/>
  <c r="D35" i="13"/>
  <c r="A36" i="13" a="1"/>
  <c r="A36" i="13" s="1"/>
  <c r="A36" i="14" l="1" a="1"/>
  <c r="A36" i="14" s="1"/>
  <c r="C35" i="14"/>
  <c r="D35" i="14"/>
  <c r="B35" i="14"/>
  <c r="D36" i="13"/>
  <c r="C36" i="13"/>
  <c r="B36" i="13"/>
  <c r="A37" i="13" a="1"/>
  <c r="A37" i="13" s="1"/>
  <c r="A38" i="13" s="1" a="1"/>
  <c r="A38" i="13" s="1"/>
  <c r="A37" i="14" l="1" a="1"/>
  <c r="A37" i="14" s="1"/>
  <c r="D36" i="14"/>
  <c r="B36" i="14"/>
  <c r="C36" i="14"/>
  <c r="B38" i="13"/>
  <c r="C38" i="13"/>
  <c r="D38" i="13"/>
  <c r="A39" i="13" a="1"/>
  <c r="A39" i="13" s="1"/>
  <c r="D39" i="13" s="1"/>
  <c r="C37" i="13"/>
  <c r="B37" i="13"/>
  <c r="D37" i="13"/>
  <c r="B39" i="13" l="1"/>
  <c r="C39" i="13"/>
  <c r="A38" i="14" a="1"/>
  <c r="A38" i="14" s="1"/>
  <c r="B37" i="14"/>
  <c r="C37" i="14"/>
  <c r="D37" i="14"/>
  <c r="A40" i="13" a="1"/>
  <c r="A40" i="13" s="1"/>
  <c r="D40" i="13" l="1"/>
  <c r="B40" i="13"/>
  <c r="A39" i="14" a="1"/>
  <c r="A39" i="14" s="1"/>
  <c r="B38" i="14"/>
  <c r="C38" i="14"/>
  <c r="D38" i="14"/>
  <c r="C40" i="13"/>
  <c r="A41" i="13" a="1"/>
  <c r="A41" i="13" s="1"/>
  <c r="D41" i="13" s="1"/>
  <c r="A40" i="14" l="1" a="1"/>
  <c r="A40" i="14" s="1"/>
  <c r="C39" i="14"/>
  <c r="D39" i="14"/>
  <c r="B39" i="14"/>
  <c r="A42" i="13" a="1"/>
  <c r="A42" i="13" s="1"/>
  <c r="C41" i="13"/>
  <c r="B41" i="13"/>
  <c r="A41" i="14" l="1" a="1"/>
  <c r="A41" i="14" s="1"/>
  <c r="D40" i="14"/>
  <c r="B40" i="14"/>
  <c r="C40" i="14"/>
  <c r="C42" i="13"/>
  <c r="B42" i="13"/>
  <c r="D42" i="13"/>
  <c r="A43" i="13" a="1"/>
  <c r="A43" i="13" s="1"/>
  <c r="A42" i="14" l="1" a="1"/>
  <c r="A42" i="14" s="1"/>
  <c r="B41" i="14"/>
  <c r="C41" i="14"/>
  <c r="D41" i="14"/>
  <c r="D43" i="13"/>
  <c r="C43" i="13"/>
  <c r="B43" i="13"/>
  <c r="A44" i="13" a="1"/>
  <c r="A44" i="13" s="1"/>
  <c r="A43" i="14" l="1" a="1"/>
  <c r="A43" i="14" s="1"/>
  <c r="C42" i="14"/>
  <c r="B42" i="14"/>
  <c r="D42" i="14"/>
  <c r="B44" i="13"/>
  <c r="A45" i="13" a="1"/>
  <c r="A45" i="13" s="1"/>
  <c r="C45" i="13" s="1"/>
  <c r="C44" i="13"/>
  <c r="D44" i="13"/>
  <c r="B45" i="13" l="1"/>
  <c r="A44" i="14" a="1"/>
  <c r="A44" i="14" s="1"/>
  <c r="D43" i="14"/>
  <c r="C43" i="14"/>
  <c r="B43" i="14"/>
  <c r="D45" i="13"/>
  <c r="A46" i="13" a="1"/>
  <c r="A46" i="13" s="1"/>
  <c r="A45" i="14" l="1" a="1"/>
  <c r="A45" i="14" s="1"/>
  <c r="B44" i="14"/>
  <c r="C44" i="14"/>
  <c r="D44" i="14"/>
  <c r="C46" i="13"/>
  <c r="A47" i="13" a="1"/>
  <c r="A47" i="13" s="1"/>
  <c r="D47" i="13" s="1"/>
  <c r="D46" i="13"/>
  <c r="B46" i="13"/>
  <c r="A46" i="14" l="1" a="1"/>
  <c r="A46" i="14" s="1"/>
  <c r="B45" i="14"/>
  <c r="C45" i="14"/>
  <c r="D45" i="14"/>
  <c r="B47" i="13"/>
  <c r="A48" i="13" a="1"/>
  <c r="A48" i="13" s="1"/>
  <c r="C47" i="13"/>
  <c r="C48" i="13" l="1"/>
  <c r="D48" i="13"/>
  <c r="A47" i="14" a="1"/>
  <c r="A47" i="14" s="1"/>
  <c r="C46" i="14"/>
  <c r="D46" i="14"/>
  <c r="B46" i="14"/>
  <c r="B48" i="13"/>
  <c r="A49" i="13" a="1"/>
  <c r="A49" i="13" s="1"/>
  <c r="A48" i="14" l="1" a="1"/>
  <c r="A48" i="14" s="1"/>
  <c r="D47" i="14"/>
  <c r="B47" i="14"/>
  <c r="C47" i="14"/>
  <c r="D49" i="13"/>
  <c r="A50" i="13" a="1"/>
  <c r="A50" i="13" s="1"/>
  <c r="C49" i="13"/>
  <c r="B49" i="13"/>
  <c r="C50" i="13" l="1"/>
  <c r="B50" i="13"/>
  <c r="A49" i="14" a="1"/>
  <c r="A49" i="14" s="1"/>
  <c r="B48" i="14"/>
  <c r="C48" i="14"/>
  <c r="D48" i="14"/>
  <c r="A51" i="13" a="1"/>
  <c r="A51" i="13" s="1"/>
  <c r="C51" i="13" s="1"/>
  <c r="D50" i="13"/>
  <c r="A50" i="14" l="1" a="1"/>
  <c r="A50" i="14" s="1"/>
  <c r="B49" i="14"/>
  <c r="D49" i="14"/>
  <c r="C49" i="14"/>
  <c r="A52" i="13" a="1"/>
  <c r="A52" i="13" s="1"/>
  <c r="D51" i="13"/>
  <c r="B51" i="13"/>
  <c r="C52" i="13" l="1"/>
  <c r="B52" i="13"/>
  <c r="D52" i="13"/>
  <c r="A51" i="14" a="1"/>
  <c r="A51" i="14" s="1"/>
  <c r="C50" i="14"/>
  <c r="B50" i="14"/>
  <c r="D50" i="14"/>
  <c r="A53" i="13" a="1"/>
  <c r="A53" i="13" s="1"/>
  <c r="C53" i="13" l="1"/>
  <c r="A52" i="14" a="1"/>
  <c r="A52" i="14" s="1"/>
  <c r="D51" i="14"/>
  <c r="B51" i="14"/>
  <c r="C51" i="14"/>
  <c r="B53" i="13"/>
  <c r="A54" i="13" a="1"/>
  <c r="A54" i="13" s="1"/>
  <c r="C54" i="13" s="1"/>
  <c r="D53" i="13"/>
  <c r="A53" i="14" l="1" a="1"/>
  <c r="A53" i="14" s="1"/>
  <c r="D52" i="14"/>
  <c r="B52" i="14"/>
  <c r="C52" i="14"/>
  <c r="B54" i="13"/>
  <c r="A55" i="13" a="1"/>
  <c r="A55" i="13" s="1"/>
  <c r="C55" i="13" s="1"/>
  <c r="D54" i="13"/>
  <c r="A54" i="14" l="1" a="1"/>
  <c r="A54" i="14" s="1"/>
  <c r="B53" i="14"/>
  <c r="C53" i="14"/>
  <c r="D53" i="14"/>
  <c r="B55" i="13"/>
  <c r="A56" i="13" a="1"/>
  <c r="A56" i="13" s="1"/>
  <c r="C56" i="13" s="1"/>
  <c r="D55" i="13"/>
  <c r="D56" i="13" l="1"/>
  <c r="A55" i="14" a="1"/>
  <c r="A55" i="14" s="1"/>
  <c r="C54" i="14"/>
  <c r="B54" i="14"/>
  <c r="D54" i="14"/>
  <c r="B56" i="13"/>
  <c r="A57" i="13" a="1"/>
  <c r="A57" i="13" s="1"/>
  <c r="C57" i="13" s="1"/>
  <c r="D57" i="13" l="1"/>
  <c r="A56" i="14" a="1"/>
  <c r="A56" i="14" s="1"/>
  <c r="C55" i="14"/>
  <c r="D55" i="14"/>
  <c r="B55" i="14"/>
  <c r="B57" i="13"/>
  <c r="A58" i="13" a="1"/>
  <c r="A58" i="13" s="1"/>
  <c r="C58" i="13" s="1"/>
  <c r="D58" i="13" l="1"/>
  <c r="A57" i="14" a="1"/>
  <c r="A57" i="14" s="1"/>
  <c r="D56" i="14"/>
  <c r="B56" i="14"/>
  <c r="C56" i="14"/>
  <c r="B58" i="13"/>
  <c r="A59" i="13" a="1"/>
  <c r="A59" i="13" s="1"/>
  <c r="D59" i="13" s="1"/>
  <c r="C59" i="13" l="1"/>
  <c r="A58" i="14" a="1"/>
  <c r="A58" i="14" s="1"/>
  <c r="B57" i="14"/>
  <c r="C57" i="14"/>
  <c r="D57" i="14"/>
  <c r="B59" i="13"/>
  <c r="A60" i="13" a="1"/>
  <c r="A60" i="13" s="1"/>
  <c r="A59" i="14" l="1" a="1"/>
  <c r="A59" i="14" s="1"/>
  <c r="B58" i="14"/>
  <c r="C58" i="14"/>
  <c r="D58" i="14"/>
  <c r="B60" i="13"/>
  <c r="A61" i="13" a="1"/>
  <c r="A61" i="13" s="1"/>
  <c r="C61" i="13" s="1"/>
  <c r="C60" i="13"/>
  <c r="D60" i="13"/>
  <c r="A60" i="14" l="1" a="1"/>
  <c r="A60" i="14" s="1"/>
  <c r="C59" i="14"/>
  <c r="D59" i="14"/>
  <c r="B59" i="14"/>
  <c r="B61" i="13"/>
  <c r="A62" i="13" a="1"/>
  <c r="A62" i="13" s="1"/>
  <c r="C62" i="13" s="1"/>
  <c r="D61" i="13"/>
  <c r="A61" i="14" l="1" a="1"/>
  <c r="A61" i="14" s="1"/>
  <c r="D60" i="14"/>
  <c r="B60" i="14"/>
  <c r="C60" i="14"/>
  <c r="B62" i="13"/>
  <c r="A63" i="13" a="1"/>
  <c r="A63" i="13" s="1"/>
  <c r="C63" i="13" s="1"/>
  <c r="D62" i="13"/>
  <c r="B63" i="13" l="1"/>
  <c r="A62" i="14" a="1"/>
  <c r="A62" i="14" s="1"/>
  <c r="B61" i="14"/>
  <c r="C61" i="14"/>
  <c r="D61" i="14"/>
  <c r="A64" i="13" a="1"/>
  <c r="A64" i="13" s="1"/>
  <c r="D63" i="13"/>
  <c r="A63" i="14" l="1" a="1"/>
  <c r="A63" i="14" s="1"/>
  <c r="B62" i="14"/>
  <c r="C62" i="14"/>
  <c r="D62" i="14"/>
  <c r="B64" i="13"/>
  <c r="A65" i="13" a="1"/>
  <c r="A65" i="13" s="1"/>
  <c r="C64" i="13"/>
  <c r="D64" i="13"/>
  <c r="B65" i="13" l="1"/>
  <c r="D65" i="13"/>
  <c r="A64" i="14" a="1"/>
  <c r="A64" i="14" s="1"/>
  <c r="C63" i="14"/>
  <c r="D63" i="14"/>
  <c r="B63" i="14"/>
  <c r="A66" i="13" a="1"/>
  <c r="A66" i="13" s="1"/>
  <c r="C66" i="13" s="1"/>
  <c r="C65" i="13"/>
  <c r="A65" i="14" l="1" a="1"/>
  <c r="A65" i="14" s="1"/>
  <c r="D64" i="14"/>
  <c r="B64" i="14"/>
  <c r="C64" i="14"/>
  <c r="B66" i="13"/>
  <c r="A67" i="13" a="1"/>
  <c r="A67" i="13" s="1"/>
  <c r="C67" i="13" s="1"/>
  <c r="D66" i="13"/>
  <c r="B67" i="13" l="1"/>
  <c r="A66" i="14" a="1"/>
  <c r="A66" i="14" s="1"/>
  <c r="B65" i="14"/>
  <c r="C65" i="14"/>
  <c r="D65" i="14"/>
  <c r="A68" i="13" a="1"/>
  <c r="A68" i="13" s="1"/>
  <c r="C68" i="13" s="1"/>
  <c r="D67" i="13"/>
  <c r="A67" i="14" l="1" a="1"/>
  <c r="A67" i="14" s="1"/>
  <c r="B66" i="14"/>
  <c r="C66" i="14"/>
  <c r="D66" i="14"/>
  <c r="B68" i="13"/>
  <c r="A69" i="13" a="1"/>
  <c r="A69" i="13" s="1"/>
  <c r="D68" i="13"/>
  <c r="B69" i="13" l="1"/>
  <c r="A68" i="14" a="1"/>
  <c r="A68" i="14" s="1"/>
  <c r="C67" i="14"/>
  <c r="D67" i="14"/>
  <c r="B67" i="14"/>
  <c r="A70" i="13" a="1"/>
  <c r="A70" i="13" s="1"/>
  <c r="C70" i="13" s="1"/>
  <c r="C69" i="13"/>
  <c r="D69" i="13"/>
  <c r="A69" i="14" l="1" a="1"/>
  <c r="A69" i="14" s="1"/>
  <c r="D68" i="14"/>
  <c r="B68" i="14"/>
  <c r="C68" i="14"/>
  <c r="B70" i="13"/>
  <c r="A71" i="13" a="1"/>
  <c r="A71" i="13" s="1"/>
  <c r="D71" i="13" s="1"/>
  <c r="D70" i="13"/>
  <c r="B71" i="13" l="1"/>
  <c r="A70" i="14" a="1"/>
  <c r="A70" i="14" s="1"/>
  <c r="B69" i="14"/>
  <c r="C69" i="14"/>
  <c r="D69" i="14"/>
  <c r="A72" i="13" a="1"/>
  <c r="A72" i="13" s="1"/>
  <c r="C72" i="13" s="1"/>
  <c r="C71" i="13"/>
  <c r="A71" i="14" l="1" a="1"/>
  <c r="A71" i="14" s="1"/>
  <c r="B70" i="14"/>
  <c r="C70" i="14"/>
  <c r="D70" i="14"/>
  <c r="D72" i="13"/>
  <c r="B72" i="13"/>
  <c r="A73" i="13" a="1"/>
  <c r="A73" i="13" s="1"/>
  <c r="C73" i="13" s="1"/>
  <c r="B73" i="13" l="1"/>
  <c r="D73" i="13"/>
  <c r="A72" i="14" a="1"/>
  <c r="A72" i="14" s="1"/>
  <c r="C71" i="14"/>
  <c r="D71" i="14"/>
  <c r="B71" i="14"/>
  <c r="A74" i="13" a="1"/>
  <c r="A74" i="13" s="1"/>
  <c r="C74" i="13" s="1"/>
  <c r="A73" i="14" l="1" a="1"/>
  <c r="A73" i="14" s="1"/>
  <c r="D72" i="14"/>
  <c r="B72" i="14"/>
  <c r="C72" i="14"/>
  <c r="D74" i="13"/>
  <c r="B74" i="13"/>
  <c r="A75" i="13" a="1"/>
  <c r="A75" i="13" s="1"/>
  <c r="D75" i="13" s="1"/>
  <c r="B75" i="13" l="1"/>
  <c r="A74" i="14" a="1"/>
  <c r="A74" i="14" s="1"/>
  <c r="B73" i="14"/>
  <c r="C73" i="14"/>
  <c r="D73" i="14"/>
  <c r="A76" i="13" a="1"/>
  <c r="A76" i="13" s="1"/>
  <c r="C75" i="13"/>
  <c r="A75" i="14" l="1" a="1"/>
  <c r="A75" i="14" s="1"/>
  <c r="B74" i="14"/>
  <c r="C74" i="14"/>
  <c r="D74" i="14"/>
  <c r="C76" i="13"/>
  <c r="B76" i="13"/>
  <c r="A77" i="13" a="1"/>
  <c r="A77" i="13" s="1"/>
  <c r="C77" i="13" s="1"/>
  <c r="D76" i="13"/>
  <c r="B77" i="13" l="1"/>
  <c r="A76" i="14" a="1"/>
  <c r="A76" i="14" s="1"/>
  <c r="C75" i="14"/>
  <c r="D75" i="14"/>
  <c r="B75" i="14"/>
  <c r="A78" i="13" a="1"/>
  <c r="A78" i="13" s="1"/>
  <c r="C78" i="13" s="1"/>
  <c r="D77" i="13"/>
  <c r="B78" i="13" l="1"/>
  <c r="A77" i="14" a="1"/>
  <c r="A77" i="14" s="1"/>
  <c r="C76" i="14"/>
  <c r="D76" i="14"/>
  <c r="B76" i="14"/>
  <c r="A79" i="13" a="1"/>
  <c r="A79" i="13" s="1"/>
  <c r="C79" i="13" s="1"/>
  <c r="D78" i="13"/>
  <c r="A78" i="14" l="1" a="1"/>
  <c r="A78" i="14" s="1"/>
  <c r="B77" i="14"/>
  <c r="C77" i="14"/>
  <c r="D77" i="14"/>
  <c r="B79" i="13"/>
  <c r="A80" i="13" a="1"/>
  <c r="A80" i="13" s="1"/>
  <c r="D79" i="13"/>
  <c r="B80" i="13" l="1"/>
  <c r="A79" i="14" a="1"/>
  <c r="A79" i="14" s="1"/>
  <c r="C78" i="14"/>
  <c r="B78" i="14"/>
  <c r="D78" i="14"/>
  <c r="A81" i="13" a="1"/>
  <c r="A81" i="13" s="1"/>
  <c r="D80" i="13"/>
  <c r="C80" i="13"/>
  <c r="A80" i="14" l="1" a="1"/>
  <c r="A80" i="14" s="1"/>
  <c r="D79" i="14"/>
  <c r="C79" i="14"/>
  <c r="B79" i="14"/>
  <c r="B81" i="13"/>
  <c r="A82" i="13" a="1"/>
  <c r="A82" i="13" s="1"/>
  <c r="C81" i="13"/>
  <c r="D81" i="13"/>
  <c r="A81" i="14" l="1" a="1"/>
  <c r="A81" i="14" s="1"/>
  <c r="B80" i="14"/>
  <c r="C80" i="14"/>
  <c r="D80" i="14"/>
  <c r="A83" i="13" a="1"/>
  <c r="A83" i="13" s="1"/>
  <c r="C82" i="13"/>
  <c r="B82" i="13"/>
  <c r="D82" i="13"/>
  <c r="A82" i="14" l="1" a="1"/>
  <c r="A82" i="14" s="1"/>
  <c r="B81" i="14"/>
  <c r="C81" i="14"/>
  <c r="D81" i="14"/>
  <c r="A84" i="13" a="1"/>
  <c r="A84" i="13" s="1"/>
  <c r="D83" i="13"/>
  <c r="C83" i="13"/>
  <c r="B83" i="13"/>
  <c r="A83" i="14" l="1" a="1"/>
  <c r="A83" i="14" s="1"/>
  <c r="C82" i="14"/>
  <c r="D82" i="14"/>
  <c r="B82" i="14"/>
  <c r="D84" i="13"/>
  <c r="C84" i="13"/>
  <c r="B84" i="13"/>
  <c r="A85" i="13" a="1"/>
  <c r="A85" i="13" s="1"/>
  <c r="A84" i="14" l="1" a="1"/>
  <c r="A84" i="14" s="1"/>
  <c r="D83" i="14"/>
  <c r="B83" i="14"/>
  <c r="C83" i="14"/>
  <c r="A86" i="13" a="1"/>
  <c r="A86" i="13" s="1"/>
  <c r="D85" i="13"/>
  <c r="B85" i="13"/>
  <c r="C85" i="13"/>
  <c r="A85" i="14" l="1" a="1"/>
  <c r="A85" i="14" s="1"/>
  <c r="B84" i="14"/>
  <c r="C84" i="14"/>
  <c r="D84" i="14"/>
  <c r="D86" i="13"/>
  <c r="C86" i="13"/>
  <c r="B86" i="13"/>
  <c r="A87" i="13" a="1"/>
  <c r="A87" i="13" s="1"/>
  <c r="A86" i="14" l="1" a="1"/>
  <c r="A86" i="14" s="1"/>
  <c r="B85" i="14"/>
  <c r="D85" i="14"/>
  <c r="C85" i="14"/>
  <c r="C87" i="13"/>
  <c r="D87" i="13"/>
  <c r="B87" i="13"/>
  <c r="A88" i="13" a="1"/>
  <c r="A88" i="13" s="1"/>
  <c r="A87" i="14" l="1" a="1"/>
  <c r="A87" i="14" s="1"/>
  <c r="C86" i="14"/>
  <c r="B86" i="14"/>
  <c r="D86" i="14"/>
  <c r="C88" i="13"/>
  <c r="B88" i="13"/>
  <c r="A89" i="13" a="1"/>
  <c r="A89" i="13" s="1"/>
  <c r="D89" i="13" s="1"/>
  <c r="D88" i="13"/>
  <c r="A88" i="14" l="1" a="1"/>
  <c r="A88" i="14" s="1"/>
  <c r="D87" i="14"/>
  <c r="B87" i="14"/>
  <c r="C87" i="14"/>
  <c r="C89" i="13"/>
  <c r="B89" i="13"/>
  <c r="A90" i="13" a="1"/>
  <c r="A90" i="13" s="1"/>
  <c r="A89" i="14" l="1" a="1"/>
  <c r="A89" i="14" s="1"/>
  <c r="D88" i="14"/>
  <c r="B88" i="14"/>
  <c r="C88" i="14"/>
  <c r="C90" i="13"/>
  <c r="B90" i="13"/>
  <c r="A91" i="13" a="1"/>
  <c r="A91" i="13" s="1"/>
  <c r="C91" i="13" s="1"/>
  <c r="D90" i="13"/>
  <c r="A90" i="14" l="1" a="1"/>
  <c r="A90" i="14" s="1"/>
  <c r="B89" i="14"/>
  <c r="C89" i="14"/>
  <c r="D89" i="14"/>
  <c r="D91" i="13"/>
  <c r="B91" i="13"/>
  <c r="A92" i="13" a="1"/>
  <c r="A92" i="13" s="1"/>
  <c r="C92" i="13" s="1"/>
  <c r="A91" i="14" l="1" a="1"/>
  <c r="A91" i="14" s="1"/>
  <c r="C90" i="14"/>
  <c r="B90" i="14"/>
  <c r="D90" i="14"/>
  <c r="B92" i="13"/>
  <c r="D92" i="13"/>
  <c r="A93" i="13" a="1"/>
  <c r="A93" i="13" s="1"/>
  <c r="A92" i="14" l="1" a="1"/>
  <c r="A92" i="14" s="1"/>
  <c r="D91" i="14"/>
  <c r="B91" i="14"/>
  <c r="C91" i="14"/>
  <c r="D93" i="13"/>
  <c r="C93" i="13"/>
  <c r="B93" i="13"/>
  <c r="A94" i="13" a="1"/>
  <c r="A94" i="13" s="1"/>
  <c r="A93" i="14" l="1" a="1"/>
  <c r="A93" i="14" s="1"/>
  <c r="C92" i="14"/>
  <c r="D92" i="14"/>
  <c r="B92" i="14"/>
  <c r="D94" i="13"/>
  <c r="C94" i="13"/>
  <c r="B94" i="13"/>
  <c r="A95" i="13" a="1"/>
  <c r="A95" i="13" s="1"/>
  <c r="D95" i="13" s="1"/>
  <c r="A94" i="14" l="1" a="1"/>
  <c r="A94" i="14" s="1"/>
  <c r="B93" i="14"/>
  <c r="C93" i="14"/>
  <c r="D93" i="14"/>
  <c r="C95" i="13"/>
  <c r="B95" i="13"/>
  <c r="A96" i="13" a="1"/>
  <c r="A96" i="13" s="1"/>
  <c r="A95" i="14" l="1" a="1"/>
  <c r="A95" i="14" s="1"/>
  <c r="C94" i="14"/>
  <c r="B94" i="14"/>
  <c r="D94" i="14"/>
  <c r="D96" i="13"/>
  <c r="B96" i="13"/>
  <c r="C96" i="13"/>
  <c r="A97" i="13" a="1"/>
  <c r="A97" i="13" s="1"/>
  <c r="C97" i="13" s="1"/>
  <c r="A96" i="14" l="1" a="1"/>
  <c r="A96" i="14" s="1"/>
  <c r="D95" i="14"/>
  <c r="C95" i="14"/>
  <c r="B95" i="14"/>
  <c r="D97" i="13"/>
  <c r="B97" i="13"/>
  <c r="A98" i="13" a="1"/>
  <c r="A98" i="13" s="1"/>
  <c r="A97" i="14" l="1" a="1"/>
  <c r="A97" i="14" s="1"/>
  <c r="E96" i="14"/>
  <c r="C96" i="14"/>
  <c r="H96" i="14"/>
  <c r="D96" i="14"/>
  <c r="F96" i="14"/>
  <c r="G96" i="14"/>
  <c r="B96" i="14"/>
  <c r="D98" i="13"/>
  <c r="C98" i="13"/>
  <c r="B98" i="13"/>
  <c r="A99" i="13" a="1"/>
  <c r="A99" i="13" s="1"/>
  <c r="D99" i="13" s="1"/>
  <c r="A98" i="14" l="1" a="1"/>
  <c r="A98" i="14" s="1"/>
  <c r="B97" i="14"/>
  <c r="F97" i="14"/>
  <c r="G97" i="14"/>
  <c r="D97" i="14"/>
  <c r="E97" i="14"/>
  <c r="H97" i="14"/>
  <c r="C97" i="14"/>
  <c r="C99" i="13"/>
  <c r="B99" i="13"/>
  <c r="A100" i="13" a="1"/>
  <c r="A100" i="13" s="1"/>
  <c r="A99" i="14" l="1" a="1"/>
  <c r="A99" i="14" s="1"/>
  <c r="C98" i="14"/>
  <c r="G98" i="14"/>
  <c r="E98" i="14"/>
  <c r="D98" i="14"/>
  <c r="F98" i="14"/>
  <c r="H98" i="14"/>
  <c r="B98" i="14"/>
  <c r="A101" i="13" a="1"/>
  <c r="A101" i="13" s="1"/>
  <c r="D100" i="13"/>
  <c r="C100" i="13"/>
  <c r="B100" i="13"/>
  <c r="A100" i="14" l="1" a="1"/>
  <c r="A100" i="14" s="1"/>
  <c r="D99" i="14"/>
  <c r="H99" i="14"/>
  <c r="C99" i="14"/>
  <c r="E99" i="14"/>
  <c r="F99" i="14"/>
  <c r="G99" i="14"/>
  <c r="B99" i="14"/>
  <c r="A102" i="13" a="1"/>
  <c r="A102" i="13" s="1"/>
  <c r="C101" i="13"/>
  <c r="D101" i="13"/>
  <c r="B101" i="13"/>
  <c r="A101" i="14" l="1" a="1"/>
  <c r="A101" i="14" s="1"/>
  <c r="E100" i="14"/>
  <c r="B100" i="14"/>
  <c r="G100" i="14"/>
  <c r="D100" i="14"/>
  <c r="F100" i="14"/>
  <c r="H100" i="14"/>
  <c r="C100" i="14"/>
  <c r="C102" i="13"/>
  <c r="B102" i="13"/>
  <c r="D102" i="13"/>
  <c r="A103" i="13" a="1"/>
  <c r="A103" i="13" s="1"/>
  <c r="A102" i="14" l="1" a="1"/>
  <c r="A102" i="14" s="1"/>
  <c r="B101" i="14"/>
  <c r="F101" i="14"/>
  <c r="E101" i="14"/>
  <c r="D101" i="14"/>
  <c r="G101" i="14"/>
  <c r="H101" i="14"/>
  <c r="C101" i="14"/>
  <c r="B103" i="13"/>
  <c r="D103" i="13"/>
  <c r="A104" i="13" a="1"/>
  <c r="A104" i="13" s="1"/>
  <c r="D104" i="13" s="1"/>
  <c r="C103" i="13"/>
  <c r="A103" i="14" l="1" a="1"/>
  <c r="A103" i="14" s="1"/>
  <c r="C102" i="14"/>
  <c r="G102" i="14"/>
  <c r="D102" i="14"/>
  <c r="E102" i="14"/>
  <c r="F102" i="14"/>
  <c r="H102" i="14"/>
  <c r="B102" i="14"/>
  <c r="C104" i="13"/>
  <c r="B104" i="13"/>
  <c r="A105" i="13" a="1"/>
  <c r="A105" i="13" s="1"/>
  <c r="A104" i="14" l="1" a="1"/>
  <c r="A104" i="14" s="1"/>
  <c r="D103" i="14"/>
  <c r="H103" i="14"/>
  <c r="B103" i="14"/>
  <c r="G103" i="14"/>
  <c r="E103" i="14"/>
  <c r="F103" i="14"/>
  <c r="C103" i="14"/>
  <c r="A106" i="13" a="1"/>
  <c r="A106" i="13" s="1"/>
  <c r="D106" i="13" s="1"/>
  <c r="D105" i="13"/>
  <c r="C105" i="13"/>
  <c r="B105" i="13"/>
  <c r="A105" i="14" l="1" a="1"/>
  <c r="A105" i="14" s="1"/>
  <c r="E104" i="14"/>
  <c r="F104" i="14"/>
  <c r="D104" i="14"/>
  <c r="G104" i="14"/>
  <c r="B104" i="14"/>
  <c r="H104" i="14"/>
  <c r="C104" i="14"/>
  <c r="C106" i="13"/>
  <c r="B106" i="13"/>
  <c r="A107" i="13" a="1"/>
  <c r="A107" i="13" s="1"/>
  <c r="A106" i="14" l="1" a="1"/>
  <c r="A106" i="14" s="1"/>
  <c r="B105" i="14"/>
  <c r="F105" i="14"/>
  <c r="D105" i="14"/>
  <c r="E105" i="14"/>
  <c r="G105" i="14"/>
  <c r="H105" i="14"/>
  <c r="C105" i="14"/>
  <c r="A108" i="13" a="1"/>
  <c r="A108" i="13" s="1"/>
  <c r="D107" i="13"/>
  <c r="B107" i="13"/>
  <c r="C107" i="13"/>
  <c r="A107" i="14" l="1" a="1"/>
  <c r="A107" i="14" s="1"/>
  <c r="C106" i="14"/>
  <c r="G106" i="14"/>
  <c r="B106" i="14"/>
  <c r="H106" i="14"/>
  <c r="E106" i="14"/>
  <c r="F106" i="14"/>
  <c r="D106" i="14"/>
  <c r="C108" i="13"/>
  <c r="D108" i="13"/>
  <c r="B108" i="13"/>
  <c r="A109" i="13" a="1"/>
  <c r="A109" i="13" s="1"/>
  <c r="A108" i="14" l="1" a="1"/>
  <c r="A108" i="14" s="1"/>
  <c r="D107" i="14"/>
  <c r="H107" i="14"/>
  <c r="F107" i="14"/>
  <c r="E107" i="14"/>
  <c r="G107" i="14"/>
  <c r="B107" i="14"/>
  <c r="C107" i="14"/>
  <c r="C109" i="13"/>
  <c r="B109" i="13"/>
  <c r="D109" i="13"/>
  <c r="A110" i="13" a="1"/>
  <c r="A110" i="13" s="1"/>
  <c r="A109" i="14" l="1" a="1"/>
  <c r="A109" i="14" s="1"/>
  <c r="E108" i="14"/>
  <c r="D108" i="14"/>
  <c r="F108" i="14"/>
  <c r="G108" i="14"/>
  <c r="B108" i="14"/>
  <c r="H108" i="14"/>
  <c r="C108" i="14"/>
  <c r="D110" i="13"/>
  <c r="C110" i="13"/>
  <c r="B110" i="13"/>
  <c r="A111" i="13" a="1"/>
  <c r="A111" i="13" s="1"/>
  <c r="D111" i="13" s="1"/>
  <c r="A110" i="14" l="1" a="1"/>
  <c r="A110" i="14" s="1"/>
  <c r="B109" i="14"/>
  <c r="F109" i="14"/>
  <c r="C109" i="14"/>
  <c r="H109" i="14"/>
  <c r="E109" i="14"/>
  <c r="G109" i="14"/>
  <c r="D109" i="14"/>
  <c r="C111" i="13"/>
  <c r="B111" i="13"/>
  <c r="A112" i="13" a="1"/>
  <c r="A112" i="13" s="1"/>
  <c r="A111" i="14" l="1" a="1"/>
  <c r="A111" i="14" s="1"/>
  <c r="C110" i="14"/>
  <c r="G110" i="14"/>
  <c r="F110" i="14"/>
  <c r="E110" i="14"/>
  <c r="H110" i="14"/>
  <c r="B110" i="14"/>
  <c r="D110" i="14"/>
  <c r="D112" i="13"/>
  <c r="C112" i="13"/>
  <c r="B112" i="13"/>
  <c r="A113" i="13" a="1"/>
  <c r="A113" i="13" s="1"/>
  <c r="D113" i="13" s="1"/>
  <c r="A112" i="14" l="1" a="1"/>
  <c r="A112" i="14" s="1"/>
  <c r="D111" i="14"/>
  <c r="H111" i="14"/>
  <c r="E111" i="14"/>
  <c r="F111" i="14"/>
  <c r="G111" i="14"/>
  <c r="B111" i="14"/>
  <c r="C111" i="14"/>
  <c r="C113" i="13"/>
  <c r="B113" i="13"/>
  <c r="A114" i="13" a="1"/>
  <c r="A114" i="13" s="1"/>
  <c r="D114" i="13" s="1"/>
  <c r="A113" i="14" l="1" a="1"/>
  <c r="A113" i="14" s="1"/>
  <c r="E112" i="14"/>
  <c r="C112" i="14"/>
  <c r="H112" i="14"/>
  <c r="F112" i="14"/>
  <c r="G112" i="14"/>
  <c r="B112" i="14"/>
  <c r="D112" i="14"/>
  <c r="C114" i="13"/>
  <c r="B114" i="13"/>
  <c r="A115" i="13" a="1"/>
  <c r="A115" i="13" s="1"/>
  <c r="A114" i="14" l="1" a="1"/>
  <c r="A114" i="14" s="1"/>
  <c r="B113" i="14"/>
  <c r="F113" i="14"/>
  <c r="G113" i="14"/>
  <c r="E113" i="14"/>
  <c r="H113" i="14"/>
  <c r="C113" i="14"/>
  <c r="D113" i="14"/>
  <c r="C115" i="13"/>
  <c r="B115" i="13"/>
  <c r="D115" i="13"/>
  <c r="A116" i="13" a="1"/>
  <c r="A116" i="13" s="1"/>
  <c r="A115" i="14" l="1" a="1"/>
  <c r="A115" i="14" s="1"/>
  <c r="C114" i="14"/>
  <c r="G114" i="14"/>
  <c r="E114" i="14"/>
  <c r="F114" i="14"/>
  <c r="H114" i="14"/>
  <c r="B114" i="14"/>
  <c r="D114" i="14"/>
  <c r="A117" i="13" a="1"/>
  <c r="A117" i="13" s="1"/>
  <c r="D116" i="13"/>
  <c r="C116" i="13"/>
  <c r="B116" i="13"/>
  <c r="A116" i="14" l="1" a="1"/>
  <c r="A116" i="14" s="1"/>
  <c r="D115" i="14"/>
  <c r="H115" i="14"/>
  <c r="C115" i="14"/>
  <c r="F115" i="14"/>
  <c r="G115" i="14"/>
  <c r="B115" i="14"/>
  <c r="E115" i="14"/>
  <c r="D117" i="13"/>
  <c r="B117" i="13"/>
  <c r="C117" i="13"/>
  <c r="A118" i="13" a="1"/>
  <c r="A118" i="13" s="1"/>
  <c r="A117" i="14" l="1" a="1"/>
  <c r="A117" i="14" s="1"/>
  <c r="E116" i="14"/>
  <c r="B116" i="14"/>
  <c r="G116" i="14"/>
  <c r="F116" i="14"/>
  <c r="H116" i="14"/>
  <c r="C116" i="14"/>
  <c r="D116" i="14"/>
  <c r="A119" i="13" a="1"/>
  <c r="A119" i="13" s="1"/>
  <c r="A120" i="13" s="1" a="1"/>
  <c r="A120" i="13" s="1"/>
  <c r="C118" i="13"/>
  <c r="B118" i="13"/>
  <c r="D118" i="13"/>
  <c r="A118" i="14" l="1" a="1"/>
  <c r="A118" i="14" s="1"/>
  <c r="B117" i="14"/>
  <c r="F117" i="14"/>
  <c r="E117" i="14"/>
  <c r="G117" i="14"/>
  <c r="H117" i="14"/>
  <c r="C117" i="14"/>
  <c r="D117" i="14"/>
  <c r="C119" i="13"/>
  <c r="B119" i="13"/>
  <c r="D119" i="13"/>
  <c r="C120" i="13"/>
  <c r="D120" i="13"/>
  <c r="A121" i="13" a="1"/>
  <c r="A121" i="13" s="1"/>
  <c r="B120" i="13"/>
  <c r="A119" i="14" l="1" a="1"/>
  <c r="A119" i="14" s="1"/>
  <c r="C118" i="14"/>
  <c r="G118" i="14"/>
  <c r="E118" i="14"/>
  <c r="F118" i="14"/>
  <c r="B118" i="14"/>
  <c r="H118" i="14"/>
  <c r="D118" i="14"/>
  <c r="C121" i="13"/>
  <c r="D121" i="13"/>
  <c r="A122" i="13" a="1"/>
  <c r="A122" i="13" s="1"/>
  <c r="B121" i="13"/>
  <c r="A120" i="14" l="1" a="1"/>
  <c r="A120" i="14" s="1"/>
  <c r="D119" i="14"/>
  <c r="H119" i="14"/>
  <c r="C119" i="14"/>
  <c r="E119" i="14"/>
  <c r="F119" i="14"/>
  <c r="G119" i="14"/>
  <c r="B119" i="14"/>
  <c r="C122" i="13"/>
  <c r="D122" i="13"/>
  <c r="A123" i="13" a="1"/>
  <c r="A123" i="13" s="1"/>
  <c r="B122" i="13"/>
  <c r="A121" i="14" l="1" a="1"/>
  <c r="A121" i="14" s="1"/>
  <c r="E120" i="14"/>
  <c r="B120" i="14"/>
  <c r="G120" i="14"/>
  <c r="C120" i="14"/>
  <c r="H120" i="14"/>
  <c r="D120" i="14"/>
  <c r="F120" i="14"/>
  <c r="C123" i="13"/>
  <c r="D123" i="13"/>
  <c r="A124" i="13" a="1"/>
  <c r="A124" i="13" s="1"/>
  <c r="B123" i="13"/>
  <c r="A122" i="14" l="1" a="1"/>
  <c r="A122" i="14" s="1"/>
  <c r="B121" i="14"/>
  <c r="F121" i="14"/>
  <c r="E121" i="14"/>
  <c r="G121" i="14"/>
  <c r="C121" i="14"/>
  <c r="H121" i="14"/>
  <c r="D121" i="14"/>
  <c r="C124" i="13"/>
  <c r="D124" i="13"/>
  <c r="A125" i="13" a="1"/>
  <c r="A125" i="13" s="1"/>
  <c r="B124" i="13"/>
  <c r="A123" i="14" l="1" a="1"/>
  <c r="A123" i="14" s="1"/>
  <c r="C122" i="14"/>
  <c r="G122" i="14"/>
  <c r="D122" i="14"/>
  <c r="E122" i="14"/>
  <c r="F122" i="14"/>
  <c r="H122" i="14"/>
  <c r="B122" i="14"/>
  <c r="C125" i="13"/>
  <c r="D125" i="13"/>
  <c r="A126" i="13" a="1"/>
  <c r="A126" i="13" s="1"/>
  <c r="B125" i="13"/>
  <c r="A124" i="14" l="1" a="1"/>
  <c r="A124" i="14" s="1"/>
  <c r="D123" i="14"/>
  <c r="H123" i="14"/>
  <c r="B123" i="14"/>
  <c r="G123" i="14"/>
  <c r="C123" i="14"/>
  <c r="E123" i="14"/>
  <c r="F123" i="14"/>
  <c r="C126" i="13"/>
  <c r="D126" i="13"/>
  <c r="A127" i="13" a="1"/>
  <c r="A127" i="13" s="1"/>
  <c r="B126" i="13"/>
  <c r="A125" i="14" l="1" a="1"/>
  <c r="A125" i="14" s="1"/>
  <c r="E124" i="14"/>
  <c r="F124" i="14"/>
  <c r="B124" i="14"/>
  <c r="G124" i="14"/>
  <c r="C124" i="14"/>
  <c r="H124" i="14"/>
  <c r="D124" i="14"/>
  <c r="C127" i="13"/>
  <c r="D127" i="13"/>
  <c r="A128" i="13" a="1"/>
  <c r="A128" i="13" s="1"/>
  <c r="B127" i="13"/>
  <c r="A126" i="14" l="1" a="1"/>
  <c r="A126" i="14" s="1"/>
  <c r="B125" i="14"/>
  <c r="F125" i="14"/>
  <c r="D125" i="14"/>
  <c r="E125" i="14"/>
  <c r="G125" i="14"/>
  <c r="H125" i="14"/>
  <c r="C125" i="14"/>
  <c r="C128" i="13"/>
  <c r="D128" i="13"/>
  <c r="A129" i="13" a="1"/>
  <c r="A129" i="13" s="1"/>
  <c r="B128" i="13"/>
  <c r="A127" i="14" l="1" a="1"/>
  <c r="A127" i="14" s="1"/>
  <c r="C126" i="14"/>
  <c r="G126" i="14"/>
  <c r="B126" i="14"/>
  <c r="H126" i="14"/>
  <c r="D126" i="14"/>
  <c r="E126" i="14"/>
  <c r="F126" i="14"/>
  <c r="D129" i="13"/>
  <c r="C129" i="13"/>
  <c r="A130" i="13" a="1"/>
  <c r="A130" i="13" s="1"/>
  <c r="B129" i="13"/>
  <c r="A128" i="14" l="1" a="1"/>
  <c r="A128" i="14" s="1"/>
  <c r="D127" i="14"/>
  <c r="H127" i="14"/>
  <c r="F127" i="14"/>
  <c r="B127" i="14"/>
  <c r="G127" i="14"/>
  <c r="C127" i="14"/>
  <c r="E127" i="14"/>
  <c r="C130" i="13"/>
  <c r="D130" i="13"/>
  <c r="A131" i="13" a="1"/>
  <c r="A131" i="13" s="1"/>
  <c r="B130" i="13"/>
  <c r="A129" i="14" l="1" a="1"/>
  <c r="A129" i="14" s="1"/>
  <c r="E128" i="14"/>
  <c r="D128" i="14"/>
  <c r="F128" i="14"/>
  <c r="G128" i="14"/>
  <c r="B128" i="14"/>
  <c r="H128" i="14"/>
  <c r="C128" i="14"/>
  <c r="C131" i="13"/>
  <c r="D131" i="13"/>
  <c r="A132" i="13" a="1"/>
  <c r="A132" i="13" s="1"/>
  <c r="B131" i="13"/>
  <c r="A130" i="14" l="1" a="1"/>
  <c r="A130" i="14" s="1"/>
  <c r="B129" i="14"/>
  <c r="F129" i="14"/>
  <c r="C129" i="14"/>
  <c r="H129" i="14"/>
  <c r="D129" i="14"/>
  <c r="E129" i="14"/>
  <c r="G129" i="14"/>
  <c r="C132" i="13"/>
  <c r="D132" i="13"/>
  <c r="A133" i="13" a="1"/>
  <c r="A133" i="13" s="1"/>
  <c r="B132" i="13"/>
  <c r="A131" i="14" l="1" a="1"/>
  <c r="A131" i="14" s="1"/>
  <c r="C130" i="14"/>
  <c r="G130" i="14"/>
  <c r="F130" i="14"/>
  <c r="B130" i="14"/>
  <c r="H130" i="14"/>
  <c r="D130" i="14"/>
  <c r="E130" i="14"/>
  <c r="C133" i="13"/>
  <c r="D133" i="13"/>
  <c r="A134" i="13" a="1"/>
  <c r="A134" i="13" s="1"/>
  <c r="B133" i="13"/>
  <c r="A132" i="14" l="1" a="1"/>
  <c r="A132" i="14" s="1"/>
  <c r="D131" i="14"/>
  <c r="H131" i="14"/>
  <c r="E131" i="14"/>
  <c r="F131" i="14"/>
  <c r="G131" i="14"/>
  <c r="B131" i="14"/>
  <c r="C131" i="14"/>
  <c r="C134" i="13"/>
  <c r="D134" i="13"/>
  <c r="A135" i="13" a="1"/>
  <c r="A135" i="13" s="1"/>
  <c r="B134" i="13"/>
  <c r="A133" i="14" l="1" a="1"/>
  <c r="A133" i="14" s="1"/>
  <c r="E132" i="14"/>
  <c r="C132" i="14"/>
  <c r="H132" i="14"/>
  <c r="D132" i="14"/>
  <c r="F132" i="14"/>
  <c r="B132" i="14"/>
  <c r="G132" i="14"/>
  <c r="C135" i="13"/>
  <c r="D135" i="13"/>
  <c r="A136" i="13" a="1"/>
  <c r="A136" i="13" s="1"/>
  <c r="B135" i="13"/>
  <c r="A134" i="14" l="1" a="1"/>
  <c r="A134" i="14" s="1"/>
  <c r="B133" i="14"/>
  <c r="F133" i="14"/>
  <c r="G133" i="14"/>
  <c r="C133" i="14"/>
  <c r="H133" i="14"/>
  <c r="D133" i="14"/>
  <c r="E133" i="14"/>
  <c r="C136" i="13"/>
  <c r="D136" i="13"/>
  <c r="A137" i="13" a="1"/>
  <c r="A137" i="13" s="1"/>
  <c r="B136" i="13"/>
  <c r="A135" i="14" l="1" a="1"/>
  <c r="A135" i="14" s="1"/>
  <c r="C134" i="14"/>
  <c r="G134" i="14"/>
  <c r="E134" i="14"/>
  <c r="F134" i="14"/>
  <c r="H134" i="14"/>
  <c r="B134" i="14"/>
  <c r="D134" i="14"/>
  <c r="C137" i="13"/>
  <c r="D137" i="13"/>
  <c r="A138" i="13" a="1"/>
  <c r="A138" i="13" s="1"/>
  <c r="B137" i="13"/>
  <c r="A136" i="14" l="1" a="1"/>
  <c r="A136" i="14" s="1"/>
  <c r="D135" i="14"/>
  <c r="H135" i="14"/>
  <c r="C135" i="14"/>
  <c r="E135" i="14"/>
  <c r="F135" i="14"/>
  <c r="B135" i="14"/>
  <c r="G135" i="14"/>
  <c r="C138" i="13"/>
  <c r="D138" i="13"/>
  <c r="A139" i="13" a="1"/>
  <c r="A139" i="13" s="1"/>
  <c r="B138" i="13"/>
  <c r="A137" i="14" l="1" a="1"/>
  <c r="A137" i="14" s="1"/>
  <c r="E136" i="14"/>
  <c r="B136" i="14"/>
  <c r="G136" i="14"/>
  <c r="C136" i="14"/>
  <c r="H136" i="14"/>
  <c r="D136" i="14"/>
  <c r="F136" i="14"/>
  <c r="C139" i="13"/>
  <c r="D139" i="13"/>
  <c r="A140" i="13" a="1"/>
  <c r="A140" i="13" s="1"/>
  <c r="B139" i="13"/>
  <c r="A138" i="14" l="1" a="1"/>
  <c r="A138" i="14" s="1"/>
  <c r="B137" i="14"/>
  <c r="F137" i="14"/>
  <c r="E137" i="14"/>
  <c r="G137" i="14"/>
  <c r="H137" i="14"/>
  <c r="C137" i="14"/>
  <c r="D137" i="14"/>
  <c r="C140" i="13"/>
  <c r="D140" i="13"/>
  <c r="B140" i="13"/>
  <c r="A141" i="13" a="1"/>
  <c r="A141" i="13" s="1"/>
  <c r="A139" i="14" l="1" a="1"/>
  <c r="A139" i="14" s="1"/>
  <c r="C138" i="14"/>
  <c r="G138" i="14"/>
  <c r="D138" i="14"/>
  <c r="E138" i="14"/>
  <c r="F138" i="14"/>
  <c r="B138" i="14"/>
  <c r="H138" i="14"/>
  <c r="C141" i="13"/>
  <c r="D141" i="13"/>
  <c r="A142" i="13" a="1"/>
  <c r="A142" i="13" s="1"/>
  <c r="B141" i="13"/>
  <c r="A140" i="14" l="1" a="1"/>
  <c r="A140" i="14" s="1"/>
  <c r="D139" i="14"/>
  <c r="H139" i="14"/>
  <c r="B139" i="14"/>
  <c r="G139" i="14"/>
  <c r="C139" i="14"/>
  <c r="E139" i="14"/>
  <c r="F139" i="14"/>
  <c r="C142" i="13"/>
  <c r="D142" i="13"/>
  <c r="A143" i="13" a="1"/>
  <c r="A143" i="13" s="1"/>
  <c r="B142" i="13"/>
  <c r="A141" i="14" l="1" a="1"/>
  <c r="A141" i="14" s="1"/>
  <c r="E140" i="14"/>
  <c r="F140" i="14"/>
  <c r="B140" i="14"/>
  <c r="G140" i="14"/>
  <c r="H140" i="14"/>
  <c r="C140" i="14"/>
  <c r="D140" i="14"/>
  <c r="C143" i="13"/>
  <c r="D143" i="13"/>
  <c r="A144" i="13" a="1"/>
  <c r="A144" i="13" s="1"/>
  <c r="B143" i="13"/>
  <c r="A142" i="14" l="1" a="1"/>
  <c r="A142" i="14" s="1"/>
  <c r="B141" i="14"/>
  <c r="F141" i="14"/>
  <c r="D141" i="14"/>
  <c r="E141" i="14"/>
  <c r="G141" i="14"/>
  <c r="C141" i="14"/>
  <c r="H141" i="14"/>
  <c r="C144" i="13"/>
  <c r="D144" i="13"/>
  <c r="A145" i="13" a="1"/>
  <c r="A145" i="13" s="1"/>
  <c r="B144" i="13"/>
  <c r="A143" i="14" l="1" a="1"/>
  <c r="A143" i="14" s="1"/>
  <c r="C142" i="14"/>
  <c r="G142" i="14"/>
  <c r="B142" i="14"/>
  <c r="H142" i="14"/>
  <c r="D142" i="14"/>
  <c r="E142" i="14"/>
  <c r="F142" i="14"/>
  <c r="C145" i="13"/>
  <c r="D145" i="13"/>
  <c r="A146" i="13" a="1"/>
  <c r="A146" i="13" s="1"/>
  <c r="B145" i="13"/>
  <c r="A144" i="14" l="1" a="1"/>
  <c r="A144" i="14" s="1"/>
  <c r="D143" i="14"/>
  <c r="H143" i="14"/>
  <c r="F143" i="14"/>
  <c r="B143" i="14"/>
  <c r="G143" i="14"/>
  <c r="C143" i="14"/>
  <c r="E143" i="14"/>
  <c r="C146" i="13"/>
  <c r="D146" i="13"/>
  <c r="A147" i="13" a="1"/>
  <c r="A147" i="13" s="1"/>
  <c r="B146" i="13"/>
  <c r="A145" i="14" l="1" a="1"/>
  <c r="A145" i="14" s="1"/>
  <c r="E144" i="14"/>
  <c r="D144" i="14"/>
  <c r="F144" i="14"/>
  <c r="B144" i="14"/>
  <c r="G144" i="14"/>
  <c r="C144" i="14"/>
  <c r="H144" i="14"/>
  <c r="C147" i="13"/>
  <c r="D147" i="13"/>
  <c r="A148" i="13" a="1"/>
  <c r="A148" i="13" s="1"/>
  <c r="B147" i="13"/>
  <c r="A146" i="14" l="1" a="1"/>
  <c r="A146" i="14" s="1"/>
  <c r="B145" i="14"/>
  <c r="F145" i="14"/>
  <c r="C145" i="14"/>
  <c r="H145" i="14"/>
  <c r="D145" i="14"/>
  <c r="E145" i="14"/>
  <c r="G145" i="14"/>
  <c r="C148" i="13"/>
  <c r="D148" i="13"/>
  <c r="A149" i="13" a="1"/>
  <c r="A149" i="13" s="1"/>
  <c r="B148" i="13"/>
  <c r="A147" i="14" l="1" a="1"/>
  <c r="A147" i="14" s="1"/>
  <c r="C146" i="14"/>
  <c r="G146" i="14"/>
  <c r="F146" i="14"/>
  <c r="B146" i="14"/>
  <c r="H146" i="14"/>
  <c r="D146" i="14"/>
  <c r="E146" i="14"/>
  <c r="D149" i="13"/>
  <c r="C149" i="13"/>
  <c r="A150" i="13" a="1"/>
  <c r="A150" i="13" s="1"/>
  <c r="B149" i="13"/>
  <c r="A148" i="14" l="1" a="1"/>
  <c r="A148" i="14" s="1"/>
  <c r="D147" i="14"/>
  <c r="H147" i="14"/>
  <c r="E147" i="14"/>
  <c r="F147" i="14"/>
  <c r="B147" i="14"/>
  <c r="G147" i="14"/>
  <c r="C147" i="14"/>
  <c r="C150" i="13"/>
  <c r="D150" i="13"/>
  <c r="A151" i="13" a="1"/>
  <c r="A151" i="13" s="1"/>
  <c r="B150" i="13"/>
  <c r="A149" i="14" l="1" a="1"/>
  <c r="A149" i="14" s="1"/>
  <c r="E148" i="14"/>
  <c r="C148" i="14"/>
  <c r="H148" i="14"/>
  <c r="D148" i="14"/>
  <c r="F148" i="14"/>
  <c r="G148" i="14"/>
  <c r="B148" i="14"/>
  <c r="D151" i="13"/>
  <c r="C151" i="13"/>
  <c r="A152" i="13" a="1"/>
  <c r="A152" i="13" s="1"/>
  <c r="B151" i="13"/>
  <c r="A150" i="14" l="1" a="1"/>
  <c r="A150" i="14" s="1"/>
  <c r="B149" i="14"/>
  <c r="F149" i="14"/>
  <c r="G149" i="14"/>
  <c r="C149" i="14"/>
  <c r="H149" i="14"/>
  <c r="D149" i="14"/>
  <c r="E149" i="14"/>
  <c r="C152" i="13"/>
  <c r="D152" i="13"/>
  <c r="A153" i="13" a="1"/>
  <c r="A153" i="13" s="1"/>
  <c r="B152" i="13"/>
  <c r="A151" i="14" l="1" a="1"/>
  <c r="A151" i="14" s="1"/>
  <c r="C150" i="14"/>
  <c r="G150" i="14"/>
  <c r="E150" i="14"/>
  <c r="F150" i="14"/>
  <c r="B150" i="14"/>
  <c r="H150" i="14"/>
  <c r="D150" i="14"/>
  <c r="C153" i="13"/>
  <c r="D153" i="13"/>
  <c r="A154" i="13" a="1"/>
  <c r="A154" i="13" s="1"/>
  <c r="B153" i="13"/>
  <c r="A152" i="14" l="1" a="1"/>
  <c r="A152" i="14" s="1"/>
  <c r="D151" i="14"/>
  <c r="H151" i="14"/>
  <c r="C151" i="14"/>
  <c r="E151" i="14"/>
  <c r="F151" i="14"/>
  <c r="G151" i="14"/>
  <c r="B151" i="14"/>
  <c r="C154" i="13"/>
  <c r="D154" i="13"/>
  <c r="A155" i="13" a="1"/>
  <c r="A155" i="13" s="1"/>
  <c r="B154" i="13"/>
  <c r="A153" i="14" l="1" a="1"/>
  <c r="A153" i="14" s="1"/>
  <c r="E152" i="14"/>
  <c r="B152" i="14"/>
  <c r="G152" i="14"/>
  <c r="C152" i="14"/>
  <c r="H152" i="14"/>
  <c r="D152" i="14"/>
  <c r="F152" i="14"/>
  <c r="C155" i="13"/>
  <c r="D155" i="13"/>
  <c r="A156" i="13" a="1"/>
  <c r="A156" i="13" s="1"/>
  <c r="B155" i="13"/>
  <c r="A154" i="14" l="1" a="1"/>
  <c r="A154" i="14" s="1"/>
  <c r="B153" i="14"/>
  <c r="F153" i="14"/>
  <c r="E153" i="14"/>
  <c r="G153" i="14"/>
  <c r="C153" i="14"/>
  <c r="H153" i="14"/>
  <c r="D153" i="14"/>
  <c r="C156" i="13"/>
  <c r="D156" i="13"/>
  <c r="A157" i="13" a="1"/>
  <c r="A157" i="13" s="1"/>
  <c r="B156" i="13"/>
  <c r="A155" i="14" l="1" a="1"/>
  <c r="A155" i="14" s="1"/>
  <c r="C154" i="14"/>
  <c r="G154" i="14"/>
  <c r="D154" i="14"/>
  <c r="E154" i="14"/>
  <c r="F154" i="14"/>
  <c r="H154" i="14"/>
  <c r="B154" i="14"/>
  <c r="C157" i="13"/>
  <c r="D157" i="13"/>
  <c r="A158" i="13" a="1"/>
  <c r="A158" i="13" s="1"/>
  <c r="B157" i="13"/>
  <c r="A156" i="14" l="1" a="1"/>
  <c r="A156" i="14" s="1"/>
  <c r="D155" i="14"/>
  <c r="H155" i="14"/>
  <c r="B155" i="14"/>
  <c r="G155" i="14"/>
  <c r="C155" i="14"/>
  <c r="E155" i="14"/>
  <c r="F155" i="14"/>
  <c r="C158" i="13"/>
  <c r="D158" i="13"/>
  <c r="A159" i="13" a="1"/>
  <c r="A159" i="13" s="1"/>
  <c r="B158" i="13"/>
  <c r="A157" i="14" l="1" a="1"/>
  <c r="A157" i="14" s="1"/>
  <c r="E156" i="14"/>
  <c r="F156" i="14"/>
  <c r="B156" i="14"/>
  <c r="G156" i="14"/>
  <c r="C156" i="14"/>
  <c r="H156" i="14"/>
  <c r="D156" i="14"/>
  <c r="C159" i="13"/>
  <c r="D159" i="13"/>
  <c r="A160" i="13" a="1"/>
  <c r="A160" i="13" s="1"/>
  <c r="B159" i="13"/>
  <c r="A158" i="14" l="1" a="1"/>
  <c r="A158" i="14" s="1"/>
  <c r="B157" i="14"/>
  <c r="F157" i="14"/>
  <c r="D157" i="14"/>
  <c r="E157" i="14"/>
  <c r="G157" i="14"/>
  <c r="H157" i="14"/>
  <c r="C157" i="14"/>
  <c r="C160" i="13"/>
  <c r="D160" i="13"/>
  <c r="A161" i="13" a="1"/>
  <c r="A161" i="13" s="1"/>
  <c r="B160" i="13"/>
  <c r="A159" i="14" l="1" a="1"/>
  <c r="A159" i="14" s="1"/>
  <c r="C158" i="14"/>
  <c r="G158" i="14"/>
  <c r="B158" i="14"/>
  <c r="H158" i="14"/>
  <c r="D158" i="14"/>
  <c r="E158" i="14"/>
  <c r="F158" i="14"/>
  <c r="D161" i="13"/>
  <c r="C161" i="13"/>
  <c r="A162" i="13" a="1"/>
  <c r="A162" i="13" s="1"/>
  <c r="B161" i="13"/>
  <c r="A160" i="14" l="1" a="1"/>
  <c r="A160" i="14" s="1"/>
  <c r="E159" i="14"/>
  <c r="B159" i="14"/>
  <c r="F159" i="14"/>
  <c r="C159" i="14"/>
  <c r="G159" i="14"/>
  <c r="D159" i="14"/>
  <c r="H159" i="14"/>
  <c r="C162" i="13"/>
  <c r="D162" i="13"/>
  <c r="A163" i="13" a="1"/>
  <c r="A163" i="13" s="1"/>
  <c r="B162" i="13"/>
  <c r="A161" i="14" l="1" a="1"/>
  <c r="A161" i="14" s="1"/>
  <c r="B160" i="14"/>
  <c r="F160" i="14"/>
  <c r="C160" i="14"/>
  <c r="G160" i="14"/>
  <c r="D160" i="14"/>
  <c r="H160" i="14"/>
  <c r="E160" i="14"/>
  <c r="C163" i="13"/>
  <c r="D163" i="13"/>
  <c r="A164" i="13" a="1"/>
  <c r="A164" i="13" s="1"/>
  <c r="B163" i="13"/>
  <c r="A162" i="14" l="1" a="1"/>
  <c r="A162" i="14" s="1"/>
  <c r="C161" i="14"/>
  <c r="G161" i="14"/>
  <c r="D161" i="14"/>
  <c r="H161" i="14"/>
  <c r="E161" i="14"/>
  <c r="F161" i="14"/>
  <c r="B161" i="14"/>
  <c r="C164" i="13"/>
  <c r="D164" i="13"/>
  <c r="A165" i="13" a="1"/>
  <c r="A165" i="13" s="1"/>
  <c r="B164" i="13"/>
  <c r="A163" i="14" l="1" a="1"/>
  <c r="A163" i="14" s="1"/>
  <c r="D162" i="14"/>
  <c r="H162" i="14"/>
  <c r="E162" i="14"/>
  <c r="F162" i="14"/>
  <c r="B162" i="14"/>
  <c r="G162" i="14"/>
  <c r="C162" i="14"/>
  <c r="C165" i="13"/>
  <c r="D165" i="13"/>
  <c r="A166" i="13" a="1"/>
  <c r="A166" i="13" s="1"/>
  <c r="B165" i="13"/>
  <c r="A164" i="14" l="1" a="1"/>
  <c r="A164" i="14" s="1"/>
  <c r="E163" i="14"/>
  <c r="B163" i="14"/>
  <c r="F163" i="14"/>
  <c r="G163" i="14"/>
  <c r="C163" i="14"/>
  <c r="H163" i="14"/>
  <c r="D163" i="14"/>
  <c r="C166" i="13"/>
  <c r="D166" i="13"/>
  <c r="A167" i="13" a="1"/>
  <c r="A167" i="13" s="1"/>
  <c r="B166" i="13"/>
  <c r="A165" i="14" l="1" a="1"/>
  <c r="A165" i="14" s="1"/>
  <c r="B164" i="14"/>
  <c r="F164" i="14"/>
  <c r="C164" i="14"/>
  <c r="G164" i="14"/>
  <c r="H164" i="14"/>
  <c r="D164" i="14"/>
  <c r="E164" i="14"/>
  <c r="C167" i="13"/>
  <c r="D167" i="13"/>
  <c r="A168" i="13" a="1"/>
  <c r="A168" i="13" s="1"/>
  <c r="B167" i="13"/>
  <c r="A166" i="14" l="1" a="1"/>
  <c r="A166" i="14" s="1"/>
  <c r="C165" i="14"/>
  <c r="G165" i="14"/>
  <c r="D165" i="14"/>
  <c r="H165" i="14"/>
  <c r="E165" i="14"/>
  <c r="B165" i="14"/>
  <c r="F165" i="14"/>
  <c r="C168" i="13"/>
  <c r="D168" i="13"/>
  <c r="A169" i="13" a="1"/>
  <c r="A169" i="13" s="1"/>
  <c r="B168" i="13"/>
  <c r="A167" i="14" l="1" a="1"/>
  <c r="A167" i="14" s="1"/>
  <c r="D166" i="14"/>
  <c r="H166" i="14"/>
  <c r="E166" i="14"/>
  <c r="B166" i="14"/>
  <c r="F166" i="14"/>
  <c r="C166" i="14"/>
  <c r="G166" i="14"/>
  <c r="C169" i="13"/>
  <c r="D169" i="13"/>
  <c r="A170" i="13" a="1"/>
  <c r="A170" i="13" s="1"/>
  <c r="B169" i="13"/>
  <c r="A168" i="14" l="1" a="1"/>
  <c r="A168" i="14" s="1"/>
  <c r="E167" i="14"/>
  <c r="B167" i="14"/>
  <c r="F167" i="14"/>
  <c r="C167" i="14"/>
  <c r="G167" i="14"/>
  <c r="D167" i="14"/>
  <c r="H167" i="14"/>
  <c r="C170" i="13"/>
  <c r="D170" i="13"/>
  <c r="A171" i="13" a="1"/>
  <c r="A171" i="13" s="1"/>
  <c r="B170" i="13"/>
  <c r="A169" i="14" l="1" a="1"/>
  <c r="A169" i="14" s="1"/>
  <c r="B168" i="14"/>
  <c r="F168" i="14"/>
  <c r="C168" i="14"/>
  <c r="G168" i="14"/>
  <c r="D168" i="14"/>
  <c r="H168" i="14"/>
  <c r="E168" i="14"/>
  <c r="D171" i="13"/>
  <c r="C171" i="13"/>
  <c r="A172" i="13" a="1"/>
  <c r="A172" i="13" s="1"/>
  <c r="B171" i="13"/>
  <c r="A170" i="14" l="1" a="1"/>
  <c r="A170" i="14" s="1"/>
  <c r="C169" i="14"/>
  <c r="G169" i="14"/>
  <c r="D169" i="14"/>
  <c r="H169" i="14"/>
  <c r="E169" i="14"/>
  <c r="F169" i="14"/>
  <c r="B169" i="14"/>
  <c r="C172" i="13"/>
  <c r="D172" i="13"/>
  <c r="A173" i="13" a="1"/>
  <c r="A173" i="13" s="1"/>
  <c r="B172" i="13"/>
  <c r="A171" i="14" l="1" a="1"/>
  <c r="A171" i="14" s="1"/>
  <c r="D170" i="14"/>
  <c r="H170" i="14"/>
  <c r="E170" i="14"/>
  <c r="F170" i="14"/>
  <c r="B170" i="14"/>
  <c r="G170" i="14"/>
  <c r="C170" i="14"/>
  <c r="C173" i="13"/>
  <c r="D173" i="13"/>
  <c r="A174" i="13" a="1"/>
  <c r="A174" i="13" s="1"/>
  <c r="B173" i="13"/>
  <c r="A172" i="14" l="1" a="1"/>
  <c r="A172" i="14" s="1"/>
  <c r="E171" i="14"/>
  <c r="B171" i="14"/>
  <c r="F171" i="14"/>
  <c r="G171" i="14"/>
  <c r="C171" i="14"/>
  <c r="H171" i="14"/>
  <c r="D171" i="14"/>
  <c r="C174" i="13"/>
  <c r="D174" i="13"/>
  <c r="A175" i="13" a="1"/>
  <c r="A175" i="13" s="1"/>
  <c r="B174" i="13"/>
  <c r="A173" i="14" l="1" a="1"/>
  <c r="A173" i="14" s="1"/>
  <c r="B172" i="14"/>
  <c r="F172" i="14"/>
  <c r="C172" i="14"/>
  <c r="G172" i="14"/>
  <c r="H172" i="14"/>
  <c r="D172" i="14"/>
  <c r="E172" i="14"/>
  <c r="C175" i="13"/>
  <c r="D175" i="13"/>
  <c r="A176" i="13" a="1"/>
  <c r="A176" i="13" s="1"/>
  <c r="B175" i="13"/>
  <c r="A174" i="14" l="1" a="1"/>
  <c r="A174" i="14" s="1"/>
  <c r="C173" i="14"/>
  <c r="G173" i="14"/>
  <c r="D173" i="14"/>
  <c r="H173" i="14"/>
  <c r="E173" i="14"/>
  <c r="B173" i="14"/>
  <c r="F173" i="14"/>
  <c r="C176" i="13"/>
  <c r="D176" i="13"/>
  <c r="A177" i="13" a="1"/>
  <c r="A177" i="13" s="1"/>
  <c r="B176" i="13"/>
  <c r="A175" i="14" l="1" a="1"/>
  <c r="A175" i="14" s="1"/>
  <c r="D174" i="14"/>
  <c r="H174" i="14"/>
  <c r="E174" i="14"/>
  <c r="B174" i="14"/>
  <c r="F174" i="14"/>
  <c r="C174" i="14"/>
  <c r="G174" i="14"/>
  <c r="C177" i="13"/>
  <c r="D177" i="13"/>
  <c r="A178" i="13" a="1"/>
  <c r="A178" i="13" s="1"/>
  <c r="B177" i="13"/>
  <c r="A176" i="14" l="1" a="1"/>
  <c r="A176" i="14" s="1"/>
  <c r="E175" i="14"/>
  <c r="B175" i="14"/>
  <c r="F175" i="14"/>
  <c r="C175" i="14"/>
  <c r="G175" i="14"/>
  <c r="D175" i="14"/>
  <c r="H175" i="14"/>
  <c r="C178" i="13"/>
  <c r="D178" i="13"/>
  <c r="A179" i="13" a="1"/>
  <c r="A179" i="13" s="1"/>
  <c r="B178" i="13"/>
  <c r="A177" i="14" l="1" a="1"/>
  <c r="A177" i="14" s="1"/>
  <c r="B176" i="14"/>
  <c r="F176" i="14"/>
  <c r="C176" i="14"/>
  <c r="G176" i="14"/>
  <c r="D176" i="14"/>
  <c r="H176" i="14"/>
  <c r="E176" i="14"/>
  <c r="C179" i="13"/>
  <c r="D179" i="13"/>
  <c r="A180" i="13" a="1"/>
  <c r="A180" i="13" s="1"/>
  <c r="B179" i="13"/>
  <c r="A178" i="14" l="1" a="1"/>
  <c r="A178" i="14" s="1"/>
  <c r="C177" i="14"/>
  <c r="G177" i="14"/>
  <c r="D177" i="14"/>
  <c r="H177" i="14"/>
  <c r="E177" i="14"/>
  <c r="F177" i="14"/>
  <c r="B177" i="14"/>
  <c r="C180" i="13"/>
  <c r="D180" i="13"/>
  <c r="A181" i="13" a="1"/>
  <c r="A181" i="13" s="1"/>
  <c r="B180" i="13"/>
  <c r="A179" i="14" l="1" a="1"/>
  <c r="A179" i="14" s="1"/>
  <c r="D178" i="14"/>
  <c r="H178" i="14"/>
  <c r="E178" i="14"/>
  <c r="F178" i="14"/>
  <c r="B178" i="14"/>
  <c r="G178" i="14"/>
  <c r="C178" i="14"/>
  <c r="D181" i="13"/>
  <c r="C181" i="13"/>
  <c r="A182" i="13" a="1"/>
  <c r="A182" i="13" s="1"/>
  <c r="B181" i="13"/>
  <c r="A180" i="14" l="1" a="1"/>
  <c r="A180" i="14" s="1"/>
  <c r="E179" i="14"/>
  <c r="B179" i="14"/>
  <c r="F179" i="14"/>
  <c r="G179" i="14"/>
  <c r="C179" i="14"/>
  <c r="H179" i="14"/>
  <c r="D179" i="14"/>
  <c r="C182" i="13"/>
  <c r="D182" i="13"/>
  <c r="A183" i="13" a="1"/>
  <c r="A183" i="13" s="1"/>
  <c r="B182" i="13"/>
  <c r="A181" i="14" l="1" a="1"/>
  <c r="A181" i="14" s="1"/>
  <c r="B180" i="14"/>
  <c r="F180" i="14"/>
  <c r="C180" i="14"/>
  <c r="G180" i="14"/>
  <c r="H180" i="14"/>
  <c r="D180" i="14"/>
  <c r="E180" i="14"/>
  <c r="C183" i="13"/>
  <c r="D183" i="13"/>
  <c r="A184" i="13" a="1"/>
  <c r="A184" i="13" s="1"/>
  <c r="B183" i="13"/>
  <c r="A182" i="14" l="1" a="1"/>
  <c r="A182" i="14" s="1"/>
  <c r="C181" i="14"/>
  <c r="G181" i="14"/>
  <c r="D181" i="14"/>
  <c r="H181" i="14"/>
  <c r="E181" i="14"/>
  <c r="B181" i="14"/>
  <c r="F181" i="14"/>
  <c r="C184" i="13"/>
  <c r="D184" i="13"/>
  <c r="A185" i="13" a="1"/>
  <c r="A185" i="13" s="1"/>
  <c r="B184" i="13"/>
  <c r="A183" i="14" l="1" a="1"/>
  <c r="A183" i="14" s="1"/>
  <c r="D182" i="14"/>
  <c r="H182" i="14"/>
  <c r="E182" i="14"/>
  <c r="B182" i="14"/>
  <c r="F182" i="14"/>
  <c r="C182" i="14"/>
  <c r="G182" i="14"/>
  <c r="C185" i="13"/>
  <c r="D185" i="13"/>
  <c r="A186" i="13" a="1"/>
  <c r="A186" i="13" s="1"/>
  <c r="B185" i="13"/>
  <c r="A184" i="14" l="1" a="1"/>
  <c r="A184" i="14" s="1"/>
  <c r="E183" i="14"/>
  <c r="B183" i="14"/>
  <c r="F183" i="14"/>
  <c r="C183" i="14"/>
  <c r="G183" i="14"/>
  <c r="D183" i="14"/>
  <c r="H183" i="14"/>
  <c r="C186" i="13"/>
  <c r="D186" i="13"/>
  <c r="A187" i="13" a="1"/>
  <c r="A187" i="13" s="1"/>
  <c r="B186" i="13"/>
  <c r="A185" i="14" l="1" a="1"/>
  <c r="A185" i="14" s="1"/>
  <c r="B184" i="14"/>
  <c r="F184" i="14"/>
  <c r="C184" i="14"/>
  <c r="G184" i="14"/>
  <c r="D184" i="14"/>
  <c r="H184" i="14"/>
  <c r="E184" i="14"/>
  <c r="C187" i="13"/>
  <c r="D187" i="13"/>
  <c r="A188" i="13" a="1"/>
  <c r="A188" i="13" s="1"/>
  <c r="B187" i="13"/>
  <c r="A186" i="14" l="1" a="1"/>
  <c r="A186" i="14" s="1"/>
  <c r="C185" i="14"/>
  <c r="G185" i="14"/>
  <c r="D185" i="14"/>
  <c r="H185" i="14"/>
  <c r="E185" i="14"/>
  <c r="F185" i="14"/>
  <c r="B185" i="14"/>
  <c r="C188" i="13"/>
  <c r="D188" i="13"/>
  <c r="A189" i="13" a="1"/>
  <c r="A189" i="13" s="1"/>
  <c r="B188" i="13"/>
  <c r="A187" i="14" l="1" a="1"/>
  <c r="A187" i="14" s="1"/>
  <c r="D186" i="14"/>
  <c r="H186" i="14"/>
  <c r="E186" i="14"/>
  <c r="F186" i="14"/>
  <c r="B186" i="14"/>
  <c r="G186" i="14"/>
  <c r="C186" i="14"/>
  <c r="C189" i="13"/>
  <c r="D189" i="13"/>
  <c r="A190" i="13" a="1"/>
  <c r="A190" i="13" s="1"/>
  <c r="B189" i="13"/>
  <c r="A188" i="14" l="1" a="1"/>
  <c r="A188" i="14" s="1"/>
  <c r="E187" i="14"/>
  <c r="B187" i="14"/>
  <c r="F187" i="14"/>
  <c r="G187" i="14"/>
  <c r="C187" i="14"/>
  <c r="H187" i="14"/>
  <c r="D187" i="14"/>
  <c r="C190" i="13"/>
  <c r="D190" i="13"/>
  <c r="A191" i="13" a="1"/>
  <c r="A191" i="13" s="1"/>
  <c r="B190" i="13"/>
  <c r="A189" i="14" l="1" a="1"/>
  <c r="A189" i="14" s="1"/>
  <c r="B188" i="14"/>
  <c r="F188" i="14"/>
  <c r="C188" i="14"/>
  <c r="G188" i="14"/>
  <c r="H188" i="14"/>
  <c r="D188" i="14"/>
  <c r="E188" i="14"/>
  <c r="C191" i="13"/>
  <c r="D191" i="13"/>
  <c r="A192" i="13" a="1"/>
  <c r="A192" i="13" s="1"/>
  <c r="B191" i="13"/>
  <c r="A190" i="14" l="1" a="1"/>
  <c r="A190" i="14" s="1"/>
  <c r="C189" i="14"/>
  <c r="G189" i="14"/>
  <c r="D189" i="14"/>
  <c r="H189" i="14"/>
  <c r="E189" i="14"/>
  <c r="B189" i="14"/>
  <c r="F189" i="14"/>
  <c r="C192" i="13"/>
  <c r="D192" i="13"/>
  <c r="A193" i="13" a="1"/>
  <c r="A193" i="13" s="1"/>
  <c r="B192" i="13"/>
  <c r="A191" i="14" l="1" a="1"/>
  <c r="A191" i="14" s="1"/>
  <c r="D190" i="14"/>
  <c r="H190" i="14"/>
  <c r="E190" i="14"/>
  <c r="B190" i="14"/>
  <c r="F190" i="14"/>
  <c r="C190" i="14"/>
  <c r="G190" i="14"/>
  <c r="D193" i="13"/>
  <c r="C193" i="13"/>
  <c r="A194" i="13" a="1"/>
  <c r="A194" i="13" s="1"/>
  <c r="B193" i="13"/>
  <c r="A192" i="14" l="1" a="1"/>
  <c r="A192" i="14" s="1"/>
  <c r="E191" i="14"/>
  <c r="B191" i="14"/>
  <c r="F191" i="14"/>
  <c r="C191" i="14"/>
  <c r="G191" i="14"/>
  <c r="D191" i="14"/>
  <c r="H191" i="14"/>
  <c r="C194" i="13"/>
  <c r="D194" i="13"/>
  <c r="A195" i="13" a="1"/>
  <c r="A195" i="13" s="1"/>
  <c r="B194" i="13"/>
  <c r="A193" i="14" l="1" a="1"/>
  <c r="A193" i="14" s="1"/>
  <c r="B192" i="14"/>
  <c r="F192" i="14"/>
  <c r="C192" i="14"/>
  <c r="G192" i="14"/>
  <c r="D192" i="14"/>
  <c r="H192" i="14"/>
  <c r="E192" i="14"/>
  <c r="C195" i="13"/>
  <c r="D195" i="13"/>
  <c r="A196" i="13" a="1"/>
  <c r="A196" i="13" s="1"/>
  <c r="B195" i="13"/>
  <c r="A194" i="14" l="1" a="1"/>
  <c r="A194" i="14" s="1"/>
  <c r="D193" i="14"/>
  <c r="H193" i="14"/>
  <c r="C193" i="14"/>
  <c r="F193" i="14"/>
  <c r="E193" i="14"/>
  <c r="B193" i="14"/>
  <c r="G193" i="14"/>
  <c r="C196" i="13"/>
  <c r="D196" i="13"/>
  <c r="A197" i="13" a="1"/>
  <c r="A197" i="13" s="1"/>
  <c r="B196" i="13"/>
  <c r="A195" i="14" l="1" a="1"/>
  <c r="A195" i="14" s="1"/>
  <c r="E194" i="14"/>
  <c r="B194" i="14"/>
  <c r="G194" i="14"/>
  <c r="D194" i="14"/>
  <c r="C194" i="14"/>
  <c r="H194" i="14"/>
  <c r="F194" i="14"/>
  <c r="C197" i="13"/>
  <c r="D197" i="13"/>
  <c r="A198" i="13" a="1"/>
  <c r="A198" i="13" s="1"/>
  <c r="B197" i="13"/>
  <c r="A196" i="14" l="1" a="1"/>
  <c r="A196" i="14" s="1"/>
  <c r="B195" i="14"/>
  <c r="F195" i="14"/>
  <c r="E195" i="14"/>
  <c r="C195" i="14"/>
  <c r="H195" i="14"/>
  <c r="G195" i="14"/>
  <c r="D195" i="14"/>
  <c r="C198" i="13"/>
  <c r="D198" i="13"/>
  <c r="A199" i="13" a="1"/>
  <c r="A199" i="13" s="1"/>
  <c r="B198" i="13"/>
  <c r="A197" i="14" l="1" a="1"/>
  <c r="A197" i="14" s="1"/>
  <c r="C196" i="14"/>
  <c r="G196" i="14"/>
  <c r="D196" i="14"/>
  <c r="F196" i="14"/>
  <c r="E196" i="14"/>
  <c r="B196" i="14"/>
  <c r="H196" i="14"/>
  <c r="C199" i="13"/>
  <c r="D199" i="13"/>
  <c r="A200" i="13" a="1"/>
  <c r="A200" i="13" s="1"/>
  <c r="B199" i="13"/>
  <c r="A198" i="14" l="1" a="1"/>
  <c r="A198" i="14" s="1"/>
  <c r="D197" i="14"/>
  <c r="H197" i="14"/>
  <c r="B197" i="14"/>
  <c r="G197" i="14"/>
  <c r="E197" i="14"/>
  <c r="C197" i="14"/>
  <c r="F197" i="14"/>
  <c r="C200" i="13"/>
  <c r="D200" i="13"/>
  <c r="A201" i="13" a="1"/>
  <c r="A201" i="13" s="1"/>
  <c r="B200" i="13"/>
  <c r="A199" i="14" l="1" a="1"/>
  <c r="A199" i="14" s="1"/>
  <c r="E198" i="14"/>
  <c r="F198" i="14"/>
  <c r="C198" i="14"/>
  <c r="H198" i="14"/>
  <c r="B198" i="14"/>
  <c r="G198" i="14"/>
  <c r="D198" i="14"/>
  <c r="C201" i="13"/>
  <c r="D201" i="13"/>
  <c r="A202" i="13" a="1"/>
  <c r="A202" i="13" s="1"/>
  <c r="B201" i="13"/>
  <c r="A200" i="14" l="1" a="1"/>
  <c r="A200" i="14" s="1"/>
  <c r="B199" i="14"/>
  <c r="F199" i="14"/>
  <c r="D199" i="14"/>
  <c r="G199" i="14"/>
  <c r="E199" i="14"/>
  <c r="C199" i="14"/>
  <c r="H199" i="14"/>
  <c r="C202" i="13"/>
  <c r="D202" i="13"/>
  <c r="A203" i="13" a="1"/>
  <c r="A203" i="13" s="1"/>
  <c r="B202" i="13"/>
  <c r="A201" i="14" l="1" a="1"/>
  <c r="A201" i="14" s="1"/>
  <c r="C200" i="14"/>
  <c r="G200" i="14"/>
  <c r="B200" i="14"/>
  <c r="H200" i="14"/>
  <c r="E200" i="14"/>
  <c r="D200" i="14"/>
  <c r="F200" i="14"/>
  <c r="C203" i="13"/>
  <c r="D203" i="13"/>
  <c r="A204" i="13" a="1"/>
  <c r="A204" i="13" s="1"/>
  <c r="B203" i="13"/>
  <c r="A202" i="14" l="1" a="1"/>
  <c r="A202" i="14" s="1"/>
  <c r="D201" i="14"/>
  <c r="H201" i="14"/>
  <c r="F201" i="14"/>
  <c r="C201" i="14"/>
  <c r="B201" i="14"/>
  <c r="G201" i="14"/>
  <c r="E201" i="14"/>
  <c r="C204" i="13"/>
  <c r="D204" i="13"/>
  <c r="A205" i="13" a="1"/>
  <c r="A205" i="13" s="1"/>
  <c r="B204" i="13"/>
  <c r="A203" i="14" l="1" a="1"/>
  <c r="A203" i="14" s="1"/>
  <c r="E202" i="14"/>
  <c r="D202" i="14"/>
  <c r="B202" i="14"/>
  <c r="G202" i="14"/>
  <c r="F202" i="14"/>
  <c r="C202" i="14"/>
  <c r="H202" i="14"/>
  <c r="C205" i="13"/>
  <c r="D205" i="13"/>
  <c r="A206" i="13" a="1"/>
  <c r="A206" i="13" s="1"/>
  <c r="B205" i="13"/>
  <c r="A204" i="14" l="1" a="1"/>
  <c r="A204" i="14" s="1"/>
  <c r="B203" i="14"/>
  <c r="F203" i="14"/>
  <c r="C203" i="14"/>
  <c r="H203" i="14"/>
  <c r="E203" i="14"/>
  <c r="D203" i="14"/>
  <c r="G203" i="14"/>
  <c r="C206" i="13"/>
  <c r="D206" i="13"/>
  <c r="A207" i="13" a="1"/>
  <c r="A207" i="13" s="1"/>
  <c r="B206" i="13"/>
  <c r="A205" i="14" l="1" a="1"/>
  <c r="A205" i="14" s="1"/>
  <c r="C204" i="14"/>
  <c r="G204" i="14"/>
  <c r="F204" i="14"/>
  <c r="D204" i="14"/>
  <c r="B204" i="14"/>
  <c r="H204" i="14"/>
  <c r="E204" i="14"/>
  <c r="C207" i="13"/>
  <c r="D207" i="13"/>
  <c r="A208" i="13" a="1"/>
  <c r="A208" i="13" s="1"/>
  <c r="B207" i="13"/>
  <c r="A206" i="14" l="1" a="1"/>
  <c r="A206" i="14" s="1"/>
  <c r="D205" i="14"/>
  <c r="H205" i="14"/>
  <c r="E205" i="14"/>
  <c r="B205" i="14"/>
  <c r="G205" i="14"/>
  <c r="F205" i="14"/>
  <c r="C205" i="14"/>
  <c r="C208" i="13"/>
  <c r="D208" i="13"/>
  <c r="A209" i="13" a="1"/>
  <c r="A209" i="13" s="1"/>
  <c r="B208" i="13"/>
  <c r="A207" i="14" l="1" a="1"/>
  <c r="A207" i="14" s="1"/>
  <c r="E206" i="14"/>
  <c r="C206" i="14"/>
  <c r="H206" i="14"/>
  <c r="F206" i="14"/>
  <c r="D206" i="14"/>
  <c r="B206" i="14"/>
  <c r="G206" i="14"/>
  <c r="C209" i="13"/>
  <c r="D209" i="13"/>
  <c r="A210" i="13" a="1"/>
  <c r="A210" i="13" s="1"/>
  <c r="B209" i="13"/>
  <c r="A208" i="14" l="1" a="1"/>
  <c r="A208" i="14" s="1"/>
  <c r="B207" i="14"/>
  <c r="F207" i="14"/>
  <c r="G207" i="14"/>
  <c r="D207" i="14"/>
  <c r="C207" i="14"/>
  <c r="H207" i="14"/>
  <c r="E207" i="14"/>
  <c r="C210" i="13"/>
  <c r="D210" i="13"/>
  <c r="A211" i="13" a="1"/>
  <c r="A211" i="13" s="1"/>
  <c r="B210" i="13"/>
  <c r="A209" i="14" l="1" a="1"/>
  <c r="A209" i="14" s="1"/>
  <c r="C208" i="14"/>
  <c r="G208" i="14"/>
  <c r="E208" i="14"/>
  <c r="B208" i="14"/>
  <c r="H208" i="14"/>
  <c r="F208" i="14"/>
  <c r="D208" i="14"/>
  <c r="C211" i="13"/>
  <c r="D211" i="13"/>
  <c r="A212" i="13" a="1"/>
  <c r="A212" i="13" s="1"/>
  <c r="B211" i="13"/>
  <c r="A210" i="14" l="1" a="1"/>
  <c r="A210" i="14" s="1"/>
  <c r="D209" i="14"/>
  <c r="H209" i="14"/>
  <c r="C209" i="14"/>
  <c r="F209" i="14"/>
  <c r="E209" i="14"/>
  <c r="B209" i="14"/>
  <c r="G209" i="14"/>
  <c r="C212" i="13"/>
  <c r="D212" i="13"/>
  <c r="A213" i="13" a="1"/>
  <c r="A213" i="13" s="1"/>
  <c r="B212" i="13"/>
  <c r="A211" i="14" l="1" a="1"/>
  <c r="A211" i="14" s="1"/>
  <c r="E210" i="14"/>
  <c r="B210" i="14"/>
  <c r="G210" i="14"/>
  <c r="D210" i="14"/>
  <c r="C210" i="14"/>
  <c r="H210" i="14"/>
  <c r="F210" i="14"/>
  <c r="D213" i="13"/>
  <c r="C213" i="13"/>
  <c r="A214" i="13" a="1"/>
  <c r="A214" i="13" s="1"/>
  <c r="B213" i="13"/>
  <c r="A212" i="14" l="1" a="1"/>
  <c r="A212" i="14" s="1"/>
  <c r="B211" i="14"/>
  <c r="F211" i="14"/>
  <c r="E211" i="14"/>
  <c r="C211" i="14"/>
  <c r="H211" i="14"/>
  <c r="G211" i="14"/>
  <c r="D211" i="14"/>
  <c r="C214" i="13"/>
  <c r="D214" i="13"/>
  <c r="A215" i="13" a="1"/>
  <c r="A215" i="13" s="1"/>
  <c r="B214" i="13"/>
  <c r="A213" i="14" l="1" a="1"/>
  <c r="A213" i="14" s="1"/>
  <c r="C212" i="14"/>
  <c r="G212" i="14"/>
  <c r="D212" i="14"/>
  <c r="F212" i="14"/>
  <c r="E212" i="14"/>
  <c r="B212" i="14"/>
  <c r="H212" i="14"/>
  <c r="D215" i="13"/>
  <c r="C215" i="13"/>
  <c r="A216" i="13" a="1"/>
  <c r="A216" i="13" s="1"/>
  <c r="B215" i="13"/>
  <c r="A214" i="14" l="1" a="1"/>
  <c r="A214" i="14" s="1"/>
  <c r="D213" i="14"/>
  <c r="H213" i="14"/>
  <c r="B213" i="14"/>
  <c r="G213" i="14"/>
  <c r="E213" i="14"/>
  <c r="C213" i="14"/>
  <c r="F213" i="14"/>
  <c r="C216" i="13"/>
  <c r="D216" i="13"/>
  <c r="A217" i="13" a="1"/>
  <c r="A217" i="13" s="1"/>
  <c r="B216" i="13"/>
  <c r="A215" i="14" l="1" a="1"/>
  <c r="A215" i="14" s="1"/>
  <c r="E214" i="14"/>
  <c r="F214" i="14"/>
  <c r="C214" i="14"/>
  <c r="H214" i="14"/>
  <c r="B214" i="14"/>
  <c r="G214" i="14"/>
  <c r="D214" i="14"/>
  <c r="C217" i="13"/>
  <c r="D217" i="13"/>
  <c r="A218" i="13" a="1"/>
  <c r="A218" i="13" s="1"/>
  <c r="B217" i="13"/>
  <c r="A216" i="14" l="1" a="1"/>
  <c r="A216" i="14" s="1"/>
  <c r="B215" i="14"/>
  <c r="F215" i="14"/>
  <c r="D215" i="14"/>
  <c r="G215" i="14"/>
  <c r="E215" i="14"/>
  <c r="C215" i="14"/>
  <c r="H215" i="14"/>
  <c r="C218" i="13"/>
  <c r="D218" i="13"/>
  <c r="A219" i="13" a="1"/>
  <c r="A219" i="13" s="1"/>
  <c r="B218" i="13"/>
  <c r="A217" i="14" l="1" a="1"/>
  <c r="A217" i="14" s="1"/>
  <c r="C216" i="14"/>
  <c r="G216" i="14"/>
  <c r="B216" i="14"/>
  <c r="H216" i="14"/>
  <c r="E216" i="14"/>
  <c r="D216" i="14"/>
  <c r="F216" i="14"/>
  <c r="C219" i="13"/>
  <c r="D219" i="13"/>
  <c r="A220" i="13" a="1"/>
  <c r="A220" i="13" s="1"/>
  <c r="B219" i="13"/>
  <c r="A218" i="14" l="1" a="1"/>
  <c r="A218" i="14" s="1"/>
  <c r="D217" i="14"/>
  <c r="H217" i="14"/>
  <c r="F217" i="14"/>
  <c r="C217" i="14"/>
  <c r="B217" i="14"/>
  <c r="G217" i="14"/>
  <c r="E217" i="14"/>
  <c r="C220" i="13"/>
  <c r="D220" i="13"/>
  <c r="A221" i="13" a="1"/>
  <c r="A221" i="13" s="1"/>
  <c r="B220" i="13"/>
  <c r="A219" i="14" l="1" a="1"/>
  <c r="A219" i="14" s="1"/>
  <c r="E218" i="14"/>
  <c r="D218" i="14"/>
  <c r="B218" i="14"/>
  <c r="G218" i="14"/>
  <c r="F218" i="14"/>
  <c r="C218" i="14"/>
  <c r="H218" i="14"/>
  <c r="C221" i="13"/>
  <c r="D221" i="13"/>
  <c r="A222" i="13" a="1"/>
  <c r="A222" i="13" s="1"/>
  <c r="B221" i="13"/>
  <c r="A220" i="14" l="1" a="1"/>
  <c r="A220" i="14" s="1"/>
  <c r="B219" i="14"/>
  <c r="F219" i="14"/>
  <c r="C219" i="14"/>
  <c r="H219" i="14"/>
  <c r="E219" i="14"/>
  <c r="D219" i="14"/>
  <c r="G219" i="14"/>
  <c r="C222" i="13"/>
  <c r="D222" i="13"/>
  <c r="A223" i="13" a="1"/>
  <c r="A223" i="13" s="1"/>
  <c r="B222" i="13"/>
  <c r="A221" i="14" l="1" a="1"/>
  <c r="A221" i="14" s="1"/>
  <c r="C220" i="14"/>
  <c r="G220" i="14"/>
  <c r="F220" i="14"/>
  <c r="D220" i="14"/>
  <c r="B220" i="14"/>
  <c r="H220" i="14"/>
  <c r="E220" i="14"/>
  <c r="C223" i="13"/>
  <c r="D223" i="13"/>
  <c r="A224" i="13" a="1"/>
  <c r="A224" i="13" s="1"/>
  <c r="B223" i="13"/>
  <c r="A222" i="14" l="1" a="1"/>
  <c r="A222" i="14" s="1"/>
  <c r="D221" i="14"/>
  <c r="H221" i="14"/>
  <c r="E221" i="14"/>
  <c r="B221" i="14"/>
  <c r="G221" i="14"/>
  <c r="F221" i="14"/>
  <c r="C221" i="14"/>
  <c r="C224" i="13"/>
  <c r="D224" i="13"/>
  <c r="A225" i="13" a="1"/>
  <c r="A225" i="13" s="1"/>
  <c r="B224" i="13"/>
  <c r="A223" i="14" l="1" a="1"/>
  <c r="A223" i="14" s="1"/>
  <c r="E222" i="14"/>
  <c r="C222" i="14"/>
  <c r="H222" i="14"/>
  <c r="F222" i="14"/>
  <c r="D222" i="14"/>
  <c r="B222" i="14"/>
  <c r="G222" i="14"/>
  <c r="D225" i="13"/>
  <c r="C225" i="13"/>
  <c r="A226" i="13" a="1"/>
  <c r="A226" i="13" s="1"/>
  <c r="B225" i="13"/>
  <c r="A224" i="14" l="1" a="1"/>
  <c r="A224" i="14" s="1"/>
  <c r="B223" i="14"/>
  <c r="F223" i="14"/>
  <c r="G223" i="14"/>
  <c r="D223" i="14"/>
  <c r="C223" i="14"/>
  <c r="H223" i="14"/>
  <c r="E223" i="14"/>
  <c r="C226" i="13"/>
  <c r="D226" i="13"/>
  <c r="A227" i="13" a="1"/>
  <c r="A227" i="13" s="1"/>
  <c r="B226" i="13"/>
  <c r="A225" i="14" l="1" a="1"/>
  <c r="A225" i="14" s="1"/>
  <c r="C224" i="14"/>
  <c r="G224" i="14"/>
  <c r="E224" i="14"/>
  <c r="B224" i="14"/>
  <c r="H224" i="14"/>
  <c r="F224" i="14"/>
  <c r="D224" i="14"/>
  <c r="C227" i="13"/>
  <c r="D227" i="13"/>
  <c r="A228" i="13" a="1"/>
  <c r="A228" i="13" s="1"/>
  <c r="B227" i="13"/>
  <c r="A226" i="14" l="1" a="1"/>
  <c r="A226" i="14" s="1"/>
  <c r="D225" i="14"/>
  <c r="H225" i="14"/>
  <c r="C225" i="14"/>
  <c r="F225" i="14"/>
  <c r="E225" i="14"/>
  <c r="B225" i="14"/>
  <c r="G225" i="14"/>
  <c r="C228" i="13"/>
  <c r="D228" i="13"/>
  <c r="A229" i="13" a="1"/>
  <c r="A229" i="13" s="1"/>
  <c r="B228" i="13"/>
  <c r="A227" i="14" l="1" a="1"/>
  <c r="A227" i="14" s="1"/>
  <c r="E226" i="14"/>
  <c r="B226" i="14"/>
  <c r="G226" i="14"/>
  <c r="D226" i="14"/>
  <c r="C226" i="14"/>
  <c r="H226" i="14"/>
  <c r="F226" i="14"/>
  <c r="C229" i="13"/>
  <c r="D229" i="13"/>
  <c r="A230" i="13" a="1"/>
  <c r="A230" i="13" s="1"/>
  <c r="B229" i="13"/>
  <c r="A228" i="14" l="1" a="1"/>
  <c r="A228" i="14" s="1"/>
  <c r="B227" i="14"/>
  <c r="F227" i="14"/>
  <c r="E227" i="14"/>
  <c r="C227" i="14"/>
  <c r="H227" i="14"/>
  <c r="G227" i="14"/>
  <c r="D227" i="14"/>
  <c r="C230" i="13"/>
  <c r="D230" i="13"/>
  <c r="A231" i="13" a="1"/>
  <c r="A231" i="13" s="1"/>
  <c r="B230" i="13"/>
  <c r="A229" i="14" l="1" a="1"/>
  <c r="A229" i="14" s="1"/>
  <c r="C228" i="14"/>
  <c r="G228" i="14"/>
  <c r="D228" i="14"/>
  <c r="F228" i="14"/>
  <c r="E228" i="14"/>
  <c r="B228" i="14"/>
  <c r="H228" i="14"/>
  <c r="C231" i="13"/>
  <c r="D231" i="13"/>
  <c r="A232" i="13" a="1"/>
  <c r="A232" i="13" s="1"/>
  <c r="B231" i="13"/>
  <c r="A230" i="14" l="1" a="1"/>
  <c r="A230" i="14" s="1"/>
  <c r="D229" i="14"/>
  <c r="H229" i="14"/>
  <c r="B229" i="14"/>
  <c r="G229" i="14"/>
  <c r="E229" i="14"/>
  <c r="C229" i="14"/>
  <c r="F229" i="14"/>
  <c r="C232" i="13"/>
  <c r="E232" i="13"/>
  <c r="D232" i="13"/>
  <c r="F232" i="13"/>
  <c r="G232" i="13"/>
  <c r="H232" i="13"/>
  <c r="A233" i="13" a="1"/>
  <c r="A233" i="13" s="1"/>
  <c r="B232" i="13"/>
  <c r="A231" i="14" l="1" a="1"/>
  <c r="A231" i="14" s="1"/>
  <c r="E230" i="14"/>
  <c r="F230" i="14"/>
  <c r="C230" i="14"/>
  <c r="H230" i="14"/>
  <c r="B230" i="14"/>
  <c r="G230" i="14"/>
  <c r="D230" i="14"/>
  <c r="C233" i="13"/>
  <c r="D233" i="13"/>
  <c r="H233" i="13"/>
  <c r="E233" i="13"/>
  <c r="G233" i="13"/>
  <c r="F233" i="13"/>
  <c r="A234" i="13" a="1"/>
  <c r="A234" i="13" s="1"/>
  <c r="B233" i="13"/>
  <c r="A232" i="14" l="1" a="1"/>
  <c r="A232" i="14" s="1"/>
  <c r="B231" i="14"/>
  <c r="F231" i="14"/>
  <c r="D231" i="14"/>
  <c r="G231" i="14"/>
  <c r="E231" i="14"/>
  <c r="C231" i="14"/>
  <c r="H231" i="14"/>
  <c r="C234" i="13"/>
  <c r="G234" i="13"/>
  <c r="E234" i="13"/>
  <c r="F234" i="13"/>
  <c r="H234" i="13"/>
  <c r="D234" i="13"/>
  <c r="A235" i="13" a="1"/>
  <c r="A235" i="13" s="1"/>
  <c r="B234" i="13"/>
  <c r="A233" i="14" l="1" a="1"/>
  <c r="A233" i="14" s="1"/>
  <c r="C232" i="14"/>
  <c r="G232" i="14"/>
  <c r="B232" i="14"/>
  <c r="H232" i="14"/>
  <c r="E232" i="14"/>
  <c r="D232" i="14"/>
  <c r="F232" i="14"/>
  <c r="F235" i="13"/>
  <c r="C235" i="13"/>
  <c r="E235" i="13"/>
  <c r="H235" i="13"/>
  <c r="G235" i="13"/>
  <c r="D235" i="13"/>
  <c r="A236" i="13" a="1"/>
  <c r="A236" i="13" s="1"/>
  <c r="B235" i="13"/>
  <c r="A234" i="14" l="1" a="1"/>
  <c r="A234" i="14" s="1"/>
  <c r="D233" i="14"/>
  <c r="H233" i="14"/>
  <c r="F233" i="14"/>
  <c r="C233" i="14"/>
  <c r="B233" i="14"/>
  <c r="G233" i="14"/>
  <c r="E233" i="14"/>
  <c r="E236" i="13"/>
  <c r="C236" i="13"/>
  <c r="F236" i="13"/>
  <c r="G236" i="13"/>
  <c r="H236" i="13"/>
  <c r="D236" i="13"/>
  <c r="A237" i="13" a="1"/>
  <c r="A237" i="13" s="1"/>
  <c r="B236" i="13"/>
  <c r="A235" i="14" l="1" a="1"/>
  <c r="A235" i="14" s="1"/>
  <c r="E234" i="14"/>
  <c r="D234" i="14"/>
  <c r="B234" i="14"/>
  <c r="G234" i="14"/>
  <c r="F234" i="14"/>
  <c r="C234" i="14"/>
  <c r="H234" i="14"/>
  <c r="C237" i="13"/>
  <c r="D237" i="13"/>
  <c r="H237" i="13"/>
  <c r="F237" i="13"/>
  <c r="G237" i="13"/>
  <c r="E237" i="13"/>
  <c r="A238" i="13" a="1"/>
  <c r="A238" i="13" s="1"/>
  <c r="B237" i="13"/>
  <c r="A236" i="14" l="1" a="1"/>
  <c r="A236" i="14" s="1"/>
  <c r="B235" i="14"/>
  <c r="F235" i="14"/>
  <c r="C235" i="14"/>
  <c r="H235" i="14"/>
  <c r="E235" i="14"/>
  <c r="D235" i="14"/>
  <c r="G235" i="14"/>
  <c r="C238" i="13"/>
  <c r="G238" i="13"/>
  <c r="F238" i="13"/>
  <c r="D238" i="13"/>
  <c r="H238" i="13"/>
  <c r="E238" i="13"/>
  <c r="A239" i="13" a="1"/>
  <c r="A239" i="13" s="1"/>
  <c r="B238" i="13"/>
  <c r="A237" i="14" l="1" a="1"/>
  <c r="A237" i="14" s="1"/>
  <c r="C236" i="14"/>
  <c r="G236" i="14"/>
  <c r="F236" i="14"/>
  <c r="D236" i="14"/>
  <c r="B236" i="14"/>
  <c r="H236" i="14"/>
  <c r="E236" i="14"/>
  <c r="C239" i="13"/>
  <c r="F239" i="13"/>
  <c r="G239" i="13"/>
  <c r="H239" i="13"/>
  <c r="D239" i="13"/>
  <c r="E239" i="13"/>
  <c r="A240" i="13" a="1"/>
  <c r="A240" i="13" s="1"/>
  <c r="B239" i="13"/>
  <c r="A238" i="14" l="1" a="1"/>
  <c r="A238" i="14" s="1"/>
  <c r="D237" i="14"/>
  <c r="H237" i="14"/>
  <c r="E237" i="14"/>
  <c r="B237" i="14"/>
  <c r="G237" i="14"/>
  <c r="F237" i="14"/>
  <c r="C237" i="14"/>
  <c r="C240" i="13"/>
  <c r="E240" i="13"/>
  <c r="G240" i="13"/>
  <c r="D240" i="13"/>
  <c r="H240" i="13"/>
  <c r="F240" i="13"/>
  <c r="A241" i="13" a="1"/>
  <c r="A241" i="13" s="1"/>
  <c r="B240" i="13"/>
  <c r="A239" i="14" l="1" a="1"/>
  <c r="A239" i="14" s="1"/>
  <c r="E238" i="14"/>
  <c r="C238" i="14"/>
  <c r="H238" i="14"/>
  <c r="F238" i="14"/>
  <c r="D238" i="14"/>
  <c r="G238" i="14"/>
  <c r="B238" i="14"/>
  <c r="C241" i="13"/>
  <c r="D241" i="13"/>
  <c r="H241" i="13"/>
  <c r="G241" i="13"/>
  <c r="E241" i="13"/>
  <c r="F241" i="13"/>
  <c r="A242" i="13" a="1"/>
  <c r="A242" i="13" s="1"/>
  <c r="B241" i="13"/>
  <c r="A240" i="14" l="1" a="1"/>
  <c r="A240" i="14" s="1"/>
  <c r="B239" i="14"/>
  <c r="F239" i="14"/>
  <c r="G239" i="14"/>
  <c r="D239" i="14"/>
  <c r="C239" i="14"/>
  <c r="H239" i="14"/>
  <c r="E239" i="14"/>
  <c r="C242" i="13"/>
  <c r="G242" i="13"/>
  <c r="H242" i="13"/>
  <c r="E242" i="13"/>
  <c r="D242" i="13"/>
  <c r="F242" i="13"/>
  <c r="A243" i="13" a="1"/>
  <c r="A243" i="13" s="1"/>
  <c r="B242" i="13"/>
  <c r="A241" i="14" l="1" a="1"/>
  <c r="A241" i="14" s="1"/>
  <c r="C240" i="14"/>
  <c r="E240" i="14"/>
  <c r="B240" i="14"/>
  <c r="G240" i="14"/>
  <c r="F240" i="14"/>
  <c r="D240" i="14"/>
  <c r="H240" i="14"/>
  <c r="C243" i="13"/>
  <c r="F243" i="13"/>
  <c r="H243" i="13"/>
  <c r="D243" i="13"/>
  <c r="E243" i="13"/>
  <c r="G243" i="13"/>
  <c r="A244" i="13" a="1"/>
  <c r="A244" i="13" s="1"/>
  <c r="B243" i="13"/>
  <c r="A242" i="14" l="1" a="1"/>
  <c r="A242" i="14" s="1"/>
  <c r="B241" i="14"/>
  <c r="F241" i="14"/>
  <c r="D241" i="14"/>
  <c r="H241" i="14"/>
  <c r="C241" i="14"/>
  <c r="G241" i="14"/>
  <c r="E241" i="14"/>
  <c r="C244" i="13"/>
  <c r="E244" i="13"/>
  <c r="H244" i="13"/>
  <c r="F244" i="13"/>
  <c r="D244" i="13"/>
  <c r="G244" i="13"/>
  <c r="A245" i="13" a="1"/>
  <c r="A245" i="13" s="1"/>
  <c r="B244" i="13"/>
  <c r="A243" i="14" l="1" a="1"/>
  <c r="A243" i="14" s="1"/>
  <c r="C242" i="14"/>
  <c r="G242" i="14"/>
  <c r="E242" i="14"/>
  <c r="D242" i="14"/>
  <c r="H242" i="14"/>
  <c r="B242" i="14"/>
  <c r="F242" i="14"/>
  <c r="C245" i="13"/>
  <c r="D245" i="13"/>
  <c r="H245" i="13"/>
  <c r="E245" i="13"/>
  <c r="F245" i="13"/>
  <c r="G245" i="13"/>
  <c r="A246" i="13" a="1"/>
  <c r="A246" i="13" s="1"/>
  <c r="B245" i="13"/>
  <c r="A244" i="14" l="1" a="1"/>
  <c r="A244" i="14" s="1"/>
  <c r="D243" i="14"/>
  <c r="H243" i="14"/>
  <c r="B243" i="14"/>
  <c r="F243" i="14"/>
  <c r="E243" i="14"/>
  <c r="G243" i="14"/>
  <c r="C243" i="14"/>
  <c r="C246" i="13"/>
  <c r="G246" i="13"/>
  <c r="D246" i="13"/>
  <c r="F246" i="13"/>
  <c r="E246" i="13"/>
  <c r="H246" i="13"/>
  <c r="A247" i="13" a="1"/>
  <c r="A247" i="13" s="1"/>
  <c r="B246" i="13"/>
  <c r="A245" i="14" l="1" a="1"/>
  <c r="A245" i="14" s="1"/>
  <c r="E244" i="14"/>
  <c r="C244" i="14"/>
  <c r="G244" i="14"/>
  <c r="B244" i="14"/>
  <c r="F244" i="14"/>
  <c r="D244" i="14"/>
  <c r="H244" i="14"/>
  <c r="C247" i="13"/>
  <c r="F247" i="13"/>
  <c r="D247" i="13"/>
  <c r="E247" i="13"/>
  <c r="G247" i="13"/>
  <c r="H247" i="13"/>
  <c r="A248" i="13" a="1"/>
  <c r="A248" i="13" s="1"/>
  <c r="B247" i="13"/>
  <c r="A246" i="14" l="1" a="1"/>
  <c r="A246" i="14" s="1"/>
  <c r="B245" i="14"/>
  <c r="F245" i="14"/>
  <c r="D245" i="14"/>
  <c r="H245" i="14"/>
  <c r="C245" i="14"/>
  <c r="G245" i="14"/>
  <c r="E245" i="14"/>
  <c r="C248" i="13"/>
  <c r="E248" i="13"/>
  <c r="D248" i="13"/>
  <c r="G248" i="13"/>
  <c r="F248" i="13"/>
  <c r="H248" i="13"/>
  <c r="A249" i="13" a="1"/>
  <c r="A249" i="13" s="1"/>
  <c r="B248" i="13"/>
  <c r="A247" i="14" l="1" a="1"/>
  <c r="A247" i="14" s="1"/>
  <c r="C246" i="14"/>
  <c r="G246" i="14"/>
  <c r="E246" i="14"/>
  <c r="D246" i="14"/>
  <c r="H246" i="14"/>
  <c r="B246" i="14"/>
  <c r="F246" i="14"/>
  <c r="C249" i="13"/>
  <c r="D249" i="13"/>
  <c r="H249" i="13"/>
  <c r="E249" i="13"/>
  <c r="F249" i="13"/>
  <c r="G249" i="13"/>
  <c r="A250" i="13" a="1"/>
  <c r="A250" i="13" s="1"/>
  <c r="B249" i="13"/>
  <c r="A248" i="14" l="1" a="1"/>
  <c r="A248" i="14" s="1"/>
  <c r="D247" i="14"/>
  <c r="H247" i="14"/>
  <c r="B247" i="14"/>
  <c r="F247" i="14"/>
  <c r="E247" i="14"/>
  <c r="C247" i="14"/>
  <c r="G247" i="14"/>
  <c r="C250" i="13"/>
  <c r="G250" i="13"/>
  <c r="E250" i="13"/>
  <c r="H250" i="13"/>
  <c r="F250" i="13"/>
  <c r="D250" i="13"/>
  <c r="A251" i="13" a="1"/>
  <c r="A251" i="13" s="1"/>
  <c r="B250" i="13"/>
  <c r="A249" i="14" l="1" a="1"/>
  <c r="A249" i="14" s="1"/>
  <c r="E248" i="14"/>
  <c r="C248" i="14"/>
  <c r="G248" i="14"/>
  <c r="B248" i="14"/>
  <c r="F248" i="14"/>
  <c r="D248" i="14"/>
  <c r="H248" i="14"/>
  <c r="C251" i="13"/>
  <c r="F251" i="13"/>
  <c r="E251" i="13"/>
  <c r="G251" i="13"/>
  <c r="H251" i="13"/>
  <c r="D251" i="13"/>
  <c r="A252" i="13" a="1"/>
  <c r="A252" i="13" s="1"/>
  <c r="B251" i="13"/>
  <c r="A250" i="14" l="1" a="1"/>
  <c r="A250" i="14" s="1"/>
  <c r="B249" i="14"/>
  <c r="F249" i="14"/>
  <c r="D249" i="14"/>
  <c r="H249" i="14"/>
  <c r="C249" i="14"/>
  <c r="G249" i="14"/>
  <c r="E249" i="14"/>
  <c r="C252" i="13"/>
  <c r="E252" i="13"/>
  <c r="F252" i="13"/>
  <c r="H252" i="13"/>
  <c r="G252" i="13"/>
  <c r="D252" i="13"/>
  <c r="A253" i="13" a="1"/>
  <c r="A253" i="13" s="1"/>
  <c r="B252" i="13"/>
  <c r="A251" i="14" l="1" a="1"/>
  <c r="A251" i="14" s="1"/>
  <c r="C250" i="14"/>
  <c r="G250" i="14"/>
  <c r="E250" i="14"/>
  <c r="D250" i="14"/>
  <c r="H250" i="14"/>
  <c r="F250" i="14"/>
  <c r="B250" i="14"/>
  <c r="C253" i="13"/>
  <c r="D253" i="13"/>
  <c r="H253" i="13"/>
  <c r="F253" i="13"/>
  <c r="G253" i="13"/>
  <c r="E253" i="13"/>
  <c r="A254" i="13" a="1"/>
  <c r="A254" i="13" s="1"/>
  <c r="B253" i="13"/>
  <c r="A252" i="14" l="1" a="1"/>
  <c r="A252" i="14" s="1"/>
  <c r="D251" i="14"/>
  <c r="H251" i="14"/>
  <c r="B251" i="14"/>
  <c r="E251" i="14"/>
  <c r="C251" i="14"/>
  <c r="F251" i="14"/>
  <c r="G251" i="14"/>
  <c r="C254" i="13"/>
  <c r="G254" i="13"/>
  <c r="F254" i="13"/>
  <c r="H254" i="13"/>
  <c r="D254" i="13"/>
  <c r="E254" i="13"/>
  <c r="B254" i="13"/>
  <c r="A253" i="14" l="1" a="1"/>
  <c r="A253" i="14" s="1"/>
  <c r="E252" i="14"/>
  <c r="B252" i="14"/>
  <c r="F252" i="14"/>
  <c r="C252" i="14"/>
  <c r="D252" i="14"/>
  <c r="G252" i="14"/>
  <c r="H252" i="14"/>
  <c r="A254" i="14" l="1" a="1"/>
  <c r="A254" i="14" s="1"/>
  <c r="B253" i="14"/>
  <c r="F253" i="14"/>
  <c r="C253" i="14"/>
  <c r="G253" i="14"/>
  <c r="D253" i="14"/>
  <c r="E253" i="14"/>
  <c r="H253" i="14"/>
  <c r="C254" i="14" l="1"/>
  <c r="G254" i="14"/>
  <c r="D254" i="14"/>
  <c r="H254" i="14"/>
  <c r="E254" i="14"/>
  <c r="F254" i="14"/>
  <c r="B254" i="14"/>
  <c r="E43" i="14" l="1"/>
  <c r="E23" i="14"/>
  <c r="E65" i="14"/>
  <c r="E59" i="14"/>
  <c r="E38" i="14"/>
  <c r="E46" i="14"/>
  <c r="E92" i="14"/>
  <c r="E37" i="14"/>
  <c r="E24" i="14"/>
  <c r="E19" i="14"/>
  <c r="E68" i="14"/>
  <c r="E67" i="14"/>
  <c r="E30" i="14"/>
  <c r="E72" i="14"/>
  <c r="E83" i="14"/>
  <c r="E66" i="14"/>
  <c r="E64" i="14"/>
  <c r="E27" i="14"/>
  <c r="E91" i="14"/>
  <c r="E26" i="14"/>
  <c r="E45" i="14"/>
  <c r="E32" i="14"/>
  <c r="E82" i="14"/>
  <c r="E86" i="14"/>
  <c r="E69" i="14"/>
  <c r="E34" i="14"/>
  <c r="E20" i="14"/>
  <c r="E22" i="14"/>
  <c r="E44" i="14"/>
  <c r="E84" i="14"/>
  <c r="E13" i="14"/>
  <c r="E71" i="14"/>
  <c r="E87" i="14"/>
  <c r="E29" i="14"/>
  <c r="E11" i="14"/>
  <c r="E21" i="14"/>
  <c r="E25" i="14"/>
  <c r="E6" i="14"/>
  <c r="E39" i="14"/>
  <c r="E74" i="14"/>
  <c r="E28" i="14"/>
  <c r="E7" i="14"/>
  <c r="E18" i="14"/>
  <c r="E15" i="14"/>
  <c r="E90" i="14"/>
  <c r="E78" i="14" l="1"/>
  <c r="E75" i="14"/>
  <c r="E73" i="14"/>
  <c r="E88" i="14"/>
  <c r="E79" i="14"/>
  <c r="E49" i="14"/>
  <c r="E54" i="14"/>
  <c r="E63" i="14"/>
  <c r="E48" i="14"/>
  <c r="E42" i="14"/>
  <c r="E47" i="14"/>
  <c r="E89" i="14"/>
  <c r="E16" i="14"/>
  <c r="E60" i="14"/>
  <c r="E50" i="14"/>
  <c r="E12" i="14"/>
  <c r="E8" i="14"/>
  <c r="E33" i="14"/>
  <c r="E35" i="14" l="1"/>
  <c r="E81" i="14"/>
  <c r="E80" i="14"/>
  <c r="E85" i="14"/>
  <c r="E5" i="14"/>
  <c r="E58" i="14"/>
  <c r="E77" i="14"/>
  <c r="E76" i="14"/>
  <c r="E36" i="14"/>
  <c r="E62" i="14"/>
  <c r="E93" i="14"/>
  <c r="E55" i="14"/>
  <c r="E17" i="14"/>
  <c r="E51" i="14"/>
  <c r="E31" i="14"/>
  <c r="E94" i="14"/>
  <c r="E53" i="14"/>
  <c r="E57" i="14"/>
  <c r="E52" i="14"/>
  <c r="E10" i="14"/>
  <c r="E41" i="14"/>
  <c r="E61" i="14"/>
  <c r="E70" i="14"/>
  <c r="E9" i="14"/>
  <c r="E95" i="14"/>
  <c r="E40" i="14"/>
  <c r="E14" i="14"/>
  <c r="E56" i="14"/>
  <c r="H20" i="14"/>
  <c r="H10" i="14"/>
  <c r="H87" i="14"/>
  <c r="H74" i="14"/>
  <c r="H44" i="14"/>
  <c r="H37" i="14"/>
  <c r="H36" i="14"/>
  <c r="H42" i="14"/>
  <c r="H79" i="14"/>
  <c r="H89" i="14"/>
  <c r="H8" i="14"/>
  <c r="H27" i="14"/>
  <c r="H92" i="14"/>
  <c r="H9" i="14"/>
  <c r="H11" i="14"/>
  <c r="H17" i="14"/>
  <c r="H23" i="14"/>
  <c r="H7" i="14"/>
  <c r="H46" i="14"/>
  <c r="H54" i="14"/>
  <c r="H69" i="14"/>
  <c r="H88" i="14"/>
  <c r="H76" i="14"/>
  <c r="H84" i="14"/>
  <c r="H38" i="14"/>
  <c r="H43" i="14"/>
  <c r="H64" i="14"/>
  <c r="H16" i="14"/>
  <c r="H47" i="14"/>
  <c r="H91" i="14"/>
  <c r="H83" i="14"/>
  <c r="H90" i="14"/>
  <c r="H15" i="14"/>
  <c r="H49" i="14"/>
  <c r="H55" i="14"/>
  <c r="H59" i="14"/>
  <c r="H67" i="14"/>
  <c r="H73" i="14"/>
  <c r="H82" i="14"/>
  <c r="H95" i="14"/>
  <c r="H21" i="14"/>
  <c r="H6" i="14"/>
  <c r="H13" i="14"/>
  <c r="H52" i="14"/>
  <c r="H53" i="14"/>
  <c r="H41" i="14"/>
  <c r="H19" i="14"/>
  <c r="H86" i="14"/>
  <c r="H29" i="14"/>
  <c r="H5" i="14"/>
  <c r="H33" i="14"/>
  <c r="H30" i="14"/>
  <c r="H34" i="14"/>
  <c r="H40" i="14"/>
  <c r="H57" i="14"/>
  <c r="H70" i="14"/>
  <c r="H72" i="14"/>
  <c r="H78" i="14"/>
  <c r="H81" i="14"/>
  <c r="H32" i="14"/>
  <c r="H25" i="14"/>
  <c r="H77" i="14"/>
  <c r="H75" i="14"/>
  <c r="H12" i="14"/>
  <c r="H26" i="14"/>
  <c r="H18" i="14"/>
  <c r="H51" i="14"/>
  <c r="H62" i="14"/>
  <c r="H65" i="14"/>
  <c r="H31" i="14"/>
  <c r="H48" i="14"/>
  <c r="H14" i="14"/>
  <c r="H22" i="14"/>
  <c r="H71" i="14"/>
  <c r="H35" i="14"/>
  <c r="H56" i="14"/>
  <c r="H60" i="14"/>
  <c r="H63" i="14"/>
  <c r="H58" i="14"/>
  <c r="H93" i="14"/>
  <c r="H94" i="14"/>
  <c r="H85" i="14"/>
  <c r="H39" i="14"/>
  <c r="H45" i="14"/>
  <c r="H61" i="14"/>
  <c r="H66" i="14"/>
  <c r="H68" i="14"/>
  <c r="H80" i="14"/>
  <c r="H24" i="14"/>
  <c r="H28" i="14"/>
  <c r="H50" i="14"/>
  <c r="E34" i="13"/>
  <c r="G37" i="14" l="1"/>
  <c r="G11" i="14"/>
  <c r="G45" i="14"/>
  <c r="G30" i="14"/>
  <c r="G27" i="14"/>
  <c r="G23" i="14"/>
  <c r="G21" i="14"/>
  <c r="G7" i="14"/>
  <c r="G29" i="14"/>
  <c r="G86" i="14"/>
  <c r="G46" i="14"/>
  <c r="G18" i="14"/>
  <c r="G26" i="14"/>
  <c r="G20" i="14"/>
  <c r="G87" i="14"/>
  <c r="G66" i="14"/>
  <c r="G13" i="14"/>
  <c r="G82" i="14"/>
  <c r="G25" i="14"/>
  <c r="G6" i="14"/>
  <c r="G22" i="14"/>
  <c r="G44" i="14"/>
  <c r="G74" i="14"/>
  <c r="G24" i="14"/>
  <c r="G28" i="14"/>
  <c r="G32" i="14"/>
  <c r="G65" i="14"/>
  <c r="E37" i="13" l="1"/>
  <c r="G81" i="14" l="1"/>
  <c r="G62" i="14"/>
  <c r="G43" i="14" l="1"/>
  <c r="G53" i="14"/>
  <c r="H91" i="13" l="1"/>
  <c r="E83" i="13"/>
  <c r="G91" i="13" l="1"/>
  <c r="F93" i="13" l="1"/>
  <c r="G80" i="14" l="1"/>
  <c r="G78" i="14" l="1"/>
  <c r="G83" i="14"/>
  <c r="G84" i="14"/>
  <c r="G77" i="14"/>
  <c r="H158" i="13" l="1"/>
  <c r="G186" i="13" l="1"/>
  <c r="G158" i="13"/>
  <c r="H186" i="13" l="1"/>
  <c r="G75" i="14" l="1"/>
  <c r="G38" i="14"/>
  <c r="G35" i="14"/>
  <c r="G15" i="14"/>
  <c r="G72" i="14"/>
  <c r="G70" i="14"/>
  <c r="G10" i="14"/>
  <c r="G76" i="14"/>
  <c r="G5" i="14"/>
  <c r="G89" i="14"/>
  <c r="G31" i="14"/>
  <c r="G61" i="14"/>
  <c r="G69" i="14"/>
  <c r="G63" i="14"/>
  <c r="G54" i="14"/>
  <c r="G64" i="14"/>
  <c r="G68" i="14"/>
  <c r="G40" i="14"/>
  <c r="G85" i="14"/>
  <c r="G58" i="14"/>
  <c r="G91" i="14"/>
  <c r="G67" i="14"/>
  <c r="G19" i="14"/>
  <c r="G39" i="14"/>
  <c r="G8" i="14"/>
  <c r="G36" i="14"/>
  <c r="G57" i="14"/>
  <c r="G51" i="14"/>
  <c r="G95" i="14"/>
  <c r="G55" i="14"/>
  <c r="G71" i="14"/>
  <c r="G50" i="14"/>
  <c r="G41" i="14"/>
  <c r="G92" i="14"/>
  <c r="G12" i="14"/>
  <c r="G47" i="14"/>
  <c r="G88" i="14"/>
  <c r="G60" i="14"/>
  <c r="G94" i="14"/>
  <c r="G93" i="14"/>
  <c r="G59" i="14"/>
  <c r="G14" i="14"/>
  <c r="G90" i="14"/>
  <c r="G79" i="14"/>
  <c r="G16" i="14"/>
  <c r="G56" i="14"/>
  <c r="G33" i="14" l="1"/>
  <c r="G73" i="14"/>
  <c r="G9" i="14"/>
  <c r="G34" i="14"/>
  <c r="G49" i="14"/>
  <c r="G48" i="14"/>
  <c r="G17" i="14"/>
  <c r="G52" i="14"/>
  <c r="G42" i="14"/>
  <c r="F55" i="14" l="1"/>
  <c r="F49" i="14"/>
  <c r="F50" i="14"/>
  <c r="F22" i="14"/>
  <c r="F72" i="14"/>
  <c r="F10" i="14"/>
  <c r="F63" i="14"/>
  <c r="F69" i="14"/>
  <c r="F83" i="14"/>
  <c r="F93" i="14"/>
  <c r="F23" i="14"/>
  <c r="F6" i="14"/>
  <c r="F66" i="14"/>
  <c r="F52" i="14"/>
  <c r="F37" i="14"/>
  <c r="F27" i="14"/>
  <c r="F29" i="14"/>
  <c r="F36" i="14"/>
  <c r="F67" i="14"/>
  <c r="F91" i="14"/>
  <c r="F32" i="14"/>
  <c r="F68" i="14"/>
  <c r="F61" i="14"/>
  <c r="F79" i="14"/>
  <c r="F71" i="14"/>
  <c r="F74" i="14"/>
  <c r="F25" i="14"/>
  <c r="F7" i="14"/>
  <c r="F60" i="14"/>
  <c r="F40" i="14"/>
  <c r="F17" i="14"/>
  <c r="F92" i="14"/>
  <c r="F77" i="14"/>
  <c r="F59" i="14"/>
  <c r="F21" i="14"/>
  <c r="F89" i="14"/>
  <c r="F62" i="14"/>
  <c r="F84" i="14"/>
  <c r="F20" i="14"/>
  <c r="F38" i="14"/>
  <c r="F87" i="14"/>
  <c r="F45" i="14"/>
  <c r="F44" i="14"/>
  <c r="F46" i="14"/>
  <c r="F56" i="14"/>
  <c r="F76" i="14"/>
  <c r="F8" i="14"/>
  <c r="F42" i="14"/>
  <c r="F95" i="14"/>
  <c r="F26" i="14"/>
  <c r="F73" i="14"/>
  <c r="F18" i="14"/>
  <c r="F28" i="14"/>
  <c r="F35" i="14"/>
  <c r="F12" i="14"/>
  <c r="F70" i="14"/>
  <c r="F65" i="14"/>
  <c r="F51" i="14"/>
  <c r="F53" i="14"/>
  <c r="F94" i="14"/>
  <c r="F33" i="14"/>
  <c r="F54" i="14"/>
  <c r="F90" i="14"/>
  <c r="F14" i="14"/>
  <c r="F88" i="14"/>
  <c r="F39" i="14"/>
  <c r="F78" i="14"/>
  <c r="F24" i="14"/>
  <c r="F57" i="14"/>
  <c r="F9" i="14" l="1"/>
  <c r="F13" i="14"/>
  <c r="F75" i="14"/>
  <c r="F64" i="14"/>
  <c r="F41" i="14"/>
  <c r="F89" i="13"/>
  <c r="F130" i="13"/>
  <c r="F30" i="14"/>
  <c r="F47" i="14"/>
  <c r="F162" i="13"/>
  <c r="F170" i="13"/>
  <c r="F135" i="13"/>
  <c r="F123" i="13"/>
  <c r="F86" i="14"/>
  <c r="F19" i="14"/>
  <c r="F52" i="13"/>
  <c r="F161" i="13"/>
  <c r="F11" i="14"/>
  <c r="F182" i="13"/>
  <c r="F67" i="13"/>
  <c r="F61" i="13"/>
  <c r="F45" i="13"/>
  <c r="F27" i="13"/>
  <c r="F58" i="14"/>
  <c r="F34" i="14"/>
  <c r="F212" i="13"/>
  <c r="F51" i="13"/>
  <c r="F80" i="14"/>
  <c r="F72" i="13"/>
  <c r="F5" i="13"/>
  <c r="F15" i="14"/>
  <c r="F31" i="14"/>
  <c r="F81" i="14"/>
  <c r="F16" i="14"/>
  <c r="F85" i="14"/>
  <c r="F43" i="14"/>
  <c r="F176" i="13"/>
  <c r="F150" i="13"/>
  <c r="F56" i="13"/>
  <c r="F5" i="14"/>
  <c r="F82" i="14"/>
  <c r="F48" i="14"/>
  <c r="F187" i="13"/>
  <c r="F118" i="13"/>
  <c r="F136" i="13"/>
  <c r="F21" i="13"/>
  <c r="F189" i="13"/>
  <c r="F175" i="13"/>
  <c r="F229" i="13"/>
  <c r="F148" i="13"/>
  <c r="F96" i="13"/>
  <c r="F87" i="13"/>
  <c r="F54" i="13"/>
  <c r="F193" i="13"/>
  <c r="F36" i="13"/>
  <c r="F75" i="13"/>
  <c r="F199" i="13"/>
  <c r="F119" i="13"/>
  <c r="F109" i="13"/>
  <c r="F137" i="13"/>
  <c r="F44" i="13"/>
  <c r="F48" i="13"/>
  <c r="F221" i="13"/>
  <c r="F125" i="13"/>
  <c r="F144" i="13"/>
  <c r="F153" i="13"/>
  <c r="F159" i="13"/>
  <c r="F9" i="13"/>
  <c r="F179" i="13"/>
  <c r="F145" i="13"/>
  <c r="F26" i="13"/>
  <c r="F168" i="13"/>
  <c r="F86" i="13"/>
  <c r="F63" i="13"/>
  <c r="F78" i="13"/>
  <c r="F132" i="13"/>
  <c r="F210" i="13"/>
  <c r="F113" i="13"/>
  <c r="F223" i="13"/>
  <c r="F164" i="13"/>
  <c r="F131" i="13"/>
  <c r="F205" i="13"/>
  <c r="F92" i="13"/>
  <c r="F214" i="13"/>
  <c r="F139" i="13"/>
  <c r="F169" i="13"/>
  <c r="F138" i="13"/>
  <c r="F6" i="13"/>
  <c r="F114" i="13"/>
  <c r="F156" i="13"/>
  <c r="F62" i="13"/>
  <c r="F106" i="13"/>
  <c r="F11" i="13"/>
  <c r="F41" i="13"/>
  <c r="F66" i="13"/>
  <c r="F178" i="13"/>
  <c r="F213" i="13"/>
  <c r="F172" i="13"/>
  <c r="F35" i="13"/>
  <c r="F40" i="13"/>
  <c r="F50" i="13"/>
  <c r="F16" i="13"/>
  <c r="F58" i="13"/>
  <c r="F105" i="13"/>
  <c r="F177" i="13"/>
  <c r="F60" i="13"/>
  <c r="F88" i="13"/>
  <c r="F149" i="13"/>
  <c r="F59" i="13"/>
  <c r="F76" i="13"/>
  <c r="F141" i="13"/>
  <c r="F25" i="13"/>
  <c r="F146" i="13"/>
  <c r="F121" i="13"/>
  <c r="F204" i="13"/>
  <c r="F228" i="13"/>
  <c r="F85" i="13"/>
  <c r="F163" i="13"/>
  <c r="F10" i="13"/>
  <c r="F184" i="13"/>
  <c r="F201" i="13"/>
  <c r="F30" i="13"/>
  <c r="F7" i="13"/>
  <c r="F207" i="13"/>
  <c r="F112" i="13"/>
  <c r="F194" i="13"/>
  <c r="F32" i="13"/>
  <c r="F53" i="13"/>
  <c r="F98" i="13"/>
  <c r="F29" i="13"/>
  <c r="F124" i="13"/>
  <c r="F24" i="13"/>
  <c r="F226" i="13"/>
  <c r="F18" i="13"/>
  <c r="F14" i="13"/>
  <c r="F69" i="13"/>
  <c r="F209" i="13"/>
  <c r="F74" i="13"/>
  <c r="F82" i="13"/>
  <c r="F23" i="13"/>
  <c r="F80" i="13"/>
  <c r="F219" i="13"/>
  <c r="F134" i="13"/>
  <c r="F154" i="13"/>
  <c r="F103" i="13"/>
  <c r="F173" i="13"/>
  <c r="F155" i="13"/>
  <c r="F160" i="13"/>
  <c r="F181" i="13"/>
  <c r="F43" i="13"/>
  <c r="F33" i="13"/>
  <c r="F192" i="13"/>
  <c r="F191" i="13"/>
  <c r="F31" i="13"/>
  <c r="F147" i="13"/>
  <c r="F34" i="13"/>
  <c r="F12" i="13"/>
  <c r="F101" i="13"/>
  <c r="F38" i="13"/>
  <c r="F157" i="13"/>
  <c r="F217" i="13"/>
  <c r="F133" i="13"/>
  <c r="F216" i="13"/>
  <c r="F19" i="13"/>
  <c r="F197" i="13"/>
  <c r="F68" i="13"/>
  <c r="F99" i="13"/>
  <c r="F140" i="13"/>
  <c r="F77" i="13"/>
  <c r="F57" i="13"/>
  <c r="F39" i="13"/>
  <c r="F171" i="13"/>
  <c r="F90" i="13"/>
  <c r="F28" i="13"/>
  <c r="F95" i="13"/>
  <c r="F202" i="13"/>
  <c r="F200" i="13"/>
  <c r="F22" i="13"/>
  <c r="F120" i="13"/>
  <c r="F190" i="13"/>
  <c r="F73" i="13"/>
  <c r="F104" i="13"/>
  <c r="F110" i="13"/>
  <c r="F127" i="13"/>
  <c r="F100" i="13"/>
  <c r="F185" i="13"/>
  <c r="F79" i="13"/>
  <c r="F117" i="13"/>
  <c r="F46" i="13"/>
  <c r="F70" i="13"/>
  <c r="F97" i="13"/>
  <c r="F225" i="13"/>
  <c r="F183" i="13"/>
  <c r="F206" i="13"/>
  <c r="F167" i="13"/>
  <c r="F166" i="13"/>
  <c r="F203" i="13"/>
  <c r="F15" i="13"/>
  <c r="F231" i="13"/>
  <c r="F211" i="13"/>
  <c r="F20" i="13"/>
  <c r="F116" i="13"/>
  <c r="F13" i="13"/>
  <c r="F222" i="13"/>
  <c r="F42" i="13"/>
  <c r="F94" i="13"/>
  <c r="F165" i="13"/>
  <c r="F151" i="13"/>
  <c r="F17" i="13"/>
  <c r="F115" i="13"/>
  <c r="F47" i="13"/>
  <c r="F230" i="13"/>
  <c r="F224" i="13"/>
  <c r="F49" i="13"/>
  <c r="F55" i="13"/>
  <c r="F152" i="13"/>
  <c r="F208" i="13"/>
  <c r="F84" i="13"/>
  <c r="F102" i="13"/>
  <c r="F188" i="13"/>
  <c r="F215" i="13"/>
  <c r="F218" i="13"/>
  <c r="F81" i="13"/>
  <c r="F195" i="13"/>
  <c r="F122" i="13"/>
  <c r="F198" i="13"/>
  <c r="F126" i="13"/>
  <c r="F129" i="13"/>
  <c r="F143" i="13"/>
  <c r="F107" i="13"/>
  <c r="F108" i="13" l="1"/>
  <c r="F174" i="13"/>
  <c r="F227" i="13"/>
  <c r="F64" i="13"/>
  <c r="F65" i="13"/>
  <c r="F71" i="13"/>
  <c r="F142" i="13"/>
  <c r="F128" i="13"/>
  <c r="F83" i="13"/>
  <c r="F37" i="13"/>
  <c r="F220" i="13"/>
  <c r="F111" i="13"/>
  <c r="F196" i="13"/>
  <c r="F180" i="13"/>
  <c r="H83" i="13" l="1"/>
  <c r="H37" i="13"/>
  <c r="H184" i="13" l="1"/>
  <c r="E213" i="13"/>
  <c r="E181" i="13"/>
  <c r="H94" i="13"/>
  <c r="E189" i="13"/>
  <c r="H148" i="13"/>
  <c r="H216" i="13"/>
  <c r="E77" i="13"/>
  <c r="H175" i="13"/>
  <c r="H182" i="13"/>
  <c r="H5" i="13"/>
  <c r="E99" i="13"/>
  <c r="E128" i="13"/>
  <c r="E170" i="13"/>
  <c r="E56" i="13"/>
  <c r="E204" i="13"/>
  <c r="E121" i="13"/>
  <c r="E184" i="13"/>
  <c r="E19" i="13"/>
  <c r="E89" i="13"/>
  <c r="E24" i="13"/>
  <c r="E216" i="13"/>
  <c r="E86" i="13"/>
  <c r="H211" i="13"/>
  <c r="E175" i="13"/>
  <c r="H95" i="13"/>
  <c r="H203" i="13"/>
  <c r="H154" i="13"/>
  <c r="E212" i="13"/>
  <c r="E218" i="13"/>
  <c r="E197" i="13"/>
  <c r="H166" i="13"/>
  <c r="H27" i="13"/>
  <c r="E140" i="13"/>
  <c r="H208" i="13"/>
  <c r="E66" i="13"/>
  <c r="H111" i="13"/>
  <c r="E62" i="13"/>
  <c r="E87" i="13"/>
  <c r="H198" i="13"/>
  <c r="H79" i="13"/>
  <c r="H224" i="13"/>
  <c r="H172" i="13"/>
  <c r="E109" i="13"/>
  <c r="H185" i="13"/>
  <c r="H58" i="13"/>
  <c r="E156" i="13"/>
  <c r="E124" i="13"/>
  <c r="H107" i="13"/>
  <c r="H222" i="13"/>
  <c r="E163" i="13"/>
  <c r="H160" i="13"/>
  <c r="E207" i="13"/>
  <c r="E104" i="13"/>
  <c r="E98" i="13"/>
  <c r="E219" i="13"/>
  <c r="E177" i="13"/>
  <c r="E123" i="13"/>
  <c r="E18" i="13"/>
  <c r="E114" i="13"/>
  <c r="E117" i="13"/>
  <c r="H130" i="13"/>
  <c r="H120" i="13"/>
  <c r="E36" i="13"/>
  <c r="H106" i="13"/>
  <c r="H14" i="13"/>
  <c r="H179" i="13"/>
  <c r="E149" i="13"/>
  <c r="E75" i="13"/>
  <c r="H15" i="13"/>
  <c r="E30" i="13"/>
  <c r="H200" i="13"/>
  <c r="E68" i="13"/>
  <c r="E134" i="13"/>
  <c r="E35" i="13"/>
  <c r="E41" i="13"/>
  <c r="H177" i="13"/>
  <c r="E97" i="13"/>
  <c r="H50" i="13"/>
  <c r="H16" i="13"/>
  <c r="H123" i="13"/>
  <c r="H174" i="13"/>
  <c r="E144" i="13"/>
  <c r="E118" i="13"/>
  <c r="H89" i="13"/>
  <c r="H13" i="13"/>
  <c r="H90" i="13"/>
  <c r="E201" i="13"/>
  <c r="E105" i="13"/>
  <c r="E210" i="13"/>
  <c r="E147" i="13"/>
  <c r="H157" i="13"/>
  <c r="E141" i="13"/>
  <c r="H70" i="13"/>
  <c r="E211" i="13"/>
  <c r="E78" i="13"/>
  <c r="E31" i="13"/>
  <c r="E154" i="13"/>
  <c r="E46" i="13"/>
  <c r="H228" i="13"/>
  <c r="H206" i="13"/>
  <c r="H218" i="13"/>
  <c r="H197" i="13"/>
  <c r="E74" i="13"/>
  <c r="E203" i="13"/>
  <c r="H119" i="13"/>
  <c r="E10" i="13"/>
  <c r="E129" i="13"/>
  <c r="E166" i="13"/>
  <c r="E54" i="13"/>
  <c r="E27" i="13"/>
  <c r="H140" i="13"/>
  <c r="H96" i="13"/>
  <c r="E111" i="13"/>
  <c r="H226" i="13"/>
  <c r="E229" i="13"/>
  <c r="E40" i="13"/>
  <c r="H117" i="13"/>
  <c r="E130" i="13"/>
  <c r="E120" i="13"/>
  <c r="H122" i="13"/>
  <c r="E161" i="13"/>
  <c r="E131" i="13"/>
  <c r="E11" i="13"/>
  <c r="H210" i="13"/>
  <c r="E157" i="13"/>
  <c r="E133" i="13"/>
  <c r="E151" i="13"/>
  <c r="H141" i="13"/>
  <c r="H116" i="13"/>
  <c r="E119" i="13"/>
  <c r="E59" i="13"/>
  <c r="E5" i="13"/>
  <c r="H230" i="13"/>
  <c r="E153" i="13"/>
  <c r="H202" i="13"/>
  <c r="H214" i="13"/>
  <c r="E81" i="13"/>
  <c r="E137" i="13"/>
  <c r="H128" i="13"/>
  <c r="E190" i="13"/>
  <c r="H132" i="13"/>
  <c r="E194" i="13"/>
  <c r="E146" i="13"/>
  <c r="E55" i="13"/>
  <c r="H205" i="13"/>
  <c r="E50" i="13"/>
  <c r="E12" i="13"/>
  <c r="H7" i="13"/>
  <c r="H196" i="13"/>
  <c r="E65" i="13"/>
  <c r="H23" i="13"/>
  <c r="E20" i="13"/>
  <c r="E14" i="13"/>
  <c r="H168" i="13"/>
  <c r="H22" i="13"/>
  <c r="E125" i="13"/>
  <c r="H9" i="13"/>
  <c r="H35" i="13"/>
  <c r="H43" i="13"/>
  <c r="E15" i="13"/>
  <c r="H85" i="13"/>
  <c r="H191" i="13"/>
  <c r="H42" i="13"/>
  <c r="H53" i="13"/>
  <c r="E122" i="13"/>
  <c r="H223" i="13"/>
  <c r="H204" i="13"/>
  <c r="H11" i="13"/>
  <c r="H121" i="13"/>
  <c r="H220" i="13"/>
  <c r="E187" i="13"/>
  <c r="E185" i="13"/>
  <c r="E103" i="13"/>
  <c r="H156" i="13"/>
  <c r="H127" i="13"/>
  <c r="E217" i="13"/>
  <c r="E33" i="13"/>
  <c r="H114" i="13"/>
  <c r="E191" i="13"/>
  <c r="H164" i="13"/>
  <c r="H109" i="13"/>
  <c r="E60" i="13"/>
  <c r="E23" i="13"/>
  <c r="E9" i="13"/>
  <c r="H108" i="13"/>
  <c r="H219" i="13"/>
  <c r="H18" i="13"/>
  <c r="E32" i="13"/>
  <c r="E71" i="13"/>
  <c r="E196" i="13"/>
  <c r="E58" i="13"/>
  <c r="E222" i="13"/>
  <c r="E48" i="13"/>
  <c r="H125" i="13"/>
  <c r="E26" i="13"/>
  <c r="E160" i="13"/>
  <c r="E51" i="13"/>
  <c r="H145" i="13"/>
  <c r="H194" i="13"/>
  <c r="H87" i="13"/>
  <c r="E100" i="13"/>
  <c r="H133" i="13"/>
  <c r="E110" i="13"/>
  <c r="H151" i="13"/>
  <c r="E116" i="13"/>
  <c r="H86" i="13"/>
  <c r="H193" i="13"/>
  <c r="H112" i="13"/>
  <c r="H34" i="13"/>
  <c r="E95" i="13"/>
  <c r="H59" i="13"/>
  <c r="H188" i="13"/>
  <c r="H153" i="13"/>
  <c r="E202" i="13"/>
  <c r="H81" i="13"/>
  <c r="E61" i="13"/>
  <c r="E208" i="13"/>
  <c r="E80" i="13"/>
  <c r="E162" i="13"/>
  <c r="E42" i="13"/>
  <c r="E53" i="13"/>
  <c r="E57" i="13"/>
  <c r="E165" i="13"/>
  <c r="E82" i="13"/>
  <c r="E220" i="13"/>
  <c r="E91" i="13"/>
  <c r="H147" i="13"/>
  <c r="H118" i="13"/>
  <c r="H100" i="13"/>
  <c r="E25" i="13"/>
  <c r="H105" i="13"/>
  <c r="H78" i="13"/>
  <c r="E193" i="13"/>
  <c r="E143" i="13"/>
  <c r="E112" i="13"/>
  <c r="G34" i="13"/>
  <c r="H74" i="13"/>
  <c r="E21" i="13"/>
  <c r="H10" i="13"/>
  <c r="E206" i="13"/>
  <c r="H129" i="13"/>
  <c r="E188" i="13"/>
  <c r="E135" i="13"/>
  <c r="E102" i="13"/>
  <c r="E96" i="13"/>
  <c r="E158" i="13"/>
  <c r="H170" i="13"/>
  <c r="E150" i="13"/>
  <c r="H229" i="13"/>
  <c r="H209" i="13"/>
  <c r="H225" i="13"/>
  <c r="H97" i="13"/>
  <c r="E52" i="13"/>
  <c r="E28" i="13"/>
  <c r="E200" i="13"/>
  <c r="H101" i="13"/>
  <c r="H215" i="13"/>
  <c r="H103" i="13"/>
  <c r="E16" i="13"/>
  <c r="E139" i="13"/>
  <c r="E136" i="13"/>
  <c r="H183" i="13"/>
  <c r="E64" i="13"/>
  <c r="E72" i="13"/>
  <c r="E108" i="13"/>
  <c r="H6" i="13"/>
  <c r="E145" i="13"/>
  <c r="H155" i="13"/>
  <c r="E88" i="13"/>
  <c r="E221" i="13"/>
  <c r="H92" i="13"/>
  <c r="E178" i="13"/>
  <c r="E113" i="13"/>
  <c r="H207" i="13"/>
  <c r="E85" i="13"/>
  <c r="E198" i="13"/>
  <c r="E115" i="13"/>
  <c r="E138" i="13"/>
  <c r="E7" i="13"/>
  <c r="E101" i="13"/>
  <c r="H231" i="13"/>
  <c r="E43" i="13"/>
  <c r="E6" i="13"/>
  <c r="H73" i="13"/>
  <c r="E49" i="13"/>
  <c r="E79" i="13"/>
  <c r="E224" i="13"/>
  <c r="E172" i="13"/>
  <c r="E168" i="13"/>
  <c r="H84" i="13"/>
  <c r="E17" i="13"/>
  <c r="E173" i="13"/>
  <c r="H45" i="13"/>
  <c r="E205" i="13"/>
  <c r="H12" i="13"/>
  <c r="E69" i="13"/>
  <c r="E230" i="13"/>
  <c r="E214" i="13"/>
  <c r="H135" i="13"/>
  <c r="H137" i="13"/>
  <c r="H102" i="13"/>
  <c r="E180" i="13"/>
  <c r="E199" i="13"/>
  <c r="G37" i="13"/>
  <c r="H150" i="13"/>
  <c r="H190" i="13"/>
  <c r="H67" i="13"/>
  <c r="H221" i="13"/>
  <c r="E92" i="13"/>
  <c r="E106" i="13"/>
  <c r="E223" i="13"/>
  <c r="E47" i="13"/>
  <c r="E192" i="13"/>
  <c r="E29" i="13"/>
  <c r="H110" i="13"/>
  <c r="E13" i="13"/>
  <c r="E94" i="13"/>
  <c r="E90" i="13"/>
  <c r="E148" i="13"/>
  <c r="E70" i="13"/>
  <c r="E167" i="13"/>
  <c r="E182" i="13"/>
  <c r="E228" i="13"/>
  <c r="H61" i="13"/>
  <c r="E169" i="13"/>
  <c r="E195" i="13"/>
  <c r="E226" i="13"/>
  <c r="H162" i="13"/>
  <c r="E63" i="13"/>
  <c r="E152" i="13"/>
  <c r="E227" i="13"/>
  <c r="H32" i="13"/>
  <c r="E45" i="13"/>
  <c r="E164" i="13"/>
  <c r="H115" i="13"/>
  <c r="H144" i="13"/>
  <c r="H187" i="13"/>
  <c r="H178" i="13"/>
  <c r="E127" i="13"/>
  <c r="H48" i="13"/>
  <c r="H113" i="13"/>
  <c r="H217" i="13"/>
  <c r="H134" i="13"/>
  <c r="E179" i="13"/>
  <c r="H176" i="13"/>
  <c r="E231" i="13"/>
  <c r="E142" i="13"/>
  <c r="H33" i="13"/>
  <c r="E84" i="13"/>
  <c r="E126" i="13"/>
  <c r="H17" i="13"/>
  <c r="E73" i="13"/>
  <c r="H30" i="13"/>
  <c r="E171" i="13"/>
  <c r="H93" i="13"/>
  <c r="E174" i="13"/>
  <c r="E38" i="13"/>
  <c r="E67" i="13"/>
  <c r="H161" i="13"/>
  <c r="E186" i="13"/>
  <c r="H82" i="13"/>
  <c r="E44" i="13"/>
  <c r="H20" i="13"/>
  <c r="H136" i="13"/>
  <c r="E183" i="13"/>
  <c r="E39" i="13"/>
  <c r="E225" i="13"/>
  <c r="E215" i="13"/>
  <c r="E107" i="13"/>
  <c r="E159" i="13"/>
  <c r="E76" i="13"/>
  <c r="E176" i="13"/>
  <c r="H126" i="13"/>
  <c r="E93" i="13"/>
  <c r="E155" i="13"/>
  <c r="E132" i="13"/>
  <c r="H65" i="13"/>
  <c r="E22" i="13"/>
  <c r="H98" i="13"/>
  <c r="H227" i="13"/>
  <c r="E209" i="13"/>
  <c r="G83" i="13"/>
  <c r="G55" i="13" l="1"/>
  <c r="H171" i="13"/>
  <c r="G69" i="13"/>
  <c r="G105" i="13"/>
  <c r="G153" i="13"/>
  <c r="G176" i="13"/>
  <c r="G84" i="13"/>
  <c r="G207" i="13"/>
  <c r="H173" i="13"/>
  <c r="G183" i="13"/>
  <c r="G101" i="13"/>
  <c r="G138" i="13"/>
  <c r="G209" i="13"/>
  <c r="G170" i="13"/>
  <c r="G129" i="13"/>
  <c r="G74" i="13"/>
  <c r="G100" i="13"/>
  <c r="G147" i="13"/>
  <c r="G169" i="13"/>
  <c r="H55" i="13"/>
  <c r="H62" i="13"/>
  <c r="H38" i="13"/>
  <c r="G98" i="13"/>
  <c r="G65" i="13"/>
  <c r="H72" i="13"/>
  <c r="G82" i="13"/>
  <c r="G131" i="13"/>
  <c r="H57" i="13"/>
  <c r="G30" i="13"/>
  <c r="G134" i="13"/>
  <c r="G76" i="13"/>
  <c r="G68" i="13"/>
  <c r="G48" i="13"/>
  <c r="G60" i="13"/>
  <c r="H138" i="13"/>
  <c r="G199" i="13"/>
  <c r="G110" i="13"/>
  <c r="G137" i="13"/>
  <c r="G135" i="13"/>
  <c r="H24" i="13"/>
  <c r="G157" i="13"/>
  <c r="G19" i="13"/>
  <c r="G123" i="13"/>
  <c r="G179" i="13"/>
  <c r="G124" i="13"/>
  <c r="G106" i="13"/>
  <c r="H49" i="13"/>
  <c r="G39" i="13"/>
  <c r="G185" i="13"/>
  <c r="G224" i="13"/>
  <c r="G198" i="13"/>
  <c r="G208" i="13"/>
  <c r="G166" i="13"/>
  <c r="G95" i="13"/>
  <c r="G211" i="13"/>
  <c r="H201" i="13"/>
  <c r="H66" i="13"/>
  <c r="G188" i="13"/>
  <c r="G59" i="13"/>
  <c r="G193" i="13"/>
  <c r="G25" i="13"/>
  <c r="G125" i="13"/>
  <c r="G219" i="13"/>
  <c r="G109" i="13"/>
  <c r="G114" i="13"/>
  <c r="H139" i="13"/>
  <c r="G156" i="13"/>
  <c r="G121" i="13"/>
  <c r="G204" i="13"/>
  <c r="G53" i="13"/>
  <c r="G49" i="13"/>
  <c r="H39" i="13"/>
  <c r="G43" i="13"/>
  <c r="G23" i="13"/>
  <c r="G7" i="13"/>
  <c r="G230" i="13"/>
  <c r="G66" i="13"/>
  <c r="G140" i="13"/>
  <c r="G119" i="13"/>
  <c r="H146" i="13"/>
  <c r="G72" i="13"/>
  <c r="H47" i="13"/>
  <c r="G155" i="13"/>
  <c r="H76" i="13"/>
  <c r="H68" i="13"/>
  <c r="H60" i="13"/>
  <c r="G97" i="13"/>
  <c r="H213" i="13"/>
  <c r="G146" i="13"/>
  <c r="G173" i="13"/>
  <c r="G41" i="13"/>
  <c r="G113" i="13"/>
  <c r="H44" i="13"/>
  <c r="G187" i="13"/>
  <c r="G162" i="13"/>
  <c r="G189" i="13"/>
  <c r="G213" i="13"/>
  <c r="H169" i="13"/>
  <c r="G228" i="13"/>
  <c r="G70" i="13"/>
  <c r="G180" i="13"/>
  <c r="G46" i="13"/>
  <c r="G86" i="13"/>
  <c r="H19" i="13"/>
  <c r="G175" i="13"/>
  <c r="G192" i="13"/>
  <c r="G87" i="13"/>
  <c r="G64" i="13"/>
  <c r="G18" i="13"/>
  <c r="G164" i="13"/>
  <c r="H124" i="13"/>
  <c r="G42" i="13"/>
  <c r="G149" i="13"/>
  <c r="G71" i="13"/>
  <c r="G205" i="13"/>
  <c r="G214" i="13"/>
  <c r="H31" i="13"/>
  <c r="G122" i="13"/>
  <c r="G117" i="13"/>
  <c r="G167" i="13"/>
  <c r="H192" i="13"/>
  <c r="H25" i="13"/>
  <c r="G45" i="13"/>
  <c r="G73" i="13"/>
  <c r="G231" i="13"/>
  <c r="G165" i="13"/>
  <c r="G57" i="13"/>
  <c r="G92" i="13"/>
  <c r="H41" i="13"/>
  <c r="H159" i="13"/>
  <c r="G215" i="13"/>
  <c r="G80" i="13"/>
  <c r="G78" i="13"/>
  <c r="H189" i="13"/>
  <c r="G195" i="13"/>
  <c r="H152" i="13"/>
  <c r="G126" i="13"/>
  <c r="G47" i="13"/>
  <c r="G144" i="13"/>
  <c r="G32" i="13"/>
  <c r="G61" i="13"/>
  <c r="G99" i="13"/>
  <c r="G221" i="13"/>
  <c r="G150" i="13"/>
  <c r="G16" i="13"/>
  <c r="G50" i="13"/>
  <c r="G177" i="13"/>
  <c r="G104" i="13"/>
  <c r="G200" i="13"/>
  <c r="G14" i="13"/>
  <c r="G139" i="13"/>
  <c r="G51" i="13"/>
  <c r="G26" i="13"/>
  <c r="G222" i="13"/>
  <c r="G58" i="13"/>
  <c r="G172" i="13"/>
  <c r="G27" i="13"/>
  <c r="H54" i="13"/>
  <c r="G203" i="13"/>
  <c r="H88" i="13"/>
  <c r="G5" i="13"/>
  <c r="H167" i="13"/>
  <c r="G21" i="13"/>
  <c r="G112" i="13"/>
  <c r="G24" i="13"/>
  <c r="G133" i="13"/>
  <c r="G216" i="13"/>
  <c r="G148" i="13"/>
  <c r="G94" i="13"/>
  <c r="G29" i="13"/>
  <c r="G184" i="13"/>
  <c r="G194" i="13"/>
  <c r="H142" i="13"/>
  <c r="G163" i="13"/>
  <c r="G127" i="13"/>
  <c r="G220" i="13"/>
  <c r="G223" i="13"/>
  <c r="G191" i="13"/>
  <c r="G75" i="13"/>
  <c r="G22" i="13"/>
  <c r="G196" i="13"/>
  <c r="G56" i="13"/>
  <c r="H180" i="13"/>
  <c r="H46" i="13"/>
  <c r="G77" i="13"/>
  <c r="G116" i="13"/>
  <c r="G141" i="13"/>
  <c r="G88" i="13"/>
  <c r="G226" i="13"/>
  <c r="G96" i="13"/>
  <c r="G212" i="13"/>
  <c r="G90" i="13"/>
  <c r="G13" i="13"/>
  <c r="G89" i="13"/>
  <c r="G52" i="13"/>
  <c r="G152" i="13"/>
  <c r="G44" i="13"/>
  <c r="G229" i="13"/>
  <c r="H28" i="13"/>
  <c r="G171" i="13"/>
  <c r="H165" i="13"/>
  <c r="G217" i="13"/>
  <c r="G178" i="13"/>
  <c r="G115" i="13"/>
  <c r="G102" i="13"/>
  <c r="G218" i="13"/>
  <c r="H21" i="13"/>
  <c r="G174" i="13"/>
  <c r="H64" i="13"/>
  <c r="H163" i="13"/>
  <c r="G15" i="13"/>
  <c r="H75" i="13"/>
  <c r="G79" i="13"/>
  <c r="G31" i="13"/>
  <c r="H77" i="13"/>
  <c r="G63" i="13"/>
  <c r="G12" i="13"/>
  <c r="G28" i="13"/>
  <c r="G62" i="13"/>
  <c r="G38" i="13"/>
  <c r="H131" i="13"/>
  <c r="G6" i="13"/>
  <c r="G103" i="13"/>
  <c r="G225" i="13"/>
  <c r="H199" i="13"/>
  <c r="H99" i="13"/>
  <c r="G10" i="13"/>
  <c r="H181" i="13"/>
  <c r="G118" i="13"/>
  <c r="G81" i="13"/>
  <c r="H52" i="13"/>
  <c r="G227" i="13"/>
  <c r="G136" i="13"/>
  <c r="G20" i="13"/>
  <c r="G161" i="13"/>
  <c r="G93" i="13"/>
  <c r="G17" i="13"/>
  <c r="G33" i="13"/>
  <c r="G159" i="13"/>
  <c r="H69" i="13"/>
  <c r="H80" i="13"/>
  <c r="G181" i="13"/>
  <c r="G67" i="13"/>
  <c r="G190" i="13"/>
  <c r="H195" i="13"/>
  <c r="G197" i="13"/>
  <c r="G206" i="13"/>
  <c r="G142" i="13"/>
  <c r="G120" i="13"/>
  <c r="G130" i="13"/>
  <c r="H149" i="13"/>
  <c r="G160" i="13"/>
  <c r="G107" i="13"/>
  <c r="H71" i="13"/>
  <c r="H40" i="13"/>
  <c r="H56" i="13"/>
  <c r="G111" i="13"/>
  <c r="G154" i="13"/>
  <c r="G36" i="13"/>
  <c r="H212" i="13"/>
  <c r="G182" i="13"/>
  <c r="G151" i="13"/>
  <c r="G143" i="13"/>
  <c r="G145" i="13"/>
  <c r="G108" i="13"/>
  <c r="H104" i="13"/>
  <c r="G11" i="13"/>
  <c r="G85" i="13"/>
  <c r="H51" i="13"/>
  <c r="G35" i="13"/>
  <c r="G9" i="13"/>
  <c r="H26" i="13"/>
  <c r="G168" i="13"/>
  <c r="G132" i="13"/>
  <c r="G40" i="13"/>
  <c r="G128" i="13"/>
  <c r="G54" i="13"/>
  <c r="G202" i="13"/>
  <c r="G201" i="13"/>
  <c r="G210" i="13"/>
  <c r="H36" i="13"/>
  <c r="H63" i="13"/>
  <c r="H143" i="13"/>
  <c r="H29" i="13"/>
  <c r="F186" i="13" l="1"/>
  <c r="F91" i="13"/>
  <c r="F158" i="13"/>
</calcChain>
</file>

<file path=xl/sharedStrings.xml><?xml version="1.0" encoding="utf-8"?>
<sst xmlns="http://schemas.openxmlformats.org/spreadsheetml/2006/main" count="3730" uniqueCount="1467">
  <si>
    <t>LV Medium Non-Domestic</t>
  </si>
  <si>
    <t>LV UMS (Pseudo HH Metered)</t>
  </si>
  <si>
    <t>LV Generation Intermittent</t>
  </si>
  <si>
    <t>LV Generation Non-Intermittent</t>
  </si>
  <si>
    <t>LV Sub Generation Intermittent</t>
  </si>
  <si>
    <t>LV Sub Generation Non-Intermittent</t>
  </si>
  <si>
    <t>HV Generation Intermittent</t>
  </si>
  <si>
    <t>HV Generation Non-Intermittent</t>
  </si>
  <si>
    <t>LV Sub Generation NHH</t>
  </si>
  <si>
    <t>Domestic Off Peak (related MPAN)</t>
  </si>
  <si>
    <t>Small Non Domestic Unrestricted</t>
  </si>
  <si>
    <t>Small Non Domestic Two Rate</t>
  </si>
  <si>
    <t>Small Non Domestic Off Peak (related MPAN)</t>
  </si>
  <si>
    <t>LV Sub Medium Non-Domestic</t>
  </si>
  <si>
    <t>HV Medium Non-Domestic</t>
  </si>
  <si>
    <t>LV HH Metered</t>
  </si>
  <si>
    <t>LV Sub HH Metered</t>
  </si>
  <si>
    <t>HV HH Metered</t>
  </si>
  <si>
    <t>5-8</t>
  </si>
  <si>
    <t>LDNO LV: Domestic Unrestricted</t>
  </si>
  <si>
    <t>LDNO LV: Domestic Two Rate</t>
  </si>
  <si>
    <t>LDNO LV: Domestic Off Peak (related MPAN)</t>
  </si>
  <si>
    <t>LDNO LV: Small Non Domestic Unrestricted</t>
  </si>
  <si>
    <t>LDNO LV: Small Non Domestic Two Rate</t>
  </si>
  <si>
    <t>LDNO LV: Small Non Domestic Off Peak (related MPAN)</t>
  </si>
  <si>
    <t>LDNO LV: LV Medium Non-Domestic</t>
  </si>
  <si>
    <t>LDNO LV: LV HH Metered</t>
  </si>
  <si>
    <t>LDNO LV: LV UMS (Pseudo HH Metered)</t>
  </si>
  <si>
    <t>LDNO LV: LV Generation Intermittent</t>
  </si>
  <si>
    <t>LDNO LV: LV Generation Non-Intermittent</t>
  </si>
  <si>
    <t>LDNO HV: Domestic Unrestricted</t>
  </si>
  <si>
    <t>LDNO HV: Domestic Two Rate</t>
  </si>
  <si>
    <t>LDNO HV: Domestic Off Peak (related MPAN)</t>
  </si>
  <si>
    <t>LDNO HV: Small Non Domestic Unrestricted</t>
  </si>
  <si>
    <t>LDNO HV: Small Non Domestic Two Rate</t>
  </si>
  <si>
    <t>LDNO HV: Small Non Domestic Off Peak (related MPAN)</t>
  </si>
  <si>
    <t>LDNO HV: LV Medium Non-Domestic</t>
  </si>
  <si>
    <t>LDNO HV: LV HH Metered</t>
  </si>
  <si>
    <t>LDNO HV: LV Sub HH Metered</t>
  </si>
  <si>
    <t>LDNO HV: HV HH Metered</t>
  </si>
  <si>
    <t>LDNO HV: LV UMS (Pseudo HH Metered)</t>
  </si>
  <si>
    <t>LDNO HV: LV Sub Generation NHH</t>
  </si>
  <si>
    <t>LDNO HV: LV Generation Intermittent</t>
  </si>
  <si>
    <t>LDNO HV: LV Generation Non-Intermittent</t>
  </si>
  <si>
    <t>LDNO HV: LV Sub Generation Intermittent</t>
  </si>
  <si>
    <t>LDNO HV: LV Sub Generation Non-Intermittent</t>
  </si>
  <si>
    <t>LDNO HV: HV Generation Intermittent</t>
  </si>
  <si>
    <t>LDNO HV: HV Generation Non-Intermittent</t>
  </si>
  <si>
    <t>Closed LLFCs</t>
  </si>
  <si>
    <t>Geographical name</t>
  </si>
  <si>
    <t>Notes:</t>
  </si>
  <si>
    <t xml:space="preserve">Unit time periods are as specified in the SSC. </t>
  </si>
  <si>
    <t>All times are UK clock-time.</t>
  </si>
  <si>
    <t>Metered voltage, respective periods and associated LLFCs</t>
  </si>
  <si>
    <t>Period 1</t>
  </si>
  <si>
    <t>Period 2</t>
  </si>
  <si>
    <t>Period 3</t>
  </si>
  <si>
    <t>Period 4</t>
  </si>
  <si>
    <t>Associated LLFC</t>
  </si>
  <si>
    <t>Site</t>
  </si>
  <si>
    <t>Demand</t>
  </si>
  <si>
    <t>Generation</t>
  </si>
  <si>
    <t>LDNO EHV: Domestic Unrestricted</t>
  </si>
  <si>
    <t>LDNO EHV: Domestic Two Rate</t>
  </si>
  <si>
    <t>LDNO EHV: Domestic Off Peak (related MPAN)</t>
  </si>
  <si>
    <t>LDNO EHV: Small Non Domestic Unrestricted</t>
  </si>
  <si>
    <t>LDNO EHV: Small Non Domestic Two Rate</t>
  </si>
  <si>
    <t>LDNO EHV: Small Non Domestic Off Peak (related MPAN)</t>
  </si>
  <si>
    <t>LDNO EHV: LV Medium Non-Domestic</t>
  </si>
  <si>
    <t>LDNO EHV: LV HH Metered</t>
  </si>
  <si>
    <t>LDNO EHV: LV Sub HH Metered</t>
  </si>
  <si>
    <t>LDNO EHV: HV HH Metered</t>
  </si>
  <si>
    <t>LDNO EHV: LV UMS (Pseudo HH Metered)</t>
  </si>
  <si>
    <t>LDNO EHV: LV Sub Generation NHH</t>
  </si>
  <si>
    <t>LDNO EHV: LV Generation Intermittent</t>
  </si>
  <si>
    <t>LDNO EHV: LV Generation Non-Intermittent</t>
  </si>
  <si>
    <t>LDNO EHV: LV Sub Generation Intermittent</t>
  </si>
  <si>
    <t>LDNO EHV: LV Sub Generation Non-Intermittent</t>
  </si>
  <si>
    <t>LDNO EHV: HV Generation Intermittent</t>
  </si>
  <si>
    <t>LDNO EHV: HV Generation Non-Intermittent</t>
  </si>
  <si>
    <t>Time periods</t>
  </si>
  <si>
    <t>(Name 1)</t>
  </si>
  <si>
    <t>(Name 2)</t>
  </si>
  <si>
    <t>(Name 3)</t>
  </si>
  <si>
    <t>(Name 4)</t>
  </si>
  <si>
    <t>Notes</t>
  </si>
  <si>
    <t>All the above times are in UK Clock time</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</si>
  <si>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</si>
  <si>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</si>
  <si>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</si>
  <si>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</si>
  <si>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</si>
  <si>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</si>
  <si>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</si>
  <si>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</si>
  <si>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</si>
  <si>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</si>
  <si>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</si>
  <si>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</si>
  <si>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</si>
  <si>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</si>
  <si>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LDNO HVplus: Domestic Unrestricted</t>
  </si>
  <si>
    <t>LDNO HVplus: Domestic Two Rate</t>
  </si>
  <si>
    <t>LDNO HVplus: Domestic Off Peak (related MPAN)</t>
  </si>
  <si>
    <t>LDNO HVplus: Small Non Domestic Unrestricted</t>
  </si>
  <si>
    <t>LDNO HVplus: Small Non Domestic Two Rate</t>
  </si>
  <si>
    <t>LDNO HVplus: Small Non Domestic Off Peak (related MPAN)</t>
  </si>
  <si>
    <t>LDNO HVplus: LV Medium Non-Domestic</t>
  </si>
  <si>
    <t>LDNO HVplus: LV Sub Medium Non-Domestic</t>
  </si>
  <si>
    <t>LDNO HVplus: HV Medium Non-Domestic</t>
  </si>
  <si>
    <t>LDNO HVplus: LV HH Metered</t>
  </si>
  <si>
    <t>LDNO HVplus: LV Sub HH Metered</t>
  </si>
  <si>
    <t>LDNO HVplus: HV HH Metered</t>
  </si>
  <si>
    <t>LDNO HVplus: LV UMS (Pseudo HH Metered)</t>
  </si>
  <si>
    <t>LDNO HVplus: LV Sub Generation NHH</t>
  </si>
  <si>
    <t>LDNO HVplus: LV Generation Intermittent</t>
  </si>
  <si>
    <t>LDNO HVplus: LV Generation Non-Intermittent</t>
  </si>
  <si>
    <t>LDNO HVplus: LV Sub Generation Intermittent</t>
  </si>
  <si>
    <t>LDNO HVplus: LV Sub Generation Non-Intermittent</t>
  </si>
  <si>
    <t>LDNO HVplus: HV Generation Intermittent</t>
  </si>
  <si>
    <t>LDNO HVplus: HV Generation Non-Intermittent</t>
  </si>
  <si>
    <t>LDNO EHV: LV Sub Medium Non-Domestic</t>
  </si>
  <si>
    <t>LDNO EHV: HV Medium Non-Domestic</t>
  </si>
  <si>
    <t>LDNO 132kV/EHV: Domestic Unrestricted</t>
  </si>
  <si>
    <t>LDNO 132kV/EHV: Domestic Two Rate</t>
  </si>
  <si>
    <t>LDNO 132kV/EHV: Domestic Off Peak (related MPAN)</t>
  </si>
  <si>
    <t>LDNO 132kV/EHV: Small Non Domestic Unrestricted</t>
  </si>
  <si>
    <t>LDNO 132kV/EHV: Small Non Domestic Two Rate</t>
  </si>
  <si>
    <t>LDNO 132kV/EHV: Small Non Domestic Off Peak (related MPAN)</t>
  </si>
  <si>
    <t>LDNO 132kV/EHV: LV Medium Non-Domestic</t>
  </si>
  <si>
    <t>LDNO 132kV/EHV: LV Sub Medium Non-Domestic</t>
  </si>
  <si>
    <t>LDNO 132kV/EHV: HV Medium Non-Domestic</t>
  </si>
  <si>
    <t>LDNO 132kV/EHV: LV HH Metered</t>
  </si>
  <si>
    <t>LDNO 132kV/EHV: LV Sub HH Metered</t>
  </si>
  <si>
    <t>LDNO 132kV/EHV: HV HH Metered</t>
  </si>
  <si>
    <t>LDNO 132kV/EHV: LV UMS (Pseudo HH Metered)</t>
  </si>
  <si>
    <t>LDNO 132kV/EHV: LV Sub Generation NHH</t>
  </si>
  <si>
    <t>LDNO 132kV/EHV: LV Generation Intermittent</t>
  </si>
  <si>
    <t>LDNO 132kV/EHV: LV Generation Non-Intermittent</t>
  </si>
  <si>
    <t>LDNO 132kV/EHV: LV Sub Generation Intermittent</t>
  </si>
  <si>
    <t>LDNO 132kV/EHV: LV Sub Generation Non-Intermittent</t>
  </si>
  <si>
    <t>LDNO 132kV/EHV: HV Generation Intermittent</t>
  </si>
  <si>
    <t>LDNO 132kV/EHV: HV Generation Non-Intermittent</t>
  </si>
  <si>
    <t>LDNO 132kV: Domestic Unrestricted</t>
  </si>
  <si>
    <t>LDNO 132kV: Domestic Two Rate</t>
  </si>
  <si>
    <t>LDNO 132kV: Domestic Off Peak (related MPAN)</t>
  </si>
  <si>
    <t>LDNO 132kV: Small Non Domestic Unrestricted</t>
  </si>
  <si>
    <t>LDNO 132kV: Small Non Domestic Two Rate</t>
  </si>
  <si>
    <t>LDNO 132kV: Small Non Domestic Off Peak (related MPAN)</t>
  </si>
  <si>
    <t>LDNO 132kV: LV Medium Non-Domestic</t>
  </si>
  <si>
    <t>LDNO 132kV: LV Sub Medium Non-Domestic</t>
  </si>
  <si>
    <t>LDNO 132kV: HV Medium Non-Domestic</t>
  </si>
  <si>
    <t>LDNO 132kV: LV HH Metered</t>
  </si>
  <si>
    <t>LDNO 132kV: LV Sub HH Metered</t>
  </si>
  <si>
    <t>LDNO 132kV: HV HH Metered</t>
  </si>
  <si>
    <t>LDNO 132kV: LV UMS (Pseudo HH Metered)</t>
  </si>
  <si>
    <t>LDNO 132kV: LV Sub Generation NHH</t>
  </si>
  <si>
    <t>LDNO 132kV: LV Generation Intermittent</t>
  </si>
  <si>
    <t>LDNO 132kV: LV Generation Non-Intermittent</t>
  </si>
  <si>
    <t>LDNO 132kV: LV Sub Generation Intermittent</t>
  </si>
  <si>
    <t>LDNO 132kV: LV Sub Generation Non-Intermittent</t>
  </si>
  <si>
    <t>LDNO 132kV: HV Generation Intermittent</t>
  </si>
  <si>
    <t>LDNO 132kV: HV Generation Non-Intermittent</t>
  </si>
  <si>
    <t>LDNO 0000: Domestic Unrestricted</t>
  </si>
  <si>
    <t>LDNO 0000: Domestic Two Rate</t>
  </si>
  <si>
    <t>LDNO 0000: Domestic Off Peak (related MPAN)</t>
  </si>
  <si>
    <t>LDNO 0000: Small Non Domestic Unrestricted</t>
  </si>
  <si>
    <t>LDNO 0000: Small Non Domestic Two Rate</t>
  </si>
  <si>
    <t>LDNO 0000: Small Non Domestic Off Peak (related MPAN)</t>
  </si>
  <si>
    <t>LDNO 0000: LV Medium Non-Domestic</t>
  </si>
  <si>
    <t>LDNO 0000: LV Sub Medium Non-Domestic</t>
  </si>
  <si>
    <t>LDNO 0000: HV Medium Non-Domestic</t>
  </si>
  <si>
    <t>LDNO 0000: LV HH Metered</t>
  </si>
  <si>
    <t>LDNO 0000: LV Sub HH Metered</t>
  </si>
  <si>
    <t>LDNO 0000: HV HH Metered</t>
  </si>
  <si>
    <t>LDNO 0000: LV UMS (Pseudo HH Metered)</t>
  </si>
  <si>
    <t>LDNO 0000: LV Sub Generation NHH</t>
  </si>
  <si>
    <t>LDNO 0000: LV Generation Intermittent</t>
  </si>
  <si>
    <t>LDNO 0000: LV Generation Non-Intermittent</t>
  </si>
  <si>
    <t>LDNO 0000: LV Sub Generation Intermittent</t>
  </si>
  <si>
    <t>LDNO 0000: LV Sub Generation Non-Intermittent</t>
  </si>
  <si>
    <t>LDNO 0000: HV Generation Intermittent</t>
  </si>
  <si>
    <t>LDNO 0000: HV Generation Non-Intermittent</t>
  </si>
  <si>
    <t>Annex 5 LLFs</t>
  </si>
  <si>
    <t>Name</t>
  </si>
  <si>
    <t>Note: The list of MPANs / MSIDs provided may be incomplete; the DNO reserves the right to apply the listed charges to any other MPANs / MSIDs associated with the site.</t>
  </si>
  <si>
    <t>NHH UMS category A</t>
  </si>
  <si>
    <t>NHH UMS category B</t>
  </si>
  <si>
    <t>NHH UMS category C</t>
  </si>
  <si>
    <t>NHH UMS category D</t>
  </si>
  <si>
    <t>LDNO LV: NHH UMS category A</t>
  </si>
  <si>
    <t>LDNO LV: NHH UMS category B</t>
  </si>
  <si>
    <t>LDNO LV: NHH UMS category C</t>
  </si>
  <si>
    <t>LDNO LV: NHH UMS category D</t>
  </si>
  <si>
    <t>LDNO HV: NHH UMS category A</t>
  </si>
  <si>
    <t>LDNO HV: NHH UMS category B</t>
  </si>
  <si>
    <t>LDNO HV: NHH UMS category C</t>
  </si>
  <si>
    <t>LDNO HV: NHH UMS category D</t>
  </si>
  <si>
    <t>Unique billing identifier</t>
  </si>
  <si>
    <t>LDNO HVplus: NHH UMS category A</t>
  </si>
  <si>
    <t>LDNO HVplus: NHH UMS category B</t>
  </si>
  <si>
    <t>LDNO HVplus: NHH UMS category C</t>
  </si>
  <si>
    <t>LDNO HVplus: NHH UMS category D</t>
  </si>
  <si>
    <t>LDNO EHV: NHH UMS category A</t>
  </si>
  <si>
    <t>LDNO EHV: NHH UMS category B</t>
  </si>
  <si>
    <t>LDNO EHV: NHH UMS category C</t>
  </si>
  <si>
    <t>LDNO EHV: NHH UMS category D</t>
  </si>
  <si>
    <t>LDNO 132kV/EHV: NHH UMS category A</t>
  </si>
  <si>
    <t>LDNO 132kV/EHV: NHH UMS category B</t>
  </si>
  <si>
    <t>LDNO 132kV/EHV: NHH UMS category C</t>
  </si>
  <si>
    <t>LDNO 132kV/EHV: NHH UMS category D</t>
  </si>
  <si>
    <t>LDNO 132kV: NHH UMS category A</t>
  </si>
  <si>
    <t>LDNO 132kV: NHH UMS category B</t>
  </si>
  <si>
    <t>LDNO 132kV: NHH UMS category C</t>
  </si>
  <si>
    <t>LDNO 132kV: NHH UMS category D</t>
  </si>
  <si>
    <t>LDNO 0000: NHH UMS category A</t>
  </si>
  <si>
    <t>LDNO 0000: NHH UMS category B</t>
  </si>
  <si>
    <t>LDNO 0000: NHH UMS category C</t>
  </si>
  <si>
    <t>LDNO 0000: NHH UMS category D</t>
  </si>
  <si>
    <t>Standard Settlement Configuration Id</t>
  </si>
  <si>
    <t>Time Pattern Regime Id</t>
  </si>
  <si>
    <t>Standard Settlement Configuration Desc</t>
  </si>
  <si>
    <t>Common Decode</t>
  </si>
  <si>
    <t>10-hour OP</t>
  </si>
  <si>
    <t>O</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</si>
  <si>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</si>
  <si>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</si>
  <si>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</si>
  <si>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</si>
  <si>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</si>
  <si>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</si>
  <si>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</si>
  <si>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</si>
  <si>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</si>
  <si>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</si>
  <si>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</si>
  <si>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</si>
  <si>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</si>
  <si>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</si>
  <si>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</si>
  <si>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</si>
  <si>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</si>
  <si>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</si>
  <si>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</si>
  <si>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</si>
  <si>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</si>
  <si>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</si>
  <si>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</si>
  <si>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</si>
  <si>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</si>
  <si>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</si>
  <si>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</si>
  <si>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</si>
  <si>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</si>
  <si>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</si>
  <si>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</si>
  <si>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</si>
  <si>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</si>
  <si>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</si>
  <si>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</si>
  <si>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</si>
  <si>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</si>
  <si>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</si>
  <si>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</si>
  <si>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</si>
  <si>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</si>
  <si>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</si>
  <si>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closed - no longer exists - was used SPM only</t>
  </si>
  <si>
    <t>5-rate SToD</t>
  </si>
  <si>
    <t>6-rate SToD</t>
  </si>
  <si>
    <t>7-hour OP (see also SSC 0185)</t>
  </si>
  <si>
    <t>Smart 7, heating</t>
  </si>
  <si>
    <t>7-hour E7 (Cornwall &amp; def reinforcement)</t>
  </si>
  <si>
    <t>Supertariff heating</t>
  </si>
  <si>
    <t>7-hour E7 (differential switching)</t>
  </si>
  <si>
    <t>7-hour night</t>
  </si>
  <si>
    <t>Key Meter pseudo 2-rate</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</si>
  <si>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</si>
  <si>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</si>
  <si>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</si>
  <si>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</si>
  <si>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</si>
  <si>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</si>
  <si>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</si>
  <si>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</si>
  <si>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</si>
  <si>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</si>
  <si>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</si>
  <si>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</si>
  <si>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</si>
  <si>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</si>
  <si>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</si>
  <si>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</si>
  <si>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</si>
  <si>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</si>
  <si>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</si>
  <si>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</si>
  <si>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</si>
  <si>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</si>
  <si>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</si>
  <si>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</si>
  <si>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</si>
  <si>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</si>
  <si>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</si>
  <si>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</si>
  <si>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</si>
  <si>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</si>
  <si>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</si>
  <si>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</si>
  <si>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</si>
  <si>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</si>
  <si>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</si>
  <si>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</si>
  <si>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</si>
  <si>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</si>
  <si>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</si>
  <si>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</si>
  <si>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</si>
  <si>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</si>
  <si>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</si>
  <si>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</si>
  <si>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</si>
  <si>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</si>
  <si>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</si>
  <si>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</si>
  <si>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</si>
  <si>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</si>
  <si>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</si>
  <si>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</si>
  <si>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</si>
  <si>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</si>
  <si>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</si>
  <si>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</si>
  <si>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</si>
  <si>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</si>
  <si>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</si>
  <si>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</si>
  <si>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</si>
  <si>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</si>
  <si>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</si>
  <si>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</si>
  <si>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</si>
  <si>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</si>
  <si>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</si>
  <si>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</si>
  <si>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</si>
  <si>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</si>
  <si>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</si>
  <si>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</si>
  <si>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</si>
  <si>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</si>
  <si>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</si>
  <si>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</si>
  <si>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</si>
  <si>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</si>
  <si>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</si>
  <si>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</si>
  <si>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</si>
  <si>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</si>
  <si>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</si>
  <si>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</si>
  <si>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</si>
  <si>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</si>
  <si>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</si>
  <si>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</si>
  <si>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</si>
  <si>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</si>
  <si>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</si>
  <si>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</si>
  <si>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</si>
  <si>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</si>
  <si>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</si>
  <si>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</si>
  <si>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</si>
  <si>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</si>
  <si>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</si>
  <si>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</si>
  <si>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</si>
  <si>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</si>
  <si>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G</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</si>
  <si>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</si>
  <si>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</si>
  <si>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</si>
  <si>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</si>
  <si>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</si>
  <si>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</si>
  <si>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</si>
  <si>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</si>
  <si>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</si>
  <si>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</si>
  <si>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</si>
  <si>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</si>
  <si>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</si>
  <si>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</si>
  <si>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</si>
  <si>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</si>
  <si>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</si>
  <si>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</si>
  <si>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</si>
  <si>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</si>
  <si>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</si>
  <si>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</si>
  <si>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</si>
  <si>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</si>
  <si>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</si>
  <si>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</si>
  <si>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</si>
  <si>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</si>
  <si>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</si>
  <si>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</si>
  <si>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</si>
  <si>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</si>
  <si>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</si>
  <si>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</si>
  <si>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</si>
  <si>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</si>
  <si>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</si>
  <si>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</si>
  <si>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</si>
  <si>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</si>
  <si>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</si>
  <si>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</si>
  <si>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</si>
  <si>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</si>
  <si>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</si>
  <si>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</si>
  <si>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</si>
  <si>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</si>
  <si>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</si>
  <si>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</si>
  <si>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</si>
  <si>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</si>
  <si>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</si>
  <si>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</si>
  <si>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</si>
  <si>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</si>
  <si>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</si>
  <si>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</si>
  <si>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</si>
  <si>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General Purpose 2 Rate (paired with 0980</t>
  </si>
  <si>
    <t>E10 Heating Single Rate (prd with 0981)</t>
  </si>
  <si>
    <t>Evening/Weekend - BST</t>
  </si>
  <si>
    <t>Change implemented</t>
  </si>
  <si>
    <t>Date</t>
  </si>
  <si>
    <t>Comments</t>
  </si>
  <si>
    <t>First published spreadsheet</t>
  </si>
  <si>
    <t>SSC 0330 charge rates corrected</t>
  </si>
  <si>
    <t>Previous rate 1 corrected to Off Peak O</t>
  </si>
  <si>
    <t>New SSCs added</t>
  </si>
  <si>
    <t>New SSCs from 0953 added.</t>
  </si>
  <si>
    <t>Previous Off-peak rate corrected to charge 2</t>
  </si>
  <si>
    <t>SSC TPR to unit rate lookup table</t>
  </si>
  <si>
    <t>The time periods for the non half hourly metered charge rates in Annex 1 are as specified by the SSC. To determine the appropriate charge rate for each SSC/TPR a lookup table is provided.</t>
  </si>
  <si>
    <t>SSC 0250 charge rate corrected</t>
  </si>
  <si>
    <t>SSC 0134 charge rate corrected</t>
  </si>
  <si>
    <t>TPR 00101 corrected from Off Peak O to Rate 1</t>
  </si>
  <si>
    <t>Nodal prices</t>
  </si>
  <si>
    <t>Reactive power charge
p/kVArh</t>
  </si>
  <si>
    <t>NHH preserved charges/additional LLFCs</t>
  </si>
  <si>
    <t>HH preserved charges/additional LLFCs</t>
  </si>
  <si>
    <t>Local charge 1
£/kVA</t>
  </si>
  <si>
    <t>Remote charge 1
£/kVA</t>
  </si>
  <si>
    <t>EMEB or MIDE only</t>
  </si>
  <si>
    <t>Unsupported (SWEB)</t>
  </si>
  <si>
    <t>O or Unsupported (SWEB)</t>
  </si>
  <si>
    <t>2 or Unsupported (SWEB)</t>
  </si>
  <si>
    <t>1 or Unsupported (SWEB)</t>
  </si>
  <si>
    <t>2 or Unsupported (SWAE)</t>
  </si>
  <si>
    <t>1 or Unsupported (SWAE)</t>
  </si>
  <si>
    <t>1 or Unsupported (SWAE and SWEB)</t>
  </si>
  <si>
    <t>Unsupported (SWAE)</t>
  </si>
  <si>
    <t>2 or Unsupported (SWAE and SWEB)</t>
  </si>
  <si>
    <t>2 Rate Saturday Off Peak</t>
  </si>
  <si>
    <t>LLFC</t>
  </si>
  <si>
    <t>Import MPANs/MSIDs</t>
  </si>
  <si>
    <t>Export MPANs/MSIDs</t>
  </si>
  <si>
    <t>Annex 1 LV and HV charges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</si>
  <si>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</si>
  <si>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</si>
  <si>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</si>
  <si>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</si>
  <si>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</si>
  <si>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</si>
  <si>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</si>
  <si>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</si>
  <si>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</si>
  <si>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</si>
  <si>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</si>
  <si>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</si>
  <si>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</si>
  <si>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</si>
  <si>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</si>
  <si>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</si>
  <si>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</si>
  <si>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</si>
  <si>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</si>
  <si>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</si>
  <si>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</si>
  <si>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June to August Inclusive</t>
  </si>
  <si>
    <t>Monday to Friday 
(Including Bank Holidays)
November to February Inclusive</t>
  </si>
  <si>
    <t>Super Red Time Band</t>
  </si>
  <si>
    <t>Black Time Band</t>
  </si>
  <si>
    <t>Yellow Time Band</t>
  </si>
  <si>
    <t>Time Bands for Half Hourly Unmetered Properties</t>
  </si>
  <si>
    <t>Time Bands for Half Hourly Metered Properties</t>
  </si>
  <si>
    <t>Time Periods for Designated EHV Properties</t>
  </si>
  <si>
    <t>General Purpose 2 Rate (paired wth 0950)</t>
  </si>
  <si>
    <t>E10 Heating Single Rate (prd wth 0949)</t>
  </si>
  <si>
    <t>E9 Heating</t>
  </si>
  <si>
    <t>General Purpose 2 Rate (paired wth 0951)</t>
  </si>
  <si>
    <t>Saturday Off Peak (9-5)</t>
  </si>
  <si>
    <t>Sunday Off Peak (9-5)</t>
  </si>
  <si>
    <t>Evening Saver</t>
  </si>
  <si>
    <t>Comfort Booster</t>
  </si>
  <si>
    <t xml:space="preserve">Please use this spreadsheet with reference to the LC14 use of system charging statement. </t>
  </si>
  <si>
    <t>Table reviewed and updated</t>
  </si>
  <si>
    <t>New SSCs from 0949 to 0952, 0975 &amp; 0976 and 0982 &amp; 0983 added.</t>
  </si>
  <si>
    <t>SSC 0394 charge rate corrected</t>
  </si>
  <si>
    <t>TPR 01177 corrected to rate 2</t>
  </si>
  <si>
    <t>Saturday and Sunday
All year</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</si>
  <si>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</si>
  <si>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LV and HV tariff calculator</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</si>
  <si>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</si>
  <si>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</si>
  <si>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</si>
  <si>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</si>
  <si>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</si>
  <si>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</si>
  <si>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</si>
  <si>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</si>
  <si>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</si>
  <si>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</si>
  <si>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</si>
  <si>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</si>
  <si>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</si>
  <si>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</si>
  <si>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</si>
  <si>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EHV site calculator</t>
  </si>
  <si>
    <t>Unit 1
kWh
(red/black/day)</t>
  </si>
  <si>
    <t>Unit 2
kWh
(amber/yellow
/night)</t>
  </si>
  <si>
    <t>Unit 3
kWh
(green)</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</si>
  <si>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</si>
  <si>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</si>
  <si>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</si>
  <si>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</si>
  <si>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</si>
  <si>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</si>
  <si>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</si>
  <si>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</si>
  <si>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</si>
  <si>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</si>
  <si>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</si>
  <si>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</si>
  <si>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</si>
  <si>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</si>
  <si>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</si>
  <si>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</si>
  <si>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</si>
  <si>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</si>
  <si>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</si>
  <si>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</si>
  <si>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</si>
  <si>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</si>
  <si>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</si>
  <si>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</si>
  <si>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</si>
  <si>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Saturday Off Peak (24 Hrs)</t>
  </si>
  <si>
    <t>Sunday Off Peak (24 Hrs)</t>
  </si>
  <si>
    <t>New SSCs from 0984 and 0985 added.</t>
  </si>
  <si>
    <t>LV Network Non-Domestic Non-CT</t>
  </si>
  <si>
    <t>LV Generation NHH or Aggregate HH</t>
  </si>
  <si>
    <t>-</t>
  </si>
  <si>
    <t>LDNO LV: LV Network Domestic</t>
  </si>
  <si>
    <t>LDNO LV: LV Network Non-Domestic Non-CT</t>
  </si>
  <si>
    <t>LDNO LV: LV Generation NHH or Aggregate HH</t>
  </si>
  <si>
    <t>LDNO HV: LV Network Domestic</t>
  </si>
  <si>
    <t>LDNO HV: LV Network Non-Domestic Non-CT</t>
  </si>
  <si>
    <t>LDNO HV: LV Generation NHH or Aggregate HH</t>
  </si>
  <si>
    <t>LDNO HVplus: LV Network Domestic</t>
  </si>
  <si>
    <t>LDNO HVplus: LV Network Non-Domestic Non-CT</t>
  </si>
  <si>
    <t>LDNO HVplus: LV Generation NHH or Aggregate HH</t>
  </si>
  <si>
    <t>LDNO EHV: LV Network Domestic</t>
  </si>
  <si>
    <t>LDNO EHV: LV Network Non-Domestic Non-CT</t>
  </si>
  <si>
    <t>LDNO EHV: LV Generation NHH or Aggregate HH</t>
  </si>
  <si>
    <t>LDNO 132kV/EHV: LV Network Domestic</t>
  </si>
  <si>
    <t>LDNO 132kV/EHV: LV Network Non-Domestic Non-CT</t>
  </si>
  <si>
    <t>LDNO 132kV/EHV: LV Generation NHH or Aggregate HH</t>
  </si>
  <si>
    <t>LDNO 132kV: LV Network Domestic</t>
  </si>
  <si>
    <t>LDNO 132kV: LV Network Non-Domestic Non-CT</t>
  </si>
  <si>
    <t>LDNO 132kV: LV Generation NHH or Aggregate HH</t>
  </si>
  <si>
    <t>LDNO 0000: LV Network Domestic</t>
  </si>
  <si>
    <t>LDNO 0000: LV Network Non-Domestic Non-CT</t>
  </si>
  <si>
    <t>LDNO 0000: LV Generation NHH or Aggregate HH</t>
  </si>
  <si>
    <r>
      <t>Contains the underlying [</t>
    </r>
    <r>
      <rPr>
        <sz val="11"/>
        <color theme="3"/>
        <rFont val="Arial"/>
        <family val="2"/>
      </rPr>
      <t>nodal/network group</t>
    </r>
    <r>
      <rPr>
        <sz val="11"/>
        <rFont val="Arial"/>
        <family val="2"/>
      </rPr>
      <t xml:space="preserve">] costs used to calculate the current EDCM charges. </t>
    </r>
  </si>
  <si>
    <t>SSC 0935 charge code corrected</t>
  </si>
  <si>
    <t>SSC 0313 charge code corrected</t>
  </si>
  <si>
    <t>TPR 01006 corrected to code O</t>
  </si>
  <si>
    <t>SSC 0320 charge code corrected</t>
  </si>
  <si>
    <t>TPR 00072 corrected to code 2</t>
  </si>
  <si>
    <t>SSC 0781 charge code corrected</t>
  </si>
  <si>
    <t>SSC 0953 charge code corrected</t>
  </si>
  <si>
    <t>TPR 00424 corrected to code 1 or Unsupported (SWAE and SWEB)</t>
  </si>
  <si>
    <t>SSC 0955 charge code corrected</t>
  </si>
  <si>
    <t>TPR 00206 corrected to code 2</t>
  </si>
  <si>
    <t>TPR 00430 corrected to code 1</t>
  </si>
  <si>
    <t>SSC 0956 charge code corrected</t>
  </si>
  <si>
    <t>TPR 00160 corrected to code 2</t>
  </si>
  <si>
    <t>SSC 0959 charge code corrected</t>
  </si>
  <si>
    <t>TPR 00160 corrected to code 1</t>
  </si>
  <si>
    <t>SSC 0960 charge code corrected</t>
  </si>
  <si>
    <t>TPR 00441 corrected to code 1</t>
  </si>
  <si>
    <t>SSC 0963 charge code corrected</t>
  </si>
  <si>
    <t>SSC 0964 charge code corrected</t>
  </si>
  <si>
    <t>SSC 0965 charge code corrected</t>
  </si>
  <si>
    <t>TPR 00194 corrected to code 2</t>
  </si>
  <si>
    <t>SSC 0969 charge code corrected</t>
  </si>
  <si>
    <t>TPR 00501 corrected to code 1</t>
  </si>
  <si>
    <t>SSC 0984 charge code corrected</t>
  </si>
  <si>
    <t>TPR 00512 corrected to code 1</t>
  </si>
  <si>
    <t>TPR 00513 corrected to code 2</t>
  </si>
  <si>
    <t>SSC 0985 charge code corrected</t>
  </si>
  <si>
    <t>TPR 00514 corrected to code 1</t>
  </si>
  <si>
    <t>TPR 00515 corrected to code 2</t>
  </si>
  <si>
    <t>TPR 00375 corrected to code 1 or Unsupported (SWAE and SWEB)</t>
  </si>
  <si>
    <t>TPR 00327 corrected to code O</t>
  </si>
  <si>
    <t>SSC 0403 charge code corrected</t>
  </si>
  <si>
    <t>TPR 01179 corrected to code 2</t>
  </si>
  <si>
    <t>Import
LLF
period 2</t>
  </si>
  <si>
    <t>Import
LLF
period 1</t>
  </si>
  <si>
    <t>Import
LLF
period 3</t>
  </si>
  <si>
    <t>Import
LLF
period 4</t>
  </si>
  <si>
    <t>Import
LLF
period 5</t>
  </si>
  <si>
    <t>Export
LLF
period 1</t>
  </si>
  <si>
    <t>Export
LLF
period 2</t>
  </si>
  <si>
    <t>Export
LLF
period 3</t>
  </si>
  <si>
    <t>Export
LLF
period 4</t>
  </si>
  <si>
    <t>Export
LLF
period 5</t>
  </si>
  <si>
    <t>Import
capacity charge
(p/kVA/day)</t>
  </si>
  <si>
    <t>Export
capacity charge
(p/kVA/day)</t>
  </si>
  <si>
    <t>Import
Super Red
unit charge
(p/kWh)</t>
  </si>
  <si>
    <t>Export
Super Red
unit charge
(p/kWh)</t>
  </si>
  <si>
    <t>Unit charge 1 (NHH)
or red/black charge (HH)
p/kWh</t>
  </si>
  <si>
    <t>Unit charge 2 (NHH)
or amber/yellow charge (HH)
p/kWh</t>
  </si>
  <si>
    <t>Green charge(HH)
p/kWh</t>
  </si>
  <si>
    <t>Red/black charge (HH)
p/kWh</t>
  </si>
  <si>
    <t>Amber/yellow charge (HH)
p/kWh</t>
  </si>
  <si>
    <t>Green charge (HH)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</si>
  <si>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</si>
  <si>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</si>
  <si>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</si>
  <si>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</si>
  <si>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Copy EDCM table 5001 range starting B101 and paste into G11.  Extend or reduce print area as required.</t>
  </si>
  <si>
    <t>Copy from CDCM table 3701 "Tariffs!A42:I84" and paste values into A14</t>
  </si>
  <si>
    <t>SSC 0058 description updated</t>
  </si>
  <si>
    <t>SSC 0126 description updated</t>
  </si>
  <si>
    <t>SSC 0927 description updated</t>
  </si>
  <si>
    <t>SSC 0928 description updated</t>
  </si>
  <si>
    <t>SSC 0252 charge code corrected</t>
  </si>
  <si>
    <t>TPR 00212 corrected to code O</t>
  </si>
  <si>
    <t>SSC 0253 charge code corrected</t>
  </si>
  <si>
    <t>TPR 01290 corrected to code O</t>
  </si>
  <si>
    <t>SSC 0268 charge code corrected</t>
  </si>
  <si>
    <t>TPR 00193 corrected to code O</t>
  </si>
  <si>
    <t>SSC 0316 charge code corrected</t>
  </si>
  <si>
    <t>TPR 00053 corrected to code 2</t>
  </si>
  <si>
    <t>SSC 0319 charge code corrected</t>
  </si>
  <si>
    <t>TPR 00071 corrected to code 2</t>
  </si>
  <si>
    <t>SSC 0775 charge code corrected</t>
  </si>
  <si>
    <t>TPR 00334 corrected to code O</t>
  </si>
  <si>
    <t>SSC 0776 charge code corrected</t>
  </si>
  <si>
    <t>TPR 00335 corrected to code O</t>
  </si>
  <si>
    <t>SSC 0916 charge code corrected</t>
  </si>
  <si>
    <t>TPR 00315 corrected to code 2</t>
  </si>
  <si>
    <t>TPR 00316 corrected to code 1</t>
  </si>
  <si>
    <t>SSC 0917 charge code corrected</t>
  </si>
  <si>
    <t>TPR 00279 corrected to code 2</t>
  </si>
  <si>
    <t>TPR 00280 corrected to code 1</t>
  </si>
  <si>
    <t>SSC 0942 charge code corrected</t>
  </si>
  <si>
    <t>TPR 00400 corrected to code 1</t>
  </si>
  <si>
    <t>SSC 0943 charge code corrected</t>
  </si>
  <si>
    <t>TPR 00404 corrected to code 1</t>
  </si>
  <si>
    <t>SSC 0944 charge code corrected</t>
  </si>
  <si>
    <t>TPR 00406 corrected to code 1</t>
  </si>
  <si>
    <t>SSC 0945 charge code corrected</t>
  </si>
  <si>
    <t>TPR 00408 corrected to code 1</t>
  </si>
  <si>
    <t>SSC 0946 charge code corrected</t>
  </si>
  <si>
    <t>TPR 00410 corrected to code 1</t>
  </si>
  <si>
    <t>SSC 0954 charge code corrected</t>
  </si>
  <si>
    <t>TPR 00426 corrected to code 1</t>
  </si>
  <si>
    <t>SSC 0967 charge code corrected</t>
  </si>
  <si>
    <t>TPR 00442 corrected to code 1</t>
  </si>
  <si>
    <t>SSC 0970 charge code corrected</t>
  </si>
  <si>
    <t>TPR 00447 corrected to code 2</t>
  </si>
  <si>
    <t>TPR 00448 corrected to code 1</t>
  </si>
  <si>
    <t>SSC 0971 charge code corrected</t>
  </si>
  <si>
    <t>TPR 00493 corrected to code 1</t>
  </si>
  <si>
    <t>Year</t>
  </si>
  <si>
    <t>Tariff name</t>
  </si>
  <si>
    <t>Copy from EDCM table 6005 "LDNORev!B549:G683" and paste values into D57</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</si>
  <si>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</si>
  <si>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</si>
  <si>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</si>
  <si>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</si>
  <si>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</si>
  <si>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</si>
  <si>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</si>
  <si>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LV Generation Intermittent no RP charge</t>
  </si>
  <si>
    <t>LV Generation Non-Intermittent no RP charge</t>
  </si>
  <si>
    <t>LV Sub Generation Intermittent no RP charge</t>
  </si>
  <si>
    <t>LV Sub Generation Non-Intermittent no RP charge</t>
  </si>
  <si>
    <t>HV Generation Intermittent no RP charge</t>
  </si>
  <si>
    <t>HV Generation Non-Intermittent no RP charge</t>
  </si>
  <si>
    <t>'DNOs paste value cells A15:J47 from CDCM 3701 into cells A14:J46</t>
  </si>
  <si>
    <t>Note: Where a tariff only has a p/kWh unit rate in Unit Charge 1 then this unit rate applies at all times.</t>
  </si>
  <si>
    <t>Annex 1 contains the charges to LV and HV Designated Properties.</t>
  </si>
  <si>
    <t>This table has intentionally been left blank. The line loss factors that are approved by the BSC Panel for the applicable year and consequently published on the Elexon website will take precedence and be used in Settlement. This annex will be re-published once these values are available.</t>
  </si>
  <si>
    <t>Annex 6 - Charges for New or Amended Designated EHV Properties</t>
  </si>
  <si>
    <t xml:space="preserve">Note: The list of MPANs/MSIDs provided may be incomplete; the DNO reserves the right to apply the listed charges to any other MPANs/MSIDs associated with the site. If sites appear in both Annex 2 and Annex 6, the charges in Annex 6 take precedence.
Where an existing Designated EHV Property is modified and energised in the charging year, we may revise the EDCM charges for the modified Designated EHV Property. </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</si>
  <si>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</si>
  <si>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</si>
  <si>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</si>
  <si>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16.30 - 19.30</t>
  </si>
  <si>
    <t>08.00 - 16.30
19.30 - 22.30</t>
  </si>
  <si>
    <t>00.00 - 08.00
22.30 - 00.00</t>
  </si>
  <si>
    <t>16.00 - 20.00</t>
  </si>
  <si>
    <t>00.00 - 16.00
20.00 - 00.00</t>
  </si>
  <si>
    <t>08.00 - 22.30</t>
  </si>
  <si>
    <t>Monday to Friday 
(Including Bank Holidays)
March, April, May and September, October</t>
  </si>
  <si>
    <t>00:00-16:00
20:00-00:00</t>
  </si>
  <si>
    <t>101, 102</t>
  </si>
  <si>
    <t xml:space="preserve">103, 105, 111, 112, 113, 114, 115, 116, 117, 118, 119, 120, 131, 132, 133, 134, 147, 148, 149, 150 </t>
  </si>
  <si>
    <t>104, 106, 130, 153, 155</t>
  </si>
  <si>
    <t>201, 202, 203, 209</t>
  </si>
  <si>
    <t>205, 211, 231, 232</t>
  </si>
  <si>
    <t>401, 402</t>
  </si>
  <si>
    <t>403, 404</t>
  </si>
  <si>
    <t>511, 591</t>
  </si>
  <si>
    <t>513, 592</t>
  </si>
  <si>
    <t>515, 593</t>
  </si>
  <si>
    <t>900</t>
  </si>
  <si>
    <t>901</t>
  </si>
  <si>
    <t>902</t>
  </si>
  <si>
    <t>903</t>
  </si>
  <si>
    <t>910</t>
  </si>
  <si>
    <t xml:space="preserve">781, 782, 783, 784, 785 </t>
  </si>
  <si>
    <t>786, 787</t>
  </si>
  <si>
    <t>791, 795</t>
  </si>
  <si>
    <t>788, 789</t>
  </si>
  <si>
    <t>792, 796</t>
  </si>
  <si>
    <t>770, 771</t>
  </si>
  <si>
    <t>793, 797</t>
  </si>
  <si>
    <t>145, 146</t>
  </si>
  <si>
    <t>135, 136, 137, 138, 140, 141, 142, 143</t>
  </si>
  <si>
    <t>208, 210</t>
  </si>
  <si>
    <t>233, 234, 235, 236, 237</t>
  </si>
  <si>
    <t>904, 912, 913</t>
  </si>
  <si>
    <t>905</t>
  </si>
  <si>
    <t>906</t>
  </si>
  <si>
    <t>907</t>
  </si>
  <si>
    <t>16:30 - 19:30</t>
  </si>
  <si>
    <t>Monday to Friday 
(Including Bank Holidays)
March to May, &amp; September to October, Inclusive</t>
  </si>
  <si>
    <t>07:30 – 23:30</t>
  </si>
  <si>
    <t>23:30 – 07:30</t>
  </si>
  <si>
    <t>16:00 – 19:00</t>
  </si>
  <si>
    <t>07:30 – 16:00
19:00 – 20:00</t>
  </si>
  <si>
    <t>20:00 – 23:30</t>
  </si>
  <si>
    <t>Monday to Friday 
November to February</t>
  </si>
  <si>
    <t>Monday to Friday 
March to October</t>
  </si>
  <si>
    <t>207,208,209,210,403,404,503,513,592,780,788,789,792,796</t>
  </si>
  <si>
    <t>300 to 399 Inclusive
445 to 499 Inclusive
700 to 725 Inclusive</t>
  </si>
  <si>
    <t xml:space="preserve">ABER RHYD 132KV </t>
  </si>
  <si>
    <t xml:space="preserve">BIRKENHEAD 132KV </t>
  </si>
  <si>
    <t xml:space="preserve">CARRINGTON 132KV </t>
  </si>
  <si>
    <t xml:space="preserve">CONNAHS QUAY PENTIR 132KV </t>
  </si>
  <si>
    <t xml:space="preserve">CREWE 132KV </t>
  </si>
  <si>
    <t xml:space="preserve">FRODSHAM 132KV </t>
  </si>
  <si>
    <t xml:space="preserve">KIRKBY 132KV </t>
  </si>
  <si>
    <t xml:space="preserve">LEGACY 132KV </t>
  </si>
  <si>
    <t xml:space="preserve">LISTER DRIVE 132KV </t>
  </si>
  <si>
    <t xml:space="preserve">RAINHILL 132KV </t>
  </si>
  <si>
    <t xml:space="preserve">TRAWSFYNYDD 132KV </t>
  </si>
  <si>
    <t xml:space="preserve">WYLFA 132KV </t>
  </si>
  <si>
    <t>CONNAHS QUAY (SHOTTON) 132KV</t>
  </si>
  <si>
    <t xml:space="preserve">CAPENHURST and  INCE 132KV </t>
  </si>
  <si>
    <t>Aberystwyth - Rhydlydan</t>
  </si>
  <si>
    <t>Bromborough - Rock Ferry</t>
  </si>
  <si>
    <t>Heswall - Hoylake - Prenton</t>
  </si>
  <si>
    <t>Prenton  - Rock Ferry</t>
  </si>
  <si>
    <t>Wallasey - Woodside</t>
  </si>
  <si>
    <t>Dallam - Sankey Bridges - Warrington</t>
  </si>
  <si>
    <t>Elworth - Hartford - Knutsford - Lostock - Winsford</t>
  </si>
  <si>
    <t>Ineos Chlor Ltd (Lostock)</t>
  </si>
  <si>
    <t>Bangor - Caernarvon</t>
  </si>
  <si>
    <t>Brymbo  - Hawarden  - Holywell</t>
  </si>
  <si>
    <t>Castle Cement  - Hawarden  - Saltney</t>
  </si>
  <si>
    <t>Colwyn Bay - Dolgarrog</t>
  </si>
  <si>
    <t>Deeside Park - Sixth Avenue</t>
  </si>
  <si>
    <t>Holywell  - Rhyl - St Asaph</t>
  </si>
  <si>
    <t>Coppenhall - Crewe</t>
  </si>
  <si>
    <t>Crewe - Radway Green - Whitchurch</t>
  </si>
  <si>
    <t>Dutton - Moore - Percival Lane</t>
  </si>
  <si>
    <t>Aintree  - Formby - Litherland - Southport</t>
  </si>
  <si>
    <t>Aintree  - Gillmoss</t>
  </si>
  <si>
    <t>Bootle  - Litherland</t>
  </si>
  <si>
    <t>Gillmoss  - Kirkby  - Simonswood</t>
  </si>
  <si>
    <t>Seaforth Liverpool Dock 2</t>
  </si>
  <si>
    <t>Brymbo T1C - Marchwiel - Wrexham</t>
  </si>
  <si>
    <t>Legacy - Newtown - Oswestry - Welshpool - Whitchurch</t>
  </si>
  <si>
    <t>Bootle  - Lister Dv  - Burlington St</t>
  </si>
  <si>
    <t>Burlington St  - Lister Dv  - Paradise St</t>
  </si>
  <si>
    <t>Garston - Speke</t>
  </si>
  <si>
    <t>Sparling St  - Lister Dv  - Wavertree</t>
  </si>
  <si>
    <t>Bold Grid 2A - Prescot  - Widnes</t>
  </si>
  <si>
    <t>Gateacre - Huyton - Kirkby  - Prescot</t>
  </si>
  <si>
    <t>Halewood Grid1B Grid2B GT3 - Speke</t>
  </si>
  <si>
    <t>Halewood Jaguar Landrover</t>
  </si>
  <si>
    <t>Ravenhead - St Helens - Windle</t>
  </si>
  <si>
    <t>Four Crosses - Maentwrog</t>
  </si>
  <si>
    <t>Amlwch-Caergeiliog</t>
  </si>
  <si>
    <t>Bromborough  - Hooton Park</t>
  </si>
  <si>
    <t>Chester - Crane Bank - Guilden Sutton</t>
  </si>
  <si>
    <t>Ellesmere Port - Ince</t>
  </si>
  <si>
    <t>Hooton Park (Vauxhall)</t>
  </si>
  <si>
    <t>ABERDYFI T1</t>
  </si>
  <si>
    <t>ABERGELE T1 / PENSARN T1</t>
  </si>
  <si>
    <t>ABERSOCH T1</t>
  </si>
  <si>
    <t>ABERYSTWYTH T1 / NORTH RD T1 / PARC-Y-LLYN T1 / PARC-Y-LLYN T2 / U C WALES T1</t>
  </si>
  <si>
    <t>ACER AVE T1</t>
  </si>
  <si>
    <t>ACORNFIELD RD T1 / DICKINSONS T1 / HAMMOND RD T1 / KODAK T1</t>
  </si>
  <si>
    <t>ACTON T1</t>
  </si>
  <si>
    <t>AIGBURTH VALE T1 / IVY AVE T1 / MATHER AVE T1 / MOSSLEY HILL T1 / WAVERTREE T1</t>
  </si>
  <si>
    <t>AINSDALE T1 / PINFOLD LA T1</t>
  </si>
  <si>
    <t>AINTREE LOCAL T1 / OLD ROAN T1 / WANGO LA T1</t>
  </si>
  <si>
    <t>AIRBUS T1 / BROUGHTON RETAIL PARK T1 / MIXALLOY T1</t>
  </si>
  <si>
    <t>AIRPORT T1 / ALDERWOOD AVE (CROYDE RD) T1 / HAREFIELD RD T1 / METAL BOX (SPEKE) T1</t>
  </si>
  <si>
    <t>ALBERT DOCK T1 / KINGS DOCK T1 / KINGS DOCK T2 / WAPPING T1</t>
  </si>
  <si>
    <t>ALLERTON T1 / ECP WEST-BANKS RD T1 / GARSTON T1 / WEAVER IND EST T1 / YEW TREE RD T1</t>
  </si>
  <si>
    <t>ALMATEX T1 / DELTA METALS T1 / WATERY LA T2</t>
  </si>
  <si>
    <t>ALMONDS TURN T1 / ATLANTIC COMPLEX T1 / GIRO T1 / MIDLAND BANK T1 / NETHERTON T1</t>
  </si>
  <si>
    <t>ALPOCO T1</t>
  </si>
  <si>
    <t>ALTMOUTH T1</t>
  </si>
  <si>
    <t>AMLWCH T1 / AMLWCH T2</t>
  </si>
  <si>
    <t>ANDERTON T1</t>
  </si>
  <si>
    <t>APPLETON T1 / HORNSBRIDGE T1 / LUGSDALE T2</t>
  </si>
  <si>
    <t>ARROWE PK HOSP T1 / CHAMPION PLUGS T1 / CHAMPION PLUGS T2 / WOODCHURCH T1</t>
  </si>
  <si>
    <t>ARUNDEL T1 / GROVE PK T1 / WAVERTREE VALE T1</t>
  </si>
  <si>
    <t>ASH RD T1 / KELLOGGS (WREXHAM) T1 / KELLOGGS (WREXHAM) T2</t>
  </si>
  <si>
    <t>ASSOCIATED LEAD T1 / GREAT BOUGHTON T1 / PIPERS ASH T1</t>
  </si>
  <si>
    <t>ASTMOOR IND EST T1 / MACKAMAX T1 / MERSEY RD T1 / PICOW FARM RD T1</t>
  </si>
  <si>
    <t>ATHOL ST T1 / CHISENHALE ST T1 / SANDHILLS LA T1</t>
  </si>
  <si>
    <t>AUDLEM T1</t>
  </si>
  <si>
    <t>BAE RADWAY T1 / BAE RADWAY T2</t>
  </si>
  <si>
    <t>BALA T1</t>
  </si>
  <si>
    <t>BANASTRE RD T1 / DOVER RD T1 / GRANTHAM CL T1</t>
  </si>
  <si>
    <t>BANGOR HOSP T1 / EITHINOG T1 / BANGOR UNIVERSITY T1 / HIRAEL T1</t>
  </si>
  <si>
    <t>BARBAULD ST T1 / HORROCKS LA T1 / WARRINGTON CENTRAL T1</t>
  </si>
  <si>
    <t>BARMOUTH T1</t>
  </si>
  <si>
    <t>BARNSTON T1 / GAYTON T1 / IRBY T1 / THINGWALL T1</t>
  </si>
  <si>
    <t>BASCHURCH T1</t>
  </si>
  <si>
    <t>BASS CHARRINGTON T1 / BASS CHARRINGTON T2 / CLIFTON T1 / YKK T1</t>
  </si>
  <si>
    <t>BATTERSBY LA T1 / RYLANDS ELDON ST T2</t>
  </si>
  <si>
    <t>BEAUMARIS T1</t>
  </si>
  <si>
    <t>BEAUMONT ST T1 / DINGLE VALE T1 / LARK LA T1 / MDHB BRUNSWICK DOCK T1</t>
  </si>
  <si>
    <t>BEDBURN DV T1 / BLUEBELL LA T1 / BROOKBRIDGE T1 / ECCLESTON T1</t>
  </si>
  <si>
    <t>BEECH ST T1 / LISTER DV A T2</t>
  </si>
  <si>
    <t>BEMROSE T1 / CARR LA EAST T1 / LUCAS (FAZAKERLEY) T1 / NORRIS GREEN T1 / WEST DERBY T1</t>
  </si>
  <si>
    <t>BENTINCK ST T1 / BENTINCK ST T2 / CHESTER ST (BIRKENHEAD) T1</t>
  </si>
  <si>
    <t>BERSHAM COLLIERY T1</t>
  </si>
  <si>
    <t>BERSHAM RD T1 / IND COOPE T1 / RHYD BROUGHTON LA T1 / TUTTLE ST T1</t>
  </si>
  <si>
    <t>BETHESDA T1</t>
  </si>
  <si>
    <t>BETWS-Y-COED T1</t>
  </si>
  <si>
    <t>BEWSEY T1 / OWEN ST T1 / RODNEY ST T1 / RYLANDS ELDON ST T1</t>
  </si>
  <si>
    <t>BIBBYS T1 / INLAND REVENUE OFFICES T1 / REGENT RD T1</t>
  </si>
  <si>
    <t>BICC HELSBY T1 / BICC HELSBY T2 / EVC T1</t>
  </si>
  <si>
    <t>BICC HUYTON QUARRY T1 / TARBOCK T1 / WHISTON T1</t>
  </si>
  <si>
    <t>BICC WREXHAM T1 / MARCHWIEL T1 / WIE CENTRAL T1</t>
  </si>
  <si>
    <t>BIRKENHEAD CENTRAL T1 / SINGLETON AVE T1 / TRANMERE T1</t>
  </si>
  <si>
    <t>BIXTETH ST T1 / LITTLEWOODS T1</t>
  </si>
  <si>
    <t>BLACON T1 / COCOA BARRY T1 / CRANE BANK T1 / KNUTSFORD WAY T1 / TOWER WHARF T1</t>
  </si>
  <si>
    <t>BLAENAU FFESTINIOG T1</t>
  </si>
  <si>
    <t>BLAENAU PLASTICS T1 / BLAENAU PLASTICS T2</t>
  </si>
  <si>
    <t>BLUNDELL ST T1 / ST JAMES T1 / ROPEWALKS</t>
  </si>
  <si>
    <t>BLUNDELLSANDS (NORTH) T1 / BLUNDELLSANDS (SOUTH) T1 / CROSBY T1 / KERSHAW AVE T1 / WATERLOO T2</t>
  </si>
  <si>
    <t>BODFARI PRODUCERS T1</t>
  </si>
  <si>
    <t>BOLTON ST T1 / GREEK ST T1 / HPO COPPERAS HILL T1 / OLDHAM PLACE T1</t>
  </si>
  <si>
    <t>BOOTLE GRID T1 / KELLOGGS T1 / PACIFIC RD T1 / WASHINGTON ST T1 / WATERLOO T1</t>
  </si>
  <si>
    <t>BOOTLE GRID T2 / ORRELL MOUNT T1 / SCARISBRICK AVE T1 / TATTON RD T1</t>
  </si>
  <si>
    <t>BOTWNNOG T1</t>
  </si>
  <si>
    <t>BOULEVARD T1 / CHAPELFORD T1 / HAWLEYS LA T1 / WESTBROOK T1 / WINWICK QUAY T1</t>
  </si>
  <si>
    <t>BOW ST T1</t>
  </si>
  <si>
    <t>BOWATER CONTAINERS T1 / ELLESMERE PORT LOCAL T1 / HH ROBERTSONS T1 / MOBIL OIL (E PORT) T1 / WHITBY MAIN T1</t>
  </si>
  <si>
    <t>BR STATION T1 / DUCHY RD T1 / ELECTRA WAY T1 / MIDLAND ROLLMAKERS T1A / NORTH WESTERN MILLS T1</t>
  </si>
  <si>
    <t>BRD T1</t>
  </si>
  <si>
    <t>BRITISH ALUMINIUM LATCHFORD T1 / GREENHALL WHITLEY T1 / LATCHFORD T1 / LATCHFORD T2 / THAMES BOARD MILL T1</t>
  </si>
  <si>
    <t>BRITISH OXYGEN T1 / WINDLEHURST T1</t>
  </si>
  <si>
    <t>BRITISH PIPE ASSOCIATION T1</t>
  </si>
  <si>
    <t>BRITISH SIDAC T1 / SHERDLEY RD T1 / ST HELENS LINKWAY T1 / WATERY LA T1</t>
  </si>
  <si>
    <t>BROADGREEN T1 / CROXTETH T1 / EAST PRESCOT RD (FINCH LA) T1 / KNOTTY ASH T1 / LEYFIELD RD T1</t>
  </si>
  <si>
    <t>BROMFIELD T1 / BROMFIELD T2 / PONTERWYL T1 / RHYD-Y-GOLEU T1 / SYNTHITE T1</t>
  </si>
  <si>
    <t>BROOK LA T1 / MANNINGS LA T1 / NEWTOWN CHESTER T1 / UPTON HEATH T1</t>
  </si>
  <si>
    <t>BROOK ST T1 / KINGSWAY TUNNEL T1 / NWWA SANDON DOCK T1 / NWWA SANDON DOCK T2</t>
  </si>
  <si>
    <t>BRYN STANLEY T1</t>
  </si>
  <si>
    <t>BUCKINGHAM ST T1 / EVERTON RD T1 / SUBURBAN RD T1</t>
  </si>
  <si>
    <t>BUCKLEY T1 / BUCKLEY T2 / BUCKLEY CROSS T1</t>
  </si>
  <si>
    <t>BURLINGTON AVE T1 / FRESHFIELD T1 / MARSH BROWS T1 / SOUTHPORT RD T1</t>
  </si>
  <si>
    <t>BURMAH OIL T1 / VAN LEER NO 1 T1</t>
  </si>
  <si>
    <t>BUTLINS T1</t>
  </si>
  <si>
    <t>BUTTINGTON CROSS T1</t>
  </si>
  <si>
    <t>BXL BROMBOROUGH T1 / TULIP T1</t>
  </si>
  <si>
    <t>CABLE ST T1 / GRADWELL ST T2 / OLDHAM PLACE T2</t>
  </si>
  <si>
    <t>CABLE ST T2 / CROWN COURTS T1 / GRADWELL ST T1</t>
  </si>
  <si>
    <t>CADBURYS KRONOSPAN T1 / CADBURYS KRONOSPAN T2</t>
  </si>
  <si>
    <t>CADBURYS T1 / CADBURYS T2 / HOPFIELD RD T1</t>
  </si>
  <si>
    <t>CAERGEILIOG T1</t>
  </si>
  <si>
    <t>CAERGWRLE T1</t>
  </si>
  <si>
    <t>CAERNARFON T1</t>
  </si>
  <si>
    <t>CAERSWS T1</t>
  </si>
  <si>
    <t>CALDY T1 / HOYLAKE T1 / MEOLS T1 / WEST KIRBY SOUTH T1</t>
  </si>
  <si>
    <t>CAMMELL LAIRD NORTH T1 / CAMMELL LAIRD SOUTH T1 / CAMMELL LAIRD SOUTH T2</t>
  </si>
  <si>
    <t>CARBORUNDUM T1 / HOUGHTONS LA T1 / RAINFORD T1 / WINDLEHURST T2</t>
  </si>
  <si>
    <t>CARLTON ST T1 / CARLTON ST T2 / CHALON WAY T2</t>
  </si>
  <si>
    <t>CARMEL T1</t>
  </si>
  <si>
    <t>CASTLE BEESTON ST T1 / HARTFORD T2 / NORTHWICH TOWN T1 / WINNINGTON T1</t>
  </si>
  <si>
    <t>CEFN MAWR T1</t>
  </si>
  <si>
    <t>CEMAES BAY T1</t>
  </si>
  <si>
    <t>CEMMAES RD T1</t>
  </si>
  <si>
    <t>CEREAL PARTNERS T1 / LEVER GEORGIA AVE T1 / POOL LA T1 / UML LEVER BROMBOROUGH T2</t>
  </si>
  <si>
    <t>CHALON WAY T1 / TECHNOLOGY CAMPUS T1 / WOODVILLE ST T1</t>
  </si>
  <si>
    <t>CHESTER GATES T1 / UNILEVER DUNKIRK T1</t>
  </si>
  <si>
    <t>CHESTER ST (WREXHAM) T1 / EAGLES MEADOW T1 / RHOSNESNI T1 / WHITEGATE T1</t>
  </si>
  <si>
    <t>CHESTER WTW T1 - CHESTER WTW T2</t>
  </si>
  <si>
    <t>CHILDWALL T1 / CHILDWALL FIVEWAYS T1 / LYNDENE RD T1 / MIDDLEMASS HEY T1 / NAYLORS RD T1</t>
  </si>
  <si>
    <t>CHIRON SHAW RD T1 / CHIRON SHAW RD T2</t>
  </si>
  <si>
    <t>CHOWLEY T1</t>
  </si>
  <si>
    <t>CHURCH LANE T1 / NANT HALL T1 / PRESTATYN T1</t>
  </si>
  <si>
    <t>CHURCH LAWTON T1</t>
  </si>
  <si>
    <t>CHURCH ST WINSFORD T1 / OVER T1 / WHARTON PK T1 / WOODFORD PK T1</t>
  </si>
  <si>
    <t>CIVIC CENTRE T1 / CLAUGHTON AVE T1 / ELECTRICITY ST T1</t>
  </si>
  <si>
    <t>CLEDFORD T1</t>
  </si>
  <si>
    <t>CLOCKFACE T1 / GEC ST HELENS T1 / HILLS MOSS T1 / NCB SUTTON MANOR T2</t>
  </si>
  <si>
    <t>CLUBMOOR T1 / DUNLOPS WALTON T1 / WALTON T2</t>
  </si>
  <si>
    <t>CLUBMOOR T2 / LISTER DV A T1 / SUBURBAN RD T2</t>
  </si>
  <si>
    <t>COEDPOETH T1</t>
  </si>
  <si>
    <t>COLWYN BAY T1 / COLWYN BAY T2 / RHOS-ON-SEA T1</t>
  </si>
  <si>
    <t>CONEY GREEN T1 / OSWESTRY T2 / OSWESTRY T1</t>
  </si>
  <si>
    <t>CONIX T1 / CONIX T2 / MEDEVA T1</t>
  </si>
  <si>
    <t>CONNAHS QUAY LOCAL T1 / CONNAHS QUAY LOCAL T2 / HAWARDEN T1 / KING GEORGE ST T1</t>
  </si>
  <si>
    <t>CONWY T1 / DEGANWY T1 / LLANDUDNO JUNCTION T1</t>
  </si>
  <si>
    <t>CORWEN T1</t>
  </si>
  <si>
    <t>COUNTESS PK T1</t>
  </si>
  <si>
    <t>CREWE T1 / LEIGHTON HOSPITAL T1</t>
  </si>
  <si>
    <t>CRIGGION RADIO STATION T1</t>
  </si>
  <si>
    <t>CROSSFIELDS T1 / CROSSFIELDS T2 / LEVERS CROSSFIELDS T3 / GATEWARTH SEWAGE T1</t>
  </si>
  <si>
    <t>CROWTON T1</t>
  </si>
  <si>
    <t>CWM DYLI T1</t>
  </si>
  <si>
    <t>DAILY POST &amp; ECHO T1 / DAILY POST &amp; ECHO T2</t>
  </si>
  <si>
    <t>DARESBURY NPL T1 / DARESBURY PK T1</t>
  </si>
  <si>
    <t>DAVY WAY T1 / LLAY T1</t>
  </si>
  <si>
    <t>DEESIDE ALUMINIUM T1 / DUNLOP PLASTICS T1 / FIRESTONE T1 / TETRAPAK T1</t>
  </si>
  <si>
    <t>DEESIDE IND PK T1 / DEESIDE IND PK 6TH AVE T1 / RAF SEALAND T1</t>
  </si>
  <si>
    <t>DELAMORE ST T1 / KIRKDALE T1 / WALTON T1</t>
  </si>
  <si>
    <t>DENBIGH T1</t>
  </si>
  <si>
    <t>DESOTO RD T1 / MERSEY BRIDGE T1 / PITT ST T1</t>
  </si>
  <si>
    <t>DIBBINSDALE T1 / PLYMYARD T1 / WIBP HARDKNOTT RD T1</t>
  </si>
  <si>
    <t>DINGLE T1 / GRANBY T1 / ST JAMES T2</t>
  </si>
  <si>
    <t>DITTON T1 / GAVIN RD T1 / HOUGH GREEN T1 / RTZ T1</t>
  </si>
  <si>
    <t>DODDS LA T1 / HOLBORN HILL T1 / MAGHULL T1 / MAGHULL T2 / ROBBINS BRIDGE T1</t>
  </si>
  <si>
    <t>DOLGARROG GRID T1 / DOLGARROG GRID T2</t>
  </si>
  <si>
    <t>DOLGELLAU T1</t>
  </si>
  <si>
    <t>DUCKINGTON T1</t>
  </si>
  <si>
    <t>DUDDON T1</t>
  </si>
  <si>
    <t>DYFFRYN ARDUDWY T1</t>
  </si>
  <si>
    <t>DYSERTH RD T1 / FFORDD LAS T1 / FFORDD LAS T2 / WESTBOURNE AVE T1</t>
  </si>
  <si>
    <t>EDEN VALE T1</t>
  </si>
  <si>
    <t>EDERN T1</t>
  </si>
  <si>
    <t>EDGE HILL T1 / LIVERPOOL UNIVERSITY T1 / LIVERPOOL UNIVERSITY T2 / LIVERPOOL UNIVERSITY T3</t>
  </si>
  <si>
    <t>EDGE LA (TAPLEY PLACE) T1 / LISTER DV B T3 / MILL LA (WAVERTREE) T1 / PLESSEY (EDGE LA) T1 / STONEYCROFT T1</t>
  </si>
  <si>
    <t>EGA ELECTRIC T1</t>
  </si>
  <si>
    <t>EGERTON T1 / ROCK FERRY T1 / SHELL TRANMERE T1</t>
  </si>
  <si>
    <t>EGREMONT T1 / LISCARD T1 / POULTON T1 / STONE MANGANESE T1</t>
  </si>
  <si>
    <t>ELLESMERE T1 / MMB ELLESMERE T1</t>
  </si>
  <si>
    <t>ELTON T1</t>
  </si>
  <si>
    <t>ENGINEER PK T1 / PILKINGTONS QUEENSFERRY T1 / QUEENSFERRY T1</t>
  </si>
  <si>
    <t>ESTUARY COMMERCE PK T1 / LEEWARD DR T1 / LEEWARD DR T2 / SPEKE HALL RD T1 / SPEKE SKY PK T1</t>
  </si>
  <si>
    <t>EVERTON BROW T1 / GARDNERS ROW T1 / SHEIL PK T1</t>
  </si>
  <si>
    <t>EXPRESS FOODS T1</t>
  </si>
  <si>
    <t>FAIRBOURNE T1</t>
  </si>
  <si>
    <t>FAZAKERLEY HOSPITAL T1 / JACOBS T1 / JACOBS T2 / SEEDS LA T1</t>
  </si>
  <si>
    <t>FERODO T1</t>
  </si>
  <si>
    <t>FISONS T1</t>
  </si>
  <si>
    <t>FLINT T1 / FLINT T2</t>
  </si>
  <si>
    <t>FODENS T1</t>
  </si>
  <si>
    <t>FORD T1 / OXTON T1 / PRENTON LOCAL T1 / SINGLETON AVE T2</t>
  </si>
  <si>
    <t>FORDEN T1</t>
  </si>
  <si>
    <t>FOUR CROSSES T1</t>
  </si>
  <si>
    <t>FRODSHAM LOCAL T1</t>
  </si>
  <si>
    <t>GADBROOK T1</t>
  </si>
  <si>
    <t>GAERWEN VIEW T1</t>
  </si>
  <si>
    <t>GEC MARCONI T1 / MORGAN REFRACTORIES T1 / NESTON MAIN T1</t>
  </si>
  <si>
    <t>GIGG LA THELWALL T1 / HILLCLIFFE T1 / STOCKTON HEATH T1 / STRETTON IND EST T1</t>
  </si>
  <si>
    <t>GILBROOK DOCK T1 / HILL RD T1 / MOBIL OIL (WALLASEY) T1</t>
  </si>
  <si>
    <t>GLAN-YR-AFON T1</t>
  </si>
  <si>
    <t>GRAIG FAWR T1</t>
  </si>
  <si>
    <t>GRAVEL T1 / WCB PLASTICS T1 / WHARTON T1</t>
  </si>
  <si>
    <t>GREASBY T1 / SAUGHALL MASSIE T1 / UPTON T1</t>
  </si>
  <si>
    <t>GREAT SANKEY T1 / PENKETH T1 / WIDNES RD T1</t>
  </si>
  <si>
    <t>GREAT SUTTON T1 / LITTLE SUTTON T1 / STRAWBERRY ROUNDABOUT T1 / SUTTON HALL WWB T1 / WHITBY MAIN T2</t>
  </si>
  <si>
    <t>GREENFIELD T1 / GREENFIELD T2</t>
  </si>
  <si>
    <t>GROSVENOR ST T1 / LINENHALL ST T1 / NORTHGATE TERRACE T1 / STATION VIEW T1 / TOMULAR PLACE T1</t>
  </si>
  <si>
    <t>GWERSYLLT T1</t>
  </si>
  <si>
    <t>HALTON RD T1 / MURDISHAW T1 / PERCIVAL LA T4 / RUNCORN CENTRAL T1</t>
  </si>
  <si>
    <t>HARLECH T1</t>
  </si>
  <si>
    <t>HARRINGTON ST T1 / PARADISE ST T1</t>
  </si>
  <si>
    <t>HARRINGTON ST T2 / HIGHFIELD ST T1</t>
  </si>
  <si>
    <t>HARRINGTON ST T3 / LIME ST T1</t>
  </si>
  <si>
    <t>HARTFORD T1</t>
  </si>
  <si>
    <t>HASKAYNE T1</t>
  </si>
  <si>
    <t>HATHERTON T1</t>
  </si>
  <si>
    <t>HERONS WAY T1 / LACHE T1 / MBNA T1 / SMFS KINGSMEADOW T1</t>
  </si>
  <si>
    <t>HIGHFIELD ST T2 / LIME ST T2 / OLD HAYMARKET T1</t>
  </si>
  <si>
    <t>HOLMES CHAPEL T1</t>
  </si>
  <si>
    <t>HOLT LA (WARRINGTON RD) T1 / PRESCOT GRID T1 / RAINHILL LOCAL T1 / WHISTON HOSP T1</t>
  </si>
  <si>
    <t>HOLWAY RD T1</t>
  </si>
  <si>
    <t>HOLYHEAD T1</t>
  </si>
  <si>
    <t>HOLYWELL T1</t>
  </si>
  <si>
    <t>HOOTON MAIN T1</t>
  </si>
  <si>
    <t>HUNTS CROSS T1 / KENTON RD T1 / WOODEND AVE T1 / WOOLTON T1</t>
  </si>
  <si>
    <t>HUYTON HEY RD T1 / WILSON RD T1</t>
  </si>
  <si>
    <t>IFTON T1</t>
  </si>
  <si>
    <t>ILFORDS T1 / KNUTSFORD T1 / MOBBERLEY T1 / RADBROKE HALL T1</t>
  </si>
  <si>
    <t>IVY ST (SOUTHPORT) T1 / KENSINGTON ROAD / MARKET ST T1 / SOUTHPORT T1</t>
  </si>
  <si>
    <t>IVY ST T1 / LLYSFAEN RD T1 / OLD MILL T1</t>
  </si>
  <si>
    <t>JOHNSTOWN T1</t>
  </si>
  <si>
    <t>KELCO T1 / NEWS INTERNATIONAL T1 / NEWS INTERNATIONAL T2 / PALCO T1 / SOUTHDENE T1</t>
  </si>
  <si>
    <t>KINGSLAND 33 T1 / SAFEWAY T1 / WOOLSTON T1 / WOOLSTON T2</t>
  </si>
  <si>
    <t>KINNERTON T1</t>
  </si>
  <si>
    <t>KIRKBY CENTRAL T1 / NORTHWOOD T1 / TOWER HILL (BANK LA) T1 / WESTVALE T1</t>
  </si>
  <si>
    <t>KNOWSLEY T1 / MARLED HEY T1</t>
  </si>
  <si>
    <t>KNUTSFORD T2</t>
  </si>
  <si>
    <t>LCWW HUNTINGTON T1 / LCWW HUNTINGTON T2</t>
  </si>
  <si>
    <t>LEGACY LOCAL T1</t>
  </si>
  <si>
    <t>LEVER SUNLIGHT T1 / LEVER SUNLIGHT T2</t>
  </si>
  <si>
    <t>LIVERPOOL RD 33 T1</t>
  </si>
  <si>
    <t>LLAINGOCH T1</t>
  </si>
  <si>
    <t>LLANARMON T1</t>
  </si>
  <si>
    <t>LLANBEDROG T1</t>
  </si>
  <si>
    <t>LLANBERIS T1</t>
  </si>
  <si>
    <t>LLANDDEUSANT T1</t>
  </si>
  <si>
    <t>LLANDDU QUARRY T1</t>
  </si>
  <si>
    <t>LLANDEGFAN T1</t>
  </si>
  <si>
    <t>LLANDRINIO T1</t>
  </si>
  <si>
    <t>LLANDUDNO T1 / LLANDUDNO T2</t>
  </si>
  <si>
    <t>LLANDYFRYDOG T1</t>
  </si>
  <si>
    <t>LLANDYRNOG T1</t>
  </si>
  <si>
    <t>LLANFAELOG T1</t>
  </si>
  <si>
    <t>LLANFAIR CAEREINION T1</t>
  </si>
  <si>
    <t>LLANFAIR PG T1</t>
  </si>
  <si>
    <t>LLANFAIRFECHAN T1</t>
  </si>
  <si>
    <t>LLANFROTHEN T1</t>
  </si>
  <si>
    <t>LLANFWROG T1 / RUTHIN T1</t>
  </si>
  <si>
    <t>LLANFYLLIN T1 / LLANFYLLIN T2</t>
  </si>
  <si>
    <t>LLANGAFFO T1</t>
  </si>
  <si>
    <t>LLANGEFNI IND EST T1 / LLANGEFNI IND EST T2</t>
  </si>
  <si>
    <t>LLANGEFNI T1</t>
  </si>
  <si>
    <t>LLANGOLLEN T1</t>
  </si>
  <si>
    <t>LLANIDLOES T1 / LLANIDLOES T2</t>
  </si>
  <si>
    <t>LLANILAR T1</t>
  </si>
  <si>
    <t>LLANRWST T1</t>
  </si>
  <si>
    <t>LLANSANNAN T1</t>
  </si>
  <si>
    <t>LLANSILIN T1</t>
  </si>
  <si>
    <t>LLYNCLYS T1</t>
  </si>
  <si>
    <t>LORD ST T1 / MARSHSIDE T1 / MULLARDS BALMORAL DV T1 / SOUTHPORT T2</t>
  </si>
  <si>
    <t>LOSTOCK T1</t>
  </si>
  <si>
    <t>LOSTOCK TRIANGLE T1</t>
  </si>
  <si>
    <t>LOWER BEBINGTON T1 / NEW FERRY T1 / SPITAL T1 / UNILEVER RESEARCH T1</t>
  </si>
  <si>
    <t>LUGSDALE T1 / PILK SULLIVAN T1 / PILK SULLIVAN T2 / USAC T1</t>
  </si>
  <si>
    <t>LYMM T1 / WHITELEGGS LA T1</t>
  </si>
  <si>
    <t>MACHYNLLETH T1</t>
  </si>
  <si>
    <t>MACHYNLLETH T2</t>
  </si>
  <si>
    <t>MAELOR CREAMERY T1</t>
  </si>
  <si>
    <t>MAENTWROG T1</t>
  </si>
  <si>
    <t>MAES-Y-CLAWDD T1</t>
  </si>
  <si>
    <t>MANN ISLAND T1 / MANN ISLAND T2</t>
  </si>
  <si>
    <t>MANOD T1</t>
  </si>
  <si>
    <t>MANOR PK T1 / NORTON CHAINS T1</t>
  </si>
  <si>
    <t>MDHB EGERTON DOCK T1 / MDHB EGERTON DOCK T2</t>
  </si>
  <si>
    <t>MDHB FREEPORT T1</t>
  </si>
  <si>
    <t>MERE T1</t>
  </si>
  <si>
    <t>MIDDLEWICH T1</t>
  </si>
  <si>
    <t>MIDPOINT POCHIN WAY T1</t>
  </si>
  <si>
    <t>MILFORD T1</t>
  </si>
  <si>
    <t>MINFFORDD T1 / PARC BRYN CEGIN T1 / PARC BRYN CEGIN T2</t>
  </si>
  <si>
    <t>MOCHDRE T1</t>
  </si>
  <si>
    <t>MONA T1</t>
  </si>
  <si>
    <t>MONSANTO T1</t>
  </si>
  <si>
    <t>MORDA T1</t>
  </si>
  <si>
    <t>MORGANITE CERAMICS T1 / PLYMYARD T2</t>
  </si>
  <si>
    <t>MORRISONS T1</t>
  </si>
  <si>
    <t>NANTWICH T1</t>
  </si>
  <si>
    <t>NANT-Y-GAMAR T1</t>
  </si>
  <si>
    <t>NEVILL ST T1 / OCEAN PLAZA T1 / YORK RD T1</t>
  </si>
  <si>
    <t>NEW BRIGHTON T1 / SEAVIEW RD T2 / WALLASEY T1 / WALLASEY VILLAGE T1</t>
  </si>
  <si>
    <t>NEWHALL T1 / NEWHALL T2</t>
  </si>
  <si>
    <t>NORTH WALES PAPER T1 / NORTH WALES PAPER T2 / WOODFIELD AVE T1</t>
  </si>
  <si>
    <t>NORTH WEST WATER CAMPUS T1 / NORTH WEST WATER CAMPUS T2 / OMEGA T1 / OMEGA T2 / ORION BOULEVARD T1</t>
  </si>
  <si>
    <t>NORTON SCRAP T1 / NORTON SCRAP T2</t>
  </si>
  <si>
    <t>NWF T1</t>
  </si>
  <si>
    <t>NWW SHELL GREEN T1 / NWW SHELL GREEN T2</t>
  </si>
  <si>
    <t>NWW WOODSIDE T1 / NWW WOODSIDE T2</t>
  </si>
  <si>
    <t>NWWA BROMBOROUGH T1 / NWWA BROMBOROUGH T2</t>
  </si>
  <si>
    <t>OPTICAL FIBRES T1 / SHOTWICK T1 / WALBRO T1</t>
  </si>
  <si>
    <t>ORB CL T1 / STONEBRIDGE LA T1 / STONEBRIDGE LA T2</t>
  </si>
  <si>
    <t>ORFORD T1 / PADGATE T1</t>
  </si>
  <si>
    <t>OTIS ELEVATOR T1 / ST IVEL FOODS T1</t>
  </si>
  <si>
    <t>OVERTON T1</t>
  </si>
  <si>
    <t>PANDY T1 / PANDY T2</t>
  </si>
  <si>
    <t>PARC CYBI T1 / PARC CYBI T2</t>
  </si>
  <si>
    <t>PARC MENAI T1</t>
  </si>
  <si>
    <t>PEBLIC MILLS T1</t>
  </si>
  <si>
    <t>PENMAENMAWR T1</t>
  </si>
  <si>
    <t>PENTRAETH T1</t>
  </si>
  <si>
    <t>PEN-Y-GROES T1</t>
  </si>
  <si>
    <t>PETER SPENCE T1 / PETER SPENCE T2</t>
  </si>
  <si>
    <t>PILKINGTONS GREENGATE WRKS T1 / PILKINGTONS GREENGATE WRKS T2</t>
  </si>
  <si>
    <t>PILKINGTONS HO T1 / SOMERFIELD DISTRIBUTION T1 / RAVENHEAD RETAIL PARK T1</t>
  </si>
  <si>
    <t>PILKINGTONS T1 / PILKINGTONS T2</t>
  </si>
  <si>
    <t>POINT OF AYR COLLIERY T1</t>
  </si>
  <si>
    <t>PORTHMADOG T1 / PORTHMADOG T2</t>
  </si>
  <si>
    <t>PREES T1</t>
  </si>
  <si>
    <t>PRIMROSE HALL T1</t>
  </si>
  <si>
    <t>PWLLHELI T1</t>
  </si>
  <si>
    <t>RADWAY GREEN T1</t>
  </si>
  <si>
    <t>RAF VALLEY T1</t>
  </si>
  <si>
    <t>RAVEN SQUARE T1</t>
  </si>
  <si>
    <t>REFORM ST T1</t>
  </si>
  <si>
    <t>RHM FOODS LTD T1</t>
  </si>
  <si>
    <t>RHOSLAN T1</t>
  </si>
  <si>
    <t>RHUDDLAN T1</t>
  </si>
  <si>
    <t>RHYDLYDAN T2</t>
  </si>
  <si>
    <t>RHYD-Y-FOEL T1</t>
  </si>
  <si>
    <t>RINGWAY T1</t>
  </si>
  <si>
    <t>RIVALS T1</t>
  </si>
  <si>
    <t>ROLLS ROYCE T1 / ROLLS ROYCE T2 / ROLLS ROYCE T3</t>
  </si>
  <si>
    <t>ROSSETT T1</t>
  </si>
  <si>
    <t>ROYAL INSURANCE (NEW QUAY) T1 / ROYAL INSURANCE (NEW QUAY) T2</t>
  </si>
  <si>
    <t>ROYAL LIVERPOOL HOSP T1 / ROYAL LIVERPOOL HOSP T2</t>
  </si>
  <si>
    <t>RUABON T1</t>
  </si>
  <si>
    <t>SALTNEY GRID T1</t>
  </si>
  <si>
    <t>SANDBACH T1</t>
  </si>
  <si>
    <t>SHAWBURY T1</t>
  </si>
  <si>
    <t>SMALLWOOD T1</t>
  </si>
  <si>
    <t>SNOWHILL T1</t>
  </si>
  <si>
    <t>SOLVAY INTEROX T1 / SOLVAY INTEROX T2 / SOLVAY INTEROX T3</t>
  </si>
  <si>
    <t>ST ASAPH BUSINESS PK T1</t>
  </si>
  <si>
    <t>ST HELENS RD T1</t>
  </si>
  <si>
    <t>STAPELEY T1</t>
  </si>
  <si>
    <t>TACO PLASTICS T1 / TACO PLASTICS T2 / UNITED PERIPHERALS T1</t>
  </si>
  <si>
    <t>TARPORLEY T1</t>
  </si>
  <si>
    <t>TARVIN T1</t>
  </si>
  <si>
    <t>TRYWERYN T1</t>
  </si>
  <si>
    <t>TWYFORDS T1</t>
  </si>
  <si>
    <t>TYWYN T1</t>
  </si>
  <si>
    <t>VAUXHALL NORTH RD T1</t>
  </si>
  <si>
    <t>WAENFAWR T1</t>
  </si>
  <si>
    <t>WAVERTREE BOULEVARD T1 / WAVERTREE BOULEVARD T2</t>
  </si>
  <si>
    <t>WELSHPOOL GRID T1</t>
  </si>
  <si>
    <t>WEM EAST T1</t>
  </si>
  <si>
    <t>WEM T1</t>
  </si>
  <si>
    <t>WERVIN T1</t>
  </si>
  <si>
    <t>WEST FELTON T1</t>
  </si>
  <si>
    <t>WESTON T1</t>
  </si>
  <si>
    <t>WHEELOCK T1</t>
  </si>
  <si>
    <t>WHITCHURCH T1</t>
  </si>
  <si>
    <t>WIMPEYS PANT QUARRY T1 / WIMPEYS PANT QUARRY T2</t>
  </si>
  <si>
    <t>WINCHAM T1</t>
  </si>
  <si>
    <t>WISTASTON HALL T1</t>
  </si>
  <si>
    <t>WRENBURY FRITH T1</t>
  </si>
  <si>
    <t>YOCKINGS GATE T1</t>
  </si>
  <si>
    <t>YSBYTY GLAN CLWYD T1</t>
  </si>
  <si>
    <t>British Steelworks T1 T2</t>
  </si>
  <si>
    <t>Yorkshire Imperial metals</t>
  </si>
  <si>
    <t>Solvay Interox T1 T2 T3</t>
  </si>
  <si>
    <t>British Gypsum T1 T2</t>
  </si>
  <si>
    <t xml:space="preserve">Fibreglass </t>
  </si>
  <si>
    <t>M.D.H.B. Freeport</t>
  </si>
  <si>
    <t>NWW Woodside T1 T2</t>
  </si>
  <si>
    <t xml:space="preserve">NWWA Bromborough T1 T2 </t>
  </si>
  <si>
    <t xml:space="preserve">Norton Scrap T1 T2 </t>
  </si>
  <si>
    <t>Dista Products T1 T2 T3 T4</t>
  </si>
  <si>
    <t>Pilkingtons Greengate Works</t>
  </si>
  <si>
    <t>Pilkingtons Plateá T1 &amp; T2</t>
  </si>
  <si>
    <t>Mannis A B</t>
  </si>
  <si>
    <t>Burtonhead Rd</t>
  </si>
  <si>
    <t>Chiron Shaw Road</t>
  </si>
  <si>
    <t>Canada Dock</t>
  </si>
  <si>
    <t>405,505,515,593,768,769,770,771,774,775,776,777,778,779,793,797</t>
  </si>
  <si>
    <t>101,102,103,104,105,106,111,112,113,114,115,116,117,118,119,120,130,131,132,133,134,135,136,137,138,140,141,142,143,145,146,147,148,149,150,153,155,180,201,202,203,205,211,212,231,232,233,234,235,236,237,280,401,402,501,511,591,764,765,781,782,783,784,785,786,787,791,795,900,901,902,903,910</t>
  </si>
  <si>
    <t>405</t>
  </si>
  <si>
    <t>SP Manweb</t>
  </si>
  <si>
    <t>2019/20</t>
  </si>
  <si>
    <t>1 April 2019</t>
  </si>
  <si>
    <t>MSID 7120</t>
  </si>
  <si>
    <t>MSID 7203</t>
  </si>
  <si>
    <t>MSID 0030</t>
  </si>
  <si>
    <t>MSID 0031/32</t>
  </si>
  <si>
    <t>MSID 4532/33</t>
  </si>
  <si>
    <t>TBC 1</t>
  </si>
  <si>
    <t>TBC 2</t>
  </si>
  <si>
    <t>TBC 3</t>
  </si>
  <si>
    <t>TBC 4</t>
  </si>
  <si>
    <t>Beaufort Road</t>
  </si>
  <si>
    <t>Cefyn Mawr</t>
  </si>
  <si>
    <t xml:space="preserve">Carnegie Battery Storage </t>
  </si>
  <si>
    <t>Vauxhall North Rd</t>
  </si>
  <si>
    <t>Four Crosses Diesel</t>
  </si>
  <si>
    <t>MSID 4054</t>
  </si>
  <si>
    <t>MSID 6015</t>
  </si>
  <si>
    <t>Cwm Dyli PS</t>
  </si>
  <si>
    <t>Dolgarrog PS</t>
  </si>
  <si>
    <t>Maentwrog PS</t>
  </si>
  <si>
    <t>SP Manweb - Illustrative LLFs for year beginning 1 April 2019</t>
  </si>
  <si>
    <t>Shell Stanlow</t>
  </si>
  <si>
    <t>Jaguar &amp; Land Rover</t>
  </si>
  <si>
    <t>Innospec</t>
  </si>
  <si>
    <t>Bridgewater Paper</t>
  </si>
  <si>
    <t>General Motors</t>
  </si>
  <si>
    <t>TATA Steel</t>
  </si>
  <si>
    <t>Urenco</t>
  </si>
  <si>
    <t>SafeGuard Bradwell</t>
  </si>
  <si>
    <t>Knauf Insulation</t>
  </si>
  <si>
    <t>Air Products</t>
  </si>
  <si>
    <t>Shell Chemicals</t>
  </si>
  <si>
    <t>Castle Cement</t>
  </si>
  <si>
    <t>Kronospan</t>
  </si>
  <si>
    <t>Albion Inorganic</t>
  </si>
  <si>
    <t>Tyn dryfol PV</t>
  </si>
  <si>
    <t>Hole House Farm</t>
  </si>
  <si>
    <t>Port of Liverpool</t>
  </si>
  <si>
    <t>Combermere Abbey PV</t>
  </si>
  <si>
    <t>Amegni</t>
  </si>
  <si>
    <t>Salt Union</t>
  </si>
  <si>
    <t>Toyota</t>
  </si>
  <si>
    <t>Warmingham Gas Storage</t>
  </si>
  <si>
    <t>Arpley Landfill</t>
  </si>
  <si>
    <t>Amcor</t>
  </si>
  <si>
    <t>PG Strand Gate</t>
  </si>
  <si>
    <t>North Hoyle</t>
  </si>
  <si>
    <t>Cefn Croyes (3)</t>
  </si>
  <si>
    <t>Cefn Croyes (4)</t>
  </si>
  <si>
    <t>Tir Mostyn</t>
  </si>
  <si>
    <t>Granox</t>
  </si>
  <si>
    <t>Braich Ddu</t>
  </si>
  <si>
    <t>Widnes Biomass</t>
  </si>
  <si>
    <t>Moel Maelogan 2</t>
  </si>
  <si>
    <t>Trafalgar Dock</t>
  </si>
  <si>
    <t>Wern Ddu</t>
  </si>
  <si>
    <t>Rhyl Flats</t>
  </si>
  <si>
    <t>Cemmaes B</t>
  </si>
  <si>
    <t>Penrhyddlan</t>
  </si>
  <si>
    <t>Rheidol</t>
  </si>
  <si>
    <t>Carno B</t>
  </si>
  <si>
    <t>Carno A</t>
  </si>
  <si>
    <t>Trysglwyn</t>
  </si>
  <si>
    <t>Llanabo</t>
  </si>
  <si>
    <t>Ebnal Lodge PV</t>
  </si>
  <si>
    <t>Quinn Glass</t>
  </si>
  <si>
    <t>Liverpool Int Bus Park</t>
  </si>
  <si>
    <t>Twemelows Hall PV</t>
  </si>
  <si>
    <t>Kinmel Estate Solar Park</t>
  </si>
  <si>
    <t>PG Winnington</t>
  </si>
  <si>
    <t>Airbus UK Ltd (33kV)</t>
  </si>
  <si>
    <t>BHP</t>
  </si>
  <si>
    <t>SP Manweb - Effective from 1 April 2019 - Final LV and HV charges</t>
  </si>
  <si>
    <t>8&amp;0</t>
  </si>
  <si>
    <t>SP Manweb - Effective from 1 April 2019 - Final EDCM charges</t>
  </si>
  <si>
    <t>GrowHow</t>
  </si>
  <si>
    <t>Williams Farm Solar Park</t>
  </si>
  <si>
    <t>Kimberley Clark</t>
  </si>
  <si>
    <t>Parciau Solar Park</t>
  </si>
  <si>
    <t>Ineos Chlor Ltd (Percival Lane)</t>
  </si>
  <si>
    <t>Cemmaes C</t>
  </si>
  <si>
    <t>Moel Maelogan (A)</t>
  </si>
  <si>
    <t>Moel Maelogan (B)</t>
  </si>
  <si>
    <t>Mynydd Clogau</t>
  </si>
  <si>
    <t>Tai Moelion</t>
  </si>
  <si>
    <t>Llidartywaun</t>
  </si>
  <si>
    <t>Rhyd y Groes</t>
  </si>
  <si>
    <t>Llangwyrfon</t>
  </si>
  <si>
    <t>Storenergy (Lostock)</t>
  </si>
  <si>
    <t>Teyrdan</t>
  </si>
  <si>
    <t>Parc Adfer</t>
  </si>
  <si>
    <t>Hadley Solar Park</t>
  </si>
  <si>
    <t>Charity Farm Solar Park</t>
  </si>
  <si>
    <t>Mynydd Gorduu</t>
  </si>
  <si>
    <t xml:space="preserve">Winsford Salt </t>
  </si>
  <si>
    <t>TBA</t>
  </si>
  <si>
    <t>Nefyn</t>
  </si>
  <si>
    <t>Frodsham WF 1</t>
  </si>
  <si>
    <t>Frodsham WF 2</t>
  </si>
  <si>
    <t>Ince Biomass</t>
  </si>
  <si>
    <t>Tirgwynt Wind Farm</t>
  </si>
  <si>
    <t>Percival Lane STOR</t>
  </si>
  <si>
    <t>Stanlow STOR</t>
  </si>
  <si>
    <t>Network Rail (Crewe)</t>
  </si>
  <si>
    <t>Network Rail (Speke)</t>
  </si>
  <si>
    <t>Network Rail (Bankhall)</t>
  </si>
  <si>
    <t>Network Rail (Bromborough)</t>
  </si>
  <si>
    <t>Network Rail (Shore Road)</t>
  </si>
  <si>
    <t>Shotton Paper</t>
  </si>
  <si>
    <t>Burbo Bank</t>
  </si>
  <si>
    <t>Risley</t>
  </si>
  <si>
    <t>Bold</t>
  </si>
  <si>
    <t>Royal London Insurance</t>
  </si>
  <si>
    <t>Amerdale Ltd</t>
  </si>
  <si>
    <t>United Biscuits (Uk) Ltd</t>
  </si>
  <si>
    <t>Brocklebank Dock</t>
  </si>
  <si>
    <t>Bruntwood Limited</t>
  </si>
  <si>
    <t>L'pool Daily Post &amp; Echo</t>
  </si>
  <si>
    <t>University Of Liverpool</t>
  </si>
  <si>
    <t>Norwepp Ltd</t>
  </si>
  <si>
    <t>New Capital Dev Ltd</t>
  </si>
  <si>
    <t>Chiron Vaccines Ltd</t>
  </si>
  <si>
    <t>Bruntwood Ltd (Warrington)</t>
  </si>
  <si>
    <t>SCA Limited</t>
  </si>
  <si>
    <t>UU Water Plc - Sutton Hall</t>
  </si>
  <si>
    <t>Dairy Crest Ltd</t>
  </si>
  <si>
    <t>Tetra Pak Manufacturing Uk Ltd</t>
  </si>
  <si>
    <t>Hydro Aluminium Deeside Ltd</t>
  </si>
  <si>
    <t>British Polythene Industries Plc</t>
  </si>
  <si>
    <t>Stanton Land And Marine Ltd</t>
  </si>
  <si>
    <t>Bombardier UK Ltd</t>
  </si>
  <si>
    <t>Bentley Motor Cars Ltd</t>
  </si>
  <si>
    <t>Tarmac Limited</t>
  </si>
  <si>
    <t>Texplan</t>
  </si>
  <si>
    <t>SCA</t>
  </si>
  <si>
    <t>Somerfield Plc</t>
  </si>
  <si>
    <t>Alliance &amp; Leicester Plc</t>
  </si>
  <si>
    <t>Dairy Crest</t>
  </si>
  <si>
    <t>Yorkshire Copper Tube Ltd</t>
  </si>
  <si>
    <t>Kodak Ltd</t>
  </si>
  <si>
    <t>Thyssen Krupp (Group)</t>
  </si>
  <si>
    <t>New Horizon Global Ltd</t>
  </si>
  <si>
    <t>Seaforth Cornmill</t>
  </si>
  <si>
    <t>News International Plc</t>
  </si>
  <si>
    <t>Essex International Limited</t>
  </si>
  <si>
    <t>Elizabeth II Law Courts</t>
  </si>
  <si>
    <t>Downing Property Services Ltd</t>
  </si>
  <si>
    <t>Liverpool Airport</t>
  </si>
  <si>
    <t>HP Chemie Pelzer Uk Ltd</t>
  </si>
  <si>
    <t>Novelis Uk Ltd</t>
  </si>
  <si>
    <t>PQ Silicas UK Ltd</t>
  </si>
  <si>
    <t>Baronet Works</t>
  </si>
  <si>
    <t>Unifrax Ltd</t>
  </si>
  <si>
    <t>Delta Metals</t>
  </si>
  <si>
    <t>M Baker Recycling Limited</t>
  </si>
  <si>
    <t>BOC Limited</t>
  </si>
  <si>
    <t>Daresbury Laboratory</t>
  </si>
  <si>
    <t>Gypsum</t>
  </si>
  <si>
    <t>Dyson Group Plc</t>
  </si>
  <si>
    <t>Rockwood Additives Ltd</t>
  </si>
  <si>
    <t>Greif Uk Ltd</t>
  </si>
  <si>
    <t>BP International Limited</t>
  </si>
  <si>
    <t>Shell UK Limited</t>
  </si>
  <si>
    <t>Owens Corning UK</t>
  </si>
  <si>
    <t>Cadbury Schweppes Plc</t>
  </si>
  <si>
    <t>Kelloggs Company Of GB Ltd</t>
  </si>
  <si>
    <t>Bryn Lane Properties Llp</t>
  </si>
  <si>
    <t>BICC Wrexham</t>
  </si>
  <si>
    <t>M&amp;S Financial Services</t>
  </si>
  <si>
    <t>Element Six Production Ltd</t>
  </si>
  <si>
    <t>Barry Callebaut (Uk) Ltd</t>
  </si>
  <si>
    <t>Caparo Steel Products Ltd</t>
  </si>
  <si>
    <t>Thermal Ceramics Ltd</t>
  </si>
  <si>
    <t>Egerton Dock</t>
  </si>
  <si>
    <t>Shell UK</t>
  </si>
  <si>
    <t>Mobil Sasol</t>
  </si>
  <si>
    <t>Burtons Foods Ltd</t>
  </si>
  <si>
    <t>Unilever UK</t>
  </si>
  <si>
    <t>Champion Properties LLP</t>
  </si>
  <si>
    <t>Nestle UK Ltd</t>
  </si>
  <si>
    <t>A&amp;P Falmouth Ltd</t>
  </si>
  <si>
    <t>Barclays Bank Plc</t>
  </si>
  <si>
    <t>Harman Technology Limited</t>
  </si>
  <si>
    <t xml:space="preserve">Twyfords Bathrooms </t>
  </si>
  <si>
    <t>Morning Foods Limited</t>
  </si>
  <si>
    <t>Fisons</t>
  </si>
  <si>
    <t>N W F Ltd</t>
  </si>
  <si>
    <t>Linpac Wcb</t>
  </si>
  <si>
    <t>Britton Group Plc</t>
  </si>
  <si>
    <t>Synthite</t>
  </si>
  <si>
    <t>Novar Plc</t>
  </si>
  <si>
    <t>Bangor Hospital (Health Sup)</t>
  </si>
  <si>
    <t>Bourne Leisure Limited</t>
  </si>
  <si>
    <t>Rehau Ltd</t>
  </si>
  <si>
    <t>University Of Wales</t>
  </si>
  <si>
    <t>Smiths Group Plc</t>
  </si>
  <si>
    <t>Yardley Plastic</t>
  </si>
  <si>
    <t>Tulip International Ltd</t>
  </si>
  <si>
    <t>Unilever Research</t>
  </si>
  <si>
    <t>Seaforth</t>
  </si>
  <si>
    <t>Decoma-Merplas</t>
  </si>
  <si>
    <t>Gilbrook Dock</t>
  </si>
  <si>
    <t>UU Water Plc - Woodside</t>
  </si>
  <si>
    <t>UU Water Plc - Bromborough</t>
  </si>
  <si>
    <t>S Norton &amp; Co. Ltd</t>
  </si>
  <si>
    <t>MOD - RAF Sealand</t>
  </si>
  <si>
    <t>Healthcare Distribution</t>
  </si>
  <si>
    <t>Aluminium Powder Company</t>
  </si>
  <si>
    <t>Chiron Vaccines</t>
  </si>
  <si>
    <t>ESP</t>
  </si>
  <si>
    <t>Neptune (Mann Island)</t>
  </si>
  <si>
    <t>L.A.H. Teaching Hospital</t>
  </si>
  <si>
    <t>UU Water Plc - Sandon Dock</t>
  </si>
  <si>
    <t>UU Water Plc Gateworth Sewage</t>
  </si>
  <si>
    <t>UU Water Plc - Huntington</t>
  </si>
  <si>
    <t>UU Water Plc - Shell Green</t>
  </si>
  <si>
    <t>Eli Lilly &amp; Co</t>
  </si>
  <si>
    <t>Pilkington Glass - Greengate</t>
  </si>
  <si>
    <t>Pilkington Glass - Cowley Hill</t>
  </si>
  <si>
    <t>Iceland</t>
  </si>
  <si>
    <t>Meadow Foods Ltd</t>
  </si>
  <si>
    <t>Wirral Hospital</t>
  </si>
  <si>
    <t>Conway &amp; Denbighshire NHS Trust</t>
  </si>
  <si>
    <t>Morrisons (Dist Centre)</t>
  </si>
  <si>
    <t>Mersey Travel (Mann Island)</t>
  </si>
  <si>
    <t>Pilkington Glass HO</t>
  </si>
  <si>
    <t>Mod - Raf Valley</t>
  </si>
  <si>
    <t>Mod - Shawbury</t>
  </si>
  <si>
    <t>Crewe Station</t>
  </si>
  <si>
    <t>Merseyside PTA</t>
  </si>
  <si>
    <t>Mackamax Primary</t>
  </si>
  <si>
    <t>Whiston Hospital</t>
  </si>
  <si>
    <t>Maw Green 2</t>
  </si>
  <si>
    <t>Pilkington Glass - Watson Street</t>
  </si>
  <si>
    <t>BAE Radway</t>
  </si>
  <si>
    <t>Aintree Fazakerly Hospital</t>
  </si>
  <si>
    <t>Unilever (Chester Gates)</t>
  </si>
  <si>
    <t>Unilever (Georgia)</t>
  </si>
  <si>
    <t>Royal Liverpool Hospital</t>
  </si>
  <si>
    <t>Queensferry Diesel</t>
  </si>
  <si>
    <t>Mersey Warf STOR</t>
  </si>
  <si>
    <t>Pilkington's STOR</t>
  </si>
  <si>
    <t>SP Manweb - Effective from 1 April 2019 - Final LV and HV tariffs</t>
  </si>
  <si>
    <t>SP Manweb - Effective from 1 April 2019 - Final LDNO tariffs</t>
  </si>
  <si>
    <t>33kV generic Import</t>
  </si>
  <si>
    <t>33kV generic Export</t>
  </si>
  <si>
    <t>132kV generic Import</t>
  </si>
  <si>
    <t>132kV generic Export</t>
  </si>
  <si>
    <t>Burbo Bank Windfarm</t>
  </si>
  <si>
    <t>Risley DSCP</t>
  </si>
  <si>
    <t>Bold DSCP</t>
  </si>
  <si>
    <t>Brenig Wind Farm</t>
  </si>
  <si>
    <t>Griffiths Road STOR</t>
  </si>
  <si>
    <t>Warrington Pwr Slutcher</t>
  </si>
  <si>
    <t>Latchford Lane STOR</t>
  </si>
  <si>
    <t>CEW</t>
  </si>
  <si>
    <t>01/04/2019</t>
  </si>
  <si>
    <t>Alpoco Orthios Eco Park</t>
  </si>
  <si>
    <t>Altcar Rifle Range Estate</t>
  </si>
  <si>
    <t>As detailed in Annex 1</t>
  </si>
  <si>
    <t>Preserved tariffs are only available to existing supplies, subject to certain conditions:
a)  Suppliers may not normally transfer a meter point from one preserved tariff to another preserved tariff;
b)  If a supply under a preserved tariff should cease, other than on change of tenancy, the preserved tariff may not normally be restored;
c)  Any additional load requried to be supplied on the preserved tariff must be within the existing supply capacity.</t>
  </si>
  <si>
    <t xml:space="preserve">
SP Manweb  uses a default tariff for invalid settlement combinations these will be charged at the Domestic Unrestricted Rates.
The Domestic and Non-Domestic Off Peak (related MPAN) tariffs are supplementary to a standard published tariff and therefore only available under these conditions.
Preserved tariffs are only available to existing supplies, subject to certain conditions:
a)  Suppliers may not normally transfer a meter point from one preserved tariff to another preserved tariff;
b)  If a supply under a preserved tariff should cease, other than on change of tenancy, the preserved tariff may not normally be restored;
c)  Any additional load requried to be supplied on the preserved tariff must be within the existing supply capacity.
</t>
  </si>
  <si>
    <r>
      <t>Domestic Unrestricted</t>
    </r>
    <r>
      <rPr>
        <b/>
        <sz val="14"/>
        <rFont val="Arial"/>
        <family val="2"/>
      </rPr>
      <t>*</t>
    </r>
  </si>
  <si>
    <r>
      <t>Domestic Two Rate</t>
    </r>
    <r>
      <rPr>
        <b/>
        <sz val="14"/>
        <rFont val="Arial"/>
        <family val="2"/>
      </rPr>
      <t>*</t>
    </r>
  </si>
  <si>
    <r>
      <t>LV Network Domestic</t>
    </r>
    <r>
      <rPr>
        <b/>
        <sz val="14"/>
        <rFont val="Arial"/>
        <family val="2"/>
      </rPr>
      <t>*</t>
    </r>
  </si>
  <si>
    <r>
      <rPr>
        <b/>
        <i/>
        <sz val="14"/>
        <rFont val="Calibri"/>
        <family val="2"/>
      </rPr>
      <t>*</t>
    </r>
    <r>
      <rPr>
        <b/>
        <i/>
        <sz val="11"/>
        <rFont val="Calibri"/>
        <family val="2"/>
      </rPr>
      <t>Supplier of Last Resort increases to the Fixed Charges for the Domestic Unrestricted, Domestic Two Rate and LV Domestic Network tariffs.  The increase for each of these tariffs is 0.08p/MPAN/day.  No other tariffs affected by this change.</t>
    </r>
  </si>
  <si>
    <r>
      <rPr>
        <sz val="14"/>
        <rFont val="Arial"/>
        <family val="2"/>
      </rPr>
      <t>*</t>
    </r>
    <r>
      <rPr>
        <sz val="8"/>
        <rFont val="Arial"/>
        <family val="2"/>
      </rPr>
      <t>Supplier of Last Resort increases to the Fixed Charges for the Domestic Unrestricted, Domestic Two Rate and LV Domestic Network tariffs.  The increase for each of these tariffs is 0.08p/MPAN/day.  No other tariffs affected by this change.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</si>
</sst>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0.00_-;\-* #,##0.00_-;_-* &quot;-&quot;??_-;_-@_-"/>
    <numFmt numFmtId="164" formatCode="0.00_ ;[Red]\-0.00\ "/>
    <numFmt numFmtId="165" formatCode="0.000"/>
    <numFmt numFmtId="166" formatCode="#,##0.000"/>
    <numFmt numFmtId="167" formatCode="\ _(???,???,??0.00_);[Red]\ \(???,???,??0.00\);"/>
    <numFmt numFmtId="168" formatCode="0000"/>
    <numFmt numFmtId="169" formatCode="00000"/>
    <numFmt numFmtId="170" formatCode="0.000_ ;[Red]\-0.000\ "/>
    <numFmt numFmtId="171" formatCode="0.00;[Red]\-0.00;?;"/>
    <numFmt numFmtId="172" formatCode="#,##0;\-#,##0;;"/>
    <numFmt numFmtId="173" formatCode="000"/>
    <numFmt numFmtId="174" formatCode="#,##0;[Red]\-#,##0;;"/>
    <numFmt numFmtId="175" formatCode="0.000;[Red]\-0.000;?;"/>
    <numFmt numFmtId="176" formatCode="0.000_ ;\-0.000\ "/>
    <numFmt numFmtId="177" formatCode="_-* #,##0.0000_-;\-* #,##0.0000_-;_-* &quot;-&quot;??_-;_-@_-"/>
    <numFmt numFmtId="178" formatCode="[Black]\ _(???,??0.000_);[Red]\ \(???,??0.000\);;[Cyan]@"/>
    <numFmt numFmtId="179" formatCode="_-* #,##0.000_-;\-* #,##0.000_-;_-* &quot;-&quot;??_-;_-@_-"/>
  </numFmts>
  <fonts count="39" x14ac:knownFonts="1">
    <font>
      <sz val="10"/>
      <name val="Arial"/>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1"/>
      <color indexed="8"/>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0"/>
      <name val="Calibri"/>
      <family val="2"/>
      <scheme val="minor"/>
    </font>
    <font>
      <sz val="11"/>
      <color theme="1"/>
      <name val="Calibri"/>
      <family val="2"/>
      <scheme val="minor"/>
    </font>
    <font>
      <sz val="11"/>
      <color theme="3"/>
      <name val="Arial"/>
      <family val="2"/>
    </font>
    <font>
      <sz val="10"/>
      <color rgb="FF9C6500"/>
      <name val="Arial"/>
      <family val="2"/>
    </font>
    <font>
      <b/>
      <sz val="14"/>
      <color rgb="FFFF0000"/>
      <name val="Arial"/>
      <family val="2"/>
    </font>
    <font>
      <sz val="10"/>
      <name val="Arial"/>
      <family val="2"/>
    </font>
    <font>
      <sz val="11"/>
      <color rgb="FFFF00FF"/>
      <name val="Calibri"/>
      <family val="2"/>
      <scheme val="minor"/>
    </font>
    <font>
      <sz val="10"/>
      <color indexed="8"/>
      <name val="Calibri"/>
      <family val="2"/>
      <scheme val="minor"/>
    </font>
    <font>
      <b/>
      <i/>
      <sz val="11"/>
      <name val="Calibri"/>
      <family val="2"/>
    </font>
    <font>
      <b/>
      <sz val="14"/>
      <name val="Arial"/>
      <family val="2"/>
    </font>
    <font>
      <b/>
      <i/>
      <sz val="14"/>
      <name val="Calibri"/>
      <family val="2"/>
    </font>
  </fonts>
  <fills count="38">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theme="4" tint="0.79998168889431442"/>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0" tint="-0.249977111117893"/>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8">
    <xf numFmtId="0" fontId="0" fillId="0" borderId="0"/>
    <xf numFmtId="0" fontId="3" fillId="0" borderId="0"/>
    <xf numFmtId="0" fontId="10" fillId="0" borderId="0" applyNumberFormat="0" applyFill="0" applyBorder="0" applyAlignment="0" applyProtection="0"/>
    <xf numFmtId="0" fontId="11" fillId="5" borderId="7" applyNumberFormat="0" applyAlignment="0" applyProtection="0"/>
    <xf numFmtId="0" fontId="12" fillId="0" borderId="0" applyNumberFormat="0" applyFill="0" applyBorder="0" applyAlignment="0" applyProtection="0">
      <alignment vertical="top"/>
      <protection locked="0"/>
    </xf>
    <xf numFmtId="0" fontId="18" fillId="0" borderId="9" applyNumberFormat="0" applyFill="0" applyAlignment="0" applyProtection="0"/>
    <xf numFmtId="0" fontId="10" fillId="0" borderId="10" applyNumberFormat="0" applyFill="0" applyAlignment="0" applyProtection="0"/>
    <xf numFmtId="0" fontId="5" fillId="0" borderId="0"/>
    <xf numFmtId="43" fontId="5" fillId="0" borderId="0" applyFont="0" applyFill="0" applyBorder="0" applyAlignment="0" applyProtection="0"/>
    <xf numFmtId="0" fontId="24" fillId="24" borderId="0" applyNumberFormat="0" applyBorder="0" applyAlignment="0" applyProtection="0"/>
    <xf numFmtId="0" fontId="2" fillId="6" borderId="0" applyNumberFormat="0" applyBorder="0" applyAlignment="0" applyProtection="0"/>
    <xf numFmtId="0" fontId="24" fillId="25" borderId="0" applyNumberFormat="0" applyBorder="0" applyAlignment="0" applyProtection="0"/>
    <xf numFmtId="0" fontId="24" fillId="26" borderId="0" applyNumberFormat="0" applyBorder="0" applyAlignment="0" applyProtection="0"/>
    <xf numFmtId="0" fontId="2" fillId="27" borderId="0" applyNumberFormat="0" applyBorder="0" applyAlignment="0" applyProtection="0"/>
    <xf numFmtId="0" fontId="24" fillId="28" borderId="0" applyNumberFormat="0" applyBorder="0" applyAlignment="0" applyProtection="0"/>
    <xf numFmtId="0" fontId="29" fillId="0" borderId="0"/>
    <xf numFmtId="0" fontId="31" fillId="36" borderId="0" applyNumberFormat="0" applyBorder="0" applyAlignment="0" applyProtection="0"/>
    <xf numFmtId="43" fontId="33" fillId="0" borderId="0" applyFont="0" applyFill="0" applyBorder="0" applyAlignment="0" applyProtection="0"/>
  </cellStyleXfs>
  <cellXfs count="304">
    <xf numFmtId="0" fontId="0" fillId="0" borderId="0" xfId="0"/>
    <xf numFmtId="0" fontId="5" fillId="0" borderId="1" xfId="0" applyFont="1" applyBorder="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7" fillId="2" borderId="0" xfId="0" applyFont="1" applyFill="1" applyAlignment="1">
      <alignment vertical="center"/>
    </xf>
    <xf numFmtId="0" fontId="0" fillId="0" borderId="1" xfId="0" applyBorder="1" applyAlignment="1">
      <alignment vertical="center"/>
    </xf>
    <xf numFmtId="0" fontId="5" fillId="0" borderId="0" xfId="0" applyFont="1" applyBorder="1" applyAlignment="1">
      <alignment wrapText="1"/>
    </xf>
    <xf numFmtId="0" fontId="6" fillId="0" borderId="0" xfId="0" applyFont="1" applyBorder="1" applyAlignment="1">
      <alignment vertical="top" wrapText="1"/>
    </xf>
    <xf numFmtId="0" fontId="0" fillId="0" borderId="0" xfId="0" applyBorder="1"/>
    <xf numFmtId="0" fontId="13" fillId="2" borderId="0" xfId="4" applyFont="1" applyFill="1" applyAlignment="1" applyProtection="1">
      <alignment vertical="center"/>
    </xf>
    <xf numFmtId="0" fontId="6" fillId="7" borderId="1" xfId="0" applyFont="1" applyFill="1" applyBorder="1" applyAlignment="1">
      <alignment horizontal="center" vertical="center" wrapText="1"/>
    </xf>
    <xf numFmtId="0" fontId="5" fillId="0" borderId="1" xfId="0" quotePrefix="1" applyFont="1" applyBorder="1" applyAlignment="1">
      <alignment horizontal="left" vertical="top" wrapText="1"/>
    </xf>
    <xf numFmtId="0" fontId="6" fillId="7" borderId="1" xfId="0" applyFont="1" applyFill="1" applyBorder="1" applyAlignment="1" applyProtection="1">
      <alignment vertical="center" wrapText="1"/>
      <protection locked="0"/>
    </xf>
    <xf numFmtId="0" fontId="14" fillId="4" borderId="1" xfId="0" applyFont="1" applyFill="1" applyBorder="1" applyAlignment="1" applyProtection="1">
      <alignment horizontal="center" vertical="center" wrapText="1"/>
      <protection locked="0"/>
    </xf>
    <xf numFmtId="0" fontId="6" fillId="7" borderId="1" xfId="0" applyFont="1" applyFill="1" applyBorder="1" applyAlignment="1" applyProtection="1">
      <alignment horizontal="center" vertical="center" wrapText="1"/>
      <protection locked="0"/>
    </xf>
    <xf numFmtId="0" fontId="5" fillId="4" borderId="1" xfId="0" applyFont="1" applyFill="1" applyBorder="1" applyAlignment="1">
      <alignment horizontal="center" vertical="center" wrapText="1"/>
    </xf>
    <xf numFmtId="0" fontId="5" fillId="0" borderId="1" xfId="0" quotePrefix="1" applyFont="1" applyBorder="1" applyAlignment="1">
      <alignment horizontal="center" vertical="center" wrapText="1"/>
    </xf>
    <xf numFmtId="0" fontId="5" fillId="0" borderId="6" xfId="0" applyFont="1" applyBorder="1" applyAlignment="1">
      <alignment horizontal="center" vertical="center" wrapText="1"/>
    </xf>
    <xf numFmtId="0" fontId="5" fillId="2" borderId="0" xfId="0" applyFont="1" applyFill="1" applyAlignment="1">
      <alignment vertical="center"/>
    </xf>
    <xf numFmtId="0" fontId="0" fillId="0" borderId="0" xfId="0" applyProtection="1">
      <protection locked="0"/>
    </xf>
    <xf numFmtId="0" fontId="6" fillId="7" borderId="1" xfId="0" applyFont="1" applyFill="1" applyBorder="1" applyAlignment="1" applyProtection="1">
      <alignment horizontal="center" vertical="center" wrapText="1"/>
    </xf>
    <xf numFmtId="0" fontId="6" fillId="7" borderId="1" xfId="0" applyFont="1" applyFill="1" applyBorder="1" applyAlignment="1" applyProtection="1">
      <alignment vertical="center" wrapText="1"/>
    </xf>
    <xf numFmtId="49" fontId="14" fillId="8" borderId="1" xfId="0" applyNumberFormat="1" applyFont="1" applyFill="1" applyBorder="1" applyAlignment="1" applyProtection="1">
      <alignment horizontal="center" vertical="center" wrapText="1"/>
      <protection locked="0"/>
    </xf>
    <xf numFmtId="0" fontId="6" fillId="7" borderId="1" xfId="0" quotePrefix="1" applyFont="1" applyFill="1" applyBorder="1" applyAlignment="1">
      <alignment horizontal="center" vertical="center" wrapText="1"/>
    </xf>
    <xf numFmtId="49" fontId="15" fillId="5" borderId="7" xfId="3" applyNumberFormat="1" applyFont="1" applyAlignment="1" applyProtection="1">
      <alignment horizontal="center" vertical="center" wrapText="1"/>
      <protection locked="0"/>
    </xf>
    <xf numFmtId="167" fontId="17" fillId="14" borderId="1" xfId="0" applyNumberFormat="1" applyFont="1" applyFill="1" applyBorder="1" applyAlignment="1" applyProtection="1">
      <alignment horizontal="center" vertical="center"/>
      <protection locked="0"/>
    </xf>
    <xf numFmtId="0" fontId="6" fillId="13" borderId="1" xfId="0" quotePrefix="1" applyFont="1" applyFill="1" applyBorder="1" applyAlignment="1">
      <alignment horizontal="center" vertical="center" wrapText="1"/>
    </xf>
    <xf numFmtId="167" fontId="17" fillId="15" borderId="1" xfId="0" applyNumberFormat="1" applyFont="1" applyFill="1" applyBorder="1" applyAlignment="1" applyProtection="1">
      <alignment horizontal="center" vertical="center"/>
      <protection locked="0"/>
    </xf>
    <xf numFmtId="0" fontId="6" fillId="16" borderId="1" xfId="0" quotePrefix="1" applyFont="1" applyFill="1" applyBorder="1" applyAlignment="1">
      <alignment horizontal="center" vertical="center" wrapText="1"/>
    </xf>
    <xf numFmtId="49" fontId="5" fillId="9" borderId="1" xfId="0" applyNumberFormat="1" applyFont="1" applyFill="1" applyBorder="1" applyAlignment="1" applyProtection="1">
      <alignment horizontal="left" vertical="top" wrapText="1"/>
      <protection locked="0"/>
    </xf>
    <xf numFmtId="49" fontId="0" fillId="9" borderId="1" xfId="0" applyNumberFormat="1" applyFill="1" applyBorder="1" applyAlignment="1" applyProtection="1">
      <alignment horizontal="left" vertical="top" wrapText="1"/>
      <protection locked="0"/>
    </xf>
    <xf numFmtId="0" fontId="6" fillId="7" borderId="1" xfId="0" quotePrefix="1" applyFont="1" applyFill="1" applyBorder="1" applyAlignment="1" applyProtection="1">
      <alignment horizontal="center" vertical="center" wrapText="1"/>
    </xf>
    <xf numFmtId="0" fontId="5" fillId="0" borderId="0" xfId="7" applyAlignment="1">
      <alignment horizontal="center" vertical="top" wrapText="1"/>
    </xf>
    <xf numFmtId="0" fontId="5" fillId="0" borderId="0" xfId="7"/>
    <xf numFmtId="0" fontId="5" fillId="0" borderId="0" xfId="7" applyAlignment="1">
      <alignment horizontal="left"/>
    </xf>
    <xf numFmtId="0" fontId="5" fillId="0" borderId="0" xfId="7" applyAlignment="1">
      <alignment horizontal="center" vertical="center" wrapText="1"/>
    </xf>
    <xf numFmtId="49" fontId="20" fillId="8" borderId="1" xfId="0" applyNumberFormat="1" applyFont="1" applyFill="1" applyBorder="1" applyAlignment="1" applyProtection="1">
      <alignment horizontal="center" vertical="center" wrapText="1"/>
      <protection locked="0"/>
    </xf>
    <xf numFmtId="170" fontId="20" fillId="9" borderId="1" xfId="0" applyNumberFormat="1" applyFont="1" applyFill="1" applyBorder="1" applyAlignment="1" applyProtection="1">
      <alignment horizontal="center" vertical="center"/>
      <protection locked="0"/>
    </xf>
    <xf numFmtId="170" fontId="20" fillId="3" borderId="1" xfId="0" applyNumberFormat="1" applyFont="1" applyFill="1" applyBorder="1" applyAlignment="1" applyProtection="1">
      <alignment horizontal="center" vertical="center"/>
      <protection locked="0"/>
    </xf>
    <xf numFmtId="2" fontId="20" fillId="10" borderId="1" xfId="0" applyNumberFormat="1" applyFont="1" applyFill="1" applyBorder="1" applyAlignment="1" applyProtection="1">
      <alignment horizontal="center" vertical="center"/>
      <protection locked="0"/>
    </xf>
    <xf numFmtId="0" fontId="20" fillId="8" borderId="1" xfId="0" applyFont="1" applyFill="1" applyBorder="1" applyAlignment="1" applyProtection="1">
      <alignment horizontal="center" vertical="center" wrapText="1"/>
      <protection locked="0"/>
    </xf>
    <xf numFmtId="3" fontId="20" fillId="8" borderId="1" xfId="0" applyNumberFormat="1" applyFont="1" applyFill="1" applyBorder="1" applyAlignment="1" applyProtection="1">
      <alignment horizontal="center" vertical="center" wrapText="1"/>
      <protection locked="0"/>
    </xf>
    <xf numFmtId="0" fontId="22" fillId="0" borderId="1" xfId="1" applyFont="1" applyFill="1" applyBorder="1" applyAlignment="1" applyProtection="1">
      <alignment horizontal="center" vertical="center" wrapText="1"/>
    </xf>
    <xf numFmtId="164" fontId="20" fillId="10" borderId="1" xfId="0" applyNumberFormat="1" applyFont="1" applyFill="1" applyBorder="1" applyAlignment="1" applyProtection="1">
      <alignment horizontal="center" vertical="center"/>
      <protection locked="0"/>
    </xf>
    <xf numFmtId="164" fontId="20" fillId="3" borderId="1" xfId="0" applyNumberFormat="1" applyFont="1" applyFill="1" applyBorder="1" applyAlignment="1" applyProtection="1">
      <alignment horizontal="center" vertical="center"/>
      <protection locked="0"/>
    </xf>
    <xf numFmtId="0" fontId="20" fillId="0" borderId="1" xfId="0" applyFont="1" applyBorder="1" applyAlignment="1" applyProtection="1">
      <alignment horizontal="center" vertical="center" wrapText="1"/>
    </xf>
    <xf numFmtId="49" fontId="5" fillId="9" borderId="1" xfId="0" quotePrefix="1" applyNumberFormat="1" applyFont="1" applyFill="1" applyBorder="1" applyAlignment="1" applyProtection="1">
      <alignment horizontal="left" vertical="center" wrapText="1"/>
      <protection locked="0"/>
    </xf>
    <xf numFmtId="49" fontId="5" fillId="9" borderId="1" xfId="0" applyNumberFormat="1" applyFont="1" applyFill="1" applyBorder="1" applyAlignment="1" applyProtection="1">
      <alignment horizontal="left" vertical="center" wrapText="1"/>
      <protection locked="0"/>
    </xf>
    <xf numFmtId="49" fontId="0" fillId="9" borderId="1" xfId="0" applyNumberFormat="1" applyFill="1" applyBorder="1" applyAlignment="1" applyProtection="1">
      <alignment horizontal="left" vertical="center" wrapText="1"/>
      <protection locked="0"/>
    </xf>
    <xf numFmtId="0" fontId="0" fillId="17" borderId="0" xfId="0" applyFill="1"/>
    <xf numFmtId="0" fontId="12" fillId="2" borderId="0" xfId="4" applyFont="1" applyFill="1" applyAlignment="1" applyProtection="1">
      <alignment vertical="center"/>
    </xf>
    <xf numFmtId="0" fontId="5" fillId="2" borderId="8" xfId="7" quotePrefix="1" applyFont="1" applyFill="1" applyBorder="1" applyAlignment="1">
      <alignment vertical="center" wrapText="1"/>
    </xf>
    <xf numFmtId="0" fontId="5" fillId="2" borderId="0" xfId="7" applyFont="1" applyFill="1" applyAlignment="1">
      <alignment vertical="center"/>
    </xf>
    <xf numFmtId="0" fontId="7" fillId="2" borderId="0" xfId="7" applyFont="1" applyFill="1" applyAlignment="1">
      <alignment vertical="center"/>
    </xf>
    <xf numFmtId="0" fontId="6" fillId="7" borderId="1" xfId="7" quotePrefix="1" applyFont="1" applyFill="1" applyBorder="1" applyAlignment="1">
      <alignment horizontal="center" vertical="center" wrapText="1"/>
    </xf>
    <xf numFmtId="0" fontId="6" fillId="7" borderId="1" xfId="7" applyFont="1" applyFill="1" applyBorder="1" applyAlignment="1">
      <alignment horizontal="center" vertical="center" wrapText="1"/>
    </xf>
    <xf numFmtId="49" fontId="23" fillId="7" borderId="1" xfId="7" applyNumberFormat="1" applyFont="1" applyFill="1" applyBorder="1" applyAlignment="1">
      <alignment horizontal="center" vertical="center" wrapText="1"/>
    </xf>
    <xf numFmtId="49" fontId="6" fillId="7" borderId="1" xfId="7" applyNumberFormat="1" applyFont="1" applyFill="1" applyBorder="1" applyAlignment="1">
      <alignment horizontal="center" vertical="center" wrapText="1"/>
    </xf>
    <xf numFmtId="1" fontId="5" fillId="9" borderId="1" xfId="7" applyNumberFormat="1" applyFont="1" applyFill="1" applyBorder="1" applyAlignment="1" applyProtection="1">
      <alignment horizontal="left" vertical="center" wrapText="1"/>
      <protection locked="0"/>
    </xf>
    <xf numFmtId="0" fontId="5" fillId="9" borderId="1" xfId="7" applyNumberFormat="1" applyFont="1" applyFill="1" applyBorder="1" applyAlignment="1" applyProtection="1">
      <alignment horizontal="left" vertical="center" wrapText="1"/>
      <protection locked="0"/>
    </xf>
    <xf numFmtId="0" fontId="5" fillId="2" borderId="0" xfId="7" applyFont="1" applyFill="1" applyAlignment="1">
      <alignment horizontal="center" vertical="center"/>
    </xf>
    <xf numFmtId="166" fontId="5" fillId="2" borderId="0" xfId="7" applyNumberFormat="1" applyFont="1" applyFill="1" applyAlignment="1">
      <alignment horizontal="center" vertical="center"/>
    </xf>
    <xf numFmtId="0" fontId="5" fillId="2" borderId="0" xfId="7" applyFont="1" applyFill="1"/>
    <xf numFmtId="170" fontId="3" fillId="12" borderId="1" xfId="7" applyNumberFormat="1" applyFont="1" applyFill="1" applyBorder="1" applyAlignment="1" applyProtection="1">
      <alignment horizontal="center" vertical="center"/>
      <protection locked="0"/>
    </xf>
    <xf numFmtId="164" fontId="3" fillId="12" borderId="1" xfId="7" applyNumberFormat="1" applyFont="1" applyFill="1" applyBorder="1" applyAlignment="1" applyProtection="1">
      <alignment horizontal="center" vertical="center"/>
      <protection locked="0"/>
    </xf>
    <xf numFmtId="170" fontId="3" fillId="9" borderId="1" xfId="7" applyNumberFormat="1" applyFont="1" applyFill="1" applyBorder="1" applyAlignment="1" applyProtection="1">
      <alignment horizontal="center" vertical="center"/>
      <protection locked="0"/>
    </xf>
    <xf numFmtId="164" fontId="3" fillId="9" borderId="1" xfId="7" applyNumberFormat="1" applyFont="1" applyFill="1" applyBorder="1" applyAlignment="1" applyProtection="1">
      <alignment horizontal="center" vertical="center"/>
      <protection locked="0"/>
    </xf>
    <xf numFmtId="0" fontId="20" fillId="17" borderId="1" xfId="0" applyNumberFormat="1" applyFont="1" applyFill="1" applyBorder="1" applyAlignment="1" applyProtection="1">
      <alignment horizontal="center" vertical="center" wrapText="1"/>
      <protection locked="0"/>
    </xf>
    <xf numFmtId="0" fontId="5" fillId="0" borderId="0" xfId="0" applyFont="1" applyProtection="1">
      <protection locked="0"/>
    </xf>
    <xf numFmtId="49" fontId="10" fillId="6" borderId="0" xfId="2" quotePrefix="1" applyNumberFormat="1" applyFont="1" applyFill="1" applyAlignment="1" applyProtection="1">
      <alignment horizontal="left" vertical="center" wrapText="1"/>
      <protection locked="0"/>
    </xf>
    <xf numFmtId="49" fontId="10" fillId="6" borderId="0" xfId="2" applyNumberFormat="1" applyFont="1" applyFill="1" applyAlignment="1" applyProtection="1">
      <alignment vertical="center" wrapText="1"/>
      <protection locked="0"/>
    </xf>
    <xf numFmtId="49" fontId="18" fillId="0" borderId="0" xfId="5" applyNumberFormat="1" applyFont="1" applyBorder="1" applyAlignment="1" applyProtection="1">
      <alignment vertical="center"/>
      <protection locked="0"/>
    </xf>
    <xf numFmtId="0" fontId="5" fillId="0" borderId="0" xfId="0" applyFont="1" applyBorder="1" applyProtection="1">
      <protection locked="0"/>
    </xf>
    <xf numFmtId="49" fontId="10" fillId="6" borderId="0" xfId="2" applyNumberFormat="1" applyFont="1" applyFill="1" applyBorder="1" applyAlignment="1" applyProtection="1">
      <alignment vertical="center" wrapText="1"/>
      <protection locked="0"/>
    </xf>
    <xf numFmtId="49" fontId="10" fillId="0" borderId="0" xfId="6" applyNumberFormat="1" applyFont="1" applyBorder="1" applyAlignment="1" applyProtection="1">
      <alignment vertical="center"/>
      <protection locked="0"/>
    </xf>
    <xf numFmtId="49" fontId="10" fillId="0" borderId="0" xfId="6" quotePrefix="1" applyNumberFormat="1" applyFont="1" applyBorder="1" applyAlignment="1" applyProtection="1">
      <alignment horizontal="left" vertical="center"/>
      <protection locked="0"/>
    </xf>
    <xf numFmtId="49" fontId="23" fillId="7" borderId="1" xfId="0" applyNumberFormat="1" applyFont="1" applyFill="1" applyBorder="1" applyAlignment="1">
      <alignment horizontal="center" vertical="center" wrapText="1"/>
    </xf>
    <xf numFmtId="0" fontId="6" fillId="7" borderId="1" xfId="0" applyFont="1" applyFill="1" applyBorder="1" applyAlignment="1">
      <alignment horizontal="center" vertical="center" wrapText="1"/>
    </xf>
    <xf numFmtId="0" fontId="12" fillId="0" borderId="0" xfId="4" applyAlignment="1" applyProtection="1">
      <alignment horizontal="left" vertical="top"/>
    </xf>
    <xf numFmtId="0" fontId="6" fillId="7" borderId="6" xfId="0" applyFont="1" applyFill="1" applyBorder="1" applyAlignment="1" applyProtection="1">
      <alignment vertical="center" wrapText="1"/>
      <protection locked="0"/>
    </xf>
    <xf numFmtId="0" fontId="0" fillId="17" borderId="0" xfId="0" applyFill="1" applyAlignment="1">
      <alignment vertical="center"/>
    </xf>
    <xf numFmtId="0" fontId="25" fillId="20" borderId="1" xfId="0" applyFont="1" applyFill="1" applyBorder="1" applyAlignment="1" applyProtection="1">
      <alignment horizontal="center" vertical="center" wrapText="1"/>
      <protection locked="0"/>
    </xf>
    <xf numFmtId="0" fontId="6" fillId="0" borderId="6" xfId="0" applyFont="1" applyBorder="1" applyAlignment="1">
      <alignment vertical="center" wrapText="1"/>
    </xf>
    <xf numFmtId="0" fontId="6" fillId="0" borderId="1" xfId="0" applyFont="1" applyBorder="1" applyAlignment="1">
      <alignment vertical="center" wrapText="1"/>
    </xf>
    <xf numFmtId="0" fontId="25" fillId="18" borderId="1" xfId="0" applyFont="1" applyFill="1" applyBorder="1" applyAlignment="1" applyProtection="1">
      <alignment horizontal="center" vertical="center" wrapText="1"/>
      <protection locked="0"/>
    </xf>
    <xf numFmtId="0" fontId="25" fillId="21" borderId="1" xfId="0" applyFont="1" applyFill="1" applyBorder="1" applyAlignment="1" applyProtection="1">
      <alignment horizontal="center" vertical="center" wrapText="1"/>
      <protection locked="0"/>
    </xf>
    <xf numFmtId="0" fontId="6" fillId="22" borderId="1" xfId="0" applyFont="1" applyFill="1" applyBorder="1" applyAlignment="1" applyProtection="1">
      <alignment horizontal="center" vertical="center" wrapText="1"/>
      <protection locked="0"/>
    </xf>
    <xf numFmtId="0" fontId="5" fillId="0" borderId="1" xfId="0" applyFont="1" applyFill="1" applyBorder="1" applyAlignment="1">
      <alignment horizontal="center" vertical="center" wrapText="1"/>
    </xf>
    <xf numFmtId="0" fontId="16" fillId="17" borderId="0" xfId="2" applyNumberFormat="1" applyFont="1" applyFill="1" applyBorder="1" applyAlignment="1">
      <alignment horizontal="center" vertical="center" wrapText="1"/>
    </xf>
    <xf numFmtId="0" fontId="0" fillId="17" borderId="0" xfId="0" applyFill="1" applyBorder="1"/>
    <xf numFmtId="0" fontId="0" fillId="17" borderId="0" xfId="0" applyFill="1" applyBorder="1" applyAlignment="1">
      <alignment vertical="center"/>
    </xf>
    <xf numFmtId="0" fontId="7" fillId="17" borderId="0" xfId="7" applyFont="1" applyFill="1" applyBorder="1" applyAlignment="1">
      <alignment vertical="center"/>
    </xf>
    <xf numFmtId="0" fontId="16" fillId="17" borderId="0" xfId="2" applyNumberFormat="1" applyFont="1" applyFill="1" applyBorder="1" applyAlignment="1" applyProtection="1">
      <alignment horizontal="center" vertical="center" wrapText="1"/>
    </xf>
    <xf numFmtId="0" fontId="16" fillId="17" borderId="12" xfId="2" applyNumberFormat="1" applyFont="1" applyFill="1" applyBorder="1" applyAlignment="1">
      <alignment horizontal="center" vertical="center" wrapText="1"/>
    </xf>
    <xf numFmtId="0" fontId="6" fillId="17" borderId="0" xfId="0" applyFont="1" applyFill="1" applyBorder="1" applyAlignment="1">
      <alignment horizontal="left" vertical="center" wrapText="1"/>
    </xf>
    <xf numFmtId="0" fontId="5" fillId="17" borderId="0" xfId="0" applyFont="1" applyFill="1" applyBorder="1" applyAlignment="1">
      <alignment horizontal="left" vertical="center" wrapText="1"/>
    </xf>
    <xf numFmtId="0" fontId="16" fillId="17" borderId="0" xfId="2" applyNumberFormat="1" applyFont="1" applyFill="1" applyBorder="1" applyAlignment="1">
      <alignment vertical="center" wrapText="1"/>
    </xf>
    <xf numFmtId="0" fontId="6" fillId="17" borderId="4" xfId="0" applyFont="1" applyFill="1" applyBorder="1" applyAlignment="1">
      <alignment horizontal="left" vertical="center" wrapText="1"/>
    </xf>
    <xf numFmtId="0" fontId="5" fillId="17" borderId="4" xfId="0" applyFont="1" applyFill="1" applyBorder="1" applyAlignment="1">
      <alignment horizontal="center" vertical="center" wrapText="1"/>
    </xf>
    <xf numFmtId="0" fontId="5" fillId="17" borderId="8" xfId="0" applyFont="1" applyFill="1" applyBorder="1" applyAlignment="1">
      <alignment horizontal="center" vertical="center" wrapText="1"/>
    </xf>
    <xf numFmtId="0" fontId="16" fillId="17" borderId="8" xfId="2" applyNumberFormat="1" applyFont="1" applyFill="1" applyBorder="1" applyAlignment="1">
      <alignment horizontal="center" vertical="center" wrapText="1"/>
    </xf>
    <xf numFmtId="14" fontId="5" fillId="0" borderId="0" xfId="7" applyNumberFormat="1"/>
    <xf numFmtId="0" fontId="5" fillId="0" borderId="0" xfId="7" quotePrefix="1" applyAlignment="1">
      <alignment horizontal="left"/>
    </xf>
    <xf numFmtId="170" fontId="20" fillId="19" borderId="3" xfId="0" applyNumberFormat="1" applyFont="1" applyFill="1" applyBorder="1" applyAlignment="1" applyProtection="1">
      <alignment horizontal="center" vertical="center" wrapText="1"/>
      <protection locked="0"/>
    </xf>
    <xf numFmtId="0" fontId="12" fillId="0" borderId="0" xfId="4" applyAlignment="1" applyProtection="1"/>
    <xf numFmtId="0" fontId="12" fillId="2" borderId="0" xfId="4" applyFont="1" applyFill="1" applyAlignment="1" applyProtection="1">
      <alignment vertical="center"/>
      <protection hidden="1"/>
    </xf>
    <xf numFmtId="173" fontId="5" fillId="9" borderId="1" xfId="7" applyNumberFormat="1" applyFont="1" applyFill="1" applyBorder="1" applyAlignment="1">
      <alignment horizontal="center" vertical="center" wrapText="1"/>
    </xf>
    <xf numFmtId="0" fontId="5" fillId="9" borderId="1" xfId="7" applyNumberFormat="1" applyFont="1" applyFill="1" applyBorder="1" applyAlignment="1" applyProtection="1">
      <alignment horizontal="left" vertical="center" wrapText="1"/>
    </xf>
    <xf numFmtId="1" fontId="5" fillId="9" borderId="1" xfId="7" applyNumberFormat="1" applyFont="1" applyFill="1" applyBorder="1" applyAlignment="1" applyProtection="1">
      <alignment horizontal="left" vertical="center" wrapText="1"/>
    </xf>
    <xf numFmtId="170" fontId="3" fillId="23" borderId="1" xfId="7" applyNumberFormat="1" applyFont="1" applyFill="1" applyBorder="1" applyAlignment="1" applyProtection="1">
      <alignment horizontal="center" vertical="center"/>
    </xf>
    <xf numFmtId="43" fontId="3" fillId="23" borderId="1" xfId="8" applyFont="1" applyFill="1" applyBorder="1" applyAlignment="1" applyProtection="1">
      <alignment horizontal="center" vertical="center"/>
    </xf>
    <xf numFmtId="164" fontId="3" fillId="23" borderId="1" xfId="7" applyNumberFormat="1" applyFont="1" applyFill="1" applyBorder="1" applyAlignment="1" applyProtection="1">
      <alignment horizontal="center" vertical="center"/>
    </xf>
    <xf numFmtId="165" fontId="3" fillId="12" borderId="1" xfId="7" applyNumberFormat="1" applyFont="1" applyFill="1" applyBorder="1" applyAlignment="1" applyProtection="1">
      <alignment horizontal="center" vertical="center"/>
    </xf>
    <xf numFmtId="43" fontId="3" fillId="12" borderId="1" xfId="8" applyFont="1" applyFill="1" applyBorder="1" applyAlignment="1" applyProtection="1">
      <alignment horizontal="center" vertical="center"/>
    </xf>
    <xf numFmtId="164" fontId="3" fillId="12" borderId="1" xfId="7" applyNumberFormat="1" applyFont="1" applyFill="1" applyBorder="1" applyAlignment="1" applyProtection="1">
      <alignment horizontal="center" vertical="center"/>
    </xf>
    <xf numFmtId="168" fontId="5" fillId="30" borderId="0" xfId="7" applyNumberFormat="1" applyFill="1"/>
    <xf numFmtId="169" fontId="5" fillId="30" borderId="0" xfId="7" applyNumberFormat="1" applyFill="1"/>
    <xf numFmtId="0" fontId="5" fillId="30" borderId="0" xfId="7" applyFill="1"/>
    <xf numFmtId="0" fontId="5" fillId="30" borderId="0" xfId="7" applyFill="1" applyAlignment="1">
      <alignment horizontal="left"/>
    </xf>
    <xf numFmtId="0" fontId="5" fillId="11" borderId="1" xfId="14" applyFont="1" applyFill="1" applyBorder="1" applyAlignment="1" applyProtection="1">
      <alignment vertical="center"/>
      <protection locked="0"/>
    </xf>
    <xf numFmtId="172" fontId="5" fillId="32" borderId="1" xfId="11" applyNumberFormat="1" applyFont="1" applyFill="1" applyBorder="1" applyAlignment="1" applyProtection="1">
      <alignment vertical="center"/>
      <protection locked="0"/>
    </xf>
    <xf numFmtId="171" fontId="2" fillId="31" borderId="1" xfId="10" applyNumberFormat="1" applyFill="1" applyBorder="1" applyAlignment="1" applyProtection="1">
      <alignment vertical="center"/>
    </xf>
    <xf numFmtId="172" fontId="5" fillId="31" borderId="1" xfId="10" applyNumberFormat="1" applyFont="1" applyFill="1" applyBorder="1" applyAlignment="1" applyProtection="1">
      <alignment vertical="center"/>
      <protection locked="0"/>
    </xf>
    <xf numFmtId="172" fontId="5" fillId="34" borderId="1" xfId="10" applyNumberFormat="1" applyFont="1" applyFill="1" applyBorder="1" applyAlignment="1" applyProtection="1">
      <alignment vertical="center"/>
      <protection locked="0"/>
    </xf>
    <xf numFmtId="172" fontId="5" fillId="35" borderId="1" xfId="11" applyNumberFormat="1" applyFont="1" applyFill="1" applyBorder="1" applyAlignment="1" applyProtection="1">
      <alignment vertical="center"/>
      <protection locked="0"/>
    </xf>
    <xf numFmtId="0" fontId="0" fillId="0" borderId="0" xfId="0" applyProtection="1"/>
    <xf numFmtId="0" fontId="0" fillId="0" borderId="0" xfId="0" applyFill="1" applyBorder="1" applyProtection="1"/>
    <xf numFmtId="0" fontId="0" fillId="2" borderId="0" xfId="0" applyFill="1" applyAlignment="1" applyProtection="1">
      <alignment vertical="center"/>
    </xf>
    <xf numFmtId="0" fontId="16" fillId="0" borderId="0" xfId="2" applyNumberFormat="1" applyFont="1" applyFill="1" applyBorder="1" applyAlignment="1" applyProtection="1">
      <alignment horizontal="center" vertical="center" wrapText="1"/>
    </xf>
    <xf numFmtId="0" fontId="0" fillId="0" borderId="0" xfId="0" applyFill="1" applyAlignment="1" applyProtection="1">
      <alignment vertical="center"/>
    </xf>
    <xf numFmtId="0" fontId="0" fillId="0" borderId="0" xfId="0" applyAlignment="1" applyProtection="1">
      <alignment wrapText="1"/>
    </xf>
    <xf numFmtId="0" fontId="6" fillId="7" borderId="6" xfId="0" applyFont="1" applyFill="1" applyBorder="1" applyAlignment="1" applyProtection="1">
      <alignment horizontal="left" vertical="center" wrapText="1"/>
    </xf>
    <xf numFmtId="0" fontId="5" fillId="11" borderId="1" xfId="9" quotePrefix="1" applyFont="1" applyFill="1" applyBorder="1" applyAlignment="1" applyProtection="1">
      <alignment horizontal="center" vertical="center" wrapText="1"/>
    </xf>
    <xf numFmtId="0" fontId="5" fillId="33" borderId="1" xfId="12" quotePrefix="1" applyFont="1" applyFill="1" applyBorder="1" applyAlignment="1" applyProtection="1">
      <alignment horizontal="center" vertical="center" wrapText="1"/>
    </xf>
    <xf numFmtId="171" fontId="2" fillId="34" borderId="1" xfId="13" applyNumberFormat="1" applyFill="1" applyBorder="1" applyAlignment="1" applyProtection="1">
      <alignment vertical="center"/>
    </xf>
    <xf numFmtId="0" fontId="6" fillId="7" borderId="1" xfId="0" applyFont="1" applyFill="1" applyBorder="1" applyAlignment="1" applyProtection="1">
      <alignment horizontal="left" vertical="center" wrapText="1"/>
    </xf>
    <xf numFmtId="0" fontId="5" fillId="11" borderId="1" xfId="14" applyFont="1" applyFill="1" applyBorder="1" applyAlignment="1" applyProtection="1">
      <alignment vertical="center" wrapText="1"/>
    </xf>
    <xf numFmtId="0" fontId="5" fillId="29" borderId="1" xfId="14" applyFont="1" applyFill="1" applyBorder="1" applyAlignment="1" applyProtection="1">
      <alignment vertical="center" wrapText="1"/>
    </xf>
    <xf numFmtId="0" fontId="1" fillId="11" borderId="1" xfId="14" applyFont="1" applyFill="1" applyBorder="1" applyAlignment="1" applyProtection="1">
      <alignment vertical="center" wrapText="1"/>
    </xf>
    <xf numFmtId="0" fontId="1" fillId="29" borderId="1" xfId="14" applyFont="1" applyFill="1" applyBorder="1" applyAlignment="1" applyProtection="1">
      <alignment vertical="center" wrapText="1"/>
    </xf>
    <xf numFmtId="0" fontId="5" fillId="7" borderId="1" xfId="0" applyFont="1" applyFill="1" applyBorder="1" applyAlignment="1" applyProtection="1">
      <alignment horizontal="center" vertical="center" wrapText="1"/>
    </xf>
    <xf numFmtId="172" fontId="2" fillId="31" borderId="1" xfId="10" applyNumberFormat="1" applyFill="1" applyBorder="1" applyAlignment="1" applyProtection="1">
      <alignment vertical="center"/>
      <protection locked="0"/>
    </xf>
    <xf numFmtId="174" fontId="2" fillId="31" borderId="1" xfId="10" applyNumberFormat="1" applyFill="1" applyBorder="1" applyAlignment="1" applyProtection="1">
      <alignment vertical="center"/>
    </xf>
    <xf numFmtId="174" fontId="2" fillId="34" borderId="1" xfId="10" applyNumberFormat="1" applyFill="1" applyBorder="1" applyAlignment="1" applyProtection="1">
      <alignment vertical="center"/>
    </xf>
    <xf numFmtId="174" fontId="5" fillId="32" borderId="1" xfId="11" applyNumberFormat="1" applyFont="1" applyFill="1" applyBorder="1" applyAlignment="1" applyProtection="1">
      <alignment vertical="center"/>
    </xf>
    <xf numFmtId="174" fontId="5" fillId="35" borderId="1" xfId="11" applyNumberFormat="1" applyFont="1" applyFill="1" applyBorder="1" applyAlignment="1" applyProtection="1">
      <alignment vertical="center"/>
    </xf>
    <xf numFmtId="175" fontId="2" fillId="31" borderId="5" xfId="10" applyNumberFormat="1" applyFill="1" applyBorder="1" applyAlignment="1" applyProtection="1">
      <alignment vertical="center"/>
    </xf>
    <xf numFmtId="175" fontId="2" fillId="31" borderId="1" xfId="10" applyNumberFormat="1" applyFill="1" applyBorder="1" applyAlignment="1" applyProtection="1">
      <alignment vertical="center"/>
    </xf>
    <xf numFmtId="0" fontId="28" fillId="0" borderId="0" xfId="7" applyFont="1"/>
    <xf numFmtId="0" fontId="6" fillId="7" borderId="1" xfId="0" applyFont="1" applyFill="1" applyBorder="1" applyAlignment="1">
      <alignment horizontal="center" vertical="center" wrapText="1"/>
    </xf>
    <xf numFmtId="2" fontId="6" fillId="7" borderId="1" xfId="7" applyNumberFormat="1" applyFont="1" applyFill="1" applyBorder="1" applyAlignment="1">
      <alignment horizontal="center" vertical="center" wrapText="1"/>
    </xf>
    <xf numFmtId="49" fontId="5" fillId="11" borderId="1" xfId="9" quotePrefix="1" applyNumberFormat="1" applyFont="1" applyFill="1" applyBorder="1" applyAlignment="1" applyProtection="1">
      <alignment horizontal="center" vertical="center" wrapText="1"/>
    </xf>
    <xf numFmtId="49" fontId="5" fillId="33" borderId="1" xfId="12" quotePrefix="1" applyNumberFormat="1" applyFont="1" applyFill="1" applyBorder="1" applyAlignment="1" applyProtection="1">
      <alignment horizontal="center" vertical="center" wrapText="1"/>
    </xf>
    <xf numFmtId="0" fontId="6" fillId="0" borderId="1" xfId="0" applyFont="1" applyBorder="1" applyAlignment="1">
      <alignment horizontal="left" vertical="center" wrapText="1"/>
    </xf>
    <xf numFmtId="0" fontId="5" fillId="4" borderId="1" xfId="0" applyFont="1" applyFill="1" applyBorder="1" applyAlignment="1">
      <alignment horizontal="center" vertical="center" wrapText="1"/>
    </xf>
    <xf numFmtId="49" fontId="10" fillId="6" borderId="0" xfId="2" applyNumberFormat="1" applyFont="1" applyFill="1" applyAlignment="1" applyProtection="1">
      <alignment horizontal="center" vertical="center" wrapText="1"/>
      <protection locked="0"/>
    </xf>
    <xf numFmtId="49" fontId="10" fillId="6" borderId="0" xfId="2" quotePrefix="1" applyNumberFormat="1" applyFont="1" applyFill="1" applyAlignment="1" applyProtection="1">
      <alignment horizontal="center" vertical="center" wrapText="1"/>
      <protection locked="0"/>
    </xf>
    <xf numFmtId="49" fontId="23" fillId="7" borderId="1" xfId="7" quotePrefix="1" applyNumberFormat="1" applyFont="1" applyFill="1" applyBorder="1" applyAlignment="1">
      <alignment horizontal="center" vertical="center" wrapText="1"/>
    </xf>
    <xf numFmtId="0" fontId="0" fillId="0" borderId="0" xfId="0" applyFill="1"/>
    <xf numFmtId="0" fontId="13" fillId="0" borderId="0" xfId="4" applyFont="1" applyFill="1" applyBorder="1" applyAlignment="1" applyProtection="1">
      <alignment vertical="center"/>
    </xf>
    <xf numFmtId="0" fontId="12" fillId="0" borderId="0" xfId="4" applyFont="1" applyFill="1" applyAlignment="1" applyProtection="1">
      <alignment horizontal="left" vertical="center"/>
    </xf>
    <xf numFmtId="0" fontId="5" fillId="0" borderId="0" xfId="7" quotePrefix="1" applyFont="1" applyAlignment="1">
      <alignment horizontal="left"/>
    </xf>
    <xf numFmtId="0" fontId="5" fillId="0" borderId="0" xfId="7" applyFont="1"/>
    <xf numFmtId="49" fontId="18" fillId="0" borderId="0" xfId="5" quotePrefix="1" applyNumberFormat="1" applyFont="1" applyBorder="1" applyAlignment="1" applyProtection="1">
      <alignment horizontal="left" vertical="center"/>
      <protection locked="0"/>
    </xf>
    <xf numFmtId="2" fontId="20" fillId="3" borderId="1" xfId="0" applyNumberFormat="1" applyFont="1" applyFill="1" applyBorder="1" applyAlignment="1" applyProtection="1">
      <alignment horizontal="center" vertical="center"/>
      <protection locked="0"/>
    </xf>
    <xf numFmtId="2" fontId="20" fillId="3" borderId="1" xfId="0" applyNumberFormat="1" applyFont="1" applyFill="1" applyBorder="1" applyAlignment="1" applyProtection="1">
      <alignment horizontal="center" vertical="center"/>
    </xf>
    <xf numFmtId="2" fontId="20" fillId="10" borderId="1" xfId="0" applyNumberFormat="1" applyFont="1" applyFill="1" applyBorder="1" applyAlignment="1" applyProtection="1">
      <alignment horizontal="center" vertical="center"/>
    </xf>
    <xf numFmtId="2" fontId="20" fillId="4" borderId="1" xfId="0" applyNumberFormat="1" applyFont="1" applyFill="1" applyBorder="1" applyAlignment="1" applyProtection="1">
      <alignment horizontal="center" vertical="center"/>
    </xf>
    <xf numFmtId="164" fontId="20" fillId="10" borderId="1" xfId="0" applyNumberFormat="1" applyFont="1" applyFill="1" applyBorder="1" applyAlignment="1" applyProtection="1">
      <alignment horizontal="center" vertical="center"/>
    </xf>
    <xf numFmtId="176" fontId="21" fillId="18" borderId="1" xfId="0" applyNumberFormat="1" applyFont="1" applyFill="1" applyBorder="1" applyAlignment="1" applyProtection="1">
      <alignment horizontal="center" vertical="center"/>
      <protection locked="0"/>
    </xf>
    <xf numFmtId="176" fontId="20" fillId="19" borderId="1" xfId="0" applyNumberFormat="1" applyFont="1" applyFill="1" applyBorder="1" applyAlignment="1" applyProtection="1">
      <alignment horizontal="center" vertical="center"/>
      <protection locked="0"/>
    </xf>
    <xf numFmtId="176" fontId="21" fillId="20" borderId="1" xfId="0" applyNumberFormat="1" applyFont="1" applyFill="1" applyBorder="1" applyAlignment="1" applyProtection="1">
      <alignment horizontal="center" vertical="center"/>
      <protection locked="0"/>
    </xf>
    <xf numFmtId="176" fontId="21" fillId="21" borderId="1" xfId="0" applyNumberFormat="1" applyFont="1" applyFill="1" applyBorder="1" applyAlignment="1" applyProtection="1">
      <alignment horizontal="center" vertical="center"/>
      <protection locked="0"/>
    </xf>
    <xf numFmtId="176" fontId="20" fillId="22" borderId="1" xfId="0" applyNumberFormat="1" applyFont="1" applyFill="1" applyBorder="1" applyAlignment="1" applyProtection="1">
      <alignment horizontal="center" vertical="center"/>
      <protection locked="0"/>
    </xf>
    <xf numFmtId="0" fontId="5" fillId="4" borderId="1" xfId="0" applyFont="1" applyFill="1" applyBorder="1" applyAlignment="1">
      <alignment horizontal="center" vertical="center" wrapText="1"/>
    </xf>
    <xf numFmtId="0" fontId="5" fillId="0" borderId="3" xfId="0" applyFont="1" applyBorder="1" applyAlignment="1">
      <alignment horizontal="center" vertical="center" wrapText="1"/>
    </xf>
    <xf numFmtId="0" fontId="5" fillId="37" borderId="6" xfId="0" applyFont="1" applyFill="1" applyBorder="1" applyAlignment="1">
      <alignment horizontal="center" vertical="center" wrapText="1"/>
    </xf>
    <xf numFmtId="0" fontId="5" fillId="0" borderId="6" xfId="0" applyFont="1" applyFill="1" applyBorder="1" applyAlignment="1">
      <alignment horizontal="center" vertical="center" wrapText="1"/>
    </xf>
    <xf numFmtId="0" fontId="5" fillId="17" borderId="1" xfId="0" applyFont="1" applyFill="1" applyBorder="1" applyAlignment="1">
      <alignment horizontal="center" vertical="center" wrapText="1"/>
    </xf>
    <xf numFmtId="0" fontId="5" fillId="37" borderId="1" xfId="0" applyFont="1" applyFill="1" applyBorder="1" applyAlignment="1">
      <alignment horizontal="center" vertical="center" wrapText="1"/>
    </xf>
    <xf numFmtId="0" fontId="5" fillId="17" borderId="3" xfId="0" applyFont="1" applyFill="1" applyBorder="1" applyAlignment="1">
      <alignment horizontal="center" vertical="center" wrapText="1"/>
    </xf>
    <xf numFmtId="0" fontId="5" fillId="4" borderId="1" xfId="7" applyFont="1" applyFill="1" applyBorder="1" applyAlignment="1">
      <alignment horizontal="center" vertical="center" wrapText="1"/>
    </xf>
    <xf numFmtId="0" fontId="5" fillId="0" borderId="6" xfId="7" applyFont="1" applyBorder="1" applyAlignment="1">
      <alignment horizontal="center" vertical="center" wrapText="1"/>
    </xf>
    <xf numFmtId="0" fontId="6" fillId="0" borderId="6" xfId="7" applyFont="1" applyBorder="1" applyAlignment="1">
      <alignment vertical="center" wrapText="1"/>
    </xf>
    <xf numFmtId="0" fontId="5" fillId="0" borderId="1" xfId="7" quotePrefix="1"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77" fontId="0" fillId="2" borderId="1" xfId="17" applyNumberFormat="1" applyFont="1" applyFill="1" applyBorder="1" applyAlignment="1">
      <alignment horizontal="center" vertical="center"/>
    </xf>
    <xf numFmtId="170" fontId="14" fillId="3" borderId="1" xfId="0" applyNumberFormat="1" applyFont="1" applyFill="1" applyBorder="1" applyAlignment="1" applyProtection="1">
      <alignment horizontal="center" vertical="center"/>
      <protection locked="0"/>
    </xf>
    <xf numFmtId="164" fontId="14" fillId="3" borderId="1" xfId="0" applyNumberFormat="1" applyFont="1" applyFill="1" applyBorder="1" applyAlignment="1" applyProtection="1">
      <alignment horizontal="center" vertical="center"/>
      <protection locked="0"/>
    </xf>
    <xf numFmtId="173" fontId="5" fillId="9" borderId="1" xfId="0" quotePrefix="1" applyNumberFormat="1" applyFont="1" applyFill="1" applyBorder="1" applyAlignment="1" applyProtection="1">
      <alignment horizontal="left" vertical="center" wrapText="1"/>
      <protection locked="0"/>
    </xf>
    <xf numFmtId="2" fontId="14" fillId="3" borderId="1" xfId="0" applyNumberFormat="1" applyFont="1" applyFill="1" applyBorder="1" applyAlignment="1" applyProtection="1">
      <alignment horizontal="center" vertical="center"/>
      <protection locked="0"/>
    </xf>
    <xf numFmtId="2" fontId="14" fillId="10" borderId="1" xfId="0" applyNumberFormat="1" applyFont="1" applyFill="1" applyBorder="1" applyAlignment="1" applyProtection="1">
      <alignment horizontal="center" vertical="center"/>
      <protection locked="0"/>
    </xf>
    <xf numFmtId="0" fontId="6" fillId="7" borderId="1" xfId="0" applyFont="1" applyFill="1" applyBorder="1" applyAlignment="1">
      <alignment horizontal="center" vertical="center" wrapText="1"/>
    </xf>
    <xf numFmtId="0" fontId="20" fillId="8" borderId="1" xfId="0" applyNumberFormat="1" applyFont="1" applyFill="1" applyBorder="1" applyAlignment="1" applyProtection="1">
      <alignment horizontal="center" vertical="center" wrapText="1"/>
      <protection locked="0"/>
    </xf>
    <xf numFmtId="165" fontId="14" fillId="9" borderId="1" xfId="0" applyNumberFormat="1" applyFont="1" applyFill="1" applyBorder="1" applyAlignment="1" applyProtection="1">
      <alignment horizontal="center" vertical="center"/>
      <protection locked="0"/>
    </xf>
    <xf numFmtId="165" fontId="14" fillId="3" borderId="1" xfId="0" applyNumberFormat="1" applyFont="1" applyFill="1" applyBorder="1" applyAlignment="1" applyProtection="1">
      <alignment horizontal="center" vertical="center"/>
      <protection locked="0"/>
    </xf>
    <xf numFmtId="178" fontId="34" fillId="17" borderId="1" xfId="0" applyNumberFormat="1" applyFont="1" applyFill="1" applyBorder="1" applyAlignment="1" applyProtection="1">
      <alignment horizontal="center" vertical="center"/>
      <protection locked="0"/>
    </xf>
    <xf numFmtId="173" fontId="5" fillId="9" borderId="1" xfId="0" quotePrefix="1" applyNumberFormat="1" applyFont="1" applyFill="1" applyBorder="1" applyAlignment="1" applyProtection="1">
      <alignment horizontal="center" vertical="center" wrapText="1"/>
      <protection locked="0"/>
    </xf>
    <xf numFmtId="1" fontId="5" fillId="9" borderId="1" xfId="7" applyNumberFormat="1" applyFont="1" applyFill="1" applyBorder="1" applyAlignment="1" applyProtection="1">
      <alignment horizontal="center" vertical="center" wrapText="1"/>
      <protection locked="0"/>
    </xf>
    <xf numFmtId="179" fontId="0" fillId="2" borderId="0" xfId="17" applyNumberFormat="1" applyFont="1" applyFill="1" applyAlignment="1">
      <alignment vertical="center"/>
    </xf>
    <xf numFmtId="179" fontId="7" fillId="2" borderId="0" xfId="17" applyNumberFormat="1" applyFont="1" applyFill="1" applyAlignment="1">
      <alignment vertical="center"/>
    </xf>
    <xf numFmtId="179" fontId="23" fillId="7" borderId="1" xfId="17" applyNumberFormat="1" applyFont="1" applyFill="1" applyBorder="1" applyAlignment="1">
      <alignment horizontal="center" vertical="center" wrapText="1"/>
    </xf>
    <xf numFmtId="1" fontId="5" fillId="9" borderId="1" xfId="0" quotePrefix="1" applyNumberFormat="1" applyFont="1" applyFill="1" applyBorder="1" applyAlignment="1" applyProtection="1">
      <alignment horizontal="left" vertical="center" wrapText="1"/>
      <protection locked="0"/>
    </xf>
    <xf numFmtId="179" fontId="35" fillId="12" borderId="1" xfId="17" applyNumberFormat="1" applyFont="1" applyFill="1" applyBorder="1" applyAlignment="1" applyProtection="1">
      <alignment horizontal="center" vertical="center"/>
      <protection locked="0"/>
    </xf>
    <xf numFmtId="179" fontId="35" fillId="9" borderId="1" xfId="17" applyNumberFormat="1" applyFont="1" applyFill="1" applyBorder="1" applyAlignment="1" applyProtection="1">
      <alignment horizontal="center" vertical="center"/>
      <protection locked="0"/>
    </xf>
    <xf numFmtId="0" fontId="5" fillId="17" borderId="1" xfId="0" applyFont="1" applyFill="1" applyBorder="1" applyAlignment="1">
      <alignment vertical="center" wrapText="1"/>
    </xf>
    <xf numFmtId="0" fontId="0" fillId="17" borderId="1" xfId="0" applyFill="1" applyBorder="1" applyAlignment="1">
      <alignment horizontal="center" vertical="center"/>
    </xf>
    <xf numFmtId="0" fontId="5" fillId="9" borderId="1" xfId="0" quotePrefix="1" applyNumberFormat="1" applyFont="1" applyFill="1" applyBorder="1" applyAlignment="1" applyProtection="1">
      <alignment horizontal="left" vertical="center" wrapText="1"/>
      <protection locked="0"/>
    </xf>
    <xf numFmtId="0" fontId="36" fillId="0" borderId="0" xfId="0" applyFont="1" applyAlignment="1">
      <alignment horizontal="left" vertical="center" indent="1"/>
    </xf>
    <xf numFmtId="165" fontId="0" fillId="0" borderId="1" xfId="0" applyNumberFormat="1" applyBorder="1" applyAlignment="1">
      <alignment vertical="center"/>
    </xf>
    <xf numFmtId="165" fontId="0" fillId="17" borderId="1" xfId="0" applyNumberFormat="1" applyFill="1" applyBorder="1" applyAlignment="1">
      <alignment vertical="center"/>
    </xf>
    <xf numFmtId="179" fontId="5" fillId="0" borderId="1" xfId="17" applyNumberFormat="1" applyFont="1" applyBorder="1" applyAlignment="1">
      <alignment vertical="center" wrapText="1"/>
    </xf>
    <xf numFmtId="179" fontId="0" fillId="0" borderId="1" xfId="17" applyNumberFormat="1" applyFont="1" applyBorder="1" applyAlignment="1">
      <alignment vertical="center"/>
    </xf>
    <xf numFmtId="179" fontId="5" fillId="17" borderId="1" xfId="17" applyNumberFormat="1" applyFont="1" applyFill="1" applyBorder="1" applyAlignment="1">
      <alignment vertical="center" wrapText="1"/>
    </xf>
    <xf numFmtId="179" fontId="6" fillId="16" borderId="1" xfId="8" quotePrefix="1" applyNumberFormat="1" applyFont="1" applyFill="1" applyBorder="1" applyAlignment="1">
      <alignment horizontal="center" vertical="center" wrapText="1"/>
    </xf>
    <xf numFmtId="179" fontId="0" fillId="14" borderId="1" xfId="8" applyNumberFormat="1" applyFont="1" applyFill="1" applyBorder="1" applyAlignment="1" applyProtection="1">
      <alignment horizontal="left" vertical="top" wrapText="1"/>
      <protection locked="0"/>
    </xf>
    <xf numFmtId="179" fontId="17" fillId="14" borderId="1" xfId="8" applyNumberFormat="1" applyFont="1" applyFill="1" applyBorder="1" applyAlignment="1" applyProtection="1">
      <alignment horizontal="center" vertical="center"/>
      <protection locked="0"/>
    </xf>
    <xf numFmtId="179" fontId="17" fillId="15" borderId="1" xfId="8" applyNumberFormat="1" applyFont="1" applyFill="1" applyBorder="1" applyAlignment="1" applyProtection="1">
      <alignment horizontal="center" vertical="center"/>
      <protection locked="0"/>
    </xf>
    <xf numFmtId="0" fontId="5" fillId="0" borderId="0" xfId="0" quotePrefix="1" applyFont="1" applyAlignment="1">
      <alignment horizontal="left" wrapText="1"/>
    </xf>
    <xf numFmtId="0" fontId="19" fillId="0" borderId="0" xfId="0" quotePrefix="1" applyNumberFormat="1" applyFont="1" applyAlignment="1" applyProtection="1">
      <alignment horizontal="left" vertical="top" wrapText="1"/>
    </xf>
    <xf numFmtId="0" fontId="14" fillId="0" borderId="0" xfId="0" quotePrefix="1" applyNumberFormat="1" applyFont="1" applyAlignment="1" applyProtection="1">
      <alignment horizontal="left" vertical="top" wrapText="1"/>
    </xf>
    <xf numFmtId="0" fontId="5" fillId="0" borderId="0" xfId="0" quotePrefix="1" applyFont="1" applyAlignment="1" applyProtection="1">
      <alignment horizontal="left" vertical="top" wrapText="1"/>
      <protection locked="0"/>
    </xf>
    <xf numFmtId="0" fontId="5" fillId="0" borderId="0" xfId="0" applyFont="1" applyAlignment="1" applyProtection="1">
      <alignment horizontal="left" vertical="top" wrapText="1"/>
      <protection locked="0"/>
    </xf>
    <xf numFmtId="0" fontId="14" fillId="22" borderId="0" xfId="0" quotePrefix="1" applyNumberFormat="1" applyFont="1" applyFill="1" applyAlignment="1" applyProtection="1">
      <alignment horizontal="left" vertical="top" wrapText="1"/>
    </xf>
    <xf numFmtId="49" fontId="10" fillId="6" borderId="0" xfId="2" applyNumberFormat="1" applyFont="1" applyFill="1" applyAlignment="1" applyProtection="1">
      <alignment horizontal="center" vertical="center" wrapText="1"/>
      <protection locked="0"/>
    </xf>
    <xf numFmtId="49" fontId="10" fillId="6" borderId="0" xfId="2" applyNumberFormat="1" applyFont="1" applyFill="1" applyAlignment="1" applyProtection="1">
      <alignment horizontal="left" vertical="center" wrapText="1"/>
      <protection locked="0"/>
    </xf>
    <xf numFmtId="0" fontId="5" fillId="2" borderId="8" xfId="7" quotePrefix="1" applyFont="1" applyFill="1" applyBorder="1" applyAlignment="1">
      <alignment horizontal="center" vertical="center" wrapText="1"/>
    </xf>
    <xf numFmtId="0" fontId="31" fillId="36" borderId="13" xfId="16" quotePrefix="1" applyBorder="1" applyAlignment="1">
      <alignment horizontal="left" vertical="top" wrapText="1"/>
    </xf>
    <xf numFmtId="0" fontId="31" fillId="36" borderId="8" xfId="16" quotePrefix="1" applyBorder="1" applyAlignment="1">
      <alignment horizontal="left" vertical="top" wrapText="1"/>
    </xf>
    <xf numFmtId="0" fontId="6" fillId="0" borderId="1" xfId="0" applyFont="1" applyBorder="1" applyAlignment="1">
      <alignment horizontal="left" vertical="center" wrapText="1" inden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xf numFmtId="0" fontId="6" fillId="0" borderId="1" xfId="0" applyFont="1" applyBorder="1" applyAlignment="1">
      <alignment horizontal="left" vertical="center" wrapText="1"/>
    </xf>
    <xf numFmtId="0" fontId="16" fillId="6" borderId="1" xfId="2" applyNumberFormat="1" applyFont="1" applyFill="1" applyBorder="1" applyAlignment="1">
      <alignment horizontal="center" vertical="center" wrapText="1"/>
    </xf>
    <xf numFmtId="170" fontId="20" fillId="19" borderId="3" xfId="0" applyNumberFormat="1" applyFont="1" applyFill="1" applyBorder="1" applyAlignment="1" applyProtection="1">
      <alignment horizontal="center" vertical="center"/>
      <protection locked="0"/>
    </xf>
    <xf numFmtId="170" fontId="20" fillId="19" borderId="5" xfId="0" applyNumberFormat="1"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6" fillId="7" borderId="3" xfId="0" applyFont="1" applyFill="1" applyBorder="1" applyAlignment="1" applyProtection="1">
      <alignment horizontal="center" vertical="center" wrapText="1"/>
      <protection locked="0"/>
    </xf>
    <xf numFmtId="0" fontId="6" fillId="7" borderId="5" xfId="0" applyFont="1" applyFill="1" applyBorder="1" applyAlignment="1" applyProtection="1">
      <alignment horizontal="center" vertical="center" wrapText="1"/>
      <protection locked="0"/>
    </xf>
    <xf numFmtId="0" fontId="25" fillId="18" borderId="1" xfId="0" applyFont="1" applyFill="1" applyBorder="1" applyAlignment="1" applyProtection="1">
      <alignment horizontal="center" vertical="center" wrapText="1"/>
      <protection locked="0"/>
    </xf>
    <xf numFmtId="0" fontId="5" fillId="2" borderId="8" xfId="7" quotePrefix="1" applyFont="1" applyFill="1" applyBorder="1" applyAlignment="1">
      <alignment horizontal="left" vertical="center" wrapText="1"/>
    </xf>
    <xf numFmtId="0" fontId="5" fillId="2" borderId="8" xfId="0" quotePrefix="1" applyFont="1" applyFill="1" applyBorder="1" applyAlignment="1">
      <alignment horizontal="left" vertical="center" wrapText="1"/>
    </xf>
    <xf numFmtId="0" fontId="6" fillId="7" borderId="11" xfId="0" applyFont="1" applyFill="1" applyBorder="1" applyAlignment="1" applyProtection="1">
      <alignment horizontal="center" vertical="center" wrapText="1"/>
      <protection locked="0"/>
    </xf>
    <xf numFmtId="0" fontId="6" fillId="7" borderId="0" xfId="0" applyFont="1" applyFill="1" applyBorder="1" applyAlignment="1" applyProtection="1">
      <alignment horizontal="center" vertical="center" wrapText="1"/>
      <protection locked="0"/>
    </xf>
    <xf numFmtId="0" fontId="16" fillId="6" borderId="3" xfId="2" applyNumberFormat="1" applyFont="1" applyFill="1" applyBorder="1" applyAlignment="1">
      <alignment horizontal="center" vertical="center" wrapText="1"/>
    </xf>
    <xf numFmtId="0" fontId="16" fillId="6" borderId="4" xfId="2" applyNumberFormat="1" applyFont="1" applyFill="1" applyBorder="1" applyAlignment="1">
      <alignment horizontal="center" vertical="center" wrapText="1"/>
    </xf>
    <xf numFmtId="0" fontId="16" fillId="6" borderId="5" xfId="2" applyNumberFormat="1" applyFont="1" applyFill="1" applyBorder="1" applyAlignment="1">
      <alignment horizontal="center" vertical="center" wrapText="1"/>
    </xf>
    <xf numFmtId="0" fontId="4" fillId="0" borderId="1" xfId="0" applyFont="1" applyBorder="1" applyAlignment="1">
      <alignment wrapText="1"/>
    </xf>
    <xf numFmtId="0" fontId="0" fillId="0" borderId="1" xfId="0" applyBorder="1" applyAlignment="1"/>
    <xf numFmtId="0" fontId="4" fillId="0" borderId="3" xfId="0" applyFont="1" applyBorder="1" applyAlignment="1">
      <alignment vertical="center" wrapText="1"/>
    </xf>
    <xf numFmtId="0" fontId="4" fillId="0" borderId="4" xfId="0" applyFont="1" applyBorder="1" applyAlignment="1">
      <alignment vertical="center" wrapText="1"/>
    </xf>
    <xf numFmtId="0" fontId="0" fillId="0" borderId="4" xfId="0" applyBorder="1" applyAlignment="1">
      <alignment vertical="center"/>
    </xf>
    <xf numFmtId="0" fontId="0" fillId="0" borderId="5" xfId="0" applyBorder="1" applyAlignment="1">
      <alignment vertical="center"/>
    </xf>
    <xf numFmtId="0" fontId="6" fillId="7" borderId="1" xfId="0" applyFont="1" applyFill="1" applyBorder="1" applyAlignment="1">
      <alignment horizontal="center" vertical="center" wrapText="1"/>
    </xf>
    <xf numFmtId="0" fontId="4" fillId="0" borderId="3" xfId="7" applyFont="1" applyBorder="1" applyAlignment="1">
      <alignment vertical="center" wrapText="1"/>
    </xf>
    <xf numFmtId="0" fontId="4" fillId="0" borderId="4" xfId="7" applyFont="1" applyBorder="1" applyAlignment="1">
      <alignment vertical="center" wrapText="1"/>
    </xf>
    <xf numFmtId="0" fontId="5" fillId="0" borderId="4" xfId="7" applyBorder="1" applyAlignment="1">
      <alignment vertical="center"/>
    </xf>
    <xf numFmtId="0" fontId="5" fillId="0" borderId="5" xfId="7" applyBorder="1" applyAlignment="1">
      <alignment vertical="center"/>
    </xf>
    <xf numFmtId="0" fontId="8" fillId="0" borderId="1" xfId="0" applyFont="1" applyBorder="1" applyAlignment="1">
      <alignment vertical="top" wrapText="1"/>
    </xf>
    <xf numFmtId="0" fontId="8" fillId="0" borderId="1" xfId="0" applyFont="1" applyBorder="1" applyAlignment="1">
      <alignment wrapText="1"/>
    </xf>
    <xf numFmtId="0" fontId="6" fillId="0" borderId="1" xfId="0" applyFont="1" applyBorder="1" applyAlignment="1"/>
    <xf numFmtId="0" fontId="0" fillId="0" borderId="1" xfId="0" applyBorder="1" applyAlignment="1">
      <alignment vertical="top" wrapText="1"/>
    </xf>
    <xf numFmtId="0" fontId="31" fillId="36" borderId="13" xfId="16" quotePrefix="1" applyBorder="1" applyAlignment="1" applyProtection="1">
      <alignment horizontal="left" vertical="center" wrapText="1"/>
    </xf>
    <xf numFmtId="0" fontId="31" fillId="36" borderId="8" xfId="16" quotePrefix="1" applyBorder="1" applyAlignment="1" applyProtection="1">
      <alignment horizontal="left" vertical="center" wrapText="1"/>
    </xf>
    <xf numFmtId="0" fontId="31" fillId="36" borderId="13" xfId="16" quotePrefix="1" applyBorder="1" applyAlignment="1" applyProtection="1">
      <alignment horizontal="center" vertical="center" wrapText="1"/>
    </xf>
    <xf numFmtId="0" fontId="31" fillId="36" borderId="8" xfId="16" quotePrefix="1" applyBorder="1" applyAlignment="1" applyProtection="1">
      <alignment horizontal="center" vertical="center" wrapText="1"/>
    </xf>
    <xf numFmtId="0" fontId="31" fillId="36" borderId="14" xfId="16" quotePrefix="1" applyBorder="1" applyAlignment="1" applyProtection="1">
      <alignment horizontal="center" vertical="center" wrapText="1"/>
    </xf>
    <xf numFmtId="0" fontId="16" fillId="6" borderId="1" xfId="2" applyNumberFormat="1" applyFont="1" applyFill="1" applyBorder="1" applyAlignment="1" applyProtection="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6" fillId="0" borderId="1" xfId="0" applyFont="1" applyBorder="1" applyAlignment="1">
      <alignment vertical="center" wrapText="1"/>
    </xf>
    <xf numFmtId="0" fontId="5" fillId="0" borderId="8" xfId="0" applyFont="1" applyBorder="1" applyAlignment="1">
      <alignment horizontal="left" vertical="center" wrapText="1"/>
    </xf>
    <xf numFmtId="0" fontId="0" fillId="0" borderId="8" xfId="0" applyBorder="1" applyAlignment="1">
      <alignment horizontal="left" vertical="center" wrapText="1"/>
    </xf>
    <xf numFmtId="0" fontId="6" fillId="7" borderId="6" xfId="0" applyFont="1" applyFill="1" applyBorder="1" applyAlignment="1" applyProtection="1">
      <alignment horizontal="center" vertical="center" wrapText="1"/>
      <protection locked="0"/>
    </xf>
    <xf numFmtId="0" fontId="6" fillId="7" borderId="2" xfId="0" applyFont="1" applyFill="1" applyBorder="1" applyAlignment="1" applyProtection="1">
      <alignment horizontal="center" vertical="center" wrapText="1"/>
      <protection locked="0"/>
    </xf>
    <xf numFmtId="0" fontId="6" fillId="7" borderId="4" xfId="0" applyFont="1" applyFill="1" applyBorder="1" applyAlignment="1" applyProtection="1">
      <alignment horizontal="center" vertical="center" wrapText="1"/>
      <protection locked="0"/>
    </xf>
    <xf numFmtId="0" fontId="32" fillId="6" borderId="3" xfId="2" quotePrefix="1" applyNumberFormat="1" applyFont="1" applyFill="1" applyBorder="1" applyAlignment="1">
      <alignment horizontal="left" vertical="center" wrapText="1"/>
    </xf>
    <xf numFmtId="0" fontId="32" fillId="6" borderId="4" xfId="2" quotePrefix="1" applyNumberFormat="1" applyFont="1" applyFill="1" applyBorder="1" applyAlignment="1">
      <alignment horizontal="left" vertical="center" wrapText="1"/>
    </xf>
    <xf numFmtId="0" fontId="32" fillId="6" borderId="4" xfId="2" applyNumberFormat="1" applyFont="1" applyFill="1" applyBorder="1" applyAlignment="1">
      <alignment horizontal="left" vertical="center" wrapText="1"/>
    </xf>
    <xf numFmtId="0" fontId="32" fillId="6" borderId="5" xfId="2" applyNumberFormat="1" applyFont="1" applyFill="1" applyBorder="1" applyAlignment="1">
      <alignment horizontal="left" vertical="center" wrapText="1"/>
    </xf>
    <xf numFmtId="0" fontId="5" fillId="2" borderId="0" xfId="0" quotePrefix="1" applyFont="1" applyFill="1" applyBorder="1" applyAlignment="1">
      <alignment horizontal="center" vertical="center" wrapText="1"/>
    </xf>
    <xf numFmtId="0" fontId="0" fillId="2" borderId="0" xfId="0" quotePrefix="1" applyFill="1" applyBorder="1" applyAlignment="1">
      <alignment horizontal="center" vertical="center" wrapText="1"/>
    </xf>
    <xf numFmtId="0" fontId="12" fillId="0" borderId="0" xfId="4" applyFill="1" applyAlignment="1" applyProtection="1">
      <alignment horizontal="left" vertical="center"/>
    </xf>
    <xf numFmtId="0" fontId="26" fillId="6" borderId="3" xfId="2" applyNumberFormat="1" applyFont="1" applyFill="1" applyBorder="1" applyAlignment="1" applyProtection="1">
      <alignment horizontal="center" vertical="center" wrapText="1"/>
    </xf>
    <xf numFmtId="0" fontId="26" fillId="6" borderId="4" xfId="2" applyNumberFormat="1" applyFont="1" applyFill="1" applyBorder="1" applyAlignment="1" applyProtection="1">
      <alignment horizontal="center" vertical="center" wrapText="1"/>
    </xf>
    <xf numFmtId="0" fontId="26" fillId="6" borderId="5" xfId="2" applyNumberFormat="1" applyFont="1" applyFill="1" applyBorder="1" applyAlignment="1" applyProtection="1">
      <alignment horizontal="center" vertical="center" wrapText="1"/>
    </xf>
    <xf numFmtId="0" fontId="6" fillId="7" borderId="3" xfId="0" applyFont="1" applyFill="1" applyBorder="1" applyAlignment="1" applyProtection="1">
      <alignment horizontal="left" vertical="center" wrapText="1"/>
    </xf>
    <xf numFmtId="0" fontId="6" fillId="7" borderId="4" xfId="0" applyFont="1" applyFill="1" applyBorder="1" applyAlignment="1" applyProtection="1">
      <alignment horizontal="left" vertical="center" wrapText="1"/>
    </xf>
    <xf numFmtId="0" fontId="6" fillId="7" borderId="5" xfId="0" applyFont="1" applyFill="1" applyBorder="1" applyAlignment="1" applyProtection="1">
      <alignment horizontal="left" vertical="center" wrapText="1"/>
    </xf>
    <xf numFmtId="0" fontId="26" fillId="6" borderId="3" xfId="2" applyNumberFormat="1" applyFont="1" applyFill="1" applyBorder="1" applyAlignment="1" applyProtection="1">
      <alignment horizontal="left" vertical="center" wrapText="1"/>
    </xf>
    <xf numFmtId="0" fontId="26" fillId="6" borderId="4" xfId="2" applyNumberFormat="1" applyFont="1" applyFill="1" applyBorder="1" applyAlignment="1" applyProtection="1">
      <alignment horizontal="left" vertical="center" wrapText="1"/>
    </xf>
    <xf numFmtId="0" fontId="26" fillId="6" borderId="5" xfId="2" applyNumberFormat="1" applyFont="1" applyFill="1" applyBorder="1" applyAlignment="1" applyProtection="1">
      <alignment horizontal="left" vertical="center" wrapText="1"/>
    </xf>
    <xf numFmtId="0" fontId="5" fillId="0" borderId="0" xfId="0" quotePrefix="1" applyFont="1" applyAlignment="1" applyProtection="1">
      <alignment horizontal="left" vertical="top" wrapText="1"/>
    </xf>
    <xf numFmtId="0" fontId="5" fillId="0" borderId="0" xfId="0" quotePrefix="1" applyFont="1" applyAlignment="1" applyProtection="1">
      <alignment horizontal="left"/>
    </xf>
  </cellXfs>
  <cellStyles count="18">
    <cellStyle name="40% - Accent1" xfId="10" builtinId="31"/>
    <cellStyle name="40% - Accent4" xfId="13" builtinId="43"/>
    <cellStyle name="60% - Accent2" xfId="11" builtinId="36"/>
    <cellStyle name="Accent1" xfId="9" builtinId="29"/>
    <cellStyle name="Accent4" xfId="12" builtinId="41"/>
    <cellStyle name="Accent6" xfId="14" builtinId="49"/>
    <cellStyle name="Comma" xfId="17" builtinId="3"/>
    <cellStyle name="Comma 2" xfId="8" xr:uid="{00000000-0005-0000-0000-000007000000}"/>
    <cellStyle name="Heading 2" xfId="5" builtinId="17"/>
    <cellStyle name="Heading 3" xfId="6" builtinId="18"/>
    <cellStyle name="Heading 4" xfId="2" builtinId="19"/>
    <cellStyle name="Hyperlink" xfId="4" builtinId="8"/>
    <cellStyle name="Input" xfId="3" builtinId="20"/>
    <cellStyle name="Neutral" xfId="16" builtinId="28"/>
    <cellStyle name="Normal" xfId="0" builtinId="0"/>
    <cellStyle name="Normal 2" xfId="7" xr:uid="{00000000-0005-0000-0000-00000F000000}"/>
    <cellStyle name="Normal 3" xfId="15" xr:uid="{00000000-0005-0000-0000-000010000000}"/>
    <cellStyle name="Normal_Sheet1" xfId="1" xr:uid="{00000000-0005-0000-0000-000011000000}"/>
  </cellStyles>
  <dxfs count="9">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s>
  <tableStyles count="0" defaultTableStyle="TableStyleMedium9" defaultPivotStyle="PivotStyleLight16"/>
  <colors>
    <mruColors>
      <color rgb="FFFFBE82"/>
      <color rgb="FFFFCC99"/>
      <color rgb="FFB4FFCC"/>
      <color rgb="FFB8D2BB"/>
      <color rgb="FF91FFCC"/>
      <color rgb="FF8CFFCC"/>
      <color rgb="FFC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9524</xdr:rowOff>
    </xdr:from>
    <xdr:to>
      <xdr:col>6</xdr:col>
      <xdr:colOff>9525</xdr:colOff>
      <xdr:row>26</xdr:row>
      <xdr:rowOff>66674</xdr:rowOff>
    </xdr:to>
    <xdr:sp macro="" textlink="">
      <xdr:nvSpPr>
        <xdr:cNvPr id="2" name="Rectangle 1">
          <a:extLst>
            <a:ext uri="{FF2B5EF4-FFF2-40B4-BE49-F238E27FC236}">
              <a16:creationId xmlns:a16="http://schemas.microsoft.com/office/drawing/2014/main" id="{00000000-0008-0000-0A00-000002000000}"/>
            </a:ext>
          </a:extLst>
        </xdr:cNvPr>
        <xdr:cNvSpPr/>
      </xdr:nvSpPr>
      <xdr:spPr>
        <a:xfrm>
          <a:off x="0" y="342899"/>
          <a:ext cx="7534275" cy="4105275"/>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to WPD areas:</a:t>
          </a:r>
        </a:p>
        <a:p>
          <a:pPr lvl="1"/>
          <a:r>
            <a:rPr lang="en-GB" sz="900">
              <a:solidFill>
                <a:sysClr val="windowText" lastClr="000000"/>
              </a:solidFill>
              <a:effectLst/>
              <a:latin typeface="+mn-lt"/>
              <a:ea typeface="+mn-ea"/>
              <a:cs typeface="+mn-cs"/>
            </a:rPr>
            <a:t>WPD East Midlands (EMEB) and WPD West Midlands (MIDE) tariffs are all delinked and set time bands are applied in place of the TPR’s timebands.</a:t>
          </a:r>
        </a:p>
        <a:p>
          <a:pPr lvl="1"/>
          <a:r>
            <a:rPr lang="en-GB" sz="900">
              <a:solidFill>
                <a:sysClr val="windowText" lastClr="000000"/>
              </a:solidFill>
              <a:effectLst/>
              <a:latin typeface="+mn-lt"/>
              <a:ea typeface="+mn-ea"/>
              <a:cs typeface="+mn-cs"/>
            </a:rPr>
            <a:t>WPD South West (SWEB) and South Wales (SWAE) do not support all SSC combinations and where indicated with ‘Unsupported’ then set time bands are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Otherwise the following rules apply to the remaining DNO areas.</a:t>
          </a:r>
        </a:p>
        <a:p>
          <a:pPr lvl="1"/>
          <a:r>
            <a:rPr lang="en-GB" sz="900">
              <a:solidFill>
                <a:sysClr val="windowText" lastClr="000000"/>
              </a:solidFill>
              <a:effectLst/>
              <a:latin typeface="+mn-lt"/>
              <a:ea typeface="+mn-ea"/>
              <a:cs typeface="+mn-cs"/>
            </a:rPr>
            <a:t>1, G and U should be applied straight to the appropriate SSC/TPRs, to identify generation and UMS tariffs.</a:t>
          </a:r>
        </a:p>
        <a:p>
          <a:pPr lvl="1"/>
          <a:r>
            <a:rPr lang="en-GB" sz="900">
              <a:solidFill>
                <a:sysClr val="windowText" lastClr="000000"/>
              </a:solidFill>
              <a:effectLst/>
              <a:latin typeface="+mn-lt"/>
              <a:ea typeface="+mn-ea"/>
              <a:cs typeface="+mn-cs"/>
            </a:rPr>
            <a:t>Then considering the SSC/TPRs alongside the PC.</a:t>
          </a:r>
        </a:p>
        <a:p>
          <a:pPr lvl="1"/>
          <a:r>
            <a:rPr lang="en-GB" sz="900">
              <a:solidFill>
                <a:sysClr val="windowText" lastClr="000000"/>
              </a:solidFill>
              <a:effectLst/>
              <a:latin typeface="+mn-lt"/>
              <a:ea typeface="+mn-ea"/>
              <a:cs typeface="+mn-cs"/>
            </a:rPr>
            <a:t>2, PC1s should be labelled Domestic Unrestricted.</a:t>
          </a:r>
        </a:p>
        <a:p>
          <a:pPr lvl="1"/>
          <a:r>
            <a:rPr lang="en-GB" sz="900">
              <a:solidFill>
                <a:sysClr val="windowText" lastClr="000000"/>
              </a:solidFill>
              <a:effectLst/>
              <a:latin typeface="+mn-lt"/>
              <a:ea typeface="+mn-ea"/>
              <a:cs typeface="+mn-cs"/>
            </a:rPr>
            <a:t>3, PC2s with a SSCs with O should be labelled Domestic Off Peak.</a:t>
          </a:r>
        </a:p>
        <a:p>
          <a:pPr lvl="1"/>
          <a:r>
            <a:rPr lang="en-GB" sz="900">
              <a:solidFill>
                <a:sysClr val="windowText" lastClr="000000"/>
              </a:solidFill>
              <a:effectLst/>
              <a:latin typeface="+mn-lt"/>
              <a:ea typeface="+mn-ea"/>
              <a:cs typeface="+mn-cs"/>
            </a:rPr>
            <a:t>4, Remaining PC2s should be labelled Domestic Two Rate with the unit as 1 or 2 as detailed.</a:t>
          </a:r>
        </a:p>
        <a:p>
          <a:pPr lvl="1"/>
          <a:r>
            <a:rPr lang="en-GB" sz="900">
              <a:solidFill>
                <a:sysClr val="windowText" lastClr="000000"/>
              </a:solidFill>
              <a:effectLst/>
              <a:latin typeface="+mn-lt"/>
              <a:ea typeface="+mn-ea"/>
              <a:cs typeface="+mn-cs"/>
            </a:rPr>
            <a:t>5, PC3s should be labelled Small Non Domestic Unrestricted.</a:t>
          </a:r>
        </a:p>
        <a:p>
          <a:pPr lvl="1"/>
          <a:r>
            <a:rPr lang="en-GB" sz="900">
              <a:solidFill>
                <a:sysClr val="windowText" lastClr="000000"/>
              </a:solidFill>
              <a:effectLst/>
              <a:latin typeface="+mn-lt"/>
              <a:ea typeface="+mn-ea"/>
              <a:cs typeface="+mn-cs"/>
            </a:rPr>
            <a:t>6, PC4s with a SSCs with O should be labelled Small Non Domestic Off Peak.</a:t>
          </a:r>
        </a:p>
        <a:p>
          <a:pPr lvl="1"/>
          <a:r>
            <a:rPr lang="en-GB" sz="900">
              <a:solidFill>
                <a:sysClr val="windowText" lastClr="000000"/>
              </a:solidFill>
              <a:effectLst/>
              <a:latin typeface="+mn-lt"/>
              <a:ea typeface="+mn-ea"/>
              <a:cs typeface="+mn-cs"/>
            </a:rPr>
            <a:t>7, Remaining PC4s should be labelled Small Non Domestic Two Rate with the unit as 1 or 2 as detailed.</a:t>
          </a:r>
        </a:p>
        <a:p>
          <a:pPr lvl="1"/>
          <a:r>
            <a:rPr lang="en-GB" sz="900">
              <a:solidFill>
                <a:sysClr val="windowText" lastClr="000000"/>
              </a:solidFill>
              <a:effectLst/>
              <a:latin typeface="+mn-lt"/>
              <a:ea typeface="+mn-ea"/>
              <a:cs typeface="+mn-cs"/>
            </a:rPr>
            <a:t>8, PC5 – 8s, depending on the voltage of connection, they should be labelled; LV Medium Non Domestic, LV Sub Medium Non Domestic or HV Medium Non Domestic with the unit as 1 or 2 as detailed.</a:t>
          </a:r>
        </a:p>
        <a:p>
          <a:r>
            <a:rPr lang="en-GB" sz="900">
              <a:solidFill>
                <a:sysClr val="windowText" lastClr="000000"/>
              </a:solidFill>
              <a:effectLst/>
              <a:latin typeface="+mn-lt"/>
              <a:ea typeface="+mn-ea"/>
              <a:cs typeface="+mn-cs"/>
            </a:rPr>
            <a:t> </a:t>
          </a: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1: Unit 1 (Day)</a:t>
          </a:r>
        </a:p>
        <a:p>
          <a:pPr lvl="1"/>
          <a:r>
            <a:rPr lang="en-GB" sz="900">
              <a:solidFill>
                <a:sysClr val="windowText" lastClr="000000"/>
              </a:solidFill>
              <a:effectLst/>
              <a:latin typeface="+mn-lt"/>
              <a:ea typeface="+mn-ea"/>
              <a:cs typeface="+mn-cs"/>
            </a:rPr>
            <a:t>2: Unit 2 (Night)</a:t>
          </a:r>
        </a:p>
        <a:p>
          <a:pPr lvl="1"/>
          <a:r>
            <a:rPr lang="en-GB" sz="900">
              <a:solidFill>
                <a:sysClr val="windowText" lastClr="000000"/>
              </a:solidFill>
              <a:effectLst/>
              <a:latin typeface="+mn-lt"/>
              <a:ea typeface="+mn-ea"/>
              <a:cs typeface="+mn-cs"/>
            </a:rPr>
            <a:t>O: Off Peak</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UMS</a:t>
          </a:r>
        </a:p>
        <a:p>
          <a:pPr lvl="1"/>
          <a:r>
            <a:rPr lang="en-GB" sz="900">
              <a:solidFill>
                <a:sysClr val="windowText" lastClr="000000"/>
              </a:solidFill>
              <a:effectLst/>
              <a:latin typeface="+mn-lt"/>
              <a:ea typeface="+mn-ea"/>
              <a:cs typeface="+mn-cs"/>
            </a:rPr>
            <a:t>Unsupported: WPD South West (SWEB) or South Wales (SWAE) default TPRs applied</a:t>
          </a:r>
        </a:p>
        <a:p>
          <a:pPr lvl="1"/>
          <a:r>
            <a:rPr lang="en-GB" sz="900">
              <a:solidFill>
                <a:sysClr val="windowText" lastClr="000000"/>
              </a:solidFill>
              <a:effectLst/>
              <a:latin typeface="+mn-lt"/>
              <a:ea typeface="+mn-ea"/>
              <a:cs typeface="+mn-cs"/>
            </a:rPr>
            <a:t>EMEB or MIDE only: only exists in those areas (either or both) as delinked.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a:extLst>
            <a:ext uri="{FF2B5EF4-FFF2-40B4-BE49-F238E27FC236}">
              <a16:creationId xmlns:a16="http://schemas.microsoft.com/office/drawing/2014/main" id="{00000000-0008-0000-0B00-000002000000}"/>
            </a:ext>
          </a:extLst>
        </xdr:cNvPr>
        <xdr:cNvSpPr txBox="1"/>
      </xdr:nvSpPr>
      <xdr:spPr>
        <a:xfrm>
          <a:off x="184151" y="8769351"/>
          <a:ext cx="8242300" cy="106680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ricing/DUoS/April%202019/Published/SPM%20-%20Schedule%20of%20charges%20and%20other%20tables%20FINAL%20-%202019%20V.0.2%20(6%20updat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view"/>
      <sheetName val="Annex 1 LV and HV charges"/>
      <sheetName val="Annex 2 EHV charges"/>
      <sheetName val="Annex 2a Import"/>
      <sheetName val="Annex 2b Export"/>
      <sheetName val="Annex 3 Preserved charges"/>
      <sheetName val="Annex 4 LDNO charges"/>
      <sheetName val="Annex 5 LLFs"/>
      <sheetName val="Annex 6 new or amended EHV"/>
      <sheetName val="Nodal prices"/>
      <sheetName val="SSC TPR unit rate lookup"/>
      <sheetName val="Charge Calculator"/>
    </sheetNames>
    <sheetDataSet>
      <sheetData sheetId="0">
        <row r="4">
          <cell r="B4" t="str">
            <v>SP Manweb</v>
          </cell>
          <cell r="D4" t="str">
            <v>1 April 2019</v>
          </cell>
          <cell r="E4" t="str">
            <v>Final</v>
          </cell>
        </row>
      </sheetData>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5"/>
  <sheetViews>
    <sheetView showGridLines="0" zoomScale="90" zoomScaleNormal="90" zoomScaleSheetLayoutView="100" workbookViewId="0">
      <selection activeCell="A4" sqref="A4"/>
    </sheetView>
  </sheetViews>
  <sheetFormatPr defaultRowHeight="12.75" x14ac:dyDescent="0.2"/>
  <cols>
    <col min="1" max="1" width="70.28515625" customWidth="1"/>
    <col min="2" max="2" width="42.140625" customWidth="1"/>
    <col min="3" max="3" width="28" customWidth="1"/>
    <col min="4" max="4" width="18.140625" customWidth="1"/>
    <col min="5" max="5" width="21.5703125" customWidth="1"/>
  </cols>
  <sheetData>
    <row r="1" spans="1:8" x14ac:dyDescent="0.2">
      <c r="A1" s="26"/>
      <c r="B1" s="26"/>
      <c r="C1" s="26"/>
      <c r="D1" s="26"/>
      <c r="E1" s="26"/>
    </row>
    <row r="2" spans="1:8" ht="16.5" x14ac:dyDescent="0.2">
      <c r="A2" s="170" t="s">
        <v>649</v>
      </c>
      <c r="B2" s="75"/>
      <c r="C2" s="75"/>
      <c r="D2" s="75"/>
      <c r="E2" s="75"/>
    </row>
    <row r="3" spans="1:8" ht="15" x14ac:dyDescent="0.2">
      <c r="A3" s="79"/>
      <c r="B3" s="163" t="s">
        <v>650</v>
      </c>
      <c r="C3" s="162" t="s">
        <v>696</v>
      </c>
      <c r="D3" s="162" t="s">
        <v>94</v>
      </c>
      <c r="E3" s="162" t="s">
        <v>93</v>
      </c>
    </row>
    <row r="4" spans="1:8" ht="15" x14ac:dyDescent="0.2">
      <c r="A4" s="76" t="s">
        <v>649</v>
      </c>
      <c r="B4" s="31" t="s">
        <v>1198</v>
      </c>
      <c r="C4" s="31" t="s">
        <v>1199</v>
      </c>
      <c r="D4" s="31" t="s">
        <v>1200</v>
      </c>
      <c r="E4" s="31" t="s">
        <v>648</v>
      </c>
    </row>
    <row r="5" spans="1:8" x14ac:dyDescent="0.2">
      <c r="A5" s="75"/>
      <c r="B5" s="75"/>
      <c r="C5" s="75"/>
      <c r="D5" s="75"/>
      <c r="E5" s="75"/>
    </row>
    <row r="6" spans="1:8" ht="16.5" x14ac:dyDescent="0.2">
      <c r="A6" s="78" t="s">
        <v>88</v>
      </c>
      <c r="B6" s="75"/>
      <c r="C6" s="75"/>
      <c r="D6" s="75"/>
      <c r="E6" s="75"/>
    </row>
    <row r="7" spans="1:8" ht="15" x14ac:dyDescent="0.2">
      <c r="A7" s="80" t="s">
        <v>89</v>
      </c>
      <c r="B7" s="233" t="s">
        <v>90</v>
      </c>
      <c r="C7" s="233"/>
      <c r="D7" s="233"/>
      <c r="E7" s="233"/>
    </row>
    <row r="8" spans="1:8" ht="30" customHeight="1" x14ac:dyDescent="0.2">
      <c r="A8" s="85" t="s">
        <v>476</v>
      </c>
      <c r="B8" s="228" t="s">
        <v>714</v>
      </c>
      <c r="C8" s="228"/>
      <c r="D8" s="228"/>
      <c r="E8" s="228"/>
    </row>
    <row r="9" spans="1:8" ht="30" customHeight="1" x14ac:dyDescent="0.2">
      <c r="A9" s="85" t="s">
        <v>477</v>
      </c>
      <c r="B9" s="228"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SP Manweb Licence area.</v>
      </c>
      <c r="C9" s="228"/>
      <c r="D9" s="228"/>
      <c r="E9" s="228"/>
    </row>
    <row r="10" spans="1:8" ht="30" customHeight="1" x14ac:dyDescent="0.2">
      <c r="A10" s="85" t="s">
        <v>478</v>
      </c>
      <c r="B10" s="228" t="s">
        <v>92</v>
      </c>
      <c r="C10" s="228"/>
      <c r="D10" s="228"/>
      <c r="E10" s="228"/>
    </row>
    <row r="11" spans="1:8" ht="61.5" customHeight="1" x14ac:dyDescent="0.2">
      <c r="A11" s="85" t="s">
        <v>479</v>
      </c>
      <c r="B11" s="228"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SP Manweb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28"/>
      <c r="D11" s="228"/>
      <c r="E11" s="228"/>
      <c r="F11" s="227"/>
      <c r="G11" s="227"/>
      <c r="H11" s="227"/>
    </row>
    <row r="12" spans="1:8" ht="86.25" customHeight="1" x14ac:dyDescent="0.2">
      <c r="A12" s="85" t="s">
        <v>183</v>
      </c>
      <c r="B12" s="231" t="s">
        <v>718</v>
      </c>
      <c r="C12" s="231"/>
      <c r="D12" s="231"/>
      <c r="E12" s="231"/>
    </row>
    <row r="13" spans="1:8" ht="33.75" customHeight="1" x14ac:dyDescent="0.2">
      <c r="A13" s="85" t="s">
        <v>719</v>
      </c>
      <c r="B13" s="228"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SP Manweb Licence area.</v>
      </c>
      <c r="C13" s="228"/>
      <c r="D13" s="228"/>
      <c r="E13" s="228"/>
    </row>
    <row r="14" spans="1:8" ht="29.25" customHeight="1" x14ac:dyDescent="0.2">
      <c r="A14" s="85" t="s">
        <v>456</v>
      </c>
      <c r="B14" s="228" t="s">
        <v>593</v>
      </c>
      <c r="C14" s="228"/>
      <c r="D14" s="228"/>
      <c r="E14" s="228"/>
    </row>
    <row r="15" spans="1:8" ht="30" customHeight="1" x14ac:dyDescent="0.2">
      <c r="A15" s="85" t="s">
        <v>451</v>
      </c>
      <c r="B15" s="228" t="s">
        <v>452</v>
      </c>
      <c r="C15" s="228"/>
      <c r="D15" s="228"/>
      <c r="E15" s="228"/>
    </row>
    <row r="16" spans="1:8" ht="30" customHeight="1" x14ac:dyDescent="0.2">
      <c r="A16" s="85" t="s">
        <v>536</v>
      </c>
      <c r="B16" s="228" t="s">
        <v>535</v>
      </c>
      <c r="C16" s="228"/>
      <c r="D16" s="228"/>
      <c r="E16" s="228"/>
    </row>
    <row r="17" spans="1:5" x14ac:dyDescent="0.2">
      <c r="A17" s="75"/>
      <c r="B17" s="75"/>
      <c r="C17" s="75"/>
      <c r="D17" s="75"/>
      <c r="E17" s="75"/>
    </row>
    <row r="18" spans="1:5" ht="15" x14ac:dyDescent="0.2">
      <c r="A18" s="81" t="s">
        <v>99</v>
      </c>
      <c r="B18" s="75"/>
      <c r="C18" s="75"/>
      <c r="D18" s="75"/>
      <c r="E18" s="75"/>
    </row>
    <row r="19" spans="1:5" ht="15" x14ac:dyDescent="0.2">
      <c r="A19" s="80"/>
      <c r="B19" s="232"/>
      <c r="C19" s="232"/>
      <c r="D19" s="232"/>
      <c r="E19" s="232"/>
    </row>
    <row r="20" spans="1:5" ht="32.25" customHeight="1" x14ac:dyDescent="0.2">
      <c r="A20" s="229" t="s">
        <v>514</v>
      </c>
      <c r="B20" s="230"/>
      <c r="C20" s="230"/>
      <c r="D20" s="230"/>
      <c r="E20" s="230"/>
    </row>
    <row r="21" spans="1:5" x14ac:dyDescent="0.2">
      <c r="A21" s="75"/>
      <c r="B21" s="75"/>
      <c r="C21" s="75"/>
      <c r="D21" s="75"/>
      <c r="E21" s="75"/>
    </row>
    <row r="22" spans="1:5" ht="15" x14ac:dyDescent="0.2">
      <c r="A22" s="82" t="s">
        <v>100</v>
      </c>
      <c r="B22" s="75"/>
      <c r="C22" s="75"/>
      <c r="D22" s="75"/>
      <c r="E22" s="75"/>
    </row>
    <row r="23" spans="1:5" ht="15" x14ac:dyDescent="0.2">
      <c r="A23" s="77"/>
      <c r="B23" s="232"/>
      <c r="C23" s="232"/>
      <c r="D23" s="232"/>
      <c r="E23" s="232"/>
    </row>
    <row r="24" spans="1:5" ht="28.5" customHeight="1" x14ac:dyDescent="0.2">
      <c r="A24" s="229" t="s">
        <v>480</v>
      </c>
      <c r="B24" s="230"/>
      <c r="C24" s="230"/>
      <c r="D24" s="230"/>
      <c r="E24" s="230"/>
    </row>
    <row r="25" spans="1:5" ht="28.5" customHeight="1" x14ac:dyDescent="0.2">
      <c r="A25" s="226" t="s">
        <v>647</v>
      </c>
      <c r="B25" s="226"/>
      <c r="C25" s="226"/>
      <c r="D25" s="226"/>
      <c r="E25" s="226"/>
    </row>
  </sheetData>
  <mergeCells count="16">
    <mergeCell ref="B8:E8"/>
    <mergeCell ref="B9:E9"/>
    <mergeCell ref="B10:E10"/>
    <mergeCell ref="B11:E11"/>
    <mergeCell ref="B7:E7"/>
    <mergeCell ref="A25:E25"/>
    <mergeCell ref="F11:H11"/>
    <mergeCell ref="B15:E15"/>
    <mergeCell ref="A20:E20"/>
    <mergeCell ref="A24:E24"/>
    <mergeCell ref="B12:E12"/>
    <mergeCell ref="B14:E14"/>
    <mergeCell ref="B13:E13"/>
    <mergeCell ref="B16:E16"/>
    <mergeCell ref="B19:E19"/>
    <mergeCell ref="B23:E23"/>
  </mergeCells>
  <hyperlinks>
    <hyperlink ref="A8" location="'Annex 1 LV and HV charges'!A1" display="Annex 1 LV and HV charges" xr:uid="{00000000-0004-0000-0000-000000000000}"/>
    <hyperlink ref="A9" location="'Annex 2 EHV charges'!A1" display="Annex 2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4" location="'Nodal prices'!A1" display="Nodal prices" xr:uid="{00000000-0004-0000-0000-000005000000}"/>
    <hyperlink ref="A13" location="'Annex 6 new or amended EHV'!Print_Area" display="Annex 6  Charges for New or Amended Designated EHV Properties" xr:uid="{00000000-0004-0000-0000-000006000000}"/>
    <hyperlink ref="A15" location="'SSC TPR unit rate lookup'!A1" display="SSC TPR to unit rate lookup table" xr:uid="{00000000-0004-0000-0000-000007000000}"/>
    <hyperlink ref="A16" location="'Charge Calculator'!B10" display="Charge calculator" xr:uid="{00000000-0004-0000-0000-000008000000}"/>
  </hyperlinks>
  <pageMargins left="0.70866141732283472" right="0.70866141732283472" top="0.74803149606299213" bottom="0.74803149606299213" header="0.31496062992125984" footer="0.31496062992125984"/>
  <pageSetup paperSize="9" scale="64" orientation="landscape" r:id="rId1"/>
  <headerFooter>
    <oddFooter>&amp;C&amp;1#&amp;"Calibri"&amp;12&amp;K008000Internal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O45"/>
  <sheetViews>
    <sheetView zoomScale="85" zoomScaleNormal="85" zoomScaleSheetLayoutView="100" workbookViewId="0">
      <selection activeCell="A2" sqref="A2:K2"/>
    </sheetView>
  </sheetViews>
  <sheetFormatPr defaultRowHeight="27.75" customHeight="1" x14ac:dyDescent="0.2"/>
  <cols>
    <col min="1" max="1" width="49" style="2" bestFit="1" customWidth="1"/>
    <col min="2" max="2" width="17.5703125" style="3" customWidth="1"/>
    <col min="3" max="3" width="6.85546875" style="2" customWidth="1"/>
    <col min="4" max="4" width="17.5703125" style="2" customWidth="1"/>
    <col min="5" max="7" width="17.5703125" style="3" customWidth="1"/>
    <col min="8" max="9" width="17.5703125" style="9" customWidth="1"/>
    <col min="10" max="10" width="17.5703125" style="5" customWidth="1"/>
    <col min="11" max="11" width="17.5703125" style="6" customWidth="1"/>
    <col min="12" max="12" width="1.42578125" style="4" customWidth="1"/>
    <col min="13" max="13" width="15.5703125" style="4" customWidth="1"/>
    <col min="14" max="19" width="15.5703125" style="2" customWidth="1"/>
    <col min="20" max="16384" width="9.140625" style="2"/>
  </cols>
  <sheetData>
    <row r="1" spans="1:15" ht="27.75" customHeight="1" x14ac:dyDescent="0.2">
      <c r="A1" s="112" t="s">
        <v>91</v>
      </c>
      <c r="B1" s="235" t="s">
        <v>712</v>
      </c>
      <c r="C1" s="236"/>
      <c r="D1" s="236"/>
      <c r="E1" s="234" t="s">
        <v>713</v>
      </c>
      <c r="F1" s="234"/>
      <c r="G1" s="234"/>
      <c r="H1" s="234"/>
      <c r="I1" s="234"/>
      <c r="J1" s="234"/>
      <c r="K1" s="234"/>
      <c r="L1" s="58"/>
      <c r="M1" s="58"/>
      <c r="N1" s="58"/>
      <c r="O1" s="58"/>
    </row>
    <row r="2" spans="1:15" ht="27" customHeight="1" x14ac:dyDescent="0.2">
      <c r="A2" s="242" t="s">
        <v>1272</v>
      </c>
      <c r="B2" s="242"/>
      <c r="C2" s="242"/>
      <c r="D2" s="242"/>
      <c r="E2" s="242"/>
      <c r="F2" s="242"/>
      <c r="G2" s="242"/>
      <c r="H2" s="242"/>
      <c r="I2" s="242"/>
      <c r="J2" s="242"/>
      <c r="K2" s="242"/>
    </row>
    <row r="3" spans="1:15" s="97" customFormat="1" ht="15" customHeight="1" x14ac:dyDescent="0.2">
      <c r="A3" s="95"/>
      <c r="B3" s="95"/>
      <c r="C3" s="95"/>
      <c r="D3" s="95"/>
      <c r="E3" s="95"/>
      <c r="F3" s="95"/>
      <c r="G3" s="95"/>
      <c r="H3" s="95"/>
      <c r="I3" s="95"/>
      <c r="J3" s="95"/>
      <c r="K3" s="95"/>
      <c r="L3" s="96"/>
      <c r="M3" s="96"/>
    </row>
    <row r="4" spans="1:15" ht="27" customHeight="1" x14ac:dyDescent="0.2">
      <c r="A4" s="242" t="s">
        <v>504</v>
      </c>
      <c r="B4" s="242"/>
      <c r="C4" s="242"/>
      <c r="D4" s="242"/>
      <c r="E4" s="242"/>
      <c r="F4" s="95"/>
      <c r="G4" s="242" t="s">
        <v>503</v>
      </c>
      <c r="H4" s="242"/>
      <c r="I4" s="242"/>
      <c r="J4" s="242"/>
      <c r="K4" s="242"/>
    </row>
    <row r="5" spans="1:15" ht="28.5" customHeight="1" x14ac:dyDescent="0.2">
      <c r="A5" s="86" t="s">
        <v>80</v>
      </c>
      <c r="B5" s="91" t="s">
        <v>494</v>
      </c>
      <c r="C5" s="243" t="s">
        <v>495</v>
      </c>
      <c r="D5" s="244"/>
      <c r="E5" s="88" t="s">
        <v>496</v>
      </c>
      <c r="F5" s="95"/>
      <c r="G5" s="246"/>
      <c r="H5" s="247"/>
      <c r="I5" s="92" t="s">
        <v>501</v>
      </c>
      <c r="J5" s="93" t="s">
        <v>502</v>
      </c>
      <c r="K5" s="88" t="s">
        <v>496</v>
      </c>
      <c r="L5" s="95"/>
      <c r="N5" s="4"/>
    </row>
    <row r="6" spans="1:15" ht="65.25" customHeight="1" x14ac:dyDescent="0.2">
      <c r="A6" s="89" t="s">
        <v>497</v>
      </c>
      <c r="B6" s="24" t="s">
        <v>721</v>
      </c>
      <c r="C6" s="245" t="s">
        <v>722</v>
      </c>
      <c r="D6" s="245"/>
      <c r="E6" s="24" t="s">
        <v>723</v>
      </c>
      <c r="F6" s="95"/>
      <c r="G6" s="237" t="s">
        <v>498</v>
      </c>
      <c r="H6" s="237"/>
      <c r="I6" s="183"/>
      <c r="J6" s="184" t="s">
        <v>726</v>
      </c>
      <c r="K6" s="94" t="s">
        <v>723</v>
      </c>
      <c r="L6" s="95"/>
      <c r="N6" s="4"/>
    </row>
    <row r="7" spans="1:15" ht="65.25" customHeight="1" x14ac:dyDescent="0.2">
      <c r="A7" s="89" t="s">
        <v>87</v>
      </c>
      <c r="B7" s="22"/>
      <c r="C7" s="245" t="s">
        <v>724</v>
      </c>
      <c r="D7" s="245"/>
      <c r="E7" s="24" t="s">
        <v>725</v>
      </c>
      <c r="F7" s="95"/>
      <c r="G7" s="237" t="s">
        <v>499</v>
      </c>
      <c r="H7" s="237"/>
      <c r="I7" s="24" t="s">
        <v>721</v>
      </c>
      <c r="J7" s="94" t="s">
        <v>722</v>
      </c>
      <c r="K7" s="185" t="s">
        <v>723</v>
      </c>
      <c r="L7" s="95"/>
      <c r="N7" s="4"/>
    </row>
    <row r="8" spans="1:15" ht="65.25" customHeight="1" x14ac:dyDescent="0.2">
      <c r="A8" s="90" t="s">
        <v>85</v>
      </c>
      <c r="B8" s="238" t="s">
        <v>86</v>
      </c>
      <c r="C8" s="239"/>
      <c r="D8" s="239"/>
      <c r="E8" s="240"/>
      <c r="F8" s="95"/>
      <c r="G8" s="237" t="s">
        <v>727</v>
      </c>
      <c r="H8" s="237"/>
      <c r="I8" s="186"/>
      <c r="J8" s="94" t="s">
        <v>726</v>
      </c>
      <c r="K8" s="185" t="s">
        <v>723</v>
      </c>
      <c r="L8" s="95"/>
      <c r="N8" s="4"/>
    </row>
    <row r="9" spans="1:15" s="87" customFormat="1" ht="65.25" customHeight="1" x14ac:dyDescent="0.2">
      <c r="A9" s="97"/>
      <c r="F9" s="95"/>
      <c r="G9" s="237" t="s">
        <v>519</v>
      </c>
      <c r="H9" s="237"/>
      <c r="I9" s="181"/>
      <c r="J9" s="185" t="s">
        <v>724</v>
      </c>
      <c r="K9" s="24" t="s">
        <v>728</v>
      </c>
      <c r="L9" s="95"/>
      <c r="M9" s="56"/>
      <c r="N9" s="56"/>
    </row>
    <row r="10" spans="1:15" s="97" customFormat="1" ht="36" customHeight="1" x14ac:dyDescent="0.2">
      <c r="F10" s="95"/>
      <c r="G10" s="241" t="s">
        <v>85</v>
      </c>
      <c r="H10" s="241"/>
      <c r="I10" s="238" t="s">
        <v>86</v>
      </c>
      <c r="J10" s="239"/>
      <c r="K10" s="240"/>
      <c r="L10" s="95"/>
      <c r="M10" s="96"/>
      <c r="N10" s="96"/>
    </row>
    <row r="11" spans="1:15" s="97" customFormat="1" ht="27" customHeight="1" x14ac:dyDescent="0.2">
      <c r="A11" s="95"/>
      <c r="B11" s="95"/>
      <c r="C11" s="95"/>
      <c r="D11" s="95"/>
      <c r="E11" s="95"/>
      <c r="F11" s="95"/>
      <c r="L11" s="96"/>
      <c r="M11" s="96"/>
    </row>
    <row r="12" spans="1:15" s="97" customFormat="1" ht="12.75" customHeight="1" x14ac:dyDescent="0.2">
      <c r="A12" s="95"/>
      <c r="B12" s="95"/>
      <c r="C12" s="95"/>
      <c r="D12" s="95"/>
      <c r="E12" s="95"/>
      <c r="F12" s="95"/>
      <c r="G12" s="95"/>
      <c r="H12" s="95"/>
      <c r="I12" s="95"/>
      <c r="J12" s="95"/>
      <c r="K12" s="95"/>
      <c r="L12" s="96"/>
      <c r="M12" s="96"/>
    </row>
    <row r="13" spans="1:15" ht="78.75" customHeight="1" x14ac:dyDescent="0.2">
      <c r="A13" s="30" t="s">
        <v>697</v>
      </c>
      <c r="B13" s="84" t="s">
        <v>95</v>
      </c>
      <c r="C13" s="84" t="s">
        <v>96</v>
      </c>
      <c r="D13" s="30" t="s">
        <v>641</v>
      </c>
      <c r="E13" s="30" t="s">
        <v>642</v>
      </c>
      <c r="F13" s="30" t="s">
        <v>643</v>
      </c>
      <c r="G13" s="84" t="s">
        <v>97</v>
      </c>
      <c r="H13" s="84" t="s">
        <v>98</v>
      </c>
      <c r="I13" s="30" t="s">
        <v>699</v>
      </c>
      <c r="J13" s="84" t="s">
        <v>457</v>
      </c>
      <c r="K13" s="84" t="s">
        <v>48</v>
      </c>
    </row>
    <row r="14" spans="1:15" ht="32.25" customHeight="1" x14ac:dyDescent="0.2">
      <c r="A14" s="19" t="s">
        <v>1462</v>
      </c>
      <c r="B14" s="43" t="s">
        <v>729</v>
      </c>
      <c r="C14" s="74">
        <v>1</v>
      </c>
      <c r="D14" s="44">
        <v>3.3559999999999999</v>
      </c>
      <c r="E14" s="45"/>
      <c r="F14" s="45"/>
      <c r="G14" s="50">
        <v>3.68</v>
      </c>
      <c r="H14" s="51"/>
      <c r="I14" s="51"/>
      <c r="J14" s="45"/>
      <c r="K14" s="47"/>
    </row>
    <row r="15" spans="1:15" ht="105" x14ac:dyDescent="0.2">
      <c r="A15" s="19" t="s">
        <v>1463</v>
      </c>
      <c r="B15" s="43" t="s">
        <v>730</v>
      </c>
      <c r="C15" s="74">
        <v>2</v>
      </c>
      <c r="D15" s="44">
        <v>3.6859999999999999</v>
      </c>
      <c r="E15" s="44">
        <v>1.5449999999999999</v>
      </c>
      <c r="F15" s="45"/>
      <c r="G15" s="50">
        <v>3.68</v>
      </c>
      <c r="H15" s="51"/>
      <c r="I15" s="51"/>
      <c r="J15" s="45"/>
      <c r="K15" s="47" t="s">
        <v>751</v>
      </c>
    </row>
    <row r="16" spans="1:15" ht="45" x14ac:dyDescent="0.2">
      <c r="A16" s="19" t="s">
        <v>9</v>
      </c>
      <c r="B16" s="43" t="s">
        <v>731</v>
      </c>
      <c r="C16" s="74">
        <v>2</v>
      </c>
      <c r="D16" s="44">
        <v>1.556</v>
      </c>
      <c r="E16" s="45"/>
      <c r="F16" s="45"/>
      <c r="G16" s="51"/>
      <c r="H16" s="51"/>
      <c r="I16" s="51"/>
      <c r="J16" s="45"/>
      <c r="K16" s="47" t="s">
        <v>752</v>
      </c>
    </row>
    <row r="17" spans="1:11" ht="32.25" customHeight="1" x14ac:dyDescent="0.2">
      <c r="A17" s="19" t="s">
        <v>10</v>
      </c>
      <c r="B17" s="48" t="s">
        <v>732</v>
      </c>
      <c r="C17" s="74">
        <v>3</v>
      </c>
      <c r="D17" s="44">
        <v>3.367</v>
      </c>
      <c r="E17" s="45"/>
      <c r="F17" s="45"/>
      <c r="G17" s="50">
        <v>4.63</v>
      </c>
      <c r="H17" s="51"/>
      <c r="I17" s="51"/>
      <c r="J17" s="45"/>
      <c r="K17" s="47">
        <v>207</v>
      </c>
    </row>
    <row r="18" spans="1:11" ht="32.25" customHeight="1" x14ac:dyDescent="0.2">
      <c r="A18" s="19" t="s">
        <v>11</v>
      </c>
      <c r="B18" s="43" t="s">
        <v>733</v>
      </c>
      <c r="C18" s="74">
        <v>4</v>
      </c>
      <c r="D18" s="44">
        <v>3.5150000000000001</v>
      </c>
      <c r="E18" s="44">
        <v>1.466</v>
      </c>
      <c r="F18" s="45"/>
      <c r="G18" s="50">
        <v>4.63</v>
      </c>
      <c r="H18" s="51"/>
      <c r="I18" s="51"/>
      <c r="J18" s="45"/>
      <c r="K18" s="47" t="s">
        <v>753</v>
      </c>
    </row>
    <row r="19" spans="1:11" ht="32.25" customHeight="1" x14ac:dyDescent="0.2">
      <c r="A19" s="19" t="s">
        <v>12</v>
      </c>
      <c r="B19" s="43">
        <v>212</v>
      </c>
      <c r="C19" s="74">
        <v>4</v>
      </c>
      <c r="D19" s="44">
        <v>1.498</v>
      </c>
      <c r="E19" s="45"/>
      <c r="F19" s="45"/>
      <c r="G19" s="51"/>
      <c r="H19" s="51"/>
      <c r="I19" s="51"/>
      <c r="J19" s="45"/>
      <c r="K19" s="47" t="s">
        <v>754</v>
      </c>
    </row>
    <row r="20" spans="1:11" ht="27.75" customHeight="1" x14ac:dyDescent="0.2">
      <c r="A20" s="19" t="s">
        <v>1464</v>
      </c>
      <c r="B20" s="201">
        <v>180</v>
      </c>
      <c r="C20" s="74">
        <v>0</v>
      </c>
      <c r="D20" s="176">
        <v>12.266</v>
      </c>
      <c r="E20" s="177">
        <v>2.621</v>
      </c>
      <c r="F20" s="178">
        <v>1.4530000000000001</v>
      </c>
      <c r="G20" s="50">
        <v>3.68</v>
      </c>
      <c r="H20" s="51"/>
      <c r="I20" s="51"/>
      <c r="J20" s="45"/>
      <c r="K20" s="47"/>
    </row>
    <row r="21" spans="1:11" ht="32.25" customHeight="1" x14ac:dyDescent="0.2">
      <c r="A21" s="19" t="s">
        <v>569</v>
      </c>
      <c r="B21" s="201">
        <v>280</v>
      </c>
      <c r="C21" s="74">
        <v>0</v>
      </c>
      <c r="D21" s="176">
        <v>12.568</v>
      </c>
      <c r="E21" s="177">
        <v>2.6589999999999998</v>
      </c>
      <c r="F21" s="178">
        <v>1.458</v>
      </c>
      <c r="G21" s="50">
        <v>4.63</v>
      </c>
      <c r="H21" s="51"/>
      <c r="I21" s="51"/>
      <c r="J21" s="45"/>
      <c r="K21" s="47"/>
    </row>
    <row r="22" spans="1:11" ht="32.25" customHeight="1" x14ac:dyDescent="0.2">
      <c r="A22" s="19" t="s">
        <v>15</v>
      </c>
      <c r="B22" s="47" t="s">
        <v>736</v>
      </c>
      <c r="C22" s="74">
        <v>0</v>
      </c>
      <c r="D22" s="176">
        <v>10.481</v>
      </c>
      <c r="E22" s="177">
        <v>2.3050000000000002</v>
      </c>
      <c r="F22" s="178">
        <v>1.423</v>
      </c>
      <c r="G22" s="50">
        <v>18.71</v>
      </c>
      <c r="H22" s="50">
        <v>2.5099999999999998</v>
      </c>
      <c r="I22" s="175">
        <v>4.46</v>
      </c>
      <c r="J22" s="44">
        <v>0.36699999999999999</v>
      </c>
      <c r="K22" s="47">
        <v>501</v>
      </c>
    </row>
    <row r="23" spans="1:11" ht="32.25" customHeight="1" x14ac:dyDescent="0.2">
      <c r="A23" s="19" t="s">
        <v>16</v>
      </c>
      <c r="B23" s="47" t="s">
        <v>737</v>
      </c>
      <c r="C23" s="74">
        <v>0</v>
      </c>
      <c r="D23" s="176">
        <v>8.0660000000000007</v>
      </c>
      <c r="E23" s="177">
        <v>1.869</v>
      </c>
      <c r="F23" s="178">
        <v>1.383</v>
      </c>
      <c r="G23" s="50">
        <v>6.6</v>
      </c>
      <c r="H23" s="50">
        <v>5.15</v>
      </c>
      <c r="I23" s="175">
        <v>7.12</v>
      </c>
      <c r="J23" s="44">
        <v>0.23200000000000001</v>
      </c>
      <c r="K23" s="47">
        <v>503</v>
      </c>
    </row>
    <row r="24" spans="1:11" ht="32.25" customHeight="1" x14ac:dyDescent="0.2">
      <c r="A24" s="19" t="s">
        <v>17</v>
      </c>
      <c r="B24" s="47" t="s">
        <v>738</v>
      </c>
      <c r="C24" s="74">
        <v>0</v>
      </c>
      <c r="D24" s="176">
        <v>6.54</v>
      </c>
      <c r="E24" s="177">
        <v>1.653</v>
      </c>
      <c r="F24" s="178">
        <v>1.3520000000000001</v>
      </c>
      <c r="G24" s="50">
        <v>99.97</v>
      </c>
      <c r="H24" s="50">
        <v>4.05</v>
      </c>
      <c r="I24" s="175">
        <v>6.63</v>
      </c>
      <c r="J24" s="44">
        <v>0.161</v>
      </c>
      <c r="K24" s="47">
        <v>505</v>
      </c>
    </row>
    <row r="25" spans="1:11" ht="32.25" customHeight="1" x14ac:dyDescent="0.2">
      <c r="A25" s="19" t="s">
        <v>186</v>
      </c>
      <c r="B25" s="47" t="s">
        <v>739</v>
      </c>
      <c r="C25" s="74">
        <v>8</v>
      </c>
      <c r="D25" s="44">
        <v>2.7069999999999999</v>
      </c>
      <c r="E25" s="45"/>
      <c r="F25" s="45"/>
      <c r="G25" s="51"/>
      <c r="H25" s="51"/>
      <c r="I25" s="51"/>
      <c r="J25" s="45"/>
      <c r="K25" s="47" t="s">
        <v>755</v>
      </c>
    </row>
    <row r="26" spans="1:11" ht="32.25" customHeight="1" x14ac:dyDescent="0.2">
      <c r="A26" s="19" t="s">
        <v>187</v>
      </c>
      <c r="B26" s="47" t="s">
        <v>740</v>
      </c>
      <c r="C26" s="74">
        <v>1</v>
      </c>
      <c r="D26" s="44">
        <v>2.9740000000000002</v>
      </c>
      <c r="E26" s="45"/>
      <c r="F26" s="45"/>
      <c r="G26" s="51"/>
      <c r="H26" s="51"/>
      <c r="I26" s="51"/>
      <c r="J26" s="45"/>
      <c r="K26" s="47" t="s">
        <v>756</v>
      </c>
    </row>
    <row r="27" spans="1:11" ht="32.25" customHeight="1" x14ac:dyDescent="0.2">
      <c r="A27" s="19" t="s">
        <v>188</v>
      </c>
      <c r="B27" s="47" t="s">
        <v>741</v>
      </c>
      <c r="C27" s="74">
        <v>1</v>
      </c>
      <c r="D27" s="44">
        <v>4.1079999999999997</v>
      </c>
      <c r="E27" s="45"/>
      <c r="F27" s="45"/>
      <c r="G27" s="51"/>
      <c r="H27" s="51"/>
      <c r="I27" s="51"/>
      <c r="J27" s="45"/>
      <c r="K27" s="47" t="s">
        <v>757</v>
      </c>
    </row>
    <row r="28" spans="1:11" ht="32.25" customHeight="1" x14ac:dyDescent="0.2">
      <c r="A28" s="19" t="s">
        <v>189</v>
      </c>
      <c r="B28" s="47" t="s">
        <v>742</v>
      </c>
      <c r="C28" s="74">
        <v>1</v>
      </c>
      <c r="D28" s="44">
        <v>2.5209999999999999</v>
      </c>
      <c r="E28" s="45"/>
      <c r="F28" s="45"/>
      <c r="G28" s="51"/>
      <c r="H28" s="51"/>
      <c r="I28" s="51"/>
      <c r="J28" s="45"/>
      <c r="K28" s="47" t="s">
        <v>758</v>
      </c>
    </row>
    <row r="29" spans="1:11" ht="32.25" customHeight="1" x14ac:dyDescent="0.2">
      <c r="A29" s="19" t="s">
        <v>1</v>
      </c>
      <c r="B29" s="47" t="s">
        <v>743</v>
      </c>
      <c r="C29" s="74">
        <v>0</v>
      </c>
      <c r="D29" s="179">
        <v>20.911999999999999</v>
      </c>
      <c r="E29" s="180">
        <v>2.645</v>
      </c>
      <c r="F29" s="178">
        <v>1.7310000000000001</v>
      </c>
      <c r="G29" s="51"/>
      <c r="H29" s="51"/>
      <c r="I29" s="51"/>
      <c r="J29" s="45"/>
      <c r="K29" s="47"/>
    </row>
    <row r="30" spans="1:11" ht="32.25" customHeight="1" x14ac:dyDescent="0.2">
      <c r="A30" s="19" t="s">
        <v>570</v>
      </c>
      <c r="B30" s="48" t="s">
        <v>744</v>
      </c>
      <c r="C30" s="74" t="s">
        <v>1273</v>
      </c>
      <c r="D30" s="44">
        <v>-1.228</v>
      </c>
      <c r="E30" s="45"/>
      <c r="F30" s="45"/>
      <c r="G30" s="50">
        <v>0</v>
      </c>
      <c r="H30" s="51"/>
      <c r="I30" s="51"/>
      <c r="J30" s="45"/>
      <c r="K30" s="47"/>
    </row>
    <row r="31" spans="1:11" ht="32.25" customHeight="1" x14ac:dyDescent="0.2">
      <c r="A31" s="19" t="s">
        <v>8</v>
      </c>
      <c r="B31" s="43">
        <v>780</v>
      </c>
      <c r="C31" s="74">
        <v>8</v>
      </c>
      <c r="D31" s="44">
        <v>-1.0980000000000001</v>
      </c>
      <c r="E31" s="45"/>
      <c r="F31" s="45"/>
      <c r="G31" s="50">
        <v>0</v>
      </c>
      <c r="H31" s="51"/>
      <c r="I31" s="51"/>
      <c r="J31" s="45"/>
      <c r="K31" s="47"/>
    </row>
    <row r="32" spans="1:11" ht="32.25" customHeight="1" x14ac:dyDescent="0.2">
      <c r="A32" s="19" t="s">
        <v>2</v>
      </c>
      <c r="B32" s="47" t="s">
        <v>745</v>
      </c>
      <c r="C32" s="74">
        <v>0</v>
      </c>
      <c r="D32" s="44">
        <v>-1.228</v>
      </c>
      <c r="E32" s="45"/>
      <c r="F32" s="45"/>
      <c r="G32" s="50">
        <v>0</v>
      </c>
      <c r="H32" s="51"/>
      <c r="I32" s="51"/>
      <c r="J32" s="44">
        <v>0.30199999999999999</v>
      </c>
      <c r="K32" s="47"/>
    </row>
    <row r="33" spans="1:11" ht="32.25" customHeight="1" x14ac:dyDescent="0.2">
      <c r="A33" s="19" t="s">
        <v>706</v>
      </c>
      <c r="B33" s="47">
        <v>764</v>
      </c>
      <c r="C33" s="74">
        <v>0</v>
      </c>
      <c r="D33" s="44">
        <v>-1.228</v>
      </c>
      <c r="E33" s="45"/>
      <c r="F33" s="45"/>
      <c r="G33" s="50">
        <v>0</v>
      </c>
      <c r="H33" s="51"/>
      <c r="I33" s="51"/>
      <c r="J33" s="45"/>
      <c r="K33" s="47"/>
    </row>
    <row r="34" spans="1:11" ht="32.25" customHeight="1" x14ac:dyDescent="0.2">
      <c r="A34" s="19" t="s">
        <v>3</v>
      </c>
      <c r="B34" s="47" t="s">
        <v>746</v>
      </c>
      <c r="C34" s="74">
        <v>0</v>
      </c>
      <c r="D34" s="176">
        <v>-8.2870000000000008</v>
      </c>
      <c r="E34" s="177">
        <v>-1.036</v>
      </c>
      <c r="F34" s="178">
        <v>-0.158</v>
      </c>
      <c r="G34" s="50">
        <v>0</v>
      </c>
      <c r="H34" s="51"/>
      <c r="I34" s="51"/>
      <c r="J34" s="44">
        <v>0.30199999999999999</v>
      </c>
      <c r="K34" s="47"/>
    </row>
    <row r="35" spans="1:11" ht="32.25" customHeight="1" x14ac:dyDescent="0.2">
      <c r="A35" s="19" t="s">
        <v>707</v>
      </c>
      <c r="B35" s="47">
        <v>765</v>
      </c>
      <c r="C35" s="74">
        <v>0</v>
      </c>
      <c r="D35" s="176">
        <v>-8.2870000000000008</v>
      </c>
      <c r="E35" s="177">
        <v>-1.036</v>
      </c>
      <c r="F35" s="178">
        <v>-0.158</v>
      </c>
      <c r="G35" s="50">
        <v>0</v>
      </c>
      <c r="H35" s="51"/>
      <c r="I35" s="51"/>
      <c r="J35" s="45"/>
      <c r="K35" s="47"/>
    </row>
    <row r="36" spans="1:11" ht="32.25" customHeight="1" x14ac:dyDescent="0.2">
      <c r="A36" s="19" t="s">
        <v>4</v>
      </c>
      <c r="B36" s="47" t="s">
        <v>747</v>
      </c>
      <c r="C36" s="74">
        <v>0</v>
      </c>
      <c r="D36" s="44">
        <v>-1.0980000000000001</v>
      </c>
      <c r="E36" s="45"/>
      <c r="F36" s="45"/>
      <c r="G36" s="50">
        <v>0</v>
      </c>
      <c r="H36" s="51"/>
      <c r="I36" s="51"/>
      <c r="J36" s="44">
        <v>0.28000000000000003</v>
      </c>
      <c r="K36" s="47"/>
    </row>
    <row r="37" spans="1:11" ht="32.25" customHeight="1" x14ac:dyDescent="0.2">
      <c r="A37" s="19" t="s">
        <v>708</v>
      </c>
      <c r="B37" s="47">
        <v>766</v>
      </c>
      <c r="C37" s="74">
        <v>0</v>
      </c>
      <c r="D37" s="44">
        <v>-1.0980000000000001</v>
      </c>
      <c r="E37" s="45"/>
      <c r="F37" s="45"/>
      <c r="G37" s="50">
        <v>0</v>
      </c>
      <c r="H37" s="51"/>
      <c r="I37" s="51"/>
      <c r="J37" s="45"/>
      <c r="K37" s="47"/>
    </row>
    <row r="38" spans="1:11" ht="32.25" customHeight="1" x14ac:dyDescent="0.2">
      <c r="A38" s="19" t="s">
        <v>5</v>
      </c>
      <c r="B38" s="47" t="s">
        <v>748</v>
      </c>
      <c r="C38" s="74">
        <v>0</v>
      </c>
      <c r="D38" s="176">
        <v>-7.5140000000000002</v>
      </c>
      <c r="E38" s="177">
        <v>-0.89800000000000002</v>
      </c>
      <c r="F38" s="178">
        <v>-0.14499999999999999</v>
      </c>
      <c r="G38" s="50">
        <v>0</v>
      </c>
      <c r="H38" s="51"/>
      <c r="I38" s="51"/>
      <c r="J38" s="44">
        <v>0.28000000000000003</v>
      </c>
      <c r="K38" s="47"/>
    </row>
    <row r="39" spans="1:11" ht="32.25" customHeight="1" x14ac:dyDescent="0.2">
      <c r="A39" s="19" t="s">
        <v>709</v>
      </c>
      <c r="B39" s="47">
        <v>767</v>
      </c>
      <c r="C39" s="74">
        <v>0</v>
      </c>
      <c r="D39" s="176">
        <v>-7.5140000000000002</v>
      </c>
      <c r="E39" s="177">
        <v>-0.89800000000000002</v>
      </c>
      <c r="F39" s="178">
        <v>-0.14499999999999999</v>
      </c>
      <c r="G39" s="50">
        <v>0</v>
      </c>
      <c r="H39" s="51"/>
      <c r="I39" s="51"/>
      <c r="J39" s="45"/>
      <c r="K39" s="47"/>
    </row>
    <row r="40" spans="1:11" ht="32.25" customHeight="1" x14ac:dyDescent="0.2">
      <c r="A40" s="19" t="s">
        <v>6</v>
      </c>
      <c r="B40" s="47" t="s">
        <v>749</v>
      </c>
      <c r="C40" s="74">
        <v>0</v>
      </c>
      <c r="D40" s="44">
        <v>-0.72299999999999998</v>
      </c>
      <c r="E40" s="45"/>
      <c r="F40" s="45"/>
      <c r="G40" s="50">
        <v>73</v>
      </c>
      <c r="H40" s="51"/>
      <c r="I40" s="51"/>
      <c r="J40" s="44">
        <v>0.214</v>
      </c>
      <c r="K40" s="47"/>
    </row>
    <row r="41" spans="1:11" ht="32.25" customHeight="1" x14ac:dyDescent="0.2">
      <c r="A41" s="19" t="s">
        <v>710</v>
      </c>
      <c r="B41" s="47">
        <v>768</v>
      </c>
      <c r="C41" s="74">
        <v>0</v>
      </c>
      <c r="D41" s="44">
        <v>-0.72299999999999998</v>
      </c>
      <c r="E41" s="45"/>
      <c r="F41" s="45"/>
      <c r="G41" s="50">
        <v>73</v>
      </c>
      <c r="H41" s="51"/>
      <c r="I41" s="51"/>
      <c r="J41" s="45"/>
      <c r="K41" s="47"/>
    </row>
    <row r="42" spans="1:11" ht="32.25" customHeight="1" x14ac:dyDescent="0.2">
      <c r="A42" s="19" t="s">
        <v>7</v>
      </c>
      <c r="B42" s="47" t="s">
        <v>750</v>
      </c>
      <c r="C42" s="74">
        <v>0</v>
      </c>
      <c r="D42" s="176">
        <v>-5.3849999999999998</v>
      </c>
      <c r="E42" s="177">
        <v>-0.47099999999999997</v>
      </c>
      <c r="F42" s="178">
        <v>-0.11</v>
      </c>
      <c r="G42" s="50">
        <v>73</v>
      </c>
      <c r="H42" s="51"/>
      <c r="I42" s="51"/>
      <c r="J42" s="44">
        <v>0.214</v>
      </c>
      <c r="K42" s="47"/>
    </row>
    <row r="43" spans="1:11" ht="32.25" customHeight="1" x14ac:dyDescent="0.2">
      <c r="A43" s="19" t="s">
        <v>711</v>
      </c>
      <c r="B43" s="47">
        <v>769</v>
      </c>
      <c r="C43" s="74">
        <v>0</v>
      </c>
      <c r="D43" s="176">
        <v>-5.3849999999999998</v>
      </c>
      <c r="E43" s="177">
        <v>-0.47099999999999997</v>
      </c>
      <c r="F43" s="178">
        <v>-0.11</v>
      </c>
      <c r="G43" s="50">
        <v>73</v>
      </c>
      <c r="H43" s="51"/>
      <c r="I43" s="51"/>
      <c r="J43" s="45"/>
      <c r="K43" s="47"/>
    </row>
    <row r="45" spans="1:11" ht="27.75" customHeight="1" x14ac:dyDescent="0.2">
      <c r="A45" s="216" t="s">
        <v>1465</v>
      </c>
    </row>
  </sheetData>
  <autoFilter ref="A13:O43" xr:uid="{00000000-0009-0000-0000-000001000000}"/>
  <mergeCells count="16">
    <mergeCell ref="E1:K1"/>
    <mergeCell ref="B1:D1"/>
    <mergeCell ref="G9:H9"/>
    <mergeCell ref="I10:K10"/>
    <mergeCell ref="G10:H10"/>
    <mergeCell ref="A2:K2"/>
    <mergeCell ref="C5:D5"/>
    <mergeCell ref="C6:D6"/>
    <mergeCell ref="G5:H5"/>
    <mergeCell ref="G6:H6"/>
    <mergeCell ref="G4:K4"/>
    <mergeCell ref="A4:E4"/>
    <mergeCell ref="C7:D7"/>
    <mergeCell ref="B8:E8"/>
    <mergeCell ref="G7:H7"/>
    <mergeCell ref="G8:H8"/>
  </mergeCells>
  <phoneticPr fontId="4" type="noConversion"/>
  <hyperlinks>
    <hyperlink ref="A1" location="Overview!A1" display="Back to Overview" xr:uid="{00000000-0004-0000-0100-000000000000}"/>
  </hyperlinks>
  <pageMargins left="0.39370078740157483" right="0.35433070866141736" top="0.86614173228346458" bottom="0.74803149606299213" header="0.43307086614173229" footer="0.51181102362204722"/>
  <pageSetup paperSize="9" scale="44" fitToHeight="0" orientation="portrait" r:id="rId1"/>
  <headerFooter scaleWithDoc="0">
    <oddHeader>&amp;L&amp;"Arial,Bold"
Annex 1&amp;"Arial,Regular" - Schedule of Charges for use of the Distribution System by LV and HV Designated Properties</oddHeader>
    <oddFooter>&amp;LNote: Where a tariff only has a p/kWh unit rate in Unit Charge 1 then this unit rate applies at all times.&amp;R&amp;P of &amp;N&amp;C&amp;1#&amp;"Calibri"&amp;12&amp;K008000Internal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O259"/>
  <sheetViews>
    <sheetView zoomScale="90" zoomScaleNormal="90" zoomScaleSheetLayoutView="100" workbookViewId="0">
      <selection activeCell="A2" sqref="A2:O2"/>
    </sheetView>
  </sheetViews>
  <sheetFormatPr defaultRowHeight="27.75" customHeight="1" x14ac:dyDescent="0.2"/>
  <cols>
    <col min="1" max="1" width="14.5703125" style="59" customWidth="1"/>
    <col min="2" max="2" width="15.42578125" style="59" customWidth="1"/>
    <col min="3" max="3" width="17.140625" style="59" customWidth="1"/>
    <col min="4" max="4" width="14.7109375" style="67" customWidth="1"/>
    <col min="5" max="5" width="15.5703125" style="67" customWidth="1"/>
    <col min="6" max="6" width="17.28515625" style="67" customWidth="1"/>
    <col min="7" max="7" width="50.7109375" style="67" customWidth="1"/>
    <col min="8" max="8" width="14.7109375" style="67" customWidth="1"/>
    <col min="9" max="9" width="14.7109375" style="68" customWidth="1"/>
    <col min="10" max="11" width="14.7109375" style="69" customWidth="1"/>
    <col min="12" max="15" width="14.7109375" style="59" customWidth="1"/>
    <col min="16" max="17" width="15.5703125" style="59" customWidth="1"/>
    <col min="18" max="16384" width="9.140625" style="59"/>
  </cols>
  <sheetData>
    <row r="1" spans="1:15" ht="66.75" customHeight="1" x14ac:dyDescent="0.2">
      <c r="A1" s="57" t="s">
        <v>91</v>
      </c>
      <c r="B1" s="57"/>
      <c r="C1" s="250" t="s">
        <v>651</v>
      </c>
      <c r="D1" s="250"/>
      <c r="E1" s="58"/>
      <c r="F1" s="249" t="s">
        <v>185</v>
      </c>
      <c r="G1" s="249"/>
      <c r="H1" s="249"/>
      <c r="I1" s="249"/>
      <c r="J1" s="249"/>
      <c r="K1" s="249"/>
      <c r="L1" s="249"/>
      <c r="M1" s="249"/>
      <c r="N1" s="249"/>
      <c r="O1" s="249"/>
    </row>
    <row r="2" spans="1:15" s="60" customFormat="1" ht="25.5" customHeight="1" x14ac:dyDescent="0.2">
      <c r="A2" s="242" t="s">
        <v>1274</v>
      </c>
      <c r="B2" s="242"/>
      <c r="C2" s="242"/>
      <c r="D2" s="242"/>
      <c r="E2" s="242"/>
      <c r="F2" s="242"/>
      <c r="G2" s="242"/>
      <c r="H2" s="242"/>
      <c r="I2" s="242"/>
      <c r="J2" s="242"/>
      <c r="K2" s="242"/>
      <c r="L2" s="242"/>
      <c r="M2" s="242"/>
      <c r="N2" s="242"/>
      <c r="O2" s="242"/>
    </row>
    <row r="3" spans="1:15" s="98" customFormat="1" ht="10.5" customHeight="1" x14ac:dyDescent="0.2">
      <c r="A3" s="95"/>
      <c r="B3" s="95"/>
      <c r="C3" s="95"/>
      <c r="D3" s="95"/>
      <c r="E3" s="95"/>
      <c r="F3" s="95"/>
      <c r="G3" s="95"/>
      <c r="H3" s="95"/>
      <c r="I3" s="95"/>
      <c r="J3" s="95"/>
      <c r="K3" s="95"/>
      <c r="L3" s="95"/>
      <c r="M3" s="95"/>
      <c r="N3" s="95"/>
      <c r="O3" s="95"/>
    </row>
    <row r="4" spans="1:15" s="98" customFormat="1" ht="25.5" customHeight="1" x14ac:dyDescent="0.2">
      <c r="A4" s="242" t="s">
        <v>505</v>
      </c>
      <c r="B4" s="242"/>
      <c r="C4" s="242"/>
      <c r="D4" s="242"/>
      <c r="E4" s="242"/>
      <c r="F4" s="242"/>
      <c r="G4" s="95"/>
      <c r="H4" s="95"/>
      <c r="I4" s="95"/>
      <c r="J4" s="95"/>
      <c r="K4" s="95"/>
      <c r="L4" s="95"/>
      <c r="M4" s="95"/>
      <c r="N4" s="95"/>
      <c r="O4" s="95"/>
    </row>
    <row r="5" spans="1:15" s="98" customFormat="1" ht="25.5" customHeight="1" x14ac:dyDescent="0.2">
      <c r="A5" s="251" t="s">
        <v>80</v>
      </c>
      <c r="B5" s="252"/>
      <c r="C5" s="252"/>
      <c r="D5" s="248" t="s">
        <v>500</v>
      </c>
      <c r="E5" s="248"/>
      <c r="F5" s="248"/>
      <c r="G5" s="95"/>
      <c r="H5" s="95"/>
      <c r="I5" s="95"/>
      <c r="J5" s="95"/>
      <c r="K5" s="95"/>
      <c r="L5" s="95"/>
      <c r="M5" s="95"/>
      <c r="N5" s="95"/>
      <c r="O5" s="95"/>
    </row>
    <row r="6" spans="1:15" s="98" customFormat="1" ht="48" customHeight="1" x14ac:dyDescent="0.2">
      <c r="A6" s="241" t="s">
        <v>498</v>
      </c>
      <c r="B6" s="241"/>
      <c r="C6" s="241"/>
      <c r="D6" s="245"/>
      <c r="E6" s="245"/>
      <c r="F6" s="245"/>
      <c r="G6" s="95"/>
      <c r="H6" s="95"/>
      <c r="I6" s="95"/>
      <c r="J6" s="95"/>
      <c r="K6" s="95"/>
      <c r="L6" s="95"/>
      <c r="M6" s="95"/>
      <c r="N6" s="95"/>
      <c r="O6" s="95"/>
    </row>
    <row r="7" spans="1:15" s="98" customFormat="1" ht="53.25" customHeight="1" x14ac:dyDescent="0.2">
      <c r="A7" s="241" t="s">
        <v>499</v>
      </c>
      <c r="B7" s="241"/>
      <c r="C7" s="241"/>
      <c r="D7" s="245" t="s">
        <v>759</v>
      </c>
      <c r="E7" s="245"/>
      <c r="F7" s="245"/>
      <c r="G7" s="95"/>
      <c r="H7" s="95"/>
      <c r="I7" s="95"/>
      <c r="J7" s="95"/>
      <c r="K7" s="95"/>
      <c r="L7" s="95"/>
      <c r="M7" s="95"/>
      <c r="N7" s="95"/>
      <c r="O7" s="95"/>
    </row>
    <row r="8" spans="1:15" s="98" customFormat="1" ht="25.5" customHeight="1" x14ac:dyDescent="0.2">
      <c r="A8" s="241" t="s">
        <v>85</v>
      </c>
      <c r="B8" s="241"/>
      <c r="C8" s="241"/>
      <c r="D8" s="245" t="s">
        <v>86</v>
      </c>
      <c r="E8" s="245"/>
      <c r="F8" s="245"/>
      <c r="G8" s="95"/>
      <c r="H8" s="95"/>
      <c r="I8" s="95"/>
      <c r="J8" s="95"/>
      <c r="K8" s="95"/>
      <c r="L8" s="95"/>
      <c r="M8" s="95"/>
      <c r="N8" s="95"/>
      <c r="O8" s="95"/>
    </row>
    <row r="9" spans="1:15" s="98" customFormat="1" ht="10.5" customHeight="1" x14ac:dyDescent="0.2">
      <c r="A9" s="95"/>
      <c r="B9" s="95"/>
      <c r="C9" s="95"/>
      <c r="D9" s="95"/>
      <c r="E9" s="95"/>
      <c r="F9" s="95"/>
      <c r="G9" s="95"/>
      <c r="H9" s="95"/>
      <c r="I9" s="95"/>
      <c r="J9" s="95"/>
      <c r="K9" s="95"/>
      <c r="L9" s="95"/>
      <c r="M9" s="95"/>
      <c r="N9" s="95"/>
      <c r="O9" s="95"/>
    </row>
    <row r="10" spans="1:15" ht="63.75" customHeight="1" x14ac:dyDescent="0.2">
      <c r="A10" s="61" t="s">
        <v>489</v>
      </c>
      <c r="B10" s="62" t="s">
        <v>473</v>
      </c>
      <c r="C10" s="61" t="s">
        <v>474</v>
      </c>
      <c r="D10" s="61" t="s">
        <v>491</v>
      </c>
      <c r="E10" s="62" t="s">
        <v>473</v>
      </c>
      <c r="F10" s="61" t="s">
        <v>475</v>
      </c>
      <c r="G10" s="63" t="s">
        <v>184</v>
      </c>
      <c r="H10" s="64" t="s">
        <v>639</v>
      </c>
      <c r="I10" s="63" t="s">
        <v>492</v>
      </c>
      <c r="J10" s="63" t="s">
        <v>637</v>
      </c>
      <c r="K10" s="164" t="s">
        <v>700</v>
      </c>
      <c r="L10" s="64" t="s">
        <v>640</v>
      </c>
      <c r="M10" s="63" t="s">
        <v>493</v>
      </c>
      <c r="N10" s="63" t="s">
        <v>638</v>
      </c>
      <c r="O10" s="164" t="s">
        <v>701</v>
      </c>
    </row>
    <row r="11" spans="1:15" ht="12.75" x14ac:dyDescent="0.2">
      <c r="A11" s="205">
        <v>803</v>
      </c>
      <c r="B11" s="113">
        <v>803</v>
      </c>
      <c r="C11" s="65">
        <v>1300035361194</v>
      </c>
      <c r="D11" s="205">
        <v>603</v>
      </c>
      <c r="E11" s="113">
        <v>603</v>
      </c>
      <c r="F11" s="65">
        <v>1300050649372</v>
      </c>
      <c r="G11" s="66" t="s">
        <v>1221</v>
      </c>
      <c r="H11" s="70"/>
      <c r="I11" s="71">
        <v>19306.08836145488</v>
      </c>
      <c r="J11" s="71">
        <v>6.6</v>
      </c>
      <c r="K11" s="71">
        <v>6.6</v>
      </c>
      <c r="L11" s="72">
        <v>-0.26200000000000001</v>
      </c>
      <c r="M11" s="73">
        <v>2382.34</v>
      </c>
      <c r="N11" s="73">
        <v>0.05</v>
      </c>
      <c r="O11" s="73">
        <v>0.05</v>
      </c>
    </row>
    <row r="12" spans="1:15" ht="15" customHeight="1" x14ac:dyDescent="0.2">
      <c r="A12" s="205">
        <v>804</v>
      </c>
      <c r="B12" s="113">
        <v>804</v>
      </c>
      <c r="C12" s="65">
        <v>1300035352942</v>
      </c>
      <c r="D12" s="205"/>
      <c r="E12" s="113"/>
      <c r="F12" s="65"/>
      <c r="G12" s="66" t="s">
        <v>1222</v>
      </c>
      <c r="H12" s="70">
        <v>0.30199999999999999</v>
      </c>
      <c r="I12" s="71">
        <v>8711.76</v>
      </c>
      <c r="J12" s="71">
        <v>8.49</v>
      </c>
      <c r="K12" s="71">
        <v>8.49</v>
      </c>
      <c r="L12" s="72"/>
      <c r="M12" s="73"/>
      <c r="N12" s="73"/>
      <c r="O12" s="73"/>
    </row>
    <row r="13" spans="1:15" ht="15" customHeight="1" x14ac:dyDescent="0.2">
      <c r="A13" s="205">
        <v>805</v>
      </c>
      <c r="B13" s="113">
        <v>805</v>
      </c>
      <c r="C13" s="65">
        <v>1300035359423</v>
      </c>
      <c r="D13" s="205"/>
      <c r="E13" s="113"/>
      <c r="F13" s="65"/>
      <c r="G13" s="66" t="s">
        <v>1223</v>
      </c>
      <c r="H13" s="70">
        <v>0.26300000000000001</v>
      </c>
      <c r="I13" s="71">
        <v>844.42</v>
      </c>
      <c r="J13" s="71">
        <v>4.6500000000000004</v>
      </c>
      <c r="K13" s="71">
        <v>4.6500000000000004</v>
      </c>
      <c r="L13" s="72"/>
      <c r="M13" s="73"/>
      <c r="N13" s="73"/>
      <c r="O13" s="73"/>
    </row>
    <row r="14" spans="1:15" ht="15" customHeight="1" x14ac:dyDescent="0.2">
      <c r="A14" s="205">
        <v>806</v>
      </c>
      <c r="B14" s="113">
        <v>806</v>
      </c>
      <c r="C14" s="65">
        <v>1300051060972</v>
      </c>
      <c r="D14" s="205">
        <v>606</v>
      </c>
      <c r="E14" s="113">
        <v>606</v>
      </c>
      <c r="F14" s="65">
        <v>1300051060981</v>
      </c>
      <c r="G14" s="66" t="s">
        <v>1224</v>
      </c>
      <c r="H14" s="70"/>
      <c r="I14" s="71">
        <v>98.14</v>
      </c>
      <c r="J14" s="71">
        <v>3.14</v>
      </c>
      <c r="K14" s="71">
        <v>3.14</v>
      </c>
      <c r="L14" s="72"/>
      <c r="M14" s="73"/>
      <c r="N14" s="73"/>
      <c r="O14" s="73"/>
    </row>
    <row r="15" spans="1:15" ht="15" customHeight="1" x14ac:dyDescent="0.2">
      <c r="A15" s="205">
        <v>807</v>
      </c>
      <c r="B15" s="113">
        <v>807</v>
      </c>
      <c r="C15" s="65">
        <v>1300035359752</v>
      </c>
      <c r="D15" s="205"/>
      <c r="E15" s="113"/>
      <c r="F15" s="65"/>
      <c r="G15" s="66" t="s">
        <v>1225</v>
      </c>
      <c r="H15" s="70">
        <v>0.26600000000000001</v>
      </c>
      <c r="I15" s="71">
        <v>14550.17</v>
      </c>
      <c r="J15" s="71">
        <v>4.5199999999999996</v>
      </c>
      <c r="K15" s="71">
        <v>4.5199999999999996</v>
      </c>
      <c r="L15" s="72"/>
      <c r="M15" s="73"/>
      <c r="N15" s="73"/>
      <c r="O15" s="73"/>
    </row>
    <row r="16" spans="1:15" ht="15" customHeight="1" x14ac:dyDescent="0.2">
      <c r="A16" s="205">
        <v>808</v>
      </c>
      <c r="B16" s="113">
        <v>808</v>
      </c>
      <c r="C16" s="65">
        <v>1300035360066</v>
      </c>
      <c r="D16" s="205"/>
      <c r="E16" s="113"/>
      <c r="F16" s="65"/>
      <c r="G16" s="66" t="s">
        <v>1226</v>
      </c>
      <c r="H16" s="70"/>
      <c r="I16" s="71">
        <v>38475.65</v>
      </c>
      <c r="J16" s="71">
        <v>5.07</v>
      </c>
      <c r="K16" s="71">
        <v>5.07</v>
      </c>
      <c r="L16" s="72"/>
      <c r="M16" s="73"/>
      <c r="N16" s="73"/>
      <c r="O16" s="73"/>
    </row>
    <row r="17" spans="1:15" ht="15" customHeight="1" x14ac:dyDescent="0.2">
      <c r="A17" s="205">
        <v>809</v>
      </c>
      <c r="B17" s="113">
        <v>809</v>
      </c>
      <c r="C17" s="65">
        <v>1300035362480</v>
      </c>
      <c r="D17" s="205"/>
      <c r="E17" s="113"/>
      <c r="F17" s="65"/>
      <c r="G17" s="66" t="s">
        <v>1227</v>
      </c>
      <c r="H17" s="70"/>
      <c r="I17" s="71"/>
      <c r="J17" s="71">
        <v>4.09</v>
      </c>
      <c r="K17" s="71">
        <v>4.09</v>
      </c>
      <c r="L17" s="72"/>
      <c r="M17" s="73"/>
      <c r="N17" s="73"/>
      <c r="O17" s="73"/>
    </row>
    <row r="18" spans="1:15" ht="15" customHeight="1" x14ac:dyDescent="0.2">
      <c r="A18" s="205">
        <v>810</v>
      </c>
      <c r="B18" s="113">
        <v>810</v>
      </c>
      <c r="C18" s="65">
        <v>1300051694818</v>
      </c>
      <c r="D18" s="205">
        <v>618</v>
      </c>
      <c r="E18" s="113">
        <v>618</v>
      </c>
      <c r="F18" s="65">
        <v>1300060704603</v>
      </c>
      <c r="G18" s="66" t="s">
        <v>791</v>
      </c>
      <c r="H18" s="70"/>
      <c r="I18" s="71">
        <v>13181.11</v>
      </c>
      <c r="J18" s="71">
        <v>1.56</v>
      </c>
      <c r="K18" s="71">
        <v>1.56</v>
      </c>
      <c r="L18" s="72"/>
      <c r="M18" s="73">
        <v>2015.58</v>
      </c>
      <c r="N18" s="73">
        <v>0.05</v>
      </c>
      <c r="O18" s="73">
        <v>0.05</v>
      </c>
    </row>
    <row r="19" spans="1:15" ht="15" customHeight="1" x14ac:dyDescent="0.2">
      <c r="A19" s="205">
        <v>811</v>
      </c>
      <c r="B19" s="113">
        <v>811</v>
      </c>
      <c r="C19" s="65">
        <v>1300060704073</v>
      </c>
      <c r="D19" s="205">
        <v>655</v>
      </c>
      <c r="E19" s="113">
        <v>655</v>
      </c>
      <c r="F19" s="65">
        <v>1300060704082</v>
      </c>
      <c r="G19" s="66" t="s">
        <v>1228</v>
      </c>
      <c r="H19" s="70">
        <v>1.7130000000000001</v>
      </c>
      <c r="I19" s="71">
        <v>45.24</v>
      </c>
      <c r="J19" s="71">
        <v>4.42</v>
      </c>
      <c r="K19" s="71">
        <v>4.42</v>
      </c>
      <c r="L19" s="72"/>
      <c r="M19" s="73">
        <v>3528.34</v>
      </c>
      <c r="N19" s="73">
        <v>0.05</v>
      </c>
      <c r="O19" s="73">
        <v>0.05</v>
      </c>
    </row>
    <row r="20" spans="1:15" ht="15" customHeight="1" x14ac:dyDescent="0.2">
      <c r="A20" s="205">
        <v>812</v>
      </c>
      <c r="B20" s="113">
        <v>812</v>
      </c>
      <c r="C20" s="65">
        <v>1300035356130</v>
      </c>
      <c r="D20" s="205"/>
      <c r="E20" s="113"/>
      <c r="F20" s="65"/>
      <c r="G20" s="66" t="s">
        <v>1229</v>
      </c>
      <c r="H20" s="70">
        <v>0.30499999999999999</v>
      </c>
      <c r="I20" s="71">
        <v>1697.93</v>
      </c>
      <c r="J20" s="71">
        <v>7.75</v>
      </c>
      <c r="K20" s="71">
        <v>7.75</v>
      </c>
      <c r="L20" s="72"/>
      <c r="M20" s="73"/>
      <c r="N20" s="73"/>
      <c r="O20" s="73"/>
    </row>
    <row r="21" spans="1:15" ht="15" customHeight="1" x14ac:dyDescent="0.2">
      <c r="A21" s="205">
        <v>813</v>
      </c>
      <c r="B21" s="113">
        <v>813</v>
      </c>
      <c r="C21" s="65">
        <v>1300035359585</v>
      </c>
      <c r="D21" s="205"/>
      <c r="E21" s="113"/>
      <c r="F21" s="65"/>
      <c r="G21" s="66" t="s">
        <v>1230</v>
      </c>
      <c r="H21" s="70">
        <v>0.34</v>
      </c>
      <c r="I21" s="71">
        <v>384.2</v>
      </c>
      <c r="J21" s="71">
        <v>4.42</v>
      </c>
      <c r="K21" s="71">
        <v>4.42</v>
      </c>
      <c r="L21" s="72"/>
      <c r="M21" s="73"/>
      <c r="N21" s="73"/>
      <c r="O21" s="73"/>
    </row>
    <row r="22" spans="1:15" ht="15" customHeight="1" x14ac:dyDescent="0.2">
      <c r="A22" s="205">
        <v>814</v>
      </c>
      <c r="B22" s="113">
        <v>814</v>
      </c>
      <c r="C22" s="65">
        <v>1300035359619</v>
      </c>
      <c r="D22" s="205"/>
      <c r="E22" s="113"/>
      <c r="F22" s="65"/>
      <c r="G22" s="66" t="s">
        <v>1231</v>
      </c>
      <c r="H22" s="70">
        <v>0.27500000000000002</v>
      </c>
      <c r="I22" s="71">
        <v>1697.93</v>
      </c>
      <c r="J22" s="71">
        <v>8.7899999999999991</v>
      </c>
      <c r="K22" s="71">
        <v>8.7899999999999991</v>
      </c>
      <c r="L22" s="72"/>
      <c r="M22" s="73"/>
      <c r="N22" s="73"/>
      <c r="O22" s="73"/>
    </row>
    <row r="23" spans="1:15" ht="15" customHeight="1" x14ac:dyDescent="0.2">
      <c r="A23" s="205">
        <v>815</v>
      </c>
      <c r="B23" s="113">
        <v>815</v>
      </c>
      <c r="C23" s="65">
        <v>1300035359780</v>
      </c>
      <c r="D23" s="205"/>
      <c r="E23" s="113"/>
      <c r="F23" s="65"/>
      <c r="G23" s="66" t="s">
        <v>1275</v>
      </c>
      <c r="H23" s="70">
        <v>0.27</v>
      </c>
      <c r="I23" s="71">
        <v>8712.75</v>
      </c>
      <c r="J23" s="71">
        <v>9.18</v>
      </c>
      <c r="K23" s="71">
        <v>9.18</v>
      </c>
      <c r="L23" s="72"/>
      <c r="M23" s="73"/>
      <c r="N23" s="73"/>
      <c r="O23" s="73"/>
    </row>
    <row r="24" spans="1:15" ht="15" customHeight="1" x14ac:dyDescent="0.2">
      <c r="A24" s="205">
        <v>816</v>
      </c>
      <c r="B24" s="113">
        <v>816</v>
      </c>
      <c r="C24" s="65">
        <v>1300053536398</v>
      </c>
      <c r="D24" s="205"/>
      <c r="E24" s="113"/>
      <c r="F24" s="65"/>
      <c r="G24" s="66" t="s">
        <v>1232</v>
      </c>
      <c r="H24" s="70"/>
      <c r="I24" s="71">
        <v>954.31</v>
      </c>
      <c r="J24" s="71">
        <v>3.98</v>
      </c>
      <c r="K24" s="71">
        <v>3.98</v>
      </c>
      <c r="L24" s="72"/>
      <c r="M24" s="73"/>
      <c r="N24" s="73"/>
      <c r="O24" s="73"/>
    </row>
    <row r="25" spans="1:15" ht="15" customHeight="1" x14ac:dyDescent="0.2">
      <c r="A25" s="205">
        <v>817</v>
      </c>
      <c r="B25" s="113">
        <v>817</v>
      </c>
      <c r="C25" s="65">
        <v>1300035361992</v>
      </c>
      <c r="D25" s="205">
        <v>648</v>
      </c>
      <c r="E25" s="113">
        <v>648</v>
      </c>
      <c r="F25" s="65">
        <v>1300060640474</v>
      </c>
      <c r="G25" s="66" t="s">
        <v>1233</v>
      </c>
      <c r="H25" s="70"/>
      <c r="I25" s="71">
        <v>3839.5650687392358</v>
      </c>
      <c r="J25" s="71">
        <v>14.85</v>
      </c>
      <c r="K25" s="71">
        <v>14.88</v>
      </c>
      <c r="L25" s="72"/>
      <c r="M25" s="73">
        <v>388.97</v>
      </c>
      <c r="N25" s="73">
        <v>0.05</v>
      </c>
      <c r="O25" s="73">
        <v>0.05</v>
      </c>
    </row>
    <row r="26" spans="1:15" ht="15" customHeight="1" x14ac:dyDescent="0.2">
      <c r="A26" s="205">
        <v>819</v>
      </c>
      <c r="B26" s="113">
        <v>819</v>
      </c>
      <c r="C26" s="65">
        <v>1300035365082</v>
      </c>
      <c r="D26" s="205">
        <v>619</v>
      </c>
      <c r="E26" s="113">
        <v>619</v>
      </c>
      <c r="F26" s="65">
        <v>1300051136210</v>
      </c>
      <c r="G26" s="66" t="s">
        <v>1234</v>
      </c>
      <c r="H26" s="70">
        <v>1.956</v>
      </c>
      <c r="I26" s="71">
        <v>203.72</v>
      </c>
      <c r="J26" s="71">
        <v>1.91</v>
      </c>
      <c r="K26" s="71">
        <v>1.91</v>
      </c>
      <c r="L26" s="72"/>
      <c r="M26" s="73"/>
      <c r="N26" s="73"/>
      <c r="O26" s="73"/>
    </row>
    <row r="27" spans="1:15" ht="15" customHeight="1" x14ac:dyDescent="0.2">
      <c r="A27" s="205">
        <v>820</v>
      </c>
      <c r="B27" s="113">
        <v>820</v>
      </c>
      <c r="C27" s="65">
        <v>1300060563740</v>
      </c>
      <c r="D27" s="205">
        <v>658</v>
      </c>
      <c r="E27" s="113">
        <v>658</v>
      </c>
      <c r="F27" s="65">
        <v>1300060563759</v>
      </c>
      <c r="G27" s="66" t="s">
        <v>1235</v>
      </c>
      <c r="H27" s="70"/>
      <c r="I27" s="71">
        <v>8.0500000000000007</v>
      </c>
      <c r="J27" s="71">
        <v>3.68</v>
      </c>
      <c r="K27" s="71">
        <v>3.68</v>
      </c>
      <c r="L27" s="72"/>
      <c r="M27" s="73">
        <v>2414.17</v>
      </c>
      <c r="N27" s="73">
        <v>0.05</v>
      </c>
      <c r="O27" s="73">
        <v>0.05</v>
      </c>
    </row>
    <row r="28" spans="1:15" ht="15" customHeight="1" x14ac:dyDescent="0.2">
      <c r="A28" s="205">
        <v>821</v>
      </c>
      <c r="B28" s="113">
        <v>821</v>
      </c>
      <c r="C28" s="65">
        <v>1300035367967</v>
      </c>
      <c r="D28" s="205">
        <v>621</v>
      </c>
      <c r="E28" s="113">
        <v>621</v>
      </c>
      <c r="F28" s="65">
        <v>1300050649336</v>
      </c>
      <c r="G28" s="66" t="s">
        <v>1271</v>
      </c>
      <c r="H28" s="70"/>
      <c r="I28" s="71">
        <v>8456.6218150994064</v>
      </c>
      <c r="J28" s="71">
        <v>2.89</v>
      </c>
      <c r="K28" s="71">
        <v>2.89</v>
      </c>
      <c r="L28" s="72"/>
      <c r="M28" s="73"/>
      <c r="N28" s="73"/>
      <c r="O28" s="73"/>
    </row>
    <row r="29" spans="1:15" ht="15" customHeight="1" x14ac:dyDescent="0.2">
      <c r="A29" s="205">
        <v>822</v>
      </c>
      <c r="B29" s="113">
        <v>822</v>
      </c>
      <c r="C29" s="65">
        <v>1300060251601</v>
      </c>
      <c r="D29" s="205"/>
      <c r="E29" s="113"/>
      <c r="F29" s="65"/>
      <c r="G29" s="66" t="s">
        <v>1236</v>
      </c>
      <c r="H29" s="70"/>
      <c r="I29" s="71">
        <v>9536.1200000000008</v>
      </c>
      <c r="J29" s="71">
        <v>6.33</v>
      </c>
      <c r="K29" s="71">
        <v>6.33</v>
      </c>
      <c r="L29" s="72"/>
      <c r="M29" s="73"/>
      <c r="N29" s="73"/>
      <c r="O29" s="73"/>
    </row>
    <row r="30" spans="1:15" ht="15" customHeight="1" x14ac:dyDescent="0.2">
      <c r="A30" s="205">
        <v>823</v>
      </c>
      <c r="B30" s="113">
        <v>823</v>
      </c>
      <c r="C30" s="65">
        <v>1300060652610</v>
      </c>
      <c r="D30" s="205">
        <v>659</v>
      </c>
      <c r="E30" s="113">
        <v>659</v>
      </c>
      <c r="F30" s="65">
        <v>1300060652629</v>
      </c>
      <c r="G30" s="66" t="s">
        <v>1276</v>
      </c>
      <c r="H30" s="70"/>
      <c r="I30" s="71">
        <v>6.76</v>
      </c>
      <c r="J30" s="71">
        <v>3.78</v>
      </c>
      <c r="K30" s="71">
        <v>3.78</v>
      </c>
      <c r="L30" s="72"/>
      <c r="M30" s="73">
        <v>743.42</v>
      </c>
      <c r="N30" s="73">
        <v>0.05</v>
      </c>
      <c r="O30" s="73">
        <v>0.05</v>
      </c>
    </row>
    <row r="31" spans="1:15" ht="15" customHeight="1" x14ac:dyDescent="0.2">
      <c r="A31" s="205">
        <v>824</v>
      </c>
      <c r="B31" s="113">
        <v>824</v>
      </c>
      <c r="C31" s="65">
        <v>1300054940674</v>
      </c>
      <c r="D31" s="205">
        <v>604</v>
      </c>
      <c r="E31" s="113">
        <v>604</v>
      </c>
      <c r="F31" s="65">
        <v>1300054940683</v>
      </c>
      <c r="G31" s="66" t="s">
        <v>1237</v>
      </c>
      <c r="H31" s="70"/>
      <c r="I31" s="71">
        <v>27.66</v>
      </c>
      <c r="J31" s="71">
        <v>2.62</v>
      </c>
      <c r="K31" s="71">
        <v>2.62</v>
      </c>
      <c r="L31" s="72"/>
      <c r="M31" s="73">
        <v>1659.61</v>
      </c>
      <c r="N31" s="73">
        <v>0.05</v>
      </c>
      <c r="O31" s="73">
        <v>0.05</v>
      </c>
    </row>
    <row r="32" spans="1:15" ht="15" customHeight="1" x14ac:dyDescent="0.2">
      <c r="A32" s="205">
        <v>826</v>
      </c>
      <c r="B32" s="113">
        <v>826</v>
      </c>
      <c r="C32" s="65">
        <v>1300060579173</v>
      </c>
      <c r="D32" s="205">
        <v>661</v>
      </c>
      <c r="E32" s="113">
        <v>661</v>
      </c>
      <c r="F32" s="65">
        <v>1300060579182</v>
      </c>
      <c r="G32" s="66" t="s">
        <v>1238</v>
      </c>
      <c r="H32" s="70"/>
      <c r="I32" s="71">
        <v>14.3</v>
      </c>
      <c r="J32" s="71">
        <v>5.0199999999999996</v>
      </c>
      <c r="K32" s="71">
        <v>5.0199999999999996</v>
      </c>
      <c r="L32" s="72"/>
      <c r="M32" s="73">
        <v>2496.1999999999998</v>
      </c>
      <c r="N32" s="73">
        <v>0.05</v>
      </c>
      <c r="O32" s="73">
        <v>0.05</v>
      </c>
    </row>
    <row r="33" spans="1:15" ht="15" customHeight="1" x14ac:dyDescent="0.2">
      <c r="A33" s="205">
        <v>827</v>
      </c>
      <c r="B33" s="113">
        <v>827</v>
      </c>
      <c r="C33" s="65">
        <v>1300052785147</v>
      </c>
      <c r="D33" s="205"/>
      <c r="E33" s="113"/>
      <c r="F33" s="65"/>
      <c r="G33" s="66" t="s">
        <v>1277</v>
      </c>
      <c r="H33" s="70"/>
      <c r="I33" s="71">
        <v>677.72</v>
      </c>
      <c r="J33" s="71">
        <v>14.05</v>
      </c>
      <c r="K33" s="71">
        <v>14.05</v>
      </c>
      <c r="L33" s="72"/>
      <c r="M33" s="73"/>
      <c r="N33" s="73"/>
      <c r="O33" s="73"/>
    </row>
    <row r="34" spans="1:15" ht="15" customHeight="1" x14ac:dyDescent="0.2">
      <c r="A34" s="205">
        <v>828</v>
      </c>
      <c r="B34" s="113">
        <v>828</v>
      </c>
      <c r="C34" s="65">
        <v>1300060075390</v>
      </c>
      <c r="D34" s="205">
        <v>628</v>
      </c>
      <c r="E34" s="113">
        <v>628</v>
      </c>
      <c r="F34" s="65">
        <v>1300060075405</v>
      </c>
      <c r="G34" s="66" t="s">
        <v>1239</v>
      </c>
      <c r="H34" s="70"/>
      <c r="I34" s="71">
        <v>7.96</v>
      </c>
      <c r="J34" s="71">
        <v>2.2799999999999998</v>
      </c>
      <c r="K34" s="71">
        <v>2.2799999999999998</v>
      </c>
      <c r="L34" s="72"/>
      <c r="M34" s="73">
        <v>620.70000000000005</v>
      </c>
      <c r="N34" s="73">
        <v>0.05</v>
      </c>
      <c r="O34" s="73">
        <v>0.05</v>
      </c>
    </row>
    <row r="35" spans="1:15" ht="15" customHeight="1" x14ac:dyDescent="0.2">
      <c r="A35" s="205">
        <v>829</v>
      </c>
      <c r="B35" s="113">
        <v>829</v>
      </c>
      <c r="C35" s="65">
        <v>1300035400611</v>
      </c>
      <c r="D35" s="205">
        <v>629</v>
      </c>
      <c r="E35" s="113">
        <v>629</v>
      </c>
      <c r="F35" s="65">
        <v>1300038004507</v>
      </c>
      <c r="G35" s="66" t="s">
        <v>1240</v>
      </c>
      <c r="H35" s="70"/>
      <c r="I35" s="71">
        <v>348.62</v>
      </c>
      <c r="J35" s="71">
        <v>2.75</v>
      </c>
      <c r="K35" s="71">
        <v>2.75</v>
      </c>
      <c r="L35" s="72"/>
      <c r="M35" s="73"/>
      <c r="N35" s="73"/>
      <c r="O35" s="73"/>
    </row>
    <row r="36" spans="1:15" ht="15" customHeight="1" x14ac:dyDescent="0.2">
      <c r="A36" s="205">
        <v>830</v>
      </c>
      <c r="B36" s="113">
        <v>830</v>
      </c>
      <c r="C36" s="65">
        <v>1300060584270</v>
      </c>
      <c r="D36" s="205">
        <v>681</v>
      </c>
      <c r="E36" s="113">
        <v>681</v>
      </c>
      <c r="F36" s="65">
        <v>1300060584280</v>
      </c>
      <c r="G36" s="66" t="s">
        <v>1278</v>
      </c>
      <c r="H36" s="70"/>
      <c r="I36" s="71">
        <v>6.35</v>
      </c>
      <c r="J36" s="71">
        <v>4.18</v>
      </c>
      <c r="K36" s="71">
        <v>4.18</v>
      </c>
      <c r="L36" s="72"/>
      <c r="M36" s="73">
        <v>756.47</v>
      </c>
      <c r="N36" s="73">
        <v>0.05</v>
      </c>
      <c r="O36" s="73">
        <v>0.05</v>
      </c>
    </row>
    <row r="37" spans="1:15" ht="15" customHeight="1" x14ac:dyDescent="0.2">
      <c r="A37" s="205">
        <v>831</v>
      </c>
      <c r="B37" s="113">
        <v>831</v>
      </c>
      <c r="C37" s="65">
        <v>1300035437700</v>
      </c>
      <c r="D37" s="205"/>
      <c r="E37" s="113"/>
      <c r="F37" s="65"/>
      <c r="G37" s="66" t="s">
        <v>1279</v>
      </c>
      <c r="H37" s="70"/>
      <c r="I37" s="71">
        <v>416.27</v>
      </c>
      <c r="J37" s="71">
        <v>5.85</v>
      </c>
      <c r="K37" s="71">
        <v>5.85</v>
      </c>
      <c r="L37" s="72"/>
      <c r="M37" s="73"/>
      <c r="N37" s="73"/>
      <c r="O37" s="73"/>
    </row>
    <row r="38" spans="1:15" ht="15" customHeight="1" x14ac:dyDescent="0.2">
      <c r="A38" s="205">
        <v>833</v>
      </c>
      <c r="B38" s="113">
        <v>833</v>
      </c>
      <c r="C38" s="65">
        <v>1300035361803</v>
      </c>
      <c r="D38" s="205"/>
      <c r="E38" s="113"/>
      <c r="F38" s="65"/>
      <c r="G38" s="66" t="s">
        <v>1241</v>
      </c>
      <c r="H38" s="70"/>
      <c r="I38" s="71">
        <v>2830.69</v>
      </c>
      <c r="J38" s="71">
        <v>5.57</v>
      </c>
      <c r="K38" s="71">
        <v>5.57</v>
      </c>
      <c r="L38" s="72"/>
      <c r="M38" s="73"/>
      <c r="N38" s="73"/>
      <c r="O38" s="73"/>
    </row>
    <row r="39" spans="1:15" ht="15" customHeight="1" x14ac:dyDescent="0.2">
      <c r="A39" s="205">
        <v>834</v>
      </c>
      <c r="B39" s="113">
        <v>834</v>
      </c>
      <c r="C39" s="65">
        <v>1300051028551</v>
      </c>
      <c r="D39" s="205"/>
      <c r="E39" s="113"/>
      <c r="F39" s="65"/>
      <c r="G39" s="66" t="s">
        <v>1242</v>
      </c>
      <c r="H39" s="70"/>
      <c r="I39" s="71">
        <v>3884.8343330437469</v>
      </c>
      <c r="J39" s="71">
        <v>6.71</v>
      </c>
      <c r="K39" s="71">
        <v>6.71</v>
      </c>
      <c r="L39" s="72"/>
      <c r="M39" s="73"/>
      <c r="N39" s="73"/>
      <c r="O39" s="73"/>
    </row>
    <row r="40" spans="1:15" ht="15" customHeight="1" x14ac:dyDescent="0.2">
      <c r="A40" s="205">
        <v>835</v>
      </c>
      <c r="B40" s="113">
        <v>835</v>
      </c>
      <c r="C40" s="65">
        <v>1300050648875</v>
      </c>
      <c r="D40" s="205">
        <v>635</v>
      </c>
      <c r="E40" s="113">
        <v>635</v>
      </c>
      <c r="F40" s="65">
        <v>1300050931602</v>
      </c>
      <c r="G40" s="66" t="s">
        <v>1243</v>
      </c>
      <c r="H40" s="70">
        <v>1.7130000000000001</v>
      </c>
      <c r="I40" s="71">
        <v>11.68</v>
      </c>
      <c r="J40" s="71">
        <v>3.29</v>
      </c>
      <c r="K40" s="71">
        <v>3.29</v>
      </c>
      <c r="L40" s="72"/>
      <c r="M40" s="73"/>
      <c r="N40" s="73"/>
      <c r="O40" s="73"/>
    </row>
    <row r="41" spans="1:15" ht="15" customHeight="1" x14ac:dyDescent="0.2">
      <c r="A41" s="205">
        <v>836</v>
      </c>
      <c r="B41" s="113">
        <v>836</v>
      </c>
      <c r="C41" s="65">
        <v>1300035360800</v>
      </c>
      <c r="D41" s="205"/>
      <c r="E41" s="113"/>
      <c r="F41" s="65"/>
      <c r="G41" s="66" t="s">
        <v>1244</v>
      </c>
      <c r="H41" s="70"/>
      <c r="I41" s="71">
        <v>2010.87</v>
      </c>
      <c r="J41" s="71">
        <v>10.64</v>
      </c>
      <c r="K41" s="71">
        <v>10.64</v>
      </c>
      <c r="L41" s="72"/>
      <c r="M41" s="73"/>
      <c r="N41" s="73"/>
      <c r="O41" s="73"/>
    </row>
    <row r="42" spans="1:15" ht="15" customHeight="1" x14ac:dyDescent="0.2">
      <c r="A42" s="205">
        <v>838</v>
      </c>
      <c r="B42" s="113">
        <v>838</v>
      </c>
      <c r="C42" s="65">
        <v>1300052122840</v>
      </c>
      <c r="D42" s="205">
        <v>638</v>
      </c>
      <c r="E42" s="113">
        <v>638</v>
      </c>
      <c r="F42" s="65">
        <v>1300052122859</v>
      </c>
      <c r="G42" s="66" t="s">
        <v>1280</v>
      </c>
      <c r="H42" s="70"/>
      <c r="I42" s="71">
        <v>8.94</v>
      </c>
      <c r="J42" s="71">
        <v>2.78</v>
      </c>
      <c r="K42" s="71">
        <v>2.78</v>
      </c>
      <c r="L42" s="72"/>
      <c r="M42" s="73"/>
      <c r="N42" s="73"/>
      <c r="O42" s="73"/>
    </row>
    <row r="43" spans="1:15" ht="15" customHeight="1" x14ac:dyDescent="0.2">
      <c r="A43" s="205">
        <v>839</v>
      </c>
      <c r="B43" s="113">
        <v>839</v>
      </c>
      <c r="C43" s="65">
        <v>1300051822667</v>
      </c>
      <c r="D43" s="205">
        <v>639</v>
      </c>
      <c r="E43" s="113">
        <v>639</v>
      </c>
      <c r="F43" s="65">
        <v>1300051821478</v>
      </c>
      <c r="G43" s="66" t="s">
        <v>1245</v>
      </c>
      <c r="H43" s="70"/>
      <c r="I43" s="71">
        <v>1848.81</v>
      </c>
      <c r="J43" s="71">
        <v>2.54</v>
      </c>
      <c r="K43" s="71">
        <v>2.54</v>
      </c>
      <c r="L43" s="72"/>
      <c r="M43" s="73"/>
      <c r="N43" s="73"/>
      <c r="O43" s="73"/>
    </row>
    <row r="44" spans="1:15" ht="15" customHeight="1" x14ac:dyDescent="0.2">
      <c r="A44" s="205">
        <v>840</v>
      </c>
      <c r="B44" s="113">
        <v>840</v>
      </c>
      <c r="C44" s="65">
        <v>1300052545267</v>
      </c>
      <c r="D44" s="205">
        <v>640</v>
      </c>
      <c r="E44" s="113">
        <v>640</v>
      </c>
      <c r="F44" s="65">
        <v>1300052545276</v>
      </c>
      <c r="G44" s="66" t="s">
        <v>1281</v>
      </c>
      <c r="H44" s="70"/>
      <c r="I44" s="71">
        <v>20.74</v>
      </c>
      <c r="J44" s="71">
        <v>2.9</v>
      </c>
      <c r="K44" s="71">
        <v>2.9</v>
      </c>
      <c r="L44" s="72"/>
      <c r="M44" s="73"/>
      <c r="N44" s="73"/>
      <c r="O44" s="73"/>
    </row>
    <row r="45" spans="1:15" ht="15" customHeight="1" x14ac:dyDescent="0.2">
      <c r="A45" s="205">
        <v>841</v>
      </c>
      <c r="B45" s="113">
        <v>841</v>
      </c>
      <c r="C45" s="65">
        <v>1300052545285</v>
      </c>
      <c r="D45" s="205">
        <v>641</v>
      </c>
      <c r="E45" s="113">
        <v>641</v>
      </c>
      <c r="F45" s="65">
        <v>1300052545294</v>
      </c>
      <c r="G45" s="66" t="s">
        <v>1282</v>
      </c>
      <c r="H45" s="70"/>
      <c r="I45" s="71">
        <v>10.44</v>
      </c>
      <c r="J45" s="71">
        <v>3.12</v>
      </c>
      <c r="K45" s="71">
        <v>3.12</v>
      </c>
      <c r="L45" s="72"/>
      <c r="M45" s="73"/>
      <c r="N45" s="73"/>
      <c r="O45" s="73"/>
    </row>
    <row r="46" spans="1:15" ht="15" customHeight="1" x14ac:dyDescent="0.2">
      <c r="A46" s="205">
        <v>842</v>
      </c>
      <c r="B46" s="113">
        <v>842</v>
      </c>
      <c r="C46" s="65">
        <v>1300053022082</v>
      </c>
      <c r="D46" s="205">
        <v>642</v>
      </c>
      <c r="E46" s="113">
        <v>642</v>
      </c>
      <c r="F46" s="65">
        <v>1300053022091</v>
      </c>
      <c r="G46" s="66" t="s">
        <v>1246</v>
      </c>
      <c r="H46" s="70"/>
      <c r="I46" s="71">
        <v>510.18</v>
      </c>
      <c r="J46" s="71">
        <v>1.43</v>
      </c>
      <c r="K46" s="71">
        <v>1.43</v>
      </c>
      <c r="L46" s="72"/>
      <c r="M46" s="73"/>
      <c r="N46" s="73"/>
      <c r="O46" s="73"/>
    </row>
    <row r="47" spans="1:15" ht="15" customHeight="1" x14ac:dyDescent="0.2">
      <c r="A47" s="205">
        <v>843</v>
      </c>
      <c r="B47" s="113">
        <v>843</v>
      </c>
      <c r="C47" s="65">
        <v>1300053466350</v>
      </c>
      <c r="D47" s="205">
        <v>643</v>
      </c>
      <c r="E47" s="113">
        <v>643</v>
      </c>
      <c r="F47" s="65">
        <v>1300053466369</v>
      </c>
      <c r="G47" s="66" t="s">
        <v>1247</v>
      </c>
      <c r="H47" s="70"/>
      <c r="I47" s="71">
        <v>2747.75</v>
      </c>
      <c r="J47" s="71">
        <v>2.21</v>
      </c>
      <c r="K47" s="71">
        <v>2.21</v>
      </c>
      <c r="L47" s="72"/>
      <c r="M47" s="73"/>
      <c r="N47" s="73"/>
      <c r="O47" s="73"/>
    </row>
    <row r="48" spans="1:15" ht="15" customHeight="1" x14ac:dyDescent="0.2">
      <c r="A48" s="205">
        <v>844</v>
      </c>
      <c r="B48" s="113">
        <v>844</v>
      </c>
      <c r="C48" s="65">
        <v>1300053466378</v>
      </c>
      <c r="D48" s="205">
        <v>644</v>
      </c>
      <c r="E48" s="113">
        <v>644</v>
      </c>
      <c r="F48" s="65">
        <v>1300053466387</v>
      </c>
      <c r="G48" s="66" t="s">
        <v>1248</v>
      </c>
      <c r="H48" s="70"/>
      <c r="I48" s="71">
        <v>2755.32</v>
      </c>
      <c r="J48" s="71">
        <v>2.2000000000000002</v>
      </c>
      <c r="K48" s="71">
        <v>2.2000000000000002</v>
      </c>
      <c r="L48" s="72"/>
      <c r="M48" s="73"/>
      <c r="N48" s="73"/>
      <c r="O48" s="73"/>
    </row>
    <row r="49" spans="1:15" ht="15" customHeight="1" x14ac:dyDescent="0.2">
      <c r="A49" s="205">
        <v>845</v>
      </c>
      <c r="B49" s="113">
        <v>845</v>
      </c>
      <c r="C49" s="65">
        <v>1300053834682</v>
      </c>
      <c r="D49" s="205">
        <v>645</v>
      </c>
      <c r="E49" s="113">
        <v>645</v>
      </c>
      <c r="F49" s="65">
        <v>1300053834691</v>
      </c>
      <c r="G49" s="66" t="s">
        <v>1249</v>
      </c>
      <c r="H49" s="70"/>
      <c r="I49" s="71">
        <v>379.61</v>
      </c>
      <c r="J49" s="71">
        <v>2.57</v>
      </c>
      <c r="K49" s="71">
        <v>2.57</v>
      </c>
      <c r="L49" s="72"/>
      <c r="M49" s="73"/>
      <c r="N49" s="73"/>
      <c r="O49" s="73"/>
    </row>
    <row r="50" spans="1:15" ht="15" customHeight="1" x14ac:dyDescent="0.2">
      <c r="A50" s="205">
        <v>846</v>
      </c>
      <c r="B50" s="113">
        <v>846</v>
      </c>
      <c r="C50" s="65">
        <v>1300053862801</v>
      </c>
      <c r="D50" s="205">
        <v>646</v>
      </c>
      <c r="E50" s="113">
        <v>646</v>
      </c>
      <c r="F50" s="65">
        <v>1300053862796</v>
      </c>
      <c r="G50" s="66" t="s">
        <v>1283</v>
      </c>
      <c r="H50" s="70"/>
      <c r="I50" s="71">
        <v>9.86</v>
      </c>
      <c r="J50" s="71">
        <v>2.97</v>
      </c>
      <c r="K50" s="71">
        <v>2.97</v>
      </c>
      <c r="L50" s="72"/>
      <c r="M50" s="73"/>
      <c r="N50" s="73"/>
      <c r="O50" s="73"/>
    </row>
    <row r="51" spans="1:15" ht="15" customHeight="1" x14ac:dyDescent="0.2">
      <c r="A51" s="205">
        <v>847</v>
      </c>
      <c r="B51" s="113">
        <v>847</v>
      </c>
      <c r="C51" s="65">
        <v>1300053962107</v>
      </c>
      <c r="D51" s="205">
        <v>647</v>
      </c>
      <c r="E51" s="113">
        <v>647</v>
      </c>
      <c r="F51" s="65">
        <v>1300053962116</v>
      </c>
      <c r="G51" s="66" t="s">
        <v>1250</v>
      </c>
      <c r="H51" s="70">
        <v>0.40400000000000003</v>
      </c>
      <c r="I51" s="71">
        <v>215.88</v>
      </c>
      <c r="J51" s="71">
        <v>3.57</v>
      </c>
      <c r="K51" s="71">
        <v>3.57</v>
      </c>
      <c r="L51" s="72"/>
      <c r="M51" s="73"/>
      <c r="N51" s="73"/>
      <c r="O51" s="73"/>
    </row>
    <row r="52" spans="1:15" ht="15" customHeight="1" x14ac:dyDescent="0.2">
      <c r="A52" s="205">
        <v>848</v>
      </c>
      <c r="B52" s="113">
        <v>848</v>
      </c>
      <c r="C52" s="65">
        <v>1300060499085</v>
      </c>
      <c r="D52" s="205">
        <v>651</v>
      </c>
      <c r="E52" s="113">
        <v>651</v>
      </c>
      <c r="F52" s="65">
        <v>1300060499094</v>
      </c>
      <c r="G52" s="66" t="s">
        <v>1284</v>
      </c>
      <c r="H52" s="70"/>
      <c r="I52" s="71">
        <v>4.01</v>
      </c>
      <c r="J52" s="71">
        <v>5.0199999999999996</v>
      </c>
      <c r="K52" s="71">
        <v>5.0199999999999996</v>
      </c>
      <c r="L52" s="72"/>
      <c r="M52" s="73">
        <v>1201.6099999999999</v>
      </c>
      <c r="N52" s="73">
        <v>0.05</v>
      </c>
      <c r="O52" s="73">
        <v>0.05</v>
      </c>
    </row>
    <row r="53" spans="1:15" ht="15" customHeight="1" x14ac:dyDescent="0.2">
      <c r="A53" s="205">
        <v>849</v>
      </c>
      <c r="B53" s="113">
        <v>849</v>
      </c>
      <c r="C53" s="65">
        <v>1300054624390</v>
      </c>
      <c r="D53" s="205">
        <v>649</v>
      </c>
      <c r="E53" s="113">
        <v>649</v>
      </c>
      <c r="F53" s="65">
        <v>1300054624405</v>
      </c>
      <c r="G53" s="66" t="s">
        <v>1251</v>
      </c>
      <c r="H53" s="70"/>
      <c r="I53" s="71">
        <v>23.25</v>
      </c>
      <c r="J53" s="71">
        <v>2.76</v>
      </c>
      <c r="K53" s="71">
        <v>2.76</v>
      </c>
      <c r="L53" s="72"/>
      <c r="M53" s="73"/>
      <c r="N53" s="73"/>
      <c r="O53" s="73"/>
    </row>
    <row r="54" spans="1:15" ht="15" customHeight="1" x14ac:dyDescent="0.2">
      <c r="A54" s="205">
        <v>850</v>
      </c>
      <c r="B54" s="113">
        <v>850</v>
      </c>
      <c r="C54" s="65">
        <v>1300060668363</v>
      </c>
      <c r="D54" s="205">
        <v>652</v>
      </c>
      <c r="E54" s="113">
        <v>652</v>
      </c>
      <c r="F54" s="65">
        <v>1300060668372</v>
      </c>
      <c r="G54" s="66" t="s">
        <v>1252</v>
      </c>
      <c r="H54" s="70">
        <v>0.28100000000000003</v>
      </c>
      <c r="I54" s="71">
        <v>713.93</v>
      </c>
      <c r="J54" s="71">
        <v>4.0199999999999996</v>
      </c>
      <c r="K54" s="71">
        <v>4.0199999999999996</v>
      </c>
      <c r="L54" s="72">
        <v>-0.28599999999999998</v>
      </c>
      <c r="M54" s="73">
        <v>4462.51</v>
      </c>
      <c r="N54" s="73">
        <v>0.05</v>
      </c>
      <c r="O54" s="73">
        <v>0.05</v>
      </c>
    </row>
    <row r="55" spans="1:15" ht="15" customHeight="1" x14ac:dyDescent="0.2">
      <c r="A55" s="205">
        <v>851</v>
      </c>
      <c r="B55" s="113">
        <v>851</v>
      </c>
      <c r="C55" s="65">
        <v>1300054933348</v>
      </c>
      <c r="D55" s="205">
        <v>611</v>
      </c>
      <c r="E55" s="113">
        <v>611</v>
      </c>
      <c r="F55" s="65">
        <v>1300054914140</v>
      </c>
      <c r="G55" s="66" t="s">
        <v>1253</v>
      </c>
      <c r="H55" s="70"/>
      <c r="I55" s="71">
        <v>6.53</v>
      </c>
      <c r="J55" s="71">
        <v>2.87</v>
      </c>
      <c r="K55" s="71">
        <v>2.87</v>
      </c>
      <c r="L55" s="72"/>
      <c r="M55" s="73">
        <v>382.16</v>
      </c>
      <c r="N55" s="73">
        <v>0.05</v>
      </c>
      <c r="O55" s="73">
        <v>0.05</v>
      </c>
    </row>
    <row r="56" spans="1:15" ht="15" customHeight="1" x14ac:dyDescent="0.2">
      <c r="A56" s="205">
        <v>852</v>
      </c>
      <c r="B56" s="113">
        <v>852</v>
      </c>
      <c r="C56" s="65">
        <v>1300053310848</v>
      </c>
      <c r="D56" s="205"/>
      <c r="E56" s="113"/>
      <c r="F56" s="65"/>
      <c r="G56" s="66" t="s">
        <v>1254</v>
      </c>
      <c r="H56" s="70"/>
      <c r="I56" s="71">
        <v>2419.63</v>
      </c>
      <c r="J56" s="71">
        <v>5.51</v>
      </c>
      <c r="K56" s="71">
        <v>5.51</v>
      </c>
      <c r="L56" s="72"/>
      <c r="M56" s="73"/>
      <c r="N56" s="73"/>
      <c r="O56" s="73"/>
    </row>
    <row r="57" spans="1:15" ht="15" customHeight="1" x14ac:dyDescent="0.2">
      <c r="A57" s="205">
        <v>854</v>
      </c>
      <c r="B57" s="113">
        <v>854</v>
      </c>
      <c r="C57" s="65">
        <v>1300060138720</v>
      </c>
      <c r="D57" s="205">
        <v>654</v>
      </c>
      <c r="E57" s="113">
        <v>654</v>
      </c>
      <c r="F57" s="65">
        <v>1300060138739</v>
      </c>
      <c r="G57" s="66" t="s">
        <v>1255</v>
      </c>
      <c r="H57" s="70"/>
      <c r="I57" s="71">
        <v>51.05</v>
      </c>
      <c r="J57" s="71">
        <v>2.54</v>
      </c>
      <c r="K57" s="71">
        <v>2.54</v>
      </c>
      <c r="L57" s="72"/>
      <c r="M57" s="73">
        <v>2475.8200000000002</v>
      </c>
      <c r="N57" s="73">
        <v>0.05</v>
      </c>
      <c r="O57" s="73">
        <v>0.05</v>
      </c>
    </row>
    <row r="58" spans="1:15" ht="15" customHeight="1" x14ac:dyDescent="0.2">
      <c r="A58" s="205">
        <v>856</v>
      </c>
      <c r="B58" s="113">
        <v>856</v>
      </c>
      <c r="C58" s="65">
        <v>1300060102617</v>
      </c>
      <c r="D58" s="205">
        <v>656</v>
      </c>
      <c r="E58" s="113">
        <v>656</v>
      </c>
      <c r="F58" s="65">
        <v>1300060102608</v>
      </c>
      <c r="G58" s="66" t="s">
        <v>1256</v>
      </c>
      <c r="H58" s="70"/>
      <c r="I58" s="71">
        <v>166.42</v>
      </c>
      <c r="J58" s="71">
        <v>2.36</v>
      </c>
      <c r="K58" s="71">
        <v>2.36</v>
      </c>
      <c r="L58" s="72"/>
      <c r="M58" s="73">
        <v>15310.49</v>
      </c>
      <c r="N58" s="73">
        <v>0.05</v>
      </c>
      <c r="O58" s="73">
        <v>0.05</v>
      </c>
    </row>
    <row r="59" spans="1:15" ht="15" customHeight="1" x14ac:dyDescent="0.2">
      <c r="A59" s="205">
        <v>857</v>
      </c>
      <c r="B59" s="113">
        <v>857</v>
      </c>
      <c r="C59" s="65">
        <v>1300060508758</v>
      </c>
      <c r="D59" s="205"/>
      <c r="E59" s="113"/>
      <c r="F59" s="65"/>
      <c r="G59" s="66" t="s">
        <v>805</v>
      </c>
      <c r="H59" s="70"/>
      <c r="I59" s="71">
        <v>67500.36</v>
      </c>
      <c r="J59" s="71">
        <v>10.87</v>
      </c>
      <c r="K59" s="71">
        <v>10.87</v>
      </c>
      <c r="L59" s="72"/>
      <c r="M59" s="73"/>
      <c r="N59" s="73"/>
      <c r="O59" s="73"/>
    </row>
    <row r="60" spans="1:15" ht="15" customHeight="1" x14ac:dyDescent="0.2">
      <c r="A60" s="205">
        <v>865</v>
      </c>
      <c r="B60" s="113">
        <v>865</v>
      </c>
      <c r="C60" s="65">
        <v>1300035438944</v>
      </c>
      <c r="D60" s="205">
        <v>665</v>
      </c>
      <c r="E60" s="113">
        <v>665</v>
      </c>
      <c r="F60" s="65">
        <v>1300038004491</v>
      </c>
      <c r="G60" s="66" t="s">
        <v>1257</v>
      </c>
      <c r="H60" s="70"/>
      <c r="I60" s="71">
        <v>7.77</v>
      </c>
      <c r="J60" s="71">
        <v>3.17</v>
      </c>
      <c r="K60" s="71">
        <v>3.17</v>
      </c>
      <c r="L60" s="72"/>
      <c r="M60" s="73"/>
      <c r="N60" s="73"/>
      <c r="O60" s="73"/>
    </row>
    <row r="61" spans="1:15" ht="15" customHeight="1" x14ac:dyDescent="0.2">
      <c r="A61" s="205">
        <v>866</v>
      </c>
      <c r="B61" s="113">
        <v>866</v>
      </c>
      <c r="C61" s="65">
        <v>1300037983737</v>
      </c>
      <c r="D61" s="205">
        <v>666</v>
      </c>
      <c r="E61" s="113">
        <v>666</v>
      </c>
      <c r="F61" s="65">
        <v>1300037983746</v>
      </c>
      <c r="G61" s="66" t="s">
        <v>1258</v>
      </c>
      <c r="H61" s="70"/>
      <c r="I61" s="71">
        <v>15.1</v>
      </c>
      <c r="J61" s="71">
        <v>3.75</v>
      </c>
      <c r="K61" s="71">
        <v>3.75</v>
      </c>
      <c r="L61" s="72"/>
      <c r="M61" s="73">
        <v>1761.74</v>
      </c>
      <c r="N61" s="73">
        <v>0.05</v>
      </c>
      <c r="O61" s="73">
        <v>0.05</v>
      </c>
    </row>
    <row r="62" spans="1:15" ht="15" customHeight="1" x14ac:dyDescent="0.2">
      <c r="A62" s="205">
        <v>867</v>
      </c>
      <c r="B62" s="113">
        <v>867</v>
      </c>
      <c r="C62" s="65">
        <v>1300037983755</v>
      </c>
      <c r="D62" s="205">
        <v>667</v>
      </c>
      <c r="E62" s="113">
        <v>667</v>
      </c>
      <c r="F62" s="65">
        <v>1300037983764</v>
      </c>
      <c r="G62" s="66" t="s">
        <v>1285</v>
      </c>
      <c r="H62" s="70"/>
      <c r="I62" s="71">
        <v>14.1</v>
      </c>
      <c r="J62" s="71">
        <v>3.59</v>
      </c>
      <c r="K62" s="71">
        <v>3.59</v>
      </c>
      <c r="L62" s="72"/>
      <c r="M62" s="73">
        <v>1762.73</v>
      </c>
      <c r="N62" s="73">
        <v>0.05</v>
      </c>
      <c r="O62" s="73">
        <v>0.05</v>
      </c>
    </row>
    <row r="63" spans="1:15" ht="15" customHeight="1" x14ac:dyDescent="0.2">
      <c r="A63" s="205">
        <v>868</v>
      </c>
      <c r="B63" s="113">
        <v>868</v>
      </c>
      <c r="C63" s="65">
        <v>1300035368906</v>
      </c>
      <c r="D63" s="205">
        <v>668</v>
      </c>
      <c r="E63" s="113">
        <v>668</v>
      </c>
      <c r="F63" s="65">
        <v>1300050649381</v>
      </c>
      <c r="G63" s="66" t="s">
        <v>1286</v>
      </c>
      <c r="H63" s="70"/>
      <c r="I63" s="71">
        <v>87.09</v>
      </c>
      <c r="J63" s="71">
        <v>2.73</v>
      </c>
      <c r="K63" s="71">
        <v>2.73</v>
      </c>
      <c r="L63" s="72"/>
      <c r="M63" s="73">
        <v>711.25</v>
      </c>
      <c r="N63" s="73">
        <v>0.05</v>
      </c>
      <c r="O63" s="73">
        <v>0.05</v>
      </c>
    </row>
    <row r="64" spans="1:15" ht="15" customHeight="1" x14ac:dyDescent="0.2">
      <c r="A64" s="205">
        <v>869</v>
      </c>
      <c r="B64" s="113">
        <v>869</v>
      </c>
      <c r="C64" s="65">
        <v>1300035370393</v>
      </c>
      <c r="D64" s="205">
        <v>669</v>
      </c>
      <c r="E64" s="113">
        <v>669</v>
      </c>
      <c r="F64" s="65">
        <v>1300050649070</v>
      </c>
      <c r="G64" s="66" t="s">
        <v>1287</v>
      </c>
      <c r="H64" s="70"/>
      <c r="I64" s="71">
        <v>27.1</v>
      </c>
      <c r="J64" s="71">
        <v>3.39</v>
      </c>
      <c r="K64" s="71">
        <v>3.39</v>
      </c>
      <c r="L64" s="72"/>
      <c r="M64" s="73">
        <v>3334</v>
      </c>
      <c r="N64" s="73">
        <v>0.05</v>
      </c>
      <c r="O64" s="73">
        <v>0.05</v>
      </c>
    </row>
    <row r="65" spans="1:15" ht="15" customHeight="1" x14ac:dyDescent="0.2">
      <c r="A65" s="205">
        <v>870</v>
      </c>
      <c r="B65" s="113">
        <v>870</v>
      </c>
      <c r="C65" s="65">
        <v>1300060308295</v>
      </c>
      <c r="D65" s="205"/>
      <c r="E65" s="113"/>
      <c r="F65" s="65"/>
      <c r="G65" s="66" t="s">
        <v>1288</v>
      </c>
      <c r="H65" s="70"/>
      <c r="I65" s="71">
        <v>1477.32</v>
      </c>
      <c r="J65" s="71">
        <v>11.74</v>
      </c>
      <c r="K65" s="71">
        <v>11.74</v>
      </c>
      <c r="L65" s="72"/>
      <c r="M65" s="73"/>
      <c r="N65" s="73"/>
      <c r="O65" s="73"/>
    </row>
    <row r="66" spans="1:15" ht="15" customHeight="1" x14ac:dyDescent="0.2">
      <c r="A66" s="205">
        <v>871</v>
      </c>
      <c r="B66" s="113">
        <v>871</v>
      </c>
      <c r="C66" s="65">
        <v>1300037983996</v>
      </c>
      <c r="D66" s="205">
        <v>671</v>
      </c>
      <c r="E66" s="113">
        <v>671</v>
      </c>
      <c r="F66" s="65">
        <v>1300037984002</v>
      </c>
      <c r="G66" s="66" t="s">
        <v>1259</v>
      </c>
      <c r="H66" s="70"/>
      <c r="I66" s="71">
        <v>80.88</v>
      </c>
      <c r="J66" s="71">
        <v>2.0299999999999998</v>
      </c>
      <c r="K66" s="71">
        <v>2.0299999999999998</v>
      </c>
      <c r="L66" s="72"/>
      <c r="M66" s="73">
        <v>990.81</v>
      </c>
      <c r="N66" s="73">
        <v>0.05</v>
      </c>
      <c r="O66" s="73">
        <v>0.05</v>
      </c>
    </row>
    <row r="67" spans="1:15" ht="15" customHeight="1" x14ac:dyDescent="0.2">
      <c r="A67" s="205">
        <v>872</v>
      </c>
      <c r="B67" s="113">
        <v>872</v>
      </c>
      <c r="C67" s="65">
        <v>1300037983913</v>
      </c>
      <c r="D67" s="205">
        <v>672</v>
      </c>
      <c r="E67" s="113">
        <v>672</v>
      </c>
      <c r="F67" s="65">
        <v>1300037983922</v>
      </c>
      <c r="G67" s="66" t="s">
        <v>1260</v>
      </c>
      <c r="H67" s="70"/>
      <c r="I67" s="71">
        <v>105.45</v>
      </c>
      <c r="J67" s="71">
        <v>2.25</v>
      </c>
      <c r="K67" s="71">
        <v>2.25</v>
      </c>
      <c r="L67" s="72"/>
      <c r="M67" s="73"/>
      <c r="N67" s="73"/>
      <c r="O67" s="73"/>
    </row>
    <row r="68" spans="1:15" ht="15" customHeight="1" x14ac:dyDescent="0.2">
      <c r="A68" s="205">
        <v>873</v>
      </c>
      <c r="B68" s="113">
        <v>873</v>
      </c>
      <c r="C68" s="65">
        <v>1300037983899</v>
      </c>
      <c r="D68" s="205">
        <v>673</v>
      </c>
      <c r="E68" s="113">
        <v>673</v>
      </c>
      <c r="F68" s="65">
        <v>1300037983904</v>
      </c>
      <c r="G68" s="66" t="s">
        <v>1261</v>
      </c>
      <c r="H68" s="70"/>
      <c r="I68" s="71">
        <v>37.42</v>
      </c>
      <c r="J68" s="71">
        <v>2.39</v>
      </c>
      <c r="K68" s="71">
        <v>2.39</v>
      </c>
      <c r="L68" s="72"/>
      <c r="M68" s="73"/>
      <c r="N68" s="73"/>
      <c r="O68" s="73"/>
    </row>
    <row r="69" spans="1:15" ht="15" customHeight="1" x14ac:dyDescent="0.2">
      <c r="A69" s="205">
        <v>874</v>
      </c>
      <c r="B69" s="113">
        <v>874</v>
      </c>
      <c r="C69" s="65">
        <v>1300035438572</v>
      </c>
      <c r="D69" s="205">
        <v>674</v>
      </c>
      <c r="E69" s="113">
        <v>674</v>
      </c>
      <c r="F69" s="65">
        <v>1300050649390</v>
      </c>
      <c r="G69" s="66" t="s">
        <v>1262</v>
      </c>
      <c r="H69" s="70"/>
      <c r="I69" s="71">
        <v>15.51</v>
      </c>
      <c r="J69" s="71">
        <v>2.94</v>
      </c>
      <c r="K69" s="71">
        <v>2.94</v>
      </c>
      <c r="L69" s="72"/>
      <c r="M69" s="73"/>
      <c r="N69" s="73"/>
      <c r="O69" s="73"/>
    </row>
    <row r="70" spans="1:15" ht="15" customHeight="1" x14ac:dyDescent="0.2">
      <c r="A70" s="205">
        <v>875</v>
      </c>
      <c r="B70" s="113">
        <v>875</v>
      </c>
      <c r="C70" s="65">
        <v>1300050649406</v>
      </c>
      <c r="D70" s="205">
        <v>675</v>
      </c>
      <c r="E70" s="113">
        <v>675</v>
      </c>
      <c r="F70" s="65">
        <v>1300050649415</v>
      </c>
      <c r="G70" s="66" t="s">
        <v>1263</v>
      </c>
      <c r="H70" s="70"/>
      <c r="I70" s="71">
        <v>7.7</v>
      </c>
      <c r="J70" s="71">
        <v>3.01</v>
      </c>
      <c r="K70" s="71">
        <v>3.01</v>
      </c>
      <c r="L70" s="72"/>
      <c r="M70" s="73"/>
      <c r="N70" s="73"/>
      <c r="O70" s="73"/>
    </row>
    <row r="71" spans="1:15" ht="15" customHeight="1" x14ac:dyDescent="0.2">
      <c r="A71" s="205">
        <v>876</v>
      </c>
      <c r="B71" s="113">
        <v>876</v>
      </c>
      <c r="C71" s="65">
        <v>1300060701106</v>
      </c>
      <c r="D71" s="205">
        <v>676</v>
      </c>
      <c r="E71" s="113">
        <v>676</v>
      </c>
      <c r="F71" s="65">
        <v>1300060701115</v>
      </c>
      <c r="G71" s="66" t="s">
        <v>1264</v>
      </c>
      <c r="H71" s="70"/>
      <c r="I71" s="71">
        <v>23.23</v>
      </c>
      <c r="J71" s="71">
        <v>4.2</v>
      </c>
      <c r="K71" s="71">
        <v>4.2</v>
      </c>
      <c r="L71" s="72"/>
      <c r="M71" s="73">
        <v>1251.5899999999999</v>
      </c>
      <c r="N71" s="73">
        <v>0.05</v>
      </c>
      <c r="O71" s="73">
        <v>0.05</v>
      </c>
    </row>
    <row r="72" spans="1:15" ht="15" customHeight="1" x14ac:dyDescent="0.2">
      <c r="A72" s="205">
        <v>877</v>
      </c>
      <c r="B72" s="113">
        <v>877</v>
      </c>
      <c r="C72" s="65">
        <v>1300053593216</v>
      </c>
      <c r="D72" s="205"/>
      <c r="E72" s="113"/>
      <c r="F72" s="65"/>
      <c r="G72" s="66" t="s">
        <v>1265</v>
      </c>
      <c r="H72" s="70">
        <v>0.27200000000000002</v>
      </c>
      <c r="I72" s="71">
        <v>3809.92</v>
      </c>
      <c r="J72" s="71">
        <v>6.17</v>
      </c>
      <c r="K72" s="71">
        <v>6.17</v>
      </c>
      <c r="L72" s="72"/>
      <c r="M72" s="73"/>
      <c r="N72" s="73"/>
      <c r="O72" s="73"/>
    </row>
    <row r="73" spans="1:15" ht="15" customHeight="1" x14ac:dyDescent="0.2">
      <c r="A73" s="205">
        <v>878</v>
      </c>
      <c r="B73" s="113">
        <v>878</v>
      </c>
      <c r="C73" s="65">
        <v>1300054122122</v>
      </c>
      <c r="D73" s="205"/>
      <c r="E73" s="113"/>
      <c r="F73" s="65"/>
      <c r="G73" s="66" t="s">
        <v>1266</v>
      </c>
      <c r="H73" s="70"/>
      <c r="I73" s="71">
        <v>4231.88</v>
      </c>
      <c r="J73" s="71">
        <v>4.8</v>
      </c>
      <c r="K73" s="71">
        <v>4.8</v>
      </c>
      <c r="L73" s="72"/>
      <c r="M73" s="73"/>
      <c r="N73" s="73"/>
      <c r="O73" s="73"/>
    </row>
    <row r="74" spans="1:15" ht="15" customHeight="1" x14ac:dyDescent="0.2">
      <c r="A74" s="205">
        <v>880</v>
      </c>
      <c r="B74" s="113">
        <v>880</v>
      </c>
      <c r="C74" s="65">
        <v>1300060621588</v>
      </c>
      <c r="D74" s="205">
        <v>670</v>
      </c>
      <c r="E74" s="113">
        <v>670</v>
      </c>
      <c r="F74" s="65">
        <v>1300060621597</v>
      </c>
      <c r="G74" s="66" t="s">
        <v>1267</v>
      </c>
      <c r="H74" s="70"/>
      <c r="I74" s="71">
        <v>57.42</v>
      </c>
      <c r="J74" s="71">
        <v>4.9000000000000004</v>
      </c>
      <c r="K74" s="71">
        <v>4.9000000000000004</v>
      </c>
      <c r="L74" s="72"/>
      <c r="M74" s="73">
        <v>7808.82</v>
      </c>
      <c r="N74" s="73">
        <v>0.05</v>
      </c>
      <c r="O74" s="73">
        <v>0.05</v>
      </c>
    </row>
    <row r="75" spans="1:15" ht="15" customHeight="1" x14ac:dyDescent="0.2">
      <c r="A75" s="205">
        <v>881</v>
      </c>
      <c r="B75" s="113">
        <v>881</v>
      </c>
      <c r="C75" s="65">
        <v>1300060626275</v>
      </c>
      <c r="D75" s="205">
        <v>679</v>
      </c>
      <c r="E75" s="113">
        <v>679</v>
      </c>
      <c r="F75" s="65">
        <v>1300060626284</v>
      </c>
      <c r="G75" s="66" t="s">
        <v>1289</v>
      </c>
      <c r="H75" s="70"/>
      <c r="I75" s="71">
        <v>0.86</v>
      </c>
      <c r="J75" s="71">
        <v>4.22</v>
      </c>
      <c r="K75" s="71">
        <v>4.22</v>
      </c>
      <c r="L75" s="72"/>
      <c r="M75" s="73">
        <v>122.16</v>
      </c>
      <c r="N75" s="73">
        <v>0.05</v>
      </c>
      <c r="O75" s="73">
        <v>0.05</v>
      </c>
    </row>
    <row r="76" spans="1:15" ht="15" customHeight="1" x14ac:dyDescent="0.2">
      <c r="A76" s="205">
        <v>882</v>
      </c>
      <c r="B76" s="113">
        <v>882</v>
      </c>
      <c r="C76" s="65">
        <v>1300060631656</v>
      </c>
      <c r="D76" s="205">
        <v>684</v>
      </c>
      <c r="E76" s="113">
        <v>684</v>
      </c>
      <c r="F76" s="65">
        <v>1300060631665</v>
      </c>
      <c r="G76" s="66" t="s">
        <v>1290</v>
      </c>
      <c r="H76" s="70"/>
      <c r="I76" s="71">
        <v>238.45</v>
      </c>
      <c r="J76" s="71">
        <v>4.0199999999999996</v>
      </c>
      <c r="K76" s="71">
        <v>4.0199999999999996</v>
      </c>
      <c r="L76" s="72"/>
      <c r="M76" s="73">
        <v>2013.55</v>
      </c>
      <c r="N76" s="73">
        <v>0.05</v>
      </c>
      <c r="O76" s="73">
        <v>0.05</v>
      </c>
    </row>
    <row r="77" spans="1:15" ht="15" customHeight="1" x14ac:dyDescent="0.2">
      <c r="A77" s="205">
        <v>883</v>
      </c>
      <c r="B77" s="113">
        <v>883</v>
      </c>
      <c r="C77" s="65">
        <v>1300060621950</v>
      </c>
      <c r="D77" s="205">
        <v>683</v>
      </c>
      <c r="E77" s="113">
        <v>683</v>
      </c>
      <c r="F77" s="65">
        <v>1300060621969</v>
      </c>
      <c r="G77" s="66" t="s">
        <v>1291</v>
      </c>
      <c r="H77" s="70"/>
      <c r="I77" s="71">
        <v>1.02</v>
      </c>
      <c r="J77" s="71">
        <v>3.85</v>
      </c>
      <c r="K77" s="71">
        <v>3.85</v>
      </c>
      <c r="L77" s="72"/>
      <c r="M77" s="73">
        <v>122</v>
      </c>
      <c r="N77" s="73">
        <v>0.05</v>
      </c>
      <c r="O77" s="73">
        <v>0.05</v>
      </c>
    </row>
    <row r="78" spans="1:15" ht="15" customHeight="1" x14ac:dyDescent="0.2">
      <c r="A78" s="205">
        <v>886</v>
      </c>
      <c r="B78" s="113">
        <v>886</v>
      </c>
      <c r="C78" s="65">
        <v>1300060657830</v>
      </c>
      <c r="D78" s="205">
        <v>686</v>
      </c>
      <c r="E78" s="113">
        <v>686</v>
      </c>
      <c r="F78" s="65">
        <v>1300060657840</v>
      </c>
      <c r="G78" s="66" t="s">
        <v>1292</v>
      </c>
      <c r="H78" s="70"/>
      <c r="I78" s="71">
        <v>0.56000000000000005</v>
      </c>
      <c r="J78" s="71">
        <v>4.21</v>
      </c>
      <c r="K78" s="71">
        <v>4.21</v>
      </c>
      <c r="L78" s="72"/>
      <c r="M78" s="73">
        <v>122.46</v>
      </c>
      <c r="N78" s="73">
        <v>0.05</v>
      </c>
      <c r="O78" s="73">
        <v>0.05</v>
      </c>
    </row>
    <row r="79" spans="1:15" ht="15" customHeight="1" x14ac:dyDescent="0.2">
      <c r="A79" s="205">
        <v>887</v>
      </c>
      <c r="B79" s="113">
        <v>887</v>
      </c>
      <c r="C79" s="65">
        <v>1300035619768</v>
      </c>
      <c r="D79" s="205">
        <v>687</v>
      </c>
      <c r="E79" s="113">
        <v>687</v>
      </c>
      <c r="F79" s="65">
        <v>1300050652905</v>
      </c>
      <c r="G79" s="66" t="s">
        <v>1293</v>
      </c>
      <c r="H79" s="70"/>
      <c r="I79" s="71">
        <v>99.31</v>
      </c>
      <c r="J79" s="71">
        <v>3.12</v>
      </c>
      <c r="K79" s="71">
        <v>3.12</v>
      </c>
      <c r="L79" s="72"/>
      <c r="M79" s="73"/>
      <c r="N79" s="73"/>
      <c r="O79" s="73"/>
    </row>
    <row r="80" spans="1:15" ht="15" customHeight="1" x14ac:dyDescent="0.2">
      <c r="A80" s="205">
        <v>888</v>
      </c>
      <c r="B80" s="113">
        <v>888</v>
      </c>
      <c r="C80" s="65" t="s">
        <v>1295</v>
      </c>
      <c r="D80" s="205"/>
      <c r="E80" s="113"/>
      <c r="F80" s="65"/>
      <c r="G80" s="66" t="s">
        <v>1294</v>
      </c>
      <c r="H80" s="70">
        <v>1.7130000000000001</v>
      </c>
      <c r="I80" s="71">
        <v>8971.15</v>
      </c>
      <c r="J80" s="71">
        <v>8.1199999999999992</v>
      </c>
      <c r="K80" s="71">
        <v>8.1199999999999992</v>
      </c>
      <c r="L80" s="72"/>
      <c r="M80" s="73"/>
      <c r="N80" s="73"/>
      <c r="O80" s="73"/>
    </row>
    <row r="81" spans="1:15" ht="15" customHeight="1" x14ac:dyDescent="0.2">
      <c r="A81" s="205">
        <v>889</v>
      </c>
      <c r="B81" s="113">
        <v>889</v>
      </c>
      <c r="C81" s="65">
        <v>1300060626293</v>
      </c>
      <c r="D81" s="205">
        <v>678</v>
      </c>
      <c r="E81" s="113">
        <v>678</v>
      </c>
      <c r="F81" s="65">
        <v>1300060626309</v>
      </c>
      <c r="G81" s="66" t="s">
        <v>1296</v>
      </c>
      <c r="H81" s="70"/>
      <c r="I81" s="71">
        <v>0.76</v>
      </c>
      <c r="J81" s="71">
        <v>3.2</v>
      </c>
      <c r="K81" s="71">
        <v>3.2</v>
      </c>
      <c r="L81" s="72"/>
      <c r="M81" s="73">
        <v>122.25</v>
      </c>
      <c r="N81" s="73">
        <v>0.05</v>
      </c>
      <c r="O81" s="73">
        <v>0.05</v>
      </c>
    </row>
    <row r="82" spans="1:15" ht="15" customHeight="1" x14ac:dyDescent="0.2">
      <c r="A82" s="205">
        <v>890</v>
      </c>
      <c r="B82" s="113">
        <v>890</v>
      </c>
      <c r="C82" s="65">
        <v>1300060621987</v>
      </c>
      <c r="D82" s="205">
        <v>697</v>
      </c>
      <c r="E82" s="113">
        <v>697</v>
      </c>
      <c r="F82" s="65">
        <v>1300060621996</v>
      </c>
      <c r="G82" s="66" t="s">
        <v>1297</v>
      </c>
      <c r="H82" s="70">
        <v>0.107</v>
      </c>
      <c r="I82" s="71">
        <v>2.83</v>
      </c>
      <c r="J82" s="71">
        <v>4.5599999999999996</v>
      </c>
      <c r="K82" s="71">
        <v>4.5599999999999996</v>
      </c>
      <c r="L82" s="72"/>
      <c r="M82" s="73">
        <v>4243.42</v>
      </c>
      <c r="N82" s="73">
        <v>0.05</v>
      </c>
      <c r="O82" s="73">
        <v>0.05</v>
      </c>
    </row>
    <row r="83" spans="1:15" ht="15" customHeight="1" x14ac:dyDescent="0.2">
      <c r="A83" s="205">
        <v>891</v>
      </c>
      <c r="B83" s="113">
        <v>891</v>
      </c>
      <c r="C83" s="65">
        <v>1300060622002</v>
      </c>
      <c r="D83" s="205">
        <v>699</v>
      </c>
      <c r="E83" s="113">
        <v>699</v>
      </c>
      <c r="F83" s="65">
        <v>1300060622011</v>
      </c>
      <c r="G83" s="66" t="s">
        <v>1298</v>
      </c>
      <c r="H83" s="70">
        <v>3.4000000000000002E-2</v>
      </c>
      <c r="I83" s="71">
        <v>2.83</v>
      </c>
      <c r="J83" s="71">
        <v>3.74</v>
      </c>
      <c r="K83" s="71">
        <v>3.74</v>
      </c>
      <c r="L83" s="72"/>
      <c r="M83" s="73">
        <v>1955.94</v>
      </c>
      <c r="N83" s="73">
        <v>0.05</v>
      </c>
      <c r="O83" s="73">
        <v>0.05</v>
      </c>
    </row>
    <row r="84" spans="1:15" ht="15" customHeight="1" x14ac:dyDescent="0.2">
      <c r="A84" s="205">
        <v>892</v>
      </c>
      <c r="B84" s="113">
        <v>892</v>
      </c>
      <c r="C84" s="65">
        <v>1300060609697</v>
      </c>
      <c r="D84" s="205">
        <v>692</v>
      </c>
      <c r="E84" s="113">
        <v>692</v>
      </c>
      <c r="F84" s="65">
        <v>1300060609702</v>
      </c>
      <c r="G84" s="66" t="s">
        <v>1299</v>
      </c>
      <c r="H84" s="70">
        <v>0.25700000000000001</v>
      </c>
      <c r="I84" s="71">
        <v>277.32</v>
      </c>
      <c r="J84" s="71">
        <v>4.0199999999999996</v>
      </c>
      <c r="K84" s="71">
        <v>4.0199999999999996</v>
      </c>
      <c r="L84" s="72">
        <v>-0.26200000000000001</v>
      </c>
      <c r="M84" s="73">
        <v>1993.24</v>
      </c>
      <c r="N84" s="73">
        <v>0.05</v>
      </c>
      <c r="O84" s="73">
        <v>0.05</v>
      </c>
    </row>
    <row r="85" spans="1:15" ht="15" customHeight="1" x14ac:dyDescent="0.2">
      <c r="A85" s="205">
        <v>893</v>
      </c>
      <c r="B85" s="113">
        <v>893</v>
      </c>
      <c r="C85" s="65">
        <v>1300060659740</v>
      </c>
      <c r="D85" s="205">
        <v>693</v>
      </c>
      <c r="E85" s="113">
        <v>693</v>
      </c>
      <c r="F85" s="65">
        <v>1300060659759</v>
      </c>
      <c r="G85" s="66" t="s">
        <v>1268</v>
      </c>
      <c r="H85" s="70"/>
      <c r="I85" s="71">
        <v>4.0599999999999996</v>
      </c>
      <c r="J85" s="71">
        <v>4.0199999999999996</v>
      </c>
      <c r="K85" s="71">
        <v>4.0199999999999996</v>
      </c>
      <c r="L85" s="72"/>
      <c r="M85" s="73">
        <v>365</v>
      </c>
      <c r="N85" s="73">
        <v>0.05</v>
      </c>
      <c r="O85" s="73">
        <v>0.05</v>
      </c>
    </row>
    <row r="86" spans="1:15" ht="15" customHeight="1" x14ac:dyDescent="0.2">
      <c r="A86" s="205">
        <v>894</v>
      </c>
      <c r="B86" s="113">
        <v>894</v>
      </c>
      <c r="C86" s="65">
        <v>1300060647600</v>
      </c>
      <c r="D86" s="205">
        <v>694</v>
      </c>
      <c r="E86" s="113">
        <v>694</v>
      </c>
      <c r="F86" s="65">
        <v>1300060647610</v>
      </c>
      <c r="G86" s="66" t="s">
        <v>1300</v>
      </c>
      <c r="H86" s="70"/>
      <c r="I86" s="71">
        <v>379.77</v>
      </c>
      <c r="J86" s="71">
        <v>2.19</v>
      </c>
      <c r="K86" s="71">
        <v>2.19</v>
      </c>
      <c r="L86" s="72"/>
      <c r="M86" s="73">
        <v>19671.95</v>
      </c>
      <c r="N86" s="73">
        <v>0.05</v>
      </c>
      <c r="O86" s="73">
        <v>0.05</v>
      </c>
    </row>
    <row r="87" spans="1:15" ht="15" customHeight="1" x14ac:dyDescent="0.2">
      <c r="A87" s="205">
        <v>896</v>
      </c>
      <c r="B87" s="113">
        <v>896</v>
      </c>
      <c r="C87" s="65">
        <v>1300060673442</v>
      </c>
      <c r="D87" s="205">
        <v>616</v>
      </c>
      <c r="E87" s="113">
        <v>616</v>
      </c>
      <c r="F87" s="65">
        <v>1300060673451</v>
      </c>
      <c r="G87" s="66" t="s">
        <v>1301</v>
      </c>
      <c r="H87" s="70"/>
      <c r="I87" s="71">
        <v>31.72</v>
      </c>
      <c r="J87" s="71">
        <v>4.0199999999999996</v>
      </c>
      <c r="K87" s="71">
        <v>4.0199999999999996</v>
      </c>
      <c r="L87" s="72"/>
      <c r="M87" s="73">
        <v>2537.85</v>
      </c>
      <c r="N87" s="73">
        <v>0.05</v>
      </c>
      <c r="O87" s="73">
        <v>0.05</v>
      </c>
    </row>
    <row r="88" spans="1:15" ht="15" customHeight="1" x14ac:dyDescent="0.2">
      <c r="A88" s="205">
        <v>897</v>
      </c>
      <c r="B88" s="113">
        <v>897</v>
      </c>
      <c r="C88" s="65">
        <v>1300060673460</v>
      </c>
      <c r="D88" s="205">
        <v>617</v>
      </c>
      <c r="E88" s="113">
        <v>617</v>
      </c>
      <c r="F88" s="65">
        <v>1300060673489</v>
      </c>
      <c r="G88" s="66" t="s">
        <v>1302</v>
      </c>
      <c r="H88" s="70">
        <v>0.25700000000000001</v>
      </c>
      <c r="I88" s="71">
        <v>62.67</v>
      </c>
      <c r="J88" s="71">
        <v>2.79</v>
      </c>
      <c r="K88" s="71">
        <v>2.79</v>
      </c>
      <c r="L88" s="72">
        <v>-0.73099999999999998</v>
      </c>
      <c r="M88" s="73">
        <v>2506.9</v>
      </c>
      <c r="N88" s="73">
        <v>0.05</v>
      </c>
      <c r="O88" s="73">
        <v>0.05</v>
      </c>
    </row>
    <row r="89" spans="1:15" ht="15" customHeight="1" x14ac:dyDescent="0.2">
      <c r="A89" s="205">
        <v>898</v>
      </c>
      <c r="B89" s="113">
        <v>898</v>
      </c>
      <c r="C89" s="65">
        <v>1300051694552</v>
      </c>
      <c r="D89" s="205">
        <v>698</v>
      </c>
      <c r="E89" s="113">
        <v>698</v>
      </c>
      <c r="F89" s="65">
        <v>1300051694827</v>
      </c>
      <c r="G89" s="66" t="s">
        <v>1269</v>
      </c>
      <c r="H89" s="70"/>
      <c r="I89" s="71">
        <v>595.16</v>
      </c>
      <c r="J89" s="71">
        <v>2.17</v>
      </c>
      <c r="K89" s="71">
        <v>3.4</v>
      </c>
      <c r="L89" s="72"/>
      <c r="M89" s="73"/>
      <c r="N89" s="73"/>
      <c r="O89" s="73"/>
    </row>
    <row r="90" spans="1:15" ht="15" customHeight="1" x14ac:dyDescent="0.2">
      <c r="A90" s="205">
        <v>899</v>
      </c>
      <c r="B90" s="113">
        <v>899</v>
      </c>
      <c r="C90" s="65">
        <v>1300060484140</v>
      </c>
      <c r="D90" s="205"/>
      <c r="E90" s="113"/>
      <c r="F90" s="65"/>
      <c r="G90" s="66" t="s">
        <v>1270</v>
      </c>
      <c r="H90" s="70"/>
      <c r="I90" s="71">
        <v>7102.55</v>
      </c>
      <c r="J90" s="71">
        <v>7.37</v>
      </c>
      <c r="K90" s="71">
        <v>7.37</v>
      </c>
      <c r="L90" s="72"/>
      <c r="M90" s="73"/>
      <c r="N90" s="73"/>
      <c r="O90" s="73"/>
    </row>
    <row r="91" spans="1:15" ht="15" customHeight="1" x14ac:dyDescent="0.2">
      <c r="A91" s="205">
        <v>921</v>
      </c>
      <c r="B91" s="113">
        <v>921</v>
      </c>
      <c r="C91" s="65">
        <v>1300050654248</v>
      </c>
      <c r="D91" s="205">
        <v>691</v>
      </c>
      <c r="E91" s="113">
        <v>691</v>
      </c>
      <c r="F91" s="65">
        <v>1300060208518</v>
      </c>
      <c r="G91" s="66" t="s">
        <v>1303</v>
      </c>
      <c r="H91" s="70"/>
      <c r="I91" s="71">
        <v>9146.26</v>
      </c>
      <c r="J91" s="71">
        <v>4.03</v>
      </c>
      <c r="K91" s="71">
        <v>4.03</v>
      </c>
      <c r="L91" s="72"/>
      <c r="M91" s="73">
        <v>2286.56</v>
      </c>
      <c r="N91" s="73">
        <v>0.05</v>
      </c>
      <c r="O91" s="73">
        <v>0.05</v>
      </c>
    </row>
    <row r="92" spans="1:15" ht="15" customHeight="1" x14ac:dyDescent="0.2">
      <c r="A92" s="205">
        <v>922</v>
      </c>
      <c r="B92" s="113">
        <v>922</v>
      </c>
      <c r="C92" s="65">
        <v>1300050654257</v>
      </c>
      <c r="D92" s="205">
        <v>682</v>
      </c>
      <c r="E92" s="113">
        <v>682</v>
      </c>
      <c r="F92" s="65">
        <v>1300060269895</v>
      </c>
      <c r="G92" s="66" t="s">
        <v>1304</v>
      </c>
      <c r="H92" s="70"/>
      <c r="I92" s="71">
        <v>3337.67</v>
      </c>
      <c r="J92" s="71">
        <v>8.07</v>
      </c>
      <c r="K92" s="71">
        <v>8.07</v>
      </c>
      <c r="L92" s="72">
        <v>-0.28599999999999998</v>
      </c>
      <c r="M92" s="73">
        <v>1112.56</v>
      </c>
      <c r="N92" s="73">
        <v>0.05</v>
      </c>
      <c r="O92" s="73">
        <v>0.05</v>
      </c>
    </row>
    <row r="93" spans="1:15" ht="15" customHeight="1" x14ac:dyDescent="0.2">
      <c r="A93" s="205">
        <v>923</v>
      </c>
      <c r="B93" s="113">
        <v>923</v>
      </c>
      <c r="C93" s="65">
        <v>1300050649994</v>
      </c>
      <c r="D93" s="205"/>
      <c r="E93" s="113"/>
      <c r="F93" s="65"/>
      <c r="G93" s="66" t="s">
        <v>1305</v>
      </c>
      <c r="H93" s="70"/>
      <c r="I93" s="71">
        <v>1450.06</v>
      </c>
      <c r="J93" s="71">
        <v>9.81</v>
      </c>
      <c r="K93" s="71">
        <v>9.81</v>
      </c>
      <c r="L93" s="72"/>
      <c r="M93" s="73"/>
      <c r="N93" s="73"/>
      <c r="O93" s="73"/>
    </row>
    <row r="94" spans="1:15" ht="15" customHeight="1" x14ac:dyDescent="0.2">
      <c r="A94" s="205">
        <v>924</v>
      </c>
      <c r="B94" s="113">
        <v>924</v>
      </c>
      <c r="C94" s="65">
        <v>1300050653040</v>
      </c>
      <c r="D94" s="205"/>
      <c r="E94" s="113"/>
      <c r="F94" s="65"/>
      <c r="G94" s="66" t="s">
        <v>1306</v>
      </c>
      <c r="H94" s="70"/>
      <c r="I94" s="71">
        <v>927.98</v>
      </c>
      <c r="J94" s="71">
        <v>12.5</v>
      </c>
      <c r="K94" s="71">
        <v>12.5</v>
      </c>
      <c r="L94" s="72"/>
      <c r="M94" s="73"/>
      <c r="N94" s="73"/>
      <c r="O94" s="73"/>
    </row>
    <row r="95" spans="1:15" ht="15" customHeight="1" x14ac:dyDescent="0.2">
      <c r="A95" s="205">
        <v>925</v>
      </c>
      <c r="B95" s="113">
        <v>925</v>
      </c>
      <c r="C95" s="65">
        <v>1300050654220</v>
      </c>
      <c r="D95" s="205"/>
      <c r="E95" s="113"/>
      <c r="F95" s="65"/>
      <c r="G95" s="66" t="s">
        <v>1307</v>
      </c>
      <c r="H95" s="70"/>
      <c r="I95" s="71">
        <v>5415.7</v>
      </c>
      <c r="J95" s="71">
        <v>6.99</v>
      </c>
      <c r="K95" s="71">
        <v>6.99</v>
      </c>
      <c r="L95" s="72"/>
      <c r="M95" s="73"/>
      <c r="N95" s="73"/>
      <c r="O95" s="73"/>
    </row>
    <row r="96" spans="1:15" ht="15" customHeight="1" x14ac:dyDescent="0.2">
      <c r="A96" s="205" t="s">
        <v>1201</v>
      </c>
      <c r="B96" s="113" t="s">
        <v>1201</v>
      </c>
      <c r="C96" s="206" t="s">
        <v>1201</v>
      </c>
      <c r="D96" s="205" t="s">
        <v>1201</v>
      </c>
      <c r="E96" s="113" t="s">
        <v>1201</v>
      </c>
      <c r="F96" s="206" t="s">
        <v>1201</v>
      </c>
      <c r="G96" s="66" t="s">
        <v>1308</v>
      </c>
      <c r="H96" s="70"/>
      <c r="I96" s="71">
        <v>26495.003230893723</v>
      </c>
      <c r="J96" s="71">
        <v>1.77</v>
      </c>
      <c r="K96" s="71">
        <v>1.77</v>
      </c>
      <c r="L96" s="72"/>
      <c r="M96" s="73"/>
      <c r="N96" s="73"/>
      <c r="O96" s="73"/>
    </row>
    <row r="97" spans="1:15" ht="15" customHeight="1" x14ac:dyDescent="0.2">
      <c r="A97" s="205" t="s">
        <v>1202</v>
      </c>
      <c r="B97" s="113" t="s">
        <v>1202</v>
      </c>
      <c r="C97" s="206" t="s">
        <v>1202</v>
      </c>
      <c r="D97" s="205" t="s">
        <v>1202</v>
      </c>
      <c r="E97" s="113" t="s">
        <v>1202</v>
      </c>
      <c r="F97" s="206" t="s">
        <v>1202</v>
      </c>
      <c r="G97" s="66" t="s">
        <v>1309</v>
      </c>
      <c r="H97" s="70"/>
      <c r="I97" s="71">
        <v>4386.0600000000004</v>
      </c>
      <c r="J97" s="71"/>
      <c r="K97" s="71"/>
      <c r="L97" s="72"/>
      <c r="M97" s="73"/>
      <c r="N97" s="73"/>
      <c r="O97" s="73"/>
    </row>
    <row r="98" spans="1:15" ht="15" customHeight="1" x14ac:dyDescent="0.2">
      <c r="A98" s="205" t="s">
        <v>1203</v>
      </c>
      <c r="B98" s="113" t="s">
        <v>1203</v>
      </c>
      <c r="C98" s="206" t="s">
        <v>1203</v>
      </c>
      <c r="D98" s="205"/>
      <c r="E98" s="113"/>
      <c r="F98" s="206"/>
      <c r="G98" s="66" t="s">
        <v>1310</v>
      </c>
      <c r="H98" s="70"/>
      <c r="I98" s="71"/>
      <c r="J98" s="71">
        <v>13.2</v>
      </c>
      <c r="K98" s="71">
        <v>13.2</v>
      </c>
      <c r="L98" s="72"/>
      <c r="M98" s="73"/>
      <c r="N98" s="73"/>
      <c r="O98" s="73"/>
    </row>
    <row r="99" spans="1:15" ht="15" customHeight="1" x14ac:dyDescent="0.2">
      <c r="A99" s="205" t="s">
        <v>1204</v>
      </c>
      <c r="B99" s="113" t="s">
        <v>1204</v>
      </c>
      <c r="C99" s="206" t="s">
        <v>1204</v>
      </c>
      <c r="D99" s="205"/>
      <c r="E99" s="113"/>
      <c r="F99" s="206"/>
      <c r="G99" s="66" t="s">
        <v>1311</v>
      </c>
      <c r="H99" s="70"/>
      <c r="I99" s="71"/>
      <c r="J99" s="71">
        <v>3.9</v>
      </c>
      <c r="K99" s="71">
        <v>3.9</v>
      </c>
      <c r="L99" s="72"/>
      <c r="M99" s="73"/>
      <c r="N99" s="73"/>
      <c r="O99" s="73"/>
    </row>
    <row r="100" spans="1:15" ht="15" customHeight="1" x14ac:dyDescent="0.2">
      <c r="A100" s="205" t="s">
        <v>1205</v>
      </c>
      <c r="B100" s="113" t="s">
        <v>1205</v>
      </c>
      <c r="C100" s="206" t="s">
        <v>1205</v>
      </c>
      <c r="D100" s="205" t="s">
        <v>1205</v>
      </c>
      <c r="E100" s="113" t="s">
        <v>1205</v>
      </c>
      <c r="F100" s="206" t="s">
        <v>1205</v>
      </c>
      <c r="G100" s="66" t="s">
        <v>1218</v>
      </c>
      <c r="H100" s="70"/>
      <c r="I100" s="71"/>
      <c r="J100" s="71">
        <v>5.15</v>
      </c>
      <c r="K100" s="71">
        <v>5.15</v>
      </c>
      <c r="L100" s="72">
        <v>-0.30599999999999999</v>
      </c>
      <c r="M100" s="73"/>
      <c r="N100" s="73">
        <v>0.05</v>
      </c>
      <c r="O100" s="73">
        <v>0.05</v>
      </c>
    </row>
    <row r="101" spans="1:15" ht="15" customHeight="1" x14ac:dyDescent="0.2">
      <c r="A101" s="205"/>
      <c r="B101" s="113"/>
      <c r="C101" s="206"/>
      <c r="D101" s="205" t="s">
        <v>1216</v>
      </c>
      <c r="E101" s="113" t="s">
        <v>1216</v>
      </c>
      <c r="F101" s="206" t="s">
        <v>1216</v>
      </c>
      <c r="G101" s="66" t="s">
        <v>1219</v>
      </c>
      <c r="H101" s="70"/>
      <c r="I101" s="71"/>
      <c r="J101" s="71"/>
      <c r="K101" s="71"/>
      <c r="L101" s="72"/>
      <c r="M101" s="73"/>
      <c r="N101" s="73">
        <v>0.05</v>
      </c>
      <c r="O101" s="73">
        <v>0.05</v>
      </c>
    </row>
    <row r="102" spans="1:15" ht="15" customHeight="1" x14ac:dyDescent="0.2">
      <c r="A102" s="205"/>
      <c r="B102" s="113"/>
      <c r="C102" s="206"/>
      <c r="D102" s="205" t="s">
        <v>1215</v>
      </c>
      <c r="E102" s="113" t="s">
        <v>1215</v>
      </c>
      <c r="F102" s="206" t="s">
        <v>1215</v>
      </c>
      <c r="G102" s="66" t="s">
        <v>1217</v>
      </c>
      <c r="H102" s="70"/>
      <c r="I102" s="71"/>
      <c r="J102" s="71"/>
      <c r="K102" s="71"/>
      <c r="L102" s="72"/>
      <c r="M102" s="73"/>
      <c r="N102" s="73">
        <v>0.05</v>
      </c>
      <c r="O102" s="73">
        <v>0.05</v>
      </c>
    </row>
    <row r="103" spans="1:15" ht="15" customHeight="1" x14ac:dyDescent="0.2">
      <c r="A103" s="205">
        <v>300</v>
      </c>
      <c r="B103" s="113">
        <v>300</v>
      </c>
      <c r="C103" s="65">
        <v>1300035348714</v>
      </c>
      <c r="D103" s="205"/>
      <c r="E103" s="113"/>
      <c r="F103" s="65"/>
      <c r="G103" s="66" t="s">
        <v>1312</v>
      </c>
      <c r="H103" s="70"/>
      <c r="I103" s="71">
        <v>210.51</v>
      </c>
      <c r="J103" s="71">
        <v>2.13</v>
      </c>
      <c r="K103" s="71">
        <v>2.13</v>
      </c>
      <c r="L103" s="72"/>
      <c r="M103" s="73"/>
      <c r="N103" s="73"/>
      <c r="O103" s="73"/>
    </row>
    <row r="104" spans="1:15" ht="15" customHeight="1" x14ac:dyDescent="0.2">
      <c r="A104" s="205">
        <v>301</v>
      </c>
      <c r="B104" s="113">
        <v>301</v>
      </c>
      <c r="C104" s="65">
        <v>1300035349160</v>
      </c>
      <c r="D104" s="205"/>
      <c r="E104" s="113"/>
      <c r="F104" s="65"/>
      <c r="G104" s="66" t="s">
        <v>1313</v>
      </c>
      <c r="H104" s="70"/>
      <c r="I104" s="71">
        <v>210.51</v>
      </c>
      <c r="J104" s="71">
        <v>3.51</v>
      </c>
      <c r="K104" s="71">
        <v>3.51</v>
      </c>
      <c r="L104" s="72"/>
      <c r="M104" s="73"/>
      <c r="N104" s="73"/>
      <c r="O104" s="73"/>
    </row>
    <row r="105" spans="1:15" ht="15" customHeight="1" x14ac:dyDescent="0.2">
      <c r="A105" s="205">
        <v>302</v>
      </c>
      <c r="B105" s="113">
        <v>302</v>
      </c>
      <c r="C105" s="65">
        <v>1300035349461</v>
      </c>
      <c r="D105" s="205"/>
      <c r="E105" s="113"/>
      <c r="F105" s="65"/>
      <c r="G105" s="66" t="s">
        <v>1314</v>
      </c>
      <c r="H105" s="70"/>
      <c r="I105" s="71">
        <v>210.51</v>
      </c>
      <c r="J105" s="71">
        <v>7.77</v>
      </c>
      <c r="K105" s="71">
        <v>7.77</v>
      </c>
      <c r="L105" s="72"/>
      <c r="M105" s="73"/>
      <c r="N105" s="73"/>
      <c r="O105" s="73"/>
    </row>
    <row r="106" spans="1:15" ht="15" customHeight="1" x14ac:dyDescent="0.2">
      <c r="A106" s="205">
        <v>303</v>
      </c>
      <c r="B106" s="113">
        <v>303</v>
      </c>
      <c r="C106" s="65">
        <v>1300035350156</v>
      </c>
      <c r="D106" s="205"/>
      <c r="E106" s="113"/>
      <c r="F106" s="65"/>
      <c r="G106" s="66" t="s">
        <v>1315</v>
      </c>
      <c r="H106" s="70">
        <v>1.2629999999999999</v>
      </c>
      <c r="I106" s="71">
        <v>210.51</v>
      </c>
      <c r="J106" s="71">
        <v>12.87</v>
      </c>
      <c r="K106" s="71">
        <v>12.87</v>
      </c>
      <c r="L106" s="72"/>
      <c r="M106" s="73"/>
      <c r="N106" s="73"/>
      <c r="O106" s="73"/>
    </row>
    <row r="107" spans="1:15" ht="15" customHeight="1" x14ac:dyDescent="0.2">
      <c r="A107" s="205">
        <v>304</v>
      </c>
      <c r="B107" s="113">
        <v>304</v>
      </c>
      <c r="C107" s="65">
        <v>1300035351949</v>
      </c>
      <c r="D107" s="205"/>
      <c r="E107" s="113"/>
      <c r="F107" s="65"/>
      <c r="G107" s="66" t="s">
        <v>1316</v>
      </c>
      <c r="H107" s="70"/>
      <c r="I107" s="71">
        <v>210.51</v>
      </c>
      <c r="J107" s="71">
        <v>5.99</v>
      </c>
      <c r="K107" s="71">
        <v>5.99</v>
      </c>
      <c r="L107" s="72"/>
      <c r="M107" s="73"/>
      <c r="N107" s="73"/>
      <c r="O107" s="73"/>
    </row>
    <row r="108" spans="1:15" ht="15" customHeight="1" x14ac:dyDescent="0.2">
      <c r="A108" s="205">
        <v>305</v>
      </c>
      <c r="B108" s="113">
        <v>305</v>
      </c>
      <c r="C108" s="65">
        <v>1300035351958</v>
      </c>
      <c r="D108" s="205"/>
      <c r="E108" s="113"/>
      <c r="F108" s="65"/>
      <c r="G108" s="66" t="s">
        <v>1317</v>
      </c>
      <c r="H108" s="70"/>
      <c r="I108" s="71">
        <v>210.51</v>
      </c>
      <c r="J108" s="71">
        <v>5.66</v>
      </c>
      <c r="K108" s="71">
        <v>5.66</v>
      </c>
      <c r="L108" s="72"/>
      <c r="M108" s="73"/>
      <c r="N108" s="73"/>
      <c r="O108" s="73"/>
    </row>
    <row r="109" spans="1:15" ht="15" customHeight="1" x14ac:dyDescent="0.2">
      <c r="A109" s="205">
        <v>306</v>
      </c>
      <c r="B109" s="113">
        <v>306</v>
      </c>
      <c r="C109" s="65">
        <v>1300035352214</v>
      </c>
      <c r="D109" s="205"/>
      <c r="E109" s="113"/>
      <c r="F109" s="65"/>
      <c r="G109" s="66" t="s">
        <v>1318</v>
      </c>
      <c r="H109" s="70">
        <v>0.442</v>
      </c>
      <c r="I109" s="71">
        <v>210.51</v>
      </c>
      <c r="J109" s="71">
        <v>2.59</v>
      </c>
      <c r="K109" s="71">
        <v>2.59</v>
      </c>
      <c r="L109" s="72"/>
      <c r="M109" s="73"/>
      <c r="N109" s="73"/>
      <c r="O109" s="73"/>
    </row>
    <row r="110" spans="1:15" ht="15" customHeight="1" x14ac:dyDescent="0.2">
      <c r="A110" s="205">
        <v>307</v>
      </c>
      <c r="B110" s="113">
        <v>307</v>
      </c>
      <c r="C110" s="65">
        <v>1300035352232</v>
      </c>
      <c r="D110" s="205"/>
      <c r="E110" s="113"/>
      <c r="F110" s="65"/>
      <c r="G110" s="66" t="s">
        <v>1319</v>
      </c>
      <c r="H110" s="70">
        <v>0.51100000000000001</v>
      </c>
      <c r="I110" s="71">
        <v>210.51</v>
      </c>
      <c r="J110" s="71">
        <v>2.76</v>
      </c>
      <c r="K110" s="71">
        <v>2.76</v>
      </c>
      <c r="L110" s="72"/>
      <c r="M110" s="73"/>
      <c r="N110" s="73"/>
      <c r="O110" s="73"/>
    </row>
    <row r="111" spans="1:15" ht="15" customHeight="1" x14ac:dyDescent="0.2">
      <c r="A111" s="205">
        <v>308</v>
      </c>
      <c r="B111" s="113">
        <v>308</v>
      </c>
      <c r="C111" s="65">
        <v>1300035353050</v>
      </c>
      <c r="D111" s="205"/>
      <c r="E111" s="113"/>
      <c r="F111" s="65"/>
      <c r="G111" s="66" t="s">
        <v>1320</v>
      </c>
      <c r="H111" s="70"/>
      <c r="I111" s="71">
        <v>210.51</v>
      </c>
      <c r="J111" s="71">
        <v>11.61</v>
      </c>
      <c r="K111" s="71">
        <v>11.61</v>
      </c>
      <c r="L111" s="72"/>
      <c r="M111" s="73"/>
      <c r="N111" s="73"/>
      <c r="O111" s="73"/>
    </row>
    <row r="112" spans="1:15" ht="15" customHeight="1" x14ac:dyDescent="0.2">
      <c r="A112" s="205">
        <v>309</v>
      </c>
      <c r="B112" s="113">
        <v>309</v>
      </c>
      <c r="C112" s="65">
        <v>1300035354346</v>
      </c>
      <c r="D112" s="205"/>
      <c r="E112" s="113"/>
      <c r="F112" s="65"/>
      <c r="G112" s="66" t="s">
        <v>1321</v>
      </c>
      <c r="H112" s="70">
        <v>0.29899999999999999</v>
      </c>
      <c r="I112" s="71">
        <v>210.51</v>
      </c>
      <c r="J112" s="71">
        <v>2.21</v>
      </c>
      <c r="K112" s="71">
        <v>2.21</v>
      </c>
      <c r="L112" s="72"/>
      <c r="M112" s="73"/>
      <c r="N112" s="73"/>
      <c r="O112" s="73"/>
    </row>
    <row r="113" spans="1:15" ht="15" customHeight="1" x14ac:dyDescent="0.2">
      <c r="A113" s="205">
        <v>311</v>
      </c>
      <c r="B113" s="113">
        <v>311</v>
      </c>
      <c r="C113" s="65">
        <v>1300035355526</v>
      </c>
      <c r="D113" s="205"/>
      <c r="E113" s="113"/>
      <c r="F113" s="65"/>
      <c r="G113" s="66" t="s">
        <v>1322</v>
      </c>
      <c r="H113" s="70">
        <v>2.7949999999999999</v>
      </c>
      <c r="I113" s="71">
        <v>210.51</v>
      </c>
      <c r="J113" s="71">
        <v>4.4800000000000004</v>
      </c>
      <c r="K113" s="71">
        <v>4.4800000000000004</v>
      </c>
      <c r="L113" s="72"/>
      <c r="M113" s="73"/>
      <c r="N113" s="73"/>
      <c r="O113" s="73"/>
    </row>
    <row r="114" spans="1:15" ht="15" customHeight="1" x14ac:dyDescent="0.2">
      <c r="A114" s="205">
        <v>314</v>
      </c>
      <c r="B114" s="113">
        <v>314</v>
      </c>
      <c r="C114" s="65">
        <v>1300035359567</v>
      </c>
      <c r="D114" s="205"/>
      <c r="E114" s="113"/>
      <c r="F114" s="65"/>
      <c r="G114" s="66" t="s">
        <v>1323</v>
      </c>
      <c r="H114" s="70">
        <v>0.73299999999999998</v>
      </c>
      <c r="I114" s="71">
        <v>210.51</v>
      </c>
      <c r="J114" s="71">
        <v>9.75</v>
      </c>
      <c r="K114" s="71">
        <v>9.75</v>
      </c>
      <c r="L114" s="72"/>
      <c r="M114" s="73"/>
      <c r="N114" s="73"/>
      <c r="O114" s="73"/>
    </row>
    <row r="115" spans="1:15" ht="15" customHeight="1" x14ac:dyDescent="0.2">
      <c r="A115" s="205">
        <v>315</v>
      </c>
      <c r="B115" s="113">
        <v>315</v>
      </c>
      <c r="C115" s="65">
        <v>1300035359725</v>
      </c>
      <c r="D115" s="205"/>
      <c r="E115" s="113"/>
      <c r="F115" s="65"/>
      <c r="G115" s="66" t="s">
        <v>1324</v>
      </c>
      <c r="H115" s="70">
        <v>0.752</v>
      </c>
      <c r="I115" s="71">
        <v>210.51</v>
      </c>
      <c r="J115" s="71">
        <v>9.2100000000000009</v>
      </c>
      <c r="K115" s="71">
        <v>9.2100000000000009</v>
      </c>
      <c r="L115" s="72"/>
      <c r="M115" s="73"/>
      <c r="N115" s="73"/>
      <c r="O115" s="73"/>
    </row>
    <row r="116" spans="1:15" ht="15" customHeight="1" x14ac:dyDescent="0.2">
      <c r="A116" s="205">
        <v>316</v>
      </c>
      <c r="B116" s="113">
        <v>316</v>
      </c>
      <c r="C116" s="65">
        <v>1300035360386</v>
      </c>
      <c r="D116" s="205"/>
      <c r="E116" s="113"/>
      <c r="F116" s="65"/>
      <c r="G116" s="66" t="s">
        <v>1325</v>
      </c>
      <c r="H116" s="70"/>
      <c r="I116" s="71">
        <v>210.51</v>
      </c>
      <c r="J116" s="71">
        <v>4.22</v>
      </c>
      <c r="K116" s="71">
        <v>4.22</v>
      </c>
      <c r="L116" s="72"/>
      <c r="M116" s="73"/>
      <c r="N116" s="73"/>
      <c r="O116" s="73"/>
    </row>
    <row r="117" spans="1:15" ht="15" customHeight="1" x14ac:dyDescent="0.2">
      <c r="A117" s="205">
        <v>317</v>
      </c>
      <c r="B117" s="113">
        <v>317</v>
      </c>
      <c r="C117" s="65">
        <v>1300035360632</v>
      </c>
      <c r="D117" s="205"/>
      <c r="E117" s="113"/>
      <c r="F117" s="65"/>
      <c r="G117" s="66" t="s">
        <v>1326</v>
      </c>
      <c r="H117" s="70"/>
      <c r="I117" s="71">
        <v>210.51</v>
      </c>
      <c r="J117" s="71">
        <v>9.64</v>
      </c>
      <c r="K117" s="71">
        <v>9.64</v>
      </c>
      <c r="L117" s="72"/>
      <c r="M117" s="73"/>
      <c r="N117" s="73"/>
      <c r="O117" s="73"/>
    </row>
    <row r="118" spans="1:15" ht="15" customHeight="1" x14ac:dyDescent="0.2">
      <c r="A118" s="205">
        <v>318</v>
      </c>
      <c r="B118" s="113">
        <v>318</v>
      </c>
      <c r="C118" s="65">
        <v>1300035360952</v>
      </c>
      <c r="D118" s="205"/>
      <c r="E118" s="113"/>
      <c r="F118" s="65"/>
      <c r="G118" s="66" t="s">
        <v>1327</v>
      </c>
      <c r="H118" s="70"/>
      <c r="I118" s="71">
        <v>210.51</v>
      </c>
      <c r="J118" s="71">
        <v>7.47</v>
      </c>
      <c r="K118" s="71">
        <v>7.47</v>
      </c>
      <c r="L118" s="72"/>
      <c r="M118" s="73"/>
      <c r="N118" s="73"/>
      <c r="O118" s="73"/>
    </row>
    <row r="119" spans="1:15" ht="15" customHeight="1" x14ac:dyDescent="0.2">
      <c r="A119" s="205">
        <v>319</v>
      </c>
      <c r="B119" s="113">
        <v>319</v>
      </c>
      <c r="C119" s="65">
        <v>1300035362719</v>
      </c>
      <c r="D119" s="205"/>
      <c r="E119" s="113"/>
      <c r="F119" s="65"/>
      <c r="G119" s="66" t="s">
        <v>1328</v>
      </c>
      <c r="H119" s="70">
        <v>0.80100000000000005</v>
      </c>
      <c r="I119" s="71">
        <v>210.51</v>
      </c>
      <c r="J119" s="71">
        <v>10.23</v>
      </c>
      <c r="K119" s="71">
        <v>10.23</v>
      </c>
      <c r="L119" s="72"/>
      <c r="M119" s="73"/>
      <c r="N119" s="73"/>
      <c r="O119" s="73"/>
    </row>
    <row r="120" spans="1:15" ht="15" customHeight="1" x14ac:dyDescent="0.2">
      <c r="A120" s="205">
        <v>320</v>
      </c>
      <c r="B120" s="113">
        <v>320</v>
      </c>
      <c r="C120" s="65">
        <v>1300035363002</v>
      </c>
      <c r="D120" s="205"/>
      <c r="E120" s="113"/>
      <c r="F120" s="65"/>
      <c r="G120" s="66" t="s">
        <v>1329</v>
      </c>
      <c r="H120" s="70">
        <v>0.91900000000000004</v>
      </c>
      <c r="I120" s="71">
        <v>1138.6300000000001</v>
      </c>
      <c r="J120" s="71">
        <v>4.0599999999999996</v>
      </c>
      <c r="K120" s="71">
        <v>4.0599999999999996</v>
      </c>
      <c r="L120" s="72"/>
      <c r="M120" s="73"/>
      <c r="N120" s="73"/>
      <c r="O120" s="73"/>
    </row>
    <row r="121" spans="1:15" ht="15" customHeight="1" x14ac:dyDescent="0.2">
      <c r="A121" s="205">
        <v>321</v>
      </c>
      <c r="B121" s="113">
        <v>321</v>
      </c>
      <c r="C121" s="65">
        <v>1300035364619</v>
      </c>
      <c r="D121" s="205"/>
      <c r="E121" s="113"/>
      <c r="F121" s="65"/>
      <c r="G121" s="66" t="s">
        <v>1330</v>
      </c>
      <c r="H121" s="70">
        <v>0.9</v>
      </c>
      <c r="I121" s="71">
        <v>1856.25</v>
      </c>
      <c r="J121" s="71">
        <v>5.07</v>
      </c>
      <c r="K121" s="71">
        <v>5.07</v>
      </c>
      <c r="L121" s="72"/>
      <c r="M121" s="73"/>
      <c r="N121" s="73"/>
      <c r="O121" s="73"/>
    </row>
    <row r="122" spans="1:15" ht="15" customHeight="1" x14ac:dyDescent="0.2">
      <c r="A122" s="205">
        <v>322</v>
      </c>
      <c r="B122" s="113">
        <v>322</v>
      </c>
      <c r="C122" s="65">
        <v>1300035364707</v>
      </c>
      <c r="D122" s="205">
        <v>700</v>
      </c>
      <c r="E122" s="113">
        <v>700</v>
      </c>
      <c r="F122" s="65">
        <v>1300060416993</v>
      </c>
      <c r="G122" s="66" t="s">
        <v>1331</v>
      </c>
      <c r="H122" s="70">
        <v>0.89500000000000002</v>
      </c>
      <c r="I122" s="71">
        <v>210.51</v>
      </c>
      <c r="J122" s="71">
        <v>6.93</v>
      </c>
      <c r="K122" s="71">
        <v>6.93</v>
      </c>
      <c r="L122" s="72"/>
      <c r="M122" s="73">
        <v>105.25</v>
      </c>
      <c r="N122" s="73">
        <v>0.05</v>
      </c>
      <c r="O122" s="73">
        <v>0.05</v>
      </c>
    </row>
    <row r="123" spans="1:15" ht="15" customHeight="1" x14ac:dyDescent="0.2">
      <c r="A123" s="205">
        <v>323</v>
      </c>
      <c r="B123" s="113">
        <v>323</v>
      </c>
      <c r="C123" s="65">
        <v>1300035366379</v>
      </c>
      <c r="D123" s="205"/>
      <c r="E123" s="113"/>
      <c r="F123" s="65"/>
      <c r="G123" s="66" t="s">
        <v>1332</v>
      </c>
      <c r="H123" s="70">
        <v>1.8540000000000001</v>
      </c>
      <c r="I123" s="71">
        <v>105.25</v>
      </c>
      <c r="J123" s="71">
        <v>4.1100000000000003</v>
      </c>
      <c r="K123" s="71">
        <v>4.1100000000000003</v>
      </c>
      <c r="L123" s="72"/>
      <c r="M123" s="73"/>
      <c r="N123" s="73"/>
      <c r="O123" s="73"/>
    </row>
    <row r="124" spans="1:15" ht="15" customHeight="1" x14ac:dyDescent="0.2">
      <c r="A124" s="205">
        <v>324</v>
      </c>
      <c r="B124" s="113">
        <v>324</v>
      </c>
      <c r="C124" s="65">
        <v>1300035369760</v>
      </c>
      <c r="D124" s="205"/>
      <c r="E124" s="113"/>
      <c r="F124" s="65"/>
      <c r="G124" s="66" t="s">
        <v>1333</v>
      </c>
      <c r="H124" s="70">
        <v>0.24399999999999999</v>
      </c>
      <c r="I124" s="71">
        <v>210.51</v>
      </c>
      <c r="J124" s="71">
        <v>10.199999999999999</v>
      </c>
      <c r="K124" s="71">
        <v>10.199999999999999</v>
      </c>
      <c r="L124" s="72"/>
      <c r="M124" s="73"/>
      <c r="N124" s="73"/>
      <c r="O124" s="73"/>
    </row>
    <row r="125" spans="1:15" ht="15" customHeight="1" x14ac:dyDescent="0.2">
      <c r="A125" s="205">
        <v>325</v>
      </c>
      <c r="B125" s="113">
        <v>325</v>
      </c>
      <c r="C125" s="65">
        <v>1300051555440</v>
      </c>
      <c r="D125" s="205"/>
      <c r="E125" s="113"/>
      <c r="F125" s="65"/>
      <c r="G125" s="66" t="s">
        <v>1334</v>
      </c>
      <c r="H125" s="70">
        <v>2.0419999999999998</v>
      </c>
      <c r="I125" s="71">
        <v>210.51</v>
      </c>
      <c r="J125" s="71">
        <v>14.35</v>
      </c>
      <c r="K125" s="71">
        <v>14.35</v>
      </c>
      <c r="L125" s="72"/>
      <c r="M125" s="73"/>
      <c r="N125" s="73"/>
      <c r="O125" s="73"/>
    </row>
    <row r="126" spans="1:15" ht="15" customHeight="1" x14ac:dyDescent="0.2">
      <c r="A126" s="205">
        <v>326</v>
      </c>
      <c r="B126" s="113">
        <v>326</v>
      </c>
      <c r="C126" s="65">
        <v>1300052619849</v>
      </c>
      <c r="D126" s="205"/>
      <c r="E126" s="113"/>
      <c r="F126" s="65"/>
      <c r="G126" s="66" t="s">
        <v>1335</v>
      </c>
      <c r="H126" s="70">
        <v>0.89800000000000002</v>
      </c>
      <c r="I126" s="71">
        <v>210.51</v>
      </c>
      <c r="J126" s="71">
        <v>5.51</v>
      </c>
      <c r="K126" s="71">
        <v>5.51</v>
      </c>
      <c r="L126" s="72"/>
      <c r="M126" s="73"/>
      <c r="N126" s="73"/>
      <c r="O126" s="73"/>
    </row>
    <row r="127" spans="1:15" ht="15" customHeight="1" x14ac:dyDescent="0.2">
      <c r="A127" s="205">
        <v>328</v>
      </c>
      <c r="B127" s="113">
        <v>328</v>
      </c>
      <c r="C127" s="65">
        <v>1300035348662</v>
      </c>
      <c r="D127" s="205"/>
      <c r="E127" s="113"/>
      <c r="F127" s="65"/>
      <c r="G127" s="66" t="s">
        <v>1336</v>
      </c>
      <c r="H127" s="70"/>
      <c r="I127" s="71">
        <v>210.51</v>
      </c>
      <c r="J127" s="71">
        <v>7.92</v>
      </c>
      <c r="K127" s="71">
        <v>7.92</v>
      </c>
      <c r="L127" s="72"/>
      <c r="M127" s="73"/>
      <c r="N127" s="73"/>
      <c r="O127" s="73"/>
    </row>
    <row r="128" spans="1:15" ht="15" customHeight="1" x14ac:dyDescent="0.2">
      <c r="A128" s="205">
        <v>329</v>
      </c>
      <c r="B128" s="113">
        <v>329</v>
      </c>
      <c r="C128" s="65">
        <v>1300035349035</v>
      </c>
      <c r="D128" s="205"/>
      <c r="E128" s="113"/>
      <c r="F128" s="65"/>
      <c r="G128" s="66" t="s">
        <v>1337</v>
      </c>
      <c r="H128" s="70"/>
      <c r="I128" s="71">
        <v>210.51</v>
      </c>
      <c r="J128" s="71">
        <v>7.56</v>
      </c>
      <c r="K128" s="71">
        <v>7.56</v>
      </c>
      <c r="L128" s="72"/>
      <c r="M128" s="73"/>
      <c r="N128" s="73"/>
      <c r="O128" s="73"/>
    </row>
    <row r="129" spans="1:15" ht="15" customHeight="1" x14ac:dyDescent="0.2">
      <c r="A129" s="205">
        <v>330</v>
      </c>
      <c r="B129" s="113">
        <v>330</v>
      </c>
      <c r="C129" s="65">
        <v>1300035349044</v>
      </c>
      <c r="D129" s="205"/>
      <c r="E129" s="113"/>
      <c r="F129" s="65"/>
      <c r="G129" s="66" t="s">
        <v>1338</v>
      </c>
      <c r="H129" s="70"/>
      <c r="I129" s="71">
        <v>2066.75</v>
      </c>
      <c r="J129" s="71">
        <v>3.07</v>
      </c>
      <c r="K129" s="71">
        <v>3.07</v>
      </c>
      <c r="L129" s="72"/>
      <c r="M129" s="73"/>
      <c r="N129" s="73"/>
      <c r="O129" s="73"/>
    </row>
    <row r="130" spans="1:15" ht="15" customHeight="1" x14ac:dyDescent="0.2">
      <c r="A130" s="205">
        <v>331</v>
      </c>
      <c r="B130" s="113">
        <v>331</v>
      </c>
      <c r="C130" s="65">
        <v>1300035349114</v>
      </c>
      <c r="D130" s="205"/>
      <c r="E130" s="113"/>
      <c r="F130" s="65"/>
      <c r="G130" s="66" t="s">
        <v>1339</v>
      </c>
      <c r="H130" s="70"/>
      <c r="I130" s="71">
        <v>210.51</v>
      </c>
      <c r="J130" s="71">
        <v>2.2999999999999998</v>
      </c>
      <c r="K130" s="71">
        <v>2.2999999999999998</v>
      </c>
      <c r="L130" s="72"/>
      <c r="M130" s="73"/>
      <c r="N130" s="73"/>
      <c r="O130" s="73"/>
    </row>
    <row r="131" spans="1:15" ht="15" customHeight="1" x14ac:dyDescent="0.2">
      <c r="A131" s="205">
        <v>333</v>
      </c>
      <c r="B131" s="113">
        <v>333</v>
      </c>
      <c r="C131" s="65">
        <v>1300035349346</v>
      </c>
      <c r="D131" s="205"/>
      <c r="E131" s="113"/>
      <c r="F131" s="65"/>
      <c r="G131" s="66" t="s">
        <v>1340</v>
      </c>
      <c r="H131" s="70"/>
      <c r="I131" s="71">
        <v>210.51</v>
      </c>
      <c r="J131" s="71">
        <v>6.04</v>
      </c>
      <c r="K131" s="71">
        <v>6.04</v>
      </c>
      <c r="L131" s="72"/>
      <c r="M131" s="73"/>
      <c r="N131" s="73"/>
      <c r="O131" s="73"/>
    </row>
    <row r="132" spans="1:15" ht="15" customHeight="1" x14ac:dyDescent="0.2">
      <c r="A132" s="205">
        <v>334</v>
      </c>
      <c r="B132" s="113">
        <v>334</v>
      </c>
      <c r="C132" s="65">
        <v>1300035349355</v>
      </c>
      <c r="D132" s="205"/>
      <c r="E132" s="113"/>
      <c r="F132" s="65"/>
      <c r="G132" s="66" t="s">
        <v>1341</v>
      </c>
      <c r="H132" s="70"/>
      <c r="I132" s="71">
        <v>210.51</v>
      </c>
      <c r="J132" s="71">
        <v>2.68</v>
      </c>
      <c r="K132" s="71">
        <v>2.68</v>
      </c>
      <c r="L132" s="72"/>
      <c r="M132" s="73"/>
      <c r="N132" s="73"/>
      <c r="O132" s="73"/>
    </row>
    <row r="133" spans="1:15" ht="15" customHeight="1" x14ac:dyDescent="0.2">
      <c r="A133" s="205">
        <v>335</v>
      </c>
      <c r="B133" s="113">
        <v>335</v>
      </c>
      <c r="C133" s="65">
        <v>1300035349639</v>
      </c>
      <c r="D133" s="205"/>
      <c r="E133" s="113"/>
      <c r="F133" s="65"/>
      <c r="G133" s="66" t="s">
        <v>1342</v>
      </c>
      <c r="H133" s="70"/>
      <c r="I133" s="71">
        <v>210.51</v>
      </c>
      <c r="J133" s="71">
        <v>6.76</v>
      </c>
      <c r="K133" s="71">
        <v>6.76</v>
      </c>
      <c r="L133" s="72"/>
      <c r="M133" s="73"/>
      <c r="N133" s="73"/>
      <c r="O133" s="73"/>
    </row>
    <row r="134" spans="1:15" ht="15" customHeight="1" x14ac:dyDescent="0.2">
      <c r="A134" s="205">
        <v>337</v>
      </c>
      <c r="B134" s="113">
        <v>337</v>
      </c>
      <c r="C134" s="65">
        <v>1300035350680</v>
      </c>
      <c r="D134" s="205"/>
      <c r="E134" s="113"/>
      <c r="F134" s="65"/>
      <c r="G134" s="66" t="s">
        <v>1343</v>
      </c>
      <c r="H134" s="70"/>
      <c r="I134" s="71">
        <v>210.51</v>
      </c>
      <c r="J134" s="71">
        <v>3.84</v>
      </c>
      <c r="K134" s="71">
        <v>3.84</v>
      </c>
      <c r="L134" s="72"/>
      <c r="M134" s="73"/>
      <c r="N134" s="73"/>
      <c r="O134" s="73"/>
    </row>
    <row r="135" spans="1:15" ht="15" customHeight="1" x14ac:dyDescent="0.2">
      <c r="A135" s="205">
        <v>338</v>
      </c>
      <c r="B135" s="113">
        <v>338</v>
      </c>
      <c r="C135" s="65">
        <v>1300035351248</v>
      </c>
      <c r="D135" s="205"/>
      <c r="E135" s="113"/>
      <c r="F135" s="65"/>
      <c r="G135" s="66" t="s">
        <v>1344</v>
      </c>
      <c r="H135" s="70">
        <v>0.53400000000000003</v>
      </c>
      <c r="I135" s="71">
        <v>210.51</v>
      </c>
      <c r="J135" s="71">
        <v>4.72</v>
      </c>
      <c r="K135" s="71">
        <v>4.72</v>
      </c>
      <c r="L135" s="72"/>
      <c r="M135" s="73"/>
      <c r="N135" s="73"/>
      <c r="O135" s="73"/>
    </row>
    <row r="136" spans="1:15" ht="15" customHeight="1" x14ac:dyDescent="0.2">
      <c r="A136" s="205">
        <v>339</v>
      </c>
      <c r="B136" s="113">
        <v>339</v>
      </c>
      <c r="C136" s="65">
        <v>1300035351735</v>
      </c>
      <c r="D136" s="205"/>
      <c r="E136" s="113"/>
      <c r="F136" s="65"/>
      <c r="G136" s="66" t="s">
        <v>1345</v>
      </c>
      <c r="H136" s="70"/>
      <c r="I136" s="71">
        <v>210.51</v>
      </c>
      <c r="J136" s="71">
        <v>3.14</v>
      </c>
      <c r="K136" s="71">
        <v>3.14</v>
      </c>
      <c r="L136" s="72"/>
      <c r="M136" s="73"/>
      <c r="N136" s="73"/>
      <c r="O136" s="73"/>
    </row>
    <row r="137" spans="1:15" ht="15" customHeight="1" x14ac:dyDescent="0.2">
      <c r="A137" s="205">
        <v>340</v>
      </c>
      <c r="B137" s="113">
        <v>340</v>
      </c>
      <c r="C137" s="65">
        <v>1300035351967</v>
      </c>
      <c r="D137" s="205"/>
      <c r="E137" s="113"/>
      <c r="F137" s="65"/>
      <c r="G137" s="66" t="s">
        <v>1346</v>
      </c>
      <c r="H137" s="70"/>
      <c r="I137" s="71">
        <v>210.51</v>
      </c>
      <c r="J137" s="71">
        <v>6.25</v>
      </c>
      <c r="K137" s="71">
        <v>6.25</v>
      </c>
      <c r="L137" s="72"/>
      <c r="M137" s="73"/>
      <c r="N137" s="73"/>
      <c r="O137" s="73"/>
    </row>
    <row r="138" spans="1:15" ht="15" customHeight="1" x14ac:dyDescent="0.2">
      <c r="A138" s="205">
        <v>341</v>
      </c>
      <c r="B138" s="113">
        <v>341</v>
      </c>
      <c r="C138" s="65">
        <v>1300035352739</v>
      </c>
      <c r="D138" s="205"/>
      <c r="E138" s="113"/>
      <c r="F138" s="65"/>
      <c r="G138" s="66" t="s">
        <v>1194</v>
      </c>
      <c r="H138" s="70"/>
      <c r="I138" s="71">
        <v>210.51</v>
      </c>
      <c r="J138" s="71">
        <v>5.77</v>
      </c>
      <c r="K138" s="71">
        <v>5.77</v>
      </c>
      <c r="L138" s="72"/>
      <c r="M138" s="73"/>
      <c r="N138" s="73"/>
      <c r="O138" s="73"/>
    </row>
    <row r="139" spans="1:15" ht="15" customHeight="1" x14ac:dyDescent="0.2">
      <c r="A139" s="205">
        <v>343</v>
      </c>
      <c r="B139" s="113">
        <v>343</v>
      </c>
      <c r="C139" s="65">
        <v>1300035352970</v>
      </c>
      <c r="D139" s="205"/>
      <c r="E139" s="113"/>
      <c r="F139" s="65"/>
      <c r="G139" s="66" t="s">
        <v>1347</v>
      </c>
      <c r="H139" s="70"/>
      <c r="I139" s="71">
        <v>210.51</v>
      </c>
      <c r="J139" s="71">
        <v>10.79</v>
      </c>
      <c r="K139" s="71">
        <v>10.79</v>
      </c>
      <c r="L139" s="72"/>
      <c r="M139" s="73"/>
      <c r="N139" s="73"/>
      <c r="O139" s="73"/>
    </row>
    <row r="140" spans="1:15" ht="15" customHeight="1" x14ac:dyDescent="0.2">
      <c r="A140" s="205">
        <v>344</v>
      </c>
      <c r="B140" s="113">
        <v>344</v>
      </c>
      <c r="C140" s="65">
        <v>1300035354179</v>
      </c>
      <c r="D140" s="205"/>
      <c r="E140" s="113"/>
      <c r="F140" s="65"/>
      <c r="G140" s="66" t="s">
        <v>1348</v>
      </c>
      <c r="H140" s="70"/>
      <c r="I140" s="71">
        <v>210.51</v>
      </c>
      <c r="J140" s="71">
        <v>9.0500000000000007</v>
      </c>
      <c r="K140" s="71">
        <v>9.0500000000000007</v>
      </c>
      <c r="L140" s="72"/>
      <c r="M140" s="73"/>
      <c r="N140" s="73"/>
      <c r="O140" s="73"/>
    </row>
    <row r="141" spans="1:15" ht="15" customHeight="1" x14ac:dyDescent="0.2">
      <c r="A141" s="205">
        <v>345</v>
      </c>
      <c r="B141" s="113">
        <v>345</v>
      </c>
      <c r="C141" s="65">
        <v>1300035354986</v>
      </c>
      <c r="D141" s="205"/>
      <c r="E141" s="113"/>
      <c r="F141" s="65"/>
      <c r="G141" s="66" t="s">
        <v>1349</v>
      </c>
      <c r="H141" s="70">
        <v>2.9750000000000001</v>
      </c>
      <c r="I141" s="71">
        <v>210.51</v>
      </c>
      <c r="J141" s="71">
        <v>10.94</v>
      </c>
      <c r="K141" s="71">
        <v>10.94</v>
      </c>
      <c r="L141" s="72"/>
      <c r="M141" s="73"/>
      <c r="N141" s="73"/>
      <c r="O141" s="73"/>
    </row>
    <row r="142" spans="1:15" ht="15" customHeight="1" x14ac:dyDescent="0.2">
      <c r="A142" s="205">
        <v>346</v>
      </c>
      <c r="B142" s="113">
        <v>346</v>
      </c>
      <c r="C142" s="65">
        <v>1300035355118</v>
      </c>
      <c r="D142" s="205"/>
      <c r="E142" s="113"/>
      <c r="F142" s="65"/>
      <c r="G142" s="66" t="s">
        <v>1350</v>
      </c>
      <c r="H142" s="70">
        <v>2.996</v>
      </c>
      <c r="I142" s="71">
        <v>315.76</v>
      </c>
      <c r="J142" s="71">
        <v>7.13</v>
      </c>
      <c r="K142" s="71">
        <v>7.13</v>
      </c>
      <c r="L142" s="72"/>
      <c r="M142" s="73"/>
      <c r="N142" s="73"/>
      <c r="O142" s="73"/>
    </row>
    <row r="143" spans="1:15" ht="15" customHeight="1" x14ac:dyDescent="0.2">
      <c r="A143" s="205">
        <v>347</v>
      </c>
      <c r="B143" s="113">
        <v>347</v>
      </c>
      <c r="C143" s="65">
        <v>1300035355136</v>
      </c>
      <c r="D143" s="205"/>
      <c r="E143" s="113"/>
      <c r="F143" s="65"/>
      <c r="G143" s="66" t="s">
        <v>1351</v>
      </c>
      <c r="H143" s="70">
        <v>2.9279999999999999</v>
      </c>
      <c r="I143" s="71">
        <v>3100.13</v>
      </c>
      <c r="J143" s="71">
        <v>8.9700000000000006</v>
      </c>
      <c r="K143" s="71">
        <v>8.9700000000000006</v>
      </c>
      <c r="L143" s="72"/>
      <c r="M143" s="73"/>
      <c r="N143" s="73"/>
      <c r="O143" s="73"/>
    </row>
    <row r="144" spans="1:15" ht="15" customHeight="1" x14ac:dyDescent="0.2">
      <c r="A144" s="205">
        <v>348</v>
      </c>
      <c r="B144" s="113">
        <v>348</v>
      </c>
      <c r="C144" s="65">
        <v>1300035355749</v>
      </c>
      <c r="D144" s="205"/>
      <c r="E144" s="113"/>
      <c r="F144" s="65"/>
      <c r="G144" s="66" t="s">
        <v>1352</v>
      </c>
      <c r="H144" s="70">
        <v>0.88200000000000001</v>
      </c>
      <c r="I144" s="71">
        <v>210.51</v>
      </c>
      <c r="J144" s="71">
        <v>10.37</v>
      </c>
      <c r="K144" s="71">
        <v>10.37</v>
      </c>
      <c r="L144" s="72"/>
      <c r="M144" s="73"/>
      <c r="N144" s="73"/>
      <c r="O144" s="73"/>
    </row>
    <row r="145" spans="1:15" ht="15" customHeight="1" x14ac:dyDescent="0.2">
      <c r="A145" s="205">
        <v>349</v>
      </c>
      <c r="B145" s="113">
        <v>349</v>
      </c>
      <c r="C145" s="65">
        <v>1300035355837</v>
      </c>
      <c r="D145" s="205"/>
      <c r="E145" s="113"/>
      <c r="F145" s="65"/>
      <c r="G145" s="66" t="s">
        <v>1353</v>
      </c>
      <c r="H145" s="70">
        <v>0.94299999999999995</v>
      </c>
      <c r="I145" s="71">
        <v>210.51</v>
      </c>
      <c r="J145" s="71">
        <v>6.32</v>
      </c>
      <c r="K145" s="71">
        <v>6.32</v>
      </c>
      <c r="L145" s="72"/>
      <c r="M145" s="73"/>
      <c r="N145" s="73"/>
      <c r="O145" s="73"/>
    </row>
    <row r="146" spans="1:15" ht="15" customHeight="1" x14ac:dyDescent="0.2">
      <c r="A146" s="205">
        <v>350</v>
      </c>
      <c r="B146" s="113">
        <v>350</v>
      </c>
      <c r="C146" s="65">
        <v>1300035355970</v>
      </c>
      <c r="D146" s="205"/>
      <c r="E146" s="113"/>
      <c r="F146" s="65"/>
      <c r="G146" s="66" t="s">
        <v>1354</v>
      </c>
      <c r="H146" s="70">
        <v>1</v>
      </c>
      <c r="I146" s="71">
        <v>210.51</v>
      </c>
      <c r="J146" s="71">
        <v>15.06</v>
      </c>
      <c r="K146" s="71">
        <v>15.06</v>
      </c>
      <c r="L146" s="72"/>
      <c r="M146" s="73"/>
      <c r="N146" s="73"/>
      <c r="O146" s="73"/>
    </row>
    <row r="147" spans="1:15" ht="15" customHeight="1" x14ac:dyDescent="0.2">
      <c r="A147" s="205">
        <v>351</v>
      </c>
      <c r="B147" s="113">
        <v>351</v>
      </c>
      <c r="C147" s="65">
        <v>1300035356194</v>
      </c>
      <c r="D147" s="205"/>
      <c r="E147" s="113"/>
      <c r="F147" s="65"/>
      <c r="G147" s="66" t="s">
        <v>1355</v>
      </c>
      <c r="H147" s="70">
        <v>1.01</v>
      </c>
      <c r="I147" s="71">
        <v>210.51</v>
      </c>
      <c r="J147" s="71">
        <v>11.36</v>
      </c>
      <c r="K147" s="71">
        <v>11.36</v>
      </c>
      <c r="L147" s="72"/>
      <c r="M147" s="73"/>
      <c r="N147" s="73"/>
      <c r="O147" s="73"/>
    </row>
    <row r="148" spans="1:15" ht="15" customHeight="1" x14ac:dyDescent="0.2">
      <c r="A148" s="205">
        <v>352</v>
      </c>
      <c r="B148" s="113">
        <v>352</v>
      </c>
      <c r="C148" s="65">
        <v>1300035356380</v>
      </c>
      <c r="D148" s="205"/>
      <c r="E148" s="113"/>
      <c r="F148" s="65"/>
      <c r="G148" s="66" t="s">
        <v>1356</v>
      </c>
      <c r="H148" s="70"/>
      <c r="I148" s="71">
        <v>210.51</v>
      </c>
      <c r="J148" s="71">
        <v>5.85</v>
      </c>
      <c r="K148" s="71">
        <v>5.85</v>
      </c>
      <c r="L148" s="72"/>
      <c r="M148" s="73"/>
      <c r="N148" s="73"/>
      <c r="O148" s="73"/>
    </row>
    <row r="149" spans="1:15" ht="15" customHeight="1" x14ac:dyDescent="0.2">
      <c r="A149" s="205">
        <v>353</v>
      </c>
      <c r="B149" s="113">
        <v>353</v>
      </c>
      <c r="C149" s="65">
        <v>1300035356724</v>
      </c>
      <c r="D149" s="205"/>
      <c r="E149" s="113"/>
      <c r="F149" s="65"/>
      <c r="G149" s="66" t="s">
        <v>1357</v>
      </c>
      <c r="H149" s="70"/>
      <c r="I149" s="71">
        <v>3923</v>
      </c>
      <c r="J149" s="71">
        <v>12.15</v>
      </c>
      <c r="K149" s="71">
        <v>12.15</v>
      </c>
      <c r="L149" s="72"/>
      <c r="M149" s="73"/>
      <c r="N149" s="73"/>
      <c r="O149" s="73"/>
    </row>
    <row r="150" spans="1:15" ht="15" customHeight="1" x14ac:dyDescent="0.2">
      <c r="A150" s="205">
        <v>354</v>
      </c>
      <c r="B150" s="113">
        <v>354</v>
      </c>
      <c r="C150" s="65">
        <v>1300035356770</v>
      </c>
      <c r="D150" s="205"/>
      <c r="E150" s="113"/>
      <c r="F150" s="65"/>
      <c r="G150" s="66" t="s">
        <v>1358</v>
      </c>
      <c r="H150" s="70">
        <v>0.29899999999999999</v>
      </c>
      <c r="I150" s="71">
        <v>210.51</v>
      </c>
      <c r="J150" s="71">
        <v>11.02</v>
      </c>
      <c r="K150" s="71">
        <v>11.02</v>
      </c>
      <c r="L150" s="72"/>
      <c r="M150" s="73"/>
      <c r="N150" s="73"/>
      <c r="O150" s="73"/>
    </row>
    <row r="151" spans="1:15" ht="15" customHeight="1" x14ac:dyDescent="0.2">
      <c r="A151" s="205">
        <v>356</v>
      </c>
      <c r="B151" s="113">
        <v>356</v>
      </c>
      <c r="C151" s="65">
        <v>1300035357009</v>
      </c>
      <c r="D151" s="205"/>
      <c r="E151" s="113"/>
      <c r="F151" s="65"/>
      <c r="G151" s="66" t="s">
        <v>1359</v>
      </c>
      <c r="H151" s="70">
        <v>0.27700000000000002</v>
      </c>
      <c r="I151" s="71">
        <v>210.51</v>
      </c>
      <c r="J151" s="71">
        <v>5.03</v>
      </c>
      <c r="K151" s="71">
        <v>5.03</v>
      </c>
      <c r="L151" s="72"/>
      <c r="M151" s="73"/>
      <c r="N151" s="73"/>
      <c r="O151" s="73"/>
    </row>
    <row r="152" spans="1:15" ht="15" customHeight="1" x14ac:dyDescent="0.2">
      <c r="A152" s="205">
        <v>358</v>
      </c>
      <c r="B152" s="113">
        <v>358</v>
      </c>
      <c r="C152" s="65">
        <v>1300035359600</v>
      </c>
      <c r="D152" s="205"/>
      <c r="E152" s="113"/>
      <c r="F152" s="65"/>
      <c r="G152" s="66" t="s">
        <v>1360</v>
      </c>
      <c r="H152" s="70">
        <v>0.249</v>
      </c>
      <c r="I152" s="71">
        <v>210.51</v>
      </c>
      <c r="J152" s="71">
        <v>6.69</v>
      </c>
      <c r="K152" s="71">
        <v>6.69</v>
      </c>
      <c r="L152" s="72"/>
      <c r="M152" s="73"/>
      <c r="N152" s="73"/>
      <c r="O152" s="73"/>
    </row>
    <row r="153" spans="1:15" ht="15" customHeight="1" x14ac:dyDescent="0.2">
      <c r="A153" s="205">
        <v>359</v>
      </c>
      <c r="B153" s="113">
        <v>359</v>
      </c>
      <c r="C153" s="65">
        <v>1300035359673</v>
      </c>
      <c r="D153" s="205"/>
      <c r="E153" s="113"/>
      <c r="F153" s="65"/>
      <c r="G153" s="66" t="s">
        <v>1361</v>
      </c>
      <c r="H153" s="70">
        <v>0.27</v>
      </c>
      <c r="I153" s="71">
        <v>210.51</v>
      </c>
      <c r="J153" s="71">
        <v>4.2</v>
      </c>
      <c r="K153" s="71">
        <v>4.2</v>
      </c>
      <c r="L153" s="72"/>
      <c r="M153" s="73"/>
      <c r="N153" s="73"/>
      <c r="O153" s="73"/>
    </row>
    <row r="154" spans="1:15" ht="15" customHeight="1" x14ac:dyDescent="0.2">
      <c r="A154" s="205">
        <v>360</v>
      </c>
      <c r="B154" s="113">
        <v>360</v>
      </c>
      <c r="C154" s="65">
        <v>1300035359799</v>
      </c>
      <c r="D154" s="205"/>
      <c r="E154" s="113"/>
      <c r="F154" s="65"/>
      <c r="G154" s="66" t="s">
        <v>1362</v>
      </c>
      <c r="H154" s="70">
        <v>0.28000000000000003</v>
      </c>
      <c r="I154" s="71">
        <v>210.51</v>
      </c>
      <c r="J154" s="71">
        <v>6.03</v>
      </c>
      <c r="K154" s="71">
        <v>6.03</v>
      </c>
      <c r="L154" s="72"/>
      <c r="M154" s="73"/>
      <c r="N154" s="73"/>
      <c r="O154" s="73"/>
    </row>
    <row r="155" spans="1:15" ht="15" customHeight="1" x14ac:dyDescent="0.2">
      <c r="A155" s="205">
        <v>361</v>
      </c>
      <c r="B155" s="113">
        <v>361</v>
      </c>
      <c r="C155" s="65">
        <v>1300035359901</v>
      </c>
      <c r="D155" s="205"/>
      <c r="E155" s="113"/>
      <c r="F155" s="65"/>
      <c r="G155" s="66" t="s">
        <v>1363</v>
      </c>
      <c r="H155" s="70">
        <v>0.16600000000000001</v>
      </c>
      <c r="I155" s="71">
        <v>210.51</v>
      </c>
      <c r="J155" s="71">
        <v>9.24</v>
      </c>
      <c r="K155" s="71">
        <v>9.24</v>
      </c>
      <c r="L155" s="72"/>
      <c r="M155" s="73"/>
      <c r="N155" s="73"/>
      <c r="O155" s="73"/>
    </row>
    <row r="156" spans="1:15" ht="15" customHeight="1" x14ac:dyDescent="0.2">
      <c r="A156" s="205">
        <v>362</v>
      </c>
      <c r="B156" s="113">
        <v>362</v>
      </c>
      <c r="C156" s="65">
        <v>1300035360181</v>
      </c>
      <c r="D156" s="205"/>
      <c r="E156" s="113"/>
      <c r="F156" s="65"/>
      <c r="G156" s="66" t="s">
        <v>1364</v>
      </c>
      <c r="H156" s="70">
        <v>0.28199999999999997</v>
      </c>
      <c r="I156" s="71">
        <v>210.51</v>
      </c>
      <c r="J156" s="71">
        <v>15.55</v>
      </c>
      <c r="K156" s="71">
        <v>15.55</v>
      </c>
      <c r="L156" s="72"/>
      <c r="M156" s="73"/>
      <c r="N156" s="73"/>
      <c r="O156" s="73"/>
    </row>
    <row r="157" spans="1:15" ht="15" customHeight="1" x14ac:dyDescent="0.2">
      <c r="A157" s="205">
        <v>363</v>
      </c>
      <c r="B157" s="113">
        <v>363</v>
      </c>
      <c r="C157" s="65">
        <v>1300035360580</v>
      </c>
      <c r="D157" s="205"/>
      <c r="E157" s="113"/>
      <c r="F157" s="65"/>
      <c r="G157" s="66" t="s">
        <v>1365</v>
      </c>
      <c r="H157" s="70"/>
      <c r="I157" s="71">
        <v>210.51</v>
      </c>
      <c r="J157" s="71">
        <v>8.39</v>
      </c>
      <c r="K157" s="71">
        <v>8.39</v>
      </c>
      <c r="L157" s="72"/>
      <c r="M157" s="73"/>
      <c r="N157" s="73"/>
      <c r="O157" s="73"/>
    </row>
    <row r="158" spans="1:15" ht="15" customHeight="1" x14ac:dyDescent="0.2">
      <c r="A158" s="205">
        <v>364</v>
      </c>
      <c r="B158" s="113">
        <v>364</v>
      </c>
      <c r="C158" s="65">
        <v>1300035360679</v>
      </c>
      <c r="D158" s="205"/>
      <c r="E158" s="113"/>
      <c r="F158" s="65"/>
      <c r="G158" s="66" t="s">
        <v>1366</v>
      </c>
      <c r="H158" s="70"/>
      <c r="I158" s="71">
        <v>1138.6300000000001</v>
      </c>
      <c r="J158" s="71">
        <v>2.14</v>
      </c>
      <c r="K158" s="71">
        <v>2.14</v>
      </c>
      <c r="L158" s="72"/>
      <c r="M158" s="73"/>
      <c r="N158" s="73"/>
      <c r="O158" s="73"/>
    </row>
    <row r="159" spans="1:15" ht="15" customHeight="1" x14ac:dyDescent="0.2">
      <c r="A159" s="205">
        <v>365</v>
      </c>
      <c r="B159" s="113">
        <v>365</v>
      </c>
      <c r="C159" s="65">
        <v>1300035360688</v>
      </c>
      <c r="D159" s="205"/>
      <c r="E159" s="113"/>
      <c r="F159" s="65"/>
      <c r="G159" s="66" t="s">
        <v>1367</v>
      </c>
      <c r="H159" s="70"/>
      <c r="I159" s="71">
        <v>210.51</v>
      </c>
      <c r="J159" s="71">
        <v>9.41</v>
      </c>
      <c r="K159" s="71">
        <v>9.41</v>
      </c>
      <c r="L159" s="72"/>
      <c r="M159" s="73"/>
      <c r="N159" s="73"/>
      <c r="O159" s="73"/>
    </row>
    <row r="160" spans="1:15" ht="15" customHeight="1" x14ac:dyDescent="0.2">
      <c r="A160" s="205">
        <v>366</v>
      </c>
      <c r="B160" s="113">
        <v>366</v>
      </c>
      <c r="C160" s="65">
        <v>1300035361130</v>
      </c>
      <c r="D160" s="205"/>
      <c r="E160" s="113"/>
      <c r="F160" s="65"/>
      <c r="G160" s="66" t="s">
        <v>1368</v>
      </c>
      <c r="H160" s="70">
        <v>1.405</v>
      </c>
      <c r="I160" s="71">
        <v>210.51</v>
      </c>
      <c r="J160" s="71">
        <v>7.82</v>
      </c>
      <c r="K160" s="71">
        <v>7.82</v>
      </c>
      <c r="L160" s="72"/>
      <c r="M160" s="73"/>
      <c r="N160" s="73"/>
      <c r="O160" s="73"/>
    </row>
    <row r="161" spans="1:15" ht="15" customHeight="1" x14ac:dyDescent="0.2">
      <c r="A161" s="205">
        <v>367</v>
      </c>
      <c r="B161" s="113">
        <v>367</v>
      </c>
      <c r="C161" s="65">
        <v>1300035361812</v>
      </c>
      <c r="D161" s="205"/>
      <c r="E161" s="113"/>
      <c r="F161" s="65"/>
      <c r="G161" s="66" t="s">
        <v>1369</v>
      </c>
      <c r="H161" s="70">
        <v>0.36599999999999999</v>
      </c>
      <c r="I161" s="71">
        <v>210.51</v>
      </c>
      <c r="J161" s="71">
        <v>2.68</v>
      </c>
      <c r="K161" s="71">
        <v>2.68</v>
      </c>
      <c r="L161" s="72"/>
      <c r="M161" s="73"/>
      <c r="N161" s="73"/>
      <c r="O161" s="73"/>
    </row>
    <row r="162" spans="1:15" ht="15" customHeight="1" x14ac:dyDescent="0.2">
      <c r="A162" s="205">
        <v>368</v>
      </c>
      <c r="B162" s="113">
        <v>368</v>
      </c>
      <c r="C162" s="65">
        <v>1300035361983</v>
      </c>
      <c r="D162" s="205"/>
      <c r="E162" s="113"/>
      <c r="F162" s="65"/>
      <c r="G162" s="66" t="s">
        <v>1370</v>
      </c>
      <c r="H162" s="70">
        <v>1.514</v>
      </c>
      <c r="I162" s="71">
        <v>210.51</v>
      </c>
      <c r="J162" s="71">
        <v>3.09</v>
      </c>
      <c r="K162" s="71">
        <v>3.09</v>
      </c>
      <c r="L162" s="72"/>
      <c r="M162" s="73"/>
      <c r="N162" s="73"/>
      <c r="O162" s="73"/>
    </row>
    <row r="163" spans="1:15" ht="15" customHeight="1" x14ac:dyDescent="0.2">
      <c r="A163" s="205">
        <v>369</v>
      </c>
      <c r="B163" s="113">
        <v>369</v>
      </c>
      <c r="C163" s="65">
        <v>1300035362295</v>
      </c>
      <c r="D163" s="205"/>
      <c r="E163" s="113"/>
      <c r="F163" s="65"/>
      <c r="G163" s="66" t="s">
        <v>1371</v>
      </c>
      <c r="H163" s="70"/>
      <c r="I163" s="71">
        <v>210.51</v>
      </c>
      <c r="J163" s="71">
        <v>1.99</v>
      </c>
      <c r="K163" s="71">
        <v>1.99</v>
      </c>
      <c r="L163" s="72"/>
      <c r="M163" s="73"/>
      <c r="N163" s="73"/>
      <c r="O163" s="73"/>
    </row>
    <row r="164" spans="1:15" ht="15" customHeight="1" x14ac:dyDescent="0.2">
      <c r="A164" s="205">
        <v>370</v>
      </c>
      <c r="B164" s="113">
        <v>370</v>
      </c>
      <c r="C164" s="65">
        <v>1300035362700</v>
      </c>
      <c r="D164" s="205"/>
      <c r="E164" s="113"/>
      <c r="F164" s="65"/>
      <c r="G164" s="66" t="s">
        <v>1372</v>
      </c>
      <c r="H164" s="70">
        <v>0.77100000000000002</v>
      </c>
      <c r="I164" s="71">
        <v>210.51</v>
      </c>
      <c r="J164" s="71">
        <v>3.46</v>
      </c>
      <c r="K164" s="71">
        <v>3.46</v>
      </c>
      <c r="L164" s="72"/>
      <c r="M164" s="73"/>
      <c r="N164" s="73"/>
      <c r="O164" s="73"/>
    </row>
    <row r="165" spans="1:15" ht="15" customHeight="1" x14ac:dyDescent="0.2">
      <c r="A165" s="205">
        <v>371</v>
      </c>
      <c r="B165" s="113">
        <v>371</v>
      </c>
      <c r="C165" s="65">
        <v>1300035362904</v>
      </c>
      <c r="D165" s="205"/>
      <c r="E165" s="113"/>
      <c r="F165" s="65"/>
      <c r="G165" s="66" t="s">
        <v>1373</v>
      </c>
      <c r="H165" s="70">
        <v>0.995</v>
      </c>
      <c r="I165" s="71">
        <v>19515.509999999998</v>
      </c>
      <c r="J165" s="71">
        <v>0</v>
      </c>
      <c r="K165" s="71">
        <v>0</v>
      </c>
      <c r="L165" s="72"/>
      <c r="M165" s="73"/>
      <c r="N165" s="73"/>
      <c r="O165" s="73"/>
    </row>
    <row r="166" spans="1:15" ht="15" customHeight="1" x14ac:dyDescent="0.2">
      <c r="A166" s="205">
        <v>372</v>
      </c>
      <c r="B166" s="113">
        <v>372</v>
      </c>
      <c r="C166" s="65">
        <v>1300035362978</v>
      </c>
      <c r="D166" s="205"/>
      <c r="E166" s="113"/>
      <c r="F166" s="65"/>
      <c r="G166" s="66" t="s">
        <v>1374</v>
      </c>
      <c r="H166" s="70">
        <v>1.0660000000000001</v>
      </c>
      <c r="I166" s="71">
        <v>210.51</v>
      </c>
      <c r="J166" s="71">
        <v>6.62</v>
      </c>
      <c r="K166" s="71">
        <v>6.62</v>
      </c>
      <c r="L166" s="72"/>
      <c r="M166" s="73"/>
      <c r="N166" s="73"/>
      <c r="O166" s="73"/>
    </row>
    <row r="167" spans="1:15" ht="15" customHeight="1" x14ac:dyDescent="0.2">
      <c r="A167" s="205">
        <v>373</v>
      </c>
      <c r="B167" s="113">
        <v>373</v>
      </c>
      <c r="C167" s="65">
        <v>1300035363067</v>
      </c>
      <c r="D167" s="205"/>
      <c r="E167" s="113"/>
      <c r="F167" s="65"/>
      <c r="G167" s="66" t="s">
        <v>1375</v>
      </c>
      <c r="H167" s="70"/>
      <c r="I167" s="71">
        <v>210.51</v>
      </c>
      <c r="J167" s="71">
        <v>5.07</v>
      </c>
      <c r="K167" s="71">
        <v>5.07</v>
      </c>
      <c r="L167" s="72"/>
      <c r="M167" s="73"/>
      <c r="N167" s="73"/>
      <c r="O167" s="73"/>
    </row>
    <row r="168" spans="1:15" ht="15" customHeight="1" x14ac:dyDescent="0.2">
      <c r="A168" s="205">
        <v>374</v>
      </c>
      <c r="B168" s="113">
        <v>374</v>
      </c>
      <c r="C168" s="65">
        <v>1300035363191</v>
      </c>
      <c r="D168" s="205"/>
      <c r="E168" s="113"/>
      <c r="F168" s="65"/>
      <c r="G168" s="66" t="s">
        <v>1376</v>
      </c>
      <c r="H168" s="70"/>
      <c r="I168" s="71">
        <v>210.51</v>
      </c>
      <c r="J168" s="71">
        <v>9.57</v>
      </c>
      <c r="K168" s="71">
        <v>9.57</v>
      </c>
      <c r="L168" s="72"/>
      <c r="M168" s="73"/>
      <c r="N168" s="73"/>
      <c r="O168" s="73"/>
    </row>
    <row r="169" spans="1:15" ht="15" customHeight="1" x14ac:dyDescent="0.2">
      <c r="A169" s="205">
        <v>375</v>
      </c>
      <c r="B169" s="113">
        <v>375</v>
      </c>
      <c r="C169" s="65">
        <v>1300035363225</v>
      </c>
      <c r="D169" s="205"/>
      <c r="E169" s="113"/>
      <c r="F169" s="65"/>
      <c r="G169" s="66" t="s">
        <v>1377</v>
      </c>
      <c r="H169" s="70">
        <v>0.81200000000000006</v>
      </c>
      <c r="I169" s="71">
        <v>210.51</v>
      </c>
      <c r="J169" s="71">
        <v>5.0999999999999996</v>
      </c>
      <c r="K169" s="71">
        <v>5.0999999999999996</v>
      </c>
      <c r="L169" s="72"/>
      <c r="M169" s="73"/>
      <c r="N169" s="73"/>
      <c r="O169" s="73"/>
    </row>
    <row r="170" spans="1:15" ht="15" customHeight="1" x14ac:dyDescent="0.2">
      <c r="A170" s="205">
        <v>376</v>
      </c>
      <c r="B170" s="113">
        <v>376</v>
      </c>
      <c r="C170" s="65">
        <v>1300035363252</v>
      </c>
      <c r="D170" s="205"/>
      <c r="E170" s="113"/>
      <c r="F170" s="65"/>
      <c r="G170" s="66" t="s">
        <v>1378</v>
      </c>
      <c r="H170" s="70"/>
      <c r="I170" s="71">
        <v>210.51</v>
      </c>
      <c r="J170" s="71">
        <v>7.25</v>
      </c>
      <c r="K170" s="71">
        <v>7.25</v>
      </c>
      <c r="L170" s="72"/>
      <c r="M170" s="73"/>
      <c r="N170" s="73"/>
      <c r="O170" s="73"/>
    </row>
    <row r="171" spans="1:15" ht="15" customHeight="1" x14ac:dyDescent="0.2">
      <c r="A171" s="205">
        <v>377</v>
      </c>
      <c r="B171" s="113">
        <v>377</v>
      </c>
      <c r="C171" s="65">
        <v>1300035363883</v>
      </c>
      <c r="D171" s="205">
        <v>719</v>
      </c>
      <c r="E171" s="113">
        <v>719</v>
      </c>
      <c r="F171" s="65">
        <v>1300060263839</v>
      </c>
      <c r="G171" s="66" t="s">
        <v>1379</v>
      </c>
      <c r="H171" s="70">
        <v>0.93400000000000005</v>
      </c>
      <c r="I171" s="71">
        <v>123.27</v>
      </c>
      <c r="J171" s="71">
        <v>2.14</v>
      </c>
      <c r="K171" s="71">
        <v>2.14</v>
      </c>
      <c r="L171" s="72"/>
      <c r="M171" s="73">
        <v>87.24</v>
      </c>
      <c r="N171" s="73">
        <v>0.05</v>
      </c>
      <c r="O171" s="73">
        <v>0.05</v>
      </c>
    </row>
    <row r="172" spans="1:15" ht="15" customHeight="1" x14ac:dyDescent="0.2">
      <c r="A172" s="205">
        <v>378</v>
      </c>
      <c r="B172" s="113">
        <v>378</v>
      </c>
      <c r="C172" s="65">
        <v>1300035364060</v>
      </c>
      <c r="D172" s="205"/>
      <c r="E172" s="113"/>
      <c r="F172" s="65"/>
      <c r="G172" s="66" t="s">
        <v>1380</v>
      </c>
      <c r="H172" s="70">
        <v>1.012</v>
      </c>
      <c r="I172" s="71">
        <v>2066.75</v>
      </c>
      <c r="J172" s="71">
        <v>6.77</v>
      </c>
      <c r="K172" s="71">
        <v>6.77</v>
      </c>
      <c r="L172" s="72"/>
      <c r="M172" s="73"/>
      <c r="N172" s="73"/>
      <c r="O172" s="73"/>
    </row>
    <row r="173" spans="1:15" ht="15" customHeight="1" x14ac:dyDescent="0.2">
      <c r="A173" s="205">
        <v>379</v>
      </c>
      <c r="B173" s="113">
        <v>379</v>
      </c>
      <c r="C173" s="65">
        <v>1300035364177</v>
      </c>
      <c r="D173" s="205"/>
      <c r="E173" s="113"/>
      <c r="F173" s="65"/>
      <c r="G173" s="66" t="s">
        <v>1381</v>
      </c>
      <c r="H173" s="70">
        <v>2.2989999999999999</v>
      </c>
      <c r="I173" s="71">
        <v>210.51</v>
      </c>
      <c r="J173" s="71">
        <v>13.46</v>
      </c>
      <c r="K173" s="71">
        <v>13.46</v>
      </c>
      <c r="L173" s="72"/>
      <c r="M173" s="73"/>
      <c r="N173" s="73"/>
      <c r="O173" s="73"/>
    </row>
    <row r="174" spans="1:15" ht="15" customHeight="1" x14ac:dyDescent="0.2">
      <c r="A174" s="205">
        <v>380</v>
      </c>
      <c r="B174" s="113">
        <v>380</v>
      </c>
      <c r="C174" s="65">
        <v>1300035364256</v>
      </c>
      <c r="D174" s="205"/>
      <c r="E174" s="113"/>
      <c r="F174" s="65"/>
      <c r="G174" s="66" t="s">
        <v>1382</v>
      </c>
      <c r="H174" s="70">
        <v>2.367</v>
      </c>
      <c r="I174" s="71">
        <v>210.51</v>
      </c>
      <c r="J174" s="71">
        <v>7.77</v>
      </c>
      <c r="K174" s="71">
        <v>7.77</v>
      </c>
      <c r="L174" s="72"/>
      <c r="M174" s="73"/>
      <c r="N174" s="73"/>
      <c r="O174" s="73"/>
    </row>
    <row r="175" spans="1:15" ht="15" customHeight="1" x14ac:dyDescent="0.2">
      <c r="A175" s="205">
        <v>381</v>
      </c>
      <c r="B175" s="113">
        <v>381</v>
      </c>
      <c r="C175" s="65">
        <v>1300035364432</v>
      </c>
      <c r="D175" s="205"/>
      <c r="E175" s="113"/>
      <c r="F175" s="65"/>
      <c r="G175" s="66" t="s">
        <v>1383</v>
      </c>
      <c r="H175" s="70">
        <v>1.839</v>
      </c>
      <c r="I175" s="71">
        <v>210.51</v>
      </c>
      <c r="J175" s="71">
        <v>5.97</v>
      </c>
      <c r="K175" s="71">
        <v>5.97</v>
      </c>
      <c r="L175" s="72"/>
      <c r="M175" s="73"/>
      <c r="N175" s="73"/>
      <c r="O175" s="73"/>
    </row>
    <row r="176" spans="1:15" ht="15" customHeight="1" x14ac:dyDescent="0.2">
      <c r="A176" s="205">
        <v>382</v>
      </c>
      <c r="B176" s="113">
        <v>382</v>
      </c>
      <c r="C176" s="65">
        <v>1300035364646</v>
      </c>
      <c r="D176" s="205"/>
      <c r="E176" s="113"/>
      <c r="F176" s="65"/>
      <c r="G176" s="66" t="s">
        <v>1384</v>
      </c>
      <c r="H176" s="70">
        <v>1.8280000000000001</v>
      </c>
      <c r="I176" s="71">
        <v>210.51</v>
      </c>
      <c r="J176" s="71">
        <v>9.99</v>
      </c>
      <c r="K176" s="71">
        <v>9.99</v>
      </c>
      <c r="L176" s="72"/>
      <c r="M176" s="73"/>
      <c r="N176" s="73"/>
      <c r="O176" s="73"/>
    </row>
    <row r="177" spans="1:15" ht="15" customHeight="1" x14ac:dyDescent="0.2">
      <c r="A177" s="205">
        <v>383</v>
      </c>
      <c r="B177" s="113">
        <v>383</v>
      </c>
      <c r="C177" s="65">
        <v>1300035364822</v>
      </c>
      <c r="D177" s="205"/>
      <c r="E177" s="113"/>
      <c r="F177" s="65"/>
      <c r="G177" s="66" t="s">
        <v>1385</v>
      </c>
      <c r="H177" s="70">
        <v>2.3490000000000002</v>
      </c>
      <c r="I177" s="71">
        <v>210.51</v>
      </c>
      <c r="J177" s="71">
        <v>8.1199999999999992</v>
      </c>
      <c r="K177" s="71">
        <v>8.1199999999999992</v>
      </c>
      <c r="L177" s="72"/>
      <c r="M177" s="73"/>
      <c r="N177" s="73"/>
      <c r="O177" s="73"/>
    </row>
    <row r="178" spans="1:15" ht="15" customHeight="1" x14ac:dyDescent="0.2">
      <c r="A178" s="205">
        <v>384</v>
      </c>
      <c r="B178" s="113">
        <v>384</v>
      </c>
      <c r="C178" s="65">
        <v>1300035365161</v>
      </c>
      <c r="D178" s="205"/>
      <c r="E178" s="113"/>
      <c r="F178" s="65"/>
      <c r="G178" s="66" t="s">
        <v>1386</v>
      </c>
      <c r="H178" s="70">
        <v>1.841</v>
      </c>
      <c r="I178" s="71">
        <v>210.51</v>
      </c>
      <c r="J178" s="71">
        <v>16.32</v>
      </c>
      <c r="K178" s="71">
        <v>16.32</v>
      </c>
      <c r="L178" s="72"/>
      <c r="M178" s="73"/>
      <c r="N178" s="73"/>
      <c r="O178" s="73"/>
    </row>
    <row r="179" spans="1:15" ht="15" customHeight="1" x14ac:dyDescent="0.2">
      <c r="A179" s="205">
        <v>385</v>
      </c>
      <c r="B179" s="113">
        <v>385</v>
      </c>
      <c r="C179" s="65">
        <v>1300035365240</v>
      </c>
      <c r="D179" s="205"/>
      <c r="E179" s="113"/>
      <c r="F179" s="65"/>
      <c r="G179" s="66" t="s">
        <v>1387</v>
      </c>
      <c r="H179" s="70">
        <v>2.415</v>
      </c>
      <c r="I179" s="71">
        <v>210.51</v>
      </c>
      <c r="J179" s="71">
        <v>10.85</v>
      </c>
      <c r="K179" s="71">
        <v>10.85</v>
      </c>
      <c r="L179" s="72"/>
      <c r="M179" s="73"/>
      <c r="N179" s="73"/>
      <c r="O179" s="73"/>
    </row>
    <row r="180" spans="1:15" ht="15" customHeight="1" x14ac:dyDescent="0.2">
      <c r="A180" s="205">
        <v>386</v>
      </c>
      <c r="B180" s="113">
        <v>386</v>
      </c>
      <c r="C180" s="65">
        <v>1300035365287</v>
      </c>
      <c r="D180" s="205"/>
      <c r="E180" s="113"/>
      <c r="F180" s="65"/>
      <c r="G180" s="66" t="s">
        <v>1388</v>
      </c>
      <c r="H180" s="70">
        <v>2.407</v>
      </c>
      <c r="I180" s="71">
        <v>210.51</v>
      </c>
      <c r="J180" s="71">
        <v>14.89</v>
      </c>
      <c r="K180" s="71">
        <v>14.89</v>
      </c>
      <c r="L180" s="72"/>
      <c r="M180" s="73"/>
      <c r="N180" s="73"/>
      <c r="O180" s="73"/>
    </row>
    <row r="181" spans="1:15" ht="15" customHeight="1" x14ac:dyDescent="0.2">
      <c r="A181" s="205">
        <v>387</v>
      </c>
      <c r="B181" s="113">
        <v>387</v>
      </c>
      <c r="C181" s="65">
        <v>1300035366494</v>
      </c>
      <c r="D181" s="205"/>
      <c r="E181" s="113"/>
      <c r="F181" s="65"/>
      <c r="G181" s="66" t="s">
        <v>1389</v>
      </c>
      <c r="H181" s="70">
        <v>1.9810000000000001</v>
      </c>
      <c r="I181" s="71">
        <v>210.51</v>
      </c>
      <c r="J181" s="71">
        <v>11.3</v>
      </c>
      <c r="K181" s="71">
        <v>11.3</v>
      </c>
      <c r="L181" s="72"/>
      <c r="M181" s="73"/>
      <c r="N181" s="73"/>
      <c r="O181" s="73"/>
    </row>
    <row r="182" spans="1:15" ht="15" customHeight="1" x14ac:dyDescent="0.2">
      <c r="A182" s="205">
        <v>388</v>
      </c>
      <c r="B182" s="113">
        <v>388</v>
      </c>
      <c r="C182" s="65">
        <v>1300035366801</v>
      </c>
      <c r="D182" s="205"/>
      <c r="E182" s="113"/>
      <c r="F182" s="65"/>
      <c r="G182" s="66" t="s">
        <v>1390</v>
      </c>
      <c r="H182" s="70"/>
      <c r="I182" s="71">
        <v>210.51</v>
      </c>
      <c r="J182" s="71">
        <v>10.75</v>
      </c>
      <c r="K182" s="71">
        <v>10.75</v>
      </c>
      <c r="L182" s="72"/>
      <c r="M182" s="73"/>
      <c r="N182" s="73"/>
      <c r="O182" s="73"/>
    </row>
    <row r="183" spans="1:15" ht="15" customHeight="1" x14ac:dyDescent="0.2">
      <c r="A183" s="205">
        <v>389</v>
      </c>
      <c r="B183" s="113">
        <v>389</v>
      </c>
      <c r="C183" s="65">
        <v>1300035368232</v>
      </c>
      <c r="D183" s="205">
        <v>721</v>
      </c>
      <c r="E183" s="113">
        <v>721</v>
      </c>
      <c r="F183" s="65">
        <v>1300060267898</v>
      </c>
      <c r="G183" s="66" t="s">
        <v>1391</v>
      </c>
      <c r="H183" s="70"/>
      <c r="I183" s="71">
        <v>134.36000000000001</v>
      </c>
      <c r="J183" s="71">
        <v>7.89</v>
      </c>
      <c r="K183" s="71">
        <v>7.89</v>
      </c>
      <c r="L183" s="72"/>
      <c r="M183" s="73">
        <v>76.14</v>
      </c>
      <c r="N183" s="73">
        <v>0.05</v>
      </c>
      <c r="O183" s="73">
        <v>0.05</v>
      </c>
    </row>
    <row r="184" spans="1:15" ht="15" customHeight="1" x14ac:dyDescent="0.2">
      <c r="A184" s="205">
        <v>391</v>
      </c>
      <c r="B184" s="113">
        <v>391</v>
      </c>
      <c r="C184" s="65">
        <v>1300035368400</v>
      </c>
      <c r="D184" s="205"/>
      <c r="E184" s="113"/>
      <c r="F184" s="65"/>
      <c r="G184" s="66" t="s">
        <v>1392</v>
      </c>
      <c r="H184" s="70"/>
      <c r="I184" s="71">
        <v>210.51</v>
      </c>
      <c r="J184" s="71">
        <v>5.93</v>
      </c>
      <c r="K184" s="71">
        <v>5.93</v>
      </c>
      <c r="L184" s="72"/>
      <c r="M184" s="73"/>
      <c r="N184" s="73"/>
      <c r="O184" s="73"/>
    </row>
    <row r="185" spans="1:15" ht="15" customHeight="1" x14ac:dyDescent="0.2">
      <c r="A185" s="205">
        <v>392</v>
      </c>
      <c r="B185" s="113">
        <v>392</v>
      </c>
      <c r="C185" s="65">
        <v>1300035368428</v>
      </c>
      <c r="D185" s="205"/>
      <c r="E185" s="113"/>
      <c r="F185" s="65"/>
      <c r="G185" s="66" t="s">
        <v>1393</v>
      </c>
      <c r="H185" s="70"/>
      <c r="I185" s="71">
        <v>210.51</v>
      </c>
      <c r="J185" s="71">
        <v>9.5399999999999991</v>
      </c>
      <c r="K185" s="71">
        <v>9.5399999999999991</v>
      </c>
      <c r="L185" s="72"/>
      <c r="M185" s="73"/>
      <c r="N185" s="73"/>
      <c r="O185" s="73"/>
    </row>
    <row r="186" spans="1:15" ht="15" customHeight="1" x14ac:dyDescent="0.2">
      <c r="A186" s="205">
        <v>393</v>
      </c>
      <c r="B186" s="113">
        <v>393</v>
      </c>
      <c r="C186" s="65">
        <v>1300035370116</v>
      </c>
      <c r="D186" s="205"/>
      <c r="E186" s="113"/>
      <c r="F186" s="65"/>
      <c r="G186" s="66" t="s">
        <v>1394</v>
      </c>
      <c r="H186" s="70">
        <v>0.77200000000000002</v>
      </c>
      <c r="I186" s="71">
        <v>210.51</v>
      </c>
      <c r="J186" s="71">
        <v>16.27</v>
      </c>
      <c r="K186" s="71">
        <v>16.27</v>
      </c>
      <c r="L186" s="72"/>
      <c r="M186" s="73"/>
      <c r="N186" s="73"/>
      <c r="O186" s="73"/>
    </row>
    <row r="187" spans="1:15" ht="15" customHeight="1" x14ac:dyDescent="0.2">
      <c r="A187" s="205">
        <v>394</v>
      </c>
      <c r="B187" s="113">
        <v>394</v>
      </c>
      <c r="C187" s="65">
        <v>1300035618356</v>
      </c>
      <c r="D187" s="205"/>
      <c r="E187" s="113"/>
      <c r="F187" s="65"/>
      <c r="G187" s="66" t="s">
        <v>1395</v>
      </c>
      <c r="H187" s="70"/>
      <c r="I187" s="71">
        <v>210.51</v>
      </c>
      <c r="J187" s="71">
        <v>8.7200000000000006</v>
      </c>
      <c r="K187" s="71">
        <v>8.7200000000000006</v>
      </c>
      <c r="L187" s="72"/>
      <c r="M187" s="73"/>
      <c r="N187" s="73"/>
      <c r="O187" s="73"/>
    </row>
    <row r="188" spans="1:15" ht="15" customHeight="1" x14ac:dyDescent="0.2">
      <c r="A188" s="205">
        <v>395</v>
      </c>
      <c r="B188" s="113">
        <v>395</v>
      </c>
      <c r="C188" s="65">
        <v>1300038178922</v>
      </c>
      <c r="D188" s="205"/>
      <c r="E188" s="113"/>
      <c r="F188" s="65"/>
      <c r="G188" s="66" t="s">
        <v>1396</v>
      </c>
      <c r="H188" s="70"/>
      <c r="I188" s="71">
        <v>210.51</v>
      </c>
      <c r="J188" s="71">
        <v>7.8</v>
      </c>
      <c r="K188" s="71">
        <v>7.8</v>
      </c>
      <c r="L188" s="72"/>
      <c r="M188" s="73"/>
      <c r="N188" s="73"/>
      <c r="O188" s="73"/>
    </row>
    <row r="189" spans="1:15" ht="15" customHeight="1" x14ac:dyDescent="0.2">
      <c r="A189" s="205">
        <v>397</v>
      </c>
      <c r="B189" s="113">
        <v>397</v>
      </c>
      <c r="C189" s="65">
        <v>1300050455959</v>
      </c>
      <c r="D189" s="205"/>
      <c r="E189" s="113"/>
      <c r="F189" s="65"/>
      <c r="G189" s="66" t="s">
        <v>1397</v>
      </c>
      <c r="H189" s="70">
        <v>0.92900000000000005</v>
      </c>
      <c r="I189" s="71">
        <v>210.51</v>
      </c>
      <c r="J189" s="71">
        <v>5.09</v>
      </c>
      <c r="K189" s="71">
        <v>5.09</v>
      </c>
      <c r="L189" s="72"/>
      <c r="M189" s="73"/>
      <c r="N189" s="73"/>
      <c r="O189" s="73"/>
    </row>
    <row r="190" spans="1:15" ht="15" customHeight="1" x14ac:dyDescent="0.2">
      <c r="A190" s="205">
        <v>398</v>
      </c>
      <c r="B190" s="113">
        <v>398</v>
      </c>
      <c r="C190" s="65">
        <v>1300050482127</v>
      </c>
      <c r="D190" s="205"/>
      <c r="E190" s="113"/>
      <c r="F190" s="65"/>
      <c r="G190" s="66" t="s">
        <v>1398</v>
      </c>
      <c r="H190" s="70">
        <v>0.83199999999999996</v>
      </c>
      <c r="I190" s="71">
        <v>210.51</v>
      </c>
      <c r="J190" s="71">
        <v>4.24</v>
      </c>
      <c r="K190" s="71">
        <v>4.24</v>
      </c>
      <c r="L190" s="72"/>
      <c r="M190" s="73"/>
      <c r="N190" s="73"/>
      <c r="O190" s="73"/>
    </row>
    <row r="191" spans="1:15" ht="15" customHeight="1" x14ac:dyDescent="0.2">
      <c r="A191" s="205">
        <v>399</v>
      </c>
      <c r="B191" s="113">
        <v>399</v>
      </c>
      <c r="C191" s="65">
        <v>1300050628390</v>
      </c>
      <c r="D191" s="205">
        <v>717</v>
      </c>
      <c r="E191" s="113">
        <v>717</v>
      </c>
      <c r="F191" s="65">
        <v>1300050867852</v>
      </c>
      <c r="G191" s="66" t="s">
        <v>1399</v>
      </c>
      <c r="H191" s="70"/>
      <c r="I191" s="71">
        <v>37.869999999999997</v>
      </c>
      <c r="J191" s="71">
        <v>1.61</v>
      </c>
      <c r="K191" s="71">
        <v>1.61</v>
      </c>
      <c r="L191" s="72"/>
      <c r="M191" s="73"/>
      <c r="N191" s="73"/>
      <c r="O191" s="73"/>
    </row>
    <row r="192" spans="1:15" ht="15" customHeight="1" x14ac:dyDescent="0.2">
      <c r="A192" s="205">
        <v>450</v>
      </c>
      <c r="B192" s="113">
        <v>450</v>
      </c>
      <c r="C192" s="65">
        <v>1300050632704</v>
      </c>
      <c r="D192" s="205"/>
      <c r="E192" s="113"/>
      <c r="F192" s="65"/>
      <c r="G192" s="66" t="s">
        <v>1400</v>
      </c>
      <c r="H192" s="70">
        <v>0.29699999999999999</v>
      </c>
      <c r="I192" s="71">
        <v>210.51</v>
      </c>
      <c r="J192" s="71">
        <v>7.62</v>
      </c>
      <c r="K192" s="71">
        <v>7.62</v>
      </c>
      <c r="L192" s="72"/>
      <c r="M192" s="73"/>
      <c r="N192" s="73"/>
      <c r="O192" s="73"/>
    </row>
    <row r="193" spans="1:15" ht="15" customHeight="1" x14ac:dyDescent="0.2">
      <c r="A193" s="205">
        <v>452</v>
      </c>
      <c r="B193" s="113">
        <v>452</v>
      </c>
      <c r="C193" s="65">
        <v>1300050955454</v>
      </c>
      <c r="D193" s="205"/>
      <c r="E193" s="113"/>
      <c r="F193" s="65"/>
      <c r="G193" s="66" t="s">
        <v>1401</v>
      </c>
      <c r="H193" s="70"/>
      <c r="I193" s="71">
        <v>10220.51</v>
      </c>
      <c r="J193" s="71">
        <v>0</v>
      </c>
      <c r="K193" s="71">
        <v>0</v>
      </c>
      <c r="L193" s="72"/>
      <c r="M193" s="73"/>
      <c r="N193" s="73"/>
      <c r="O193" s="73"/>
    </row>
    <row r="194" spans="1:15" ht="15" customHeight="1" x14ac:dyDescent="0.2">
      <c r="A194" s="205">
        <v>453</v>
      </c>
      <c r="B194" s="113">
        <v>453</v>
      </c>
      <c r="C194" s="65">
        <v>1300050977573</v>
      </c>
      <c r="D194" s="205">
        <v>720</v>
      </c>
      <c r="E194" s="113">
        <v>720</v>
      </c>
      <c r="F194" s="65">
        <v>1300060574459</v>
      </c>
      <c r="G194" s="66" t="s">
        <v>1402</v>
      </c>
      <c r="H194" s="70">
        <v>0.96899999999999997</v>
      </c>
      <c r="I194" s="71">
        <v>1972.76</v>
      </c>
      <c r="J194" s="71">
        <v>6.23</v>
      </c>
      <c r="K194" s="71">
        <v>6.23</v>
      </c>
      <c r="L194" s="72"/>
      <c r="M194" s="73">
        <v>94</v>
      </c>
      <c r="N194" s="73">
        <v>0.05</v>
      </c>
      <c r="O194" s="73">
        <v>0.05</v>
      </c>
    </row>
    <row r="195" spans="1:15" ht="15" customHeight="1" x14ac:dyDescent="0.2">
      <c r="A195" s="205">
        <v>454</v>
      </c>
      <c r="B195" s="113">
        <v>454</v>
      </c>
      <c r="C195" s="65">
        <v>1300050977670</v>
      </c>
      <c r="D195" s="205">
        <v>724</v>
      </c>
      <c r="E195" s="113">
        <v>724</v>
      </c>
      <c r="F195" s="65">
        <v>1300060638642</v>
      </c>
      <c r="G195" s="66" t="s">
        <v>1403</v>
      </c>
      <c r="H195" s="70">
        <v>0.85699999999999998</v>
      </c>
      <c r="I195" s="71">
        <v>1600.41</v>
      </c>
      <c r="J195" s="71">
        <v>4.05</v>
      </c>
      <c r="K195" s="71">
        <v>4.05</v>
      </c>
      <c r="L195" s="72"/>
      <c r="M195" s="73">
        <v>466.34</v>
      </c>
      <c r="N195" s="73">
        <v>0.05</v>
      </c>
      <c r="O195" s="73">
        <v>0.05</v>
      </c>
    </row>
    <row r="196" spans="1:15" ht="15" customHeight="1" x14ac:dyDescent="0.2">
      <c r="A196" s="205">
        <v>455</v>
      </c>
      <c r="B196" s="113">
        <v>455</v>
      </c>
      <c r="C196" s="65">
        <v>1300051438963</v>
      </c>
      <c r="D196" s="205"/>
      <c r="E196" s="113"/>
      <c r="F196" s="65"/>
      <c r="G196" s="66" t="s">
        <v>1404</v>
      </c>
      <c r="H196" s="70">
        <v>1.5549999999999999</v>
      </c>
      <c r="I196" s="71">
        <v>2066.75</v>
      </c>
      <c r="J196" s="71">
        <v>2.46</v>
      </c>
      <c r="K196" s="71">
        <v>2.46</v>
      </c>
      <c r="L196" s="72"/>
      <c r="M196" s="73"/>
      <c r="N196" s="73"/>
      <c r="O196" s="73"/>
    </row>
    <row r="197" spans="1:15" ht="15" customHeight="1" x14ac:dyDescent="0.2">
      <c r="A197" s="205">
        <v>456</v>
      </c>
      <c r="B197" s="113">
        <v>456</v>
      </c>
      <c r="C197" s="65">
        <v>1300051517481</v>
      </c>
      <c r="D197" s="205"/>
      <c r="E197" s="113"/>
      <c r="F197" s="65"/>
      <c r="G197" s="66" t="s">
        <v>1405</v>
      </c>
      <c r="H197" s="70"/>
      <c r="I197" s="71">
        <v>210.51</v>
      </c>
      <c r="J197" s="71">
        <v>4.68</v>
      </c>
      <c r="K197" s="71">
        <v>4.68</v>
      </c>
      <c r="L197" s="72"/>
      <c r="M197" s="73"/>
      <c r="N197" s="73"/>
      <c r="O197" s="73"/>
    </row>
    <row r="198" spans="1:15" ht="15" customHeight="1" x14ac:dyDescent="0.2">
      <c r="A198" s="205">
        <v>457</v>
      </c>
      <c r="B198" s="113">
        <v>457</v>
      </c>
      <c r="C198" s="65">
        <v>1300051708346</v>
      </c>
      <c r="D198" s="205"/>
      <c r="E198" s="113"/>
      <c r="F198" s="65"/>
      <c r="G198" s="66" t="s">
        <v>1406</v>
      </c>
      <c r="H198" s="70"/>
      <c r="I198" s="71">
        <v>210.51</v>
      </c>
      <c r="J198" s="71">
        <v>6.57</v>
      </c>
      <c r="K198" s="71">
        <v>6.57</v>
      </c>
      <c r="L198" s="72"/>
      <c r="M198" s="73"/>
      <c r="N198" s="73"/>
      <c r="O198" s="73"/>
    </row>
    <row r="199" spans="1:15" ht="15" customHeight="1" x14ac:dyDescent="0.2">
      <c r="A199" s="205">
        <v>458</v>
      </c>
      <c r="B199" s="113">
        <v>458</v>
      </c>
      <c r="C199" s="65">
        <v>1300052182955</v>
      </c>
      <c r="D199" s="205"/>
      <c r="E199" s="113"/>
      <c r="F199" s="65"/>
      <c r="G199" s="66" t="s">
        <v>1407</v>
      </c>
      <c r="H199" s="70">
        <v>0.24399999999999999</v>
      </c>
      <c r="I199" s="71">
        <v>210.51</v>
      </c>
      <c r="J199" s="71">
        <v>15.41</v>
      </c>
      <c r="K199" s="71">
        <v>15.41</v>
      </c>
      <c r="L199" s="72"/>
      <c r="M199" s="73"/>
      <c r="N199" s="73"/>
      <c r="O199" s="73"/>
    </row>
    <row r="200" spans="1:15" ht="15" customHeight="1" x14ac:dyDescent="0.2">
      <c r="A200" s="205">
        <v>459</v>
      </c>
      <c r="B200" s="113">
        <v>459</v>
      </c>
      <c r="C200" s="65">
        <v>1300053398578</v>
      </c>
      <c r="D200" s="205"/>
      <c r="E200" s="113"/>
      <c r="F200" s="65"/>
      <c r="G200" s="66" t="s">
        <v>1408</v>
      </c>
      <c r="H200" s="70">
        <v>0.29599999999999999</v>
      </c>
      <c r="I200" s="71">
        <v>2066.75</v>
      </c>
      <c r="J200" s="71">
        <v>4.1900000000000004</v>
      </c>
      <c r="K200" s="71">
        <v>4.1900000000000004</v>
      </c>
      <c r="L200" s="72"/>
      <c r="M200" s="73"/>
      <c r="N200" s="73"/>
      <c r="O200" s="73"/>
    </row>
    <row r="201" spans="1:15" ht="15" customHeight="1" x14ac:dyDescent="0.2">
      <c r="A201" s="205">
        <v>460</v>
      </c>
      <c r="B201" s="113">
        <v>460</v>
      </c>
      <c r="C201" s="65">
        <v>1300054917684</v>
      </c>
      <c r="D201" s="205"/>
      <c r="E201" s="113"/>
      <c r="F201" s="65"/>
      <c r="G201" s="66" t="s">
        <v>1409</v>
      </c>
      <c r="H201" s="70"/>
      <c r="I201" s="71">
        <v>210.51</v>
      </c>
      <c r="J201" s="71">
        <v>4.63</v>
      </c>
      <c r="K201" s="71">
        <v>4.63</v>
      </c>
      <c r="L201" s="72"/>
      <c r="M201" s="73"/>
      <c r="N201" s="73"/>
      <c r="O201" s="73"/>
    </row>
    <row r="202" spans="1:15" ht="15" customHeight="1" x14ac:dyDescent="0.2">
      <c r="A202" s="205">
        <v>461</v>
      </c>
      <c r="B202" s="113">
        <v>461</v>
      </c>
      <c r="C202" s="65">
        <v>1300060172544</v>
      </c>
      <c r="D202" s="205"/>
      <c r="E202" s="113"/>
      <c r="F202" s="65"/>
      <c r="G202" s="66" t="s">
        <v>1410</v>
      </c>
      <c r="H202" s="70"/>
      <c r="I202" s="71">
        <v>2066.75</v>
      </c>
      <c r="J202" s="71">
        <v>12.62</v>
      </c>
      <c r="K202" s="71">
        <v>12.62</v>
      </c>
      <c r="L202" s="72"/>
      <c r="M202" s="73"/>
      <c r="N202" s="73"/>
      <c r="O202" s="73"/>
    </row>
    <row r="203" spans="1:15" ht="15" customHeight="1" x14ac:dyDescent="0.2">
      <c r="A203" s="205">
        <v>462</v>
      </c>
      <c r="B203" s="113">
        <v>462</v>
      </c>
      <c r="C203" s="65">
        <v>1300035352260</v>
      </c>
      <c r="D203" s="205">
        <v>710</v>
      </c>
      <c r="E203" s="113">
        <v>710</v>
      </c>
      <c r="F203" s="65">
        <v>1300051349870</v>
      </c>
      <c r="G203" s="66" t="s">
        <v>1411</v>
      </c>
      <c r="H203" s="70"/>
      <c r="I203" s="71">
        <v>549.97</v>
      </c>
      <c r="J203" s="71">
        <v>2.76</v>
      </c>
      <c r="K203" s="71">
        <v>2.76</v>
      </c>
      <c r="L203" s="72"/>
      <c r="M203" s="73"/>
      <c r="N203" s="73"/>
      <c r="O203" s="73"/>
    </row>
    <row r="204" spans="1:15" ht="15" customHeight="1" x14ac:dyDescent="0.2">
      <c r="A204" s="205">
        <v>463</v>
      </c>
      <c r="B204" s="113">
        <v>463</v>
      </c>
      <c r="C204" s="65">
        <v>1300035354123</v>
      </c>
      <c r="D204" s="205">
        <v>711</v>
      </c>
      <c r="E204" s="113">
        <v>711</v>
      </c>
      <c r="F204" s="65">
        <v>1300052227204</v>
      </c>
      <c r="G204" s="66" t="s">
        <v>1412</v>
      </c>
      <c r="H204" s="70">
        <v>1.252</v>
      </c>
      <c r="I204" s="71">
        <v>1245.3699999999999</v>
      </c>
      <c r="J204" s="71">
        <v>4.5199999999999996</v>
      </c>
      <c r="K204" s="71">
        <v>4.5199999999999996</v>
      </c>
      <c r="L204" s="72"/>
      <c r="M204" s="73"/>
      <c r="N204" s="73"/>
      <c r="O204" s="73"/>
    </row>
    <row r="205" spans="1:15" ht="15" customHeight="1" x14ac:dyDescent="0.2">
      <c r="A205" s="205">
        <v>464</v>
      </c>
      <c r="B205" s="113">
        <v>464</v>
      </c>
      <c r="C205" s="65">
        <v>1300035355242</v>
      </c>
      <c r="D205" s="205">
        <v>712</v>
      </c>
      <c r="E205" s="113">
        <v>712</v>
      </c>
      <c r="F205" s="65">
        <v>1300053163518</v>
      </c>
      <c r="G205" s="66" t="s">
        <v>1413</v>
      </c>
      <c r="H205" s="70">
        <v>3.3439999999999999</v>
      </c>
      <c r="I205" s="71">
        <v>167.81</v>
      </c>
      <c r="J205" s="71">
        <v>3.83</v>
      </c>
      <c r="K205" s="71">
        <v>3.83</v>
      </c>
      <c r="L205" s="72">
        <v>-2.8109999999999999</v>
      </c>
      <c r="M205" s="73">
        <v>42.7</v>
      </c>
      <c r="N205" s="73">
        <v>0.05</v>
      </c>
      <c r="O205" s="73">
        <v>0.05</v>
      </c>
    </row>
    <row r="206" spans="1:15" ht="15" customHeight="1" x14ac:dyDescent="0.2">
      <c r="A206" s="205">
        <v>465</v>
      </c>
      <c r="B206" s="113">
        <v>465</v>
      </c>
      <c r="C206" s="65">
        <v>1300035359770</v>
      </c>
      <c r="D206" s="205">
        <v>713</v>
      </c>
      <c r="E206" s="113">
        <v>713</v>
      </c>
      <c r="F206" s="65">
        <v>1300050970114</v>
      </c>
      <c r="G206" s="66" t="s">
        <v>1414</v>
      </c>
      <c r="H206" s="70">
        <v>1.4259999999999999</v>
      </c>
      <c r="I206" s="71">
        <v>48.55</v>
      </c>
      <c r="J206" s="71">
        <v>6.39</v>
      </c>
      <c r="K206" s="71">
        <v>6.39</v>
      </c>
      <c r="L206" s="72"/>
      <c r="M206" s="73"/>
      <c r="N206" s="73"/>
      <c r="O206" s="73"/>
    </row>
    <row r="207" spans="1:15" ht="15" customHeight="1" x14ac:dyDescent="0.2">
      <c r="A207" s="205">
        <v>466</v>
      </c>
      <c r="B207" s="113">
        <v>466</v>
      </c>
      <c r="C207" s="65">
        <v>1300035401331</v>
      </c>
      <c r="D207" s="205">
        <v>714</v>
      </c>
      <c r="E207" s="113">
        <v>714</v>
      </c>
      <c r="F207" s="65">
        <v>1300052226920</v>
      </c>
      <c r="G207" s="66" t="s">
        <v>1415</v>
      </c>
      <c r="H207" s="70">
        <v>0.29699999999999999</v>
      </c>
      <c r="I207" s="71">
        <v>537.95000000000005</v>
      </c>
      <c r="J207" s="71">
        <v>6.06</v>
      </c>
      <c r="K207" s="71">
        <v>6.06</v>
      </c>
      <c r="L207" s="72"/>
      <c r="M207" s="73"/>
      <c r="N207" s="73"/>
      <c r="O207" s="73"/>
    </row>
    <row r="208" spans="1:15" ht="15" customHeight="1" x14ac:dyDescent="0.2">
      <c r="A208" s="205">
        <v>467</v>
      </c>
      <c r="B208" s="113">
        <v>467</v>
      </c>
      <c r="C208" s="65">
        <v>1300035353148</v>
      </c>
      <c r="D208" s="205">
        <v>715</v>
      </c>
      <c r="E208" s="113">
        <v>715</v>
      </c>
      <c r="F208" s="65">
        <v>1300052368838</v>
      </c>
      <c r="G208" s="66" t="s">
        <v>1416</v>
      </c>
      <c r="H208" s="70">
        <v>0.307</v>
      </c>
      <c r="I208" s="71">
        <v>1199.94</v>
      </c>
      <c r="J208" s="71">
        <v>6.23</v>
      </c>
      <c r="K208" s="71">
        <v>6.23</v>
      </c>
      <c r="L208" s="72"/>
      <c r="M208" s="73"/>
      <c r="N208" s="73"/>
      <c r="O208" s="73"/>
    </row>
    <row r="209" spans="1:15" ht="15" customHeight="1" x14ac:dyDescent="0.2">
      <c r="A209" s="205">
        <v>468</v>
      </c>
      <c r="B209" s="113">
        <v>468</v>
      </c>
      <c r="C209" s="65">
        <v>1300035355794</v>
      </c>
      <c r="D209" s="205">
        <v>703</v>
      </c>
      <c r="E209" s="113">
        <v>703</v>
      </c>
      <c r="F209" s="65">
        <v>1300050867791</v>
      </c>
      <c r="G209" s="66" t="s">
        <v>1417</v>
      </c>
      <c r="H209" s="70">
        <v>0.91500000000000004</v>
      </c>
      <c r="I209" s="71">
        <v>692.56</v>
      </c>
      <c r="J209" s="71">
        <v>3.44</v>
      </c>
      <c r="K209" s="71">
        <v>3.44</v>
      </c>
      <c r="L209" s="72"/>
      <c r="M209" s="73"/>
      <c r="N209" s="73"/>
      <c r="O209" s="73"/>
    </row>
    <row r="210" spans="1:15" ht="15" customHeight="1" x14ac:dyDescent="0.2">
      <c r="A210" s="205">
        <v>469</v>
      </c>
      <c r="B210" s="113">
        <v>469</v>
      </c>
      <c r="C210" s="65">
        <v>1300035355882</v>
      </c>
      <c r="D210" s="205">
        <v>704</v>
      </c>
      <c r="E210" s="113">
        <v>704</v>
      </c>
      <c r="F210" s="65">
        <v>1300050867807</v>
      </c>
      <c r="G210" s="66" t="s">
        <v>1418</v>
      </c>
      <c r="H210" s="70">
        <v>1.0049999999999999</v>
      </c>
      <c r="I210" s="71">
        <v>412.48</v>
      </c>
      <c r="J210" s="71">
        <v>2.69</v>
      </c>
      <c r="K210" s="71">
        <v>2.69</v>
      </c>
      <c r="L210" s="72"/>
      <c r="M210" s="73"/>
      <c r="N210" s="73"/>
      <c r="O210" s="73"/>
    </row>
    <row r="211" spans="1:15" ht="15" customHeight="1" x14ac:dyDescent="0.2">
      <c r="A211" s="205">
        <v>470</v>
      </c>
      <c r="B211" s="113">
        <v>470</v>
      </c>
      <c r="C211" s="65">
        <v>1300035355190</v>
      </c>
      <c r="D211" s="205">
        <v>718</v>
      </c>
      <c r="E211" s="113">
        <v>718</v>
      </c>
      <c r="F211" s="65">
        <v>1300054580101</v>
      </c>
      <c r="G211" s="66" t="s">
        <v>1419</v>
      </c>
      <c r="H211" s="70">
        <v>2.875</v>
      </c>
      <c r="I211" s="71">
        <v>199.98</v>
      </c>
      <c r="J211" s="71">
        <v>13.31</v>
      </c>
      <c r="K211" s="71">
        <v>13.31</v>
      </c>
      <c r="L211" s="72">
        <v>-2.8109999999999999</v>
      </c>
      <c r="M211" s="73">
        <v>10.53</v>
      </c>
      <c r="N211" s="73">
        <v>0.05</v>
      </c>
      <c r="O211" s="73">
        <v>0.05</v>
      </c>
    </row>
    <row r="212" spans="1:15" ht="15" customHeight="1" x14ac:dyDescent="0.2">
      <c r="A212" s="205">
        <v>471</v>
      </c>
      <c r="B212" s="113">
        <v>471</v>
      </c>
      <c r="C212" s="65">
        <v>1300035359813</v>
      </c>
      <c r="D212" s="205"/>
      <c r="E212" s="113"/>
      <c r="F212" s="65"/>
      <c r="G212" s="66" t="s">
        <v>1420</v>
      </c>
      <c r="H212" s="70">
        <v>1.371</v>
      </c>
      <c r="I212" s="71">
        <v>210.51</v>
      </c>
      <c r="J212" s="71">
        <v>7.54</v>
      </c>
      <c r="K212" s="71">
        <v>7.54</v>
      </c>
      <c r="L212" s="72"/>
      <c r="M212" s="73"/>
      <c r="N212" s="73"/>
      <c r="O212" s="73"/>
    </row>
    <row r="213" spans="1:15" ht="15" customHeight="1" x14ac:dyDescent="0.2">
      <c r="A213" s="205">
        <v>472</v>
      </c>
      <c r="B213" s="113">
        <v>472</v>
      </c>
      <c r="C213" s="65">
        <v>1300035362746</v>
      </c>
      <c r="D213" s="205"/>
      <c r="E213" s="113"/>
      <c r="F213" s="65"/>
      <c r="G213" s="66" t="s">
        <v>1421</v>
      </c>
      <c r="H213" s="70"/>
      <c r="I213" s="71">
        <v>210.51</v>
      </c>
      <c r="J213" s="71">
        <v>4.04</v>
      </c>
      <c r="K213" s="71">
        <v>4.04</v>
      </c>
      <c r="L213" s="72"/>
      <c r="M213" s="73"/>
      <c r="N213" s="73"/>
      <c r="O213" s="73"/>
    </row>
    <row r="214" spans="1:15" ht="15" customHeight="1" x14ac:dyDescent="0.2">
      <c r="A214" s="205">
        <v>473</v>
      </c>
      <c r="B214" s="113">
        <v>473</v>
      </c>
      <c r="C214" s="65">
        <v>1300035366174</v>
      </c>
      <c r="D214" s="205"/>
      <c r="E214" s="113"/>
      <c r="F214" s="65"/>
      <c r="G214" s="66" t="s">
        <v>1422</v>
      </c>
      <c r="H214" s="70"/>
      <c r="I214" s="71">
        <v>210.51</v>
      </c>
      <c r="J214" s="71">
        <v>13.95</v>
      </c>
      <c r="K214" s="71">
        <v>13.95</v>
      </c>
      <c r="L214" s="72"/>
      <c r="M214" s="73"/>
      <c r="N214" s="73"/>
      <c r="O214" s="73"/>
    </row>
    <row r="215" spans="1:15" ht="15" customHeight="1" x14ac:dyDescent="0.2">
      <c r="A215" s="205">
        <v>474</v>
      </c>
      <c r="B215" s="113">
        <v>474</v>
      </c>
      <c r="C215" s="65">
        <v>1300035438261</v>
      </c>
      <c r="D215" s="205"/>
      <c r="E215" s="113"/>
      <c r="F215" s="65"/>
      <c r="G215" s="66" t="s">
        <v>1423</v>
      </c>
      <c r="H215" s="70">
        <v>2.4169999999999998</v>
      </c>
      <c r="I215" s="71">
        <v>210.51</v>
      </c>
      <c r="J215" s="71">
        <v>12.2</v>
      </c>
      <c r="K215" s="71">
        <v>12.2</v>
      </c>
      <c r="L215" s="72"/>
      <c r="M215" s="73"/>
      <c r="N215" s="73"/>
      <c r="O215" s="73"/>
    </row>
    <row r="216" spans="1:15" ht="15" customHeight="1" x14ac:dyDescent="0.2">
      <c r="A216" s="205">
        <v>475</v>
      </c>
      <c r="B216" s="113">
        <v>475</v>
      </c>
      <c r="C216" s="65">
        <v>1300060172562</v>
      </c>
      <c r="D216" s="205"/>
      <c r="E216" s="113"/>
      <c r="F216" s="65"/>
      <c r="G216" s="66" t="s">
        <v>1424</v>
      </c>
      <c r="H216" s="70"/>
      <c r="I216" s="71">
        <v>105.25</v>
      </c>
      <c r="J216" s="71">
        <v>3.91</v>
      </c>
      <c r="K216" s="71">
        <v>3.91</v>
      </c>
      <c r="L216" s="72"/>
      <c r="M216" s="73"/>
      <c r="N216" s="73"/>
      <c r="O216" s="73"/>
    </row>
    <row r="217" spans="1:15" ht="15" customHeight="1" x14ac:dyDescent="0.2">
      <c r="A217" s="205">
        <v>476</v>
      </c>
      <c r="B217" s="113">
        <v>476</v>
      </c>
      <c r="C217" s="65">
        <v>1300050712379</v>
      </c>
      <c r="D217" s="205"/>
      <c r="E217" s="113"/>
      <c r="F217" s="65"/>
      <c r="G217" s="66" t="s">
        <v>1425</v>
      </c>
      <c r="H217" s="70">
        <v>0.97799999999999998</v>
      </c>
      <c r="I217" s="71">
        <v>210.51</v>
      </c>
      <c r="J217" s="71">
        <v>5.19</v>
      </c>
      <c r="K217" s="71">
        <v>5.19</v>
      </c>
      <c r="L217" s="72"/>
      <c r="M217" s="73"/>
      <c r="N217" s="73"/>
      <c r="O217" s="73"/>
    </row>
    <row r="218" spans="1:15" ht="15" customHeight="1" x14ac:dyDescent="0.2">
      <c r="A218" s="205">
        <v>477</v>
      </c>
      <c r="B218" s="113">
        <v>477</v>
      </c>
      <c r="C218" s="65">
        <v>1300051517515</v>
      </c>
      <c r="D218" s="205"/>
      <c r="E218" s="113"/>
      <c r="F218" s="65"/>
      <c r="G218" s="66" t="s">
        <v>1426</v>
      </c>
      <c r="H218" s="70">
        <v>0.23499999999999999</v>
      </c>
      <c r="I218" s="71">
        <v>210.51</v>
      </c>
      <c r="J218" s="71">
        <v>11.98</v>
      </c>
      <c r="K218" s="71">
        <v>11.98</v>
      </c>
      <c r="L218" s="72"/>
      <c r="M218" s="73"/>
      <c r="N218" s="73"/>
      <c r="O218" s="73"/>
    </row>
    <row r="219" spans="1:15" ht="15" customHeight="1" x14ac:dyDescent="0.2">
      <c r="A219" s="205">
        <v>478</v>
      </c>
      <c r="B219" s="113">
        <v>478</v>
      </c>
      <c r="C219" s="65">
        <v>1300051517747</v>
      </c>
      <c r="D219" s="205"/>
      <c r="E219" s="113"/>
      <c r="F219" s="65"/>
      <c r="G219" s="66" t="s">
        <v>1427</v>
      </c>
      <c r="H219" s="70">
        <v>0.24199999999999999</v>
      </c>
      <c r="I219" s="71">
        <v>105.25</v>
      </c>
      <c r="J219" s="71">
        <v>18.420000000000002</v>
      </c>
      <c r="K219" s="71">
        <v>18.420000000000002</v>
      </c>
      <c r="L219" s="72"/>
      <c r="M219" s="73"/>
      <c r="N219" s="73"/>
      <c r="O219" s="73"/>
    </row>
    <row r="220" spans="1:15" ht="15" customHeight="1" x14ac:dyDescent="0.2">
      <c r="A220" s="205">
        <v>479</v>
      </c>
      <c r="B220" s="113">
        <v>479</v>
      </c>
      <c r="C220" s="65">
        <v>1300035365640</v>
      </c>
      <c r="D220" s="205"/>
      <c r="E220" s="113"/>
      <c r="F220" s="65"/>
      <c r="G220" s="66" t="s">
        <v>1428</v>
      </c>
      <c r="H220" s="70">
        <v>1.802</v>
      </c>
      <c r="I220" s="71">
        <v>210.51</v>
      </c>
      <c r="J220" s="71">
        <v>8.3000000000000007</v>
      </c>
      <c r="K220" s="71">
        <v>8.3000000000000007</v>
      </c>
      <c r="L220" s="72"/>
      <c r="M220" s="73"/>
      <c r="N220" s="73"/>
      <c r="O220" s="73"/>
    </row>
    <row r="221" spans="1:15" ht="15" customHeight="1" x14ac:dyDescent="0.2">
      <c r="A221" s="205">
        <v>480</v>
      </c>
      <c r="B221" s="113">
        <v>480</v>
      </c>
      <c r="C221" s="65">
        <v>1300051747708</v>
      </c>
      <c r="D221" s="205"/>
      <c r="E221" s="113"/>
      <c r="F221" s="65"/>
      <c r="G221" s="66" t="s">
        <v>1429</v>
      </c>
      <c r="H221" s="70">
        <v>1.234</v>
      </c>
      <c r="I221" s="71">
        <v>210.51</v>
      </c>
      <c r="J221" s="71">
        <v>3.8</v>
      </c>
      <c r="K221" s="71">
        <v>3.8</v>
      </c>
      <c r="L221" s="72"/>
      <c r="M221" s="73"/>
      <c r="N221" s="73"/>
      <c r="O221" s="73"/>
    </row>
    <row r="222" spans="1:15" ht="15" customHeight="1" x14ac:dyDescent="0.2">
      <c r="A222" s="205">
        <v>481</v>
      </c>
      <c r="B222" s="113">
        <v>481</v>
      </c>
      <c r="C222" s="65">
        <v>1300035356255</v>
      </c>
      <c r="D222" s="205"/>
      <c r="E222" s="113"/>
      <c r="F222" s="65"/>
      <c r="G222" s="66" t="s">
        <v>1430</v>
      </c>
      <c r="H222" s="70"/>
      <c r="I222" s="71">
        <v>105.25</v>
      </c>
      <c r="J222" s="71">
        <v>4.18</v>
      </c>
      <c r="K222" s="71">
        <v>4.18</v>
      </c>
      <c r="L222" s="72"/>
      <c r="M222" s="73"/>
      <c r="N222" s="73"/>
      <c r="O222" s="73"/>
    </row>
    <row r="223" spans="1:15" ht="15" customHeight="1" x14ac:dyDescent="0.2">
      <c r="A223" s="205">
        <v>482</v>
      </c>
      <c r="B223" s="113">
        <v>482</v>
      </c>
      <c r="C223" s="65">
        <v>1300035352906</v>
      </c>
      <c r="D223" s="205"/>
      <c r="E223" s="113"/>
      <c r="F223" s="65"/>
      <c r="G223" s="66" t="s">
        <v>1431</v>
      </c>
      <c r="H223" s="70">
        <v>0.28100000000000003</v>
      </c>
      <c r="I223" s="71">
        <v>210.51</v>
      </c>
      <c r="J223" s="71">
        <v>10.64</v>
      </c>
      <c r="K223" s="71">
        <v>10.64</v>
      </c>
      <c r="L223" s="72"/>
      <c r="M223" s="73"/>
      <c r="N223" s="73"/>
      <c r="O223" s="73"/>
    </row>
    <row r="224" spans="1:15" ht="15" customHeight="1" x14ac:dyDescent="0.2">
      <c r="A224" s="205">
        <v>483</v>
      </c>
      <c r="B224" s="113">
        <v>483</v>
      </c>
      <c r="C224" s="65">
        <v>1300052598765</v>
      </c>
      <c r="D224" s="205">
        <v>716</v>
      </c>
      <c r="E224" s="113">
        <v>716</v>
      </c>
      <c r="F224" s="65">
        <v>1300060245403</v>
      </c>
      <c r="G224" s="66" t="s">
        <v>1432</v>
      </c>
      <c r="H224" s="70">
        <v>0.879</v>
      </c>
      <c r="I224" s="71">
        <v>3.39</v>
      </c>
      <c r="J224" s="71">
        <v>1.98</v>
      </c>
      <c r="K224" s="71">
        <v>1.98</v>
      </c>
      <c r="L224" s="72"/>
      <c r="M224" s="73"/>
      <c r="N224" s="73"/>
      <c r="O224" s="73"/>
    </row>
    <row r="225" spans="1:15" ht="15" customHeight="1" x14ac:dyDescent="0.2">
      <c r="A225" s="205">
        <v>484</v>
      </c>
      <c r="B225" s="113">
        <v>484</v>
      </c>
      <c r="C225" s="65">
        <v>1300035355999</v>
      </c>
      <c r="D225" s="205">
        <v>702</v>
      </c>
      <c r="E225" s="113">
        <v>702</v>
      </c>
      <c r="F225" s="65">
        <v>1300050867755</v>
      </c>
      <c r="G225" s="66" t="s">
        <v>1433</v>
      </c>
      <c r="H225" s="70">
        <v>0.97199999999999998</v>
      </c>
      <c r="I225" s="71">
        <v>366.65</v>
      </c>
      <c r="J225" s="71">
        <v>1.91</v>
      </c>
      <c r="K225" s="71">
        <v>1.91</v>
      </c>
      <c r="L225" s="72"/>
      <c r="M225" s="73"/>
      <c r="N225" s="73"/>
      <c r="O225" s="73"/>
    </row>
    <row r="226" spans="1:15" ht="15" customHeight="1" x14ac:dyDescent="0.2">
      <c r="A226" s="205">
        <v>486</v>
      </c>
      <c r="B226" s="113">
        <v>486</v>
      </c>
      <c r="C226" s="65">
        <v>1300060340420</v>
      </c>
      <c r="D226" s="205"/>
      <c r="E226" s="113"/>
      <c r="F226" s="65"/>
      <c r="G226" s="66" t="s">
        <v>1434</v>
      </c>
      <c r="H226" s="70">
        <v>1.7230000000000001</v>
      </c>
      <c r="I226" s="71">
        <v>2881.4</v>
      </c>
      <c r="J226" s="71">
        <v>6.26</v>
      </c>
      <c r="K226" s="71">
        <v>6.26</v>
      </c>
      <c r="L226" s="72"/>
      <c r="M226" s="73"/>
      <c r="N226" s="73"/>
      <c r="O226" s="73"/>
    </row>
    <row r="227" spans="1:15" ht="15" customHeight="1" x14ac:dyDescent="0.2">
      <c r="A227" s="205">
        <v>487</v>
      </c>
      <c r="B227" s="113">
        <v>487</v>
      </c>
      <c r="C227" s="65">
        <v>1300035349480</v>
      </c>
      <c r="D227" s="205"/>
      <c r="E227" s="113"/>
      <c r="F227" s="65"/>
      <c r="G227" s="66" t="s">
        <v>1435</v>
      </c>
      <c r="H227" s="70"/>
      <c r="I227" s="71">
        <v>3922.61</v>
      </c>
      <c r="J227" s="71">
        <v>5.96</v>
      </c>
      <c r="K227" s="71">
        <v>5.96</v>
      </c>
      <c r="L227" s="72"/>
      <c r="M227" s="73"/>
      <c r="N227" s="73"/>
      <c r="O227" s="73"/>
    </row>
    <row r="228" spans="1:15" ht="15" customHeight="1" x14ac:dyDescent="0.2">
      <c r="A228" s="205">
        <v>488</v>
      </c>
      <c r="B228" s="113">
        <v>488</v>
      </c>
      <c r="C228" s="65">
        <v>1300060436633</v>
      </c>
      <c r="D228" s="205"/>
      <c r="E228" s="113"/>
      <c r="F228" s="65"/>
      <c r="G228" s="66" t="s">
        <v>1436</v>
      </c>
      <c r="H228" s="70">
        <v>0.73699999999999999</v>
      </c>
      <c r="I228" s="71">
        <v>2690.83</v>
      </c>
      <c r="J228" s="71">
        <v>6.01</v>
      </c>
      <c r="K228" s="71">
        <v>6.01</v>
      </c>
      <c r="L228" s="72"/>
      <c r="M228" s="73"/>
      <c r="N228" s="73"/>
      <c r="O228" s="73"/>
    </row>
    <row r="229" spans="1:15" ht="15" customHeight="1" x14ac:dyDescent="0.2">
      <c r="A229" s="205">
        <v>489</v>
      </c>
      <c r="B229" s="113">
        <v>489</v>
      </c>
      <c r="C229" s="65">
        <v>1300060222169</v>
      </c>
      <c r="D229" s="205"/>
      <c r="E229" s="113"/>
      <c r="F229" s="65"/>
      <c r="G229" s="66" t="s">
        <v>1437</v>
      </c>
      <c r="H229" s="70">
        <v>0.83799999999999997</v>
      </c>
      <c r="I229" s="71">
        <v>592.82000000000005</v>
      </c>
      <c r="J229" s="71">
        <v>4.8600000000000003</v>
      </c>
      <c r="K229" s="71">
        <v>4.8600000000000003</v>
      </c>
      <c r="L229" s="72"/>
      <c r="M229" s="73"/>
      <c r="N229" s="73"/>
      <c r="O229" s="73"/>
    </row>
    <row r="230" spans="1:15" ht="15" customHeight="1" x14ac:dyDescent="0.2">
      <c r="A230" s="205">
        <v>491</v>
      </c>
      <c r="B230" s="113">
        <v>491</v>
      </c>
      <c r="C230" s="65">
        <v>1300060610284</v>
      </c>
      <c r="D230" s="205"/>
      <c r="E230" s="113"/>
      <c r="F230" s="65"/>
      <c r="G230" s="66" t="s">
        <v>1438</v>
      </c>
      <c r="H230" s="70"/>
      <c r="I230" s="71">
        <v>149.54</v>
      </c>
      <c r="J230" s="71">
        <v>2.37</v>
      </c>
      <c r="K230" s="71">
        <v>2.37</v>
      </c>
      <c r="L230" s="72"/>
      <c r="M230" s="73"/>
      <c r="N230" s="73"/>
      <c r="O230" s="73"/>
    </row>
    <row r="231" spans="1:15" ht="15" customHeight="1" x14ac:dyDescent="0.2">
      <c r="A231" s="205">
        <v>837</v>
      </c>
      <c r="B231" s="113">
        <v>837</v>
      </c>
      <c r="C231" s="65">
        <v>1300060736711</v>
      </c>
      <c r="D231" s="205">
        <v>662</v>
      </c>
      <c r="E231" s="113">
        <v>662</v>
      </c>
      <c r="F231" s="65">
        <v>1300060736720</v>
      </c>
      <c r="G231" s="66" t="s">
        <v>1439</v>
      </c>
      <c r="H231" s="70"/>
      <c r="I231" s="71">
        <v>19.71</v>
      </c>
      <c r="J231" s="71">
        <v>4.13</v>
      </c>
      <c r="K231" s="71">
        <v>4.13</v>
      </c>
      <c r="L231" s="72">
        <v>-0.158</v>
      </c>
      <c r="M231" s="73">
        <v>438.01</v>
      </c>
      <c r="N231" s="73">
        <v>0.05</v>
      </c>
      <c r="O231" s="73">
        <v>0.05</v>
      </c>
    </row>
    <row r="232" spans="1:15" ht="15" customHeight="1" x14ac:dyDescent="0.2">
      <c r="A232" s="205">
        <v>884</v>
      </c>
      <c r="B232" s="113">
        <v>884</v>
      </c>
      <c r="C232" s="65">
        <v>1300060707491</v>
      </c>
      <c r="D232" s="205">
        <v>664</v>
      </c>
      <c r="E232" s="113">
        <v>664</v>
      </c>
      <c r="F232" s="65">
        <v>1300060707507</v>
      </c>
      <c r="G232" s="66" t="s">
        <v>1210</v>
      </c>
      <c r="H232" s="70"/>
      <c r="I232" s="71">
        <v>11.82</v>
      </c>
      <c r="J232" s="71">
        <v>4.0199999999999996</v>
      </c>
      <c r="K232" s="71">
        <v>4.0199999999999996</v>
      </c>
      <c r="L232" s="72"/>
      <c r="M232" s="73">
        <v>989.23</v>
      </c>
      <c r="N232" s="73">
        <v>0.05</v>
      </c>
      <c r="O232" s="73">
        <v>0.05</v>
      </c>
    </row>
    <row r="233" spans="1:15" ht="15" customHeight="1" x14ac:dyDescent="0.2">
      <c r="A233" s="205">
        <v>885</v>
      </c>
      <c r="B233" s="113">
        <v>885</v>
      </c>
      <c r="C233" s="65">
        <v>1300060729547</v>
      </c>
      <c r="D233" s="205">
        <v>615</v>
      </c>
      <c r="E233" s="113">
        <v>615</v>
      </c>
      <c r="F233" s="65">
        <v>1300060729556</v>
      </c>
      <c r="G233" s="66" t="s">
        <v>1440</v>
      </c>
      <c r="H233" s="70"/>
      <c r="I233" s="71">
        <v>268.42</v>
      </c>
      <c r="J233" s="71">
        <v>4.59</v>
      </c>
      <c r="K233" s="71">
        <v>4.59</v>
      </c>
      <c r="L233" s="72">
        <v>-0.81399999999999995</v>
      </c>
      <c r="M233" s="73">
        <v>6746.68</v>
      </c>
      <c r="N233" s="73">
        <v>0.05</v>
      </c>
      <c r="O233" s="73">
        <v>0.05</v>
      </c>
    </row>
    <row r="234" spans="1:15" ht="15" customHeight="1" x14ac:dyDescent="0.2">
      <c r="A234" s="205" t="s">
        <v>1206</v>
      </c>
      <c r="B234" s="113" t="s">
        <v>1206</v>
      </c>
      <c r="C234" s="205" t="s">
        <v>1206</v>
      </c>
      <c r="D234" s="113" t="s">
        <v>1206</v>
      </c>
      <c r="E234" s="205" t="s">
        <v>1206</v>
      </c>
      <c r="F234" s="113" t="s">
        <v>1206</v>
      </c>
      <c r="G234" s="66" t="s">
        <v>1211</v>
      </c>
      <c r="H234" s="70"/>
      <c r="I234" s="71">
        <v>12.9</v>
      </c>
      <c r="J234" s="71">
        <v>4.2</v>
      </c>
      <c r="K234" s="71">
        <v>4.2</v>
      </c>
      <c r="L234" s="72">
        <v>-0.25900000000000001</v>
      </c>
      <c r="M234" s="73">
        <v>2302.83</v>
      </c>
      <c r="N234" s="73">
        <v>0.05</v>
      </c>
      <c r="O234" s="73">
        <v>0.05</v>
      </c>
    </row>
    <row r="235" spans="1:15" ht="15" customHeight="1" x14ac:dyDescent="0.2">
      <c r="A235" s="205" t="s">
        <v>1207</v>
      </c>
      <c r="B235" s="113" t="s">
        <v>1207</v>
      </c>
      <c r="C235" s="205" t="s">
        <v>1207</v>
      </c>
      <c r="D235" s="113" t="s">
        <v>1207</v>
      </c>
      <c r="E235" s="205" t="s">
        <v>1207</v>
      </c>
      <c r="F235" s="113" t="s">
        <v>1207</v>
      </c>
      <c r="G235" s="66" t="s">
        <v>1212</v>
      </c>
      <c r="H235" s="70"/>
      <c r="I235" s="71">
        <v>965.69</v>
      </c>
      <c r="J235" s="71">
        <v>2.46</v>
      </c>
      <c r="K235" s="71">
        <v>2.46</v>
      </c>
      <c r="L235" s="72"/>
      <c r="M235" s="73">
        <v>965.69</v>
      </c>
      <c r="N235" s="73">
        <v>0.05</v>
      </c>
      <c r="O235" s="73">
        <v>0.05</v>
      </c>
    </row>
    <row r="236" spans="1:15" ht="15" customHeight="1" x14ac:dyDescent="0.2">
      <c r="A236" s="205" t="s">
        <v>1208</v>
      </c>
      <c r="B236" s="113" t="s">
        <v>1208</v>
      </c>
      <c r="C236" s="205" t="s">
        <v>1208</v>
      </c>
      <c r="D236" s="113" t="s">
        <v>1208</v>
      </c>
      <c r="E236" s="205" t="s">
        <v>1208</v>
      </c>
      <c r="F236" s="113" t="s">
        <v>1208</v>
      </c>
      <c r="G236" s="66" t="s">
        <v>1213</v>
      </c>
      <c r="H236" s="70">
        <v>0.25700000000000001</v>
      </c>
      <c r="I236" s="71">
        <v>1283.3699999999999</v>
      </c>
      <c r="J236" s="71">
        <v>4.0199999999999996</v>
      </c>
      <c r="K236" s="71">
        <v>4.0199999999999996</v>
      </c>
      <c r="L236" s="72">
        <v>-0.26200000000000001</v>
      </c>
      <c r="M236" s="73">
        <v>1283.3699999999999</v>
      </c>
      <c r="N236" s="73">
        <v>0.05</v>
      </c>
      <c r="O236" s="73">
        <v>0.05</v>
      </c>
    </row>
    <row r="237" spans="1:15" ht="15" customHeight="1" x14ac:dyDescent="0.2">
      <c r="A237" s="205">
        <v>818</v>
      </c>
      <c r="B237" s="113">
        <v>818</v>
      </c>
      <c r="C237" s="65">
        <v>1300060748460</v>
      </c>
      <c r="D237" s="205">
        <v>680</v>
      </c>
      <c r="E237" s="113">
        <v>680</v>
      </c>
      <c r="F237" s="65">
        <v>1300060748470</v>
      </c>
      <c r="G237" s="66" t="s">
        <v>1441</v>
      </c>
      <c r="H237" s="70"/>
      <c r="I237" s="71">
        <v>282.35000000000002</v>
      </c>
      <c r="J237" s="71">
        <v>4.0199999999999996</v>
      </c>
      <c r="K237" s="71">
        <v>4.0199999999999996</v>
      </c>
      <c r="L237" s="72"/>
      <c r="M237" s="73">
        <v>6732.75</v>
      </c>
      <c r="N237" s="73">
        <v>0.05</v>
      </c>
      <c r="O237" s="73">
        <v>0.05</v>
      </c>
    </row>
    <row r="238" spans="1:15" ht="15" customHeight="1" x14ac:dyDescent="0.2">
      <c r="A238" s="205" t="s">
        <v>1209</v>
      </c>
      <c r="B238" s="113" t="s">
        <v>1209</v>
      </c>
      <c r="C238" s="205" t="s">
        <v>1209</v>
      </c>
      <c r="D238" s="113" t="s">
        <v>1209</v>
      </c>
      <c r="E238" s="205" t="s">
        <v>1209</v>
      </c>
      <c r="F238" s="113" t="s">
        <v>1209</v>
      </c>
      <c r="G238" s="66" t="s">
        <v>1214</v>
      </c>
      <c r="H238" s="70"/>
      <c r="I238" s="71">
        <v>3.17</v>
      </c>
      <c r="J238" s="71">
        <v>4.0199999999999996</v>
      </c>
      <c r="K238" s="71">
        <v>4.0199999999999996</v>
      </c>
      <c r="L238" s="72"/>
      <c r="M238" s="73">
        <v>634.73</v>
      </c>
      <c r="N238" s="73">
        <v>0.05</v>
      </c>
      <c r="O238" s="73">
        <v>0.05</v>
      </c>
    </row>
    <row r="239" spans="1:15" ht="15" customHeight="1" x14ac:dyDescent="0.2">
      <c r="A239" s="197"/>
      <c r="B239" s="113"/>
      <c r="C239" s="65"/>
      <c r="D239" s="197"/>
      <c r="E239" s="113"/>
      <c r="F239" s="65"/>
      <c r="G239" s="66"/>
      <c r="H239" s="70"/>
      <c r="I239" s="71"/>
      <c r="J239" s="71"/>
      <c r="K239" s="71"/>
      <c r="L239" s="72"/>
      <c r="M239" s="73"/>
      <c r="N239" s="73"/>
      <c r="O239" s="73"/>
    </row>
    <row r="240" spans="1:15" ht="15" customHeight="1" x14ac:dyDescent="0.2">
      <c r="A240" s="197"/>
      <c r="B240" s="113"/>
      <c r="C240" s="65"/>
      <c r="D240" s="197"/>
      <c r="E240" s="113"/>
      <c r="F240" s="65"/>
      <c r="G240" s="66"/>
      <c r="H240" s="70"/>
      <c r="I240" s="71"/>
      <c r="J240" s="71"/>
      <c r="K240" s="71"/>
      <c r="L240" s="72"/>
      <c r="M240" s="73"/>
      <c r="N240" s="73"/>
      <c r="O240" s="73"/>
    </row>
    <row r="241" spans="1:15" ht="15" customHeight="1" x14ac:dyDescent="0.2">
      <c r="A241" s="197"/>
      <c r="B241" s="113"/>
      <c r="C241" s="65"/>
      <c r="D241" s="197"/>
      <c r="E241" s="113"/>
      <c r="F241" s="65"/>
      <c r="G241" s="66"/>
      <c r="H241" s="70"/>
      <c r="I241" s="71"/>
      <c r="J241" s="71"/>
      <c r="K241" s="71"/>
      <c r="L241" s="72"/>
      <c r="M241" s="73"/>
      <c r="N241" s="73"/>
      <c r="O241" s="73"/>
    </row>
    <row r="242" spans="1:15" ht="15" customHeight="1" x14ac:dyDescent="0.2">
      <c r="A242" s="197"/>
      <c r="B242" s="113"/>
      <c r="C242" s="65"/>
      <c r="D242" s="197"/>
      <c r="E242" s="113"/>
      <c r="F242" s="65"/>
      <c r="G242" s="66"/>
      <c r="H242" s="70"/>
      <c r="I242" s="71"/>
      <c r="J242" s="71"/>
      <c r="K242" s="71"/>
      <c r="L242" s="72"/>
      <c r="M242" s="73"/>
      <c r="N242" s="73"/>
      <c r="O242" s="73"/>
    </row>
    <row r="243" spans="1:15" ht="15" customHeight="1" x14ac:dyDescent="0.2">
      <c r="A243" s="197"/>
      <c r="B243" s="113"/>
      <c r="C243" s="65"/>
      <c r="D243" s="197"/>
      <c r="E243" s="113"/>
      <c r="F243" s="65"/>
      <c r="G243" s="66"/>
      <c r="H243" s="70"/>
      <c r="I243" s="71"/>
      <c r="J243" s="71"/>
      <c r="K243" s="71"/>
      <c r="L243" s="72"/>
      <c r="M243" s="73"/>
      <c r="N243" s="73"/>
      <c r="O243" s="73"/>
    </row>
    <row r="244" spans="1:15" ht="15" customHeight="1" x14ac:dyDescent="0.2">
      <c r="A244" s="197"/>
      <c r="B244" s="113"/>
      <c r="C244" s="65"/>
      <c r="D244" s="197"/>
      <c r="E244" s="113"/>
      <c r="F244" s="65"/>
      <c r="G244" s="66"/>
      <c r="H244" s="70"/>
      <c r="I244" s="71"/>
      <c r="J244" s="71"/>
      <c r="K244" s="71"/>
      <c r="L244" s="72"/>
      <c r="M244" s="73"/>
      <c r="N244" s="73"/>
      <c r="O244" s="73"/>
    </row>
    <row r="245" spans="1:15" ht="15" customHeight="1" x14ac:dyDescent="0.2">
      <c r="A245" s="197"/>
      <c r="B245" s="113"/>
      <c r="C245" s="65"/>
      <c r="D245" s="197"/>
      <c r="E245" s="113"/>
      <c r="F245" s="65"/>
      <c r="G245" s="66"/>
      <c r="H245" s="70"/>
      <c r="I245" s="71"/>
      <c r="J245" s="71"/>
      <c r="K245" s="71"/>
      <c r="L245" s="72"/>
      <c r="M245" s="73"/>
      <c r="N245" s="73"/>
      <c r="O245" s="73"/>
    </row>
    <row r="246" spans="1:15" ht="15" customHeight="1" x14ac:dyDescent="0.2">
      <c r="A246" s="197"/>
      <c r="B246" s="113"/>
      <c r="C246" s="65"/>
      <c r="D246" s="197"/>
      <c r="E246" s="113"/>
      <c r="F246" s="65"/>
      <c r="G246" s="66"/>
      <c r="H246" s="70"/>
      <c r="I246" s="71"/>
      <c r="J246" s="71"/>
      <c r="K246" s="71"/>
      <c r="L246" s="72"/>
      <c r="M246" s="73"/>
      <c r="N246" s="73"/>
      <c r="O246" s="73"/>
    </row>
    <row r="247" spans="1:15" ht="15" customHeight="1" x14ac:dyDescent="0.2">
      <c r="A247" s="197"/>
      <c r="B247" s="113"/>
      <c r="C247" s="65"/>
      <c r="D247" s="197"/>
      <c r="E247" s="113"/>
      <c r="F247" s="65"/>
      <c r="G247" s="66"/>
      <c r="H247" s="70"/>
      <c r="I247" s="71"/>
      <c r="J247" s="71"/>
      <c r="K247" s="71"/>
      <c r="L247" s="72"/>
      <c r="M247" s="73"/>
      <c r="N247" s="73"/>
      <c r="O247" s="73"/>
    </row>
    <row r="248" spans="1:15" ht="15" customHeight="1" x14ac:dyDescent="0.2">
      <c r="A248" s="53"/>
      <c r="B248" s="113"/>
      <c r="C248" s="65"/>
      <c r="D248" s="54"/>
      <c r="E248" s="113"/>
      <c r="F248" s="65"/>
      <c r="G248" s="66"/>
      <c r="H248" s="70"/>
      <c r="I248" s="71"/>
      <c r="J248" s="71"/>
      <c r="K248" s="71"/>
      <c r="L248" s="72"/>
      <c r="M248" s="73"/>
      <c r="N248" s="73"/>
      <c r="O248" s="73"/>
    </row>
    <row r="249" spans="1:15" ht="15" customHeight="1" x14ac:dyDescent="0.2">
      <c r="A249" s="53"/>
      <c r="B249" s="113"/>
      <c r="C249" s="65"/>
      <c r="D249" s="54"/>
      <c r="E249" s="113"/>
      <c r="F249" s="65"/>
      <c r="G249" s="66"/>
      <c r="H249" s="70"/>
      <c r="I249" s="71"/>
      <c r="J249" s="71"/>
      <c r="K249" s="71"/>
      <c r="L249" s="72"/>
      <c r="M249" s="73"/>
      <c r="N249" s="73"/>
      <c r="O249" s="73"/>
    </row>
    <row r="250" spans="1:15" ht="15" customHeight="1" x14ac:dyDescent="0.2">
      <c r="A250" s="53"/>
      <c r="B250" s="113"/>
      <c r="C250" s="65"/>
      <c r="D250" s="54"/>
      <c r="E250" s="113"/>
      <c r="F250" s="65"/>
      <c r="G250" s="66"/>
      <c r="H250" s="70"/>
      <c r="I250" s="71"/>
      <c r="J250" s="71"/>
      <c r="K250" s="71"/>
      <c r="L250" s="72"/>
      <c r="M250" s="73"/>
      <c r="N250" s="73"/>
      <c r="O250" s="73"/>
    </row>
    <row r="251" spans="1:15" ht="15" customHeight="1" x14ac:dyDescent="0.2">
      <c r="A251" s="53"/>
      <c r="B251" s="113"/>
      <c r="C251" s="65"/>
      <c r="D251" s="54"/>
      <c r="E251" s="113"/>
      <c r="F251" s="65"/>
      <c r="G251" s="66"/>
      <c r="H251" s="70"/>
      <c r="I251" s="71"/>
      <c r="J251" s="71"/>
      <c r="K251" s="71"/>
      <c r="L251" s="72"/>
      <c r="M251" s="73"/>
      <c r="N251" s="73"/>
      <c r="O251" s="73"/>
    </row>
    <row r="252" spans="1:15" ht="15" customHeight="1" x14ac:dyDescent="0.2">
      <c r="A252" s="53"/>
      <c r="B252" s="113"/>
      <c r="C252" s="65"/>
      <c r="D252" s="54"/>
      <c r="E252" s="113"/>
      <c r="F252" s="65"/>
      <c r="G252" s="66"/>
      <c r="H252" s="70"/>
      <c r="I252" s="71"/>
      <c r="J252" s="71"/>
      <c r="K252" s="71"/>
      <c r="L252" s="72"/>
      <c r="M252" s="73"/>
      <c r="N252" s="73"/>
      <c r="O252" s="73"/>
    </row>
    <row r="253" spans="1:15" ht="15" customHeight="1" x14ac:dyDescent="0.2">
      <c r="A253" s="53"/>
      <c r="B253" s="113"/>
      <c r="C253" s="65"/>
      <c r="D253" s="54"/>
      <c r="E253" s="113"/>
      <c r="F253" s="65"/>
      <c r="G253" s="66"/>
      <c r="H253" s="70"/>
      <c r="I253" s="71"/>
      <c r="J253" s="71"/>
      <c r="K253" s="71"/>
      <c r="L253" s="72"/>
      <c r="M253" s="73"/>
      <c r="N253" s="73"/>
      <c r="O253" s="73"/>
    </row>
    <row r="254" spans="1:15" ht="15" customHeight="1" x14ac:dyDescent="0.2">
      <c r="A254" s="53"/>
      <c r="B254" s="113"/>
      <c r="C254" s="65"/>
      <c r="D254" s="54"/>
      <c r="E254" s="113"/>
      <c r="F254" s="65"/>
      <c r="G254" s="66"/>
      <c r="H254" s="70"/>
      <c r="I254" s="71"/>
      <c r="J254" s="71"/>
      <c r="K254" s="71"/>
      <c r="L254" s="72"/>
      <c r="M254" s="73"/>
      <c r="N254" s="73"/>
      <c r="O254" s="73"/>
    </row>
    <row r="255" spans="1:15" ht="15" customHeight="1" x14ac:dyDescent="0.2">
      <c r="A255" s="53"/>
      <c r="B255" s="113"/>
      <c r="C255" s="65"/>
      <c r="D255" s="54"/>
      <c r="E255" s="113"/>
      <c r="F255" s="65"/>
      <c r="G255" s="66"/>
      <c r="H255" s="70"/>
      <c r="I255" s="71"/>
      <c r="J255" s="71"/>
      <c r="K255" s="71"/>
      <c r="L255" s="72"/>
      <c r="M255" s="73"/>
      <c r="N255" s="73"/>
      <c r="O255" s="73"/>
    </row>
    <row r="256" spans="1:15" ht="15" customHeight="1" x14ac:dyDescent="0.2">
      <c r="A256" s="53"/>
      <c r="B256" s="113"/>
      <c r="C256" s="65"/>
      <c r="D256" s="54"/>
      <c r="E256" s="113"/>
      <c r="F256" s="65"/>
      <c r="G256" s="66"/>
      <c r="H256" s="70"/>
      <c r="I256" s="71"/>
      <c r="J256" s="71"/>
      <c r="K256" s="71"/>
      <c r="L256" s="72"/>
      <c r="M256" s="73"/>
      <c r="N256" s="73"/>
      <c r="O256" s="73"/>
    </row>
    <row r="257" spans="1:15" ht="15" customHeight="1" x14ac:dyDescent="0.2">
      <c r="A257" s="53"/>
      <c r="B257" s="113"/>
      <c r="C257" s="65"/>
      <c r="D257" s="54"/>
      <c r="E257" s="113"/>
      <c r="F257" s="65"/>
      <c r="G257" s="66"/>
      <c r="H257" s="70"/>
      <c r="I257" s="71"/>
      <c r="J257" s="71"/>
      <c r="K257" s="71"/>
      <c r="L257" s="72"/>
      <c r="M257" s="73"/>
      <c r="N257" s="73"/>
      <c r="O257" s="73"/>
    </row>
    <row r="258" spans="1:15" ht="15" customHeight="1" x14ac:dyDescent="0.2">
      <c r="A258" s="53"/>
      <c r="B258" s="113"/>
      <c r="C258" s="65"/>
      <c r="D258" s="54"/>
      <c r="E258" s="113"/>
      <c r="F258" s="65"/>
      <c r="G258" s="66"/>
      <c r="H258" s="70"/>
      <c r="I258" s="71"/>
      <c r="J258" s="71"/>
      <c r="K258" s="71"/>
      <c r="L258" s="72"/>
      <c r="M258" s="73"/>
      <c r="N258" s="73"/>
      <c r="O258" s="73"/>
    </row>
    <row r="259" spans="1:15" ht="15" customHeight="1" x14ac:dyDescent="0.2">
      <c r="A259" s="53"/>
      <c r="B259" s="113"/>
      <c r="C259" s="65"/>
      <c r="D259" s="54"/>
      <c r="E259" s="113"/>
      <c r="F259" s="65"/>
      <c r="G259" s="66"/>
      <c r="H259" s="70"/>
      <c r="I259" s="71"/>
      <c r="J259" s="71"/>
      <c r="K259" s="71"/>
      <c r="L259" s="72"/>
      <c r="M259" s="73"/>
      <c r="N259" s="73"/>
      <c r="O259" s="73"/>
    </row>
  </sheetData>
  <autoFilter ref="A10:O238" xr:uid="{00000000-0009-0000-0000-000002000000}"/>
  <mergeCells count="12">
    <mergeCell ref="D7:F7"/>
    <mergeCell ref="D8:F8"/>
    <mergeCell ref="A5:C5"/>
    <mergeCell ref="A6:C6"/>
    <mergeCell ref="A7:C7"/>
    <mergeCell ref="A8:C8"/>
    <mergeCell ref="A4:F4"/>
    <mergeCell ref="D5:F5"/>
    <mergeCell ref="D6:F6"/>
    <mergeCell ref="F1:O1"/>
    <mergeCell ref="A2:O2"/>
    <mergeCell ref="C1:D1"/>
  </mergeCells>
  <hyperlinks>
    <hyperlink ref="A1" location="Overview!A1" display="Back to Overview" xr:uid="{00000000-0004-0000-0200-000000000000}"/>
  </hyperlinks>
  <pageMargins left="0.39370078740157483" right="0.35433070866141736" top="0.86614173228346458" bottom="0.55118110236220474" header="0.27559055118110237" footer="0.27559055118110237"/>
  <pageSetup paperSize="8" scale="52" fitToHeight="0" orientation="landscape" r:id="rId1"/>
  <headerFooter differentFirst="1" scaleWithDoc="0">
    <oddFooter>&amp;L&amp;8Note: The list of MPANs / MSIDs provided may be incomplete; the DNO reserves the right to apply the listed charges to any other MPANs / MSIDs associated with the site.&amp;R&amp;8&amp;P of &amp;N&amp;C&amp;1#&amp;"Calibri"&amp;12&amp;K008000Internal Use</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&amp;N&amp;C&amp;1#&amp;"Calibri"&amp;12&amp;K008000Internal Use</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N254"/>
  <sheetViews>
    <sheetView zoomScale="90" zoomScaleNormal="90" zoomScaleSheetLayoutView="100" workbookViewId="0">
      <selection activeCell="A2" sqref="A2:H2"/>
    </sheetView>
  </sheetViews>
  <sheetFormatPr defaultRowHeight="12.75" x14ac:dyDescent="0.2"/>
  <cols>
    <col min="1" max="1" width="14.7109375" style="59" customWidth="1"/>
    <col min="2" max="2" width="8.7109375" style="59" customWidth="1"/>
    <col min="3" max="3" width="15.7109375" style="67" bestFit="1" customWidth="1"/>
    <col min="4" max="4" width="50.7109375" style="67" customWidth="1"/>
    <col min="5" max="5" width="14.7109375" style="68" customWidth="1"/>
    <col min="6" max="7" width="14.7109375" style="69" customWidth="1"/>
    <col min="8" max="8" width="14.7109375" style="59" customWidth="1"/>
    <col min="9" max="9" width="15.5703125" style="59" customWidth="1"/>
    <col min="10" max="13" width="9.140625" style="59"/>
    <col min="14" max="14" width="9.42578125" style="59" bestFit="1" customWidth="1"/>
    <col min="15" max="16384" width="9.140625" style="59"/>
  </cols>
  <sheetData>
    <row r="1" spans="1:14" ht="66.75" customHeight="1" x14ac:dyDescent="0.2">
      <c r="A1" s="249" t="s">
        <v>520</v>
      </c>
      <c r="B1" s="249"/>
      <c r="C1" s="249"/>
      <c r="D1" s="249"/>
      <c r="E1" s="249"/>
      <c r="F1" s="249"/>
      <c r="G1" s="249"/>
      <c r="H1" s="249"/>
    </row>
    <row r="2" spans="1:14" s="60" customFormat="1" ht="25.5" customHeight="1" x14ac:dyDescent="0.2">
      <c r="A2" s="253" t="str">
        <f>Overview!B4&amp; " - Effective from "&amp;Overview!D4&amp;" - "&amp;Overview!E4&amp;" EDCM import charges"</f>
        <v>SP Manweb - Effective from 1 April 2019 - Final EDCM import charges</v>
      </c>
      <c r="B2" s="254"/>
      <c r="C2" s="254"/>
      <c r="D2" s="254"/>
      <c r="E2" s="254"/>
      <c r="F2" s="254"/>
      <c r="G2" s="254"/>
      <c r="H2" s="255"/>
    </row>
    <row r="3" spans="1:14" s="98" customFormat="1" ht="18" x14ac:dyDescent="0.2">
      <c r="A3" s="104"/>
      <c r="B3" s="104"/>
      <c r="C3" s="104"/>
      <c r="D3" s="105"/>
      <c r="E3" s="106"/>
      <c r="F3" s="106"/>
      <c r="G3" s="107"/>
      <c r="H3" s="107"/>
      <c r="I3" s="95"/>
      <c r="J3" s="95"/>
      <c r="K3" s="95"/>
      <c r="L3" s="95"/>
      <c r="M3" s="95"/>
      <c r="N3" s="95"/>
    </row>
    <row r="4" spans="1:14" ht="60.75" customHeight="1" x14ac:dyDescent="0.2">
      <c r="A4" s="61" t="s">
        <v>489</v>
      </c>
      <c r="B4" s="62" t="s">
        <v>473</v>
      </c>
      <c r="C4" s="61" t="s">
        <v>474</v>
      </c>
      <c r="D4" s="63" t="s">
        <v>184</v>
      </c>
      <c r="E4" s="157" t="str">
        <f>'Annex 2 EHV charges'!H10</f>
        <v>Import
Super Red
unit charge
(p/kWh)</v>
      </c>
      <c r="F4" s="157" t="str">
        <f>'Annex 2 EHV charges'!I10</f>
        <v>Import
fixed charge
(p/day)</v>
      </c>
      <c r="G4" s="157" t="str">
        <f>'Annex 2 EHV charges'!J10</f>
        <v>Import
capacity charge
(p/kVA/day)</v>
      </c>
      <c r="H4" s="157" t="str">
        <f>'Annex 2 EHV charges'!K10</f>
        <v>Import
exceeded capacity charge
(p/kVA/day)</v>
      </c>
    </row>
    <row r="5" spans="1:14" ht="12.75" customHeight="1" x14ac:dyDescent="0.2">
      <c r="A5" s="114">
        <f t="array" ref="A5">IFERROR(INDEX('Annex 2 EHV charges'!$A$11:$A$259, MATCH(0, IF(ISBLANK('Annex 2 EHV charges'!$A$11:$A$259),1, COUNTIF(A$4:$A4, 'Annex 2 EHV charges'!$A$11:$A$259)), 0)),"")</f>
        <v>803</v>
      </c>
      <c r="B5" s="114">
        <f>IF($A5="","",VLOOKUP($A5,'Annex 2 EHV charges'!$A:$O,2,0))</f>
        <v>803</v>
      </c>
      <c r="C5" s="115">
        <f>IF($A5="","",VLOOKUP($A5,'Annex 2 EHV charges'!$A:$O,3,0))</f>
        <v>1300035361194</v>
      </c>
      <c r="D5" s="114" t="str">
        <f>IF($A5="","",VLOOKUP($A5,'Annex 2 EHV charges'!$A:$O,7,0))</f>
        <v>Shell Stanlow</v>
      </c>
      <c r="E5" s="119" t="str">
        <f>IFERROR(IF(VLOOKUP($A5,'Annex 2 EHV charges'!$A:$O,8,FALSE)=0,"",VLOOKUP($A5,'Annex 2 EHV charges'!$A:$O,8,FALSE)),"")</f>
        <v/>
      </c>
      <c r="F5" s="120">
        <f>IFERROR(IF(VLOOKUP($A5,'Annex 2 EHV charges'!$A:$O,9,FALSE)=0,"",VLOOKUP($A5,'Annex 2 EHV charges'!$A:$O,9,FALSE)),"")</f>
        <v>19306.08836145488</v>
      </c>
      <c r="G5" s="121">
        <f>IFERROR(IF(VLOOKUP($A5,'Annex 2 EHV charges'!$A:$O,10,FALSE)=0,"",VLOOKUP($A5,'Annex 2 EHV charges'!$A:$O,10,FALSE)),"")</f>
        <v>6.6</v>
      </c>
      <c r="H5" s="121">
        <f>IFERROR(IF(VLOOKUP($A5,'Annex 2 EHV charges'!$A:$O,11,FALSE)=0,"",VLOOKUP($A5,'Annex 2 EHV charges'!$A:$O,11,FALSE)),"")</f>
        <v>6.6</v>
      </c>
    </row>
    <row r="6" spans="1:14" ht="12.75" customHeight="1" x14ac:dyDescent="0.2">
      <c r="A6" s="114">
        <f t="array" ref="A6">IFERROR(INDEX('Annex 2 EHV charges'!$A$11:$A$259, MATCH(0, IF(ISBLANK('Annex 2 EHV charges'!$A$11:$A$259),1, COUNTIF(A$4:$A5, 'Annex 2 EHV charges'!$A$11:$A$259)), 0)),"")</f>
        <v>804</v>
      </c>
      <c r="B6" s="114">
        <f>IF($A6="","",VLOOKUP($A6,'Annex 2 EHV charges'!$A:$O,2,0))</f>
        <v>804</v>
      </c>
      <c r="C6" s="115">
        <f>IF($A6="","",VLOOKUP($A6,'Annex 2 EHV charges'!$A:$O,3,0))</f>
        <v>1300035352942</v>
      </c>
      <c r="D6" s="114" t="str">
        <f>IF($A6="","",VLOOKUP($A6,'Annex 2 EHV charges'!$A:$O,7,0))</f>
        <v>Jaguar &amp; Land Rover</v>
      </c>
      <c r="E6" s="119">
        <f>IFERROR(IF(VLOOKUP($A6,'Annex 2 EHV charges'!$A:$O,8,FALSE)=0,"",VLOOKUP($A6,'Annex 2 EHV charges'!$A:$O,8,FALSE)),"")</f>
        <v>0.30199999999999999</v>
      </c>
      <c r="F6" s="120">
        <f>IFERROR(IF(VLOOKUP($A6,'Annex 2 EHV charges'!$A:$O,9,FALSE)=0,"",VLOOKUP($A6,'Annex 2 EHV charges'!$A:$O,9,FALSE)),"")</f>
        <v>8711.76</v>
      </c>
      <c r="G6" s="121">
        <f>IFERROR(IF(VLOOKUP($A6,'Annex 2 EHV charges'!$A:$O,10,FALSE)=0,"",VLOOKUP($A6,'Annex 2 EHV charges'!$A:$O,10,FALSE)),"")</f>
        <v>8.49</v>
      </c>
      <c r="H6" s="121">
        <f>IFERROR(IF(VLOOKUP($A6,'Annex 2 EHV charges'!$A:$O,11,FALSE)=0,"",VLOOKUP($A6,'Annex 2 EHV charges'!$A:$O,11,FALSE)),"")</f>
        <v>8.49</v>
      </c>
    </row>
    <row r="7" spans="1:14" ht="12.75" customHeight="1" x14ac:dyDescent="0.2">
      <c r="A7" s="114">
        <f t="array" ref="A7">IFERROR(INDEX('Annex 2 EHV charges'!$A$11:$A$259, MATCH(0, IF(ISBLANK('Annex 2 EHV charges'!$A$11:$A$259),1, COUNTIF(A$4:$A6, 'Annex 2 EHV charges'!$A$11:$A$259)), 0)),"")</f>
        <v>805</v>
      </c>
      <c r="B7" s="114">
        <f>IF($A7="","",VLOOKUP($A7,'Annex 2 EHV charges'!$A:$O,2,0))</f>
        <v>805</v>
      </c>
      <c r="C7" s="115">
        <f>IF($A7="","",VLOOKUP($A7,'Annex 2 EHV charges'!$A:$O,3,0))</f>
        <v>1300035359423</v>
      </c>
      <c r="D7" s="114" t="str">
        <f>IF($A7="","",VLOOKUP($A7,'Annex 2 EHV charges'!$A:$O,7,0))</f>
        <v>Innospec</v>
      </c>
      <c r="E7" s="119">
        <f>IFERROR(IF(VLOOKUP($A7,'Annex 2 EHV charges'!$A:$O,8,FALSE)=0,"",VLOOKUP($A7,'Annex 2 EHV charges'!$A:$O,8,FALSE)),"")</f>
        <v>0.26300000000000001</v>
      </c>
      <c r="F7" s="120">
        <f>IFERROR(IF(VLOOKUP($A7,'Annex 2 EHV charges'!$A:$O,9,FALSE)=0,"",VLOOKUP($A7,'Annex 2 EHV charges'!$A:$O,9,FALSE)),"")</f>
        <v>844.42</v>
      </c>
      <c r="G7" s="121">
        <f>IFERROR(IF(VLOOKUP($A7,'Annex 2 EHV charges'!$A:$O,10,FALSE)=0,"",VLOOKUP($A7,'Annex 2 EHV charges'!$A:$O,10,FALSE)),"")</f>
        <v>4.6500000000000004</v>
      </c>
      <c r="H7" s="121">
        <f>IFERROR(IF(VLOOKUP($A7,'Annex 2 EHV charges'!$A:$O,11,FALSE)=0,"",VLOOKUP($A7,'Annex 2 EHV charges'!$A:$O,11,FALSE)),"")</f>
        <v>4.6500000000000004</v>
      </c>
    </row>
    <row r="8" spans="1:14" ht="12.75" customHeight="1" x14ac:dyDescent="0.2">
      <c r="A8" s="114">
        <f t="array" ref="A8">IFERROR(INDEX('Annex 2 EHV charges'!$A$11:$A$259, MATCH(0, IF(ISBLANK('Annex 2 EHV charges'!$A$11:$A$259),1, COUNTIF(A$4:$A7, 'Annex 2 EHV charges'!$A$11:$A$259)), 0)),"")</f>
        <v>806</v>
      </c>
      <c r="B8" s="114">
        <f>IF($A8="","",VLOOKUP($A8,'Annex 2 EHV charges'!$A:$O,2,0))</f>
        <v>806</v>
      </c>
      <c r="C8" s="115">
        <f>IF($A8="","",VLOOKUP($A8,'Annex 2 EHV charges'!$A:$O,3,0))</f>
        <v>1300051060972</v>
      </c>
      <c r="D8" s="114" t="str">
        <f>IF($A8="","",VLOOKUP($A8,'Annex 2 EHV charges'!$A:$O,7,0))</f>
        <v>Bridgewater Paper</v>
      </c>
      <c r="E8" s="119" t="str">
        <f>IFERROR(IF(VLOOKUP($A8,'Annex 2 EHV charges'!$A:$O,8,FALSE)=0,"",VLOOKUP($A8,'Annex 2 EHV charges'!$A:$O,8,FALSE)),"")</f>
        <v/>
      </c>
      <c r="F8" s="120">
        <f>IFERROR(IF(VLOOKUP($A8,'Annex 2 EHV charges'!$A:$O,9,FALSE)=0,"",VLOOKUP($A8,'Annex 2 EHV charges'!$A:$O,9,FALSE)),"")</f>
        <v>98.14</v>
      </c>
      <c r="G8" s="121">
        <f>IFERROR(IF(VLOOKUP($A8,'Annex 2 EHV charges'!$A:$O,10,FALSE)=0,"",VLOOKUP($A8,'Annex 2 EHV charges'!$A:$O,10,FALSE)),"")</f>
        <v>3.14</v>
      </c>
      <c r="H8" s="121">
        <f>IFERROR(IF(VLOOKUP($A8,'Annex 2 EHV charges'!$A:$O,11,FALSE)=0,"",VLOOKUP($A8,'Annex 2 EHV charges'!$A:$O,11,FALSE)),"")</f>
        <v>3.14</v>
      </c>
    </row>
    <row r="9" spans="1:14" ht="12.75" customHeight="1" x14ac:dyDescent="0.2">
      <c r="A9" s="114">
        <f t="array" ref="A9">IFERROR(INDEX('Annex 2 EHV charges'!$A$11:$A$259, MATCH(0, IF(ISBLANK('Annex 2 EHV charges'!$A$11:$A$259),1, COUNTIF(A$4:$A8, 'Annex 2 EHV charges'!$A$11:$A$259)), 0)),"")</f>
        <v>807</v>
      </c>
      <c r="B9" s="114">
        <f>IF($A9="","",VLOOKUP($A9,'Annex 2 EHV charges'!$A:$O,2,0))</f>
        <v>807</v>
      </c>
      <c r="C9" s="115">
        <f>IF($A9="","",VLOOKUP($A9,'Annex 2 EHV charges'!$A:$O,3,0))</f>
        <v>1300035359752</v>
      </c>
      <c r="D9" s="114" t="str">
        <f>IF($A9="","",VLOOKUP($A9,'Annex 2 EHV charges'!$A:$O,7,0))</f>
        <v>General Motors</v>
      </c>
      <c r="E9" s="119">
        <f>IFERROR(IF(VLOOKUP($A9,'Annex 2 EHV charges'!$A:$O,8,FALSE)=0,"",VLOOKUP($A9,'Annex 2 EHV charges'!$A:$O,8,FALSE)),"")</f>
        <v>0.26600000000000001</v>
      </c>
      <c r="F9" s="120">
        <f>IFERROR(IF(VLOOKUP($A9,'Annex 2 EHV charges'!$A:$O,9,FALSE)=0,"",VLOOKUP($A9,'Annex 2 EHV charges'!$A:$O,9,FALSE)),"")</f>
        <v>14550.17</v>
      </c>
      <c r="G9" s="121">
        <f>IFERROR(IF(VLOOKUP($A9,'Annex 2 EHV charges'!$A:$O,10,FALSE)=0,"",VLOOKUP($A9,'Annex 2 EHV charges'!$A:$O,10,FALSE)),"")</f>
        <v>4.5199999999999996</v>
      </c>
      <c r="H9" s="121">
        <f>IFERROR(IF(VLOOKUP($A9,'Annex 2 EHV charges'!$A:$O,11,FALSE)=0,"",VLOOKUP($A9,'Annex 2 EHV charges'!$A:$O,11,FALSE)),"")</f>
        <v>4.5199999999999996</v>
      </c>
    </row>
    <row r="10" spans="1:14" ht="12.75" customHeight="1" x14ac:dyDescent="0.2">
      <c r="A10" s="114">
        <f t="array" ref="A10">IFERROR(INDEX('Annex 2 EHV charges'!$A$11:$A$259, MATCH(0, IF(ISBLANK('Annex 2 EHV charges'!$A$11:$A$259),1, COUNTIF(A$4:$A9, 'Annex 2 EHV charges'!$A$11:$A$259)), 0)),"")</f>
        <v>808</v>
      </c>
      <c r="B10" s="114">
        <f>IF($A10="","",VLOOKUP($A10,'Annex 2 EHV charges'!$A:$O,2,0))</f>
        <v>808</v>
      </c>
      <c r="C10" s="115">
        <f>IF($A10="","",VLOOKUP($A10,'Annex 2 EHV charges'!$A:$O,3,0))</f>
        <v>1300035360066</v>
      </c>
      <c r="D10" s="114" t="str">
        <f>IF($A10="","",VLOOKUP($A10,'Annex 2 EHV charges'!$A:$O,7,0))</f>
        <v>TATA Steel</v>
      </c>
      <c r="E10" s="119" t="str">
        <f>IFERROR(IF(VLOOKUP($A10,'Annex 2 EHV charges'!$A:$O,8,FALSE)=0,"",VLOOKUP($A10,'Annex 2 EHV charges'!$A:$O,8,FALSE)),"")</f>
        <v/>
      </c>
      <c r="F10" s="120">
        <f>IFERROR(IF(VLOOKUP($A10,'Annex 2 EHV charges'!$A:$O,9,FALSE)=0,"",VLOOKUP($A10,'Annex 2 EHV charges'!$A:$O,9,FALSE)),"")</f>
        <v>38475.65</v>
      </c>
      <c r="G10" s="121">
        <f>IFERROR(IF(VLOOKUP($A10,'Annex 2 EHV charges'!$A:$O,10,FALSE)=0,"",VLOOKUP($A10,'Annex 2 EHV charges'!$A:$O,10,FALSE)),"")</f>
        <v>5.07</v>
      </c>
      <c r="H10" s="121">
        <f>IFERROR(IF(VLOOKUP($A10,'Annex 2 EHV charges'!$A:$O,11,FALSE)=0,"",VLOOKUP($A10,'Annex 2 EHV charges'!$A:$O,11,FALSE)),"")</f>
        <v>5.07</v>
      </c>
    </row>
    <row r="11" spans="1:14" ht="12.75" customHeight="1" x14ac:dyDescent="0.2">
      <c r="A11" s="114">
        <f t="array" ref="A11">IFERROR(INDEX('Annex 2 EHV charges'!$A$11:$A$259, MATCH(0, IF(ISBLANK('Annex 2 EHV charges'!$A$11:$A$259),1, COUNTIF(A$4:$A10, 'Annex 2 EHV charges'!$A$11:$A$259)), 0)),"")</f>
        <v>809</v>
      </c>
      <c r="B11" s="114">
        <f>IF($A11="","",VLOOKUP($A11,'Annex 2 EHV charges'!$A:$O,2,0))</f>
        <v>809</v>
      </c>
      <c r="C11" s="115">
        <f>IF($A11="","",VLOOKUP($A11,'Annex 2 EHV charges'!$A:$O,3,0))</f>
        <v>1300035362480</v>
      </c>
      <c r="D11" s="114" t="str">
        <f>IF($A11="","",VLOOKUP($A11,'Annex 2 EHV charges'!$A:$O,7,0))</f>
        <v>Urenco</v>
      </c>
      <c r="E11" s="119" t="str">
        <f>IFERROR(IF(VLOOKUP($A11,'Annex 2 EHV charges'!$A:$O,8,FALSE)=0,"",VLOOKUP($A11,'Annex 2 EHV charges'!$A:$O,8,FALSE)),"")</f>
        <v/>
      </c>
      <c r="F11" s="120" t="str">
        <f>IFERROR(IF(VLOOKUP($A11,'Annex 2 EHV charges'!$A:$O,9,FALSE)=0,"",VLOOKUP($A11,'Annex 2 EHV charges'!$A:$O,9,FALSE)),"")</f>
        <v/>
      </c>
      <c r="G11" s="121">
        <f>IFERROR(IF(VLOOKUP($A11,'Annex 2 EHV charges'!$A:$O,10,FALSE)=0,"",VLOOKUP($A11,'Annex 2 EHV charges'!$A:$O,10,FALSE)),"")</f>
        <v>4.09</v>
      </c>
      <c r="H11" s="121">
        <f>IFERROR(IF(VLOOKUP($A11,'Annex 2 EHV charges'!$A:$O,11,FALSE)=0,"",VLOOKUP($A11,'Annex 2 EHV charges'!$A:$O,11,FALSE)),"")</f>
        <v>4.09</v>
      </c>
    </row>
    <row r="12" spans="1:14" ht="12.75" customHeight="1" x14ac:dyDescent="0.2">
      <c r="A12" s="114">
        <f t="array" ref="A12">IFERROR(INDEX('Annex 2 EHV charges'!$A$11:$A$259, MATCH(0, IF(ISBLANK('Annex 2 EHV charges'!$A$11:$A$259),1, COUNTIF(A$4:$A11, 'Annex 2 EHV charges'!$A$11:$A$259)), 0)),"")</f>
        <v>810</v>
      </c>
      <c r="B12" s="114">
        <f>IF($A12="","",VLOOKUP($A12,'Annex 2 EHV charges'!$A:$O,2,0))</f>
        <v>810</v>
      </c>
      <c r="C12" s="115">
        <f>IF($A12="","",VLOOKUP($A12,'Annex 2 EHV charges'!$A:$O,3,0))</f>
        <v>1300051694818</v>
      </c>
      <c r="D12" s="114" t="str">
        <f>IF($A12="","",VLOOKUP($A12,'Annex 2 EHV charges'!$A:$O,7,0))</f>
        <v>Ineos Chlor Ltd (Lostock)</v>
      </c>
      <c r="E12" s="119" t="str">
        <f>IFERROR(IF(VLOOKUP($A12,'Annex 2 EHV charges'!$A:$O,8,FALSE)=0,"",VLOOKUP($A12,'Annex 2 EHV charges'!$A:$O,8,FALSE)),"")</f>
        <v/>
      </c>
      <c r="F12" s="120">
        <f>IFERROR(IF(VLOOKUP($A12,'Annex 2 EHV charges'!$A:$O,9,FALSE)=0,"",VLOOKUP($A12,'Annex 2 EHV charges'!$A:$O,9,FALSE)),"")</f>
        <v>13181.11</v>
      </c>
      <c r="G12" s="121">
        <f>IFERROR(IF(VLOOKUP($A12,'Annex 2 EHV charges'!$A:$O,10,FALSE)=0,"",VLOOKUP($A12,'Annex 2 EHV charges'!$A:$O,10,FALSE)),"")</f>
        <v>1.56</v>
      </c>
      <c r="H12" s="121">
        <f>IFERROR(IF(VLOOKUP($A12,'Annex 2 EHV charges'!$A:$O,11,FALSE)=0,"",VLOOKUP($A12,'Annex 2 EHV charges'!$A:$O,11,FALSE)),"")</f>
        <v>1.56</v>
      </c>
    </row>
    <row r="13" spans="1:14" ht="12.75" customHeight="1" x14ac:dyDescent="0.2">
      <c r="A13" s="114">
        <f t="array" ref="A13">IFERROR(INDEX('Annex 2 EHV charges'!$A$11:$A$259, MATCH(0, IF(ISBLANK('Annex 2 EHV charges'!$A$11:$A$259),1, COUNTIF(A$4:$A12, 'Annex 2 EHV charges'!$A$11:$A$259)), 0)),"")</f>
        <v>811</v>
      </c>
      <c r="B13" s="114">
        <f>IF($A13="","",VLOOKUP($A13,'Annex 2 EHV charges'!$A:$O,2,0))</f>
        <v>811</v>
      </c>
      <c r="C13" s="115">
        <f>IF($A13="","",VLOOKUP($A13,'Annex 2 EHV charges'!$A:$O,3,0))</f>
        <v>1300060704073</v>
      </c>
      <c r="D13" s="114" t="str">
        <f>IF($A13="","",VLOOKUP($A13,'Annex 2 EHV charges'!$A:$O,7,0))</f>
        <v>SafeGuard Bradwell</v>
      </c>
      <c r="E13" s="119">
        <f>IFERROR(IF(VLOOKUP($A13,'Annex 2 EHV charges'!$A:$O,8,FALSE)=0,"",VLOOKUP($A13,'Annex 2 EHV charges'!$A:$O,8,FALSE)),"")</f>
        <v>1.7130000000000001</v>
      </c>
      <c r="F13" s="120">
        <f>IFERROR(IF(VLOOKUP($A13,'Annex 2 EHV charges'!$A:$O,9,FALSE)=0,"",VLOOKUP($A13,'Annex 2 EHV charges'!$A:$O,9,FALSE)),"")</f>
        <v>45.24</v>
      </c>
      <c r="G13" s="121">
        <f>IFERROR(IF(VLOOKUP($A13,'Annex 2 EHV charges'!$A:$O,10,FALSE)=0,"",VLOOKUP($A13,'Annex 2 EHV charges'!$A:$O,10,FALSE)),"")</f>
        <v>4.42</v>
      </c>
      <c r="H13" s="121">
        <f>IFERROR(IF(VLOOKUP($A13,'Annex 2 EHV charges'!$A:$O,11,FALSE)=0,"",VLOOKUP($A13,'Annex 2 EHV charges'!$A:$O,11,FALSE)),"")</f>
        <v>4.42</v>
      </c>
    </row>
    <row r="14" spans="1:14" ht="12.75" customHeight="1" x14ac:dyDescent="0.2">
      <c r="A14" s="114">
        <f t="array" ref="A14">IFERROR(INDEX('Annex 2 EHV charges'!$A$11:$A$259, MATCH(0, IF(ISBLANK('Annex 2 EHV charges'!$A$11:$A$259),1, COUNTIF(A$4:$A13, 'Annex 2 EHV charges'!$A$11:$A$259)), 0)),"")</f>
        <v>812</v>
      </c>
      <c r="B14" s="114">
        <f>IF($A14="","",VLOOKUP($A14,'Annex 2 EHV charges'!$A:$O,2,0))</f>
        <v>812</v>
      </c>
      <c r="C14" s="115">
        <f>IF($A14="","",VLOOKUP($A14,'Annex 2 EHV charges'!$A:$O,3,0))</f>
        <v>1300035356130</v>
      </c>
      <c r="D14" s="114" t="str">
        <f>IF($A14="","",VLOOKUP($A14,'Annex 2 EHV charges'!$A:$O,7,0))</f>
        <v>Knauf Insulation</v>
      </c>
      <c r="E14" s="119">
        <f>IFERROR(IF(VLOOKUP($A14,'Annex 2 EHV charges'!$A:$O,8,FALSE)=0,"",VLOOKUP($A14,'Annex 2 EHV charges'!$A:$O,8,FALSE)),"")</f>
        <v>0.30499999999999999</v>
      </c>
      <c r="F14" s="120">
        <f>IFERROR(IF(VLOOKUP($A14,'Annex 2 EHV charges'!$A:$O,9,FALSE)=0,"",VLOOKUP($A14,'Annex 2 EHV charges'!$A:$O,9,FALSE)),"")</f>
        <v>1697.93</v>
      </c>
      <c r="G14" s="121">
        <f>IFERROR(IF(VLOOKUP($A14,'Annex 2 EHV charges'!$A:$O,10,FALSE)=0,"",VLOOKUP($A14,'Annex 2 EHV charges'!$A:$O,10,FALSE)),"")</f>
        <v>7.75</v>
      </c>
      <c r="H14" s="121">
        <f>IFERROR(IF(VLOOKUP($A14,'Annex 2 EHV charges'!$A:$O,11,FALSE)=0,"",VLOOKUP($A14,'Annex 2 EHV charges'!$A:$O,11,FALSE)),"")</f>
        <v>7.75</v>
      </c>
    </row>
    <row r="15" spans="1:14" ht="12.75" customHeight="1" x14ac:dyDescent="0.2">
      <c r="A15" s="114">
        <f t="array" ref="A15">IFERROR(INDEX('Annex 2 EHV charges'!$A$11:$A$259, MATCH(0, IF(ISBLANK('Annex 2 EHV charges'!$A$11:$A$259),1, COUNTIF(A$4:$A14, 'Annex 2 EHV charges'!$A$11:$A$259)), 0)),"")</f>
        <v>813</v>
      </c>
      <c r="B15" s="114">
        <f>IF($A15="","",VLOOKUP($A15,'Annex 2 EHV charges'!$A:$O,2,0))</f>
        <v>813</v>
      </c>
      <c r="C15" s="115">
        <f>IF($A15="","",VLOOKUP($A15,'Annex 2 EHV charges'!$A:$O,3,0))</f>
        <v>1300035359585</v>
      </c>
      <c r="D15" s="114" t="str">
        <f>IF($A15="","",VLOOKUP($A15,'Annex 2 EHV charges'!$A:$O,7,0))</f>
        <v>Air Products</v>
      </c>
      <c r="E15" s="119">
        <f>IFERROR(IF(VLOOKUP($A15,'Annex 2 EHV charges'!$A:$O,8,FALSE)=0,"",VLOOKUP($A15,'Annex 2 EHV charges'!$A:$O,8,FALSE)),"")</f>
        <v>0.34</v>
      </c>
      <c r="F15" s="120">
        <f>IFERROR(IF(VLOOKUP($A15,'Annex 2 EHV charges'!$A:$O,9,FALSE)=0,"",VLOOKUP($A15,'Annex 2 EHV charges'!$A:$O,9,FALSE)),"")</f>
        <v>384.2</v>
      </c>
      <c r="G15" s="121">
        <f>IFERROR(IF(VLOOKUP($A15,'Annex 2 EHV charges'!$A:$O,10,FALSE)=0,"",VLOOKUP($A15,'Annex 2 EHV charges'!$A:$O,10,FALSE)),"")</f>
        <v>4.42</v>
      </c>
      <c r="H15" s="121">
        <f>IFERROR(IF(VLOOKUP($A15,'Annex 2 EHV charges'!$A:$O,11,FALSE)=0,"",VLOOKUP($A15,'Annex 2 EHV charges'!$A:$O,11,FALSE)),"")</f>
        <v>4.42</v>
      </c>
    </row>
    <row r="16" spans="1:14" ht="12.75" customHeight="1" x14ac:dyDescent="0.2">
      <c r="A16" s="114">
        <f t="array" ref="A16">IFERROR(INDEX('Annex 2 EHV charges'!$A$11:$A$259, MATCH(0, IF(ISBLANK('Annex 2 EHV charges'!$A$11:$A$259),1, COUNTIF(A$4:$A15, 'Annex 2 EHV charges'!$A$11:$A$259)), 0)),"")</f>
        <v>814</v>
      </c>
      <c r="B16" s="114">
        <f>IF($A16="","",VLOOKUP($A16,'Annex 2 EHV charges'!$A:$O,2,0))</f>
        <v>814</v>
      </c>
      <c r="C16" s="115">
        <f>IF($A16="","",VLOOKUP($A16,'Annex 2 EHV charges'!$A:$O,3,0))</f>
        <v>1300035359619</v>
      </c>
      <c r="D16" s="114" t="str">
        <f>IF($A16="","",VLOOKUP($A16,'Annex 2 EHV charges'!$A:$O,7,0))</f>
        <v>Shell Chemicals</v>
      </c>
      <c r="E16" s="119">
        <f>IFERROR(IF(VLOOKUP($A16,'Annex 2 EHV charges'!$A:$O,8,FALSE)=0,"",VLOOKUP($A16,'Annex 2 EHV charges'!$A:$O,8,FALSE)),"")</f>
        <v>0.27500000000000002</v>
      </c>
      <c r="F16" s="120">
        <f>IFERROR(IF(VLOOKUP($A16,'Annex 2 EHV charges'!$A:$O,9,FALSE)=0,"",VLOOKUP($A16,'Annex 2 EHV charges'!$A:$O,9,FALSE)),"")</f>
        <v>1697.93</v>
      </c>
      <c r="G16" s="121">
        <f>IFERROR(IF(VLOOKUP($A16,'Annex 2 EHV charges'!$A:$O,10,FALSE)=0,"",VLOOKUP($A16,'Annex 2 EHV charges'!$A:$O,10,FALSE)),"")</f>
        <v>8.7899999999999991</v>
      </c>
      <c r="H16" s="121">
        <f>IFERROR(IF(VLOOKUP($A16,'Annex 2 EHV charges'!$A:$O,11,FALSE)=0,"",VLOOKUP($A16,'Annex 2 EHV charges'!$A:$O,11,FALSE)),"")</f>
        <v>8.7899999999999991</v>
      </c>
    </row>
    <row r="17" spans="1:8" ht="12.75" customHeight="1" x14ac:dyDescent="0.2">
      <c r="A17" s="114">
        <f t="array" ref="A17">IFERROR(INDEX('Annex 2 EHV charges'!$A$11:$A$259, MATCH(0, IF(ISBLANK('Annex 2 EHV charges'!$A$11:$A$259),1, COUNTIF(A$4:$A16, 'Annex 2 EHV charges'!$A$11:$A$259)), 0)),"")</f>
        <v>815</v>
      </c>
      <c r="B17" s="114">
        <f>IF($A17="","",VLOOKUP($A17,'Annex 2 EHV charges'!$A:$O,2,0))</f>
        <v>815</v>
      </c>
      <c r="C17" s="115">
        <f>IF($A17="","",VLOOKUP($A17,'Annex 2 EHV charges'!$A:$O,3,0))</f>
        <v>1300035359780</v>
      </c>
      <c r="D17" s="114" t="str">
        <f>IF($A17="","",VLOOKUP($A17,'Annex 2 EHV charges'!$A:$O,7,0))</f>
        <v>GrowHow</v>
      </c>
      <c r="E17" s="119">
        <f>IFERROR(IF(VLOOKUP($A17,'Annex 2 EHV charges'!$A:$O,8,FALSE)=0,"",VLOOKUP($A17,'Annex 2 EHV charges'!$A:$O,8,FALSE)),"")</f>
        <v>0.27</v>
      </c>
      <c r="F17" s="120">
        <f>IFERROR(IF(VLOOKUP($A17,'Annex 2 EHV charges'!$A:$O,9,FALSE)=0,"",VLOOKUP($A17,'Annex 2 EHV charges'!$A:$O,9,FALSE)),"")</f>
        <v>8712.75</v>
      </c>
      <c r="G17" s="121">
        <f>IFERROR(IF(VLOOKUP($A17,'Annex 2 EHV charges'!$A:$O,10,FALSE)=0,"",VLOOKUP($A17,'Annex 2 EHV charges'!$A:$O,10,FALSE)),"")</f>
        <v>9.18</v>
      </c>
      <c r="H17" s="121">
        <f>IFERROR(IF(VLOOKUP($A17,'Annex 2 EHV charges'!$A:$O,11,FALSE)=0,"",VLOOKUP($A17,'Annex 2 EHV charges'!$A:$O,11,FALSE)),"")</f>
        <v>9.18</v>
      </c>
    </row>
    <row r="18" spans="1:8" ht="12.75" customHeight="1" x14ac:dyDescent="0.2">
      <c r="A18" s="114">
        <f t="array" ref="A18">IFERROR(INDEX('Annex 2 EHV charges'!$A$11:$A$259, MATCH(0, IF(ISBLANK('Annex 2 EHV charges'!$A$11:$A$259),1, COUNTIF(A$4:$A17, 'Annex 2 EHV charges'!$A$11:$A$259)), 0)),"")</f>
        <v>816</v>
      </c>
      <c r="B18" s="114">
        <f>IF($A18="","",VLOOKUP($A18,'Annex 2 EHV charges'!$A:$O,2,0))</f>
        <v>816</v>
      </c>
      <c r="C18" s="115">
        <f>IF($A18="","",VLOOKUP($A18,'Annex 2 EHV charges'!$A:$O,3,0))</f>
        <v>1300053536398</v>
      </c>
      <c r="D18" s="114" t="str">
        <f>IF($A18="","",VLOOKUP($A18,'Annex 2 EHV charges'!$A:$O,7,0))</f>
        <v>Castle Cement</v>
      </c>
      <c r="E18" s="119" t="str">
        <f>IFERROR(IF(VLOOKUP($A18,'Annex 2 EHV charges'!$A:$O,8,FALSE)=0,"",VLOOKUP($A18,'Annex 2 EHV charges'!$A:$O,8,FALSE)),"")</f>
        <v/>
      </c>
      <c r="F18" s="120">
        <f>IFERROR(IF(VLOOKUP($A18,'Annex 2 EHV charges'!$A:$O,9,FALSE)=0,"",VLOOKUP($A18,'Annex 2 EHV charges'!$A:$O,9,FALSE)),"")</f>
        <v>954.31</v>
      </c>
      <c r="G18" s="121">
        <f>IFERROR(IF(VLOOKUP($A18,'Annex 2 EHV charges'!$A:$O,10,FALSE)=0,"",VLOOKUP($A18,'Annex 2 EHV charges'!$A:$O,10,FALSE)),"")</f>
        <v>3.98</v>
      </c>
      <c r="H18" s="121">
        <f>IFERROR(IF(VLOOKUP($A18,'Annex 2 EHV charges'!$A:$O,11,FALSE)=0,"",VLOOKUP($A18,'Annex 2 EHV charges'!$A:$O,11,FALSE)),"")</f>
        <v>3.98</v>
      </c>
    </row>
    <row r="19" spans="1:8" ht="12.75" customHeight="1" x14ac:dyDescent="0.2">
      <c r="A19" s="114">
        <f t="array" ref="A19">IFERROR(INDEX('Annex 2 EHV charges'!$A$11:$A$259, MATCH(0, IF(ISBLANK('Annex 2 EHV charges'!$A$11:$A$259),1, COUNTIF(A$4:$A18, 'Annex 2 EHV charges'!$A$11:$A$259)), 0)),"")</f>
        <v>817</v>
      </c>
      <c r="B19" s="114">
        <f>IF($A19="","",VLOOKUP($A19,'Annex 2 EHV charges'!$A:$O,2,0))</f>
        <v>817</v>
      </c>
      <c r="C19" s="115">
        <f>IF($A19="","",VLOOKUP($A19,'Annex 2 EHV charges'!$A:$O,3,0))</f>
        <v>1300035361992</v>
      </c>
      <c r="D19" s="114" t="str">
        <f>IF($A19="","",VLOOKUP($A19,'Annex 2 EHV charges'!$A:$O,7,0))</f>
        <v>Kronospan</v>
      </c>
      <c r="E19" s="119" t="str">
        <f>IFERROR(IF(VLOOKUP($A19,'Annex 2 EHV charges'!$A:$O,8,FALSE)=0,"",VLOOKUP($A19,'Annex 2 EHV charges'!$A:$O,8,FALSE)),"")</f>
        <v/>
      </c>
      <c r="F19" s="120">
        <f>IFERROR(IF(VLOOKUP($A19,'Annex 2 EHV charges'!$A:$O,9,FALSE)=0,"",VLOOKUP($A19,'Annex 2 EHV charges'!$A:$O,9,FALSE)),"")</f>
        <v>3839.5650687392358</v>
      </c>
      <c r="G19" s="121">
        <f>IFERROR(IF(VLOOKUP($A19,'Annex 2 EHV charges'!$A:$O,10,FALSE)=0,"",VLOOKUP($A19,'Annex 2 EHV charges'!$A:$O,10,FALSE)),"")</f>
        <v>14.85</v>
      </c>
      <c r="H19" s="121">
        <f>IFERROR(IF(VLOOKUP($A19,'Annex 2 EHV charges'!$A:$O,11,FALSE)=0,"",VLOOKUP($A19,'Annex 2 EHV charges'!$A:$O,11,FALSE)),"")</f>
        <v>14.88</v>
      </c>
    </row>
    <row r="20" spans="1:8" ht="12.75" customHeight="1" x14ac:dyDescent="0.2">
      <c r="A20" s="114">
        <f t="array" ref="A20">IFERROR(INDEX('Annex 2 EHV charges'!$A$11:$A$259, MATCH(0, IF(ISBLANK('Annex 2 EHV charges'!$A$11:$A$259),1, COUNTIF(A$4:$A19, 'Annex 2 EHV charges'!$A$11:$A$259)), 0)),"")</f>
        <v>819</v>
      </c>
      <c r="B20" s="114">
        <f>IF($A20="","",VLOOKUP($A20,'Annex 2 EHV charges'!$A:$O,2,0))</f>
        <v>819</v>
      </c>
      <c r="C20" s="115">
        <f>IF($A20="","",VLOOKUP($A20,'Annex 2 EHV charges'!$A:$O,3,0))</f>
        <v>1300035365082</v>
      </c>
      <c r="D20" s="114" t="str">
        <f>IF($A20="","",VLOOKUP($A20,'Annex 2 EHV charges'!$A:$O,7,0))</f>
        <v>Albion Inorganic</v>
      </c>
      <c r="E20" s="119">
        <f>IFERROR(IF(VLOOKUP($A20,'Annex 2 EHV charges'!$A:$O,8,FALSE)=0,"",VLOOKUP($A20,'Annex 2 EHV charges'!$A:$O,8,FALSE)),"")</f>
        <v>1.956</v>
      </c>
      <c r="F20" s="120">
        <f>IFERROR(IF(VLOOKUP($A20,'Annex 2 EHV charges'!$A:$O,9,FALSE)=0,"",VLOOKUP($A20,'Annex 2 EHV charges'!$A:$O,9,FALSE)),"")</f>
        <v>203.72</v>
      </c>
      <c r="G20" s="121">
        <f>IFERROR(IF(VLOOKUP($A20,'Annex 2 EHV charges'!$A:$O,10,FALSE)=0,"",VLOOKUP($A20,'Annex 2 EHV charges'!$A:$O,10,FALSE)),"")</f>
        <v>1.91</v>
      </c>
      <c r="H20" s="121">
        <f>IFERROR(IF(VLOOKUP($A20,'Annex 2 EHV charges'!$A:$O,11,FALSE)=0,"",VLOOKUP($A20,'Annex 2 EHV charges'!$A:$O,11,FALSE)),"")</f>
        <v>1.91</v>
      </c>
    </row>
    <row r="21" spans="1:8" ht="12.75" customHeight="1" x14ac:dyDescent="0.2">
      <c r="A21" s="114">
        <f t="array" ref="A21">IFERROR(INDEX('Annex 2 EHV charges'!$A$11:$A$259, MATCH(0, IF(ISBLANK('Annex 2 EHV charges'!$A$11:$A$259),1, COUNTIF(A$4:$A20, 'Annex 2 EHV charges'!$A$11:$A$259)), 0)),"")</f>
        <v>820</v>
      </c>
      <c r="B21" s="114">
        <f>IF($A21="","",VLOOKUP($A21,'Annex 2 EHV charges'!$A:$O,2,0))</f>
        <v>820</v>
      </c>
      <c r="C21" s="115">
        <f>IF($A21="","",VLOOKUP($A21,'Annex 2 EHV charges'!$A:$O,3,0))</f>
        <v>1300060563740</v>
      </c>
      <c r="D21" s="114" t="str">
        <f>IF($A21="","",VLOOKUP($A21,'Annex 2 EHV charges'!$A:$O,7,0))</f>
        <v>Tyn dryfol PV</v>
      </c>
      <c r="E21" s="119" t="str">
        <f>IFERROR(IF(VLOOKUP($A21,'Annex 2 EHV charges'!$A:$O,8,FALSE)=0,"",VLOOKUP($A21,'Annex 2 EHV charges'!$A:$O,8,FALSE)),"")</f>
        <v/>
      </c>
      <c r="F21" s="120">
        <f>IFERROR(IF(VLOOKUP($A21,'Annex 2 EHV charges'!$A:$O,9,FALSE)=0,"",VLOOKUP($A21,'Annex 2 EHV charges'!$A:$O,9,FALSE)),"")</f>
        <v>8.0500000000000007</v>
      </c>
      <c r="G21" s="121">
        <f>IFERROR(IF(VLOOKUP($A21,'Annex 2 EHV charges'!$A:$O,10,FALSE)=0,"",VLOOKUP($A21,'Annex 2 EHV charges'!$A:$O,10,FALSE)),"")</f>
        <v>3.68</v>
      </c>
      <c r="H21" s="121">
        <f>IFERROR(IF(VLOOKUP($A21,'Annex 2 EHV charges'!$A:$O,11,FALSE)=0,"",VLOOKUP($A21,'Annex 2 EHV charges'!$A:$O,11,FALSE)),"")</f>
        <v>3.68</v>
      </c>
    </row>
    <row r="22" spans="1:8" ht="12.75" customHeight="1" x14ac:dyDescent="0.2">
      <c r="A22" s="114">
        <f t="array" ref="A22">IFERROR(INDEX('Annex 2 EHV charges'!$A$11:$A$259, MATCH(0, IF(ISBLANK('Annex 2 EHV charges'!$A$11:$A$259),1, COUNTIF(A$4:$A21, 'Annex 2 EHV charges'!$A$11:$A$259)), 0)),"")</f>
        <v>821</v>
      </c>
      <c r="B22" s="114">
        <f>IF($A22="","",VLOOKUP($A22,'Annex 2 EHV charges'!$A:$O,2,0))</f>
        <v>821</v>
      </c>
      <c r="C22" s="115">
        <f>IF($A22="","",VLOOKUP($A22,'Annex 2 EHV charges'!$A:$O,3,0))</f>
        <v>1300035367967</v>
      </c>
      <c r="D22" s="114" t="str">
        <f>IF($A22="","",VLOOKUP($A22,'Annex 2 EHV charges'!$A:$O,7,0))</f>
        <v>BHP</v>
      </c>
      <c r="E22" s="119" t="str">
        <f>IFERROR(IF(VLOOKUP($A22,'Annex 2 EHV charges'!$A:$O,8,FALSE)=0,"",VLOOKUP($A22,'Annex 2 EHV charges'!$A:$O,8,FALSE)),"")</f>
        <v/>
      </c>
      <c r="F22" s="120">
        <f>IFERROR(IF(VLOOKUP($A22,'Annex 2 EHV charges'!$A:$O,9,FALSE)=0,"",VLOOKUP($A22,'Annex 2 EHV charges'!$A:$O,9,FALSE)),"")</f>
        <v>8456.6218150994064</v>
      </c>
      <c r="G22" s="121">
        <f>IFERROR(IF(VLOOKUP($A22,'Annex 2 EHV charges'!$A:$O,10,FALSE)=0,"",VLOOKUP($A22,'Annex 2 EHV charges'!$A:$O,10,FALSE)),"")</f>
        <v>2.89</v>
      </c>
      <c r="H22" s="121">
        <f>IFERROR(IF(VLOOKUP($A22,'Annex 2 EHV charges'!$A:$O,11,FALSE)=0,"",VLOOKUP($A22,'Annex 2 EHV charges'!$A:$O,11,FALSE)),"")</f>
        <v>2.89</v>
      </c>
    </row>
    <row r="23" spans="1:8" ht="12.75" customHeight="1" x14ac:dyDescent="0.2">
      <c r="A23" s="114">
        <f t="array" ref="A23">IFERROR(INDEX('Annex 2 EHV charges'!$A$11:$A$259, MATCH(0, IF(ISBLANK('Annex 2 EHV charges'!$A$11:$A$259),1, COUNTIF(A$4:$A22, 'Annex 2 EHV charges'!$A$11:$A$259)), 0)),"")</f>
        <v>822</v>
      </c>
      <c r="B23" s="114">
        <f>IF($A23="","",VLOOKUP($A23,'Annex 2 EHV charges'!$A:$O,2,0))</f>
        <v>822</v>
      </c>
      <c r="C23" s="115">
        <f>IF($A23="","",VLOOKUP($A23,'Annex 2 EHV charges'!$A:$O,3,0))</f>
        <v>1300060251601</v>
      </c>
      <c r="D23" s="114" t="str">
        <f>IF($A23="","",VLOOKUP($A23,'Annex 2 EHV charges'!$A:$O,7,0))</f>
        <v>Hole House Farm</v>
      </c>
      <c r="E23" s="119" t="str">
        <f>IFERROR(IF(VLOOKUP($A23,'Annex 2 EHV charges'!$A:$O,8,FALSE)=0,"",VLOOKUP($A23,'Annex 2 EHV charges'!$A:$O,8,FALSE)),"")</f>
        <v/>
      </c>
      <c r="F23" s="120">
        <f>IFERROR(IF(VLOOKUP($A23,'Annex 2 EHV charges'!$A:$O,9,FALSE)=0,"",VLOOKUP($A23,'Annex 2 EHV charges'!$A:$O,9,FALSE)),"")</f>
        <v>9536.1200000000008</v>
      </c>
      <c r="G23" s="121">
        <f>IFERROR(IF(VLOOKUP($A23,'Annex 2 EHV charges'!$A:$O,10,FALSE)=0,"",VLOOKUP($A23,'Annex 2 EHV charges'!$A:$O,10,FALSE)),"")</f>
        <v>6.33</v>
      </c>
      <c r="H23" s="121">
        <f>IFERROR(IF(VLOOKUP($A23,'Annex 2 EHV charges'!$A:$O,11,FALSE)=0,"",VLOOKUP($A23,'Annex 2 EHV charges'!$A:$O,11,FALSE)),"")</f>
        <v>6.33</v>
      </c>
    </row>
    <row r="24" spans="1:8" ht="12.75" customHeight="1" x14ac:dyDescent="0.2">
      <c r="A24" s="114">
        <f t="array" ref="A24">IFERROR(INDEX('Annex 2 EHV charges'!$A$11:$A$259, MATCH(0, IF(ISBLANK('Annex 2 EHV charges'!$A$11:$A$259),1, COUNTIF(A$4:$A23, 'Annex 2 EHV charges'!$A$11:$A$259)), 0)),"")</f>
        <v>823</v>
      </c>
      <c r="B24" s="114">
        <f>IF($A24="","",VLOOKUP($A24,'Annex 2 EHV charges'!$A:$O,2,0))</f>
        <v>823</v>
      </c>
      <c r="C24" s="115">
        <f>IF($A24="","",VLOOKUP($A24,'Annex 2 EHV charges'!$A:$O,3,0))</f>
        <v>1300060652610</v>
      </c>
      <c r="D24" s="114" t="str">
        <f>IF($A24="","",VLOOKUP($A24,'Annex 2 EHV charges'!$A:$O,7,0))</f>
        <v>Williams Farm Solar Park</v>
      </c>
      <c r="E24" s="119" t="str">
        <f>IFERROR(IF(VLOOKUP($A24,'Annex 2 EHV charges'!$A:$O,8,FALSE)=0,"",VLOOKUP($A24,'Annex 2 EHV charges'!$A:$O,8,FALSE)),"")</f>
        <v/>
      </c>
      <c r="F24" s="120">
        <f>IFERROR(IF(VLOOKUP($A24,'Annex 2 EHV charges'!$A:$O,9,FALSE)=0,"",VLOOKUP($A24,'Annex 2 EHV charges'!$A:$O,9,FALSE)),"")</f>
        <v>6.76</v>
      </c>
      <c r="G24" s="121">
        <f>IFERROR(IF(VLOOKUP($A24,'Annex 2 EHV charges'!$A:$O,10,FALSE)=0,"",VLOOKUP($A24,'Annex 2 EHV charges'!$A:$O,10,FALSE)),"")</f>
        <v>3.78</v>
      </c>
      <c r="H24" s="121">
        <f>IFERROR(IF(VLOOKUP($A24,'Annex 2 EHV charges'!$A:$O,11,FALSE)=0,"",VLOOKUP($A24,'Annex 2 EHV charges'!$A:$O,11,FALSE)),"")</f>
        <v>3.78</v>
      </c>
    </row>
    <row r="25" spans="1:8" ht="12.75" customHeight="1" x14ac:dyDescent="0.2">
      <c r="A25" s="114">
        <f t="array" ref="A25">IFERROR(INDEX('Annex 2 EHV charges'!$A$11:$A$259, MATCH(0, IF(ISBLANK('Annex 2 EHV charges'!$A$11:$A$259),1, COUNTIF(A$4:$A24, 'Annex 2 EHV charges'!$A$11:$A$259)), 0)),"")</f>
        <v>824</v>
      </c>
      <c r="B25" s="114">
        <f>IF($A25="","",VLOOKUP($A25,'Annex 2 EHV charges'!$A:$O,2,0))</f>
        <v>824</v>
      </c>
      <c r="C25" s="115">
        <f>IF($A25="","",VLOOKUP($A25,'Annex 2 EHV charges'!$A:$O,3,0))</f>
        <v>1300054940674</v>
      </c>
      <c r="D25" s="114" t="str">
        <f>IF($A25="","",VLOOKUP($A25,'Annex 2 EHV charges'!$A:$O,7,0))</f>
        <v>Port of Liverpool</v>
      </c>
      <c r="E25" s="119" t="str">
        <f>IFERROR(IF(VLOOKUP($A25,'Annex 2 EHV charges'!$A:$O,8,FALSE)=0,"",VLOOKUP($A25,'Annex 2 EHV charges'!$A:$O,8,FALSE)),"")</f>
        <v/>
      </c>
      <c r="F25" s="120">
        <f>IFERROR(IF(VLOOKUP($A25,'Annex 2 EHV charges'!$A:$O,9,FALSE)=0,"",VLOOKUP($A25,'Annex 2 EHV charges'!$A:$O,9,FALSE)),"")</f>
        <v>27.66</v>
      </c>
      <c r="G25" s="121">
        <f>IFERROR(IF(VLOOKUP($A25,'Annex 2 EHV charges'!$A:$O,10,FALSE)=0,"",VLOOKUP($A25,'Annex 2 EHV charges'!$A:$O,10,FALSE)),"")</f>
        <v>2.62</v>
      </c>
      <c r="H25" s="121">
        <f>IFERROR(IF(VLOOKUP($A25,'Annex 2 EHV charges'!$A:$O,11,FALSE)=0,"",VLOOKUP($A25,'Annex 2 EHV charges'!$A:$O,11,FALSE)),"")</f>
        <v>2.62</v>
      </c>
    </row>
    <row r="26" spans="1:8" ht="12.75" customHeight="1" x14ac:dyDescent="0.2">
      <c r="A26" s="114">
        <f t="array" ref="A26">IFERROR(INDEX('Annex 2 EHV charges'!$A$11:$A$259, MATCH(0, IF(ISBLANK('Annex 2 EHV charges'!$A$11:$A$259),1, COUNTIF(A$4:$A25, 'Annex 2 EHV charges'!$A$11:$A$259)), 0)),"")</f>
        <v>826</v>
      </c>
      <c r="B26" s="114">
        <f>IF($A26="","",VLOOKUP($A26,'Annex 2 EHV charges'!$A:$O,2,0))</f>
        <v>826</v>
      </c>
      <c r="C26" s="115">
        <f>IF($A26="","",VLOOKUP($A26,'Annex 2 EHV charges'!$A:$O,3,0))</f>
        <v>1300060579173</v>
      </c>
      <c r="D26" s="114" t="str">
        <f>IF($A26="","",VLOOKUP($A26,'Annex 2 EHV charges'!$A:$O,7,0))</f>
        <v>Combermere Abbey PV</v>
      </c>
      <c r="E26" s="119" t="str">
        <f>IFERROR(IF(VLOOKUP($A26,'Annex 2 EHV charges'!$A:$O,8,FALSE)=0,"",VLOOKUP($A26,'Annex 2 EHV charges'!$A:$O,8,FALSE)),"")</f>
        <v/>
      </c>
      <c r="F26" s="120">
        <f>IFERROR(IF(VLOOKUP($A26,'Annex 2 EHV charges'!$A:$O,9,FALSE)=0,"",VLOOKUP($A26,'Annex 2 EHV charges'!$A:$O,9,FALSE)),"")</f>
        <v>14.3</v>
      </c>
      <c r="G26" s="121">
        <f>IFERROR(IF(VLOOKUP($A26,'Annex 2 EHV charges'!$A:$O,10,FALSE)=0,"",VLOOKUP($A26,'Annex 2 EHV charges'!$A:$O,10,FALSE)),"")</f>
        <v>5.0199999999999996</v>
      </c>
      <c r="H26" s="121">
        <f>IFERROR(IF(VLOOKUP($A26,'Annex 2 EHV charges'!$A:$O,11,FALSE)=0,"",VLOOKUP($A26,'Annex 2 EHV charges'!$A:$O,11,FALSE)),"")</f>
        <v>5.0199999999999996</v>
      </c>
    </row>
    <row r="27" spans="1:8" ht="12.75" customHeight="1" x14ac:dyDescent="0.2">
      <c r="A27" s="114">
        <f t="array" ref="A27">IFERROR(INDEX('Annex 2 EHV charges'!$A$11:$A$259, MATCH(0, IF(ISBLANK('Annex 2 EHV charges'!$A$11:$A$259),1, COUNTIF(A$4:$A26, 'Annex 2 EHV charges'!$A$11:$A$259)), 0)),"")</f>
        <v>827</v>
      </c>
      <c r="B27" s="114">
        <f>IF($A27="","",VLOOKUP($A27,'Annex 2 EHV charges'!$A:$O,2,0))</f>
        <v>827</v>
      </c>
      <c r="C27" s="115">
        <f>IF($A27="","",VLOOKUP($A27,'Annex 2 EHV charges'!$A:$O,3,0))</f>
        <v>1300052785147</v>
      </c>
      <c r="D27" s="114" t="str">
        <f>IF($A27="","",VLOOKUP($A27,'Annex 2 EHV charges'!$A:$O,7,0))</f>
        <v>Kimberley Clark</v>
      </c>
      <c r="E27" s="119" t="str">
        <f>IFERROR(IF(VLOOKUP($A27,'Annex 2 EHV charges'!$A:$O,8,FALSE)=0,"",VLOOKUP($A27,'Annex 2 EHV charges'!$A:$O,8,FALSE)),"")</f>
        <v/>
      </c>
      <c r="F27" s="120">
        <f>IFERROR(IF(VLOOKUP($A27,'Annex 2 EHV charges'!$A:$O,9,FALSE)=0,"",VLOOKUP($A27,'Annex 2 EHV charges'!$A:$O,9,FALSE)),"")</f>
        <v>677.72</v>
      </c>
      <c r="G27" s="121">
        <f>IFERROR(IF(VLOOKUP($A27,'Annex 2 EHV charges'!$A:$O,10,FALSE)=0,"",VLOOKUP($A27,'Annex 2 EHV charges'!$A:$O,10,FALSE)),"")</f>
        <v>14.05</v>
      </c>
      <c r="H27" s="121">
        <f>IFERROR(IF(VLOOKUP($A27,'Annex 2 EHV charges'!$A:$O,11,FALSE)=0,"",VLOOKUP($A27,'Annex 2 EHV charges'!$A:$O,11,FALSE)),"")</f>
        <v>14.05</v>
      </c>
    </row>
    <row r="28" spans="1:8" ht="12.75" customHeight="1" x14ac:dyDescent="0.2">
      <c r="A28" s="114">
        <f t="array" ref="A28">IFERROR(INDEX('Annex 2 EHV charges'!$A$11:$A$259, MATCH(0, IF(ISBLANK('Annex 2 EHV charges'!$A$11:$A$259),1, COUNTIF(A$4:$A27, 'Annex 2 EHV charges'!$A$11:$A$259)), 0)),"")</f>
        <v>828</v>
      </c>
      <c r="B28" s="114">
        <f>IF($A28="","",VLOOKUP($A28,'Annex 2 EHV charges'!$A:$O,2,0))</f>
        <v>828</v>
      </c>
      <c r="C28" s="115">
        <f>IF($A28="","",VLOOKUP($A28,'Annex 2 EHV charges'!$A:$O,3,0))</f>
        <v>1300060075390</v>
      </c>
      <c r="D28" s="114" t="str">
        <f>IF($A28="","",VLOOKUP($A28,'Annex 2 EHV charges'!$A:$O,7,0))</f>
        <v>Amegni</v>
      </c>
      <c r="E28" s="119" t="str">
        <f>IFERROR(IF(VLOOKUP($A28,'Annex 2 EHV charges'!$A:$O,8,FALSE)=0,"",VLOOKUP($A28,'Annex 2 EHV charges'!$A:$O,8,FALSE)),"")</f>
        <v/>
      </c>
      <c r="F28" s="120">
        <f>IFERROR(IF(VLOOKUP($A28,'Annex 2 EHV charges'!$A:$O,9,FALSE)=0,"",VLOOKUP($A28,'Annex 2 EHV charges'!$A:$O,9,FALSE)),"")</f>
        <v>7.96</v>
      </c>
      <c r="G28" s="121">
        <f>IFERROR(IF(VLOOKUP($A28,'Annex 2 EHV charges'!$A:$O,10,FALSE)=0,"",VLOOKUP($A28,'Annex 2 EHV charges'!$A:$O,10,FALSE)),"")</f>
        <v>2.2799999999999998</v>
      </c>
      <c r="H28" s="121">
        <f>IFERROR(IF(VLOOKUP($A28,'Annex 2 EHV charges'!$A:$O,11,FALSE)=0,"",VLOOKUP($A28,'Annex 2 EHV charges'!$A:$O,11,FALSE)),"")</f>
        <v>2.2799999999999998</v>
      </c>
    </row>
    <row r="29" spans="1:8" ht="12.75" customHeight="1" x14ac:dyDescent="0.2">
      <c r="A29" s="114">
        <f t="array" ref="A29">IFERROR(INDEX('Annex 2 EHV charges'!$A$11:$A$259, MATCH(0, IF(ISBLANK('Annex 2 EHV charges'!$A$11:$A$259),1, COUNTIF(A$4:$A28, 'Annex 2 EHV charges'!$A$11:$A$259)), 0)),"")</f>
        <v>829</v>
      </c>
      <c r="B29" s="114">
        <f>IF($A29="","",VLOOKUP($A29,'Annex 2 EHV charges'!$A:$O,2,0))</f>
        <v>829</v>
      </c>
      <c r="C29" s="115">
        <f>IF($A29="","",VLOOKUP($A29,'Annex 2 EHV charges'!$A:$O,3,0))</f>
        <v>1300035400611</v>
      </c>
      <c r="D29" s="114" t="str">
        <f>IF($A29="","",VLOOKUP($A29,'Annex 2 EHV charges'!$A:$O,7,0))</f>
        <v>Salt Union</v>
      </c>
      <c r="E29" s="119" t="str">
        <f>IFERROR(IF(VLOOKUP($A29,'Annex 2 EHV charges'!$A:$O,8,FALSE)=0,"",VLOOKUP($A29,'Annex 2 EHV charges'!$A:$O,8,FALSE)),"")</f>
        <v/>
      </c>
      <c r="F29" s="120">
        <f>IFERROR(IF(VLOOKUP($A29,'Annex 2 EHV charges'!$A:$O,9,FALSE)=0,"",VLOOKUP($A29,'Annex 2 EHV charges'!$A:$O,9,FALSE)),"")</f>
        <v>348.62</v>
      </c>
      <c r="G29" s="121">
        <f>IFERROR(IF(VLOOKUP($A29,'Annex 2 EHV charges'!$A:$O,10,FALSE)=0,"",VLOOKUP($A29,'Annex 2 EHV charges'!$A:$O,10,FALSE)),"")</f>
        <v>2.75</v>
      </c>
      <c r="H29" s="121">
        <f>IFERROR(IF(VLOOKUP($A29,'Annex 2 EHV charges'!$A:$O,11,FALSE)=0,"",VLOOKUP($A29,'Annex 2 EHV charges'!$A:$O,11,FALSE)),"")</f>
        <v>2.75</v>
      </c>
    </row>
    <row r="30" spans="1:8" ht="12.75" customHeight="1" x14ac:dyDescent="0.2">
      <c r="A30" s="114">
        <f t="array" ref="A30">IFERROR(INDEX('Annex 2 EHV charges'!$A$11:$A$259, MATCH(0, IF(ISBLANK('Annex 2 EHV charges'!$A$11:$A$259),1, COUNTIF(A$4:$A29, 'Annex 2 EHV charges'!$A$11:$A$259)), 0)),"")</f>
        <v>830</v>
      </c>
      <c r="B30" s="114">
        <f>IF($A30="","",VLOOKUP($A30,'Annex 2 EHV charges'!$A:$O,2,0))</f>
        <v>830</v>
      </c>
      <c r="C30" s="115">
        <f>IF($A30="","",VLOOKUP($A30,'Annex 2 EHV charges'!$A:$O,3,0))</f>
        <v>1300060584270</v>
      </c>
      <c r="D30" s="114" t="str">
        <f>IF($A30="","",VLOOKUP($A30,'Annex 2 EHV charges'!$A:$O,7,0))</f>
        <v>Parciau Solar Park</v>
      </c>
      <c r="E30" s="119" t="str">
        <f>IFERROR(IF(VLOOKUP($A30,'Annex 2 EHV charges'!$A:$O,8,FALSE)=0,"",VLOOKUP($A30,'Annex 2 EHV charges'!$A:$O,8,FALSE)),"")</f>
        <v/>
      </c>
      <c r="F30" s="120">
        <f>IFERROR(IF(VLOOKUP($A30,'Annex 2 EHV charges'!$A:$O,9,FALSE)=0,"",VLOOKUP($A30,'Annex 2 EHV charges'!$A:$O,9,FALSE)),"")</f>
        <v>6.35</v>
      </c>
      <c r="G30" s="121">
        <f>IFERROR(IF(VLOOKUP($A30,'Annex 2 EHV charges'!$A:$O,10,FALSE)=0,"",VLOOKUP($A30,'Annex 2 EHV charges'!$A:$O,10,FALSE)),"")</f>
        <v>4.18</v>
      </c>
      <c r="H30" s="121">
        <f>IFERROR(IF(VLOOKUP($A30,'Annex 2 EHV charges'!$A:$O,11,FALSE)=0,"",VLOOKUP($A30,'Annex 2 EHV charges'!$A:$O,11,FALSE)),"")</f>
        <v>4.18</v>
      </c>
    </row>
    <row r="31" spans="1:8" ht="12.75" customHeight="1" x14ac:dyDescent="0.2">
      <c r="A31" s="114">
        <f t="array" ref="A31">IFERROR(INDEX('Annex 2 EHV charges'!$A$11:$A$259, MATCH(0, IF(ISBLANK('Annex 2 EHV charges'!$A$11:$A$259),1, COUNTIF(A$4:$A30, 'Annex 2 EHV charges'!$A$11:$A$259)), 0)),"")</f>
        <v>831</v>
      </c>
      <c r="B31" s="114">
        <f>IF($A31="","",VLOOKUP($A31,'Annex 2 EHV charges'!$A:$O,2,0))</f>
        <v>831</v>
      </c>
      <c r="C31" s="115">
        <f>IF($A31="","",VLOOKUP($A31,'Annex 2 EHV charges'!$A:$O,3,0))</f>
        <v>1300035437700</v>
      </c>
      <c r="D31" s="114" t="str">
        <f>IF($A31="","",VLOOKUP($A31,'Annex 2 EHV charges'!$A:$O,7,0))</f>
        <v>Ineos Chlor Ltd (Percival Lane)</v>
      </c>
      <c r="E31" s="119" t="str">
        <f>IFERROR(IF(VLOOKUP($A31,'Annex 2 EHV charges'!$A:$O,8,FALSE)=0,"",VLOOKUP($A31,'Annex 2 EHV charges'!$A:$O,8,FALSE)),"")</f>
        <v/>
      </c>
      <c r="F31" s="120">
        <f>IFERROR(IF(VLOOKUP($A31,'Annex 2 EHV charges'!$A:$O,9,FALSE)=0,"",VLOOKUP($A31,'Annex 2 EHV charges'!$A:$O,9,FALSE)),"")</f>
        <v>416.27</v>
      </c>
      <c r="G31" s="121">
        <f>IFERROR(IF(VLOOKUP($A31,'Annex 2 EHV charges'!$A:$O,10,FALSE)=0,"",VLOOKUP($A31,'Annex 2 EHV charges'!$A:$O,10,FALSE)),"")</f>
        <v>5.85</v>
      </c>
      <c r="H31" s="121">
        <f>IFERROR(IF(VLOOKUP($A31,'Annex 2 EHV charges'!$A:$O,11,FALSE)=0,"",VLOOKUP($A31,'Annex 2 EHV charges'!$A:$O,11,FALSE)),"")</f>
        <v>5.85</v>
      </c>
    </row>
    <row r="32" spans="1:8" ht="12.75" customHeight="1" x14ac:dyDescent="0.2">
      <c r="A32" s="114">
        <f t="array" ref="A32">IFERROR(INDEX('Annex 2 EHV charges'!$A$11:$A$259, MATCH(0, IF(ISBLANK('Annex 2 EHV charges'!$A$11:$A$259),1, COUNTIF(A$4:$A31, 'Annex 2 EHV charges'!$A$11:$A$259)), 0)),"")</f>
        <v>833</v>
      </c>
      <c r="B32" s="114">
        <f>IF($A32="","",VLOOKUP($A32,'Annex 2 EHV charges'!$A:$O,2,0))</f>
        <v>833</v>
      </c>
      <c r="C32" s="115">
        <f>IF($A32="","",VLOOKUP($A32,'Annex 2 EHV charges'!$A:$O,3,0))</f>
        <v>1300035361803</v>
      </c>
      <c r="D32" s="114" t="str">
        <f>IF($A32="","",VLOOKUP($A32,'Annex 2 EHV charges'!$A:$O,7,0))</f>
        <v>Toyota</v>
      </c>
      <c r="E32" s="119" t="str">
        <f>IFERROR(IF(VLOOKUP($A32,'Annex 2 EHV charges'!$A:$O,8,FALSE)=0,"",VLOOKUP($A32,'Annex 2 EHV charges'!$A:$O,8,FALSE)),"")</f>
        <v/>
      </c>
      <c r="F32" s="120">
        <f>IFERROR(IF(VLOOKUP($A32,'Annex 2 EHV charges'!$A:$O,9,FALSE)=0,"",VLOOKUP($A32,'Annex 2 EHV charges'!$A:$O,9,FALSE)),"")</f>
        <v>2830.69</v>
      </c>
      <c r="G32" s="121">
        <f>IFERROR(IF(VLOOKUP($A32,'Annex 2 EHV charges'!$A:$O,10,FALSE)=0,"",VLOOKUP($A32,'Annex 2 EHV charges'!$A:$O,10,FALSE)),"")</f>
        <v>5.57</v>
      </c>
      <c r="H32" s="121">
        <f>IFERROR(IF(VLOOKUP($A32,'Annex 2 EHV charges'!$A:$O,11,FALSE)=0,"",VLOOKUP($A32,'Annex 2 EHV charges'!$A:$O,11,FALSE)),"")</f>
        <v>5.57</v>
      </c>
    </row>
    <row r="33" spans="1:8" ht="12.75" customHeight="1" x14ac:dyDescent="0.2">
      <c r="A33" s="114">
        <f t="array" ref="A33">IFERROR(INDEX('Annex 2 EHV charges'!$A$11:$A$259, MATCH(0, IF(ISBLANK('Annex 2 EHV charges'!$A$11:$A$259),1, COUNTIF(A$4:$A32, 'Annex 2 EHV charges'!$A$11:$A$259)), 0)),"")</f>
        <v>834</v>
      </c>
      <c r="B33" s="114">
        <f>IF($A33="","",VLOOKUP($A33,'Annex 2 EHV charges'!$A:$O,2,0))</f>
        <v>834</v>
      </c>
      <c r="C33" s="115">
        <f>IF($A33="","",VLOOKUP($A33,'Annex 2 EHV charges'!$A:$O,3,0))</f>
        <v>1300051028551</v>
      </c>
      <c r="D33" s="114" t="str">
        <f>IF($A33="","",VLOOKUP($A33,'Annex 2 EHV charges'!$A:$O,7,0))</f>
        <v>Warmingham Gas Storage</v>
      </c>
      <c r="E33" s="119" t="str">
        <f>IFERROR(IF(VLOOKUP($A33,'Annex 2 EHV charges'!$A:$O,8,FALSE)=0,"",VLOOKUP($A33,'Annex 2 EHV charges'!$A:$O,8,FALSE)),"")</f>
        <v/>
      </c>
      <c r="F33" s="120">
        <f>IFERROR(IF(VLOOKUP($A33,'Annex 2 EHV charges'!$A:$O,9,FALSE)=0,"",VLOOKUP($A33,'Annex 2 EHV charges'!$A:$O,9,FALSE)),"")</f>
        <v>3884.8343330437469</v>
      </c>
      <c r="G33" s="121">
        <f>IFERROR(IF(VLOOKUP($A33,'Annex 2 EHV charges'!$A:$O,10,FALSE)=0,"",VLOOKUP($A33,'Annex 2 EHV charges'!$A:$O,10,FALSE)),"")</f>
        <v>6.71</v>
      </c>
      <c r="H33" s="121">
        <f>IFERROR(IF(VLOOKUP($A33,'Annex 2 EHV charges'!$A:$O,11,FALSE)=0,"",VLOOKUP($A33,'Annex 2 EHV charges'!$A:$O,11,FALSE)),"")</f>
        <v>6.71</v>
      </c>
    </row>
    <row r="34" spans="1:8" ht="12.75" customHeight="1" x14ac:dyDescent="0.2">
      <c r="A34" s="114">
        <f t="array" ref="A34">IFERROR(INDEX('Annex 2 EHV charges'!$A$11:$A$259, MATCH(0, IF(ISBLANK('Annex 2 EHV charges'!$A$11:$A$259),1, COUNTIF(A$4:$A33, 'Annex 2 EHV charges'!$A$11:$A$259)), 0)),"")</f>
        <v>835</v>
      </c>
      <c r="B34" s="114">
        <f>IF($A34="","",VLOOKUP($A34,'Annex 2 EHV charges'!$A:$O,2,0))</f>
        <v>835</v>
      </c>
      <c r="C34" s="115">
        <f>IF($A34="","",VLOOKUP($A34,'Annex 2 EHV charges'!$A:$O,3,0))</f>
        <v>1300050648875</v>
      </c>
      <c r="D34" s="114" t="str">
        <f>IF($A34="","",VLOOKUP($A34,'Annex 2 EHV charges'!$A:$O,7,0))</f>
        <v>Arpley Landfill</v>
      </c>
      <c r="E34" s="119">
        <f>IFERROR(IF(VLOOKUP($A34,'Annex 2 EHV charges'!$A:$O,8,FALSE)=0,"",VLOOKUP($A34,'Annex 2 EHV charges'!$A:$O,8,FALSE)),"")</f>
        <v>1.7130000000000001</v>
      </c>
      <c r="F34" s="120">
        <f>IFERROR(IF(VLOOKUP($A34,'Annex 2 EHV charges'!$A:$O,9,FALSE)=0,"",VLOOKUP($A34,'Annex 2 EHV charges'!$A:$O,9,FALSE)),"")</f>
        <v>11.68</v>
      </c>
      <c r="G34" s="121">
        <f>IFERROR(IF(VLOOKUP($A34,'Annex 2 EHV charges'!$A:$O,10,FALSE)=0,"",VLOOKUP($A34,'Annex 2 EHV charges'!$A:$O,10,FALSE)),"")</f>
        <v>3.29</v>
      </c>
      <c r="H34" s="121">
        <f>IFERROR(IF(VLOOKUP($A34,'Annex 2 EHV charges'!$A:$O,11,FALSE)=0,"",VLOOKUP($A34,'Annex 2 EHV charges'!$A:$O,11,FALSE)),"")</f>
        <v>3.29</v>
      </c>
    </row>
    <row r="35" spans="1:8" ht="12.75" customHeight="1" x14ac:dyDescent="0.2">
      <c r="A35" s="114">
        <f t="array" ref="A35">IFERROR(INDEX('Annex 2 EHV charges'!$A$11:$A$259, MATCH(0, IF(ISBLANK('Annex 2 EHV charges'!$A$11:$A$259),1, COUNTIF(A$4:$A34, 'Annex 2 EHV charges'!$A$11:$A$259)), 0)),"")</f>
        <v>836</v>
      </c>
      <c r="B35" s="114">
        <f>IF($A35="","",VLOOKUP($A35,'Annex 2 EHV charges'!$A:$O,2,0))</f>
        <v>836</v>
      </c>
      <c r="C35" s="115">
        <f>IF($A35="","",VLOOKUP($A35,'Annex 2 EHV charges'!$A:$O,3,0))</f>
        <v>1300035360800</v>
      </c>
      <c r="D35" s="114" t="str">
        <f>IF($A35="","",VLOOKUP($A35,'Annex 2 EHV charges'!$A:$O,7,0))</f>
        <v>Amcor</v>
      </c>
      <c r="E35" s="119" t="str">
        <f>IFERROR(IF(VLOOKUP($A35,'Annex 2 EHV charges'!$A:$O,8,FALSE)=0,"",VLOOKUP($A35,'Annex 2 EHV charges'!$A:$O,8,FALSE)),"")</f>
        <v/>
      </c>
      <c r="F35" s="120">
        <f>IFERROR(IF(VLOOKUP($A35,'Annex 2 EHV charges'!$A:$O,9,FALSE)=0,"",VLOOKUP($A35,'Annex 2 EHV charges'!$A:$O,9,FALSE)),"")</f>
        <v>2010.87</v>
      </c>
      <c r="G35" s="121">
        <f>IFERROR(IF(VLOOKUP($A35,'Annex 2 EHV charges'!$A:$O,10,FALSE)=0,"",VLOOKUP($A35,'Annex 2 EHV charges'!$A:$O,10,FALSE)),"")</f>
        <v>10.64</v>
      </c>
      <c r="H35" s="121">
        <f>IFERROR(IF(VLOOKUP($A35,'Annex 2 EHV charges'!$A:$O,11,FALSE)=0,"",VLOOKUP($A35,'Annex 2 EHV charges'!$A:$O,11,FALSE)),"")</f>
        <v>10.64</v>
      </c>
    </row>
    <row r="36" spans="1:8" ht="12.75" customHeight="1" x14ac:dyDescent="0.2">
      <c r="A36" s="114">
        <f t="array" ref="A36">IFERROR(INDEX('Annex 2 EHV charges'!$A$11:$A$259, MATCH(0, IF(ISBLANK('Annex 2 EHV charges'!$A$11:$A$259),1, COUNTIF(A$4:$A35, 'Annex 2 EHV charges'!$A$11:$A$259)), 0)),"")</f>
        <v>838</v>
      </c>
      <c r="B36" s="114">
        <f>IF($A36="","",VLOOKUP($A36,'Annex 2 EHV charges'!$A:$O,2,0))</f>
        <v>838</v>
      </c>
      <c r="C36" s="115">
        <f>IF($A36="","",VLOOKUP($A36,'Annex 2 EHV charges'!$A:$O,3,0))</f>
        <v>1300052122840</v>
      </c>
      <c r="D36" s="114" t="str">
        <f>IF($A36="","",VLOOKUP($A36,'Annex 2 EHV charges'!$A:$O,7,0))</f>
        <v>Cemmaes C</v>
      </c>
      <c r="E36" s="119" t="str">
        <f>IFERROR(IF(VLOOKUP($A36,'Annex 2 EHV charges'!$A:$O,8,FALSE)=0,"",VLOOKUP($A36,'Annex 2 EHV charges'!$A:$O,8,FALSE)),"")</f>
        <v/>
      </c>
      <c r="F36" s="120">
        <f>IFERROR(IF(VLOOKUP($A36,'Annex 2 EHV charges'!$A:$O,9,FALSE)=0,"",VLOOKUP($A36,'Annex 2 EHV charges'!$A:$O,9,FALSE)),"")</f>
        <v>8.94</v>
      </c>
      <c r="G36" s="121">
        <f>IFERROR(IF(VLOOKUP($A36,'Annex 2 EHV charges'!$A:$O,10,FALSE)=0,"",VLOOKUP($A36,'Annex 2 EHV charges'!$A:$O,10,FALSE)),"")</f>
        <v>2.78</v>
      </c>
      <c r="H36" s="121">
        <f>IFERROR(IF(VLOOKUP($A36,'Annex 2 EHV charges'!$A:$O,11,FALSE)=0,"",VLOOKUP($A36,'Annex 2 EHV charges'!$A:$O,11,FALSE)),"")</f>
        <v>2.78</v>
      </c>
    </row>
    <row r="37" spans="1:8" ht="12.75" customHeight="1" x14ac:dyDescent="0.2">
      <c r="A37" s="114">
        <f t="array" ref="A37">IFERROR(INDEX('Annex 2 EHV charges'!$A$11:$A$259, MATCH(0, IF(ISBLANK('Annex 2 EHV charges'!$A$11:$A$259),1, COUNTIF(A$4:$A36, 'Annex 2 EHV charges'!$A$11:$A$259)), 0)),"")</f>
        <v>839</v>
      </c>
      <c r="B37" s="114">
        <f>IF($A37="","",VLOOKUP($A37,'Annex 2 EHV charges'!$A:$O,2,0))</f>
        <v>839</v>
      </c>
      <c r="C37" s="115">
        <f>IF($A37="","",VLOOKUP($A37,'Annex 2 EHV charges'!$A:$O,3,0))</f>
        <v>1300051822667</v>
      </c>
      <c r="D37" s="114" t="str">
        <f>IF($A37="","",VLOOKUP($A37,'Annex 2 EHV charges'!$A:$O,7,0))</f>
        <v>PG Strand Gate</v>
      </c>
      <c r="E37" s="119" t="str">
        <f>IFERROR(IF(VLOOKUP($A37,'Annex 2 EHV charges'!$A:$O,8,FALSE)=0,"",VLOOKUP($A37,'Annex 2 EHV charges'!$A:$O,8,FALSE)),"")</f>
        <v/>
      </c>
      <c r="F37" s="120">
        <f>IFERROR(IF(VLOOKUP($A37,'Annex 2 EHV charges'!$A:$O,9,FALSE)=0,"",VLOOKUP($A37,'Annex 2 EHV charges'!$A:$O,9,FALSE)),"")</f>
        <v>1848.81</v>
      </c>
      <c r="G37" s="121">
        <f>IFERROR(IF(VLOOKUP($A37,'Annex 2 EHV charges'!$A:$O,10,FALSE)=0,"",VLOOKUP($A37,'Annex 2 EHV charges'!$A:$O,10,FALSE)),"")</f>
        <v>2.54</v>
      </c>
      <c r="H37" s="121">
        <f>IFERROR(IF(VLOOKUP($A37,'Annex 2 EHV charges'!$A:$O,11,FALSE)=0,"",VLOOKUP($A37,'Annex 2 EHV charges'!$A:$O,11,FALSE)),"")</f>
        <v>2.54</v>
      </c>
    </row>
    <row r="38" spans="1:8" ht="12.75" customHeight="1" x14ac:dyDescent="0.2">
      <c r="A38" s="114">
        <f t="array" ref="A38">IFERROR(INDEX('Annex 2 EHV charges'!$A$11:$A$259, MATCH(0, IF(ISBLANK('Annex 2 EHV charges'!$A$11:$A$259),1, COUNTIF(A$4:$A37, 'Annex 2 EHV charges'!$A$11:$A$259)), 0)),"")</f>
        <v>840</v>
      </c>
      <c r="B38" s="114">
        <f>IF($A38="","",VLOOKUP($A38,'Annex 2 EHV charges'!$A:$O,2,0))</f>
        <v>840</v>
      </c>
      <c r="C38" s="115">
        <f>IF($A38="","",VLOOKUP($A38,'Annex 2 EHV charges'!$A:$O,3,0))</f>
        <v>1300052545267</v>
      </c>
      <c r="D38" s="114" t="str">
        <f>IF($A38="","",VLOOKUP($A38,'Annex 2 EHV charges'!$A:$O,7,0))</f>
        <v>Moel Maelogan (A)</v>
      </c>
      <c r="E38" s="119" t="str">
        <f>IFERROR(IF(VLOOKUP($A38,'Annex 2 EHV charges'!$A:$O,8,FALSE)=0,"",VLOOKUP($A38,'Annex 2 EHV charges'!$A:$O,8,FALSE)),"")</f>
        <v/>
      </c>
      <c r="F38" s="120">
        <f>IFERROR(IF(VLOOKUP($A38,'Annex 2 EHV charges'!$A:$O,9,FALSE)=0,"",VLOOKUP($A38,'Annex 2 EHV charges'!$A:$O,9,FALSE)),"")</f>
        <v>20.74</v>
      </c>
      <c r="G38" s="121">
        <f>IFERROR(IF(VLOOKUP($A38,'Annex 2 EHV charges'!$A:$O,10,FALSE)=0,"",VLOOKUP($A38,'Annex 2 EHV charges'!$A:$O,10,FALSE)),"")</f>
        <v>2.9</v>
      </c>
      <c r="H38" s="121">
        <f>IFERROR(IF(VLOOKUP($A38,'Annex 2 EHV charges'!$A:$O,11,FALSE)=0,"",VLOOKUP($A38,'Annex 2 EHV charges'!$A:$O,11,FALSE)),"")</f>
        <v>2.9</v>
      </c>
    </row>
    <row r="39" spans="1:8" ht="12.75" customHeight="1" x14ac:dyDescent="0.2">
      <c r="A39" s="114">
        <f t="array" ref="A39">IFERROR(INDEX('Annex 2 EHV charges'!$A$11:$A$259, MATCH(0, IF(ISBLANK('Annex 2 EHV charges'!$A$11:$A$259),1, COUNTIF(A$4:$A38, 'Annex 2 EHV charges'!$A$11:$A$259)), 0)),"")</f>
        <v>841</v>
      </c>
      <c r="B39" s="114">
        <f>IF($A39="","",VLOOKUP($A39,'Annex 2 EHV charges'!$A:$O,2,0))</f>
        <v>841</v>
      </c>
      <c r="C39" s="115">
        <f>IF($A39="","",VLOOKUP($A39,'Annex 2 EHV charges'!$A:$O,3,0))</f>
        <v>1300052545285</v>
      </c>
      <c r="D39" s="114" t="str">
        <f>IF($A39="","",VLOOKUP($A39,'Annex 2 EHV charges'!$A:$O,7,0))</f>
        <v>Moel Maelogan (B)</v>
      </c>
      <c r="E39" s="119" t="str">
        <f>IFERROR(IF(VLOOKUP($A39,'Annex 2 EHV charges'!$A:$O,8,FALSE)=0,"",VLOOKUP($A39,'Annex 2 EHV charges'!$A:$O,8,FALSE)),"")</f>
        <v/>
      </c>
      <c r="F39" s="120">
        <f>IFERROR(IF(VLOOKUP($A39,'Annex 2 EHV charges'!$A:$O,9,FALSE)=0,"",VLOOKUP($A39,'Annex 2 EHV charges'!$A:$O,9,FALSE)),"")</f>
        <v>10.44</v>
      </c>
      <c r="G39" s="121">
        <f>IFERROR(IF(VLOOKUP($A39,'Annex 2 EHV charges'!$A:$O,10,FALSE)=0,"",VLOOKUP($A39,'Annex 2 EHV charges'!$A:$O,10,FALSE)),"")</f>
        <v>3.12</v>
      </c>
      <c r="H39" s="121">
        <f>IFERROR(IF(VLOOKUP($A39,'Annex 2 EHV charges'!$A:$O,11,FALSE)=0,"",VLOOKUP($A39,'Annex 2 EHV charges'!$A:$O,11,FALSE)),"")</f>
        <v>3.12</v>
      </c>
    </row>
    <row r="40" spans="1:8" ht="12.75" customHeight="1" x14ac:dyDescent="0.2">
      <c r="A40" s="114">
        <f t="array" ref="A40">IFERROR(INDEX('Annex 2 EHV charges'!$A$11:$A$259, MATCH(0, IF(ISBLANK('Annex 2 EHV charges'!$A$11:$A$259),1, COUNTIF(A$4:$A39, 'Annex 2 EHV charges'!$A$11:$A$259)), 0)),"")</f>
        <v>842</v>
      </c>
      <c r="B40" s="114">
        <f>IF($A40="","",VLOOKUP($A40,'Annex 2 EHV charges'!$A:$O,2,0))</f>
        <v>842</v>
      </c>
      <c r="C40" s="115">
        <f>IF($A40="","",VLOOKUP($A40,'Annex 2 EHV charges'!$A:$O,3,0))</f>
        <v>1300053022082</v>
      </c>
      <c r="D40" s="114" t="str">
        <f>IF($A40="","",VLOOKUP($A40,'Annex 2 EHV charges'!$A:$O,7,0))</f>
        <v>North Hoyle</v>
      </c>
      <c r="E40" s="119" t="str">
        <f>IFERROR(IF(VLOOKUP($A40,'Annex 2 EHV charges'!$A:$O,8,FALSE)=0,"",VLOOKUP($A40,'Annex 2 EHV charges'!$A:$O,8,FALSE)),"")</f>
        <v/>
      </c>
      <c r="F40" s="120">
        <f>IFERROR(IF(VLOOKUP($A40,'Annex 2 EHV charges'!$A:$O,9,FALSE)=0,"",VLOOKUP($A40,'Annex 2 EHV charges'!$A:$O,9,FALSE)),"")</f>
        <v>510.18</v>
      </c>
      <c r="G40" s="121">
        <f>IFERROR(IF(VLOOKUP($A40,'Annex 2 EHV charges'!$A:$O,10,FALSE)=0,"",VLOOKUP($A40,'Annex 2 EHV charges'!$A:$O,10,FALSE)),"")</f>
        <v>1.43</v>
      </c>
      <c r="H40" s="121">
        <f>IFERROR(IF(VLOOKUP($A40,'Annex 2 EHV charges'!$A:$O,11,FALSE)=0,"",VLOOKUP($A40,'Annex 2 EHV charges'!$A:$O,11,FALSE)),"")</f>
        <v>1.43</v>
      </c>
    </row>
    <row r="41" spans="1:8" ht="12.75" customHeight="1" x14ac:dyDescent="0.2">
      <c r="A41" s="114">
        <f t="array" ref="A41">IFERROR(INDEX('Annex 2 EHV charges'!$A$11:$A$259, MATCH(0, IF(ISBLANK('Annex 2 EHV charges'!$A$11:$A$259),1, COUNTIF(A$4:$A40, 'Annex 2 EHV charges'!$A$11:$A$259)), 0)),"")</f>
        <v>843</v>
      </c>
      <c r="B41" s="114">
        <f>IF($A41="","",VLOOKUP($A41,'Annex 2 EHV charges'!$A:$O,2,0))</f>
        <v>843</v>
      </c>
      <c r="C41" s="115">
        <f>IF($A41="","",VLOOKUP($A41,'Annex 2 EHV charges'!$A:$O,3,0))</f>
        <v>1300053466350</v>
      </c>
      <c r="D41" s="114" t="str">
        <f>IF($A41="","",VLOOKUP($A41,'Annex 2 EHV charges'!$A:$O,7,0))</f>
        <v>Cefn Croyes (3)</v>
      </c>
      <c r="E41" s="119" t="str">
        <f>IFERROR(IF(VLOOKUP($A41,'Annex 2 EHV charges'!$A:$O,8,FALSE)=0,"",VLOOKUP($A41,'Annex 2 EHV charges'!$A:$O,8,FALSE)),"")</f>
        <v/>
      </c>
      <c r="F41" s="120">
        <f>IFERROR(IF(VLOOKUP($A41,'Annex 2 EHV charges'!$A:$O,9,FALSE)=0,"",VLOOKUP($A41,'Annex 2 EHV charges'!$A:$O,9,FALSE)),"")</f>
        <v>2747.75</v>
      </c>
      <c r="G41" s="121">
        <f>IFERROR(IF(VLOOKUP($A41,'Annex 2 EHV charges'!$A:$O,10,FALSE)=0,"",VLOOKUP($A41,'Annex 2 EHV charges'!$A:$O,10,FALSE)),"")</f>
        <v>2.21</v>
      </c>
      <c r="H41" s="121">
        <f>IFERROR(IF(VLOOKUP($A41,'Annex 2 EHV charges'!$A:$O,11,FALSE)=0,"",VLOOKUP($A41,'Annex 2 EHV charges'!$A:$O,11,FALSE)),"")</f>
        <v>2.21</v>
      </c>
    </row>
    <row r="42" spans="1:8" ht="12.75" customHeight="1" x14ac:dyDescent="0.2">
      <c r="A42" s="114">
        <f t="array" ref="A42">IFERROR(INDEX('Annex 2 EHV charges'!$A$11:$A$259, MATCH(0, IF(ISBLANK('Annex 2 EHV charges'!$A$11:$A$259),1, COUNTIF(A$4:$A41, 'Annex 2 EHV charges'!$A$11:$A$259)), 0)),"")</f>
        <v>844</v>
      </c>
      <c r="B42" s="114">
        <f>IF($A42="","",VLOOKUP($A42,'Annex 2 EHV charges'!$A:$O,2,0))</f>
        <v>844</v>
      </c>
      <c r="C42" s="115">
        <f>IF($A42="","",VLOOKUP($A42,'Annex 2 EHV charges'!$A:$O,3,0))</f>
        <v>1300053466378</v>
      </c>
      <c r="D42" s="114" t="str">
        <f>IF($A42="","",VLOOKUP($A42,'Annex 2 EHV charges'!$A:$O,7,0))</f>
        <v>Cefn Croyes (4)</v>
      </c>
      <c r="E42" s="119" t="str">
        <f>IFERROR(IF(VLOOKUP($A42,'Annex 2 EHV charges'!$A:$O,8,FALSE)=0,"",VLOOKUP($A42,'Annex 2 EHV charges'!$A:$O,8,FALSE)),"")</f>
        <v/>
      </c>
      <c r="F42" s="120">
        <f>IFERROR(IF(VLOOKUP($A42,'Annex 2 EHV charges'!$A:$O,9,FALSE)=0,"",VLOOKUP($A42,'Annex 2 EHV charges'!$A:$O,9,FALSE)),"")</f>
        <v>2755.32</v>
      </c>
      <c r="G42" s="121">
        <f>IFERROR(IF(VLOOKUP($A42,'Annex 2 EHV charges'!$A:$O,10,FALSE)=0,"",VLOOKUP($A42,'Annex 2 EHV charges'!$A:$O,10,FALSE)),"")</f>
        <v>2.2000000000000002</v>
      </c>
      <c r="H42" s="121">
        <f>IFERROR(IF(VLOOKUP($A42,'Annex 2 EHV charges'!$A:$O,11,FALSE)=0,"",VLOOKUP($A42,'Annex 2 EHV charges'!$A:$O,11,FALSE)),"")</f>
        <v>2.2000000000000002</v>
      </c>
    </row>
    <row r="43" spans="1:8" ht="12.75" customHeight="1" x14ac:dyDescent="0.2">
      <c r="A43" s="114">
        <f t="array" ref="A43">IFERROR(INDEX('Annex 2 EHV charges'!$A$11:$A$259, MATCH(0, IF(ISBLANK('Annex 2 EHV charges'!$A$11:$A$259),1, COUNTIF(A$4:$A42, 'Annex 2 EHV charges'!$A$11:$A$259)), 0)),"")</f>
        <v>845</v>
      </c>
      <c r="B43" s="114">
        <f>IF($A43="","",VLOOKUP($A43,'Annex 2 EHV charges'!$A:$O,2,0))</f>
        <v>845</v>
      </c>
      <c r="C43" s="115">
        <f>IF($A43="","",VLOOKUP($A43,'Annex 2 EHV charges'!$A:$O,3,0))</f>
        <v>1300053834682</v>
      </c>
      <c r="D43" s="114" t="str">
        <f>IF($A43="","",VLOOKUP($A43,'Annex 2 EHV charges'!$A:$O,7,0))</f>
        <v>Tir Mostyn</v>
      </c>
      <c r="E43" s="119" t="str">
        <f>IFERROR(IF(VLOOKUP($A43,'Annex 2 EHV charges'!$A:$O,8,FALSE)=0,"",VLOOKUP($A43,'Annex 2 EHV charges'!$A:$O,8,FALSE)),"")</f>
        <v/>
      </c>
      <c r="F43" s="120">
        <f>IFERROR(IF(VLOOKUP($A43,'Annex 2 EHV charges'!$A:$O,9,FALSE)=0,"",VLOOKUP($A43,'Annex 2 EHV charges'!$A:$O,9,FALSE)),"")</f>
        <v>379.61</v>
      </c>
      <c r="G43" s="121">
        <f>IFERROR(IF(VLOOKUP($A43,'Annex 2 EHV charges'!$A:$O,10,FALSE)=0,"",VLOOKUP($A43,'Annex 2 EHV charges'!$A:$O,10,FALSE)),"")</f>
        <v>2.57</v>
      </c>
      <c r="H43" s="121">
        <f>IFERROR(IF(VLOOKUP($A43,'Annex 2 EHV charges'!$A:$O,11,FALSE)=0,"",VLOOKUP($A43,'Annex 2 EHV charges'!$A:$O,11,FALSE)),"")</f>
        <v>2.57</v>
      </c>
    </row>
    <row r="44" spans="1:8" ht="12.75" customHeight="1" x14ac:dyDescent="0.2">
      <c r="A44" s="114">
        <f t="array" ref="A44">IFERROR(INDEX('Annex 2 EHV charges'!$A$11:$A$259, MATCH(0, IF(ISBLANK('Annex 2 EHV charges'!$A$11:$A$259),1, COUNTIF(A$4:$A43, 'Annex 2 EHV charges'!$A$11:$A$259)), 0)),"")</f>
        <v>846</v>
      </c>
      <c r="B44" s="114">
        <f>IF($A44="","",VLOOKUP($A44,'Annex 2 EHV charges'!$A:$O,2,0))</f>
        <v>846</v>
      </c>
      <c r="C44" s="115">
        <f>IF($A44="","",VLOOKUP($A44,'Annex 2 EHV charges'!$A:$O,3,0))</f>
        <v>1300053862801</v>
      </c>
      <c r="D44" s="114" t="str">
        <f>IF($A44="","",VLOOKUP($A44,'Annex 2 EHV charges'!$A:$O,7,0))</f>
        <v>Mynydd Clogau</v>
      </c>
      <c r="E44" s="119" t="str">
        <f>IFERROR(IF(VLOOKUP($A44,'Annex 2 EHV charges'!$A:$O,8,FALSE)=0,"",VLOOKUP($A44,'Annex 2 EHV charges'!$A:$O,8,FALSE)),"")</f>
        <v/>
      </c>
      <c r="F44" s="120">
        <f>IFERROR(IF(VLOOKUP($A44,'Annex 2 EHV charges'!$A:$O,9,FALSE)=0,"",VLOOKUP($A44,'Annex 2 EHV charges'!$A:$O,9,FALSE)),"")</f>
        <v>9.86</v>
      </c>
      <c r="G44" s="121">
        <f>IFERROR(IF(VLOOKUP($A44,'Annex 2 EHV charges'!$A:$O,10,FALSE)=0,"",VLOOKUP($A44,'Annex 2 EHV charges'!$A:$O,10,FALSE)),"")</f>
        <v>2.97</v>
      </c>
      <c r="H44" s="121">
        <f>IFERROR(IF(VLOOKUP($A44,'Annex 2 EHV charges'!$A:$O,11,FALSE)=0,"",VLOOKUP($A44,'Annex 2 EHV charges'!$A:$O,11,FALSE)),"")</f>
        <v>2.97</v>
      </c>
    </row>
    <row r="45" spans="1:8" ht="12.75" customHeight="1" x14ac:dyDescent="0.2">
      <c r="A45" s="114">
        <f t="array" ref="A45">IFERROR(INDEX('Annex 2 EHV charges'!$A$11:$A$259, MATCH(0, IF(ISBLANK('Annex 2 EHV charges'!$A$11:$A$259),1, COUNTIF(A$4:$A44, 'Annex 2 EHV charges'!$A$11:$A$259)), 0)),"")</f>
        <v>847</v>
      </c>
      <c r="B45" s="114">
        <f>IF($A45="","",VLOOKUP($A45,'Annex 2 EHV charges'!$A:$O,2,0))</f>
        <v>847</v>
      </c>
      <c r="C45" s="115">
        <f>IF($A45="","",VLOOKUP($A45,'Annex 2 EHV charges'!$A:$O,3,0))</f>
        <v>1300053962107</v>
      </c>
      <c r="D45" s="114" t="str">
        <f>IF($A45="","",VLOOKUP($A45,'Annex 2 EHV charges'!$A:$O,7,0))</f>
        <v>Granox</v>
      </c>
      <c r="E45" s="119">
        <f>IFERROR(IF(VLOOKUP($A45,'Annex 2 EHV charges'!$A:$O,8,FALSE)=0,"",VLOOKUP($A45,'Annex 2 EHV charges'!$A:$O,8,FALSE)),"")</f>
        <v>0.40400000000000003</v>
      </c>
      <c r="F45" s="120">
        <f>IFERROR(IF(VLOOKUP($A45,'Annex 2 EHV charges'!$A:$O,9,FALSE)=0,"",VLOOKUP($A45,'Annex 2 EHV charges'!$A:$O,9,FALSE)),"")</f>
        <v>215.88</v>
      </c>
      <c r="G45" s="121">
        <f>IFERROR(IF(VLOOKUP($A45,'Annex 2 EHV charges'!$A:$O,10,FALSE)=0,"",VLOOKUP($A45,'Annex 2 EHV charges'!$A:$O,10,FALSE)),"")</f>
        <v>3.57</v>
      </c>
      <c r="H45" s="121">
        <f>IFERROR(IF(VLOOKUP($A45,'Annex 2 EHV charges'!$A:$O,11,FALSE)=0,"",VLOOKUP($A45,'Annex 2 EHV charges'!$A:$O,11,FALSE)),"")</f>
        <v>3.57</v>
      </c>
    </row>
    <row r="46" spans="1:8" ht="12.75" customHeight="1" x14ac:dyDescent="0.2">
      <c r="A46" s="114">
        <f t="array" ref="A46">IFERROR(INDEX('Annex 2 EHV charges'!$A$11:$A$259, MATCH(0, IF(ISBLANK('Annex 2 EHV charges'!$A$11:$A$259),1, COUNTIF(A$4:$A45, 'Annex 2 EHV charges'!$A$11:$A$259)), 0)),"")</f>
        <v>848</v>
      </c>
      <c r="B46" s="114">
        <f>IF($A46="","",VLOOKUP($A46,'Annex 2 EHV charges'!$A:$O,2,0))</f>
        <v>848</v>
      </c>
      <c r="C46" s="115">
        <f>IF($A46="","",VLOOKUP($A46,'Annex 2 EHV charges'!$A:$O,3,0))</f>
        <v>1300060499085</v>
      </c>
      <c r="D46" s="114" t="str">
        <f>IF($A46="","",VLOOKUP($A46,'Annex 2 EHV charges'!$A:$O,7,0))</f>
        <v>Tai Moelion</v>
      </c>
      <c r="E46" s="119" t="str">
        <f>IFERROR(IF(VLOOKUP($A46,'Annex 2 EHV charges'!$A:$O,8,FALSE)=0,"",VLOOKUP($A46,'Annex 2 EHV charges'!$A:$O,8,FALSE)),"")</f>
        <v/>
      </c>
      <c r="F46" s="120">
        <f>IFERROR(IF(VLOOKUP($A46,'Annex 2 EHV charges'!$A:$O,9,FALSE)=0,"",VLOOKUP($A46,'Annex 2 EHV charges'!$A:$O,9,FALSE)),"")</f>
        <v>4.01</v>
      </c>
      <c r="G46" s="121">
        <f>IFERROR(IF(VLOOKUP($A46,'Annex 2 EHV charges'!$A:$O,10,FALSE)=0,"",VLOOKUP($A46,'Annex 2 EHV charges'!$A:$O,10,FALSE)),"")</f>
        <v>5.0199999999999996</v>
      </c>
      <c r="H46" s="121">
        <f>IFERROR(IF(VLOOKUP($A46,'Annex 2 EHV charges'!$A:$O,11,FALSE)=0,"",VLOOKUP($A46,'Annex 2 EHV charges'!$A:$O,11,FALSE)),"")</f>
        <v>5.0199999999999996</v>
      </c>
    </row>
    <row r="47" spans="1:8" ht="12.75" customHeight="1" x14ac:dyDescent="0.2">
      <c r="A47" s="114">
        <f t="array" ref="A47">IFERROR(INDEX('Annex 2 EHV charges'!$A$11:$A$259, MATCH(0, IF(ISBLANK('Annex 2 EHV charges'!$A$11:$A$259),1, COUNTIF(A$4:$A46, 'Annex 2 EHV charges'!$A$11:$A$259)), 0)),"")</f>
        <v>849</v>
      </c>
      <c r="B47" s="114">
        <f>IF($A47="","",VLOOKUP($A47,'Annex 2 EHV charges'!$A:$O,2,0))</f>
        <v>849</v>
      </c>
      <c r="C47" s="115">
        <f>IF($A47="","",VLOOKUP($A47,'Annex 2 EHV charges'!$A:$O,3,0))</f>
        <v>1300054624390</v>
      </c>
      <c r="D47" s="114" t="str">
        <f>IF($A47="","",VLOOKUP($A47,'Annex 2 EHV charges'!$A:$O,7,0))</f>
        <v>Braich Ddu</v>
      </c>
      <c r="E47" s="119" t="str">
        <f>IFERROR(IF(VLOOKUP($A47,'Annex 2 EHV charges'!$A:$O,8,FALSE)=0,"",VLOOKUP($A47,'Annex 2 EHV charges'!$A:$O,8,FALSE)),"")</f>
        <v/>
      </c>
      <c r="F47" s="120">
        <f>IFERROR(IF(VLOOKUP($A47,'Annex 2 EHV charges'!$A:$O,9,FALSE)=0,"",VLOOKUP($A47,'Annex 2 EHV charges'!$A:$O,9,FALSE)),"")</f>
        <v>23.25</v>
      </c>
      <c r="G47" s="121">
        <f>IFERROR(IF(VLOOKUP($A47,'Annex 2 EHV charges'!$A:$O,10,FALSE)=0,"",VLOOKUP($A47,'Annex 2 EHV charges'!$A:$O,10,FALSE)),"")</f>
        <v>2.76</v>
      </c>
      <c r="H47" s="121">
        <f>IFERROR(IF(VLOOKUP($A47,'Annex 2 EHV charges'!$A:$O,11,FALSE)=0,"",VLOOKUP($A47,'Annex 2 EHV charges'!$A:$O,11,FALSE)),"")</f>
        <v>2.76</v>
      </c>
    </row>
    <row r="48" spans="1:8" ht="12.75" customHeight="1" x14ac:dyDescent="0.2">
      <c r="A48" s="114">
        <f t="array" ref="A48">IFERROR(INDEX('Annex 2 EHV charges'!$A$11:$A$259, MATCH(0, IF(ISBLANK('Annex 2 EHV charges'!$A$11:$A$259),1, COUNTIF(A$4:$A47, 'Annex 2 EHV charges'!$A$11:$A$259)), 0)),"")</f>
        <v>850</v>
      </c>
      <c r="B48" s="114">
        <f>IF($A48="","",VLOOKUP($A48,'Annex 2 EHV charges'!$A:$O,2,0))</f>
        <v>850</v>
      </c>
      <c r="C48" s="115">
        <f>IF($A48="","",VLOOKUP($A48,'Annex 2 EHV charges'!$A:$O,3,0))</f>
        <v>1300060668363</v>
      </c>
      <c r="D48" s="114" t="str">
        <f>IF($A48="","",VLOOKUP($A48,'Annex 2 EHV charges'!$A:$O,7,0))</f>
        <v>Widnes Biomass</v>
      </c>
      <c r="E48" s="119">
        <f>IFERROR(IF(VLOOKUP($A48,'Annex 2 EHV charges'!$A:$O,8,FALSE)=0,"",VLOOKUP($A48,'Annex 2 EHV charges'!$A:$O,8,FALSE)),"")</f>
        <v>0.28100000000000003</v>
      </c>
      <c r="F48" s="120">
        <f>IFERROR(IF(VLOOKUP($A48,'Annex 2 EHV charges'!$A:$O,9,FALSE)=0,"",VLOOKUP($A48,'Annex 2 EHV charges'!$A:$O,9,FALSE)),"")</f>
        <v>713.93</v>
      </c>
      <c r="G48" s="121">
        <f>IFERROR(IF(VLOOKUP($A48,'Annex 2 EHV charges'!$A:$O,10,FALSE)=0,"",VLOOKUP($A48,'Annex 2 EHV charges'!$A:$O,10,FALSE)),"")</f>
        <v>4.0199999999999996</v>
      </c>
      <c r="H48" s="121">
        <f>IFERROR(IF(VLOOKUP($A48,'Annex 2 EHV charges'!$A:$O,11,FALSE)=0,"",VLOOKUP($A48,'Annex 2 EHV charges'!$A:$O,11,FALSE)),"")</f>
        <v>4.0199999999999996</v>
      </c>
    </row>
    <row r="49" spans="1:8" ht="12.75" customHeight="1" x14ac:dyDescent="0.2">
      <c r="A49" s="114">
        <f t="array" ref="A49">IFERROR(INDEX('Annex 2 EHV charges'!$A$11:$A$259, MATCH(0, IF(ISBLANK('Annex 2 EHV charges'!$A$11:$A$259),1, COUNTIF(A$4:$A48, 'Annex 2 EHV charges'!$A$11:$A$259)), 0)),"")</f>
        <v>851</v>
      </c>
      <c r="B49" s="114">
        <f>IF($A49="","",VLOOKUP($A49,'Annex 2 EHV charges'!$A:$O,2,0))</f>
        <v>851</v>
      </c>
      <c r="C49" s="115">
        <f>IF($A49="","",VLOOKUP($A49,'Annex 2 EHV charges'!$A:$O,3,0))</f>
        <v>1300054933348</v>
      </c>
      <c r="D49" s="114" t="str">
        <f>IF($A49="","",VLOOKUP($A49,'Annex 2 EHV charges'!$A:$O,7,0))</f>
        <v>Moel Maelogan 2</v>
      </c>
      <c r="E49" s="119" t="str">
        <f>IFERROR(IF(VLOOKUP($A49,'Annex 2 EHV charges'!$A:$O,8,FALSE)=0,"",VLOOKUP($A49,'Annex 2 EHV charges'!$A:$O,8,FALSE)),"")</f>
        <v/>
      </c>
      <c r="F49" s="120">
        <f>IFERROR(IF(VLOOKUP($A49,'Annex 2 EHV charges'!$A:$O,9,FALSE)=0,"",VLOOKUP($A49,'Annex 2 EHV charges'!$A:$O,9,FALSE)),"")</f>
        <v>6.53</v>
      </c>
      <c r="G49" s="121">
        <f>IFERROR(IF(VLOOKUP($A49,'Annex 2 EHV charges'!$A:$O,10,FALSE)=0,"",VLOOKUP($A49,'Annex 2 EHV charges'!$A:$O,10,FALSE)),"")</f>
        <v>2.87</v>
      </c>
      <c r="H49" s="121">
        <f>IFERROR(IF(VLOOKUP($A49,'Annex 2 EHV charges'!$A:$O,11,FALSE)=0,"",VLOOKUP($A49,'Annex 2 EHV charges'!$A:$O,11,FALSE)),"")</f>
        <v>2.87</v>
      </c>
    </row>
    <row r="50" spans="1:8" ht="12.75" customHeight="1" x14ac:dyDescent="0.2">
      <c r="A50" s="114">
        <f t="array" ref="A50">IFERROR(INDEX('Annex 2 EHV charges'!$A$11:$A$259, MATCH(0, IF(ISBLANK('Annex 2 EHV charges'!$A$11:$A$259),1, COUNTIF(A$4:$A49, 'Annex 2 EHV charges'!$A$11:$A$259)), 0)),"")</f>
        <v>852</v>
      </c>
      <c r="B50" s="114">
        <f>IF($A50="","",VLOOKUP($A50,'Annex 2 EHV charges'!$A:$O,2,0))</f>
        <v>852</v>
      </c>
      <c r="C50" s="115">
        <f>IF($A50="","",VLOOKUP($A50,'Annex 2 EHV charges'!$A:$O,3,0))</f>
        <v>1300053310848</v>
      </c>
      <c r="D50" s="114" t="str">
        <f>IF($A50="","",VLOOKUP($A50,'Annex 2 EHV charges'!$A:$O,7,0))</f>
        <v>Trafalgar Dock</v>
      </c>
      <c r="E50" s="119" t="str">
        <f>IFERROR(IF(VLOOKUP($A50,'Annex 2 EHV charges'!$A:$O,8,FALSE)=0,"",VLOOKUP($A50,'Annex 2 EHV charges'!$A:$O,8,FALSE)),"")</f>
        <v/>
      </c>
      <c r="F50" s="120">
        <f>IFERROR(IF(VLOOKUP($A50,'Annex 2 EHV charges'!$A:$O,9,FALSE)=0,"",VLOOKUP($A50,'Annex 2 EHV charges'!$A:$O,9,FALSE)),"")</f>
        <v>2419.63</v>
      </c>
      <c r="G50" s="121">
        <f>IFERROR(IF(VLOOKUP($A50,'Annex 2 EHV charges'!$A:$O,10,FALSE)=0,"",VLOOKUP($A50,'Annex 2 EHV charges'!$A:$O,10,FALSE)),"")</f>
        <v>5.51</v>
      </c>
      <c r="H50" s="121">
        <f>IFERROR(IF(VLOOKUP($A50,'Annex 2 EHV charges'!$A:$O,11,FALSE)=0,"",VLOOKUP($A50,'Annex 2 EHV charges'!$A:$O,11,FALSE)),"")</f>
        <v>5.51</v>
      </c>
    </row>
    <row r="51" spans="1:8" ht="12.75" customHeight="1" x14ac:dyDescent="0.2">
      <c r="A51" s="114">
        <f t="array" ref="A51">IFERROR(INDEX('Annex 2 EHV charges'!$A$11:$A$259, MATCH(0, IF(ISBLANK('Annex 2 EHV charges'!$A$11:$A$259),1, COUNTIF(A$4:$A50, 'Annex 2 EHV charges'!$A$11:$A$259)), 0)),"")</f>
        <v>854</v>
      </c>
      <c r="B51" s="114">
        <f>IF($A51="","",VLOOKUP($A51,'Annex 2 EHV charges'!$A:$O,2,0))</f>
        <v>854</v>
      </c>
      <c r="C51" s="115">
        <f>IF($A51="","",VLOOKUP($A51,'Annex 2 EHV charges'!$A:$O,3,0))</f>
        <v>1300060138720</v>
      </c>
      <c r="D51" s="114" t="str">
        <f>IF($A51="","",VLOOKUP($A51,'Annex 2 EHV charges'!$A:$O,7,0))</f>
        <v>Wern Ddu</v>
      </c>
      <c r="E51" s="119" t="str">
        <f>IFERROR(IF(VLOOKUP($A51,'Annex 2 EHV charges'!$A:$O,8,FALSE)=0,"",VLOOKUP($A51,'Annex 2 EHV charges'!$A:$O,8,FALSE)),"")</f>
        <v/>
      </c>
      <c r="F51" s="120">
        <f>IFERROR(IF(VLOOKUP($A51,'Annex 2 EHV charges'!$A:$O,9,FALSE)=0,"",VLOOKUP($A51,'Annex 2 EHV charges'!$A:$O,9,FALSE)),"")</f>
        <v>51.05</v>
      </c>
      <c r="G51" s="121">
        <f>IFERROR(IF(VLOOKUP($A51,'Annex 2 EHV charges'!$A:$O,10,FALSE)=0,"",VLOOKUP($A51,'Annex 2 EHV charges'!$A:$O,10,FALSE)),"")</f>
        <v>2.54</v>
      </c>
      <c r="H51" s="121">
        <f>IFERROR(IF(VLOOKUP($A51,'Annex 2 EHV charges'!$A:$O,11,FALSE)=0,"",VLOOKUP($A51,'Annex 2 EHV charges'!$A:$O,11,FALSE)),"")</f>
        <v>2.54</v>
      </c>
    </row>
    <row r="52" spans="1:8" ht="12.75" customHeight="1" x14ac:dyDescent="0.2">
      <c r="A52" s="114">
        <f t="array" ref="A52">IFERROR(INDEX('Annex 2 EHV charges'!$A$11:$A$259, MATCH(0, IF(ISBLANK('Annex 2 EHV charges'!$A$11:$A$259),1, COUNTIF(A$4:$A51, 'Annex 2 EHV charges'!$A$11:$A$259)), 0)),"")</f>
        <v>856</v>
      </c>
      <c r="B52" s="114">
        <f>IF($A52="","",VLOOKUP($A52,'Annex 2 EHV charges'!$A:$O,2,0))</f>
        <v>856</v>
      </c>
      <c r="C52" s="115">
        <f>IF($A52="","",VLOOKUP($A52,'Annex 2 EHV charges'!$A:$O,3,0))</f>
        <v>1300060102617</v>
      </c>
      <c r="D52" s="114" t="str">
        <f>IF($A52="","",VLOOKUP($A52,'Annex 2 EHV charges'!$A:$O,7,0))</f>
        <v>Rhyl Flats</v>
      </c>
      <c r="E52" s="119" t="str">
        <f>IFERROR(IF(VLOOKUP($A52,'Annex 2 EHV charges'!$A:$O,8,FALSE)=0,"",VLOOKUP($A52,'Annex 2 EHV charges'!$A:$O,8,FALSE)),"")</f>
        <v/>
      </c>
      <c r="F52" s="120">
        <f>IFERROR(IF(VLOOKUP($A52,'Annex 2 EHV charges'!$A:$O,9,FALSE)=0,"",VLOOKUP($A52,'Annex 2 EHV charges'!$A:$O,9,FALSE)),"")</f>
        <v>166.42</v>
      </c>
      <c r="G52" s="121">
        <f>IFERROR(IF(VLOOKUP($A52,'Annex 2 EHV charges'!$A:$O,10,FALSE)=0,"",VLOOKUP($A52,'Annex 2 EHV charges'!$A:$O,10,FALSE)),"")</f>
        <v>2.36</v>
      </c>
      <c r="H52" s="121">
        <f>IFERROR(IF(VLOOKUP($A52,'Annex 2 EHV charges'!$A:$O,11,FALSE)=0,"",VLOOKUP($A52,'Annex 2 EHV charges'!$A:$O,11,FALSE)),"")</f>
        <v>2.36</v>
      </c>
    </row>
    <row r="53" spans="1:8" ht="12.75" customHeight="1" x14ac:dyDescent="0.2">
      <c r="A53" s="114">
        <f t="array" ref="A53">IFERROR(INDEX('Annex 2 EHV charges'!$A$11:$A$259, MATCH(0, IF(ISBLANK('Annex 2 EHV charges'!$A$11:$A$259),1, COUNTIF(A$4:$A52, 'Annex 2 EHV charges'!$A$11:$A$259)), 0)),"")</f>
        <v>857</v>
      </c>
      <c r="B53" s="114">
        <f>IF($A53="","",VLOOKUP($A53,'Annex 2 EHV charges'!$A:$O,2,0))</f>
        <v>857</v>
      </c>
      <c r="C53" s="115">
        <f>IF($A53="","",VLOOKUP($A53,'Annex 2 EHV charges'!$A:$O,3,0))</f>
        <v>1300060508758</v>
      </c>
      <c r="D53" s="114" t="str">
        <f>IF($A53="","",VLOOKUP($A53,'Annex 2 EHV charges'!$A:$O,7,0))</f>
        <v>Seaforth Liverpool Dock 2</v>
      </c>
      <c r="E53" s="119" t="str">
        <f>IFERROR(IF(VLOOKUP($A53,'Annex 2 EHV charges'!$A:$O,8,FALSE)=0,"",VLOOKUP($A53,'Annex 2 EHV charges'!$A:$O,8,FALSE)),"")</f>
        <v/>
      </c>
      <c r="F53" s="120">
        <f>IFERROR(IF(VLOOKUP($A53,'Annex 2 EHV charges'!$A:$O,9,FALSE)=0,"",VLOOKUP($A53,'Annex 2 EHV charges'!$A:$O,9,FALSE)),"")</f>
        <v>67500.36</v>
      </c>
      <c r="G53" s="121">
        <f>IFERROR(IF(VLOOKUP($A53,'Annex 2 EHV charges'!$A:$O,10,FALSE)=0,"",VLOOKUP($A53,'Annex 2 EHV charges'!$A:$O,10,FALSE)),"")</f>
        <v>10.87</v>
      </c>
      <c r="H53" s="121">
        <f>IFERROR(IF(VLOOKUP($A53,'Annex 2 EHV charges'!$A:$O,11,FALSE)=0,"",VLOOKUP($A53,'Annex 2 EHV charges'!$A:$O,11,FALSE)),"")</f>
        <v>10.87</v>
      </c>
    </row>
    <row r="54" spans="1:8" ht="12.75" customHeight="1" x14ac:dyDescent="0.2">
      <c r="A54" s="114">
        <f t="array" ref="A54">IFERROR(INDEX('Annex 2 EHV charges'!$A$11:$A$259, MATCH(0, IF(ISBLANK('Annex 2 EHV charges'!$A$11:$A$259),1, COUNTIF(A$4:$A53, 'Annex 2 EHV charges'!$A$11:$A$259)), 0)),"")</f>
        <v>865</v>
      </c>
      <c r="B54" s="114">
        <f>IF($A54="","",VLOOKUP($A54,'Annex 2 EHV charges'!$A:$O,2,0))</f>
        <v>865</v>
      </c>
      <c r="C54" s="115">
        <f>IF($A54="","",VLOOKUP($A54,'Annex 2 EHV charges'!$A:$O,3,0))</f>
        <v>1300035438944</v>
      </c>
      <c r="D54" s="114" t="str">
        <f>IF($A54="","",VLOOKUP($A54,'Annex 2 EHV charges'!$A:$O,7,0))</f>
        <v>Cemmaes B</v>
      </c>
      <c r="E54" s="119" t="str">
        <f>IFERROR(IF(VLOOKUP($A54,'Annex 2 EHV charges'!$A:$O,8,FALSE)=0,"",VLOOKUP($A54,'Annex 2 EHV charges'!$A:$O,8,FALSE)),"")</f>
        <v/>
      </c>
      <c r="F54" s="120">
        <f>IFERROR(IF(VLOOKUP($A54,'Annex 2 EHV charges'!$A:$O,9,FALSE)=0,"",VLOOKUP($A54,'Annex 2 EHV charges'!$A:$O,9,FALSE)),"")</f>
        <v>7.77</v>
      </c>
      <c r="G54" s="121">
        <f>IFERROR(IF(VLOOKUP($A54,'Annex 2 EHV charges'!$A:$O,10,FALSE)=0,"",VLOOKUP($A54,'Annex 2 EHV charges'!$A:$O,10,FALSE)),"")</f>
        <v>3.17</v>
      </c>
      <c r="H54" s="121">
        <f>IFERROR(IF(VLOOKUP($A54,'Annex 2 EHV charges'!$A:$O,11,FALSE)=0,"",VLOOKUP($A54,'Annex 2 EHV charges'!$A:$O,11,FALSE)),"")</f>
        <v>3.17</v>
      </c>
    </row>
    <row r="55" spans="1:8" ht="12.75" customHeight="1" x14ac:dyDescent="0.2">
      <c r="A55" s="114">
        <f t="array" ref="A55">IFERROR(INDEX('Annex 2 EHV charges'!$A$11:$A$259, MATCH(0, IF(ISBLANK('Annex 2 EHV charges'!$A$11:$A$259),1, COUNTIF(A$4:$A54, 'Annex 2 EHV charges'!$A$11:$A$259)), 0)),"")</f>
        <v>866</v>
      </c>
      <c r="B55" s="114">
        <f>IF($A55="","",VLOOKUP($A55,'Annex 2 EHV charges'!$A:$O,2,0))</f>
        <v>866</v>
      </c>
      <c r="C55" s="115">
        <f>IF($A55="","",VLOOKUP($A55,'Annex 2 EHV charges'!$A:$O,3,0))</f>
        <v>1300037983737</v>
      </c>
      <c r="D55" s="114" t="str">
        <f>IF($A55="","",VLOOKUP($A55,'Annex 2 EHV charges'!$A:$O,7,0))</f>
        <v>Penrhyddlan</v>
      </c>
      <c r="E55" s="119" t="str">
        <f>IFERROR(IF(VLOOKUP($A55,'Annex 2 EHV charges'!$A:$O,8,FALSE)=0,"",VLOOKUP($A55,'Annex 2 EHV charges'!$A:$O,8,FALSE)),"")</f>
        <v/>
      </c>
      <c r="F55" s="120">
        <f>IFERROR(IF(VLOOKUP($A55,'Annex 2 EHV charges'!$A:$O,9,FALSE)=0,"",VLOOKUP($A55,'Annex 2 EHV charges'!$A:$O,9,FALSE)),"")</f>
        <v>15.1</v>
      </c>
      <c r="G55" s="121">
        <f>IFERROR(IF(VLOOKUP($A55,'Annex 2 EHV charges'!$A:$O,10,FALSE)=0,"",VLOOKUP($A55,'Annex 2 EHV charges'!$A:$O,10,FALSE)),"")</f>
        <v>3.75</v>
      </c>
      <c r="H55" s="121">
        <f>IFERROR(IF(VLOOKUP($A55,'Annex 2 EHV charges'!$A:$O,11,FALSE)=0,"",VLOOKUP($A55,'Annex 2 EHV charges'!$A:$O,11,FALSE)),"")</f>
        <v>3.75</v>
      </c>
    </row>
    <row r="56" spans="1:8" ht="12.75" customHeight="1" x14ac:dyDescent="0.2">
      <c r="A56" s="114">
        <f t="array" ref="A56">IFERROR(INDEX('Annex 2 EHV charges'!$A$11:$A$259, MATCH(0, IF(ISBLANK('Annex 2 EHV charges'!$A$11:$A$259),1, COUNTIF(A$4:$A55, 'Annex 2 EHV charges'!$A$11:$A$259)), 0)),"")</f>
        <v>867</v>
      </c>
      <c r="B56" s="114">
        <f>IF($A56="","",VLOOKUP($A56,'Annex 2 EHV charges'!$A:$O,2,0))</f>
        <v>867</v>
      </c>
      <c r="C56" s="115">
        <f>IF($A56="","",VLOOKUP($A56,'Annex 2 EHV charges'!$A:$O,3,0))</f>
        <v>1300037983755</v>
      </c>
      <c r="D56" s="114" t="str">
        <f>IF($A56="","",VLOOKUP($A56,'Annex 2 EHV charges'!$A:$O,7,0))</f>
        <v>Llidartywaun</v>
      </c>
      <c r="E56" s="119" t="str">
        <f>IFERROR(IF(VLOOKUP($A56,'Annex 2 EHV charges'!$A:$O,8,FALSE)=0,"",VLOOKUP($A56,'Annex 2 EHV charges'!$A:$O,8,FALSE)),"")</f>
        <v/>
      </c>
      <c r="F56" s="120">
        <f>IFERROR(IF(VLOOKUP($A56,'Annex 2 EHV charges'!$A:$O,9,FALSE)=0,"",VLOOKUP($A56,'Annex 2 EHV charges'!$A:$O,9,FALSE)),"")</f>
        <v>14.1</v>
      </c>
      <c r="G56" s="121">
        <f>IFERROR(IF(VLOOKUP($A56,'Annex 2 EHV charges'!$A:$O,10,FALSE)=0,"",VLOOKUP($A56,'Annex 2 EHV charges'!$A:$O,10,FALSE)),"")</f>
        <v>3.59</v>
      </c>
      <c r="H56" s="121">
        <f>IFERROR(IF(VLOOKUP($A56,'Annex 2 EHV charges'!$A:$O,11,FALSE)=0,"",VLOOKUP($A56,'Annex 2 EHV charges'!$A:$O,11,FALSE)),"")</f>
        <v>3.59</v>
      </c>
    </row>
    <row r="57" spans="1:8" ht="12.75" customHeight="1" x14ac:dyDescent="0.2">
      <c r="A57" s="114">
        <f t="array" ref="A57">IFERROR(INDEX('Annex 2 EHV charges'!$A$11:$A$259, MATCH(0, IF(ISBLANK('Annex 2 EHV charges'!$A$11:$A$259),1, COUNTIF(A$4:$A56, 'Annex 2 EHV charges'!$A$11:$A$259)), 0)),"")</f>
        <v>868</v>
      </c>
      <c r="B57" s="114">
        <f>IF($A57="","",VLOOKUP($A57,'Annex 2 EHV charges'!$A:$O,2,0))</f>
        <v>868</v>
      </c>
      <c r="C57" s="115">
        <f>IF($A57="","",VLOOKUP($A57,'Annex 2 EHV charges'!$A:$O,3,0))</f>
        <v>1300035368906</v>
      </c>
      <c r="D57" s="114" t="str">
        <f>IF($A57="","",VLOOKUP($A57,'Annex 2 EHV charges'!$A:$O,7,0))</f>
        <v>Rhyd y Groes</v>
      </c>
      <c r="E57" s="119" t="str">
        <f>IFERROR(IF(VLOOKUP($A57,'Annex 2 EHV charges'!$A:$O,8,FALSE)=0,"",VLOOKUP($A57,'Annex 2 EHV charges'!$A:$O,8,FALSE)),"")</f>
        <v/>
      </c>
      <c r="F57" s="120">
        <f>IFERROR(IF(VLOOKUP($A57,'Annex 2 EHV charges'!$A:$O,9,FALSE)=0,"",VLOOKUP($A57,'Annex 2 EHV charges'!$A:$O,9,FALSE)),"")</f>
        <v>87.09</v>
      </c>
      <c r="G57" s="121">
        <f>IFERROR(IF(VLOOKUP($A57,'Annex 2 EHV charges'!$A:$O,10,FALSE)=0,"",VLOOKUP($A57,'Annex 2 EHV charges'!$A:$O,10,FALSE)),"")</f>
        <v>2.73</v>
      </c>
      <c r="H57" s="121">
        <f>IFERROR(IF(VLOOKUP($A57,'Annex 2 EHV charges'!$A:$O,11,FALSE)=0,"",VLOOKUP($A57,'Annex 2 EHV charges'!$A:$O,11,FALSE)),"")</f>
        <v>2.73</v>
      </c>
    </row>
    <row r="58" spans="1:8" ht="12.75" customHeight="1" x14ac:dyDescent="0.2">
      <c r="A58" s="114">
        <f t="array" ref="A58">IFERROR(INDEX('Annex 2 EHV charges'!$A$11:$A$259, MATCH(0, IF(ISBLANK('Annex 2 EHV charges'!$A$11:$A$259),1, COUNTIF(A$4:$A57, 'Annex 2 EHV charges'!$A$11:$A$259)), 0)),"")</f>
        <v>869</v>
      </c>
      <c r="B58" s="114">
        <f>IF($A58="","",VLOOKUP($A58,'Annex 2 EHV charges'!$A:$O,2,0))</f>
        <v>869</v>
      </c>
      <c r="C58" s="115">
        <f>IF($A58="","",VLOOKUP($A58,'Annex 2 EHV charges'!$A:$O,3,0))</f>
        <v>1300035370393</v>
      </c>
      <c r="D58" s="114" t="str">
        <f>IF($A58="","",VLOOKUP($A58,'Annex 2 EHV charges'!$A:$O,7,0))</f>
        <v>Llangwyrfon</v>
      </c>
      <c r="E58" s="119" t="str">
        <f>IFERROR(IF(VLOOKUP($A58,'Annex 2 EHV charges'!$A:$O,8,FALSE)=0,"",VLOOKUP($A58,'Annex 2 EHV charges'!$A:$O,8,FALSE)),"")</f>
        <v/>
      </c>
      <c r="F58" s="120">
        <f>IFERROR(IF(VLOOKUP($A58,'Annex 2 EHV charges'!$A:$O,9,FALSE)=0,"",VLOOKUP($A58,'Annex 2 EHV charges'!$A:$O,9,FALSE)),"")</f>
        <v>27.1</v>
      </c>
      <c r="G58" s="121">
        <f>IFERROR(IF(VLOOKUP($A58,'Annex 2 EHV charges'!$A:$O,10,FALSE)=0,"",VLOOKUP($A58,'Annex 2 EHV charges'!$A:$O,10,FALSE)),"")</f>
        <v>3.39</v>
      </c>
      <c r="H58" s="121">
        <f>IFERROR(IF(VLOOKUP($A58,'Annex 2 EHV charges'!$A:$O,11,FALSE)=0,"",VLOOKUP($A58,'Annex 2 EHV charges'!$A:$O,11,FALSE)),"")</f>
        <v>3.39</v>
      </c>
    </row>
    <row r="59" spans="1:8" ht="12.75" customHeight="1" x14ac:dyDescent="0.2">
      <c r="A59" s="114">
        <f t="array" ref="A59">IFERROR(INDEX('Annex 2 EHV charges'!$A$11:$A$259, MATCH(0, IF(ISBLANK('Annex 2 EHV charges'!$A$11:$A$259),1, COUNTIF(A$4:$A58, 'Annex 2 EHV charges'!$A$11:$A$259)), 0)),"")</f>
        <v>870</v>
      </c>
      <c r="B59" s="114">
        <f>IF($A59="","",VLOOKUP($A59,'Annex 2 EHV charges'!$A:$O,2,0))</f>
        <v>870</v>
      </c>
      <c r="C59" s="115">
        <f>IF($A59="","",VLOOKUP($A59,'Annex 2 EHV charges'!$A:$O,3,0))</f>
        <v>1300060308295</v>
      </c>
      <c r="D59" s="114" t="str">
        <f>IF($A59="","",VLOOKUP($A59,'Annex 2 EHV charges'!$A:$O,7,0))</f>
        <v>Storenergy (Lostock)</v>
      </c>
      <c r="E59" s="119" t="str">
        <f>IFERROR(IF(VLOOKUP($A59,'Annex 2 EHV charges'!$A:$O,8,FALSE)=0,"",VLOOKUP($A59,'Annex 2 EHV charges'!$A:$O,8,FALSE)),"")</f>
        <v/>
      </c>
      <c r="F59" s="120">
        <f>IFERROR(IF(VLOOKUP($A59,'Annex 2 EHV charges'!$A:$O,9,FALSE)=0,"",VLOOKUP($A59,'Annex 2 EHV charges'!$A:$O,9,FALSE)),"")</f>
        <v>1477.32</v>
      </c>
      <c r="G59" s="121">
        <f>IFERROR(IF(VLOOKUP($A59,'Annex 2 EHV charges'!$A:$O,10,FALSE)=0,"",VLOOKUP($A59,'Annex 2 EHV charges'!$A:$O,10,FALSE)),"")</f>
        <v>11.74</v>
      </c>
      <c r="H59" s="121">
        <f>IFERROR(IF(VLOOKUP($A59,'Annex 2 EHV charges'!$A:$O,11,FALSE)=0,"",VLOOKUP($A59,'Annex 2 EHV charges'!$A:$O,11,FALSE)),"")</f>
        <v>11.74</v>
      </c>
    </row>
    <row r="60" spans="1:8" ht="12.75" customHeight="1" x14ac:dyDescent="0.2">
      <c r="A60" s="114">
        <f t="array" ref="A60">IFERROR(INDEX('Annex 2 EHV charges'!$A$11:$A$259, MATCH(0, IF(ISBLANK('Annex 2 EHV charges'!$A$11:$A$259),1, COUNTIF(A$4:$A59, 'Annex 2 EHV charges'!$A$11:$A$259)), 0)),"")</f>
        <v>871</v>
      </c>
      <c r="B60" s="114">
        <f>IF($A60="","",VLOOKUP($A60,'Annex 2 EHV charges'!$A:$O,2,0))</f>
        <v>871</v>
      </c>
      <c r="C60" s="115">
        <f>IF($A60="","",VLOOKUP($A60,'Annex 2 EHV charges'!$A:$O,3,0))</f>
        <v>1300037983996</v>
      </c>
      <c r="D60" s="114" t="str">
        <f>IF($A60="","",VLOOKUP($A60,'Annex 2 EHV charges'!$A:$O,7,0))</f>
        <v>Rheidol</v>
      </c>
      <c r="E60" s="119" t="str">
        <f>IFERROR(IF(VLOOKUP($A60,'Annex 2 EHV charges'!$A:$O,8,FALSE)=0,"",VLOOKUP($A60,'Annex 2 EHV charges'!$A:$O,8,FALSE)),"")</f>
        <v/>
      </c>
      <c r="F60" s="120">
        <f>IFERROR(IF(VLOOKUP($A60,'Annex 2 EHV charges'!$A:$O,9,FALSE)=0,"",VLOOKUP($A60,'Annex 2 EHV charges'!$A:$O,9,FALSE)),"")</f>
        <v>80.88</v>
      </c>
      <c r="G60" s="121">
        <f>IFERROR(IF(VLOOKUP($A60,'Annex 2 EHV charges'!$A:$O,10,FALSE)=0,"",VLOOKUP($A60,'Annex 2 EHV charges'!$A:$O,10,FALSE)),"")</f>
        <v>2.0299999999999998</v>
      </c>
      <c r="H60" s="121">
        <f>IFERROR(IF(VLOOKUP($A60,'Annex 2 EHV charges'!$A:$O,11,FALSE)=0,"",VLOOKUP($A60,'Annex 2 EHV charges'!$A:$O,11,FALSE)),"")</f>
        <v>2.0299999999999998</v>
      </c>
    </row>
    <row r="61" spans="1:8" ht="12.75" customHeight="1" x14ac:dyDescent="0.2">
      <c r="A61" s="114">
        <f t="array" ref="A61">IFERROR(INDEX('Annex 2 EHV charges'!$A$11:$A$259, MATCH(0, IF(ISBLANK('Annex 2 EHV charges'!$A$11:$A$259),1, COUNTIF(A$4:$A60, 'Annex 2 EHV charges'!$A$11:$A$259)), 0)),"")</f>
        <v>872</v>
      </c>
      <c r="B61" s="114">
        <f>IF($A61="","",VLOOKUP($A61,'Annex 2 EHV charges'!$A:$O,2,0))</f>
        <v>872</v>
      </c>
      <c r="C61" s="115">
        <f>IF($A61="","",VLOOKUP($A61,'Annex 2 EHV charges'!$A:$O,3,0))</f>
        <v>1300037983913</v>
      </c>
      <c r="D61" s="114" t="str">
        <f>IF($A61="","",VLOOKUP($A61,'Annex 2 EHV charges'!$A:$O,7,0))</f>
        <v>Carno B</v>
      </c>
      <c r="E61" s="119" t="str">
        <f>IFERROR(IF(VLOOKUP($A61,'Annex 2 EHV charges'!$A:$O,8,FALSE)=0,"",VLOOKUP($A61,'Annex 2 EHV charges'!$A:$O,8,FALSE)),"")</f>
        <v/>
      </c>
      <c r="F61" s="120">
        <f>IFERROR(IF(VLOOKUP($A61,'Annex 2 EHV charges'!$A:$O,9,FALSE)=0,"",VLOOKUP($A61,'Annex 2 EHV charges'!$A:$O,9,FALSE)),"")</f>
        <v>105.45</v>
      </c>
      <c r="G61" s="121">
        <f>IFERROR(IF(VLOOKUP($A61,'Annex 2 EHV charges'!$A:$O,10,FALSE)=0,"",VLOOKUP($A61,'Annex 2 EHV charges'!$A:$O,10,FALSE)),"")</f>
        <v>2.25</v>
      </c>
      <c r="H61" s="121">
        <f>IFERROR(IF(VLOOKUP($A61,'Annex 2 EHV charges'!$A:$O,11,FALSE)=0,"",VLOOKUP($A61,'Annex 2 EHV charges'!$A:$O,11,FALSE)),"")</f>
        <v>2.25</v>
      </c>
    </row>
    <row r="62" spans="1:8" ht="12.75" customHeight="1" x14ac:dyDescent="0.2">
      <c r="A62" s="114">
        <f t="array" ref="A62">IFERROR(INDEX('Annex 2 EHV charges'!$A$11:$A$259, MATCH(0, IF(ISBLANK('Annex 2 EHV charges'!$A$11:$A$259),1, COUNTIF(A$4:$A61, 'Annex 2 EHV charges'!$A$11:$A$259)), 0)),"")</f>
        <v>873</v>
      </c>
      <c r="B62" s="114">
        <f>IF($A62="","",VLOOKUP($A62,'Annex 2 EHV charges'!$A:$O,2,0))</f>
        <v>873</v>
      </c>
      <c r="C62" s="115">
        <f>IF($A62="","",VLOOKUP($A62,'Annex 2 EHV charges'!$A:$O,3,0))</f>
        <v>1300037983899</v>
      </c>
      <c r="D62" s="114" t="str">
        <f>IF($A62="","",VLOOKUP($A62,'Annex 2 EHV charges'!$A:$O,7,0))</f>
        <v>Carno A</v>
      </c>
      <c r="E62" s="119" t="str">
        <f>IFERROR(IF(VLOOKUP($A62,'Annex 2 EHV charges'!$A:$O,8,FALSE)=0,"",VLOOKUP($A62,'Annex 2 EHV charges'!$A:$O,8,FALSE)),"")</f>
        <v/>
      </c>
      <c r="F62" s="120">
        <f>IFERROR(IF(VLOOKUP($A62,'Annex 2 EHV charges'!$A:$O,9,FALSE)=0,"",VLOOKUP($A62,'Annex 2 EHV charges'!$A:$O,9,FALSE)),"")</f>
        <v>37.42</v>
      </c>
      <c r="G62" s="121">
        <f>IFERROR(IF(VLOOKUP($A62,'Annex 2 EHV charges'!$A:$O,10,FALSE)=0,"",VLOOKUP($A62,'Annex 2 EHV charges'!$A:$O,10,FALSE)),"")</f>
        <v>2.39</v>
      </c>
      <c r="H62" s="121">
        <f>IFERROR(IF(VLOOKUP($A62,'Annex 2 EHV charges'!$A:$O,11,FALSE)=0,"",VLOOKUP($A62,'Annex 2 EHV charges'!$A:$O,11,FALSE)),"")</f>
        <v>2.39</v>
      </c>
    </row>
    <row r="63" spans="1:8" ht="12.75" customHeight="1" x14ac:dyDescent="0.2">
      <c r="A63" s="114">
        <f t="array" ref="A63">IFERROR(INDEX('Annex 2 EHV charges'!$A$11:$A$259, MATCH(0, IF(ISBLANK('Annex 2 EHV charges'!$A$11:$A$259),1, COUNTIF(A$4:$A62, 'Annex 2 EHV charges'!$A$11:$A$259)), 0)),"")</f>
        <v>874</v>
      </c>
      <c r="B63" s="114">
        <f>IF($A63="","",VLOOKUP($A63,'Annex 2 EHV charges'!$A:$O,2,0))</f>
        <v>874</v>
      </c>
      <c r="C63" s="115">
        <f>IF($A63="","",VLOOKUP($A63,'Annex 2 EHV charges'!$A:$O,3,0))</f>
        <v>1300035438572</v>
      </c>
      <c r="D63" s="114" t="str">
        <f>IF($A63="","",VLOOKUP($A63,'Annex 2 EHV charges'!$A:$O,7,0))</f>
        <v>Trysglwyn</v>
      </c>
      <c r="E63" s="119" t="str">
        <f>IFERROR(IF(VLOOKUP($A63,'Annex 2 EHV charges'!$A:$O,8,FALSE)=0,"",VLOOKUP($A63,'Annex 2 EHV charges'!$A:$O,8,FALSE)),"")</f>
        <v/>
      </c>
      <c r="F63" s="120">
        <f>IFERROR(IF(VLOOKUP($A63,'Annex 2 EHV charges'!$A:$O,9,FALSE)=0,"",VLOOKUP($A63,'Annex 2 EHV charges'!$A:$O,9,FALSE)),"")</f>
        <v>15.51</v>
      </c>
      <c r="G63" s="121">
        <f>IFERROR(IF(VLOOKUP($A63,'Annex 2 EHV charges'!$A:$O,10,FALSE)=0,"",VLOOKUP($A63,'Annex 2 EHV charges'!$A:$O,10,FALSE)),"")</f>
        <v>2.94</v>
      </c>
      <c r="H63" s="121">
        <f>IFERROR(IF(VLOOKUP($A63,'Annex 2 EHV charges'!$A:$O,11,FALSE)=0,"",VLOOKUP($A63,'Annex 2 EHV charges'!$A:$O,11,FALSE)),"")</f>
        <v>2.94</v>
      </c>
    </row>
    <row r="64" spans="1:8" ht="12.75" customHeight="1" x14ac:dyDescent="0.2">
      <c r="A64" s="114">
        <f t="array" ref="A64">IFERROR(INDEX('Annex 2 EHV charges'!$A$11:$A$259, MATCH(0, IF(ISBLANK('Annex 2 EHV charges'!$A$11:$A$259),1, COUNTIF(A$4:$A63, 'Annex 2 EHV charges'!$A$11:$A$259)), 0)),"")</f>
        <v>875</v>
      </c>
      <c r="B64" s="114">
        <f>IF($A64="","",VLOOKUP($A64,'Annex 2 EHV charges'!$A:$O,2,0))</f>
        <v>875</v>
      </c>
      <c r="C64" s="115">
        <f>IF($A64="","",VLOOKUP($A64,'Annex 2 EHV charges'!$A:$O,3,0))</f>
        <v>1300050649406</v>
      </c>
      <c r="D64" s="114" t="str">
        <f>IF($A64="","",VLOOKUP($A64,'Annex 2 EHV charges'!$A:$O,7,0))</f>
        <v>Llanabo</v>
      </c>
      <c r="E64" s="119" t="str">
        <f>IFERROR(IF(VLOOKUP($A64,'Annex 2 EHV charges'!$A:$O,8,FALSE)=0,"",VLOOKUP($A64,'Annex 2 EHV charges'!$A:$O,8,FALSE)),"")</f>
        <v/>
      </c>
      <c r="F64" s="120">
        <f>IFERROR(IF(VLOOKUP($A64,'Annex 2 EHV charges'!$A:$O,9,FALSE)=0,"",VLOOKUP($A64,'Annex 2 EHV charges'!$A:$O,9,FALSE)),"")</f>
        <v>7.7</v>
      </c>
      <c r="G64" s="121">
        <f>IFERROR(IF(VLOOKUP($A64,'Annex 2 EHV charges'!$A:$O,10,FALSE)=0,"",VLOOKUP($A64,'Annex 2 EHV charges'!$A:$O,10,FALSE)),"")</f>
        <v>3.01</v>
      </c>
      <c r="H64" s="121">
        <f>IFERROR(IF(VLOOKUP($A64,'Annex 2 EHV charges'!$A:$O,11,FALSE)=0,"",VLOOKUP($A64,'Annex 2 EHV charges'!$A:$O,11,FALSE)),"")</f>
        <v>3.01</v>
      </c>
    </row>
    <row r="65" spans="1:8" ht="12.75" customHeight="1" x14ac:dyDescent="0.2">
      <c r="A65" s="114">
        <f t="array" ref="A65">IFERROR(INDEX('Annex 2 EHV charges'!$A$11:$A$259, MATCH(0, IF(ISBLANK('Annex 2 EHV charges'!$A$11:$A$259),1, COUNTIF(A$4:$A64, 'Annex 2 EHV charges'!$A$11:$A$259)), 0)),"")</f>
        <v>876</v>
      </c>
      <c r="B65" s="114">
        <f>IF($A65="","",VLOOKUP($A65,'Annex 2 EHV charges'!$A:$O,2,0))</f>
        <v>876</v>
      </c>
      <c r="C65" s="115">
        <f>IF($A65="","",VLOOKUP($A65,'Annex 2 EHV charges'!$A:$O,3,0))</f>
        <v>1300060701106</v>
      </c>
      <c r="D65" s="114" t="str">
        <f>IF($A65="","",VLOOKUP($A65,'Annex 2 EHV charges'!$A:$O,7,0))</f>
        <v>Ebnal Lodge PV</v>
      </c>
      <c r="E65" s="119" t="str">
        <f>IFERROR(IF(VLOOKUP($A65,'Annex 2 EHV charges'!$A:$O,8,FALSE)=0,"",VLOOKUP($A65,'Annex 2 EHV charges'!$A:$O,8,FALSE)),"")</f>
        <v/>
      </c>
      <c r="F65" s="120">
        <f>IFERROR(IF(VLOOKUP($A65,'Annex 2 EHV charges'!$A:$O,9,FALSE)=0,"",VLOOKUP($A65,'Annex 2 EHV charges'!$A:$O,9,FALSE)),"")</f>
        <v>23.23</v>
      </c>
      <c r="G65" s="121">
        <f>IFERROR(IF(VLOOKUP($A65,'Annex 2 EHV charges'!$A:$O,10,FALSE)=0,"",VLOOKUP($A65,'Annex 2 EHV charges'!$A:$O,10,FALSE)),"")</f>
        <v>4.2</v>
      </c>
      <c r="H65" s="121">
        <f>IFERROR(IF(VLOOKUP($A65,'Annex 2 EHV charges'!$A:$O,11,FALSE)=0,"",VLOOKUP($A65,'Annex 2 EHV charges'!$A:$O,11,FALSE)),"")</f>
        <v>4.2</v>
      </c>
    </row>
    <row r="66" spans="1:8" ht="12.75" customHeight="1" x14ac:dyDescent="0.2">
      <c r="A66" s="114">
        <f t="array" ref="A66">IFERROR(INDEX('Annex 2 EHV charges'!$A$11:$A$259, MATCH(0, IF(ISBLANK('Annex 2 EHV charges'!$A$11:$A$259),1, COUNTIF(A$4:$A65, 'Annex 2 EHV charges'!$A$11:$A$259)), 0)),"")</f>
        <v>877</v>
      </c>
      <c r="B66" s="114">
        <f>IF($A66="","",VLOOKUP($A66,'Annex 2 EHV charges'!$A:$O,2,0))</f>
        <v>877</v>
      </c>
      <c r="C66" s="115">
        <f>IF($A66="","",VLOOKUP($A66,'Annex 2 EHV charges'!$A:$O,3,0))</f>
        <v>1300053593216</v>
      </c>
      <c r="D66" s="114" t="str">
        <f>IF($A66="","",VLOOKUP($A66,'Annex 2 EHV charges'!$A:$O,7,0))</f>
        <v>Quinn Glass</v>
      </c>
      <c r="E66" s="119">
        <f>IFERROR(IF(VLOOKUP($A66,'Annex 2 EHV charges'!$A:$O,8,FALSE)=0,"",VLOOKUP($A66,'Annex 2 EHV charges'!$A:$O,8,FALSE)),"")</f>
        <v>0.27200000000000002</v>
      </c>
      <c r="F66" s="120">
        <f>IFERROR(IF(VLOOKUP($A66,'Annex 2 EHV charges'!$A:$O,9,FALSE)=0,"",VLOOKUP($A66,'Annex 2 EHV charges'!$A:$O,9,FALSE)),"")</f>
        <v>3809.92</v>
      </c>
      <c r="G66" s="121">
        <f>IFERROR(IF(VLOOKUP($A66,'Annex 2 EHV charges'!$A:$O,10,FALSE)=0,"",VLOOKUP($A66,'Annex 2 EHV charges'!$A:$O,10,FALSE)),"")</f>
        <v>6.17</v>
      </c>
      <c r="H66" s="121">
        <f>IFERROR(IF(VLOOKUP($A66,'Annex 2 EHV charges'!$A:$O,11,FALSE)=0,"",VLOOKUP($A66,'Annex 2 EHV charges'!$A:$O,11,FALSE)),"")</f>
        <v>6.17</v>
      </c>
    </row>
    <row r="67" spans="1:8" ht="12.75" customHeight="1" x14ac:dyDescent="0.2">
      <c r="A67" s="114">
        <f t="array" ref="A67">IFERROR(INDEX('Annex 2 EHV charges'!$A$11:$A$259, MATCH(0, IF(ISBLANK('Annex 2 EHV charges'!$A$11:$A$259),1, COUNTIF(A$4:$A66, 'Annex 2 EHV charges'!$A$11:$A$259)), 0)),"")</f>
        <v>878</v>
      </c>
      <c r="B67" s="114">
        <f>IF($A67="","",VLOOKUP($A67,'Annex 2 EHV charges'!$A:$O,2,0))</f>
        <v>878</v>
      </c>
      <c r="C67" s="115">
        <f>IF($A67="","",VLOOKUP($A67,'Annex 2 EHV charges'!$A:$O,3,0))</f>
        <v>1300054122122</v>
      </c>
      <c r="D67" s="114" t="str">
        <f>IF($A67="","",VLOOKUP($A67,'Annex 2 EHV charges'!$A:$O,7,0))</f>
        <v>Liverpool Int Bus Park</v>
      </c>
      <c r="E67" s="119" t="str">
        <f>IFERROR(IF(VLOOKUP($A67,'Annex 2 EHV charges'!$A:$O,8,FALSE)=0,"",VLOOKUP($A67,'Annex 2 EHV charges'!$A:$O,8,FALSE)),"")</f>
        <v/>
      </c>
      <c r="F67" s="120">
        <f>IFERROR(IF(VLOOKUP($A67,'Annex 2 EHV charges'!$A:$O,9,FALSE)=0,"",VLOOKUP($A67,'Annex 2 EHV charges'!$A:$O,9,FALSE)),"")</f>
        <v>4231.88</v>
      </c>
      <c r="G67" s="121">
        <f>IFERROR(IF(VLOOKUP($A67,'Annex 2 EHV charges'!$A:$O,10,FALSE)=0,"",VLOOKUP($A67,'Annex 2 EHV charges'!$A:$O,10,FALSE)),"")</f>
        <v>4.8</v>
      </c>
      <c r="H67" s="121">
        <f>IFERROR(IF(VLOOKUP($A67,'Annex 2 EHV charges'!$A:$O,11,FALSE)=0,"",VLOOKUP($A67,'Annex 2 EHV charges'!$A:$O,11,FALSE)),"")</f>
        <v>4.8</v>
      </c>
    </row>
    <row r="68" spans="1:8" ht="12.75" customHeight="1" x14ac:dyDescent="0.2">
      <c r="A68" s="114">
        <f t="array" ref="A68">IFERROR(INDEX('Annex 2 EHV charges'!$A$11:$A$259, MATCH(0, IF(ISBLANK('Annex 2 EHV charges'!$A$11:$A$259),1, COUNTIF(A$4:$A67, 'Annex 2 EHV charges'!$A$11:$A$259)), 0)),"")</f>
        <v>880</v>
      </c>
      <c r="B68" s="114">
        <f>IF($A68="","",VLOOKUP($A68,'Annex 2 EHV charges'!$A:$O,2,0))</f>
        <v>880</v>
      </c>
      <c r="C68" s="115">
        <f>IF($A68="","",VLOOKUP($A68,'Annex 2 EHV charges'!$A:$O,3,0))</f>
        <v>1300060621588</v>
      </c>
      <c r="D68" s="114" t="str">
        <f>IF($A68="","",VLOOKUP($A68,'Annex 2 EHV charges'!$A:$O,7,0))</f>
        <v>Twemelows Hall PV</v>
      </c>
      <c r="E68" s="119" t="str">
        <f>IFERROR(IF(VLOOKUP($A68,'Annex 2 EHV charges'!$A:$O,8,FALSE)=0,"",VLOOKUP($A68,'Annex 2 EHV charges'!$A:$O,8,FALSE)),"")</f>
        <v/>
      </c>
      <c r="F68" s="120">
        <f>IFERROR(IF(VLOOKUP($A68,'Annex 2 EHV charges'!$A:$O,9,FALSE)=0,"",VLOOKUP($A68,'Annex 2 EHV charges'!$A:$O,9,FALSE)),"")</f>
        <v>57.42</v>
      </c>
      <c r="G68" s="121">
        <f>IFERROR(IF(VLOOKUP($A68,'Annex 2 EHV charges'!$A:$O,10,FALSE)=0,"",VLOOKUP($A68,'Annex 2 EHV charges'!$A:$O,10,FALSE)),"")</f>
        <v>4.9000000000000004</v>
      </c>
      <c r="H68" s="121">
        <f>IFERROR(IF(VLOOKUP($A68,'Annex 2 EHV charges'!$A:$O,11,FALSE)=0,"",VLOOKUP($A68,'Annex 2 EHV charges'!$A:$O,11,FALSE)),"")</f>
        <v>4.9000000000000004</v>
      </c>
    </row>
    <row r="69" spans="1:8" ht="12.75" customHeight="1" x14ac:dyDescent="0.2">
      <c r="A69" s="114">
        <f t="array" ref="A69">IFERROR(INDEX('Annex 2 EHV charges'!$A$11:$A$259, MATCH(0, IF(ISBLANK('Annex 2 EHV charges'!$A$11:$A$259),1, COUNTIF(A$4:$A68, 'Annex 2 EHV charges'!$A$11:$A$259)), 0)),"")</f>
        <v>881</v>
      </c>
      <c r="B69" s="114">
        <f>IF($A69="","",VLOOKUP($A69,'Annex 2 EHV charges'!$A:$O,2,0))</f>
        <v>881</v>
      </c>
      <c r="C69" s="115">
        <f>IF($A69="","",VLOOKUP($A69,'Annex 2 EHV charges'!$A:$O,3,0))</f>
        <v>1300060626275</v>
      </c>
      <c r="D69" s="114" t="str">
        <f>IF($A69="","",VLOOKUP($A69,'Annex 2 EHV charges'!$A:$O,7,0))</f>
        <v>Teyrdan</v>
      </c>
      <c r="E69" s="119" t="str">
        <f>IFERROR(IF(VLOOKUP($A69,'Annex 2 EHV charges'!$A:$O,8,FALSE)=0,"",VLOOKUP($A69,'Annex 2 EHV charges'!$A:$O,8,FALSE)),"")</f>
        <v/>
      </c>
      <c r="F69" s="120">
        <f>IFERROR(IF(VLOOKUP($A69,'Annex 2 EHV charges'!$A:$O,9,FALSE)=0,"",VLOOKUP($A69,'Annex 2 EHV charges'!$A:$O,9,FALSE)),"")</f>
        <v>0.86</v>
      </c>
      <c r="G69" s="121">
        <f>IFERROR(IF(VLOOKUP($A69,'Annex 2 EHV charges'!$A:$O,10,FALSE)=0,"",VLOOKUP($A69,'Annex 2 EHV charges'!$A:$O,10,FALSE)),"")</f>
        <v>4.22</v>
      </c>
      <c r="H69" s="121">
        <f>IFERROR(IF(VLOOKUP($A69,'Annex 2 EHV charges'!$A:$O,11,FALSE)=0,"",VLOOKUP($A69,'Annex 2 EHV charges'!$A:$O,11,FALSE)),"")</f>
        <v>4.22</v>
      </c>
    </row>
    <row r="70" spans="1:8" ht="12.75" customHeight="1" x14ac:dyDescent="0.2">
      <c r="A70" s="114">
        <f t="array" ref="A70">IFERROR(INDEX('Annex 2 EHV charges'!$A$11:$A$259, MATCH(0, IF(ISBLANK('Annex 2 EHV charges'!$A$11:$A$259),1, COUNTIF(A$4:$A69, 'Annex 2 EHV charges'!$A$11:$A$259)), 0)),"")</f>
        <v>882</v>
      </c>
      <c r="B70" s="114">
        <f>IF($A70="","",VLOOKUP($A70,'Annex 2 EHV charges'!$A:$O,2,0))</f>
        <v>882</v>
      </c>
      <c r="C70" s="115">
        <f>IF($A70="","",VLOOKUP($A70,'Annex 2 EHV charges'!$A:$O,3,0))</f>
        <v>1300060631656</v>
      </c>
      <c r="D70" s="114" t="str">
        <f>IF($A70="","",VLOOKUP($A70,'Annex 2 EHV charges'!$A:$O,7,0))</f>
        <v>Parc Adfer</v>
      </c>
      <c r="E70" s="119" t="str">
        <f>IFERROR(IF(VLOOKUP($A70,'Annex 2 EHV charges'!$A:$O,8,FALSE)=0,"",VLOOKUP($A70,'Annex 2 EHV charges'!$A:$O,8,FALSE)),"")</f>
        <v/>
      </c>
      <c r="F70" s="120">
        <f>IFERROR(IF(VLOOKUP($A70,'Annex 2 EHV charges'!$A:$O,9,FALSE)=0,"",VLOOKUP($A70,'Annex 2 EHV charges'!$A:$O,9,FALSE)),"")</f>
        <v>238.45</v>
      </c>
      <c r="G70" s="121">
        <f>IFERROR(IF(VLOOKUP($A70,'Annex 2 EHV charges'!$A:$O,10,FALSE)=0,"",VLOOKUP($A70,'Annex 2 EHV charges'!$A:$O,10,FALSE)),"")</f>
        <v>4.0199999999999996</v>
      </c>
      <c r="H70" s="121">
        <f>IFERROR(IF(VLOOKUP($A70,'Annex 2 EHV charges'!$A:$O,11,FALSE)=0,"",VLOOKUP($A70,'Annex 2 EHV charges'!$A:$O,11,FALSE)),"")</f>
        <v>4.0199999999999996</v>
      </c>
    </row>
    <row r="71" spans="1:8" ht="12.75" customHeight="1" x14ac:dyDescent="0.2">
      <c r="A71" s="114">
        <f t="array" ref="A71">IFERROR(INDEX('Annex 2 EHV charges'!$A$11:$A$259, MATCH(0, IF(ISBLANK('Annex 2 EHV charges'!$A$11:$A$259),1, COUNTIF(A$4:$A70, 'Annex 2 EHV charges'!$A$11:$A$259)), 0)),"")</f>
        <v>883</v>
      </c>
      <c r="B71" s="114">
        <f>IF($A71="","",VLOOKUP($A71,'Annex 2 EHV charges'!$A:$O,2,0))</f>
        <v>883</v>
      </c>
      <c r="C71" s="115">
        <f>IF($A71="","",VLOOKUP($A71,'Annex 2 EHV charges'!$A:$O,3,0))</f>
        <v>1300060621950</v>
      </c>
      <c r="D71" s="114" t="str">
        <f>IF($A71="","",VLOOKUP($A71,'Annex 2 EHV charges'!$A:$O,7,0))</f>
        <v>Hadley Solar Park</v>
      </c>
      <c r="E71" s="119" t="str">
        <f>IFERROR(IF(VLOOKUP($A71,'Annex 2 EHV charges'!$A:$O,8,FALSE)=0,"",VLOOKUP($A71,'Annex 2 EHV charges'!$A:$O,8,FALSE)),"")</f>
        <v/>
      </c>
      <c r="F71" s="120">
        <f>IFERROR(IF(VLOOKUP($A71,'Annex 2 EHV charges'!$A:$O,9,FALSE)=0,"",VLOOKUP($A71,'Annex 2 EHV charges'!$A:$O,9,FALSE)),"")</f>
        <v>1.02</v>
      </c>
      <c r="G71" s="121">
        <f>IFERROR(IF(VLOOKUP($A71,'Annex 2 EHV charges'!$A:$O,10,FALSE)=0,"",VLOOKUP($A71,'Annex 2 EHV charges'!$A:$O,10,FALSE)),"")</f>
        <v>3.85</v>
      </c>
      <c r="H71" s="121">
        <f>IFERROR(IF(VLOOKUP($A71,'Annex 2 EHV charges'!$A:$O,11,FALSE)=0,"",VLOOKUP($A71,'Annex 2 EHV charges'!$A:$O,11,FALSE)),"")</f>
        <v>3.85</v>
      </c>
    </row>
    <row r="72" spans="1:8" ht="12.75" customHeight="1" x14ac:dyDescent="0.2">
      <c r="A72" s="114">
        <f t="array" ref="A72">IFERROR(INDEX('Annex 2 EHV charges'!$A$11:$A$259, MATCH(0, IF(ISBLANK('Annex 2 EHV charges'!$A$11:$A$259),1, COUNTIF(A$4:$A71, 'Annex 2 EHV charges'!$A$11:$A$259)), 0)),"")</f>
        <v>886</v>
      </c>
      <c r="B72" s="114">
        <f>IF($A72="","",VLOOKUP($A72,'Annex 2 EHV charges'!$A:$O,2,0))</f>
        <v>886</v>
      </c>
      <c r="C72" s="115">
        <f>IF($A72="","",VLOOKUP($A72,'Annex 2 EHV charges'!$A:$O,3,0))</f>
        <v>1300060657830</v>
      </c>
      <c r="D72" s="114" t="str">
        <f>IF($A72="","",VLOOKUP($A72,'Annex 2 EHV charges'!$A:$O,7,0))</f>
        <v>Charity Farm Solar Park</v>
      </c>
      <c r="E72" s="119" t="str">
        <f>IFERROR(IF(VLOOKUP($A72,'Annex 2 EHV charges'!$A:$O,8,FALSE)=0,"",VLOOKUP($A72,'Annex 2 EHV charges'!$A:$O,8,FALSE)),"")</f>
        <v/>
      </c>
      <c r="F72" s="120">
        <f>IFERROR(IF(VLOOKUP($A72,'Annex 2 EHV charges'!$A:$O,9,FALSE)=0,"",VLOOKUP($A72,'Annex 2 EHV charges'!$A:$O,9,FALSE)),"")</f>
        <v>0.56000000000000005</v>
      </c>
      <c r="G72" s="121">
        <f>IFERROR(IF(VLOOKUP($A72,'Annex 2 EHV charges'!$A:$O,10,FALSE)=0,"",VLOOKUP($A72,'Annex 2 EHV charges'!$A:$O,10,FALSE)),"")</f>
        <v>4.21</v>
      </c>
      <c r="H72" s="121">
        <f>IFERROR(IF(VLOOKUP($A72,'Annex 2 EHV charges'!$A:$O,11,FALSE)=0,"",VLOOKUP($A72,'Annex 2 EHV charges'!$A:$O,11,FALSE)),"")</f>
        <v>4.21</v>
      </c>
    </row>
    <row r="73" spans="1:8" ht="12.75" customHeight="1" x14ac:dyDescent="0.2">
      <c r="A73" s="114">
        <f t="array" ref="A73">IFERROR(INDEX('Annex 2 EHV charges'!$A$11:$A$259, MATCH(0, IF(ISBLANK('Annex 2 EHV charges'!$A$11:$A$259),1, COUNTIF(A$4:$A72, 'Annex 2 EHV charges'!$A$11:$A$259)), 0)),"")</f>
        <v>887</v>
      </c>
      <c r="B73" s="114">
        <f>IF($A73="","",VLOOKUP($A73,'Annex 2 EHV charges'!$A:$O,2,0))</f>
        <v>887</v>
      </c>
      <c r="C73" s="115">
        <f>IF($A73="","",VLOOKUP($A73,'Annex 2 EHV charges'!$A:$O,3,0))</f>
        <v>1300035619768</v>
      </c>
      <c r="D73" s="114" t="str">
        <f>IF($A73="","",VLOOKUP($A73,'Annex 2 EHV charges'!$A:$O,7,0))</f>
        <v>Mynydd Gorduu</v>
      </c>
      <c r="E73" s="119" t="str">
        <f>IFERROR(IF(VLOOKUP($A73,'Annex 2 EHV charges'!$A:$O,8,FALSE)=0,"",VLOOKUP($A73,'Annex 2 EHV charges'!$A:$O,8,FALSE)),"")</f>
        <v/>
      </c>
      <c r="F73" s="120">
        <f>IFERROR(IF(VLOOKUP($A73,'Annex 2 EHV charges'!$A:$O,9,FALSE)=0,"",VLOOKUP($A73,'Annex 2 EHV charges'!$A:$O,9,FALSE)),"")</f>
        <v>99.31</v>
      </c>
      <c r="G73" s="121">
        <f>IFERROR(IF(VLOOKUP($A73,'Annex 2 EHV charges'!$A:$O,10,FALSE)=0,"",VLOOKUP($A73,'Annex 2 EHV charges'!$A:$O,10,FALSE)),"")</f>
        <v>3.12</v>
      </c>
      <c r="H73" s="121">
        <f>IFERROR(IF(VLOOKUP($A73,'Annex 2 EHV charges'!$A:$O,11,FALSE)=0,"",VLOOKUP($A73,'Annex 2 EHV charges'!$A:$O,11,FALSE)),"")</f>
        <v>3.12</v>
      </c>
    </row>
    <row r="74" spans="1:8" ht="12.75" customHeight="1" x14ac:dyDescent="0.2">
      <c r="A74" s="114">
        <f t="array" ref="A74">IFERROR(INDEX('Annex 2 EHV charges'!$A$11:$A$259, MATCH(0, IF(ISBLANK('Annex 2 EHV charges'!$A$11:$A$259),1, COUNTIF(A$4:$A73, 'Annex 2 EHV charges'!$A$11:$A$259)), 0)),"")</f>
        <v>888</v>
      </c>
      <c r="B74" s="114">
        <f>IF($A74="","",VLOOKUP($A74,'Annex 2 EHV charges'!$A:$O,2,0))</f>
        <v>888</v>
      </c>
      <c r="C74" s="115" t="str">
        <f>IF($A74="","",VLOOKUP($A74,'Annex 2 EHV charges'!$A:$O,3,0))</f>
        <v>TBA</v>
      </c>
      <c r="D74" s="114" t="str">
        <f>IF($A74="","",VLOOKUP($A74,'Annex 2 EHV charges'!$A:$O,7,0))</f>
        <v xml:space="preserve">Winsford Salt </v>
      </c>
      <c r="E74" s="119">
        <f>IFERROR(IF(VLOOKUP($A74,'Annex 2 EHV charges'!$A:$O,8,FALSE)=0,"",VLOOKUP($A74,'Annex 2 EHV charges'!$A:$O,8,FALSE)),"")</f>
        <v>1.7130000000000001</v>
      </c>
      <c r="F74" s="120">
        <f>IFERROR(IF(VLOOKUP($A74,'Annex 2 EHV charges'!$A:$O,9,FALSE)=0,"",VLOOKUP($A74,'Annex 2 EHV charges'!$A:$O,9,FALSE)),"")</f>
        <v>8971.15</v>
      </c>
      <c r="G74" s="121">
        <f>IFERROR(IF(VLOOKUP($A74,'Annex 2 EHV charges'!$A:$O,10,FALSE)=0,"",VLOOKUP($A74,'Annex 2 EHV charges'!$A:$O,10,FALSE)),"")</f>
        <v>8.1199999999999992</v>
      </c>
      <c r="H74" s="121">
        <f>IFERROR(IF(VLOOKUP($A74,'Annex 2 EHV charges'!$A:$O,11,FALSE)=0,"",VLOOKUP($A74,'Annex 2 EHV charges'!$A:$O,11,FALSE)),"")</f>
        <v>8.1199999999999992</v>
      </c>
    </row>
    <row r="75" spans="1:8" ht="12.75" customHeight="1" x14ac:dyDescent="0.2">
      <c r="A75" s="114">
        <f t="array" ref="A75">IFERROR(INDEX('Annex 2 EHV charges'!$A$11:$A$259, MATCH(0, IF(ISBLANK('Annex 2 EHV charges'!$A$11:$A$259),1, COUNTIF(A$4:$A74, 'Annex 2 EHV charges'!$A$11:$A$259)), 0)),"")</f>
        <v>889</v>
      </c>
      <c r="B75" s="114">
        <f>IF($A75="","",VLOOKUP($A75,'Annex 2 EHV charges'!$A:$O,2,0))</f>
        <v>889</v>
      </c>
      <c r="C75" s="115">
        <f>IF($A75="","",VLOOKUP($A75,'Annex 2 EHV charges'!$A:$O,3,0))</f>
        <v>1300060626293</v>
      </c>
      <c r="D75" s="114" t="str">
        <f>IF($A75="","",VLOOKUP($A75,'Annex 2 EHV charges'!$A:$O,7,0))</f>
        <v>Nefyn</v>
      </c>
      <c r="E75" s="119" t="str">
        <f>IFERROR(IF(VLOOKUP($A75,'Annex 2 EHV charges'!$A:$O,8,FALSE)=0,"",VLOOKUP($A75,'Annex 2 EHV charges'!$A:$O,8,FALSE)),"")</f>
        <v/>
      </c>
      <c r="F75" s="120">
        <f>IFERROR(IF(VLOOKUP($A75,'Annex 2 EHV charges'!$A:$O,9,FALSE)=0,"",VLOOKUP($A75,'Annex 2 EHV charges'!$A:$O,9,FALSE)),"")</f>
        <v>0.76</v>
      </c>
      <c r="G75" s="121">
        <f>IFERROR(IF(VLOOKUP($A75,'Annex 2 EHV charges'!$A:$O,10,FALSE)=0,"",VLOOKUP($A75,'Annex 2 EHV charges'!$A:$O,10,FALSE)),"")</f>
        <v>3.2</v>
      </c>
      <c r="H75" s="121">
        <f>IFERROR(IF(VLOOKUP($A75,'Annex 2 EHV charges'!$A:$O,11,FALSE)=0,"",VLOOKUP($A75,'Annex 2 EHV charges'!$A:$O,11,FALSE)),"")</f>
        <v>3.2</v>
      </c>
    </row>
    <row r="76" spans="1:8" ht="12.75" customHeight="1" x14ac:dyDescent="0.2">
      <c r="A76" s="114">
        <f t="array" ref="A76">IFERROR(INDEX('Annex 2 EHV charges'!$A$11:$A$259, MATCH(0, IF(ISBLANK('Annex 2 EHV charges'!$A$11:$A$259),1, COUNTIF(A$4:$A75, 'Annex 2 EHV charges'!$A$11:$A$259)), 0)),"")</f>
        <v>890</v>
      </c>
      <c r="B76" s="114">
        <f>IF($A76="","",VLOOKUP($A76,'Annex 2 EHV charges'!$A:$O,2,0))</f>
        <v>890</v>
      </c>
      <c r="C76" s="115">
        <f>IF($A76="","",VLOOKUP($A76,'Annex 2 EHV charges'!$A:$O,3,0))</f>
        <v>1300060621987</v>
      </c>
      <c r="D76" s="114" t="str">
        <f>IF($A76="","",VLOOKUP($A76,'Annex 2 EHV charges'!$A:$O,7,0))</f>
        <v>Frodsham WF 1</v>
      </c>
      <c r="E76" s="119">
        <f>IFERROR(IF(VLOOKUP($A76,'Annex 2 EHV charges'!$A:$O,8,FALSE)=0,"",VLOOKUP($A76,'Annex 2 EHV charges'!$A:$O,8,FALSE)),"")</f>
        <v>0.107</v>
      </c>
      <c r="F76" s="120">
        <f>IFERROR(IF(VLOOKUP($A76,'Annex 2 EHV charges'!$A:$O,9,FALSE)=0,"",VLOOKUP($A76,'Annex 2 EHV charges'!$A:$O,9,FALSE)),"")</f>
        <v>2.83</v>
      </c>
      <c r="G76" s="121">
        <f>IFERROR(IF(VLOOKUP($A76,'Annex 2 EHV charges'!$A:$O,10,FALSE)=0,"",VLOOKUP($A76,'Annex 2 EHV charges'!$A:$O,10,FALSE)),"")</f>
        <v>4.5599999999999996</v>
      </c>
      <c r="H76" s="121">
        <f>IFERROR(IF(VLOOKUP($A76,'Annex 2 EHV charges'!$A:$O,11,FALSE)=0,"",VLOOKUP($A76,'Annex 2 EHV charges'!$A:$O,11,FALSE)),"")</f>
        <v>4.5599999999999996</v>
      </c>
    </row>
    <row r="77" spans="1:8" ht="12.75" customHeight="1" x14ac:dyDescent="0.2">
      <c r="A77" s="114">
        <f t="array" ref="A77">IFERROR(INDEX('Annex 2 EHV charges'!$A$11:$A$259, MATCH(0, IF(ISBLANK('Annex 2 EHV charges'!$A$11:$A$259),1, COUNTIF(A$4:$A76, 'Annex 2 EHV charges'!$A$11:$A$259)), 0)),"")</f>
        <v>891</v>
      </c>
      <c r="B77" s="114">
        <f>IF($A77="","",VLOOKUP($A77,'Annex 2 EHV charges'!$A:$O,2,0))</f>
        <v>891</v>
      </c>
      <c r="C77" s="115">
        <f>IF($A77="","",VLOOKUP($A77,'Annex 2 EHV charges'!$A:$O,3,0))</f>
        <v>1300060622002</v>
      </c>
      <c r="D77" s="114" t="str">
        <f>IF($A77="","",VLOOKUP($A77,'Annex 2 EHV charges'!$A:$O,7,0))</f>
        <v>Frodsham WF 2</v>
      </c>
      <c r="E77" s="119">
        <f>IFERROR(IF(VLOOKUP($A77,'Annex 2 EHV charges'!$A:$O,8,FALSE)=0,"",VLOOKUP($A77,'Annex 2 EHV charges'!$A:$O,8,FALSE)),"")</f>
        <v>3.4000000000000002E-2</v>
      </c>
      <c r="F77" s="120">
        <f>IFERROR(IF(VLOOKUP($A77,'Annex 2 EHV charges'!$A:$O,9,FALSE)=0,"",VLOOKUP($A77,'Annex 2 EHV charges'!$A:$O,9,FALSE)),"")</f>
        <v>2.83</v>
      </c>
      <c r="G77" s="121">
        <f>IFERROR(IF(VLOOKUP($A77,'Annex 2 EHV charges'!$A:$O,10,FALSE)=0,"",VLOOKUP($A77,'Annex 2 EHV charges'!$A:$O,10,FALSE)),"")</f>
        <v>3.74</v>
      </c>
      <c r="H77" s="121">
        <f>IFERROR(IF(VLOOKUP($A77,'Annex 2 EHV charges'!$A:$O,11,FALSE)=0,"",VLOOKUP($A77,'Annex 2 EHV charges'!$A:$O,11,FALSE)),"")</f>
        <v>3.74</v>
      </c>
    </row>
    <row r="78" spans="1:8" ht="12.75" customHeight="1" x14ac:dyDescent="0.2">
      <c r="A78" s="114">
        <f t="array" ref="A78">IFERROR(INDEX('Annex 2 EHV charges'!$A$11:$A$259, MATCH(0, IF(ISBLANK('Annex 2 EHV charges'!$A$11:$A$259),1, COUNTIF(A$4:$A77, 'Annex 2 EHV charges'!$A$11:$A$259)), 0)),"")</f>
        <v>892</v>
      </c>
      <c r="B78" s="114">
        <f>IF($A78="","",VLOOKUP($A78,'Annex 2 EHV charges'!$A:$O,2,0))</f>
        <v>892</v>
      </c>
      <c r="C78" s="115">
        <f>IF($A78="","",VLOOKUP($A78,'Annex 2 EHV charges'!$A:$O,3,0))</f>
        <v>1300060609697</v>
      </c>
      <c r="D78" s="114" t="str">
        <f>IF($A78="","",VLOOKUP($A78,'Annex 2 EHV charges'!$A:$O,7,0))</f>
        <v>Ince Biomass</v>
      </c>
      <c r="E78" s="119">
        <f>IFERROR(IF(VLOOKUP($A78,'Annex 2 EHV charges'!$A:$O,8,FALSE)=0,"",VLOOKUP($A78,'Annex 2 EHV charges'!$A:$O,8,FALSE)),"")</f>
        <v>0.25700000000000001</v>
      </c>
      <c r="F78" s="120">
        <f>IFERROR(IF(VLOOKUP($A78,'Annex 2 EHV charges'!$A:$O,9,FALSE)=0,"",VLOOKUP($A78,'Annex 2 EHV charges'!$A:$O,9,FALSE)),"")</f>
        <v>277.32</v>
      </c>
      <c r="G78" s="121">
        <f>IFERROR(IF(VLOOKUP($A78,'Annex 2 EHV charges'!$A:$O,10,FALSE)=0,"",VLOOKUP($A78,'Annex 2 EHV charges'!$A:$O,10,FALSE)),"")</f>
        <v>4.0199999999999996</v>
      </c>
      <c r="H78" s="121">
        <f>IFERROR(IF(VLOOKUP($A78,'Annex 2 EHV charges'!$A:$O,11,FALSE)=0,"",VLOOKUP($A78,'Annex 2 EHV charges'!$A:$O,11,FALSE)),"")</f>
        <v>4.0199999999999996</v>
      </c>
    </row>
    <row r="79" spans="1:8" ht="12.75" customHeight="1" x14ac:dyDescent="0.2">
      <c r="A79" s="114">
        <f t="array" ref="A79">IFERROR(INDEX('Annex 2 EHV charges'!$A$11:$A$259, MATCH(0, IF(ISBLANK('Annex 2 EHV charges'!$A$11:$A$259),1, COUNTIF(A$4:$A78, 'Annex 2 EHV charges'!$A$11:$A$259)), 0)),"")</f>
        <v>893</v>
      </c>
      <c r="B79" s="114">
        <f>IF($A79="","",VLOOKUP($A79,'Annex 2 EHV charges'!$A:$O,2,0))</f>
        <v>893</v>
      </c>
      <c r="C79" s="115">
        <f>IF($A79="","",VLOOKUP($A79,'Annex 2 EHV charges'!$A:$O,3,0))</f>
        <v>1300060659740</v>
      </c>
      <c r="D79" s="114" t="str">
        <f>IF($A79="","",VLOOKUP($A79,'Annex 2 EHV charges'!$A:$O,7,0))</f>
        <v>Kinmel Estate Solar Park</v>
      </c>
      <c r="E79" s="119" t="str">
        <f>IFERROR(IF(VLOOKUP($A79,'Annex 2 EHV charges'!$A:$O,8,FALSE)=0,"",VLOOKUP($A79,'Annex 2 EHV charges'!$A:$O,8,FALSE)),"")</f>
        <v/>
      </c>
      <c r="F79" s="120">
        <f>IFERROR(IF(VLOOKUP($A79,'Annex 2 EHV charges'!$A:$O,9,FALSE)=0,"",VLOOKUP($A79,'Annex 2 EHV charges'!$A:$O,9,FALSE)),"")</f>
        <v>4.0599999999999996</v>
      </c>
      <c r="G79" s="121">
        <f>IFERROR(IF(VLOOKUP($A79,'Annex 2 EHV charges'!$A:$O,10,FALSE)=0,"",VLOOKUP($A79,'Annex 2 EHV charges'!$A:$O,10,FALSE)),"")</f>
        <v>4.0199999999999996</v>
      </c>
      <c r="H79" s="121">
        <f>IFERROR(IF(VLOOKUP($A79,'Annex 2 EHV charges'!$A:$O,11,FALSE)=0,"",VLOOKUP($A79,'Annex 2 EHV charges'!$A:$O,11,FALSE)),"")</f>
        <v>4.0199999999999996</v>
      </c>
    </row>
    <row r="80" spans="1:8" ht="12.75" customHeight="1" x14ac:dyDescent="0.2">
      <c r="A80" s="114">
        <f t="array" ref="A80">IFERROR(INDEX('Annex 2 EHV charges'!$A$11:$A$259, MATCH(0, IF(ISBLANK('Annex 2 EHV charges'!$A$11:$A$259),1, COUNTIF(A$4:$A79, 'Annex 2 EHV charges'!$A$11:$A$259)), 0)),"")</f>
        <v>894</v>
      </c>
      <c r="B80" s="114">
        <f>IF($A80="","",VLOOKUP($A80,'Annex 2 EHV charges'!$A:$O,2,0))</f>
        <v>894</v>
      </c>
      <c r="C80" s="115">
        <f>IF($A80="","",VLOOKUP($A80,'Annex 2 EHV charges'!$A:$O,3,0))</f>
        <v>1300060647600</v>
      </c>
      <c r="D80" s="114" t="str">
        <f>IF($A80="","",VLOOKUP($A80,'Annex 2 EHV charges'!$A:$O,7,0))</f>
        <v>Tirgwynt Wind Farm</v>
      </c>
      <c r="E80" s="119" t="str">
        <f>IFERROR(IF(VLOOKUP($A80,'Annex 2 EHV charges'!$A:$O,8,FALSE)=0,"",VLOOKUP($A80,'Annex 2 EHV charges'!$A:$O,8,FALSE)),"")</f>
        <v/>
      </c>
      <c r="F80" s="120">
        <f>IFERROR(IF(VLOOKUP($A80,'Annex 2 EHV charges'!$A:$O,9,FALSE)=0,"",VLOOKUP($A80,'Annex 2 EHV charges'!$A:$O,9,FALSE)),"")</f>
        <v>379.77</v>
      </c>
      <c r="G80" s="121">
        <f>IFERROR(IF(VLOOKUP($A80,'Annex 2 EHV charges'!$A:$O,10,FALSE)=0,"",VLOOKUP($A80,'Annex 2 EHV charges'!$A:$O,10,FALSE)),"")</f>
        <v>2.19</v>
      </c>
      <c r="H80" s="121">
        <f>IFERROR(IF(VLOOKUP($A80,'Annex 2 EHV charges'!$A:$O,11,FALSE)=0,"",VLOOKUP($A80,'Annex 2 EHV charges'!$A:$O,11,FALSE)),"")</f>
        <v>2.19</v>
      </c>
    </row>
    <row r="81" spans="1:8" ht="12.75" customHeight="1" x14ac:dyDescent="0.2">
      <c r="A81" s="114">
        <f t="array" ref="A81">IFERROR(INDEX('Annex 2 EHV charges'!$A$11:$A$259, MATCH(0, IF(ISBLANK('Annex 2 EHV charges'!$A$11:$A$259),1, COUNTIF(A$4:$A80, 'Annex 2 EHV charges'!$A$11:$A$259)), 0)),"")</f>
        <v>896</v>
      </c>
      <c r="B81" s="114">
        <f>IF($A81="","",VLOOKUP($A81,'Annex 2 EHV charges'!$A:$O,2,0))</f>
        <v>896</v>
      </c>
      <c r="C81" s="115">
        <f>IF($A81="","",VLOOKUP($A81,'Annex 2 EHV charges'!$A:$O,3,0))</f>
        <v>1300060673442</v>
      </c>
      <c r="D81" s="114" t="str">
        <f>IF($A81="","",VLOOKUP($A81,'Annex 2 EHV charges'!$A:$O,7,0))</f>
        <v>Percival Lane STOR</v>
      </c>
      <c r="E81" s="119" t="str">
        <f>IFERROR(IF(VLOOKUP($A81,'Annex 2 EHV charges'!$A:$O,8,FALSE)=0,"",VLOOKUP($A81,'Annex 2 EHV charges'!$A:$O,8,FALSE)),"")</f>
        <v/>
      </c>
      <c r="F81" s="120">
        <f>IFERROR(IF(VLOOKUP($A81,'Annex 2 EHV charges'!$A:$O,9,FALSE)=0,"",VLOOKUP($A81,'Annex 2 EHV charges'!$A:$O,9,FALSE)),"")</f>
        <v>31.72</v>
      </c>
      <c r="G81" s="121">
        <f>IFERROR(IF(VLOOKUP($A81,'Annex 2 EHV charges'!$A:$O,10,FALSE)=0,"",VLOOKUP($A81,'Annex 2 EHV charges'!$A:$O,10,FALSE)),"")</f>
        <v>4.0199999999999996</v>
      </c>
      <c r="H81" s="121">
        <f>IFERROR(IF(VLOOKUP($A81,'Annex 2 EHV charges'!$A:$O,11,FALSE)=0,"",VLOOKUP($A81,'Annex 2 EHV charges'!$A:$O,11,FALSE)),"")</f>
        <v>4.0199999999999996</v>
      </c>
    </row>
    <row r="82" spans="1:8" ht="12.75" customHeight="1" x14ac:dyDescent="0.2">
      <c r="A82" s="114">
        <f t="array" ref="A82">IFERROR(INDEX('Annex 2 EHV charges'!$A$11:$A$259, MATCH(0, IF(ISBLANK('Annex 2 EHV charges'!$A$11:$A$259),1, COUNTIF(A$4:$A81, 'Annex 2 EHV charges'!$A$11:$A$259)), 0)),"")</f>
        <v>897</v>
      </c>
      <c r="B82" s="114">
        <f>IF($A82="","",VLOOKUP($A82,'Annex 2 EHV charges'!$A:$O,2,0))</f>
        <v>897</v>
      </c>
      <c r="C82" s="115">
        <f>IF($A82="","",VLOOKUP($A82,'Annex 2 EHV charges'!$A:$O,3,0))</f>
        <v>1300060673460</v>
      </c>
      <c r="D82" s="114" t="str">
        <f>IF($A82="","",VLOOKUP($A82,'Annex 2 EHV charges'!$A:$O,7,0))</f>
        <v>Stanlow STOR</v>
      </c>
      <c r="E82" s="119">
        <f>IFERROR(IF(VLOOKUP($A82,'Annex 2 EHV charges'!$A:$O,8,FALSE)=0,"",VLOOKUP($A82,'Annex 2 EHV charges'!$A:$O,8,FALSE)),"")</f>
        <v>0.25700000000000001</v>
      </c>
      <c r="F82" s="120">
        <f>IFERROR(IF(VLOOKUP($A82,'Annex 2 EHV charges'!$A:$O,9,FALSE)=0,"",VLOOKUP($A82,'Annex 2 EHV charges'!$A:$O,9,FALSE)),"")</f>
        <v>62.67</v>
      </c>
      <c r="G82" s="121">
        <f>IFERROR(IF(VLOOKUP($A82,'Annex 2 EHV charges'!$A:$O,10,FALSE)=0,"",VLOOKUP($A82,'Annex 2 EHV charges'!$A:$O,10,FALSE)),"")</f>
        <v>2.79</v>
      </c>
      <c r="H82" s="121">
        <f>IFERROR(IF(VLOOKUP($A82,'Annex 2 EHV charges'!$A:$O,11,FALSE)=0,"",VLOOKUP($A82,'Annex 2 EHV charges'!$A:$O,11,FALSE)),"")</f>
        <v>2.79</v>
      </c>
    </row>
    <row r="83" spans="1:8" ht="12.75" customHeight="1" x14ac:dyDescent="0.2">
      <c r="A83" s="114">
        <f t="array" ref="A83">IFERROR(INDEX('Annex 2 EHV charges'!$A$11:$A$259, MATCH(0, IF(ISBLANK('Annex 2 EHV charges'!$A$11:$A$259),1, COUNTIF(A$4:$A82, 'Annex 2 EHV charges'!$A$11:$A$259)), 0)),"")</f>
        <v>898</v>
      </c>
      <c r="B83" s="114">
        <f>IF($A83="","",VLOOKUP($A83,'Annex 2 EHV charges'!$A:$O,2,0))</f>
        <v>898</v>
      </c>
      <c r="C83" s="115">
        <f>IF($A83="","",VLOOKUP($A83,'Annex 2 EHV charges'!$A:$O,3,0))</f>
        <v>1300051694552</v>
      </c>
      <c r="D83" s="114" t="str">
        <f>IF($A83="","",VLOOKUP($A83,'Annex 2 EHV charges'!$A:$O,7,0))</f>
        <v>PG Winnington</v>
      </c>
      <c r="E83" s="119" t="str">
        <f>IFERROR(IF(VLOOKUP($A83,'Annex 2 EHV charges'!$A:$O,8,FALSE)=0,"",VLOOKUP($A83,'Annex 2 EHV charges'!$A:$O,8,FALSE)),"")</f>
        <v/>
      </c>
      <c r="F83" s="120">
        <f>IFERROR(IF(VLOOKUP($A83,'Annex 2 EHV charges'!$A:$O,9,FALSE)=0,"",VLOOKUP($A83,'Annex 2 EHV charges'!$A:$O,9,FALSE)),"")</f>
        <v>595.16</v>
      </c>
      <c r="G83" s="121">
        <f>IFERROR(IF(VLOOKUP($A83,'Annex 2 EHV charges'!$A:$O,10,FALSE)=0,"",VLOOKUP($A83,'Annex 2 EHV charges'!$A:$O,10,FALSE)),"")</f>
        <v>2.17</v>
      </c>
      <c r="H83" s="121">
        <f>IFERROR(IF(VLOOKUP($A83,'Annex 2 EHV charges'!$A:$O,11,FALSE)=0,"",VLOOKUP($A83,'Annex 2 EHV charges'!$A:$O,11,FALSE)),"")</f>
        <v>3.4</v>
      </c>
    </row>
    <row r="84" spans="1:8" ht="12.75" customHeight="1" x14ac:dyDescent="0.2">
      <c r="A84" s="114">
        <f t="array" ref="A84">IFERROR(INDEX('Annex 2 EHV charges'!$A$11:$A$259, MATCH(0, IF(ISBLANK('Annex 2 EHV charges'!$A$11:$A$259),1, COUNTIF(A$4:$A83, 'Annex 2 EHV charges'!$A$11:$A$259)), 0)),"")</f>
        <v>899</v>
      </c>
      <c r="B84" s="114">
        <f>IF($A84="","",VLOOKUP($A84,'Annex 2 EHV charges'!$A:$O,2,0))</f>
        <v>899</v>
      </c>
      <c r="C84" s="115">
        <f>IF($A84="","",VLOOKUP($A84,'Annex 2 EHV charges'!$A:$O,3,0))</f>
        <v>1300060484140</v>
      </c>
      <c r="D84" s="114" t="str">
        <f>IF($A84="","",VLOOKUP($A84,'Annex 2 EHV charges'!$A:$O,7,0))</f>
        <v>Airbus UK Ltd (33kV)</v>
      </c>
      <c r="E84" s="119" t="str">
        <f>IFERROR(IF(VLOOKUP($A84,'Annex 2 EHV charges'!$A:$O,8,FALSE)=0,"",VLOOKUP($A84,'Annex 2 EHV charges'!$A:$O,8,FALSE)),"")</f>
        <v/>
      </c>
      <c r="F84" s="120">
        <f>IFERROR(IF(VLOOKUP($A84,'Annex 2 EHV charges'!$A:$O,9,FALSE)=0,"",VLOOKUP($A84,'Annex 2 EHV charges'!$A:$O,9,FALSE)),"")</f>
        <v>7102.55</v>
      </c>
      <c r="G84" s="121">
        <f>IFERROR(IF(VLOOKUP($A84,'Annex 2 EHV charges'!$A:$O,10,FALSE)=0,"",VLOOKUP($A84,'Annex 2 EHV charges'!$A:$O,10,FALSE)),"")</f>
        <v>7.37</v>
      </c>
      <c r="H84" s="121">
        <f>IFERROR(IF(VLOOKUP($A84,'Annex 2 EHV charges'!$A:$O,11,FALSE)=0,"",VLOOKUP($A84,'Annex 2 EHV charges'!$A:$O,11,FALSE)),"")</f>
        <v>7.37</v>
      </c>
    </row>
    <row r="85" spans="1:8" ht="12.75" customHeight="1" x14ac:dyDescent="0.2">
      <c r="A85" s="114">
        <f t="array" ref="A85">IFERROR(INDEX('Annex 2 EHV charges'!$A$11:$A$259, MATCH(0, IF(ISBLANK('Annex 2 EHV charges'!$A$11:$A$259),1, COUNTIF(A$4:$A84, 'Annex 2 EHV charges'!$A$11:$A$259)), 0)),"")</f>
        <v>921</v>
      </c>
      <c r="B85" s="114">
        <f>IF($A85="","",VLOOKUP($A85,'Annex 2 EHV charges'!$A:$O,2,0))</f>
        <v>921</v>
      </c>
      <c r="C85" s="115">
        <f>IF($A85="","",VLOOKUP($A85,'Annex 2 EHV charges'!$A:$O,3,0))</f>
        <v>1300050654248</v>
      </c>
      <c r="D85" s="114" t="str">
        <f>IF($A85="","",VLOOKUP($A85,'Annex 2 EHV charges'!$A:$O,7,0))</f>
        <v>Network Rail (Crewe)</v>
      </c>
      <c r="E85" s="119" t="str">
        <f>IFERROR(IF(VLOOKUP($A85,'Annex 2 EHV charges'!$A:$O,8,FALSE)=0,"",VLOOKUP($A85,'Annex 2 EHV charges'!$A:$O,8,FALSE)),"")</f>
        <v/>
      </c>
      <c r="F85" s="120">
        <f>IFERROR(IF(VLOOKUP($A85,'Annex 2 EHV charges'!$A:$O,9,FALSE)=0,"",VLOOKUP($A85,'Annex 2 EHV charges'!$A:$O,9,FALSE)),"")</f>
        <v>9146.26</v>
      </c>
      <c r="G85" s="121">
        <f>IFERROR(IF(VLOOKUP($A85,'Annex 2 EHV charges'!$A:$O,10,FALSE)=0,"",VLOOKUP($A85,'Annex 2 EHV charges'!$A:$O,10,FALSE)),"")</f>
        <v>4.03</v>
      </c>
      <c r="H85" s="121">
        <f>IFERROR(IF(VLOOKUP($A85,'Annex 2 EHV charges'!$A:$O,11,FALSE)=0,"",VLOOKUP($A85,'Annex 2 EHV charges'!$A:$O,11,FALSE)),"")</f>
        <v>4.03</v>
      </c>
    </row>
    <row r="86" spans="1:8" ht="12.75" customHeight="1" x14ac:dyDescent="0.2">
      <c r="A86" s="114">
        <f t="array" ref="A86">IFERROR(INDEX('Annex 2 EHV charges'!$A$11:$A$259, MATCH(0, IF(ISBLANK('Annex 2 EHV charges'!$A$11:$A$259),1, COUNTIF(A$4:$A85, 'Annex 2 EHV charges'!$A$11:$A$259)), 0)),"")</f>
        <v>922</v>
      </c>
      <c r="B86" s="114">
        <f>IF($A86="","",VLOOKUP($A86,'Annex 2 EHV charges'!$A:$O,2,0))</f>
        <v>922</v>
      </c>
      <c r="C86" s="115">
        <f>IF($A86="","",VLOOKUP($A86,'Annex 2 EHV charges'!$A:$O,3,0))</f>
        <v>1300050654257</v>
      </c>
      <c r="D86" s="114" t="str">
        <f>IF($A86="","",VLOOKUP($A86,'Annex 2 EHV charges'!$A:$O,7,0))</f>
        <v>Network Rail (Speke)</v>
      </c>
      <c r="E86" s="119" t="str">
        <f>IFERROR(IF(VLOOKUP($A86,'Annex 2 EHV charges'!$A:$O,8,FALSE)=0,"",VLOOKUP($A86,'Annex 2 EHV charges'!$A:$O,8,FALSE)),"")</f>
        <v/>
      </c>
      <c r="F86" s="120">
        <f>IFERROR(IF(VLOOKUP($A86,'Annex 2 EHV charges'!$A:$O,9,FALSE)=0,"",VLOOKUP($A86,'Annex 2 EHV charges'!$A:$O,9,FALSE)),"")</f>
        <v>3337.67</v>
      </c>
      <c r="G86" s="121">
        <f>IFERROR(IF(VLOOKUP($A86,'Annex 2 EHV charges'!$A:$O,10,FALSE)=0,"",VLOOKUP($A86,'Annex 2 EHV charges'!$A:$O,10,FALSE)),"")</f>
        <v>8.07</v>
      </c>
      <c r="H86" s="121">
        <f>IFERROR(IF(VLOOKUP($A86,'Annex 2 EHV charges'!$A:$O,11,FALSE)=0,"",VLOOKUP($A86,'Annex 2 EHV charges'!$A:$O,11,FALSE)),"")</f>
        <v>8.07</v>
      </c>
    </row>
    <row r="87" spans="1:8" ht="12.75" customHeight="1" x14ac:dyDescent="0.2">
      <c r="A87" s="114">
        <f t="array" ref="A87">IFERROR(INDEX('Annex 2 EHV charges'!$A$11:$A$259, MATCH(0, IF(ISBLANK('Annex 2 EHV charges'!$A$11:$A$259),1, COUNTIF(A$4:$A86, 'Annex 2 EHV charges'!$A$11:$A$259)), 0)),"")</f>
        <v>923</v>
      </c>
      <c r="B87" s="114">
        <f>IF($A87="","",VLOOKUP($A87,'Annex 2 EHV charges'!$A:$O,2,0))</f>
        <v>923</v>
      </c>
      <c r="C87" s="115">
        <f>IF($A87="","",VLOOKUP($A87,'Annex 2 EHV charges'!$A:$O,3,0))</f>
        <v>1300050649994</v>
      </c>
      <c r="D87" s="114" t="str">
        <f>IF($A87="","",VLOOKUP($A87,'Annex 2 EHV charges'!$A:$O,7,0))</f>
        <v>Network Rail (Bankhall)</v>
      </c>
      <c r="E87" s="119" t="str">
        <f>IFERROR(IF(VLOOKUP($A87,'Annex 2 EHV charges'!$A:$O,8,FALSE)=0,"",VLOOKUP($A87,'Annex 2 EHV charges'!$A:$O,8,FALSE)),"")</f>
        <v/>
      </c>
      <c r="F87" s="120">
        <f>IFERROR(IF(VLOOKUP($A87,'Annex 2 EHV charges'!$A:$O,9,FALSE)=0,"",VLOOKUP($A87,'Annex 2 EHV charges'!$A:$O,9,FALSE)),"")</f>
        <v>1450.06</v>
      </c>
      <c r="G87" s="121">
        <f>IFERROR(IF(VLOOKUP($A87,'Annex 2 EHV charges'!$A:$O,10,FALSE)=0,"",VLOOKUP($A87,'Annex 2 EHV charges'!$A:$O,10,FALSE)),"")</f>
        <v>9.81</v>
      </c>
      <c r="H87" s="121">
        <f>IFERROR(IF(VLOOKUP($A87,'Annex 2 EHV charges'!$A:$O,11,FALSE)=0,"",VLOOKUP($A87,'Annex 2 EHV charges'!$A:$O,11,FALSE)),"")</f>
        <v>9.81</v>
      </c>
    </row>
    <row r="88" spans="1:8" ht="12.75" customHeight="1" x14ac:dyDescent="0.2">
      <c r="A88" s="114">
        <f t="array" ref="A88">IFERROR(INDEX('Annex 2 EHV charges'!$A$11:$A$259, MATCH(0, IF(ISBLANK('Annex 2 EHV charges'!$A$11:$A$259),1, COUNTIF(A$4:$A87, 'Annex 2 EHV charges'!$A$11:$A$259)), 0)),"")</f>
        <v>924</v>
      </c>
      <c r="B88" s="114">
        <f>IF($A88="","",VLOOKUP($A88,'Annex 2 EHV charges'!$A:$O,2,0))</f>
        <v>924</v>
      </c>
      <c r="C88" s="115">
        <f>IF($A88="","",VLOOKUP($A88,'Annex 2 EHV charges'!$A:$O,3,0))</f>
        <v>1300050653040</v>
      </c>
      <c r="D88" s="114" t="str">
        <f>IF($A88="","",VLOOKUP($A88,'Annex 2 EHV charges'!$A:$O,7,0))</f>
        <v>Network Rail (Bromborough)</v>
      </c>
      <c r="E88" s="119" t="str">
        <f>IFERROR(IF(VLOOKUP($A88,'Annex 2 EHV charges'!$A:$O,8,FALSE)=0,"",VLOOKUP($A88,'Annex 2 EHV charges'!$A:$O,8,FALSE)),"")</f>
        <v/>
      </c>
      <c r="F88" s="120">
        <f>IFERROR(IF(VLOOKUP($A88,'Annex 2 EHV charges'!$A:$O,9,FALSE)=0,"",VLOOKUP($A88,'Annex 2 EHV charges'!$A:$O,9,FALSE)),"")</f>
        <v>927.98</v>
      </c>
      <c r="G88" s="121">
        <f>IFERROR(IF(VLOOKUP($A88,'Annex 2 EHV charges'!$A:$O,10,FALSE)=0,"",VLOOKUP($A88,'Annex 2 EHV charges'!$A:$O,10,FALSE)),"")</f>
        <v>12.5</v>
      </c>
      <c r="H88" s="121">
        <f>IFERROR(IF(VLOOKUP($A88,'Annex 2 EHV charges'!$A:$O,11,FALSE)=0,"",VLOOKUP($A88,'Annex 2 EHV charges'!$A:$O,11,FALSE)),"")</f>
        <v>12.5</v>
      </c>
    </row>
    <row r="89" spans="1:8" ht="12.75" customHeight="1" x14ac:dyDescent="0.2">
      <c r="A89" s="114">
        <f t="array" ref="A89">IFERROR(INDEX('Annex 2 EHV charges'!$A$11:$A$259, MATCH(0, IF(ISBLANK('Annex 2 EHV charges'!$A$11:$A$259),1, COUNTIF(A$4:$A88, 'Annex 2 EHV charges'!$A$11:$A$259)), 0)),"")</f>
        <v>925</v>
      </c>
      <c r="B89" s="114">
        <f>IF($A89="","",VLOOKUP($A89,'Annex 2 EHV charges'!$A:$O,2,0))</f>
        <v>925</v>
      </c>
      <c r="C89" s="115">
        <f>IF($A89="","",VLOOKUP($A89,'Annex 2 EHV charges'!$A:$O,3,0))</f>
        <v>1300050654220</v>
      </c>
      <c r="D89" s="114" t="str">
        <f>IF($A89="","",VLOOKUP($A89,'Annex 2 EHV charges'!$A:$O,7,0))</f>
        <v>Network Rail (Shore Road)</v>
      </c>
      <c r="E89" s="119" t="str">
        <f>IFERROR(IF(VLOOKUP($A89,'Annex 2 EHV charges'!$A:$O,8,FALSE)=0,"",VLOOKUP($A89,'Annex 2 EHV charges'!$A:$O,8,FALSE)),"")</f>
        <v/>
      </c>
      <c r="F89" s="120">
        <f>IFERROR(IF(VLOOKUP($A89,'Annex 2 EHV charges'!$A:$O,9,FALSE)=0,"",VLOOKUP($A89,'Annex 2 EHV charges'!$A:$O,9,FALSE)),"")</f>
        <v>5415.7</v>
      </c>
      <c r="G89" s="121">
        <f>IFERROR(IF(VLOOKUP($A89,'Annex 2 EHV charges'!$A:$O,10,FALSE)=0,"",VLOOKUP($A89,'Annex 2 EHV charges'!$A:$O,10,FALSE)),"")</f>
        <v>6.99</v>
      </c>
      <c r="H89" s="121">
        <f>IFERROR(IF(VLOOKUP($A89,'Annex 2 EHV charges'!$A:$O,11,FALSE)=0,"",VLOOKUP($A89,'Annex 2 EHV charges'!$A:$O,11,FALSE)),"")</f>
        <v>6.99</v>
      </c>
    </row>
    <row r="90" spans="1:8" ht="12.75" customHeight="1" x14ac:dyDescent="0.2">
      <c r="A90" s="114" t="str">
        <f t="array" ref="A90">IFERROR(INDEX('Annex 2 EHV charges'!$A$11:$A$259, MATCH(0, IF(ISBLANK('Annex 2 EHV charges'!$A$11:$A$259),1, COUNTIF(A$4:$A89, 'Annex 2 EHV charges'!$A$11:$A$259)), 0)),"")</f>
        <v>MSID 7120</v>
      </c>
      <c r="B90" s="114" t="str">
        <f>IF($A90="","",VLOOKUP($A90,'Annex 2 EHV charges'!$A:$O,2,0))</f>
        <v>MSID 7120</v>
      </c>
      <c r="C90" s="115" t="str">
        <f>IF($A90="","",VLOOKUP($A90,'Annex 2 EHV charges'!$A:$O,3,0))</f>
        <v>MSID 7120</v>
      </c>
      <c r="D90" s="114" t="str">
        <f>IF($A90="","",VLOOKUP($A90,'Annex 2 EHV charges'!$A:$O,7,0))</f>
        <v>Shotton Paper</v>
      </c>
      <c r="E90" s="119" t="str">
        <f>IFERROR(IF(VLOOKUP($A90,'Annex 2 EHV charges'!$A:$O,8,FALSE)=0,"",VLOOKUP($A90,'Annex 2 EHV charges'!$A:$O,8,FALSE)),"")</f>
        <v/>
      </c>
      <c r="F90" s="120">
        <f>IFERROR(IF(VLOOKUP($A90,'Annex 2 EHV charges'!$A:$O,9,FALSE)=0,"",VLOOKUP($A90,'Annex 2 EHV charges'!$A:$O,9,FALSE)),"")</f>
        <v>26495.003230893723</v>
      </c>
      <c r="G90" s="121">
        <f>IFERROR(IF(VLOOKUP($A90,'Annex 2 EHV charges'!$A:$O,10,FALSE)=0,"",VLOOKUP($A90,'Annex 2 EHV charges'!$A:$O,10,FALSE)),"")</f>
        <v>1.77</v>
      </c>
      <c r="H90" s="121">
        <f>IFERROR(IF(VLOOKUP($A90,'Annex 2 EHV charges'!$A:$O,11,FALSE)=0,"",VLOOKUP($A90,'Annex 2 EHV charges'!$A:$O,11,FALSE)),"")</f>
        <v>1.77</v>
      </c>
    </row>
    <row r="91" spans="1:8" ht="12.75" customHeight="1" x14ac:dyDescent="0.2">
      <c r="A91" s="114" t="str">
        <f t="array" ref="A91">IFERROR(INDEX('Annex 2 EHV charges'!$A$11:$A$259, MATCH(0, IF(ISBLANK('Annex 2 EHV charges'!$A$11:$A$259),1, COUNTIF(A$4:$A90, 'Annex 2 EHV charges'!$A$11:$A$259)), 0)),"")</f>
        <v>MSID 7203</v>
      </c>
      <c r="B91" s="114" t="str">
        <f>IF($A91="","",VLOOKUP($A91,'Annex 2 EHV charges'!$A:$O,2,0))</f>
        <v>MSID 7203</v>
      </c>
      <c r="C91" s="115" t="str">
        <f>IF($A91="","",VLOOKUP($A91,'Annex 2 EHV charges'!$A:$O,3,0))</f>
        <v>MSID 7203</v>
      </c>
      <c r="D91" s="114" t="str">
        <f>IF($A91="","",VLOOKUP($A91,'Annex 2 EHV charges'!$A:$O,7,0))</f>
        <v>Burbo Bank</v>
      </c>
      <c r="E91" s="119" t="str">
        <f>IFERROR(IF(VLOOKUP($A91,'Annex 2 EHV charges'!$A:$O,8,FALSE)=0,"",VLOOKUP($A91,'Annex 2 EHV charges'!$A:$O,8,FALSE)),"")</f>
        <v/>
      </c>
      <c r="F91" s="120">
        <f>IFERROR(IF(VLOOKUP($A91,'Annex 2 EHV charges'!$A:$O,9,FALSE)=0,"",VLOOKUP($A91,'Annex 2 EHV charges'!$A:$O,9,FALSE)),"")</f>
        <v>4386.0600000000004</v>
      </c>
      <c r="G91" s="121" t="str">
        <f>IFERROR(IF(VLOOKUP($A91,'Annex 2 EHV charges'!$A:$O,10,FALSE)=0,"",VLOOKUP($A91,'Annex 2 EHV charges'!$A:$O,10,FALSE)),"")</f>
        <v/>
      </c>
      <c r="H91" s="121" t="str">
        <f>IFERROR(IF(VLOOKUP($A91,'Annex 2 EHV charges'!$A:$O,11,FALSE)=0,"",VLOOKUP($A91,'Annex 2 EHV charges'!$A:$O,11,FALSE)),"")</f>
        <v/>
      </c>
    </row>
    <row r="92" spans="1:8" ht="12.75" customHeight="1" x14ac:dyDescent="0.2">
      <c r="A92" s="114" t="str">
        <f t="array" ref="A92">IFERROR(INDEX('Annex 2 EHV charges'!$A$11:$A$259, MATCH(0, IF(ISBLANK('Annex 2 EHV charges'!$A$11:$A$259),1, COUNTIF(A$4:$A91, 'Annex 2 EHV charges'!$A$11:$A$259)), 0)),"")</f>
        <v>MSID 0030</v>
      </c>
      <c r="B92" s="114" t="str">
        <f>IF($A92="","",VLOOKUP($A92,'Annex 2 EHV charges'!$A:$O,2,0))</f>
        <v>MSID 0030</v>
      </c>
      <c r="C92" s="115" t="str">
        <f>IF($A92="","",VLOOKUP($A92,'Annex 2 EHV charges'!$A:$O,3,0))</f>
        <v>MSID 0030</v>
      </c>
      <c r="D92" s="114" t="str">
        <f>IF($A92="","",VLOOKUP($A92,'Annex 2 EHV charges'!$A:$O,7,0))</f>
        <v>Risley</v>
      </c>
      <c r="E92" s="119" t="str">
        <f>IFERROR(IF(VLOOKUP($A92,'Annex 2 EHV charges'!$A:$O,8,FALSE)=0,"",VLOOKUP($A92,'Annex 2 EHV charges'!$A:$O,8,FALSE)),"")</f>
        <v/>
      </c>
      <c r="F92" s="120" t="str">
        <f>IFERROR(IF(VLOOKUP($A92,'Annex 2 EHV charges'!$A:$O,9,FALSE)=0,"",VLOOKUP($A92,'Annex 2 EHV charges'!$A:$O,9,FALSE)),"")</f>
        <v/>
      </c>
      <c r="G92" s="121">
        <f>IFERROR(IF(VLOOKUP($A92,'Annex 2 EHV charges'!$A:$O,10,FALSE)=0,"",VLOOKUP($A92,'Annex 2 EHV charges'!$A:$O,10,FALSE)),"")</f>
        <v>13.2</v>
      </c>
      <c r="H92" s="121">
        <f>IFERROR(IF(VLOOKUP($A92,'Annex 2 EHV charges'!$A:$O,11,FALSE)=0,"",VLOOKUP($A92,'Annex 2 EHV charges'!$A:$O,11,FALSE)),"")</f>
        <v>13.2</v>
      </c>
    </row>
    <row r="93" spans="1:8" ht="12.75" customHeight="1" x14ac:dyDescent="0.2">
      <c r="A93" s="114" t="str">
        <f t="array" ref="A93">IFERROR(INDEX('Annex 2 EHV charges'!$A$11:$A$259, MATCH(0, IF(ISBLANK('Annex 2 EHV charges'!$A$11:$A$259),1, COUNTIF(A$4:$A92, 'Annex 2 EHV charges'!$A$11:$A$259)), 0)),"")</f>
        <v>MSID 0031/32</v>
      </c>
      <c r="B93" s="114" t="str">
        <f>IF($A93="","",VLOOKUP($A93,'Annex 2 EHV charges'!$A:$O,2,0))</f>
        <v>MSID 0031/32</v>
      </c>
      <c r="C93" s="115" t="str">
        <f>IF($A93="","",VLOOKUP($A93,'Annex 2 EHV charges'!$A:$O,3,0))</f>
        <v>MSID 0031/32</v>
      </c>
      <c r="D93" s="114" t="str">
        <f>IF($A93="","",VLOOKUP($A93,'Annex 2 EHV charges'!$A:$O,7,0))</f>
        <v>Bold</v>
      </c>
      <c r="E93" s="119" t="str">
        <f>IFERROR(IF(VLOOKUP($A93,'Annex 2 EHV charges'!$A:$O,8,FALSE)=0,"",VLOOKUP($A93,'Annex 2 EHV charges'!$A:$O,8,FALSE)),"")</f>
        <v/>
      </c>
      <c r="F93" s="120" t="str">
        <f>IFERROR(IF(VLOOKUP($A93,'Annex 2 EHV charges'!$A:$O,9,FALSE)=0,"",VLOOKUP($A93,'Annex 2 EHV charges'!$A:$O,9,FALSE)),"")</f>
        <v/>
      </c>
      <c r="G93" s="121">
        <f>IFERROR(IF(VLOOKUP($A93,'Annex 2 EHV charges'!$A:$O,10,FALSE)=0,"",VLOOKUP($A93,'Annex 2 EHV charges'!$A:$O,10,FALSE)),"")</f>
        <v>3.9</v>
      </c>
      <c r="H93" s="121">
        <f>IFERROR(IF(VLOOKUP($A93,'Annex 2 EHV charges'!$A:$O,11,FALSE)=0,"",VLOOKUP($A93,'Annex 2 EHV charges'!$A:$O,11,FALSE)),"")</f>
        <v>3.9</v>
      </c>
    </row>
    <row r="94" spans="1:8" ht="12.75" customHeight="1" x14ac:dyDescent="0.2">
      <c r="A94" s="114" t="str">
        <f t="array" ref="A94">IFERROR(INDEX('Annex 2 EHV charges'!$A$11:$A$259, MATCH(0, IF(ISBLANK('Annex 2 EHV charges'!$A$11:$A$259),1, COUNTIF(A$4:$A93, 'Annex 2 EHV charges'!$A$11:$A$259)), 0)),"")</f>
        <v>MSID 4532/33</v>
      </c>
      <c r="B94" s="114" t="str">
        <f>IF($A94="","",VLOOKUP($A94,'Annex 2 EHV charges'!$A:$O,2,0))</f>
        <v>MSID 4532/33</v>
      </c>
      <c r="C94" s="115" t="str">
        <f>IF($A94="","",VLOOKUP($A94,'Annex 2 EHV charges'!$A:$O,3,0))</f>
        <v>MSID 4532/33</v>
      </c>
      <c r="D94" s="114" t="str">
        <f>IF($A94="","",VLOOKUP($A94,'Annex 2 EHV charges'!$A:$O,7,0))</f>
        <v>Dolgarrog PS</v>
      </c>
      <c r="E94" s="119" t="str">
        <f>IFERROR(IF(VLOOKUP($A94,'Annex 2 EHV charges'!$A:$O,8,FALSE)=0,"",VLOOKUP($A94,'Annex 2 EHV charges'!$A:$O,8,FALSE)),"")</f>
        <v/>
      </c>
      <c r="F94" s="120" t="str">
        <f>IFERROR(IF(VLOOKUP($A94,'Annex 2 EHV charges'!$A:$O,9,FALSE)=0,"",VLOOKUP($A94,'Annex 2 EHV charges'!$A:$O,9,FALSE)),"")</f>
        <v/>
      </c>
      <c r="G94" s="121">
        <f>IFERROR(IF(VLOOKUP($A94,'Annex 2 EHV charges'!$A:$O,10,FALSE)=0,"",VLOOKUP($A94,'Annex 2 EHV charges'!$A:$O,10,FALSE)),"")</f>
        <v>5.15</v>
      </c>
      <c r="H94" s="121">
        <f>IFERROR(IF(VLOOKUP($A94,'Annex 2 EHV charges'!$A:$O,11,FALSE)=0,"",VLOOKUP($A94,'Annex 2 EHV charges'!$A:$O,11,FALSE)),"")</f>
        <v>5.15</v>
      </c>
    </row>
    <row r="95" spans="1:8" ht="12.75" customHeight="1" x14ac:dyDescent="0.2">
      <c r="A95" s="114">
        <f t="array" ref="A95">IFERROR(INDEX('Annex 2 EHV charges'!$A$11:$A$259, MATCH(0, IF(ISBLANK('Annex 2 EHV charges'!$A$11:$A$259),1, COUNTIF(A$4:$A94, 'Annex 2 EHV charges'!$A$11:$A$259)), 0)),"")</f>
        <v>300</v>
      </c>
      <c r="B95" s="114">
        <f>IF($A95="","",VLOOKUP($A95,'Annex 2 EHV charges'!$A:$O,2,0))</f>
        <v>300</v>
      </c>
      <c r="C95" s="115">
        <f>IF($A95="","",VLOOKUP($A95,'Annex 2 EHV charges'!$A:$O,3,0))</f>
        <v>1300035348714</v>
      </c>
      <c r="D95" s="114" t="str">
        <f>IF($A95="","",VLOOKUP($A95,'Annex 2 EHV charges'!$A:$O,7,0))</f>
        <v>Royal London Insurance</v>
      </c>
      <c r="E95" s="119" t="str">
        <f>IFERROR(IF(VLOOKUP($A95,'Annex 2 EHV charges'!$A:$O,8,FALSE)=0,"",VLOOKUP($A95,'Annex 2 EHV charges'!$A:$O,8,FALSE)),"")</f>
        <v/>
      </c>
      <c r="F95" s="120">
        <f>IFERROR(IF(VLOOKUP($A95,'Annex 2 EHV charges'!$A:$O,9,FALSE)=0,"",VLOOKUP($A95,'Annex 2 EHV charges'!$A:$O,9,FALSE)),"")</f>
        <v>210.51</v>
      </c>
      <c r="G95" s="121">
        <f>IFERROR(IF(VLOOKUP($A95,'Annex 2 EHV charges'!$A:$O,10,FALSE)=0,"",VLOOKUP($A95,'Annex 2 EHV charges'!$A:$O,10,FALSE)),"")</f>
        <v>2.13</v>
      </c>
      <c r="H95" s="121">
        <f>IFERROR(IF(VLOOKUP($A95,'Annex 2 EHV charges'!$A:$O,11,FALSE)=0,"",VLOOKUP($A95,'Annex 2 EHV charges'!$A:$O,11,FALSE)),"")</f>
        <v>2.13</v>
      </c>
    </row>
    <row r="96" spans="1:8" ht="12.75" customHeight="1" x14ac:dyDescent="0.2">
      <c r="A96" s="114">
        <f t="array" ref="A96">IFERROR(INDEX('Annex 2 EHV charges'!$A$11:$A$259, MATCH(0, IF(ISBLANK('Annex 2 EHV charges'!$A$11:$A$259),1, COUNTIF(A$4:$A95, 'Annex 2 EHV charges'!$A$11:$A$259)), 0)),"")</f>
        <v>301</v>
      </c>
      <c r="B96" s="114">
        <f>IF($A96="","",VLOOKUP($A96,'Annex 2 EHV charges'!$A:$O,2,0))</f>
        <v>301</v>
      </c>
      <c r="C96" s="115">
        <f>IF($A96="","",VLOOKUP($A96,'Annex 2 EHV charges'!$A:$O,3,0))</f>
        <v>1300035349160</v>
      </c>
      <c r="D96" s="114" t="str">
        <f>IF($A96="","",VLOOKUP($A96,'Annex 2 EHV charges'!$A:$O,7,0))</f>
        <v>Amerdale Ltd</v>
      </c>
      <c r="E96" s="119" t="str">
        <f>IFERROR(IF(VLOOKUP($A96,'Annex 2 EHV charges'!$A:$O,8,FALSE)=0,"",VLOOKUP($A96,'Annex 2 EHV charges'!$A:$O,8,FALSE)),"")</f>
        <v/>
      </c>
      <c r="F96" s="120">
        <f>IFERROR(IF(VLOOKUP($A96,'Annex 2 EHV charges'!$A:$O,9,FALSE)=0,"",VLOOKUP($A96,'Annex 2 EHV charges'!$A:$O,9,FALSE)),"")</f>
        <v>210.51</v>
      </c>
      <c r="G96" s="121">
        <f>IFERROR(IF(VLOOKUP($A96,'Annex 2 EHV charges'!$A:$O,10,FALSE)=0,"",VLOOKUP($A96,'Annex 2 EHV charges'!$A:$O,10,FALSE)),"")</f>
        <v>3.51</v>
      </c>
      <c r="H96" s="121">
        <f>IFERROR(IF(VLOOKUP($A96,'Annex 2 EHV charges'!$A:$O,11,FALSE)=0,"",VLOOKUP($A96,'Annex 2 EHV charges'!$A:$O,11,FALSE)),"")</f>
        <v>3.51</v>
      </c>
    </row>
    <row r="97" spans="1:8" ht="12.75" customHeight="1" x14ac:dyDescent="0.2">
      <c r="A97" s="114">
        <f t="array" ref="A97">IFERROR(INDEX('Annex 2 EHV charges'!$A$11:$A$259, MATCH(0, IF(ISBLANK('Annex 2 EHV charges'!$A$11:$A$259),1, COUNTIF(A$4:$A96, 'Annex 2 EHV charges'!$A$11:$A$259)), 0)),"")</f>
        <v>302</v>
      </c>
      <c r="B97" s="114">
        <f>IF($A97="","",VLOOKUP($A97,'Annex 2 EHV charges'!$A:$O,2,0))</f>
        <v>302</v>
      </c>
      <c r="C97" s="115">
        <f>IF($A97="","",VLOOKUP($A97,'Annex 2 EHV charges'!$A:$O,3,0))</f>
        <v>1300035349461</v>
      </c>
      <c r="D97" s="114" t="str">
        <f>IF($A97="","",VLOOKUP($A97,'Annex 2 EHV charges'!$A:$O,7,0))</f>
        <v>United Biscuits (Uk) Ltd</v>
      </c>
      <c r="E97" s="119" t="str">
        <f>IFERROR(IF(VLOOKUP($A97,'Annex 2 EHV charges'!$A:$O,8,FALSE)=0,"",VLOOKUP($A97,'Annex 2 EHV charges'!$A:$O,8,FALSE)),"")</f>
        <v/>
      </c>
      <c r="F97" s="120">
        <f>IFERROR(IF(VLOOKUP($A97,'Annex 2 EHV charges'!$A:$O,9,FALSE)=0,"",VLOOKUP($A97,'Annex 2 EHV charges'!$A:$O,9,FALSE)),"")</f>
        <v>210.51</v>
      </c>
      <c r="G97" s="121">
        <f>IFERROR(IF(VLOOKUP($A97,'Annex 2 EHV charges'!$A:$O,10,FALSE)=0,"",VLOOKUP($A97,'Annex 2 EHV charges'!$A:$O,10,FALSE)),"")</f>
        <v>7.77</v>
      </c>
      <c r="H97" s="121">
        <f>IFERROR(IF(VLOOKUP($A97,'Annex 2 EHV charges'!$A:$O,11,FALSE)=0,"",VLOOKUP($A97,'Annex 2 EHV charges'!$A:$O,11,FALSE)),"")</f>
        <v>7.77</v>
      </c>
    </row>
    <row r="98" spans="1:8" ht="12.75" customHeight="1" x14ac:dyDescent="0.2">
      <c r="A98" s="114">
        <f t="array" ref="A98">IFERROR(INDEX('Annex 2 EHV charges'!$A$11:$A$259, MATCH(0, IF(ISBLANK('Annex 2 EHV charges'!$A$11:$A$259),1, COUNTIF(A$4:$A97, 'Annex 2 EHV charges'!$A$11:$A$259)), 0)),"")</f>
        <v>303</v>
      </c>
      <c r="B98" s="114">
        <f>IF($A98="","",VLOOKUP($A98,'Annex 2 EHV charges'!$A:$O,2,0))</f>
        <v>303</v>
      </c>
      <c r="C98" s="115">
        <f>IF($A98="","",VLOOKUP($A98,'Annex 2 EHV charges'!$A:$O,3,0))</f>
        <v>1300035350156</v>
      </c>
      <c r="D98" s="114" t="str">
        <f>IF($A98="","",VLOOKUP($A98,'Annex 2 EHV charges'!$A:$O,7,0))</f>
        <v>Brocklebank Dock</v>
      </c>
      <c r="E98" s="119">
        <f>IFERROR(IF(VLOOKUP($A98,'Annex 2 EHV charges'!$A:$O,8,FALSE)=0,"",VLOOKUP($A98,'Annex 2 EHV charges'!$A:$O,8,FALSE)),"")</f>
        <v>1.2629999999999999</v>
      </c>
      <c r="F98" s="120">
        <f>IFERROR(IF(VLOOKUP($A98,'Annex 2 EHV charges'!$A:$O,9,FALSE)=0,"",VLOOKUP($A98,'Annex 2 EHV charges'!$A:$O,9,FALSE)),"")</f>
        <v>210.51</v>
      </c>
      <c r="G98" s="121">
        <f>IFERROR(IF(VLOOKUP($A98,'Annex 2 EHV charges'!$A:$O,10,FALSE)=0,"",VLOOKUP($A98,'Annex 2 EHV charges'!$A:$O,10,FALSE)),"")</f>
        <v>12.87</v>
      </c>
      <c r="H98" s="121">
        <f>IFERROR(IF(VLOOKUP($A98,'Annex 2 EHV charges'!$A:$O,11,FALSE)=0,"",VLOOKUP($A98,'Annex 2 EHV charges'!$A:$O,11,FALSE)),"")</f>
        <v>12.87</v>
      </c>
    </row>
    <row r="99" spans="1:8" ht="12.75" customHeight="1" x14ac:dyDescent="0.2">
      <c r="A99" s="114">
        <f t="array" ref="A99">IFERROR(INDEX('Annex 2 EHV charges'!$A$11:$A$259, MATCH(0, IF(ISBLANK('Annex 2 EHV charges'!$A$11:$A$259),1, COUNTIF(A$4:$A98, 'Annex 2 EHV charges'!$A$11:$A$259)), 0)),"")</f>
        <v>304</v>
      </c>
      <c r="B99" s="114">
        <f>IF($A99="","",VLOOKUP($A99,'Annex 2 EHV charges'!$A:$O,2,0))</f>
        <v>304</v>
      </c>
      <c r="C99" s="115">
        <f>IF($A99="","",VLOOKUP($A99,'Annex 2 EHV charges'!$A:$O,3,0))</f>
        <v>1300035351949</v>
      </c>
      <c r="D99" s="114" t="str">
        <f>IF($A99="","",VLOOKUP($A99,'Annex 2 EHV charges'!$A:$O,7,0))</f>
        <v>Bruntwood Limited</v>
      </c>
      <c r="E99" s="119" t="str">
        <f>IFERROR(IF(VLOOKUP($A99,'Annex 2 EHV charges'!$A:$O,8,FALSE)=0,"",VLOOKUP($A99,'Annex 2 EHV charges'!$A:$O,8,FALSE)),"")</f>
        <v/>
      </c>
      <c r="F99" s="120">
        <f>IFERROR(IF(VLOOKUP($A99,'Annex 2 EHV charges'!$A:$O,9,FALSE)=0,"",VLOOKUP($A99,'Annex 2 EHV charges'!$A:$O,9,FALSE)),"")</f>
        <v>210.51</v>
      </c>
      <c r="G99" s="121">
        <f>IFERROR(IF(VLOOKUP($A99,'Annex 2 EHV charges'!$A:$O,10,FALSE)=0,"",VLOOKUP($A99,'Annex 2 EHV charges'!$A:$O,10,FALSE)),"")</f>
        <v>5.99</v>
      </c>
      <c r="H99" s="121">
        <f>IFERROR(IF(VLOOKUP($A99,'Annex 2 EHV charges'!$A:$O,11,FALSE)=0,"",VLOOKUP($A99,'Annex 2 EHV charges'!$A:$O,11,FALSE)),"")</f>
        <v>5.99</v>
      </c>
    </row>
    <row r="100" spans="1:8" ht="12.75" customHeight="1" x14ac:dyDescent="0.2">
      <c r="A100" s="114">
        <f t="array" ref="A100">IFERROR(INDEX('Annex 2 EHV charges'!$A$11:$A$259, MATCH(0, IF(ISBLANK('Annex 2 EHV charges'!$A$11:$A$259),1, COUNTIF(A$4:$A99, 'Annex 2 EHV charges'!$A$11:$A$259)), 0)),"")</f>
        <v>305</v>
      </c>
      <c r="B100" s="114">
        <f>IF($A100="","",VLOOKUP($A100,'Annex 2 EHV charges'!$A:$O,2,0))</f>
        <v>305</v>
      </c>
      <c r="C100" s="115">
        <f>IF($A100="","",VLOOKUP($A100,'Annex 2 EHV charges'!$A:$O,3,0))</f>
        <v>1300035351958</v>
      </c>
      <c r="D100" s="114" t="str">
        <f>IF($A100="","",VLOOKUP($A100,'Annex 2 EHV charges'!$A:$O,7,0))</f>
        <v>L'pool Daily Post &amp; Echo</v>
      </c>
      <c r="E100" s="119" t="str">
        <f>IFERROR(IF(VLOOKUP($A100,'Annex 2 EHV charges'!$A:$O,8,FALSE)=0,"",VLOOKUP($A100,'Annex 2 EHV charges'!$A:$O,8,FALSE)),"")</f>
        <v/>
      </c>
      <c r="F100" s="120">
        <f>IFERROR(IF(VLOOKUP($A100,'Annex 2 EHV charges'!$A:$O,9,FALSE)=0,"",VLOOKUP($A100,'Annex 2 EHV charges'!$A:$O,9,FALSE)),"")</f>
        <v>210.51</v>
      </c>
      <c r="G100" s="121">
        <f>IFERROR(IF(VLOOKUP($A100,'Annex 2 EHV charges'!$A:$O,10,FALSE)=0,"",VLOOKUP($A100,'Annex 2 EHV charges'!$A:$O,10,FALSE)),"")</f>
        <v>5.66</v>
      </c>
      <c r="H100" s="121">
        <f>IFERROR(IF(VLOOKUP($A100,'Annex 2 EHV charges'!$A:$O,11,FALSE)=0,"",VLOOKUP($A100,'Annex 2 EHV charges'!$A:$O,11,FALSE)),"")</f>
        <v>5.66</v>
      </c>
    </row>
    <row r="101" spans="1:8" ht="12.75" customHeight="1" x14ac:dyDescent="0.2">
      <c r="A101" s="114">
        <f t="array" ref="A101">IFERROR(INDEX('Annex 2 EHV charges'!$A$11:$A$259, MATCH(0, IF(ISBLANK('Annex 2 EHV charges'!$A$11:$A$259),1, COUNTIF(A$4:$A100, 'Annex 2 EHV charges'!$A$11:$A$259)), 0)),"")</f>
        <v>306</v>
      </c>
      <c r="B101" s="114">
        <f>IF($A101="","",VLOOKUP($A101,'Annex 2 EHV charges'!$A:$O,2,0))</f>
        <v>306</v>
      </c>
      <c r="C101" s="115">
        <f>IF($A101="","",VLOOKUP($A101,'Annex 2 EHV charges'!$A:$O,3,0))</f>
        <v>1300035352214</v>
      </c>
      <c r="D101" s="114" t="str">
        <f>IF($A101="","",VLOOKUP($A101,'Annex 2 EHV charges'!$A:$O,7,0))</f>
        <v>University Of Liverpool</v>
      </c>
      <c r="E101" s="119">
        <f>IFERROR(IF(VLOOKUP($A101,'Annex 2 EHV charges'!$A:$O,8,FALSE)=0,"",VLOOKUP($A101,'Annex 2 EHV charges'!$A:$O,8,FALSE)),"")</f>
        <v>0.442</v>
      </c>
      <c r="F101" s="120">
        <f>IFERROR(IF(VLOOKUP($A101,'Annex 2 EHV charges'!$A:$O,9,FALSE)=0,"",VLOOKUP($A101,'Annex 2 EHV charges'!$A:$O,9,FALSE)),"")</f>
        <v>210.51</v>
      </c>
      <c r="G101" s="121">
        <f>IFERROR(IF(VLOOKUP($A101,'Annex 2 EHV charges'!$A:$O,10,FALSE)=0,"",VLOOKUP($A101,'Annex 2 EHV charges'!$A:$O,10,FALSE)),"")</f>
        <v>2.59</v>
      </c>
      <c r="H101" s="121">
        <f>IFERROR(IF(VLOOKUP($A101,'Annex 2 EHV charges'!$A:$O,11,FALSE)=0,"",VLOOKUP($A101,'Annex 2 EHV charges'!$A:$O,11,FALSE)),"")</f>
        <v>2.59</v>
      </c>
    </row>
    <row r="102" spans="1:8" ht="12.75" customHeight="1" x14ac:dyDescent="0.2">
      <c r="A102" s="114">
        <f t="array" ref="A102">IFERROR(INDEX('Annex 2 EHV charges'!$A$11:$A$259, MATCH(0, IF(ISBLANK('Annex 2 EHV charges'!$A$11:$A$259),1, COUNTIF(A$4:$A101, 'Annex 2 EHV charges'!$A$11:$A$259)), 0)),"")</f>
        <v>307</v>
      </c>
      <c r="B102" s="114">
        <f>IF($A102="","",VLOOKUP($A102,'Annex 2 EHV charges'!$A:$O,2,0))</f>
        <v>307</v>
      </c>
      <c r="C102" s="115">
        <f>IF($A102="","",VLOOKUP($A102,'Annex 2 EHV charges'!$A:$O,3,0))</f>
        <v>1300035352232</v>
      </c>
      <c r="D102" s="114" t="str">
        <f>IF($A102="","",VLOOKUP($A102,'Annex 2 EHV charges'!$A:$O,7,0))</f>
        <v>Norwepp Ltd</v>
      </c>
      <c r="E102" s="119">
        <f>IFERROR(IF(VLOOKUP($A102,'Annex 2 EHV charges'!$A:$O,8,FALSE)=0,"",VLOOKUP($A102,'Annex 2 EHV charges'!$A:$O,8,FALSE)),"")</f>
        <v>0.51100000000000001</v>
      </c>
      <c r="F102" s="120">
        <f>IFERROR(IF(VLOOKUP($A102,'Annex 2 EHV charges'!$A:$O,9,FALSE)=0,"",VLOOKUP($A102,'Annex 2 EHV charges'!$A:$O,9,FALSE)),"")</f>
        <v>210.51</v>
      </c>
      <c r="G102" s="121">
        <f>IFERROR(IF(VLOOKUP($A102,'Annex 2 EHV charges'!$A:$O,10,FALSE)=0,"",VLOOKUP($A102,'Annex 2 EHV charges'!$A:$O,10,FALSE)),"")</f>
        <v>2.76</v>
      </c>
      <c r="H102" s="121">
        <f>IFERROR(IF(VLOOKUP($A102,'Annex 2 EHV charges'!$A:$O,11,FALSE)=0,"",VLOOKUP($A102,'Annex 2 EHV charges'!$A:$O,11,FALSE)),"")</f>
        <v>2.76</v>
      </c>
    </row>
    <row r="103" spans="1:8" ht="12.75" customHeight="1" x14ac:dyDescent="0.2">
      <c r="A103" s="114">
        <f t="array" ref="A103">IFERROR(INDEX('Annex 2 EHV charges'!$A$11:$A$259, MATCH(0, IF(ISBLANK('Annex 2 EHV charges'!$A$11:$A$259),1, COUNTIF(A$4:$A102, 'Annex 2 EHV charges'!$A$11:$A$259)), 0)),"")</f>
        <v>308</v>
      </c>
      <c r="B103" s="114">
        <f>IF($A103="","",VLOOKUP($A103,'Annex 2 EHV charges'!$A:$O,2,0))</f>
        <v>308</v>
      </c>
      <c r="C103" s="115">
        <f>IF($A103="","",VLOOKUP($A103,'Annex 2 EHV charges'!$A:$O,3,0))</f>
        <v>1300035353050</v>
      </c>
      <c r="D103" s="114" t="str">
        <f>IF($A103="","",VLOOKUP($A103,'Annex 2 EHV charges'!$A:$O,7,0))</f>
        <v>New Capital Dev Ltd</v>
      </c>
      <c r="E103" s="119" t="str">
        <f>IFERROR(IF(VLOOKUP($A103,'Annex 2 EHV charges'!$A:$O,8,FALSE)=0,"",VLOOKUP($A103,'Annex 2 EHV charges'!$A:$O,8,FALSE)),"")</f>
        <v/>
      </c>
      <c r="F103" s="120">
        <f>IFERROR(IF(VLOOKUP($A103,'Annex 2 EHV charges'!$A:$O,9,FALSE)=0,"",VLOOKUP($A103,'Annex 2 EHV charges'!$A:$O,9,FALSE)),"")</f>
        <v>210.51</v>
      </c>
      <c r="G103" s="121">
        <f>IFERROR(IF(VLOOKUP($A103,'Annex 2 EHV charges'!$A:$O,10,FALSE)=0,"",VLOOKUP($A103,'Annex 2 EHV charges'!$A:$O,10,FALSE)),"")</f>
        <v>11.61</v>
      </c>
      <c r="H103" s="121">
        <f>IFERROR(IF(VLOOKUP($A103,'Annex 2 EHV charges'!$A:$O,11,FALSE)=0,"",VLOOKUP($A103,'Annex 2 EHV charges'!$A:$O,11,FALSE)),"")</f>
        <v>11.61</v>
      </c>
    </row>
    <row r="104" spans="1:8" ht="12.75" customHeight="1" x14ac:dyDescent="0.2">
      <c r="A104" s="114">
        <f t="array" ref="A104">IFERROR(INDEX('Annex 2 EHV charges'!$A$11:$A$259, MATCH(0, IF(ISBLANK('Annex 2 EHV charges'!$A$11:$A$259),1, COUNTIF(A$4:$A103, 'Annex 2 EHV charges'!$A$11:$A$259)), 0)),"")</f>
        <v>309</v>
      </c>
      <c r="B104" s="114">
        <f>IF($A104="","",VLOOKUP($A104,'Annex 2 EHV charges'!$A:$O,2,0))</f>
        <v>309</v>
      </c>
      <c r="C104" s="115">
        <f>IF($A104="","",VLOOKUP($A104,'Annex 2 EHV charges'!$A:$O,3,0))</f>
        <v>1300035354346</v>
      </c>
      <c r="D104" s="114" t="str">
        <f>IF($A104="","",VLOOKUP($A104,'Annex 2 EHV charges'!$A:$O,7,0))</f>
        <v>Chiron Vaccines Ltd</v>
      </c>
      <c r="E104" s="119">
        <f>IFERROR(IF(VLOOKUP($A104,'Annex 2 EHV charges'!$A:$O,8,FALSE)=0,"",VLOOKUP($A104,'Annex 2 EHV charges'!$A:$O,8,FALSE)),"")</f>
        <v>0.29899999999999999</v>
      </c>
      <c r="F104" s="120">
        <f>IFERROR(IF(VLOOKUP($A104,'Annex 2 EHV charges'!$A:$O,9,FALSE)=0,"",VLOOKUP($A104,'Annex 2 EHV charges'!$A:$O,9,FALSE)),"")</f>
        <v>210.51</v>
      </c>
      <c r="G104" s="121">
        <f>IFERROR(IF(VLOOKUP($A104,'Annex 2 EHV charges'!$A:$O,10,FALSE)=0,"",VLOOKUP($A104,'Annex 2 EHV charges'!$A:$O,10,FALSE)),"")</f>
        <v>2.21</v>
      </c>
      <c r="H104" s="121">
        <f>IFERROR(IF(VLOOKUP($A104,'Annex 2 EHV charges'!$A:$O,11,FALSE)=0,"",VLOOKUP($A104,'Annex 2 EHV charges'!$A:$O,11,FALSE)),"")</f>
        <v>2.21</v>
      </c>
    </row>
    <row r="105" spans="1:8" ht="12.75" customHeight="1" x14ac:dyDescent="0.2">
      <c r="A105" s="114">
        <f t="array" ref="A105">IFERROR(INDEX('Annex 2 EHV charges'!$A$11:$A$259, MATCH(0, IF(ISBLANK('Annex 2 EHV charges'!$A$11:$A$259),1, COUNTIF(A$4:$A104, 'Annex 2 EHV charges'!$A$11:$A$259)), 0)),"")</f>
        <v>311</v>
      </c>
      <c r="B105" s="114">
        <f>IF($A105="","",VLOOKUP($A105,'Annex 2 EHV charges'!$A:$O,2,0))</f>
        <v>311</v>
      </c>
      <c r="C105" s="115">
        <f>IF($A105="","",VLOOKUP($A105,'Annex 2 EHV charges'!$A:$O,3,0))</f>
        <v>1300035355526</v>
      </c>
      <c r="D105" s="114" t="str">
        <f>IF($A105="","",VLOOKUP($A105,'Annex 2 EHV charges'!$A:$O,7,0))</f>
        <v>Bruntwood Ltd (Warrington)</v>
      </c>
      <c r="E105" s="119">
        <f>IFERROR(IF(VLOOKUP($A105,'Annex 2 EHV charges'!$A:$O,8,FALSE)=0,"",VLOOKUP($A105,'Annex 2 EHV charges'!$A:$O,8,FALSE)),"")</f>
        <v>2.7949999999999999</v>
      </c>
      <c r="F105" s="120">
        <f>IFERROR(IF(VLOOKUP($A105,'Annex 2 EHV charges'!$A:$O,9,FALSE)=0,"",VLOOKUP($A105,'Annex 2 EHV charges'!$A:$O,9,FALSE)),"")</f>
        <v>210.51</v>
      </c>
      <c r="G105" s="121">
        <f>IFERROR(IF(VLOOKUP($A105,'Annex 2 EHV charges'!$A:$O,10,FALSE)=0,"",VLOOKUP($A105,'Annex 2 EHV charges'!$A:$O,10,FALSE)),"")</f>
        <v>4.4800000000000004</v>
      </c>
      <c r="H105" s="121">
        <f>IFERROR(IF(VLOOKUP($A105,'Annex 2 EHV charges'!$A:$O,11,FALSE)=0,"",VLOOKUP($A105,'Annex 2 EHV charges'!$A:$O,11,FALSE)),"")</f>
        <v>4.4800000000000004</v>
      </c>
    </row>
    <row r="106" spans="1:8" ht="12.75" customHeight="1" x14ac:dyDescent="0.2">
      <c r="A106" s="114">
        <f t="array" ref="A106">IFERROR(INDEX('Annex 2 EHV charges'!$A$11:$A$259, MATCH(0, IF(ISBLANK('Annex 2 EHV charges'!$A$11:$A$259),1, COUNTIF(A$4:$A105, 'Annex 2 EHV charges'!$A$11:$A$259)), 0)),"")</f>
        <v>314</v>
      </c>
      <c r="B106" s="114">
        <f>IF($A106="","",VLOOKUP($A106,'Annex 2 EHV charges'!$A:$O,2,0))</f>
        <v>314</v>
      </c>
      <c r="C106" s="115">
        <f>IF($A106="","",VLOOKUP($A106,'Annex 2 EHV charges'!$A:$O,3,0))</f>
        <v>1300035359567</v>
      </c>
      <c r="D106" s="114" t="str">
        <f>IF($A106="","",VLOOKUP($A106,'Annex 2 EHV charges'!$A:$O,7,0))</f>
        <v>SCA Limited</v>
      </c>
      <c r="E106" s="119">
        <f>IFERROR(IF(VLOOKUP($A106,'Annex 2 EHV charges'!$A:$O,8,FALSE)=0,"",VLOOKUP($A106,'Annex 2 EHV charges'!$A:$O,8,FALSE)),"")</f>
        <v>0.73299999999999998</v>
      </c>
      <c r="F106" s="120">
        <f>IFERROR(IF(VLOOKUP($A106,'Annex 2 EHV charges'!$A:$O,9,FALSE)=0,"",VLOOKUP($A106,'Annex 2 EHV charges'!$A:$O,9,FALSE)),"")</f>
        <v>210.51</v>
      </c>
      <c r="G106" s="121">
        <f>IFERROR(IF(VLOOKUP($A106,'Annex 2 EHV charges'!$A:$O,10,FALSE)=0,"",VLOOKUP($A106,'Annex 2 EHV charges'!$A:$O,10,FALSE)),"")</f>
        <v>9.75</v>
      </c>
      <c r="H106" s="121">
        <f>IFERROR(IF(VLOOKUP($A106,'Annex 2 EHV charges'!$A:$O,11,FALSE)=0,"",VLOOKUP($A106,'Annex 2 EHV charges'!$A:$O,11,FALSE)),"")</f>
        <v>9.75</v>
      </c>
    </row>
    <row r="107" spans="1:8" ht="12.75" customHeight="1" x14ac:dyDescent="0.2">
      <c r="A107" s="114">
        <f t="array" ref="A107">IFERROR(INDEX('Annex 2 EHV charges'!$A$11:$A$259, MATCH(0, IF(ISBLANK('Annex 2 EHV charges'!$A$11:$A$259),1, COUNTIF(A$4:$A106, 'Annex 2 EHV charges'!$A$11:$A$259)), 0)),"")</f>
        <v>315</v>
      </c>
      <c r="B107" s="114">
        <f>IF($A107="","",VLOOKUP($A107,'Annex 2 EHV charges'!$A:$O,2,0))</f>
        <v>315</v>
      </c>
      <c r="C107" s="115">
        <f>IF($A107="","",VLOOKUP($A107,'Annex 2 EHV charges'!$A:$O,3,0))</f>
        <v>1300035359725</v>
      </c>
      <c r="D107" s="114" t="str">
        <f>IF($A107="","",VLOOKUP($A107,'Annex 2 EHV charges'!$A:$O,7,0))</f>
        <v>UU Water Plc - Sutton Hall</v>
      </c>
      <c r="E107" s="119">
        <f>IFERROR(IF(VLOOKUP($A107,'Annex 2 EHV charges'!$A:$O,8,FALSE)=0,"",VLOOKUP($A107,'Annex 2 EHV charges'!$A:$O,8,FALSE)),"")</f>
        <v>0.752</v>
      </c>
      <c r="F107" s="120">
        <f>IFERROR(IF(VLOOKUP($A107,'Annex 2 EHV charges'!$A:$O,9,FALSE)=0,"",VLOOKUP($A107,'Annex 2 EHV charges'!$A:$O,9,FALSE)),"")</f>
        <v>210.51</v>
      </c>
      <c r="G107" s="121">
        <f>IFERROR(IF(VLOOKUP($A107,'Annex 2 EHV charges'!$A:$O,10,FALSE)=0,"",VLOOKUP($A107,'Annex 2 EHV charges'!$A:$O,10,FALSE)),"")</f>
        <v>9.2100000000000009</v>
      </c>
      <c r="H107" s="121">
        <f>IFERROR(IF(VLOOKUP($A107,'Annex 2 EHV charges'!$A:$O,11,FALSE)=0,"",VLOOKUP($A107,'Annex 2 EHV charges'!$A:$O,11,FALSE)),"")</f>
        <v>9.2100000000000009</v>
      </c>
    </row>
    <row r="108" spans="1:8" ht="12.75" customHeight="1" x14ac:dyDescent="0.2">
      <c r="A108" s="114">
        <f t="array" ref="A108">IFERROR(INDEX('Annex 2 EHV charges'!$A$11:$A$259, MATCH(0, IF(ISBLANK('Annex 2 EHV charges'!$A$11:$A$259),1, COUNTIF(A$4:$A107, 'Annex 2 EHV charges'!$A$11:$A$259)), 0)),"")</f>
        <v>316</v>
      </c>
      <c r="B108" s="114">
        <f>IF($A108="","",VLOOKUP($A108,'Annex 2 EHV charges'!$A:$O,2,0))</f>
        <v>316</v>
      </c>
      <c r="C108" s="115">
        <f>IF($A108="","",VLOOKUP($A108,'Annex 2 EHV charges'!$A:$O,3,0))</f>
        <v>1300035360386</v>
      </c>
      <c r="D108" s="114" t="str">
        <f>IF($A108="","",VLOOKUP($A108,'Annex 2 EHV charges'!$A:$O,7,0))</f>
        <v>Dairy Crest Ltd</v>
      </c>
      <c r="E108" s="119" t="str">
        <f>IFERROR(IF(VLOOKUP($A108,'Annex 2 EHV charges'!$A:$O,8,FALSE)=0,"",VLOOKUP($A108,'Annex 2 EHV charges'!$A:$O,8,FALSE)),"")</f>
        <v/>
      </c>
      <c r="F108" s="120">
        <f>IFERROR(IF(VLOOKUP($A108,'Annex 2 EHV charges'!$A:$O,9,FALSE)=0,"",VLOOKUP($A108,'Annex 2 EHV charges'!$A:$O,9,FALSE)),"")</f>
        <v>210.51</v>
      </c>
      <c r="G108" s="121">
        <f>IFERROR(IF(VLOOKUP($A108,'Annex 2 EHV charges'!$A:$O,10,FALSE)=0,"",VLOOKUP($A108,'Annex 2 EHV charges'!$A:$O,10,FALSE)),"")</f>
        <v>4.22</v>
      </c>
      <c r="H108" s="121">
        <f>IFERROR(IF(VLOOKUP($A108,'Annex 2 EHV charges'!$A:$O,11,FALSE)=0,"",VLOOKUP($A108,'Annex 2 EHV charges'!$A:$O,11,FALSE)),"")</f>
        <v>4.22</v>
      </c>
    </row>
    <row r="109" spans="1:8" ht="12.75" customHeight="1" x14ac:dyDescent="0.2">
      <c r="A109" s="114">
        <f t="array" ref="A109">IFERROR(INDEX('Annex 2 EHV charges'!$A$11:$A$259, MATCH(0, IF(ISBLANK('Annex 2 EHV charges'!$A$11:$A$259),1, COUNTIF(A$4:$A108, 'Annex 2 EHV charges'!$A$11:$A$259)), 0)),"")</f>
        <v>317</v>
      </c>
      <c r="B109" s="114">
        <f>IF($A109="","",VLOOKUP($A109,'Annex 2 EHV charges'!$A:$O,2,0))</f>
        <v>317</v>
      </c>
      <c r="C109" s="115">
        <f>IF($A109="","",VLOOKUP($A109,'Annex 2 EHV charges'!$A:$O,3,0))</f>
        <v>1300035360632</v>
      </c>
      <c r="D109" s="114" t="str">
        <f>IF($A109="","",VLOOKUP($A109,'Annex 2 EHV charges'!$A:$O,7,0))</f>
        <v>Tetra Pak Manufacturing Uk Ltd</v>
      </c>
      <c r="E109" s="119" t="str">
        <f>IFERROR(IF(VLOOKUP($A109,'Annex 2 EHV charges'!$A:$O,8,FALSE)=0,"",VLOOKUP($A109,'Annex 2 EHV charges'!$A:$O,8,FALSE)),"")</f>
        <v/>
      </c>
      <c r="F109" s="120">
        <f>IFERROR(IF(VLOOKUP($A109,'Annex 2 EHV charges'!$A:$O,9,FALSE)=0,"",VLOOKUP($A109,'Annex 2 EHV charges'!$A:$O,9,FALSE)),"")</f>
        <v>210.51</v>
      </c>
      <c r="G109" s="121">
        <f>IFERROR(IF(VLOOKUP($A109,'Annex 2 EHV charges'!$A:$O,10,FALSE)=0,"",VLOOKUP($A109,'Annex 2 EHV charges'!$A:$O,10,FALSE)),"")</f>
        <v>9.64</v>
      </c>
      <c r="H109" s="121">
        <f>IFERROR(IF(VLOOKUP($A109,'Annex 2 EHV charges'!$A:$O,11,FALSE)=0,"",VLOOKUP($A109,'Annex 2 EHV charges'!$A:$O,11,FALSE)),"")</f>
        <v>9.64</v>
      </c>
    </row>
    <row r="110" spans="1:8" ht="12.75" customHeight="1" x14ac:dyDescent="0.2">
      <c r="A110" s="114">
        <f t="array" ref="A110">IFERROR(INDEX('Annex 2 EHV charges'!$A$11:$A$259, MATCH(0, IF(ISBLANK('Annex 2 EHV charges'!$A$11:$A$259),1, COUNTIF(A$4:$A109, 'Annex 2 EHV charges'!$A$11:$A$259)), 0)),"")</f>
        <v>318</v>
      </c>
      <c r="B110" s="114">
        <f>IF($A110="","",VLOOKUP($A110,'Annex 2 EHV charges'!$A:$O,2,0))</f>
        <v>318</v>
      </c>
      <c r="C110" s="115">
        <f>IF($A110="","",VLOOKUP($A110,'Annex 2 EHV charges'!$A:$O,3,0))</f>
        <v>1300035360952</v>
      </c>
      <c r="D110" s="114" t="str">
        <f>IF($A110="","",VLOOKUP($A110,'Annex 2 EHV charges'!$A:$O,7,0))</f>
        <v>Hydro Aluminium Deeside Ltd</v>
      </c>
      <c r="E110" s="119" t="str">
        <f>IFERROR(IF(VLOOKUP($A110,'Annex 2 EHV charges'!$A:$O,8,FALSE)=0,"",VLOOKUP($A110,'Annex 2 EHV charges'!$A:$O,8,FALSE)),"")</f>
        <v/>
      </c>
      <c r="F110" s="120">
        <f>IFERROR(IF(VLOOKUP($A110,'Annex 2 EHV charges'!$A:$O,9,FALSE)=0,"",VLOOKUP($A110,'Annex 2 EHV charges'!$A:$O,9,FALSE)),"")</f>
        <v>210.51</v>
      </c>
      <c r="G110" s="121">
        <f>IFERROR(IF(VLOOKUP($A110,'Annex 2 EHV charges'!$A:$O,10,FALSE)=0,"",VLOOKUP($A110,'Annex 2 EHV charges'!$A:$O,10,FALSE)),"")</f>
        <v>7.47</v>
      </c>
      <c r="H110" s="121">
        <f>IFERROR(IF(VLOOKUP($A110,'Annex 2 EHV charges'!$A:$O,11,FALSE)=0,"",VLOOKUP($A110,'Annex 2 EHV charges'!$A:$O,11,FALSE)),"")</f>
        <v>7.47</v>
      </c>
    </row>
    <row r="111" spans="1:8" ht="12.75" customHeight="1" x14ac:dyDescent="0.2">
      <c r="A111" s="114">
        <f t="array" ref="A111">IFERROR(INDEX('Annex 2 EHV charges'!$A$11:$A$259, MATCH(0, IF(ISBLANK('Annex 2 EHV charges'!$A$11:$A$259),1, COUNTIF(A$4:$A110, 'Annex 2 EHV charges'!$A$11:$A$259)), 0)),"")</f>
        <v>319</v>
      </c>
      <c r="B111" s="114">
        <f>IF($A111="","",VLOOKUP($A111,'Annex 2 EHV charges'!$A:$O,2,0))</f>
        <v>319</v>
      </c>
      <c r="C111" s="115">
        <f>IF($A111="","",VLOOKUP($A111,'Annex 2 EHV charges'!$A:$O,3,0))</f>
        <v>1300035362719</v>
      </c>
      <c r="D111" s="114" t="str">
        <f>IF($A111="","",VLOOKUP($A111,'Annex 2 EHV charges'!$A:$O,7,0))</f>
        <v>British Polythene Industries Plc</v>
      </c>
      <c r="E111" s="119">
        <f>IFERROR(IF(VLOOKUP($A111,'Annex 2 EHV charges'!$A:$O,8,FALSE)=0,"",VLOOKUP($A111,'Annex 2 EHV charges'!$A:$O,8,FALSE)),"")</f>
        <v>0.80100000000000005</v>
      </c>
      <c r="F111" s="120">
        <f>IFERROR(IF(VLOOKUP($A111,'Annex 2 EHV charges'!$A:$O,9,FALSE)=0,"",VLOOKUP($A111,'Annex 2 EHV charges'!$A:$O,9,FALSE)),"")</f>
        <v>210.51</v>
      </c>
      <c r="G111" s="121">
        <f>IFERROR(IF(VLOOKUP($A111,'Annex 2 EHV charges'!$A:$O,10,FALSE)=0,"",VLOOKUP($A111,'Annex 2 EHV charges'!$A:$O,10,FALSE)),"")</f>
        <v>10.23</v>
      </c>
      <c r="H111" s="121">
        <f>IFERROR(IF(VLOOKUP($A111,'Annex 2 EHV charges'!$A:$O,11,FALSE)=0,"",VLOOKUP($A111,'Annex 2 EHV charges'!$A:$O,11,FALSE)),"")</f>
        <v>10.23</v>
      </c>
    </row>
    <row r="112" spans="1:8" ht="12.75" customHeight="1" x14ac:dyDescent="0.2">
      <c r="A112" s="114">
        <f t="array" ref="A112">IFERROR(INDEX('Annex 2 EHV charges'!$A$11:$A$259, MATCH(0, IF(ISBLANK('Annex 2 EHV charges'!$A$11:$A$259),1, COUNTIF(A$4:$A111, 'Annex 2 EHV charges'!$A$11:$A$259)), 0)),"")</f>
        <v>320</v>
      </c>
      <c r="B112" s="114">
        <f>IF($A112="","",VLOOKUP($A112,'Annex 2 EHV charges'!$A:$O,2,0))</f>
        <v>320</v>
      </c>
      <c r="C112" s="115">
        <f>IF($A112="","",VLOOKUP($A112,'Annex 2 EHV charges'!$A:$O,3,0))</f>
        <v>1300035363002</v>
      </c>
      <c r="D112" s="114" t="str">
        <f>IF($A112="","",VLOOKUP($A112,'Annex 2 EHV charges'!$A:$O,7,0))</f>
        <v>Stanton Land And Marine Ltd</v>
      </c>
      <c r="E112" s="119">
        <f>IFERROR(IF(VLOOKUP($A112,'Annex 2 EHV charges'!$A:$O,8,FALSE)=0,"",VLOOKUP($A112,'Annex 2 EHV charges'!$A:$O,8,FALSE)),"")</f>
        <v>0.91900000000000004</v>
      </c>
      <c r="F112" s="120">
        <f>IFERROR(IF(VLOOKUP($A112,'Annex 2 EHV charges'!$A:$O,9,FALSE)=0,"",VLOOKUP($A112,'Annex 2 EHV charges'!$A:$O,9,FALSE)),"")</f>
        <v>1138.6300000000001</v>
      </c>
      <c r="G112" s="121">
        <f>IFERROR(IF(VLOOKUP($A112,'Annex 2 EHV charges'!$A:$O,10,FALSE)=0,"",VLOOKUP($A112,'Annex 2 EHV charges'!$A:$O,10,FALSE)),"")</f>
        <v>4.0599999999999996</v>
      </c>
      <c r="H112" s="121">
        <f>IFERROR(IF(VLOOKUP($A112,'Annex 2 EHV charges'!$A:$O,11,FALSE)=0,"",VLOOKUP($A112,'Annex 2 EHV charges'!$A:$O,11,FALSE)),"")</f>
        <v>4.0599999999999996</v>
      </c>
    </row>
    <row r="113" spans="1:8" ht="12.75" customHeight="1" x14ac:dyDescent="0.2">
      <c r="A113" s="114">
        <f t="array" ref="A113">IFERROR(INDEX('Annex 2 EHV charges'!$A$11:$A$259, MATCH(0, IF(ISBLANK('Annex 2 EHV charges'!$A$11:$A$259),1, COUNTIF(A$4:$A112, 'Annex 2 EHV charges'!$A$11:$A$259)), 0)),"")</f>
        <v>321</v>
      </c>
      <c r="B113" s="114">
        <f>IF($A113="","",VLOOKUP($A113,'Annex 2 EHV charges'!$A:$O,2,0))</f>
        <v>321</v>
      </c>
      <c r="C113" s="115">
        <f>IF($A113="","",VLOOKUP($A113,'Annex 2 EHV charges'!$A:$O,3,0))</f>
        <v>1300035364619</v>
      </c>
      <c r="D113" s="114" t="str">
        <f>IF($A113="","",VLOOKUP($A113,'Annex 2 EHV charges'!$A:$O,7,0))</f>
        <v>Bombardier UK Ltd</v>
      </c>
      <c r="E113" s="119">
        <f>IFERROR(IF(VLOOKUP($A113,'Annex 2 EHV charges'!$A:$O,8,FALSE)=0,"",VLOOKUP($A113,'Annex 2 EHV charges'!$A:$O,8,FALSE)),"")</f>
        <v>0.9</v>
      </c>
      <c r="F113" s="120">
        <f>IFERROR(IF(VLOOKUP($A113,'Annex 2 EHV charges'!$A:$O,9,FALSE)=0,"",VLOOKUP($A113,'Annex 2 EHV charges'!$A:$O,9,FALSE)),"")</f>
        <v>1856.25</v>
      </c>
      <c r="G113" s="121">
        <f>IFERROR(IF(VLOOKUP($A113,'Annex 2 EHV charges'!$A:$O,10,FALSE)=0,"",VLOOKUP($A113,'Annex 2 EHV charges'!$A:$O,10,FALSE)),"")</f>
        <v>5.07</v>
      </c>
      <c r="H113" s="121">
        <f>IFERROR(IF(VLOOKUP($A113,'Annex 2 EHV charges'!$A:$O,11,FALSE)=0,"",VLOOKUP($A113,'Annex 2 EHV charges'!$A:$O,11,FALSE)),"")</f>
        <v>5.07</v>
      </c>
    </row>
    <row r="114" spans="1:8" ht="12.75" customHeight="1" x14ac:dyDescent="0.2">
      <c r="A114" s="114">
        <f t="array" ref="A114">IFERROR(INDEX('Annex 2 EHV charges'!$A$11:$A$259, MATCH(0, IF(ISBLANK('Annex 2 EHV charges'!$A$11:$A$259),1, COUNTIF(A$4:$A113, 'Annex 2 EHV charges'!$A$11:$A$259)), 0)),"")</f>
        <v>322</v>
      </c>
      <c r="B114" s="114">
        <f>IF($A114="","",VLOOKUP($A114,'Annex 2 EHV charges'!$A:$O,2,0))</f>
        <v>322</v>
      </c>
      <c r="C114" s="115">
        <f>IF($A114="","",VLOOKUP($A114,'Annex 2 EHV charges'!$A:$O,3,0))</f>
        <v>1300035364707</v>
      </c>
      <c r="D114" s="114" t="str">
        <f>IF($A114="","",VLOOKUP($A114,'Annex 2 EHV charges'!$A:$O,7,0))</f>
        <v>Bentley Motor Cars Ltd</v>
      </c>
      <c r="E114" s="119">
        <f>IFERROR(IF(VLOOKUP($A114,'Annex 2 EHV charges'!$A:$O,8,FALSE)=0,"",VLOOKUP($A114,'Annex 2 EHV charges'!$A:$O,8,FALSE)),"")</f>
        <v>0.89500000000000002</v>
      </c>
      <c r="F114" s="120">
        <f>IFERROR(IF(VLOOKUP($A114,'Annex 2 EHV charges'!$A:$O,9,FALSE)=0,"",VLOOKUP($A114,'Annex 2 EHV charges'!$A:$O,9,FALSE)),"")</f>
        <v>210.51</v>
      </c>
      <c r="G114" s="121">
        <f>IFERROR(IF(VLOOKUP($A114,'Annex 2 EHV charges'!$A:$O,10,FALSE)=0,"",VLOOKUP($A114,'Annex 2 EHV charges'!$A:$O,10,FALSE)),"")</f>
        <v>6.93</v>
      </c>
      <c r="H114" s="121">
        <f>IFERROR(IF(VLOOKUP($A114,'Annex 2 EHV charges'!$A:$O,11,FALSE)=0,"",VLOOKUP($A114,'Annex 2 EHV charges'!$A:$O,11,FALSE)),"")</f>
        <v>6.93</v>
      </c>
    </row>
    <row r="115" spans="1:8" ht="12.75" customHeight="1" x14ac:dyDescent="0.2">
      <c r="A115" s="114">
        <f t="array" ref="A115">IFERROR(INDEX('Annex 2 EHV charges'!$A$11:$A$259, MATCH(0, IF(ISBLANK('Annex 2 EHV charges'!$A$11:$A$259),1, COUNTIF(A$4:$A114, 'Annex 2 EHV charges'!$A$11:$A$259)), 0)),"")</f>
        <v>323</v>
      </c>
      <c r="B115" s="114">
        <f>IF($A115="","",VLOOKUP($A115,'Annex 2 EHV charges'!$A:$O,2,0))</f>
        <v>323</v>
      </c>
      <c r="C115" s="115">
        <f>IF($A115="","",VLOOKUP($A115,'Annex 2 EHV charges'!$A:$O,3,0))</f>
        <v>1300035366379</v>
      </c>
      <c r="D115" s="114" t="str">
        <f>IF($A115="","",VLOOKUP($A115,'Annex 2 EHV charges'!$A:$O,7,0))</f>
        <v>Tarmac Limited</v>
      </c>
      <c r="E115" s="119">
        <f>IFERROR(IF(VLOOKUP($A115,'Annex 2 EHV charges'!$A:$O,8,FALSE)=0,"",VLOOKUP($A115,'Annex 2 EHV charges'!$A:$O,8,FALSE)),"")</f>
        <v>1.8540000000000001</v>
      </c>
      <c r="F115" s="120">
        <f>IFERROR(IF(VLOOKUP($A115,'Annex 2 EHV charges'!$A:$O,9,FALSE)=0,"",VLOOKUP($A115,'Annex 2 EHV charges'!$A:$O,9,FALSE)),"")</f>
        <v>105.25</v>
      </c>
      <c r="G115" s="121">
        <f>IFERROR(IF(VLOOKUP($A115,'Annex 2 EHV charges'!$A:$O,10,FALSE)=0,"",VLOOKUP($A115,'Annex 2 EHV charges'!$A:$O,10,FALSE)),"")</f>
        <v>4.1100000000000003</v>
      </c>
      <c r="H115" s="121">
        <f>IFERROR(IF(VLOOKUP($A115,'Annex 2 EHV charges'!$A:$O,11,FALSE)=0,"",VLOOKUP($A115,'Annex 2 EHV charges'!$A:$O,11,FALSE)),"")</f>
        <v>4.1100000000000003</v>
      </c>
    </row>
    <row r="116" spans="1:8" ht="12.75" customHeight="1" x14ac:dyDescent="0.2">
      <c r="A116" s="114">
        <f t="array" ref="A116">IFERROR(INDEX('Annex 2 EHV charges'!$A$11:$A$259, MATCH(0, IF(ISBLANK('Annex 2 EHV charges'!$A$11:$A$259),1, COUNTIF(A$4:$A115, 'Annex 2 EHV charges'!$A$11:$A$259)), 0)),"")</f>
        <v>324</v>
      </c>
      <c r="B116" s="114">
        <f>IF($A116="","",VLOOKUP($A116,'Annex 2 EHV charges'!$A:$O,2,0))</f>
        <v>324</v>
      </c>
      <c r="C116" s="115">
        <f>IF($A116="","",VLOOKUP($A116,'Annex 2 EHV charges'!$A:$O,3,0))</f>
        <v>1300035369760</v>
      </c>
      <c r="D116" s="114" t="str">
        <f>IF($A116="","",VLOOKUP($A116,'Annex 2 EHV charges'!$A:$O,7,0))</f>
        <v>Texplan</v>
      </c>
      <c r="E116" s="119">
        <f>IFERROR(IF(VLOOKUP($A116,'Annex 2 EHV charges'!$A:$O,8,FALSE)=0,"",VLOOKUP($A116,'Annex 2 EHV charges'!$A:$O,8,FALSE)),"")</f>
        <v>0.24399999999999999</v>
      </c>
      <c r="F116" s="120">
        <f>IFERROR(IF(VLOOKUP($A116,'Annex 2 EHV charges'!$A:$O,9,FALSE)=0,"",VLOOKUP($A116,'Annex 2 EHV charges'!$A:$O,9,FALSE)),"")</f>
        <v>210.51</v>
      </c>
      <c r="G116" s="121">
        <f>IFERROR(IF(VLOOKUP($A116,'Annex 2 EHV charges'!$A:$O,10,FALSE)=0,"",VLOOKUP($A116,'Annex 2 EHV charges'!$A:$O,10,FALSE)),"")</f>
        <v>10.199999999999999</v>
      </c>
      <c r="H116" s="121">
        <f>IFERROR(IF(VLOOKUP($A116,'Annex 2 EHV charges'!$A:$O,11,FALSE)=0,"",VLOOKUP($A116,'Annex 2 EHV charges'!$A:$O,11,FALSE)),"")</f>
        <v>10.199999999999999</v>
      </c>
    </row>
    <row r="117" spans="1:8" ht="12.75" customHeight="1" x14ac:dyDescent="0.2">
      <c r="A117" s="114">
        <f t="array" ref="A117">IFERROR(INDEX('Annex 2 EHV charges'!$A$11:$A$259, MATCH(0, IF(ISBLANK('Annex 2 EHV charges'!$A$11:$A$259),1, COUNTIF(A$4:$A116, 'Annex 2 EHV charges'!$A$11:$A$259)), 0)),"")</f>
        <v>325</v>
      </c>
      <c r="B117" s="114">
        <f>IF($A117="","",VLOOKUP($A117,'Annex 2 EHV charges'!$A:$O,2,0))</f>
        <v>325</v>
      </c>
      <c r="C117" s="115">
        <f>IF($A117="","",VLOOKUP($A117,'Annex 2 EHV charges'!$A:$O,3,0))</f>
        <v>1300051555440</v>
      </c>
      <c r="D117" s="114" t="str">
        <f>IF($A117="","",VLOOKUP($A117,'Annex 2 EHV charges'!$A:$O,7,0))</f>
        <v>SCA</v>
      </c>
      <c r="E117" s="119">
        <f>IFERROR(IF(VLOOKUP($A117,'Annex 2 EHV charges'!$A:$O,8,FALSE)=0,"",VLOOKUP($A117,'Annex 2 EHV charges'!$A:$O,8,FALSE)),"")</f>
        <v>2.0419999999999998</v>
      </c>
      <c r="F117" s="120">
        <f>IFERROR(IF(VLOOKUP($A117,'Annex 2 EHV charges'!$A:$O,9,FALSE)=0,"",VLOOKUP($A117,'Annex 2 EHV charges'!$A:$O,9,FALSE)),"")</f>
        <v>210.51</v>
      </c>
      <c r="G117" s="121">
        <f>IFERROR(IF(VLOOKUP($A117,'Annex 2 EHV charges'!$A:$O,10,FALSE)=0,"",VLOOKUP($A117,'Annex 2 EHV charges'!$A:$O,10,FALSE)),"")</f>
        <v>14.35</v>
      </c>
      <c r="H117" s="121">
        <f>IFERROR(IF(VLOOKUP($A117,'Annex 2 EHV charges'!$A:$O,11,FALSE)=0,"",VLOOKUP($A117,'Annex 2 EHV charges'!$A:$O,11,FALSE)),"")</f>
        <v>14.35</v>
      </c>
    </row>
    <row r="118" spans="1:8" ht="12.75" customHeight="1" x14ac:dyDescent="0.2">
      <c r="A118" s="114">
        <f t="array" ref="A118">IFERROR(INDEX('Annex 2 EHV charges'!$A$11:$A$259, MATCH(0, IF(ISBLANK('Annex 2 EHV charges'!$A$11:$A$259),1, COUNTIF(A$4:$A117, 'Annex 2 EHV charges'!$A$11:$A$259)), 0)),"")</f>
        <v>326</v>
      </c>
      <c r="B118" s="114">
        <f>IF($A118="","",VLOOKUP($A118,'Annex 2 EHV charges'!$A:$O,2,0))</f>
        <v>326</v>
      </c>
      <c r="C118" s="115">
        <f>IF($A118="","",VLOOKUP($A118,'Annex 2 EHV charges'!$A:$O,3,0))</f>
        <v>1300052619849</v>
      </c>
      <c r="D118" s="114" t="str">
        <f>IF($A118="","",VLOOKUP($A118,'Annex 2 EHV charges'!$A:$O,7,0))</f>
        <v>Somerfield Plc</v>
      </c>
      <c r="E118" s="119">
        <f>IFERROR(IF(VLOOKUP($A118,'Annex 2 EHV charges'!$A:$O,8,FALSE)=0,"",VLOOKUP($A118,'Annex 2 EHV charges'!$A:$O,8,FALSE)),"")</f>
        <v>0.89800000000000002</v>
      </c>
      <c r="F118" s="120">
        <f>IFERROR(IF(VLOOKUP($A118,'Annex 2 EHV charges'!$A:$O,9,FALSE)=0,"",VLOOKUP($A118,'Annex 2 EHV charges'!$A:$O,9,FALSE)),"")</f>
        <v>210.51</v>
      </c>
      <c r="G118" s="121">
        <f>IFERROR(IF(VLOOKUP($A118,'Annex 2 EHV charges'!$A:$O,10,FALSE)=0,"",VLOOKUP($A118,'Annex 2 EHV charges'!$A:$O,10,FALSE)),"")</f>
        <v>5.51</v>
      </c>
      <c r="H118" s="121">
        <f>IFERROR(IF(VLOOKUP($A118,'Annex 2 EHV charges'!$A:$O,11,FALSE)=0,"",VLOOKUP($A118,'Annex 2 EHV charges'!$A:$O,11,FALSE)),"")</f>
        <v>5.51</v>
      </c>
    </row>
    <row r="119" spans="1:8" ht="12.75" customHeight="1" x14ac:dyDescent="0.2">
      <c r="A119" s="114">
        <f t="array" ref="A119">IFERROR(INDEX('Annex 2 EHV charges'!$A$11:$A$259, MATCH(0, IF(ISBLANK('Annex 2 EHV charges'!$A$11:$A$259),1, COUNTIF(A$4:$A118, 'Annex 2 EHV charges'!$A$11:$A$259)), 0)),"")</f>
        <v>328</v>
      </c>
      <c r="B119" s="114">
        <f>IF($A119="","",VLOOKUP($A119,'Annex 2 EHV charges'!$A:$O,2,0))</f>
        <v>328</v>
      </c>
      <c r="C119" s="115">
        <f>IF($A119="","",VLOOKUP($A119,'Annex 2 EHV charges'!$A:$O,3,0))</f>
        <v>1300035348662</v>
      </c>
      <c r="D119" s="114" t="str">
        <f>IF($A119="","",VLOOKUP($A119,'Annex 2 EHV charges'!$A:$O,7,0))</f>
        <v>Alliance &amp; Leicester Plc</v>
      </c>
      <c r="E119" s="119" t="str">
        <f>IFERROR(IF(VLOOKUP($A119,'Annex 2 EHV charges'!$A:$O,8,FALSE)=0,"",VLOOKUP($A119,'Annex 2 EHV charges'!$A:$O,8,FALSE)),"")</f>
        <v/>
      </c>
      <c r="F119" s="120">
        <f>IFERROR(IF(VLOOKUP($A119,'Annex 2 EHV charges'!$A:$O,9,FALSE)=0,"",VLOOKUP($A119,'Annex 2 EHV charges'!$A:$O,9,FALSE)),"")</f>
        <v>210.51</v>
      </c>
      <c r="G119" s="121">
        <f>IFERROR(IF(VLOOKUP($A119,'Annex 2 EHV charges'!$A:$O,10,FALSE)=0,"",VLOOKUP($A119,'Annex 2 EHV charges'!$A:$O,10,FALSE)),"")</f>
        <v>7.92</v>
      </c>
      <c r="H119" s="121">
        <f>IFERROR(IF(VLOOKUP($A119,'Annex 2 EHV charges'!$A:$O,11,FALSE)=0,"",VLOOKUP($A119,'Annex 2 EHV charges'!$A:$O,11,FALSE)),"")</f>
        <v>7.92</v>
      </c>
    </row>
    <row r="120" spans="1:8" ht="12.75" customHeight="1" x14ac:dyDescent="0.2">
      <c r="A120" s="114">
        <f t="array" ref="A120">IFERROR(INDEX('Annex 2 EHV charges'!$A$11:$A$259, MATCH(0, IF(ISBLANK('Annex 2 EHV charges'!$A$11:$A$259),1, COUNTIF(A$4:$A119, 'Annex 2 EHV charges'!$A$11:$A$259)), 0)),"")</f>
        <v>329</v>
      </c>
      <c r="B120" s="114">
        <f>IF($A120="","",VLOOKUP($A120,'Annex 2 EHV charges'!$A:$O,2,0))</f>
        <v>329</v>
      </c>
      <c r="C120" s="115">
        <f>IF($A120="","",VLOOKUP($A120,'Annex 2 EHV charges'!$A:$O,3,0))</f>
        <v>1300035349035</v>
      </c>
      <c r="D120" s="114" t="str">
        <f>IF($A120="","",VLOOKUP($A120,'Annex 2 EHV charges'!$A:$O,7,0))</f>
        <v>Dairy Crest</v>
      </c>
      <c r="E120" s="119" t="str">
        <f>IFERROR(IF(VLOOKUP($A120,'Annex 2 EHV charges'!$A:$O,8,FALSE)=0,"",VLOOKUP($A120,'Annex 2 EHV charges'!$A:$O,8,FALSE)),"")</f>
        <v/>
      </c>
      <c r="F120" s="120">
        <f>IFERROR(IF(VLOOKUP($A120,'Annex 2 EHV charges'!$A:$O,9,FALSE)=0,"",VLOOKUP($A120,'Annex 2 EHV charges'!$A:$O,9,FALSE)),"")</f>
        <v>210.51</v>
      </c>
      <c r="G120" s="121">
        <f>IFERROR(IF(VLOOKUP($A120,'Annex 2 EHV charges'!$A:$O,10,FALSE)=0,"",VLOOKUP($A120,'Annex 2 EHV charges'!$A:$O,10,FALSE)),"")</f>
        <v>7.56</v>
      </c>
      <c r="H120" s="121">
        <f>IFERROR(IF(VLOOKUP($A120,'Annex 2 EHV charges'!$A:$O,11,FALSE)=0,"",VLOOKUP($A120,'Annex 2 EHV charges'!$A:$O,11,FALSE)),"")</f>
        <v>7.56</v>
      </c>
    </row>
    <row r="121" spans="1:8" ht="12.75" customHeight="1" x14ac:dyDescent="0.2">
      <c r="A121" s="114">
        <f t="array" ref="A121">IFERROR(INDEX('Annex 2 EHV charges'!$A$11:$A$259, MATCH(0, IF(ISBLANK('Annex 2 EHV charges'!$A$11:$A$259),1, COUNTIF(A$4:$A120, 'Annex 2 EHV charges'!$A$11:$A$259)), 0)),"")</f>
        <v>330</v>
      </c>
      <c r="B121" s="114">
        <f>IF($A121="","",VLOOKUP($A121,'Annex 2 EHV charges'!$A:$O,2,0))</f>
        <v>330</v>
      </c>
      <c r="C121" s="115">
        <f>IF($A121="","",VLOOKUP($A121,'Annex 2 EHV charges'!$A:$O,3,0))</f>
        <v>1300035349044</v>
      </c>
      <c r="D121" s="114" t="str">
        <f>IF($A121="","",VLOOKUP($A121,'Annex 2 EHV charges'!$A:$O,7,0))</f>
        <v>Yorkshire Copper Tube Ltd</v>
      </c>
      <c r="E121" s="119" t="str">
        <f>IFERROR(IF(VLOOKUP($A121,'Annex 2 EHV charges'!$A:$O,8,FALSE)=0,"",VLOOKUP($A121,'Annex 2 EHV charges'!$A:$O,8,FALSE)),"")</f>
        <v/>
      </c>
      <c r="F121" s="120">
        <f>IFERROR(IF(VLOOKUP($A121,'Annex 2 EHV charges'!$A:$O,9,FALSE)=0,"",VLOOKUP($A121,'Annex 2 EHV charges'!$A:$O,9,FALSE)),"")</f>
        <v>2066.75</v>
      </c>
      <c r="G121" s="121">
        <f>IFERROR(IF(VLOOKUP($A121,'Annex 2 EHV charges'!$A:$O,10,FALSE)=0,"",VLOOKUP($A121,'Annex 2 EHV charges'!$A:$O,10,FALSE)),"")</f>
        <v>3.07</v>
      </c>
      <c r="H121" s="121">
        <f>IFERROR(IF(VLOOKUP($A121,'Annex 2 EHV charges'!$A:$O,11,FALSE)=0,"",VLOOKUP($A121,'Annex 2 EHV charges'!$A:$O,11,FALSE)),"")</f>
        <v>3.07</v>
      </c>
    </row>
    <row r="122" spans="1:8" ht="12.75" customHeight="1" x14ac:dyDescent="0.2">
      <c r="A122" s="114">
        <f t="array" ref="A122">IFERROR(INDEX('Annex 2 EHV charges'!$A$11:$A$259, MATCH(0, IF(ISBLANK('Annex 2 EHV charges'!$A$11:$A$259),1, COUNTIF(A$4:$A121, 'Annex 2 EHV charges'!$A$11:$A$259)), 0)),"")</f>
        <v>331</v>
      </c>
      <c r="B122" s="114">
        <f>IF($A122="","",VLOOKUP($A122,'Annex 2 EHV charges'!$A:$O,2,0))</f>
        <v>331</v>
      </c>
      <c r="C122" s="115">
        <f>IF($A122="","",VLOOKUP($A122,'Annex 2 EHV charges'!$A:$O,3,0))</f>
        <v>1300035349114</v>
      </c>
      <c r="D122" s="114" t="str">
        <f>IF($A122="","",VLOOKUP($A122,'Annex 2 EHV charges'!$A:$O,7,0))</f>
        <v>Kodak Ltd</v>
      </c>
      <c r="E122" s="119" t="str">
        <f>IFERROR(IF(VLOOKUP($A122,'Annex 2 EHV charges'!$A:$O,8,FALSE)=0,"",VLOOKUP($A122,'Annex 2 EHV charges'!$A:$O,8,FALSE)),"")</f>
        <v/>
      </c>
      <c r="F122" s="120">
        <f>IFERROR(IF(VLOOKUP($A122,'Annex 2 EHV charges'!$A:$O,9,FALSE)=0,"",VLOOKUP($A122,'Annex 2 EHV charges'!$A:$O,9,FALSE)),"")</f>
        <v>210.51</v>
      </c>
      <c r="G122" s="121">
        <f>IFERROR(IF(VLOOKUP($A122,'Annex 2 EHV charges'!$A:$O,10,FALSE)=0,"",VLOOKUP($A122,'Annex 2 EHV charges'!$A:$O,10,FALSE)),"")</f>
        <v>2.2999999999999998</v>
      </c>
      <c r="H122" s="121">
        <f>IFERROR(IF(VLOOKUP($A122,'Annex 2 EHV charges'!$A:$O,11,FALSE)=0,"",VLOOKUP($A122,'Annex 2 EHV charges'!$A:$O,11,FALSE)),"")</f>
        <v>2.2999999999999998</v>
      </c>
    </row>
    <row r="123" spans="1:8" ht="12.75" customHeight="1" x14ac:dyDescent="0.2">
      <c r="A123" s="114">
        <f t="array" ref="A123">IFERROR(INDEX('Annex 2 EHV charges'!$A$11:$A$259, MATCH(0, IF(ISBLANK('Annex 2 EHV charges'!$A$11:$A$259),1, COUNTIF(A$4:$A122, 'Annex 2 EHV charges'!$A$11:$A$259)), 0)),"")</f>
        <v>333</v>
      </c>
      <c r="B123" s="114">
        <f>IF($A123="","",VLOOKUP($A123,'Annex 2 EHV charges'!$A:$O,2,0))</f>
        <v>333</v>
      </c>
      <c r="C123" s="115">
        <f>IF($A123="","",VLOOKUP($A123,'Annex 2 EHV charges'!$A:$O,3,0))</f>
        <v>1300035349346</v>
      </c>
      <c r="D123" s="114" t="str">
        <f>IF($A123="","",VLOOKUP($A123,'Annex 2 EHV charges'!$A:$O,7,0))</f>
        <v>Thyssen Krupp (Group)</v>
      </c>
      <c r="E123" s="119" t="str">
        <f>IFERROR(IF(VLOOKUP($A123,'Annex 2 EHV charges'!$A:$O,8,FALSE)=0,"",VLOOKUP($A123,'Annex 2 EHV charges'!$A:$O,8,FALSE)),"")</f>
        <v/>
      </c>
      <c r="F123" s="120">
        <f>IFERROR(IF(VLOOKUP($A123,'Annex 2 EHV charges'!$A:$O,9,FALSE)=0,"",VLOOKUP($A123,'Annex 2 EHV charges'!$A:$O,9,FALSE)),"")</f>
        <v>210.51</v>
      </c>
      <c r="G123" s="121">
        <f>IFERROR(IF(VLOOKUP($A123,'Annex 2 EHV charges'!$A:$O,10,FALSE)=0,"",VLOOKUP($A123,'Annex 2 EHV charges'!$A:$O,10,FALSE)),"")</f>
        <v>6.04</v>
      </c>
      <c r="H123" s="121">
        <f>IFERROR(IF(VLOOKUP($A123,'Annex 2 EHV charges'!$A:$O,11,FALSE)=0,"",VLOOKUP($A123,'Annex 2 EHV charges'!$A:$O,11,FALSE)),"")</f>
        <v>6.04</v>
      </c>
    </row>
    <row r="124" spans="1:8" ht="12.75" customHeight="1" x14ac:dyDescent="0.2">
      <c r="A124" s="114">
        <f t="array" ref="A124">IFERROR(INDEX('Annex 2 EHV charges'!$A$11:$A$259, MATCH(0, IF(ISBLANK('Annex 2 EHV charges'!$A$11:$A$259),1, COUNTIF(A$4:$A123, 'Annex 2 EHV charges'!$A$11:$A$259)), 0)),"")</f>
        <v>334</v>
      </c>
      <c r="B124" s="114">
        <f>IF($A124="","",VLOOKUP($A124,'Annex 2 EHV charges'!$A:$O,2,0))</f>
        <v>334</v>
      </c>
      <c r="C124" s="115">
        <f>IF($A124="","",VLOOKUP($A124,'Annex 2 EHV charges'!$A:$O,3,0))</f>
        <v>1300035349355</v>
      </c>
      <c r="D124" s="114" t="str">
        <f>IF($A124="","",VLOOKUP($A124,'Annex 2 EHV charges'!$A:$O,7,0))</f>
        <v>New Horizon Global Ltd</v>
      </c>
      <c r="E124" s="119" t="str">
        <f>IFERROR(IF(VLOOKUP($A124,'Annex 2 EHV charges'!$A:$O,8,FALSE)=0,"",VLOOKUP($A124,'Annex 2 EHV charges'!$A:$O,8,FALSE)),"")</f>
        <v/>
      </c>
      <c r="F124" s="120">
        <f>IFERROR(IF(VLOOKUP($A124,'Annex 2 EHV charges'!$A:$O,9,FALSE)=0,"",VLOOKUP($A124,'Annex 2 EHV charges'!$A:$O,9,FALSE)),"")</f>
        <v>210.51</v>
      </c>
      <c r="G124" s="121">
        <f>IFERROR(IF(VLOOKUP($A124,'Annex 2 EHV charges'!$A:$O,10,FALSE)=0,"",VLOOKUP($A124,'Annex 2 EHV charges'!$A:$O,10,FALSE)),"")</f>
        <v>2.68</v>
      </c>
      <c r="H124" s="121">
        <f>IFERROR(IF(VLOOKUP($A124,'Annex 2 EHV charges'!$A:$O,11,FALSE)=0,"",VLOOKUP($A124,'Annex 2 EHV charges'!$A:$O,11,FALSE)),"")</f>
        <v>2.68</v>
      </c>
    </row>
    <row r="125" spans="1:8" ht="12.75" customHeight="1" x14ac:dyDescent="0.2">
      <c r="A125" s="114">
        <f t="array" ref="A125">IFERROR(INDEX('Annex 2 EHV charges'!$A$11:$A$259, MATCH(0, IF(ISBLANK('Annex 2 EHV charges'!$A$11:$A$259),1, COUNTIF(A$4:$A124, 'Annex 2 EHV charges'!$A$11:$A$259)), 0)),"")</f>
        <v>335</v>
      </c>
      <c r="B125" s="114">
        <f>IF($A125="","",VLOOKUP($A125,'Annex 2 EHV charges'!$A:$O,2,0))</f>
        <v>335</v>
      </c>
      <c r="C125" s="115">
        <f>IF($A125="","",VLOOKUP($A125,'Annex 2 EHV charges'!$A:$O,3,0))</f>
        <v>1300035349639</v>
      </c>
      <c r="D125" s="114" t="str">
        <f>IF($A125="","",VLOOKUP($A125,'Annex 2 EHV charges'!$A:$O,7,0))</f>
        <v>Seaforth Cornmill</v>
      </c>
      <c r="E125" s="119" t="str">
        <f>IFERROR(IF(VLOOKUP($A125,'Annex 2 EHV charges'!$A:$O,8,FALSE)=0,"",VLOOKUP($A125,'Annex 2 EHV charges'!$A:$O,8,FALSE)),"")</f>
        <v/>
      </c>
      <c r="F125" s="120">
        <f>IFERROR(IF(VLOOKUP($A125,'Annex 2 EHV charges'!$A:$O,9,FALSE)=0,"",VLOOKUP($A125,'Annex 2 EHV charges'!$A:$O,9,FALSE)),"")</f>
        <v>210.51</v>
      </c>
      <c r="G125" s="121">
        <f>IFERROR(IF(VLOOKUP($A125,'Annex 2 EHV charges'!$A:$O,10,FALSE)=0,"",VLOOKUP($A125,'Annex 2 EHV charges'!$A:$O,10,FALSE)),"")</f>
        <v>6.76</v>
      </c>
      <c r="H125" s="121">
        <f>IFERROR(IF(VLOOKUP($A125,'Annex 2 EHV charges'!$A:$O,11,FALSE)=0,"",VLOOKUP($A125,'Annex 2 EHV charges'!$A:$O,11,FALSE)),"")</f>
        <v>6.76</v>
      </c>
    </row>
    <row r="126" spans="1:8" ht="12.75" customHeight="1" x14ac:dyDescent="0.2">
      <c r="A126" s="114">
        <f t="array" ref="A126">IFERROR(INDEX('Annex 2 EHV charges'!$A$11:$A$259, MATCH(0, IF(ISBLANK('Annex 2 EHV charges'!$A$11:$A$259),1, COUNTIF(A$4:$A125, 'Annex 2 EHV charges'!$A$11:$A$259)), 0)),"")</f>
        <v>337</v>
      </c>
      <c r="B126" s="114">
        <f>IF($A126="","",VLOOKUP($A126,'Annex 2 EHV charges'!$A:$O,2,0))</f>
        <v>337</v>
      </c>
      <c r="C126" s="115">
        <f>IF($A126="","",VLOOKUP($A126,'Annex 2 EHV charges'!$A:$O,3,0))</f>
        <v>1300035350680</v>
      </c>
      <c r="D126" s="114" t="str">
        <f>IF($A126="","",VLOOKUP($A126,'Annex 2 EHV charges'!$A:$O,7,0))</f>
        <v>News International Plc</v>
      </c>
      <c r="E126" s="119" t="str">
        <f>IFERROR(IF(VLOOKUP($A126,'Annex 2 EHV charges'!$A:$O,8,FALSE)=0,"",VLOOKUP($A126,'Annex 2 EHV charges'!$A:$O,8,FALSE)),"")</f>
        <v/>
      </c>
      <c r="F126" s="120">
        <f>IFERROR(IF(VLOOKUP($A126,'Annex 2 EHV charges'!$A:$O,9,FALSE)=0,"",VLOOKUP($A126,'Annex 2 EHV charges'!$A:$O,9,FALSE)),"")</f>
        <v>210.51</v>
      </c>
      <c r="G126" s="121">
        <f>IFERROR(IF(VLOOKUP($A126,'Annex 2 EHV charges'!$A:$O,10,FALSE)=0,"",VLOOKUP($A126,'Annex 2 EHV charges'!$A:$O,10,FALSE)),"")</f>
        <v>3.84</v>
      </c>
      <c r="H126" s="121">
        <f>IFERROR(IF(VLOOKUP($A126,'Annex 2 EHV charges'!$A:$O,11,FALSE)=0,"",VLOOKUP($A126,'Annex 2 EHV charges'!$A:$O,11,FALSE)),"")</f>
        <v>3.84</v>
      </c>
    </row>
    <row r="127" spans="1:8" ht="12.75" customHeight="1" x14ac:dyDescent="0.2">
      <c r="A127" s="114">
        <f t="array" ref="A127">IFERROR(INDEX('Annex 2 EHV charges'!$A$11:$A$259, MATCH(0, IF(ISBLANK('Annex 2 EHV charges'!$A$11:$A$259),1, COUNTIF(A$4:$A126, 'Annex 2 EHV charges'!$A$11:$A$259)), 0)),"")</f>
        <v>338</v>
      </c>
      <c r="B127" s="114">
        <f>IF($A127="","",VLOOKUP($A127,'Annex 2 EHV charges'!$A:$O,2,0))</f>
        <v>338</v>
      </c>
      <c r="C127" s="115">
        <f>IF($A127="","",VLOOKUP($A127,'Annex 2 EHV charges'!$A:$O,3,0))</f>
        <v>1300035351248</v>
      </c>
      <c r="D127" s="114" t="str">
        <f>IF($A127="","",VLOOKUP($A127,'Annex 2 EHV charges'!$A:$O,7,0))</f>
        <v>Essex International Limited</v>
      </c>
      <c r="E127" s="119">
        <f>IFERROR(IF(VLOOKUP($A127,'Annex 2 EHV charges'!$A:$O,8,FALSE)=0,"",VLOOKUP($A127,'Annex 2 EHV charges'!$A:$O,8,FALSE)),"")</f>
        <v>0.53400000000000003</v>
      </c>
      <c r="F127" s="120">
        <f>IFERROR(IF(VLOOKUP($A127,'Annex 2 EHV charges'!$A:$O,9,FALSE)=0,"",VLOOKUP($A127,'Annex 2 EHV charges'!$A:$O,9,FALSE)),"")</f>
        <v>210.51</v>
      </c>
      <c r="G127" s="121">
        <f>IFERROR(IF(VLOOKUP($A127,'Annex 2 EHV charges'!$A:$O,10,FALSE)=0,"",VLOOKUP($A127,'Annex 2 EHV charges'!$A:$O,10,FALSE)),"")</f>
        <v>4.72</v>
      </c>
      <c r="H127" s="121">
        <f>IFERROR(IF(VLOOKUP($A127,'Annex 2 EHV charges'!$A:$O,11,FALSE)=0,"",VLOOKUP($A127,'Annex 2 EHV charges'!$A:$O,11,FALSE)),"")</f>
        <v>4.72</v>
      </c>
    </row>
    <row r="128" spans="1:8" ht="12.75" customHeight="1" x14ac:dyDescent="0.2">
      <c r="A128" s="114">
        <f t="array" ref="A128">IFERROR(INDEX('Annex 2 EHV charges'!$A$11:$A$259, MATCH(0, IF(ISBLANK('Annex 2 EHV charges'!$A$11:$A$259),1, COUNTIF(A$4:$A127, 'Annex 2 EHV charges'!$A$11:$A$259)), 0)),"")</f>
        <v>339</v>
      </c>
      <c r="B128" s="114">
        <f>IF($A128="","",VLOOKUP($A128,'Annex 2 EHV charges'!$A:$O,2,0))</f>
        <v>339</v>
      </c>
      <c r="C128" s="115">
        <f>IF($A128="","",VLOOKUP($A128,'Annex 2 EHV charges'!$A:$O,3,0))</f>
        <v>1300035351735</v>
      </c>
      <c r="D128" s="114" t="str">
        <f>IF($A128="","",VLOOKUP($A128,'Annex 2 EHV charges'!$A:$O,7,0))</f>
        <v>Elizabeth II Law Courts</v>
      </c>
      <c r="E128" s="119" t="str">
        <f>IFERROR(IF(VLOOKUP($A128,'Annex 2 EHV charges'!$A:$O,8,FALSE)=0,"",VLOOKUP($A128,'Annex 2 EHV charges'!$A:$O,8,FALSE)),"")</f>
        <v/>
      </c>
      <c r="F128" s="120">
        <f>IFERROR(IF(VLOOKUP($A128,'Annex 2 EHV charges'!$A:$O,9,FALSE)=0,"",VLOOKUP($A128,'Annex 2 EHV charges'!$A:$O,9,FALSE)),"")</f>
        <v>210.51</v>
      </c>
      <c r="G128" s="121">
        <f>IFERROR(IF(VLOOKUP($A128,'Annex 2 EHV charges'!$A:$O,10,FALSE)=0,"",VLOOKUP($A128,'Annex 2 EHV charges'!$A:$O,10,FALSE)),"")</f>
        <v>3.14</v>
      </c>
      <c r="H128" s="121">
        <f>IFERROR(IF(VLOOKUP($A128,'Annex 2 EHV charges'!$A:$O,11,FALSE)=0,"",VLOOKUP($A128,'Annex 2 EHV charges'!$A:$O,11,FALSE)),"")</f>
        <v>3.14</v>
      </c>
    </row>
    <row r="129" spans="1:8" ht="12.75" customHeight="1" x14ac:dyDescent="0.2">
      <c r="A129" s="114">
        <f t="array" ref="A129">IFERROR(INDEX('Annex 2 EHV charges'!$A$11:$A$259, MATCH(0, IF(ISBLANK('Annex 2 EHV charges'!$A$11:$A$259),1, COUNTIF(A$4:$A128, 'Annex 2 EHV charges'!$A$11:$A$259)), 0)),"")</f>
        <v>340</v>
      </c>
      <c r="B129" s="114">
        <f>IF($A129="","",VLOOKUP($A129,'Annex 2 EHV charges'!$A:$O,2,0))</f>
        <v>340</v>
      </c>
      <c r="C129" s="115">
        <f>IF($A129="","",VLOOKUP($A129,'Annex 2 EHV charges'!$A:$O,3,0))</f>
        <v>1300035351967</v>
      </c>
      <c r="D129" s="114" t="str">
        <f>IF($A129="","",VLOOKUP($A129,'Annex 2 EHV charges'!$A:$O,7,0))</f>
        <v>Downing Property Services Ltd</v>
      </c>
      <c r="E129" s="119" t="str">
        <f>IFERROR(IF(VLOOKUP($A129,'Annex 2 EHV charges'!$A:$O,8,FALSE)=0,"",VLOOKUP($A129,'Annex 2 EHV charges'!$A:$O,8,FALSE)),"")</f>
        <v/>
      </c>
      <c r="F129" s="120">
        <f>IFERROR(IF(VLOOKUP($A129,'Annex 2 EHV charges'!$A:$O,9,FALSE)=0,"",VLOOKUP($A129,'Annex 2 EHV charges'!$A:$O,9,FALSE)),"")</f>
        <v>210.51</v>
      </c>
      <c r="G129" s="121">
        <f>IFERROR(IF(VLOOKUP($A129,'Annex 2 EHV charges'!$A:$O,10,FALSE)=0,"",VLOOKUP($A129,'Annex 2 EHV charges'!$A:$O,10,FALSE)),"")</f>
        <v>6.25</v>
      </c>
      <c r="H129" s="121">
        <f>IFERROR(IF(VLOOKUP($A129,'Annex 2 EHV charges'!$A:$O,11,FALSE)=0,"",VLOOKUP($A129,'Annex 2 EHV charges'!$A:$O,11,FALSE)),"")</f>
        <v>6.25</v>
      </c>
    </row>
    <row r="130" spans="1:8" ht="12.75" customHeight="1" x14ac:dyDescent="0.2">
      <c r="A130" s="114">
        <f t="array" ref="A130">IFERROR(INDEX('Annex 2 EHV charges'!$A$11:$A$259, MATCH(0, IF(ISBLANK('Annex 2 EHV charges'!$A$11:$A$259),1, COUNTIF(A$4:$A129, 'Annex 2 EHV charges'!$A$11:$A$259)), 0)),"")</f>
        <v>341</v>
      </c>
      <c r="B130" s="114">
        <f>IF($A130="","",VLOOKUP($A130,'Annex 2 EHV charges'!$A:$O,2,0))</f>
        <v>341</v>
      </c>
      <c r="C130" s="115">
        <f>IF($A130="","",VLOOKUP($A130,'Annex 2 EHV charges'!$A:$O,3,0))</f>
        <v>1300035352739</v>
      </c>
      <c r="D130" s="114" t="str">
        <f>IF($A130="","",VLOOKUP($A130,'Annex 2 EHV charges'!$A:$O,7,0))</f>
        <v>Canada Dock</v>
      </c>
      <c r="E130" s="119" t="str">
        <f>IFERROR(IF(VLOOKUP($A130,'Annex 2 EHV charges'!$A:$O,8,FALSE)=0,"",VLOOKUP($A130,'Annex 2 EHV charges'!$A:$O,8,FALSE)),"")</f>
        <v/>
      </c>
      <c r="F130" s="120">
        <f>IFERROR(IF(VLOOKUP($A130,'Annex 2 EHV charges'!$A:$O,9,FALSE)=0,"",VLOOKUP($A130,'Annex 2 EHV charges'!$A:$O,9,FALSE)),"")</f>
        <v>210.51</v>
      </c>
      <c r="G130" s="121">
        <f>IFERROR(IF(VLOOKUP($A130,'Annex 2 EHV charges'!$A:$O,10,FALSE)=0,"",VLOOKUP($A130,'Annex 2 EHV charges'!$A:$O,10,FALSE)),"")</f>
        <v>5.77</v>
      </c>
      <c r="H130" s="121">
        <f>IFERROR(IF(VLOOKUP($A130,'Annex 2 EHV charges'!$A:$O,11,FALSE)=0,"",VLOOKUP($A130,'Annex 2 EHV charges'!$A:$O,11,FALSE)),"")</f>
        <v>5.77</v>
      </c>
    </row>
    <row r="131" spans="1:8" ht="12.75" customHeight="1" x14ac:dyDescent="0.2">
      <c r="A131" s="114">
        <f t="array" ref="A131">IFERROR(INDEX('Annex 2 EHV charges'!$A$11:$A$259, MATCH(0, IF(ISBLANK('Annex 2 EHV charges'!$A$11:$A$259),1, COUNTIF(A$4:$A130, 'Annex 2 EHV charges'!$A$11:$A$259)), 0)),"")</f>
        <v>343</v>
      </c>
      <c r="B131" s="114">
        <f>IF($A131="","",VLOOKUP($A131,'Annex 2 EHV charges'!$A:$O,2,0))</f>
        <v>343</v>
      </c>
      <c r="C131" s="115">
        <f>IF($A131="","",VLOOKUP($A131,'Annex 2 EHV charges'!$A:$O,3,0))</f>
        <v>1300035352970</v>
      </c>
      <c r="D131" s="114" t="str">
        <f>IF($A131="","",VLOOKUP($A131,'Annex 2 EHV charges'!$A:$O,7,0))</f>
        <v>Liverpool Airport</v>
      </c>
      <c r="E131" s="119" t="str">
        <f>IFERROR(IF(VLOOKUP($A131,'Annex 2 EHV charges'!$A:$O,8,FALSE)=0,"",VLOOKUP($A131,'Annex 2 EHV charges'!$A:$O,8,FALSE)),"")</f>
        <v/>
      </c>
      <c r="F131" s="120">
        <f>IFERROR(IF(VLOOKUP($A131,'Annex 2 EHV charges'!$A:$O,9,FALSE)=0,"",VLOOKUP($A131,'Annex 2 EHV charges'!$A:$O,9,FALSE)),"")</f>
        <v>210.51</v>
      </c>
      <c r="G131" s="121">
        <f>IFERROR(IF(VLOOKUP($A131,'Annex 2 EHV charges'!$A:$O,10,FALSE)=0,"",VLOOKUP($A131,'Annex 2 EHV charges'!$A:$O,10,FALSE)),"")</f>
        <v>10.79</v>
      </c>
      <c r="H131" s="121">
        <f>IFERROR(IF(VLOOKUP($A131,'Annex 2 EHV charges'!$A:$O,11,FALSE)=0,"",VLOOKUP($A131,'Annex 2 EHV charges'!$A:$O,11,FALSE)),"")</f>
        <v>10.79</v>
      </c>
    </row>
    <row r="132" spans="1:8" ht="12.75" customHeight="1" x14ac:dyDescent="0.2">
      <c r="A132" s="114">
        <f t="array" ref="A132">IFERROR(INDEX('Annex 2 EHV charges'!$A$11:$A$259, MATCH(0, IF(ISBLANK('Annex 2 EHV charges'!$A$11:$A$259),1, COUNTIF(A$4:$A131, 'Annex 2 EHV charges'!$A$11:$A$259)), 0)),"")</f>
        <v>344</v>
      </c>
      <c r="B132" s="114">
        <f>IF($A132="","",VLOOKUP($A132,'Annex 2 EHV charges'!$A:$O,2,0))</f>
        <v>344</v>
      </c>
      <c r="C132" s="115">
        <f>IF($A132="","",VLOOKUP($A132,'Annex 2 EHV charges'!$A:$O,3,0))</f>
        <v>1300035354179</v>
      </c>
      <c r="D132" s="114" t="str">
        <f>IF($A132="","",VLOOKUP($A132,'Annex 2 EHV charges'!$A:$O,7,0))</f>
        <v>HP Chemie Pelzer Uk Ltd</v>
      </c>
      <c r="E132" s="119" t="str">
        <f>IFERROR(IF(VLOOKUP($A132,'Annex 2 EHV charges'!$A:$O,8,FALSE)=0,"",VLOOKUP($A132,'Annex 2 EHV charges'!$A:$O,8,FALSE)),"")</f>
        <v/>
      </c>
      <c r="F132" s="120">
        <f>IFERROR(IF(VLOOKUP($A132,'Annex 2 EHV charges'!$A:$O,9,FALSE)=0,"",VLOOKUP($A132,'Annex 2 EHV charges'!$A:$O,9,FALSE)),"")</f>
        <v>210.51</v>
      </c>
      <c r="G132" s="121">
        <f>IFERROR(IF(VLOOKUP($A132,'Annex 2 EHV charges'!$A:$O,10,FALSE)=0,"",VLOOKUP($A132,'Annex 2 EHV charges'!$A:$O,10,FALSE)),"")</f>
        <v>9.0500000000000007</v>
      </c>
      <c r="H132" s="121">
        <f>IFERROR(IF(VLOOKUP($A132,'Annex 2 EHV charges'!$A:$O,11,FALSE)=0,"",VLOOKUP($A132,'Annex 2 EHV charges'!$A:$O,11,FALSE)),"")</f>
        <v>9.0500000000000007</v>
      </c>
    </row>
    <row r="133" spans="1:8" ht="12.75" customHeight="1" x14ac:dyDescent="0.2">
      <c r="A133" s="114">
        <f t="array" ref="A133">IFERROR(INDEX('Annex 2 EHV charges'!$A$11:$A$259, MATCH(0, IF(ISBLANK('Annex 2 EHV charges'!$A$11:$A$259),1, COUNTIF(A$4:$A132, 'Annex 2 EHV charges'!$A$11:$A$259)), 0)),"")</f>
        <v>345</v>
      </c>
      <c r="B133" s="114">
        <f>IF($A133="","",VLOOKUP($A133,'Annex 2 EHV charges'!$A:$O,2,0))</f>
        <v>345</v>
      </c>
      <c r="C133" s="115">
        <f>IF($A133="","",VLOOKUP($A133,'Annex 2 EHV charges'!$A:$O,3,0))</f>
        <v>1300035354986</v>
      </c>
      <c r="D133" s="114" t="str">
        <f>IF($A133="","",VLOOKUP($A133,'Annex 2 EHV charges'!$A:$O,7,0))</f>
        <v>Novelis Uk Ltd</v>
      </c>
      <c r="E133" s="119">
        <f>IFERROR(IF(VLOOKUP($A133,'Annex 2 EHV charges'!$A:$O,8,FALSE)=0,"",VLOOKUP($A133,'Annex 2 EHV charges'!$A:$O,8,FALSE)),"")</f>
        <v>2.9750000000000001</v>
      </c>
      <c r="F133" s="120">
        <f>IFERROR(IF(VLOOKUP($A133,'Annex 2 EHV charges'!$A:$O,9,FALSE)=0,"",VLOOKUP($A133,'Annex 2 EHV charges'!$A:$O,9,FALSE)),"")</f>
        <v>210.51</v>
      </c>
      <c r="G133" s="121">
        <f>IFERROR(IF(VLOOKUP($A133,'Annex 2 EHV charges'!$A:$O,10,FALSE)=0,"",VLOOKUP($A133,'Annex 2 EHV charges'!$A:$O,10,FALSE)),"")</f>
        <v>10.94</v>
      </c>
      <c r="H133" s="121">
        <f>IFERROR(IF(VLOOKUP($A133,'Annex 2 EHV charges'!$A:$O,11,FALSE)=0,"",VLOOKUP($A133,'Annex 2 EHV charges'!$A:$O,11,FALSE)),"")</f>
        <v>10.94</v>
      </c>
    </row>
    <row r="134" spans="1:8" ht="12.75" customHeight="1" x14ac:dyDescent="0.2">
      <c r="A134" s="114">
        <f t="array" ref="A134">IFERROR(INDEX('Annex 2 EHV charges'!$A$11:$A$259, MATCH(0, IF(ISBLANK('Annex 2 EHV charges'!$A$11:$A$259),1, COUNTIF(A$4:$A133, 'Annex 2 EHV charges'!$A$11:$A$259)), 0)),"")</f>
        <v>346</v>
      </c>
      <c r="B134" s="114">
        <f>IF($A134="","",VLOOKUP($A134,'Annex 2 EHV charges'!$A:$O,2,0))</f>
        <v>346</v>
      </c>
      <c r="C134" s="115">
        <f>IF($A134="","",VLOOKUP($A134,'Annex 2 EHV charges'!$A:$O,3,0))</f>
        <v>1300035355118</v>
      </c>
      <c r="D134" s="114" t="str">
        <f>IF($A134="","",VLOOKUP($A134,'Annex 2 EHV charges'!$A:$O,7,0))</f>
        <v>PQ Silicas UK Ltd</v>
      </c>
      <c r="E134" s="119">
        <f>IFERROR(IF(VLOOKUP($A134,'Annex 2 EHV charges'!$A:$O,8,FALSE)=0,"",VLOOKUP($A134,'Annex 2 EHV charges'!$A:$O,8,FALSE)),"")</f>
        <v>2.996</v>
      </c>
      <c r="F134" s="120">
        <f>IFERROR(IF(VLOOKUP($A134,'Annex 2 EHV charges'!$A:$O,9,FALSE)=0,"",VLOOKUP($A134,'Annex 2 EHV charges'!$A:$O,9,FALSE)),"")</f>
        <v>315.76</v>
      </c>
      <c r="G134" s="121">
        <f>IFERROR(IF(VLOOKUP($A134,'Annex 2 EHV charges'!$A:$O,10,FALSE)=0,"",VLOOKUP($A134,'Annex 2 EHV charges'!$A:$O,10,FALSE)),"")</f>
        <v>7.13</v>
      </c>
      <c r="H134" s="121">
        <f>IFERROR(IF(VLOOKUP($A134,'Annex 2 EHV charges'!$A:$O,11,FALSE)=0,"",VLOOKUP($A134,'Annex 2 EHV charges'!$A:$O,11,FALSE)),"")</f>
        <v>7.13</v>
      </c>
    </row>
    <row r="135" spans="1:8" ht="12.75" customHeight="1" x14ac:dyDescent="0.2">
      <c r="A135" s="114">
        <f t="array" ref="A135">IFERROR(INDEX('Annex 2 EHV charges'!$A$11:$A$259, MATCH(0, IF(ISBLANK('Annex 2 EHV charges'!$A$11:$A$259),1, COUNTIF(A$4:$A134, 'Annex 2 EHV charges'!$A$11:$A$259)), 0)),"")</f>
        <v>347</v>
      </c>
      <c r="B135" s="114">
        <f>IF($A135="","",VLOOKUP($A135,'Annex 2 EHV charges'!$A:$O,2,0))</f>
        <v>347</v>
      </c>
      <c r="C135" s="115">
        <f>IF($A135="","",VLOOKUP($A135,'Annex 2 EHV charges'!$A:$O,3,0))</f>
        <v>1300035355136</v>
      </c>
      <c r="D135" s="114" t="str">
        <f>IF($A135="","",VLOOKUP($A135,'Annex 2 EHV charges'!$A:$O,7,0))</f>
        <v>Baronet Works</v>
      </c>
      <c r="E135" s="119">
        <f>IFERROR(IF(VLOOKUP($A135,'Annex 2 EHV charges'!$A:$O,8,FALSE)=0,"",VLOOKUP($A135,'Annex 2 EHV charges'!$A:$O,8,FALSE)),"")</f>
        <v>2.9279999999999999</v>
      </c>
      <c r="F135" s="120">
        <f>IFERROR(IF(VLOOKUP($A135,'Annex 2 EHV charges'!$A:$O,9,FALSE)=0,"",VLOOKUP($A135,'Annex 2 EHV charges'!$A:$O,9,FALSE)),"")</f>
        <v>3100.13</v>
      </c>
      <c r="G135" s="121">
        <f>IFERROR(IF(VLOOKUP($A135,'Annex 2 EHV charges'!$A:$O,10,FALSE)=0,"",VLOOKUP($A135,'Annex 2 EHV charges'!$A:$O,10,FALSE)),"")</f>
        <v>8.9700000000000006</v>
      </c>
      <c r="H135" s="121">
        <f>IFERROR(IF(VLOOKUP($A135,'Annex 2 EHV charges'!$A:$O,11,FALSE)=0,"",VLOOKUP($A135,'Annex 2 EHV charges'!$A:$O,11,FALSE)),"")</f>
        <v>8.9700000000000006</v>
      </c>
    </row>
    <row r="136" spans="1:8" ht="12.75" customHeight="1" x14ac:dyDescent="0.2">
      <c r="A136" s="114">
        <f t="array" ref="A136">IFERROR(INDEX('Annex 2 EHV charges'!$A$11:$A$259, MATCH(0, IF(ISBLANK('Annex 2 EHV charges'!$A$11:$A$259),1, COUNTIF(A$4:$A135, 'Annex 2 EHV charges'!$A$11:$A$259)), 0)),"")</f>
        <v>348</v>
      </c>
      <c r="B136" s="114">
        <f>IF($A136="","",VLOOKUP($A136,'Annex 2 EHV charges'!$A:$O,2,0))</f>
        <v>348</v>
      </c>
      <c r="C136" s="115">
        <f>IF($A136="","",VLOOKUP($A136,'Annex 2 EHV charges'!$A:$O,3,0))</f>
        <v>1300035355749</v>
      </c>
      <c r="D136" s="114" t="str">
        <f>IF($A136="","",VLOOKUP($A136,'Annex 2 EHV charges'!$A:$O,7,0))</f>
        <v>Unifrax Ltd</v>
      </c>
      <c r="E136" s="119">
        <f>IFERROR(IF(VLOOKUP($A136,'Annex 2 EHV charges'!$A:$O,8,FALSE)=0,"",VLOOKUP($A136,'Annex 2 EHV charges'!$A:$O,8,FALSE)),"")</f>
        <v>0.88200000000000001</v>
      </c>
      <c r="F136" s="120">
        <f>IFERROR(IF(VLOOKUP($A136,'Annex 2 EHV charges'!$A:$O,9,FALSE)=0,"",VLOOKUP($A136,'Annex 2 EHV charges'!$A:$O,9,FALSE)),"")</f>
        <v>210.51</v>
      </c>
      <c r="G136" s="121">
        <f>IFERROR(IF(VLOOKUP($A136,'Annex 2 EHV charges'!$A:$O,10,FALSE)=0,"",VLOOKUP($A136,'Annex 2 EHV charges'!$A:$O,10,FALSE)),"")</f>
        <v>10.37</v>
      </c>
      <c r="H136" s="121">
        <f>IFERROR(IF(VLOOKUP($A136,'Annex 2 EHV charges'!$A:$O,11,FALSE)=0,"",VLOOKUP($A136,'Annex 2 EHV charges'!$A:$O,11,FALSE)),"")</f>
        <v>10.37</v>
      </c>
    </row>
    <row r="137" spans="1:8" ht="12.75" customHeight="1" x14ac:dyDescent="0.2">
      <c r="A137" s="114">
        <f t="array" ref="A137">IFERROR(INDEX('Annex 2 EHV charges'!$A$11:$A$259, MATCH(0, IF(ISBLANK('Annex 2 EHV charges'!$A$11:$A$259),1, COUNTIF(A$4:$A136, 'Annex 2 EHV charges'!$A$11:$A$259)), 0)),"")</f>
        <v>349</v>
      </c>
      <c r="B137" s="114">
        <f>IF($A137="","",VLOOKUP($A137,'Annex 2 EHV charges'!$A:$O,2,0))</f>
        <v>349</v>
      </c>
      <c r="C137" s="115">
        <f>IF($A137="","",VLOOKUP($A137,'Annex 2 EHV charges'!$A:$O,3,0))</f>
        <v>1300035355837</v>
      </c>
      <c r="D137" s="114" t="str">
        <f>IF($A137="","",VLOOKUP($A137,'Annex 2 EHV charges'!$A:$O,7,0))</f>
        <v>Delta Metals</v>
      </c>
      <c r="E137" s="119">
        <f>IFERROR(IF(VLOOKUP($A137,'Annex 2 EHV charges'!$A:$O,8,FALSE)=0,"",VLOOKUP($A137,'Annex 2 EHV charges'!$A:$O,8,FALSE)),"")</f>
        <v>0.94299999999999995</v>
      </c>
      <c r="F137" s="120">
        <f>IFERROR(IF(VLOOKUP($A137,'Annex 2 EHV charges'!$A:$O,9,FALSE)=0,"",VLOOKUP($A137,'Annex 2 EHV charges'!$A:$O,9,FALSE)),"")</f>
        <v>210.51</v>
      </c>
      <c r="G137" s="121">
        <f>IFERROR(IF(VLOOKUP($A137,'Annex 2 EHV charges'!$A:$O,10,FALSE)=0,"",VLOOKUP($A137,'Annex 2 EHV charges'!$A:$O,10,FALSE)),"")</f>
        <v>6.32</v>
      </c>
      <c r="H137" s="121">
        <f>IFERROR(IF(VLOOKUP($A137,'Annex 2 EHV charges'!$A:$O,11,FALSE)=0,"",VLOOKUP($A137,'Annex 2 EHV charges'!$A:$O,11,FALSE)),"")</f>
        <v>6.32</v>
      </c>
    </row>
    <row r="138" spans="1:8" ht="12.75" customHeight="1" x14ac:dyDescent="0.2">
      <c r="A138" s="114">
        <f t="array" ref="A138">IFERROR(INDEX('Annex 2 EHV charges'!$A$11:$A$259, MATCH(0, IF(ISBLANK('Annex 2 EHV charges'!$A$11:$A$259),1, COUNTIF(A$4:$A137, 'Annex 2 EHV charges'!$A$11:$A$259)), 0)),"")</f>
        <v>350</v>
      </c>
      <c r="B138" s="114">
        <f>IF($A138="","",VLOOKUP($A138,'Annex 2 EHV charges'!$A:$O,2,0))</f>
        <v>350</v>
      </c>
      <c r="C138" s="115">
        <f>IF($A138="","",VLOOKUP($A138,'Annex 2 EHV charges'!$A:$O,3,0))</f>
        <v>1300035355970</v>
      </c>
      <c r="D138" s="114" t="str">
        <f>IF($A138="","",VLOOKUP($A138,'Annex 2 EHV charges'!$A:$O,7,0))</f>
        <v>M Baker Recycling Limited</v>
      </c>
      <c r="E138" s="119">
        <f>IFERROR(IF(VLOOKUP($A138,'Annex 2 EHV charges'!$A:$O,8,FALSE)=0,"",VLOOKUP($A138,'Annex 2 EHV charges'!$A:$O,8,FALSE)),"")</f>
        <v>1</v>
      </c>
      <c r="F138" s="120">
        <f>IFERROR(IF(VLOOKUP($A138,'Annex 2 EHV charges'!$A:$O,9,FALSE)=0,"",VLOOKUP($A138,'Annex 2 EHV charges'!$A:$O,9,FALSE)),"")</f>
        <v>210.51</v>
      </c>
      <c r="G138" s="121">
        <f>IFERROR(IF(VLOOKUP($A138,'Annex 2 EHV charges'!$A:$O,10,FALSE)=0,"",VLOOKUP($A138,'Annex 2 EHV charges'!$A:$O,10,FALSE)),"")</f>
        <v>15.06</v>
      </c>
      <c r="H138" s="121">
        <f>IFERROR(IF(VLOOKUP($A138,'Annex 2 EHV charges'!$A:$O,11,FALSE)=0,"",VLOOKUP($A138,'Annex 2 EHV charges'!$A:$O,11,FALSE)),"")</f>
        <v>15.06</v>
      </c>
    </row>
    <row r="139" spans="1:8" ht="12.75" customHeight="1" x14ac:dyDescent="0.2">
      <c r="A139" s="114">
        <f t="array" ref="A139">IFERROR(INDEX('Annex 2 EHV charges'!$A$11:$A$259, MATCH(0, IF(ISBLANK('Annex 2 EHV charges'!$A$11:$A$259),1, COUNTIF(A$4:$A138, 'Annex 2 EHV charges'!$A$11:$A$259)), 0)),"")</f>
        <v>351</v>
      </c>
      <c r="B139" s="114">
        <f>IF($A139="","",VLOOKUP($A139,'Annex 2 EHV charges'!$A:$O,2,0))</f>
        <v>351</v>
      </c>
      <c r="C139" s="115">
        <f>IF($A139="","",VLOOKUP($A139,'Annex 2 EHV charges'!$A:$O,3,0))</f>
        <v>1300035356194</v>
      </c>
      <c r="D139" s="114" t="str">
        <f>IF($A139="","",VLOOKUP($A139,'Annex 2 EHV charges'!$A:$O,7,0))</f>
        <v>BOC Limited</v>
      </c>
      <c r="E139" s="119">
        <f>IFERROR(IF(VLOOKUP($A139,'Annex 2 EHV charges'!$A:$O,8,FALSE)=0,"",VLOOKUP($A139,'Annex 2 EHV charges'!$A:$O,8,FALSE)),"")</f>
        <v>1.01</v>
      </c>
      <c r="F139" s="120">
        <f>IFERROR(IF(VLOOKUP($A139,'Annex 2 EHV charges'!$A:$O,9,FALSE)=0,"",VLOOKUP($A139,'Annex 2 EHV charges'!$A:$O,9,FALSE)),"")</f>
        <v>210.51</v>
      </c>
      <c r="G139" s="121">
        <f>IFERROR(IF(VLOOKUP($A139,'Annex 2 EHV charges'!$A:$O,10,FALSE)=0,"",VLOOKUP($A139,'Annex 2 EHV charges'!$A:$O,10,FALSE)),"")</f>
        <v>11.36</v>
      </c>
      <c r="H139" s="121">
        <f>IFERROR(IF(VLOOKUP($A139,'Annex 2 EHV charges'!$A:$O,11,FALSE)=0,"",VLOOKUP($A139,'Annex 2 EHV charges'!$A:$O,11,FALSE)),"")</f>
        <v>11.36</v>
      </c>
    </row>
    <row r="140" spans="1:8" ht="12.75" customHeight="1" x14ac:dyDescent="0.2">
      <c r="A140" s="114">
        <f t="array" ref="A140">IFERROR(INDEX('Annex 2 EHV charges'!$A$11:$A$259, MATCH(0, IF(ISBLANK('Annex 2 EHV charges'!$A$11:$A$259),1, COUNTIF(A$4:$A139, 'Annex 2 EHV charges'!$A$11:$A$259)), 0)),"")</f>
        <v>352</v>
      </c>
      <c r="B140" s="114">
        <f>IF($A140="","",VLOOKUP($A140,'Annex 2 EHV charges'!$A:$O,2,0))</f>
        <v>352</v>
      </c>
      <c r="C140" s="115">
        <f>IF($A140="","",VLOOKUP($A140,'Annex 2 EHV charges'!$A:$O,3,0))</f>
        <v>1300035356380</v>
      </c>
      <c r="D140" s="114" t="str">
        <f>IF($A140="","",VLOOKUP($A140,'Annex 2 EHV charges'!$A:$O,7,0))</f>
        <v>Daresbury Laboratory</v>
      </c>
      <c r="E140" s="119" t="str">
        <f>IFERROR(IF(VLOOKUP($A140,'Annex 2 EHV charges'!$A:$O,8,FALSE)=0,"",VLOOKUP($A140,'Annex 2 EHV charges'!$A:$O,8,FALSE)),"")</f>
        <v/>
      </c>
      <c r="F140" s="120">
        <f>IFERROR(IF(VLOOKUP($A140,'Annex 2 EHV charges'!$A:$O,9,FALSE)=0,"",VLOOKUP($A140,'Annex 2 EHV charges'!$A:$O,9,FALSE)),"")</f>
        <v>210.51</v>
      </c>
      <c r="G140" s="121">
        <f>IFERROR(IF(VLOOKUP($A140,'Annex 2 EHV charges'!$A:$O,10,FALSE)=0,"",VLOOKUP($A140,'Annex 2 EHV charges'!$A:$O,10,FALSE)),"")</f>
        <v>5.85</v>
      </c>
      <c r="H140" s="121">
        <f>IFERROR(IF(VLOOKUP($A140,'Annex 2 EHV charges'!$A:$O,11,FALSE)=0,"",VLOOKUP($A140,'Annex 2 EHV charges'!$A:$O,11,FALSE)),"")</f>
        <v>5.85</v>
      </c>
    </row>
    <row r="141" spans="1:8" ht="12.75" customHeight="1" x14ac:dyDescent="0.2">
      <c r="A141" s="114">
        <f t="array" ref="A141">IFERROR(INDEX('Annex 2 EHV charges'!$A$11:$A$259, MATCH(0, IF(ISBLANK('Annex 2 EHV charges'!$A$11:$A$259),1, COUNTIF(A$4:$A140, 'Annex 2 EHV charges'!$A$11:$A$259)), 0)),"")</f>
        <v>353</v>
      </c>
      <c r="B141" s="114">
        <f>IF($A141="","",VLOOKUP($A141,'Annex 2 EHV charges'!$A:$O,2,0))</f>
        <v>353</v>
      </c>
      <c r="C141" s="115">
        <f>IF($A141="","",VLOOKUP($A141,'Annex 2 EHV charges'!$A:$O,3,0))</f>
        <v>1300035356724</v>
      </c>
      <c r="D141" s="114" t="str">
        <f>IF($A141="","",VLOOKUP($A141,'Annex 2 EHV charges'!$A:$O,7,0))</f>
        <v>Gypsum</v>
      </c>
      <c r="E141" s="119" t="str">
        <f>IFERROR(IF(VLOOKUP($A141,'Annex 2 EHV charges'!$A:$O,8,FALSE)=0,"",VLOOKUP($A141,'Annex 2 EHV charges'!$A:$O,8,FALSE)),"")</f>
        <v/>
      </c>
      <c r="F141" s="120">
        <f>IFERROR(IF(VLOOKUP($A141,'Annex 2 EHV charges'!$A:$O,9,FALSE)=0,"",VLOOKUP($A141,'Annex 2 EHV charges'!$A:$O,9,FALSE)),"")</f>
        <v>3923</v>
      </c>
      <c r="G141" s="121">
        <f>IFERROR(IF(VLOOKUP($A141,'Annex 2 EHV charges'!$A:$O,10,FALSE)=0,"",VLOOKUP($A141,'Annex 2 EHV charges'!$A:$O,10,FALSE)),"")</f>
        <v>12.15</v>
      </c>
      <c r="H141" s="121">
        <f>IFERROR(IF(VLOOKUP($A141,'Annex 2 EHV charges'!$A:$O,11,FALSE)=0,"",VLOOKUP($A141,'Annex 2 EHV charges'!$A:$O,11,FALSE)),"")</f>
        <v>12.15</v>
      </c>
    </row>
    <row r="142" spans="1:8" ht="12.75" customHeight="1" x14ac:dyDescent="0.2">
      <c r="A142" s="114">
        <f t="array" ref="A142">IFERROR(INDEX('Annex 2 EHV charges'!$A$11:$A$259, MATCH(0, IF(ISBLANK('Annex 2 EHV charges'!$A$11:$A$259),1, COUNTIF(A$4:$A141, 'Annex 2 EHV charges'!$A$11:$A$259)), 0)),"")</f>
        <v>354</v>
      </c>
      <c r="B142" s="114">
        <f>IF($A142="","",VLOOKUP($A142,'Annex 2 EHV charges'!$A:$O,2,0))</f>
        <v>354</v>
      </c>
      <c r="C142" s="115">
        <f>IF($A142="","",VLOOKUP($A142,'Annex 2 EHV charges'!$A:$O,3,0))</f>
        <v>1300035356770</v>
      </c>
      <c r="D142" s="114" t="str">
        <f>IF($A142="","",VLOOKUP($A142,'Annex 2 EHV charges'!$A:$O,7,0))</f>
        <v>Dyson Group Plc</v>
      </c>
      <c r="E142" s="119">
        <f>IFERROR(IF(VLOOKUP($A142,'Annex 2 EHV charges'!$A:$O,8,FALSE)=0,"",VLOOKUP($A142,'Annex 2 EHV charges'!$A:$O,8,FALSE)),"")</f>
        <v>0.29899999999999999</v>
      </c>
      <c r="F142" s="120">
        <f>IFERROR(IF(VLOOKUP($A142,'Annex 2 EHV charges'!$A:$O,9,FALSE)=0,"",VLOOKUP($A142,'Annex 2 EHV charges'!$A:$O,9,FALSE)),"")</f>
        <v>210.51</v>
      </c>
      <c r="G142" s="121">
        <f>IFERROR(IF(VLOOKUP($A142,'Annex 2 EHV charges'!$A:$O,10,FALSE)=0,"",VLOOKUP($A142,'Annex 2 EHV charges'!$A:$O,10,FALSE)),"")</f>
        <v>11.02</v>
      </c>
      <c r="H142" s="121">
        <f>IFERROR(IF(VLOOKUP($A142,'Annex 2 EHV charges'!$A:$O,11,FALSE)=0,"",VLOOKUP($A142,'Annex 2 EHV charges'!$A:$O,11,FALSE)),"")</f>
        <v>11.02</v>
      </c>
    </row>
    <row r="143" spans="1:8" ht="12.75" customHeight="1" x14ac:dyDescent="0.2">
      <c r="A143" s="114">
        <f t="array" ref="A143">IFERROR(INDEX('Annex 2 EHV charges'!$A$11:$A$259, MATCH(0, IF(ISBLANK('Annex 2 EHV charges'!$A$11:$A$259),1, COUNTIF(A$4:$A142, 'Annex 2 EHV charges'!$A$11:$A$259)), 0)),"")</f>
        <v>356</v>
      </c>
      <c r="B143" s="114">
        <f>IF($A143="","",VLOOKUP($A143,'Annex 2 EHV charges'!$A:$O,2,0))</f>
        <v>356</v>
      </c>
      <c r="C143" s="115">
        <f>IF($A143="","",VLOOKUP($A143,'Annex 2 EHV charges'!$A:$O,3,0))</f>
        <v>1300035357009</v>
      </c>
      <c r="D143" s="114" t="str">
        <f>IF($A143="","",VLOOKUP($A143,'Annex 2 EHV charges'!$A:$O,7,0))</f>
        <v>Rockwood Additives Ltd</v>
      </c>
      <c r="E143" s="119">
        <f>IFERROR(IF(VLOOKUP($A143,'Annex 2 EHV charges'!$A:$O,8,FALSE)=0,"",VLOOKUP($A143,'Annex 2 EHV charges'!$A:$O,8,FALSE)),"")</f>
        <v>0.27700000000000002</v>
      </c>
      <c r="F143" s="120">
        <f>IFERROR(IF(VLOOKUP($A143,'Annex 2 EHV charges'!$A:$O,9,FALSE)=0,"",VLOOKUP($A143,'Annex 2 EHV charges'!$A:$O,9,FALSE)),"")</f>
        <v>210.51</v>
      </c>
      <c r="G143" s="121">
        <f>IFERROR(IF(VLOOKUP($A143,'Annex 2 EHV charges'!$A:$O,10,FALSE)=0,"",VLOOKUP($A143,'Annex 2 EHV charges'!$A:$O,10,FALSE)),"")</f>
        <v>5.03</v>
      </c>
      <c r="H143" s="121">
        <f>IFERROR(IF(VLOOKUP($A143,'Annex 2 EHV charges'!$A:$O,11,FALSE)=0,"",VLOOKUP($A143,'Annex 2 EHV charges'!$A:$O,11,FALSE)),"")</f>
        <v>5.03</v>
      </c>
    </row>
    <row r="144" spans="1:8" x14ac:dyDescent="0.2">
      <c r="A144" s="114">
        <f t="array" ref="A144">IFERROR(INDEX('Annex 2 EHV charges'!$A$11:$A$259, MATCH(0, IF(ISBLANK('Annex 2 EHV charges'!$A$11:$A$259),1, COUNTIF(A$4:$A143, 'Annex 2 EHV charges'!$A$11:$A$259)), 0)),"")</f>
        <v>358</v>
      </c>
      <c r="B144" s="114">
        <f>IF($A144="","",VLOOKUP($A144,'Annex 2 EHV charges'!$A:$O,2,0))</f>
        <v>358</v>
      </c>
      <c r="C144" s="115">
        <f>IF($A144="","",VLOOKUP($A144,'Annex 2 EHV charges'!$A:$O,3,0))</f>
        <v>1300035359600</v>
      </c>
      <c r="D144" s="114" t="str">
        <f>IF($A144="","",VLOOKUP($A144,'Annex 2 EHV charges'!$A:$O,7,0))</f>
        <v>Greif Uk Ltd</v>
      </c>
      <c r="E144" s="119">
        <f>IFERROR(IF(VLOOKUP($A144,'Annex 2 EHV charges'!$A:$O,8,FALSE)=0,"",VLOOKUP($A144,'Annex 2 EHV charges'!$A:$O,8,FALSE)),"")</f>
        <v>0.249</v>
      </c>
      <c r="F144" s="120">
        <f>IFERROR(IF(VLOOKUP($A144,'Annex 2 EHV charges'!$A:$O,9,FALSE)=0,"",VLOOKUP($A144,'Annex 2 EHV charges'!$A:$O,9,FALSE)),"")</f>
        <v>210.51</v>
      </c>
      <c r="G144" s="121">
        <f>IFERROR(IF(VLOOKUP($A144,'Annex 2 EHV charges'!$A:$O,10,FALSE)=0,"",VLOOKUP($A144,'Annex 2 EHV charges'!$A:$O,10,FALSE)),"")</f>
        <v>6.69</v>
      </c>
      <c r="H144" s="121">
        <f>IFERROR(IF(VLOOKUP($A144,'Annex 2 EHV charges'!$A:$O,11,FALSE)=0,"",VLOOKUP($A144,'Annex 2 EHV charges'!$A:$O,11,FALSE)),"")</f>
        <v>6.69</v>
      </c>
    </row>
    <row r="145" spans="1:8" x14ac:dyDescent="0.2">
      <c r="A145" s="114">
        <f t="array" ref="A145">IFERROR(INDEX('Annex 2 EHV charges'!$A$11:$A$259, MATCH(0, IF(ISBLANK('Annex 2 EHV charges'!$A$11:$A$259),1, COUNTIF(A$4:$A144, 'Annex 2 EHV charges'!$A$11:$A$259)), 0)),"")</f>
        <v>359</v>
      </c>
      <c r="B145" s="114">
        <f>IF($A145="","",VLOOKUP($A145,'Annex 2 EHV charges'!$A:$O,2,0))</f>
        <v>359</v>
      </c>
      <c r="C145" s="115">
        <f>IF($A145="","",VLOOKUP($A145,'Annex 2 EHV charges'!$A:$O,3,0))</f>
        <v>1300035359673</v>
      </c>
      <c r="D145" s="114" t="str">
        <f>IF($A145="","",VLOOKUP($A145,'Annex 2 EHV charges'!$A:$O,7,0))</f>
        <v>BP International Limited</v>
      </c>
      <c r="E145" s="119">
        <f>IFERROR(IF(VLOOKUP($A145,'Annex 2 EHV charges'!$A:$O,8,FALSE)=0,"",VLOOKUP($A145,'Annex 2 EHV charges'!$A:$O,8,FALSE)),"")</f>
        <v>0.27</v>
      </c>
      <c r="F145" s="120">
        <f>IFERROR(IF(VLOOKUP($A145,'Annex 2 EHV charges'!$A:$O,9,FALSE)=0,"",VLOOKUP($A145,'Annex 2 EHV charges'!$A:$O,9,FALSE)),"")</f>
        <v>210.51</v>
      </c>
      <c r="G145" s="121">
        <f>IFERROR(IF(VLOOKUP($A145,'Annex 2 EHV charges'!$A:$O,10,FALSE)=0,"",VLOOKUP($A145,'Annex 2 EHV charges'!$A:$O,10,FALSE)),"")</f>
        <v>4.2</v>
      </c>
      <c r="H145" s="121">
        <f>IFERROR(IF(VLOOKUP($A145,'Annex 2 EHV charges'!$A:$O,11,FALSE)=0,"",VLOOKUP($A145,'Annex 2 EHV charges'!$A:$O,11,FALSE)),"")</f>
        <v>4.2</v>
      </c>
    </row>
    <row r="146" spans="1:8" x14ac:dyDescent="0.2">
      <c r="A146" s="114">
        <f t="array" ref="A146">IFERROR(INDEX('Annex 2 EHV charges'!$A$11:$A$259, MATCH(0, IF(ISBLANK('Annex 2 EHV charges'!$A$11:$A$259),1, COUNTIF(A$4:$A145, 'Annex 2 EHV charges'!$A$11:$A$259)), 0)),"")</f>
        <v>360</v>
      </c>
      <c r="B146" s="114">
        <f>IF($A146="","",VLOOKUP($A146,'Annex 2 EHV charges'!$A:$O,2,0))</f>
        <v>360</v>
      </c>
      <c r="C146" s="115">
        <f>IF($A146="","",VLOOKUP($A146,'Annex 2 EHV charges'!$A:$O,3,0))</f>
        <v>1300035359799</v>
      </c>
      <c r="D146" s="114" t="str">
        <f>IF($A146="","",VLOOKUP($A146,'Annex 2 EHV charges'!$A:$O,7,0))</f>
        <v>Shell UK Limited</v>
      </c>
      <c r="E146" s="119">
        <f>IFERROR(IF(VLOOKUP($A146,'Annex 2 EHV charges'!$A:$O,8,FALSE)=0,"",VLOOKUP($A146,'Annex 2 EHV charges'!$A:$O,8,FALSE)),"")</f>
        <v>0.28000000000000003</v>
      </c>
      <c r="F146" s="120">
        <f>IFERROR(IF(VLOOKUP($A146,'Annex 2 EHV charges'!$A:$O,9,FALSE)=0,"",VLOOKUP($A146,'Annex 2 EHV charges'!$A:$O,9,FALSE)),"")</f>
        <v>210.51</v>
      </c>
      <c r="G146" s="121">
        <f>IFERROR(IF(VLOOKUP($A146,'Annex 2 EHV charges'!$A:$O,10,FALSE)=0,"",VLOOKUP($A146,'Annex 2 EHV charges'!$A:$O,10,FALSE)),"")</f>
        <v>6.03</v>
      </c>
      <c r="H146" s="121">
        <f>IFERROR(IF(VLOOKUP($A146,'Annex 2 EHV charges'!$A:$O,11,FALSE)=0,"",VLOOKUP($A146,'Annex 2 EHV charges'!$A:$O,11,FALSE)),"")</f>
        <v>6.03</v>
      </c>
    </row>
    <row r="147" spans="1:8" x14ac:dyDescent="0.2">
      <c r="A147" s="114">
        <f t="array" ref="A147">IFERROR(INDEX('Annex 2 EHV charges'!$A$11:$A$259, MATCH(0, IF(ISBLANK('Annex 2 EHV charges'!$A$11:$A$259),1, COUNTIF(A$4:$A146, 'Annex 2 EHV charges'!$A$11:$A$259)), 0)),"")</f>
        <v>361</v>
      </c>
      <c r="B147" s="114">
        <f>IF($A147="","",VLOOKUP($A147,'Annex 2 EHV charges'!$A:$O,2,0))</f>
        <v>361</v>
      </c>
      <c r="C147" s="115">
        <f>IF($A147="","",VLOOKUP($A147,'Annex 2 EHV charges'!$A:$O,3,0))</f>
        <v>1300035359901</v>
      </c>
      <c r="D147" s="114" t="str">
        <f>IF($A147="","",VLOOKUP($A147,'Annex 2 EHV charges'!$A:$O,7,0))</f>
        <v>Owens Corning UK</v>
      </c>
      <c r="E147" s="119">
        <f>IFERROR(IF(VLOOKUP($A147,'Annex 2 EHV charges'!$A:$O,8,FALSE)=0,"",VLOOKUP($A147,'Annex 2 EHV charges'!$A:$O,8,FALSE)),"")</f>
        <v>0.16600000000000001</v>
      </c>
      <c r="F147" s="120">
        <f>IFERROR(IF(VLOOKUP($A147,'Annex 2 EHV charges'!$A:$O,9,FALSE)=0,"",VLOOKUP($A147,'Annex 2 EHV charges'!$A:$O,9,FALSE)),"")</f>
        <v>210.51</v>
      </c>
      <c r="G147" s="121">
        <f>IFERROR(IF(VLOOKUP($A147,'Annex 2 EHV charges'!$A:$O,10,FALSE)=0,"",VLOOKUP($A147,'Annex 2 EHV charges'!$A:$O,10,FALSE)),"")</f>
        <v>9.24</v>
      </c>
      <c r="H147" s="121">
        <f>IFERROR(IF(VLOOKUP($A147,'Annex 2 EHV charges'!$A:$O,11,FALSE)=0,"",VLOOKUP($A147,'Annex 2 EHV charges'!$A:$O,11,FALSE)),"")</f>
        <v>9.24</v>
      </c>
    </row>
    <row r="148" spans="1:8" x14ac:dyDescent="0.2">
      <c r="A148" s="114">
        <f t="array" ref="A148">IFERROR(INDEX('Annex 2 EHV charges'!$A$11:$A$259, MATCH(0, IF(ISBLANK('Annex 2 EHV charges'!$A$11:$A$259),1, COUNTIF(A$4:$A147, 'Annex 2 EHV charges'!$A$11:$A$259)), 0)),"")</f>
        <v>362</v>
      </c>
      <c r="B148" s="114">
        <f>IF($A148="","",VLOOKUP($A148,'Annex 2 EHV charges'!$A:$O,2,0))</f>
        <v>362</v>
      </c>
      <c r="C148" s="115">
        <f>IF($A148="","",VLOOKUP($A148,'Annex 2 EHV charges'!$A:$O,3,0))</f>
        <v>1300035360181</v>
      </c>
      <c r="D148" s="114" t="str">
        <f>IF($A148="","",VLOOKUP($A148,'Annex 2 EHV charges'!$A:$O,7,0))</f>
        <v>Cadbury Schweppes Plc</v>
      </c>
      <c r="E148" s="119">
        <f>IFERROR(IF(VLOOKUP($A148,'Annex 2 EHV charges'!$A:$O,8,FALSE)=0,"",VLOOKUP($A148,'Annex 2 EHV charges'!$A:$O,8,FALSE)),"")</f>
        <v>0.28199999999999997</v>
      </c>
      <c r="F148" s="120">
        <f>IFERROR(IF(VLOOKUP($A148,'Annex 2 EHV charges'!$A:$O,9,FALSE)=0,"",VLOOKUP($A148,'Annex 2 EHV charges'!$A:$O,9,FALSE)),"")</f>
        <v>210.51</v>
      </c>
      <c r="G148" s="121">
        <f>IFERROR(IF(VLOOKUP($A148,'Annex 2 EHV charges'!$A:$O,10,FALSE)=0,"",VLOOKUP($A148,'Annex 2 EHV charges'!$A:$O,10,FALSE)),"")</f>
        <v>15.55</v>
      </c>
      <c r="H148" s="121">
        <f>IFERROR(IF(VLOOKUP($A148,'Annex 2 EHV charges'!$A:$O,11,FALSE)=0,"",VLOOKUP($A148,'Annex 2 EHV charges'!$A:$O,11,FALSE)),"")</f>
        <v>15.55</v>
      </c>
    </row>
    <row r="149" spans="1:8" x14ac:dyDescent="0.2">
      <c r="A149" s="114">
        <f t="array" ref="A149">IFERROR(INDEX('Annex 2 EHV charges'!$A$11:$A$259, MATCH(0, IF(ISBLANK('Annex 2 EHV charges'!$A$11:$A$259),1, COUNTIF(A$4:$A148, 'Annex 2 EHV charges'!$A$11:$A$259)), 0)),"")</f>
        <v>363</v>
      </c>
      <c r="B149" s="114">
        <f>IF($A149="","",VLOOKUP($A149,'Annex 2 EHV charges'!$A:$O,2,0))</f>
        <v>363</v>
      </c>
      <c r="C149" s="115">
        <f>IF($A149="","",VLOOKUP($A149,'Annex 2 EHV charges'!$A:$O,3,0))</f>
        <v>1300035360580</v>
      </c>
      <c r="D149" s="114" t="str">
        <f>IF($A149="","",VLOOKUP($A149,'Annex 2 EHV charges'!$A:$O,7,0))</f>
        <v>Kelloggs Company Of GB Ltd</v>
      </c>
      <c r="E149" s="119" t="str">
        <f>IFERROR(IF(VLOOKUP($A149,'Annex 2 EHV charges'!$A:$O,8,FALSE)=0,"",VLOOKUP($A149,'Annex 2 EHV charges'!$A:$O,8,FALSE)),"")</f>
        <v/>
      </c>
      <c r="F149" s="120">
        <f>IFERROR(IF(VLOOKUP($A149,'Annex 2 EHV charges'!$A:$O,9,FALSE)=0,"",VLOOKUP($A149,'Annex 2 EHV charges'!$A:$O,9,FALSE)),"")</f>
        <v>210.51</v>
      </c>
      <c r="G149" s="121">
        <f>IFERROR(IF(VLOOKUP($A149,'Annex 2 EHV charges'!$A:$O,10,FALSE)=0,"",VLOOKUP($A149,'Annex 2 EHV charges'!$A:$O,10,FALSE)),"")</f>
        <v>8.39</v>
      </c>
      <c r="H149" s="121">
        <f>IFERROR(IF(VLOOKUP($A149,'Annex 2 EHV charges'!$A:$O,11,FALSE)=0,"",VLOOKUP($A149,'Annex 2 EHV charges'!$A:$O,11,FALSE)),"")</f>
        <v>8.39</v>
      </c>
    </row>
    <row r="150" spans="1:8" x14ac:dyDescent="0.2">
      <c r="A150" s="114">
        <f t="array" ref="A150">IFERROR(INDEX('Annex 2 EHV charges'!$A$11:$A$259, MATCH(0, IF(ISBLANK('Annex 2 EHV charges'!$A$11:$A$259),1, COUNTIF(A$4:$A149, 'Annex 2 EHV charges'!$A$11:$A$259)), 0)),"")</f>
        <v>364</v>
      </c>
      <c r="B150" s="114">
        <f>IF($A150="","",VLOOKUP($A150,'Annex 2 EHV charges'!$A:$O,2,0))</f>
        <v>364</v>
      </c>
      <c r="C150" s="115">
        <f>IF($A150="","",VLOOKUP($A150,'Annex 2 EHV charges'!$A:$O,3,0))</f>
        <v>1300035360679</v>
      </c>
      <c r="D150" s="114" t="str">
        <f>IF($A150="","",VLOOKUP($A150,'Annex 2 EHV charges'!$A:$O,7,0))</f>
        <v>Bryn Lane Properties Llp</v>
      </c>
      <c r="E150" s="119" t="str">
        <f>IFERROR(IF(VLOOKUP($A150,'Annex 2 EHV charges'!$A:$O,8,FALSE)=0,"",VLOOKUP($A150,'Annex 2 EHV charges'!$A:$O,8,FALSE)),"")</f>
        <v/>
      </c>
      <c r="F150" s="120">
        <f>IFERROR(IF(VLOOKUP($A150,'Annex 2 EHV charges'!$A:$O,9,FALSE)=0,"",VLOOKUP($A150,'Annex 2 EHV charges'!$A:$O,9,FALSE)),"")</f>
        <v>1138.6300000000001</v>
      </c>
      <c r="G150" s="121">
        <f>IFERROR(IF(VLOOKUP($A150,'Annex 2 EHV charges'!$A:$O,10,FALSE)=0,"",VLOOKUP($A150,'Annex 2 EHV charges'!$A:$O,10,FALSE)),"")</f>
        <v>2.14</v>
      </c>
      <c r="H150" s="121">
        <f>IFERROR(IF(VLOOKUP($A150,'Annex 2 EHV charges'!$A:$O,11,FALSE)=0,"",VLOOKUP($A150,'Annex 2 EHV charges'!$A:$O,11,FALSE)),"")</f>
        <v>2.14</v>
      </c>
    </row>
    <row r="151" spans="1:8" x14ac:dyDescent="0.2">
      <c r="A151" s="114">
        <f t="array" ref="A151">IFERROR(INDEX('Annex 2 EHV charges'!$A$11:$A$259, MATCH(0, IF(ISBLANK('Annex 2 EHV charges'!$A$11:$A$259),1, COUNTIF(A$4:$A150, 'Annex 2 EHV charges'!$A$11:$A$259)), 0)),"")</f>
        <v>365</v>
      </c>
      <c r="B151" s="114">
        <f>IF($A151="","",VLOOKUP($A151,'Annex 2 EHV charges'!$A:$O,2,0))</f>
        <v>365</v>
      </c>
      <c r="C151" s="115">
        <f>IF($A151="","",VLOOKUP($A151,'Annex 2 EHV charges'!$A:$O,3,0))</f>
        <v>1300035360688</v>
      </c>
      <c r="D151" s="114" t="str">
        <f>IF($A151="","",VLOOKUP($A151,'Annex 2 EHV charges'!$A:$O,7,0))</f>
        <v>BICC Wrexham</v>
      </c>
      <c r="E151" s="119" t="str">
        <f>IFERROR(IF(VLOOKUP($A151,'Annex 2 EHV charges'!$A:$O,8,FALSE)=0,"",VLOOKUP($A151,'Annex 2 EHV charges'!$A:$O,8,FALSE)),"")</f>
        <v/>
      </c>
      <c r="F151" s="120">
        <f>IFERROR(IF(VLOOKUP($A151,'Annex 2 EHV charges'!$A:$O,9,FALSE)=0,"",VLOOKUP($A151,'Annex 2 EHV charges'!$A:$O,9,FALSE)),"")</f>
        <v>210.51</v>
      </c>
      <c r="G151" s="121">
        <f>IFERROR(IF(VLOOKUP($A151,'Annex 2 EHV charges'!$A:$O,10,FALSE)=0,"",VLOOKUP($A151,'Annex 2 EHV charges'!$A:$O,10,FALSE)),"")</f>
        <v>9.41</v>
      </c>
      <c r="H151" s="121">
        <f>IFERROR(IF(VLOOKUP($A151,'Annex 2 EHV charges'!$A:$O,11,FALSE)=0,"",VLOOKUP($A151,'Annex 2 EHV charges'!$A:$O,11,FALSE)),"")</f>
        <v>9.41</v>
      </c>
    </row>
    <row r="152" spans="1:8" x14ac:dyDescent="0.2">
      <c r="A152" s="114">
        <f t="array" ref="A152">IFERROR(INDEX('Annex 2 EHV charges'!$A$11:$A$259, MATCH(0, IF(ISBLANK('Annex 2 EHV charges'!$A$11:$A$259),1, COUNTIF(A$4:$A151, 'Annex 2 EHV charges'!$A$11:$A$259)), 0)),"")</f>
        <v>366</v>
      </c>
      <c r="B152" s="114">
        <f>IF($A152="","",VLOOKUP($A152,'Annex 2 EHV charges'!$A:$O,2,0))</f>
        <v>366</v>
      </c>
      <c r="C152" s="115">
        <f>IF($A152="","",VLOOKUP($A152,'Annex 2 EHV charges'!$A:$O,3,0))</f>
        <v>1300035361130</v>
      </c>
      <c r="D152" s="114" t="str">
        <f>IF($A152="","",VLOOKUP($A152,'Annex 2 EHV charges'!$A:$O,7,0))</f>
        <v>M&amp;S Financial Services</v>
      </c>
      <c r="E152" s="119">
        <f>IFERROR(IF(VLOOKUP($A152,'Annex 2 EHV charges'!$A:$O,8,FALSE)=0,"",VLOOKUP($A152,'Annex 2 EHV charges'!$A:$O,8,FALSE)),"")</f>
        <v>1.405</v>
      </c>
      <c r="F152" s="120">
        <f>IFERROR(IF(VLOOKUP($A152,'Annex 2 EHV charges'!$A:$O,9,FALSE)=0,"",VLOOKUP($A152,'Annex 2 EHV charges'!$A:$O,9,FALSE)),"")</f>
        <v>210.51</v>
      </c>
      <c r="G152" s="121">
        <f>IFERROR(IF(VLOOKUP($A152,'Annex 2 EHV charges'!$A:$O,10,FALSE)=0,"",VLOOKUP($A152,'Annex 2 EHV charges'!$A:$O,10,FALSE)),"")</f>
        <v>7.82</v>
      </c>
      <c r="H152" s="121">
        <f>IFERROR(IF(VLOOKUP($A152,'Annex 2 EHV charges'!$A:$O,11,FALSE)=0,"",VLOOKUP($A152,'Annex 2 EHV charges'!$A:$O,11,FALSE)),"")</f>
        <v>7.82</v>
      </c>
    </row>
    <row r="153" spans="1:8" x14ac:dyDescent="0.2">
      <c r="A153" s="114">
        <f t="array" ref="A153">IFERROR(INDEX('Annex 2 EHV charges'!$A$11:$A$259, MATCH(0, IF(ISBLANK('Annex 2 EHV charges'!$A$11:$A$259),1, COUNTIF(A$4:$A152, 'Annex 2 EHV charges'!$A$11:$A$259)), 0)),"")</f>
        <v>367</v>
      </c>
      <c r="B153" s="114">
        <f>IF($A153="","",VLOOKUP($A153,'Annex 2 EHV charges'!$A:$O,2,0))</f>
        <v>367</v>
      </c>
      <c r="C153" s="115">
        <f>IF($A153="","",VLOOKUP($A153,'Annex 2 EHV charges'!$A:$O,3,0))</f>
        <v>1300035361812</v>
      </c>
      <c r="D153" s="114" t="str">
        <f>IF($A153="","",VLOOKUP($A153,'Annex 2 EHV charges'!$A:$O,7,0))</f>
        <v>Element Six Production Ltd</v>
      </c>
      <c r="E153" s="119">
        <f>IFERROR(IF(VLOOKUP($A153,'Annex 2 EHV charges'!$A:$O,8,FALSE)=0,"",VLOOKUP($A153,'Annex 2 EHV charges'!$A:$O,8,FALSE)),"")</f>
        <v>0.36599999999999999</v>
      </c>
      <c r="F153" s="120">
        <f>IFERROR(IF(VLOOKUP($A153,'Annex 2 EHV charges'!$A:$O,9,FALSE)=0,"",VLOOKUP($A153,'Annex 2 EHV charges'!$A:$O,9,FALSE)),"")</f>
        <v>210.51</v>
      </c>
      <c r="G153" s="121">
        <f>IFERROR(IF(VLOOKUP($A153,'Annex 2 EHV charges'!$A:$O,10,FALSE)=0,"",VLOOKUP($A153,'Annex 2 EHV charges'!$A:$O,10,FALSE)),"")</f>
        <v>2.68</v>
      </c>
      <c r="H153" s="121">
        <f>IFERROR(IF(VLOOKUP($A153,'Annex 2 EHV charges'!$A:$O,11,FALSE)=0,"",VLOOKUP($A153,'Annex 2 EHV charges'!$A:$O,11,FALSE)),"")</f>
        <v>2.68</v>
      </c>
    </row>
    <row r="154" spans="1:8" x14ac:dyDescent="0.2">
      <c r="A154" s="114">
        <f t="array" ref="A154">IFERROR(INDEX('Annex 2 EHV charges'!$A$11:$A$259, MATCH(0, IF(ISBLANK('Annex 2 EHV charges'!$A$11:$A$259),1, COUNTIF(A$4:$A153, 'Annex 2 EHV charges'!$A$11:$A$259)), 0)),"")</f>
        <v>368</v>
      </c>
      <c r="B154" s="114">
        <f>IF($A154="","",VLOOKUP($A154,'Annex 2 EHV charges'!$A:$O,2,0))</f>
        <v>368</v>
      </c>
      <c r="C154" s="115">
        <f>IF($A154="","",VLOOKUP($A154,'Annex 2 EHV charges'!$A:$O,3,0))</f>
        <v>1300035361983</v>
      </c>
      <c r="D154" s="114" t="str">
        <f>IF($A154="","",VLOOKUP($A154,'Annex 2 EHV charges'!$A:$O,7,0))</f>
        <v>Barry Callebaut (Uk) Ltd</v>
      </c>
      <c r="E154" s="119">
        <f>IFERROR(IF(VLOOKUP($A154,'Annex 2 EHV charges'!$A:$O,8,FALSE)=0,"",VLOOKUP($A154,'Annex 2 EHV charges'!$A:$O,8,FALSE)),"")</f>
        <v>1.514</v>
      </c>
      <c r="F154" s="120">
        <f>IFERROR(IF(VLOOKUP($A154,'Annex 2 EHV charges'!$A:$O,9,FALSE)=0,"",VLOOKUP($A154,'Annex 2 EHV charges'!$A:$O,9,FALSE)),"")</f>
        <v>210.51</v>
      </c>
      <c r="G154" s="121">
        <f>IFERROR(IF(VLOOKUP($A154,'Annex 2 EHV charges'!$A:$O,10,FALSE)=0,"",VLOOKUP($A154,'Annex 2 EHV charges'!$A:$O,10,FALSE)),"")</f>
        <v>3.09</v>
      </c>
      <c r="H154" s="121">
        <f>IFERROR(IF(VLOOKUP($A154,'Annex 2 EHV charges'!$A:$O,11,FALSE)=0,"",VLOOKUP($A154,'Annex 2 EHV charges'!$A:$O,11,FALSE)),"")</f>
        <v>3.09</v>
      </c>
    </row>
    <row r="155" spans="1:8" x14ac:dyDescent="0.2">
      <c r="A155" s="114">
        <f t="array" ref="A155">IFERROR(INDEX('Annex 2 EHV charges'!$A$11:$A$259, MATCH(0, IF(ISBLANK('Annex 2 EHV charges'!$A$11:$A$259),1, COUNTIF(A$4:$A154, 'Annex 2 EHV charges'!$A$11:$A$259)), 0)),"")</f>
        <v>369</v>
      </c>
      <c r="B155" s="114">
        <f>IF($A155="","",VLOOKUP($A155,'Annex 2 EHV charges'!$A:$O,2,0))</f>
        <v>369</v>
      </c>
      <c r="C155" s="115">
        <f>IF($A155="","",VLOOKUP($A155,'Annex 2 EHV charges'!$A:$O,3,0))</f>
        <v>1300035362295</v>
      </c>
      <c r="D155" s="114" t="str">
        <f>IF($A155="","",VLOOKUP($A155,'Annex 2 EHV charges'!$A:$O,7,0))</f>
        <v>Caparo Steel Products Ltd</v>
      </c>
      <c r="E155" s="119" t="str">
        <f>IFERROR(IF(VLOOKUP($A155,'Annex 2 EHV charges'!$A:$O,8,FALSE)=0,"",VLOOKUP($A155,'Annex 2 EHV charges'!$A:$O,8,FALSE)),"")</f>
        <v/>
      </c>
      <c r="F155" s="120">
        <f>IFERROR(IF(VLOOKUP($A155,'Annex 2 EHV charges'!$A:$O,9,FALSE)=0,"",VLOOKUP($A155,'Annex 2 EHV charges'!$A:$O,9,FALSE)),"")</f>
        <v>210.51</v>
      </c>
      <c r="G155" s="121">
        <f>IFERROR(IF(VLOOKUP($A155,'Annex 2 EHV charges'!$A:$O,10,FALSE)=0,"",VLOOKUP($A155,'Annex 2 EHV charges'!$A:$O,10,FALSE)),"")</f>
        <v>1.99</v>
      </c>
      <c r="H155" s="121">
        <f>IFERROR(IF(VLOOKUP($A155,'Annex 2 EHV charges'!$A:$O,11,FALSE)=0,"",VLOOKUP($A155,'Annex 2 EHV charges'!$A:$O,11,FALSE)),"")</f>
        <v>1.99</v>
      </c>
    </row>
    <row r="156" spans="1:8" x14ac:dyDescent="0.2">
      <c r="A156" s="114">
        <f t="array" ref="A156">IFERROR(INDEX('Annex 2 EHV charges'!$A$11:$A$259, MATCH(0, IF(ISBLANK('Annex 2 EHV charges'!$A$11:$A$259),1, COUNTIF(A$4:$A155, 'Annex 2 EHV charges'!$A$11:$A$259)), 0)),"")</f>
        <v>370</v>
      </c>
      <c r="B156" s="114">
        <f>IF($A156="","",VLOOKUP($A156,'Annex 2 EHV charges'!$A:$O,2,0))</f>
        <v>370</v>
      </c>
      <c r="C156" s="115">
        <f>IF($A156="","",VLOOKUP($A156,'Annex 2 EHV charges'!$A:$O,3,0))</f>
        <v>1300035362700</v>
      </c>
      <c r="D156" s="114" t="str">
        <f>IF($A156="","",VLOOKUP($A156,'Annex 2 EHV charges'!$A:$O,7,0))</f>
        <v>Thermal Ceramics Ltd</v>
      </c>
      <c r="E156" s="119">
        <f>IFERROR(IF(VLOOKUP($A156,'Annex 2 EHV charges'!$A:$O,8,FALSE)=0,"",VLOOKUP($A156,'Annex 2 EHV charges'!$A:$O,8,FALSE)),"")</f>
        <v>0.77100000000000002</v>
      </c>
      <c r="F156" s="120">
        <f>IFERROR(IF(VLOOKUP($A156,'Annex 2 EHV charges'!$A:$O,9,FALSE)=0,"",VLOOKUP($A156,'Annex 2 EHV charges'!$A:$O,9,FALSE)),"")</f>
        <v>210.51</v>
      </c>
      <c r="G156" s="121">
        <f>IFERROR(IF(VLOOKUP($A156,'Annex 2 EHV charges'!$A:$O,10,FALSE)=0,"",VLOOKUP($A156,'Annex 2 EHV charges'!$A:$O,10,FALSE)),"")</f>
        <v>3.46</v>
      </c>
      <c r="H156" s="121">
        <f>IFERROR(IF(VLOOKUP($A156,'Annex 2 EHV charges'!$A:$O,11,FALSE)=0,"",VLOOKUP($A156,'Annex 2 EHV charges'!$A:$O,11,FALSE)),"")</f>
        <v>3.46</v>
      </c>
    </row>
    <row r="157" spans="1:8" x14ac:dyDescent="0.2">
      <c r="A157" s="114">
        <f t="array" ref="A157">IFERROR(INDEX('Annex 2 EHV charges'!$A$11:$A$259, MATCH(0, IF(ISBLANK('Annex 2 EHV charges'!$A$11:$A$259),1, COUNTIF(A$4:$A156, 'Annex 2 EHV charges'!$A$11:$A$259)), 0)),"")</f>
        <v>371</v>
      </c>
      <c r="B157" s="114">
        <f>IF($A157="","",VLOOKUP($A157,'Annex 2 EHV charges'!$A:$O,2,0))</f>
        <v>371</v>
      </c>
      <c r="C157" s="115">
        <f>IF($A157="","",VLOOKUP($A157,'Annex 2 EHV charges'!$A:$O,3,0))</f>
        <v>1300035362904</v>
      </c>
      <c r="D157" s="114" t="str">
        <f>IF($A157="","",VLOOKUP($A157,'Annex 2 EHV charges'!$A:$O,7,0))</f>
        <v>Egerton Dock</v>
      </c>
      <c r="E157" s="119">
        <f>IFERROR(IF(VLOOKUP($A157,'Annex 2 EHV charges'!$A:$O,8,FALSE)=0,"",VLOOKUP($A157,'Annex 2 EHV charges'!$A:$O,8,FALSE)),"")</f>
        <v>0.995</v>
      </c>
      <c r="F157" s="120">
        <f>IFERROR(IF(VLOOKUP($A157,'Annex 2 EHV charges'!$A:$O,9,FALSE)=0,"",VLOOKUP($A157,'Annex 2 EHV charges'!$A:$O,9,FALSE)),"")</f>
        <v>19515.509999999998</v>
      </c>
      <c r="G157" s="121" t="str">
        <f>IFERROR(IF(VLOOKUP($A157,'Annex 2 EHV charges'!$A:$O,10,FALSE)=0,"",VLOOKUP($A157,'Annex 2 EHV charges'!$A:$O,10,FALSE)),"")</f>
        <v/>
      </c>
      <c r="H157" s="121" t="str">
        <f>IFERROR(IF(VLOOKUP($A157,'Annex 2 EHV charges'!$A:$O,11,FALSE)=0,"",VLOOKUP($A157,'Annex 2 EHV charges'!$A:$O,11,FALSE)),"")</f>
        <v/>
      </c>
    </row>
    <row r="158" spans="1:8" x14ac:dyDescent="0.2">
      <c r="A158" s="114">
        <f t="array" ref="A158">IFERROR(INDEX('Annex 2 EHV charges'!$A$11:$A$259, MATCH(0, IF(ISBLANK('Annex 2 EHV charges'!$A$11:$A$259),1, COUNTIF(A$4:$A157, 'Annex 2 EHV charges'!$A$11:$A$259)), 0)),"")</f>
        <v>372</v>
      </c>
      <c r="B158" s="114">
        <f>IF($A158="","",VLOOKUP($A158,'Annex 2 EHV charges'!$A:$O,2,0))</f>
        <v>372</v>
      </c>
      <c r="C158" s="115">
        <f>IF($A158="","",VLOOKUP($A158,'Annex 2 EHV charges'!$A:$O,3,0))</f>
        <v>1300035362978</v>
      </c>
      <c r="D158" s="114" t="str">
        <f>IF($A158="","",VLOOKUP($A158,'Annex 2 EHV charges'!$A:$O,7,0))</f>
        <v>Shell UK</v>
      </c>
      <c r="E158" s="119">
        <f>IFERROR(IF(VLOOKUP($A158,'Annex 2 EHV charges'!$A:$O,8,FALSE)=0,"",VLOOKUP($A158,'Annex 2 EHV charges'!$A:$O,8,FALSE)),"")</f>
        <v>1.0660000000000001</v>
      </c>
      <c r="F158" s="120">
        <f>IFERROR(IF(VLOOKUP($A158,'Annex 2 EHV charges'!$A:$O,9,FALSE)=0,"",VLOOKUP($A158,'Annex 2 EHV charges'!$A:$O,9,FALSE)),"")</f>
        <v>210.51</v>
      </c>
      <c r="G158" s="121">
        <f>IFERROR(IF(VLOOKUP($A158,'Annex 2 EHV charges'!$A:$O,10,FALSE)=0,"",VLOOKUP($A158,'Annex 2 EHV charges'!$A:$O,10,FALSE)),"")</f>
        <v>6.62</v>
      </c>
      <c r="H158" s="121">
        <f>IFERROR(IF(VLOOKUP($A158,'Annex 2 EHV charges'!$A:$O,11,FALSE)=0,"",VLOOKUP($A158,'Annex 2 EHV charges'!$A:$O,11,FALSE)),"")</f>
        <v>6.62</v>
      </c>
    </row>
    <row r="159" spans="1:8" x14ac:dyDescent="0.2">
      <c r="A159" s="114">
        <f t="array" ref="A159">IFERROR(INDEX('Annex 2 EHV charges'!$A$11:$A$259, MATCH(0, IF(ISBLANK('Annex 2 EHV charges'!$A$11:$A$259),1, COUNTIF(A$4:$A158, 'Annex 2 EHV charges'!$A$11:$A$259)), 0)),"")</f>
        <v>373</v>
      </c>
      <c r="B159" s="114">
        <f>IF($A159="","",VLOOKUP($A159,'Annex 2 EHV charges'!$A:$O,2,0))</f>
        <v>373</v>
      </c>
      <c r="C159" s="115">
        <f>IF($A159="","",VLOOKUP($A159,'Annex 2 EHV charges'!$A:$O,3,0))</f>
        <v>1300035363067</v>
      </c>
      <c r="D159" s="114" t="str">
        <f>IF($A159="","",VLOOKUP($A159,'Annex 2 EHV charges'!$A:$O,7,0))</f>
        <v>Mobil Sasol</v>
      </c>
      <c r="E159" s="119" t="str">
        <f>IFERROR(IF(VLOOKUP($A159,'Annex 2 EHV charges'!$A:$O,8,FALSE)=0,"",VLOOKUP($A159,'Annex 2 EHV charges'!$A:$O,8,FALSE)),"")</f>
        <v/>
      </c>
      <c r="F159" s="120">
        <f>IFERROR(IF(VLOOKUP($A159,'Annex 2 EHV charges'!$A:$O,9,FALSE)=0,"",VLOOKUP($A159,'Annex 2 EHV charges'!$A:$O,9,FALSE)),"")</f>
        <v>210.51</v>
      </c>
      <c r="G159" s="121">
        <f>IFERROR(IF(VLOOKUP($A159,'Annex 2 EHV charges'!$A:$O,10,FALSE)=0,"",VLOOKUP($A159,'Annex 2 EHV charges'!$A:$O,10,FALSE)),"")</f>
        <v>5.07</v>
      </c>
      <c r="H159" s="121">
        <f>IFERROR(IF(VLOOKUP($A159,'Annex 2 EHV charges'!$A:$O,11,FALSE)=0,"",VLOOKUP($A159,'Annex 2 EHV charges'!$A:$O,11,FALSE)),"")</f>
        <v>5.07</v>
      </c>
    </row>
    <row r="160" spans="1:8" x14ac:dyDescent="0.2">
      <c r="A160" s="114">
        <f t="array" ref="A160">IFERROR(INDEX('Annex 2 EHV charges'!$A$11:$A$259, MATCH(0, IF(ISBLANK('Annex 2 EHV charges'!$A$11:$A$259),1, COUNTIF(A$4:$A159, 'Annex 2 EHV charges'!$A$11:$A$259)), 0)),"")</f>
        <v>374</v>
      </c>
      <c r="B160" s="114">
        <f>IF($A160="","",VLOOKUP($A160,'Annex 2 EHV charges'!$A:$O,2,0))</f>
        <v>374</v>
      </c>
      <c r="C160" s="115">
        <f>IF($A160="","",VLOOKUP($A160,'Annex 2 EHV charges'!$A:$O,3,0))</f>
        <v>1300035363191</v>
      </c>
      <c r="D160" s="114" t="str">
        <f>IF($A160="","",VLOOKUP($A160,'Annex 2 EHV charges'!$A:$O,7,0))</f>
        <v>Burtons Foods Ltd</v>
      </c>
      <c r="E160" s="119" t="str">
        <f>IFERROR(IF(VLOOKUP($A160,'Annex 2 EHV charges'!$A:$O,8,FALSE)=0,"",VLOOKUP($A160,'Annex 2 EHV charges'!$A:$O,8,FALSE)),"")</f>
        <v/>
      </c>
      <c r="F160" s="120">
        <f>IFERROR(IF(VLOOKUP($A160,'Annex 2 EHV charges'!$A:$O,9,FALSE)=0,"",VLOOKUP($A160,'Annex 2 EHV charges'!$A:$O,9,FALSE)),"")</f>
        <v>210.51</v>
      </c>
      <c r="G160" s="121">
        <f>IFERROR(IF(VLOOKUP($A160,'Annex 2 EHV charges'!$A:$O,10,FALSE)=0,"",VLOOKUP($A160,'Annex 2 EHV charges'!$A:$O,10,FALSE)),"")</f>
        <v>9.57</v>
      </c>
      <c r="H160" s="121">
        <f>IFERROR(IF(VLOOKUP($A160,'Annex 2 EHV charges'!$A:$O,11,FALSE)=0,"",VLOOKUP($A160,'Annex 2 EHV charges'!$A:$O,11,FALSE)),"")</f>
        <v>9.57</v>
      </c>
    </row>
    <row r="161" spans="1:8" x14ac:dyDescent="0.2">
      <c r="A161" s="114">
        <f t="array" ref="A161">IFERROR(INDEX('Annex 2 EHV charges'!$A$11:$A$259, MATCH(0, IF(ISBLANK('Annex 2 EHV charges'!$A$11:$A$259),1, COUNTIF(A$4:$A160, 'Annex 2 EHV charges'!$A$11:$A$259)), 0)),"")</f>
        <v>375</v>
      </c>
      <c r="B161" s="114">
        <f>IF($A161="","",VLOOKUP($A161,'Annex 2 EHV charges'!$A:$O,2,0))</f>
        <v>375</v>
      </c>
      <c r="C161" s="115">
        <f>IF($A161="","",VLOOKUP($A161,'Annex 2 EHV charges'!$A:$O,3,0))</f>
        <v>1300035363225</v>
      </c>
      <c r="D161" s="114" t="str">
        <f>IF($A161="","",VLOOKUP($A161,'Annex 2 EHV charges'!$A:$O,7,0))</f>
        <v>Unilever UK</v>
      </c>
      <c r="E161" s="119">
        <f>IFERROR(IF(VLOOKUP($A161,'Annex 2 EHV charges'!$A:$O,8,FALSE)=0,"",VLOOKUP($A161,'Annex 2 EHV charges'!$A:$O,8,FALSE)),"")</f>
        <v>0.81200000000000006</v>
      </c>
      <c r="F161" s="120">
        <f>IFERROR(IF(VLOOKUP($A161,'Annex 2 EHV charges'!$A:$O,9,FALSE)=0,"",VLOOKUP($A161,'Annex 2 EHV charges'!$A:$O,9,FALSE)),"")</f>
        <v>210.51</v>
      </c>
      <c r="G161" s="121">
        <f>IFERROR(IF(VLOOKUP($A161,'Annex 2 EHV charges'!$A:$O,10,FALSE)=0,"",VLOOKUP($A161,'Annex 2 EHV charges'!$A:$O,10,FALSE)),"")</f>
        <v>5.0999999999999996</v>
      </c>
      <c r="H161" s="121">
        <f>IFERROR(IF(VLOOKUP($A161,'Annex 2 EHV charges'!$A:$O,11,FALSE)=0,"",VLOOKUP($A161,'Annex 2 EHV charges'!$A:$O,11,FALSE)),"")</f>
        <v>5.0999999999999996</v>
      </c>
    </row>
    <row r="162" spans="1:8" x14ac:dyDescent="0.2">
      <c r="A162" s="114">
        <f t="array" ref="A162">IFERROR(INDEX('Annex 2 EHV charges'!$A$11:$A$259, MATCH(0, IF(ISBLANK('Annex 2 EHV charges'!$A$11:$A$259),1, COUNTIF(A$4:$A161, 'Annex 2 EHV charges'!$A$11:$A$259)), 0)),"")</f>
        <v>376</v>
      </c>
      <c r="B162" s="114">
        <f>IF($A162="","",VLOOKUP($A162,'Annex 2 EHV charges'!$A:$O,2,0))</f>
        <v>376</v>
      </c>
      <c r="C162" s="115">
        <f>IF($A162="","",VLOOKUP($A162,'Annex 2 EHV charges'!$A:$O,3,0))</f>
        <v>1300035363252</v>
      </c>
      <c r="D162" s="114" t="str">
        <f>IF($A162="","",VLOOKUP($A162,'Annex 2 EHV charges'!$A:$O,7,0))</f>
        <v>Champion Properties LLP</v>
      </c>
      <c r="E162" s="119" t="str">
        <f>IFERROR(IF(VLOOKUP($A162,'Annex 2 EHV charges'!$A:$O,8,FALSE)=0,"",VLOOKUP($A162,'Annex 2 EHV charges'!$A:$O,8,FALSE)),"")</f>
        <v/>
      </c>
      <c r="F162" s="120">
        <f>IFERROR(IF(VLOOKUP($A162,'Annex 2 EHV charges'!$A:$O,9,FALSE)=0,"",VLOOKUP($A162,'Annex 2 EHV charges'!$A:$O,9,FALSE)),"")</f>
        <v>210.51</v>
      </c>
      <c r="G162" s="121">
        <f>IFERROR(IF(VLOOKUP($A162,'Annex 2 EHV charges'!$A:$O,10,FALSE)=0,"",VLOOKUP($A162,'Annex 2 EHV charges'!$A:$O,10,FALSE)),"")</f>
        <v>7.25</v>
      </c>
      <c r="H162" s="121">
        <f>IFERROR(IF(VLOOKUP($A162,'Annex 2 EHV charges'!$A:$O,11,FALSE)=0,"",VLOOKUP($A162,'Annex 2 EHV charges'!$A:$O,11,FALSE)),"")</f>
        <v>7.25</v>
      </c>
    </row>
    <row r="163" spans="1:8" x14ac:dyDescent="0.2">
      <c r="A163" s="114">
        <f t="array" ref="A163">IFERROR(INDEX('Annex 2 EHV charges'!$A$11:$A$259, MATCH(0, IF(ISBLANK('Annex 2 EHV charges'!$A$11:$A$259),1, COUNTIF(A$4:$A162, 'Annex 2 EHV charges'!$A$11:$A$259)), 0)),"")</f>
        <v>377</v>
      </c>
      <c r="B163" s="114">
        <f>IF($A163="","",VLOOKUP($A163,'Annex 2 EHV charges'!$A:$O,2,0))</f>
        <v>377</v>
      </c>
      <c r="C163" s="115">
        <f>IF($A163="","",VLOOKUP($A163,'Annex 2 EHV charges'!$A:$O,3,0))</f>
        <v>1300035363883</v>
      </c>
      <c r="D163" s="114" t="str">
        <f>IF($A163="","",VLOOKUP($A163,'Annex 2 EHV charges'!$A:$O,7,0))</f>
        <v>Nestle UK Ltd</v>
      </c>
      <c r="E163" s="119">
        <f>IFERROR(IF(VLOOKUP($A163,'Annex 2 EHV charges'!$A:$O,8,FALSE)=0,"",VLOOKUP($A163,'Annex 2 EHV charges'!$A:$O,8,FALSE)),"")</f>
        <v>0.93400000000000005</v>
      </c>
      <c r="F163" s="120">
        <f>IFERROR(IF(VLOOKUP($A163,'Annex 2 EHV charges'!$A:$O,9,FALSE)=0,"",VLOOKUP($A163,'Annex 2 EHV charges'!$A:$O,9,FALSE)),"")</f>
        <v>123.27</v>
      </c>
      <c r="G163" s="121">
        <f>IFERROR(IF(VLOOKUP($A163,'Annex 2 EHV charges'!$A:$O,10,FALSE)=0,"",VLOOKUP($A163,'Annex 2 EHV charges'!$A:$O,10,FALSE)),"")</f>
        <v>2.14</v>
      </c>
      <c r="H163" s="121">
        <f>IFERROR(IF(VLOOKUP($A163,'Annex 2 EHV charges'!$A:$O,11,FALSE)=0,"",VLOOKUP($A163,'Annex 2 EHV charges'!$A:$O,11,FALSE)),"")</f>
        <v>2.14</v>
      </c>
    </row>
    <row r="164" spans="1:8" x14ac:dyDescent="0.2">
      <c r="A164" s="114">
        <f t="array" ref="A164">IFERROR(INDEX('Annex 2 EHV charges'!$A$11:$A$259, MATCH(0, IF(ISBLANK('Annex 2 EHV charges'!$A$11:$A$259),1, COUNTIF(A$4:$A163, 'Annex 2 EHV charges'!$A$11:$A$259)), 0)),"")</f>
        <v>378</v>
      </c>
      <c r="B164" s="114">
        <f>IF($A164="","",VLOOKUP($A164,'Annex 2 EHV charges'!$A:$O,2,0))</f>
        <v>378</v>
      </c>
      <c r="C164" s="115">
        <f>IF($A164="","",VLOOKUP($A164,'Annex 2 EHV charges'!$A:$O,3,0))</f>
        <v>1300035364060</v>
      </c>
      <c r="D164" s="114" t="str">
        <f>IF($A164="","",VLOOKUP($A164,'Annex 2 EHV charges'!$A:$O,7,0))</f>
        <v>A&amp;P Falmouth Ltd</v>
      </c>
      <c r="E164" s="119">
        <f>IFERROR(IF(VLOOKUP($A164,'Annex 2 EHV charges'!$A:$O,8,FALSE)=0,"",VLOOKUP($A164,'Annex 2 EHV charges'!$A:$O,8,FALSE)),"")</f>
        <v>1.012</v>
      </c>
      <c r="F164" s="120">
        <f>IFERROR(IF(VLOOKUP($A164,'Annex 2 EHV charges'!$A:$O,9,FALSE)=0,"",VLOOKUP($A164,'Annex 2 EHV charges'!$A:$O,9,FALSE)),"")</f>
        <v>2066.75</v>
      </c>
      <c r="G164" s="121">
        <f>IFERROR(IF(VLOOKUP($A164,'Annex 2 EHV charges'!$A:$O,10,FALSE)=0,"",VLOOKUP($A164,'Annex 2 EHV charges'!$A:$O,10,FALSE)),"")</f>
        <v>6.77</v>
      </c>
      <c r="H164" s="121">
        <f>IFERROR(IF(VLOOKUP($A164,'Annex 2 EHV charges'!$A:$O,11,FALSE)=0,"",VLOOKUP($A164,'Annex 2 EHV charges'!$A:$O,11,FALSE)),"")</f>
        <v>6.77</v>
      </c>
    </row>
    <row r="165" spans="1:8" x14ac:dyDescent="0.2">
      <c r="A165" s="114">
        <f t="array" ref="A165">IFERROR(INDEX('Annex 2 EHV charges'!$A$11:$A$259, MATCH(0, IF(ISBLANK('Annex 2 EHV charges'!$A$11:$A$259),1, COUNTIF(A$4:$A164, 'Annex 2 EHV charges'!$A$11:$A$259)), 0)),"")</f>
        <v>379</v>
      </c>
      <c r="B165" s="114">
        <f>IF($A165="","",VLOOKUP($A165,'Annex 2 EHV charges'!$A:$O,2,0))</f>
        <v>379</v>
      </c>
      <c r="C165" s="115">
        <f>IF($A165="","",VLOOKUP($A165,'Annex 2 EHV charges'!$A:$O,3,0))</f>
        <v>1300035364177</v>
      </c>
      <c r="D165" s="114" t="str">
        <f>IF($A165="","",VLOOKUP($A165,'Annex 2 EHV charges'!$A:$O,7,0))</f>
        <v>Barclays Bank Plc</v>
      </c>
      <c r="E165" s="119">
        <f>IFERROR(IF(VLOOKUP($A165,'Annex 2 EHV charges'!$A:$O,8,FALSE)=0,"",VLOOKUP($A165,'Annex 2 EHV charges'!$A:$O,8,FALSE)),"")</f>
        <v>2.2989999999999999</v>
      </c>
      <c r="F165" s="120">
        <f>IFERROR(IF(VLOOKUP($A165,'Annex 2 EHV charges'!$A:$O,9,FALSE)=0,"",VLOOKUP($A165,'Annex 2 EHV charges'!$A:$O,9,FALSE)),"")</f>
        <v>210.51</v>
      </c>
      <c r="G165" s="121">
        <f>IFERROR(IF(VLOOKUP($A165,'Annex 2 EHV charges'!$A:$O,10,FALSE)=0,"",VLOOKUP($A165,'Annex 2 EHV charges'!$A:$O,10,FALSE)),"")</f>
        <v>13.46</v>
      </c>
      <c r="H165" s="121">
        <f>IFERROR(IF(VLOOKUP($A165,'Annex 2 EHV charges'!$A:$O,11,FALSE)=0,"",VLOOKUP($A165,'Annex 2 EHV charges'!$A:$O,11,FALSE)),"")</f>
        <v>13.46</v>
      </c>
    </row>
    <row r="166" spans="1:8" x14ac:dyDescent="0.2">
      <c r="A166" s="114">
        <f t="array" ref="A166">IFERROR(INDEX('Annex 2 EHV charges'!$A$11:$A$259, MATCH(0, IF(ISBLANK('Annex 2 EHV charges'!$A$11:$A$259),1, COUNTIF(A$4:$A165, 'Annex 2 EHV charges'!$A$11:$A$259)), 0)),"")</f>
        <v>380</v>
      </c>
      <c r="B166" s="114">
        <f>IF($A166="","",VLOOKUP($A166,'Annex 2 EHV charges'!$A:$O,2,0))</f>
        <v>380</v>
      </c>
      <c r="C166" s="115">
        <f>IF($A166="","",VLOOKUP($A166,'Annex 2 EHV charges'!$A:$O,3,0))</f>
        <v>1300035364256</v>
      </c>
      <c r="D166" s="114" t="str">
        <f>IF($A166="","",VLOOKUP($A166,'Annex 2 EHV charges'!$A:$O,7,0))</f>
        <v>Harman Technology Limited</v>
      </c>
      <c r="E166" s="119">
        <f>IFERROR(IF(VLOOKUP($A166,'Annex 2 EHV charges'!$A:$O,8,FALSE)=0,"",VLOOKUP($A166,'Annex 2 EHV charges'!$A:$O,8,FALSE)),"")</f>
        <v>2.367</v>
      </c>
      <c r="F166" s="120">
        <f>IFERROR(IF(VLOOKUP($A166,'Annex 2 EHV charges'!$A:$O,9,FALSE)=0,"",VLOOKUP($A166,'Annex 2 EHV charges'!$A:$O,9,FALSE)),"")</f>
        <v>210.51</v>
      </c>
      <c r="G166" s="121">
        <f>IFERROR(IF(VLOOKUP($A166,'Annex 2 EHV charges'!$A:$O,10,FALSE)=0,"",VLOOKUP($A166,'Annex 2 EHV charges'!$A:$O,10,FALSE)),"")</f>
        <v>7.77</v>
      </c>
      <c r="H166" s="121">
        <f>IFERROR(IF(VLOOKUP($A166,'Annex 2 EHV charges'!$A:$O,11,FALSE)=0,"",VLOOKUP($A166,'Annex 2 EHV charges'!$A:$O,11,FALSE)),"")</f>
        <v>7.77</v>
      </c>
    </row>
    <row r="167" spans="1:8" x14ac:dyDescent="0.2">
      <c r="A167" s="114">
        <f t="array" ref="A167">IFERROR(INDEX('Annex 2 EHV charges'!$A$11:$A$259, MATCH(0, IF(ISBLANK('Annex 2 EHV charges'!$A$11:$A$259),1, COUNTIF(A$4:$A166, 'Annex 2 EHV charges'!$A$11:$A$259)), 0)),"")</f>
        <v>381</v>
      </c>
      <c r="B167" s="114">
        <f>IF($A167="","",VLOOKUP($A167,'Annex 2 EHV charges'!$A:$O,2,0))</f>
        <v>381</v>
      </c>
      <c r="C167" s="115">
        <f>IF($A167="","",VLOOKUP($A167,'Annex 2 EHV charges'!$A:$O,3,0))</f>
        <v>1300035364432</v>
      </c>
      <c r="D167" s="114" t="str">
        <f>IF($A167="","",VLOOKUP($A167,'Annex 2 EHV charges'!$A:$O,7,0))</f>
        <v xml:space="preserve">Twyfords Bathrooms </v>
      </c>
      <c r="E167" s="119">
        <f>IFERROR(IF(VLOOKUP($A167,'Annex 2 EHV charges'!$A:$O,8,FALSE)=0,"",VLOOKUP($A167,'Annex 2 EHV charges'!$A:$O,8,FALSE)),"")</f>
        <v>1.839</v>
      </c>
      <c r="F167" s="120">
        <f>IFERROR(IF(VLOOKUP($A167,'Annex 2 EHV charges'!$A:$O,9,FALSE)=0,"",VLOOKUP($A167,'Annex 2 EHV charges'!$A:$O,9,FALSE)),"")</f>
        <v>210.51</v>
      </c>
      <c r="G167" s="121">
        <f>IFERROR(IF(VLOOKUP($A167,'Annex 2 EHV charges'!$A:$O,10,FALSE)=0,"",VLOOKUP($A167,'Annex 2 EHV charges'!$A:$O,10,FALSE)),"")</f>
        <v>5.97</v>
      </c>
      <c r="H167" s="121">
        <f>IFERROR(IF(VLOOKUP($A167,'Annex 2 EHV charges'!$A:$O,11,FALSE)=0,"",VLOOKUP($A167,'Annex 2 EHV charges'!$A:$O,11,FALSE)),"")</f>
        <v>5.97</v>
      </c>
    </row>
    <row r="168" spans="1:8" x14ac:dyDescent="0.2">
      <c r="A168" s="114">
        <f t="array" ref="A168">IFERROR(INDEX('Annex 2 EHV charges'!$A$11:$A$259, MATCH(0, IF(ISBLANK('Annex 2 EHV charges'!$A$11:$A$259),1, COUNTIF(A$4:$A167, 'Annex 2 EHV charges'!$A$11:$A$259)), 0)),"")</f>
        <v>382</v>
      </c>
      <c r="B168" s="114">
        <f>IF($A168="","",VLOOKUP($A168,'Annex 2 EHV charges'!$A:$O,2,0))</f>
        <v>382</v>
      </c>
      <c r="C168" s="115">
        <f>IF($A168="","",VLOOKUP($A168,'Annex 2 EHV charges'!$A:$O,3,0))</f>
        <v>1300035364646</v>
      </c>
      <c r="D168" s="114" t="str">
        <f>IF($A168="","",VLOOKUP($A168,'Annex 2 EHV charges'!$A:$O,7,0))</f>
        <v>Morning Foods Limited</v>
      </c>
      <c r="E168" s="119">
        <f>IFERROR(IF(VLOOKUP($A168,'Annex 2 EHV charges'!$A:$O,8,FALSE)=0,"",VLOOKUP($A168,'Annex 2 EHV charges'!$A:$O,8,FALSE)),"")</f>
        <v>1.8280000000000001</v>
      </c>
      <c r="F168" s="120">
        <f>IFERROR(IF(VLOOKUP($A168,'Annex 2 EHV charges'!$A:$O,9,FALSE)=0,"",VLOOKUP($A168,'Annex 2 EHV charges'!$A:$O,9,FALSE)),"")</f>
        <v>210.51</v>
      </c>
      <c r="G168" s="121">
        <f>IFERROR(IF(VLOOKUP($A168,'Annex 2 EHV charges'!$A:$O,10,FALSE)=0,"",VLOOKUP($A168,'Annex 2 EHV charges'!$A:$O,10,FALSE)),"")</f>
        <v>9.99</v>
      </c>
      <c r="H168" s="121">
        <f>IFERROR(IF(VLOOKUP($A168,'Annex 2 EHV charges'!$A:$O,11,FALSE)=0,"",VLOOKUP($A168,'Annex 2 EHV charges'!$A:$O,11,FALSE)),"")</f>
        <v>9.99</v>
      </c>
    </row>
    <row r="169" spans="1:8" x14ac:dyDescent="0.2">
      <c r="A169" s="114">
        <f t="array" ref="A169">IFERROR(INDEX('Annex 2 EHV charges'!$A$11:$A$259, MATCH(0, IF(ISBLANK('Annex 2 EHV charges'!$A$11:$A$259),1, COUNTIF(A$4:$A168, 'Annex 2 EHV charges'!$A$11:$A$259)), 0)),"")</f>
        <v>383</v>
      </c>
      <c r="B169" s="114">
        <f>IF($A169="","",VLOOKUP($A169,'Annex 2 EHV charges'!$A:$O,2,0))</f>
        <v>383</v>
      </c>
      <c r="C169" s="115">
        <f>IF($A169="","",VLOOKUP($A169,'Annex 2 EHV charges'!$A:$O,3,0))</f>
        <v>1300035364822</v>
      </c>
      <c r="D169" s="114" t="str">
        <f>IF($A169="","",VLOOKUP($A169,'Annex 2 EHV charges'!$A:$O,7,0))</f>
        <v>Fisons</v>
      </c>
      <c r="E169" s="119">
        <f>IFERROR(IF(VLOOKUP($A169,'Annex 2 EHV charges'!$A:$O,8,FALSE)=0,"",VLOOKUP($A169,'Annex 2 EHV charges'!$A:$O,8,FALSE)),"")</f>
        <v>2.3490000000000002</v>
      </c>
      <c r="F169" s="120">
        <f>IFERROR(IF(VLOOKUP($A169,'Annex 2 EHV charges'!$A:$O,9,FALSE)=0,"",VLOOKUP($A169,'Annex 2 EHV charges'!$A:$O,9,FALSE)),"")</f>
        <v>210.51</v>
      </c>
      <c r="G169" s="121">
        <f>IFERROR(IF(VLOOKUP($A169,'Annex 2 EHV charges'!$A:$O,10,FALSE)=0,"",VLOOKUP($A169,'Annex 2 EHV charges'!$A:$O,10,FALSE)),"")</f>
        <v>8.1199999999999992</v>
      </c>
      <c r="H169" s="121">
        <f>IFERROR(IF(VLOOKUP($A169,'Annex 2 EHV charges'!$A:$O,11,FALSE)=0,"",VLOOKUP($A169,'Annex 2 EHV charges'!$A:$O,11,FALSE)),"")</f>
        <v>8.1199999999999992</v>
      </c>
    </row>
    <row r="170" spans="1:8" x14ac:dyDescent="0.2">
      <c r="A170" s="114">
        <f t="array" ref="A170">IFERROR(INDEX('Annex 2 EHV charges'!$A$11:$A$259, MATCH(0, IF(ISBLANK('Annex 2 EHV charges'!$A$11:$A$259),1, COUNTIF(A$4:$A169, 'Annex 2 EHV charges'!$A$11:$A$259)), 0)),"")</f>
        <v>384</v>
      </c>
      <c r="B170" s="114">
        <f>IF($A170="","",VLOOKUP($A170,'Annex 2 EHV charges'!$A:$O,2,0))</f>
        <v>384</v>
      </c>
      <c r="C170" s="115">
        <f>IF($A170="","",VLOOKUP($A170,'Annex 2 EHV charges'!$A:$O,3,0))</f>
        <v>1300035365161</v>
      </c>
      <c r="D170" s="114" t="str">
        <f>IF($A170="","",VLOOKUP($A170,'Annex 2 EHV charges'!$A:$O,7,0))</f>
        <v>N W F Ltd</v>
      </c>
      <c r="E170" s="119">
        <f>IFERROR(IF(VLOOKUP($A170,'Annex 2 EHV charges'!$A:$O,8,FALSE)=0,"",VLOOKUP($A170,'Annex 2 EHV charges'!$A:$O,8,FALSE)),"")</f>
        <v>1.841</v>
      </c>
      <c r="F170" s="120">
        <f>IFERROR(IF(VLOOKUP($A170,'Annex 2 EHV charges'!$A:$O,9,FALSE)=0,"",VLOOKUP($A170,'Annex 2 EHV charges'!$A:$O,9,FALSE)),"")</f>
        <v>210.51</v>
      </c>
      <c r="G170" s="121">
        <f>IFERROR(IF(VLOOKUP($A170,'Annex 2 EHV charges'!$A:$O,10,FALSE)=0,"",VLOOKUP($A170,'Annex 2 EHV charges'!$A:$O,10,FALSE)),"")</f>
        <v>16.32</v>
      </c>
      <c r="H170" s="121">
        <f>IFERROR(IF(VLOOKUP($A170,'Annex 2 EHV charges'!$A:$O,11,FALSE)=0,"",VLOOKUP($A170,'Annex 2 EHV charges'!$A:$O,11,FALSE)),"")</f>
        <v>16.32</v>
      </c>
    </row>
    <row r="171" spans="1:8" x14ac:dyDescent="0.2">
      <c r="A171" s="114">
        <f t="array" ref="A171">IFERROR(INDEX('Annex 2 EHV charges'!$A$11:$A$259, MATCH(0, IF(ISBLANK('Annex 2 EHV charges'!$A$11:$A$259),1, COUNTIF(A$4:$A170, 'Annex 2 EHV charges'!$A$11:$A$259)), 0)),"")</f>
        <v>385</v>
      </c>
      <c r="B171" s="114">
        <f>IF($A171="","",VLOOKUP($A171,'Annex 2 EHV charges'!$A:$O,2,0))</f>
        <v>385</v>
      </c>
      <c r="C171" s="115">
        <f>IF($A171="","",VLOOKUP($A171,'Annex 2 EHV charges'!$A:$O,3,0))</f>
        <v>1300035365240</v>
      </c>
      <c r="D171" s="114" t="str">
        <f>IF($A171="","",VLOOKUP($A171,'Annex 2 EHV charges'!$A:$O,7,0))</f>
        <v>Linpac Wcb</v>
      </c>
      <c r="E171" s="119">
        <f>IFERROR(IF(VLOOKUP($A171,'Annex 2 EHV charges'!$A:$O,8,FALSE)=0,"",VLOOKUP($A171,'Annex 2 EHV charges'!$A:$O,8,FALSE)),"")</f>
        <v>2.415</v>
      </c>
      <c r="F171" s="120">
        <f>IFERROR(IF(VLOOKUP($A171,'Annex 2 EHV charges'!$A:$O,9,FALSE)=0,"",VLOOKUP($A171,'Annex 2 EHV charges'!$A:$O,9,FALSE)),"")</f>
        <v>210.51</v>
      </c>
      <c r="G171" s="121">
        <f>IFERROR(IF(VLOOKUP($A171,'Annex 2 EHV charges'!$A:$O,10,FALSE)=0,"",VLOOKUP($A171,'Annex 2 EHV charges'!$A:$O,10,FALSE)),"")</f>
        <v>10.85</v>
      </c>
      <c r="H171" s="121">
        <f>IFERROR(IF(VLOOKUP($A171,'Annex 2 EHV charges'!$A:$O,11,FALSE)=0,"",VLOOKUP($A171,'Annex 2 EHV charges'!$A:$O,11,FALSE)),"")</f>
        <v>10.85</v>
      </c>
    </row>
    <row r="172" spans="1:8" x14ac:dyDescent="0.2">
      <c r="A172" s="114">
        <f t="array" ref="A172">IFERROR(INDEX('Annex 2 EHV charges'!$A$11:$A$259, MATCH(0, IF(ISBLANK('Annex 2 EHV charges'!$A$11:$A$259),1, COUNTIF(A$4:$A171, 'Annex 2 EHV charges'!$A$11:$A$259)), 0)),"")</f>
        <v>386</v>
      </c>
      <c r="B172" s="114">
        <f>IF($A172="","",VLOOKUP($A172,'Annex 2 EHV charges'!$A:$O,2,0))</f>
        <v>386</v>
      </c>
      <c r="C172" s="115">
        <f>IF($A172="","",VLOOKUP($A172,'Annex 2 EHV charges'!$A:$O,3,0))</f>
        <v>1300035365287</v>
      </c>
      <c r="D172" s="114" t="str">
        <f>IF($A172="","",VLOOKUP($A172,'Annex 2 EHV charges'!$A:$O,7,0))</f>
        <v>Britton Group Plc</v>
      </c>
      <c r="E172" s="119">
        <f>IFERROR(IF(VLOOKUP($A172,'Annex 2 EHV charges'!$A:$O,8,FALSE)=0,"",VLOOKUP($A172,'Annex 2 EHV charges'!$A:$O,8,FALSE)),"")</f>
        <v>2.407</v>
      </c>
      <c r="F172" s="120">
        <f>IFERROR(IF(VLOOKUP($A172,'Annex 2 EHV charges'!$A:$O,9,FALSE)=0,"",VLOOKUP($A172,'Annex 2 EHV charges'!$A:$O,9,FALSE)),"")</f>
        <v>210.51</v>
      </c>
      <c r="G172" s="121">
        <f>IFERROR(IF(VLOOKUP($A172,'Annex 2 EHV charges'!$A:$O,10,FALSE)=0,"",VLOOKUP($A172,'Annex 2 EHV charges'!$A:$O,10,FALSE)),"")</f>
        <v>14.89</v>
      </c>
      <c r="H172" s="121">
        <f>IFERROR(IF(VLOOKUP($A172,'Annex 2 EHV charges'!$A:$O,11,FALSE)=0,"",VLOOKUP($A172,'Annex 2 EHV charges'!$A:$O,11,FALSE)),"")</f>
        <v>14.89</v>
      </c>
    </row>
    <row r="173" spans="1:8" x14ac:dyDescent="0.2">
      <c r="A173" s="114">
        <f t="array" ref="A173">IFERROR(INDEX('Annex 2 EHV charges'!$A$11:$A$259, MATCH(0, IF(ISBLANK('Annex 2 EHV charges'!$A$11:$A$259),1, COUNTIF(A$4:$A172, 'Annex 2 EHV charges'!$A$11:$A$259)), 0)),"")</f>
        <v>387</v>
      </c>
      <c r="B173" s="114">
        <f>IF($A173="","",VLOOKUP($A173,'Annex 2 EHV charges'!$A:$O,2,0))</f>
        <v>387</v>
      </c>
      <c r="C173" s="115">
        <f>IF($A173="","",VLOOKUP($A173,'Annex 2 EHV charges'!$A:$O,3,0))</f>
        <v>1300035366494</v>
      </c>
      <c r="D173" s="114" t="str">
        <f>IF($A173="","",VLOOKUP($A173,'Annex 2 EHV charges'!$A:$O,7,0))</f>
        <v>Synthite</v>
      </c>
      <c r="E173" s="119">
        <f>IFERROR(IF(VLOOKUP($A173,'Annex 2 EHV charges'!$A:$O,8,FALSE)=0,"",VLOOKUP($A173,'Annex 2 EHV charges'!$A:$O,8,FALSE)),"")</f>
        <v>1.9810000000000001</v>
      </c>
      <c r="F173" s="120">
        <f>IFERROR(IF(VLOOKUP($A173,'Annex 2 EHV charges'!$A:$O,9,FALSE)=0,"",VLOOKUP($A173,'Annex 2 EHV charges'!$A:$O,9,FALSE)),"")</f>
        <v>210.51</v>
      </c>
      <c r="G173" s="121">
        <f>IFERROR(IF(VLOOKUP($A173,'Annex 2 EHV charges'!$A:$O,10,FALSE)=0,"",VLOOKUP($A173,'Annex 2 EHV charges'!$A:$O,10,FALSE)),"")</f>
        <v>11.3</v>
      </c>
      <c r="H173" s="121">
        <f>IFERROR(IF(VLOOKUP($A173,'Annex 2 EHV charges'!$A:$O,11,FALSE)=0,"",VLOOKUP($A173,'Annex 2 EHV charges'!$A:$O,11,FALSE)),"")</f>
        <v>11.3</v>
      </c>
    </row>
    <row r="174" spans="1:8" x14ac:dyDescent="0.2">
      <c r="A174" s="114">
        <f t="array" ref="A174">IFERROR(INDEX('Annex 2 EHV charges'!$A$11:$A$259, MATCH(0, IF(ISBLANK('Annex 2 EHV charges'!$A$11:$A$259),1, COUNTIF(A$4:$A173, 'Annex 2 EHV charges'!$A$11:$A$259)), 0)),"")</f>
        <v>388</v>
      </c>
      <c r="B174" s="114">
        <f>IF($A174="","",VLOOKUP($A174,'Annex 2 EHV charges'!$A:$O,2,0))</f>
        <v>388</v>
      </c>
      <c r="C174" s="115">
        <f>IF($A174="","",VLOOKUP($A174,'Annex 2 EHV charges'!$A:$O,3,0))</f>
        <v>1300035366801</v>
      </c>
      <c r="D174" s="114" t="str">
        <f>IF($A174="","",VLOOKUP($A174,'Annex 2 EHV charges'!$A:$O,7,0))</f>
        <v>Novar Plc</v>
      </c>
      <c r="E174" s="119" t="str">
        <f>IFERROR(IF(VLOOKUP($A174,'Annex 2 EHV charges'!$A:$O,8,FALSE)=0,"",VLOOKUP($A174,'Annex 2 EHV charges'!$A:$O,8,FALSE)),"")</f>
        <v/>
      </c>
      <c r="F174" s="120">
        <f>IFERROR(IF(VLOOKUP($A174,'Annex 2 EHV charges'!$A:$O,9,FALSE)=0,"",VLOOKUP($A174,'Annex 2 EHV charges'!$A:$O,9,FALSE)),"")</f>
        <v>210.51</v>
      </c>
      <c r="G174" s="121">
        <f>IFERROR(IF(VLOOKUP($A174,'Annex 2 EHV charges'!$A:$O,10,FALSE)=0,"",VLOOKUP($A174,'Annex 2 EHV charges'!$A:$O,10,FALSE)),"")</f>
        <v>10.75</v>
      </c>
      <c r="H174" s="121">
        <f>IFERROR(IF(VLOOKUP($A174,'Annex 2 EHV charges'!$A:$O,11,FALSE)=0,"",VLOOKUP($A174,'Annex 2 EHV charges'!$A:$O,11,FALSE)),"")</f>
        <v>10.75</v>
      </c>
    </row>
    <row r="175" spans="1:8" x14ac:dyDescent="0.2">
      <c r="A175" s="114">
        <f t="array" ref="A175">IFERROR(INDEX('Annex 2 EHV charges'!$A$11:$A$259, MATCH(0, IF(ISBLANK('Annex 2 EHV charges'!$A$11:$A$259),1, COUNTIF(A$4:$A174, 'Annex 2 EHV charges'!$A$11:$A$259)), 0)),"")</f>
        <v>389</v>
      </c>
      <c r="B175" s="114">
        <f>IF($A175="","",VLOOKUP($A175,'Annex 2 EHV charges'!$A:$O,2,0))</f>
        <v>389</v>
      </c>
      <c r="C175" s="115">
        <f>IF($A175="","",VLOOKUP($A175,'Annex 2 EHV charges'!$A:$O,3,0))</f>
        <v>1300035368232</v>
      </c>
      <c r="D175" s="114" t="str">
        <f>IF($A175="","",VLOOKUP($A175,'Annex 2 EHV charges'!$A:$O,7,0))</f>
        <v>Bangor Hospital (Health Sup)</v>
      </c>
      <c r="E175" s="119" t="str">
        <f>IFERROR(IF(VLOOKUP($A175,'Annex 2 EHV charges'!$A:$O,8,FALSE)=0,"",VLOOKUP($A175,'Annex 2 EHV charges'!$A:$O,8,FALSE)),"")</f>
        <v/>
      </c>
      <c r="F175" s="120">
        <f>IFERROR(IF(VLOOKUP($A175,'Annex 2 EHV charges'!$A:$O,9,FALSE)=0,"",VLOOKUP($A175,'Annex 2 EHV charges'!$A:$O,9,FALSE)),"")</f>
        <v>134.36000000000001</v>
      </c>
      <c r="G175" s="121">
        <f>IFERROR(IF(VLOOKUP($A175,'Annex 2 EHV charges'!$A:$O,10,FALSE)=0,"",VLOOKUP($A175,'Annex 2 EHV charges'!$A:$O,10,FALSE)),"")</f>
        <v>7.89</v>
      </c>
      <c r="H175" s="121">
        <f>IFERROR(IF(VLOOKUP($A175,'Annex 2 EHV charges'!$A:$O,11,FALSE)=0,"",VLOOKUP($A175,'Annex 2 EHV charges'!$A:$O,11,FALSE)),"")</f>
        <v>7.89</v>
      </c>
    </row>
    <row r="176" spans="1:8" x14ac:dyDescent="0.2">
      <c r="A176" s="114">
        <f t="array" ref="A176">IFERROR(INDEX('Annex 2 EHV charges'!$A$11:$A$259, MATCH(0, IF(ISBLANK('Annex 2 EHV charges'!$A$11:$A$259),1, COUNTIF(A$4:$A175, 'Annex 2 EHV charges'!$A$11:$A$259)), 0)),"")</f>
        <v>391</v>
      </c>
      <c r="B176" s="114">
        <f>IF($A176="","",VLOOKUP($A176,'Annex 2 EHV charges'!$A:$O,2,0))</f>
        <v>391</v>
      </c>
      <c r="C176" s="115">
        <f>IF($A176="","",VLOOKUP($A176,'Annex 2 EHV charges'!$A:$O,3,0))</f>
        <v>1300035368400</v>
      </c>
      <c r="D176" s="114" t="str">
        <f>IF($A176="","",VLOOKUP($A176,'Annex 2 EHV charges'!$A:$O,7,0))</f>
        <v>Bourne Leisure Limited</v>
      </c>
      <c r="E176" s="119" t="str">
        <f>IFERROR(IF(VLOOKUP($A176,'Annex 2 EHV charges'!$A:$O,8,FALSE)=0,"",VLOOKUP($A176,'Annex 2 EHV charges'!$A:$O,8,FALSE)),"")</f>
        <v/>
      </c>
      <c r="F176" s="120">
        <f>IFERROR(IF(VLOOKUP($A176,'Annex 2 EHV charges'!$A:$O,9,FALSE)=0,"",VLOOKUP($A176,'Annex 2 EHV charges'!$A:$O,9,FALSE)),"")</f>
        <v>210.51</v>
      </c>
      <c r="G176" s="121">
        <f>IFERROR(IF(VLOOKUP($A176,'Annex 2 EHV charges'!$A:$O,10,FALSE)=0,"",VLOOKUP($A176,'Annex 2 EHV charges'!$A:$O,10,FALSE)),"")</f>
        <v>5.93</v>
      </c>
      <c r="H176" s="121">
        <f>IFERROR(IF(VLOOKUP($A176,'Annex 2 EHV charges'!$A:$O,11,FALSE)=0,"",VLOOKUP($A176,'Annex 2 EHV charges'!$A:$O,11,FALSE)),"")</f>
        <v>5.93</v>
      </c>
    </row>
    <row r="177" spans="1:8" x14ac:dyDescent="0.2">
      <c r="A177" s="114">
        <f t="array" ref="A177">IFERROR(INDEX('Annex 2 EHV charges'!$A$11:$A$259, MATCH(0, IF(ISBLANK('Annex 2 EHV charges'!$A$11:$A$259),1, COUNTIF(A$4:$A176, 'Annex 2 EHV charges'!$A$11:$A$259)), 0)),"")</f>
        <v>392</v>
      </c>
      <c r="B177" s="114">
        <f>IF($A177="","",VLOOKUP($A177,'Annex 2 EHV charges'!$A:$O,2,0))</f>
        <v>392</v>
      </c>
      <c r="C177" s="115">
        <f>IF($A177="","",VLOOKUP($A177,'Annex 2 EHV charges'!$A:$O,3,0))</f>
        <v>1300035368428</v>
      </c>
      <c r="D177" s="114" t="str">
        <f>IF($A177="","",VLOOKUP($A177,'Annex 2 EHV charges'!$A:$O,7,0))</f>
        <v>Rehau Ltd</v>
      </c>
      <c r="E177" s="119" t="str">
        <f>IFERROR(IF(VLOOKUP($A177,'Annex 2 EHV charges'!$A:$O,8,FALSE)=0,"",VLOOKUP($A177,'Annex 2 EHV charges'!$A:$O,8,FALSE)),"")</f>
        <v/>
      </c>
      <c r="F177" s="120">
        <f>IFERROR(IF(VLOOKUP($A177,'Annex 2 EHV charges'!$A:$O,9,FALSE)=0,"",VLOOKUP($A177,'Annex 2 EHV charges'!$A:$O,9,FALSE)),"")</f>
        <v>210.51</v>
      </c>
      <c r="G177" s="121">
        <f>IFERROR(IF(VLOOKUP($A177,'Annex 2 EHV charges'!$A:$O,10,FALSE)=0,"",VLOOKUP($A177,'Annex 2 EHV charges'!$A:$O,10,FALSE)),"")</f>
        <v>9.5399999999999991</v>
      </c>
      <c r="H177" s="121">
        <f>IFERROR(IF(VLOOKUP($A177,'Annex 2 EHV charges'!$A:$O,11,FALSE)=0,"",VLOOKUP($A177,'Annex 2 EHV charges'!$A:$O,11,FALSE)),"")</f>
        <v>9.5399999999999991</v>
      </c>
    </row>
    <row r="178" spans="1:8" x14ac:dyDescent="0.2">
      <c r="A178" s="114">
        <f t="array" ref="A178">IFERROR(INDEX('Annex 2 EHV charges'!$A$11:$A$259, MATCH(0, IF(ISBLANK('Annex 2 EHV charges'!$A$11:$A$259),1, COUNTIF(A$4:$A177, 'Annex 2 EHV charges'!$A$11:$A$259)), 0)),"")</f>
        <v>393</v>
      </c>
      <c r="B178" s="114">
        <f>IF($A178="","",VLOOKUP($A178,'Annex 2 EHV charges'!$A:$O,2,0))</f>
        <v>393</v>
      </c>
      <c r="C178" s="115">
        <f>IF($A178="","",VLOOKUP($A178,'Annex 2 EHV charges'!$A:$O,3,0))</f>
        <v>1300035370116</v>
      </c>
      <c r="D178" s="114" t="str">
        <f>IF($A178="","",VLOOKUP($A178,'Annex 2 EHV charges'!$A:$O,7,0))</f>
        <v>University Of Wales</v>
      </c>
      <c r="E178" s="119">
        <f>IFERROR(IF(VLOOKUP($A178,'Annex 2 EHV charges'!$A:$O,8,FALSE)=0,"",VLOOKUP($A178,'Annex 2 EHV charges'!$A:$O,8,FALSE)),"")</f>
        <v>0.77200000000000002</v>
      </c>
      <c r="F178" s="120">
        <f>IFERROR(IF(VLOOKUP($A178,'Annex 2 EHV charges'!$A:$O,9,FALSE)=0,"",VLOOKUP($A178,'Annex 2 EHV charges'!$A:$O,9,FALSE)),"")</f>
        <v>210.51</v>
      </c>
      <c r="G178" s="121">
        <f>IFERROR(IF(VLOOKUP($A178,'Annex 2 EHV charges'!$A:$O,10,FALSE)=0,"",VLOOKUP($A178,'Annex 2 EHV charges'!$A:$O,10,FALSE)),"")</f>
        <v>16.27</v>
      </c>
      <c r="H178" s="121">
        <f>IFERROR(IF(VLOOKUP($A178,'Annex 2 EHV charges'!$A:$O,11,FALSE)=0,"",VLOOKUP($A178,'Annex 2 EHV charges'!$A:$O,11,FALSE)),"")</f>
        <v>16.27</v>
      </c>
    </row>
    <row r="179" spans="1:8" x14ac:dyDescent="0.2">
      <c r="A179" s="114">
        <f t="array" ref="A179">IFERROR(INDEX('Annex 2 EHV charges'!$A$11:$A$259, MATCH(0, IF(ISBLANK('Annex 2 EHV charges'!$A$11:$A$259),1, COUNTIF(A$4:$A178, 'Annex 2 EHV charges'!$A$11:$A$259)), 0)),"")</f>
        <v>394</v>
      </c>
      <c r="B179" s="114">
        <f>IF($A179="","",VLOOKUP($A179,'Annex 2 EHV charges'!$A:$O,2,0))</f>
        <v>394</v>
      </c>
      <c r="C179" s="115">
        <f>IF($A179="","",VLOOKUP($A179,'Annex 2 EHV charges'!$A:$O,3,0))</f>
        <v>1300035618356</v>
      </c>
      <c r="D179" s="114" t="str">
        <f>IF($A179="","",VLOOKUP($A179,'Annex 2 EHV charges'!$A:$O,7,0))</f>
        <v>Smiths Group Plc</v>
      </c>
      <c r="E179" s="119" t="str">
        <f>IFERROR(IF(VLOOKUP($A179,'Annex 2 EHV charges'!$A:$O,8,FALSE)=0,"",VLOOKUP($A179,'Annex 2 EHV charges'!$A:$O,8,FALSE)),"")</f>
        <v/>
      </c>
      <c r="F179" s="120">
        <f>IFERROR(IF(VLOOKUP($A179,'Annex 2 EHV charges'!$A:$O,9,FALSE)=0,"",VLOOKUP($A179,'Annex 2 EHV charges'!$A:$O,9,FALSE)),"")</f>
        <v>210.51</v>
      </c>
      <c r="G179" s="121">
        <f>IFERROR(IF(VLOOKUP($A179,'Annex 2 EHV charges'!$A:$O,10,FALSE)=0,"",VLOOKUP($A179,'Annex 2 EHV charges'!$A:$O,10,FALSE)),"")</f>
        <v>8.7200000000000006</v>
      </c>
      <c r="H179" s="121">
        <f>IFERROR(IF(VLOOKUP($A179,'Annex 2 EHV charges'!$A:$O,11,FALSE)=0,"",VLOOKUP($A179,'Annex 2 EHV charges'!$A:$O,11,FALSE)),"")</f>
        <v>8.7200000000000006</v>
      </c>
    </row>
    <row r="180" spans="1:8" x14ac:dyDescent="0.2">
      <c r="A180" s="114">
        <f t="array" ref="A180">IFERROR(INDEX('Annex 2 EHV charges'!$A$11:$A$259, MATCH(0, IF(ISBLANK('Annex 2 EHV charges'!$A$11:$A$259),1, COUNTIF(A$4:$A179, 'Annex 2 EHV charges'!$A$11:$A$259)), 0)),"")</f>
        <v>395</v>
      </c>
      <c r="B180" s="114">
        <f>IF($A180="","",VLOOKUP($A180,'Annex 2 EHV charges'!$A:$O,2,0))</f>
        <v>395</v>
      </c>
      <c r="C180" s="115">
        <f>IF($A180="","",VLOOKUP($A180,'Annex 2 EHV charges'!$A:$O,3,0))</f>
        <v>1300038178922</v>
      </c>
      <c r="D180" s="114" t="str">
        <f>IF($A180="","",VLOOKUP($A180,'Annex 2 EHV charges'!$A:$O,7,0))</f>
        <v>Yardley Plastic</v>
      </c>
      <c r="E180" s="119" t="str">
        <f>IFERROR(IF(VLOOKUP($A180,'Annex 2 EHV charges'!$A:$O,8,FALSE)=0,"",VLOOKUP($A180,'Annex 2 EHV charges'!$A:$O,8,FALSE)),"")</f>
        <v/>
      </c>
      <c r="F180" s="120">
        <f>IFERROR(IF(VLOOKUP($A180,'Annex 2 EHV charges'!$A:$O,9,FALSE)=0,"",VLOOKUP($A180,'Annex 2 EHV charges'!$A:$O,9,FALSE)),"")</f>
        <v>210.51</v>
      </c>
      <c r="G180" s="121">
        <f>IFERROR(IF(VLOOKUP($A180,'Annex 2 EHV charges'!$A:$O,10,FALSE)=0,"",VLOOKUP($A180,'Annex 2 EHV charges'!$A:$O,10,FALSE)),"")</f>
        <v>7.8</v>
      </c>
      <c r="H180" s="121">
        <f>IFERROR(IF(VLOOKUP($A180,'Annex 2 EHV charges'!$A:$O,11,FALSE)=0,"",VLOOKUP($A180,'Annex 2 EHV charges'!$A:$O,11,FALSE)),"")</f>
        <v>7.8</v>
      </c>
    </row>
    <row r="181" spans="1:8" x14ac:dyDescent="0.2">
      <c r="A181" s="114">
        <f t="array" ref="A181">IFERROR(INDEX('Annex 2 EHV charges'!$A$11:$A$259, MATCH(0, IF(ISBLANK('Annex 2 EHV charges'!$A$11:$A$259),1, COUNTIF(A$4:$A180, 'Annex 2 EHV charges'!$A$11:$A$259)), 0)),"")</f>
        <v>397</v>
      </c>
      <c r="B181" s="114">
        <f>IF($A181="","",VLOOKUP($A181,'Annex 2 EHV charges'!$A:$O,2,0))</f>
        <v>397</v>
      </c>
      <c r="C181" s="115">
        <f>IF($A181="","",VLOOKUP($A181,'Annex 2 EHV charges'!$A:$O,3,0))</f>
        <v>1300050455959</v>
      </c>
      <c r="D181" s="114" t="str">
        <f>IF($A181="","",VLOOKUP($A181,'Annex 2 EHV charges'!$A:$O,7,0))</f>
        <v>Tulip International Ltd</v>
      </c>
      <c r="E181" s="119">
        <f>IFERROR(IF(VLOOKUP($A181,'Annex 2 EHV charges'!$A:$O,8,FALSE)=0,"",VLOOKUP($A181,'Annex 2 EHV charges'!$A:$O,8,FALSE)),"")</f>
        <v>0.92900000000000005</v>
      </c>
      <c r="F181" s="120">
        <f>IFERROR(IF(VLOOKUP($A181,'Annex 2 EHV charges'!$A:$O,9,FALSE)=0,"",VLOOKUP($A181,'Annex 2 EHV charges'!$A:$O,9,FALSE)),"")</f>
        <v>210.51</v>
      </c>
      <c r="G181" s="121">
        <f>IFERROR(IF(VLOOKUP($A181,'Annex 2 EHV charges'!$A:$O,10,FALSE)=0,"",VLOOKUP($A181,'Annex 2 EHV charges'!$A:$O,10,FALSE)),"")</f>
        <v>5.09</v>
      </c>
      <c r="H181" s="121">
        <f>IFERROR(IF(VLOOKUP($A181,'Annex 2 EHV charges'!$A:$O,11,FALSE)=0,"",VLOOKUP($A181,'Annex 2 EHV charges'!$A:$O,11,FALSE)),"")</f>
        <v>5.09</v>
      </c>
    </row>
    <row r="182" spans="1:8" x14ac:dyDescent="0.2">
      <c r="A182" s="114">
        <f t="array" ref="A182">IFERROR(INDEX('Annex 2 EHV charges'!$A$11:$A$259, MATCH(0, IF(ISBLANK('Annex 2 EHV charges'!$A$11:$A$259),1, COUNTIF(A$4:$A181, 'Annex 2 EHV charges'!$A$11:$A$259)), 0)),"")</f>
        <v>398</v>
      </c>
      <c r="B182" s="114">
        <f>IF($A182="","",VLOOKUP($A182,'Annex 2 EHV charges'!$A:$O,2,0))</f>
        <v>398</v>
      </c>
      <c r="C182" s="115">
        <f>IF($A182="","",VLOOKUP($A182,'Annex 2 EHV charges'!$A:$O,3,0))</f>
        <v>1300050482127</v>
      </c>
      <c r="D182" s="114" t="str">
        <f>IF($A182="","",VLOOKUP($A182,'Annex 2 EHV charges'!$A:$O,7,0))</f>
        <v>Unilever Research</v>
      </c>
      <c r="E182" s="119">
        <f>IFERROR(IF(VLOOKUP($A182,'Annex 2 EHV charges'!$A:$O,8,FALSE)=0,"",VLOOKUP($A182,'Annex 2 EHV charges'!$A:$O,8,FALSE)),"")</f>
        <v>0.83199999999999996</v>
      </c>
      <c r="F182" s="120">
        <f>IFERROR(IF(VLOOKUP($A182,'Annex 2 EHV charges'!$A:$O,9,FALSE)=0,"",VLOOKUP($A182,'Annex 2 EHV charges'!$A:$O,9,FALSE)),"")</f>
        <v>210.51</v>
      </c>
      <c r="G182" s="121">
        <f>IFERROR(IF(VLOOKUP($A182,'Annex 2 EHV charges'!$A:$O,10,FALSE)=0,"",VLOOKUP($A182,'Annex 2 EHV charges'!$A:$O,10,FALSE)),"")</f>
        <v>4.24</v>
      </c>
      <c r="H182" s="121">
        <f>IFERROR(IF(VLOOKUP($A182,'Annex 2 EHV charges'!$A:$O,11,FALSE)=0,"",VLOOKUP($A182,'Annex 2 EHV charges'!$A:$O,11,FALSE)),"")</f>
        <v>4.24</v>
      </c>
    </row>
    <row r="183" spans="1:8" x14ac:dyDescent="0.2">
      <c r="A183" s="114">
        <f t="array" ref="A183">IFERROR(INDEX('Annex 2 EHV charges'!$A$11:$A$259, MATCH(0, IF(ISBLANK('Annex 2 EHV charges'!$A$11:$A$259),1, COUNTIF(A$4:$A182, 'Annex 2 EHV charges'!$A$11:$A$259)), 0)),"")</f>
        <v>399</v>
      </c>
      <c r="B183" s="114">
        <f>IF($A183="","",VLOOKUP($A183,'Annex 2 EHV charges'!$A:$O,2,0))</f>
        <v>399</v>
      </c>
      <c r="C183" s="115">
        <f>IF($A183="","",VLOOKUP($A183,'Annex 2 EHV charges'!$A:$O,3,0))</f>
        <v>1300050628390</v>
      </c>
      <c r="D183" s="114" t="str">
        <f>IF($A183="","",VLOOKUP($A183,'Annex 2 EHV charges'!$A:$O,7,0))</f>
        <v>Seaforth</v>
      </c>
      <c r="E183" s="119" t="str">
        <f>IFERROR(IF(VLOOKUP($A183,'Annex 2 EHV charges'!$A:$O,8,FALSE)=0,"",VLOOKUP($A183,'Annex 2 EHV charges'!$A:$O,8,FALSE)),"")</f>
        <v/>
      </c>
      <c r="F183" s="120">
        <f>IFERROR(IF(VLOOKUP($A183,'Annex 2 EHV charges'!$A:$O,9,FALSE)=0,"",VLOOKUP($A183,'Annex 2 EHV charges'!$A:$O,9,FALSE)),"")</f>
        <v>37.869999999999997</v>
      </c>
      <c r="G183" s="121">
        <f>IFERROR(IF(VLOOKUP($A183,'Annex 2 EHV charges'!$A:$O,10,FALSE)=0,"",VLOOKUP($A183,'Annex 2 EHV charges'!$A:$O,10,FALSE)),"")</f>
        <v>1.61</v>
      </c>
      <c r="H183" s="121">
        <f>IFERROR(IF(VLOOKUP($A183,'Annex 2 EHV charges'!$A:$O,11,FALSE)=0,"",VLOOKUP($A183,'Annex 2 EHV charges'!$A:$O,11,FALSE)),"")</f>
        <v>1.61</v>
      </c>
    </row>
    <row r="184" spans="1:8" x14ac:dyDescent="0.2">
      <c r="A184" s="114">
        <f t="array" ref="A184">IFERROR(INDEX('Annex 2 EHV charges'!$A$11:$A$259, MATCH(0, IF(ISBLANK('Annex 2 EHV charges'!$A$11:$A$259),1, COUNTIF(A$4:$A183, 'Annex 2 EHV charges'!$A$11:$A$259)), 0)),"")</f>
        <v>450</v>
      </c>
      <c r="B184" s="114">
        <f>IF($A184="","",VLOOKUP($A184,'Annex 2 EHV charges'!$A:$O,2,0))</f>
        <v>450</v>
      </c>
      <c r="C184" s="115">
        <f>IF($A184="","",VLOOKUP($A184,'Annex 2 EHV charges'!$A:$O,3,0))</f>
        <v>1300050632704</v>
      </c>
      <c r="D184" s="114" t="str">
        <f>IF($A184="","",VLOOKUP($A184,'Annex 2 EHV charges'!$A:$O,7,0))</f>
        <v>Decoma-Merplas</v>
      </c>
      <c r="E184" s="119">
        <f>IFERROR(IF(VLOOKUP($A184,'Annex 2 EHV charges'!$A:$O,8,FALSE)=0,"",VLOOKUP($A184,'Annex 2 EHV charges'!$A:$O,8,FALSE)),"")</f>
        <v>0.29699999999999999</v>
      </c>
      <c r="F184" s="120">
        <f>IFERROR(IF(VLOOKUP($A184,'Annex 2 EHV charges'!$A:$O,9,FALSE)=0,"",VLOOKUP($A184,'Annex 2 EHV charges'!$A:$O,9,FALSE)),"")</f>
        <v>210.51</v>
      </c>
      <c r="G184" s="121">
        <f>IFERROR(IF(VLOOKUP($A184,'Annex 2 EHV charges'!$A:$O,10,FALSE)=0,"",VLOOKUP($A184,'Annex 2 EHV charges'!$A:$O,10,FALSE)),"")</f>
        <v>7.62</v>
      </c>
      <c r="H184" s="121">
        <f>IFERROR(IF(VLOOKUP($A184,'Annex 2 EHV charges'!$A:$O,11,FALSE)=0,"",VLOOKUP($A184,'Annex 2 EHV charges'!$A:$O,11,FALSE)),"")</f>
        <v>7.62</v>
      </c>
    </row>
    <row r="185" spans="1:8" x14ac:dyDescent="0.2">
      <c r="A185" s="114">
        <f t="array" ref="A185">IFERROR(INDEX('Annex 2 EHV charges'!$A$11:$A$259, MATCH(0, IF(ISBLANK('Annex 2 EHV charges'!$A$11:$A$259),1, COUNTIF(A$4:$A184, 'Annex 2 EHV charges'!$A$11:$A$259)), 0)),"")</f>
        <v>452</v>
      </c>
      <c r="B185" s="114">
        <f>IF($A185="","",VLOOKUP($A185,'Annex 2 EHV charges'!$A:$O,2,0))</f>
        <v>452</v>
      </c>
      <c r="C185" s="115">
        <f>IF($A185="","",VLOOKUP($A185,'Annex 2 EHV charges'!$A:$O,3,0))</f>
        <v>1300050955454</v>
      </c>
      <c r="D185" s="114" t="str">
        <f>IF($A185="","",VLOOKUP($A185,'Annex 2 EHV charges'!$A:$O,7,0))</f>
        <v>Gilbrook Dock</v>
      </c>
      <c r="E185" s="119" t="str">
        <f>IFERROR(IF(VLOOKUP($A185,'Annex 2 EHV charges'!$A:$O,8,FALSE)=0,"",VLOOKUP($A185,'Annex 2 EHV charges'!$A:$O,8,FALSE)),"")</f>
        <v/>
      </c>
      <c r="F185" s="120">
        <f>IFERROR(IF(VLOOKUP($A185,'Annex 2 EHV charges'!$A:$O,9,FALSE)=0,"",VLOOKUP($A185,'Annex 2 EHV charges'!$A:$O,9,FALSE)),"")</f>
        <v>10220.51</v>
      </c>
      <c r="G185" s="121" t="str">
        <f>IFERROR(IF(VLOOKUP($A185,'Annex 2 EHV charges'!$A:$O,10,FALSE)=0,"",VLOOKUP($A185,'Annex 2 EHV charges'!$A:$O,10,FALSE)),"")</f>
        <v/>
      </c>
      <c r="H185" s="121" t="str">
        <f>IFERROR(IF(VLOOKUP($A185,'Annex 2 EHV charges'!$A:$O,11,FALSE)=0,"",VLOOKUP($A185,'Annex 2 EHV charges'!$A:$O,11,FALSE)),"")</f>
        <v/>
      </c>
    </row>
    <row r="186" spans="1:8" x14ac:dyDescent="0.2">
      <c r="A186" s="114">
        <f t="array" ref="A186">IFERROR(INDEX('Annex 2 EHV charges'!$A$11:$A$259, MATCH(0, IF(ISBLANK('Annex 2 EHV charges'!$A$11:$A$259),1, COUNTIF(A$4:$A185, 'Annex 2 EHV charges'!$A$11:$A$259)), 0)),"")</f>
        <v>453</v>
      </c>
      <c r="B186" s="114">
        <f>IF($A186="","",VLOOKUP($A186,'Annex 2 EHV charges'!$A:$O,2,0))</f>
        <v>453</v>
      </c>
      <c r="C186" s="115">
        <f>IF($A186="","",VLOOKUP($A186,'Annex 2 EHV charges'!$A:$O,3,0))</f>
        <v>1300050977573</v>
      </c>
      <c r="D186" s="114" t="str">
        <f>IF($A186="","",VLOOKUP($A186,'Annex 2 EHV charges'!$A:$O,7,0))</f>
        <v>UU Water Plc - Woodside</v>
      </c>
      <c r="E186" s="119">
        <f>IFERROR(IF(VLOOKUP($A186,'Annex 2 EHV charges'!$A:$O,8,FALSE)=0,"",VLOOKUP($A186,'Annex 2 EHV charges'!$A:$O,8,FALSE)),"")</f>
        <v>0.96899999999999997</v>
      </c>
      <c r="F186" s="120">
        <f>IFERROR(IF(VLOOKUP($A186,'Annex 2 EHV charges'!$A:$O,9,FALSE)=0,"",VLOOKUP($A186,'Annex 2 EHV charges'!$A:$O,9,FALSE)),"")</f>
        <v>1972.76</v>
      </c>
      <c r="G186" s="121">
        <f>IFERROR(IF(VLOOKUP($A186,'Annex 2 EHV charges'!$A:$O,10,FALSE)=0,"",VLOOKUP($A186,'Annex 2 EHV charges'!$A:$O,10,FALSE)),"")</f>
        <v>6.23</v>
      </c>
      <c r="H186" s="121">
        <f>IFERROR(IF(VLOOKUP($A186,'Annex 2 EHV charges'!$A:$O,11,FALSE)=0,"",VLOOKUP($A186,'Annex 2 EHV charges'!$A:$O,11,FALSE)),"")</f>
        <v>6.23</v>
      </c>
    </row>
    <row r="187" spans="1:8" x14ac:dyDescent="0.2">
      <c r="A187" s="114">
        <f t="array" ref="A187">IFERROR(INDEX('Annex 2 EHV charges'!$A$11:$A$259, MATCH(0, IF(ISBLANK('Annex 2 EHV charges'!$A$11:$A$259),1, COUNTIF(A$4:$A186, 'Annex 2 EHV charges'!$A$11:$A$259)), 0)),"")</f>
        <v>454</v>
      </c>
      <c r="B187" s="114">
        <f>IF($A187="","",VLOOKUP($A187,'Annex 2 EHV charges'!$A:$O,2,0))</f>
        <v>454</v>
      </c>
      <c r="C187" s="115">
        <f>IF($A187="","",VLOOKUP($A187,'Annex 2 EHV charges'!$A:$O,3,0))</f>
        <v>1300050977670</v>
      </c>
      <c r="D187" s="114" t="str">
        <f>IF($A187="","",VLOOKUP($A187,'Annex 2 EHV charges'!$A:$O,7,0))</f>
        <v>UU Water Plc - Bromborough</v>
      </c>
      <c r="E187" s="119">
        <f>IFERROR(IF(VLOOKUP($A187,'Annex 2 EHV charges'!$A:$O,8,FALSE)=0,"",VLOOKUP($A187,'Annex 2 EHV charges'!$A:$O,8,FALSE)),"")</f>
        <v>0.85699999999999998</v>
      </c>
      <c r="F187" s="120">
        <f>IFERROR(IF(VLOOKUP($A187,'Annex 2 EHV charges'!$A:$O,9,FALSE)=0,"",VLOOKUP($A187,'Annex 2 EHV charges'!$A:$O,9,FALSE)),"")</f>
        <v>1600.41</v>
      </c>
      <c r="G187" s="121">
        <f>IFERROR(IF(VLOOKUP($A187,'Annex 2 EHV charges'!$A:$O,10,FALSE)=0,"",VLOOKUP($A187,'Annex 2 EHV charges'!$A:$O,10,FALSE)),"")</f>
        <v>4.05</v>
      </c>
      <c r="H187" s="121">
        <f>IFERROR(IF(VLOOKUP($A187,'Annex 2 EHV charges'!$A:$O,11,FALSE)=0,"",VLOOKUP($A187,'Annex 2 EHV charges'!$A:$O,11,FALSE)),"")</f>
        <v>4.05</v>
      </c>
    </row>
    <row r="188" spans="1:8" x14ac:dyDescent="0.2">
      <c r="A188" s="114">
        <f t="array" ref="A188">IFERROR(INDEX('Annex 2 EHV charges'!$A$11:$A$259, MATCH(0, IF(ISBLANK('Annex 2 EHV charges'!$A$11:$A$259),1, COUNTIF(A$4:$A187, 'Annex 2 EHV charges'!$A$11:$A$259)), 0)),"")</f>
        <v>455</v>
      </c>
      <c r="B188" s="114">
        <f>IF($A188="","",VLOOKUP($A188,'Annex 2 EHV charges'!$A:$O,2,0))</f>
        <v>455</v>
      </c>
      <c r="C188" s="115">
        <f>IF($A188="","",VLOOKUP($A188,'Annex 2 EHV charges'!$A:$O,3,0))</f>
        <v>1300051438963</v>
      </c>
      <c r="D188" s="114" t="str">
        <f>IF($A188="","",VLOOKUP($A188,'Annex 2 EHV charges'!$A:$O,7,0))</f>
        <v>S Norton &amp; Co. Ltd</v>
      </c>
      <c r="E188" s="119">
        <f>IFERROR(IF(VLOOKUP($A188,'Annex 2 EHV charges'!$A:$O,8,FALSE)=0,"",VLOOKUP($A188,'Annex 2 EHV charges'!$A:$O,8,FALSE)),"")</f>
        <v>1.5549999999999999</v>
      </c>
      <c r="F188" s="120">
        <f>IFERROR(IF(VLOOKUP($A188,'Annex 2 EHV charges'!$A:$O,9,FALSE)=0,"",VLOOKUP($A188,'Annex 2 EHV charges'!$A:$O,9,FALSE)),"")</f>
        <v>2066.75</v>
      </c>
      <c r="G188" s="121">
        <f>IFERROR(IF(VLOOKUP($A188,'Annex 2 EHV charges'!$A:$O,10,FALSE)=0,"",VLOOKUP($A188,'Annex 2 EHV charges'!$A:$O,10,FALSE)),"")</f>
        <v>2.46</v>
      </c>
      <c r="H188" s="121">
        <f>IFERROR(IF(VLOOKUP($A188,'Annex 2 EHV charges'!$A:$O,11,FALSE)=0,"",VLOOKUP($A188,'Annex 2 EHV charges'!$A:$O,11,FALSE)),"")</f>
        <v>2.46</v>
      </c>
    </row>
    <row r="189" spans="1:8" x14ac:dyDescent="0.2">
      <c r="A189" s="114">
        <f t="array" ref="A189">IFERROR(INDEX('Annex 2 EHV charges'!$A$11:$A$259, MATCH(0, IF(ISBLANK('Annex 2 EHV charges'!$A$11:$A$259),1, COUNTIF(A$4:$A188, 'Annex 2 EHV charges'!$A$11:$A$259)), 0)),"")</f>
        <v>456</v>
      </c>
      <c r="B189" s="114">
        <f>IF($A189="","",VLOOKUP($A189,'Annex 2 EHV charges'!$A:$O,2,0))</f>
        <v>456</v>
      </c>
      <c r="C189" s="115">
        <f>IF($A189="","",VLOOKUP($A189,'Annex 2 EHV charges'!$A:$O,3,0))</f>
        <v>1300051517481</v>
      </c>
      <c r="D189" s="114" t="str">
        <f>IF($A189="","",VLOOKUP($A189,'Annex 2 EHV charges'!$A:$O,7,0))</f>
        <v>MOD - RAF Sealand</v>
      </c>
      <c r="E189" s="119" t="str">
        <f>IFERROR(IF(VLOOKUP($A189,'Annex 2 EHV charges'!$A:$O,8,FALSE)=0,"",VLOOKUP($A189,'Annex 2 EHV charges'!$A:$O,8,FALSE)),"")</f>
        <v/>
      </c>
      <c r="F189" s="120">
        <f>IFERROR(IF(VLOOKUP($A189,'Annex 2 EHV charges'!$A:$O,9,FALSE)=0,"",VLOOKUP($A189,'Annex 2 EHV charges'!$A:$O,9,FALSE)),"")</f>
        <v>210.51</v>
      </c>
      <c r="G189" s="121">
        <f>IFERROR(IF(VLOOKUP($A189,'Annex 2 EHV charges'!$A:$O,10,FALSE)=0,"",VLOOKUP($A189,'Annex 2 EHV charges'!$A:$O,10,FALSE)),"")</f>
        <v>4.68</v>
      </c>
      <c r="H189" s="121">
        <f>IFERROR(IF(VLOOKUP($A189,'Annex 2 EHV charges'!$A:$O,11,FALSE)=0,"",VLOOKUP($A189,'Annex 2 EHV charges'!$A:$O,11,FALSE)),"")</f>
        <v>4.68</v>
      </c>
    </row>
    <row r="190" spans="1:8" x14ac:dyDescent="0.2">
      <c r="A190" s="114">
        <f t="array" ref="A190">IFERROR(INDEX('Annex 2 EHV charges'!$A$11:$A$259, MATCH(0, IF(ISBLANK('Annex 2 EHV charges'!$A$11:$A$259),1, COUNTIF(A$4:$A189, 'Annex 2 EHV charges'!$A$11:$A$259)), 0)),"")</f>
        <v>457</v>
      </c>
      <c r="B190" s="114">
        <f>IF($A190="","",VLOOKUP($A190,'Annex 2 EHV charges'!$A:$O,2,0))</f>
        <v>457</v>
      </c>
      <c r="C190" s="115">
        <f>IF($A190="","",VLOOKUP($A190,'Annex 2 EHV charges'!$A:$O,3,0))</f>
        <v>1300051708346</v>
      </c>
      <c r="D190" s="114" t="str">
        <f>IF($A190="","",VLOOKUP($A190,'Annex 2 EHV charges'!$A:$O,7,0))</f>
        <v>Healthcare Distribution</v>
      </c>
      <c r="E190" s="119" t="str">
        <f>IFERROR(IF(VLOOKUP($A190,'Annex 2 EHV charges'!$A:$O,8,FALSE)=0,"",VLOOKUP($A190,'Annex 2 EHV charges'!$A:$O,8,FALSE)),"")</f>
        <v/>
      </c>
      <c r="F190" s="120">
        <f>IFERROR(IF(VLOOKUP($A190,'Annex 2 EHV charges'!$A:$O,9,FALSE)=0,"",VLOOKUP($A190,'Annex 2 EHV charges'!$A:$O,9,FALSE)),"")</f>
        <v>210.51</v>
      </c>
      <c r="G190" s="121">
        <f>IFERROR(IF(VLOOKUP($A190,'Annex 2 EHV charges'!$A:$O,10,FALSE)=0,"",VLOOKUP($A190,'Annex 2 EHV charges'!$A:$O,10,FALSE)),"")</f>
        <v>6.57</v>
      </c>
      <c r="H190" s="121">
        <f>IFERROR(IF(VLOOKUP($A190,'Annex 2 EHV charges'!$A:$O,11,FALSE)=0,"",VLOOKUP($A190,'Annex 2 EHV charges'!$A:$O,11,FALSE)),"")</f>
        <v>6.57</v>
      </c>
    </row>
    <row r="191" spans="1:8" x14ac:dyDescent="0.2">
      <c r="A191" s="114">
        <f t="array" ref="A191">IFERROR(INDEX('Annex 2 EHV charges'!$A$11:$A$259, MATCH(0, IF(ISBLANK('Annex 2 EHV charges'!$A$11:$A$259),1, COUNTIF(A$4:$A190, 'Annex 2 EHV charges'!$A$11:$A$259)), 0)),"")</f>
        <v>458</v>
      </c>
      <c r="B191" s="114">
        <f>IF($A191="","",VLOOKUP($A191,'Annex 2 EHV charges'!$A:$O,2,0))</f>
        <v>458</v>
      </c>
      <c r="C191" s="115">
        <f>IF($A191="","",VLOOKUP($A191,'Annex 2 EHV charges'!$A:$O,3,0))</f>
        <v>1300052182955</v>
      </c>
      <c r="D191" s="114" t="str">
        <f>IF($A191="","",VLOOKUP($A191,'Annex 2 EHV charges'!$A:$O,7,0))</f>
        <v>Aluminium Powder Company</v>
      </c>
      <c r="E191" s="119">
        <f>IFERROR(IF(VLOOKUP($A191,'Annex 2 EHV charges'!$A:$O,8,FALSE)=0,"",VLOOKUP($A191,'Annex 2 EHV charges'!$A:$O,8,FALSE)),"")</f>
        <v>0.24399999999999999</v>
      </c>
      <c r="F191" s="120">
        <f>IFERROR(IF(VLOOKUP($A191,'Annex 2 EHV charges'!$A:$O,9,FALSE)=0,"",VLOOKUP($A191,'Annex 2 EHV charges'!$A:$O,9,FALSE)),"")</f>
        <v>210.51</v>
      </c>
      <c r="G191" s="121">
        <f>IFERROR(IF(VLOOKUP($A191,'Annex 2 EHV charges'!$A:$O,10,FALSE)=0,"",VLOOKUP($A191,'Annex 2 EHV charges'!$A:$O,10,FALSE)),"")</f>
        <v>15.41</v>
      </c>
      <c r="H191" s="121">
        <f>IFERROR(IF(VLOOKUP($A191,'Annex 2 EHV charges'!$A:$O,11,FALSE)=0,"",VLOOKUP($A191,'Annex 2 EHV charges'!$A:$O,11,FALSE)),"")</f>
        <v>15.41</v>
      </c>
    </row>
    <row r="192" spans="1:8" x14ac:dyDescent="0.2">
      <c r="A192" s="114">
        <f t="array" ref="A192">IFERROR(INDEX('Annex 2 EHV charges'!$A$11:$A$259, MATCH(0, IF(ISBLANK('Annex 2 EHV charges'!$A$11:$A$259),1, COUNTIF(A$4:$A191, 'Annex 2 EHV charges'!$A$11:$A$259)), 0)),"")</f>
        <v>459</v>
      </c>
      <c r="B192" s="114">
        <f>IF($A192="","",VLOOKUP($A192,'Annex 2 EHV charges'!$A:$O,2,0))</f>
        <v>459</v>
      </c>
      <c r="C192" s="115">
        <f>IF($A192="","",VLOOKUP($A192,'Annex 2 EHV charges'!$A:$O,3,0))</f>
        <v>1300053398578</v>
      </c>
      <c r="D192" s="114" t="str">
        <f>IF($A192="","",VLOOKUP($A192,'Annex 2 EHV charges'!$A:$O,7,0))</f>
        <v>Chiron Vaccines</v>
      </c>
      <c r="E192" s="119">
        <f>IFERROR(IF(VLOOKUP($A192,'Annex 2 EHV charges'!$A:$O,8,FALSE)=0,"",VLOOKUP($A192,'Annex 2 EHV charges'!$A:$O,8,FALSE)),"")</f>
        <v>0.29599999999999999</v>
      </c>
      <c r="F192" s="120">
        <f>IFERROR(IF(VLOOKUP($A192,'Annex 2 EHV charges'!$A:$O,9,FALSE)=0,"",VLOOKUP($A192,'Annex 2 EHV charges'!$A:$O,9,FALSE)),"")</f>
        <v>2066.75</v>
      </c>
      <c r="G192" s="121">
        <f>IFERROR(IF(VLOOKUP($A192,'Annex 2 EHV charges'!$A:$O,10,FALSE)=0,"",VLOOKUP($A192,'Annex 2 EHV charges'!$A:$O,10,FALSE)),"")</f>
        <v>4.1900000000000004</v>
      </c>
      <c r="H192" s="121">
        <f>IFERROR(IF(VLOOKUP($A192,'Annex 2 EHV charges'!$A:$O,11,FALSE)=0,"",VLOOKUP($A192,'Annex 2 EHV charges'!$A:$O,11,FALSE)),"")</f>
        <v>4.1900000000000004</v>
      </c>
    </row>
    <row r="193" spans="1:8" x14ac:dyDescent="0.2">
      <c r="A193" s="114">
        <f t="array" ref="A193">IFERROR(INDEX('Annex 2 EHV charges'!$A$11:$A$259, MATCH(0, IF(ISBLANK('Annex 2 EHV charges'!$A$11:$A$259),1, COUNTIF(A$4:$A192, 'Annex 2 EHV charges'!$A$11:$A$259)), 0)),"")</f>
        <v>460</v>
      </c>
      <c r="B193" s="114">
        <f>IF($A193="","",VLOOKUP($A193,'Annex 2 EHV charges'!$A:$O,2,0))</f>
        <v>460</v>
      </c>
      <c r="C193" s="115">
        <f>IF($A193="","",VLOOKUP($A193,'Annex 2 EHV charges'!$A:$O,3,0))</f>
        <v>1300054917684</v>
      </c>
      <c r="D193" s="114" t="str">
        <f>IF($A193="","",VLOOKUP($A193,'Annex 2 EHV charges'!$A:$O,7,0))</f>
        <v>ESP</v>
      </c>
      <c r="E193" s="119" t="str">
        <f>IFERROR(IF(VLOOKUP($A193,'Annex 2 EHV charges'!$A:$O,8,FALSE)=0,"",VLOOKUP($A193,'Annex 2 EHV charges'!$A:$O,8,FALSE)),"")</f>
        <v/>
      </c>
      <c r="F193" s="120">
        <f>IFERROR(IF(VLOOKUP($A193,'Annex 2 EHV charges'!$A:$O,9,FALSE)=0,"",VLOOKUP($A193,'Annex 2 EHV charges'!$A:$O,9,FALSE)),"")</f>
        <v>210.51</v>
      </c>
      <c r="G193" s="121">
        <f>IFERROR(IF(VLOOKUP($A193,'Annex 2 EHV charges'!$A:$O,10,FALSE)=0,"",VLOOKUP($A193,'Annex 2 EHV charges'!$A:$O,10,FALSE)),"")</f>
        <v>4.63</v>
      </c>
      <c r="H193" s="121">
        <f>IFERROR(IF(VLOOKUP($A193,'Annex 2 EHV charges'!$A:$O,11,FALSE)=0,"",VLOOKUP($A193,'Annex 2 EHV charges'!$A:$O,11,FALSE)),"")</f>
        <v>4.63</v>
      </c>
    </row>
    <row r="194" spans="1:8" x14ac:dyDescent="0.2">
      <c r="A194" s="114">
        <f t="array" ref="A194">IFERROR(INDEX('Annex 2 EHV charges'!$A$11:$A$259, MATCH(0, IF(ISBLANK('Annex 2 EHV charges'!$A$11:$A$259),1, COUNTIF(A$4:$A193, 'Annex 2 EHV charges'!$A$11:$A$259)), 0)),"")</f>
        <v>461</v>
      </c>
      <c r="B194" s="114">
        <f>IF($A194="","",VLOOKUP($A194,'Annex 2 EHV charges'!$A:$O,2,0))</f>
        <v>461</v>
      </c>
      <c r="C194" s="115">
        <f>IF($A194="","",VLOOKUP($A194,'Annex 2 EHV charges'!$A:$O,3,0))</f>
        <v>1300060172544</v>
      </c>
      <c r="D194" s="114" t="str">
        <f>IF($A194="","",VLOOKUP($A194,'Annex 2 EHV charges'!$A:$O,7,0))</f>
        <v>Neptune (Mann Island)</v>
      </c>
      <c r="E194" s="119" t="str">
        <f>IFERROR(IF(VLOOKUP($A194,'Annex 2 EHV charges'!$A:$O,8,FALSE)=0,"",VLOOKUP($A194,'Annex 2 EHV charges'!$A:$O,8,FALSE)),"")</f>
        <v/>
      </c>
      <c r="F194" s="120">
        <f>IFERROR(IF(VLOOKUP($A194,'Annex 2 EHV charges'!$A:$O,9,FALSE)=0,"",VLOOKUP($A194,'Annex 2 EHV charges'!$A:$O,9,FALSE)),"")</f>
        <v>2066.75</v>
      </c>
      <c r="G194" s="121">
        <f>IFERROR(IF(VLOOKUP($A194,'Annex 2 EHV charges'!$A:$O,10,FALSE)=0,"",VLOOKUP($A194,'Annex 2 EHV charges'!$A:$O,10,FALSE)),"")</f>
        <v>12.62</v>
      </c>
      <c r="H194" s="121">
        <f>IFERROR(IF(VLOOKUP($A194,'Annex 2 EHV charges'!$A:$O,11,FALSE)=0,"",VLOOKUP($A194,'Annex 2 EHV charges'!$A:$O,11,FALSE)),"")</f>
        <v>12.62</v>
      </c>
    </row>
    <row r="195" spans="1:8" x14ac:dyDescent="0.2">
      <c r="A195" s="114">
        <f t="array" ref="A195">IFERROR(INDEX('Annex 2 EHV charges'!$A$11:$A$259, MATCH(0, IF(ISBLANK('Annex 2 EHV charges'!$A$11:$A$259),1, COUNTIF(A$4:$A194, 'Annex 2 EHV charges'!$A$11:$A$259)), 0)),"")</f>
        <v>462</v>
      </c>
      <c r="B195" s="114">
        <f>IF($A195="","",VLOOKUP($A195,'Annex 2 EHV charges'!$A:$O,2,0))</f>
        <v>462</v>
      </c>
      <c r="C195" s="115">
        <f>IF($A195="","",VLOOKUP($A195,'Annex 2 EHV charges'!$A:$O,3,0))</f>
        <v>1300035352260</v>
      </c>
      <c r="D195" s="114" t="str">
        <f>IF($A195="","",VLOOKUP($A195,'Annex 2 EHV charges'!$A:$O,7,0))</f>
        <v>L.A.H. Teaching Hospital</v>
      </c>
      <c r="E195" s="119" t="str">
        <f>IFERROR(IF(VLOOKUP($A195,'Annex 2 EHV charges'!$A:$O,8,FALSE)=0,"",VLOOKUP($A195,'Annex 2 EHV charges'!$A:$O,8,FALSE)),"")</f>
        <v/>
      </c>
      <c r="F195" s="120">
        <f>IFERROR(IF(VLOOKUP($A195,'Annex 2 EHV charges'!$A:$O,9,FALSE)=0,"",VLOOKUP($A195,'Annex 2 EHV charges'!$A:$O,9,FALSE)),"")</f>
        <v>549.97</v>
      </c>
      <c r="G195" s="121">
        <f>IFERROR(IF(VLOOKUP($A195,'Annex 2 EHV charges'!$A:$O,10,FALSE)=0,"",VLOOKUP($A195,'Annex 2 EHV charges'!$A:$O,10,FALSE)),"")</f>
        <v>2.76</v>
      </c>
      <c r="H195" s="121">
        <f>IFERROR(IF(VLOOKUP($A195,'Annex 2 EHV charges'!$A:$O,11,FALSE)=0,"",VLOOKUP($A195,'Annex 2 EHV charges'!$A:$O,11,FALSE)),"")</f>
        <v>2.76</v>
      </c>
    </row>
    <row r="196" spans="1:8" x14ac:dyDescent="0.2">
      <c r="A196" s="114">
        <f t="array" ref="A196">IFERROR(INDEX('Annex 2 EHV charges'!$A$11:$A$259, MATCH(0, IF(ISBLANK('Annex 2 EHV charges'!$A$11:$A$259),1, COUNTIF(A$4:$A195, 'Annex 2 EHV charges'!$A$11:$A$259)), 0)),"")</f>
        <v>463</v>
      </c>
      <c r="B196" s="114">
        <f>IF($A196="","",VLOOKUP($A196,'Annex 2 EHV charges'!$A:$O,2,0))</f>
        <v>463</v>
      </c>
      <c r="C196" s="115">
        <f>IF($A196="","",VLOOKUP($A196,'Annex 2 EHV charges'!$A:$O,3,0))</f>
        <v>1300035354123</v>
      </c>
      <c r="D196" s="114" t="str">
        <f>IF($A196="","",VLOOKUP($A196,'Annex 2 EHV charges'!$A:$O,7,0))</f>
        <v>UU Water Plc - Sandon Dock</v>
      </c>
      <c r="E196" s="119">
        <f>IFERROR(IF(VLOOKUP($A196,'Annex 2 EHV charges'!$A:$O,8,FALSE)=0,"",VLOOKUP($A196,'Annex 2 EHV charges'!$A:$O,8,FALSE)),"")</f>
        <v>1.252</v>
      </c>
      <c r="F196" s="120">
        <f>IFERROR(IF(VLOOKUP($A196,'Annex 2 EHV charges'!$A:$O,9,FALSE)=0,"",VLOOKUP($A196,'Annex 2 EHV charges'!$A:$O,9,FALSE)),"")</f>
        <v>1245.3699999999999</v>
      </c>
      <c r="G196" s="121">
        <f>IFERROR(IF(VLOOKUP($A196,'Annex 2 EHV charges'!$A:$O,10,FALSE)=0,"",VLOOKUP($A196,'Annex 2 EHV charges'!$A:$O,10,FALSE)),"")</f>
        <v>4.5199999999999996</v>
      </c>
      <c r="H196" s="121">
        <f>IFERROR(IF(VLOOKUP($A196,'Annex 2 EHV charges'!$A:$O,11,FALSE)=0,"",VLOOKUP($A196,'Annex 2 EHV charges'!$A:$O,11,FALSE)),"")</f>
        <v>4.5199999999999996</v>
      </c>
    </row>
    <row r="197" spans="1:8" x14ac:dyDescent="0.2">
      <c r="A197" s="114">
        <f t="array" ref="A197">IFERROR(INDEX('Annex 2 EHV charges'!$A$11:$A$259, MATCH(0, IF(ISBLANK('Annex 2 EHV charges'!$A$11:$A$259),1, COUNTIF(A$4:$A196, 'Annex 2 EHV charges'!$A$11:$A$259)), 0)),"")</f>
        <v>464</v>
      </c>
      <c r="B197" s="114">
        <f>IF($A197="","",VLOOKUP($A197,'Annex 2 EHV charges'!$A:$O,2,0))</f>
        <v>464</v>
      </c>
      <c r="C197" s="115">
        <f>IF($A197="","",VLOOKUP($A197,'Annex 2 EHV charges'!$A:$O,3,0))</f>
        <v>1300035355242</v>
      </c>
      <c r="D197" s="114" t="str">
        <f>IF($A197="","",VLOOKUP($A197,'Annex 2 EHV charges'!$A:$O,7,0))</f>
        <v>UU Water Plc Gateworth Sewage</v>
      </c>
      <c r="E197" s="119">
        <f>IFERROR(IF(VLOOKUP($A197,'Annex 2 EHV charges'!$A:$O,8,FALSE)=0,"",VLOOKUP($A197,'Annex 2 EHV charges'!$A:$O,8,FALSE)),"")</f>
        <v>3.3439999999999999</v>
      </c>
      <c r="F197" s="120">
        <f>IFERROR(IF(VLOOKUP($A197,'Annex 2 EHV charges'!$A:$O,9,FALSE)=0,"",VLOOKUP($A197,'Annex 2 EHV charges'!$A:$O,9,FALSE)),"")</f>
        <v>167.81</v>
      </c>
      <c r="G197" s="121">
        <f>IFERROR(IF(VLOOKUP($A197,'Annex 2 EHV charges'!$A:$O,10,FALSE)=0,"",VLOOKUP($A197,'Annex 2 EHV charges'!$A:$O,10,FALSE)),"")</f>
        <v>3.83</v>
      </c>
      <c r="H197" s="121">
        <f>IFERROR(IF(VLOOKUP($A197,'Annex 2 EHV charges'!$A:$O,11,FALSE)=0,"",VLOOKUP($A197,'Annex 2 EHV charges'!$A:$O,11,FALSE)),"")</f>
        <v>3.83</v>
      </c>
    </row>
    <row r="198" spans="1:8" x14ac:dyDescent="0.2">
      <c r="A198" s="114">
        <f t="array" ref="A198">IFERROR(INDEX('Annex 2 EHV charges'!$A$11:$A$259, MATCH(0, IF(ISBLANK('Annex 2 EHV charges'!$A$11:$A$259),1, COUNTIF(A$4:$A197, 'Annex 2 EHV charges'!$A$11:$A$259)), 0)),"")</f>
        <v>465</v>
      </c>
      <c r="B198" s="114">
        <f>IF($A198="","",VLOOKUP($A198,'Annex 2 EHV charges'!$A:$O,2,0))</f>
        <v>465</v>
      </c>
      <c r="C198" s="115">
        <f>IF($A198="","",VLOOKUP($A198,'Annex 2 EHV charges'!$A:$O,3,0))</f>
        <v>1300035359770</v>
      </c>
      <c r="D198" s="114" t="str">
        <f>IF($A198="","",VLOOKUP($A198,'Annex 2 EHV charges'!$A:$O,7,0))</f>
        <v>UU Water Plc - Huntington</v>
      </c>
      <c r="E198" s="119">
        <f>IFERROR(IF(VLOOKUP($A198,'Annex 2 EHV charges'!$A:$O,8,FALSE)=0,"",VLOOKUP($A198,'Annex 2 EHV charges'!$A:$O,8,FALSE)),"")</f>
        <v>1.4259999999999999</v>
      </c>
      <c r="F198" s="120">
        <f>IFERROR(IF(VLOOKUP($A198,'Annex 2 EHV charges'!$A:$O,9,FALSE)=0,"",VLOOKUP($A198,'Annex 2 EHV charges'!$A:$O,9,FALSE)),"")</f>
        <v>48.55</v>
      </c>
      <c r="G198" s="121">
        <f>IFERROR(IF(VLOOKUP($A198,'Annex 2 EHV charges'!$A:$O,10,FALSE)=0,"",VLOOKUP($A198,'Annex 2 EHV charges'!$A:$O,10,FALSE)),"")</f>
        <v>6.39</v>
      </c>
      <c r="H198" s="121">
        <f>IFERROR(IF(VLOOKUP($A198,'Annex 2 EHV charges'!$A:$O,11,FALSE)=0,"",VLOOKUP($A198,'Annex 2 EHV charges'!$A:$O,11,FALSE)),"")</f>
        <v>6.39</v>
      </c>
    </row>
    <row r="199" spans="1:8" x14ac:dyDescent="0.2">
      <c r="A199" s="114">
        <f t="array" ref="A199">IFERROR(INDEX('Annex 2 EHV charges'!$A$11:$A$259, MATCH(0, IF(ISBLANK('Annex 2 EHV charges'!$A$11:$A$259),1, COUNTIF(A$4:$A198, 'Annex 2 EHV charges'!$A$11:$A$259)), 0)),"")</f>
        <v>466</v>
      </c>
      <c r="B199" s="114">
        <f>IF($A199="","",VLOOKUP($A199,'Annex 2 EHV charges'!$A:$O,2,0))</f>
        <v>466</v>
      </c>
      <c r="C199" s="115">
        <f>IF($A199="","",VLOOKUP($A199,'Annex 2 EHV charges'!$A:$O,3,0))</f>
        <v>1300035401331</v>
      </c>
      <c r="D199" s="114" t="str">
        <f>IF($A199="","",VLOOKUP($A199,'Annex 2 EHV charges'!$A:$O,7,0))</f>
        <v>UU Water Plc - Shell Green</v>
      </c>
      <c r="E199" s="119">
        <f>IFERROR(IF(VLOOKUP($A199,'Annex 2 EHV charges'!$A:$O,8,FALSE)=0,"",VLOOKUP($A199,'Annex 2 EHV charges'!$A:$O,8,FALSE)),"")</f>
        <v>0.29699999999999999</v>
      </c>
      <c r="F199" s="120">
        <f>IFERROR(IF(VLOOKUP($A199,'Annex 2 EHV charges'!$A:$O,9,FALSE)=0,"",VLOOKUP($A199,'Annex 2 EHV charges'!$A:$O,9,FALSE)),"")</f>
        <v>537.95000000000005</v>
      </c>
      <c r="G199" s="121">
        <f>IFERROR(IF(VLOOKUP($A199,'Annex 2 EHV charges'!$A:$O,10,FALSE)=0,"",VLOOKUP($A199,'Annex 2 EHV charges'!$A:$O,10,FALSE)),"")</f>
        <v>6.06</v>
      </c>
      <c r="H199" s="121">
        <f>IFERROR(IF(VLOOKUP($A199,'Annex 2 EHV charges'!$A:$O,11,FALSE)=0,"",VLOOKUP($A199,'Annex 2 EHV charges'!$A:$O,11,FALSE)),"")</f>
        <v>6.06</v>
      </c>
    </row>
    <row r="200" spans="1:8" x14ac:dyDescent="0.2">
      <c r="A200" s="114">
        <f t="array" ref="A200">IFERROR(INDEX('Annex 2 EHV charges'!$A$11:$A$259, MATCH(0, IF(ISBLANK('Annex 2 EHV charges'!$A$11:$A$259),1, COUNTIF(A$4:$A199, 'Annex 2 EHV charges'!$A$11:$A$259)), 0)),"")</f>
        <v>467</v>
      </c>
      <c r="B200" s="114">
        <f>IF($A200="","",VLOOKUP($A200,'Annex 2 EHV charges'!$A:$O,2,0))</f>
        <v>467</v>
      </c>
      <c r="C200" s="115">
        <f>IF($A200="","",VLOOKUP($A200,'Annex 2 EHV charges'!$A:$O,3,0))</f>
        <v>1300035353148</v>
      </c>
      <c r="D200" s="114" t="str">
        <f>IF($A200="","",VLOOKUP($A200,'Annex 2 EHV charges'!$A:$O,7,0))</f>
        <v>Eli Lilly &amp; Co</v>
      </c>
      <c r="E200" s="119">
        <f>IFERROR(IF(VLOOKUP($A200,'Annex 2 EHV charges'!$A:$O,8,FALSE)=0,"",VLOOKUP($A200,'Annex 2 EHV charges'!$A:$O,8,FALSE)),"")</f>
        <v>0.307</v>
      </c>
      <c r="F200" s="120">
        <f>IFERROR(IF(VLOOKUP($A200,'Annex 2 EHV charges'!$A:$O,9,FALSE)=0,"",VLOOKUP($A200,'Annex 2 EHV charges'!$A:$O,9,FALSE)),"")</f>
        <v>1199.94</v>
      </c>
      <c r="G200" s="121">
        <f>IFERROR(IF(VLOOKUP($A200,'Annex 2 EHV charges'!$A:$O,10,FALSE)=0,"",VLOOKUP($A200,'Annex 2 EHV charges'!$A:$O,10,FALSE)),"")</f>
        <v>6.23</v>
      </c>
      <c r="H200" s="121">
        <f>IFERROR(IF(VLOOKUP($A200,'Annex 2 EHV charges'!$A:$O,11,FALSE)=0,"",VLOOKUP($A200,'Annex 2 EHV charges'!$A:$O,11,FALSE)),"")</f>
        <v>6.23</v>
      </c>
    </row>
    <row r="201" spans="1:8" x14ac:dyDescent="0.2">
      <c r="A201" s="114">
        <f t="array" ref="A201">IFERROR(INDEX('Annex 2 EHV charges'!$A$11:$A$259, MATCH(0, IF(ISBLANK('Annex 2 EHV charges'!$A$11:$A$259),1, COUNTIF(A$4:$A200, 'Annex 2 EHV charges'!$A$11:$A$259)), 0)),"")</f>
        <v>468</v>
      </c>
      <c r="B201" s="114">
        <f>IF($A201="","",VLOOKUP($A201,'Annex 2 EHV charges'!$A:$O,2,0))</f>
        <v>468</v>
      </c>
      <c r="C201" s="115">
        <f>IF($A201="","",VLOOKUP($A201,'Annex 2 EHV charges'!$A:$O,3,0))</f>
        <v>1300035355794</v>
      </c>
      <c r="D201" s="114" t="str">
        <f>IF($A201="","",VLOOKUP($A201,'Annex 2 EHV charges'!$A:$O,7,0))</f>
        <v>Pilkington Glass - Greengate</v>
      </c>
      <c r="E201" s="119">
        <f>IFERROR(IF(VLOOKUP($A201,'Annex 2 EHV charges'!$A:$O,8,FALSE)=0,"",VLOOKUP($A201,'Annex 2 EHV charges'!$A:$O,8,FALSE)),"")</f>
        <v>0.91500000000000004</v>
      </c>
      <c r="F201" s="120">
        <f>IFERROR(IF(VLOOKUP($A201,'Annex 2 EHV charges'!$A:$O,9,FALSE)=0,"",VLOOKUP($A201,'Annex 2 EHV charges'!$A:$O,9,FALSE)),"")</f>
        <v>692.56</v>
      </c>
      <c r="G201" s="121">
        <f>IFERROR(IF(VLOOKUP($A201,'Annex 2 EHV charges'!$A:$O,10,FALSE)=0,"",VLOOKUP($A201,'Annex 2 EHV charges'!$A:$O,10,FALSE)),"")</f>
        <v>3.44</v>
      </c>
      <c r="H201" s="121">
        <f>IFERROR(IF(VLOOKUP($A201,'Annex 2 EHV charges'!$A:$O,11,FALSE)=0,"",VLOOKUP($A201,'Annex 2 EHV charges'!$A:$O,11,FALSE)),"")</f>
        <v>3.44</v>
      </c>
    </row>
    <row r="202" spans="1:8" x14ac:dyDescent="0.2">
      <c r="A202" s="114">
        <f t="array" ref="A202">IFERROR(INDEX('Annex 2 EHV charges'!$A$11:$A$259, MATCH(0, IF(ISBLANK('Annex 2 EHV charges'!$A$11:$A$259),1, COUNTIF(A$4:$A201, 'Annex 2 EHV charges'!$A$11:$A$259)), 0)),"")</f>
        <v>469</v>
      </c>
      <c r="B202" s="114">
        <f>IF($A202="","",VLOOKUP($A202,'Annex 2 EHV charges'!$A:$O,2,0))</f>
        <v>469</v>
      </c>
      <c r="C202" s="115">
        <f>IF($A202="","",VLOOKUP($A202,'Annex 2 EHV charges'!$A:$O,3,0))</f>
        <v>1300035355882</v>
      </c>
      <c r="D202" s="114" t="str">
        <f>IF($A202="","",VLOOKUP($A202,'Annex 2 EHV charges'!$A:$O,7,0))</f>
        <v>Pilkington Glass - Cowley Hill</v>
      </c>
      <c r="E202" s="119">
        <f>IFERROR(IF(VLOOKUP($A202,'Annex 2 EHV charges'!$A:$O,8,FALSE)=0,"",VLOOKUP($A202,'Annex 2 EHV charges'!$A:$O,8,FALSE)),"")</f>
        <v>1.0049999999999999</v>
      </c>
      <c r="F202" s="120">
        <f>IFERROR(IF(VLOOKUP($A202,'Annex 2 EHV charges'!$A:$O,9,FALSE)=0,"",VLOOKUP($A202,'Annex 2 EHV charges'!$A:$O,9,FALSE)),"")</f>
        <v>412.48</v>
      </c>
      <c r="G202" s="121">
        <f>IFERROR(IF(VLOOKUP($A202,'Annex 2 EHV charges'!$A:$O,10,FALSE)=0,"",VLOOKUP($A202,'Annex 2 EHV charges'!$A:$O,10,FALSE)),"")</f>
        <v>2.69</v>
      </c>
      <c r="H202" s="121">
        <f>IFERROR(IF(VLOOKUP($A202,'Annex 2 EHV charges'!$A:$O,11,FALSE)=0,"",VLOOKUP($A202,'Annex 2 EHV charges'!$A:$O,11,FALSE)),"")</f>
        <v>2.69</v>
      </c>
    </row>
    <row r="203" spans="1:8" x14ac:dyDescent="0.2">
      <c r="A203" s="114">
        <f t="array" ref="A203">IFERROR(INDEX('Annex 2 EHV charges'!$A$11:$A$259, MATCH(0, IF(ISBLANK('Annex 2 EHV charges'!$A$11:$A$259),1, COUNTIF(A$4:$A202, 'Annex 2 EHV charges'!$A$11:$A$259)), 0)),"")</f>
        <v>470</v>
      </c>
      <c r="B203" s="114">
        <f>IF($A203="","",VLOOKUP($A203,'Annex 2 EHV charges'!$A:$O,2,0))</f>
        <v>470</v>
      </c>
      <c r="C203" s="115">
        <f>IF($A203="","",VLOOKUP($A203,'Annex 2 EHV charges'!$A:$O,3,0))</f>
        <v>1300035355190</v>
      </c>
      <c r="D203" s="114" t="str">
        <f>IF($A203="","",VLOOKUP($A203,'Annex 2 EHV charges'!$A:$O,7,0))</f>
        <v>Iceland</v>
      </c>
      <c r="E203" s="119">
        <f>IFERROR(IF(VLOOKUP($A203,'Annex 2 EHV charges'!$A:$O,8,FALSE)=0,"",VLOOKUP($A203,'Annex 2 EHV charges'!$A:$O,8,FALSE)),"")</f>
        <v>2.875</v>
      </c>
      <c r="F203" s="120">
        <f>IFERROR(IF(VLOOKUP($A203,'Annex 2 EHV charges'!$A:$O,9,FALSE)=0,"",VLOOKUP($A203,'Annex 2 EHV charges'!$A:$O,9,FALSE)),"")</f>
        <v>199.98</v>
      </c>
      <c r="G203" s="121">
        <f>IFERROR(IF(VLOOKUP($A203,'Annex 2 EHV charges'!$A:$O,10,FALSE)=0,"",VLOOKUP($A203,'Annex 2 EHV charges'!$A:$O,10,FALSE)),"")</f>
        <v>13.31</v>
      </c>
      <c r="H203" s="121">
        <f>IFERROR(IF(VLOOKUP($A203,'Annex 2 EHV charges'!$A:$O,11,FALSE)=0,"",VLOOKUP($A203,'Annex 2 EHV charges'!$A:$O,11,FALSE)),"")</f>
        <v>13.31</v>
      </c>
    </row>
    <row r="204" spans="1:8" x14ac:dyDescent="0.2">
      <c r="A204" s="114">
        <f t="array" ref="A204">IFERROR(INDEX('Annex 2 EHV charges'!$A$11:$A$259, MATCH(0, IF(ISBLANK('Annex 2 EHV charges'!$A$11:$A$259),1, COUNTIF(A$4:$A203, 'Annex 2 EHV charges'!$A$11:$A$259)), 0)),"")</f>
        <v>471</v>
      </c>
      <c r="B204" s="114">
        <f>IF($A204="","",VLOOKUP($A204,'Annex 2 EHV charges'!$A:$O,2,0))</f>
        <v>471</v>
      </c>
      <c r="C204" s="115">
        <f>IF($A204="","",VLOOKUP($A204,'Annex 2 EHV charges'!$A:$O,3,0))</f>
        <v>1300035359813</v>
      </c>
      <c r="D204" s="114" t="str">
        <f>IF($A204="","",VLOOKUP($A204,'Annex 2 EHV charges'!$A:$O,7,0))</f>
        <v>Meadow Foods Ltd</v>
      </c>
      <c r="E204" s="119">
        <f>IFERROR(IF(VLOOKUP($A204,'Annex 2 EHV charges'!$A:$O,8,FALSE)=0,"",VLOOKUP($A204,'Annex 2 EHV charges'!$A:$O,8,FALSE)),"")</f>
        <v>1.371</v>
      </c>
      <c r="F204" s="120">
        <f>IFERROR(IF(VLOOKUP($A204,'Annex 2 EHV charges'!$A:$O,9,FALSE)=0,"",VLOOKUP($A204,'Annex 2 EHV charges'!$A:$O,9,FALSE)),"")</f>
        <v>210.51</v>
      </c>
      <c r="G204" s="121">
        <f>IFERROR(IF(VLOOKUP($A204,'Annex 2 EHV charges'!$A:$O,10,FALSE)=0,"",VLOOKUP($A204,'Annex 2 EHV charges'!$A:$O,10,FALSE)),"")</f>
        <v>7.54</v>
      </c>
      <c r="H204" s="121">
        <f>IFERROR(IF(VLOOKUP($A204,'Annex 2 EHV charges'!$A:$O,11,FALSE)=0,"",VLOOKUP($A204,'Annex 2 EHV charges'!$A:$O,11,FALSE)),"")</f>
        <v>7.54</v>
      </c>
    </row>
    <row r="205" spans="1:8" x14ac:dyDescent="0.2">
      <c r="A205" s="114">
        <f t="array" ref="A205">IFERROR(INDEX('Annex 2 EHV charges'!$A$11:$A$259, MATCH(0, IF(ISBLANK('Annex 2 EHV charges'!$A$11:$A$259),1, COUNTIF(A$4:$A204, 'Annex 2 EHV charges'!$A$11:$A$259)), 0)),"")</f>
        <v>472</v>
      </c>
      <c r="B205" s="114">
        <f>IF($A205="","",VLOOKUP($A205,'Annex 2 EHV charges'!$A:$O,2,0))</f>
        <v>472</v>
      </c>
      <c r="C205" s="115">
        <f>IF($A205="","",VLOOKUP($A205,'Annex 2 EHV charges'!$A:$O,3,0))</f>
        <v>1300035362746</v>
      </c>
      <c r="D205" s="114" t="str">
        <f>IF($A205="","",VLOOKUP($A205,'Annex 2 EHV charges'!$A:$O,7,0))</f>
        <v>Wirral Hospital</v>
      </c>
      <c r="E205" s="119" t="str">
        <f>IFERROR(IF(VLOOKUP($A205,'Annex 2 EHV charges'!$A:$O,8,FALSE)=0,"",VLOOKUP($A205,'Annex 2 EHV charges'!$A:$O,8,FALSE)),"")</f>
        <v/>
      </c>
      <c r="F205" s="120">
        <f>IFERROR(IF(VLOOKUP($A205,'Annex 2 EHV charges'!$A:$O,9,FALSE)=0,"",VLOOKUP($A205,'Annex 2 EHV charges'!$A:$O,9,FALSE)),"")</f>
        <v>210.51</v>
      </c>
      <c r="G205" s="121">
        <f>IFERROR(IF(VLOOKUP($A205,'Annex 2 EHV charges'!$A:$O,10,FALSE)=0,"",VLOOKUP($A205,'Annex 2 EHV charges'!$A:$O,10,FALSE)),"")</f>
        <v>4.04</v>
      </c>
      <c r="H205" s="121">
        <f>IFERROR(IF(VLOOKUP($A205,'Annex 2 EHV charges'!$A:$O,11,FALSE)=0,"",VLOOKUP($A205,'Annex 2 EHV charges'!$A:$O,11,FALSE)),"")</f>
        <v>4.04</v>
      </c>
    </row>
    <row r="206" spans="1:8" x14ac:dyDescent="0.2">
      <c r="A206" s="114">
        <f t="array" ref="A206">IFERROR(INDEX('Annex 2 EHV charges'!$A$11:$A$259, MATCH(0, IF(ISBLANK('Annex 2 EHV charges'!$A$11:$A$259),1, COUNTIF(A$4:$A205, 'Annex 2 EHV charges'!$A$11:$A$259)), 0)),"")</f>
        <v>473</v>
      </c>
      <c r="B206" s="114">
        <f>IF($A206="","",VLOOKUP($A206,'Annex 2 EHV charges'!$A:$O,2,0))</f>
        <v>473</v>
      </c>
      <c r="C206" s="115">
        <f>IF($A206="","",VLOOKUP($A206,'Annex 2 EHV charges'!$A:$O,3,0))</f>
        <v>1300035366174</v>
      </c>
      <c r="D206" s="114" t="str">
        <f>IF($A206="","",VLOOKUP($A206,'Annex 2 EHV charges'!$A:$O,7,0))</f>
        <v>Conway &amp; Denbighshire NHS Trust</v>
      </c>
      <c r="E206" s="119" t="str">
        <f>IFERROR(IF(VLOOKUP($A206,'Annex 2 EHV charges'!$A:$O,8,FALSE)=0,"",VLOOKUP($A206,'Annex 2 EHV charges'!$A:$O,8,FALSE)),"")</f>
        <v/>
      </c>
      <c r="F206" s="120">
        <f>IFERROR(IF(VLOOKUP($A206,'Annex 2 EHV charges'!$A:$O,9,FALSE)=0,"",VLOOKUP($A206,'Annex 2 EHV charges'!$A:$O,9,FALSE)),"")</f>
        <v>210.51</v>
      </c>
      <c r="G206" s="121">
        <f>IFERROR(IF(VLOOKUP($A206,'Annex 2 EHV charges'!$A:$O,10,FALSE)=0,"",VLOOKUP($A206,'Annex 2 EHV charges'!$A:$O,10,FALSE)),"")</f>
        <v>13.95</v>
      </c>
      <c r="H206" s="121">
        <f>IFERROR(IF(VLOOKUP($A206,'Annex 2 EHV charges'!$A:$O,11,FALSE)=0,"",VLOOKUP($A206,'Annex 2 EHV charges'!$A:$O,11,FALSE)),"")</f>
        <v>13.95</v>
      </c>
    </row>
    <row r="207" spans="1:8" x14ac:dyDescent="0.2">
      <c r="A207" s="114">
        <f t="array" ref="A207">IFERROR(INDEX('Annex 2 EHV charges'!$A$11:$A$259, MATCH(0, IF(ISBLANK('Annex 2 EHV charges'!$A$11:$A$259),1, COUNTIF(A$4:$A206, 'Annex 2 EHV charges'!$A$11:$A$259)), 0)),"")</f>
        <v>474</v>
      </c>
      <c r="B207" s="114">
        <f>IF($A207="","",VLOOKUP($A207,'Annex 2 EHV charges'!$A:$O,2,0))</f>
        <v>474</v>
      </c>
      <c r="C207" s="115">
        <f>IF($A207="","",VLOOKUP($A207,'Annex 2 EHV charges'!$A:$O,3,0))</f>
        <v>1300035438261</v>
      </c>
      <c r="D207" s="114" t="str">
        <f>IF($A207="","",VLOOKUP($A207,'Annex 2 EHV charges'!$A:$O,7,0))</f>
        <v>Morrisons (Dist Centre)</v>
      </c>
      <c r="E207" s="119">
        <f>IFERROR(IF(VLOOKUP($A207,'Annex 2 EHV charges'!$A:$O,8,FALSE)=0,"",VLOOKUP($A207,'Annex 2 EHV charges'!$A:$O,8,FALSE)),"")</f>
        <v>2.4169999999999998</v>
      </c>
      <c r="F207" s="120">
        <f>IFERROR(IF(VLOOKUP($A207,'Annex 2 EHV charges'!$A:$O,9,FALSE)=0,"",VLOOKUP($A207,'Annex 2 EHV charges'!$A:$O,9,FALSE)),"")</f>
        <v>210.51</v>
      </c>
      <c r="G207" s="121">
        <f>IFERROR(IF(VLOOKUP($A207,'Annex 2 EHV charges'!$A:$O,10,FALSE)=0,"",VLOOKUP($A207,'Annex 2 EHV charges'!$A:$O,10,FALSE)),"")</f>
        <v>12.2</v>
      </c>
      <c r="H207" s="121">
        <f>IFERROR(IF(VLOOKUP($A207,'Annex 2 EHV charges'!$A:$O,11,FALSE)=0,"",VLOOKUP($A207,'Annex 2 EHV charges'!$A:$O,11,FALSE)),"")</f>
        <v>12.2</v>
      </c>
    </row>
    <row r="208" spans="1:8" x14ac:dyDescent="0.2">
      <c r="A208" s="114">
        <f t="array" ref="A208">IFERROR(INDEX('Annex 2 EHV charges'!$A$11:$A$259, MATCH(0, IF(ISBLANK('Annex 2 EHV charges'!$A$11:$A$259),1, COUNTIF(A$4:$A207, 'Annex 2 EHV charges'!$A$11:$A$259)), 0)),"")</f>
        <v>475</v>
      </c>
      <c r="B208" s="114">
        <f>IF($A208="","",VLOOKUP($A208,'Annex 2 EHV charges'!$A:$O,2,0))</f>
        <v>475</v>
      </c>
      <c r="C208" s="115">
        <f>IF($A208="","",VLOOKUP($A208,'Annex 2 EHV charges'!$A:$O,3,0))</f>
        <v>1300060172562</v>
      </c>
      <c r="D208" s="114" t="str">
        <f>IF($A208="","",VLOOKUP($A208,'Annex 2 EHV charges'!$A:$O,7,0))</f>
        <v>Mersey Travel (Mann Island)</v>
      </c>
      <c r="E208" s="119" t="str">
        <f>IFERROR(IF(VLOOKUP($A208,'Annex 2 EHV charges'!$A:$O,8,FALSE)=0,"",VLOOKUP($A208,'Annex 2 EHV charges'!$A:$O,8,FALSE)),"")</f>
        <v/>
      </c>
      <c r="F208" s="120">
        <f>IFERROR(IF(VLOOKUP($A208,'Annex 2 EHV charges'!$A:$O,9,FALSE)=0,"",VLOOKUP($A208,'Annex 2 EHV charges'!$A:$O,9,FALSE)),"")</f>
        <v>105.25</v>
      </c>
      <c r="G208" s="121">
        <f>IFERROR(IF(VLOOKUP($A208,'Annex 2 EHV charges'!$A:$O,10,FALSE)=0,"",VLOOKUP($A208,'Annex 2 EHV charges'!$A:$O,10,FALSE)),"")</f>
        <v>3.91</v>
      </c>
      <c r="H208" s="121">
        <f>IFERROR(IF(VLOOKUP($A208,'Annex 2 EHV charges'!$A:$O,11,FALSE)=0,"",VLOOKUP($A208,'Annex 2 EHV charges'!$A:$O,11,FALSE)),"")</f>
        <v>3.91</v>
      </c>
    </row>
    <row r="209" spans="1:8" x14ac:dyDescent="0.2">
      <c r="A209" s="114">
        <f t="array" ref="A209">IFERROR(INDEX('Annex 2 EHV charges'!$A$11:$A$259, MATCH(0, IF(ISBLANK('Annex 2 EHV charges'!$A$11:$A$259),1, COUNTIF(A$4:$A208, 'Annex 2 EHV charges'!$A$11:$A$259)), 0)),"")</f>
        <v>476</v>
      </c>
      <c r="B209" s="114">
        <f>IF($A209="","",VLOOKUP($A209,'Annex 2 EHV charges'!$A:$O,2,0))</f>
        <v>476</v>
      </c>
      <c r="C209" s="115">
        <f>IF($A209="","",VLOOKUP($A209,'Annex 2 EHV charges'!$A:$O,3,0))</f>
        <v>1300050712379</v>
      </c>
      <c r="D209" s="114" t="str">
        <f>IF($A209="","",VLOOKUP($A209,'Annex 2 EHV charges'!$A:$O,7,0))</f>
        <v>Pilkington Glass HO</v>
      </c>
      <c r="E209" s="119">
        <f>IFERROR(IF(VLOOKUP($A209,'Annex 2 EHV charges'!$A:$O,8,FALSE)=0,"",VLOOKUP($A209,'Annex 2 EHV charges'!$A:$O,8,FALSE)),"")</f>
        <v>0.97799999999999998</v>
      </c>
      <c r="F209" s="120">
        <f>IFERROR(IF(VLOOKUP($A209,'Annex 2 EHV charges'!$A:$O,9,FALSE)=0,"",VLOOKUP($A209,'Annex 2 EHV charges'!$A:$O,9,FALSE)),"")</f>
        <v>210.51</v>
      </c>
      <c r="G209" s="121">
        <f>IFERROR(IF(VLOOKUP($A209,'Annex 2 EHV charges'!$A:$O,10,FALSE)=0,"",VLOOKUP($A209,'Annex 2 EHV charges'!$A:$O,10,FALSE)),"")</f>
        <v>5.19</v>
      </c>
      <c r="H209" s="121">
        <f>IFERROR(IF(VLOOKUP($A209,'Annex 2 EHV charges'!$A:$O,11,FALSE)=0,"",VLOOKUP($A209,'Annex 2 EHV charges'!$A:$O,11,FALSE)),"")</f>
        <v>5.19</v>
      </c>
    </row>
    <row r="210" spans="1:8" x14ac:dyDescent="0.2">
      <c r="A210" s="114">
        <f t="array" ref="A210">IFERROR(INDEX('Annex 2 EHV charges'!$A$11:$A$259, MATCH(0, IF(ISBLANK('Annex 2 EHV charges'!$A$11:$A$259),1, COUNTIF(A$4:$A209, 'Annex 2 EHV charges'!$A$11:$A$259)), 0)),"")</f>
        <v>477</v>
      </c>
      <c r="B210" s="114">
        <f>IF($A210="","",VLOOKUP($A210,'Annex 2 EHV charges'!$A:$O,2,0))</f>
        <v>477</v>
      </c>
      <c r="C210" s="115">
        <f>IF($A210="","",VLOOKUP($A210,'Annex 2 EHV charges'!$A:$O,3,0))</f>
        <v>1300051517515</v>
      </c>
      <c r="D210" s="114" t="str">
        <f>IF($A210="","",VLOOKUP($A210,'Annex 2 EHV charges'!$A:$O,7,0))</f>
        <v>Mod - Raf Valley</v>
      </c>
      <c r="E210" s="119">
        <f>IFERROR(IF(VLOOKUP($A210,'Annex 2 EHV charges'!$A:$O,8,FALSE)=0,"",VLOOKUP($A210,'Annex 2 EHV charges'!$A:$O,8,FALSE)),"")</f>
        <v>0.23499999999999999</v>
      </c>
      <c r="F210" s="120">
        <f>IFERROR(IF(VLOOKUP($A210,'Annex 2 EHV charges'!$A:$O,9,FALSE)=0,"",VLOOKUP($A210,'Annex 2 EHV charges'!$A:$O,9,FALSE)),"")</f>
        <v>210.51</v>
      </c>
      <c r="G210" s="121">
        <f>IFERROR(IF(VLOOKUP($A210,'Annex 2 EHV charges'!$A:$O,10,FALSE)=0,"",VLOOKUP($A210,'Annex 2 EHV charges'!$A:$O,10,FALSE)),"")</f>
        <v>11.98</v>
      </c>
      <c r="H210" s="121">
        <f>IFERROR(IF(VLOOKUP($A210,'Annex 2 EHV charges'!$A:$O,11,FALSE)=0,"",VLOOKUP($A210,'Annex 2 EHV charges'!$A:$O,11,FALSE)),"")</f>
        <v>11.98</v>
      </c>
    </row>
    <row r="211" spans="1:8" x14ac:dyDescent="0.2">
      <c r="A211" s="114">
        <f t="array" ref="A211">IFERROR(INDEX('Annex 2 EHV charges'!$A$11:$A$259, MATCH(0, IF(ISBLANK('Annex 2 EHV charges'!$A$11:$A$259),1, COUNTIF(A$4:$A210, 'Annex 2 EHV charges'!$A$11:$A$259)), 0)),"")</f>
        <v>478</v>
      </c>
      <c r="B211" s="114">
        <f>IF($A211="","",VLOOKUP($A211,'Annex 2 EHV charges'!$A:$O,2,0))</f>
        <v>478</v>
      </c>
      <c r="C211" s="115">
        <f>IF($A211="","",VLOOKUP($A211,'Annex 2 EHV charges'!$A:$O,3,0))</f>
        <v>1300051517747</v>
      </c>
      <c r="D211" s="114" t="str">
        <f>IF($A211="","",VLOOKUP($A211,'Annex 2 EHV charges'!$A:$O,7,0))</f>
        <v>Mod - Shawbury</v>
      </c>
      <c r="E211" s="119">
        <f>IFERROR(IF(VLOOKUP($A211,'Annex 2 EHV charges'!$A:$O,8,FALSE)=0,"",VLOOKUP($A211,'Annex 2 EHV charges'!$A:$O,8,FALSE)),"")</f>
        <v>0.24199999999999999</v>
      </c>
      <c r="F211" s="120">
        <f>IFERROR(IF(VLOOKUP($A211,'Annex 2 EHV charges'!$A:$O,9,FALSE)=0,"",VLOOKUP($A211,'Annex 2 EHV charges'!$A:$O,9,FALSE)),"")</f>
        <v>105.25</v>
      </c>
      <c r="G211" s="121">
        <f>IFERROR(IF(VLOOKUP($A211,'Annex 2 EHV charges'!$A:$O,10,FALSE)=0,"",VLOOKUP($A211,'Annex 2 EHV charges'!$A:$O,10,FALSE)),"")</f>
        <v>18.420000000000002</v>
      </c>
      <c r="H211" s="121">
        <f>IFERROR(IF(VLOOKUP($A211,'Annex 2 EHV charges'!$A:$O,11,FALSE)=0,"",VLOOKUP($A211,'Annex 2 EHV charges'!$A:$O,11,FALSE)),"")</f>
        <v>18.420000000000002</v>
      </c>
    </row>
    <row r="212" spans="1:8" x14ac:dyDescent="0.2">
      <c r="A212" s="114">
        <f t="array" ref="A212">IFERROR(INDEX('Annex 2 EHV charges'!$A$11:$A$259, MATCH(0, IF(ISBLANK('Annex 2 EHV charges'!$A$11:$A$259),1, COUNTIF(A$4:$A211, 'Annex 2 EHV charges'!$A$11:$A$259)), 0)),"")</f>
        <v>479</v>
      </c>
      <c r="B212" s="114">
        <f>IF($A212="","",VLOOKUP($A212,'Annex 2 EHV charges'!$A:$O,2,0))</f>
        <v>479</v>
      </c>
      <c r="C212" s="115">
        <f>IF($A212="","",VLOOKUP($A212,'Annex 2 EHV charges'!$A:$O,3,0))</f>
        <v>1300035365640</v>
      </c>
      <c r="D212" s="114" t="str">
        <f>IF($A212="","",VLOOKUP($A212,'Annex 2 EHV charges'!$A:$O,7,0))</f>
        <v>Crewe Station</v>
      </c>
      <c r="E212" s="119">
        <f>IFERROR(IF(VLOOKUP($A212,'Annex 2 EHV charges'!$A:$O,8,FALSE)=0,"",VLOOKUP($A212,'Annex 2 EHV charges'!$A:$O,8,FALSE)),"")</f>
        <v>1.802</v>
      </c>
      <c r="F212" s="120">
        <f>IFERROR(IF(VLOOKUP($A212,'Annex 2 EHV charges'!$A:$O,9,FALSE)=0,"",VLOOKUP($A212,'Annex 2 EHV charges'!$A:$O,9,FALSE)),"")</f>
        <v>210.51</v>
      </c>
      <c r="G212" s="121">
        <f>IFERROR(IF(VLOOKUP($A212,'Annex 2 EHV charges'!$A:$O,10,FALSE)=0,"",VLOOKUP($A212,'Annex 2 EHV charges'!$A:$O,10,FALSE)),"")</f>
        <v>8.3000000000000007</v>
      </c>
      <c r="H212" s="121">
        <f>IFERROR(IF(VLOOKUP($A212,'Annex 2 EHV charges'!$A:$O,11,FALSE)=0,"",VLOOKUP($A212,'Annex 2 EHV charges'!$A:$O,11,FALSE)),"")</f>
        <v>8.3000000000000007</v>
      </c>
    </row>
    <row r="213" spans="1:8" x14ac:dyDescent="0.2">
      <c r="A213" s="114">
        <f t="array" ref="A213">IFERROR(INDEX('Annex 2 EHV charges'!$A$11:$A$259, MATCH(0, IF(ISBLANK('Annex 2 EHV charges'!$A$11:$A$259),1, COUNTIF(A$4:$A212, 'Annex 2 EHV charges'!$A$11:$A$259)), 0)),"")</f>
        <v>480</v>
      </c>
      <c r="B213" s="114">
        <f>IF($A213="","",VLOOKUP($A213,'Annex 2 EHV charges'!$A:$O,2,0))</f>
        <v>480</v>
      </c>
      <c r="C213" s="115">
        <f>IF($A213="","",VLOOKUP($A213,'Annex 2 EHV charges'!$A:$O,3,0))</f>
        <v>1300051747708</v>
      </c>
      <c r="D213" s="114" t="str">
        <f>IF($A213="","",VLOOKUP($A213,'Annex 2 EHV charges'!$A:$O,7,0))</f>
        <v>Merseyside PTA</v>
      </c>
      <c r="E213" s="119">
        <f>IFERROR(IF(VLOOKUP($A213,'Annex 2 EHV charges'!$A:$O,8,FALSE)=0,"",VLOOKUP($A213,'Annex 2 EHV charges'!$A:$O,8,FALSE)),"")</f>
        <v>1.234</v>
      </c>
      <c r="F213" s="120">
        <f>IFERROR(IF(VLOOKUP($A213,'Annex 2 EHV charges'!$A:$O,9,FALSE)=0,"",VLOOKUP($A213,'Annex 2 EHV charges'!$A:$O,9,FALSE)),"")</f>
        <v>210.51</v>
      </c>
      <c r="G213" s="121">
        <f>IFERROR(IF(VLOOKUP($A213,'Annex 2 EHV charges'!$A:$O,10,FALSE)=0,"",VLOOKUP($A213,'Annex 2 EHV charges'!$A:$O,10,FALSE)),"")</f>
        <v>3.8</v>
      </c>
      <c r="H213" s="121">
        <f>IFERROR(IF(VLOOKUP($A213,'Annex 2 EHV charges'!$A:$O,11,FALSE)=0,"",VLOOKUP($A213,'Annex 2 EHV charges'!$A:$O,11,FALSE)),"")</f>
        <v>3.8</v>
      </c>
    </row>
    <row r="214" spans="1:8" x14ac:dyDescent="0.2">
      <c r="A214" s="114">
        <f t="array" ref="A214">IFERROR(INDEX('Annex 2 EHV charges'!$A$11:$A$259, MATCH(0, IF(ISBLANK('Annex 2 EHV charges'!$A$11:$A$259),1, COUNTIF(A$4:$A213, 'Annex 2 EHV charges'!$A$11:$A$259)), 0)),"")</f>
        <v>481</v>
      </c>
      <c r="B214" s="114">
        <f>IF($A214="","",VLOOKUP($A214,'Annex 2 EHV charges'!$A:$O,2,0))</f>
        <v>481</v>
      </c>
      <c r="C214" s="115">
        <f>IF($A214="","",VLOOKUP($A214,'Annex 2 EHV charges'!$A:$O,3,0))</f>
        <v>1300035356255</v>
      </c>
      <c r="D214" s="114" t="str">
        <f>IF($A214="","",VLOOKUP($A214,'Annex 2 EHV charges'!$A:$O,7,0))</f>
        <v>Mackamax Primary</v>
      </c>
      <c r="E214" s="119" t="str">
        <f>IFERROR(IF(VLOOKUP($A214,'Annex 2 EHV charges'!$A:$O,8,FALSE)=0,"",VLOOKUP($A214,'Annex 2 EHV charges'!$A:$O,8,FALSE)),"")</f>
        <v/>
      </c>
      <c r="F214" s="120">
        <f>IFERROR(IF(VLOOKUP($A214,'Annex 2 EHV charges'!$A:$O,9,FALSE)=0,"",VLOOKUP($A214,'Annex 2 EHV charges'!$A:$O,9,FALSE)),"")</f>
        <v>105.25</v>
      </c>
      <c r="G214" s="121">
        <f>IFERROR(IF(VLOOKUP($A214,'Annex 2 EHV charges'!$A:$O,10,FALSE)=0,"",VLOOKUP($A214,'Annex 2 EHV charges'!$A:$O,10,FALSE)),"")</f>
        <v>4.18</v>
      </c>
      <c r="H214" s="121">
        <f>IFERROR(IF(VLOOKUP($A214,'Annex 2 EHV charges'!$A:$O,11,FALSE)=0,"",VLOOKUP($A214,'Annex 2 EHV charges'!$A:$O,11,FALSE)),"")</f>
        <v>4.18</v>
      </c>
    </row>
    <row r="215" spans="1:8" x14ac:dyDescent="0.2">
      <c r="A215" s="114">
        <f t="array" ref="A215">IFERROR(INDEX('Annex 2 EHV charges'!$A$11:$A$259, MATCH(0, IF(ISBLANK('Annex 2 EHV charges'!$A$11:$A$259),1, COUNTIF(A$4:$A214, 'Annex 2 EHV charges'!$A$11:$A$259)), 0)),"")</f>
        <v>482</v>
      </c>
      <c r="B215" s="114">
        <f>IF($A215="","",VLOOKUP($A215,'Annex 2 EHV charges'!$A:$O,2,0))</f>
        <v>482</v>
      </c>
      <c r="C215" s="115">
        <f>IF($A215="","",VLOOKUP($A215,'Annex 2 EHV charges'!$A:$O,3,0))</f>
        <v>1300035352906</v>
      </c>
      <c r="D215" s="114" t="str">
        <f>IF($A215="","",VLOOKUP($A215,'Annex 2 EHV charges'!$A:$O,7,0))</f>
        <v>Whiston Hospital</v>
      </c>
      <c r="E215" s="119">
        <f>IFERROR(IF(VLOOKUP($A215,'Annex 2 EHV charges'!$A:$O,8,FALSE)=0,"",VLOOKUP($A215,'Annex 2 EHV charges'!$A:$O,8,FALSE)),"")</f>
        <v>0.28100000000000003</v>
      </c>
      <c r="F215" s="120">
        <f>IFERROR(IF(VLOOKUP($A215,'Annex 2 EHV charges'!$A:$O,9,FALSE)=0,"",VLOOKUP($A215,'Annex 2 EHV charges'!$A:$O,9,FALSE)),"")</f>
        <v>210.51</v>
      </c>
      <c r="G215" s="121">
        <f>IFERROR(IF(VLOOKUP($A215,'Annex 2 EHV charges'!$A:$O,10,FALSE)=0,"",VLOOKUP($A215,'Annex 2 EHV charges'!$A:$O,10,FALSE)),"")</f>
        <v>10.64</v>
      </c>
      <c r="H215" s="121">
        <f>IFERROR(IF(VLOOKUP($A215,'Annex 2 EHV charges'!$A:$O,11,FALSE)=0,"",VLOOKUP($A215,'Annex 2 EHV charges'!$A:$O,11,FALSE)),"")</f>
        <v>10.64</v>
      </c>
    </row>
    <row r="216" spans="1:8" x14ac:dyDescent="0.2">
      <c r="A216" s="114">
        <f t="array" ref="A216">IFERROR(INDEX('Annex 2 EHV charges'!$A$11:$A$259, MATCH(0, IF(ISBLANK('Annex 2 EHV charges'!$A$11:$A$259),1, COUNTIF(A$4:$A215, 'Annex 2 EHV charges'!$A$11:$A$259)), 0)),"")</f>
        <v>483</v>
      </c>
      <c r="B216" s="114">
        <f>IF($A216="","",VLOOKUP($A216,'Annex 2 EHV charges'!$A:$O,2,0))</f>
        <v>483</v>
      </c>
      <c r="C216" s="115">
        <f>IF($A216="","",VLOOKUP($A216,'Annex 2 EHV charges'!$A:$O,3,0))</f>
        <v>1300052598765</v>
      </c>
      <c r="D216" s="114" t="str">
        <f>IF($A216="","",VLOOKUP($A216,'Annex 2 EHV charges'!$A:$O,7,0))</f>
        <v>Maw Green 2</v>
      </c>
      <c r="E216" s="119">
        <f>IFERROR(IF(VLOOKUP($A216,'Annex 2 EHV charges'!$A:$O,8,FALSE)=0,"",VLOOKUP($A216,'Annex 2 EHV charges'!$A:$O,8,FALSE)),"")</f>
        <v>0.879</v>
      </c>
      <c r="F216" s="120">
        <f>IFERROR(IF(VLOOKUP($A216,'Annex 2 EHV charges'!$A:$O,9,FALSE)=0,"",VLOOKUP($A216,'Annex 2 EHV charges'!$A:$O,9,FALSE)),"")</f>
        <v>3.39</v>
      </c>
      <c r="G216" s="121">
        <f>IFERROR(IF(VLOOKUP($A216,'Annex 2 EHV charges'!$A:$O,10,FALSE)=0,"",VLOOKUP($A216,'Annex 2 EHV charges'!$A:$O,10,FALSE)),"")</f>
        <v>1.98</v>
      </c>
      <c r="H216" s="121">
        <f>IFERROR(IF(VLOOKUP($A216,'Annex 2 EHV charges'!$A:$O,11,FALSE)=0,"",VLOOKUP($A216,'Annex 2 EHV charges'!$A:$O,11,FALSE)),"")</f>
        <v>1.98</v>
      </c>
    </row>
    <row r="217" spans="1:8" x14ac:dyDescent="0.2">
      <c r="A217" s="114">
        <f t="array" ref="A217">IFERROR(INDEX('Annex 2 EHV charges'!$A$11:$A$259, MATCH(0, IF(ISBLANK('Annex 2 EHV charges'!$A$11:$A$259),1, COUNTIF(A$4:$A216, 'Annex 2 EHV charges'!$A$11:$A$259)), 0)),"")</f>
        <v>484</v>
      </c>
      <c r="B217" s="114">
        <f>IF($A217="","",VLOOKUP($A217,'Annex 2 EHV charges'!$A:$O,2,0))</f>
        <v>484</v>
      </c>
      <c r="C217" s="115">
        <f>IF($A217="","",VLOOKUP($A217,'Annex 2 EHV charges'!$A:$O,3,0))</f>
        <v>1300035355999</v>
      </c>
      <c r="D217" s="114" t="str">
        <f>IF($A217="","",VLOOKUP($A217,'Annex 2 EHV charges'!$A:$O,7,0))</f>
        <v>Pilkington Glass - Watson Street</v>
      </c>
      <c r="E217" s="119">
        <f>IFERROR(IF(VLOOKUP($A217,'Annex 2 EHV charges'!$A:$O,8,FALSE)=0,"",VLOOKUP($A217,'Annex 2 EHV charges'!$A:$O,8,FALSE)),"")</f>
        <v>0.97199999999999998</v>
      </c>
      <c r="F217" s="120">
        <f>IFERROR(IF(VLOOKUP($A217,'Annex 2 EHV charges'!$A:$O,9,FALSE)=0,"",VLOOKUP($A217,'Annex 2 EHV charges'!$A:$O,9,FALSE)),"")</f>
        <v>366.65</v>
      </c>
      <c r="G217" s="121">
        <f>IFERROR(IF(VLOOKUP($A217,'Annex 2 EHV charges'!$A:$O,10,FALSE)=0,"",VLOOKUP($A217,'Annex 2 EHV charges'!$A:$O,10,FALSE)),"")</f>
        <v>1.91</v>
      </c>
      <c r="H217" s="121">
        <f>IFERROR(IF(VLOOKUP($A217,'Annex 2 EHV charges'!$A:$O,11,FALSE)=0,"",VLOOKUP($A217,'Annex 2 EHV charges'!$A:$O,11,FALSE)),"")</f>
        <v>1.91</v>
      </c>
    </row>
    <row r="218" spans="1:8" x14ac:dyDescent="0.2">
      <c r="A218" s="114">
        <f t="array" ref="A218">IFERROR(INDEX('Annex 2 EHV charges'!$A$11:$A$259, MATCH(0, IF(ISBLANK('Annex 2 EHV charges'!$A$11:$A$259),1, COUNTIF(A$4:$A217, 'Annex 2 EHV charges'!$A$11:$A$259)), 0)),"")</f>
        <v>486</v>
      </c>
      <c r="B218" s="114">
        <f>IF($A218="","",VLOOKUP($A218,'Annex 2 EHV charges'!$A:$O,2,0))</f>
        <v>486</v>
      </c>
      <c r="C218" s="115">
        <f>IF($A218="","",VLOOKUP($A218,'Annex 2 EHV charges'!$A:$O,3,0))</f>
        <v>1300060340420</v>
      </c>
      <c r="D218" s="114" t="str">
        <f>IF($A218="","",VLOOKUP($A218,'Annex 2 EHV charges'!$A:$O,7,0))</f>
        <v>BAE Radway</v>
      </c>
      <c r="E218" s="119">
        <f>IFERROR(IF(VLOOKUP($A218,'Annex 2 EHV charges'!$A:$O,8,FALSE)=0,"",VLOOKUP($A218,'Annex 2 EHV charges'!$A:$O,8,FALSE)),"")</f>
        <v>1.7230000000000001</v>
      </c>
      <c r="F218" s="120">
        <f>IFERROR(IF(VLOOKUP($A218,'Annex 2 EHV charges'!$A:$O,9,FALSE)=0,"",VLOOKUP($A218,'Annex 2 EHV charges'!$A:$O,9,FALSE)),"")</f>
        <v>2881.4</v>
      </c>
      <c r="G218" s="121">
        <f>IFERROR(IF(VLOOKUP($A218,'Annex 2 EHV charges'!$A:$O,10,FALSE)=0,"",VLOOKUP($A218,'Annex 2 EHV charges'!$A:$O,10,FALSE)),"")</f>
        <v>6.26</v>
      </c>
      <c r="H218" s="121">
        <f>IFERROR(IF(VLOOKUP($A218,'Annex 2 EHV charges'!$A:$O,11,FALSE)=0,"",VLOOKUP($A218,'Annex 2 EHV charges'!$A:$O,11,FALSE)),"")</f>
        <v>6.26</v>
      </c>
    </row>
    <row r="219" spans="1:8" x14ac:dyDescent="0.2">
      <c r="A219" s="114">
        <f t="array" ref="A219">IFERROR(INDEX('Annex 2 EHV charges'!$A$11:$A$259, MATCH(0, IF(ISBLANK('Annex 2 EHV charges'!$A$11:$A$259),1, COUNTIF(A$4:$A218, 'Annex 2 EHV charges'!$A$11:$A$259)), 0)),"")</f>
        <v>487</v>
      </c>
      <c r="B219" s="114">
        <f>IF($A219="","",VLOOKUP($A219,'Annex 2 EHV charges'!$A:$O,2,0))</f>
        <v>487</v>
      </c>
      <c r="C219" s="115">
        <f>IF($A219="","",VLOOKUP($A219,'Annex 2 EHV charges'!$A:$O,3,0))</f>
        <v>1300035349480</v>
      </c>
      <c r="D219" s="114" t="str">
        <f>IF($A219="","",VLOOKUP($A219,'Annex 2 EHV charges'!$A:$O,7,0))</f>
        <v>Aintree Fazakerly Hospital</v>
      </c>
      <c r="E219" s="119" t="str">
        <f>IFERROR(IF(VLOOKUP($A219,'Annex 2 EHV charges'!$A:$O,8,FALSE)=0,"",VLOOKUP($A219,'Annex 2 EHV charges'!$A:$O,8,FALSE)),"")</f>
        <v/>
      </c>
      <c r="F219" s="120">
        <f>IFERROR(IF(VLOOKUP($A219,'Annex 2 EHV charges'!$A:$O,9,FALSE)=0,"",VLOOKUP($A219,'Annex 2 EHV charges'!$A:$O,9,FALSE)),"")</f>
        <v>3922.61</v>
      </c>
      <c r="G219" s="121">
        <f>IFERROR(IF(VLOOKUP($A219,'Annex 2 EHV charges'!$A:$O,10,FALSE)=0,"",VLOOKUP($A219,'Annex 2 EHV charges'!$A:$O,10,FALSE)),"")</f>
        <v>5.96</v>
      </c>
      <c r="H219" s="121">
        <f>IFERROR(IF(VLOOKUP($A219,'Annex 2 EHV charges'!$A:$O,11,FALSE)=0,"",VLOOKUP($A219,'Annex 2 EHV charges'!$A:$O,11,FALSE)),"")</f>
        <v>5.96</v>
      </c>
    </row>
    <row r="220" spans="1:8" x14ac:dyDescent="0.2">
      <c r="A220" s="114">
        <f t="array" ref="A220">IFERROR(INDEX('Annex 2 EHV charges'!$A$11:$A$259, MATCH(0, IF(ISBLANK('Annex 2 EHV charges'!$A$11:$A$259),1, COUNTIF(A$4:$A219, 'Annex 2 EHV charges'!$A$11:$A$259)), 0)),"")</f>
        <v>488</v>
      </c>
      <c r="B220" s="114">
        <f>IF($A220="","",VLOOKUP($A220,'Annex 2 EHV charges'!$A:$O,2,0))</f>
        <v>488</v>
      </c>
      <c r="C220" s="115">
        <f>IF($A220="","",VLOOKUP($A220,'Annex 2 EHV charges'!$A:$O,3,0))</f>
        <v>1300060436633</v>
      </c>
      <c r="D220" s="114" t="str">
        <f>IF($A220="","",VLOOKUP($A220,'Annex 2 EHV charges'!$A:$O,7,0))</f>
        <v>Unilever (Chester Gates)</v>
      </c>
      <c r="E220" s="119">
        <f>IFERROR(IF(VLOOKUP($A220,'Annex 2 EHV charges'!$A:$O,8,FALSE)=0,"",VLOOKUP($A220,'Annex 2 EHV charges'!$A:$O,8,FALSE)),"")</f>
        <v>0.73699999999999999</v>
      </c>
      <c r="F220" s="120">
        <f>IFERROR(IF(VLOOKUP($A220,'Annex 2 EHV charges'!$A:$O,9,FALSE)=0,"",VLOOKUP($A220,'Annex 2 EHV charges'!$A:$O,9,FALSE)),"")</f>
        <v>2690.83</v>
      </c>
      <c r="G220" s="121">
        <f>IFERROR(IF(VLOOKUP($A220,'Annex 2 EHV charges'!$A:$O,10,FALSE)=0,"",VLOOKUP($A220,'Annex 2 EHV charges'!$A:$O,10,FALSE)),"")</f>
        <v>6.01</v>
      </c>
      <c r="H220" s="121">
        <f>IFERROR(IF(VLOOKUP($A220,'Annex 2 EHV charges'!$A:$O,11,FALSE)=0,"",VLOOKUP($A220,'Annex 2 EHV charges'!$A:$O,11,FALSE)),"")</f>
        <v>6.01</v>
      </c>
    </row>
    <row r="221" spans="1:8" x14ac:dyDescent="0.2">
      <c r="A221" s="114">
        <f t="array" ref="A221">IFERROR(INDEX('Annex 2 EHV charges'!$A$11:$A$259, MATCH(0, IF(ISBLANK('Annex 2 EHV charges'!$A$11:$A$259),1, COUNTIF(A$4:$A220, 'Annex 2 EHV charges'!$A$11:$A$259)), 0)),"")</f>
        <v>489</v>
      </c>
      <c r="B221" s="114">
        <f>IF($A221="","",VLOOKUP($A221,'Annex 2 EHV charges'!$A:$O,2,0))</f>
        <v>489</v>
      </c>
      <c r="C221" s="115">
        <f>IF($A221="","",VLOOKUP($A221,'Annex 2 EHV charges'!$A:$O,3,0))</f>
        <v>1300060222169</v>
      </c>
      <c r="D221" s="114" t="str">
        <f>IF($A221="","",VLOOKUP($A221,'Annex 2 EHV charges'!$A:$O,7,0))</f>
        <v>Unilever (Georgia)</v>
      </c>
      <c r="E221" s="119">
        <f>IFERROR(IF(VLOOKUP($A221,'Annex 2 EHV charges'!$A:$O,8,FALSE)=0,"",VLOOKUP($A221,'Annex 2 EHV charges'!$A:$O,8,FALSE)),"")</f>
        <v>0.83799999999999997</v>
      </c>
      <c r="F221" s="120">
        <f>IFERROR(IF(VLOOKUP($A221,'Annex 2 EHV charges'!$A:$O,9,FALSE)=0,"",VLOOKUP($A221,'Annex 2 EHV charges'!$A:$O,9,FALSE)),"")</f>
        <v>592.82000000000005</v>
      </c>
      <c r="G221" s="121">
        <f>IFERROR(IF(VLOOKUP($A221,'Annex 2 EHV charges'!$A:$O,10,FALSE)=0,"",VLOOKUP($A221,'Annex 2 EHV charges'!$A:$O,10,FALSE)),"")</f>
        <v>4.8600000000000003</v>
      </c>
      <c r="H221" s="121">
        <f>IFERROR(IF(VLOOKUP($A221,'Annex 2 EHV charges'!$A:$O,11,FALSE)=0,"",VLOOKUP($A221,'Annex 2 EHV charges'!$A:$O,11,FALSE)),"")</f>
        <v>4.8600000000000003</v>
      </c>
    </row>
    <row r="222" spans="1:8" x14ac:dyDescent="0.2">
      <c r="A222" s="114">
        <f t="array" ref="A222">IFERROR(INDEX('Annex 2 EHV charges'!$A$11:$A$259, MATCH(0, IF(ISBLANK('Annex 2 EHV charges'!$A$11:$A$259),1, COUNTIF(A$4:$A221, 'Annex 2 EHV charges'!$A$11:$A$259)), 0)),"")</f>
        <v>491</v>
      </c>
      <c r="B222" s="114">
        <f>IF($A222="","",VLOOKUP($A222,'Annex 2 EHV charges'!$A:$O,2,0))</f>
        <v>491</v>
      </c>
      <c r="C222" s="115">
        <f>IF($A222="","",VLOOKUP($A222,'Annex 2 EHV charges'!$A:$O,3,0))</f>
        <v>1300060610284</v>
      </c>
      <c r="D222" s="114" t="str">
        <f>IF($A222="","",VLOOKUP($A222,'Annex 2 EHV charges'!$A:$O,7,0))</f>
        <v>Royal Liverpool Hospital</v>
      </c>
      <c r="E222" s="119" t="str">
        <f>IFERROR(IF(VLOOKUP($A222,'Annex 2 EHV charges'!$A:$O,8,FALSE)=0,"",VLOOKUP($A222,'Annex 2 EHV charges'!$A:$O,8,FALSE)),"")</f>
        <v/>
      </c>
      <c r="F222" s="120">
        <f>IFERROR(IF(VLOOKUP($A222,'Annex 2 EHV charges'!$A:$O,9,FALSE)=0,"",VLOOKUP($A222,'Annex 2 EHV charges'!$A:$O,9,FALSE)),"")</f>
        <v>149.54</v>
      </c>
      <c r="G222" s="121">
        <f>IFERROR(IF(VLOOKUP($A222,'Annex 2 EHV charges'!$A:$O,10,FALSE)=0,"",VLOOKUP($A222,'Annex 2 EHV charges'!$A:$O,10,FALSE)),"")</f>
        <v>2.37</v>
      </c>
      <c r="H222" s="121">
        <f>IFERROR(IF(VLOOKUP($A222,'Annex 2 EHV charges'!$A:$O,11,FALSE)=0,"",VLOOKUP($A222,'Annex 2 EHV charges'!$A:$O,11,FALSE)),"")</f>
        <v>2.37</v>
      </c>
    </row>
    <row r="223" spans="1:8" x14ac:dyDescent="0.2">
      <c r="A223" s="114">
        <f t="array" ref="A223">IFERROR(INDEX('Annex 2 EHV charges'!$A$11:$A$259, MATCH(0, IF(ISBLANK('Annex 2 EHV charges'!$A$11:$A$259),1, COUNTIF(A$4:$A222, 'Annex 2 EHV charges'!$A$11:$A$259)), 0)),"")</f>
        <v>837</v>
      </c>
      <c r="B223" s="114">
        <f>IF($A223="","",VLOOKUP($A223,'Annex 2 EHV charges'!$A:$O,2,0))</f>
        <v>837</v>
      </c>
      <c r="C223" s="115">
        <f>IF($A223="","",VLOOKUP($A223,'Annex 2 EHV charges'!$A:$O,3,0))</f>
        <v>1300060736711</v>
      </c>
      <c r="D223" s="114" t="str">
        <f>IF($A223="","",VLOOKUP($A223,'Annex 2 EHV charges'!$A:$O,7,0))</f>
        <v>Queensferry Diesel</v>
      </c>
      <c r="E223" s="119" t="str">
        <f>IFERROR(IF(VLOOKUP($A223,'Annex 2 EHV charges'!$A:$O,8,FALSE)=0,"",VLOOKUP($A223,'Annex 2 EHV charges'!$A:$O,8,FALSE)),"")</f>
        <v/>
      </c>
      <c r="F223" s="120">
        <f>IFERROR(IF(VLOOKUP($A223,'Annex 2 EHV charges'!$A:$O,9,FALSE)=0,"",VLOOKUP($A223,'Annex 2 EHV charges'!$A:$O,9,FALSE)),"")</f>
        <v>19.71</v>
      </c>
      <c r="G223" s="121">
        <f>IFERROR(IF(VLOOKUP($A223,'Annex 2 EHV charges'!$A:$O,10,FALSE)=0,"",VLOOKUP($A223,'Annex 2 EHV charges'!$A:$O,10,FALSE)),"")</f>
        <v>4.13</v>
      </c>
      <c r="H223" s="121">
        <f>IFERROR(IF(VLOOKUP($A223,'Annex 2 EHV charges'!$A:$O,11,FALSE)=0,"",VLOOKUP($A223,'Annex 2 EHV charges'!$A:$O,11,FALSE)),"")</f>
        <v>4.13</v>
      </c>
    </row>
    <row r="224" spans="1:8" x14ac:dyDescent="0.2">
      <c r="A224" s="114">
        <f t="array" ref="A224">IFERROR(INDEX('Annex 2 EHV charges'!$A$11:$A$259, MATCH(0, IF(ISBLANK('Annex 2 EHV charges'!$A$11:$A$259),1, COUNTIF(A$4:$A223, 'Annex 2 EHV charges'!$A$11:$A$259)), 0)),"")</f>
        <v>884</v>
      </c>
      <c r="B224" s="114">
        <f>IF($A224="","",VLOOKUP($A224,'Annex 2 EHV charges'!$A:$O,2,0))</f>
        <v>884</v>
      </c>
      <c r="C224" s="115">
        <f>IF($A224="","",VLOOKUP($A224,'Annex 2 EHV charges'!$A:$O,3,0))</f>
        <v>1300060707491</v>
      </c>
      <c r="D224" s="114" t="str">
        <f>IF($A224="","",VLOOKUP($A224,'Annex 2 EHV charges'!$A:$O,7,0))</f>
        <v>Beaufort Road</v>
      </c>
      <c r="E224" s="119" t="str">
        <f>IFERROR(IF(VLOOKUP($A224,'Annex 2 EHV charges'!$A:$O,8,FALSE)=0,"",VLOOKUP($A224,'Annex 2 EHV charges'!$A:$O,8,FALSE)),"")</f>
        <v/>
      </c>
      <c r="F224" s="120">
        <f>IFERROR(IF(VLOOKUP($A224,'Annex 2 EHV charges'!$A:$O,9,FALSE)=0,"",VLOOKUP($A224,'Annex 2 EHV charges'!$A:$O,9,FALSE)),"")</f>
        <v>11.82</v>
      </c>
      <c r="G224" s="121">
        <f>IFERROR(IF(VLOOKUP($A224,'Annex 2 EHV charges'!$A:$O,10,FALSE)=0,"",VLOOKUP($A224,'Annex 2 EHV charges'!$A:$O,10,FALSE)),"")</f>
        <v>4.0199999999999996</v>
      </c>
      <c r="H224" s="121">
        <f>IFERROR(IF(VLOOKUP($A224,'Annex 2 EHV charges'!$A:$O,11,FALSE)=0,"",VLOOKUP($A224,'Annex 2 EHV charges'!$A:$O,11,FALSE)),"")</f>
        <v>4.0199999999999996</v>
      </c>
    </row>
    <row r="225" spans="1:8" x14ac:dyDescent="0.2">
      <c r="A225" s="114">
        <f t="array" ref="A225">IFERROR(INDEX('Annex 2 EHV charges'!$A$11:$A$259, MATCH(0, IF(ISBLANK('Annex 2 EHV charges'!$A$11:$A$259),1, COUNTIF(A$4:$A224, 'Annex 2 EHV charges'!$A$11:$A$259)), 0)),"")</f>
        <v>885</v>
      </c>
      <c r="B225" s="114">
        <f>IF($A225="","",VLOOKUP($A225,'Annex 2 EHV charges'!$A:$O,2,0))</f>
        <v>885</v>
      </c>
      <c r="C225" s="115">
        <f>IF($A225="","",VLOOKUP($A225,'Annex 2 EHV charges'!$A:$O,3,0))</f>
        <v>1300060729547</v>
      </c>
      <c r="D225" s="114" t="str">
        <f>IF($A225="","",VLOOKUP($A225,'Annex 2 EHV charges'!$A:$O,7,0))</f>
        <v>Mersey Warf STOR</v>
      </c>
      <c r="E225" s="119" t="str">
        <f>IFERROR(IF(VLOOKUP($A225,'Annex 2 EHV charges'!$A:$O,8,FALSE)=0,"",VLOOKUP($A225,'Annex 2 EHV charges'!$A:$O,8,FALSE)),"")</f>
        <v/>
      </c>
      <c r="F225" s="120">
        <f>IFERROR(IF(VLOOKUP($A225,'Annex 2 EHV charges'!$A:$O,9,FALSE)=0,"",VLOOKUP($A225,'Annex 2 EHV charges'!$A:$O,9,FALSE)),"")</f>
        <v>268.42</v>
      </c>
      <c r="G225" s="121">
        <f>IFERROR(IF(VLOOKUP($A225,'Annex 2 EHV charges'!$A:$O,10,FALSE)=0,"",VLOOKUP($A225,'Annex 2 EHV charges'!$A:$O,10,FALSE)),"")</f>
        <v>4.59</v>
      </c>
      <c r="H225" s="121">
        <f>IFERROR(IF(VLOOKUP($A225,'Annex 2 EHV charges'!$A:$O,11,FALSE)=0,"",VLOOKUP($A225,'Annex 2 EHV charges'!$A:$O,11,FALSE)),"")</f>
        <v>4.59</v>
      </c>
    </row>
    <row r="226" spans="1:8" x14ac:dyDescent="0.2">
      <c r="A226" s="114" t="str">
        <f t="array" ref="A226">IFERROR(INDEX('Annex 2 EHV charges'!$A$11:$A$259, MATCH(0, IF(ISBLANK('Annex 2 EHV charges'!$A$11:$A$259),1, COUNTIF(A$4:$A225, 'Annex 2 EHV charges'!$A$11:$A$259)), 0)),"")</f>
        <v>TBC 1</v>
      </c>
      <c r="B226" s="114" t="str">
        <f>IF($A226="","",VLOOKUP($A226,'Annex 2 EHV charges'!$A:$O,2,0))</f>
        <v>TBC 1</v>
      </c>
      <c r="C226" s="115" t="str">
        <f>IF($A226="","",VLOOKUP($A226,'Annex 2 EHV charges'!$A:$O,3,0))</f>
        <v>TBC 1</v>
      </c>
      <c r="D226" s="114" t="str">
        <f>IF($A226="","",VLOOKUP($A226,'Annex 2 EHV charges'!$A:$O,7,0))</f>
        <v>Cefyn Mawr</v>
      </c>
      <c r="E226" s="119" t="str">
        <f>IFERROR(IF(VLOOKUP($A226,'Annex 2 EHV charges'!$A:$O,8,FALSE)=0,"",VLOOKUP($A226,'Annex 2 EHV charges'!$A:$O,8,FALSE)),"")</f>
        <v/>
      </c>
      <c r="F226" s="120">
        <f>IFERROR(IF(VLOOKUP($A226,'Annex 2 EHV charges'!$A:$O,9,FALSE)=0,"",VLOOKUP($A226,'Annex 2 EHV charges'!$A:$O,9,FALSE)),"")</f>
        <v>12.9</v>
      </c>
      <c r="G226" s="121">
        <f>IFERROR(IF(VLOOKUP($A226,'Annex 2 EHV charges'!$A:$O,10,FALSE)=0,"",VLOOKUP($A226,'Annex 2 EHV charges'!$A:$O,10,FALSE)),"")</f>
        <v>4.2</v>
      </c>
      <c r="H226" s="121">
        <f>IFERROR(IF(VLOOKUP($A226,'Annex 2 EHV charges'!$A:$O,11,FALSE)=0,"",VLOOKUP($A226,'Annex 2 EHV charges'!$A:$O,11,FALSE)),"")</f>
        <v>4.2</v>
      </c>
    </row>
    <row r="227" spans="1:8" x14ac:dyDescent="0.2">
      <c r="A227" s="114" t="str">
        <f t="array" ref="A227">IFERROR(INDEX('Annex 2 EHV charges'!$A$11:$A$259, MATCH(0, IF(ISBLANK('Annex 2 EHV charges'!$A$11:$A$259),1, COUNTIF(A$4:$A226, 'Annex 2 EHV charges'!$A$11:$A$259)), 0)),"")</f>
        <v>TBC 2</v>
      </c>
      <c r="B227" s="114" t="str">
        <f>IF($A227="","",VLOOKUP($A227,'Annex 2 EHV charges'!$A:$O,2,0))</f>
        <v>TBC 2</v>
      </c>
      <c r="C227" s="115" t="str">
        <f>IF($A227="","",VLOOKUP($A227,'Annex 2 EHV charges'!$A:$O,3,0))</f>
        <v>TBC 2</v>
      </c>
      <c r="D227" s="114" t="str">
        <f>IF($A227="","",VLOOKUP($A227,'Annex 2 EHV charges'!$A:$O,7,0))</f>
        <v xml:space="preserve">Carnegie Battery Storage </v>
      </c>
      <c r="E227" s="119" t="str">
        <f>IFERROR(IF(VLOOKUP($A227,'Annex 2 EHV charges'!$A:$O,8,FALSE)=0,"",VLOOKUP($A227,'Annex 2 EHV charges'!$A:$O,8,FALSE)),"")</f>
        <v/>
      </c>
      <c r="F227" s="120">
        <f>IFERROR(IF(VLOOKUP($A227,'Annex 2 EHV charges'!$A:$O,9,FALSE)=0,"",VLOOKUP($A227,'Annex 2 EHV charges'!$A:$O,9,FALSE)),"")</f>
        <v>965.69</v>
      </c>
      <c r="G227" s="121">
        <f>IFERROR(IF(VLOOKUP($A227,'Annex 2 EHV charges'!$A:$O,10,FALSE)=0,"",VLOOKUP($A227,'Annex 2 EHV charges'!$A:$O,10,FALSE)),"")</f>
        <v>2.46</v>
      </c>
      <c r="H227" s="121">
        <f>IFERROR(IF(VLOOKUP($A227,'Annex 2 EHV charges'!$A:$O,11,FALSE)=0,"",VLOOKUP($A227,'Annex 2 EHV charges'!$A:$O,11,FALSE)),"")</f>
        <v>2.46</v>
      </c>
    </row>
    <row r="228" spans="1:8" x14ac:dyDescent="0.2">
      <c r="A228" s="114" t="str">
        <f t="array" ref="A228">IFERROR(INDEX('Annex 2 EHV charges'!$A$11:$A$259, MATCH(0, IF(ISBLANK('Annex 2 EHV charges'!$A$11:$A$259),1, COUNTIF(A$4:$A227, 'Annex 2 EHV charges'!$A$11:$A$259)), 0)),"")</f>
        <v>TBC 3</v>
      </c>
      <c r="B228" s="114" t="str">
        <f>IF($A228="","",VLOOKUP($A228,'Annex 2 EHV charges'!$A:$O,2,0))</f>
        <v>TBC 3</v>
      </c>
      <c r="C228" s="115" t="str">
        <f>IF($A228="","",VLOOKUP($A228,'Annex 2 EHV charges'!$A:$O,3,0))</f>
        <v>TBC 3</v>
      </c>
      <c r="D228" s="114" t="str">
        <f>IF($A228="","",VLOOKUP($A228,'Annex 2 EHV charges'!$A:$O,7,0))</f>
        <v>Vauxhall North Rd</v>
      </c>
      <c r="E228" s="119">
        <f>IFERROR(IF(VLOOKUP($A228,'Annex 2 EHV charges'!$A:$O,8,FALSE)=0,"",VLOOKUP($A228,'Annex 2 EHV charges'!$A:$O,8,FALSE)),"")</f>
        <v>0.25700000000000001</v>
      </c>
      <c r="F228" s="120">
        <f>IFERROR(IF(VLOOKUP($A228,'Annex 2 EHV charges'!$A:$O,9,FALSE)=0,"",VLOOKUP($A228,'Annex 2 EHV charges'!$A:$O,9,FALSE)),"")</f>
        <v>1283.3699999999999</v>
      </c>
      <c r="G228" s="121">
        <f>IFERROR(IF(VLOOKUP($A228,'Annex 2 EHV charges'!$A:$O,10,FALSE)=0,"",VLOOKUP($A228,'Annex 2 EHV charges'!$A:$O,10,FALSE)),"")</f>
        <v>4.0199999999999996</v>
      </c>
      <c r="H228" s="121">
        <f>IFERROR(IF(VLOOKUP($A228,'Annex 2 EHV charges'!$A:$O,11,FALSE)=0,"",VLOOKUP($A228,'Annex 2 EHV charges'!$A:$O,11,FALSE)),"")</f>
        <v>4.0199999999999996</v>
      </c>
    </row>
    <row r="229" spans="1:8" x14ac:dyDescent="0.2">
      <c r="A229" s="114">
        <f t="array" ref="A229">IFERROR(INDEX('Annex 2 EHV charges'!$A$11:$A$259, MATCH(0, IF(ISBLANK('Annex 2 EHV charges'!$A$11:$A$259),1, COUNTIF(A$4:$A228, 'Annex 2 EHV charges'!$A$11:$A$259)), 0)),"")</f>
        <v>818</v>
      </c>
      <c r="B229" s="114">
        <f>IF($A229="","",VLOOKUP($A229,'Annex 2 EHV charges'!$A:$O,2,0))</f>
        <v>818</v>
      </c>
      <c r="C229" s="115">
        <f>IF($A229="","",VLOOKUP($A229,'Annex 2 EHV charges'!$A:$O,3,0))</f>
        <v>1300060748460</v>
      </c>
      <c r="D229" s="114" t="str">
        <f>IF($A229="","",VLOOKUP($A229,'Annex 2 EHV charges'!$A:$O,7,0))</f>
        <v>Pilkington's STOR</v>
      </c>
      <c r="E229" s="119" t="str">
        <f>IFERROR(IF(VLOOKUP($A229,'Annex 2 EHV charges'!$A:$O,8,FALSE)=0,"",VLOOKUP($A229,'Annex 2 EHV charges'!$A:$O,8,FALSE)),"")</f>
        <v/>
      </c>
      <c r="F229" s="120">
        <f>IFERROR(IF(VLOOKUP($A229,'Annex 2 EHV charges'!$A:$O,9,FALSE)=0,"",VLOOKUP($A229,'Annex 2 EHV charges'!$A:$O,9,FALSE)),"")</f>
        <v>282.35000000000002</v>
      </c>
      <c r="G229" s="121">
        <f>IFERROR(IF(VLOOKUP($A229,'Annex 2 EHV charges'!$A:$O,10,FALSE)=0,"",VLOOKUP($A229,'Annex 2 EHV charges'!$A:$O,10,FALSE)),"")</f>
        <v>4.0199999999999996</v>
      </c>
      <c r="H229" s="121">
        <f>IFERROR(IF(VLOOKUP($A229,'Annex 2 EHV charges'!$A:$O,11,FALSE)=0,"",VLOOKUP($A229,'Annex 2 EHV charges'!$A:$O,11,FALSE)),"")</f>
        <v>4.0199999999999996</v>
      </c>
    </row>
    <row r="230" spans="1:8" x14ac:dyDescent="0.2">
      <c r="A230" s="114" t="str">
        <f t="array" ref="A230">IFERROR(INDEX('Annex 2 EHV charges'!$A$11:$A$259, MATCH(0, IF(ISBLANK('Annex 2 EHV charges'!$A$11:$A$259),1, COUNTIF(A$4:$A229, 'Annex 2 EHV charges'!$A$11:$A$259)), 0)),"")</f>
        <v>TBC 4</v>
      </c>
      <c r="B230" s="114" t="str">
        <f>IF($A230="","",VLOOKUP($A230,'Annex 2 EHV charges'!$A:$O,2,0))</f>
        <v>TBC 4</v>
      </c>
      <c r="C230" s="115" t="str">
        <f>IF($A230="","",VLOOKUP($A230,'Annex 2 EHV charges'!$A:$O,3,0))</f>
        <v>TBC 4</v>
      </c>
      <c r="D230" s="114" t="str">
        <f>IF($A230="","",VLOOKUP($A230,'Annex 2 EHV charges'!$A:$O,7,0))</f>
        <v>Four Crosses Diesel</v>
      </c>
      <c r="E230" s="119" t="str">
        <f>IFERROR(IF(VLOOKUP($A230,'Annex 2 EHV charges'!$A:$O,8,FALSE)=0,"",VLOOKUP($A230,'Annex 2 EHV charges'!$A:$O,8,FALSE)),"")</f>
        <v/>
      </c>
      <c r="F230" s="120">
        <f>IFERROR(IF(VLOOKUP($A230,'Annex 2 EHV charges'!$A:$O,9,FALSE)=0,"",VLOOKUP($A230,'Annex 2 EHV charges'!$A:$O,9,FALSE)),"")</f>
        <v>3.17</v>
      </c>
      <c r="G230" s="121">
        <f>IFERROR(IF(VLOOKUP($A230,'Annex 2 EHV charges'!$A:$O,10,FALSE)=0,"",VLOOKUP($A230,'Annex 2 EHV charges'!$A:$O,10,FALSE)),"")</f>
        <v>4.0199999999999996</v>
      </c>
      <c r="H230" s="121">
        <f>IFERROR(IF(VLOOKUP($A230,'Annex 2 EHV charges'!$A:$O,11,FALSE)=0,"",VLOOKUP($A230,'Annex 2 EHV charges'!$A:$O,11,FALSE)),"")</f>
        <v>4.0199999999999996</v>
      </c>
    </row>
    <row r="231" spans="1:8" x14ac:dyDescent="0.2">
      <c r="A231" s="114" t="str">
        <f t="array" ref="A231">IFERROR(INDEX('Annex 2 EHV charges'!$A$11:$A$259, MATCH(0, IF(ISBLANK('Annex 2 EHV charges'!$A$11:$A$259),1, COUNTIF(A$4:$A230, 'Annex 2 EHV charges'!$A$11:$A$259)), 0)),"")</f>
        <v/>
      </c>
      <c r="B231" s="114" t="str">
        <f>IF($A231="","",VLOOKUP($A231,'Annex 2 EHV charges'!$A:$O,2,0))</f>
        <v/>
      </c>
      <c r="C231" s="115" t="str">
        <f>IF($A231="","",VLOOKUP($A231,'Annex 2 EHV charges'!$A:$O,3,0))</f>
        <v/>
      </c>
      <c r="D231" s="114" t="str">
        <f>IF($A231="","",VLOOKUP($A231,'Annex 2 EHV charges'!$A:$O,7,0))</f>
        <v/>
      </c>
      <c r="E231" s="119" t="str">
        <f>IFERROR(IF(VLOOKUP($A231,'Annex 2 EHV charges'!$A:$O,8,FALSE)=0,"",VLOOKUP($A231,'Annex 2 EHV charges'!$A:$O,8,FALSE)),"")</f>
        <v/>
      </c>
      <c r="F231" s="120" t="str">
        <f>IFERROR(IF(VLOOKUP($A231,'Annex 2 EHV charges'!$A:$O,9,FALSE)=0,"",VLOOKUP($A231,'Annex 2 EHV charges'!$A:$O,9,FALSE)),"")</f>
        <v/>
      </c>
      <c r="G231" s="121" t="str">
        <f>IFERROR(IF(VLOOKUP($A231,'Annex 2 EHV charges'!$A:$O,10,FALSE)=0,"",VLOOKUP($A231,'Annex 2 EHV charges'!$A:$O,10,FALSE)),"")</f>
        <v/>
      </c>
      <c r="H231" s="121" t="str">
        <f>IFERROR(IF(VLOOKUP($A231,'Annex 2 EHV charges'!$A:$O,11,FALSE)=0,"",VLOOKUP($A231,'Annex 2 EHV charges'!$A:$O,11,FALSE)),"")</f>
        <v/>
      </c>
    </row>
    <row r="232" spans="1:8" x14ac:dyDescent="0.2">
      <c r="A232" s="114" t="str">
        <f t="array" ref="A232">IFERROR(INDEX('Annex 2 EHV charges'!$A$11:$A$259, MATCH(0, IF(ISBLANK('Annex 2 EHV charges'!$A$11:$A$259),1, COUNTIF(A$4:$A231, 'Annex 2 EHV charges'!$A$11:$A$259)), 0)),"")</f>
        <v/>
      </c>
      <c r="B232" s="114" t="str">
        <f>IF($A232="","",VLOOKUP($A232,'Annex 2 EHV charges'!$A:$O,2,0))</f>
        <v/>
      </c>
      <c r="C232" s="115" t="str">
        <f>IF($A232="","",VLOOKUP($A232,'Annex 2 EHV charges'!$A:$O,3,0))</f>
        <v/>
      </c>
      <c r="D232" s="114" t="str">
        <f>IF($A232="","",VLOOKUP($A232,'Annex 2 EHV charges'!$A:$O,7,0))</f>
        <v/>
      </c>
      <c r="E232" s="119" t="str">
        <f>IFERROR(IF(VLOOKUP($A232,'Annex 2 EHV charges'!$A:$O,8,FALSE)=0,"",VLOOKUP($A232,'Annex 2 EHV charges'!$A:$O,8,FALSE)),"")</f>
        <v/>
      </c>
      <c r="F232" s="120" t="str">
        <f>IFERROR(IF(VLOOKUP($A232,'Annex 2 EHV charges'!$A:$O,9,FALSE)=0,"",VLOOKUP($A232,'Annex 2 EHV charges'!$A:$O,9,FALSE)),"")</f>
        <v/>
      </c>
      <c r="G232" s="121" t="str">
        <f>IFERROR(IF(VLOOKUP($A232,'Annex 2 EHV charges'!$A:$O,10,FALSE)=0,"",VLOOKUP($A232,'Annex 2 EHV charges'!$A:$O,10,FALSE)),"")</f>
        <v/>
      </c>
      <c r="H232" s="121" t="str">
        <f>IFERROR(IF(VLOOKUP($A232,'Annex 2 EHV charges'!$A:$O,11,FALSE)=0,"",VLOOKUP($A232,'Annex 2 EHV charges'!$A:$O,11,FALSE)),"")</f>
        <v/>
      </c>
    </row>
    <row r="233" spans="1:8" x14ac:dyDescent="0.2">
      <c r="A233" s="114" t="str">
        <f t="array" ref="A233">IFERROR(INDEX('Annex 2 EHV charges'!$A$11:$A$259, MATCH(0, IF(ISBLANK('Annex 2 EHV charges'!$A$11:$A$259),1, COUNTIF(A$4:$A232, 'Annex 2 EHV charges'!$A$11:$A$259)), 0)),"")</f>
        <v/>
      </c>
      <c r="B233" s="114" t="str">
        <f>IF($A233="","",VLOOKUP($A233,'Annex 2 EHV charges'!$A:$O,2,0))</f>
        <v/>
      </c>
      <c r="C233" s="115" t="str">
        <f>IF($A233="","",VLOOKUP($A233,'Annex 2 EHV charges'!$A:$O,3,0))</f>
        <v/>
      </c>
      <c r="D233" s="114" t="str">
        <f>IF($A233="","",VLOOKUP($A233,'Annex 2 EHV charges'!$A:$O,7,0))</f>
        <v/>
      </c>
      <c r="E233" s="119" t="str">
        <f>IFERROR(IF(VLOOKUP($A233,'Annex 2 EHV charges'!$A:$O,8,FALSE)=0,"",VLOOKUP($A233,'Annex 2 EHV charges'!$A:$O,8,FALSE)),"")</f>
        <v/>
      </c>
      <c r="F233" s="120" t="str">
        <f>IFERROR(IF(VLOOKUP($A233,'Annex 2 EHV charges'!$A:$O,9,FALSE)=0,"",VLOOKUP($A233,'Annex 2 EHV charges'!$A:$O,9,FALSE)),"")</f>
        <v/>
      </c>
      <c r="G233" s="121" t="str">
        <f>IFERROR(IF(VLOOKUP($A233,'Annex 2 EHV charges'!$A:$O,10,FALSE)=0,"",VLOOKUP($A233,'Annex 2 EHV charges'!$A:$O,10,FALSE)),"")</f>
        <v/>
      </c>
      <c r="H233" s="121" t="str">
        <f>IFERROR(IF(VLOOKUP($A233,'Annex 2 EHV charges'!$A:$O,11,FALSE)=0,"",VLOOKUP($A233,'Annex 2 EHV charges'!$A:$O,11,FALSE)),"")</f>
        <v/>
      </c>
    </row>
    <row r="234" spans="1:8" x14ac:dyDescent="0.2">
      <c r="A234" s="114" t="str">
        <f t="array" ref="A234">IFERROR(INDEX('Annex 2 EHV charges'!$A$11:$A$259, MATCH(0, IF(ISBLANK('Annex 2 EHV charges'!$A$11:$A$259),1, COUNTIF(A$4:$A233, 'Annex 2 EHV charges'!$A$11:$A$259)), 0)),"")</f>
        <v/>
      </c>
      <c r="B234" s="114" t="str">
        <f>IF($A234="","",VLOOKUP($A234,'Annex 2 EHV charges'!$A:$O,2,0))</f>
        <v/>
      </c>
      <c r="C234" s="115" t="str">
        <f>IF($A234="","",VLOOKUP($A234,'Annex 2 EHV charges'!$A:$O,3,0))</f>
        <v/>
      </c>
      <c r="D234" s="114" t="str">
        <f>IF($A234="","",VLOOKUP($A234,'Annex 2 EHV charges'!$A:$O,7,0))</f>
        <v/>
      </c>
      <c r="E234" s="119" t="str">
        <f>IFERROR(IF(VLOOKUP($A234,'Annex 2 EHV charges'!$A:$O,8,FALSE)=0,"",VLOOKUP($A234,'Annex 2 EHV charges'!$A:$O,8,FALSE)),"")</f>
        <v/>
      </c>
      <c r="F234" s="120" t="str">
        <f>IFERROR(IF(VLOOKUP($A234,'Annex 2 EHV charges'!$A:$O,9,FALSE)=0,"",VLOOKUP($A234,'Annex 2 EHV charges'!$A:$O,9,FALSE)),"")</f>
        <v/>
      </c>
      <c r="G234" s="121" t="str">
        <f>IFERROR(IF(VLOOKUP($A234,'Annex 2 EHV charges'!$A:$O,10,FALSE)=0,"",VLOOKUP($A234,'Annex 2 EHV charges'!$A:$O,10,FALSE)),"")</f>
        <v/>
      </c>
      <c r="H234" s="121" t="str">
        <f>IFERROR(IF(VLOOKUP($A234,'Annex 2 EHV charges'!$A:$O,11,FALSE)=0,"",VLOOKUP($A234,'Annex 2 EHV charges'!$A:$O,11,FALSE)),"")</f>
        <v/>
      </c>
    </row>
    <row r="235" spans="1:8" x14ac:dyDescent="0.2">
      <c r="A235" s="114" t="str">
        <f t="array" ref="A235">IFERROR(INDEX('Annex 2 EHV charges'!$A$11:$A$259, MATCH(0, IF(ISBLANK('Annex 2 EHV charges'!$A$11:$A$259),1, COUNTIF(A$4:$A234, 'Annex 2 EHV charges'!$A$11:$A$259)), 0)),"")</f>
        <v/>
      </c>
      <c r="B235" s="114" t="str">
        <f>IF($A235="","",VLOOKUP($A235,'Annex 2 EHV charges'!$A:$O,2,0))</f>
        <v/>
      </c>
      <c r="C235" s="115" t="str">
        <f>IF($A235="","",VLOOKUP($A235,'Annex 2 EHV charges'!$A:$O,3,0))</f>
        <v/>
      </c>
      <c r="D235" s="114" t="str">
        <f>IF($A235="","",VLOOKUP($A235,'Annex 2 EHV charges'!$A:$O,7,0))</f>
        <v/>
      </c>
      <c r="E235" s="119" t="str">
        <f>IFERROR(IF(VLOOKUP($A235,'Annex 2 EHV charges'!$A:$O,8,FALSE)=0,"",VLOOKUP($A235,'Annex 2 EHV charges'!$A:$O,8,FALSE)),"")</f>
        <v/>
      </c>
      <c r="F235" s="120" t="str">
        <f>IFERROR(IF(VLOOKUP($A235,'Annex 2 EHV charges'!$A:$O,9,FALSE)=0,"",VLOOKUP($A235,'Annex 2 EHV charges'!$A:$O,9,FALSE)),"")</f>
        <v/>
      </c>
      <c r="G235" s="121" t="str">
        <f>IFERROR(IF(VLOOKUP($A235,'Annex 2 EHV charges'!$A:$O,10,FALSE)=0,"",VLOOKUP($A235,'Annex 2 EHV charges'!$A:$O,10,FALSE)),"")</f>
        <v/>
      </c>
      <c r="H235" s="121" t="str">
        <f>IFERROR(IF(VLOOKUP($A235,'Annex 2 EHV charges'!$A:$O,11,FALSE)=0,"",VLOOKUP($A235,'Annex 2 EHV charges'!$A:$O,11,FALSE)),"")</f>
        <v/>
      </c>
    </row>
    <row r="236" spans="1:8" x14ac:dyDescent="0.2">
      <c r="A236" s="114" t="str">
        <f t="array" ref="A236">IFERROR(INDEX('Annex 2 EHV charges'!$A$11:$A$259, MATCH(0, IF(ISBLANK('Annex 2 EHV charges'!$A$11:$A$259),1, COUNTIF(A$4:$A235, 'Annex 2 EHV charges'!$A$11:$A$259)), 0)),"")</f>
        <v/>
      </c>
      <c r="B236" s="114" t="str">
        <f>IF($A236="","",VLOOKUP($A236,'Annex 2 EHV charges'!$A:$O,2,0))</f>
        <v/>
      </c>
      <c r="C236" s="115" t="str">
        <f>IF($A236="","",VLOOKUP($A236,'Annex 2 EHV charges'!$A:$O,3,0))</f>
        <v/>
      </c>
      <c r="D236" s="114" t="str">
        <f>IF($A236="","",VLOOKUP($A236,'Annex 2 EHV charges'!$A:$O,7,0))</f>
        <v/>
      </c>
      <c r="E236" s="119" t="str">
        <f>IFERROR(IF(VLOOKUP($A236,'Annex 2 EHV charges'!$A:$O,8,FALSE)=0,"",VLOOKUP($A236,'Annex 2 EHV charges'!$A:$O,8,FALSE)),"")</f>
        <v/>
      </c>
      <c r="F236" s="120" t="str">
        <f>IFERROR(IF(VLOOKUP($A236,'Annex 2 EHV charges'!$A:$O,9,FALSE)=0,"",VLOOKUP($A236,'Annex 2 EHV charges'!$A:$O,9,FALSE)),"")</f>
        <v/>
      </c>
      <c r="G236" s="121" t="str">
        <f>IFERROR(IF(VLOOKUP($A236,'Annex 2 EHV charges'!$A:$O,10,FALSE)=0,"",VLOOKUP($A236,'Annex 2 EHV charges'!$A:$O,10,FALSE)),"")</f>
        <v/>
      </c>
      <c r="H236" s="121" t="str">
        <f>IFERROR(IF(VLOOKUP($A236,'Annex 2 EHV charges'!$A:$O,11,FALSE)=0,"",VLOOKUP($A236,'Annex 2 EHV charges'!$A:$O,11,FALSE)),"")</f>
        <v/>
      </c>
    </row>
    <row r="237" spans="1:8" x14ac:dyDescent="0.2">
      <c r="A237" s="114" t="str">
        <f t="array" ref="A237">IFERROR(INDEX('Annex 2 EHV charges'!$A$11:$A$259, MATCH(0, IF(ISBLANK('Annex 2 EHV charges'!$A$11:$A$259),1, COUNTIF(A$4:$A236, 'Annex 2 EHV charges'!$A$11:$A$259)), 0)),"")</f>
        <v/>
      </c>
      <c r="B237" s="114" t="str">
        <f>IF($A237="","",VLOOKUP($A237,'Annex 2 EHV charges'!$A:$O,2,0))</f>
        <v/>
      </c>
      <c r="C237" s="115" t="str">
        <f>IF($A237="","",VLOOKUP($A237,'Annex 2 EHV charges'!$A:$O,3,0))</f>
        <v/>
      </c>
      <c r="D237" s="114" t="str">
        <f>IF($A237="","",VLOOKUP($A237,'Annex 2 EHV charges'!$A:$O,7,0))</f>
        <v/>
      </c>
      <c r="E237" s="119" t="str">
        <f>IFERROR(IF(VLOOKUP($A237,'Annex 2 EHV charges'!$A:$O,8,FALSE)=0,"",VLOOKUP($A237,'Annex 2 EHV charges'!$A:$O,8,FALSE)),"")</f>
        <v/>
      </c>
      <c r="F237" s="120" t="str">
        <f>IFERROR(IF(VLOOKUP($A237,'Annex 2 EHV charges'!$A:$O,9,FALSE)=0,"",VLOOKUP($A237,'Annex 2 EHV charges'!$A:$O,9,FALSE)),"")</f>
        <v/>
      </c>
      <c r="G237" s="121" t="str">
        <f>IFERROR(IF(VLOOKUP($A237,'Annex 2 EHV charges'!$A:$O,10,FALSE)=0,"",VLOOKUP($A237,'Annex 2 EHV charges'!$A:$O,10,FALSE)),"")</f>
        <v/>
      </c>
      <c r="H237" s="121" t="str">
        <f>IFERROR(IF(VLOOKUP($A237,'Annex 2 EHV charges'!$A:$O,11,FALSE)=0,"",VLOOKUP($A237,'Annex 2 EHV charges'!$A:$O,11,FALSE)),"")</f>
        <v/>
      </c>
    </row>
    <row r="238" spans="1:8" x14ac:dyDescent="0.2">
      <c r="A238" s="114" t="str">
        <f t="array" ref="A238">IFERROR(INDEX('Annex 2 EHV charges'!$A$11:$A$259, MATCH(0, IF(ISBLANK('Annex 2 EHV charges'!$A$11:$A$259),1, COUNTIF(A$4:$A237, 'Annex 2 EHV charges'!$A$11:$A$259)), 0)),"")</f>
        <v/>
      </c>
      <c r="B238" s="114" t="str">
        <f>IF($A238="","",VLOOKUP($A238,'Annex 2 EHV charges'!$A:$O,2,0))</f>
        <v/>
      </c>
      <c r="C238" s="115" t="str">
        <f>IF($A238="","",VLOOKUP($A238,'Annex 2 EHV charges'!$A:$O,3,0))</f>
        <v/>
      </c>
      <c r="D238" s="114" t="str">
        <f>IF($A238="","",VLOOKUP($A238,'Annex 2 EHV charges'!$A:$O,7,0))</f>
        <v/>
      </c>
      <c r="E238" s="119" t="str">
        <f>IFERROR(IF(VLOOKUP($A238,'Annex 2 EHV charges'!$A:$O,8,FALSE)=0,"",VLOOKUP($A238,'Annex 2 EHV charges'!$A:$O,8,FALSE)),"")</f>
        <v/>
      </c>
      <c r="F238" s="120" t="str">
        <f>IFERROR(IF(VLOOKUP($A238,'Annex 2 EHV charges'!$A:$O,9,FALSE)=0,"",VLOOKUP($A238,'Annex 2 EHV charges'!$A:$O,9,FALSE)),"")</f>
        <v/>
      </c>
      <c r="G238" s="121" t="str">
        <f>IFERROR(IF(VLOOKUP($A238,'Annex 2 EHV charges'!$A:$O,10,FALSE)=0,"",VLOOKUP($A238,'Annex 2 EHV charges'!$A:$O,10,FALSE)),"")</f>
        <v/>
      </c>
      <c r="H238" s="121" t="str">
        <f>IFERROR(IF(VLOOKUP($A238,'Annex 2 EHV charges'!$A:$O,11,FALSE)=0,"",VLOOKUP($A238,'Annex 2 EHV charges'!$A:$O,11,FALSE)),"")</f>
        <v/>
      </c>
    </row>
    <row r="239" spans="1:8" x14ac:dyDescent="0.2">
      <c r="A239" s="114" t="str">
        <f t="array" ref="A239">IFERROR(INDEX('Annex 2 EHV charges'!$A$11:$A$259, MATCH(0, IF(ISBLANK('Annex 2 EHV charges'!$A$11:$A$259),1, COUNTIF(A$4:$A238, 'Annex 2 EHV charges'!$A$11:$A$259)), 0)),"")</f>
        <v/>
      </c>
      <c r="B239" s="114" t="str">
        <f>IF($A239="","",VLOOKUP($A239,'Annex 2 EHV charges'!$A:$O,2,0))</f>
        <v/>
      </c>
      <c r="C239" s="115" t="str">
        <f>IF($A239="","",VLOOKUP($A239,'Annex 2 EHV charges'!$A:$O,3,0))</f>
        <v/>
      </c>
      <c r="D239" s="114" t="str">
        <f>IF($A239="","",VLOOKUP($A239,'Annex 2 EHV charges'!$A:$O,7,0))</f>
        <v/>
      </c>
      <c r="E239" s="119" t="str">
        <f>IFERROR(IF(VLOOKUP($A239,'Annex 2 EHV charges'!$A:$O,8,FALSE)=0,"",VLOOKUP($A239,'Annex 2 EHV charges'!$A:$O,8,FALSE)),"")</f>
        <v/>
      </c>
      <c r="F239" s="120" t="str">
        <f>IFERROR(IF(VLOOKUP($A239,'Annex 2 EHV charges'!$A:$O,9,FALSE)=0,"",VLOOKUP($A239,'Annex 2 EHV charges'!$A:$O,9,FALSE)),"")</f>
        <v/>
      </c>
      <c r="G239" s="121" t="str">
        <f>IFERROR(IF(VLOOKUP($A239,'Annex 2 EHV charges'!$A:$O,10,FALSE)=0,"",VLOOKUP($A239,'Annex 2 EHV charges'!$A:$O,10,FALSE)),"")</f>
        <v/>
      </c>
      <c r="H239" s="121" t="str">
        <f>IFERROR(IF(VLOOKUP($A239,'Annex 2 EHV charges'!$A:$O,11,FALSE)=0,"",VLOOKUP($A239,'Annex 2 EHV charges'!$A:$O,11,FALSE)),"")</f>
        <v/>
      </c>
    </row>
    <row r="240" spans="1:8" x14ac:dyDescent="0.2">
      <c r="A240" s="114" t="str">
        <f t="array" ref="A240">IFERROR(INDEX('Annex 2 EHV charges'!$A$11:$A$259, MATCH(0, IF(ISBLANK('Annex 2 EHV charges'!$A$11:$A$259),1, COUNTIF(A$4:$A239, 'Annex 2 EHV charges'!$A$11:$A$259)), 0)),"")</f>
        <v/>
      </c>
      <c r="B240" s="114" t="str">
        <f>IF($A240="","",VLOOKUP($A240,'Annex 2 EHV charges'!$A:$O,2,0))</f>
        <v/>
      </c>
      <c r="C240" s="115" t="str">
        <f>IF($A240="","",VLOOKUP($A240,'Annex 2 EHV charges'!$A:$O,3,0))</f>
        <v/>
      </c>
      <c r="D240" s="114" t="str">
        <f>IF($A240="","",VLOOKUP($A240,'Annex 2 EHV charges'!$A:$O,7,0))</f>
        <v/>
      </c>
      <c r="E240" s="119" t="str">
        <f>IFERROR(IF(VLOOKUP($A240,'Annex 2 EHV charges'!$A:$O,8,FALSE)=0,"",VLOOKUP($A240,'Annex 2 EHV charges'!$A:$O,8,FALSE)),"")</f>
        <v/>
      </c>
      <c r="F240" s="120" t="str">
        <f>IFERROR(IF(VLOOKUP($A240,'Annex 2 EHV charges'!$A:$O,9,FALSE)=0,"",VLOOKUP($A240,'Annex 2 EHV charges'!$A:$O,9,FALSE)),"")</f>
        <v/>
      </c>
      <c r="G240" s="121" t="str">
        <f>IFERROR(IF(VLOOKUP($A240,'Annex 2 EHV charges'!$A:$O,10,FALSE)=0,"",VLOOKUP($A240,'Annex 2 EHV charges'!$A:$O,10,FALSE)),"")</f>
        <v/>
      </c>
      <c r="H240" s="121" t="str">
        <f>IFERROR(IF(VLOOKUP($A240,'Annex 2 EHV charges'!$A:$O,11,FALSE)=0,"",VLOOKUP($A240,'Annex 2 EHV charges'!$A:$O,11,FALSE)),"")</f>
        <v/>
      </c>
    </row>
    <row r="241" spans="1:8" x14ac:dyDescent="0.2">
      <c r="A241" s="114" t="str">
        <f t="array" ref="A241">IFERROR(INDEX('Annex 2 EHV charges'!$A$11:$A$259, MATCH(0, IF(ISBLANK('Annex 2 EHV charges'!$A$11:$A$259),1, COUNTIF(A$4:$A240, 'Annex 2 EHV charges'!$A$11:$A$259)), 0)),"")</f>
        <v/>
      </c>
      <c r="B241" s="114" t="str">
        <f>IF($A241="","",VLOOKUP($A241,'Annex 2 EHV charges'!$A:$O,2,0))</f>
        <v/>
      </c>
      <c r="C241" s="115" t="str">
        <f>IF($A241="","",VLOOKUP($A241,'Annex 2 EHV charges'!$A:$O,3,0))</f>
        <v/>
      </c>
      <c r="D241" s="114" t="str">
        <f>IF($A241="","",VLOOKUP($A241,'Annex 2 EHV charges'!$A:$O,7,0))</f>
        <v/>
      </c>
      <c r="E241" s="119" t="str">
        <f>IFERROR(IF(VLOOKUP($A241,'Annex 2 EHV charges'!$A:$O,8,FALSE)=0,"",VLOOKUP($A241,'Annex 2 EHV charges'!$A:$O,8,FALSE)),"")</f>
        <v/>
      </c>
      <c r="F241" s="120" t="str">
        <f>IFERROR(IF(VLOOKUP($A241,'Annex 2 EHV charges'!$A:$O,9,FALSE)=0,"",VLOOKUP($A241,'Annex 2 EHV charges'!$A:$O,9,FALSE)),"")</f>
        <v/>
      </c>
      <c r="G241" s="121" t="str">
        <f>IFERROR(IF(VLOOKUP($A241,'Annex 2 EHV charges'!$A:$O,10,FALSE)=0,"",VLOOKUP($A241,'Annex 2 EHV charges'!$A:$O,10,FALSE)),"")</f>
        <v/>
      </c>
      <c r="H241" s="121" t="str">
        <f>IFERROR(IF(VLOOKUP($A241,'Annex 2 EHV charges'!$A:$O,11,FALSE)=0,"",VLOOKUP($A241,'Annex 2 EHV charges'!$A:$O,11,FALSE)),"")</f>
        <v/>
      </c>
    </row>
    <row r="242" spans="1:8" x14ac:dyDescent="0.2">
      <c r="A242" s="114" t="str">
        <f t="array" ref="A242">IFERROR(INDEX('Annex 2 EHV charges'!$A$11:$A$259, MATCH(0, IF(ISBLANK('Annex 2 EHV charges'!$A$11:$A$259),1, COUNTIF(A$4:$A241, 'Annex 2 EHV charges'!$A$11:$A$259)), 0)),"")</f>
        <v/>
      </c>
      <c r="B242" s="114" t="str">
        <f>IF($A242="","",VLOOKUP($A242,'Annex 2 EHV charges'!$A:$O,2,0))</f>
        <v/>
      </c>
      <c r="C242" s="115" t="str">
        <f>IF($A242="","",VLOOKUP($A242,'Annex 2 EHV charges'!$A:$O,3,0))</f>
        <v/>
      </c>
      <c r="D242" s="114" t="str">
        <f>IF($A242="","",VLOOKUP($A242,'Annex 2 EHV charges'!$A:$O,7,0))</f>
        <v/>
      </c>
      <c r="E242" s="119" t="str">
        <f>IFERROR(IF(VLOOKUP($A242,'Annex 2 EHV charges'!$A:$O,8,FALSE)=0,"",VLOOKUP($A242,'Annex 2 EHV charges'!$A:$O,8,FALSE)),"")</f>
        <v/>
      </c>
      <c r="F242" s="120" t="str">
        <f>IFERROR(IF(VLOOKUP($A242,'Annex 2 EHV charges'!$A:$O,9,FALSE)=0,"",VLOOKUP($A242,'Annex 2 EHV charges'!$A:$O,9,FALSE)),"")</f>
        <v/>
      </c>
      <c r="G242" s="121" t="str">
        <f>IFERROR(IF(VLOOKUP($A242,'Annex 2 EHV charges'!$A:$O,10,FALSE)=0,"",VLOOKUP($A242,'Annex 2 EHV charges'!$A:$O,10,FALSE)),"")</f>
        <v/>
      </c>
      <c r="H242" s="121" t="str">
        <f>IFERROR(IF(VLOOKUP($A242,'Annex 2 EHV charges'!$A:$O,11,FALSE)=0,"",VLOOKUP($A242,'Annex 2 EHV charges'!$A:$O,11,FALSE)),"")</f>
        <v/>
      </c>
    </row>
    <row r="243" spans="1:8" x14ac:dyDescent="0.2">
      <c r="A243" s="114" t="str">
        <f t="array" ref="A243">IFERROR(INDEX('Annex 2 EHV charges'!$A$11:$A$259, MATCH(0, IF(ISBLANK('Annex 2 EHV charges'!$A$11:$A$259),1, COUNTIF(A$4:$A242, 'Annex 2 EHV charges'!$A$11:$A$259)), 0)),"")</f>
        <v/>
      </c>
      <c r="B243" s="114" t="str">
        <f>IF($A243="","",VLOOKUP($A243,'Annex 2 EHV charges'!$A:$O,2,0))</f>
        <v/>
      </c>
      <c r="C243" s="115" t="str">
        <f>IF($A243="","",VLOOKUP($A243,'Annex 2 EHV charges'!$A:$O,3,0))</f>
        <v/>
      </c>
      <c r="D243" s="114" t="str">
        <f>IF($A243="","",VLOOKUP($A243,'Annex 2 EHV charges'!$A:$O,7,0))</f>
        <v/>
      </c>
      <c r="E243" s="119" t="str">
        <f>IFERROR(IF(VLOOKUP($A243,'Annex 2 EHV charges'!$A:$O,8,FALSE)=0,"",VLOOKUP($A243,'Annex 2 EHV charges'!$A:$O,8,FALSE)),"")</f>
        <v/>
      </c>
      <c r="F243" s="120" t="str">
        <f>IFERROR(IF(VLOOKUP($A243,'Annex 2 EHV charges'!$A:$O,9,FALSE)=0,"",VLOOKUP($A243,'Annex 2 EHV charges'!$A:$O,9,FALSE)),"")</f>
        <v/>
      </c>
      <c r="G243" s="121" t="str">
        <f>IFERROR(IF(VLOOKUP($A243,'Annex 2 EHV charges'!$A:$O,10,FALSE)=0,"",VLOOKUP($A243,'Annex 2 EHV charges'!$A:$O,10,FALSE)),"")</f>
        <v/>
      </c>
      <c r="H243" s="121" t="str">
        <f>IFERROR(IF(VLOOKUP($A243,'Annex 2 EHV charges'!$A:$O,11,FALSE)=0,"",VLOOKUP($A243,'Annex 2 EHV charges'!$A:$O,11,FALSE)),"")</f>
        <v/>
      </c>
    </row>
    <row r="244" spans="1:8" x14ac:dyDescent="0.2">
      <c r="A244" s="114" t="str">
        <f t="array" ref="A244">IFERROR(INDEX('Annex 2 EHV charges'!$A$11:$A$259, MATCH(0, IF(ISBLANK('Annex 2 EHV charges'!$A$11:$A$259),1, COUNTIF(A$4:$A243, 'Annex 2 EHV charges'!$A$11:$A$259)), 0)),"")</f>
        <v/>
      </c>
      <c r="B244" s="114" t="str">
        <f>IF($A244="","",VLOOKUP($A244,'Annex 2 EHV charges'!$A:$O,2,0))</f>
        <v/>
      </c>
      <c r="C244" s="115" t="str">
        <f>IF($A244="","",VLOOKUP($A244,'Annex 2 EHV charges'!$A:$O,3,0))</f>
        <v/>
      </c>
      <c r="D244" s="114" t="str">
        <f>IF($A244="","",VLOOKUP($A244,'Annex 2 EHV charges'!$A:$O,7,0))</f>
        <v/>
      </c>
      <c r="E244" s="119" t="str">
        <f>IFERROR(IF(VLOOKUP($A244,'Annex 2 EHV charges'!$A:$O,8,FALSE)=0,"",VLOOKUP($A244,'Annex 2 EHV charges'!$A:$O,8,FALSE)),"")</f>
        <v/>
      </c>
      <c r="F244" s="120" t="str">
        <f>IFERROR(IF(VLOOKUP($A244,'Annex 2 EHV charges'!$A:$O,9,FALSE)=0,"",VLOOKUP($A244,'Annex 2 EHV charges'!$A:$O,9,FALSE)),"")</f>
        <v/>
      </c>
      <c r="G244" s="121" t="str">
        <f>IFERROR(IF(VLOOKUP($A244,'Annex 2 EHV charges'!$A:$O,10,FALSE)=0,"",VLOOKUP($A244,'Annex 2 EHV charges'!$A:$O,10,FALSE)),"")</f>
        <v/>
      </c>
      <c r="H244" s="121" t="str">
        <f>IFERROR(IF(VLOOKUP($A244,'Annex 2 EHV charges'!$A:$O,11,FALSE)=0,"",VLOOKUP($A244,'Annex 2 EHV charges'!$A:$O,11,FALSE)),"")</f>
        <v/>
      </c>
    </row>
    <row r="245" spans="1:8" x14ac:dyDescent="0.2">
      <c r="A245" s="114" t="str">
        <f t="array" ref="A245">IFERROR(INDEX('Annex 2 EHV charges'!$A$11:$A$259, MATCH(0, IF(ISBLANK('Annex 2 EHV charges'!$A$11:$A$259),1, COUNTIF(A$4:$A244, 'Annex 2 EHV charges'!$A$11:$A$259)), 0)),"")</f>
        <v/>
      </c>
      <c r="B245" s="114" t="str">
        <f>IF($A245="","",VLOOKUP($A245,'Annex 2 EHV charges'!$A:$O,2,0))</f>
        <v/>
      </c>
      <c r="C245" s="115" t="str">
        <f>IF($A245="","",VLOOKUP($A245,'Annex 2 EHV charges'!$A:$O,3,0))</f>
        <v/>
      </c>
      <c r="D245" s="114" t="str">
        <f>IF($A245="","",VLOOKUP($A245,'Annex 2 EHV charges'!$A:$O,7,0))</f>
        <v/>
      </c>
      <c r="E245" s="119" t="str">
        <f>IFERROR(IF(VLOOKUP($A245,'Annex 2 EHV charges'!$A:$O,8,FALSE)=0,"",VLOOKUP($A245,'Annex 2 EHV charges'!$A:$O,8,FALSE)),"")</f>
        <v/>
      </c>
      <c r="F245" s="120" t="str">
        <f>IFERROR(IF(VLOOKUP($A245,'Annex 2 EHV charges'!$A:$O,9,FALSE)=0,"",VLOOKUP($A245,'Annex 2 EHV charges'!$A:$O,9,FALSE)),"")</f>
        <v/>
      </c>
      <c r="G245" s="121" t="str">
        <f>IFERROR(IF(VLOOKUP($A245,'Annex 2 EHV charges'!$A:$O,10,FALSE)=0,"",VLOOKUP($A245,'Annex 2 EHV charges'!$A:$O,10,FALSE)),"")</f>
        <v/>
      </c>
      <c r="H245" s="121" t="str">
        <f>IFERROR(IF(VLOOKUP($A245,'Annex 2 EHV charges'!$A:$O,11,FALSE)=0,"",VLOOKUP($A245,'Annex 2 EHV charges'!$A:$O,11,FALSE)),"")</f>
        <v/>
      </c>
    </row>
    <row r="246" spans="1:8" x14ac:dyDescent="0.2">
      <c r="A246" s="114" t="str">
        <f t="array" ref="A246">IFERROR(INDEX('Annex 2 EHV charges'!$A$11:$A$259, MATCH(0, IF(ISBLANK('Annex 2 EHV charges'!$A$11:$A$259),1, COUNTIF(A$4:$A245, 'Annex 2 EHV charges'!$A$11:$A$259)), 0)),"")</f>
        <v/>
      </c>
      <c r="B246" s="114" t="str">
        <f>IF($A246="","",VLOOKUP($A246,'Annex 2 EHV charges'!$A:$O,2,0))</f>
        <v/>
      </c>
      <c r="C246" s="115" t="str">
        <f>IF($A246="","",VLOOKUP($A246,'Annex 2 EHV charges'!$A:$O,3,0))</f>
        <v/>
      </c>
      <c r="D246" s="114" t="str">
        <f>IF($A246="","",VLOOKUP($A246,'Annex 2 EHV charges'!$A:$O,7,0))</f>
        <v/>
      </c>
      <c r="E246" s="119" t="str">
        <f>IFERROR(IF(VLOOKUP($A246,'Annex 2 EHV charges'!$A:$O,8,FALSE)=0,"",VLOOKUP($A246,'Annex 2 EHV charges'!$A:$O,8,FALSE)),"")</f>
        <v/>
      </c>
      <c r="F246" s="120" t="str">
        <f>IFERROR(IF(VLOOKUP($A246,'Annex 2 EHV charges'!$A:$O,9,FALSE)=0,"",VLOOKUP($A246,'Annex 2 EHV charges'!$A:$O,9,FALSE)),"")</f>
        <v/>
      </c>
      <c r="G246" s="121" t="str">
        <f>IFERROR(IF(VLOOKUP($A246,'Annex 2 EHV charges'!$A:$O,10,FALSE)=0,"",VLOOKUP($A246,'Annex 2 EHV charges'!$A:$O,10,FALSE)),"")</f>
        <v/>
      </c>
      <c r="H246" s="121" t="str">
        <f>IFERROR(IF(VLOOKUP($A246,'Annex 2 EHV charges'!$A:$O,11,FALSE)=0,"",VLOOKUP($A246,'Annex 2 EHV charges'!$A:$O,11,FALSE)),"")</f>
        <v/>
      </c>
    </row>
    <row r="247" spans="1:8" x14ac:dyDescent="0.2">
      <c r="A247" s="114" t="str">
        <f t="array" ref="A247">IFERROR(INDEX('Annex 2 EHV charges'!$A$11:$A$259, MATCH(0, IF(ISBLANK('Annex 2 EHV charges'!$A$11:$A$259),1, COUNTIF(A$4:$A246, 'Annex 2 EHV charges'!$A$11:$A$259)), 0)),"")</f>
        <v/>
      </c>
      <c r="B247" s="114" t="str">
        <f>IF($A247="","",VLOOKUP($A247,'Annex 2 EHV charges'!$A:$O,2,0))</f>
        <v/>
      </c>
      <c r="C247" s="115" t="str">
        <f>IF($A247="","",VLOOKUP($A247,'Annex 2 EHV charges'!$A:$O,3,0))</f>
        <v/>
      </c>
      <c r="D247" s="114" t="str">
        <f>IF($A247="","",VLOOKUP($A247,'Annex 2 EHV charges'!$A:$O,7,0))</f>
        <v/>
      </c>
      <c r="E247" s="119" t="str">
        <f>IFERROR(IF(VLOOKUP($A247,'Annex 2 EHV charges'!$A:$O,8,FALSE)=0,"",VLOOKUP($A247,'Annex 2 EHV charges'!$A:$O,8,FALSE)),"")</f>
        <v/>
      </c>
      <c r="F247" s="120" t="str">
        <f>IFERROR(IF(VLOOKUP($A247,'Annex 2 EHV charges'!$A:$O,9,FALSE)=0,"",VLOOKUP($A247,'Annex 2 EHV charges'!$A:$O,9,FALSE)),"")</f>
        <v/>
      </c>
      <c r="G247" s="121" t="str">
        <f>IFERROR(IF(VLOOKUP($A247,'Annex 2 EHV charges'!$A:$O,10,FALSE)=0,"",VLOOKUP($A247,'Annex 2 EHV charges'!$A:$O,10,FALSE)),"")</f>
        <v/>
      </c>
      <c r="H247" s="121" t="str">
        <f>IFERROR(IF(VLOOKUP($A247,'Annex 2 EHV charges'!$A:$O,11,FALSE)=0,"",VLOOKUP($A247,'Annex 2 EHV charges'!$A:$O,11,FALSE)),"")</f>
        <v/>
      </c>
    </row>
    <row r="248" spans="1:8" x14ac:dyDescent="0.2">
      <c r="A248" s="114" t="str">
        <f t="array" ref="A248">IFERROR(INDEX('Annex 2 EHV charges'!$A$11:$A$259, MATCH(0, IF(ISBLANK('Annex 2 EHV charges'!$A$11:$A$259),1, COUNTIF(A$4:$A247, 'Annex 2 EHV charges'!$A$11:$A$259)), 0)),"")</f>
        <v/>
      </c>
      <c r="B248" s="114" t="str">
        <f>IF($A248="","",VLOOKUP($A248,'Annex 2 EHV charges'!$A:$O,2,0))</f>
        <v/>
      </c>
      <c r="C248" s="115" t="str">
        <f>IF($A248="","",VLOOKUP($A248,'Annex 2 EHV charges'!$A:$O,3,0))</f>
        <v/>
      </c>
      <c r="D248" s="114" t="str">
        <f>IF($A248="","",VLOOKUP($A248,'Annex 2 EHV charges'!$A:$O,7,0))</f>
        <v/>
      </c>
      <c r="E248" s="119" t="str">
        <f>IFERROR(IF(VLOOKUP($A248,'Annex 2 EHV charges'!$A:$O,8,FALSE)=0,"",VLOOKUP($A248,'Annex 2 EHV charges'!$A:$O,8,FALSE)),"")</f>
        <v/>
      </c>
      <c r="F248" s="120" t="str">
        <f>IFERROR(IF(VLOOKUP($A248,'Annex 2 EHV charges'!$A:$O,9,FALSE)=0,"",VLOOKUP($A248,'Annex 2 EHV charges'!$A:$O,9,FALSE)),"")</f>
        <v/>
      </c>
      <c r="G248" s="121" t="str">
        <f>IFERROR(IF(VLOOKUP($A248,'Annex 2 EHV charges'!$A:$O,10,FALSE)=0,"",VLOOKUP($A248,'Annex 2 EHV charges'!$A:$O,10,FALSE)),"")</f>
        <v/>
      </c>
      <c r="H248" s="121" t="str">
        <f>IFERROR(IF(VLOOKUP($A248,'Annex 2 EHV charges'!$A:$O,11,FALSE)=0,"",VLOOKUP($A248,'Annex 2 EHV charges'!$A:$O,11,FALSE)),"")</f>
        <v/>
      </c>
    </row>
    <row r="249" spans="1:8" x14ac:dyDescent="0.2">
      <c r="A249" s="114" t="str">
        <f t="array" ref="A249">IFERROR(INDEX('Annex 2 EHV charges'!$A$11:$A$259, MATCH(0, IF(ISBLANK('Annex 2 EHV charges'!$A$11:$A$259),1, COUNTIF(A$4:$A248, 'Annex 2 EHV charges'!$A$11:$A$259)), 0)),"")</f>
        <v/>
      </c>
      <c r="B249" s="114" t="str">
        <f>IF($A249="","",VLOOKUP($A249,'Annex 2 EHV charges'!$A:$O,2,0))</f>
        <v/>
      </c>
      <c r="C249" s="115" t="str">
        <f>IF($A249="","",VLOOKUP($A249,'Annex 2 EHV charges'!$A:$O,3,0))</f>
        <v/>
      </c>
      <c r="D249" s="114" t="str">
        <f>IF($A249="","",VLOOKUP($A249,'Annex 2 EHV charges'!$A:$O,7,0))</f>
        <v/>
      </c>
      <c r="E249" s="119" t="str">
        <f>IFERROR(IF(VLOOKUP($A249,'Annex 2 EHV charges'!$A:$O,8,FALSE)=0,"",VLOOKUP($A249,'Annex 2 EHV charges'!$A:$O,8,FALSE)),"")</f>
        <v/>
      </c>
      <c r="F249" s="120" t="str">
        <f>IFERROR(IF(VLOOKUP($A249,'Annex 2 EHV charges'!$A:$O,9,FALSE)=0,"",VLOOKUP($A249,'Annex 2 EHV charges'!$A:$O,9,FALSE)),"")</f>
        <v/>
      </c>
      <c r="G249" s="121" t="str">
        <f>IFERROR(IF(VLOOKUP($A249,'Annex 2 EHV charges'!$A:$O,10,FALSE)=0,"",VLOOKUP($A249,'Annex 2 EHV charges'!$A:$O,10,FALSE)),"")</f>
        <v/>
      </c>
      <c r="H249" s="121" t="str">
        <f>IFERROR(IF(VLOOKUP($A249,'Annex 2 EHV charges'!$A:$O,11,FALSE)=0,"",VLOOKUP($A249,'Annex 2 EHV charges'!$A:$O,11,FALSE)),"")</f>
        <v/>
      </c>
    </row>
    <row r="250" spans="1:8" x14ac:dyDescent="0.2">
      <c r="A250" s="114" t="str">
        <f t="array" ref="A250">IFERROR(INDEX('Annex 2 EHV charges'!$A$11:$A$259, MATCH(0, IF(ISBLANK('Annex 2 EHV charges'!$A$11:$A$259),1, COUNTIF(A$4:$A249, 'Annex 2 EHV charges'!$A$11:$A$259)), 0)),"")</f>
        <v/>
      </c>
      <c r="B250" s="114" t="str">
        <f>IF($A250="","",VLOOKUP($A250,'Annex 2 EHV charges'!$A:$O,2,0))</f>
        <v/>
      </c>
      <c r="C250" s="115" t="str">
        <f>IF($A250="","",VLOOKUP($A250,'Annex 2 EHV charges'!$A:$O,3,0))</f>
        <v/>
      </c>
      <c r="D250" s="114" t="str">
        <f>IF($A250="","",VLOOKUP($A250,'Annex 2 EHV charges'!$A:$O,7,0))</f>
        <v/>
      </c>
      <c r="E250" s="119" t="str">
        <f>IFERROR(IF(VLOOKUP($A250,'Annex 2 EHV charges'!$A:$O,8,FALSE)=0,"",VLOOKUP($A250,'Annex 2 EHV charges'!$A:$O,8,FALSE)),"")</f>
        <v/>
      </c>
      <c r="F250" s="120" t="str">
        <f>IFERROR(IF(VLOOKUP($A250,'Annex 2 EHV charges'!$A:$O,9,FALSE)=0,"",VLOOKUP($A250,'Annex 2 EHV charges'!$A:$O,9,FALSE)),"")</f>
        <v/>
      </c>
      <c r="G250" s="121" t="str">
        <f>IFERROR(IF(VLOOKUP($A250,'Annex 2 EHV charges'!$A:$O,10,FALSE)=0,"",VLOOKUP($A250,'Annex 2 EHV charges'!$A:$O,10,FALSE)),"")</f>
        <v/>
      </c>
      <c r="H250" s="121" t="str">
        <f>IFERROR(IF(VLOOKUP($A250,'Annex 2 EHV charges'!$A:$O,11,FALSE)=0,"",VLOOKUP($A250,'Annex 2 EHV charges'!$A:$O,11,FALSE)),"")</f>
        <v/>
      </c>
    </row>
    <row r="251" spans="1:8" x14ac:dyDescent="0.2">
      <c r="A251" s="114" t="str">
        <f t="array" ref="A251">IFERROR(INDEX('Annex 2 EHV charges'!$A$11:$A$259, MATCH(0, IF(ISBLANK('Annex 2 EHV charges'!$A$11:$A$259),1, COUNTIF(A$4:$A250, 'Annex 2 EHV charges'!$A$11:$A$259)), 0)),"")</f>
        <v/>
      </c>
      <c r="B251" s="114" t="str">
        <f>IF($A251="","",VLOOKUP($A251,'Annex 2 EHV charges'!$A:$O,2,0))</f>
        <v/>
      </c>
      <c r="C251" s="115" t="str">
        <f>IF($A251="","",VLOOKUP($A251,'Annex 2 EHV charges'!$A:$O,3,0))</f>
        <v/>
      </c>
      <c r="D251" s="114" t="str">
        <f>IF($A251="","",VLOOKUP($A251,'Annex 2 EHV charges'!$A:$O,7,0))</f>
        <v/>
      </c>
      <c r="E251" s="119" t="str">
        <f>IFERROR(IF(VLOOKUP($A251,'Annex 2 EHV charges'!$A:$O,8,FALSE)=0,"",VLOOKUP($A251,'Annex 2 EHV charges'!$A:$O,8,FALSE)),"")</f>
        <v/>
      </c>
      <c r="F251" s="120" t="str">
        <f>IFERROR(IF(VLOOKUP($A251,'Annex 2 EHV charges'!$A:$O,9,FALSE)=0,"",VLOOKUP($A251,'Annex 2 EHV charges'!$A:$O,9,FALSE)),"")</f>
        <v/>
      </c>
      <c r="G251" s="121" t="str">
        <f>IFERROR(IF(VLOOKUP($A251,'Annex 2 EHV charges'!$A:$O,10,FALSE)=0,"",VLOOKUP($A251,'Annex 2 EHV charges'!$A:$O,10,FALSE)),"")</f>
        <v/>
      </c>
      <c r="H251" s="121" t="str">
        <f>IFERROR(IF(VLOOKUP($A251,'Annex 2 EHV charges'!$A:$O,11,FALSE)=0,"",VLOOKUP($A251,'Annex 2 EHV charges'!$A:$O,11,FALSE)),"")</f>
        <v/>
      </c>
    </row>
    <row r="252" spans="1:8" x14ac:dyDescent="0.2">
      <c r="A252" s="114" t="str">
        <f t="array" ref="A252">IFERROR(INDEX('Annex 2 EHV charges'!$A$11:$A$259, MATCH(0, IF(ISBLANK('Annex 2 EHV charges'!$A$11:$A$259),1, COUNTIF(A$4:$A251, 'Annex 2 EHV charges'!$A$11:$A$259)), 0)),"")</f>
        <v/>
      </c>
      <c r="B252" s="114" t="str">
        <f>IF($A252="","",VLOOKUP($A252,'Annex 2 EHV charges'!$A:$O,2,0))</f>
        <v/>
      </c>
      <c r="C252" s="115" t="str">
        <f>IF($A252="","",VLOOKUP($A252,'Annex 2 EHV charges'!$A:$O,3,0))</f>
        <v/>
      </c>
      <c r="D252" s="114" t="str">
        <f>IF($A252="","",VLOOKUP($A252,'Annex 2 EHV charges'!$A:$O,7,0))</f>
        <v/>
      </c>
      <c r="E252" s="119" t="str">
        <f>IFERROR(IF(VLOOKUP($A252,'Annex 2 EHV charges'!$A:$O,8,FALSE)=0,"",VLOOKUP($A252,'Annex 2 EHV charges'!$A:$O,8,FALSE)),"")</f>
        <v/>
      </c>
      <c r="F252" s="120" t="str">
        <f>IFERROR(IF(VLOOKUP($A252,'Annex 2 EHV charges'!$A:$O,9,FALSE)=0,"",VLOOKUP($A252,'Annex 2 EHV charges'!$A:$O,9,FALSE)),"")</f>
        <v/>
      </c>
      <c r="G252" s="121" t="str">
        <f>IFERROR(IF(VLOOKUP($A252,'Annex 2 EHV charges'!$A:$O,10,FALSE)=0,"",VLOOKUP($A252,'Annex 2 EHV charges'!$A:$O,10,FALSE)),"")</f>
        <v/>
      </c>
      <c r="H252" s="121" t="str">
        <f>IFERROR(IF(VLOOKUP($A252,'Annex 2 EHV charges'!$A:$O,11,FALSE)=0,"",VLOOKUP($A252,'Annex 2 EHV charges'!$A:$O,11,FALSE)),"")</f>
        <v/>
      </c>
    </row>
    <row r="253" spans="1:8" x14ac:dyDescent="0.2">
      <c r="A253" s="114" t="str">
        <f t="array" ref="A253">IFERROR(INDEX('Annex 2 EHV charges'!$A$11:$A$259, MATCH(0, IF(ISBLANK('Annex 2 EHV charges'!$A$11:$A$259),1, COUNTIF(A$4:$A252, 'Annex 2 EHV charges'!$A$11:$A$259)), 0)),"")</f>
        <v/>
      </c>
      <c r="B253" s="114" t="str">
        <f>IF($A253="","",VLOOKUP($A253,'Annex 2 EHV charges'!$A:$O,2,0))</f>
        <v/>
      </c>
      <c r="C253" s="115" t="str">
        <f>IF($A253="","",VLOOKUP($A253,'Annex 2 EHV charges'!$A:$O,3,0))</f>
        <v/>
      </c>
      <c r="D253" s="114" t="str">
        <f>IF($A253="","",VLOOKUP($A253,'Annex 2 EHV charges'!$A:$O,7,0))</f>
        <v/>
      </c>
      <c r="E253" s="119" t="str">
        <f>IFERROR(IF(VLOOKUP($A253,'Annex 2 EHV charges'!$A:$O,8,FALSE)=0,"",VLOOKUP($A253,'Annex 2 EHV charges'!$A:$O,8,FALSE)),"")</f>
        <v/>
      </c>
      <c r="F253" s="120" t="str">
        <f>IFERROR(IF(VLOOKUP($A253,'Annex 2 EHV charges'!$A:$O,9,FALSE)=0,"",VLOOKUP($A253,'Annex 2 EHV charges'!$A:$O,9,FALSE)),"")</f>
        <v/>
      </c>
      <c r="G253" s="121" t="str">
        <f>IFERROR(IF(VLOOKUP($A253,'Annex 2 EHV charges'!$A:$O,10,FALSE)=0,"",VLOOKUP($A253,'Annex 2 EHV charges'!$A:$O,10,FALSE)),"")</f>
        <v/>
      </c>
      <c r="H253" s="121" t="str">
        <f>IFERROR(IF(VLOOKUP($A253,'Annex 2 EHV charges'!$A:$O,11,FALSE)=0,"",VLOOKUP($A253,'Annex 2 EHV charges'!$A:$O,11,FALSE)),"")</f>
        <v/>
      </c>
    </row>
    <row r="254" spans="1:8" x14ac:dyDescent="0.2">
      <c r="A254" s="114" t="str">
        <f t="array" ref="A254">IFERROR(INDEX('Annex 2 EHV charges'!$A$11:$A$259, MATCH(0, IF(ISBLANK('Annex 2 EHV charges'!$A$11:$A$259),1, COUNTIF(A$4:$A253, 'Annex 2 EHV charges'!$A$11:$A$259)), 0)),"")</f>
        <v/>
      </c>
      <c r="B254" s="114" t="str">
        <f>IF($A254="","",VLOOKUP($A254,'Annex 2 EHV charges'!$A:$O,2,0))</f>
        <v/>
      </c>
      <c r="C254" s="115" t="str">
        <f>IF($A254="","",VLOOKUP($A254,'Annex 2 EHV charges'!$A:$O,3,0))</f>
        <v/>
      </c>
      <c r="D254" s="114" t="str">
        <f>IF($A254="","",VLOOKUP($A254,'Annex 2 EHV charges'!$A:$O,7,0))</f>
        <v/>
      </c>
      <c r="E254" s="119" t="str">
        <f>IFERROR(IF(VLOOKUP($A254,'Annex 2 EHV charges'!$A:$O,8,FALSE)=0,"",VLOOKUP($A254,'Annex 2 EHV charges'!$A:$O,8,FALSE)),"")</f>
        <v/>
      </c>
      <c r="F254" s="120" t="str">
        <f>IFERROR(IF(VLOOKUP($A254,'Annex 2 EHV charges'!$A:$O,9,FALSE)=0,"",VLOOKUP($A254,'Annex 2 EHV charges'!$A:$O,9,FALSE)),"")</f>
        <v/>
      </c>
      <c r="G254" s="121" t="str">
        <f>IFERROR(IF(VLOOKUP($A254,'Annex 2 EHV charges'!$A:$O,10,FALSE)=0,"",VLOOKUP($A254,'Annex 2 EHV charges'!$A:$O,10,FALSE)),"")</f>
        <v/>
      </c>
      <c r="H254" s="121" t="str">
        <f>IFERROR(IF(VLOOKUP($A254,'Annex 2 EHV charges'!$A:$O,11,FALSE)=0,"",VLOOKUP($A254,'Annex 2 EHV charges'!$A:$O,11,FALSE)),"")</f>
        <v/>
      </c>
    </row>
  </sheetData>
  <mergeCells count="2">
    <mergeCell ref="A2:H2"/>
    <mergeCell ref="A1:H1"/>
  </mergeCells>
  <pageMargins left="0.70866141732283472" right="0.70866141732283472" top="0.94488188976377963" bottom="0.74803149606299213" header="0.31496062992125984" footer="0.31496062992125984"/>
  <pageSetup paperSize="9" scale="90"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&amp;N&amp;C&amp;1#&amp;"Calibri"&amp;12&amp;K008000Internal Use</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&amp;N&amp;C&amp;1#&amp;"Calibri"&amp;12&amp;K008000Internal Use</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O254"/>
  <sheetViews>
    <sheetView zoomScale="90" zoomScaleNormal="90" zoomScaleSheetLayoutView="100" workbookViewId="0">
      <selection activeCell="A2" sqref="A2:H2"/>
    </sheetView>
  </sheetViews>
  <sheetFormatPr defaultRowHeight="12.75" x14ac:dyDescent="0.2"/>
  <cols>
    <col min="1" max="1" width="14.7109375" style="59" customWidth="1"/>
    <col min="2" max="2" width="8.7109375" style="59" customWidth="1"/>
    <col min="3" max="3" width="15.7109375" style="67" bestFit="1" customWidth="1"/>
    <col min="4" max="4" width="50.7109375" style="67" customWidth="1"/>
    <col min="5" max="5" width="14.7109375" style="68" customWidth="1"/>
    <col min="6" max="7" width="14.7109375" style="69" customWidth="1"/>
    <col min="8" max="8" width="14.7109375" style="59" customWidth="1"/>
    <col min="9" max="9" width="15.5703125" style="59" customWidth="1"/>
    <col min="10" max="16384" width="9.140625" style="59"/>
  </cols>
  <sheetData>
    <row r="1" spans="1:15" ht="66.75" customHeight="1" x14ac:dyDescent="0.2">
      <c r="A1" s="249" t="s">
        <v>520</v>
      </c>
      <c r="B1" s="249"/>
      <c r="C1" s="249"/>
      <c r="D1" s="249"/>
      <c r="E1" s="249"/>
      <c r="F1" s="249"/>
      <c r="G1" s="249"/>
      <c r="H1" s="249"/>
    </row>
    <row r="2" spans="1:15" s="60" customFormat="1" ht="25.5" customHeight="1" x14ac:dyDescent="0.2">
      <c r="A2" s="253" t="str">
        <f>Overview!B4&amp; " - Effective from "&amp;Overview!D4&amp;" - "&amp;Overview!E4&amp;" EDCM export charges"</f>
        <v>SP Manweb - Effective from 1 April 2019 - Final EDCM export charges</v>
      </c>
      <c r="B2" s="254"/>
      <c r="C2" s="254"/>
      <c r="D2" s="254"/>
      <c r="E2" s="254"/>
      <c r="F2" s="254"/>
      <c r="G2" s="254"/>
      <c r="H2" s="255"/>
    </row>
    <row r="3" spans="1:15" s="98" customFormat="1" ht="18" x14ac:dyDescent="0.2">
      <c r="A3" s="104"/>
      <c r="B3" s="104"/>
      <c r="C3" s="104"/>
      <c r="D3" s="105"/>
      <c r="E3" s="106"/>
      <c r="F3" s="106"/>
      <c r="G3" s="107"/>
      <c r="H3" s="107"/>
      <c r="I3" s="95"/>
      <c r="J3" s="95"/>
      <c r="K3" s="95"/>
      <c r="L3" s="95"/>
      <c r="M3" s="95"/>
      <c r="N3" s="95"/>
      <c r="O3" s="95"/>
    </row>
    <row r="4" spans="1:15" ht="60.75" customHeight="1" x14ac:dyDescent="0.2">
      <c r="A4" s="61" t="s">
        <v>490</v>
      </c>
      <c r="B4" s="62" t="s">
        <v>473</v>
      </c>
      <c r="C4" s="61" t="s">
        <v>475</v>
      </c>
      <c r="D4" s="63" t="s">
        <v>184</v>
      </c>
      <c r="E4" s="63" t="str">
        <f>'Annex 2 EHV charges'!L10</f>
        <v>Export
Super Red
unit charge
(p/kWh)</v>
      </c>
      <c r="F4" s="63" t="str">
        <f>'Annex 2 EHV charges'!M10</f>
        <v>Export
fixed charge
(p/day)</v>
      </c>
      <c r="G4" s="63" t="str">
        <f>'Annex 2 EHV charges'!N10</f>
        <v>Export
capacity charge
(p/kVA/day)</v>
      </c>
      <c r="H4" s="63" t="str">
        <f>'Annex 2 EHV charges'!O10</f>
        <v>Export
exceeded capacity charge
(p/kVA/day)</v>
      </c>
    </row>
    <row r="5" spans="1:15" ht="12.75" customHeight="1" x14ac:dyDescent="0.2">
      <c r="A5" s="115">
        <f t="array" ref="A5">IFERROR(INDEX('Annex 2 EHV charges'!$D$11:$D$259, MATCH(0, IF(ISBLANK('Annex 2 EHV charges'!$D$11:$D$259),1, COUNTIF(A$4:$A4, 'Annex 2 EHV charges'!$D$11:$D$259)), 0)),"")</f>
        <v>603</v>
      </c>
      <c r="B5" s="114">
        <f>IF($A5="","",VLOOKUP($A5,'Annex 2 EHV charges'!$D:$O,2,0))</f>
        <v>603</v>
      </c>
      <c r="C5" s="115">
        <f>IF($A5="","",VLOOKUP($A5,'Annex 2 EHV charges'!$D:$O,3,0))</f>
        <v>1300050649372</v>
      </c>
      <c r="D5" s="114" t="str">
        <f>IF($A5="","",VLOOKUP($A5,'Annex 2 EHV charges'!$D:$O,4,0))</f>
        <v>Shell Stanlow</v>
      </c>
      <c r="E5" s="116">
        <f>IFERROR(IF(VLOOKUP($A5,'Annex 2 EHV charges'!$D:$O,9,FALSE)=0,"",VLOOKUP($A5,'Annex 2 EHV charges'!$D:$O,9,FALSE)),"")</f>
        <v>-0.26200000000000001</v>
      </c>
      <c r="F5" s="117">
        <f>IFERROR(IF(VLOOKUP($A5,'Annex 2 EHV charges'!$D:$O,10,FALSE)=0,"",VLOOKUP($A5,'Annex 2 EHV charges'!$D:$O,10,FALSE)),"")</f>
        <v>2382.34</v>
      </c>
      <c r="G5" s="118">
        <f>IFERROR(IF(VLOOKUP($A5,'Annex 2 EHV charges'!$D:$O,11,FALSE)=0,"",VLOOKUP($A5,'Annex 2 EHV charges'!$D:$O,11,FALSE)),"")</f>
        <v>0.05</v>
      </c>
      <c r="H5" s="118">
        <f>IFERROR(IF(VLOOKUP($A5,'Annex 2 EHV charges'!$D:$O,12,FALSE)=0,"",VLOOKUP($A5,'Annex 2 EHV charges'!$D:$O,12,FALSE)),"")</f>
        <v>0.05</v>
      </c>
    </row>
    <row r="6" spans="1:15" ht="12.75" customHeight="1" x14ac:dyDescent="0.2">
      <c r="A6" s="115">
        <f t="array" ref="A6">IFERROR(INDEX('Annex 2 EHV charges'!$D$11:$D$259, MATCH(0, IF(ISBLANK('Annex 2 EHV charges'!$D$11:$D$259),1, COUNTIF(A$4:$A5, 'Annex 2 EHV charges'!$D$11:$D$259)), 0)),"")</f>
        <v>606</v>
      </c>
      <c r="B6" s="114">
        <f>IF($A6="","",VLOOKUP($A6,'Annex 2 EHV charges'!$D:$O,2,0))</f>
        <v>606</v>
      </c>
      <c r="C6" s="115">
        <f>IF($A6="","",VLOOKUP($A6,'Annex 2 EHV charges'!$D:$O,3,0))</f>
        <v>1300051060981</v>
      </c>
      <c r="D6" s="114" t="str">
        <f>IF($A6="","",VLOOKUP($A6,'Annex 2 EHV charges'!$D:$O,4,0))</f>
        <v>Bridgewater Paper</v>
      </c>
      <c r="E6" s="116" t="str">
        <f>IFERROR(IF(VLOOKUP($A6,'Annex 2 EHV charges'!$D:$O,9,FALSE)=0,"",VLOOKUP($A6,'Annex 2 EHV charges'!$D:$O,9,FALSE)),"")</f>
        <v/>
      </c>
      <c r="F6" s="117" t="str">
        <f>IFERROR(IF(VLOOKUP($A6,'Annex 2 EHV charges'!$D:$O,10,FALSE)=0,"",VLOOKUP($A6,'Annex 2 EHV charges'!$D:$O,10,FALSE)),"")</f>
        <v/>
      </c>
      <c r="G6" s="118" t="str">
        <f>IFERROR(IF(VLOOKUP($A6,'Annex 2 EHV charges'!$D:$O,11,FALSE)=0,"",VLOOKUP($A6,'Annex 2 EHV charges'!$D:$O,11,FALSE)),"")</f>
        <v/>
      </c>
      <c r="H6" s="118" t="str">
        <f>IFERROR(IF(VLOOKUP($A6,'Annex 2 EHV charges'!$D:$O,12,FALSE)=0,"",VLOOKUP($A6,'Annex 2 EHV charges'!$D:$O,12,FALSE)),"")</f>
        <v/>
      </c>
    </row>
    <row r="7" spans="1:15" ht="12.75" customHeight="1" x14ac:dyDescent="0.2">
      <c r="A7" s="115">
        <f t="array" ref="A7">IFERROR(INDEX('Annex 2 EHV charges'!$D$11:$D$259, MATCH(0, IF(ISBLANK('Annex 2 EHV charges'!$D$11:$D$259),1, COUNTIF(A$4:$A6, 'Annex 2 EHV charges'!$D$11:$D$259)), 0)),"")</f>
        <v>618</v>
      </c>
      <c r="B7" s="114">
        <f>IF($A7="","",VLOOKUP($A7,'Annex 2 EHV charges'!$D:$O,2,0))</f>
        <v>618</v>
      </c>
      <c r="C7" s="115">
        <f>IF($A7="","",VLOOKUP($A7,'Annex 2 EHV charges'!$D:$O,3,0))</f>
        <v>1300060704603</v>
      </c>
      <c r="D7" s="114" t="str">
        <f>IF($A7="","",VLOOKUP($A7,'Annex 2 EHV charges'!$D:$O,4,0))</f>
        <v>Ineos Chlor Ltd (Lostock)</v>
      </c>
      <c r="E7" s="116" t="str">
        <f>IFERROR(IF(VLOOKUP($A7,'Annex 2 EHV charges'!$D:$O,9,FALSE)=0,"",VLOOKUP($A7,'Annex 2 EHV charges'!$D:$O,9,FALSE)),"")</f>
        <v/>
      </c>
      <c r="F7" s="117">
        <f>IFERROR(IF(VLOOKUP($A7,'Annex 2 EHV charges'!$D:$O,10,FALSE)=0,"",VLOOKUP($A7,'Annex 2 EHV charges'!$D:$O,10,FALSE)),"")</f>
        <v>2015.58</v>
      </c>
      <c r="G7" s="118">
        <f>IFERROR(IF(VLOOKUP($A7,'Annex 2 EHV charges'!$D:$O,11,FALSE)=0,"",VLOOKUP($A7,'Annex 2 EHV charges'!$D:$O,11,FALSE)),"")</f>
        <v>0.05</v>
      </c>
      <c r="H7" s="118">
        <f>IFERROR(IF(VLOOKUP($A7,'Annex 2 EHV charges'!$D:$O,12,FALSE)=0,"",VLOOKUP($A7,'Annex 2 EHV charges'!$D:$O,12,FALSE)),"")</f>
        <v>0.05</v>
      </c>
    </row>
    <row r="8" spans="1:15" ht="12.75" customHeight="1" x14ac:dyDescent="0.2">
      <c r="A8" s="115">
        <f t="array" ref="A8">IFERROR(INDEX('Annex 2 EHV charges'!$D$11:$D$259, MATCH(0, IF(ISBLANK('Annex 2 EHV charges'!$D$11:$D$259),1, COUNTIF(A$4:$A7, 'Annex 2 EHV charges'!$D$11:$D$259)), 0)),"")</f>
        <v>655</v>
      </c>
      <c r="B8" s="114">
        <f>IF($A8="","",VLOOKUP($A8,'Annex 2 EHV charges'!$D:$O,2,0))</f>
        <v>655</v>
      </c>
      <c r="C8" s="115">
        <f>IF($A8="","",VLOOKUP($A8,'Annex 2 EHV charges'!$D:$O,3,0))</f>
        <v>1300060704082</v>
      </c>
      <c r="D8" s="114" t="str">
        <f>IF($A8="","",VLOOKUP($A8,'Annex 2 EHV charges'!$D:$O,4,0))</f>
        <v>SafeGuard Bradwell</v>
      </c>
      <c r="E8" s="116" t="str">
        <f>IFERROR(IF(VLOOKUP($A8,'Annex 2 EHV charges'!$D:$O,9,FALSE)=0,"",VLOOKUP($A8,'Annex 2 EHV charges'!$D:$O,9,FALSE)),"")</f>
        <v/>
      </c>
      <c r="F8" s="117">
        <f>IFERROR(IF(VLOOKUP($A8,'Annex 2 EHV charges'!$D:$O,10,FALSE)=0,"",VLOOKUP($A8,'Annex 2 EHV charges'!$D:$O,10,FALSE)),"")</f>
        <v>3528.34</v>
      </c>
      <c r="G8" s="118">
        <f>IFERROR(IF(VLOOKUP($A8,'Annex 2 EHV charges'!$D:$O,11,FALSE)=0,"",VLOOKUP($A8,'Annex 2 EHV charges'!$D:$O,11,FALSE)),"")</f>
        <v>0.05</v>
      </c>
      <c r="H8" s="118">
        <f>IFERROR(IF(VLOOKUP($A8,'Annex 2 EHV charges'!$D:$O,12,FALSE)=0,"",VLOOKUP($A8,'Annex 2 EHV charges'!$D:$O,12,FALSE)),"")</f>
        <v>0.05</v>
      </c>
    </row>
    <row r="9" spans="1:15" ht="12.75" customHeight="1" x14ac:dyDescent="0.2">
      <c r="A9" s="115">
        <f t="array" ref="A9">IFERROR(INDEX('Annex 2 EHV charges'!$D$11:$D$259, MATCH(0, IF(ISBLANK('Annex 2 EHV charges'!$D$11:$D$259),1, COUNTIF(A$4:$A8, 'Annex 2 EHV charges'!$D$11:$D$259)), 0)),"")</f>
        <v>648</v>
      </c>
      <c r="B9" s="114">
        <f>IF($A9="","",VLOOKUP($A9,'Annex 2 EHV charges'!$D:$O,2,0))</f>
        <v>648</v>
      </c>
      <c r="C9" s="115">
        <f>IF($A9="","",VLOOKUP($A9,'Annex 2 EHV charges'!$D:$O,3,0))</f>
        <v>1300060640474</v>
      </c>
      <c r="D9" s="114" t="str">
        <f>IF($A9="","",VLOOKUP($A9,'Annex 2 EHV charges'!$D:$O,4,0))</f>
        <v>Kronospan</v>
      </c>
      <c r="E9" s="116" t="str">
        <f>IFERROR(IF(VLOOKUP($A9,'Annex 2 EHV charges'!$D:$O,9,FALSE)=0,"",VLOOKUP($A9,'Annex 2 EHV charges'!$D:$O,9,FALSE)),"")</f>
        <v/>
      </c>
      <c r="F9" s="117">
        <f>IFERROR(IF(VLOOKUP($A9,'Annex 2 EHV charges'!$D:$O,10,FALSE)=0,"",VLOOKUP($A9,'Annex 2 EHV charges'!$D:$O,10,FALSE)),"")</f>
        <v>388.97</v>
      </c>
      <c r="G9" s="118">
        <f>IFERROR(IF(VLOOKUP($A9,'Annex 2 EHV charges'!$D:$O,11,FALSE)=0,"",VLOOKUP($A9,'Annex 2 EHV charges'!$D:$O,11,FALSE)),"")</f>
        <v>0.05</v>
      </c>
      <c r="H9" s="118">
        <f>IFERROR(IF(VLOOKUP($A9,'Annex 2 EHV charges'!$D:$O,12,FALSE)=0,"",VLOOKUP($A9,'Annex 2 EHV charges'!$D:$O,12,FALSE)),"")</f>
        <v>0.05</v>
      </c>
    </row>
    <row r="10" spans="1:15" ht="12.75" customHeight="1" x14ac:dyDescent="0.2">
      <c r="A10" s="115">
        <f t="array" ref="A10">IFERROR(INDEX('Annex 2 EHV charges'!$D$11:$D$259, MATCH(0, IF(ISBLANK('Annex 2 EHV charges'!$D$11:$D$259),1, COUNTIF(A$4:$A9, 'Annex 2 EHV charges'!$D$11:$D$259)), 0)),"")</f>
        <v>619</v>
      </c>
      <c r="B10" s="114">
        <f>IF($A10="","",VLOOKUP($A10,'Annex 2 EHV charges'!$D:$O,2,0))</f>
        <v>619</v>
      </c>
      <c r="C10" s="115">
        <f>IF($A10="","",VLOOKUP($A10,'Annex 2 EHV charges'!$D:$O,3,0))</f>
        <v>1300051136210</v>
      </c>
      <c r="D10" s="114" t="str">
        <f>IF($A10="","",VLOOKUP($A10,'Annex 2 EHV charges'!$D:$O,4,0))</f>
        <v>Albion Inorganic</v>
      </c>
      <c r="E10" s="116" t="str">
        <f>IFERROR(IF(VLOOKUP($A10,'Annex 2 EHV charges'!$D:$O,9,FALSE)=0,"",VLOOKUP($A10,'Annex 2 EHV charges'!$D:$O,9,FALSE)),"")</f>
        <v/>
      </c>
      <c r="F10" s="117" t="str">
        <f>IFERROR(IF(VLOOKUP($A10,'Annex 2 EHV charges'!$D:$O,10,FALSE)=0,"",VLOOKUP($A10,'Annex 2 EHV charges'!$D:$O,10,FALSE)),"")</f>
        <v/>
      </c>
      <c r="G10" s="118" t="str">
        <f>IFERROR(IF(VLOOKUP($A10,'Annex 2 EHV charges'!$D:$O,11,FALSE)=0,"",VLOOKUP($A10,'Annex 2 EHV charges'!$D:$O,11,FALSE)),"")</f>
        <v/>
      </c>
      <c r="H10" s="118" t="str">
        <f>IFERROR(IF(VLOOKUP($A10,'Annex 2 EHV charges'!$D:$O,12,FALSE)=0,"",VLOOKUP($A10,'Annex 2 EHV charges'!$D:$O,12,FALSE)),"")</f>
        <v/>
      </c>
    </row>
    <row r="11" spans="1:15" ht="12.75" customHeight="1" x14ac:dyDescent="0.2">
      <c r="A11" s="115">
        <f t="array" ref="A11">IFERROR(INDEX('Annex 2 EHV charges'!$D$11:$D$259, MATCH(0, IF(ISBLANK('Annex 2 EHV charges'!$D$11:$D$259),1, COUNTIF(A$4:$A10, 'Annex 2 EHV charges'!$D$11:$D$259)), 0)),"")</f>
        <v>658</v>
      </c>
      <c r="B11" s="114">
        <f>IF($A11="","",VLOOKUP($A11,'Annex 2 EHV charges'!$D:$O,2,0))</f>
        <v>658</v>
      </c>
      <c r="C11" s="115">
        <f>IF($A11="","",VLOOKUP($A11,'Annex 2 EHV charges'!$D:$O,3,0))</f>
        <v>1300060563759</v>
      </c>
      <c r="D11" s="114" t="str">
        <f>IF($A11="","",VLOOKUP($A11,'Annex 2 EHV charges'!$D:$O,4,0))</f>
        <v>Tyn dryfol PV</v>
      </c>
      <c r="E11" s="116" t="str">
        <f>IFERROR(IF(VLOOKUP($A11,'Annex 2 EHV charges'!$D:$O,9,FALSE)=0,"",VLOOKUP($A11,'Annex 2 EHV charges'!$D:$O,9,FALSE)),"")</f>
        <v/>
      </c>
      <c r="F11" s="117">
        <f>IFERROR(IF(VLOOKUP($A11,'Annex 2 EHV charges'!$D:$O,10,FALSE)=0,"",VLOOKUP($A11,'Annex 2 EHV charges'!$D:$O,10,FALSE)),"")</f>
        <v>2414.17</v>
      </c>
      <c r="G11" s="118">
        <f>IFERROR(IF(VLOOKUP($A11,'Annex 2 EHV charges'!$D:$O,11,FALSE)=0,"",VLOOKUP($A11,'Annex 2 EHV charges'!$D:$O,11,FALSE)),"")</f>
        <v>0.05</v>
      </c>
      <c r="H11" s="118">
        <f>IFERROR(IF(VLOOKUP($A11,'Annex 2 EHV charges'!$D:$O,12,FALSE)=0,"",VLOOKUP($A11,'Annex 2 EHV charges'!$D:$O,12,FALSE)),"")</f>
        <v>0.05</v>
      </c>
    </row>
    <row r="12" spans="1:15" ht="12.75" customHeight="1" x14ac:dyDescent="0.2">
      <c r="A12" s="115">
        <f t="array" ref="A12">IFERROR(INDEX('Annex 2 EHV charges'!$D$11:$D$259, MATCH(0, IF(ISBLANK('Annex 2 EHV charges'!$D$11:$D$259),1, COUNTIF(A$4:$A11, 'Annex 2 EHV charges'!$D$11:$D$259)), 0)),"")</f>
        <v>621</v>
      </c>
      <c r="B12" s="114">
        <f>IF($A12="","",VLOOKUP($A12,'Annex 2 EHV charges'!$D:$O,2,0))</f>
        <v>621</v>
      </c>
      <c r="C12" s="115">
        <f>IF($A12="","",VLOOKUP($A12,'Annex 2 EHV charges'!$D:$O,3,0))</f>
        <v>1300050649336</v>
      </c>
      <c r="D12" s="114" t="str">
        <f>IF($A12="","",VLOOKUP($A12,'Annex 2 EHV charges'!$D:$O,4,0))</f>
        <v>BHP</v>
      </c>
      <c r="E12" s="116" t="str">
        <f>IFERROR(IF(VLOOKUP($A12,'Annex 2 EHV charges'!$D:$O,9,FALSE)=0,"",VLOOKUP($A12,'Annex 2 EHV charges'!$D:$O,9,FALSE)),"")</f>
        <v/>
      </c>
      <c r="F12" s="117" t="str">
        <f>IFERROR(IF(VLOOKUP($A12,'Annex 2 EHV charges'!$D:$O,10,FALSE)=0,"",VLOOKUP($A12,'Annex 2 EHV charges'!$D:$O,10,FALSE)),"")</f>
        <v/>
      </c>
      <c r="G12" s="118" t="str">
        <f>IFERROR(IF(VLOOKUP($A12,'Annex 2 EHV charges'!$D:$O,11,FALSE)=0,"",VLOOKUP($A12,'Annex 2 EHV charges'!$D:$O,11,FALSE)),"")</f>
        <v/>
      </c>
      <c r="H12" s="118" t="str">
        <f>IFERROR(IF(VLOOKUP($A12,'Annex 2 EHV charges'!$D:$O,12,FALSE)=0,"",VLOOKUP($A12,'Annex 2 EHV charges'!$D:$O,12,FALSE)),"")</f>
        <v/>
      </c>
    </row>
    <row r="13" spans="1:15" ht="12.75" customHeight="1" x14ac:dyDescent="0.2">
      <c r="A13" s="115">
        <f t="array" ref="A13">IFERROR(INDEX('Annex 2 EHV charges'!$D$11:$D$259, MATCH(0, IF(ISBLANK('Annex 2 EHV charges'!$D$11:$D$259),1, COUNTIF(A$4:$A12, 'Annex 2 EHV charges'!$D$11:$D$259)), 0)),"")</f>
        <v>659</v>
      </c>
      <c r="B13" s="114">
        <f>IF($A13="","",VLOOKUP($A13,'Annex 2 EHV charges'!$D:$O,2,0))</f>
        <v>659</v>
      </c>
      <c r="C13" s="115">
        <f>IF($A13="","",VLOOKUP($A13,'Annex 2 EHV charges'!$D:$O,3,0))</f>
        <v>1300060652629</v>
      </c>
      <c r="D13" s="114" t="str">
        <f>IF($A13="","",VLOOKUP($A13,'Annex 2 EHV charges'!$D:$O,4,0))</f>
        <v>Williams Farm Solar Park</v>
      </c>
      <c r="E13" s="116" t="str">
        <f>IFERROR(IF(VLOOKUP($A13,'Annex 2 EHV charges'!$D:$O,9,FALSE)=0,"",VLOOKUP($A13,'Annex 2 EHV charges'!$D:$O,9,FALSE)),"")</f>
        <v/>
      </c>
      <c r="F13" s="117">
        <f>IFERROR(IF(VLOOKUP($A13,'Annex 2 EHV charges'!$D:$O,10,FALSE)=0,"",VLOOKUP($A13,'Annex 2 EHV charges'!$D:$O,10,FALSE)),"")</f>
        <v>743.42</v>
      </c>
      <c r="G13" s="118">
        <f>IFERROR(IF(VLOOKUP($A13,'Annex 2 EHV charges'!$D:$O,11,FALSE)=0,"",VLOOKUP($A13,'Annex 2 EHV charges'!$D:$O,11,FALSE)),"")</f>
        <v>0.05</v>
      </c>
      <c r="H13" s="118">
        <f>IFERROR(IF(VLOOKUP($A13,'Annex 2 EHV charges'!$D:$O,12,FALSE)=0,"",VLOOKUP($A13,'Annex 2 EHV charges'!$D:$O,12,FALSE)),"")</f>
        <v>0.05</v>
      </c>
    </row>
    <row r="14" spans="1:15" ht="12.75" customHeight="1" x14ac:dyDescent="0.2">
      <c r="A14" s="115">
        <f t="array" ref="A14">IFERROR(INDEX('Annex 2 EHV charges'!$D$11:$D$259, MATCH(0, IF(ISBLANK('Annex 2 EHV charges'!$D$11:$D$259),1, COUNTIF(A$4:$A13, 'Annex 2 EHV charges'!$D$11:$D$259)), 0)),"")</f>
        <v>604</v>
      </c>
      <c r="B14" s="114">
        <f>IF($A14="","",VLOOKUP($A14,'Annex 2 EHV charges'!$D:$O,2,0))</f>
        <v>604</v>
      </c>
      <c r="C14" s="115">
        <f>IF($A14="","",VLOOKUP($A14,'Annex 2 EHV charges'!$D:$O,3,0))</f>
        <v>1300054940683</v>
      </c>
      <c r="D14" s="114" t="str">
        <f>IF($A14="","",VLOOKUP($A14,'Annex 2 EHV charges'!$D:$O,4,0))</f>
        <v>Port of Liverpool</v>
      </c>
      <c r="E14" s="116" t="str">
        <f>IFERROR(IF(VLOOKUP($A14,'Annex 2 EHV charges'!$D:$O,9,FALSE)=0,"",VLOOKUP($A14,'Annex 2 EHV charges'!$D:$O,9,FALSE)),"")</f>
        <v/>
      </c>
      <c r="F14" s="117">
        <f>IFERROR(IF(VLOOKUP($A14,'Annex 2 EHV charges'!$D:$O,10,FALSE)=0,"",VLOOKUP($A14,'Annex 2 EHV charges'!$D:$O,10,FALSE)),"")</f>
        <v>1659.61</v>
      </c>
      <c r="G14" s="118">
        <f>IFERROR(IF(VLOOKUP($A14,'Annex 2 EHV charges'!$D:$O,11,FALSE)=0,"",VLOOKUP($A14,'Annex 2 EHV charges'!$D:$O,11,FALSE)),"")</f>
        <v>0.05</v>
      </c>
      <c r="H14" s="118">
        <f>IFERROR(IF(VLOOKUP($A14,'Annex 2 EHV charges'!$D:$O,12,FALSE)=0,"",VLOOKUP($A14,'Annex 2 EHV charges'!$D:$O,12,FALSE)),"")</f>
        <v>0.05</v>
      </c>
    </row>
    <row r="15" spans="1:15" ht="12.75" customHeight="1" x14ac:dyDescent="0.2">
      <c r="A15" s="115">
        <f t="array" ref="A15">IFERROR(INDEX('Annex 2 EHV charges'!$D$11:$D$259, MATCH(0, IF(ISBLANK('Annex 2 EHV charges'!$D$11:$D$259),1, COUNTIF(A$4:$A14, 'Annex 2 EHV charges'!$D$11:$D$259)), 0)),"")</f>
        <v>661</v>
      </c>
      <c r="B15" s="114">
        <f>IF($A15="","",VLOOKUP($A15,'Annex 2 EHV charges'!$D:$O,2,0))</f>
        <v>661</v>
      </c>
      <c r="C15" s="115">
        <f>IF($A15="","",VLOOKUP($A15,'Annex 2 EHV charges'!$D:$O,3,0))</f>
        <v>1300060579182</v>
      </c>
      <c r="D15" s="114" t="str">
        <f>IF($A15="","",VLOOKUP($A15,'Annex 2 EHV charges'!$D:$O,4,0))</f>
        <v>Combermere Abbey PV</v>
      </c>
      <c r="E15" s="116" t="str">
        <f>IFERROR(IF(VLOOKUP($A15,'Annex 2 EHV charges'!$D:$O,9,FALSE)=0,"",VLOOKUP($A15,'Annex 2 EHV charges'!$D:$O,9,FALSE)),"")</f>
        <v/>
      </c>
      <c r="F15" s="117">
        <f>IFERROR(IF(VLOOKUP($A15,'Annex 2 EHV charges'!$D:$O,10,FALSE)=0,"",VLOOKUP($A15,'Annex 2 EHV charges'!$D:$O,10,FALSE)),"")</f>
        <v>2496.1999999999998</v>
      </c>
      <c r="G15" s="118">
        <f>IFERROR(IF(VLOOKUP($A15,'Annex 2 EHV charges'!$D:$O,11,FALSE)=0,"",VLOOKUP($A15,'Annex 2 EHV charges'!$D:$O,11,FALSE)),"")</f>
        <v>0.05</v>
      </c>
      <c r="H15" s="118">
        <f>IFERROR(IF(VLOOKUP($A15,'Annex 2 EHV charges'!$D:$O,12,FALSE)=0,"",VLOOKUP($A15,'Annex 2 EHV charges'!$D:$O,12,FALSE)),"")</f>
        <v>0.05</v>
      </c>
    </row>
    <row r="16" spans="1:15" ht="12.75" customHeight="1" x14ac:dyDescent="0.2">
      <c r="A16" s="115">
        <f t="array" ref="A16">IFERROR(INDEX('Annex 2 EHV charges'!$D$11:$D$259, MATCH(0, IF(ISBLANK('Annex 2 EHV charges'!$D$11:$D$259),1, COUNTIF(A$4:$A15, 'Annex 2 EHV charges'!$D$11:$D$259)), 0)),"")</f>
        <v>628</v>
      </c>
      <c r="B16" s="114">
        <f>IF($A16="","",VLOOKUP($A16,'Annex 2 EHV charges'!$D:$O,2,0))</f>
        <v>628</v>
      </c>
      <c r="C16" s="115">
        <f>IF($A16="","",VLOOKUP($A16,'Annex 2 EHV charges'!$D:$O,3,0))</f>
        <v>1300060075405</v>
      </c>
      <c r="D16" s="114" t="str">
        <f>IF($A16="","",VLOOKUP($A16,'Annex 2 EHV charges'!$D:$O,4,0))</f>
        <v>Amegni</v>
      </c>
      <c r="E16" s="116" t="str">
        <f>IFERROR(IF(VLOOKUP($A16,'Annex 2 EHV charges'!$D:$O,9,FALSE)=0,"",VLOOKUP($A16,'Annex 2 EHV charges'!$D:$O,9,FALSE)),"")</f>
        <v/>
      </c>
      <c r="F16" s="117">
        <f>IFERROR(IF(VLOOKUP($A16,'Annex 2 EHV charges'!$D:$O,10,FALSE)=0,"",VLOOKUP($A16,'Annex 2 EHV charges'!$D:$O,10,FALSE)),"")</f>
        <v>620.70000000000005</v>
      </c>
      <c r="G16" s="118">
        <f>IFERROR(IF(VLOOKUP($A16,'Annex 2 EHV charges'!$D:$O,11,FALSE)=0,"",VLOOKUP($A16,'Annex 2 EHV charges'!$D:$O,11,FALSE)),"")</f>
        <v>0.05</v>
      </c>
      <c r="H16" s="118">
        <f>IFERROR(IF(VLOOKUP($A16,'Annex 2 EHV charges'!$D:$O,12,FALSE)=0,"",VLOOKUP($A16,'Annex 2 EHV charges'!$D:$O,12,FALSE)),"")</f>
        <v>0.05</v>
      </c>
    </row>
    <row r="17" spans="1:8" ht="12.75" customHeight="1" x14ac:dyDescent="0.2">
      <c r="A17" s="115">
        <f t="array" ref="A17">IFERROR(INDEX('Annex 2 EHV charges'!$D$11:$D$259, MATCH(0, IF(ISBLANK('Annex 2 EHV charges'!$D$11:$D$259),1, COUNTIF(A$4:$A16, 'Annex 2 EHV charges'!$D$11:$D$259)), 0)),"")</f>
        <v>629</v>
      </c>
      <c r="B17" s="114">
        <f>IF($A17="","",VLOOKUP($A17,'Annex 2 EHV charges'!$D:$O,2,0))</f>
        <v>629</v>
      </c>
      <c r="C17" s="115">
        <f>IF($A17="","",VLOOKUP($A17,'Annex 2 EHV charges'!$D:$O,3,0))</f>
        <v>1300038004507</v>
      </c>
      <c r="D17" s="114" t="str">
        <f>IF($A17="","",VLOOKUP($A17,'Annex 2 EHV charges'!$D:$O,4,0))</f>
        <v>Salt Union</v>
      </c>
      <c r="E17" s="116" t="str">
        <f>IFERROR(IF(VLOOKUP($A17,'Annex 2 EHV charges'!$D:$O,9,FALSE)=0,"",VLOOKUP($A17,'Annex 2 EHV charges'!$D:$O,9,FALSE)),"")</f>
        <v/>
      </c>
      <c r="F17" s="117" t="str">
        <f>IFERROR(IF(VLOOKUP($A17,'Annex 2 EHV charges'!$D:$O,10,FALSE)=0,"",VLOOKUP($A17,'Annex 2 EHV charges'!$D:$O,10,FALSE)),"")</f>
        <v/>
      </c>
      <c r="G17" s="118" t="str">
        <f>IFERROR(IF(VLOOKUP($A17,'Annex 2 EHV charges'!$D:$O,11,FALSE)=0,"",VLOOKUP($A17,'Annex 2 EHV charges'!$D:$O,11,FALSE)),"")</f>
        <v/>
      </c>
      <c r="H17" s="118" t="str">
        <f>IFERROR(IF(VLOOKUP($A17,'Annex 2 EHV charges'!$D:$O,12,FALSE)=0,"",VLOOKUP($A17,'Annex 2 EHV charges'!$D:$O,12,FALSE)),"")</f>
        <v/>
      </c>
    </row>
    <row r="18" spans="1:8" ht="12.75" customHeight="1" x14ac:dyDescent="0.2">
      <c r="A18" s="115">
        <f t="array" ref="A18">IFERROR(INDEX('Annex 2 EHV charges'!$D$11:$D$259, MATCH(0, IF(ISBLANK('Annex 2 EHV charges'!$D$11:$D$259),1, COUNTIF(A$4:$A17, 'Annex 2 EHV charges'!$D$11:$D$259)), 0)),"")</f>
        <v>681</v>
      </c>
      <c r="B18" s="114">
        <f>IF($A18="","",VLOOKUP($A18,'Annex 2 EHV charges'!$D:$O,2,0))</f>
        <v>681</v>
      </c>
      <c r="C18" s="115">
        <f>IF($A18="","",VLOOKUP($A18,'Annex 2 EHV charges'!$D:$O,3,0))</f>
        <v>1300060584280</v>
      </c>
      <c r="D18" s="114" t="str">
        <f>IF($A18="","",VLOOKUP($A18,'Annex 2 EHV charges'!$D:$O,4,0))</f>
        <v>Parciau Solar Park</v>
      </c>
      <c r="E18" s="116" t="str">
        <f>IFERROR(IF(VLOOKUP($A18,'Annex 2 EHV charges'!$D:$O,9,FALSE)=0,"",VLOOKUP($A18,'Annex 2 EHV charges'!$D:$O,9,FALSE)),"")</f>
        <v/>
      </c>
      <c r="F18" s="117">
        <f>IFERROR(IF(VLOOKUP($A18,'Annex 2 EHV charges'!$D:$O,10,FALSE)=0,"",VLOOKUP($A18,'Annex 2 EHV charges'!$D:$O,10,FALSE)),"")</f>
        <v>756.47</v>
      </c>
      <c r="G18" s="118">
        <f>IFERROR(IF(VLOOKUP($A18,'Annex 2 EHV charges'!$D:$O,11,FALSE)=0,"",VLOOKUP($A18,'Annex 2 EHV charges'!$D:$O,11,FALSE)),"")</f>
        <v>0.05</v>
      </c>
      <c r="H18" s="118">
        <f>IFERROR(IF(VLOOKUP($A18,'Annex 2 EHV charges'!$D:$O,12,FALSE)=0,"",VLOOKUP($A18,'Annex 2 EHV charges'!$D:$O,12,FALSE)),"")</f>
        <v>0.05</v>
      </c>
    </row>
    <row r="19" spans="1:8" ht="12.75" customHeight="1" x14ac:dyDescent="0.2">
      <c r="A19" s="115">
        <f t="array" ref="A19">IFERROR(INDEX('Annex 2 EHV charges'!$D$11:$D$259, MATCH(0, IF(ISBLANK('Annex 2 EHV charges'!$D$11:$D$259),1, COUNTIF(A$4:$A18, 'Annex 2 EHV charges'!$D$11:$D$259)), 0)),"")</f>
        <v>635</v>
      </c>
      <c r="B19" s="114">
        <f>IF($A19="","",VLOOKUP($A19,'Annex 2 EHV charges'!$D:$O,2,0))</f>
        <v>635</v>
      </c>
      <c r="C19" s="115">
        <f>IF($A19="","",VLOOKUP($A19,'Annex 2 EHV charges'!$D:$O,3,0))</f>
        <v>1300050931602</v>
      </c>
      <c r="D19" s="114" t="str">
        <f>IF($A19="","",VLOOKUP($A19,'Annex 2 EHV charges'!$D:$O,4,0))</f>
        <v>Arpley Landfill</v>
      </c>
      <c r="E19" s="116" t="str">
        <f>IFERROR(IF(VLOOKUP($A19,'Annex 2 EHV charges'!$D:$O,9,FALSE)=0,"",VLOOKUP($A19,'Annex 2 EHV charges'!$D:$O,9,FALSE)),"")</f>
        <v/>
      </c>
      <c r="F19" s="117" t="str">
        <f>IFERROR(IF(VLOOKUP($A19,'Annex 2 EHV charges'!$D:$O,10,FALSE)=0,"",VLOOKUP($A19,'Annex 2 EHV charges'!$D:$O,10,FALSE)),"")</f>
        <v/>
      </c>
      <c r="G19" s="118" t="str">
        <f>IFERROR(IF(VLOOKUP($A19,'Annex 2 EHV charges'!$D:$O,11,FALSE)=0,"",VLOOKUP($A19,'Annex 2 EHV charges'!$D:$O,11,FALSE)),"")</f>
        <v/>
      </c>
      <c r="H19" s="118" t="str">
        <f>IFERROR(IF(VLOOKUP($A19,'Annex 2 EHV charges'!$D:$O,12,FALSE)=0,"",VLOOKUP($A19,'Annex 2 EHV charges'!$D:$O,12,FALSE)),"")</f>
        <v/>
      </c>
    </row>
    <row r="20" spans="1:8" ht="12.75" customHeight="1" x14ac:dyDescent="0.2">
      <c r="A20" s="115">
        <f t="array" ref="A20">IFERROR(INDEX('Annex 2 EHV charges'!$D$11:$D$259, MATCH(0, IF(ISBLANK('Annex 2 EHV charges'!$D$11:$D$259),1, COUNTIF(A$4:$A19, 'Annex 2 EHV charges'!$D$11:$D$259)), 0)),"")</f>
        <v>638</v>
      </c>
      <c r="B20" s="114">
        <f>IF($A20="","",VLOOKUP($A20,'Annex 2 EHV charges'!$D:$O,2,0))</f>
        <v>638</v>
      </c>
      <c r="C20" s="115">
        <f>IF($A20="","",VLOOKUP($A20,'Annex 2 EHV charges'!$D:$O,3,0))</f>
        <v>1300052122859</v>
      </c>
      <c r="D20" s="114" t="str">
        <f>IF($A20="","",VLOOKUP($A20,'Annex 2 EHV charges'!$D:$O,4,0))</f>
        <v>Cemmaes C</v>
      </c>
      <c r="E20" s="116" t="str">
        <f>IFERROR(IF(VLOOKUP($A20,'Annex 2 EHV charges'!$D:$O,9,FALSE)=0,"",VLOOKUP($A20,'Annex 2 EHV charges'!$D:$O,9,FALSE)),"")</f>
        <v/>
      </c>
      <c r="F20" s="117" t="str">
        <f>IFERROR(IF(VLOOKUP($A20,'Annex 2 EHV charges'!$D:$O,10,FALSE)=0,"",VLOOKUP($A20,'Annex 2 EHV charges'!$D:$O,10,FALSE)),"")</f>
        <v/>
      </c>
      <c r="G20" s="118" t="str">
        <f>IFERROR(IF(VLOOKUP($A20,'Annex 2 EHV charges'!$D:$O,11,FALSE)=0,"",VLOOKUP($A20,'Annex 2 EHV charges'!$D:$O,11,FALSE)),"")</f>
        <v/>
      </c>
      <c r="H20" s="118" t="str">
        <f>IFERROR(IF(VLOOKUP($A20,'Annex 2 EHV charges'!$D:$O,12,FALSE)=0,"",VLOOKUP($A20,'Annex 2 EHV charges'!$D:$O,12,FALSE)),"")</f>
        <v/>
      </c>
    </row>
    <row r="21" spans="1:8" ht="12.75" customHeight="1" x14ac:dyDescent="0.2">
      <c r="A21" s="115">
        <f t="array" ref="A21">IFERROR(INDEX('Annex 2 EHV charges'!$D$11:$D$259, MATCH(0, IF(ISBLANK('Annex 2 EHV charges'!$D$11:$D$259),1, COUNTIF(A$4:$A20, 'Annex 2 EHV charges'!$D$11:$D$259)), 0)),"")</f>
        <v>639</v>
      </c>
      <c r="B21" s="114">
        <f>IF($A21="","",VLOOKUP($A21,'Annex 2 EHV charges'!$D:$O,2,0))</f>
        <v>639</v>
      </c>
      <c r="C21" s="115">
        <f>IF($A21="","",VLOOKUP($A21,'Annex 2 EHV charges'!$D:$O,3,0))</f>
        <v>1300051821478</v>
      </c>
      <c r="D21" s="114" t="str">
        <f>IF($A21="","",VLOOKUP($A21,'Annex 2 EHV charges'!$D:$O,4,0))</f>
        <v>PG Strand Gate</v>
      </c>
      <c r="E21" s="116" t="str">
        <f>IFERROR(IF(VLOOKUP($A21,'Annex 2 EHV charges'!$D:$O,9,FALSE)=0,"",VLOOKUP($A21,'Annex 2 EHV charges'!$D:$O,9,FALSE)),"")</f>
        <v/>
      </c>
      <c r="F21" s="117" t="str">
        <f>IFERROR(IF(VLOOKUP($A21,'Annex 2 EHV charges'!$D:$O,10,FALSE)=0,"",VLOOKUP($A21,'Annex 2 EHV charges'!$D:$O,10,FALSE)),"")</f>
        <v/>
      </c>
      <c r="G21" s="118" t="str">
        <f>IFERROR(IF(VLOOKUP($A21,'Annex 2 EHV charges'!$D:$O,11,FALSE)=0,"",VLOOKUP($A21,'Annex 2 EHV charges'!$D:$O,11,FALSE)),"")</f>
        <v/>
      </c>
      <c r="H21" s="118" t="str">
        <f>IFERROR(IF(VLOOKUP($A21,'Annex 2 EHV charges'!$D:$O,12,FALSE)=0,"",VLOOKUP($A21,'Annex 2 EHV charges'!$D:$O,12,FALSE)),"")</f>
        <v/>
      </c>
    </row>
    <row r="22" spans="1:8" ht="12.75" customHeight="1" x14ac:dyDescent="0.2">
      <c r="A22" s="115">
        <f t="array" ref="A22">IFERROR(INDEX('Annex 2 EHV charges'!$D$11:$D$259, MATCH(0, IF(ISBLANK('Annex 2 EHV charges'!$D$11:$D$259),1, COUNTIF(A$4:$A21, 'Annex 2 EHV charges'!$D$11:$D$259)), 0)),"")</f>
        <v>640</v>
      </c>
      <c r="B22" s="114">
        <f>IF($A22="","",VLOOKUP($A22,'Annex 2 EHV charges'!$D:$O,2,0))</f>
        <v>640</v>
      </c>
      <c r="C22" s="115">
        <f>IF($A22="","",VLOOKUP($A22,'Annex 2 EHV charges'!$D:$O,3,0))</f>
        <v>1300052545276</v>
      </c>
      <c r="D22" s="114" t="str">
        <f>IF($A22="","",VLOOKUP($A22,'Annex 2 EHV charges'!$D:$O,4,0))</f>
        <v>Moel Maelogan (A)</v>
      </c>
      <c r="E22" s="116" t="str">
        <f>IFERROR(IF(VLOOKUP($A22,'Annex 2 EHV charges'!$D:$O,9,FALSE)=0,"",VLOOKUP($A22,'Annex 2 EHV charges'!$D:$O,9,FALSE)),"")</f>
        <v/>
      </c>
      <c r="F22" s="117" t="str">
        <f>IFERROR(IF(VLOOKUP($A22,'Annex 2 EHV charges'!$D:$O,10,FALSE)=0,"",VLOOKUP($A22,'Annex 2 EHV charges'!$D:$O,10,FALSE)),"")</f>
        <v/>
      </c>
      <c r="G22" s="118" t="str">
        <f>IFERROR(IF(VLOOKUP($A22,'Annex 2 EHV charges'!$D:$O,11,FALSE)=0,"",VLOOKUP($A22,'Annex 2 EHV charges'!$D:$O,11,FALSE)),"")</f>
        <v/>
      </c>
      <c r="H22" s="118" t="str">
        <f>IFERROR(IF(VLOOKUP($A22,'Annex 2 EHV charges'!$D:$O,12,FALSE)=0,"",VLOOKUP($A22,'Annex 2 EHV charges'!$D:$O,12,FALSE)),"")</f>
        <v/>
      </c>
    </row>
    <row r="23" spans="1:8" ht="12.75" customHeight="1" x14ac:dyDescent="0.2">
      <c r="A23" s="115">
        <f t="array" ref="A23">IFERROR(INDEX('Annex 2 EHV charges'!$D$11:$D$259, MATCH(0, IF(ISBLANK('Annex 2 EHV charges'!$D$11:$D$259),1, COUNTIF(A$4:$A22, 'Annex 2 EHV charges'!$D$11:$D$259)), 0)),"")</f>
        <v>641</v>
      </c>
      <c r="B23" s="114">
        <f>IF($A23="","",VLOOKUP($A23,'Annex 2 EHV charges'!$D:$O,2,0))</f>
        <v>641</v>
      </c>
      <c r="C23" s="115">
        <f>IF($A23="","",VLOOKUP($A23,'Annex 2 EHV charges'!$D:$O,3,0))</f>
        <v>1300052545294</v>
      </c>
      <c r="D23" s="114" t="str">
        <f>IF($A23="","",VLOOKUP($A23,'Annex 2 EHV charges'!$D:$O,4,0))</f>
        <v>Moel Maelogan (B)</v>
      </c>
      <c r="E23" s="116" t="str">
        <f>IFERROR(IF(VLOOKUP($A23,'Annex 2 EHV charges'!$D:$O,9,FALSE)=0,"",VLOOKUP($A23,'Annex 2 EHV charges'!$D:$O,9,FALSE)),"")</f>
        <v/>
      </c>
      <c r="F23" s="117" t="str">
        <f>IFERROR(IF(VLOOKUP($A23,'Annex 2 EHV charges'!$D:$O,10,FALSE)=0,"",VLOOKUP($A23,'Annex 2 EHV charges'!$D:$O,10,FALSE)),"")</f>
        <v/>
      </c>
      <c r="G23" s="118" t="str">
        <f>IFERROR(IF(VLOOKUP($A23,'Annex 2 EHV charges'!$D:$O,11,FALSE)=0,"",VLOOKUP($A23,'Annex 2 EHV charges'!$D:$O,11,FALSE)),"")</f>
        <v/>
      </c>
      <c r="H23" s="118" t="str">
        <f>IFERROR(IF(VLOOKUP($A23,'Annex 2 EHV charges'!$D:$O,12,FALSE)=0,"",VLOOKUP($A23,'Annex 2 EHV charges'!$D:$O,12,FALSE)),"")</f>
        <v/>
      </c>
    </row>
    <row r="24" spans="1:8" ht="12.75" customHeight="1" x14ac:dyDescent="0.2">
      <c r="A24" s="115">
        <f t="array" ref="A24">IFERROR(INDEX('Annex 2 EHV charges'!$D$11:$D$259, MATCH(0, IF(ISBLANK('Annex 2 EHV charges'!$D$11:$D$259),1, COUNTIF(A$4:$A23, 'Annex 2 EHV charges'!$D$11:$D$259)), 0)),"")</f>
        <v>642</v>
      </c>
      <c r="B24" s="114">
        <f>IF($A24="","",VLOOKUP($A24,'Annex 2 EHV charges'!$D:$O,2,0))</f>
        <v>642</v>
      </c>
      <c r="C24" s="115">
        <f>IF($A24="","",VLOOKUP($A24,'Annex 2 EHV charges'!$D:$O,3,0))</f>
        <v>1300053022091</v>
      </c>
      <c r="D24" s="114" t="str">
        <f>IF($A24="","",VLOOKUP($A24,'Annex 2 EHV charges'!$D:$O,4,0))</f>
        <v>North Hoyle</v>
      </c>
      <c r="E24" s="116" t="str">
        <f>IFERROR(IF(VLOOKUP($A24,'Annex 2 EHV charges'!$D:$O,9,FALSE)=0,"",VLOOKUP($A24,'Annex 2 EHV charges'!$D:$O,9,FALSE)),"")</f>
        <v/>
      </c>
      <c r="F24" s="117" t="str">
        <f>IFERROR(IF(VLOOKUP($A24,'Annex 2 EHV charges'!$D:$O,10,FALSE)=0,"",VLOOKUP($A24,'Annex 2 EHV charges'!$D:$O,10,FALSE)),"")</f>
        <v/>
      </c>
      <c r="G24" s="118" t="str">
        <f>IFERROR(IF(VLOOKUP($A24,'Annex 2 EHV charges'!$D:$O,11,FALSE)=0,"",VLOOKUP($A24,'Annex 2 EHV charges'!$D:$O,11,FALSE)),"")</f>
        <v/>
      </c>
      <c r="H24" s="118" t="str">
        <f>IFERROR(IF(VLOOKUP($A24,'Annex 2 EHV charges'!$D:$O,12,FALSE)=0,"",VLOOKUP($A24,'Annex 2 EHV charges'!$D:$O,12,FALSE)),"")</f>
        <v/>
      </c>
    </row>
    <row r="25" spans="1:8" ht="12.75" customHeight="1" x14ac:dyDescent="0.2">
      <c r="A25" s="115">
        <f t="array" ref="A25">IFERROR(INDEX('Annex 2 EHV charges'!$D$11:$D$259, MATCH(0, IF(ISBLANK('Annex 2 EHV charges'!$D$11:$D$259),1, COUNTIF(A$4:$A24, 'Annex 2 EHV charges'!$D$11:$D$259)), 0)),"")</f>
        <v>643</v>
      </c>
      <c r="B25" s="114">
        <f>IF($A25="","",VLOOKUP($A25,'Annex 2 EHV charges'!$D:$O,2,0))</f>
        <v>643</v>
      </c>
      <c r="C25" s="115">
        <f>IF($A25="","",VLOOKUP($A25,'Annex 2 EHV charges'!$D:$O,3,0))</f>
        <v>1300053466369</v>
      </c>
      <c r="D25" s="114" t="str">
        <f>IF($A25="","",VLOOKUP($A25,'Annex 2 EHV charges'!$D:$O,4,0))</f>
        <v>Cefn Croyes (3)</v>
      </c>
      <c r="E25" s="116" t="str">
        <f>IFERROR(IF(VLOOKUP($A25,'Annex 2 EHV charges'!$D:$O,9,FALSE)=0,"",VLOOKUP($A25,'Annex 2 EHV charges'!$D:$O,9,FALSE)),"")</f>
        <v/>
      </c>
      <c r="F25" s="117" t="str">
        <f>IFERROR(IF(VLOOKUP($A25,'Annex 2 EHV charges'!$D:$O,10,FALSE)=0,"",VLOOKUP($A25,'Annex 2 EHV charges'!$D:$O,10,FALSE)),"")</f>
        <v/>
      </c>
      <c r="G25" s="118" t="str">
        <f>IFERROR(IF(VLOOKUP($A25,'Annex 2 EHV charges'!$D:$O,11,FALSE)=0,"",VLOOKUP($A25,'Annex 2 EHV charges'!$D:$O,11,FALSE)),"")</f>
        <v/>
      </c>
      <c r="H25" s="118" t="str">
        <f>IFERROR(IF(VLOOKUP($A25,'Annex 2 EHV charges'!$D:$O,12,FALSE)=0,"",VLOOKUP($A25,'Annex 2 EHV charges'!$D:$O,12,FALSE)),"")</f>
        <v/>
      </c>
    </row>
    <row r="26" spans="1:8" ht="12.75" customHeight="1" x14ac:dyDescent="0.2">
      <c r="A26" s="115">
        <f t="array" ref="A26">IFERROR(INDEX('Annex 2 EHV charges'!$D$11:$D$259, MATCH(0, IF(ISBLANK('Annex 2 EHV charges'!$D$11:$D$259),1, COUNTIF(A$4:$A25, 'Annex 2 EHV charges'!$D$11:$D$259)), 0)),"")</f>
        <v>644</v>
      </c>
      <c r="B26" s="114">
        <f>IF($A26="","",VLOOKUP($A26,'Annex 2 EHV charges'!$D:$O,2,0))</f>
        <v>644</v>
      </c>
      <c r="C26" s="115">
        <f>IF($A26="","",VLOOKUP($A26,'Annex 2 EHV charges'!$D:$O,3,0))</f>
        <v>1300053466387</v>
      </c>
      <c r="D26" s="114" t="str">
        <f>IF($A26="","",VLOOKUP($A26,'Annex 2 EHV charges'!$D:$O,4,0))</f>
        <v>Cefn Croyes (4)</v>
      </c>
      <c r="E26" s="116" t="str">
        <f>IFERROR(IF(VLOOKUP($A26,'Annex 2 EHV charges'!$D:$O,9,FALSE)=0,"",VLOOKUP($A26,'Annex 2 EHV charges'!$D:$O,9,FALSE)),"")</f>
        <v/>
      </c>
      <c r="F26" s="117" t="str">
        <f>IFERROR(IF(VLOOKUP($A26,'Annex 2 EHV charges'!$D:$O,10,FALSE)=0,"",VLOOKUP($A26,'Annex 2 EHV charges'!$D:$O,10,FALSE)),"")</f>
        <v/>
      </c>
      <c r="G26" s="118" t="str">
        <f>IFERROR(IF(VLOOKUP($A26,'Annex 2 EHV charges'!$D:$O,11,FALSE)=0,"",VLOOKUP($A26,'Annex 2 EHV charges'!$D:$O,11,FALSE)),"")</f>
        <v/>
      </c>
      <c r="H26" s="118" t="str">
        <f>IFERROR(IF(VLOOKUP($A26,'Annex 2 EHV charges'!$D:$O,12,FALSE)=0,"",VLOOKUP($A26,'Annex 2 EHV charges'!$D:$O,12,FALSE)),"")</f>
        <v/>
      </c>
    </row>
    <row r="27" spans="1:8" ht="12.75" customHeight="1" x14ac:dyDescent="0.2">
      <c r="A27" s="115">
        <f t="array" ref="A27">IFERROR(INDEX('Annex 2 EHV charges'!$D$11:$D$259, MATCH(0, IF(ISBLANK('Annex 2 EHV charges'!$D$11:$D$259),1, COUNTIF(A$4:$A26, 'Annex 2 EHV charges'!$D$11:$D$259)), 0)),"")</f>
        <v>645</v>
      </c>
      <c r="B27" s="114">
        <f>IF($A27="","",VLOOKUP($A27,'Annex 2 EHV charges'!$D:$O,2,0))</f>
        <v>645</v>
      </c>
      <c r="C27" s="115">
        <f>IF($A27="","",VLOOKUP($A27,'Annex 2 EHV charges'!$D:$O,3,0))</f>
        <v>1300053834691</v>
      </c>
      <c r="D27" s="114" t="str">
        <f>IF($A27="","",VLOOKUP($A27,'Annex 2 EHV charges'!$D:$O,4,0))</f>
        <v>Tir Mostyn</v>
      </c>
      <c r="E27" s="116" t="str">
        <f>IFERROR(IF(VLOOKUP($A27,'Annex 2 EHV charges'!$D:$O,9,FALSE)=0,"",VLOOKUP($A27,'Annex 2 EHV charges'!$D:$O,9,FALSE)),"")</f>
        <v/>
      </c>
      <c r="F27" s="117" t="str">
        <f>IFERROR(IF(VLOOKUP($A27,'Annex 2 EHV charges'!$D:$O,10,FALSE)=0,"",VLOOKUP($A27,'Annex 2 EHV charges'!$D:$O,10,FALSE)),"")</f>
        <v/>
      </c>
      <c r="G27" s="118" t="str">
        <f>IFERROR(IF(VLOOKUP($A27,'Annex 2 EHV charges'!$D:$O,11,FALSE)=0,"",VLOOKUP($A27,'Annex 2 EHV charges'!$D:$O,11,FALSE)),"")</f>
        <v/>
      </c>
      <c r="H27" s="118" t="str">
        <f>IFERROR(IF(VLOOKUP($A27,'Annex 2 EHV charges'!$D:$O,12,FALSE)=0,"",VLOOKUP($A27,'Annex 2 EHV charges'!$D:$O,12,FALSE)),"")</f>
        <v/>
      </c>
    </row>
    <row r="28" spans="1:8" ht="12.75" customHeight="1" x14ac:dyDescent="0.2">
      <c r="A28" s="115">
        <f t="array" ref="A28">IFERROR(INDEX('Annex 2 EHV charges'!$D$11:$D$259, MATCH(0, IF(ISBLANK('Annex 2 EHV charges'!$D$11:$D$259),1, COUNTIF(A$4:$A27, 'Annex 2 EHV charges'!$D$11:$D$259)), 0)),"")</f>
        <v>646</v>
      </c>
      <c r="B28" s="114">
        <f>IF($A28="","",VLOOKUP($A28,'Annex 2 EHV charges'!$D:$O,2,0))</f>
        <v>646</v>
      </c>
      <c r="C28" s="115">
        <f>IF($A28="","",VLOOKUP($A28,'Annex 2 EHV charges'!$D:$O,3,0))</f>
        <v>1300053862796</v>
      </c>
      <c r="D28" s="114" t="str">
        <f>IF($A28="","",VLOOKUP($A28,'Annex 2 EHV charges'!$D:$O,4,0))</f>
        <v>Mynydd Clogau</v>
      </c>
      <c r="E28" s="116" t="str">
        <f>IFERROR(IF(VLOOKUP($A28,'Annex 2 EHV charges'!$D:$O,9,FALSE)=0,"",VLOOKUP($A28,'Annex 2 EHV charges'!$D:$O,9,FALSE)),"")</f>
        <v/>
      </c>
      <c r="F28" s="117" t="str">
        <f>IFERROR(IF(VLOOKUP($A28,'Annex 2 EHV charges'!$D:$O,10,FALSE)=0,"",VLOOKUP($A28,'Annex 2 EHV charges'!$D:$O,10,FALSE)),"")</f>
        <v/>
      </c>
      <c r="G28" s="118" t="str">
        <f>IFERROR(IF(VLOOKUP($A28,'Annex 2 EHV charges'!$D:$O,11,FALSE)=0,"",VLOOKUP($A28,'Annex 2 EHV charges'!$D:$O,11,FALSE)),"")</f>
        <v/>
      </c>
      <c r="H28" s="118" t="str">
        <f>IFERROR(IF(VLOOKUP($A28,'Annex 2 EHV charges'!$D:$O,12,FALSE)=0,"",VLOOKUP($A28,'Annex 2 EHV charges'!$D:$O,12,FALSE)),"")</f>
        <v/>
      </c>
    </row>
    <row r="29" spans="1:8" ht="12.75" customHeight="1" x14ac:dyDescent="0.2">
      <c r="A29" s="115">
        <f t="array" ref="A29">IFERROR(INDEX('Annex 2 EHV charges'!$D$11:$D$259, MATCH(0, IF(ISBLANK('Annex 2 EHV charges'!$D$11:$D$259),1, COUNTIF(A$4:$A28, 'Annex 2 EHV charges'!$D$11:$D$259)), 0)),"")</f>
        <v>647</v>
      </c>
      <c r="B29" s="114">
        <f>IF($A29="","",VLOOKUP($A29,'Annex 2 EHV charges'!$D:$O,2,0))</f>
        <v>647</v>
      </c>
      <c r="C29" s="115">
        <f>IF($A29="","",VLOOKUP($A29,'Annex 2 EHV charges'!$D:$O,3,0))</f>
        <v>1300053962116</v>
      </c>
      <c r="D29" s="114" t="str">
        <f>IF($A29="","",VLOOKUP($A29,'Annex 2 EHV charges'!$D:$O,4,0))</f>
        <v>Granox</v>
      </c>
      <c r="E29" s="116" t="str">
        <f>IFERROR(IF(VLOOKUP($A29,'Annex 2 EHV charges'!$D:$O,9,FALSE)=0,"",VLOOKUP($A29,'Annex 2 EHV charges'!$D:$O,9,FALSE)),"")</f>
        <v/>
      </c>
      <c r="F29" s="117" t="str">
        <f>IFERROR(IF(VLOOKUP($A29,'Annex 2 EHV charges'!$D:$O,10,FALSE)=0,"",VLOOKUP($A29,'Annex 2 EHV charges'!$D:$O,10,FALSE)),"")</f>
        <v/>
      </c>
      <c r="G29" s="118" t="str">
        <f>IFERROR(IF(VLOOKUP($A29,'Annex 2 EHV charges'!$D:$O,11,FALSE)=0,"",VLOOKUP($A29,'Annex 2 EHV charges'!$D:$O,11,FALSE)),"")</f>
        <v/>
      </c>
      <c r="H29" s="118" t="str">
        <f>IFERROR(IF(VLOOKUP($A29,'Annex 2 EHV charges'!$D:$O,12,FALSE)=0,"",VLOOKUP($A29,'Annex 2 EHV charges'!$D:$O,12,FALSE)),"")</f>
        <v/>
      </c>
    </row>
    <row r="30" spans="1:8" ht="12.75" customHeight="1" x14ac:dyDescent="0.2">
      <c r="A30" s="115">
        <f t="array" ref="A30">IFERROR(INDEX('Annex 2 EHV charges'!$D$11:$D$259, MATCH(0, IF(ISBLANK('Annex 2 EHV charges'!$D$11:$D$259),1, COUNTIF(A$4:$A29, 'Annex 2 EHV charges'!$D$11:$D$259)), 0)),"")</f>
        <v>651</v>
      </c>
      <c r="B30" s="114">
        <f>IF($A30="","",VLOOKUP($A30,'Annex 2 EHV charges'!$D:$O,2,0))</f>
        <v>651</v>
      </c>
      <c r="C30" s="115">
        <f>IF($A30="","",VLOOKUP($A30,'Annex 2 EHV charges'!$D:$O,3,0))</f>
        <v>1300060499094</v>
      </c>
      <c r="D30" s="114" t="str">
        <f>IF($A30="","",VLOOKUP($A30,'Annex 2 EHV charges'!$D:$O,4,0))</f>
        <v>Tai Moelion</v>
      </c>
      <c r="E30" s="116" t="str">
        <f>IFERROR(IF(VLOOKUP($A30,'Annex 2 EHV charges'!$D:$O,9,FALSE)=0,"",VLOOKUP($A30,'Annex 2 EHV charges'!$D:$O,9,FALSE)),"")</f>
        <v/>
      </c>
      <c r="F30" s="117">
        <f>IFERROR(IF(VLOOKUP($A30,'Annex 2 EHV charges'!$D:$O,10,FALSE)=0,"",VLOOKUP($A30,'Annex 2 EHV charges'!$D:$O,10,FALSE)),"")</f>
        <v>1201.6099999999999</v>
      </c>
      <c r="G30" s="118">
        <f>IFERROR(IF(VLOOKUP($A30,'Annex 2 EHV charges'!$D:$O,11,FALSE)=0,"",VLOOKUP($A30,'Annex 2 EHV charges'!$D:$O,11,FALSE)),"")</f>
        <v>0.05</v>
      </c>
      <c r="H30" s="118">
        <f>IFERROR(IF(VLOOKUP($A30,'Annex 2 EHV charges'!$D:$O,12,FALSE)=0,"",VLOOKUP($A30,'Annex 2 EHV charges'!$D:$O,12,FALSE)),"")</f>
        <v>0.05</v>
      </c>
    </row>
    <row r="31" spans="1:8" ht="12.75" customHeight="1" x14ac:dyDescent="0.2">
      <c r="A31" s="115">
        <f t="array" ref="A31">IFERROR(INDEX('Annex 2 EHV charges'!$D$11:$D$259, MATCH(0, IF(ISBLANK('Annex 2 EHV charges'!$D$11:$D$259),1, COUNTIF(A$4:$A30, 'Annex 2 EHV charges'!$D$11:$D$259)), 0)),"")</f>
        <v>649</v>
      </c>
      <c r="B31" s="114">
        <f>IF($A31="","",VLOOKUP($A31,'Annex 2 EHV charges'!$D:$O,2,0))</f>
        <v>649</v>
      </c>
      <c r="C31" s="115">
        <f>IF($A31="","",VLOOKUP($A31,'Annex 2 EHV charges'!$D:$O,3,0))</f>
        <v>1300054624405</v>
      </c>
      <c r="D31" s="114" t="str">
        <f>IF($A31="","",VLOOKUP($A31,'Annex 2 EHV charges'!$D:$O,4,0))</f>
        <v>Braich Ddu</v>
      </c>
      <c r="E31" s="116" t="str">
        <f>IFERROR(IF(VLOOKUP($A31,'Annex 2 EHV charges'!$D:$O,9,FALSE)=0,"",VLOOKUP($A31,'Annex 2 EHV charges'!$D:$O,9,FALSE)),"")</f>
        <v/>
      </c>
      <c r="F31" s="117" t="str">
        <f>IFERROR(IF(VLOOKUP($A31,'Annex 2 EHV charges'!$D:$O,10,FALSE)=0,"",VLOOKUP($A31,'Annex 2 EHV charges'!$D:$O,10,FALSE)),"")</f>
        <v/>
      </c>
      <c r="G31" s="118" t="str">
        <f>IFERROR(IF(VLOOKUP($A31,'Annex 2 EHV charges'!$D:$O,11,FALSE)=0,"",VLOOKUP($A31,'Annex 2 EHV charges'!$D:$O,11,FALSE)),"")</f>
        <v/>
      </c>
      <c r="H31" s="118" t="str">
        <f>IFERROR(IF(VLOOKUP($A31,'Annex 2 EHV charges'!$D:$O,12,FALSE)=0,"",VLOOKUP($A31,'Annex 2 EHV charges'!$D:$O,12,FALSE)),"")</f>
        <v/>
      </c>
    </row>
    <row r="32" spans="1:8" ht="12.75" customHeight="1" x14ac:dyDescent="0.2">
      <c r="A32" s="115">
        <f t="array" ref="A32">IFERROR(INDEX('Annex 2 EHV charges'!$D$11:$D$259, MATCH(0, IF(ISBLANK('Annex 2 EHV charges'!$D$11:$D$259),1, COUNTIF(A$4:$A31, 'Annex 2 EHV charges'!$D$11:$D$259)), 0)),"")</f>
        <v>652</v>
      </c>
      <c r="B32" s="114">
        <f>IF($A32="","",VLOOKUP($A32,'Annex 2 EHV charges'!$D:$O,2,0))</f>
        <v>652</v>
      </c>
      <c r="C32" s="115">
        <f>IF($A32="","",VLOOKUP($A32,'Annex 2 EHV charges'!$D:$O,3,0))</f>
        <v>1300060668372</v>
      </c>
      <c r="D32" s="114" t="str">
        <f>IF($A32="","",VLOOKUP($A32,'Annex 2 EHV charges'!$D:$O,4,0))</f>
        <v>Widnes Biomass</v>
      </c>
      <c r="E32" s="116">
        <f>IFERROR(IF(VLOOKUP($A32,'Annex 2 EHV charges'!$D:$O,9,FALSE)=0,"",VLOOKUP($A32,'Annex 2 EHV charges'!$D:$O,9,FALSE)),"")</f>
        <v>-0.28599999999999998</v>
      </c>
      <c r="F32" s="117">
        <f>IFERROR(IF(VLOOKUP($A32,'Annex 2 EHV charges'!$D:$O,10,FALSE)=0,"",VLOOKUP($A32,'Annex 2 EHV charges'!$D:$O,10,FALSE)),"")</f>
        <v>4462.51</v>
      </c>
      <c r="G32" s="118">
        <f>IFERROR(IF(VLOOKUP($A32,'Annex 2 EHV charges'!$D:$O,11,FALSE)=0,"",VLOOKUP($A32,'Annex 2 EHV charges'!$D:$O,11,FALSE)),"")</f>
        <v>0.05</v>
      </c>
      <c r="H32" s="118">
        <f>IFERROR(IF(VLOOKUP($A32,'Annex 2 EHV charges'!$D:$O,12,FALSE)=0,"",VLOOKUP($A32,'Annex 2 EHV charges'!$D:$O,12,FALSE)),"")</f>
        <v>0.05</v>
      </c>
    </row>
    <row r="33" spans="1:8" ht="12.75" customHeight="1" x14ac:dyDescent="0.2">
      <c r="A33" s="115">
        <f t="array" ref="A33">IFERROR(INDEX('Annex 2 EHV charges'!$D$11:$D$259, MATCH(0, IF(ISBLANK('Annex 2 EHV charges'!$D$11:$D$259),1, COUNTIF(A$4:$A32, 'Annex 2 EHV charges'!$D$11:$D$259)), 0)),"")</f>
        <v>611</v>
      </c>
      <c r="B33" s="114">
        <f>IF($A33="","",VLOOKUP($A33,'Annex 2 EHV charges'!$D:$O,2,0))</f>
        <v>611</v>
      </c>
      <c r="C33" s="115">
        <f>IF($A33="","",VLOOKUP($A33,'Annex 2 EHV charges'!$D:$O,3,0))</f>
        <v>1300054914140</v>
      </c>
      <c r="D33" s="114" t="str">
        <f>IF($A33="","",VLOOKUP($A33,'Annex 2 EHV charges'!$D:$O,4,0))</f>
        <v>Moel Maelogan 2</v>
      </c>
      <c r="E33" s="116" t="str">
        <f>IFERROR(IF(VLOOKUP($A33,'Annex 2 EHV charges'!$D:$O,9,FALSE)=0,"",VLOOKUP($A33,'Annex 2 EHV charges'!$D:$O,9,FALSE)),"")</f>
        <v/>
      </c>
      <c r="F33" s="117">
        <f>IFERROR(IF(VLOOKUP($A33,'Annex 2 EHV charges'!$D:$O,10,FALSE)=0,"",VLOOKUP($A33,'Annex 2 EHV charges'!$D:$O,10,FALSE)),"")</f>
        <v>382.16</v>
      </c>
      <c r="G33" s="118">
        <f>IFERROR(IF(VLOOKUP($A33,'Annex 2 EHV charges'!$D:$O,11,FALSE)=0,"",VLOOKUP($A33,'Annex 2 EHV charges'!$D:$O,11,FALSE)),"")</f>
        <v>0.05</v>
      </c>
      <c r="H33" s="118">
        <f>IFERROR(IF(VLOOKUP($A33,'Annex 2 EHV charges'!$D:$O,12,FALSE)=0,"",VLOOKUP($A33,'Annex 2 EHV charges'!$D:$O,12,FALSE)),"")</f>
        <v>0.05</v>
      </c>
    </row>
    <row r="34" spans="1:8" ht="12.75" customHeight="1" x14ac:dyDescent="0.2">
      <c r="A34" s="115">
        <f t="array" ref="A34">IFERROR(INDEX('Annex 2 EHV charges'!$D$11:$D$259, MATCH(0, IF(ISBLANK('Annex 2 EHV charges'!$D$11:$D$259),1, COUNTIF(A$4:$A33, 'Annex 2 EHV charges'!$D$11:$D$259)), 0)),"")</f>
        <v>654</v>
      </c>
      <c r="B34" s="114">
        <f>IF($A34="","",VLOOKUP($A34,'Annex 2 EHV charges'!$D:$O,2,0))</f>
        <v>654</v>
      </c>
      <c r="C34" s="115">
        <f>IF($A34="","",VLOOKUP($A34,'Annex 2 EHV charges'!$D:$O,3,0))</f>
        <v>1300060138739</v>
      </c>
      <c r="D34" s="114" t="str">
        <f>IF($A34="","",VLOOKUP($A34,'Annex 2 EHV charges'!$D:$O,4,0))</f>
        <v>Wern Ddu</v>
      </c>
      <c r="E34" s="116" t="str">
        <f>IFERROR(IF(VLOOKUP($A34,'Annex 2 EHV charges'!$D:$O,9,FALSE)=0,"",VLOOKUP($A34,'Annex 2 EHV charges'!$D:$O,9,FALSE)),"")</f>
        <v/>
      </c>
      <c r="F34" s="117">
        <f>IFERROR(IF(VLOOKUP($A34,'Annex 2 EHV charges'!$D:$O,10,FALSE)=0,"",VLOOKUP($A34,'Annex 2 EHV charges'!$D:$O,10,FALSE)),"")</f>
        <v>2475.8200000000002</v>
      </c>
      <c r="G34" s="118">
        <f>IFERROR(IF(VLOOKUP($A34,'Annex 2 EHV charges'!$D:$O,11,FALSE)=0,"",VLOOKUP($A34,'Annex 2 EHV charges'!$D:$O,11,FALSE)),"")</f>
        <v>0.05</v>
      </c>
      <c r="H34" s="118">
        <f>IFERROR(IF(VLOOKUP($A34,'Annex 2 EHV charges'!$D:$O,12,FALSE)=0,"",VLOOKUP($A34,'Annex 2 EHV charges'!$D:$O,12,FALSE)),"")</f>
        <v>0.05</v>
      </c>
    </row>
    <row r="35" spans="1:8" ht="12.75" customHeight="1" x14ac:dyDescent="0.2">
      <c r="A35" s="115">
        <f t="array" ref="A35">IFERROR(INDEX('Annex 2 EHV charges'!$D$11:$D$259, MATCH(0, IF(ISBLANK('Annex 2 EHV charges'!$D$11:$D$259),1, COUNTIF(A$4:$A34, 'Annex 2 EHV charges'!$D$11:$D$259)), 0)),"")</f>
        <v>656</v>
      </c>
      <c r="B35" s="114">
        <f>IF($A35="","",VLOOKUP($A35,'Annex 2 EHV charges'!$D:$O,2,0))</f>
        <v>656</v>
      </c>
      <c r="C35" s="115">
        <f>IF($A35="","",VLOOKUP($A35,'Annex 2 EHV charges'!$D:$O,3,0))</f>
        <v>1300060102608</v>
      </c>
      <c r="D35" s="114" t="str">
        <f>IF($A35="","",VLOOKUP($A35,'Annex 2 EHV charges'!$D:$O,4,0))</f>
        <v>Rhyl Flats</v>
      </c>
      <c r="E35" s="116" t="str">
        <f>IFERROR(IF(VLOOKUP($A35,'Annex 2 EHV charges'!$D:$O,9,FALSE)=0,"",VLOOKUP($A35,'Annex 2 EHV charges'!$D:$O,9,FALSE)),"")</f>
        <v/>
      </c>
      <c r="F35" s="117">
        <f>IFERROR(IF(VLOOKUP($A35,'Annex 2 EHV charges'!$D:$O,10,FALSE)=0,"",VLOOKUP($A35,'Annex 2 EHV charges'!$D:$O,10,FALSE)),"")</f>
        <v>15310.49</v>
      </c>
      <c r="G35" s="118">
        <f>IFERROR(IF(VLOOKUP($A35,'Annex 2 EHV charges'!$D:$O,11,FALSE)=0,"",VLOOKUP($A35,'Annex 2 EHV charges'!$D:$O,11,FALSE)),"")</f>
        <v>0.05</v>
      </c>
      <c r="H35" s="118">
        <f>IFERROR(IF(VLOOKUP($A35,'Annex 2 EHV charges'!$D:$O,12,FALSE)=0,"",VLOOKUP($A35,'Annex 2 EHV charges'!$D:$O,12,FALSE)),"")</f>
        <v>0.05</v>
      </c>
    </row>
    <row r="36" spans="1:8" ht="12.75" customHeight="1" x14ac:dyDescent="0.2">
      <c r="A36" s="115">
        <f t="array" ref="A36">IFERROR(INDEX('Annex 2 EHV charges'!$D$11:$D$259, MATCH(0, IF(ISBLANK('Annex 2 EHV charges'!$D$11:$D$259),1, COUNTIF(A$4:$A35, 'Annex 2 EHV charges'!$D$11:$D$259)), 0)),"")</f>
        <v>665</v>
      </c>
      <c r="B36" s="114">
        <f>IF($A36="","",VLOOKUP($A36,'Annex 2 EHV charges'!$D:$O,2,0))</f>
        <v>665</v>
      </c>
      <c r="C36" s="115">
        <f>IF($A36="","",VLOOKUP($A36,'Annex 2 EHV charges'!$D:$O,3,0))</f>
        <v>1300038004491</v>
      </c>
      <c r="D36" s="114" t="str">
        <f>IF($A36="","",VLOOKUP($A36,'Annex 2 EHV charges'!$D:$O,4,0))</f>
        <v>Cemmaes B</v>
      </c>
      <c r="E36" s="116" t="str">
        <f>IFERROR(IF(VLOOKUP($A36,'Annex 2 EHV charges'!$D:$O,9,FALSE)=0,"",VLOOKUP($A36,'Annex 2 EHV charges'!$D:$O,9,FALSE)),"")</f>
        <v/>
      </c>
      <c r="F36" s="117" t="str">
        <f>IFERROR(IF(VLOOKUP($A36,'Annex 2 EHV charges'!$D:$O,10,FALSE)=0,"",VLOOKUP($A36,'Annex 2 EHV charges'!$D:$O,10,FALSE)),"")</f>
        <v/>
      </c>
      <c r="G36" s="118" t="str">
        <f>IFERROR(IF(VLOOKUP($A36,'Annex 2 EHV charges'!$D:$O,11,FALSE)=0,"",VLOOKUP($A36,'Annex 2 EHV charges'!$D:$O,11,FALSE)),"")</f>
        <v/>
      </c>
      <c r="H36" s="118" t="str">
        <f>IFERROR(IF(VLOOKUP($A36,'Annex 2 EHV charges'!$D:$O,12,FALSE)=0,"",VLOOKUP($A36,'Annex 2 EHV charges'!$D:$O,12,FALSE)),"")</f>
        <v/>
      </c>
    </row>
    <row r="37" spans="1:8" ht="12.75" customHeight="1" x14ac:dyDescent="0.2">
      <c r="A37" s="115">
        <f t="array" ref="A37">IFERROR(INDEX('Annex 2 EHV charges'!$D$11:$D$259, MATCH(0, IF(ISBLANK('Annex 2 EHV charges'!$D$11:$D$259),1, COUNTIF(A$4:$A36, 'Annex 2 EHV charges'!$D$11:$D$259)), 0)),"")</f>
        <v>666</v>
      </c>
      <c r="B37" s="114">
        <f>IF($A37="","",VLOOKUP($A37,'Annex 2 EHV charges'!$D:$O,2,0))</f>
        <v>666</v>
      </c>
      <c r="C37" s="115">
        <f>IF($A37="","",VLOOKUP($A37,'Annex 2 EHV charges'!$D:$O,3,0))</f>
        <v>1300037983746</v>
      </c>
      <c r="D37" s="114" t="str">
        <f>IF($A37="","",VLOOKUP($A37,'Annex 2 EHV charges'!$D:$O,4,0))</f>
        <v>Penrhyddlan</v>
      </c>
      <c r="E37" s="116" t="str">
        <f>IFERROR(IF(VLOOKUP($A37,'Annex 2 EHV charges'!$D:$O,9,FALSE)=0,"",VLOOKUP($A37,'Annex 2 EHV charges'!$D:$O,9,FALSE)),"")</f>
        <v/>
      </c>
      <c r="F37" s="117">
        <f>IFERROR(IF(VLOOKUP($A37,'Annex 2 EHV charges'!$D:$O,10,FALSE)=0,"",VLOOKUP($A37,'Annex 2 EHV charges'!$D:$O,10,FALSE)),"")</f>
        <v>1761.74</v>
      </c>
      <c r="G37" s="118">
        <f>IFERROR(IF(VLOOKUP($A37,'Annex 2 EHV charges'!$D:$O,11,FALSE)=0,"",VLOOKUP($A37,'Annex 2 EHV charges'!$D:$O,11,FALSE)),"")</f>
        <v>0.05</v>
      </c>
      <c r="H37" s="118">
        <f>IFERROR(IF(VLOOKUP($A37,'Annex 2 EHV charges'!$D:$O,12,FALSE)=0,"",VLOOKUP($A37,'Annex 2 EHV charges'!$D:$O,12,FALSE)),"")</f>
        <v>0.05</v>
      </c>
    </row>
    <row r="38" spans="1:8" ht="12.75" customHeight="1" x14ac:dyDescent="0.2">
      <c r="A38" s="115">
        <f t="array" ref="A38">IFERROR(INDEX('Annex 2 EHV charges'!$D$11:$D$259, MATCH(0, IF(ISBLANK('Annex 2 EHV charges'!$D$11:$D$259),1, COUNTIF(A$4:$A37, 'Annex 2 EHV charges'!$D$11:$D$259)), 0)),"")</f>
        <v>667</v>
      </c>
      <c r="B38" s="114">
        <f>IF($A38="","",VLOOKUP($A38,'Annex 2 EHV charges'!$D:$O,2,0))</f>
        <v>667</v>
      </c>
      <c r="C38" s="115">
        <f>IF($A38="","",VLOOKUP($A38,'Annex 2 EHV charges'!$D:$O,3,0))</f>
        <v>1300037983764</v>
      </c>
      <c r="D38" s="114" t="str">
        <f>IF($A38="","",VLOOKUP($A38,'Annex 2 EHV charges'!$D:$O,4,0))</f>
        <v>Llidartywaun</v>
      </c>
      <c r="E38" s="116" t="str">
        <f>IFERROR(IF(VLOOKUP($A38,'Annex 2 EHV charges'!$D:$O,9,FALSE)=0,"",VLOOKUP($A38,'Annex 2 EHV charges'!$D:$O,9,FALSE)),"")</f>
        <v/>
      </c>
      <c r="F38" s="117">
        <f>IFERROR(IF(VLOOKUP($A38,'Annex 2 EHV charges'!$D:$O,10,FALSE)=0,"",VLOOKUP($A38,'Annex 2 EHV charges'!$D:$O,10,FALSE)),"")</f>
        <v>1762.73</v>
      </c>
      <c r="G38" s="118">
        <f>IFERROR(IF(VLOOKUP($A38,'Annex 2 EHV charges'!$D:$O,11,FALSE)=0,"",VLOOKUP($A38,'Annex 2 EHV charges'!$D:$O,11,FALSE)),"")</f>
        <v>0.05</v>
      </c>
      <c r="H38" s="118">
        <f>IFERROR(IF(VLOOKUP($A38,'Annex 2 EHV charges'!$D:$O,12,FALSE)=0,"",VLOOKUP($A38,'Annex 2 EHV charges'!$D:$O,12,FALSE)),"")</f>
        <v>0.05</v>
      </c>
    </row>
    <row r="39" spans="1:8" ht="12.75" customHeight="1" x14ac:dyDescent="0.2">
      <c r="A39" s="115">
        <f t="array" ref="A39">IFERROR(INDEX('Annex 2 EHV charges'!$D$11:$D$259, MATCH(0, IF(ISBLANK('Annex 2 EHV charges'!$D$11:$D$259),1, COUNTIF(A$4:$A38, 'Annex 2 EHV charges'!$D$11:$D$259)), 0)),"")</f>
        <v>668</v>
      </c>
      <c r="B39" s="114">
        <f>IF($A39="","",VLOOKUP($A39,'Annex 2 EHV charges'!$D:$O,2,0))</f>
        <v>668</v>
      </c>
      <c r="C39" s="115">
        <f>IF($A39="","",VLOOKUP($A39,'Annex 2 EHV charges'!$D:$O,3,0))</f>
        <v>1300050649381</v>
      </c>
      <c r="D39" s="114" t="str">
        <f>IF($A39="","",VLOOKUP($A39,'Annex 2 EHV charges'!$D:$O,4,0))</f>
        <v>Rhyd y Groes</v>
      </c>
      <c r="E39" s="116" t="str">
        <f>IFERROR(IF(VLOOKUP($A39,'Annex 2 EHV charges'!$D:$O,9,FALSE)=0,"",VLOOKUP($A39,'Annex 2 EHV charges'!$D:$O,9,FALSE)),"")</f>
        <v/>
      </c>
      <c r="F39" s="117">
        <f>IFERROR(IF(VLOOKUP($A39,'Annex 2 EHV charges'!$D:$O,10,FALSE)=0,"",VLOOKUP($A39,'Annex 2 EHV charges'!$D:$O,10,FALSE)),"")</f>
        <v>711.25</v>
      </c>
      <c r="G39" s="118">
        <f>IFERROR(IF(VLOOKUP($A39,'Annex 2 EHV charges'!$D:$O,11,FALSE)=0,"",VLOOKUP($A39,'Annex 2 EHV charges'!$D:$O,11,FALSE)),"")</f>
        <v>0.05</v>
      </c>
      <c r="H39" s="118">
        <f>IFERROR(IF(VLOOKUP($A39,'Annex 2 EHV charges'!$D:$O,12,FALSE)=0,"",VLOOKUP($A39,'Annex 2 EHV charges'!$D:$O,12,FALSE)),"")</f>
        <v>0.05</v>
      </c>
    </row>
    <row r="40" spans="1:8" ht="12.75" customHeight="1" x14ac:dyDescent="0.2">
      <c r="A40" s="115">
        <f t="array" ref="A40">IFERROR(INDEX('Annex 2 EHV charges'!$D$11:$D$259, MATCH(0, IF(ISBLANK('Annex 2 EHV charges'!$D$11:$D$259),1, COUNTIF(A$4:$A39, 'Annex 2 EHV charges'!$D$11:$D$259)), 0)),"")</f>
        <v>669</v>
      </c>
      <c r="B40" s="114">
        <f>IF($A40="","",VLOOKUP($A40,'Annex 2 EHV charges'!$D:$O,2,0))</f>
        <v>669</v>
      </c>
      <c r="C40" s="115">
        <f>IF($A40="","",VLOOKUP($A40,'Annex 2 EHV charges'!$D:$O,3,0))</f>
        <v>1300050649070</v>
      </c>
      <c r="D40" s="114" t="str">
        <f>IF($A40="","",VLOOKUP($A40,'Annex 2 EHV charges'!$D:$O,4,0))</f>
        <v>Llangwyrfon</v>
      </c>
      <c r="E40" s="116" t="str">
        <f>IFERROR(IF(VLOOKUP($A40,'Annex 2 EHV charges'!$D:$O,9,FALSE)=0,"",VLOOKUP($A40,'Annex 2 EHV charges'!$D:$O,9,FALSE)),"")</f>
        <v/>
      </c>
      <c r="F40" s="117">
        <f>IFERROR(IF(VLOOKUP($A40,'Annex 2 EHV charges'!$D:$O,10,FALSE)=0,"",VLOOKUP($A40,'Annex 2 EHV charges'!$D:$O,10,FALSE)),"")</f>
        <v>3334</v>
      </c>
      <c r="G40" s="118">
        <f>IFERROR(IF(VLOOKUP($A40,'Annex 2 EHV charges'!$D:$O,11,FALSE)=0,"",VLOOKUP($A40,'Annex 2 EHV charges'!$D:$O,11,FALSE)),"")</f>
        <v>0.05</v>
      </c>
      <c r="H40" s="118">
        <f>IFERROR(IF(VLOOKUP($A40,'Annex 2 EHV charges'!$D:$O,12,FALSE)=0,"",VLOOKUP($A40,'Annex 2 EHV charges'!$D:$O,12,FALSE)),"")</f>
        <v>0.05</v>
      </c>
    </row>
    <row r="41" spans="1:8" ht="12.75" customHeight="1" x14ac:dyDescent="0.2">
      <c r="A41" s="115">
        <f t="array" ref="A41">IFERROR(INDEX('Annex 2 EHV charges'!$D$11:$D$259, MATCH(0, IF(ISBLANK('Annex 2 EHV charges'!$D$11:$D$259),1, COUNTIF(A$4:$A40, 'Annex 2 EHV charges'!$D$11:$D$259)), 0)),"")</f>
        <v>671</v>
      </c>
      <c r="B41" s="114">
        <f>IF($A41="","",VLOOKUP($A41,'Annex 2 EHV charges'!$D:$O,2,0))</f>
        <v>671</v>
      </c>
      <c r="C41" s="115">
        <f>IF($A41="","",VLOOKUP($A41,'Annex 2 EHV charges'!$D:$O,3,0))</f>
        <v>1300037984002</v>
      </c>
      <c r="D41" s="114" t="str">
        <f>IF($A41="","",VLOOKUP($A41,'Annex 2 EHV charges'!$D:$O,4,0))</f>
        <v>Rheidol</v>
      </c>
      <c r="E41" s="116" t="str">
        <f>IFERROR(IF(VLOOKUP($A41,'Annex 2 EHV charges'!$D:$O,9,FALSE)=0,"",VLOOKUP($A41,'Annex 2 EHV charges'!$D:$O,9,FALSE)),"")</f>
        <v/>
      </c>
      <c r="F41" s="117">
        <f>IFERROR(IF(VLOOKUP($A41,'Annex 2 EHV charges'!$D:$O,10,FALSE)=0,"",VLOOKUP($A41,'Annex 2 EHV charges'!$D:$O,10,FALSE)),"")</f>
        <v>990.81</v>
      </c>
      <c r="G41" s="118">
        <f>IFERROR(IF(VLOOKUP($A41,'Annex 2 EHV charges'!$D:$O,11,FALSE)=0,"",VLOOKUP($A41,'Annex 2 EHV charges'!$D:$O,11,FALSE)),"")</f>
        <v>0.05</v>
      </c>
      <c r="H41" s="118">
        <f>IFERROR(IF(VLOOKUP($A41,'Annex 2 EHV charges'!$D:$O,12,FALSE)=0,"",VLOOKUP($A41,'Annex 2 EHV charges'!$D:$O,12,FALSE)),"")</f>
        <v>0.05</v>
      </c>
    </row>
    <row r="42" spans="1:8" ht="12.75" customHeight="1" x14ac:dyDescent="0.2">
      <c r="A42" s="115">
        <f t="array" ref="A42">IFERROR(INDEX('Annex 2 EHV charges'!$D$11:$D$259, MATCH(0, IF(ISBLANK('Annex 2 EHV charges'!$D$11:$D$259),1, COUNTIF(A$4:$A41, 'Annex 2 EHV charges'!$D$11:$D$259)), 0)),"")</f>
        <v>672</v>
      </c>
      <c r="B42" s="114">
        <f>IF($A42="","",VLOOKUP($A42,'Annex 2 EHV charges'!$D:$O,2,0))</f>
        <v>672</v>
      </c>
      <c r="C42" s="115">
        <f>IF($A42="","",VLOOKUP($A42,'Annex 2 EHV charges'!$D:$O,3,0))</f>
        <v>1300037983922</v>
      </c>
      <c r="D42" s="114" t="str">
        <f>IF($A42="","",VLOOKUP($A42,'Annex 2 EHV charges'!$D:$O,4,0))</f>
        <v>Carno B</v>
      </c>
      <c r="E42" s="116" t="str">
        <f>IFERROR(IF(VLOOKUP($A42,'Annex 2 EHV charges'!$D:$O,9,FALSE)=0,"",VLOOKUP($A42,'Annex 2 EHV charges'!$D:$O,9,FALSE)),"")</f>
        <v/>
      </c>
      <c r="F42" s="117" t="str">
        <f>IFERROR(IF(VLOOKUP($A42,'Annex 2 EHV charges'!$D:$O,10,FALSE)=0,"",VLOOKUP($A42,'Annex 2 EHV charges'!$D:$O,10,FALSE)),"")</f>
        <v/>
      </c>
      <c r="G42" s="118" t="str">
        <f>IFERROR(IF(VLOOKUP($A42,'Annex 2 EHV charges'!$D:$O,11,FALSE)=0,"",VLOOKUP($A42,'Annex 2 EHV charges'!$D:$O,11,FALSE)),"")</f>
        <v/>
      </c>
      <c r="H42" s="118" t="str">
        <f>IFERROR(IF(VLOOKUP($A42,'Annex 2 EHV charges'!$D:$O,12,FALSE)=0,"",VLOOKUP($A42,'Annex 2 EHV charges'!$D:$O,12,FALSE)),"")</f>
        <v/>
      </c>
    </row>
    <row r="43" spans="1:8" ht="12.75" customHeight="1" x14ac:dyDescent="0.2">
      <c r="A43" s="115">
        <f t="array" ref="A43">IFERROR(INDEX('Annex 2 EHV charges'!$D$11:$D$259, MATCH(0, IF(ISBLANK('Annex 2 EHV charges'!$D$11:$D$259),1, COUNTIF(A$4:$A42, 'Annex 2 EHV charges'!$D$11:$D$259)), 0)),"")</f>
        <v>673</v>
      </c>
      <c r="B43" s="114">
        <f>IF($A43="","",VLOOKUP($A43,'Annex 2 EHV charges'!$D:$O,2,0))</f>
        <v>673</v>
      </c>
      <c r="C43" s="115">
        <f>IF($A43="","",VLOOKUP($A43,'Annex 2 EHV charges'!$D:$O,3,0))</f>
        <v>1300037983904</v>
      </c>
      <c r="D43" s="114" t="str">
        <f>IF($A43="","",VLOOKUP($A43,'Annex 2 EHV charges'!$D:$O,4,0))</f>
        <v>Carno A</v>
      </c>
      <c r="E43" s="116" t="str">
        <f>IFERROR(IF(VLOOKUP($A43,'Annex 2 EHV charges'!$D:$O,9,FALSE)=0,"",VLOOKUP($A43,'Annex 2 EHV charges'!$D:$O,9,FALSE)),"")</f>
        <v/>
      </c>
      <c r="F43" s="117" t="str">
        <f>IFERROR(IF(VLOOKUP($A43,'Annex 2 EHV charges'!$D:$O,10,FALSE)=0,"",VLOOKUP($A43,'Annex 2 EHV charges'!$D:$O,10,FALSE)),"")</f>
        <v/>
      </c>
      <c r="G43" s="118" t="str">
        <f>IFERROR(IF(VLOOKUP($A43,'Annex 2 EHV charges'!$D:$O,11,FALSE)=0,"",VLOOKUP($A43,'Annex 2 EHV charges'!$D:$O,11,FALSE)),"")</f>
        <v/>
      </c>
      <c r="H43" s="118" t="str">
        <f>IFERROR(IF(VLOOKUP($A43,'Annex 2 EHV charges'!$D:$O,12,FALSE)=0,"",VLOOKUP($A43,'Annex 2 EHV charges'!$D:$O,12,FALSE)),"")</f>
        <v/>
      </c>
    </row>
    <row r="44" spans="1:8" ht="12.75" customHeight="1" x14ac:dyDescent="0.2">
      <c r="A44" s="115">
        <f t="array" ref="A44">IFERROR(INDEX('Annex 2 EHV charges'!$D$11:$D$259, MATCH(0, IF(ISBLANK('Annex 2 EHV charges'!$D$11:$D$259),1, COUNTIF(A$4:$A43, 'Annex 2 EHV charges'!$D$11:$D$259)), 0)),"")</f>
        <v>674</v>
      </c>
      <c r="B44" s="114">
        <f>IF($A44="","",VLOOKUP($A44,'Annex 2 EHV charges'!$D:$O,2,0))</f>
        <v>674</v>
      </c>
      <c r="C44" s="115">
        <f>IF($A44="","",VLOOKUP($A44,'Annex 2 EHV charges'!$D:$O,3,0))</f>
        <v>1300050649390</v>
      </c>
      <c r="D44" s="114" t="str">
        <f>IF($A44="","",VLOOKUP($A44,'Annex 2 EHV charges'!$D:$O,4,0))</f>
        <v>Trysglwyn</v>
      </c>
      <c r="E44" s="116" t="str">
        <f>IFERROR(IF(VLOOKUP($A44,'Annex 2 EHV charges'!$D:$O,9,FALSE)=0,"",VLOOKUP($A44,'Annex 2 EHV charges'!$D:$O,9,FALSE)),"")</f>
        <v/>
      </c>
      <c r="F44" s="117" t="str">
        <f>IFERROR(IF(VLOOKUP($A44,'Annex 2 EHV charges'!$D:$O,10,FALSE)=0,"",VLOOKUP($A44,'Annex 2 EHV charges'!$D:$O,10,FALSE)),"")</f>
        <v/>
      </c>
      <c r="G44" s="118" t="str">
        <f>IFERROR(IF(VLOOKUP($A44,'Annex 2 EHV charges'!$D:$O,11,FALSE)=0,"",VLOOKUP($A44,'Annex 2 EHV charges'!$D:$O,11,FALSE)),"")</f>
        <v/>
      </c>
      <c r="H44" s="118" t="str">
        <f>IFERROR(IF(VLOOKUP($A44,'Annex 2 EHV charges'!$D:$O,12,FALSE)=0,"",VLOOKUP($A44,'Annex 2 EHV charges'!$D:$O,12,FALSE)),"")</f>
        <v/>
      </c>
    </row>
    <row r="45" spans="1:8" ht="12.75" customHeight="1" x14ac:dyDescent="0.2">
      <c r="A45" s="115">
        <f t="array" ref="A45">IFERROR(INDEX('Annex 2 EHV charges'!$D$11:$D$259, MATCH(0, IF(ISBLANK('Annex 2 EHV charges'!$D$11:$D$259),1, COUNTIF(A$4:$A44, 'Annex 2 EHV charges'!$D$11:$D$259)), 0)),"")</f>
        <v>675</v>
      </c>
      <c r="B45" s="114">
        <f>IF($A45="","",VLOOKUP($A45,'Annex 2 EHV charges'!$D:$O,2,0))</f>
        <v>675</v>
      </c>
      <c r="C45" s="115">
        <f>IF($A45="","",VLOOKUP($A45,'Annex 2 EHV charges'!$D:$O,3,0))</f>
        <v>1300050649415</v>
      </c>
      <c r="D45" s="114" t="str">
        <f>IF($A45="","",VLOOKUP($A45,'Annex 2 EHV charges'!$D:$O,4,0))</f>
        <v>Llanabo</v>
      </c>
      <c r="E45" s="116" t="str">
        <f>IFERROR(IF(VLOOKUP($A45,'Annex 2 EHV charges'!$D:$O,9,FALSE)=0,"",VLOOKUP($A45,'Annex 2 EHV charges'!$D:$O,9,FALSE)),"")</f>
        <v/>
      </c>
      <c r="F45" s="117" t="str">
        <f>IFERROR(IF(VLOOKUP($A45,'Annex 2 EHV charges'!$D:$O,10,FALSE)=0,"",VLOOKUP($A45,'Annex 2 EHV charges'!$D:$O,10,FALSE)),"")</f>
        <v/>
      </c>
      <c r="G45" s="118" t="str">
        <f>IFERROR(IF(VLOOKUP($A45,'Annex 2 EHV charges'!$D:$O,11,FALSE)=0,"",VLOOKUP($A45,'Annex 2 EHV charges'!$D:$O,11,FALSE)),"")</f>
        <v/>
      </c>
      <c r="H45" s="118" t="str">
        <f>IFERROR(IF(VLOOKUP($A45,'Annex 2 EHV charges'!$D:$O,12,FALSE)=0,"",VLOOKUP($A45,'Annex 2 EHV charges'!$D:$O,12,FALSE)),"")</f>
        <v/>
      </c>
    </row>
    <row r="46" spans="1:8" ht="12.75" customHeight="1" x14ac:dyDescent="0.2">
      <c r="A46" s="115">
        <f t="array" ref="A46">IFERROR(INDEX('Annex 2 EHV charges'!$D$11:$D$259, MATCH(0, IF(ISBLANK('Annex 2 EHV charges'!$D$11:$D$259),1, COUNTIF(A$4:$A45, 'Annex 2 EHV charges'!$D$11:$D$259)), 0)),"")</f>
        <v>676</v>
      </c>
      <c r="B46" s="114">
        <f>IF($A46="","",VLOOKUP($A46,'Annex 2 EHV charges'!$D:$O,2,0))</f>
        <v>676</v>
      </c>
      <c r="C46" s="115">
        <f>IF($A46="","",VLOOKUP($A46,'Annex 2 EHV charges'!$D:$O,3,0))</f>
        <v>1300060701115</v>
      </c>
      <c r="D46" s="114" t="str">
        <f>IF($A46="","",VLOOKUP($A46,'Annex 2 EHV charges'!$D:$O,4,0))</f>
        <v>Ebnal Lodge PV</v>
      </c>
      <c r="E46" s="116" t="str">
        <f>IFERROR(IF(VLOOKUP($A46,'Annex 2 EHV charges'!$D:$O,9,FALSE)=0,"",VLOOKUP($A46,'Annex 2 EHV charges'!$D:$O,9,FALSE)),"")</f>
        <v/>
      </c>
      <c r="F46" s="117">
        <f>IFERROR(IF(VLOOKUP($A46,'Annex 2 EHV charges'!$D:$O,10,FALSE)=0,"",VLOOKUP($A46,'Annex 2 EHV charges'!$D:$O,10,FALSE)),"")</f>
        <v>1251.5899999999999</v>
      </c>
      <c r="G46" s="118">
        <f>IFERROR(IF(VLOOKUP($A46,'Annex 2 EHV charges'!$D:$O,11,FALSE)=0,"",VLOOKUP($A46,'Annex 2 EHV charges'!$D:$O,11,FALSE)),"")</f>
        <v>0.05</v>
      </c>
      <c r="H46" s="118">
        <f>IFERROR(IF(VLOOKUP($A46,'Annex 2 EHV charges'!$D:$O,12,FALSE)=0,"",VLOOKUP($A46,'Annex 2 EHV charges'!$D:$O,12,FALSE)),"")</f>
        <v>0.05</v>
      </c>
    </row>
    <row r="47" spans="1:8" ht="12.75" customHeight="1" x14ac:dyDescent="0.2">
      <c r="A47" s="115">
        <f t="array" ref="A47">IFERROR(INDEX('Annex 2 EHV charges'!$D$11:$D$259, MATCH(0, IF(ISBLANK('Annex 2 EHV charges'!$D$11:$D$259),1, COUNTIF(A$4:$A46, 'Annex 2 EHV charges'!$D$11:$D$259)), 0)),"")</f>
        <v>670</v>
      </c>
      <c r="B47" s="114">
        <f>IF($A47="","",VLOOKUP($A47,'Annex 2 EHV charges'!$D:$O,2,0))</f>
        <v>670</v>
      </c>
      <c r="C47" s="115">
        <f>IF($A47="","",VLOOKUP($A47,'Annex 2 EHV charges'!$D:$O,3,0))</f>
        <v>1300060621597</v>
      </c>
      <c r="D47" s="114" t="str">
        <f>IF($A47="","",VLOOKUP($A47,'Annex 2 EHV charges'!$D:$O,4,0))</f>
        <v>Twemelows Hall PV</v>
      </c>
      <c r="E47" s="116" t="str">
        <f>IFERROR(IF(VLOOKUP($A47,'Annex 2 EHV charges'!$D:$O,9,FALSE)=0,"",VLOOKUP($A47,'Annex 2 EHV charges'!$D:$O,9,FALSE)),"")</f>
        <v/>
      </c>
      <c r="F47" s="117">
        <f>IFERROR(IF(VLOOKUP($A47,'Annex 2 EHV charges'!$D:$O,10,FALSE)=0,"",VLOOKUP($A47,'Annex 2 EHV charges'!$D:$O,10,FALSE)),"")</f>
        <v>7808.82</v>
      </c>
      <c r="G47" s="118">
        <f>IFERROR(IF(VLOOKUP($A47,'Annex 2 EHV charges'!$D:$O,11,FALSE)=0,"",VLOOKUP($A47,'Annex 2 EHV charges'!$D:$O,11,FALSE)),"")</f>
        <v>0.05</v>
      </c>
      <c r="H47" s="118">
        <f>IFERROR(IF(VLOOKUP($A47,'Annex 2 EHV charges'!$D:$O,12,FALSE)=0,"",VLOOKUP($A47,'Annex 2 EHV charges'!$D:$O,12,FALSE)),"")</f>
        <v>0.05</v>
      </c>
    </row>
    <row r="48" spans="1:8" ht="12.75" customHeight="1" x14ac:dyDescent="0.2">
      <c r="A48" s="115">
        <f t="array" ref="A48">IFERROR(INDEX('Annex 2 EHV charges'!$D$11:$D$259, MATCH(0, IF(ISBLANK('Annex 2 EHV charges'!$D$11:$D$259),1, COUNTIF(A$4:$A47, 'Annex 2 EHV charges'!$D$11:$D$259)), 0)),"")</f>
        <v>679</v>
      </c>
      <c r="B48" s="114">
        <f>IF($A48="","",VLOOKUP($A48,'Annex 2 EHV charges'!$D:$O,2,0))</f>
        <v>679</v>
      </c>
      <c r="C48" s="115">
        <f>IF($A48="","",VLOOKUP($A48,'Annex 2 EHV charges'!$D:$O,3,0))</f>
        <v>1300060626284</v>
      </c>
      <c r="D48" s="114" t="str">
        <f>IF($A48="","",VLOOKUP($A48,'Annex 2 EHV charges'!$D:$O,4,0))</f>
        <v>Teyrdan</v>
      </c>
      <c r="E48" s="116" t="str">
        <f>IFERROR(IF(VLOOKUP($A48,'Annex 2 EHV charges'!$D:$O,9,FALSE)=0,"",VLOOKUP($A48,'Annex 2 EHV charges'!$D:$O,9,FALSE)),"")</f>
        <v/>
      </c>
      <c r="F48" s="117">
        <f>IFERROR(IF(VLOOKUP($A48,'Annex 2 EHV charges'!$D:$O,10,FALSE)=0,"",VLOOKUP($A48,'Annex 2 EHV charges'!$D:$O,10,FALSE)),"")</f>
        <v>122.16</v>
      </c>
      <c r="G48" s="118">
        <f>IFERROR(IF(VLOOKUP($A48,'Annex 2 EHV charges'!$D:$O,11,FALSE)=0,"",VLOOKUP($A48,'Annex 2 EHV charges'!$D:$O,11,FALSE)),"")</f>
        <v>0.05</v>
      </c>
      <c r="H48" s="118">
        <f>IFERROR(IF(VLOOKUP($A48,'Annex 2 EHV charges'!$D:$O,12,FALSE)=0,"",VLOOKUP($A48,'Annex 2 EHV charges'!$D:$O,12,FALSE)),"")</f>
        <v>0.05</v>
      </c>
    </row>
    <row r="49" spans="1:8" ht="12.75" customHeight="1" x14ac:dyDescent="0.2">
      <c r="A49" s="115">
        <f t="array" ref="A49">IFERROR(INDEX('Annex 2 EHV charges'!$D$11:$D$259, MATCH(0, IF(ISBLANK('Annex 2 EHV charges'!$D$11:$D$259),1, COUNTIF(A$4:$A48, 'Annex 2 EHV charges'!$D$11:$D$259)), 0)),"")</f>
        <v>684</v>
      </c>
      <c r="B49" s="114">
        <f>IF($A49="","",VLOOKUP($A49,'Annex 2 EHV charges'!$D:$O,2,0))</f>
        <v>684</v>
      </c>
      <c r="C49" s="115">
        <f>IF($A49="","",VLOOKUP($A49,'Annex 2 EHV charges'!$D:$O,3,0))</f>
        <v>1300060631665</v>
      </c>
      <c r="D49" s="114" t="str">
        <f>IF($A49="","",VLOOKUP($A49,'Annex 2 EHV charges'!$D:$O,4,0))</f>
        <v>Parc Adfer</v>
      </c>
      <c r="E49" s="116" t="str">
        <f>IFERROR(IF(VLOOKUP($A49,'Annex 2 EHV charges'!$D:$O,9,FALSE)=0,"",VLOOKUP($A49,'Annex 2 EHV charges'!$D:$O,9,FALSE)),"")</f>
        <v/>
      </c>
      <c r="F49" s="117">
        <f>IFERROR(IF(VLOOKUP($A49,'Annex 2 EHV charges'!$D:$O,10,FALSE)=0,"",VLOOKUP($A49,'Annex 2 EHV charges'!$D:$O,10,FALSE)),"")</f>
        <v>2013.55</v>
      </c>
      <c r="G49" s="118">
        <f>IFERROR(IF(VLOOKUP($A49,'Annex 2 EHV charges'!$D:$O,11,FALSE)=0,"",VLOOKUP($A49,'Annex 2 EHV charges'!$D:$O,11,FALSE)),"")</f>
        <v>0.05</v>
      </c>
      <c r="H49" s="118">
        <f>IFERROR(IF(VLOOKUP($A49,'Annex 2 EHV charges'!$D:$O,12,FALSE)=0,"",VLOOKUP($A49,'Annex 2 EHV charges'!$D:$O,12,FALSE)),"")</f>
        <v>0.05</v>
      </c>
    </row>
    <row r="50" spans="1:8" ht="12.75" customHeight="1" x14ac:dyDescent="0.2">
      <c r="A50" s="115">
        <f t="array" ref="A50">IFERROR(INDEX('Annex 2 EHV charges'!$D$11:$D$259, MATCH(0, IF(ISBLANK('Annex 2 EHV charges'!$D$11:$D$259),1, COUNTIF(A$4:$A49, 'Annex 2 EHV charges'!$D$11:$D$259)), 0)),"")</f>
        <v>683</v>
      </c>
      <c r="B50" s="114">
        <f>IF($A50="","",VLOOKUP($A50,'Annex 2 EHV charges'!$D:$O,2,0))</f>
        <v>683</v>
      </c>
      <c r="C50" s="115">
        <f>IF($A50="","",VLOOKUP($A50,'Annex 2 EHV charges'!$D:$O,3,0))</f>
        <v>1300060621969</v>
      </c>
      <c r="D50" s="114" t="str">
        <f>IF($A50="","",VLOOKUP($A50,'Annex 2 EHV charges'!$D:$O,4,0))</f>
        <v>Hadley Solar Park</v>
      </c>
      <c r="E50" s="116" t="str">
        <f>IFERROR(IF(VLOOKUP($A50,'Annex 2 EHV charges'!$D:$O,9,FALSE)=0,"",VLOOKUP($A50,'Annex 2 EHV charges'!$D:$O,9,FALSE)),"")</f>
        <v/>
      </c>
      <c r="F50" s="117">
        <f>IFERROR(IF(VLOOKUP($A50,'Annex 2 EHV charges'!$D:$O,10,FALSE)=0,"",VLOOKUP($A50,'Annex 2 EHV charges'!$D:$O,10,FALSE)),"")</f>
        <v>122</v>
      </c>
      <c r="G50" s="118">
        <f>IFERROR(IF(VLOOKUP($A50,'Annex 2 EHV charges'!$D:$O,11,FALSE)=0,"",VLOOKUP($A50,'Annex 2 EHV charges'!$D:$O,11,FALSE)),"")</f>
        <v>0.05</v>
      </c>
      <c r="H50" s="118">
        <f>IFERROR(IF(VLOOKUP($A50,'Annex 2 EHV charges'!$D:$O,12,FALSE)=0,"",VLOOKUP($A50,'Annex 2 EHV charges'!$D:$O,12,FALSE)),"")</f>
        <v>0.05</v>
      </c>
    </row>
    <row r="51" spans="1:8" ht="12.75" customHeight="1" x14ac:dyDescent="0.2">
      <c r="A51" s="115">
        <f t="array" ref="A51">IFERROR(INDEX('Annex 2 EHV charges'!$D$11:$D$259, MATCH(0, IF(ISBLANK('Annex 2 EHV charges'!$D$11:$D$259),1, COUNTIF(A$4:$A50, 'Annex 2 EHV charges'!$D$11:$D$259)), 0)),"")</f>
        <v>686</v>
      </c>
      <c r="B51" s="114">
        <f>IF($A51="","",VLOOKUP($A51,'Annex 2 EHV charges'!$D:$O,2,0))</f>
        <v>686</v>
      </c>
      <c r="C51" s="115">
        <f>IF($A51="","",VLOOKUP($A51,'Annex 2 EHV charges'!$D:$O,3,0))</f>
        <v>1300060657840</v>
      </c>
      <c r="D51" s="114" t="str">
        <f>IF($A51="","",VLOOKUP($A51,'Annex 2 EHV charges'!$D:$O,4,0))</f>
        <v>Charity Farm Solar Park</v>
      </c>
      <c r="E51" s="116" t="str">
        <f>IFERROR(IF(VLOOKUP($A51,'Annex 2 EHV charges'!$D:$O,9,FALSE)=0,"",VLOOKUP($A51,'Annex 2 EHV charges'!$D:$O,9,FALSE)),"")</f>
        <v/>
      </c>
      <c r="F51" s="117">
        <f>IFERROR(IF(VLOOKUP($A51,'Annex 2 EHV charges'!$D:$O,10,FALSE)=0,"",VLOOKUP($A51,'Annex 2 EHV charges'!$D:$O,10,FALSE)),"")</f>
        <v>122.46</v>
      </c>
      <c r="G51" s="118">
        <f>IFERROR(IF(VLOOKUP($A51,'Annex 2 EHV charges'!$D:$O,11,FALSE)=0,"",VLOOKUP($A51,'Annex 2 EHV charges'!$D:$O,11,FALSE)),"")</f>
        <v>0.05</v>
      </c>
      <c r="H51" s="118">
        <f>IFERROR(IF(VLOOKUP($A51,'Annex 2 EHV charges'!$D:$O,12,FALSE)=0,"",VLOOKUP($A51,'Annex 2 EHV charges'!$D:$O,12,FALSE)),"")</f>
        <v>0.05</v>
      </c>
    </row>
    <row r="52" spans="1:8" ht="12.75" customHeight="1" x14ac:dyDescent="0.2">
      <c r="A52" s="115">
        <f t="array" ref="A52">IFERROR(INDEX('Annex 2 EHV charges'!$D$11:$D$259, MATCH(0, IF(ISBLANK('Annex 2 EHV charges'!$D$11:$D$259),1, COUNTIF(A$4:$A51, 'Annex 2 EHV charges'!$D$11:$D$259)), 0)),"")</f>
        <v>687</v>
      </c>
      <c r="B52" s="114">
        <f>IF($A52="","",VLOOKUP($A52,'Annex 2 EHV charges'!$D:$O,2,0))</f>
        <v>687</v>
      </c>
      <c r="C52" s="115">
        <f>IF($A52="","",VLOOKUP($A52,'Annex 2 EHV charges'!$D:$O,3,0))</f>
        <v>1300050652905</v>
      </c>
      <c r="D52" s="114" t="str">
        <f>IF($A52="","",VLOOKUP($A52,'Annex 2 EHV charges'!$D:$O,4,0))</f>
        <v>Mynydd Gorduu</v>
      </c>
      <c r="E52" s="116" t="str">
        <f>IFERROR(IF(VLOOKUP($A52,'Annex 2 EHV charges'!$D:$O,9,FALSE)=0,"",VLOOKUP($A52,'Annex 2 EHV charges'!$D:$O,9,FALSE)),"")</f>
        <v/>
      </c>
      <c r="F52" s="117" t="str">
        <f>IFERROR(IF(VLOOKUP($A52,'Annex 2 EHV charges'!$D:$O,10,FALSE)=0,"",VLOOKUP($A52,'Annex 2 EHV charges'!$D:$O,10,FALSE)),"")</f>
        <v/>
      </c>
      <c r="G52" s="118" t="str">
        <f>IFERROR(IF(VLOOKUP($A52,'Annex 2 EHV charges'!$D:$O,11,FALSE)=0,"",VLOOKUP($A52,'Annex 2 EHV charges'!$D:$O,11,FALSE)),"")</f>
        <v/>
      </c>
      <c r="H52" s="118" t="str">
        <f>IFERROR(IF(VLOOKUP($A52,'Annex 2 EHV charges'!$D:$O,12,FALSE)=0,"",VLOOKUP($A52,'Annex 2 EHV charges'!$D:$O,12,FALSE)),"")</f>
        <v/>
      </c>
    </row>
    <row r="53" spans="1:8" ht="12.75" customHeight="1" x14ac:dyDescent="0.2">
      <c r="A53" s="115">
        <f t="array" ref="A53">IFERROR(INDEX('Annex 2 EHV charges'!$D$11:$D$259, MATCH(0, IF(ISBLANK('Annex 2 EHV charges'!$D$11:$D$259),1, COUNTIF(A$4:$A52, 'Annex 2 EHV charges'!$D$11:$D$259)), 0)),"")</f>
        <v>678</v>
      </c>
      <c r="B53" s="114">
        <f>IF($A53="","",VLOOKUP($A53,'Annex 2 EHV charges'!$D:$O,2,0))</f>
        <v>678</v>
      </c>
      <c r="C53" s="115">
        <f>IF($A53="","",VLOOKUP($A53,'Annex 2 EHV charges'!$D:$O,3,0))</f>
        <v>1300060626309</v>
      </c>
      <c r="D53" s="114" t="str">
        <f>IF($A53="","",VLOOKUP($A53,'Annex 2 EHV charges'!$D:$O,4,0))</f>
        <v>Nefyn</v>
      </c>
      <c r="E53" s="116" t="str">
        <f>IFERROR(IF(VLOOKUP($A53,'Annex 2 EHV charges'!$D:$O,9,FALSE)=0,"",VLOOKUP($A53,'Annex 2 EHV charges'!$D:$O,9,FALSE)),"")</f>
        <v/>
      </c>
      <c r="F53" s="117">
        <f>IFERROR(IF(VLOOKUP($A53,'Annex 2 EHV charges'!$D:$O,10,FALSE)=0,"",VLOOKUP($A53,'Annex 2 EHV charges'!$D:$O,10,FALSE)),"")</f>
        <v>122.25</v>
      </c>
      <c r="G53" s="118">
        <f>IFERROR(IF(VLOOKUP($A53,'Annex 2 EHV charges'!$D:$O,11,FALSE)=0,"",VLOOKUP($A53,'Annex 2 EHV charges'!$D:$O,11,FALSE)),"")</f>
        <v>0.05</v>
      </c>
      <c r="H53" s="118">
        <f>IFERROR(IF(VLOOKUP($A53,'Annex 2 EHV charges'!$D:$O,12,FALSE)=0,"",VLOOKUP($A53,'Annex 2 EHV charges'!$D:$O,12,FALSE)),"")</f>
        <v>0.05</v>
      </c>
    </row>
    <row r="54" spans="1:8" ht="12.75" customHeight="1" x14ac:dyDescent="0.2">
      <c r="A54" s="115">
        <f t="array" ref="A54">IFERROR(INDEX('Annex 2 EHV charges'!$D$11:$D$259, MATCH(0, IF(ISBLANK('Annex 2 EHV charges'!$D$11:$D$259),1, COUNTIF(A$4:$A53, 'Annex 2 EHV charges'!$D$11:$D$259)), 0)),"")</f>
        <v>697</v>
      </c>
      <c r="B54" s="114">
        <f>IF($A54="","",VLOOKUP($A54,'Annex 2 EHV charges'!$D:$O,2,0))</f>
        <v>697</v>
      </c>
      <c r="C54" s="115">
        <f>IF($A54="","",VLOOKUP($A54,'Annex 2 EHV charges'!$D:$O,3,0))</f>
        <v>1300060621996</v>
      </c>
      <c r="D54" s="114" t="str">
        <f>IF($A54="","",VLOOKUP($A54,'Annex 2 EHV charges'!$D:$O,4,0))</f>
        <v>Frodsham WF 1</v>
      </c>
      <c r="E54" s="116" t="str">
        <f>IFERROR(IF(VLOOKUP($A54,'Annex 2 EHV charges'!$D:$O,9,FALSE)=0,"",VLOOKUP($A54,'Annex 2 EHV charges'!$D:$O,9,FALSE)),"")</f>
        <v/>
      </c>
      <c r="F54" s="117">
        <f>IFERROR(IF(VLOOKUP($A54,'Annex 2 EHV charges'!$D:$O,10,FALSE)=0,"",VLOOKUP($A54,'Annex 2 EHV charges'!$D:$O,10,FALSE)),"")</f>
        <v>4243.42</v>
      </c>
      <c r="G54" s="118">
        <f>IFERROR(IF(VLOOKUP($A54,'Annex 2 EHV charges'!$D:$O,11,FALSE)=0,"",VLOOKUP($A54,'Annex 2 EHV charges'!$D:$O,11,FALSE)),"")</f>
        <v>0.05</v>
      </c>
      <c r="H54" s="118">
        <f>IFERROR(IF(VLOOKUP($A54,'Annex 2 EHV charges'!$D:$O,12,FALSE)=0,"",VLOOKUP($A54,'Annex 2 EHV charges'!$D:$O,12,FALSE)),"")</f>
        <v>0.05</v>
      </c>
    </row>
    <row r="55" spans="1:8" ht="12.75" customHeight="1" x14ac:dyDescent="0.2">
      <c r="A55" s="115">
        <f t="array" ref="A55">IFERROR(INDEX('Annex 2 EHV charges'!$D$11:$D$259, MATCH(0, IF(ISBLANK('Annex 2 EHV charges'!$D$11:$D$259),1, COUNTIF(A$4:$A54, 'Annex 2 EHV charges'!$D$11:$D$259)), 0)),"")</f>
        <v>699</v>
      </c>
      <c r="B55" s="114">
        <f>IF($A55="","",VLOOKUP($A55,'Annex 2 EHV charges'!$D:$O,2,0))</f>
        <v>699</v>
      </c>
      <c r="C55" s="115">
        <f>IF($A55="","",VLOOKUP($A55,'Annex 2 EHV charges'!$D:$O,3,0))</f>
        <v>1300060622011</v>
      </c>
      <c r="D55" s="114" t="str">
        <f>IF($A55="","",VLOOKUP($A55,'Annex 2 EHV charges'!$D:$O,4,0))</f>
        <v>Frodsham WF 2</v>
      </c>
      <c r="E55" s="116" t="str">
        <f>IFERROR(IF(VLOOKUP($A55,'Annex 2 EHV charges'!$D:$O,9,FALSE)=0,"",VLOOKUP($A55,'Annex 2 EHV charges'!$D:$O,9,FALSE)),"")</f>
        <v/>
      </c>
      <c r="F55" s="117">
        <f>IFERROR(IF(VLOOKUP($A55,'Annex 2 EHV charges'!$D:$O,10,FALSE)=0,"",VLOOKUP($A55,'Annex 2 EHV charges'!$D:$O,10,FALSE)),"")</f>
        <v>1955.94</v>
      </c>
      <c r="G55" s="118">
        <f>IFERROR(IF(VLOOKUP($A55,'Annex 2 EHV charges'!$D:$O,11,FALSE)=0,"",VLOOKUP($A55,'Annex 2 EHV charges'!$D:$O,11,FALSE)),"")</f>
        <v>0.05</v>
      </c>
      <c r="H55" s="118">
        <f>IFERROR(IF(VLOOKUP($A55,'Annex 2 EHV charges'!$D:$O,12,FALSE)=0,"",VLOOKUP($A55,'Annex 2 EHV charges'!$D:$O,12,FALSE)),"")</f>
        <v>0.05</v>
      </c>
    </row>
    <row r="56" spans="1:8" ht="12.75" customHeight="1" x14ac:dyDescent="0.2">
      <c r="A56" s="115">
        <f t="array" ref="A56">IFERROR(INDEX('Annex 2 EHV charges'!$D$11:$D$259, MATCH(0, IF(ISBLANK('Annex 2 EHV charges'!$D$11:$D$259),1, COUNTIF(A$4:$A55, 'Annex 2 EHV charges'!$D$11:$D$259)), 0)),"")</f>
        <v>692</v>
      </c>
      <c r="B56" s="114">
        <f>IF($A56="","",VLOOKUP($A56,'Annex 2 EHV charges'!$D:$O,2,0))</f>
        <v>692</v>
      </c>
      <c r="C56" s="115">
        <f>IF($A56="","",VLOOKUP($A56,'Annex 2 EHV charges'!$D:$O,3,0))</f>
        <v>1300060609702</v>
      </c>
      <c r="D56" s="114" t="str">
        <f>IF($A56="","",VLOOKUP($A56,'Annex 2 EHV charges'!$D:$O,4,0))</f>
        <v>Ince Biomass</v>
      </c>
      <c r="E56" s="116">
        <f>IFERROR(IF(VLOOKUP($A56,'Annex 2 EHV charges'!$D:$O,9,FALSE)=0,"",VLOOKUP($A56,'Annex 2 EHV charges'!$D:$O,9,FALSE)),"")</f>
        <v>-0.26200000000000001</v>
      </c>
      <c r="F56" s="117">
        <f>IFERROR(IF(VLOOKUP($A56,'Annex 2 EHV charges'!$D:$O,10,FALSE)=0,"",VLOOKUP($A56,'Annex 2 EHV charges'!$D:$O,10,FALSE)),"")</f>
        <v>1993.24</v>
      </c>
      <c r="G56" s="118">
        <f>IFERROR(IF(VLOOKUP($A56,'Annex 2 EHV charges'!$D:$O,11,FALSE)=0,"",VLOOKUP($A56,'Annex 2 EHV charges'!$D:$O,11,FALSE)),"")</f>
        <v>0.05</v>
      </c>
      <c r="H56" s="118">
        <f>IFERROR(IF(VLOOKUP($A56,'Annex 2 EHV charges'!$D:$O,12,FALSE)=0,"",VLOOKUP($A56,'Annex 2 EHV charges'!$D:$O,12,FALSE)),"")</f>
        <v>0.05</v>
      </c>
    </row>
    <row r="57" spans="1:8" ht="12.75" customHeight="1" x14ac:dyDescent="0.2">
      <c r="A57" s="115">
        <f t="array" ref="A57">IFERROR(INDEX('Annex 2 EHV charges'!$D$11:$D$259, MATCH(0, IF(ISBLANK('Annex 2 EHV charges'!$D$11:$D$259),1, COUNTIF(A$4:$A56, 'Annex 2 EHV charges'!$D$11:$D$259)), 0)),"")</f>
        <v>693</v>
      </c>
      <c r="B57" s="114">
        <f>IF($A57="","",VLOOKUP($A57,'Annex 2 EHV charges'!$D:$O,2,0))</f>
        <v>693</v>
      </c>
      <c r="C57" s="115">
        <f>IF($A57="","",VLOOKUP($A57,'Annex 2 EHV charges'!$D:$O,3,0))</f>
        <v>1300060659759</v>
      </c>
      <c r="D57" s="114" t="str">
        <f>IF($A57="","",VLOOKUP($A57,'Annex 2 EHV charges'!$D:$O,4,0))</f>
        <v>Kinmel Estate Solar Park</v>
      </c>
      <c r="E57" s="116" t="str">
        <f>IFERROR(IF(VLOOKUP($A57,'Annex 2 EHV charges'!$D:$O,9,FALSE)=0,"",VLOOKUP($A57,'Annex 2 EHV charges'!$D:$O,9,FALSE)),"")</f>
        <v/>
      </c>
      <c r="F57" s="117">
        <f>IFERROR(IF(VLOOKUP($A57,'Annex 2 EHV charges'!$D:$O,10,FALSE)=0,"",VLOOKUP($A57,'Annex 2 EHV charges'!$D:$O,10,FALSE)),"")</f>
        <v>365</v>
      </c>
      <c r="G57" s="118">
        <f>IFERROR(IF(VLOOKUP($A57,'Annex 2 EHV charges'!$D:$O,11,FALSE)=0,"",VLOOKUP($A57,'Annex 2 EHV charges'!$D:$O,11,FALSE)),"")</f>
        <v>0.05</v>
      </c>
      <c r="H57" s="118">
        <f>IFERROR(IF(VLOOKUP($A57,'Annex 2 EHV charges'!$D:$O,12,FALSE)=0,"",VLOOKUP($A57,'Annex 2 EHV charges'!$D:$O,12,FALSE)),"")</f>
        <v>0.05</v>
      </c>
    </row>
    <row r="58" spans="1:8" ht="12.75" customHeight="1" x14ac:dyDescent="0.2">
      <c r="A58" s="115">
        <f t="array" ref="A58">IFERROR(INDEX('Annex 2 EHV charges'!$D$11:$D$259, MATCH(0, IF(ISBLANK('Annex 2 EHV charges'!$D$11:$D$259),1, COUNTIF(A$4:$A57, 'Annex 2 EHV charges'!$D$11:$D$259)), 0)),"")</f>
        <v>694</v>
      </c>
      <c r="B58" s="114">
        <f>IF($A58="","",VLOOKUP($A58,'Annex 2 EHV charges'!$D:$O,2,0))</f>
        <v>694</v>
      </c>
      <c r="C58" s="115">
        <f>IF($A58="","",VLOOKUP($A58,'Annex 2 EHV charges'!$D:$O,3,0))</f>
        <v>1300060647610</v>
      </c>
      <c r="D58" s="114" t="str">
        <f>IF($A58="","",VLOOKUP($A58,'Annex 2 EHV charges'!$D:$O,4,0))</f>
        <v>Tirgwynt Wind Farm</v>
      </c>
      <c r="E58" s="116" t="str">
        <f>IFERROR(IF(VLOOKUP($A58,'Annex 2 EHV charges'!$D:$O,9,FALSE)=0,"",VLOOKUP($A58,'Annex 2 EHV charges'!$D:$O,9,FALSE)),"")</f>
        <v/>
      </c>
      <c r="F58" s="117">
        <f>IFERROR(IF(VLOOKUP($A58,'Annex 2 EHV charges'!$D:$O,10,FALSE)=0,"",VLOOKUP($A58,'Annex 2 EHV charges'!$D:$O,10,FALSE)),"")</f>
        <v>19671.95</v>
      </c>
      <c r="G58" s="118">
        <f>IFERROR(IF(VLOOKUP($A58,'Annex 2 EHV charges'!$D:$O,11,FALSE)=0,"",VLOOKUP($A58,'Annex 2 EHV charges'!$D:$O,11,FALSE)),"")</f>
        <v>0.05</v>
      </c>
      <c r="H58" s="118">
        <f>IFERROR(IF(VLOOKUP($A58,'Annex 2 EHV charges'!$D:$O,12,FALSE)=0,"",VLOOKUP($A58,'Annex 2 EHV charges'!$D:$O,12,FALSE)),"")</f>
        <v>0.05</v>
      </c>
    </row>
    <row r="59" spans="1:8" ht="12.75" customHeight="1" x14ac:dyDescent="0.2">
      <c r="A59" s="115">
        <f t="array" ref="A59">IFERROR(INDEX('Annex 2 EHV charges'!$D$11:$D$259, MATCH(0, IF(ISBLANK('Annex 2 EHV charges'!$D$11:$D$259),1, COUNTIF(A$4:$A58, 'Annex 2 EHV charges'!$D$11:$D$259)), 0)),"")</f>
        <v>616</v>
      </c>
      <c r="B59" s="114">
        <f>IF($A59="","",VLOOKUP($A59,'Annex 2 EHV charges'!$D:$O,2,0))</f>
        <v>616</v>
      </c>
      <c r="C59" s="115">
        <f>IF($A59="","",VLOOKUP($A59,'Annex 2 EHV charges'!$D:$O,3,0))</f>
        <v>1300060673451</v>
      </c>
      <c r="D59" s="114" t="str">
        <f>IF($A59="","",VLOOKUP($A59,'Annex 2 EHV charges'!$D:$O,4,0))</f>
        <v>Percival Lane STOR</v>
      </c>
      <c r="E59" s="116" t="str">
        <f>IFERROR(IF(VLOOKUP($A59,'Annex 2 EHV charges'!$D:$O,9,FALSE)=0,"",VLOOKUP($A59,'Annex 2 EHV charges'!$D:$O,9,FALSE)),"")</f>
        <v/>
      </c>
      <c r="F59" s="117">
        <f>IFERROR(IF(VLOOKUP($A59,'Annex 2 EHV charges'!$D:$O,10,FALSE)=0,"",VLOOKUP($A59,'Annex 2 EHV charges'!$D:$O,10,FALSE)),"")</f>
        <v>2537.85</v>
      </c>
      <c r="G59" s="118">
        <f>IFERROR(IF(VLOOKUP($A59,'Annex 2 EHV charges'!$D:$O,11,FALSE)=0,"",VLOOKUP($A59,'Annex 2 EHV charges'!$D:$O,11,FALSE)),"")</f>
        <v>0.05</v>
      </c>
      <c r="H59" s="118">
        <f>IFERROR(IF(VLOOKUP($A59,'Annex 2 EHV charges'!$D:$O,12,FALSE)=0,"",VLOOKUP($A59,'Annex 2 EHV charges'!$D:$O,12,FALSE)),"")</f>
        <v>0.05</v>
      </c>
    </row>
    <row r="60" spans="1:8" ht="12.75" customHeight="1" x14ac:dyDescent="0.2">
      <c r="A60" s="115">
        <f t="array" ref="A60">IFERROR(INDEX('Annex 2 EHV charges'!$D$11:$D$259, MATCH(0, IF(ISBLANK('Annex 2 EHV charges'!$D$11:$D$259),1, COUNTIF(A$4:$A59, 'Annex 2 EHV charges'!$D$11:$D$259)), 0)),"")</f>
        <v>617</v>
      </c>
      <c r="B60" s="114">
        <f>IF($A60="","",VLOOKUP($A60,'Annex 2 EHV charges'!$D:$O,2,0))</f>
        <v>617</v>
      </c>
      <c r="C60" s="115">
        <f>IF($A60="","",VLOOKUP($A60,'Annex 2 EHV charges'!$D:$O,3,0))</f>
        <v>1300060673489</v>
      </c>
      <c r="D60" s="114" t="str">
        <f>IF($A60="","",VLOOKUP($A60,'Annex 2 EHV charges'!$D:$O,4,0))</f>
        <v>Stanlow STOR</v>
      </c>
      <c r="E60" s="116">
        <f>IFERROR(IF(VLOOKUP($A60,'Annex 2 EHV charges'!$D:$O,9,FALSE)=0,"",VLOOKUP($A60,'Annex 2 EHV charges'!$D:$O,9,FALSE)),"")</f>
        <v>-0.73099999999999998</v>
      </c>
      <c r="F60" s="117">
        <f>IFERROR(IF(VLOOKUP($A60,'Annex 2 EHV charges'!$D:$O,10,FALSE)=0,"",VLOOKUP($A60,'Annex 2 EHV charges'!$D:$O,10,FALSE)),"")</f>
        <v>2506.9</v>
      </c>
      <c r="G60" s="118">
        <f>IFERROR(IF(VLOOKUP($A60,'Annex 2 EHV charges'!$D:$O,11,FALSE)=0,"",VLOOKUP($A60,'Annex 2 EHV charges'!$D:$O,11,FALSE)),"")</f>
        <v>0.05</v>
      </c>
      <c r="H60" s="118">
        <f>IFERROR(IF(VLOOKUP($A60,'Annex 2 EHV charges'!$D:$O,12,FALSE)=0,"",VLOOKUP($A60,'Annex 2 EHV charges'!$D:$O,12,FALSE)),"")</f>
        <v>0.05</v>
      </c>
    </row>
    <row r="61" spans="1:8" ht="12.75" customHeight="1" x14ac:dyDescent="0.2">
      <c r="A61" s="115">
        <f t="array" ref="A61">IFERROR(INDEX('Annex 2 EHV charges'!$D$11:$D$259, MATCH(0, IF(ISBLANK('Annex 2 EHV charges'!$D$11:$D$259),1, COUNTIF(A$4:$A60, 'Annex 2 EHV charges'!$D$11:$D$259)), 0)),"")</f>
        <v>698</v>
      </c>
      <c r="B61" s="114">
        <f>IF($A61="","",VLOOKUP($A61,'Annex 2 EHV charges'!$D:$O,2,0))</f>
        <v>698</v>
      </c>
      <c r="C61" s="115">
        <f>IF($A61="","",VLOOKUP($A61,'Annex 2 EHV charges'!$D:$O,3,0))</f>
        <v>1300051694827</v>
      </c>
      <c r="D61" s="114" t="str">
        <f>IF($A61="","",VLOOKUP($A61,'Annex 2 EHV charges'!$D:$O,4,0))</f>
        <v>PG Winnington</v>
      </c>
      <c r="E61" s="116" t="str">
        <f>IFERROR(IF(VLOOKUP($A61,'Annex 2 EHV charges'!$D:$O,9,FALSE)=0,"",VLOOKUP($A61,'Annex 2 EHV charges'!$D:$O,9,FALSE)),"")</f>
        <v/>
      </c>
      <c r="F61" s="117" t="str">
        <f>IFERROR(IF(VLOOKUP($A61,'Annex 2 EHV charges'!$D:$O,10,FALSE)=0,"",VLOOKUP($A61,'Annex 2 EHV charges'!$D:$O,10,FALSE)),"")</f>
        <v/>
      </c>
      <c r="G61" s="118" t="str">
        <f>IFERROR(IF(VLOOKUP($A61,'Annex 2 EHV charges'!$D:$O,11,FALSE)=0,"",VLOOKUP($A61,'Annex 2 EHV charges'!$D:$O,11,FALSE)),"")</f>
        <v/>
      </c>
      <c r="H61" s="118" t="str">
        <f>IFERROR(IF(VLOOKUP($A61,'Annex 2 EHV charges'!$D:$O,12,FALSE)=0,"",VLOOKUP($A61,'Annex 2 EHV charges'!$D:$O,12,FALSE)),"")</f>
        <v/>
      </c>
    </row>
    <row r="62" spans="1:8" ht="12.75" customHeight="1" x14ac:dyDescent="0.2">
      <c r="A62" s="115">
        <f t="array" ref="A62">IFERROR(INDEX('Annex 2 EHV charges'!$D$11:$D$259, MATCH(0, IF(ISBLANK('Annex 2 EHV charges'!$D$11:$D$259),1, COUNTIF(A$4:$A61, 'Annex 2 EHV charges'!$D$11:$D$259)), 0)),"")</f>
        <v>691</v>
      </c>
      <c r="B62" s="114">
        <f>IF($A62="","",VLOOKUP($A62,'Annex 2 EHV charges'!$D:$O,2,0))</f>
        <v>691</v>
      </c>
      <c r="C62" s="115">
        <f>IF($A62="","",VLOOKUP($A62,'Annex 2 EHV charges'!$D:$O,3,0))</f>
        <v>1300060208518</v>
      </c>
      <c r="D62" s="114" t="str">
        <f>IF($A62="","",VLOOKUP($A62,'Annex 2 EHV charges'!$D:$O,4,0))</f>
        <v>Network Rail (Crewe)</v>
      </c>
      <c r="E62" s="116" t="str">
        <f>IFERROR(IF(VLOOKUP($A62,'Annex 2 EHV charges'!$D:$O,9,FALSE)=0,"",VLOOKUP($A62,'Annex 2 EHV charges'!$D:$O,9,FALSE)),"")</f>
        <v/>
      </c>
      <c r="F62" s="117">
        <f>IFERROR(IF(VLOOKUP($A62,'Annex 2 EHV charges'!$D:$O,10,FALSE)=0,"",VLOOKUP($A62,'Annex 2 EHV charges'!$D:$O,10,FALSE)),"")</f>
        <v>2286.56</v>
      </c>
      <c r="G62" s="118">
        <f>IFERROR(IF(VLOOKUP($A62,'Annex 2 EHV charges'!$D:$O,11,FALSE)=0,"",VLOOKUP($A62,'Annex 2 EHV charges'!$D:$O,11,FALSE)),"")</f>
        <v>0.05</v>
      </c>
      <c r="H62" s="118">
        <f>IFERROR(IF(VLOOKUP($A62,'Annex 2 EHV charges'!$D:$O,12,FALSE)=0,"",VLOOKUP($A62,'Annex 2 EHV charges'!$D:$O,12,FALSE)),"")</f>
        <v>0.05</v>
      </c>
    </row>
    <row r="63" spans="1:8" ht="12.75" customHeight="1" x14ac:dyDescent="0.2">
      <c r="A63" s="115">
        <f t="array" ref="A63">IFERROR(INDEX('Annex 2 EHV charges'!$D$11:$D$259, MATCH(0, IF(ISBLANK('Annex 2 EHV charges'!$D$11:$D$259),1, COUNTIF(A$4:$A62, 'Annex 2 EHV charges'!$D$11:$D$259)), 0)),"")</f>
        <v>682</v>
      </c>
      <c r="B63" s="114">
        <f>IF($A63="","",VLOOKUP($A63,'Annex 2 EHV charges'!$D:$O,2,0))</f>
        <v>682</v>
      </c>
      <c r="C63" s="115">
        <f>IF($A63="","",VLOOKUP($A63,'Annex 2 EHV charges'!$D:$O,3,0))</f>
        <v>1300060269895</v>
      </c>
      <c r="D63" s="114" t="str">
        <f>IF($A63="","",VLOOKUP($A63,'Annex 2 EHV charges'!$D:$O,4,0))</f>
        <v>Network Rail (Speke)</v>
      </c>
      <c r="E63" s="116">
        <f>IFERROR(IF(VLOOKUP($A63,'Annex 2 EHV charges'!$D:$O,9,FALSE)=0,"",VLOOKUP($A63,'Annex 2 EHV charges'!$D:$O,9,FALSE)),"")</f>
        <v>-0.28599999999999998</v>
      </c>
      <c r="F63" s="117">
        <f>IFERROR(IF(VLOOKUP($A63,'Annex 2 EHV charges'!$D:$O,10,FALSE)=0,"",VLOOKUP($A63,'Annex 2 EHV charges'!$D:$O,10,FALSE)),"")</f>
        <v>1112.56</v>
      </c>
      <c r="G63" s="118">
        <f>IFERROR(IF(VLOOKUP($A63,'Annex 2 EHV charges'!$D:$O,11,FALSE)=0,"",VLOOKUP($A63,'Annex 2 EHV charges'!$D:$O,11,FALSE)),"")</f>
        <v>0.05</v>
      </c>
      <c r="H63" s="118">
        <f>IFERROR(IF(VLOOKUP($A63,'Annex 2 EHV charges'!$D:$O,12,FALSE)=0,"",VLOOKUP($A63,'Annex 2 EHV charges'!$D:$O,12,FALSE)),"")</f>
        <v>0.05</v>
      </c>
    </row>
    <row r="64" spans="1:8" ht="12.75" customHeight="1" x14ac:dyDescent="0.2">
      <c r="A64" s="115" t="str">
        <f t="array" ref="A64">IFERROR(INDEX('Annex 2 EHV charges'!$D$11:$D$259, MATCH(0, IF(ISBLANK('Annex 2 EHV charges'!$D$11:$D$259),1, COUNTIF(A$4:$A63, 'Annex 2 EHV charges'!$D$11:$D$259)), 0)),"")</f>
        <v>MSID 7120</v>
      </c>
      <c r="B64" s="114" t="str">
        <f>IF($A64="","",VLOOKUP($A64,'Annex 2 EHV charges'!$D:$O,2,0))</f>
        <v>MSID 7120</v>
      </c>
      <c r="C64" s="115" t="str">
        <f>IF($A64="","",VLOOKUP($A64,'Annex 2 EHV charges'!$D:$O,3,0))</f>
        <v>MSID 7120</v>
      </c>
      <c r="D64" s="114" t="str">
        <f>IF($A64="","",VLOOKUP($A64,'Annex 2 EHV charges'!$D:$O,4,0))</f>
        <v>Shotton Paper</v>
      </c>
      <c r="E64" s="116" t="str">
        <f>IFERROR(IF(VLOOKUP($A64,'Annex 2 EHV charges'!$D:$O,9,FALSE)=0,"",VLOOKUP($A64,'Annex 2 EHV charges'!$D:$O,9,FALSE)),"")</f>
        <v/>
      </c>
      <c r="F64" s="117" t="str">
        <f>IFERROR(IF(VLOOKUP($A64,'Annex 2 EHV charges'!$D:$O,10,FALSE)=0,"",VLOOKUP($A64,'Annex 2 EHV charges'!$D:$O,10,FALSE)),"")</f>
        <v/>
      </c>
      <c r="G64" s="118" t="str">
        <f>IFERROR(IF(VLOOKUP($A64,'Annex 2 EHV charges'!$D:$O,11,FALSE)=0,"",VLOOKUP($A64,'Annex 2 EHV charges'!$D:$O,11,FALSE)),"")</f>
        <v/>
      </c>
      <c r="H64" s="118" t="str">
        <f>IFERROR(IF(VLOOKUP($A64,'Annex 2 EHV charges'!$D:$O,12,FALSE)=0,"",VLOOKUP($A64,'Annex 2 EHV charges'!$D:$O,12,FALSE)),"")</f>
        <v/>
      </c>
    </row>
    <row r="65" spans="1:8" ht="12.75" customHeight="1" x14ac:dyDescent="0.2">
      <c r="A65" s="115" t="str">
        <f t="array" ref="A65">IFERROR(INDEX('Annex 2 EHV charges'!$D$11:$D$259, MATCH(0, IF(ISBLANK('Annex 2 EHV charges'!$D$11:$D$259),1, COUNTIF(A$4:$A64, 'Annex 2 EHV charges'!$D$11:$D$259)), 0)),"")</f>
        <v>MSID 7203</v>
      </c>
      <c r="B65" s="114" t="str">
        <f>IF($A65="","",VLOOKUP($A65,'Annex 2 EHV charges'!$D:$O,2,0))</f>
        <v>MSID 7203</v>
      </c>
      <c r="C65" s="115" t="str">
        <f>IF($A65="","",VLOOKUP($A65,'Annex 2 EHV charges'!$D:$O,3,0))</f>
        <v>MSID 7203</v>
      </c>
      <c r="D65" s="114" t="str">
        <f>IF($A65="","",VLOOKUP($A65,'Annex 2 EHV charges'!$D:$O,4,0))</f>
        <v>Burbo Bank</v>
      </c>
      <c r="E65" s="116" t="str">
        <f>IFERROR(IF(VLOOKUP($A65,'Annex 2 EHV charges'!$D:$O,9,FALSE)=0,"",VLOOKUP($A65,'Annex 2 EHV charges'!$D:$O,9,FALSE)),"")</f>
        <v/>
      </c>
      <c r="F65" s="117" t="str">
        <f>IFERROR(IF(VLOOKUP($A65,'Annex 2 EHV charges'!$D:$O,10,FALSE)=0,"",VLOOKUP($A65,'Annex 2 EHV charges'!$D:$O,10,FALSE)),"")</f>
        <v/>
      </c>
      <c r="G65" s="118" t="str">
        <f>IFERROR(IF(VLOOKUP($A65,'Annex 2 EHV charges'!$D:$O,11,FALSE)=0,"",VLOOKUP($A65,'Annex 2 EHV charges'!$D:$O,11,FALSE)),"")</f>
        <v/>
      </c>
      <c r="H65" s="118" t="str">
        <f>IFERROR(IF(VLOOKUP($A65,'Annex 2 EHV charges'!$D:$O,12,FALSE)=0,"",VLOOKUP($A65,'Annex 2 EHV charges'!$D:$O,12,FALSE)),"")</f>
        <v/>
      </c>
    </row>
    <row r="66" spans="1:8" ht="12.75" customHeight="1" x14ac:dyDescent="0.2">
      <c r="A66" s="115" t="str">
        <f t="array" ref="A66">IFERROR(INDEX('Annex 2 EHV charges'!$D$11:$D$259, MATCH(0, IF(ISBLANK('Annex 2 EHV charges'!$D$11:$D$259),1, COUNTIF(A$4:$A65, 'Annex 2 EHV charges'!$D$11:$D$259)), 0)),"")</f>
        <v>MSID 4532/33</v>
      </c>
      <c r="B66" s="114" t="str">
        <f>IF($A66="","",VLOOKUP($A66,'Annex 2 EHV charges'!$D:$O,2,0))</f>
        <v>MSID 4532/33</v>
      </c>
      <c r="C66" s="115" t="str">
        <f>IF($A66="","",VLOOKUP($A66,'Annex 2 EHV charges'!$D:$O,3,0))</f>
        <v>MSID 4532/33</v>
      </c>
      <c r="D66" s="114" t="str">
        <f>IF($A66="","",VLOOKUP($A66,'Annex 2 EHV charges'!$D:$O,4,0))</f>
        <v>Dolgarrog PS</v>
      </c>
      <c r="E66" s="116">
        <f>IFERROR(IF(VLOOKUP($A66,'Annex 2 EHV charges'!$D:$O,9,FALSE)=0,"",VLOOKUP($A66,'Annex 2 EHV charges'!$D:$O,9,FALSE)),"")</f>
        <v>-0.30599999999999999</v>
      </c>
      <c r="F66" s="117" t="str">
        <f>IFERROR(IF(VLOOKUP($A66,'Annex 2 EHV charges'!$D:$O,10,FALSE)=0,"",VLOOKUP($A66,'Annex 2 EHV charges'!$D:$O,10,FALSE)),"")</f>
        <v/>
      </c>
      <c r="G66" s="118">
        <f>IFERROR(IF(VLOOKUP($A66,'Annex 2 EHV charges'!$D:$O,11,FALSE)=0,"",VLOOKUP($A66,'Annex 2 EHV charges'!$D:$O,11,FALSE)),"")</f>
        <v>0.05</v>
      </c>
      <c r="H66" s="118">
        <f>IFERROR(IF(VLOOKUP($A66,'Annex 2 EHV charges'!$D:$O,12,FALSE)=0,"",VLOOKUP($A66,'Annex 2 EHV charges'!$D:$O,12,FALSE)),"")</f>
        <v>0.05</v>
      </c>
    </row>
    <row r="67" spans="1:8" ht="12.75" customHeight="1" x14ac:dyDescent="0.2">
      <c r="A67" s="115" t="str">
        <f t="array" ref="A67">IFERROR(INDEX('Annex 2 EHV charges'!$D$11:$D$259, MATCH(0, IF(ISBLANK('Annex 2 EHV charges'!$D$11:$D$259),1, COUNTIF(A$4:$A66, 'Annex 2 EHV charges'!$D$11:$D$259)), 0)),"")</f>
        <v>MSID 6015</v>
      </c>
      <c r="B67" s="114" t="str">
        <f>IF($A67="","",VLOOKUP($A67,'Annex 2 EHV charges'!$D:$O,2,0))</f>
        <v>MSID 6015</v>
      </c>
      <c r="C67" s="115" t="str">
        <f>IF($A67="","",VLOOKUP($A67,'Annex 2 EHV charges'!$D:$O,3,0))</f>
        <v>MSID 6015</v>
      </c>
      <c r="D67" s="114" t="str">
        <f>IF($A67="","",VLOOKUP($A67,'Annex 2 EHV charges'!$D:$O,4,0))</f>
        <v>Maentwrog PS</v>
      </c>
      <c r="E67" s="116" t="str">
        <f>IFERROR(IF(VLOOKUP($A67,'Annex 2 EHV charges'!$D:$O,9,FALSE)=0,"",VLOOKUP($A67,'Annex 2 EHV charges'!$D:$O,9,FALSE)),"")</f>
        <v/>
      </c>
      <c r="F67" s="117" t="str">
        <f>IFERROR(IF(VLOOKUP($A67,'Annex 2 EHV charges'!$D:$O,10,FALSE)=0,"",VLOOKUP($A67,'Annex 2 EHV charges'!$D:$O,10,FALSE)),"")</f>
        <v/>
      </c>
      <c r="G67" s="118">
        <f>IFERROR(IF(VLOOKUP($A67,'Annex 2 EHV charges'!$D:$O,11,FALSE)=0,"",VLOOKUP($A67,'Annex 2 EHV charges'!$D:$O,11,FALSE)),"")</f>
        <v>0.05</v>
      </c>
      <c r="H67" s="118">
        <f>IFERROR(IF(VLOOKUP($A67,'Annex 2 EHV charges'!$D:$O,12,FALSE)=0,"",VLOOKUP($A67,'Annex 2 EHV charges'!$D:$O,12,FALSE)),"")</f>
        <v>0.05</v>
      </c>
    </row>
    <row r="68" spans="1:8" ht="12.75" customHeight="1" x14ac:dyDescent="0.2">
      <c r="A68" s="115" t="str">
        <f t="array" ref="A68">IFERROR(INDEX('Annex 2 EHV charges'!$D$11:$D$259, MATCH(0, IF(ISBLANK('Annex 2 EHV charges'!$D$11:$D$259),1, COUNTIF(A$4:$A67, 'Annex 2 EHV charges'!$D$11:$D$259)), 0)),"")</f>
        <v>MSID 4054</v>
      </c>
      <c r="B68" s="114" t="str">
        <f>IF($A68="","",VLOOKUP($A68,'Annex 2 EHV charges'!$D:$O,2,0))</f>
        <v>MSID 4054</v>
      </c>
      <c r="C68" s="115" t="str">
        <f>IF($A68="","",VLOOKUP($A68,'Annex 2 EHV charges'!$D:$O,3,0))</f>
        <v>MSID 4054</v>
      </c>
      <c r="D68" s="114" t="str">
        <f>IF($A68="","",VLOOKUP($A68,'Annex 2 EHV charges'!$D:$O,4,0))</f>
        <v>Cwm Dyli PS</v>
      </c>
      <c r="E68" s="116" t="str">
        <f>IFERROR(IF(VLOOKUP($A68,'Annex 2 EHV charges'!$D:$O,9,FALSE)=0,"",VLOOKUP($A68,'Annex 2 EHV charges'!$D:$O,9,FALSE)),"")</f>
        <v/>
      </c>
      <c r="F68" s="117" t="str">
        <f>IFERROR(IF(VLOOKUP($A68,'Annex 2 EHV charges'!$D:$O,10,FALSE)=0,"",VLOOKUP($A68,'Annex 2 EHV charges'!$D:$O,10,FALSE)),"")</f>
        <v/>
      </c>
      <c r="G68" s="118">
        <f>IFERROR(IF(VLOOKUP($A68,'Annex 2 EHV charges'!$D:$O,11,FALSE)=0,"",VLOOKUP($A68,'Annex 2 EHV charges'!$D:$O,11,FALSE)),"")</f>
        <v>0.05</v>
      </c>
      <c r="H68" s="118">
        <f>IFERROR(IF(VLOOKUP($A68,'Annex 2 EHV charges'!$D:$O,12,FALSE)=0,"",VLOOKUP($A68,'Annex 2 EHV charges'!$D:$O,12,FALSE)),"")</f>
        <v>0.05</v>
      </c>
    </row>
    <row r="69" spans="1:8" ht="12.75" customHeight="1" x14ac:dyDescent="0.2">
      <c r="A69" s="115">
        <f t="array" ref="A69">IFERROR(INDEX('Annex 2 EHV charges'!$D$11:$D$259, MATCH(0, IF(ISBLANK('Annex 2 EHV charges'!$D$11:$D$259),1, COUNTIF(A$4:$A68, 'Annex 2 EHV charges'!$D$11:$D$259)), 0)),"")</f>
        <v>700</v>
      </c>
      <c r="B69" s="114">
        <f>IF($A69="","",VLOOKUP($A69,'Annex 2 EHV charges'!$D:$O,2,0))</f>
        <v>700</v>
      </c>
      <c r="C69" s="115">
        <f>IF($A69="","",VLOOKUP($A69,'Annex 2 EHV charges'!$D:$O,3,0))</f>
        <v>1300060416993</v>
      </c>
      <c r="D69" s="114" t="str">
        <f>IF($A69="","",VLOOKUP($A69,'Annex 2 EHV charges'!$D:$O,4,0))</f>
        <v>Bentley Motor Cars Ltd</v>
      </c>
      <c r="E69" s="116" t="str">
        <f>IFERROR(IF(VLOOKUP($A69,'Annex 2 EHV charges'!$D:$O,9,FALSE)=0,"",VLOOKUP($A69,'Annex 2 EHV charges'!$D:$O,9,FALSE)),"")</f>
        <v/>
      </c>
      <c r="F69" s="117">
        <f>IFERROR(IF(VLOOKUP($A69,'Annex 2 EHV charges'!$D:$O,10,FALSE)=0,"",VLOOKUP($A69,'Annex 2 EHV charges'!$D:$O,10,FALSE)),"")</f>
        <v>105.25</v>
      </c>
      <c r="G69" s="118">
        <f>IFERROR(IF(VLOOKUP($A69,'Annex 2 EHV charges'!$D:$O,11,FALSE)=0,"",VLOOKUP($A69,'Annex 2 EHV charges'!$D:$O,11,FALSE)),"")</f>
        <v>0.05</v>
      </c>
      <c r="H69" s="118">
        <f>IFERROR(IF(VLOOKUP($A69,'Annex 2 EHV charges'!$D:$O,12,FALSE)=0,"",VLOOKUP($A69,'Annex 2 EHV charges'!$D:$O,12,FALSE)),"")</f>
        <v>0.05</v>
      </c>
    </row>
    <row r="70" spans="1:8" ht="12.75" customHeight="1" x14ac:dyDescent="0.2">
      <c r="A70" s="115">
        <f t="array" ref="A70">IFERROR(INDEX('Annex 2 EHV charges'!$D$11:$D$259, MATCH(0, IF(ISBLANK('Annex 2 EHV charges'!$D$11:$D$259),1, COUNTIF(A$4:$A69, 'Annex 2 EHV charges'!$D$11:$D$259)), 0)),"")</f>
        <v>719</v>
      </c>
      <c r="B70" s="114">
        <f>IF($A70="","",VLOOKUP($A70,'Annex 2 EHV charges'!$D:$O,2,0))</f>
        <v>719</v>
      </c>
      <c r="C70" s="115">
        <f>IF($A70="","",VLOOKUP($A70,'Annex 2 EHV charges'!$D:$O,3,0))</f>
        <v>1300060263839</v>
      </c>
      <c r="D70" s="114" t="str">
        <f>IF($A70="","",VLOOKUP($A70,'Annex 2 EHV charges'!$D:$O,4,0))</f>
        <v>Nestle UK Ltd</v>
      </c>
      <c r="E70" s="116" t="str">
        <f>IFERROR(IF(VLOOKUP($A70,'Annex 2 EHV charges'!$D:$O,9,FALSE)=0,"",VLOOKUP($A70,'Annex 2 EHV charges'!$D:$O,9,FALSE)),"")</f>
        <v/>
      </c>
      <c r="F70" s="117">
        <f>IFERROR(IF(VLOOKUP($A70,'Annex 2 EHV charges'!$D:$O,10,FALSE)=0,"",VLOOKUP($A70,'Annex 2 EHV charges'!$D:$O,10,FALSE)),"")</f>
        <v>87.24</v>
      </c>
      <c r="G70" s="118">
        <f>IFERROR(IF(VLOOKUP($A70,'Annex 2 EHV charges'!$D:$O,11,FALSE)=0,"",VLOOKUP($A70,'Annex 2 EHV charges'!$D:$O,11,FALSE)),"")</f>
        <v>0.05</v>
      </c>
      <c r="H70" s="118">
        <f>IFERROR(IF(VLOOKUP($A70,'Annex 2 EHV charges'!$D:$O,12,FALSE)=0,"",VLOOKUP($A70,'Annex 2 EHV charges'!$D:$O,12,FALSE)),"")</f>
        <v>0.05</v>
      </c>
    </row>
    <row r="71" spans="1:8" ht="12.75" customHeight="1" x14ac:dyDescent="0.2">
      <c r="A71" s="115">
        <f t="array" ref="A71">IFERROR(INDEX('Annex 2 EHV charges'!$D$11:$D$259, MATCH(0, IF(ISBLANK('Annex 2 EHV charges'!$D$11:$D$259),1, COUNTIF(A$4:$A70, 'Annex 2 EHV charges'!$D$11:$D$259)), 0)),"")</f>
        <v>721</v>
      </c>
      <c r="B71" s="114">
        <f>IF($A71="","",VLOOKUP($A71,'Annex 2 EHV charges'!$D:$O,2,0))</f>
        <v>721</v>
      </c>
      <c r="C71" s="115">
        <f>IF($A71="","",VLOOKUP($A71,'Annex 2 EHV charges'!$D:$O,3,0))</f>
        <v>1300060267898</v>
      </c>
      <c r="D71" s="114" t="str">
        <f>IF($A71="","",VLOOKUP($A71,'Annex 2 EHV charges'!$D:$O,4,0))</f>
        <v>Bangor Hospital (Health Sup)</v>
      </c>
      <c r="E71" s="116" t="str">
        <f>IFERROR(IF(VLOOKUP($A71,'Annex 2 EHV charges'!$D:$O,9,FALSE)=0,"",VLOOKUP($A71,'Annex 2 EHV charges'!$D:$O,9,FALSE)),"")</f>
        <v/>
      </c>
      <c r="F71" s="117">
        <f>IFERROR(IF(VLOOKUP($A71,'Annex 2 EHV charges'!$D:$O,10,FALSE)=0,"",VLOOKUP($A71,'Annex 2 EHV charges'!$D:$O,10,FALSE)),"")</f>
        <v>76.14</v>
      </c>
      <c r="G71" s="118">
        <f>IFERROR(IF(VLOOKUP($A71,'Annex 2 EHV charges'!$D:$O,11,FALSE)=0,"",VLOOKUP($A71,'Annex 2 EHV charges'!$D:$O,11,FALSE)),"")</f>
        <v>0.05</v>
      </c>
      <c r="H71" s="118">
        <f>IFERROR(IF(VLOOKUP($A71,'Annex 2 EHV charges'!$D:$O,12,FALSE)=0,"",VLOOKUP($A71,'Annex 2 EHV charges'!$D:$O,12,FALSE)),"")</f>
        <v>0.05</v>
      </c>
    </row>
    <row r="72" spans="1:8" ht="12.75" customHeight="1" x14ac:dyDescent="0.2">
      <c r="A72" s="115">
        <f t="array" ref="A72">IFERROR(INDEX('Annex 2 EHV charges'!$D$11:$D$259, MATCH(0, IF(ISBLANK('Annex 2 EHV charges'!$D$11:$D$259),1, COUNTIF(A$4:$A71, 'Annex 2 EHV charges'!$D$11:$D$259)), 0)),"")</f>
        <v>717</v>
      </c>
      <c r="B72" s="114">
        <f>IF($A72="","",VLOOKUP($A72,'Annex 2 EHV charges'!$D:$O,2,0))</f>
        <v>717</v>
      </c>
      <c r="C72" s="115">
        <f>IF($A72="","",VLOOKUP($A72,'Annex 2 EHV charges'!$D:$O,3,0))</f>
        <v>1300050867852</v>
      </c>
      <c r="D72" s="114" t="str">
        <f>IF($A72="","",VLOOKUP($A72,'Annex 2 EHV charges'!$D:$O,4,0))</f>
        <v>Seaforth</v>
      </c>
      <c r="E72" s="116" t="str">
        <f>IFERROR(IF(VLOOKUP($A72,'Annex 2 EHV charges'!$D:$O,9,FALSE)=0,"",VLOOKUP($A72,'Annex 2 EHV charges'!$D:$O,9,FALSE)),"")</f>
        <v/>
      </c>
      <c r="F72" s="117" t="str">
        <f>IFERROR(IF(VLOOKUP($A72,'Annex 2 EHV charges'!$D:$O,10,FALSE)=0,"",VLOOKUP($A72,'Annex 2 EHV charges'!$D:$O,10,FALSE)),"")</f>
        <v/>
      </c>
      <c r="G72" s="118" t="str">
        <f>IFERROR(IF(VLOOKUP($A72,'Annex 2 EHV charges'!$D:$O,11,FALSE)=0,"",VLOOKUP($A72,'Annex 2 EHV charges'!$D:$O,11,FALSE)),"")</f>
        <v/>
      </c>
      <c r="H72" s="118" t="str">
        <f>IFERROR(IF(VLOOKUP($A72,'Annex 2 EHV charges'!$D:$O,12,FALSE)=0,"",VLOOKUP($A72,'Annex 2 EHV charges'!$D:$O,12,FALSE)),"")</f>
        <v/>
      </c>
    </row>
    <row r="73" spans="1:8" ht="12.75" customHeight="1" x14ac:dyDescent="0.2">
      <c r="A73" s="115">
        <f t="array" ref="A73">IFERROR(INDEX('Annex 2 EHV charges'!$D$11:$D$259, MATCH(0, IF(ISBLANK('Annex 2 EHV charges'!$D$11:$D$259),1, COUNTIF(A$4:$A72, 'Annex 2 EHV charges'!$D$11:$D$259)), 0)),"")</f>
        <v>720</v>
      </c>
      <c r="B73" s="114">
        <f>IF($A73="","",VLOOKUP($A73,'Annex 2 EHV charges'!$D:$O,2,0))</f>
        <v>720</v>
      </c>
      <c r="C73" s="115">
        <f>IF($A73="","",VLOOKUP($A73,'Annex 2 EHV charges'!$D:$O,3,0))</f>
        <v>1300060574459</v>
      </c>
      <c r="D73" s="114" t="str">
        <f>IF($A73="","",VLOOKUP($A73,'Annex 2 EHV charges'!$D:$O,4,0))</f>
        <v>UU Water Plc - Woodside</v>
      </c>
      <c r="E73" s="116" t="str">
        <f>IFERROR(IF(VLOOKUP($A73,'Annex 2 EHV charges'!$D:$O,9,FALSE)=0,"",VLOOKUP($A73,'Annex 2 EHV charges'!$D:$O,9,FALSE)),"")</f>
        <v/>
      </c>
      <c r="F73" s="117">
        <f>IFERROR(IF(VLOOKUP($A73,'Annex 2 EHV charges'!$D:$O,10,FALSE)=0,"",VLOOKUP($A73,'Annex 2 EHV charges'!$D:$O,10,FALSE)),"")</f>
        <v>94</v>
      </c>
      <c r="G73" s="118">
        <f>IFERROR(IF(VLOOKUP($A73,'Annex 2 EHV charges'!$D:$O,11,FALSE)=0,"",VLOOKUP($A73,'Annex 2 EHV charges'!$D:$O,11,FALSE)),"")</f>
        <v>0.05</v>
      </c>
      <c r="H73" s="118">
        <f>IFERROR(IF(VLOOKUP($A73,'Annex 2 EHV charges'!$D:$O,12,FALSE)=0,"",VLOOKUP($A73,'Annex 2 EHV charges'!$D:$O,12,FALSE)),"")</f>
        <v>0.05</v>
      </c>
    </row>
    <row r="74" spans="1:8" ht="12.75" customHeight="1" x14ac:dyDescent="0.2">
      <c r="A74" s="115">
        <f t="array" ref="A74">IFERROR(INDEX('Annex 2 EHV charges'!$D$11:$D$259, MATCH(0, IF(ISBLANK('Annex 2 EHV charges'!$D$11:$D$259),1, COUNTIF(A$4:$A73, 'Annex 2 EHV charges'!$D$11:$D$259)), 0)),"")</f>
        <v>724</v>
      </c>
      <c r="B74" s="114">
        <f>IF($A74="","",VLOOKUP($A74,'Annex 2 EHV charges'!$D:$O,2,0))</f>
        <v>724</v>
      </c>
      <c r="C74" s="115">
        <f>IF($A74="","",VLOOKUP($A74,'Annex 2 EHV charges'!$D:$O,3,0))</f>
        <v>1300060638642</v>
      </c>
      <c r="D74" s="114" t="str">
        <f>IF($A74="","",VLOOKUP($A74,'Annex 2 EHV charges'!$D:$O,4,0))</f>
        <v>UU Water Plc - Bromborough</v>
      </c>
      <c r="E74" s="116" t="str">
        <f>IFERROR(IF(VLOOKUP($A74,'Annex 2 EHV charges'!$D:$O,9,FALSE)=0,"",VLOOKUP($A74,'Annex 2 EHV charges'!$D:$O,9,FALSE)),"")</f>
        <v/>
      </c>
      <c r="F74" s="117">
        <f>IFERROR(IF(VLOOKUP($A74,'Annex 2 EHV charges'!$D:$O,10,FALSE)=0,"",VLOOKUP($A74,'Annex 2 EHV charges'!$D:$O,10,FALSE)),"")</f>
        <v>466.34</v>
      </c>
      <c r="G74" s="118">
        <f>IFERROR(IF(VLOOKUP($A74,'Annex 2 EHV charges'!$D:$O,11,FALSE)=0,"",VLOOKUP($A74,'Annex 2 EHV charges'!$D:$O,11,FALSE)),"")</f>
        <v>0.05</v>
      </c>
      <c r="H74" s="118">
        <f>IFERROR(IF(VLOOKUP($A74,'Annex 2 EHV charges'!$D:$O,12,FALSE)=0,"",VLOOKUP($A74,'Annex 2 EHV charges'!$D:$O,12,FALSE)),"")</f>
        <v>0.05</v>
      </c>
    </row>
    <row r="75" spans="1:8" ht="12.75" customHeight="1" x14ac:dyDescent="0.2">
      <c r="A75" s="115">
        <f t="array" ref="A75">IFERROR(INDEX('Annex 2 EHV charges'!$D$11:$D$259, MATCH(0, IF(ISBLANK('Annex 2 EHV charges'!$D$11:$D$259),1, COUNTIF(A$4:$A74, 'Annex 2 EHV charges'!$D$11:$D$259)), 0)),"")</f>
        <v>710</v>
      </c>
      <c r="B75" s="114">
        <f>IF($A75="","",VLOOKUP($A75,'Annex 2 EHV charges'!$D:$O,2,0))</f>
        <v>710</v>
      </c>
      <c r="C75" s="115">
        <f>IF($A75="","",VLOOKUP($A75,'Annex 2 EHV charges'!$D:$O,3,0))</f>
        <v>1300051349870</v>
      </c>
      <c r="D75" s="114" t="str">
        <f>IF($A75="","",VLOOKUP($A75,'Annex 2 EHV charges'!$D:$O,4,0))</f>
        <v>L.A.H. Teaching Hospital</v>
      </c>
      <c r="E75" s="116" t="str">
        <f>IFERROR(IF(VLOOKUP($A75,'Annex 2 EHV charges'!$D:$O,9,FALSE)=0,"",VLOOKUP($A75,'Annex 2 EHV charges'!$D:$O,9,FALSE)),"")</f>
        <v/>
      </c>
      <c r="F75" s="117" t="str">
        <f>IFERROR(IF(VLOOKUP($A75,'Annex 2 EHV charges'!$D:$O,10,FALSE)=0,"",VLOOKUP($A75,'Annex 2 EHV charges'!$D:$O,10,FALSE)),"")</f>
        <v/>
      </c>
      <c r="G75" s="118" t="str">
        <f>IFERROR(IF(VLOOKUP($A75,'Annex 2 EHV charges'!$D:$O,11,FALSE)=0,"",VLOOKUP($A75,'Annex 2 EHV charges'!$D:$O,11,FALSE)),"")</f>
        <v/>
      </c>
      <c r="H75" s="118" t="str">
        <f>IFERROR(IF(VLOOKUP($A75,'Annex 2 EHV charges'!$D:$O,12,FALSE)=0,"",VLOOKUP($A75,'Annex 2 EHV charges'!$D:$O,12,FALSE)),"")</f>
        <v/>
      </c>
    </row>
    <row r="76" spans="1:8" ht="12.75" customHeight="1" x14ac:dyDescent="0.2">
      <c r="A76" s="115">
        <f t="array" ref="A76">IFERROR(INDEX('Annex 2 EHV charges'!$D$11:$D$259, MATCH(0, IF(ISBLANK('Annex 2 EHV charges'!$D$11:$D$259),1, COUNTIF(A$4:$A75, 'Annex 2 EHV charges'!$D$11:$D$259)), 0)),"")</f>
        <v>711</v>
      </c>
      <c r="B76" s="114">
        <f>IF($A76="","",VLOOKUP($A76,'Annex 2 EHV charges'!$D:$O,2,0))</f>
        <v>711</v>
      </c>
      <c r="C76" s="115">
        <f>IF($A76="","",VLOOKUP($A76,'Annex 2 EHV charges'!$D:$O,3,0))</f>
        <v>1300052227204</v>
      </c>
      <c r="D76" s="114" t="str">
        <f>IF($A76="","",VLOOKUP($A76,'Annex 2 EHV charges'!$D:$O,4,0))</f>
        <v>UU Water Plc - Sandon Dock</v>
      </c>
      <c r="E76" s="116" t="str">
        <f>IFERROR(IF(VLOOKUP($A76,'Annex 2 EHV charges'!$D:$O,9,FALSE)=0,"",VLOOKUP($A76,'Annex 2 EHV charges'!$D:$O,9,FALSE)),"")</f>
        <v/>
      </c>
      <c r="F76" s="117" t="str">
        <f>IFERROR(IF(VLOOKUP($A76,'Annex 2 EHV charges'!$D:$O,10,FALSE)=0,"",VLOOKUP($A76,'Annex 2 EHV charges'!$D:$O,10,FALSE)),"")</f>
        <v/>
      </c>
      <c r="G76" s="118" t="str">
        <f>IFERROR(IF(VLOOKUP($A76,'Annex 2 EHV charges'!$D:$O,11,FALSE)=0,"",VLOOKUP($A76,'Annex 2 EHV charges'!$D:$O,11,FALSE)),"")</f>
        <v/>
      </c>
      <c r="H76" s="118" t="str">
        <f>IFERROR(IF(VLOOKUP($A76,'Annex 2 EHV charges'!$D:$O,12,FALSE)=0,"",VLOOKUP($A76,'Annex 2 EHV charges'!$D:$O,12,FALSE)),"")</f>
        <v/>
      </c>
    </row>
    <row r="77" spans="1:8" ht="12.75" customHeight="1" x14ac:dyDescent="0.2">
      <c r="A77" s="115">
        <f t="array" ref="A77">IFERROR(INDEX('Annex 2 EHV charges'!$D$11:$D$259, MATCH(0, IF(ISBLANK('Annex 2 EHV charges'!$D$11:$D$259),1, COUNTIF(A$4:$A76, 'Annex 2 EHV charges'!$D$11:$D$259)), 0)),"")</f>
        <v>712</v>
      </c>
      <c r="B77" s="114">
        <f>IF($A77="","",VLOOKUP($A77,'Annex 2 EHV charges'!$D:$O,2,0))</f>
        <v>712</v>
      </c>
      <c r="C77" s="115">
        <f>IF($A77="","",VLOOKUP($A77,'Annex 2 EHV charges'!$D:$O,3,0))</f>
        <v>1300053163518</v>
      </c>
      <c r="D77" s="114" t="str">
        <f>IF($A77="","",VLOOKUP($A77,'Annex 2 EHV charges'!$D:$O,4,0))</f>
        <v>UU Water Plc Gateworth Sewage</v>
      </c>
      <c r="E77" s="116">
        <f>IFERROR(IF(VLOOKUP($A77,'Annex 2 EHV charges'!$D:$O,9,FALSE)=0,"",VLOOKUP($A77,'Annex 2 EHV charges'!$D:$O,9,FALSE)),"")</f>
        <v>-2.8109999999999999</v>
      </c>
      <c r="F77" s="117">
        <f>IFERROR(IF(VLOOKUP($A77,'Annex 2 EHV charges'!$D:$O,10,FALSE)=0,"",VLOOKUP($A77,'Annex 2 EHV charges'!$D:$O,10,FALSE)),"")</f>
        <v>42.7</v>
      </c>
      <c r="G77" s="118">
        <f>IFERROR(IF(VLOOKUP($A77,'Annex 2 EHV charges'!$D:$O,11,FALSE)=0,"",VLOOKUP($A77,'Annex 2 EHV charges'!$D:$O,11,FALSE)),"")</f>
        <v>0.05</v>
      </c>
      <c r="H77" s="118">
        <f>IFERROR(IF(VLOOKUP($A77,'Annex 2 EHV charges'!$D:$O,12,FALSE)=0,"",VLOOKUP($A77,'Annex 2 EHV charges'!$D:$O,12,FALSE)),"")</f>
        <v>0.05</v>
      </c>
    </row>
    <row r="78" spans="1:8" ht="12.75" customHeight="1" x14ac:dyDescent="0.2">
      <c r="A78" s="115">
        <f t="array" ref="A78">IFERROR(INDEX('Annex 2 EHV charges'!$D$11:$D$259, MATCH(0, IF(ISBLANK('Annex 2 EHV charges'!$D$11:$D$259),1, COUNTIF(A$4:$A77, 'Annex 2 EHV charges'!$D$11:$D$259)), 0)),"")</f>
        <v>713</v>
      </c>
      <c r="B78" s="114">
        <f>IF($A78="","",VLOOKUP($A78,'Annex 2 EHV charges'!$D:$O,2,0))</f>
        <v>713</v>
      </c>
      <c r="C78" s="115">
        <f>IF($A78="","",VLOOKUP($A78,'Annex 2 EHV charges'!$D:$O,3,0))</f>
        <v>1300050970114</v>
      </c>
      <c r="D78" s="114" t="str">
        <f>IF($A78="","",VLOOKUP($A78,'Annex 2 EHV charges'!$D:$O,4,0))</f>
        <v>UU Water Plc - Huntington</v>
      </c>
      <c r="E78" s="116" t="str">
        <f>IFERROR(IF(VLOOKUP($A78,'Annex 2 EHV charges'!$D:$O,9,FALSE)=0,"",VLOOKUP($A78,'Annex 2 EHV charges'!$D:$O,9,FALSE)),"")</f>
        <v/>
      </c>
      <c r="F78" s="117" t="str">
        <f>IFERROR(IF(VLOOKUP($A78,'Annex 2 EHV charges'!$D:$O,10,FALSE)=0,"",VLOOKUP($A78,'Annex 2 EHV charges'!$D:$O,10,FALSE)),"")</f>
        <v/>
      </c>
      <c r="G78" s="118" t="str">
        <f>IFERROR(IF(VLOOKUP($A78,'Annex 2 EHV charges'!$D:$O,11,FALSE)=0,"",VLOOKUP($A78,'Annex 2 EHV charges'!$D:$O,11,FALSE)),"")</f>
        <v/>
      </c>
      <c r="H78" s="118" t="str">
        <f>IFERROR(IF(VLOOKUP($A78,'Annex 2 EHV charges'!$D:$O,12,FALSE)=0,"",VLOOKUP($A78,'Annex 2 EHV charges'!$D:$O,12,FALSE)),"")</f>
        <v/>
      </c>
    </row>
    <row r="79" spans="1:8" ht="12.75" customHeight="1" x14ac:dyDescent="0.2">
      <c r="A79" s="115">
        <f t="array" ref="A79">IFERROR(INDEX('Annex 2 EHV charges'!$D$11:$D$259, MATCH(0, IF(ISBLANK('Annex 2 EHV charges'!$D$11:$D$259),1, COUNTIF(A$4:$A78, 'Annex 2 EHV charges'!$D$11:$D$259)), 0)),"")</f>
        <v>714</v>
      </c>
      <c r="B79" s="114">
        <f>IF($A79="","",VLOOKUP($A79,'Annex 2 EHV charges'!$D:$O,2,0))</f>
        <v>714</v>
      </c>
      <c r="C79" s="115">
        <f>IF($A79="","",VLOOKUP($A79,'Annex 2 EHV charges'!$D:$O,3,0))</f>
        <v>1300052226920</v>
      </c>
      <c r="D79" s="114" t="str">
        <f>IF($A79="","",VLOOKUP($A79,'Annex 2 EHV charges'!$D:$O,4,0))</f>
        <v>UU Water Plc - Shell Green</v>
      </c>
      <c r="E79" s="116" t="str">
        <f>IFERROR(IF(VLOOKUP($A79,'Annex 2 EHV charges'!$D:$O,9,FALSE)=0,"",VLOOKUP($A79,'Annex 2 EHV charges'!$D:$O,9,FALSE)),"")</f>
        <v/>
      </c>
      <c r="F79" s="117" t="str">
        <f>IFERROR(IF(VLOOKUP($A79,'Annex 2 EHV charges'!$D:$O,10,FALSE)=0,"",VLOOKUP($A79,'Annex 2 EHV charges'!$D:$O,10,FALSE)),"")</f>
        <v/>
      </c>
      <c r="G79" s="118" t="str">
        <f>IFERROR(IF(VLOOKUP($A79,'Annex 2 EHV charges'!$D:$O,11,FALSE)=0,"",VLOOKUP($A79,'Annex 2 EHV charges'!$D:$O,11,FALSE)),"")</f>
        <v/>
      </c>
      <c r="H79" s="118" t="str">
        <f>IFERROR(IF(VLOOKUP($A79,'Annex 2 EHV charges'!$D:$O,12,FALSE)=0,"",VLOOKUP($A79,'Annex 2 EHV charges'!$D:$O,12,FALSE)),"")</f>
        <v/>
      </c>
    </row>
    <row r="80" spans="1:8" ht="12.75" customHeight="1" x14ac:dyDescent="0.2">
      <c r="A80" s="115">
        <f t="array" ref="A80">IFERROR(INDEX('Annex 2 EHV charges'!$D$11:$D$259, MATCH(0, IF(ISBLANK('Annex 2 EHV charges'!$D$11:$D$259),1, COUNTIF(A$4:$A79, 'Annex 2 EHV charges'!$D$11:$D$259)), 0)),"")</f>
        <v>715</v>
      </c>
      <c r="B80" s="114">
        <f>IF($A80="","",VLOOKUP($A80,'Annex 2 EHV charges'!$D:$O,2,0))</f>
        <v>715</v>
      </c>
      <c r="C80" s="115">
        <f>IF($A80="","",VLOOKUP($A80,'Annex 2 EHV charges'!$D:$O,3,0))</f>
        <v>1300052368838</v>
      </c>
      <c r="D80" s="114" t="str">
        <f>IF($A80="","",VLOOKUP($A80,'Annex 2 EHV charges'!$D:$O,4,0))</f>
        <v>Eli Lilly &amp; Co</v>
      </c>
      <c r="E80" s="116" t="str">
        <f>IFERROR(IF(VLOOKUP($A80,'Annex 2 EHV charges'!$D:$O,9,FALSE)=0,"",VLOOKUP($A80,'Annex 2 EHV charges'!$D:$O,9,FALSE)),"")</f>
        <v/>
      </c>
      <c r="F80" s="117" t="str">
        <f>IFERROR(IF(VLOOKUP($A80,'Annex 2 EHV charges'!$D:$O,10,FALSE)=0,"",VLOOKUP($A80,'Annex 2 EHV charges'!$D:$O,10,FALSE)),"")</f>
        <v/>
      </c>
      <c r="G80" s="118" t="str">
        <f>IFERROR(IF(VLOOKUP($A80,'Annex 2 EHV charges'!$D:$O,11,FALSE)=0,"",VLOOKUP($A80,'Annex 2 EHV charges'!$D:$O,11,FALSE)),"")</f>
        <v/>
      </c>
      <c r="H80" s="118" t="str">
        <f>IFERROR(IF(VLOOKUP($A80,'Annex 2 EHV charges'!$D:$O,12,FALSE)=0,"",VLOOKUP($A80,'Annex 2 EHV charges'!$D:$O,12,FALSE)),"")</f>
        <v/>
      </c>
    </row>
    <row r="81" spans="1:8" ht="12.75" customHeight="1" x14ac:dyDescent="0.2">
      <c r="A81" s="115">
        <f t="array" ref="A81">IFERROR(INDEX('Annex 2 EHV charges'!$D$11:$D$259, MATCH(0, IF(ISBLANK('Annex 2 EHV charges'!$D$11:$D$259),1, COUNTIF(A$4:$A80, 'Annex 2 EHV charges'!$D$11:$D$259)), 0)),"")</f>
        <v>703</v>
      </c>
      <c r="B81" s="114">
        <f>IF($A81="","",VLOOKUP($A81,'Annex 2 EHV charges'!$D:$O,2,0))</f>
        <v>703</v>
      </c>
      <c r="C81" s="115">
        <f>IF($A81="","",VLOOKUP($A81,'Annex 2 EHV charges'!$D:$O,3,0))</f>
        <v>1300050867791</v>
      </c>
      <c r="D81" s="114" t="str">
        <f>IF($A81="","",VLOOKUP($A81,'Annex 2 EHV charges'!$D:$O,4,0))</f>
        <v>Pilkington Glass - Greengate</v>
      </c>
      <c r="E81" s="116" t="str">
        <f>IFERROR(IF(VLOOKUP($A81,'Annex 2 EHV charges'!$D:$O,9,FALSE)=0,"",VLOOKUP($A81,'Annex 2 EHV charges'!$D:$O,9,FALSE)),"")</f>
        <v/>
      </c>
      <c r="F81" s="117" t="str">
        <f>IFERROR(IF(VLOOKUP($A81,'Annex 2 EHV charges'!$D:$O,10,FALSE)=0,"",VLOOKUP($A81,'Annex 2 EHV charges'!$D:$O,10,FALSE)),"")</f>
        <v/>
      </c>
      <c r="G81" s="118" t="str">
        <f>IFERROR(IF(VLOOKUP($A81,'Annex 2 EHV charges'!$D:$O,11,FALSE)=0,"",VLOOKUP($A81,'Annex 2 EHV charges'!$D:$O,11,FALSE)),"")</f>
        <v/>
      </c>
      <c r="H81" s="118" t="str">
        <f>IFERROR(IF(VLOOKUP($A81,'Annex 2 EHV charges'!$D:$O,12,FALSE)=0,"",VLOOKUP($A81,'Annex 2 EHV charges'!$D:$O,12,FALSE)),"")</f>
        <v/>
      </c>
    </row>
    <row r="82" spans="1:8" ht="12.75" customHeight="1" x14ac:dyDescent="0.2">
      <c r="A82" s="115">
        <f t="array" ref="A82">IFERROR(INDEX('Annex 2 EHV charges'!$D$11:$D$259, MATCH(0, IF(ISBLANK('Annex 2 EHV charges'!$D$11:$D$259),1, COUNTIF(A$4:$A81, 'Annex 2 EHV charges'!$D$11:$D$259)), 0)),"")</f>
        <v>704</v>
      </c>
      <c r="B82" s="114">
        <f>IF($A82="","",VLOOKUP($A82,'Annex 2 EHV charges'!$D:$O,2,0))</f>
        <v>704</v>
      </c>
      <c r="C82" s="115">
        <f>IF($A82="","",VLOOKUP($A82,'Annex 2 EHV charges'!$D:$O,3,0))</f>
        <v>1300050867807</v>
      </c>
      <c r="D82" s="114" t="str">
        <f>IF($A82="","",VLOOKUP($A82,'Annex 2 EHV charges'!$D:$O,4,0))</f>
        <v>Pilkington Glass - Cowley Hill</v>
      </c>
      <c r="E82" s="116" t="str">
        <f>IFERROR(IF(VLOOKUP($A82,'Annex 2 EHV charges'!$D:$O,9,FALSE)=0,"",VLOOKUP($A82,'Annex 2 EHV charges'!$D:$O,9,FALSE)),"")</f>
        <v/>
      </c>
      <c r="F82" s="117" t="str">
        <f>IFERROR(IF(VLOOKUP($A82,'Annex 2 EHV charges'!$D:$O,10,FALSE)=0,"",VLOOKUP($A82,'Annex 2 EHV charges'!$D:$O,10,FALSE)),"")</f>
        <v/>
      </c>
      <c r="G82" s="118" t="str">
        <f>IFERROR(IF(VLOOKUP($A82,'Annex 2 EHV charges'!$D:$O,11,FALSE)=0,"",VLOOKUP($A82,'Annex 2 EHV charges'!$D:$O,11,FALSE)),"")</f>
        <v/>
      </c>
      <c r="H82" s="118" t="str">
        <f>IFERROR(IF(VLOOKUP($A82,'Annex 2 EHV charges'!$D:$O,12,FALSE)=0,"",VLOOKUP($A82,'Annex 2 EHV charges'!$D:$O,12,FALSE)),"")</f>
        <v/>
      </c>
    </row>
    <row r="83" spans="1:8" ht="12.75" customHeight="1" x14ac:dyDescent="0.2">
      <c r="A83" s="115">
        <f t="array" ref="A83">IFERROR(INDEX('Annex 2 EHV charges'!$D$11:$D$259, MATCH(0, IF(ISBLANK('Annex 2 EHV charges'!$D$11:$D$259),1, COUNTIF(A$4:$A82, 'Annex 2 EHV charges'!$D$11:$D$259)), 0)),"")</f>
        <v>718</v>
      </c>
      <c r="B83" s="114">
        <f>IF($A83="","",VLOOKUP($A83,'Annex 2 EHV charges'!$D:$O,2,0))</f>
        <v>718</v>
      </c>
      <c r="C83" s="115">
        <f>IF($A83="","",VLOOKUP($A83,'Annex 2 EHV charges'!$D:$O,3,0))</f>
        <v>1300054580101</v>
      </c>
      <c r="D83" s="114" t="str">
        <f>IF($A83="","",VLOOKUP($A83,'Annex 2 EHV charges'!$D:$O,4,0))</f>
        <v>Iceland</v>
      </c>
      <c r="E83" s="116">
        <f>IFERROR(IF(VLOOKUP($A83,'Annex 2 EHV charges'!$D:$O,9,FALSE)=0,"",VLOOKUP($A83,'Annex 2 EHV charges'!$D:$O,9,FALSE)),"")</f>
        <v>-2.8109999999999999</v>
      </c>
      <c r="F83" s="117">
        <f>IFERROR(IF(VLOOKUP($A83,'Annex 2 EHV charges'!$D:$O,10,FALSE)=0,"",VLOOKUP($A83,'Annex 2 EHV charges'!$D:$O,10,FALSE)),"")</f>
        <v>10.53</v>
      </c>
      <c r="G83" s="118">
        <f>IFERROR(IF(VLOOKUP($A83,'Annex 2 EHV charges'!$D:$O,11,FALSE)=0,"",VLOOKUP($A83,'Annex 2 EHV charges'!$D:$O,11,FALSE)),"")</f>
        <v>0.05</v>
      </c>
      <c r="H83" s="118">
        <f>IFERROR(IF(VLOOKUP($A83,'Annex 2 EHV charges'!$D:$O,12,FALSE)=0,"",VLOOKUP($A83,'Annex 2 EHV charges'!$D:$O,12,FALSE)),"")</f>
        <v>0.05</v>
      </c>
    </row>
    <row r="84" spans="1:8" ht="12.75" customHeight="1" x14ac:dyDescent="0.2">
      <c r="A84" s="115">
        <f t="array" ref="A84">IFERROR(INDEX('Annex 2 EHV charges'!$D$11:$D$259, MATCH(0, IF(ISBLANK('Annex 2 EHV charges'!$D$11:$D$259),1, COUNTIF(A$4:$A83, 'Annex 2 EHV charges'!$D$11:$D$259)), 0)),"")</f>
        <v>716</v>
      </c>
      <c r="B84" s="114">
        <f>IF($A84="","",VLOOKUP($A84,'Annex 2 EHV charges'!$D:$O,2,0))</f>
        <v>716</v>
      </c>
      <c r="C84" s="115">
        <f>IF($A84="","",VLOOKUP($A84,'Annex 2 EHV charges'!$D:$O,3,0))</f>
        <v>1300060245403</v>
      </c>
      <c r="D84" s="114" t="str">
        <f>IF($A84="","",VLOOKUP($A84,'Annex 2 EHV charges'!$D:$O,4,0))</f>
        <v>Maw Green 2</v>
      </c>
      <c r="E84" s="116" t="str">
        <f>IFERROR(IF(VLOOKUP($A84,'Annex 2 EHV charges'!$D:$O,9,FALSE)=0,"",VLOOKUP($A84,'Annex 2 EHV charges'!$D:$O,9,FALSE)),"")</f>
        <v/>
      </c>
      <c r="F84" s="117" t="str">
        <f>IFERROR(IF(VLOOKUP($A84,'Annex 2 EHV charges'!$D:$O,10,FALSE)=0,"",VLOOKUP($A84,'Annex 2 EHV charges'!$D:$O,10,FALSE)),"")</f>
        <v/>
      </c>
      <c r="G84" s="118" t="str">
        <f>IFERROR(IF(VLOOKUP($A84,'Annex 2 EHV charges'!$D:$O,11,FALSE)=0,"",VLOOKUP($A84,'Annex 2 EHV charges'!$D:$O,11,FALSE)),"")</f>
        <v/>
      </c>
      <c r="H84" s="118" t="str">
        <f>IFERROR(IF(VLOOKUP($A84,'Annex 2 EHV charges'!$D:$O,12,FALSE)=0,"",VLOOKUP($A84,'Annex 2 EHV charges'!$D:$O,12,FALSE)),"")</f>
        <v/>
      </c>
    </row>
    <row r="85" spans="1:8" ht="12.75" customHeight="1" x14ac:dyDescent="0.2">
      <c r="A85" s="115">
        <f t="array" ref="A85">IFERROR(INDEX('Annex 2 EHV charges'!$D$11:$D$259, MATCH(0, IF(ISBLANK('Annex 2 EHV charges'!$D$11:$D$259),1, COUNTIF(A$4:$A84, 'Annex 2 EHV charges'!$D$11:$D$259)), 0)),"")</f>
        <v>702</v>
      </c>
      <c r="B85" s="114">
        <f>IF($A85="","",VLOOKUP($A85,'Annex 2 EHV charges'!$D:$O,2,0))</f>
        <v>702</v>
      </c>
      <c r="C85" s="115">
        <f>IF($A85="","",VLOOKUP($A85,'Annex 2 EHV charges'!$D:$O,3,0))</f>
        <v>1300050867755</v>
      </c>
      <c r="D85" s="114" t="str">
        <f>IF($A85="","",VLOOKUP($A85,'Annex 2 EHV charges'!$D:$O,4,0))</f>
        <v>Pilkington Glass - Watson Street</v>
      </c>
      <c r="E85" s="116" t="str">
        <f>IFERROR(IF(VLOOKUP($A85,'Annex 2 EHV charges'!$D:$O,9,FALSE)=0,"",VLOOKUP($A85,'Annex 2 EHV charges'!$D:$O,9,FALSE)),"")</f>
        <v/>
      </c>
      <c r="F85" s="117" t="str">
        <f>IFERROR(IF(VLOOKUP($A85,'Annex 2 EHV charges'!$D:$O,10,FALSE)=0,"",VLOOKUP($A85,'Annex 2 EHV charges'!$D:$O,10,FALSE)),"")</f>
        <v/>
      </c>
      <c r="G85" s="118" t="str">
        <f>IFERROR(IF(VLOOKUP($A85,'Annex 2 EHV charges'!$D:$O,11,FALSE)=0,"",VLOOKUP($A85,'Annex 2 EHV charges'!$D:$O,11,FALSE)),"")</f>
        <v/>
      </c>
      <c r="H85" s="118" t="str">
        <f>IFERROR(IF(VLOOKUP($A85,'Annex 2 EHV charges'!$D:$O,12,FALSE)=0,"",VLOOKUP($A85,'Annex 2 EHV charges'!$D:$O,12,FALSE)),"")</f>
        <v/>
      </c>
    </row>
    <row r="86" spans="1:8" ht="12.75" customHeight="1" x14ac:dyDescent="0.2">
      <c r="A86" s="115">
        <f t="array" ref="A86">IFERROR(INDEX('Annex 2 EHV charges'!$D$11:$D$259, MATCH(0, IF(ISBLANK('Annex 2 EHV charges'!$D$11:$D$259),1, COUNTIF(A$4:$A85, 'Annex 2 EHV charges'!$D$11:$D$259)), 0)),"")</f>
        <v>662</v>
      </c>
      <c r="B86" s="114">
        <f>IF($A86="","",VLOOKUP($A86,'Annex 2 EHV charges'!$D:$O,2,0))</f>
        <v>662</v>
      </c>
      <c r="C86" s="115">
        <f>IF($A86="","",VLOOKUP($A86,'Annex 2 EHV charges'!$D:$O,3,0))</f>
        <v>1300060736720</v>
      </c>
      <c r="D86" s="114" t="str">
        <f>IF($A86="","",VLOOKUP($A86,'Annex 2 EHV charges'!$D:$O,4,0))</f>
        <v>Queensferry Diesel</v>
      </c>
      <c r="E86" s="116">
        <f>IFERROR(IF(VLOOKUP($A86,'Annex 2 EHV charges'!$D:$O,9,FALSE)=0,"",VLOOKUP($A86,'Annex 2 EHV charges'!$D:$O,9,FALSE)),"")</f>
        <v>-0.158</v>
      </c>
      <c r="F86" s="117">
        <f>IFERROR(IF(VLOOKUP($A86,'Annex 2 EHV charges'!$D:$O,10,FALSE)=0,"",VLOOKUP($A86,'Annex 2 EHV charges'!$D:$O,10,FALSE)),"")</f>
        <v>438.01</v>
      </c>
      <c r="G86" s="118">
        <f>IFERROR(IF(VLOOKUP($A86,'Annex 2 EHV charges'!$D:$O,11,FALSE)=0,"",VLOOKUP($A86,'Annex 2 EHV charges'!$D:$O,11,FALSE)),"")</f>
        <v>0.05</v>
      </c>
      <c r="H86" s="118">
        <f>IFERROR(IF(VLOOKUP($A86,'Annex 2 EHV charges'!$D:$O,12,FALSE)=0,"",VLOOKUP($A86,'Annex 2 EHV charges'!$D:$O,12,FALSE)),"")</f>
        <v>0.05</v>
      </c>
    </row>
    <row r="87" spans="1:8" ht="12.75" customHeight="1" x14ac:dyDescent="0.2">
      <c r="A87" s="115">
        <f t="array" ref="A87">IFERROR(INDEX('Annex 2 EHV charges'!$D$11:$D$259, MATCH(0, IF(ISBLANK('Annex 2 EHV charges'!$D$11:$D$259),1, COUNTIF(A$4:$A86, 'Annex 2 EHV charges'!$D$11:$D$259)), 0)),"")</f>
        <v>664</v>
      </c>
      <c r="B87" s="114">
        <f>IF($A87="","",VLOOKUP($A87,'Annex 2 EHV charges'!$D:$O,2,0))</f>
        <v>664</v>
      </c>
      <c r="C87" s="115">
        <f>IF($A87="","",VLOOKUP($A87,'Annex 2 EHV charges'!$D:$O,3,0))</f>
        <v>1300060707507</v>
      </c>
      <c r="D87" s="114" t="str">
        <f>IF($A87="","",VLOOKUP($A87,'Annex 2 EHV charges'!$D:$O,4,0))</f>
        <v>Beaufort Road</v>
      </c>
      <c r="E87" s="116" t="str">
        <f>IFERROR(IF(VLOOKUP($A87,'Annex 2 EHV charges'!$D:$O,9,FALSE)=0,"",VLOOKUP($A87,'Annex 2 EHV charges'!$D:$O,9,FALSE)),"")</f>
        <v/>
      </c>
      <c r="F87" s="117">
        <f>IFERROR(IF(VLOOKUP($A87,'Annex 2 EHV charges'!$D:$O,10,FALSE)=0,"",VLOOKUP($A87,'Annex 2 EHV charges'!$D:$O,10,FALSE)),"")</f>
        <v>989.23</v>
      </c>
      <c r="G87" s="118">
        <f>IFERROR(IF(VLOOKUP($A87,'Annex 2 EHV charges'!$D:$O,11,FALSE)=0,"",VLOOKUP($A87,'Annex 2 EHV charges'!$D:$O,11,FALSE)),"")</f>
        <v>0.05</v>
      </c>
      <c r="H87" s="118">
        <f>IFERROR(IF(VLOOKUP($A87,'Annex 2 EHV charges'!$D:$O,12,FALSE)=0,"",VLOOKUP($A87,'Annex 2 EHV charges'!$D:$O,12,FALSE)),"")</f>
        <v>0.05</v>
      </c>
    </row>
    <row r="88" spans="1:8" ht="12.75" customHeight="1" x14ac:dyDescent="0.2">
      <c r="A88" s="115">
        <f t="array" ref="A88">IFERROR(INDEX('Annex 2 EHV charges'!$D$11:$D$259, MATCH(0, IF(ISBLANK('Annex 2 EHV charges'!$D$11:$D$259),1, COUNTIF(A$4:$A87, 'Annex 2 EHV charges'!$D$11:$D$259)), 0)),"")</f>
        <v>615</v>
      </c>
      <c r="B88" s="114">
        <f>IF($A88="","",VLOOKUP($A88,'Annex 2 EHV charges'!$D:$O,2,0))</f>
        <v>615</v>
      </c>
      <c r="C88" s="115">
        <f>IF($A88="","",VLOOKUP($A88,'Annex 2 EHV charges'!$D:$O,3,0))</f>
        <v>1300060729556</v>
      </c>
      <c r="D88" s="114" t="str">
        <f>IF($A88="","",VLOOKUP($A88,'Annex 2 EHV charges'!$D:$O,4,0))</f>
        <v>Mersey Warf STOR</v>
      </c>
      <c r="E88" s="116">
        <f>IFERROR(IF(VLOOKUP($A88,'Annex 2 EHV charges'!$D:$O,9,FALSE)=0,"",VLOOKUP($A88,'Annex 2 EHV charges'!$D:$O,9,FALSE)),"")</f>
        <v>-0.81399999999999995</v>
      </c>
      <c r="F88" s="117">
        <f>IFERROR(IF(VLOOKUP($A88,'Annex 2 EHV charges'!$D:$O,10,FALSE)=0,"",VLOOKUP($A88,'Annex 2 EHV charges'!$D:$O,10,FALSE)),"")</f>
        <v>6746.68</v>
      </c>
      <c r="G88" s="118">
        <f>IFERROR(IF(VLOOKUP($A88,'Annex 2 EHV charges'!$D:$O,11,FALSE)=0,"",VLOOKUP($A88,'Annex 2 EHV charges'!$D:$O,11,FALSE)),"")</f>
        <v>0.05</v>
      </c>
      <c r="H88" s="118">
        <f>IFERROR(IF(VLOOKUP($A88,'Annex 2 EHV charges'!$D:$O,12,FALSE)=0,"",VLOOKUP($A88,'Annex 2 EHV charges'!$D:$O,12,FALSE)),"")</f>
        <v>0.05</v>
      </c>
    </row>
    <row r="89" spans="1:8" ht="12.75" customHeight="1" x14ac:dyDescent="0.2">
      <c r="A89" s="115" t="str">
        <f t="array" ref="A89">IFERROR(INDEX('Annex 2 EHV charges'!$D$11:$D$259, MATCH(0, IF(ISBLANK('Annex 2 EHV charges'!$D$11:$D$259),1, COUNTIF(A$4:$A88, 'Annex 2 EHV charges'!$D$11:$D$259)), 0)),"")</f>
        <v>TBC 1</v>
      </c>
      <c r="B89" s="114" t="str">
        <f>IF($A89="","",VLOOKUP($A89,'Annex 2 EHV charges'!$D:$O,2,0))</f>
        <v>TBC 1</v>
      </c>
      <c r="C89" s="115" t="str">
        <f>IF($A89="","",VLOOKUP($A89,'Annex 2 EHV charges'!$D:$O,3,0))</f>
        <v>TBC 1</v>
      </c>
      <c r="D89" s="114" t="str">
        <f>IF($A89="","",VLOOKUP($A89,'Annex 2 EHV charges'!$D:$O,4,0))</f>
        <v>Cefyn Mawr</v>
      </c>
      <c r="E89" s="116">
        <f>IFERROR(IF(VLOOKUP($A89,'Annex 2 EHV charges'!$D:$O,9,FALSE)=0,"",VLOOKUP($A89,'Annex 2 EHV charges'!$D:$O,9,FALSE)),"")</f>
        <v>-0.25900000000000001</v>
      </c>
      <c r="F89" s="117">
        <f>IFERROR(IF(VLOOKUP($A89,'Annex 2 EHV charges'!$D:$O,10,FALSE)=0,"",VLOOKUP($A89,'Annex 2 EHV charges'!$D:$O,10,FALSE)),"")</f>
        <v>2302.83</v>
      </c>
      <c r="G89" s="118">
        <f>IFERROR(IF(VLOOKUP($A89,'Annex 2 EHV charges'!$D:$O,11,FALSE)=0,"",VLOOKUP($A89,'Annex 2 EHV charges'!$D:$O,11,FALSE)),"")</f>
        <v>0.05</v>
      </c>
      <c r="H89" s="118">
        <f>IFERROR(IF(VLOOKUP($A89,'Annex 2 EHV charges'!$D:$O,12,FALSE)=0,"",VLOOKUP($A89,'Annex 2 EHV charges'!$D:$O,12,FALSE)),"")</f>
        <v>0.05</v>
      </c>
    </row>
    <row r="90" spans="1:8" ht="12.75" customHeight="1" x14ac:dyDescent="0.2">
      <c r="A90" s="115" t="str">
        <f t="array" ref="A90">IFERROR(INDEX('Annex 2 EHV charges'!$D$11:$D$259, MATCH(0, IF(ISBLANK('Annex 2 EHV charges'!$D$11:$D$259),1, COUNTIF(A$4:$A89, 'Annex 2 EHV charges'!$D$11:$D$259)), 0)),"")</f>
        <v>TBC 2</v>
      </c>
      <c r="B90" s="114" t="str">
        <f>IF($A90="","",VLOOKUP($A90,'Annex 2 EHV charges'!$D:$O,2,0))</f>
        <v>TBC 2</v>
      </c>
      <c r="C90" s="115" t="str">
        <f>IF($A90="","",VLOOKUP($A90,'Annex 2 EHV charges'!$D:$O,3,0))</f>
        <v>TBC 2</v>
      </c>
      <c r="D90" s="114" t="str">
        <f>IF($A90="","",VLOOKUP($A90,'Annex 2 EHV charges'!$D:$O,4,0))</f>
        <v xml:space="preserve">Carnegie Battery Storage </v>
      </c>
      <c r="E90" s="116" t="str">
        <f>IFERROR(IF(VLOOKUP($A90,'Annex 2 EHV charges'!$D:$O,9,FALSE)=0,"",VLOOKUP($A90,'Annex 2 EHV charges'!$D:$O,9,FALSE)),"")</f>
        <v/>
      </c>
      <c r="F90" s="117">
        <f>IFERROR(IF(VLOOKUP($A90,'Annex 2 EHV charges'!$D:$O,10,FALSE)=0,"",VLOOKUP($A90,'Annex 2 EHV charges'!$D:$O,10,FALSE)),"")</f>
        <v>965.69</v>
      </c>
      <c r="G90" s="118">
        <f>IFERROR(IF(VLOOKUP($A90,'Annex 2 EHV charges'!$D:$O,11,FALSE)=0,"",VLOOKUP($A90,'Annex 2 EHV charges'!$D:$O,11,FALSE)),"")</f>
        <v>0.05</v>
      </c>
      <c r="H90" s="118">
        <f>IFERROR(IF(VLOOKUP($A90,'Annex 2 EHV charges'!$D:$O,12,FALSE)=0,"",VLOOKUP($A90,'Annex 2 EHV charges'!$D:$O,12,FALSE)),"")</f>
        <v>0.05</v>
      </c>
    </row>
    <row r="91" spans="1:8" ht="12.75" customHeight="1" x14ac:dyDescent="0.2">
      <c r="A91" s="115" t="str">
        <f t="array" ref="A91">IFERROR(INDEX('Annex 2 EHV charges'!$D$11:$D$259, MATCH(0, IF(ISBLANK('Annex 2 EHV charges'!$D$11:$D$259),1, COUNTIF(A$4:$A90, 'Annex 2 EHV charges'!$D$11:$D$259)), 0)),"")</f>
        <v>TBC 3</v>
      </c>
      <c r="B91" s="114" t="str">
        <f>IF($A91="","",VLOOKUP($A91,'Annex 2 EHV charges'!$D:$O,2,0))</f>
        <v>TBC 3</v>
      </c>
      <c r="C91" s="115" t="str">
        <f>IF($A91="","",VLOOKUP($A91,'Annex 2 EHV charges'!$D:$O,3,0))</f>
        <v>TBC 3</v>
      </c>
      <c r="D91" s="114" t="str">
        <f>IF($A91="","",VLOOKUP($A91,'Annex 2 EHV charges'!$D:$O,4,0))</f>
        <v>Vauxhall North Rd</v>
      </c>
      <c r="E91" s="116">
        <f>IFERROR(IF(VLOOKUP($A91,'Annex 2 EHV charges'!$D:$O,9,FALSE)=0,"",VLOOKUP($A91,'Annex 2 EHV charges'!$D:$O,9,FALSE)),"")</f>
        <v>-0.26200000000000001</v>
      </c>
      <c r="F91" s="117">
        <f>IFERROR(IF(VLOOKUP($A91,'Annex 2 EHV charges'!$D:$O,10,FALSE)=0,"",VLOOKUP($A91,'Annex 2 EHV charges'!$D:$O,10,FALSE)),"")</f>
        <v>1283.3699999999999</v>
      </c>
      <c r="G91" s="118">
        <f>IFERROR(IF(VLOOKUP($A91,'Annex 2 EHV charges'!$D:$O,11,FALSE)=0,"",VLOOKUP($A91,'Annex 2 EHV charges'!$D:$O,11,FALSE)),"")</f>
        <v>0.05</v>
      </c>
      <c r="H91" s="118">
        <f>IFERROR(IF(VLOOKUP($A91,'Annex 2 EHV charges'!$D:$O,12,FALSE)=0,"",VLOOKUP($A91,'Annex 2 EHV charges'!$D:$O,12,FALSE)),"")</f>
        <v>0.05</v>
      </c>
    </row>
    <row r="92" spans="1:8" ht="12.75" customHeight="1" x14ac:dyDescent="0.2">
      <c r="A92" s="115">
        <f t="array" ref="A92">IFERROR(INDEX('Annex 2 EHV charges'!$D$11:$D$259, MATCH(0, IF(ISBLANK('Annex 2 EHV charges'!$D$11:$D$259),1, COUNTIF(A$4:$A91, 'Annex 2 EHV charges'!$D$11:$D$259)), 0)),"")</f>
        <v>680</v>
      </c>
      <c r="B92" s="114">
        <f>IF($A92="","",VLOOKUP($A92,'Annex 2 EHV charges'!$D:$O,2,0))</f>
        <v>680</v>
      </c>
      <c r="C92" s="115">
        <f>IF($A92="","",VLOOKUP($A92,'Annex 2 EHV charges'!$D:$O,3,0))</f>
        <v>1300060748470</v>
      </c>
      <c r="D92" s="114" t="str">
        <f>IF($A92="","",VLOOKUP($A92,'Annex 2 EHV charges'!$D:$O,4,0))</f>
        <v>Pilkington's STOR</v>
      </c>
      <c r="E92" s="116" t="str">
        <f>IFERROR(IF(VLOOKUP($A92,'Annex 2 EHV charges'!$D:$O,9,FALSE)=0,"",VLOOKUP($A92,'Annex 2 EHV charges'!$D:$O,9,FALSE)),"")</f>
        <v/>
      </c>
      <c r="F92" s="117">
        <f>IFERROR(IF(VLOOKUP($A92,'Annex 2 EHV charges'!$D:$O,10,FALSE)=0,"",VLOOKUP($A92,'Annex 2 EHV charges'!$D:$O,10,FALSE)),"")</f>
        <v>6732.75</v>
      </c>
      <c r="G92" s="118">
        <f>IFERROR(IF(VLOOKUP($A92,'Annex 2 EHV charges'!$D:$O,11,FALSE)=0,"",VLOOKUP($A92,'Annex 2 EHV charges'!$D:$O,11,FALSE)),"")</f>
        <v>0.05</v>
      </c>
      <c r="H92" s="118">
        <f>IFERROR(IF(VLOOKUP($A92,'Annex 2 EHV charges'!$D:$O,12,FALSE)=0,"",VLOOKUP($A92,'Annex 2 EHV charges'!$D:$O,12,FALSE)),"")</f>
        <v>0.05</v>
      </c>
    </row>
    <row r="93" spans="1:8" ht="12.75" customHeight="1" x14ac:dyDescent="0.2">
      <c r="A93" s="115" t="str">
        <f t="array" ref="A93">IFERROR(INDEX('Annex 2 EHV charges'!$D$11:$D$259, MATCH(0, IF(ISBLANK('Annex 2 EHV charges'!$D$11:$D$259),1, COUNTIF(A$4:$A92, 'Annex 2 EHV charges'!$D$11:$D$259)), 0)),"")</f>
        <v>TBC 4</v>
      </c>
      <c r="B93" s="114" t="str">
        <f>IF($A93="","",VLOOKUP($A93,'Annex 2 EHV charges'!$D:$O,2,0))</f>
        <v>TBC 4</v>
      </c>
      <c r="C93" s="115" t="str">
        <f>IF($A93="","",VLOOKUP($A93,'Annex 2 EHV charges'!$D:$O,3,0))</f>
        <v>TBC 4</v>
      </c>
      <c r="D93" s="114" t="str">
        <f>IF($A93="","",VLOOKUP($A93,'Annex 2 EHV charges'!$D:$O,4,0))</f>
        <v>Four Crosses Diesel</v>
      </c>
      <c r="E93" s="116" t="str">
        <f>IFERROR(IF(VLOOKUP($A93,'Annex 2 EHV charges'!$D:$O,9,FALSE)=0,"",VLOOKUP($A93,'Annex 2 EHV charges'!$D:$O,9,FALSE)),"")</f>
        <v/>
      </c>
      <c r="F93" s="117">
        <f>IFERROR(IF(VLOOKUP($A93,'Annex 2 EHV charges'!$D:$O,10,FALSE)=0,"",VLOOKUP($A93,'Annex 2 EHV charges'!$D:$O,10,FALSE)),"")</f>
        <v>634.73</v>
      </c>
      <c r="G93" s="118">
        <f>IFERROR(IF(VLOOKUP($A93,'Annex 2 EHV charges'!$D:$O,11,FALSE)=0,"",VLOOKUP($A93,'Annex 2 EHV charges'!$D:$O,11,FALSE)),"")</f>
        <v>0.05</v>
      </c>
      <c r="H93" s="118">
        <f>IFERROR(IF(VLOOKUP($A93,'Annex 2 EHV charges'!$D:$O,12,FALSE)=0,"",VLOOKUP($A93,'Annex 2 EHV charges'!$D:$O,12,FALSE)),"")</f>
        <v>0.05</v>
      </c>
    </row>
    <row r="94" spans="1:8" ht="12.75" customHeight="1" x14ac:dyDescent="0.2">
      <c r="A94" s="115" t="str">
        <f t="array" ref="A94">IFERROR(INDEX('Annex 2 EHV charges'!$D$11:$D$259, MATCH(0, IF(ISBLANK('Annex 2 EHV charges'!$D$11:$D$259),1, COUNTIF(A$4:$A93, 'Annex 2 EHV charges'!$D$11:$D$259)), 0)),"")</f>
        <v/>
      </c>
      <c r="B94" s="114" t="str">
        <f>IF($A94="","",VLOOKUP($A94,'Annex 2 EHV charges'!$D:$O,2,0))</f>
        <v/>
      </c>
      <c r="C94" s="115" t="str">
        <f>IF($A94="","",VLOOKUP($A94,'Annex 2 EHV charges'!$D:$O,3,0))</f>
        <v/>
      </c>
      <c r="D94" s="114" t="str">
        <f>IF($A94="","",VLOOKUP($A94,'Annex 2 EHV charges'!$D:$O,4,0))</f>
        <v/>
      </c>
      <c r="E94" s="116" t="str">
        <f>IFERROR(IF(VLOOKUP($A94,'Annex 2 EHV charges'!$D:$O,9,FALSE)=0,"",VLOOKUP($A94,'Annex 2 EHV charges'!$D:$O,9,FALSE)),"")</f>
        <v/>
      </c>
      <c r="F94" s="117" t="str">
        <f>IFERROR(IF(VLOOKUP($A94,'Annex 2 EHV charges'!$D:$O,10,FALSE)=0,"",VLOOKUP($A94,'Annex 2 EHV charges'!$D:$O,10,FALSE)),"")</f>
        <v/>
      </c>
      <c r="G94" s="118" t="str">
        <f>IFERROR(IF(VLOOKUP($A94,'Annex 2 EHV charges'!$D:$O,11,FALSE)=0,"",VLOOKUP($A94,'Annex 2 EHV charges'!$D:$O,11,FALSE)),"")</f>
        <v/>
      </c>
      <c r="H94" s="118" t="str">
        <f>IFERROR(IF(VLOOKUP($A94,'Annex 2 EHV charges'!$D:$O,12,FALSE)=0,"",VLOOKUP($A94,'Annex 2 EHV charges'!$D:$O,12,FALSE)),"")</f>
        <v/>
      </c>
    </row>
    <row r="95" spans="1:8" ht="12.75" customHeight="1" x14ac:dyDescent="0.2">
      <c r="A95" s="115" t="str">
        <f t="array" ref="A95">IFERROR(INDEX('Annex 2 EHV charges'!$D$11:$D$259, MATCH(0, IF(ISBLANK('Annex 2 EHV charges'!$D$11:$D$259),1, COUNTIF(A$4:$A94, 'Annex 2 EHV charges'!$D$11:$D$259)), 0)),"")</f>
        <v/>
      </c>
      <c r="B95" s="114" t="str">
        <f>IF($A95="","",VLOOKUP($A95,'Annex 2 EHV charges'!$D:$O,2,0))</f>
        <v/>
      </c>
      <c r="C95" s="115" t="str">
        <f>IF($A95="","",VLOOKUP($A95,'Annex 2 EHV charges'!$D:$O,3,0))</f>
        <v/>
      </c>
      <c r="D95" s="114" t="str">
        <f>IF($A95="","",VLOOKUP($A95,'Annex 2 EHV charges'!$D:$O,4,0))</f>
        <v/>
      </c>
      <c r="E95" s="116" t="str">
        <f>IFERROR(IF(VLOOKUP($A95,'Annex 2 EHV charges'!$D:$O,9,FALSE)=0,"",VLOOKUP($A95,'Annex 2 EHV charges'!$D:$O,9,FALSE)),"")</f>
        <v/>
      </c>
      <c r="F95" s="117" t="str">
        <f>IFERROR(IF(VLOOKUP($A95,'Annex 2 EHV charges'!$D:$O,10,FALSE)=0,"",VLOOKUP($A95,'Annex 2 EHV charges'!$D:$O,10,FALSE)),"")</f>
        <v/>
      </c>
      <c r="G95" s="118" t="str">
        <f>IFERROR(IF(VLOOKUP($A95,'Annex 2 EHV charges'!$D:$O,11,FALSE)=0,"",VLOOKUP($A95,'Annex 2 EHV charges'!$D:$O,11,FALSE)),"")</f>
        <v/>
      </c>
      <c r="H95" s="118" t="str">
        <f>IFERROR(IF(VLOOKUP($A95,'Annex 2 EHV charges'!$D:$O,12,FALSE)=0,"",VLOOKUP($A95,'Annex 2 EHV charges'!$D:$O,12,FALSE)),"")</f>
        <v/>
      </c>
    </row>
    <row r="96" spans="1:8" ht="12.75" customHeight="1" x14ac:dyDescent="0.2">
      <c r="A96" s="115" t="str">
        <f t="array" ref="A96">IFERROR(INDEX('Annex 2 EHV charges'!$D$11:$D$259, MATCH(0, IF(ISBLANK('Annex 2 EHV charges'!$D$11:$D$259),1, COUNTIF(A$4:$A95, 'Annex 2 EHV charges'!$D$11:$D$259)), 0)),"")</f>
        <v/>
      </c>
      <c r="B96" s="114" t="str">
        <f>IF($A96="","",VLOOKUP($A96,'Annex 2 EHV charges'!$D:$O,2,0))</f>
        <v/>
      </c>
      <c r="C96" s="115" t="str">
        <f>IF($A96="","",VLOOKUP($A96,'Annex 2 EHV charges'!$D:$O,3,0))</f>
        <v/>
      </c>
      <c r="D96" s="114" t="str">
        <f>IF($A96="","",VLOOKUP($A96,'Annex 2 EHV charges'!$D:$O,4,0))</f>
        <v/>
      </c>
      <c r="E96" s="116" t="str">
        <f>IFERROR(IF(VLOOKUP($A96,'Annex 2 EHV charges'!$D:$O,9,FALSE)=0,"",VLOOKUP($A96,'Annex 2 EHV charges'!$D:$O,9,FALSE)),"")</f>
        <v/>
      </c>
      <c r="F96" s="117" t="str">
        <f>IFERROR(IF(VLOOKUP($A96,'Annex 2 EHV charges'!$D:$O,10,FALSE)=0,"",VLOOKUP($A96,'Annex 2 EHV charges'!$D:$O,10,FALSE)),"")</f>
        <v/>
      </c>
      <c r="G96" s="118" t="str">
        <f>IFERROR(IF(VLOOKUP($A96,'Annex 2 EHV charges'!$D:$O,11,FALSE)=0,"",VLOOKUP($A96,'Annex 2 EHV charges'!$D:$O,11,FALSE)),"")</f>
        <v/>
      </c>
      <c r="H96" s="118" t="str">
        <f>IFERROR(IF(VLOOKUP($A96,'Annex 2 EHV charges'!$D:$O,12,FALSE)=0,"",VLOOKUP($A96,'Annex 2 EHV charges'!$D:$O,12,FALSE)),"")</f>
        <v/>
      </c>
    </row>
    <row r="97" spans="1:8" ht="12.75" customHeight="1" x14ac:dyDescent="0.2">
      <c r="A97" s="115" t="str">
        <f t="array" ref="A97">IFERROR(INDEX('Annex 2 EHV charges'!$D$11:$D$259, MATCH(0, IF(ISBLANK('Annex 2 EHV charges'!$D$11:$D$259),1, COUNTIF(A$4:$A96, 'Annex 2 EHV charges'!$D$11:$D$259)), 0)),"")</f>
        <v/>
      </c>
      <c r="B97" s="114" t="str">
        <f>IF($A97="","",VLOOKUP($A97,'Annex 2 EHV charges'!$D:$O,2,0))</f>
        <v/>
      </c>
      <c r="C97" s="115" t="str">
        <f>IF($A97="","",VLOOKUP($A97,'Annex 2 EHV charges'!$D:$O,3,0))</f>
        <v/>
      </c>
      <c r="D97" s="114" t="str">
        <f>IF($A97="","",VLOOKUP($A97,'Annex 2 EHV charges'!$D:$O,4,0))</f>
        <v/>
      </c>
      <c r="E97" s="116" t="str">
        <f>IFERROR(IF(VLOOKUP($A97,'Annex 2 EHV charges'!$D:$O,9,FALSE)=0,"",VLOOKUP($A97,'Annex 2 EHV charges'!$D:$O,9,FALSE)),"")</f>
        <v/>
      </c>
      <c r="F97" s="117" t="str">
        <f>IFERROR(IF(VLOOKUP($A97,'Annex 2 EHV charges'!$D:$O,10,FALSE)=0,"",VLOOKUP($A97,'Annex 2 EHV charges'!$D:$O,10,FALSE)),"")</f>
        <v/>
      </c>
      <c r="G97" s="118" t="str">
        <f>IFERROR(IF(VLOOKUP($A97,'Annex 2 EHV charges'!$D:$O,11,FALSE)=0,"",VLOOKUP($A97,'Annex 2 EHV charges'!$D:$O,11,FALSE)),"")</f>
        <v/>
      </c>
      <c r="H97" s="118" t="str">
        <f>IFERROR(IF(VLOOKUP($A97,'Annex 2 EHV charges'!$D:$O,12,FALSE)=0,"",VLOOKUP($A97,'Annex 2 EHV charges'!$D:$O,12,FALSE)),"")</f>
        <v/>
      </c>
    </row>
    <row r="98" spans="1:8" ht="12.75" customHeight="1" x14ac:dyDescent="0.2">
      <c r="A98" s="115" t="str">
        <f t="array" ref="A98">IFERROR(INDEX('Annex 2 EHV charges'!$D$11:$D$259, MATCH(0, IF(ISBLANK('Annex 2 EHV charges'!$D$11:$D$259),1, COUNTIF(A$4:$A97, 'Annex 2 EHV charges'!$D$11:$D$259)), 0)),"")</f>
        <v/>
      </c>
      <c r="B98" s="114" t="str">
        <f>IF($A98="","",VLOOKUP($A98,'Annex 2 EHV charges'!$D:$O,2,0))</f>
        <v/>
      </c>
      <c r="C98" s="115" t="str">
        <f>IF($A98="","",VLOOKUP($A98,'Annex 2 EHV charges'!$D:$O,3,0))</f>
        <v/>
      </c>
      <c r="D98" s="114" t="str">
        <f>IF($A98="","",VLOOKUP($A98,'Annex 2 EHV charges'!$D:$O,4,0))</f>
        <v/>
      </c>
      <c r="E98" s="116" t="str">
        <f>IFERROR(IF(VLOOKUP($A98,'Annex 2 EHV charges'!$D:$O,9,FALSE)=0,"",VLOOKUP($A98,'Annex 2 EHV charges'!$D:$O,9,FALSE)),"")</f>
        <v/>
      </c>
      <c r="F98" s="117" t="str">
        <f>IFERROR(IF(VLOOKUP($A98,'Annex 2 EHV charges'!$D:$O,10,FALSE)=0,"",VLOOKUP($A98,'Annex 2 EHV charges'!$D:$O,10,FALSE)),"")</f>
        <v/>
      </c>
      <c r="G98" s="118" t="str">
        <f>IFERROR(IF(VLOOKUP($A98,'Annex 2 EHV charges'!$D:$O,11,FALSE)=0,"",VLOOKUP($A98,'Annex 2 EHV charges'!$D:$O,11,FALSE)),"")</f>
        <v/>
      </c>
      <c r="H98" s="118" t="str">
        <f>IFERROR(IF(VLOOKUP($A98,'Annex 2 EHV charges'!$D:$O,12,FALSE)=0,"",VLOOKUP($A98,'Annex 2 EHV charges'!$D:$O,12,FALSE)),"")</f>
        <v/>
      </c>
    </row>
    <row r="99" spans="1:8" ht="12.75" customHeight="1" x14ac:dyDescent="0.2">
      <c r="A99" s="115" t="str">
        <f t="array" ref="A99">IFERROR(INDEX('Annex 2 EHV charges'!$D$11:$D$259, MATCH(0, IF(ISBLANK('Annex 2 EHV charges'!$D$11:$D$259),1, COUNTIF(A$4:$A98, 'Annex 2 EHV charges'!$D$11:$D$259)), 0)),"")</f>
        <v/>
      </c>
      <c r="B99" s="114" t="str">
        <f>IF($A99="","",VLOOKUP($A99,'Annex 2 EHV charges'!$D:$O,2,0))</f>
        <v/>
      </c>
      <c r="C99" s="115" t="str">
        <f>IF($A99="","",VLOOKUP($A99,'Annex 2 EHV charges'!$D:$O,3,0))</f>
        <v/>
      </c>
      <c r="D99" s="114" t="str">
        <f>IF($A99="","",VLOOKUP($A99,'Annex 2 EHV charges'!$D:$O,4,0))</f>
        <v/>
      </c>
      <c r="E99" s="116" t="str">
        <f>IFERROR(IF(VLOOKUP($A99,'Annex 2 EHV charges'!$D:$O,9,FALSE)=0,"",VLOOKUP($A99,'Annex 2 EHV charges'!$D:$O,9,FALSE)),"")</f>
        <v/>
      </c>
      <c r="F99" s="117" t="str">
        <f>IFERROR(IF(VLOOKUP($A99,'Annex 2 EHV charges'!$D:$O,10,FALSE)=0,"",VLOOKUP($A99,'Annex 2 EHV charges'!$D:$O,10,FALSE)),"")</f>
        <v/>
      </c>
      <c r="G99" s="118" t="str">
        <f>IFERROR(IF(VLOOKUP($A99,'Annex 2 EHV charges'!$D:$O,11,FALSE)=0,"",VLOOKUP($A99,'Annex 2 EHV charges'!$D:$O,11,FALSE)),"")</f>
        <v/>
      </c>
      <c r="H99" s="118" t="str">
        <f>IFERROR(IF(VLOOKUP($A99,'Annex 2 EHV charges'!$D:$O,12,FALSE)=0,"",VLOOKUP($A99,'Annex 2 EHV charges'!$D:$O,12,FALSE)),"")</f>
        <v/>
      </c>
    </row>
    <row r="100" spans="1:8" ht="12.75" customHeight="1" x14ac:dyDescent="0.2">
      <c r="A100" s="115" t="str">
        <f t="array" ref="A100">IFERROR(INDEX('Annex 2 EHV charges'!$D$11:$D$259, MATCH(0, IF(ISBLANK('Annex 2 EHV charges'!$D$11:$D$259),1, COUNTIF(A$4:$A99, 'Annex 2 EHV charges'!$D$11:$D$259)), 0)),"")</f>
        <v/>
      </c>
      <c r="B100" s="114" t="str">
        <f>IF($A100="","",VLOOKUP($A100,'Annex 2 EHV charges'!$D:$O,2,0))</f>
        <v/>
      </c>
      <c r="C100" s="115" t="str">
        <f>IF($A100="","",VLOOKUP($A100,'Annex 2 EHV charges'!$D:$O,3,0))</f>
        <v/>
      </c>
      <c r="D100" s="114" t="str">
        <f>IF($A100="","",VLOOKUP($A100,'Annex 2 EHV charges'!$D:$O,4,0))</f>
        <v/>
      </c>
      <c r="E100" s="116" t="str">
        <f>IFERROR(IF(VLOOKUP($A100,'Annex 2 EHV charges'!$D:$O,9,FALSE)=0,"",VLOOKUP($A100,'Annex 2 EHV charges'!$D:$O,9,FALSE)),"")</f>
        <v/>
      </c>
      <c r="F100" s="117" t="str">
        <f>IFERROR(IF(VLOOKUP($A100,'Annex 2 EHV charges'!$D:$O,10,FALSE)=0,"",VLOOKUP($A100,'Annex 2 EHV charges'!$D:$O,10,FALSE)),"")</f>
        <v/>
      </c>
      <c r="G100" s="118" t="str">
        <f>IFERROR(IF(VLOOKUP($A100,'Annex 2 EHV charges'!$D:$O,11,FALSE)=0,"",VLOOKUP($A100,'Annex 2 EHV charges'!$D:$O,11,FALSE)),"")</f>
        <v/>
      </c>
      <c r="H100" s="118" t="str">
        <f>IFERROR(IF(VLOOKUP($A100,'Annex 2 EHV charges'!$D:$O,12,FALSE)=0,"",VLOOKUP($A100,'Annex 2 EHV charges'!$D:$O,12,FALSE)),"")</f>
        <v/>
      </c>
    </row>
    <row r="101" spans="1:8" ht="12.75" customHeight="1" x14ac:dyDescent="0.2">
      <c r="A101" s="115" t="str">
        <f t="array" ref="A101">IFERROR(INDEX('Annex 2 EHV charges'!$D$11:$D$259, MATCH(0, IF(ISBLANK('Annex 2 EHV charges'!$D$11:$D$259),1, COUNTIF(A$4:$A100, 'Annex 2 EHV charges'!$D$11:$D$259)), 0)),"")</f>
        <v/>
      </c>
      <c r="B101" s="114" t="str">
        <f>IF($A101="","",VLOOKUP($A101,'Annex 2 EHV charges'!$D:$O,2,0))</f>
        <v/>
      </c>
      <c r="C101" s="115" t="str">
        <f>IF($A101="","",VLOOKUP($A101,'Annex 2 EHV charges'!$D:$O,3,0))</f>
        <v/>
      </c>
      <c r="D101" s="114" t="str">
        <f>IF($A101="","",VLOOKUP($A101,'Annex 2 EHV charges'!$D:$O,4,0))</f>
        <v/>
      </c>
      <c r="E101" s="116" t="str">
        <f>IFERROR(IF(VLOOKUP($A101,'Annex 2 EHV charges'!$D:$O,9,FALSE)=0,"",VLOOKUP($A101,'Annex 2 EHV charges'!$D:$O,9,FALSE)),"")</f>
        <v/>
      </c>
      <c r="F101" s="117" t="str">
        <f>IFERROR(IF(VLOOKUP($A101,'Annex 2 EHV charges'!$D:$O,10,FALSE)=0,"",VLOOKUP($A101,'Annex 2 EHV charges'!$D:$O,10,FALSE)),"")</f>
        <v/>
      </c>
      <c r="G101" s="118" t="str">
        <f>IFERROR(IF(VLOOKUP($A101,'Annex 2 EHV charges'!$D:$O,11,FALSE)=0,"",VLOOKUP($A101,'Annex 2 EHV charges'!$D:$O,11,FALSE)),"")</f>
        <v/>
      </c>
      <c r="H101" s="118" t="str">
        <f>IFERROR(IF(VLOOKUP($A101,'Annex 2 EHV charges'!$D:$O,12,FALSE)=0,"",VLOOKUP($A101,'Annex 2 EHV charges'!$D:$O,12,FALSE)),"")</f>
        <v/>
      </c>
    </row>
    <row r="102" spans="1:8" ht="12.75" customHeight="1" x14ac:dyDescent="0.2">
      <c r="A102" s="115" t="str">
        <f t="array" ref="A102">IFERROR(INDEX('Annex 2 EHV charges'!$D$11:$D$259, MATCH(0, IF(ISBLANK('Annex 2 EHV charges'!$D$11:$D$259),1, COUNTIF(A$4:$A101, 'Annex 2 EHV charges'!$D$11:$D$259)), 0)),"")</f>
        <v/>
      </c>
      <c r="B102" s="114" t="str">
        <f>IF($A102="","",VLOOKUP($A102,'Annex 2 EHV charges'!$D:$O,2,0))</f>
        <v/>
      </c>
      <c r="C102" s="115" t="str">
        <f>IF($A102="","",VLOOKUP($A102,'Annex 2 EHV charges'!$D:$O,3,0))</f>
        <v/>
      </c>
      <c r="D102" s="114" t="str">
        <f>IF($A102="","",VLOOKUP($A102,'Annex 2 EHV charges'!$D:$O,4,0))</f>
        <v/>
      </c>
      <c r="E102" s="116" t="str">
        <f>IFERROR(IF(VLOOKUP($A102,'Annex 2 EHV charges'!$D:$O,9,FALSE)=0,"",VLOOKUP($A102,'Annex 2 EHV charges'!$D:$O,9,FALSE)),"")</f>
        <v/>
      </c>
      <c r="F102" s="117" t="str">
        <f>IFERROR(IF(VLOOKUP($A102,'Annex 2 EHV charges'!$D:$O,10,FALSE)=0,"",VLOOKUP($A102,'Annex 2 EHV charges'!$D:$O,10,FALSE)),"")</f>
        <v/>
      </c>
      <c r="G102" s="118" t="str">
        <f>IFERROR(IF(VLOOKUP($A102,'Annex 2 EHV charges'!$D:$O,11,FALSE)=0,"",VLOOKUP($A102,'Annex 2 EHV charges'!$D:$O,11,FALSE)),"")</f>
        <v/>
      </c>
      <c r="H102" s="118" t="str">
        <f>IFERROR(IF(VLOOKUP($A102,'Annex 2 EHV charges'!$D:$O,12,FALSE)=0,"",VLOOKUP($A102,'Annex 2 EHV charges'!$D:$O,12,FALSE)),"")</f>
        <v/>
      </c>
    </row>
    <row r="103" spans="1:8" ht="12.75" customHeight="1" x14ac:dyDescent="0.2">
      <c r="A103" s="115" t="str">
        <f t="array" ref="A103">IFERROR(INDEX('Annex 2 EHV charges'!$D$11:$D$259, MATCH(0, IF(ISBLANK('Annex 2 EHV charges'!$D$11:$D$259),1, COUNTIF(A$4:$A102, 'Annex 2 EHV charges'!$D$11:$D$259)), 0)),"")</f>
        <v/>
      </c>
      <c r="B103" s="114" t="str">
        <f>IF($A103="","",VLOOKUP($A103,'Annex 2 EHV charges'!$D:$O,2,0))</f>
        <v/>
      </c>
      <c r="C103" s="115" t="str">
        <f>IF($A103="","",VLOOKUP($A103,'Annex 2 EHV charges'!$D:$O,3,0))</f>
        <v/>
      </c>
      <c r="D103" s="114" t="str">
        <f>IF($A103="","",VLOOKUP($A103,'Annex 2 EHV charges'!$D:$O,4,0))</f>
        <v/>
      </c>
      <c r="E103" s="116" t="str">
        <f>IFERROR(IF(VLOOKUP($A103,'Annex 2 EHV charges'!$D:$O,9,FALSE)=0,"",VLOOKUP($A103,'Annex 2 EHV charges'!$D:$O,9,FALSE)),"")</f>
        <v/>
      </c>
      <c r="F103" s="117" t="str">
        <f>IFERROR(IF(VLOOKUP($A103,'Annex 2 EHV charges'!$D:$O,10,FALSE)=0,"",VLOOKUP($A103,'Annex 2 EHV charges'!$D:$O,10,FALSE)),"")</f>
        <v/>
      </c>
      <c r="G103" s="118" t="str">
        <f>IFERROR(IF(VLOOKUP($A103,'Annex 2 EHV charges'!$D:$O,11,FALSE)=0,"",VLOOKUP($A103,'Annex 2 EHV charges'!$D:$O,11,FALSE)),"")</f>
        <v/>
      </c>
      <c r="H103" s="118" t="str">
        <f>IFERROR(IF(VLOOKUP($A103,'Annex 2 EHV charges'!$D:$O,12,FALSE)=0,"",VLOOKUP($A103,'Annex 2 EHV charges'!$D:$O,12,FALSE)),"")</f>
        <v/>
      </c>
    </row>
    <row r="104" spans="1:8" ht="12.75" customHeight="1" x14ac:dyDescent="0.2">
      <c r="A104" s="115" t="str">
        <f t="array" ref="A104">IFERROR(INDEX('Annex 2 EHV charges'!$D$11:$D$259, MATCH(0, IF(ISBLANK('Annex 2 EHV charges'!$D$11:$D$259),1, COUNTIF(A$4:$A103, 'Annex 2 EHV charges'!$D$11:$D$259)), 0)),"")</f>
        <v/>
      </c>
      <c r="B104" s="114" t="str">
        <f>IF($A104="","",VLOOKUP($A104,'Annex 2 EHV charges'!$D:$O,2,0))</f>
        <v/>
      </c>
      <c r="C104" s="115" t="str">
        <f>IF($A104="","",VLOOKUP($A104,'Annex 2 EHV charges'!$D:$O,3,0))</f>
        <v/>
      </c>
      <c r="D104" s="114" t="str">
        <f>IF($A104="","",VLOOKUP($A104,'Annex 2 EHV charges'!$D:$O,4,0))</f>
        <v/>
      </c>
      <c r="E104" s="116" t="str">
        <f>IFERROR(IF(VLOOKUP($A104,'Annex 2 EHV charges'!$D:$O,9,FALSE)=0,"",VLOOKUP($A104,'Annex 2 EHV charges'!$D:$O,9,FALSE)),"")</f>
        <v/>
      </c>
      <c r="F104" s="117" t="str">
        <f>IFERROR(IF(VLOOKUP($A104,'Annex 2 EHV charges'!$D:$O,10,FALSE)=0,"",VLOOKUP($A104,'Annex 2 EHV charges'!$D:$O,10,FALSE)),"")</f>
        <v/>
      </c>
      <c r="G104" s="118" t="str">
        <f>IFERROR(IF(VLOOKUP($A104,'Annex 2 EHV charges'!$D:$O,11,FALSE)=0,"",VLOOKUP($A104,'Annex 2 EHV charges'!$D:$O,11,FALSE)),"")</f>
        <v/>
      </c>
      <c r="H104" s="118" t="str">
        <f>IFERROR(IF(VLOOKUP($A104,'Annex 2 EHV charges'!$D:$O,12,FALSE)=0,"",VLOOKUP($A104,'Annex 2 EHV charges'!$D:$O,12,FALSE)),"")</f>
        <v/>
      </c>
    </row>
    <row r="105" spans="1:8" ht="12.75" customHeight="1" x14ac:dyDescent="0.2">
      <c r="A105" s="115" t="str">
        <f t="array" ref="A105">IFERROR(INDEX('Annex 2 EHV charges'!$D$11:$D$259, MATCH(0, IF(ISBLANK('Annex 2 EHV charges'!$D$11:$D$259),1, COUNTIF(A$4:$A104, 'Annex 2 EHV charges'!$D$11:$D$259)), 0)),"")</f>
        <v/>
      </c>
      <c r="B105" s="114" t="str">
        <f>IF($A105="","",VLOOKUP($A105,'Annex 2 EHV charges'!$D:$O,2,0))</f>
        <v/>
      </c>
      <c r="C105" s="115" t="str">
        <f>IF($A105="","",VLOOKUP($A105,'Annex 2 EHV charges'!$D:$O,3,0))</f>
        <v/>
      </c>
      <c r="D105" s="114" t="str">
        <f>IF($A105="","",VLOOKUP($A105,'Annex 2 EHV charges'!$D:$O,4,0))</f>
        <v/>
      </c>
      <c r="E105" s="116" t="str">
        <f>IFERROR(IF(VLOOKUP($A105,'Annex 2 EHV charges'!$D:$O,9,FALSE)=0,"",VLOOKUP($A105,'Annex 2 EHV charges'!$D:$O,9,FALSE)),"")</f>
        <v/>
      </c>
      <c r="F105" s="117" t="str">
        <f>IFERROR(IF(VLOOKUP($A105,'Annex 2 EHV charges'!$D:$O,10,FALSE)=0,"",VLOOKUP($A105,'Annex 2 EHV charges'!$D:$O,10,FALSE)),"")</f>
        <v/>
      </c>
      <c r="G105" s="118" t="str">
        <f>IFERROR(IF(VLOOKUP($A105,'Annex 2 EHV charges'!$D:$O,11,FALSE)=0,"",VLOOKUP($A105,'Annex 2 EHV charges'!$D:$O,11,FALSE)),"")</f>
        <v/>
      </c>
      <c r="H105" s="118" t="str">
        <f>IFERROR(IF(VLOOKUP($A105,'Annex 2 EHV charges'!$D:$O,12,FALSE)=0,"",VLOOKUP($A105,'Annex 2 EHV charges'!$D:$O,12,FALSE)),"")</f>
        <v/>
      </c>
    </row>
    <row r="106" spans="1:8" ht="12.75" customHeight="1" x14ac:dyDescent="0.2">
      <c r="A106" s="115" t="str">
        <f t="array" ref="A106">IFERROR(INDEX('Annex 2 EHV charges'!$D$11:$D$259, MATCH(0, IF(ISBLANK('Annex 2 EHV charges'!$D$11:$D$259),1, COUNTIF(A$4:$A105, 'Annex 2 EHV charges'!$D$11:$D$259)), 0)),"")</f>
        <v/>
      </c>
      <c r="B106" s="114" t="str">
        <f>IF($A106="","",VLOOKUP($A106,'Annex 2 EHV charges'!$D:$O,2,0))</f>
        <v/>
      </c>
      <c r="C106" s="115" t="str">
        <f>IF($A106="","",VLOOKUP($A106,'Annex 2 EHV charges'!$D:$O,3,0))</f>
        <v/>
      </c>
      <c r="D106" s="114" t="str">
        <f>IF($A106="","",VLOOKUP($A106,'Annex 2 EHV charges'!$D:$O,4,0))</f>
        <v/>
      </c>
      <c r="E106" s="116" t="str">
        <f>IFERROR(IF(VLOOKUP($A106,'Annex 2 EHV charges'!$D:$O,9,FALSE)=0,"",VLOOKUP($A106,'Annex 2 EHV charges'!$D:$O,9,FALSE)),"")</f>
        <v/>
      </c>
      <c r="F106" s="117" t="str">
        <f>IFERROR(IF(VLOOKUP($A106,'Annex 2 EHV charges'!$D:$O,10,FALSE)=0,"",VLOOKUP($A106,'Annex 2 EHV charges'!$D:$O,10,FALSE)),"")</f>
        <v/>
      </c>
      <c r="G106" s="118" t="str">
        <f>IFERROR(IF(VLOOKUP($A106,'Annex 2 EHV charges'!$D:$O,11,FALSE)=0,"",VLOOKUP($A106,'Annex 2 EHV charges'!$D:$O,11,FALSE)),"")</f>
        <v/>
      </c>
      <c r="H106" s="118" t="str">
        <f>IFERROR(IF(VLOOKUP($A106,'Annex 2 EHV charges'!$D:$O,12,FALSE)=0,"",VLOOKUP($A106,'Annex 2 EHV charges'!$D:$O,12,FALSE)),"")</f>
        <v/>
      </c>
    </row>
    <row r="107" spans="1:8" ht="12.75" customHeight="1" x14ac:dyDescent="0.2">
      <c r="A107" s="115" t="str">
        <f t="array" ref="A107">IFERROR(INDEX('Annex 2 EHV charges'!$D$11:$D$259, MATCH(0, IF(ISBLANK('Annex 2 EHV charges'!$D$11:$D$259),1, COUNTIF(A$4:$A106, 'Annex 2 EHV charges'!$D$11:$D$259)), 0)),"")</f>
        <v/>
      </c>
      <c r="B107" s="114" t="str">
        <f>IF($A107="","",VLOOKUP($A107,'Annex 2 EHV charges'!$D:$O,2,0))</f>
        <v/>
      </c>
      <c r="C107" s="115" t="str">
        <f>IF($A107="","",VLOOKUP($A107,'Annex 2 EHV charges'!$D:$O,3,0))</f>
        <v/>
      </c>
      <c r="D107" s="114" t="str">
        <f>IF($A107="","",VLOOKUP($A107,'Annex 2 EHV charges'!$D:$O,4,0))</f>
        <v/>
      </c>
      <c r="E107" s="116" t="str">
        <f>IFERROR(IF(VLOOKUP($A107,'Annex 2 EHV charges'!$D:$O,9,FALSE)=0,"",VLOOKUP($A107,'Annex 2 EHV charges'!$D:$O,9,FALSE)),"")</f>
        <v/>
      </c>
      <c r="F107" s="117" t="str">
        <f>IFERROR(IF(VLOOKUP($A107,'Annex 2 EHV charges'!$D:$O,10,FALSE)=0,"",VLOOKUP($A107,'Annex 2 EHV charges'!$D:$O,10,FALSE)),"")</f>
        <v/>
      </c>
      <c r="G107" s="118" t="str">
        <f>IFERROR(IF(VLOOKUP($A107,'Annex 2 EHV charges'!$D:$O,11,FALSE)=0,"",VLOOKUP($A107,'Annex 2 EHV charges'!$D:$O,11,FALSE)),"")</f>
        <v/>
      </c>
      <c r="H107" s="118" t="str">
        <f>IFERROR(IF(VLOOKUP($A107,'Annex 2 EHV charges'!$D:$O,12,FALSE)=0,"",VLOOKUP($A107,'Annex 2 EHV charges'!$D:$O,12,FALSE)),"")</f>
        <v/>
      </c>
    </row>
    <row r="108" spans="1:8" ht="12.75" customHeight="1" x14ac:dyDescent="0.2">
      <c r="A108" s="115" t="str">
        <f t="array" ref="A108">IFERROR(INDEX('Annex 2 EHV charges'!$D$11:$D$259, MATCH(0, IF(ISBLANK('Annex 2 EHV charges'!$D$11:$D$259),1, COUNTIF(A$4:$A107, 'Annex 2 EHV charges'!$D$11:$D$259)), 0)),"")</f>
        <v/>
      </c>
      <c r="B108" s="114" t="str">
        <f>IF($A108="","",VLOOKUP($A108,'Annex 2 EHV charges'!$D:$O,2,0))</f>
        <v/>
      </c>
      <c r="C108" s="115" t="str">
        <f>IF($A108="","",VLOOKUP($A108,'Annex 2 EHV charges'!$D:$O,3,0))</f>
        <v/>
      </c>
      <c r="D108" s="114" t="str">
        <f>IF($A108="","",VLOOKUP($A108,'Annex 2 EHV charges'!$D:$O,4,0))</f>
        <v/>
      </c>
      <c r="E108" s="116" t="str">
        <f>IFERROR(IF(VLOOKUP($A108,'Annex 2 EHV charges'!$D:$O,9,FALSE)=0,"",VLOOKUP($A108,'Annex 2 EHV charges'!$D:$O,9,FALSE)),"")</f>
        <v/>
      </c>
      <c r="F108" s="117" t="str">
        <f>IFERROR(IF(VLOOKUP($A108,'Annex 2 EHV charges'!$D:$O,10,FALSE)=0,"",VLOOKUP($A108,'Annex 2 EHV charges'!$D:$O,10,FALSE)),"")</f>
        <v/>
      </c>
      <c r="G108" s="118" t="str">
        <f>IFERROR(IF(VLOOKUP($A108,'Annex 2 EHV charges'!$D:$O,11,FALSE)=0,"",VLOOKUP($A108,'Annex 2 EHV charges'!$D:$O,11,FALSE)),"")</f>
        <v/>
      </c>
      <c r="H108" s="118" t="str">
        <f>IFERROR(IF(VLOOKUP($A108,'Annex 2 EHV charges'!$D:$O,12,FALSE)=0,"",VLOOKUP($A108,'Annex 2 EHV charges'!$D:$O,12,FALSE)),"")</f>
        <v/>
      </c>
    </row>
    <row r="109" spans="1:8" ht="12.75" customHeight="1" x14ac:dyDescent="0.2">
      <c r="A109" s="115" t="str">
        <f t="array" ref="A109">IFERROR(INDEX('Annex 2 EHV charges'!$D$11:$D$259, MATCH(0, IF(ISBLANK('Annex 2 EHV charges'!$D$11:$D$259),1, COUNTIF(A$4:$A108, 'Annex 2 EHV charges'!$D$11:$D$259)), 0)),"")</f>
        <v/>
      </c>
      <c r="B109" s="114" t="str">
        <f>IF($A109="","",VLOOKUP($A109,'Annex 2 EHV charges'!$D:$O,2,0))</f>
        <v/>
      </c>
      <c r="C109" s="115" t="str">
        <f>IF($A109="","",VLOOKUP($A109,'Annex 2 EHV charges'!$D:$O,3,0))</f>
        <v/>
      </c>
      <c r="D109" s="114" t="str">
        <f>IF($A109="","",VLOOKUP($A109,'Annex 2 EHV charges'!$D:$O,4,0))</f>
        <v/>
      </c>
      <c r="E109" s="116" t="str">
        <f>IFERROR(IF(VLOOKUP($A109,'Annex 2 EHV charges'!$D:$O,9,FALSE)=0,"",VLOOKUP($A109,'Annex 2 EHV charges'!$D:$O,9,FALSE)),"")</f>
        <v/>
      </c>
      <c r="F109" s="117" t="str">
        <f>IFERROR(IF(VLOOKUP($A109,'Annex 2 EHV charges'!$D:$O,10,FALSE)=0,"",VLOOKUP($A109,'Annex 2 EHV charges'!$D:$O,10,FALSE)),"")</f>
        <v/>
      </c>
      <c r="G109" s="118" t="str">
        <f>IFERROR(IF(VLOOKUP($A109,'Annex 2 EHV charges'!$D:$O,11,FALSE)=0,"",VLOOKUP($A109,'Annex 2 EHV charges'!$D:$O,11,FALSE)),"")</f>
        <v/>
      </c>
      <c r="H109" s="118" t="str">
        <f>IFERROR(IF(VLOOKUP($A109,'Annex 2 EHV charges'!$D:$O,12,FALSE)=0,"",VLOOKUP($A109,'Annex 2 EHV charges'!$D:$O,12,FALSE)),"")</f>
        <v/>
      </c>
    </row>
    <row r="110" spans="1:8" ht="12.75" customHeight="1" x14ac:dyDescent="0.2">
      <c r="A110" s="115" t="str">
        <f t="array" ref="A110">IFERROR(INDEX('Annex 2 EHV charges'!$D$11:$D$259, MATCH(0, IF(ISBLANK('Annex 2 EHV charges'!$D$11:$D$259),1, COUNTIF(A$4:$A109, 'Annex 2 EHV charges'!$D$11:$D$259)), 0)),"")</f>
        <v/>
      </c>
      <c r="B110" s="114" t="str">
        <f>IF($A110="","",VLOOKUP($A110,'Annex 2 EHV charges'!$D:$O,2,0))</f>
        <v/>
      </c>
      <c r="C110" s="115" t="str">
        <f>IF($A110="","",VLOOKUP($A110,'Annex 2 EHV charges'!$D:$O,3,0))</f>
        <v/>
      </c>
      <c r="D110" s="114" t="str">
        <f>IF($A110="","",VLOOKUP($A110,'Annex 2 EHV charges'!$D:$O,4,0))</f>
        <v/>
      </c>
      <c r="E110" s="116" t="str">
        <f>IFERROR(IF(VLOOKUP($A110,'Annex 2 EHV charges'!$D:$O,9,FALSE)=0,"",VLOOKUP($A110,'Annex 2 EHV charges'!$D:$O,9,FALSE)),"")</f>
        <v/>
      </c>
      <c r="F110" s="117" t="str">
        <f>IFERROR(IF(VLOOKUP($A110,'Annex 2 EHV charges'!$D:$O,10,FALSE)=0,"",VLOOKUP($A110,'Annex 2 EHV charges'!$D:$O,10,FALSE)),"")</f>
        <v/>
      </c>
      <c r="G110" s="118" t="str">
        <f>IFERROR(IF(VLOOKUP($A110,'Annex 2 EHV charges'!$D:$O,11,FALSE)=0,"",VLOOKUP($A110,'Annex 2 EHV charges'!$D:$O,11,FALSE)),"")</f>
        <v/>
      </c>
      <c r="H110" s="118" t="str">
        <f>IFERROR(IF(VLOOKUP($A110,'Annex 2 EHV charges'!$D:$O,12,FALSE)=0,"",VLOOKUP($A110,'Annex 2 EHV charges'!$D:$O,12,FALSE)),"")</f>
        <v/>
      </c>
    </row>
    <row r="111" spans="1:8" ht="12.75" customHeight="1" x14ac:dyDescent="0.2">
      <c r="A111" s="115" t="str">
        <f t="array" ref="A111">IFERROR(INDEX('Annex 2 EHV charges'!$D$11:$D$259, MATCH(0, IF(ISBLANK('Annex 2 EHV charges'!$D$11:$D$259),1, COUNTIF(A$4:$A110, 'Annex 2 EHV charges'!$D$11:$D$259)), 0)),"")</f>
        <v/>
      </c>
      <c r="B111" s="114" t="str">
        <f>IF($A111="","",VLOOKUP($A111,'Annex 2 EHV charges'!$D:$O,2,0))</f>
        <v/>
      </c>
      <c r="C111" s="115" t="str">
        <f>IF($A111="","",VLOOKUP($A111,'Annex 2 EHV charges'!$D:$O,3,0))</f>
        <v/>
      </c>
      <c r="D111" s="114" t="str">
        <f>IF($A111="","",VLOOKUP($A111,'Annex 2 EHV charges'!$D:$O,4,0))</f>
        <v/>
      </c>
      <c r="E111" s="116" t="str">
        <f>IFERROR(IF(VLOOKUP($A111,'Annex 2 EHV charges'!$D:$O,9,FALSE)=0,"",VLOOKUP($A111,'Annex 2 EHV charges'!$D:$O,9,FALSE)),"")</f>
        <v/>
      </c>
      <c r="F111" s="117" t="str">
        <f>IFERROR(IF(VLOOKUP($A111,'Annex 2 EHV charges'!$D:$O,10,FALSE)=0,"",VLOOKUP($A111,'Annex 2 EHV charges'!$D:$O,10,FALSE)),"")</f>
        <v/>
      </c>
      <c r="G111" s="118" t="str">
        <f>IFERROR(IF(VLOOKUP($A111,'Annex 2 EHV charges'!$D:$O,11,FALSE)=0,"",VLOOKUP($A111,'Annex 2 EHV charges'!$D:$O,11,FALSE)),"")</f>
        <v/>
      </c>
      <c r="H111" s="118" t="str">
        <f>IFERROR(IF(VLOOKUP($A111,'Annex 2 EHV charges'!$D:$O,12,FALSE)=0,"",VLOOKUP($A111,'Annex 2 EHV charges'!$D:$O,12,FALSE)),"")</f>
        <v/>
      </c>
    </row>
    <row r="112" spans="1:8" ht="12.75" customHeight="1" x14ac:dyDescent="0.2">
      <c r="A112" s="115" t="str">
        <f t="array" ref="A112">IFERROR(INDEX('Annex 2 EHV charges'!$D$11:$D$259, MATCH(0, IF(ISBLANK('Annex 2 EHV charges'!$D$11:$D$259),1, COUNTIF(A$4:$A111, 'Annex 2 EHV charges'!$D$11:$D$259)), 0)),"")</f>
        <v/>
      </c>
      <c r="B112" s="114" t="str">
        <f>IF($A112="","",VLOOKUP($A112,'Annex 2 EHV charges'!$D:$O,2,0))</f>
        <v/>
      </c>
      <c r="C112" s="115" t="str">
        <f>IF($A112="","",VLOOKUP($A112,'Annex 2 EHV charges'!$D:$O,3,0))</f>
        <v/>
      </c>
      <c r="D112" s="114" t="str">
        <f>IF($A112="","",VLOOKUP($A112,'Annex 2 EHV charges'!$D:$O,4,0))</f>
        <v/>
      </c>
      <c r="E112" s="116" t="str">
        <f>IFERROR(IF(VLOOKUP($A112,'Annex 2 EHV charges'!$D:$O,9,FALSE)=0,"",VLOOKUP($A112,'Annex 2 EHV charges'!$D:$O,9,FALSE)),"")</f>
        <v/>
      </c>
      <c r="F112" s="117" t="str">
        <f>IFERROR(IF(VLOOKUP($A112,'Annex 2 EHV charges'!$D:$O,10,FALSE)=0,"",VLOOKUP($A112,'Annex 2 EHV charges'!$D:$O,10,FALSE)),"")</f>
        <v/>
      </c>
      <c r="G112" s="118" t="str">
        <f>IFERROR(IF(VLOOKUP($A112,'Annex 2 EHV charges'!$D:$O,11,FALSE)=0,"",VLOOKUP($A112,'Annex 2 EHV charges'!$D:$O,11,FALSE)),"")</f>
        <v/>
      </c>
      <c r="H112" s="118" t="str">
        <f>IFERROR(IF(VLOOKUP($A112,'Annex 2 EHV charges'!$D:$O,12,FALSE)=0,"",VLOOKUP($A112,'Annex 2 EHV charges'!$D:$O,12,FALSE)),"")</f>
        <v/>
      </c>
    </row>
    <row r="113" spans="1:8" ht="12.75" customHeight="1" x14ac:dyDescent="0.2">
      <c r="A113" s="115" t="str">
        <f t="array" ref="A113">IFERROR(INDEX('Annex 2 EHV charges'!$D$11:$D$259, MATCH(0, IF(ISBLANK('Annex 2 EHV charges'!$D$11:$D$259),1, COUNTIF(A$4:$A112, 'Annex 2 EHV charges'!$D$11:$D$259)), 0)),"")</f>
        <v/>
      </c>
      <c r="B113" s="114" t="str">
        <f>IF($A113="","",VLOOKUP($A113,'Annex 2 EHV charges'!$D:$O,2,0))</f>
        <v/>
      </c>
      <c r="C113" s="115" t="str">
        <f>IF($A113="","",VLOOKUP($A113,'Annex 2 EHV charges'!$D:$O,3,0))</f>
        <v/>
      </c>
      <c r="D113" s="114" t="str">
        <f>IF($A113="","",VLOOKUP($A113,'Annex 2 EHV charges'!$D:$O,4,0))</f>
        <v/>
      </c>
      <c r="E113" s="116" t="str">
        <f>IFERROR(IF(VLOOKUP($A113,'Annex 2 EHV charges'!$D:$O,9,FALSE)=0,"",VLOOKUP($A113,'Annex 2 EHV charges'!$D:$O,9,FALSE)),"")</f>
        <v/>
      </c>
      <c r="F113" s="117" t="str">
        <f>IFERROR(IF(VLOOKUP($A113,'Annex 2 EHV charges'!$D:$O,10,FALSE)=0,"",VLOOKUP($A113,'Annex 2 EHV charges'!$D:$O,10,FALSE)),"")</f>
        <v/>
      </c>
      <c r="G113" s="118" t="str">
        <f>IFERROR(IF(VLOOKUP($A113,'Annex 2 EHV charges'!$D:$O,11,FALSE)=0,"",VLOOKUP($A113,'Annex 2 EHV charges'!$D:$O,11,FALSE)),"")</f>
        <v/>
      </c>
      <c r="H113" s="118" t="str">
        <f>IFERROR(IF(VLOOKUP($A113,'Annex 2 EHV charges'!$D:$O,12,FALSE)=0,"",VLOOKUP($A113,'Annex 2 EHV charges'!$D:$O,12,FALSE)),"")</f>
        <v/>
      </c>
    </row>
    <row r="114" spans="1:8" ht="12.75" customHeight="1" x14ac:dyDescent="0.2">
      <c r="A114" s="115" t="str">
        <f t="array" ref="A114">IFERROR(INDEX('Annex 2 EHV charges'!$D$11:$D$259, MATCH(0, IF(ISBLANK('Annex 2 EHV charges'!$D$11:$D$259),1, COUNTIF(A$4:$A113, 'Annex 2 EHV charges'!$D$11:$D$259)), 0)),"")</f>
        <v/>
      </c>
      <c r="B114" s="114" t="str">
        <f>IF($A114="","",VLOOKUP($A114,'Annex 2 EHV charges'!$D:$O,2,0))</f>
        <v/>
      </c>
      <c r="C114" s="115" t="str">
        <f>IF($A114="","",VLOOKUP($A114,'Annex 2 EHV charges'!$D:$O,3,0))</f>
        <v/>
      </c>
      <c r="D114" s="114" t="str">
        <f>IF($A114="","",VLOOKUP($A114,'Annex 2 EHV charges'!$D:$O,4,0))</f>
        <v/>
      </c>
      <c r="E114" s="116" t="str">
        <f>IFERROR(IF(VLOOKUP($A114,'Annex 2 EHV charges'!$D:$O,9,FALSE)=0,"",VLOOKUP($A114,'Annex 2 EHV charges'!$D:$O,9,FALSE)),"")</f>
        <v/>
      </c>
      <c r="F114" s="117" t="str">
        <f>IFERROR(IF(VLOOKUP($A114,'Annex 2 EHV charges'!$D:$O,10,FALSE)=0,"",VLOOKUP($A114,'Annex 2 EHV charges'!$D:$O,10,FALSE)),"")</f>
        <v/>
      </c>
      <c r="G114" s="118" t="str">
        <f>IFERROR(IF(VLOOKUP($A114,'Annex 2 EHV charges'!$D:$O,11,FALSE)=0,"",VLOOKUP($A114,'Annex 2 EHV charges'!$D:$O,11,FALSE)),"")</f>
        <v/>
      </c>
      <c r="H114" s="118" t="str">
        <f>IFERROR(IF(VLOOKUP($A114,'Annex 2 EHV charges'!$D:$O,12,FALSE)=0,"",VLOOKUP($A114,'Annex 2 EHV charges'!$D:$O,12,FALSE)),"")</f>
        <v/>
      </c>
    </row>
    <row r="115" spans="1:8" ht="12.75" customHeight="1" x14ac:dyDescent="0.2">
      <c r="A115" s="115" t="str">
        <f t="array" ref="A115">IFERROR(INDEX('Annex 2 EHV charges'!$D$11:$D$259, MATCH(0, IF(ISBLANK('Annex 2 EHV charges'!$D$11:$D$259),1, COUNTIF(A$4:$A114, 'Annex 2 EHV charges'!$D$11:$D$259)), 0)),"")</f>
        <v/>
      </c>
      <c r="B115" s="114" t="str">
        <f>IF($A115="","",VLOOKUP($A115,'Annex 2 EHV charges'!$D:$O,2,0))</f>
        <v/>
      </c>
      <c r="C115" s="115" t="str">
        <f>IF($A115="","",VLOOKUP($A115,'Annex 2 EHV charges'!$D:$O,3,0))</f>
        <v/>
      </c>
      <c r="D115" s="114" t="str">
        <f>IF($A115="","",VLOOKUP($A115,'Annex 2 EHV charges'!$D:$O,4,0))</f>
        <v/>
      </c>
      <c r="E115" s="116" t="str">
        <f>IFERROR(IF(VLOOKUP($A115,'Annex 2 EHV charges'!$D:$O,9,FALSE)=0,"",VLOOKUP($A115,'Annex 2 EHV charges'!$D:$O,9,FALSE)),"")</f>
        <v/>
      </c>
      <c r="F115" s="117" t="str">
        <f>IFERROR(IF(VLOOKUP($A115,'Annex 2 EHV charges'!$D:$O,10,FALSE)=0,"",VLOOKUP($A115,'Annex 2 EHV charges'!$D:$O,10,FALSE)),"")</f>
        <v/>
      </c>
      <c r="G115" s="118" t="str">
        <f>IFERROR(IF(VLOOKUP($A115,'Annex 2 EHV charges'!$D:$O,11,FALSE)=0,"",VLOOKUP($A115,'Annex 2 EHV charges'!$D:$O,11,FALSE)),"")</f>
        <v/>
      </c>
      <c r="H115" s="118" t="str">
        <f>IFERROR(IF(VLOOKUP($A115,'Annex 2 EHV charges'!$D:$O,12,FALSE)=0,"",VLOOKUP($A115,'Annex 2 EHV charges'!$D:$O,12,FALSE)),"")</f>
        <v/>
      </c>
    </row>
    <row r="116" spans="1:8" ht="12.75" customHeight="1" x14ac:dyDescent="0.2">
      <c r="A116" s="115" t="str">
        <f t="array" ref="A116">IFERROR(INDEX('Annex 2 EHV charges'!$D$11:$D$259, MATCH(0, IF(ISBLANK('Annex 2 EHV charges'!$D$11:$D$259),1, COUNTIF(A$4:$A115, 'Annex 2 EHV charges'!$D$11:$D$259)), 0)),"")</f>
        <v/>
      </c>
      <c r="B116" s="114" t="str">
        <f>IF($A116="","",VLOOKUP($A116,'Annex 2 EHV charges'!$D:$O,2,0))</f>
        <v/>
      </c>
      <c r="C116" s="115" t="str">
        <f>IF($A116="","",VLOOKUP($A116,'Annex 2 EHV charges'!$D:$O,3,0))</f>
        <v/>
      </c>
      <c r="D116" s="114" t="str">
        <f>IF($A116="","",VLOOKUP($A116,'Annex 2 EHV charges'!$D:$O,4,0))</f>
        <v/>
      </c>
      <c r="E116" s="116" t="str">
        <f>IFERROR(IF(VLOOKUP($A116,'Annex 2 EHV charges'!$D:$O,9,FALSE)=0,"",VLOOKUP($A116,'Annex 2 EHV charges'!$D:$O,9,FALSE)),"")</f>
        <v/>
      </c>
      <c r="F116" s="117" t="str">
        <f>IFERROR(IF(VLOOKUP($A116,'Annex 2 EHV charges'!$D:$O,10,FALSE)=0,"",VLOOKUP($A116,'Annex 2 EHV charges'!$D:$O,10,FALSE)),"")</f>
        <v/>
      </c>
      <c r="G116" s="118" t="str">
        <f>IFERROR(IF(VLOOKUP($A116,'Annex 2 EHV charges'!$D:$O,11,FALSE)=0,"",VLOOKUP($A116,'Annex 2 EHV charges'!$D:$O,11,FALSE)),"")</f>
        <v/>
      </c>
      <c r="H116" s="118" t="str">
        <f>IFERROR(IF(VLOOKUP($A116,'Annex 2 EHV charges'!$D:$O,12,FALSE)=0,"",VLOOKUP($A116,'Annex 2 EHV charges'!$D:$O,12,FALSE)),"")</f>
        <v/>
      </c>
    </row>
    <row r="117" spans="1:8" ht="12.75" customHeight="1" x14ac:dyDescent="0.2">
      <c r="A117" s="115" t="str">
        <f t="array" ref="A117">IFERROR(INDEX('Annex 2 EHV charges'!$D$11:$D$259, MATCH(0, IF(ISBLANK('Annex 2 EHV charges'!$D$11:$D$259),1, COUNTIF(A$4:$A116, 'Annex 2 EHV charges'!$D$11:$D$259)), 0)),"")</f>
        <v/>
      </c>
      <c r="B117" s="114" t="str">
        <f>IF($A117="","",VLOOKUP($A117,'Annex 2 EHV charges'!$D:$O,2,0))</f>
        <v/>
      </c>
      <c r="C117" s="115" t="str">
        <f>IF($A117="","",VLOOKUP($A117,'Annex 2 EHV charges'!$D:$O,3,0))</f>
        <v/>
      </c>
      <c r="D117" s="114" t="str">
        <f>IF($A117="","",VLOOKUP($A117,'Annex 2 EHV charges'!$D:$O,4,0))</f>
        <v/>
      </c>
      <c r="E117" s="116" t="str">
        <f>IFERROR(IF(VLOOKUP($A117,'Annex 2 EHV charges'!$D:$O,9,FALSE)=0,"",VLOOKUP($A117,'Annex 2 EHV charges'!$D:$O,9,FALSE)),"")</f>
        <v/>
      </c>
      <c r="F117" s="117" t="str">
        <f>IFERROR(IF(VLOOKUP($A117,'Annex 2 EHV charges'!$D:$O,10,FALSE)=0,"",VLOOKUP($A117,'Annex 2 EHV charges'!$D:$O,10,FALSE)),"")</f>
        <v/>
      </c>
      <c r="G117" s="118" t="str">
        <f>IFERROR(IF(VLOOKUP($A117,'Annex 2 EHV charges'!$D:$O,11,FALSE)=0,"",VLOOKUP($A117,'Annex 2 EHV charges'!$D:$O,11,FALSE)),"")</f>
        <v/>
      </c>
      <c r="H117" s="118" t="str">
        <f>IFERROR(IF(VLOOKUP($A117,'Annex 2 EHV charges'!$D:$O,12,FALSE)=0,"",VLOOKUP($A117,'Annex 2 EHV charges'!$D:$O,12,FALSE)),"")</f>
        <v/>
      </c>
    </row>
    <row r="118" spans="1:8" ht="12.75" customHeight="1" x14ac:dyDescent="0.2">
      <c r="A118" s="115" t="str">
        <f t="array" ref="A118">IFERROR(INDEX('Annex 2 EHV charges'!$D$11:$D$259, MATCH(0, IF(ISBLANK('Annex 2 EHV charges'!$D$11:$D$259),1, COUNTIF(A$4:$A117, 'Annex 2 EHV charges'!$D$11:$D$259)), 0)),"")</f>
        <v/>
      </c>
      <c r="B118" s="114" t="str">
        <f>IF($A118="","",VLOOKUP($A118,'Annex 2 EHV charges'!$D:$O,2,0))</f>
        <v/>
      </c>
      <c r="C118" s="115" t="str">
        <f>IF($A118="","",VLOOKUP($A118,'Annex 2 EHV charges'!$D:$O,3,0))</f>
        <v/>
      </c>
      <c r="D118" s="114" t="str">
        <f>IF($A118="","",VLOOKUP($A118,'Annex 2 EHV charges'!$D:$O,4,0))</f>
        <v/>
      </c>
      <c r="E118" s="116" t="str">
        <f>IFERROR(IF(VLOOKUP($A118,'Annex 2 EHV charges'!$D:$O,9,FALSE)=0,"",VLOOKUP($A118,'Annex 2 EHV charges'!$D:$O,9,FALSE)),"")</f>
        <v/>
      </c>
      <c r="F118" s="117" t="str">
        <f>IFERROR(IF(VLOOKUP($A118,'Annex 2 EHV charges'!$D:$O,10,FALSE)=0,"",VLOOKUP($A118,'Annex 2 EHV charges'!$D:$O,10,FALSE)),"")</f>
        <v/>
      </c>
      <c r="G118" s="118" t="str">
        <f>IFERROR(IF(VLOOKUP($A118,'Annex 2 EHV charges'!$D:$O,11,FALSE)=0,"",VLOOKUP($A118,'Annex 2 EHV charges'!$D:$O,11,FALSE)),"")</f>
        <v/>
      </c>
      <c r="H118" s="118" t="str">
        <f>IFERROR(IF(VLOOKUP($A118,'Annex 2 EHV charges'!$D:$O,12,FALSE)=0,"",VLOOKUP($A118,'Annex 2 EHV charges'!$D:$O,12,FALSE)),"")</f>
        <v/>
      </c>
    </row>
    <row r="119" spans="1:8" ht="12.75" customHeight="1" x14ac:dyDescent="0.2">
      <c r="A119" s="115" t="str">
        <f t="array" ref="A119">IFERROR(INDEX('Annex 2 EHV charges'!$D$11:$D$259, MATCH(0, IF(ISBLANK('Annex 2 EHV charges'!$D$11:$D$259),1, COUNTIF(A$4:$A118, 'Annex 2 EHV charges'!$D$11:$D$259)), 0)),"")</f>
        <v/>
      </c>
      <c r="B119" s="114" t="str">
        <f>IF($A119="","",VLOOKUP($A119,'Annex 2 EHV charges'!$D:$O,2,0))</f>
        <v/>
      </c>
      <c r="C119" s="115" t="str">
        <f>IF($A119="","",VLOOKUP($A119,'Annex 2 EHV charges'!$D:$O,3,0))</f>
        <v/>
      </c>
      <c r="D119" s="114" t="str">
        <f>IF($A119="","",VLOOKUP($A119,'Annex 2 EHV charges'!$D:$O,4,0))</f>
        <v/>
      </c>
      <c r="E119" s="116" t="str">
        <f>IFERROR(IF(VLOOKUP($A119,'Annex 2 EHV charges'!$D:$O,9,FALSE)=0,"",VLOOKUP($A119,'Annex 2 EHV charges'!$D:$O,9,FALSE)),"")</f>
        <v/>
      </c>
      <c r="F119" s="117" t="str">
        <f>IFERROR(IF(VLOOKUP($A119,'Annex 2 EHV charges'!$D:$O,10,FALSE)=0,"",VLOOKUP($A119,'Annex 2 EHV charges'!$D:$O,10,FALSE)),"")</f>
        <v/>
      </c>
      <c r="G119" s="118" t="str">
        <f>IFERROR(IF(VLOOKUP($A119,'Annex 2 EHV charges'!$D:$O,11,FALSE)=0,"",VLOOKUP($A119,'Annex 2 EHV charges'!$D:$O,11,FALSE)),"")</f>
        <v/>
      </c>
      <c r="H119" s="118" t="str">
        <f>IFERROR(IF(VLOOKUP($A119,'Annex 2 EHV charges'!$D:$O,12,FALSE)=0,"",VLOOKUP($A119,'Annex 2 EHV charges'!$D:$O,12,FALSE)),"")</f>
        <v/>
      </c>
    </row>
    <row r="120" spans="1:8" ht="12.75" customHeight="1" x14ac:dyDescent="0.2">
      <c r="A120" s="115" t="str">
        <f t="array" ref="A120">IFERROR(INDEX('Annex 2 EHV charges'!$D$11:$D$259, MATCH(0, IF(ISBLANK('Annex 2 EHV charges'!$D$11:$D$259),1, COUNTIF(A$4:$A119, 'Annex 2 EHV charges'!$D$11:$D$259)), 0)),"")</f>
        <v/>
      </c>
      <c r="B120" s="114" t="str">
        <f>IF($A120="","",VLOOKUP($A120,'Annex 2 EHV charges'!$D:$O,2,0))</f>
        <v/>
      </c>
      <c r="C120" s="115" t="str">
        <f>IF($A120="","",VLOOKUP($A120,'Annex 2 EHV charges'!$D:$O,3,0))</f>
        <v/>
      </c>
      <c r="D120" s="114" t="str">
        <f>IF($A120="","",VLOOKUP($A120,'Annex 2 EHV charges'!$D:$O,4,0))</f>
        <v/>
      </c>
      <c r="E120" s="116" t="str">
        <f>IFERROR(IF(VLOOKUP($A120,'Annex 2 EHV charges'!$D:$O,9,FALSE)=0,"",VLOOKUP($A120,'Annex 2 EHV charges'!$D:$O,9,FALSE)),"")</f>
        <v/>
      </c>
      <c r="F120" s="117" t="str">
        <f>IFERROR(IF(VLOOKUP($A120,'Annex 2 EHV charges'!$D:$O,10,FALSE)=0,"",VLOOKUP($A120,'Annex 2 EHV charges'!$D:$O,10,FALSE)),"")</f>
        <v/>
      </c>
      <c r="G120" s="118" t="str">
        <f>IFERROR(IF(VLOOKUP($A120,'Annex 2 EHV charges'!$D:$O,11,FALSE)=0,"",VLOOKUP($A120,'Annex 2 EHV charges'!$D:$O,11,FALSE)),"")</f>
        <v/>
      </c>
      <c r="H120" s="118" t="str">
        <f>IFERROR(IF(VLOOKUP($A120,'Annex 2 EHV charges'!$D:$O,12,FALSE)=0,"",VLOOKUP($A120,'Annex 2 EHV charges'!$D:$O,12,FALSE)),"")</f>
        <v/>
      </c>
    </row>
    <row r="121" spans="1:8" ht="12.75" customHeight="1" x14ac:dyDescent="0.2">
      <c r="A121" s="115" t="str">
        <f t="array" ref="A121">IFERROR(INDEX('Annex 2 EHV charges'!$D$11:$D$259, MATCH(0, IF(ISBLANK('Annex 2 EHV charges'!$D$11:$D$259),1, COUNTIF(A$4:$A120, 'Annex 2 EHV charges'!$D$11:$D$259)), 0)),"")</f>
        <v/>
      </c>
      <c r="B121" s="114" t="str">
        <f>IF($A121="","",VLOOKUP($A121,'Annex 2 EHV charges'!$D:$O,2,0))</f>
        <v/>
      </c>
      <c r="C121" s="115" t="str">
        <f>IF($A121="","",VLOOKUP($A121,'Annex 2 EHV charges'!$D:$O,3,0))</f>
        <v/>
      </c>
      <c r="D121" s="114" t="str">
        <f>IF($A121="","",VLOOKUP($A121,'Annex 2 EHV charges'!$D:$O,4,0))</f>
        <v/>
      </c>
      <c r="E121" s="116" t="str">
        <f>IFERROR(IF(VLOOKUP($A121,'Annex 2 EHV charges'!$D:$O,9,FALSE)=0,"",VLOOKUP($A121,'Annex 2 EHV charges'!$D:$O,9,FALSE)),"")</f>
        <v/>
      </c>
      <c r="F121" s="117" t="str">
        <f>IFERROR(IF(VLOOKUP($A121,'Annex 2 EHV charges'!$D:$O,10,FALSE)=0,"",VLOOKUP($A121,'Annex 2 EHV charges'!$D:$O,10,FALSE)),"")</f>
        <v/>
      </c>
      <c r="G121" s="118" t="str">
        <f>IFERROR(IF(VLOOKUP($A121,'Annex 2 EHV charges'!$D:$O,11,FALSE)=0,"",VLOOKUP($A121,'Annex 2 EHV charges'!$D:$O,11,FALSE)),"")</f>
        <v/>
      </c>
      <c r="H121" s="118" t="str">
        <f>IFERROR(IF(VLOOKUP($A121,'Annex 2 EHV charges'!$D:$O,12,FALSE)=0,"",VLOOKUP($A121,'Annex 2 EHV charges'!$D:$O,12,FALSE)),"")</f>
        <v/>
      </c>
    </row>
    <row r="122" spans="1:8" ht="12.75" customHeight="1" x14ac:dyDescent="0.2">
      <c r="A122" s="115" t="str">
        <f t="array" ref="A122">IFERROR(INDEX('Annex 2 EHV charges'!$D$11:$D$259, MATCH(0, IF(ISBLANK('Annex 2 EHV charges'!$D$11:$D$259),1, COUNTIF(A$4:$A121, 'Annex 2 EHV charges'!$D$11:$D$259)), 0)),"")</f>
        <v/>
      </c>
      <c r="B122" s="114" t="str">
        <f>IF($A122="","",VLOOKUP($A122,'Annex 2 EHV charges'!$D:$O,2,0))</f>
        <v/>
      </c>
      <c r="C122" s="115" t="str">
        <f>IF($A122="","",VLOOKUP($A122,'Annex 2 EHV charges'!$D:$O,3,0))</f>
        <v/>
      </c>
      <c r="D122" s="114" t="str">
        <f>IF($A122="","",VLOOKUP($A122,'Annex 2 EHV charges'!$D:$O,4,0))</f>
        <v/>
      </c>
      <c r="E122" s="116" t="str">
        <f>IFERROR(IF(VLOOKUP($A122,'Annex 2 EHV charges'!$D:$O,9,FALSE)=0,"",VLOOKUP($A122,'Annex 2 EHV charges'!$D:$O,9,FALSE)),"")</f>
        <v/>
      </c>
      <c r="F122" s="117" t="str">
        <f>IFERROR(IF(VLOOKUP($A122,'Annex 2 EHV charges'!$D:$O,10,FALSE)=0,"",VLOOKUP($A122,'Annex 2 EHV charges'!$D:$O,10,FALSE)),"")</f>
        <v/>
      </c>
      <c r="G122" s="118" t="str">
        <f>IFERROR(IF(VLOOKUP($A122,'Annex 2 EHV charges'!$D:$O,11,FALSE)=0,"",VLOOKUP($A122,'Annex 2 EHV charges'!$D:$O,11,FALSE)),"")</f>
        <v/>
      </c>
      <c r="H122" s="118" t="str">
        <f>IFERROR(IF(VLOOKUP($A122,'Annex 2 EHV charges'!$D:$O,12,FALSE)=0,"",VLOOKUP($A122,'Annex 2 EHV charges'!$D:$O,12,FALSE)),"")</f>
        <v/>
      </c>
    </row>
    <row r="123" spans="1:8" ht="12.75" customHeight="1" x14ac:dyDescent="0.2">
      <c r="A123" s="115" t="str">
        <f t="array" ref="A123">IFERROR(INDEX('Annex 2 EHV charges'!$D$11:$D$259, MATCH(0, IF(ISBLANK('Annex 2 EHV charges'!$D$11:$D$259),1, COUNTIF(A$4:$A122, 'Annex 2 EHV charges'!$D$11:$D$259)), 0)),"")</f>
        <v/>
      </c>
      <c r="B123" s="114" t="str">
        <f>IF($A123="","",VLOOKUP($A123,'Annex 2 EHV charges'!$D:$O,2,0))</f>
        <v/>
      </c>
      <c r="C123" s="115" t="str">
        <f>IF($A123="","",VLOOKUP($A123,'Annex 2 EHV charges'!$D:$O,3,0))</f>
        <v/>
      </c>
      <c r="D123" s="114" t="str">
        <f>IF($A123="","",VLOOKUP($A123,'Annex 2 EHV charges'!$D:$O,4,0))</f>
        <v/>
      </c>
      <c r="E123" s="116" t="str">
        <f>IFERROR(IF(VLOOKUP($A123,'Annex 2 EHV charges'!$D:$O,9,FALSE)=0,"",VLOOKUP($A123,'Annex 2 EHV charges'!$D:$O,9,FALSE)),"")</f>
        <v/>
      </c>
      <c r="F123" s="117" t="str">
        <f>IFERROR(IF(VLOOKUP($A123,'Annex 2 EHV charges'!$D:$O,10,FALSE)=0,"",VLOOKUP($A123,'Annex 2 EHV charges'!$D:$O,10,FALSE)),"")</f>
        <v/>
      </c>
      <c r="G123" s="118" t="str">
        <f>IFERROR(IF(VLOOKUP($A123,'Annex 2 EHV charges'!$D:$O,11,FALSE)=0,"",VLOOKUP($A123,'Annex 2 EHV charges'!$D:$O,11,FALSE)),"")</f>
        <v/>
      </c>
      <c r="H123" s="118" t="str">
        <f>IFERROR(IF(VLOOKUP($A123,'Annex 2 EHV charges'!$D:$O,12,FALSE)=0,"",VLOOKUP($A123,'Annex 2 EHV charges'!$D:$O,12,FALSE)),"")</f>
        <v/>
      </c>
    </row>
    <row r="124" spans="1:8" ht="12.75" customHeight="1" x14ac:dyDescent="0.2">
      <c r="A124" s="115" t="str">
        <f t="array" ref="A124">IFERROR(INDEX('Annex 2 EHV charges'!$D$11:$D$259, MATCH(0, IF(ISBLANK('Annex 2 EHV charges'!$D$11:$D$259),1, COUNTIF(A$4:$A123, 'Annex 2 EHV charges'!$D$11:$D$259)), 0)),"")</f>
        <v/>
      </c>
      <c r="B124" s="114" t="str">
        <f>IF($A124="","",VLOOKUP($A124,'Annex 2 EHV charges'!$D:$O,2,0))</f>
        <v/>
      </c>
      <c r="C124" s="115" t="str">
        <f>IF($A124="","",VLOOKUP($A124,'Annex 2 EHV charges'!$D:$O,3,0))</f>
        <v/>
      </c>
      <c r="D124" s="114" t="str">
        <f>IF($A124="","",VLOOKUP($A124,'Annex 2 EHV charges'!$D:$O,4,0))</f>
        <v/>
      </c>
      <c r="E124" s="116" t="str">
        <f>IFERROR(IF(VLOOKUP($A124,'Annex 2 EHV charges'!$D:$O,9,FALSE)=0,"",VLOOKUP($A124,'Annex 2 EHV charges'!$D:$O,9,FALSE)),"")</f>
        <v/>
      </c>
      <c r="F124" s="117" t="str">
        <f>IFERROR(IF(VLOOKUP($A124,'Annex 2 EHV charges'!$D:$O,10,FALSE)=0,"",VLOOKUP($A124,'Annex 2 EHV charges'!$D:$O,10,FALSE)),"")</f>
        <v/>
      </c>
      <c r="G124" s="118" t="str">
        <f>IFERROR(IF(VLOOKUP($A124,'Annex 2 EHV charges'!$D:$O,11,FALSE)=0,"",VLOOKUP($A124,'Annex 2 EHV charges'!$D:$O,11,FALSE)),"")</f>
        <v/>
      </c>
      <c r="H124" s="118" t="str">
        <f>IFERROR(IF(VLOOKUP($A124,'Annex 2 EHV charges'!$D:$O,12,FALSE)=0,"",VLOOKUP($A124,'Annex 2 EHV charges'!$D:$O,12,FALSE)),"")</f>
        <v/>
      </c>
    </row>
    <row r="125" spans="1:8" ht="12.75" customHeight="1" x14ac:dyDescent="0.2">
      <c r="A125" s="115" t="str">
        <f t="array" ref="A125">IFERROR(INDEX('Annex 2 EHV charges'!$D$11:$D$259, MATCH(0, IF(ISBLANK('Annex 2 EHV charges'!$D$11:$D$259),1, COUNTIF(A$4:$A124, 'Annex 2 EHV charges'!$D$11:$D$259)), 0)),"")</f>
        <v/>
      </c>
      <c r="B125" s="114" t="str">
        <f>IF($A125="","",VLOOKUP($A125,'Annex 2 EHV charges'!$D:$O,2,0))</f>
        <v/>
      </c>
      <c r="C125" s="115" t="str">
        <f>IF($A125="","",VLOOKUP($A125,'Annex 2 EHV charges'!$D:$O,3,0))</f>
        <v/>
      </c>
      <c r="D125" s="114" t="str">
        <f>IF($A125="","",VLOOKUP($A125,'Annex 2 EHV charges'!$D:$O,4,0))</f>
        <v/>
      </c>
      <c r="E125" s="116" t="str">
        <f>IFERROR(IF(VLOOKUP($A125,'Annex 2 EHV charges'!$D:$O,9,FALSE)=0,"",VLOOKUP($A125,'Annex 2 EHV charges'!$D:$O,9,FALSE)),"")</f>
        <v/>
      </c>
      <c r="F125" s="117" t="str">
        <f>IFERROR(IF(VLOOKUP($A125,'Annex 2 EHV charges'!$D:$O,10,FALSE)=0,"",VLOOKUP($A125,'Annex 2 EHV charges'!$D:$O,10,FALSE)),"")</f>
        <v/>
      </c>
      <c r="G125" s="118" t="str">
        <f>IFERROR(IF(VLOOKUP($A125,'Annex 2 EHV charges'!$D:$O,11,FALSE)=0,"",VLOOKUP($A125,'Annex 2 EHV charges'!$D:$O,11,FALSE)),"")</f>
        <v/>
      </c>
      <c r="H125" s="118" t="str">
        <f>IFERROR(IF(VLOOKUP($A125,'Annex 2 EHV charges'!$D:$O,12,FALSE)=0,"",VLOOKUP($A125,'Annex 2 EHV charges'!$D:$O,12,FALSE)),"")</f>
        <v/>
      </c>
    </row>
    <row r="126" spans="1:8" ht="12.75" customHeight="1" x14ac:dyDescent="0.2">
      <c r="A126" s="115" t="str">
        <f t="array" ref="A126">IFERROR(INDEX('Annex 2 EHV charges'!$D$11:$D$259, MATCH(0, IF(ISBLANK('Annex 2 EHV charges'!$D$11:$D$259),1, COUNTIF(A$4:$A125, 'Annex 2 EHV charges'!$D$11:$D$259)), 0)),"")</f>
        <v/>
      </c>
      <c r="B126" s="114" t="str">
        <f>IF($A126="","",VLOOKUP($A126,'Annex 2 EHV charges'!$D:$O,2,0))</f>
        <v/>
      </c>
      <c r="C126" s="115" t="str">
        <f>IF($A126="","",VLOOKUP($A126,'Annex 2 EHV charges'!$D:$O,3,0))</f>
        <v/>
      </c>
      <c r="D126" s="114" t="str">
        <f>IF($A126="","",VLOOKUP($A126,'Annex 2 EHV charges'!$D:$O,4,0))</f>
        <v/>
      </c>
      <c r="E126" s="116" t="str">
        <f>IFERROR(IF(VLOOKUP($A126,'Annex 2 EHV charges'!$D:$O,9,FALSE)=0,"",VLOOKUP($A126,'Annex 2 EHV charges'!$D:$O,9,FALSE)),"")</f>
        <v/>
      </c>
      <c r="F126" s="117" t="str">
        <f>IFERROR(IF(VLOOKUP($A126,'Annex 2 EHV charges'!$D:$O,10,FALSE)=0,"",VLOOKUP($A126,'Annex 2 EHV charges'!$D:$O,10,FALSE)),"")</f>
        <v/>
      </c>
      <c r="G126" s="118" t="str">
        <f>IFERROR(IF(VLOOKUP($A126,'Annex 2 EHV charges'!$D:$O,11,FALSE)=0,"",VLOOKUP($A126,'Annex 2 EHV charges'!$D:$O,11,FALSE)),"")</f>
        <v/>
      </c>
      <c r="H126" s="118" t="str">
        <f>IFERROR(IF(VLOOKUP($A126,'Annex 2 EHV charges'!$D:$O,12,FALSE)=0,"",VLOOKUP($A126,'Annex 2 EHV charges'!$D:$O,12,FALSE)),"")</f>
        <v/>
      </c>
    </row>
    <row r="127" spans="1:8" ht="12.75" customHeight="1" x14ac:dyDescent="0.2">
      <c r="A127" s="115" t="str">
        <f t="array" ref="A127">IFERROR(INDEX('Annex 2 EHV charges'!$D$11:$D$259, MATCH(0, IF(ISBLANK('Annex 2 EHV charges'!$D$11:$D$259),1, COUNTIF(A$4:$A126, 'Annex 2 EHV charges'!$D$11:$D$259)), 0)),"")</f>
        <v/>
      </c>
      <c r="B127" s="114" t="str">
        <f>IF($A127="","",VLOOKUP($A127,'Annex 2 EHV charges'!$D:$O,2,0))</f>
        <v/>
      </c>
      <c r="C127" s="115" t="str">
        <f>IF($A127="","",VLOOKUP($A127,'Annex 2 EHV charges'!$D:$O,3,0))</f>
        <v/>
      </c>
      <c r="D127" s="114" t="str">
        <f>IF($A127="","",VLOOKUP($A127,'Annex 2 EHV charges'!$D:$O,4,0))</f>
        <v/>
      </c>
      <c r="E127" s="116" t="str">
        <f>IFERROR(IF(VLOOKUP($A127,'Annex 2 EHV charges'!$D:$O,9,FALSE)=0,"",VLOOKUP($A127,'Annex 2 EHV charges'!$D:$O,9,FALSE)),"")</f>
        <v/>
      </c>
      <c r="F127" s="117" t="str">
        <f>IFERROR(IF(VLOOKUP($A127,'Annex 2 EHV charges'!$D:$O,10,FALSE)=0,"",VLOOKUP($A127,'Annex 2 EHV charges'!$D:$O,10,FALSE)),"")</f>
        <v/>
      </c>
      <c r="G127" s="118" t="str">
        <f>IFERROR(IF(VLOOKUP($A127,'Annex 2 EHV charges'!$D:$O,11,FALSE)=0,"",VLOOKUP($A127,'Annex 2 EHV charges'!$D:$O,11,FALSE)),"")</f>
        <v/>
      </c>
      <c r="H127" s="118" t="str">
        <f>IFERROR(IF(VLOOKUP($A127,'Annex 2 EHV charges'!$D:$O,12,FALSE)=0,"",VLOOKUP($A127,'Annex 2 EHV charges'!$D:$O,12,FALSE)),"")</f>
        <v/>
      </c>
    </row>
    <row r="128" spans="1:8" ht="12.75" customHeight="1" x14ac:dyDescent="0.2">
      <c r="A128" s="115" t="str">
        <f t="array" ref="A128">IFERROR(INDEX('Annex 2 EHV charges'!$D$11:$D$259, MATCH(0, IF(ISBLANK('Annex 2 EHV charges'!$D$11:$D$259),1, COUNTIF(A$4:$A127, 'Annex 2 EHV charges'!$D$11:$D$259)), 0)),"")</f>
        <v/>
      </c>
      <c r="B128" s="114" t="str">
        <f>IF($A128="","",VLOOKUP($A128,'Annex 2 EHV charges'!$D:$O,2,0))</f>
        <v/>
      </c>
      <c r="C128" s="115" t="str">
        <f>IF($A128="","",VLOOKUP($A128,'Annex 2 EHV charges'!$D:$O,3,0))</f>
        <v/>
      </c>
      <c r="D128" s="114" t="str">
        <f>IF($A128="","",VLOOKUP($A128,'Annex 2 EHV charges'!$D:$O,4,0))</f>
        <v/>
      </c>
      <c r="E128" s="116" t="str">
        <f>IFERROR(IF(VLOOKUP($A128,'Annex 2 EHV charges'!$D:$O,9,FALSE)=0,"",VLOOKUP($A128,'Annex 2 EHV charges'!$D:$O,9,FALSE)),"")</f>
        <v/>
      </c>
      <c r="F128" s="117" t="str">
        <f>IFERROR(IF(VLOOKUP($A128,'Annex 2 EHV charges'!$D:$O,10,FALSE)=0,"",VLOOKUP($A128,'Annex 2 EHV charges'!$D:$O,10,FALSE)),"")</f>
        <v/>
      </c>
      <c r="G128" s="118" t="str">
        <f>IFERROR(IF(VLOOKUP($A128,'Annex 2 EHV charges'!$D:$O,11,FALSE)=0,"",VLOOKUP($A128,'Annex 2 EHV charges'!$D:$O,11,FALSE)),"")</f>
        <v/>
      </c>
      <c r="H128" s="118" t="str">
        <f>IFERROR(IF(VLOOKUP($A128,'Annex 2 EHV charges'!$D:$O,12,FALSE)=0,"",VLOOKUP($A128,'Annex 2 EHV charges'!$D:$O,12,FALSE)),"")</f>
        <v/>
      </c>
    </row>
    <row r="129" spans="1:8" ht="12.75" customHeight="1" x14ac:dyDescent="0.2">
      <c r="A129" s="115" t="str">
        <f t="array" ref="A129">IFERROR(INDEX('Annex 2 EHV charges'!$D$11:$D$259, MATCH(0, IF(ISBLANK('Annex 2 EHV charges'!$D$11:$D$259),1, COUNTIF(A$4:$A128, 'Annex 2 EHV charges'!$D$11:$D$259)), 0)),"")</f>
        <v/>
      </c>
      <c r="B129" s="114" t="str">
        <f>IF($A129="","",VLOOKUP($A129,'Annex 2 EHV charges'!$D:$O,2,0))</f>
        <v/>
      </c>
      <c r="C129" s="115" t="str">
        <f>IF($A129="","",VLOOKUP($A129,'Annex 2 EHV charges'!$D:$O,3,0))</f>
        <v/>
      </c>
      <c r="D129" s="114" t="str">
        <f>IF($A129="","",VLOOKUP($A129,'Annex 2 EHV charges'!$D:$O,4,0))</f>
        <v/>
      </c>
      <c r="E129" s="116" t="str">
        <f>IFERROR(IF(VLOOKUP($A129,'Annex 2 EHV charges'!$D:$O,9,FALSE)=0,"",VLOOKUP($A129,'Annex 2 EHV charges'!$D:$O,9,FALSE)),"")</f>
        <v/>
      </c>
      <c r="F129" s="117" t="str">
        <f>IFERROR(IF(VLOOKUP($A129,'Annex 2 EHV charges'!$D:$O,10,FALSE)=0,"",VLOOKUP($A129,'Annex 2 EHV charges'!$D:$O,10,FALSE)),"")</f>
        <v/>
      </c>
      <c r="G129" s="118" t="str">
        <f>IFERROR(IF(VLOOKUP($A129,'Annex 2 EHV charges'!$D:$O,11,FALSE)=0,"",VLOOKUP($A129,'Annex 2 EHV charges'!$D:$O,11,FALSE)),"")</f>
        <v/>
      </c>
      <c r="H129" s="118" t="str">
        <f>IFERROR(IF(VLOOKUP($A129,'Annex 2 EHV charges'!$D:$O,12,FALSE)=0,"",VLOOKUP($A129,'Annex 2 EHV charges'!$D:$O,12,FALSE)),"")</f>
        <v/>
      </c>
    </row>
    <row r="130" spans="1:8" ht="12.75" customHeight="1" x14ac:dyDescent="0.2">
      <c r="A130" s="115" t="str">
        <f t="array" ref="A130">IFERROR(INDEX('Annex 2 EHV charges'!$D$11:$D$259, MATCH(0, IF(ISBLANK('Annex 2 EHV charges'!$D$11:$D$259),1, COUNTIF(A$4:$A129, 'Annex 2 EHV charges'!$D$11:$D$259)), 0)),"")</f>
        <v/>
      </c>
      <c r="B130" s="114" t="str">
        <f>IF($A130="","",VLOOKUP($A130,'Annex 2 EHV charges'!$D:$O,2,0))</f>
        <v/>
      </c>
      <c r="C130" s="115" t="str">
        <f>IF($A130="","",VLOOKUP($A130,'Annex 2 EHV charges'!$D:$O,3,0))</f>
        <v/>
      </c>
      <c r="D130" s="114" t="str">
        <f>IF($A130="","",VLOOKUP($A130,'Annex 2 EHV charges'!$D:$O,4,0))</f>
        <v/>
      </c>
      <c r="E130" s="116" t="str">
        <f>IFERROR(IF(VLOOKUP($A130,'Annex 2 EHV charges'!$D:$O,9,FALSE)=0,"",VLOOKUP($A130,'Annex 2 EHV charges'!$D:$O,9,FALSE)),"")</f>
        <v/>
      </c>
      <c r="F130" s="117" t="str">
        <f>IFERROR(IF(VLOOKUP($A130,'Annex 2 EHV charges'!$D:$O,10,FALSE)=0,"",VLOOKUP($A130,'Annex 2 EHV charges'!$D:$O,10,FALSE)),"")</f>
        <v/>
      </c>
      <c r="G130" s="118" t="str">
        <f>IFERROR(IF(VLOOKUP($A130,'Annex 2 EHV charges'!$D:$O,11,FALSE)=0,"",VLOOKUP($A130,'Annex 2 EHV charges'!$D:$O,11,FALSE)),"")</f>
        <v/>
      </c>
      <c r="H130" s="118" t="str">
        <f>IFERROR(IF(VLOOKUP($A130,'Annex 2 EHV charges'!$D:$O,12,FALSE)=0,"",VLOOKUP($A130,'Annex 2 EHV charges'!$D:$O,12,FALSE)),"")</f>
        <v/>
      </c>
    </row>
    <row r="131" spans="1:8" ht="12.75" customHeight="1" x14ac:dyDescent="0.2">
      <c r="A131" s="115" t="str">
        <f t="array" ref="A131">IFERROR(INDEX('Annex 2 EHV charges'!$D$11:$D$259, MATCH(0, IF(ISBLANK('Annex 2 EHV charges'!$D$11:$D$259),1, COUNTIF(A$4:$A130, 'Annex 2 EHV charges'!$D$11:$D$259)), 0)),"")</f>
        <v/>
      </c>
      <c r="B131" s="114" t="str">
        <f>IF($A131="","",VLOOKUP($A131,'Annex 2 EHV charges'!$D:$O,2,0))</f>
        <v/>
      </c>
      <c r="C131" s="115" t="str">
        <f>IF($A131="","",VLOOKUP($A131,'Annex 2 EHV charges'!$D:$O,3,0))</f>
        <v/>
      </c>
      <c r="D131" s="114" t="str">
        <f>IF($A131="","",VLOOKUP($A131,'Annex 2 EHV charges'!$D:$O,4,0))</f>
        <v/>
      </c>
      <c r="E131" s="116" t="str">
        <f>IFERROR(IF(VLOOKUP($A131,'Annex 2 EHV charges'!$D:$O,9,FALSE)=0,"",VLOOKUP($A131,'Annex 2 EHV charges'!$D:$O,9,FALSE)),"")</f>
        <v/>
      </c>
      <c r="F131" s="117" t="str">
        <f>IFERROR(IF(VLOOKUP($A131,'Annex 2 EHV charges'!$D:$O,10,FALSE)=0,"",VLOOKUP($A131,'Annex 2 EHV charges'!$D:$O,10,FALSE)),"")</f>
        <v/>
      </c>
      <c r="G131" s="118" t="str">
        <f>IFERROR(IF(VLOOKUP($A131,'Annex 2 EHV charges'!$D:$O,11,FALSE)=0,"",VLOOKUP($A131,'Annex 2 EHV charges'!$D:$O,11,FALSE)),"")</f>
        <v/>
      </c>
      <c r="H131" s="118" t="str">
        <f>IFERROR(IF(VLOOKUP($A131,'Annex 2 EHV charges'!$D:$O,12,FALSE)=0,"",VLOOKUP($A131,'Annex 2 EHV charges'!$D:$O,12,FALSE)),"")</f>
        <v/>
      </c>
    </row>
    <row r="132" spans="1:8" ht="12.75" customHeight="1" x14ac:dyDescent="0.2">
      <c r="A132" s="115" t="str">
        <f t="array" ref="A132">IFERROR(INDEX('Annex 2 EHV charges'!$D$11:$D$259, MATCH(0, IF(ISBLANK('Annex 2 EHV charges'!$D$11:$D$259),1, COUNTIF(A$4:$A131, 'Annex 2 EHV charges'!$D$11:$D$259)), 0)),"")</f>
        <v/>
      </c>
      <c r="B132" s="114" t="str">
        <f>IF($A132="","",VLOOKUP($A132,'Annex 2 EHV charges'!$D:$O,2,0))</f>
        <v/>
      </c>
      <c r="C132" s="115" t="str">
        <f>IF($A132="","",VLOOKUP($A132,'Annex 2 EHV charges'!$D:$O,3,0))</f>
        <v/>
      </c>
      <c r="D132" s="114" t="str">
        <f>IF($A132="","",VLOOKUP($A132,'Annex 2 EHV charges'!$D:$O,4,0))</f>
        <v/>
      </c>
      <c r="E132" s="116" t="str">
        <f>IFERROR(IF(VLOOKUP($A132,'Annex 2 EHV charges'!$D:$O,9,FALSE)=0,"",VLOOKUP($A132,'Annex 2 EHV charges'!$D:$O,9,FALSE)),"")</f>
        <v/>
      </c>
      <c r="F132" s="117" t="str">
        <f>IFERROR(IF(VLOOKUP($A132,'Annex 2 EHV charges'!$D:$O,10,FALSE)=0,"",VLOOKUP($A132,'Annex 2 EHV charges'!$D:$O,10,FALSE)),"")</f>
        <v/>
      </c>
      <c r="G132" s="118" t="str">
        <f>IFERROR(IF(VLOOKUP($A132,'Annex 2 EHV charges'!$D:$O,11,FALSE)=0,"",VLOOKUP($A132,'Annex 2 EHV charges'!$D:$O,11,FALSE)),"")</f>
        <v/>
      </c>
      <c r="H132" s="118" t="str">
        <f>IFERROR(IF(VLOOKUP($A132,'Annex 2 EHV charges'!$D:$O,12,FALSE)=0,"",VLOOKUP($A132,'Annex 2 EHV charges'!$D:$O,12,FALSE)),"")</f>
        <v/>
      </c>
    </row>
    <row r="133" spans="1:8" ht="12.75" customHeight="1" x14ac:dyDescent="0.2">
      <c r="A133" s="115" t="str">
        <f t="array" ref="A133">IFERROR(INDEX('Annex 2 EHV charges'!$D$11:$D$259, MATCH(0, IF(ISBLANK('Annex 2 EHV charges'!$D$11:$D$259),1, COUNTIF(A$4:$A132, 'Annex 2 EHV charges'!$D$11:$D$259)), 0)),"")</f>
        <v/>
      </c>
      <c r="B133" s="114" t="str">
        <f>IF($A133="","",VLOOKUP($A133,'Annex 2 EHV charges'!$D:$O,2,0))</f>
        <v/>
      </c>
      <c r="C133" s="115" t="str">
        <f>IF($A133="","",VLOOKUP($A133,'Annex 2 EHV charges'!$D:$O,3,0))</f>
        <v/>
      </c>
      <c r="D133" s="114" t="str">
        <f>IF($A133="","",VLOOKUP($A133,'Annex 2 EHV charges'!$D:$O,4,0))</f>
        <v/>
      </c>
      <c r="E133" s="116" t="str">
        <f>IFERROR(IF(VLOOKUP($A133,'Annex 2 EHV charges'!$D:$O,9,FALSE)=0,"",VLOOKUP($A133,'Annex 2 EHV charges'!$D:$O,9,FALSE)),"")</f>
        <v/>
      </c>
      <c r="F133" s="117" t="str">
        <f>IFERROR(IF(VLOOKUP($A133,'Annex 2 EHV charges'!$D:$O,10,FALSE)=0,"",VLOOKUP($A133,'Annex 2 EHV charges'!$D:$O,10,FALSE)),"")</f>
        <v/>
      </c>
      <c r="G133" s="118" t="str">
        <f>IFERROR(IF(VLOOKUP($A133,'Annex 2 EHV charges'!$D:$O,11,FALSE)=0,"",VLOOKUP($A133,'Annex 2 EHV charges'!$D:$O,11,FALSE)),"")</f>
        <v/>
      </c>
      <c r="H133" s="118" t="str">
        <f>IFERROR(IF(VLOOKUP($A133,'Annex 2 EHV charges'!$D:$O,12,FALSE)=0,"",VLOOKUP($A133,'Annex 2 EHV charges'!$D:$O,12,FALSE)),"")</f>
        <v/>
      </c>
    </row>
    <row r="134" spans="1:8" ht="12.75" customHeight="1" x14ac:dyDescent="0.2">
      <c r="A134" s="115" t="str">
        <f t="array" ref="A134">IFERROR(INDEX('Annex 2 EHV charges'!$D$11:$D$259, MATCH(0, IF(ISBLANK('Annex 2 EHV charges'!$D$11:$D$259),1, COUNTIF(A$4:$A133, 'Annex 2 EHV charges'!$D$11:$D$259)), 0)),"")</f>
        <v/>
      </c>
      <c r="B134" s="114" t="str">
        <f>IF($A134="","",VLOOKUP($A134,'Annex 2 EHV charges'!$D:$O,2,0))</f>
        <v/>
      </c>
      <c r="C134" s="115" t="str">
        <f>IF($A134="","",VLOOKUP($A134,'Annex 2 EHV charges'!$D:$O,3,0))</f>
        <v/>
      </c>
      <c r="D134" s="114" t="str">
        <f>IF($A134="","",VLOOKUP($A134,'Annex 2 EHV charges'!$D:$O,4,0))</f>
        <v/>
      </c>
      <c r="E134" s="116" t="str">
        <f>IFERROR(IF(VLOOKUP($A134,'Annex 2 EHV charges'!$D:$O,9,FALSE)=0,"",VLOOKUP($A134,'Annex 2 EHV charges'!$D:$O,9,FALSE)),"")</f>
        <v/>
      </c>
      <c r="F134" s="117" t="str">
        <f>IFERROR(IF(VLOOKUP($A134,'Annex 2 EHV charges'!$D:$O,10,FALSE)=0,"",VLOOKUP($A134,'Annex 2 EHV charges'!$D:$O,10,FALSE)),"")</f>
        <v/>
      </c>
      <c r="G134" s="118" t="str">
        <f>IFERROR(IF(VLOOKUP($A134,'Annex 2 EHV charges'!$D:$O,11,FALSE)=0,"",VLOOKUP($A134,'Annex 2 EHV charges'!$D:$O,11,FALSE)),"")</f>
        <v/>
      </c>
      <c r="H134" s="118" t="str">
        <f>IFERROR(IF(VLOOKUP($A134,'Annex 2 EHV charges'!$D:$O,12,FALSE)=0,"",VLOOKUP($A134,'Annex 2 EHV charges'!$D:$O,12,FALSE)),"")</f>
        <v/>
      </c>
    </row>
    <row r="135" spans="1:8" ht="12.75" customHeight="1" x14ac:dyDescent="0.2">
      <c r="A135" s="115" t="str">
        <f t="array" ref="A135">IFERROR(INDEX('Annex 2 EHV charges'!$D$11:$D$259, MATCH(0, IF(ISBLANK('Annex 2 EHV charges'!$D$11:$D$259),1, COUNTIF(A$4:$A134, 'Annex 2 EHV charges'!$D$11:$D$259)), 0)),"")</f>
        <v/>
      </c>
      <c r="B135" s="114" t="str">
        <f>IF($A135="","",VLOOKUP($A135,'Annex 2 EHV charges'!$D:$O,2,0))</f>
        <v/>
      </c>
      <c r="C135" s="115" t="str">
        <f>IF($A135="","",VLOOKUP($A135,'Annex 2 EHV charges'!$D:$O,3,0))</f>
        <v/>
      </c>
      <c r="D135" s="114" t="str">
        <f>IF($A135="","",VLOOKUP($A135,'Annex 2 EHV charges'!$D:$O,4,0))</f>
        <v/>
      </c>
      <c r="E135" s="116" t="str">
        <f>IFERROR(IF(VLOOKUP($A135,'Annex 2 EHV charges'!$D:$O,9,FALSE)=0,"",VLOOKUP($A135,'Annex 2 EHV charges'!$D:$O,9,FALSE)),"")</f>
        <v/>
      </c>
      <c r="F135" s="117" t="str">
        <f>IFERROR(IF(VLOOKUP($A135,'Annex 2 EHV charges'!$D:$O,10,FALSE)=0,"",VLOOKUP($A135,'Annex 2 EHV charges'!$D:$O,10,FALSE)),"")</f>
        <v/>
      </c>
      <c r="G135" s="118" t="str">
        <f>IFERROR(IF(VLOOKUP($A135,'Annex 2 EHV charges'!$D:$O,11,FALSE)=0,"",VLOOKUP($A135,'Annex 2 EHV charges'!$D:$O,11,FALSE)),"")</f>
        <v/>
      </c>
      <c r="H135" s="118" t="str">
        <f>IFERROR(IF(VLOOKUP($A135,'Annex 2 EHV charges'!$D:$O,12,FALSE)=0,"",VLOOKUP($A135,'Annex 2 EHV charges'!$D:$O,12,FALSE)),"")</f>
        <v/>
      </c>
    </row>
    <row r="136" spans="1:8" ht="12.75" customHeight="1" x14ac:dyDescent="0.2">
      <c r="A136" s="115" t="str">
        <f t="array" ref="A136">IFERROR(INDEX('Annex 2 EHV charges'!$D$11:$D$259, MATCH(0, IF(ISBLANK('Annex 2 EHV charges'!$D$11:$D$259),1, COUNTIF(A$4:$A135, 'Annex 2 EHV charges'!$D$11:$D$259)), 0)),"")</f>
        <v/>
      </c>
      <c r="B136" s="114" t="str">
        <f>IF($A136="","",VLOOKUP($A136,'Annex 2 EHV charges'!$D:$O,2,0))</f>
        <v/>
      </c>
      <c r="C136" s="115" t="str">
        <f>IF($A136="","",VLOOKUP($A136,'Annex 2 EHV charges'!$D:$O,3,0))</f>
        <v/>
      </c>
      <c r="D136" s="114" t="str">
        <f>IF($A136="","",VLOOKUP($A136,'Annex 2 EHV charges'!$D:$O,4,0))</f>
        <v/>
      </c>
      <c r="E136" s="116" t="str">
        <f>IFERROR(IF(VLOOKUP($A136,'Annex 2 EHV charges'!$D:$O,9,FALSE)=0,"",VLOOKUP($A136,'Annex 2 EHV charges'!$D:$O,9,FALSE)),"")</f>
        <v/>
      </c>
      <c r="F136" s="117" t="str">
        <f>IFERROR(IF(VLOOKUP($A136,'Annex 2 EHV charges'!$D:$O,10,FALSE)=0,"",VLOOKUP($A136,'Annex 2 EHV charges'!$D:$O,10,FALSE)),"")</f>
        <v/>
      </c>
      <c r="G136" s="118" t="str">
        <f>IFERROR(IF(VLOOKUP($A136,'Annex 2 EHV charges'!$D:$O,11,FALSE)=0,"",VLOOKUP($A136,'Annex 2 EHV charges'!$D:$O,11,FALSE)),"")</f>
        <v/>
      </c>
      <c r="H136" s="118" t="str">
        <f>IFERROR(IF(VLOOKUP($A136,'Annex 2 EHV charges'!$D:$O,12,FALSE)=0,"",VLOOKUP($A136,'Annex 2 EHV charges'!$D:$O,12,FALSE)),"")</f>
        <v/>
      </c>
    </row>
    <row r="137" spans="1:8" ht="12.75" customHeight="1" x14ac:dyDescent="0.2">
      <c r="A137" s="115" t="str">
        <f t="array" ref="A137">IFERROR(INDEX('Annex 2 EHV charges'!$D$11:$D$259, MATCH(0, IF(ISBLANK('Annex 2 EHV charges'!$D$11:$D$259),1, COUNTIF(A$4:$A136, 'Annex 2 EHV charges'!$D$11:$D$259)), 0)),"")</f>
        <v/>
      </c>
      <c r="B137" s="114" t="str">
        <f>IF($A137="","",VLOOKUP($A137,'Annex 2 EHV charges'!$D:$O,2,0))</f>
        <v/>
      </c>
      <c r="C137" s="115" t="str">
        <f>IF($A137="","",VLOOKUP($A137,'Annex 2 EHV charges'!$D:$O,3,0))</f>
        <v/>
      </c>
      <c r="D137" s="114" t="str">
        <f>IF($A137="","",VLOOKUP($A137,'Annex 2 EHV charges'!$D:$O,4,0))</f>
        <v/>
      </c>
      <c r="E137" s="116" t="str">
        <f>IFERROR(IF(VLOOKUP($A137,'Annex 2 EHV charges'!$D:$O,9,FALSE)=0,"",VLOOKUP($A137,'Annex 2 EHV charges'!$D:$O,9,FALSE)),"")</f>
        <v/>
      </c>
      <c r="F137" s="117" t="str">
        <f>IFERROR(IF(VLOOKUP($A137,'Annex 2 EHV charges'!$D:$O,10,FALSE)=0,"",VLOOKUP($A137,'Annex 2 EHV charges'!$D:$O,10,FALSE)),"")</f>
        <v/>
      </c>
      <c r="G137" s="118" t="str">
        <f>IFERROR(IF(VLOOKUP($A137,'Annex 2 EHV charges'!$D:$O,11,FALSE)=0,"",VLOOKUP($A137,'Annex 2 EHV charges'!$D:$O,11,FALSE)),"")</f>
        <v/>
      </c>
      <c r="H137" s="118" t="str">
        <f>IFERROR(IF(VLOOKUP($A137,'Annex 2 EHV charges'!$D:$O,12,FALSE)=0,"",VLOOKUP($A137,'Annex 2 EHV charges'!$D:$O,12,FALSE)),"")</f>
        <v/>
      </c>
    </row>
    <row r="138" spans="1:8" ht="12.75" customHeight="1" x14ac:dyDescent="0.2">
      <c r="A138" s="115" t="str">
        <f t="array" ref="A138">IFERROR(INDEX('Annex 2 EHV charges'!$D$11:$D$259, MATCH(0, IF(ISBLANK('Annex 2 EHV charges'!$D$11:$D$259),1, COUNTIF(A$4:$A137, 'Annex 2 EHV charges'!$D$11:$D$259)), 0)),"")</f>
        <v/>
      </c>
      <c r="B138" s="114" t="str">
        <f>IF($A138="","",VLOOKUP($A138,'Annex 2 EHV charges'!$D:$O,2,0))</f>
        <v/>
      </c>
      <c r="C138" s="115" t="str">
        <f>IF($A138="","",VLOOKUP($A138,'Annex 2 EHV charges'!$D:$O,3,0))</f>
        <v/>
      </c>
      <c r="D138" s="114" t="str">
        <f>IF($A138="","",VLOOKUP($A138,'Annex 2 EHV charges'!$D:$O,4,0))</f>
        <v/>
      </c>
      <c r="E138" s="116" t="str">
        <f>IFERROR(IF(VLOOKUP($A138,'Annex 2 EHV charges'!$D:$O,9,FALSE)=0,"",VLOOKUP($A138,'Annex 2 EHV charges'!$D:$O,9,FALSE)),"")</f>
        <v/>
      </c>
      <c r="F138" s="117" t="str">
        <f>IFERROR(IF(VLOOKUP($A138,'Annex 2 EHV charges'!$D:$O,10,FALSE)=0,"",VLOOKUP($A138,'Annex 2 EHV charges'!$D:$O,10,FALSE)),"")</f>
        <v/>
      </c>
      <c r="G138" s="118" t="str">
        <f>IFERROR(IF(VLOOKUP($A138,'Annex 2 EHV charges'!$D:$O,11,FALSE)=0,"",VLOOKUP($A138,'Annex 2 EHV charges'!$D:$O,11,FALSE)),"")</f>
        <v/>
      </c>
      <c r="H138" s="118" t="str">
        <f>IFERROR(IF(VLOOKUP($A138,'Annex 2 EHV charges'!$D:$O,12,FALSE)=0,"",VLOOKUP($A138,'Annex 2 EHV charges'!$D:$O,12,FALSE)),"")</f>
        <v/>
      </c>
    </row>
    <row r="139" spans="1:8" ht="12.75" customHeight="1" x14ac:dyDescent="0.2">
      <c r="A139" s="115" t="str">
        <f t="array" ref="A139">IFERROR(INDEX('Annex 2 EHV charges'!$D$11:$D$259, MATCH(0, IF(ISBLANK('Annex 2 EHV charges'!$D$11:$D$259),1, COUNTIF(A$4:$A138, 'Annex 2 EHV charges'!$D$11:$D$259)), 0)),"")</f>
        <v/>
      </c>
      <c r="B139" s="114" t="str">
        <f>IF($A139="","",VLOOKUP($A139,'Annex 2 EHV charges'!$D:$O,2,0))</f>
        <v/>
      </c>
      <c r="C139" s="115" t="str">
        <f>IF($A139="","",VLOOKUP($A139,'Annex 2 EHV charges'!$D:$O,3,0))</f>
        <v/>
      </c>
      <c r="D139" s="114" t="str">
        <f>IF($A139="","",VLOOKUP($A139,'Annex 2 EHV charges'!$D:$O,4,0))</f>
        <v/>
      </c>
      <c r="E139" s="116" t="str">
        <f>IFERROR(IF(VLOOKUP($A139,'Annex 2 EHV charges'!$D:$O,9,FALSE)=0,"",VLOOKUP($A139,'Annex 2 EHV charges'!$D:$O,9,FALSE)),"")</f>
        <v/>
      </c>
      <c r="F139" s="117" t="str">
        <f>IFERROR(IF(VLOOKUP($A139,'Annex 2 EHV charges'!$D:$O,10,FALSE)=0,"",VLOOKUP($A139,'Annex 2 EHV charges'!$D:$O,10,FALSE)),"")</f>
        <v/>
      </c>
      <c r="G139" s="118" t="str">
        <f>IFERROR(IF(VLOOKUP($A139,'Annex 2 EHV charges'!$D:$O,11,FALSE)=0,"",VLOOKUP($A139,'Annex 2 EHV charges'!$D:$O,11,FALSE)),"")</f>
        <v/>
      </c>
      <c r="H139" s="118" t="str">
        <f>IFERROR(IF(VLOOKUP($A139,'Annex 2 EHV charges'!$D:$O,12,FALSE)=0,"",VLOOKUP($A139,'Annex 2 EHV charges'!$D:$O,12,FALSE)),"")</f>
        <v/>
      </c>
    </row>
    <row r="140" spans="1:8" ht="12.75" customHeight="1" x14ac:dyDescent="0.2">
      <c r="A140" s="115" t="str">
        <f t="array" ref="A140">IFERROR(INDEX('Annex 2 EHV charges'!$D$11:$D$259, MATCH(0, IF(ISBLANK('Annex 2 EHV charges'!$D$11:$D$259),1, COUNTIF(A$4:$A139, 'Annex 2 EHV charges'!$D$11:$D$259)), 0)),"")</f>
        <v/>
      </c>
      <c r="B140" s="114" t="str">
        <f>IF($A140="","",VLOOKUP($A140,'Annex 2 EHV charges'!$D:$O,2,0))</f>
        <v/>
      </c>
      <c r="C140" s="115" t="str">
        <f>IF($A140="","",VLOOKUP($A140,'Annex 2 EHV charges'!$D:$O,3,0))</f>
        <v/>
      </c>
      <c r="D140" s="114" t="str">
        <f>IF($A140="","",VLOOKUP($A140,'Annex 2 EHV charges'!$D:$O,4,0))</f>
        <v/>
      </c>
      <c r="E140" s="116" t="str">
        <f>IFERROR(IF(VLOOKUP($A140,'Annex 2 EHV charges'!$D:$O,9,FALSE)=0,"",VLOOKUP($A140,'Annex 2 EHV charges'!$D:$O,9,FALSE)),"")</f>
        <v/>
      </c>
      <c r="F140" s="117" t="str">
        <f>IFERROR(IF(VLOOKUP($A140,'Annex 2 EHV charges'!$D:$O,10,FALSE)=0,"",VLOOKUP($A140,'Annex 2 EHV charges'!$D:$O,10,FALSE)),"")</f>
        <v/>
      </c>
      <c r="G140" s="118" t="str">
        <f>IFERROR(IF(VLOOKUP($A140,'Annex 2 EHV charges'!$D:$O,11,FALSE)=0,"",VLOOKUP($A140,'Annex 2 EHV charges'!$D:$O,11,FALSE)),"")</f>
        <v/>
      </c>
      <c r="H140" s="118" t="str">
        <f>IFERROR(IF(VLOOKUP($A140,'Annex 2 EHV charges'!$D:$O,12,FALSE)=0,"",VLOOKUP($A140,'Annex 2 EHV charges'!$D:$O,12,FALSE)),"")</f>
        <v/>
      </c>
    </row>
    <row r="141" spans="1:8" ht="12.75" customHeight="1" x14ac:dyDescent="0.2">
      <c r="A141" s="115" t="str">
        <f t="array" ref="A141">IFERROR(INDEX('Annex 2 EHV charges'!$D$11:$D$259, MATCH(0, IF(ISBLANK('Annex 2 EHV charges'!$D$11:$D$259),1, COUNTIF(A$4:$A140, 'Annex 2 EHV charges'!$D$11:$D$259)), 0)),"")</f>
        <v/>
      </c>
      <c r="B141" s="114" t="str">
        <f>IF($A141="","",VLOOKUP($A141,'Annex 2 EHV charges'!$D:$O,2,0))</f>
        <v/>
      </c>
      <c r="C141" s="115" t="str">
        <f>IF($A141="","",VLOOKUP($A141,'Annex 2 EHV charges'!$D:$O,3,0))</f>
        <v/>
      </c>
      <c r="D141" s="114" t="str">
        <f>IF($A141="","",VLOOKUP($A141,'Annex 2 EHV charges'!$D:$O,4,0))</f>
        <v/>
      </c>
      <c r="E141" s="116" t="str">
        <f>IFERROR(IF(VLOOKUP($A141,'Annex 2 EHV charges'!$D:$O,9,FALSE)=0,"",VLOOKUP($A141,'Annex 2 EHV charges'!$D:$O,9,FALSE)),"")</f>
        <v/>
      </c>
      <c r="F141" s="117" t="str">
        <f>IFERROR(IF(VLOOKUP($A141,'Annex 2 EHV charges'!$D:$O,10,FALSE)=0,"",VLOOKUP($A141,'Annex 2 EHV charges'!$D:$O,10,FALSE)),"")</f>
        <v/>
      </c>
      <c r="G141" s="118" t="str">
        <f>IFERROR(IF(VLOOKUP($A141,'Annex 2 EHV charges'!$D:$O,11,FALSE)=0,"",VLOOKUP($A141,'Annex 2 EHV charges'!$D:$O,11,FALSE)),"")</f>
        <v/>
      </c>
      <c r="H141" s="118" t="str">
        <f>IFERROR(IF(VLOOKUP($A141,'Annex 2 EHV charges'!$D:$O,12,FALSE)=0,"",VLOOKUP($A141,'Annex 2 EHV charges'!$D:$O,12,FALSE)),"")</f>
        <v/>
      </c>
    </row>
    <row r="142" spans="1:8" ht="12.75" customHeight="1" x14ac:dyDescent="0.2">
      <c r="A142" s="115" t="str">
        <f t="array" ref="A142">IFERROR(INDEX('Annex 2 EHV charges'!$D$11:$D$259, MATCH(0, IF(ISBLANK('Annex 2 EHV charges'!$D$11:$D$259),1, COUNTIF(A$4:$A141, 'Annex 2 EHV charges'!$D$11:$D$259)), 0)),"")</f>
        <v/>
      </c>
      <c r="B142" s="114" t="str">
        <f>IF($A142="","",VLOOKUP($A142,'Annex 2 EHV charges'!$D:$O,2,0))</f>
        <v/>
      </c>
      <c r="C142" s="115" t="str">
        <f>IF($A142="","",VLOOKUP($A142,'Annex 2 EHV charges'!$D:$O,3,0))</f>
        <v/>
      </c>
      <c r="D142" s="114" t="str">
        <f>IF($A142="","",VLOOKUP($A142,'Annex 2 EHV charges'!$D:$O,4,0))</f>
        <v/>
      </c>
      <c r="E142" s="116" t="str">
        <f>IFERROR(IF(VLOOKUP($A142,'Annex 2 EHV charges'!$D:$O,9,FALSE)=0,"",VLOOKUP($A142,'Annex 2 EHV charges'!$D:$O,9,FALSE)),"")</f>
        <v/>
      </c>
      <c r="F142" s="117" t="str">
        <f>IFERROR(IF(VLOOKUP($A142,'Annex 2 EHV charges'!$D:$O,10,FALSE)=0,"",VLOOKUP($A142,'Annex 2 EHV charges'!$D:$O,10,FALSE)),"")</f>
        <v/>
      </c>
      <c r="G142" s="118" t="str">
        <f>IFERROR(IF(VLOOKUP($A142,'Annex 2 EHV charges'!$D:$O,11,FALSE)=0,"",VLOOKUP($A142,'Annex 2 EHV charges'!$D:$O,11,FALSE)),"")</f>
        <v/>
      </c>
      <c r="H142" s="118" t="str">
        <f>IFERROR(IF(VLOOKUP($A142,'Annex 2 EHV charges'!$D:$O,12,FALSE)=0,"",VLOOKUP($A142,'Annex 2 EHV charges'!$D:$O,12,FALSE)),"")</f>
        <v/>
      </c>
    </row>
    <row r="143" spans="1:8" ht="12.75" customHeight="1" x14ac:dyDescent="0.2">
      <c r="A143" s="115" t="str">
        <f t="array" ref="A143">IFERROR(INDEX('Annex 2 EHV charges'!$D$11:$D$259, MATCH(0, IF(ISBLANK('Annex 2 EHV charges'!$D$11:$D$259),1, COUNTIF(A$4:$A142, 'Annex 2 EHV charges'!$D$11:$D$259)), 0)),"")</f>
        <v/>
      </c>
      <c r="B143" s="114" t="str">
        <f>IF($A143="","",VLOOKUP($A143,'Annex 2 EHV charges'!$D:$O,2,0))</f>
        <v/>
      </c>
      <c r="C143" s="115" t="str">
        <f>IF($A143="","",VLOOKUP($A143,'Annex 2 EHV charges'!$D:$O,3,0))</f>
        <v/>
      </c>
      <c r="D143" s="114" t="str">
        <f>IF($A143="","",VLOOKUP($A143,'Annex 2 EHV charges'!$D:$O,4,0))</f>
        <v/>
      </c>
      <c r="E143" s="116" t="str">
        <f>IFERROR(IF(VLOOKUP($A143,'Annex 2 EHV charges'!$D:$O,9,FALSE)=0,"",VLOOKUP($A143,'Annex 2 EHV charges'!$D:$O,9,FALSE)),"")</f>
        <v/>
      </c>
      <c r="F143" s="117" t="str">
        <f>IFERROR(IF(VLOOKUP($A143,'Annex 2 EHV charges'!$D:$O,10,FALSE)=0,"",VLOOKUP($A143,'Annex 2 EHV charges'!$D:$O,10,FALSE)),"")</f>
        <v/>
      </c>
      <c r="G143" s="118" t="str">
        <f>IFERROR(IF(VLOOKUP($A143,'Annex 2 EHV charges'!$D:$O,11,FALSE)=0,"",VLOOKUP($A143,'Annex 2 EHV charges'!$D:$O,11,FALSE)),"")</f>
        <v/>
      </c>
      <c r="H143" s="118" t="str">
        <f>IFERROR(IF(VLOOKUP($A143,'Annex 2 EHV charges'!$D:$O,12,FALSE)=0,"",VLOOKUP($A143,'Annex 2 EHV charges'!$D:$O,12,FALSE)),"")</f>
        <v/>
      </c>
    </row>
    <row r="144" spans="1:8" ht="12.75" customHeight="1" x14ac:dyDescent="0.2">
      <c r="A144" s="115" t="str">
        <f t="array" ref="A144">IFERROR(INDEX('Annex 2 EHV charges'!$D$11:$D$259, MATCH(0, IF(ISBLANK('Annex 2 EHV charges'!$D$11:$D$259),1, COUNTIF(A$4:$A143, 'Annex 2 EHV charges'!$D$11:$D$259)), 0)),"")</f>
        <v/>
      </c>
      <c r="B144" s="114" t="str">
        <f>IF($A144="","",VLOOKUP($A144,'Annex 2 EHV charges'!$D:$O,2,0))</f>
        <v/>
      </c>
      <c r="C144" s="115" t="str">
        <f>IF($A144="","",VLOOKUP($A144,'Annex 2 EHV charges'!$D:$O,3,0))</f>
        <v/>
      </c>
      <c r="D144" s="114" t="str">
        <f>IF($A144="","",VLOOKUP($A144,'Annex 2 EHV charges'!$D:$O,4,0))</f>
        <v/>
      </c>
      <c r="E144" s="116" t="str">
        <f>IFERROR(IF(VLOOKUP($A144,'Annex 2 EHV charges'!$D:$O,9,FALSE)=0,"",VLOOKUP($A144,'Annex 2 EHV charges'!$D:$O,9,FALSE)),"")</f>
        <v/>
      </c>
      <c r="F144" s="117" t="str">
        <f>IFERROR(IF(VLOOKUP($A144,'Annex 2 EHV charges'!$D:$O,10,FALSE)=0,"",VLOOKUP($A144,'Annex 2 EHV charges'!$D:$O,10,FALSE)),"")</f>
        <v/>
      </c>
      <c r="G144" s="118" t="str">
        <f>IFERROR(IF(VLOOKUP($A144,'Annex 2 EHV charges'!$D:$O,11,FALSE)=0,"",VLOOKUP($A144,'Annex 2 EHV charges'!$D:$O,11,FALSE)),"")</f>
        <v/>
      </c>
      <c r="H144" s="118" t="str">
        <f>IFERROR(IF(VLOOKUP($A144,'Annex 2 EHV charges'!$D:$O,12,FALSE)=0,"",VLOOKUP($A144,'Annex 2 EHV charges'!$D:$O,12,FALSE)),"")</f>
        <v/>
      </c>
    </row>
    <row r="145" spans="1:8" ht="12.75" customHeight="1" x14ac:dyDescent="0.2">
      <c r="A145" s="115" t="str">
        <f t="array" ref="A145">IFERROR(INDEX('Annex 2 EHV charges'!$D$11:$D$259, MATCH(0, IF(ISBLANK('Annex 2 EHV charges'!$D$11:$D$259),1, COUNTIF(A$4:$A144, 'Annex 2 EHV charges'!$D$11:$D$259)), 0)),"")</f>
        <v/>
      </c>
      <c r="B145" s="114" t="str">
        <f>IF($A145="","",VLOOKUP($A145,'Annex 2 EHV charges'!$D:$O,2,0))</f>
        <v/>
      </c>
      <c r="C145" s="115" t="str">
        <f>IF($A145="","",VLOOKUP($A145,'Annex 2 EHV charges'!$D:$O,3,0))</f>
        <v/>
      </c>
      <c r="D145" s="114" t="str">
        <f>IF($A145="","",VLOOKUP($A145,'Annex 2 EHV charges'!$D:$O,4,0))</f>
        <v/>
      </c>
      <c r="E145" s="116" t="str">
        <f>IFERROR(IF(VLOOKUP($A145,'Annex 2 EHV charges'!$D:$O,9,FALSE)=0,"",VLOOKUP($A145,'Annex 2 EHV charges'!$D:$O,9,FALSE)),"")</f>
        <v/>
      </c>
      <c r="F145" s="117" t="str">
        <f>IFERROR(IF(VLOOKUP($A145,'Annex 2 EHV charges'!$D:$O,10,FALSE)=0,"",VLOOKUP($A145,'Annex 2 EHV charges'!$D:$O,10,FALSE)),"")</f>
        <v/>
      </c>
      <c r="G145" s="118" t="str">
        <f>IFERROR(IF(VLOOKUP($A145,'Annex 2 EHV charges'!$D:$O,11,FALSE)=0,"",VLOOKUP($A145,'Annex 2 EHV charges'!$D:$O,11,FALSE)),"")</f>
        <v/>
      </c>
      <c r="H145" s="118" t="str">
        <f>IFERROR(IF(VLOOKUP($A145,'Annex 2 EHV charges'!$D:$O,12,FALSE)=0,"",VLOOKUP($A145,'Annex 2 EHV charges'!$D:$O,12,FALSE)),"")</f>
        <v/>
      </c>
    </row>
    <row r="146" spans="1:8" ht="12.75" customHeight="1" x14ac:dyDescent="0.2">
      <c r="A146" s="115" t="str">
        <f t="array" ref="A146">IFERROR(INDEX('Annex 2 EHV charges'!$D$11:$D$259, MATCH(0, IF(ISBLANK('Annex 2 EHV charges'!$D$11:$D$259),1, COUNTIF(A$4:$A145, 'Annex 2 EHV charges'!$D$11:$D$259)), 0)),"")</f>
        <v/>
      </c>
      <c r="B146" s="114" t="str">
        <f>IF($A146="","",VLOOKUP($A146,'Annex 2 EHV charges'!$D:$O,2,0))</f>
        <v/>
      </c>
      <c r="C146" s="115" t="str">
        <f>IF($A146="","",VLOOKUP($A146,'Annex 2 EHV charges'!$D:$O,3,0))</f>
        <v/>
      </c>
      <c r="D146" s="114" t="str">
        <f>IF($A146="","",VLOOKUP($A146,'Annex 2 EHV charges'!$D:$O,4,0))</f>
        <v/>
      </c>
      <c r="E146" s="116" t="str">
        <f>IFERROR(IF(VLOOKUP($A146,'Annex 2 EHV charges'!$D:$O,9,FALSE)=0,"",VLOOKUP($A146,'Annex 2 EHV charges'!$D:$O,9,FALSE)),"")</f>
        <v/>
      </c>
      <c r="F146" s="117" t="str">
        <f>IFERROR(IF(VLOOKUP($A146,'Annex 2 EHV charges'!$D:$O,10,FALSE)=0,"",VLOOKUP($A146,'Annex 2 EHV charges'!$D:$O,10,FALSE)),"")</f>
        <v/>
      </c>
      <c r="G146" s="118" t="str">
        <f>IFERROR(IF(VLOOKUP($A146,'Annex 2 EHV charges'!$D:$O,11,FALSE)=0,"",VLOOKUP($A146,'Annex 2 EHV charges'!$D:$O,11,FALSE)),"")</f>
        <v/>
      </c>
      <c r="H146" s="118" t="str">
        <f>IFERROR(IF(VLOOKUP($A146,'Annex 2 EHV charges'!$D:$O,12,FALSE)=0,"",VLOOKUP($A146,'Annex 2 EHV charges'!$D:$O,12,FALSE)),"")</f>
        <v/>
      </c>
    </row>
    <row r="147" spans="1:8" ht="12.75" customHeight="1" x14ac:dyDescent="0.2">
      <c r="A147" s="115" t="str">
        <f t="array" ref="A147">IFERROR(INDEX('Annex 2 EHV charges'!$D$11:$D$259, MATCH(0, IF(ISBLANK('Annex 2 EHV charges'!$D$11:$D$259),1, COUNTIF(A$4:$A146, 'Annex 2 EHV charges'!$D$11:$D$259)), 0)),"")</f>
        <v/>
      </c>
      <c r="B147" s="114" t="str">
        <f>IF($A147="","",VLOOKUP($A147,'Annex 2 EHV charges'!$D:$O,2,0))</f>
        <v/>
      </c>
      <c r="C147" s="115" t="str">
        <f>IF($A147="","",VLOOKUP($A147,'Annex 2 EHV charges'!$D:$O,3,0))</f>
        <v/>
      </c>
      <c r="D147" s="114" t="str">
        <f>IF($A147="","",VLOOKUP($A147,'Annex 2 EHV charges'!$D:$O,4,0))</f>
        <v/>
      </c>
      <c r="E147" s="116" t="str">
        <f>IFERROR(IF(VLOOKUP($A147,'Annex 2 EHV charges'!$D:$O,9,FALSE)=0,"",VLOOKUP($A147,'Annex 2 EHV charges'!$D:$O,9,FALSE)),"")</f>
        <v/>
      </c>
      <c r="F147" s="117" t="str">
        <f>IFERROR(IF(VLOOKUP($A147,'Annex 2 EHV charges'!$D:$O,10,FALSE)=0,"",VLOOKUP($A147,'Annex 2 EHV charges'!$D:$O,10,FALSE)),"")</f>
        <v/>
      </c>
      <c r="G147" s="118" t="str">
        <f>IFERROR(IF(VLOOKUP($A147,'Annex 2 EHV charges'!$D:$O,11,FALSE)=0,"",VLOOKUP($A147,'Annex 2 EHV charges'!$D:$O,11,FALSE)),"")</f>
        <v/>
      </c>
      <c r="H147" s="118" t="str">
        <f>IFERROR(IF(VLOOKUP($A147,'Annex 2 EHV charges'!$D:$O,12,FALSE)=0,"",VLOOKUP($A147,'Annex 2 EHV charges'!$D:$O,12,FALSE)),"")</f>
        <v/>
      </c>
    </row>
    <row r="148" spans="1:8" ht="12.75" customHeight="1" x14ac:dyDescent="0.2">
      <c r="A148" s="115" t="str">
        <f t="array" ref="A148">IFERROR(INDEX('Annex 2 EHV charges'!$D$11:$D$259, MATCH(0, IF(ISBLANK('Annex 2 EHV charges'!$D$11:$D$259),1, COUNTIF(A$4:$A147, 'Annex 2 EHV charges'!$D$11:$D$259)), 0)),"")</f>
        <v/>
      </c>
      <c r="B148" s="114" t="str">
        <f>IF($A148="","",VLOOKUP($A148,'Annex 2 EHV charges'!$D:$O,2,0))</f>
        <v/>
      </c>
      <c r="C148" s="115" t="str">
        <f>IF($A148="","",VLOOKUP($A148,'Annex 2 EHV charges'!$D:$O,3,0))</f>
        <v/>
      </c>
      <c r="D148" s="114" t="str">
        <f>IF($A148="","",VLOOKUP($A148,'Annex 2 EHV charges'!$D:$O,4,0))</f>
        <v/>
      </c>
      <c r="E148" s="116" t="str">
        <f>IFERROR(IF(VLOOKUP($A148,'Annex 2 EHV charges'!$D:$O,9,FALSE)=0,"",VLOOKUP($A148,'Annex 2 EHV charges'!$D:$O,9,FALSE)),"")</f>
        <v/>
      </c>
      <c r="F148" s="117" t="str">
        <f>IFERROR(IF(VLOOKUP($A148,'Annex 2 EHV charges'!$D:$O,10,FALSE)=0,"",VLOOKUP($A148,'Annex 2 EHV charges'!$D:$O,10,FALSE)),"")</f>
        <v/>
      </c>
      <c r="G148" s="118" t="str">
        <f>IFERROR(IF(VLOOKUP($A148,'Annex 2 EHV charges'!$D:$O,11,FALSE)=0,"",VLOOKUP($A148,'Annex 2 EHV charges'!$D:$O,11,FALSE)),"")</f>
        <v/>
      </c>
      <c r="H148" s="118" t="str">
        <f>IFERROR(IF(VLOOKUP($A148,'Annex 2 EHV charges'!$D:$O,12,FALSE)=0,"",VLOOKUP($A148,'Annex 2 EHV charges'!$D:$O,12,FALSE)),"")</f>
        <v/>
      </c>
    </row>
    <row r="149" spans="1:8" ht="12.75" customHeight="1" x14ac:dyDescent="0.2">
      <c r="A149" s="115" t="str">
        <f t="array" ref="A149">IFERROR(INDEX('Annex 2 EHV charges'!$D$11:$D$259, MATCH(0, IF(ISBLANK('Annex 2 EHV charges'!$D$11:$D$259),1, COUNTIF(A$4:$A148, 'Annex 2 EHV charges'!$D$11:$D$259)), 0)),"")</f>
        <v/>
      </c>
      <c r="B149" s="114" t="str">
        <f>IF($A149="","",VLOOKUP($A149,'Annex 2 EHV charges'!$D:$O,2,0))</f>
        <v/>
      </c>
      <c r="C149" s="115" t="str">
        <f>IF($A149="","",VLOOKUP($A149,'Annex 2 EHV charges'!$D:$O,3,0))</f>
        <v/>
      </c>
      <c r="D149" s="114" t="str">
        <f>IF($A149="","",VLOOKUP($A149,'Annex 2 EHV charges'!$D:$O,4,0))</f>
        <v/>
      </c>
      <c r="E149" s="116" t="str">
        <f>IFERROR(IF(VLOOKUP($A149,'Annex 2 EHV charges'!$D:$O,9,FALSE)=0,"",VLOOKUP($A149,'Annex 2 EHV charges'!$D:$O,9,FALSE)),"")</f>
        <v/>
      </c>
      <c r="F149" s="117" t="str">
        <f>IFERROR(IF(VLOOKUP($A149,'Annex 2 EHV charges'!$D:$O,10,FALSE)=0,"",VLOOKUP($A149,'Annex 2 EHV charges'!$D:$O,10,FALSE)),"")</f>
        <v/>
      </c>
      <c r="G149" s="118" t="str">
        <f>IFERROR(IF(VLOOKUP($A149,'Annex 2 EHV charges'!$D:$O,11,FALSE)=0,"",VLOOKUP($A149,'Annex 2 EHV charges'!$D:$O,11,FALSE)),"")</f>
        <v/>
      </c>
      <c r="H149" s="118" t="str">
        <f>IFERROR(IF(VLOOKUP($A149,'Annex 2 EHV charges'!$D:$O,12,FALSE)=0,"",VLOOKUP($A149,'Annex 2 EHV charges'!$D:$O,12,FALSE)),"")</f>
        <v/>
      </c>
    </row>
    <row r="150" spans="1:8" ht="12.75" customHeight="1" x14ac:dyDescent="0.2">
      <c r="A150" s="115" t="str">
        <f t="array" ref="A150">IFERROR(INDEX('Annex 2 EHV charges'!$D$11:$D$259, MATCH(0, IF(ISBLANK('Annex 2 EHV charges'!$D$11:$D$259),1, COUNTIF(A$4:$A149, 'Annex 2 EHV charges'!$D$11:$D$259)), 0)),"")</f>
        <v/>
      </c>
      <c r="B150" s="114" t="str">
        <f>IF($A150="","",VLOOKUP($A150,'Annex 2 EHV charges'!$D:$O,2,0))</f>
        <v/>
      </c>
      <c r="C150" s="115" t="str">
        <f>IF($A150="","",VLOOKUP($A150,'Annex 2 EHV charges'!$D:$O,3,0))</f>
        <v/>
      </c>
      <c r="D150" s="114" t="str">
        <f>IF($A150="","",VLOOKUP($A150,'Annex 2 EHV charges'!$D:$O,4,0))</f>
        <v/>
      </c>
      <c r="E150" s="116" t="str">
        <f>IFERROR(IF(VLOOKUP($A150,'Annex 2 EHV charges'!$D:$O,9,FALSE)=0,"",VLOOKUP($A150,'Annex 2 EHV charges'!$D:$O,9,FALSE)),"")</f>
        <v/>
      </c>
      <c r="F150" s="117" t="str">
        <f>IFERROR(IF(VLOOKUP($A150,'Annex 2 EHV charges'!$D:$O,10,FALSE)=0,"",VLOOKUP($A150,'Annex 2 EHV charges'!$D:$O,10,FALSE)),"")</f>
        <v/>
      </c>
      <c r="G150" s="118" t="str">
        <f>IFERROR(IF(VLOOKUP($A150,'Annex 2 EHV charges'!$D:$O,11,FALSE)=0,"",VLOOKUP($A150,'Annex 2 EHV charges'!$D:$O,11,FALSE)),"")</f>
        <v/>
      </c>
      <c r="H150" s="118" t="str">
        <f>IFERROR(IF(VLOOKUP($A150,'Annex 2 EHV charges'!$D:$O,12,FALSE)=0,"",VLOOKUP($A150,'Annex 2 EHV charges'!$D:$O,12,FALSE)),"")</f>
        <v/>
      </c>
    </row>
    <row r="151" spans="1:8" ht="12.75" customHeight="1" x14ac:dyDescent="0.2">
      <c r="A151" s="115" t="str">
        <f t="array" ref="A151">IFERROR(INDEX('Annex 2 EHV charges'!$D$11:$D$259, MATCH(0, IF(ISBLANK('Annex 2 EHV charges'!$D$11:$D$259),1, COUNTIF(A$4:$A150, 'Annex 2 EHV charges'!$D$11:$D$259)), 0)),"")</f>
        <v/>
      </c>
      <c r="B151" s="114" t="str">
        <f>IF($A151="","",VLOOKUP($A151,'Annex 2 EHV charges'!$D:$O,2,0))</f>
        <v/>
      </c>
      <c r="C151" s="115" t="str">
        <f>IF($A151="","",VLOOKUP($A151,'Annex 2 EHV charges'!$D:$O,3,0))</f>
        <v/>
      </c>
      <c r="D151" s="114" t="str">
        <f>IF($A151="","",VLOOKUP($A151,'Annex 2 EHV charges'!$D:$O,4,0))</f>
        <v/>
      </c>
      <c r="E151" s="116" t="str">
        <f>IFERROR(IF(VLOOKUP($A151,'Annex 2 EHV charges'!$D:$O,9,FALSE)=0,"",VLOOKUP($A151,'Annex 2 EHV charges'!$D:$O,9,FALSE)),"")</f>
        <v/>
      </c>
      <c r="F151" s="117" t="str">
        <f>IFERROR(IF(VLOOKUP($A151,'Annex 2 EHV charges'!$D:$O,10,FALSE)=0,"",VLOOKUP($A151,'Annex 2 EHV charges'!$D:$O,10,FALSE)),"")</f>
        <v/>
      </c>
      <c r="G151" s="118" t="str">
        <f>IFERROR(IF(VLOOKUP($A151,'Annex 2 EHV charges'!$D:$O,11,FALSE)=0,"",VLOOKUP($A151,'Annex 2 EHV charges'!$D:$O,11,FALSE)),"")</f>
        <v/>
      </c>
      <c r="H151" s="118" t="str">
        <f>IFERROR(IF(VLOOKUP($A151,'Annex 2 EHV charges'!$D:$O,12,FALSE)=0,"",VLOOKUP($A151,'Annex 2 EHV charges'!$D:$O,12,FALSE)),"")</f>
        <v/>
      </c>
    </row>
    <row r="152" spans="1:8" x14ac:dyDescent="0.2">
      <c r="A152" s="115" t="str">
        <f t="array" ref="A152">IFERROR(INDEX('Annex 2 EHV charges'!$D$11:$D$259, MATCH(0, IF(ISBLANK('Annex 2 EHV charges'!$D$11:$D$259),1, COUNTIF(A$4:$A151, 'Annex 2 EHV charges'!$D$11:$D$259)), 0)),"")</f>
        <v/>
      </c>
      <c r="B152" s="114" t="str">
        <f>IF($A152="","",VLOOKUP($A152,'Annex 2 EHV charges'!$D:$O,2,0))</f>
        <v/>
      </c>
      <c r="C152" s="115" t="str">
        <f>IF($A152="","",VLOOKUP($A152,'Annex 2 EHV charges'!$D:$O,3,0))</f>
        <v/>
      </c>
      <c r="D152" s="114" t="str">
        <f>IF($A152="","",VLOOKUP($A152,'Annex 2 EHV charges'!$D:$O,4,0))</f>
        <v/>
      </c>
      <c r="E152" s="116" t="str">
        <f>IFERROR(IF(VLOOKUP($A152,'Annex 2 EHV charges'!$D:$O,9,FALSE)=0,"",VLOOKUP($A152,'Annex 2 EHV charges'!$D:$O,9,FALSE)),"")</f>
        <v/>
      </c>
      <c r="F152" s="117" t="str">
        <f>IFERROR(IF(VLOOKUP($A152,'Annex 2 EHV charges'!$D:$O,10,FALSE)=0,"",VLOOKUP($A152,'Annex 2 EHV charges'!$D:$O,10,FALSE)),"")</f>
        <v/>
      </c>
      <c r="G152" s="118" t="str">
        <f>IFERROR(IF(VLOOKUP($A152,'Annex 2 EHV charges'!$D:$O,11,FALSE)=0,"",VLOOKUP($A152,'Annex 2 EHV charges'!$D:$O,11,FALSE)),"")</f>
        <v/>
      </c>
      <c r="H152" s="118" t="str">
        <f>IFERROR(IF(VLOOKUP($A152,'Annex 2 EHV charges'!$D:$O,12,FALSE)=0,"",VLOOKUP($A152,'Annex 2 EHV charges'!$D:$O,12,FALSE)),"")</f>
        <v/>
      </c>
    </row>
    <row r="153" spans="1:8" x14ac:dyDescent="0.2">
      <c r="A153" s="115" t="str">
        <f t="array" ref="A153">IFERROR(INDEX('Annex 2 EHV charges'!$D$11:$D$259, MATCH(0, IF(ISBLANK('Annex 2 EHV charges'!$D$11:$D$259),1, COUNTIF(A$4:$A152, 'Annex 2 EHV charges'!$D$11:$D$259)), 0)),"")</f>
        <v/>
      </c>
      <c r="B153" s="114" t="str">
        <f>IF($A153="","",VLOOKUP($A153,'Annex 2 EHV charges'!$D:$O,2,0))</f>
        <v/>
      </c>
      <c r="C153" s="115" t="str">
        <f>IF($A153="","",VLOOKUP($A153,'Annex 2 EHV charges'!$D:$O,3,0))</f>
        <v/>
      </c>
      <c r="D153" s="114" t="str">
        <f>IF($A153="","",VLOOKUP($A153,'Annex 2 EHV charges'!$D:$O,4,0))</f>
        <v/>
      </c>
      <c r="E153" s="116" t="str">
        <f>IFERROR(IF(VLOOKUP($A153,'Annex 2 EHV charges'!$D:$O,9,FALSE)=0,"",VLOOKUP($A153,'Annex 2 EHV charges'!$D:$O,9,FALSE)),"")</f>
        <v/>
      </c>
      <c r="F153" s="117" t="str">
        <f>IFERROR(IF(VLOOKUP($A153,'Annex 2 EHV charges'!$D:$O,10,FALSE)=0,"",VLOOKUP($A153,'Annex 2 EHV charges'!$D:$O,10,FALSE)),"")</f>
        <v/>
      </c>
      <c r="G153" s="118" t="str">
        <f>IFERROR(IF(VLOOKUP($A153,'Annex 2 EHV charges'!$D:$O,11,FALSE)=0,"",VLOOKUP($A153,'Annex 2 EHV charges'!$D:$O,11,FALSE)),"")</f>
        <v/>
      </c>
      <c r="H153" s="118" t="str">
        <f>IFERROR(IF(VLOOKUP($A153,'Annex 2 EHV charges'!$D:$O,12,FALSE)=0,"",VLOOKUP($A153,'Annex 2 EHV charges'!$D:$O,12,FALSE)),"")</f>
        <v/>
      </c>
    </row>
    <row r="154" spans="1:8" x14ac:dyDescent="0.2">
      <c r="A154" s="115" t="str">
        <f t="array" ref="A154">IFERROR(INDEX('Annex 2 EHV charges'!$D$11:$D$259, MATCH(0, IF(ISBLANK('Annex 2 EHV charges'!$D$11:$D$259),1, COUNTIF(A$4:$A153, 'Annex 2 EHV charges'!$D$11:$D$259)), 0)),"")</f>
        <v/>
      </c>
      <c r="B154" s="114" t="str">
        <f>IF($A154="","",VLOOKUP($A154,'Annex 2 EHV charges'!$D:$O,2,0))</f>
        <v/>
      </c>
      <c r="C154" s="115" t="str">
        <f>IF($A154="","",VLOOKUP($A154,'Annex 2 EHV charges'!$D:$O,3,0))</f>
        <v/>
      </c>
      <c r="D154" s="114" t="str">
        <f>IF($A154="","",VLOOKUP($A154,'Annex 2 EHV charges'!$D:$O,4,0))</f>
        <v/>
      </c>
      <c r="E154" s="116" t="str">
        <f>IFERROR(IF(VLOOKUP($A154,'Annex 2 EHV charges'!$D:$O,9,FALSE)=0,"",VLOOKUP($A154,'Annex 2 EHV charges'!$D:$O,9,FALSE)),"")</f>
        <v/>
      </c>
      <c r="F154" s="117" t="str">
        <f>IFERROR(IF(VLOOKUP($A154,'Annex 2 EHV charges'!$D:$O,10,FALSE)=0,"",VLOOKUP($A154,'Annex 2 EHV charges'!$D:$O,10,FALSE)),"")</f>
        <v/>
      </c>
      <c r="G154" s="118" t="str">
        <f>IFERROR(IF(VLOOKUP($A154,'Annex 2 EHV charges'!$D:$O,11,FALSE)=0,"",VLOOKUP($A154,'Annex 2 EHV charges'!$D:$O,11,FALSE)),"")</f>
        <v/>
      </c>
      <c r="H154" s="118" t="str">
        <f>IFERROR(IF(VLOOKUP($A154,'Annex 2 EHV charges'!$D:$O,12,FALSE)=0,"",VLOOKUP($A154,'Annex 2 EHV charges'!$D:$O,12,FALSE)),"")</f>
        <v/>
      </c>
    </row>
    <row r="155" spans="1:8" x14ac:dyDescent="0.2">
      <c r="A155" s="115" t="str">
        <f t="array" ref="A155">IFERROR(INDEX('Annex 2 EHV charges'!$D$11:$D$259, MATCH(0, IF(ISBLANK('Annex 2 EHV charges'!$D$11:$D$259),1, COUNTIF(A$4:$A154, 'Annex 2 EHV charges'!$D$11:$D$259)), 0)),"")</f>
        <v/>
      </c>
      <c r="B155" s="114" t="str">
        <f>IF($A155="","",VLOOKUP($A155,'Annex 2 EHV charges'!$D:$O,2,0))</f>
        <v/>
      </c>
      <c r="C155" s="115" t="str">
        <f>IF($A155="","",VLOOKUP($A155,'Annex 2 EHV charges'!$D:$O,3,0))</f>
        <v/>
      </c>
      <c r="D155" s="114" t="str">
        <f>IF($A155="","",VLOOKUP($A155,'Annex 2 EHV charges'!$D:$O,4,0))</f>
        <v/>
      </c>
      <c r="E155" s="116" t="str">
        <f>IFERROR(IF(VLOOKUP($A155,'Annex 2 EHV charges'!$D:$O,9,FALSE)=0,"",VLOOKUP($A155,'Annex 2 EHV charges'!$D:$O,9,FALSE)),"")</f>
        <v/>
      </c>
      <c r="F155" s="117" t="str">
        <f>IFERROR(IF(VLOOKUP($A155,'Annex 2 EHV charges'!$D:$O,10,FALSE)=0,"",VLOOKUP($A155,'Annex 2 EHV charges'!$D:$O,10,FALSE)),"")</f>
        <v/>
      </c>
      <c r="G155" s="118" t="str">
        <f>IFERROR(IF(VLOOKUP($A155,'Annex 2 EHV charges'!$D:$O,11,FALSE)=0,"",VLOOKUP($A155,'Annex 2 EHV charges'!$D:$O,11,FALSE)),"")</f>
        <v/>
      </c>
      <c r="H155" s="118" t="str">
        <f>IFERROR(IF(VLOOKUP($A155,'Annex 2 EHV charges'!$D:$O,12,FALSE)=0,"",VLOOKUP($A155,'Annex 2 EHV charges'!$D:$O,12,FALSE)),"")</f>
        <v/>
      </c>
    </row>
    <row r="156" spans="1:8" x14ac:dyDescent="0.2">
      <c r="A156" s="115" t="str">
        <f t="array" ref="A156">IFERROR(INDEX('Annex 2 EHV charges'!$D$11:$D$259, MATCH(0, IF(ISBLANK('Annex 2 EHV charges'!$D$11:$D$259),1, COUNTIF(A$4:$A155, 'Annex 2 EHV charges'!$D$11:$D$259)), 0)),"")</f>
        <v/>
      </c>
      <c r="B156" s="114" t="str">
        <f>IF($A156="","",VLOOKUP($A156,'Annex 2 EHV charges'!$D:$O,2,0))</f>
        <v/>
      </c>
      <c r="C156" s="115" t="str">
        <f>IF($A156="","",VLOOKUP($A156,'Annex 2 EHV charges'!$D:$O,3,0))</f>
        <v/>
      </c>
      <c r="D156" s="114" t="str">
        <f>IF($A156="","",VLOOKUP($A156,'Annex 2 EHV charges'!$D:$O,4,0))</f>
        <v/>
      </c>
      <c r="E156" s="116" t="str">
        <f>IFERROR(IF(VLOOKUP($A156,'Annex 2 EHV charges'!$D:$O,9,FALSE)=0,"",VLOOKUP($A156,'Annex 2 EHV charges'!$D:$O,9,FALSE)),"")</f>
        <v/>
      </c>
      <c r="F156" s="117" t="str">
        <f>IFERROR(IF(VLOOKUP($A156,'Annex 2 EHV charges'!$D:$O,10,FALSE)=0,"",VLOOKUP($A156,'Annex 2 EHV charges'!$D:$O,10,FALSE)),"")</f>
        <v/>
      </c>
      <c r="G156" s="118" t="str">
        <f>IFERROR(IF(VLOOKUP($A156,'Annex 2 EHV charges'!$D:$O,11,FALSE)=0,"",VLOOKUP($A156,'Annex 2 EHV charges'!$D:$O,11,FALSE)),"")</f>
        <v/>
      </c>
      <c r="H156" s="118" t="str">
        <f>IFERROR(IF(VLOOKUP($A156,'Annex 2 EHV charges'!$D:$O,12,FALSE)=0,"",VLOOKUP($A156,'Annex 2 EHV charges'!$D:$O,12,FALSE)),"")</f>
        <v/>
      </c>
    </row>
    <row r="157" spans="1:8" x14ac:dyDescent="0.2">
      <c r="A157" s="115" t="str">
        <f t="array" ref="A157">IFERROR(INDEX('Annex 2 EHV charges'!$D$11:$D$259, MATCH(0, IF(ISBLANK('Annex 2 EHV charges'!$D$11:$D$259),1, COUNTIF(A$4:$A156, 'Annex 2 EHV charges'!$D$11:$D$259)), 0)),"")</f>
        <v/>
      </c>
      <c r="B157" s="114" t="str">
        <f>IF($A157="","",VLOOKUP($A157,'Annex 2 EHV charges'!$D:$O,2,0))</f>
        <v/>
      </c>
      <c r="C157" s="115" t="str">
        <f>IF($A157="","",VLOOKUP($A157,'Annex 2 EHV charges'!$D:$O,3,0))</f>
        <v/>
      </c>
      <c r="D157" s="114" t="str">
        <f>IF($A157="","",VLOOKUP($A157,'Annex 2 EHV charges'!$D:$O,4,0))</f>
        <v/>
      </c>
      <c r="E157" s="116" t="str">
        <f>IFERROR(IF(VLOOKUP($A157,'Annex 2 EHV charges'!$D:$O,9,FALSE)=0,"",VLOOKUP($A157,'Annex 2 EHV charges'!$D:$O,9,FALSE)),"")</f>
        <v/>
      </c>
      <c r="F157" s="117" t="str">
        <f>IFERROR(IF(VLOOKUP($A157,'Annex 2 EHV charges'!$D:$O,10,FALSE)=0,"",VLOOKUP($A157,'Annex 2 EHV charges'!$D:$O,10,FALSE)),"")</f>
        <v/>
      </c>
      <c r="G157" s="118" t="str">
        <f>IFERROR(IF(VLOOKUP($A157,'Annex 2 EHV charges'!$D:$O,11,FALSE)=0,"",VLOOKUP($A157,'Annex 2 EHV charges'!$D:$O,11,FALSE)),"")</f>
        <v/>
      </c>
      <c r="H157" s="118" t="str">
        <f>IFERROR(IF(VLOOKUP($A157,'Annex 2 EHV charges'!$D:$O,12,FALSE)=0,"",VLOOKUP($A157,'Annex 2 EHV charges'!$D:$O,12,FALSE)),"")</f>
        <v/>
      </c>
    </row>
    <row r="158" spans="1:8" x14ac:dyDescent="0.2">
      <c r="A158" s="115" t="str">
        <f t="array" ref="A158">IFERROR(INDEX('Annex 2 EHV charges'!$D$11:$D$259, MATCH(0, IF(ISBLANK('Annex 2 EHV charges'!$D$11:$D$259),1, COUNTIF(A$4:$A157, 'Annex 2 EHV charges'!$D$11:$D$259)), 0)),"")</f>
        <v/>
      </c>
      <c r="B158" s="114" t="str">
        <f>IF($A158="","",VLOOKUP($A158,'Annex 2 EHV charges'!$D:$O,2,0))</f>
        <v/>
      </c>
      <c r="C158" s="115" t="str">
        <f>IF($A158="","",VLOOKUP($A158,'Annex 2 EHV charges'!$D:$O,3,0))</f>
        <v/>
      </c>
      <c r="D158" s="114" t="str">
        <f>IF($A158="","",VLOOKUP($A158,'Annex 2 EHV charges'!$D:$O,4,0))</f>
        <v/>
      </c>
      <c r="E158" s="116" t="str">
        <f>IFERROR(IF(VLOOKUP($A158,'Annex 2 EHV charges'!$D:$O,9,FALSE)=0,"",VLOOKUP($A158,'Annex 2 EHV charges'!$D:$O,9,FALSE)),"")</f>
        <v/>
      </c>
      <c r="F158" s="117" t="str">
        <f>IFERROR(IF(VLOOKUP($A158,'Annex 2 EHV charges'!$D:$O,10,FALSE)=0,"",VLOOKUP($A158,'Annex 2 EHV charges'!$D:$O,10,FALSE)),"")</f>
        <v/>
      </c>
      <c r="G158" s="118" t="str">
        <f>IFERROR(IF(VLOOKUP($A158,'Annex 2 EHV charges'!$D:$O,11,FALSE)=0,"",VLOOKUP($A158,'Annex 2 EHV charges'!$D:$O,11,FALSE)),"")</f>
        <v/>
      </c>
      <c r="H158" s="118" t="str">
        <f>IFERROR(IF(VLOOKUP($A158,'Annex 2 EHV charges'!$D:$O,12,FALSE)=0,"",VLOOKUP($A158,'Annex 2 EHV charges'!$D:$O,12,FALSE)),"")</f>
        <v/>
      </c>
    </row>
    <row r="159" spans="1:8" x14ac:dyDescent="0.2">
      <c r="A159" s="115" t="str">
        <f t="array" ref="A159">IFERROR(INDEX('Annex 2 EHV charges'!$D$11:$D$259, MATCH(0, IF(ISBLANK('Annex 2 EHV charges'!$D$11:$D$259),1, COUNTIF(A$4:$A158, 'Annex 2 EHV charges'!$D$11:$D$259)), 0)),"")</f>
        <v/>
      </c>
      <c r="B159" s="114" t="str">
        <f>IF($A159="","",VLOOKUP($A159,'Annex 2 EHV charges'!$D:$O,2,0))</f>
        <v/>
      </c>
      <c r="C159" s="115" t="str">
        <f>IF($A159="","",VLOOKUP($A159,'Annex 2 EHV charges'!$D:$O,3,0))</f>
        <v/>
      </c>
      <c r="D159" s="114" t="str">
        <f>IF($A159="","",VLOOKUP($A159,'Annex 2 EHV charges'!$D:$O,4,0))</f>
        <v/>
      </c>
      <c r="E159" s="116" t="str">
        <f>IFERROR(IF(VLOOKUP($A159,'Annex 2 EHV charges'!$D:$O,9,FALSE)=0,"",VLOOKUP($A159,'Annex 2 EHV charges'!$D:$O,9,FALSE)),"")</f>
        <v/>
      </c>
      <c r="F159" s="117" t="str">
        <f>IFERROR(IF(VLOOKUP($A159,'Annex 2 EHV charges'!$D:$O,10,FALSE)=0,"",VLOOKUP($A159,'Annex 2 EHV charges'!$D:$O,10,FALSE)),"")</f>
        <v/>
      </c>
      <c r="G159" s="118" t="str">
        <f>IFERROR(IF(VLOOKUP($A159,'Annex 2 EHV charges'!$D:$O,11,FALSE)=0,"",VLOOKUP($A159,'Annex 2 EHV charges'!$D:$O,11,FALSE)),"")</f>
        <v/>
      </c>
      <c r="H159" s="118" t="str">
        <f>IFERROR(IF(VLOOKUP($A159,'Annex 2 EHV charges'!$D:$O,12,FALSE)=0,"",VLOOKUP($A159,'Annex 2 EHV charges'!$D:$O,12,FALSE)),"")</f>
        <v/>
      </c>
    </row>
    <row r="160" spans="1:8" x14ac:dyDescent="0.2">
      <c r="A160" s="115" t="str">
        <f t="array" ref="A160">IFERROR(INDEX('Annex 2 EHV charges'!$D$11:$D$259, MATCH(0, IF(ISBLANK('Annex 2 EHV charges'!$D$11:$D$259),1, COUNTIF(A$4:$A159, 'Annex 2 EHV charges'!$D$11:$D$259)), 0)),"")</f>
        <v/>
      </c>
      <c r="B160" s="114" t="str">
        <f>IF($A160="","",VLOOKUP($A160,'Annex 2 EHV charges'!$D:$O,2,0))</f>
        <v/>
      </c>
      <c r="C160" s="115" t="str">
        <f>IF($A160="","",VLOOKUP($A160,'Annex 2 EHV charges'!$D:$O,3,0))</f>
        <v/>
      </c>
      <c r="D160" s="114" t="str">
        <f>IF($A160="","",VLOOKUP($A160,'Annex 2 EHV charges'!$D:$O,4,0))</f>
        <v/>
      </c>
      <c r="E160" s="116" t="str">
        <f>IFERROR(IF(VLOOKUP($A160,'Annex 2 EHV charges'!$D:$O,9,FALSE)=0,"",VLOOKUP($A160,'Annex 2 EHV charges'!$D:$O,9,FALSE)),"")</f>
        <v/>
      </c>
      <c r="F160" s="117" t="str">
        <f>IFERROR(IF(VLOOKUP($A160,'Annex 2 EHV charges'!$D:$O,10,FALSE)=0,"",VLOOKUP($A160,'Annex 2 EHV charges'!$D:$O,10,FALSE)),"")</f>
        <v/>
      </c>
      <c r="G160" s="118" t="str">
        <f>IFERROR(IF(VLOOKUP($A160,'Annex 2 EHV charges'!$D:$O,11,FALSE)=0,"",VLOOKUP($A160,'Annex 2 EHV charges'!$D:$O,11,FALSE)),"")</f>
        <v/>
      </c>
      <c r="H160" s="118" t="str">
        <f>IFERROR(IF(VLOOKUP($A160,'Annex 2 EHV charges'!$D:$O,12,FALSE)=0,"",VLOOKUP($A160,'Annex 2 EHV charges'!$D:$O,12,FALSE)),"")</f>
        <v/>
      </c>
    </row>
    <row r="161" spans="1:8" x14ac:dyDescent="0.2">
      <c r="A161" s="115" t="str">
        <f t="array" ref="A161">IFERROR(INDEX('Annex 2 EHV charges'!$D$11:$D$259, MATCH(0, IF(ISBLANK('Annex 2 EHV charges'!$D$11:$D$259),1, COUNTIF(A$4:$A160, 'Annex 2 EHV charges'!$D$11:$D$259)), 0)),"")</f>
        <v/>
      </c>
      <c r="B161" s="114" t="str">
        <f>IF($A161="","",VLOOKUP($A161,'Annex 2 EHV charges'!$D:$O,2,0))</f>
        <v/>
      </c>
      <c r="C161" s="115" t="str">
        <f>IF($A161="","",VLOOKUP($A161,'Annex 2 EHV charges'!$D:$O,3,0))</f>
        <v/>
      </c>
      <c r="D161" s="114" t="str">
        <f>IF($A161="","",VLOOKUP($A161,'Annex 2 EHV charges'!$D:$O,4,0))</f>
        <v/>
      </c>
      <c r="E161" s="116" t="str">
        <f>IFERROR(IF(VLOOKUP($A161,'Annex 2 EHV charges'!$D:$O,9,FALSE)=0,"",VLOOKUP($A161,'Annex 2 EHV charges'!$D:$O,9,FALSE)),"")</f>
        <v/>
      </c>
      <c r="F161" s="117" t="str">
        <f>IFERROR(IF(VLOOKUP($A161,'Annex 2 EHV charges'!$D:$O,10,FALSE)=0,"",VLOOKUP($A161,'Annex 2 EHV charges'!$D:$O,10,FALSE)),"")</f>
        <v/>
      </c>
      <c r="G161" s="118" t="str">
        <f>IFERROR(IF(VLOOKUP($A161,'Annex 2 EHV charges'!$D:$O,11,FALSE)=0,"",VLOOKUP($A161,'Annex 2 EHV charges'!$D:$O,11,FALSE)),"")</f>
        <v/>
      </c>
      <c r="H161" s="118" t="str">
        <f>IFERROR(IF(VLOOKUP($A161,'Annex 2 EHV charges'!$D:$O,12,FALSE)=0,"",VLOOKUP($A161,'Annex 2 EHV charges'!$D:$O,12,FALSE)),"")</f>
        <v/>
      </c>
    </row>
    <row r="162" spans="1:8" x14ac:dyDescent="0.2">
      <c r="A162" s="115" t="str">
        <f t="array" ref="A162">IFERROR(INDEX('Annex 2 EHV charges'!$D$11:$D$259, MATCH(0, IF(ISBLANK('Annex 2 EHV charges'!$D$11:$D$259),1, COUNTIF(A$4:$A161, 'Annex 2 EHV charges'!$D$11:$D$259)), 0)),"")</f>
        <v/>
      </c>
      <c r="B162" s="114" t="str">
        <f>IF($A162="","",VLOOKUP($A162,'Annex 2 EHV charges'!$D:$O,2,0))</f>
        <v/>
      </c>
      <c r="C162" s="115" t="str">
        <f>IF($A162="","",VLOOKUP($A162,'Annex 2 EHV charges'!$D:$O,3,0))</f>
        <v/>
      </c>
      <c r="D162" s="114" t="str">
        <f>IF($A162="","",VLOOKUP($A162,'Annex 2 EHV charges'!$D:$O,4,0))</f>
        <v/>
      </c>
      <c r="E162" s="116" t="str">
        <f>IFERROR(IF(VLOOKUP($A162,'Annex 2 EHV charges'!$D:$O,9,FALSE)=0,"",VLOOKUP($A162,'Annex 2 EHV charges'!$D:$O,9,FALSE)),"")</f>
        <v/>
      </c>
      <c r="F162" s="117" t="str">
        <f>IFERROR(IF(VLOOKUP($A162,'Annex 2 EHV charges'!$D:$O,10,FALSE)=0,"",VLOOKUP($A162,'Annex 2 EHV charges'!$D:$O,10,FALSE)),"")</f>
        <v/>
      </c>
      <c r="G162" s="118" t="str">
        <f>IFERROR(IF(VLOOKUP($A162,'Annex 2 EHV charges'!$D:$O,11,FALSE)=0,"",VLOOKUP($A162,'Annex 2 EHV charges'!$D:$O,11,FALSE)),"")</f>
        <v/>
      </c>
      <c r="H162" s="118" t="str">
        <f>IFERROR(IF(VLOOKUP($A162,'Annex 2 EHV charges'!$D:$O,12,FALSE)=0,"",VLOOKUP($A162,'Annex 2 EHV charges'!$D:$O,12,FALSE)),"")</f>
        <v/>
      </c>
    </row>
    <row r="163" spans="1:8" x14ac:dyDescent="0.2">
      <c r="A163" s="115" t="str">
        <f t="array" ref="A163">IFERROR(INDEX('Annex 2 EHV charges'!$D$11:$D$259, MATCH(0, IF(ISBLANK('Annex 2 EHV charges'!$D$11:$D$259),1, COUNTIF(A$4:$A162, 'Annex 2 EHV charges'!$D$11:$D$259)), 0)),"")</f>
        <v/>
      </c>
      <c r="B163" s="114" t="str">
        <f>IF($A163="","",VLOOKUP($A163,'Annex 2 EHV charges'!$D:$O,2,0))</f>
        <v/>
      </c>
      <c r="C163" s="115" t="str">
        <f>IF($A163="","",VLOOKUP($A163,'Annex 2 EHV charges'!$D:$O,3,0))</f>
        <v/>
      </c>
      <c r="D163" s="114" t="str">
        <f>IF($A163="","",VLOOKUP($A163,'Annex 2 EHV charges'!$D:$O,4,0))</f>
        <v/>
      </c>
      <c r="E163" s="116" t="str">
        <f>IFERROR(IF(VLOOKUP($A163,'Annex 2 EHV charges'!$D:$O,9,FALSE)=0,"",VLOOKUP($A163,'Annex 2 EHV charges'!$D:$O,9,FALSE)),"")</f>
        <v/>
      </c>
      <c r="F163" s="117" t="str">
        <f>IFERROR(IF(VLOOKUP($A163,'Annex 2 EHV charges'!$D:$O,10,FALSE)=0,"",VLOOKUP($A163,'Annex 2 EHV charges'!$D:$O,10,FALSE)),"")</f>
        <v/>
      </c>
      <c r="G163" s="118" t="str">
        <f>IFERROR(IF(VLOOKUP($A163,'Annex 2 EHV charges'!$D:$O,11,FALSE)=0,"",VLOOKUP($A163,'Annex 2 EHV charges'!$D:$O,11,FALSE)),"")</f>
        <v/>
      </c>
      <c r="H163" s="118" t="str">
        <f>IFERROR(IF(VLOOKUP($A163,'Annex 2 EHV charges'!$D:$O,12,FALSE)=0,"",VLOOKUP($A163,'Annex 2 EHV charges'!$D:$O,12,FALSE)),"")</f>
        <v/>
      </c>
    </row>
    <row r="164" spans="1:8" x14ac:dyDescent="0.2">
      <c r="A164" s="115" t="str">
        <f t="array" ref="A164">IFERROR(INDEX('Annex 2 EHV charges'!$D$11:$D$259, MATCH(0, IF(ISBLANK('Annex 2 EHV charges'!$D$11:$D$259),1, COUNTIF(A$4:$A163, 'Annex 2 EHV charges'!$D$11:$D$259)), 0)),"")</f>
        <v/>
      </c>
      <c r="B164" s="114" t="str">
        <f>IF($A164="","",VLOOKUP($A164,'Annex 2 EHV charges'!$D:$O,2,0))</f>
        <v/>
      </c>
      <c r="C164" s="115" t="str">
        <f>IF($A164="","",VLOOKUP($A164,'Annex 2 EHV charges'!$D:$O,3,0))</f>
        <v/>
      </c>
      <c r="D164" s="114" t="str">
        <f>IF($A164="","",VLOOKUP($A164,'Annex 2 EHV charges'!$D:$O,4,0))</f>
        <v/>
      </c>
      <c r="E164" s="116" t="str">
        <f>IFERROR(IF(VLOOKUP($A164,'Annex 2 EHV charges'!$D:$O,9,FALSE)=0,"",VLOOKUP($A164,'Annex 2 EHV charges'!$D:$O,9,FALSE)),"")</f>
        <v/>
      </c>
      <c r="F164" s="117" t="str">
        <f>IFERROR(IF(VLOOKUP($A164,'Annex 2 EHV charges'!$D:$O,10,FALSE)=0,"",VLOOKUP($A164,'Annex 2 EHV charges'!$D:$O,10,FALSE)),"")</f>
        <v/>
      </c>
      <c r="G164" s="118" t="str">
        <f>IFERROR(IF(VLOOKUP($A164,'Annex 2 EHV charges'!$D:$O,11,FALSE)=0,"",VLOOKUP($A164,'Annex 2 EHV charges'!$D:$O,11,FALSE)),"")</f>
        <v/>
      </c>
      <c r="H164" s="118" t="str">
        <f>IFERROR(IF(VLOOKUP($A164,'Annex 2 EHV charges'!$D:$O,12,FALSE)=0,"",VLOOKUP($A164,'Annex 2 EHV charges'!$D:$O,12,FALSE)),"")</f>
        <v/>
      </c>
    </row>
    <row r="165" spans="1:8" x14ac:dyDescent="0.2">
      <c r="A165" s="115" t="str">
        <f t="array" ref="A165">IFERROR(INDEX('Annex 2 EHV charges'!$D$11:$D$259, MATCH(0, IF(ISBLANK('Annex 2 EHV charges'!$D$11:$D$259),1, COUNTIF(A$4:$A164, 'Annex 2 EHV charges'!$D$11:$D$259)), 0)),"")</f>
        <v/>
      </c>
      <c r="B165" s="114" t="str">
        <f>IF($A165="","",VLOOKUP($A165,'Annex 2 EHV charges'!$D:$O,2,0))</f>
        <v/>
      </c>
      <c r="C165" s="115" t="str">
        <f>IF($A165="","",VLOOKUP($A165,'Annex 2 EHV charges'!$D:$O,3,0))</f>
        <v/>
      </c>
      <c r="D165" s="114" t="str">
        <f>IF($A165="","",VLOOKUP($A165,'Annex 2 EHV charges'!$D:$O,4,0))</f>
        <v/>
      </c>
      <c r="E165" s="116" t="str">
        <f>IFERROR(IF(VLOOKUP($A165,'Annex 2 EHV charges'!$D:$O,9,FALSE)=0,"",VLOOKUP($A165,'Annex 2 EHV charges'!$D:$O,9,FALSE)),"")</f>
        <v/>
      </c>
      <c r="F165" s="117" t="str">
        <f>IFERROR(IF(VLOOKUP($A165,'Annex 2 EHV charges'!$D:$O,10,FALSE)=0,"",VLOOKUP($A165,'Annex 2 EHV charges'!$D:$O,10,FALSE)),"")</f>
        <v/>
      </c>
      <c r="G165" s="118" t="str">
        <f>IFERROR(IF(VLOOKUP($A165,'Annex 2 EHV charges'!$D:$O,11,FALSE)=0,"",VLOOKUP($A165,'Annex 2 EHV charges'!$D:$O,11,FALSE)),"")</f>
        <v/>
      </c>
      <c r="H165" s="118" t="str">
        <f>IFERROR(IF(VLOOKUP($A165,'Annex 2 EHV charges'!$D:$O,12,FALSE)=0,"",VLOOKUP($A165,'Annex 2 EHV charges'!$D:$O,12,FALSE)),"")</f>
        <v/>
      </c>
    </row>
    <row r="166" spans="1:8" x14ac:dyDescent="0.2">
      <c r="A166" s="115" t="str">
        <f t="array" ref="A166">IFERROR(INDEX('Annex 2 EHV charges'!$D$11:$D$259, MATCH(0, IF(ISBLANK('Annex 2 EHV charges'!$D$11:$D$259),1, COUNTIF(A$4:$A165, 'Annex 2 EHV charges'!$D$11:$D$259)), 0)),"")</f>
        <v/>
      </c>
      <c r="B166" s="114" t="str">
        <f>IF($A166="","",VLOOKUP($A166,'Annex 2 EHV charges'!$D:$O,2,0))</f>
        <v/>
      </c>
      <c r="C166" s="115" t="str">
        <f>IF($A166="","",VLOOKUP($A166,'Annex 2 EHV charges'!$D:$O,3,0))</f>
        <v/>
      </c>
      <c r="D166" s="114" t="str">
        <f>IF($A166="","",VLOOKUP($A166,'Annex 2 EHV charges'!$D:$O,4,0))</f>
        <v/>
      </c>
      <c r="E166" s="116" t="str">
        <f>IFERROR(IF(VLOOKUP($A166,'Annex 2 EHV charges'!$D:$O,9,FALSE)=0,"",VLOOKUP($A166,'Annex 2 EHV charges'!$D:$O,9,FALSE)),"")</f>
        <v/>
      </c>
      <c r="F166" s="117" t="str">
        <f>IFERROR(IF(VLOOKUP($A166,'Annex 2 EHV charges'!$D:$O,10,FALSE)=0,"",VLOOKUP($A166,'Annex 2 EHV charges'!$D:$O,10,FALSE)),"")</f>
        <v/>
      </c>
      <c r="G166" s="118" t="str">
        <f>IFERROR(IF(VLOOKUP($A166,'Annex 2 EHV charges'!$D:$O,11,FALSE)=0,"",VLOOKUP($A166,'Annex 2 EHV charges'!$D:$O,11,FALSE)),"")</f>
        <v/>
      </c>
      <c r="H166" s="118" t="str">
        <f>IFERROR(IF(VLOOKUP($A166,'Annex 2 EHV charges'!$D:$O,12,FALSE)=0,"",VLOOKUP($A166,'Annex 2 EHV charges'!$D:$O,12,FALSE)),"")</f>
        <v/>
      </c>
    </row>
    <row r="167" spans="1:8" x14ac:dyDescent="0.2">
      <c r="A167" s="115" t="str">
        <f t="array" ref="A167">IFERROR(INDEX('Annex 2 EHV charges'!$D$11:$D$259, MATCH(0, IF(ISBLANK('Annex 2 EHV charges'!$D$11:$D$259),1, COUNTIF(A$4:$A166, 'Annex 2 EHV charges'!$D$11:$D$259)), 0)),"")</f>
        <v/>
      </c>
      <c r="B167" s="114" t="str">
        <f>IF($A167="","",VLOOKUP($A167,'Annex 2 EHV charges'!$D:$O,2,0))</f>
        <v/>
      </c>
      <c r="C167" s="115" t="str">
        <f>IF($A167="","",VLOOKUP($A167,'Annex 2 EHV charges'!$D:$O,3,0))</f>
        <v/>
      </c>
      <c r="D167" s="114" t="str">
        <f>IF($A167="","",VLOOKUP($A167,'Annex 2 EHV charges'!$D:$O,4,0))</f>
        <v/>
      </c>
      <c r="E167" s="116" t="str">
        <f>IFERROR(IF(VLOOKUP($A167,'Annex 2 EHV charges'!$D:$O,9,FALSE)=0,"",VLOOKUP($A167,'Annex 2 EHV charges'!$D:$O,9,FALSE)),"")</f>
        <v/>
      </c>
      <c r="F167" s="117" t="str">
        <f>IFERROR(IF(VLOOKUP($A167,'Annex 2 EHV charges'!$D:$O,10,FALSE)=0,"",VLOOKUP($A167,'Annex 2 EHV charges'!$D:$O,10,FALSE)),"")</f>
        <v/>
      </c>
      <c r="G167" s="118" t="str">
        <f>IFERROR(IF(VLOOKUP($A167,'Annex 2 EHV charges'!$D:$O,11,FALSE)=0,"",VLOOKUP($A167,'Annex 2 EHV charges'!$D:$O,11,FALSE)),"")</f>
        <v/>
      </c>
      <c r="H167" s="118" t="str">
        <f>IFERROR(IF(VLOOKUP($A167,'Annex 2 EHV charges'!$D:$O,12,FALSE)=0,"",VLOOKUP($A167,'Annex 2 EHV charges'!$D:$O,12,FALSE)),"")</f>
        <v/>
      </c>
    </row>
    <row r="168" spans="1:8" x14ac:dyDescent="0.2">
      <c r="A168" s="115" t="str">
        <f t="array" ref="A168">IFERROR(INDEX('Annex 2 EHV charges'!$D$11:$D$259, MATCH(0, IF(ISBLANK('Annex 2 EHV charges'!$D$11:$D$259),1, COUNTIF(A$4:$A167, 'Annex 2 EHV charges'!$D$11:$D$259)), 0)),"")</f>
        <v/>
      </c>
      <c r="B168" s="114" t="str">
        <f>IF($A168="","",VLOOKUP($A168,'Annex 2 EHV charges'!$D:$O,2,0))</f>
        <v/>
      </c>
      <c r="C168" s="115" t="str">
        <f>IF($A168="","",VLOOKUP($A168,'Annex 2 EHV charges'!$D:$O,3,0))</f>
        <v/>
      </c>
      <c r="D168" s="114" t="str">
        <f>IF($A168="","",VLOOKUP($A168,'Annex 2 EHV charges'!$D:$O,4,0))</f>
        <v/>
      </c>
      <c r="E168" s="116" t="str">
        <f>IFERROR(IF(VLOOKUP($A168,'Annex 2 EHV charges'!$D:$O,9,FALSE)=0,"",VLOOKUP($A168,'Annex 2 EHV charges'!$D:$O,9,FALSE)),"")</f>
        <v/>
      </c>
      <c r="F168" s="117" t="str">
        <f>IFERROR(IF(VLOOKUP($A168,'Annex 2 EHV charges'!$D:$O,10,FALSE)=0,"",VLOOKUP($A168,'Annex 2 EHV charges'!$D:$O,10,FALSE)),"")</f>
        <v/>
      </c>
      <c r="G168" s="118" t="str">
        <f>IFERROR(IF(VLOOKUP($A168,'Annex 2 EHV charges'!$D:$O,11,FALSE)=0,"",VLOOKUP($A168,'Annex 2 EHV charges'!$D:$O,11,FALSE)),"")</f>
        <v/>
      </c>
      <c r="H168" s="118" t="str">
        <f>IFERROR(IF(VLOOKUP($A168,'Annex 2 EHV charges'!$D:$O,12,FALSE)=0,"",VLOOKUP($A168,'Annex 2 EHV charges'!$D:$O,12,FALSE)),"")</f>
        <v/>
      </c>
    </row>
    <row r="169" spans="1:8" x14ac:dyDescent="0.2">
      <c r="A169" s="115" t="str">
        <f t="array" ref="A169">IFERROR(INDEX('Annex 2 EHV charges'!$D$11:$D$259, MATCH(0, IF(ISBLANK('Annex 2 EHV charges'!$D$11:$D$259),1, COUNTIF(A$4:$A168, 'Annex 2 EHV charges'!$D$11:$D$259)), 0)),"")</f>
        <v/>
      </c>
      <c r="B169" s="114" t="str">
        <f>IF($A169="","",VLOOKUP($A169,'Annex 2 EHV charges'!$D:$O,2,0))</f>
        <v/>
      </c>
      <c r="C169" s="115" t="str">
        <f>IF($A169="","",VLOOKUP($A169,'Annex 2 EHV charges'!$D:$O,3,0))</f>
        <v/>
      </c>
      <c r="D169" s="114" t="str">
        <f>IF($A169="","",VLOOKUP($A169,'Annex 2 EHV charges'!$D:$O,4,0))</f>
        <v/>
      </c>
      <c r="E169" s="116" t="str">
        <f>IFERROR(IF(VLOOKUP($A169,'Annex 2 EHV charges'!$D:$O,9,FALSE)=0,"",VLOOKUP($A169,'Annex 2 EHV charges'!$D:$O,9,FALSE)),"")</f>
        <v/>
      </c>
      <c r="F169" s="117" t="str">
        <f>IFERROR(IF(VLOOKUP($A169,'Annex 2 EHV charges'!$D:$O,10,FALSE)=0,"",VLOOKUP($A169,'Annex 2 EHV charges'!$D:$O,10,FALSE)),"")</f>
        <v/>
      </c>
      <c r="G169" s="118" t="str">
        <f>IFERROR(IF(VLOOKUP($A169,'Annex 2 EHV charges'!$D:$O,11,FALSE)=0,"",VLOOKUP($A169,'Annex 2 EHV charges'!$D:$O,11,FALSE)),"")</f>
        <v/>
      </c>
      <c r="H169" s="118" t="str">
        <f>IFERROR(IF(VLOOKUP($A169,'Annex 2 EHV charges'!$D:$O,12,FALSE)=0,"",VLOOKUP($A169,'Annex 2 EHV charges'!$D:$O,12,FALSE)),"")</f>
        <v/>
      </c>
    </row>
    <row r="170" spans="1:8" x14ac:dyDescent="0.2">
      <c r="A170" s="115" t="str">
        <f t="array" ref="A170">IFERROR(INDEX('Annex 2 EHV charges'!$D$11:$D$259, MATCH(0, IF(ISBLANK('Annex 2 EHV charges'!$D$11:$D$259),1, COUNTIF(A$4:$A169, 'Annex 2 EHV charges'!$D$11:$D$259)), 0)),"")</f>
        <v/>
      </c>
      <c r="B170" s="114" t="str">
        <f>IF($A170="","",VLOOKUP($A170,'Annex 2 EHV charges'!$D:$O,2,0))</f>
        <v/>
      </c>
      <c r="C170" s="115" t="str">
        <f>IF($A170="","",VLOOKUP($A170,'Annex 2 EHV charges'!$D:$O,3,0))</f>
        <v/>
      </c>
      <c r="D170" s="114" t="str">
        <f>IF($A170="","",VLOOKUP($A170,'Annex 2 EHV charges'!$D:$O,4,0))</f>
        <v/>
      </c>
      <c r="E170" s="116" t="str">
        <f>IFERROR(IF(VLOOKUP($A170,'Annex 2 EHV charges'!$D:$O,9,FALSE)=0,"",VLOOKUP($A170,'Annex 2 EHV charges'!$D:$O,9,FALSE)),"")</f>
        <v/>
      </c>
      <c r="F170" s="117" t="str">
        <f>IFERROR(IF(VLOOKUP($A170,'Annex 2 EHV charges'!$D:$O,10,FALSE)=0,"",VLOOKUP($A170,'Annex 2 EHV charges'!$D:$O,10,FALSE)),"")</f>
        <v/>
      </c>
      <c r="G170" s="118" t="str">
        <f>IFERROR(IF(VLOOKUP($A170,'Annex 2 EHV charges'!$D:$O,11,FALSE)=0,"",VLOOKUP($A170,'Annex 2 EHV charges'!$D:$O,11,FALSE)),"")</f>
        <v/>
      </c>
      <c r="H170" s="118" t="str">
        <f>IFERROR(IF(VLOOKUP($A170,'Annex 2 EHV charges'!$D:$O,12,FALSE)=0,"",VLOOKUP($A170,'Annex 2 EHV charges'!$D:$O,12,FALSE)),"")</f>
        <v/>
      </c>
    </row>
    <row r="171" spans="1:8" x14ac:dyDescent="0.2">
      <c r="A171" s="115" t="str">
        <f t="array" ref="A171">IFERROR(INDEX('Annex 2 EHV charges'!$D$11:$D$259, MATCH(0, IF(ISBLANK('Annex 2 EHV charges'!$D$11:$D$259),1, COUNTIF(A$4:$A170, 'Annex 2 EHV charges'!$D$11:$D$259)), 0)),"")</f>
        <v/>
      </c>
      <c r="B171" s="114" t="str">
        <f>IF($A171="","",VLOOKUP($A171,'Annex 2 EHV charges'!$D:$O,2,0))</f>
        <v/>
      </c>
      <c r="C171" s="115" t="str">
        <f>IF($A171="","",VLOOKUP($A171,'Annex 2 EHV charges'!$D:$O,3,0))</f>
        <v/>
      </c>
      <c r="D171" s="114" t="str">
        <f>IF($A171="","",VLOOKUP($A171,'Annex 2 EHV charges'!$D:$O,4,0))</f>
        <v/>
      </c>
      <c r="E171" s="116" t="str">
        <f>IFERROR(IF(VLOOKUP($A171,'Annex 2 EHV charges'!$D:$O,9,FALSE)=0,"",VLOOKUP($A171,'Annex 2 EHV charges'!$D:$O,9,FALSE)),"")</f>
        <v/>
      </c>
      <c r="F171" s="117" t="str">
        <f>IFERROR(IF(VLOOKUP($A171,'Annex 2 EHV charges'!$D:$O,10,FALSE)=0,"",VLOOKUP($A171,'Annex 2 EHV charges'!$D:$O,10,FALSE)),"")</f>
        <v/>
      </c>
      <c r="G171" s="118" t="str">
        <f>IFERROR(IF(VLOOKUP($A171,'Annex 2 EHV charges'!$D:$O,11,FALSE)=0,"",VLOOKUP($A171,'Annex 2 EHV charges'!$D:$O,11,FALSE)),"")</f>
        <v/>
      </c>
      <c r="H171" s="118" t="str">
        <f>IFERROR(IF(VLOOKUP($A171,'Annex 2 EHV charges'!$D:$O,12,FALSE)=0,"",VLOOKUP($A171,'Annex 2 EHV charges'!$D:$O,12,FALSE)),"")</f>
        <v/>
      </c>
    </row>
    <row r="172" spans="1:8" x14ac:dyDescent="0.2">
      <c r="A172" s="115" t="str">
        <f t="array" ref="A172">IFERROR(INDEX('Annex 2 EHV charges'!$D$11:$D$259, MATCH(0, IF(ISBLANK('Annex 2 EHV charges'!$D$11:$D$259),1, COUNTIF(A$4:$A171, 'Annex 2 EHV charges'!$D$11:$D$259)), 0)),"")</f>
        <v/>
      </c>
      <c r="B172" s="114" t="str">
        <f>IF($A172="","",VLOOKUP($A172,'Annex 2 EHV charges'!$D:$O,2,0))</f>
        <v/>
      </c>
      <c r="C172" s="115" t="str">
        <f>IF($A172="","",VLOOKUP($A172,'Annex 2 EHV charges'!$D:$O,3,0))</f>
        <v/>
      </c>
      <c r="D172" s="114" t="str">
        <f>IF($A172="","",VLOOKUP($A172,'Annex 2 EHV charges'!$D:$O,4,0))</f>
        <v/>
      </c>
      <c r="E172" s="116" t="str">
        <f>IFERROR(IF(VLOOKUP($A172,'Annex 2 EHV charges'!$D:$O,9,FALSE)=0,"",VLOOKUP($A172,'Annex 2 EHV charges'!$D:$O,9,FALSE)),"")</f>
        <v/>
      </c>
      <c r="F172" s="117" t="str">
        <f>IFERROR(IF(VLOOKUP($A172,'Annex 2 EHV charges'!$D:$O,10,FALSE)=0,"",VLOOKUP($A172,'Annex 2 EHV charges'!$D:$O,10,FALSE)),"")</f>
        <v/>
      </c>
      <c r="G172" s="118" t="str">
        <f>IFERROR(IF(VLOOKUP($A172,'Annex 2 EHV charges'!$D:$O,11,FALSE)=0,"",VLOOKUP($A172,'Annex 2 EHV charges'!$D:$O,11,FALSE)),"")</f>
        <v/>
      </c>
      <c r="H172" s="118" t="str">
        <f>IFERROR(IF(VLOOKUP($A172,'Annex 2 EHV charges'!$D:$O,12,FALSE)=0,"",VLOOKUP($A172,'Annex 2 EHV charges'!$D:$O,12,FALSE)),"")</f>
        <v/>
      </c>
    </row>
    <row r="173" spans="1:8" x14ac:dyDescent="0.2">
      <c r="A173" s="115" t="str">
        <f t="array" ref="A173">IFERROR(INDEX('Annex 2 EHV charges'!$D$11:$D$259, MATCH(0, IF(ISBLANK('Annex 2 EHV charges'!$D$11:$D$259),1, COUNTIF(A$4:$A172, 'Annex 2 EHV charges'!$D$11:$D$259)), 0)),"")</f>
        <v/>
      </c>
      <c r="B173" s="114" t="str">
        <f>IF($A173="","",VLOOKUP($A173,'Annex 2 EHV charges'!$D:$O,2,0))</f>
        <v/>
      </c>
      <c r="C173" s="115" t="str">
        <f>IF($A173="","",VLOOKUP($A173,'Annex 2 EHV charges'!$D:$O,3,0))</f>
        <v/>
      </c>
      <c r="D173" s="114" t="str">
        <f>IF($A173="","",VLOOKUP($A173,'Annex 2 EHV charges'!$D:$O,4,0))</f>
        <v/>
      </c>
      <c r="E173" s="116" t="str">
        <f>IFERROR(IF(VLOOKUP($A173,'Annex 2 EHV charges'!$D:$O,9,FALSE)=0,"",VLOOKUP($A173,'Annex 2 EHV charges'!$D:$O,9,FALSE)),"")</f>
        <v/>
      </c>
      <c r="F173" s="117" t="str">
        <f>IFERROR(IF(VLOOKUP($A173,'Annex 2 EHV charges'!$D:$O,10,FALSE)=0,"",VLOOKUP($A173,'Annex 2 EHV charges'!$D:$O,10,FALSE)),"")</f>
        <v/>
      </c>
      <c r="G173" s="118" t="str">
        <f>IFERROR(IF(VLOOKUP($A173,'Annex 2 EHV charges'!$D:$O,11,FALSE)=0,"",VLOOKUP($A173,'Annex 2 EHV charges'!$D:$O,11,FALSE)),"")</f>
        <v/>
      </c>
      <c r="H173" s="118" t="str">
        <f>IFERROR(IF(VLOOKUP($A173,'Annex 2 EHV charges'!$D:$O,12,FALSE)=0,"",VLOOKUP($A173,'Annex 2 EHV charges'!$D:$O,12,FALSE)),"")</f>
        <v/>
      </c>
    </row>
    <row r="174" spans="1:8" x14ac:dyDescent="0.2">
      <c r="A174" s="115" t="str">
        <f t="array" ref="A174">IFERROR(INDEX('Annex 2 EHV charges'!$D$11:$D$259, MATCH(0, IF(ISBLANK('Annex 2 EHV charges'!$D$11:$D$259),1, COUNTIF(A$4:$A173, 'Annex 2 EHV charges'!$D$11:$D$259)), 0)),"")</f>
        <v/>
      </c>
      <c r="B174" s="114" t="str">
        <f>IF($A174="","",VLOOKUP($A174,'Annex 2 EHV charges'!$D:$O,2,0))</f>
        <v/>
      </c>
      <c r="C174" s="115" t="str">
        <f>IF($A174="","",VLOOKUP($A174,'Annex 2 EHV charges'!$D:$O,3,0))</f>
        <v/>
      </c>
      <c r="D174" s="114" t="str">
        <f>IF($A174="","",VLOOKUP($A174,'Annex 2 EHV charges'!$D:$O,4,0))</f>
        <v/>
      </c>
      <c r="E174" s="116" t="str">
        <f>IFERROR(IF(VLOOKUP($A174,'Annex 2 EHV charges'!$D:$O,9,FALSE)=0,"",VLOOKUP($A174,'Annex 2 EHV charges'!$D:$O,9,FALSE)),"")</f>
        <v/>
      </c>
      <c r="F174" s="117" t="str">
        <f>IFERROR(IF(VLOOKUP($A174,'Annex 2 EHV charges'!$D:$O,10,FALSE)=0,"",VLOOKUP($A174,'Annex 2 EHV charges'!$D:$O,10,FALSE)),"")</f>
        <v/>
      </c>
      <c r="G174" s="118" t="str">
        <f>IFERROR(IF(VLOOKUP($A174,'Annex 2 EHV charges'!$D:$O,11,FALSE)=0,"",VLOOKUP($A174,'Annex 2 EHV charges'!$D:$O,11,FALSE)),"")</f>
        <v/>
      </c>
      <c r="H174" s="118" t="str">
        <f>IFERROR(IF(VLOOKUP($A174,'Annex 2 EHV charges'!$D:$O,12,FALSE)=0,"",VLOOKUP($A174,'Annex 2 EHV charges'!$D:$O,12,FALSE)),"")</f>
        <v/>
      </c>
    </row>
    <row r="175" spans="1:8" x14ac:dyDescent="0.2">
      <c r="A175" s="115" t="str">
        <f t="array" ref="A175">IFERROR(INDEX('Annex 2 EHV charges'!$D$11:$D$259, MATCH(0, IF(ISBLANK('Annex 2 EHV charges'!$D$11:$D$259),1, COUNTIF(A$4:$A174, 'Annex 2 EHV charges'!$D$11:$D$259)), 0)),"")</f>
        <v/>
      </c>
      <c r="B175" s="114" t="str">
        <f>IF($A175="","",VLOOKUP($A175,'Annex 2 EHV charges'!$D:$O,2,0))</f>
        <v/>
      </c>
      <c r="C175" s="115" t="str">
        <f>IF($A175="","",VLOOKUP($A175,'Annex 2 EHV charges'!$D:$O,3,0))</f>
        <v/>
      </c>
      <c r="D175" s="114" t="str">
        <f>IF($A175="","",VLOOKUP($A175,'Annex 2 EHV charges'!$D:$O,4,0))</f>
        <v/>
      </c>
      <c r="E175" s="116" t="str">
        <f>IFERROR(IF(VLOOKUP($A175,'Annex 2 EHV charges'!$D:$O,9,FALSE)=0,"",VLOOKUP($A175,'Annex 2 EHV charges'!$D:$O,9,FALSE)),"")</f>
        <v/>
      </c>
      <c r="F175" s="117" t="str">
        <f>IFERROR(IF(VLOOKUP($A175,'Annex 2 EHV charges'!$D:$O,10,FALSE)=0,"",VLOOKUP($A175,'Annex 2 EHV charges'!$D:$O,10,FALSE)),"")</f>
        <v/>
      </c>
      <c r="G175" s="118" t="str">
        <f>IFERROR(IF(VLOOKUP($A175,'Annex 2 EHV charges'!$D:$O,11,FALSE)=0,"",VLOOKUP($A175,'Annex 2 EHV charges'!$D:$O,11,FALSE)),"")</f>
        <v/>
      </c>
      <c r="H175" s="118" t="str">
        <f>IFERROR(IF(VLOOKUP($A175,'Annex 2 EHV charges'!$D:$O,12,FALSE)=0,"",VLOOKUP($A175,'Annex 2 EHV charges'!$D:$O,12,FALSE)),"")</f>
        <v/>
      </c>
    </row>
    <row r="176" spans="1:8" x14ac:dyDescent="0.2">
      <c r="A176" s="115" t="str">
        <f t="array" ref="A176">IFERROR(INDEX('Annex 2 EHV charges'!$D$11:$D$259, MATCH(0, IF(ISBLANK('Annex 2 EHV charges'!$D$11:$D$259),1, COUNTIF(A$4:$A175, 'Annex 2 EHV charges'!$D$11:$D$259)), 0)),"")</f>
        <v/>
      </c>
      <c r="B176" s="114" t="str">
        <f>IF($A176="","",VLOOKUP($A176,'Annex 2 EHV charges'!$D:$O,2,0))</f>
        <v/>
      </c>
      <c r="C176" s="115" t="str">
        <f>IF($A176="","",VLOOKUP($A176,'Annex 2 EHV charges'!$D:$O,3,0))</f>
        <v/>
      </c>
      <c r="D176" s="114" t="str">
        <f>IF($A176="","",VLOOKUP($A176,'Annex 2 EHV charges'!$D:$O,4,0))</f>
        <v/>
      </c>
      <c r="E176" s="116" t="str">
        <f>IFERROR(IF(VLOOKUP($A176,'Annex 2 EHV charges'!$D:$O,9,FALSE)=0,"",VLOOKUP($A176,'Annex 2 EHV charges'!$D:$O,9,FALSE)),"")</f>
        <v/>
      </c>
      <c r="F176" s="117" t="str">
        <f>IFERROR(IF(VLOOKUP($A176,'Annex 2 EHV charges'!$D:$O,10,FALSE)=0,"",VLOOKUP($A176,'Annex 2 EHV charges'!$D:$O,10,FALSE)),"")</f>
        <v/>
      </c>
      <c r="G176" s="118" t="str">
        <f>IFERROR(IF(VLOOKUP($A176,'Annex 2 EHV charges'!$D:$O,11,FALSE)=0,"",VLOOKUP($A176,'Annex 2 EHV charges'!$D:$O,11,FALSE)),"")</f>
        <v/>
      </c>
      <c r="H176" s="118" t="str">
        <f>IFERROR(IF(VLOOKUP($A176,'Annex 2 EHV charges'!$D:$O,12,FALSE)=0,"",VLOOKUP($A176,'Annex 2 EHV charges'!$D:$O,12,FALSE)),"")</f>
        <v/>
      </c>
    </row>
    <row r="177" spans="1:8" x14ac:dyDescent="0.2">
      <c r="A177" s="115" t="str">
        <f t="array" ref="A177">IFERROR(INDEX('Annex 2 EHV charges'!$D$11:$D$259, MATCH(0, IF(ISBLANK('Annex 2 EHV charges'!$D$11:$D$259),1, COUNTIF(A$4:$A176, 'Annex 2 EHV charges'!$D$11:$D$259)), 0)),"")</f>
        <v/>
      </c>
      <c r="B177" s="114" t="str">
        <f>IF($A177="","",VLOOKUP($A177,'Annex 2 EHV charges'!$D:$O,2,0))</f>
        <v/>
      </c>
      <c r="C177" s="115" t="str">
        <f>IF($A177="","",VLOOKUP($A177,'Annex 2 EHV charges'!$D:$O,3,0))</f>
        <v/>
      </c>
      <c r="D177" s="114" t="str">
        <f>IF($A177="","",VLOOKUP($A177,'Annex 2 EHV charges'!$D:$O,4,0))</f>
        <v/>
      </c>
      <c r="E177" s="116" t="str">
        <f>IFERROR(IF(VLOOKUP($A177,'Annex 2 EHV charges'!$D:$O,9,FALSE)=0,"",VLOOKUP($A177,'Annex 2 EHV charges'!$D:$O,9,FALSE)),"")</f>
        <v/>
      </c>
      <c r="F177" s="117" t="str">
        <f>IFERROR(IF(VLOOKUP($A177,'Annex 2 EHV charges'!$D:$O,10,FALSE)=0,"",VLOOKUP($A177,'Annex 2 EHV charges'!$D:$O,10,FALSE)),"")</f>
        <v/>
      </c>
      <c r="G177" s="118" t="str">
        <f>IFERROR(IF(VLOOKUP($A177,'Annex 2 EHV charges'!$D:$O,11,FALSE)=0,"",VLOOKUP($A177,'Annex 2 EHV charges'!$D:$O,11,FALSE)),"")</f>
        <v/>
      </c>
      <c r="H177" s="118" t="str">
        <f>IFERROR(IF(VLOOKUP($A177,'Annex 2 EHV charges'!$D:$O,12,FALSE)=0,"",VLOOKUP($A177,'Annex 2 EHV charges'!$D:$O,12,FALSE)),"")</f>
        <v/>
      </c>
    </row>
    <row r="178" spans="1:8" x14ac:dyDescent="0.2">
      <c r="A178" s="115" t="str">
        <f t="array" ref="A178">IFERROR(INDEX('Annex 2 EHV charges'!$D$11:$D$259, MATCH(0, IF(ISBLANK('Annex 2 EHV charges'!$D$11:$D$259),1, COUNTIF(A$4:$A177, 'Annex 2 EHV charges'!$D$11:$D$259)), 0)),"")</f>
        <v/>
      </c>
      <c r="B178" s="114" t="str">
        <f>IF($A178="","",VLOOKUP($A178,'Annex 2 EHV charges'!$D:$O,2,0))</f>
        <v/>
      </c>
      <c r="C178" s="115" t="str">
        <f>IF($A178="","",VLOOKUP($A178,'Annex 2 EHV charges'!$D:$O,3,0))</f>
        <v/>
      </c>
      <c r="D178" s="114" t="str">
        <f>IF($A178="","",VLOOKUP($A178,'Annex 2 EHV charges'!$D:$O,4,0))</f>
        <v/>
      </c>
      <c r="E178" s="116" t="str">
        <f>IFERROR(IF(VLOOKUP($A178,'Annex 2 EHV charges'!$D:$O,9,FALSE)=0,"",VLOOKUP($A178,'Annex 2 EHV charges'!$D:$O,9,FALSE)),"")</f>
        <v/>
      </c>
      <c r="F178" s="117" t="str">
        <f>IFERROR(IF(VLOOKUP($A178,'Annex 2 EHV charges'!$D:$O,10,FALSE)=0,"",VLOOKUP($A178,'Annex 2 EHV charges'!$D:$O,10,FALSE)),"")</f>
        <v/>
      </c>
      <c r="G178" s="118" t="str">
        <f>IFERROR(IF(VLOOKUP($A178,'Annex 2 EHV charges'!$D:$O,11,FALSE)=0,"",VLOOKUP($A178,'Annex 2 EHV charges'!$D:$O,11,FALSE)),"")</f>
        <v/>
      </c>
      <c r="H178" s="118" t="str">
        <f>IFERROR(IF(VLOOKUP($A178,'Annex 2 EHV charges'!$D:$O,12,FALSE)=0,"",VLOOKUP($A178,'Annex 2 EHV charges'!$D:$O,12,FALSE)),"")</f>
        <v/>
      </c>
    </row>
    <row r="179" spans="1:8" x14ac:dyDescent="0.2">
      <c r="A179" s="115" t="str">
        <f t="array" ref="A179">IFERROR(INDEX('Annex 2 EHV charges'!$D$11:$D$259, MATCH(0, IF(ISBLANK('Annex 2 EHV charges'!$D$11:$D$259),1, COUNTIF(A$4:$A178, 'Annex 2 EHV charges'!$D$11:$D$259)), 0)),"")</f>
        <v/>
      </c>
      <c r="B179" s="114" t="str">
        <f>IF($A179="","",VLOOKUP($A179,'Annex 2 EHV charges'!$D:$O,2,0))</f>
        <v/>
      </c>
      <c r="C179" s="115" t="str">
        <f>IF($A179="","",VLOOKUP($A179,'Annex 2 EHV charges'!$D:$O,3,0))</f>
        <v/>
      </c>
      <c r="D179" s="114" t="str">
        <f>IF($A179="","",VLOOKUP($A179,'Annex 2 EHV charges'!$D:$O,4,0))</f>
        <v/>
      </c>
      <c r="E179" s="116" t="str">
        <f>IFERROR(IF(VLOOKUP($A179,'Annex 2 EHV charges'!$D:$O,9,FALSE)=0,"",VLOOKUP($A179,'Annex 2 EHV charges'!$D:$O,9,FALSE)),"")</f>
        <v/>
      </c>
      <c r="F179" s="117" t="str">
        <f>IFERROR(IF(VLOOKUP($A179,'Annex 2 EHV charges'!$D:$O,10,FALSE)=0,"",VLOOKUP($A179,'Annex 2 EHV charges'!$D:$O,10,FALSE)),"")</f>
        <v/>
      </c>
      <c r="G179" s="118" t="str">
        <f>IFERROR(IF(VLOOKUP($A179,'Annex 2 EHV charges'!$D:$O,11,FALSE)=0,"",VLOOKUP($A179,'Annex 2 EHV charges'!$D:$O,11,FALSE)),"")</f>
        <v/>
      </c>
      <c r="H179" s="118" t="str">
        <f>IFERROR(IF(VLOOKUP($A179,'Annex 2 EHV charges'!$D:$O,12,FALSE)=0,"",VLOOKUP($A179,'Annex 2 EHV charges'!$D:$O,12,FALSE)),"")</f>
        <v/>
      </c>
    </row>
    <row r="180" spans="1:8" x14ac:dyDescent="0.2">
      <c r="A180" s="115" t="str">
        <f t="array" ref="A180">IFERROR(INDEX('Annex 2 EHV charges'!$D$11:$D$259, MATCH(0, IF(ISBLANK('Annex 2 EHV charges'!$D$11:$D$259),1, COUNTIF(A$4:$A179, 'Annex 2 EHV charges'!$D$11:$D$259)), 0)),"")</f>
        <v/>
      </c>
      <c r="B180" s="114" t="str">
        <f>IF($A180="","",VLOOKUP($A180,'Annex 2 EHV charges'!$D:$O,2,0))</f>
        <v/>
      </c>
      <c r="C180" s="115" t="str">
        <f>IF($A180="","",VLOOKUP($A180,'Annex 2 EHV charges'!$D:$O,3,0))</f>
        <v/>
      </c>
      <c r="D180" s="114" t="str">
        <f>IF($A180="","",VLOOKUP($A180,'Annex 2 EHV charges'!$D:$O,4,0))</f>
        <v/>
      </c>
      <c r="E180" s="116" t="str">
        <f>IFERROR(IF(VLOOKUP($A180,'Annex 2 EHV charges'!$D:$O,9,FALSE)=0,"",VLOOKUP($A180,'Annex 2 EHV charges'!$D:$O,9,FALSE)),"")</f>
        <v/>
      </c>
      <c r="F180" s="117" t="str">
        <f>IFERROR(IF(VLOOKUP($A180,'Annex 2 EHV charges'!$D:$O,10,FALSE)=0,"",VLOOKUP($A180,'Annex 2 EHV charges'!$D:$O,10,FALSE)),"")</f>
        <v/>
      </c>
      <c r="G180" s="118" t="str">
        <f>IFERROR(IF(VLOOKUP($A180,'Annex 2 EHV charges'!$D:$O,11,FALSE)=0,"",VLOOKUP($A180,'Annex 2 EHV charges'!$D:$O,11,FALSE)),"")</f>
        <v/>
      </c>
      <c r="H180" s="118" t="str">
        <f>IFERROR(IF(VLOOKUP($A180,'Annex 2 EHV charges'!$D:$O,12,FALSE)=0,"",VLOOKUP($A180,'Annex 2 EHV charges'!$D:$O,12,FALSE)),"")</f>
        <v/>
      </c>
    </row>
    <row r="181" spans="1:8" x14ac:dyDescent="0.2">
      <c r="A181" s="115" t="str">
        <f t="array" ref="A181">IFERROR(INDEX('Annex 2 EHV charges'!$D$11:$D$259, MATCH(0, IF(ISBLANK('Annex 2 EHV charges'!$D$11:$D$259),1, COUNTIF(A$4:$A180, 'Annex 2 EHV charges'!$D$11:$D$259)), 0)),"")</f>
        <v/>
      </c>
      <c r="B181" s="114" t="str">
        <f>IF($A181="","",VLOOKUP($A181,'Annex 2 EHV charges'!$D:$O,2,0))</f>
        <v/>
      </c>
      <c r="C181" s="115" t="str">
        <f>IF($A181="","",VLOOKUP($A181,'Annex 2 EHV charges'!$D:$O,3,0))</f>
        <v/>
      </c>
      <c r="D181" s="114" t="str">
        <f>IF($A181="","",VLOOKUP($A181,'Annex 2 EHV charges'!$D:$O,4,0))</f>
        <v/>
      </c>
      <c r="E181" s="116" t="str">
        <f>IFERROR(IF(VLOOKUP($A181,'Annex 2 EHV charges'!$D:$O,9,FALSE)=0,"",VLOOKUP($A181,'Annex 2 EHV charges'!$D:$O,9,FALSE)),"")</f>
        <v/>
      </c>
      <c r="F181" s="117" t="str">
        <f>IFERROR(IF(VLOOKUP($A181,'Annex 2 EHV charges'!$D:$O,10,FALSE)=0,"",VLOOKUP($A181,'Annex 2 EHV charges'!$D:$O,10,FALSE)),"")</f>
        <v/>
      </c>
      <c r="G181" s="118" t="str">
        <f>IFERROR(IF(VLOOKUP($A181,'Annex 2 EHV charges'!$D:$O,11,FALSE)=0,"",VLOOKUP($A181,'Annex 2 EHV charges'!$D:$O,11,FALSE)),"")</f>
        <v/>
      </c>
      <c r="H181" s="118" t="str">
        <f>IFERROR(IF(VLOOKUP($A181,'Annex 2 EHV charges'!$D:$O,12,FALSE)=0,"",VLOOKUP($A181,'Annex 2 EHV charges'!$D:$O,12,FALSE)),"")</f>
        <v/>
      </c>
    </row>
    <row r="182" spans="1:8" x14ac:dyDescent="0.2">
      <c r="A182" s="115" t="str">
        <f t="array" ref="A182">IFERROR(INDEX('Annex 2 EHV charges'!$D$11:$D$259, MATCH(0, IF(ISBLANK('Annex 2 EHV charges'!$D$11:$D$259),1, COUNTIF(A$4:$A181, 'Annex 2 EHV charges'!$D$11:$D$259)), 0)),"")</f>
        <v/>
      </c>
      <c r="B182" s="114" t="str">
        <f>IF($A182="","",VLOOKUP($A182,'Annex 2 EHV charges'!$D:$O,2,0))</f>
        <v/>
      </c>
      <c r="C182" s="115" t="str">
        <f>IF($A182="","",VLOOKUP($A182,'Annex 2 EHV charges'!$D:$O,3,0))</f>
        <v/>
      </c>
      <c r="D182" s="114" t="str">
        <f>IF($A182="","",VLOOKUP($A182,'Annex 2 EHV charges'!$D:$O,4,0))</f>
        <v/>
      </c>
      <c r="E182" s="116" t="str">
        <f>IFERROR(IF(VLOOKUP($A182,'Annex 2 EHV charges'!$D:$O,9,FALSE)=0,"",VLOOKUP($A182,'Annex 2 EHV charges'!$D:$O,9,FALSE)),"")</f>
        <v/>
      </c>
      <c r="F182" s="117" t="str">
        <f>IFERROR(IF(VLOOKUP($A182,'Annex 2 EHV charges'!$D:$O,10,FALSE)=0,"",VLOOKUP($A182,'Annex 2 EHV charges'!$D:$O,10,FALSE)),"")</f>
        <v/>
      </c>
      <c r="G182" s="118" t="str">
        <f>IFERROR(IF(VLOOKUP($A182,'Annex 2 EHV charges'!$D:$O,11,FALSE)=0,"",VLOOKUP($A182,'Annex 2 EHV charges'!$D:$O,11,FALSE)),"")</f>
        <v/>
      </c>
      <c r="H182" s="118" t="str">
        <f>IFERROR(IF(VLOOKUP($A182,'Annex 2 EHV charges'!$D:$O,12,FALSE)=0,"",VLOOKUP($A182,'Annex 2 EHV charges'!$D:$O,12,FALSE)),"")</f>
        <v/>
      </c>
    </row>
    <row r="183" spans="1:8" x14ac:dyDescent="0.2">
      <c r="A183" s="115" t="str">
        <f t="array" ref="A183">IFERROR(INDEX('Annex 2 EHV charges'!$D$11:$D$259, MATCH(0, IF(ISBLANK('Annex 2 EHV charges'!$D$11:$D$259),1, COUNTIF(A$4:$A182, 'Annex 2 EHV charges'!$D$11:$D$259)), 0)),"")</f>
        <v/>
      </c>
      <c r="B183" s="114" t="str">
        <f>IF($A183="","",VLOOKUP($A183,'Annex 2 EHV charges'!$D:$O,2,0))</f>
        <v/>
      </c>
      <c r="C183" s="115" t="str">
        <f>IF($A183="","",VLOOKUP($A183,'Annex 2 EHV charges'!$D:$O,3,0))</f>
        <v/>
      </c>
      <c r="D183" s="114" t="str">
        <f>IF($A183="","",VLOOKUP($A183,'Annex 2 EHV charges'!$D:$O,4,0))</f>
        <v/>
      </c>
      <c r="E183" s="116" t="str">
        <f>IFERROR(IF(VLOOKUP($A183,'Annex 2 EHV charges'!$D:$O,9,FALSE)=0,"",VLOOKUP($A183,'Annex 2 EHV charges'!$D:$O,9,FALSE)),"")</f>
        <v/>
      </c>
      <c r="F183" s="117" t="str">
        <f>IFERROR(IF(VLOOKUP($A183,'Annex 2 EHV charges'!$D:$O,10,FALSE)=0,"",VLOOKUP($A183,'Annex 2 EHV charges'!$D:$O,10,FALSE)),"")</f>
        <v/>
      </c>
      <c r="G183" s="118" t="str">
        <f>IFERROR(IF(VLOOKUP($A183,'Annex 2 EHV charges'!$D:$O,11,FALSE)=0,"",VLOOKUP($A183,'Annex 2 EHV charges'!$D:$O,11,FALSE)),"")</f>
        <v/>
      </c>
      <c r="H183" s="118" t="str">
        <f>IFERROR(IF(VLOOKUP($A183,'Annex 2 EHV charges'!$D:$O,12,FALSE)=0,"",VLOOKUP($A183,'Annex 2 EHV charges'!$D:$O,12,FALSE)),"")</f>
        <v/>
      </c>
    </row>
    <row r="184" spans="1:8" x14ac:dyDescent="0.2">
      <c r="A184" s="115" t="str">
        <f t="array" ref="A184">IFERROR(INDEX('Annex 2 EHV charges'!$D$11:$D$259, MATCH(0, IF(ISBLANK('Annex 2 EHV charges'!$D$11:$D$259),1, COUNTIF(A$4:$A183, 'Annex 2 EHV charges'!$D$11:$D$259)), 0)),"")</f>
        <v/>
      </c>
      <c r="B184" s="114" t="str">
        <f>IF($A184="","",VLOOKUP($A184,'Annex 2 EHV charges'!$D:$O,2,0))</f>
        <v/>
      </c>
      <c r="C184" s="115" t="str">
        <f>IF($A184="","",VLOOKUP($A184,'Annex 2 EHV charges'!$D:$O,3,0))</f>
        <v/>
      </c>
      <c r="D184" s="114" t="str">
        <f>IF($A184="","",VLOOKUP($A184,'Annex 2 EHV charges'!$D:$O,4,0))</f>
        <v/>
      </c>
      <c r="E184" s="116" t="str">
        <f>IFERROR(IF(VLOOKUP($A184,'Annex 2 EHV charges'!$D:$O,9,FALSE)=0,"",VLOOKUP($A184,'Annex 2 EHV charges'!$D:$O,9,FALSE)),"")</f>
        <v/>
      </c>
      <c r="F184" s="117" t="str">
        <f>IFERROR(IF(VLOOKUP($A184,'Annex 2 EHV charges'!$D:$O,10,FALSE)=0,"",VLOOKUP($A184,'Annex 2 EHV charges'!$D:$O,10,FALSE)),"")</f>
        <v/>
      </c>
      <c r="G184" s="118" t="str">
        <f>IFERROR(IF(VLOOKUP($A184,'Annex 2 EHV charges'!$D:$O,11,FALSE)=0,"",VLOOKUP($A184,'Annex 2 EHV charges'!$D:$O,11,FALSE)),"")</f>
        <v/>
      </c>
      <c r="H184" s="118" t="str">
        <f>IFERROR(IF(VLOOKUP($A184,'Annex 2 EHV charges'!$D:$O,12,FALSE)=0,"",VLOOKUP($A184,'Annex 2 EHV charges'!$D:$O,12,FALSE)),"")</f>
        <v/>
      </c>
    </row>
    <row r="185" spans="1:8" x14ac:dyDescent="0.2">
      <c r="A185" s="115" t="str">
        <f t="array" ref="A185">IFERROR(INDEX('Annex 2 EHV charges'!$D$11:$D$259, MATCH(0, IF(ISBLANK('Annex 2 EHV charges'!$D$11:$D$259),1, COUNTIF(A$4:$A184, 'Annex 2 EHV charges'!$D$11:$D$259)), 0)),"")</f>
        <v/>
      </c>
      <c r="B185" s="114" t="str">
        <f>IF($A185="","",VLOOKUP($A185,'Annex 2 EHV charges'!$D:$O,2,0))</f>
        <v/>
      </c>
      <c r="C185" s="115" t="str">
        <f>IF($A185="","",VLOOKUP($A185,'Annex 2 EHV charges'!$D:$O,3,0))</f>
        <v/>
      </c>
      <c r="D185" s="114" t="str">
        <f>IF($A185="","",VLOOKUP($A185,'Annex 2 EHV charges'!$D:$O,4,0))</f>
        <v/>
      </c>
      <c r="E185" s="116" t="str">
        <f>IFERROR(IF(VLOOKUP($A185,'Annex 2 EHV charges'!$D:$O,9,FALSE)=0,"",VLOOKUP($A185,'Annex 2 EHV charges'!$D:$O,9,FALSE)),"")</f>
        <v/>
      </c>
      <c r="F185" s="117" t="str">
        <f>IFERROR(IF(VLOOKUP($A185,'Annex 2 EHV charges'!$D:$O,10,FALSE)=0,"",VLOOKUP($A185,'Annex 2 EHV charges'!$D:$O,10,FALSE)),"")</f>
        <v/>
      </c>
      <c r="G185" s="118" t="str">
        <f>IFERROR(IF(VLOOKUP($A185,'Annex 2 EHV charges'!$D:$O,11,FALSE)=0,"",VLOOKUP($A185,'Annex 2 EHV charges'!$D:$O,11,FALSE)),"")</f>
        <v/>
      </c>
      <c r="H185" s="118" t="str">
        <f>IFERROR(IF(VLOOKUP($A185,'Annex 2 EHV charges'!$D:$O,12,FALSE)=0,"",VLOOKUP($A185,'Annex 2 EHV charges'!$D:$O,12,FALSE)),"")</f>
        <v/>
      </c>
    </row>
    <row r="186" spans="1:8" x14ac:dyDescent="0.2">
      <c r="A186" s="115" t="str">
        <f t="array" ref="A186">IFERROR(INDEX('Annex 2 EHV charges'!$D$11:$D$259, MATCH(0, IF(ISBLANK('Annex 2 EHV charges'!$D$11:$D$259),1, COUNTIF(A$4:$A185, 'Annex 2 EHV charges'!$D$11:$D$259)), 0)),"")</f>
        <v/>
      </c>
      <c r="B186" s="114" t="str">
        <f>IF($A186="","",VLOOKUP($A186,'Annex 2 EHV charges'!$D:$O,2,0))</f>
        <v/>
      </c>
      <c r="C186" s="115" t="str">
        <f>IF($A186="","",VLOOKUP($A186,'Annex 2 EHV charges'!$D:$O,3,0))</f>
        <v/>
      </c>
      <c r="D186" s="114" t="str">
        <f>IF($A186="","",VLOOKUP($A186,'Annex 2 EHV charges'!$D:$O,4,0))</f>
        <v/>
      </c>
      <c r="E186" s="116" t="str">
        <f>IFERROR(IF(VLOOKUP($A186,'Annex 2 EHV charges'!$D:$O,9,FALSE)=0,"",VLOOKUP($A186,'Annex 2 EHV charges'!$D:$O,9,FALSE)),"")</f>
        <v/>
      </c>
      <c r="F186" s="117" t="str">
        <f>IFERROR(IF(VLOOKUP($A186,'Annex 2 EHV charges'!$D:$O,10,FALSE)=0,"",VLOOKUP($A186,'Annex 2 EHV charges'!$D:$O,10,FALSE)),"")</f>
        <v/>
      </c>
      <c r="G186" s="118" t="str">
        <f>IFERROR(IF(VLOOKUP($A186,'Annex 2 EHV charges'!$D:$O,11,FALSE)=0,"",VLOOKUP($A186,'Annex 2 EHV charges'!$D:$O,11,FALSE)),"")</f>
        <v/>
      </c>
      <c r="H186" s="118" t="str">
        <f>IFERROR(IF(VLOOKUP($A186,'Annex 2 EHV charges'!$D:$O,12,FALSE)=0,"",VLOOKUP($A186,'Annex 2 EHV charges'!$D:$O,12,FALSE)),"")</f>
        <v/>
      </c>
    </row>
    <row r="187" spans="1:8" x14ac:dyDescent="0.2">
      <c r="A187" s="115" t="str">
        <f t="array" ref="A187">IFERROR(INDEX('Annex 2 EHV charges'!$D$11:$D$259, MATCH(0, IF(ISBLANK('Annex 2 EHV charges'!$D$11:$D$259),1, COUNTIF(A$4:$A186, 'Annex 2 EHV charges'!$D$11:$D$259)), 0)),"")</f>
        <v/>
      </c>
      <c r="B187" s="114" t="str">
        <f>IF($A187="","",VLOOKUP($A187,'Annex 2 EHV charges'!$D:$O,2,0))</f>
        <v/>
      </c>
      <c r="C187" s="115" t="str">
        <f>IF($A187="","",VLOOKUP($A187,'Annex 2 EHV charges'!$D:$O,3,0))</f>
        <v/>
      </c>
      <c r="D187" s="114" t="str">
        <f>IF($A187="","",VLOOKUP($A187,'Annex 2 EHV charges'!$D:$O,4,0))</f>
        <v/>
      </c>
      <c r="E187" s="116" t="str">
        <f>IFERROR(IF(VLOOKUP($A187,'Annex 2 EHV charges'!$D:$O,9,FALSE)=0,"",VLOOKUP($A187,'Annex 2 EHV charges'!$D:$O,9,FALSE)),"")</f>
        <v/>
      </c>
      <c r="F187" s="117" t="str">
        <f>IFERROR(IF(VLOOKUP($A187,'Annex 2 EHV charges'!$D:$O,10,FALSE)=0,"",VLOOKUP($A187,'Annex 2 EHV charges'!$D:$O,10,FALSE)),"")</f>
        <v/>
      </c>
      <c r="G187" s="118" t="str">
        <f>IFERROR(IF(VLOOKUP($A187,'Annex 2 EHV charges'!$D:$O,11,FALSE)=0,"",VLOOKUP($A187,'Annex 2 EHV charges'!$D:$O,11,FALSE)),"")</f>
        <v/>
      </c>
      <c r="H187" s="118" t="str">
        <f>IFERROR(IF(VLOOKUP($A187,'Annex 2 EHV charges'!$D:$O,12,FALSE)=0,"",VLOOKUP($A187,'Annex 2 EHV charges'!$D:$O,12,FALSE)),"")</f>
        <v/>
      </c>
    </row>
    <row r="188" spans="1:8" x14ac:dyDescent="0.2">
      <c r="A188" s="115" t="str">
        <f t="array" ref="A188">IFERROR(INDEX('Annex 2 EHV charges'!$D$11:$D$259, MATCH(0, IF(ISBLANK('Annex 2 EHV charges'!$D$11:$D$259),1, COUNTIF(A$4:$A187, 'Annex 2 EHV charges'!$D$11:$D$259)), 0)),"")</f>
        <v/>
      </c>
      <c r="B188" s="114" t="str">
        <f>IF($A188="","",VLOOKUP($A188,'Annex 2 EHV charges'!$D:$O,2,0))</f>
        <v/>
      </c>
      <c r="C188" s="115" t="str">
        <f>IF($A188="","",VLOOKUP($A188,'Annex 2 EHV charges'!$D:$O,3,0))</f>
        <v/>
      </c>
      <c r="D188" s="114" t="str">
        <f>IF($A188="","",VLOOKUP($A188,'Annex 2 EHV charges'!$D:$O,4,0))</f>
        <v/>
      </c>
      <c r="E188" s="116" t="str">
        <f>IFERROR(IF(VLOOKUP($A188,'Annex 2 EHV charges'!$D:$O,9,FALSE)=0,"",VLOOKUP($A188,'Annex 2 EHV charges'!$D:$O,9,FALSE)),"")</f>
        <v/>
      </c>
      <c r="F188" s="117" t="str">
        <f>IFERROR(IF(VLOOKUP($A188,'Annex 2 EHV charges'!$D:$O,10,FALSE)=0,"",VLOOKUP($A188,'Annex 2 EHV charges'!$D:$O,10,FALSE)),"")</f>
        <v/>
      </c>
      <c r="G188" s="118" t="str">
        <f>IFERROR(IF(VLOOKUP($A188,'Annex 2 EHV charges'!$D:$O,11,FALSE)=0,"",VLOOKUP($A188,'Annex 2 EHV charges'!$D:$O,11,FALSE)),"")</f>
        <v/>
      </c>
      <c r="H188" s="118" t="str">
        <f>IFERROR(IF(VLOOKUP($A188,'Annex 2 EHV charges'!$D:$O,12,FALSE)=0,"",VLOOKUP($A188,'Annex 2 EHV charges'!$D:$O,12,FALSE)),"")</f>
        <v/>
      </c>
    </row>
    <row r="189" spans="1:8" x14ac:dyDescent="0.2">
      <c r="A189" s="115" t="str">
        <f t="array" ref="A189">IFERROR(INDEX('Annex 2 EHV charges'!$D$11:$D$259, MATCH(0, IF(ISBLANK('Annex 2 EHV charges'!$D$11:$D$259),1, COUNTIF(A$4:$A188, 'Annex 2 EHV charges'!$D$11:$D$259)), 0)),"")</f>
        <v/>
      </c>
      <c r="B189" s="114" t="str">
        <f>IF($A189="","",VLOOKUP($A189,'Annex 2 EHV charges'!$D:$O,2,0))</f>
        <v/>
      </c>
      <c r="C189" s="115" t="str">
        <f>IF($A189="","",VLOOKUP($A189,'Annex 2 EHV charges'!$D:$O,3,0))</f>
        <v/>
      </c>
      <c r="D189" s="114" t="str">
        <f>IF($A189="","",VLOOKUP($A189,'Annex 2 EHV charges'!$D:$O,4,0))</f>
        <v/>
      </c>
      <c r="E189" s="116" t="str">
        <f>IFERROR(IF(VLOOKUP($A189,'Annex 2 EHV charges'!$D:$O,9,FALSE)=0,"",VLOOKUP($A189,'Annex 2 EHV charges'!$D:$O,9,FALSE)),"")</f>
        <v/>
      </c>
      <c r="F189" s="117" t="str">
        <f>IFERROR(IF(VLOOKUP($A189,'Annex 2 EHV charges'!$D:$O,10,FALSE)=0,"",VLOOKUP($A189,'Annex 2 EHV charges'!$D:$O,10,FALSE)),"")</f>
        <v/>
      </c>
      <c r="G189" s="118" t="str">
        <f>IFERROR(IF(VLOOKUP($A189,'Annex 2 EHV charges'!$D:$O,11,FALSE)=0,"",VLOOKUP($A189,'Annex 2 EHV charges'!$D:$O,11,FALSE)),"")</f>
        <v/>
      </c>
      <c r="H189" s="118" t="str">
        <f>IFERROR(IF(VLOOKUP($A189,'Annex 2 EHV charges'!$D:$O,12,FALSE)=0,"",VLOOKUP($A189,'Annex 2 EHV charges'!$D:$O,12,FALSE)),"")</f>
        <v/>
      </c>
    </row>
    <row r="190" spans="1:8" x14ac:dyDescent="0.2">
      <c r="A190" s="115" t="str">
        <f t="array" ref="A190">IFERROR(INDEX('Annex 2 EHV charges'!$D$11:$D$259, MATCH(0, IF(ISBLANK('Annex 2 EHV charges'!$D$11:$D$259),1, COUNTIF(A$4:$A189, 'Annex 2 EHV charges'!$D$11:$D$259)), 0)),"")</f>
        <v/>
      </c>
      <c r="B190" s="114" t="str">
        <f>IF($A190="","",VLOOKUP($A190,'Annex 2 EHV charges'!$D:$O,2,0))</f>
        <v/>
      </c>
      <c r="C190" s="115" t="str">
        <f>IF($A190="","",VLOOKUP($A190,'Annex 2 EHV charges'!$D:$O,3,0))</f>
        <v/>
      </c>
      <c r="D190" s="114" t="str">
        <f>IF($A190="","",VLOOKUP($A190,'Annex 2 EHV charges'!$D:$O,4,0))</f>
        <v/>
      </c>
      <c r="E190" s="116" t="str">
        <f>IFERROR(IF(VLOOKUP($A190,'Annex 2 EHV charges'!$D:$O,9,FALSE)=0,"",VLOOKUP($A190,'Annex 2 EHV charges'!$D:$O,9,FALSE)),"")</f>
        <v/>
      </c>
      <c r="F190" s="117" t="str">
        <f>IFERROR(IF(VLOOKUP($A190,'Annex 2 EHV charges'!$D:$O,10,FALSE)=0,"",VLOOKUP($A190,'Annex 2 EHV charges'!$D:$O,10,FALSE)),"")</f>
        <v/>
      </c>
      <c r="G190" s="118" t="str">
        <f>IFERROR(IF(VLOOKUP($A190,'Annex 2 EHV charges'!$D:$O,11,FALSE)=0,"",VLOOKUP($A190,'Annex 2 EHV charges'!$D:$O,11,FALSE)),"")</f>
        <v/>
      </c>
      <c r="H190" s="118" t="str">
        <f>IFERROR(IF(VLOOKUP($A190,'Annex 2 EHV charges'!$D:$O,12,FALSE)=0,"",VLOOKUP($A190,'Annex 2 EHV charges'!$D:$O,12,FALSE)),"")</f>
        <v/>
      </c>
    </row>
    <row r="191" spans="1:8" x14ac:dyDescent="0.2">
      <c r="A191" s="115" t="str">
        <f t="array" ref="A191">IFERROR(INDEX('Annex 2 EHV charges'!$D$11:$D$259, MATCH(0, IF(ISBLANK('Annex 2 EHV charges'!$D$11:$D$259),1, COUNTIF(A$4:$A190, 'Annex 2 EHV charges'!$D$11:$D$259)), 0)),"")</f>
        <v/>
      </c>
      <c r="B191" s="114" t="str">
        <f>IF($A191="","",VLOOKUP($A191,'Annex 2 EHV charges'!$D:$O,2,0))</f>
        <v/>
      </c>
      <c r="C191" s="115" t="str">
        <f>IF($A191="","",VLOOKUP($A191,'Annex 2 EHV charges'!$D:$O,3,0))</f>
        <v/>
      </c>
      <c r="D191" s="114" t="str">
        <f>IF($A191="","",VLOOKUP($A191,'Annex 2 EHV charges'!$D:$O,4,0))</f>
        <v/>
      </c>
      <c r="E191" s="116" t="str">
        <f>IFERROR(IF(VLOOKUP($A191,'Annex 2 EHV charges'!$D:$O,9,FALSE)=0,"",VLOOKUP($A191,'Annex 2 EHV charges'!$D:$O,9,FALSE)),"")</f>
        <v/>
      </c>
      <c r="F191" s="117" t="str">
        <f>IFERROR(IF(VLOOKUP($A191,'Annex 2 EHV charges'!$D:$O,10,FALSE)=0,"",VLOOKUP($A191,'Annex 2 EHV charges'!$D:$O,10,FALSE)),"")</f>
        <v/>
      </c>
      <c r="G191" s="118" t="str">
        <f>IFERROR(IF(VLOOKUP($A191,'Annex 2 EHV charges'!$D:$O,11,FALSE)=0,"",VLOOKUP($A191,'Annex 2 EHV charges'!$D:$O,11,FALSE)),"")</f>
        <v/>
      </c>
      <c r="H191" s="118" t="str">
        <f>IFERROR(IF(VLOOKUP($A191,'Annex 2 EHV charges'!$D:$O,12,FALSE)=0,"",VLOOKUP($A191,'Annex 2 EHV charges'!$D:$O,12,FALSE)),"")</f>
        <v/>
      </c>
    </row>
    <row r="192" spans="1:8" x14ac:dyDescent="0.2">
      <c r="A192" s="115" t="str">
        <f t="array" ref="A192">IFERROR(INDEX('Annex 2 EHV charges'!$D$11:$D$259, MATCH(0, IF(ISBLANK('Annex 2 EHV charges'!$D$11:$D$259),1, COUNTIF(A$4:$A191, 'Annex 2 EHV charges'!$D$11:$D$259)), 0)),"")</f>
        <v/>
      </c>
      <c r="B192" s="114" t="str">
        <f>IF($A192="","",VLOOKUP($A192,'Annex 2 EHV charges'!$D:$O,2,0))</f>
        <v/>
      </c>
      <c r="C192" s="115" t="str">
        <f>IF($A192="","",VLOOKUP($A192,'Annex 2 EHV charges'!$D:$O,3,0))</f>
        <v/>
      </c>
      <c r="D192" s="114" t="str">
        <f>IF($A192="","",VLOOKUP($A192,'Annex 2 EHV charges'!$D:$O,4,0))</f>
        <v/>
      </c>
      <c r="E192" s="116" t="str">
        <f>IFERROR(IF(VLOOKUP($A192,'Annex 2 EHV charges'!$D:$O,9,FALSE)=0,"",VLOOKUP($A192,'Annex 2 EHV charges'!$D:$O,9,FALSE)),"")</f>
        <v/>
      </c>
      <c r="F192" s="117" t="str">
        <f>IFERROR(IF(VLOOKUP($A192,'Annex 2 EHV charges'!$D:$O,10,FALSE)=0,"",VLOOKUP($A192,'Annex 2 EHV charges'!$D:$O,10,FALSE)),"")</f>
        <v/>
      </c>
      <c r="G192" s="118" t="str">
        <f>IFERROR(IF(VLOOKUP($A192,'Annex 2 EHV charges'!$D:$O,11,FALSE)=0,"",VLOOKUP($A192,'Annex 2 EHV charges'!$D:$O,11,FALSE)),"")</f>
        <v/>
      </c>
      <c r="H192" s="118" t="str">
        <f>IFERROR(IF(VLOOKUP($A192,'Annex 2 EHV charges'!$D:$O,12,FALSE)=0,"",VLOOKUP($A192,'Annex 2 EHV charges'!$D:$O,12,FALSE)),"")</f>
        <v/>
      </c>
    </row>
    <row r="193" spans="1:8" x14ac:dyDescent="0.2">
      <c r="A193" s="115" t="str">
        <f t="array" ref="A193">IFERROR(INDEX('Annex 2 EHV charges'!$D$11:$D$259, MATCH(0, IF(ISBLANK('Annex 2 EHV charges'!$D$11:$D$259),1, COUNTIF(A$4:$A192, 'Annex 2 EHV charges'!$D$11:$D$259)), 0)),"")</f>
        <v/>
      </c>
      <c r="B193" s="114" t="str">
        <f>IF($A193="","",VLOOKUP($A193,'Annex 2 EHV charges'!$D:$O,2,0))</f>
        <v/>
      </c>
      <c r="C193" s="115" t="str">
        <f>IF($A193="","",VLOOKUP($A193,'Annex 2 EHV charges'!$D:$O,3,0))</f>
        <v/>
      </c>
      <c r="D193" s="114" t="str">
        <f>IF($A193="","",VLOOKUP($A193,'Annex 2 EHV charges'!$D:$O,4,0))</f>
        <v/>
      </c>
      <c r="E193" s="116" t="str">
        <f>IFERROR(IF(VLOOKUP($A193,'Annex 2 EHV charges'!$D:$O,9,FALSE)=0,"",VLOOKUP($A193,'Annex 2 EHV charges'!$D:$O,9,FALSE)),"")</f>
        <v/>
      </c>
      <c r="F193" s="117" t="str">
        <f>IFERROR(IF(VLOOKUP($A193,'Annex 2 EHV charges'!$D:$O,10,FALSE)=0,"",VLOOKUP($A193,'Annex 2 EHV charges'!$D:$O,10,FALSE)),"")</f>
        <v/>
      </c>
      <c r="G193" s="118" t="str">
        <f>IFERROR(IF(VLOOKUP($A193,'Annex 2 EHV charges'!$D:$O,11,FALSE)=0,"",VLOOKUP($A193,'Annex 2 EHV charges'!$D:$O,11,FALSE)),"")</f>
        <v/>
      </c>
      <c r="H193" s="118" t="str">
        <f>IFERROR(IF(VLOOKUP($A193,'Annex 2 EHV charges'!$D:$O,12,FALSE)=0,"",VLOOKUP($A193,'Annex 2 EHV charges'!$D:$O,12,FALSE)),"")</f>
        <v/>
      </c>
    </row>
    <row r="194" spans="1:8" x14ac:dyDescent="0.2">
      <c r="A194" s="115" t="str">
        <f t="array" ref="A194">IFERROR(INDEX('Annex 2 EHV charges'!$D$11:$D$259, MATCH(0, IF(ISBLANK('Annex 2 EHV charges'!$D$11:$D$259),1, COUNTIF(A$4:$A193, 'Annex 2 EHV charges'!$D$11:$D$259)), 0)),"")</f>
        <v/>
      </c>
      <c r="B194" s="114" t="str">
        <f>IF($A194="","",VLOOKUP($A194,'Annex 2 EHV charges'!$D:$O,2,0))</f>
        <v/>
      </c>
      <c r="C194" s="115" t="str">
        <f>IF($A194="","",VLOOKUP($A194,'Annex 2 EHV charges'!$D:$O,3,0))</f>
        <v/>
      </c>
      <c r="D194" s="114" t="str">
        <f>IF($A194="","",VLOOKUP($A194,'Annex 2 EHV charges'!$D:$O,4,0))</f>
        <v/>
      </c>
      <c r="E194" s="116" t="str">
        <f>IFERROR(IF(VLOOKUP($A194,'Annex 2 EHV charges'!$D:$O,9,FALSE)=0,"",VLOOKUP($A194,'Annex 2 EHV charges'!$D:$O,9,FALSE)),"")</f>
        <v/>
      </c>
      <c r="F194" s="117" t="str">
        <f>IFERROR(IF(VLOOKUP($A194,'Annex 2 EHV charges'!$D:$O,10,FALSE)=0,"",VLOOKUP($A194,'Annex 2 EHV charges'!$D:$O,10,FALSE)),"")</f>
        <v/>
      </c>
      <c r="G194" s="118" t="str">
        <f>IFERROR(IF(VLOOKUP($A194,'Annex 2 EHV charges'!$D:$O,11,FALSE)=0,"",VLOOKUP($A194,'Annex 2 EHV charges'!$D:$O,11,FALSE)),"")</f>
        <v/>
      </c>
      <c r="H194" s="118" t="str">
        <f>IFERROR(IF(VLOOKUP($A194,'Annex 2 EHV charges'!$D:$O,12,FALSE)=0,"",VLOOKUP($A194,'Annex 2 EHV charges'!$D:$O,12,FALSE)),"")</f>
        <v/>
      </c>
    </row>
    <row r="195" spans="1:8" x14ac:dyDescent="0.2">
      <c r="A195" s="115" t="str">
        <f t="array" ref="A195">IFERROR(INDEX('Annex 2 EHV charges'!$D$11:$D$259, MATCH(0, IF(ISBLANK('Annex 2 EHV charges'!$D$11:$D$259),1, COUNTIF(A$4:$A194, 'Annex 2 EHV charges'!$D$11:$D$259)), 0)),"")</f>
        <v/>
      </c>
      <c r="B195" s="114" t="str">
        <f>IF($A195="","",VLOOKUP($A195,'Annex 2 EHV charges'!$D:$O,2,0))</f>
        <v/>
      </c>
      <c r="C195" s="115" t="str">
        <f>IF($A195="","",VLOOKUP($A195,'Annex 2 EHV charges'!$D:$O,3,0))</f>
        <v/>
      </c>
      <c r="D195" s="114" t="str">
        <f>IF($A195="","",VLOOKUP($A195,'Annex 2 EHV charges'!$D:$O,4,0))</f>
        <v/>
      </c>
      <c r="E195" s="116" t="str">
        <f>IFERROR(IF(VLOOKUP($A195,'Annex 2 EHV charges'!$D:$O,9,FALSE)=0,"",VLOOKUP($A195,'Annex 2 EHV charges'!$D:$O,9,FALSE)),"")</f>
        <v/>
      </c>
      <c r="F195" s="117" t="str">
        <f>IFERROR(IF(VLOOKUP($A195,'Annex 2 EHV charges'!$D:$O,10,FALSE)=0,"",VLOOKUP($A195,'Annex 2 EHV charges'!$D:$O,10,FALSE)),"")</f>
        <v/>
      </c>
      <c r="G195" s="118" t="str">
        <f>IFERROR(IF(VLOOKUP($A195,'Annex 2 EHV charges'!$D:$O,11,FALSE)=0,"",VLOOKUP($A195,'Annex 2 EHV charges'!$D:$O,11,FALSE)),"")</f>
        <v/>
      </c>
      <c r="H195" s="118" t="str">
        <f>IFERROR(IF(VLOOKUP($A195,'Annex 2 EHV charges'!$D:$O,12,FALSE)=0,"",VLOOKUP($A195,'Annex 2 EHV charges'!$D:$O,12,FALSE)),"")</f>
        <v/>
      </c>
    </row>
    <row r="196" spans="1:8" x14ac:dyDescent="0.2">
      <c r="A196" s="115" t="str">
        <f t="array" ref="A196">IFERROR(INDEX('Annex 2 EHV charges'!$D$11:$D$259, MATCH(0, IF(ISBLANK('Annex 2 EHV charges'!$D$11:$D$259),1, COUNTIF(A$4:$A195, 'Annex 2 EHV charges'!$D$11:$D$259)), 0)),"")</f>
        <v/>
      </c>
      <c r="B196" s="114" t="str">
        <f>IF($A196="","",VLOOKUP($A196,'Annex 2 EHV charges'!$D:$O,2,0))</f>
        <v/>
      </c>
      <c r="C196" s="115" t="str">
        <f>IF($A196="","",VLOOKUP($A196,'Annex 2 EHV charges'!$D:$O,3,0))</f>
        <v/>
      </c>
      <c r="D196" s="114" t="str">
        <f>IF($A196="","",VLOOKUP($A196,'Annex 2 EHV charges'!$D:$O,4,0))</f>
        <v/>
      </c>
      <c r="E196" s="116" t="str">
        <f>IFERROR(IF(VLOOKUP($A196,'Annex 2 EHV charges'!$D:$O,9,FALSE)=0,"",VLOOKUP($A196,'Annex 2 EHV charges'!$D:$O,9,FALSE)),"")</f>
        <v/>
      </c>
      <c r="F196" s="117" t="str">
        <f>IFERROR(IF(VLOOKUP($A196,'Annex 2 EHV charges'!$D:$O,10,FALSE)=0,"",VLOOKUP($A196,'Annex 2 EHV charges'!$D:$O,10,FALSE)),"")</f>
        <v/>
      </c>
      <c r="G196" s="118" t="str">
        <f>IFERROR(IF(VLOOKUP($A196,'Annex 2 EHV charges'!$D:$O,11,FALSE)=0,"",VLOOKUP($A196,'Annex 2 EHV charges'!$D:$O,11,FALSE)),"")</f>
        <v/>
      </c>
      <c r="H196" s="118" t="str">
        <f>IFERROR(IF(VLOOKUP($A196,'Annex 2 EHV charges'!$D:$O,12,FALSE)=0,"",VLOOKUP($A196,'Annex 2 EHV charges'!$D:$O,12,FALSE)),"")</f>
        <v/>
      </c>
    </row>
    <row r="197" spans="1:8" x14ac:dyDescent="0.2">
      <c r="A197" s="115" t="str">
        <f t="array" ref="A197">IFERROR(INDEX('Annex 2 EHV charges'!$D$11:$D$259, MATCH(0, IF(ISBLANK('Annex 2 EHV charges'!$D$11:$D$259),1, COUNTIF(A$4:$A196, 'Annex 2 EHV charges'!$D$11:$D$259)), 0)),"")</f>
        <v/>
      </c>
      <c r="B197" s="114" t="str">
        <f>IF($A197="","",VLOOKUP($A197,'Annex 2 EHV charges'!$D:$O,2,0))</f>
        <v/>
      </c>
      <c r="C197" s="115" t="str">
        <f>IF($A197="","",VLOOKUP($A197,'Annex 2 EHV charges'!$D:$O,3,0))</f>
        <v/>
      </c>
      <c r="D197" s="114" t="str">
        <f>IF($A197="","",VLOOKUP($A197,'Annex 2 EHV charges'!$D:$O,4,0))</f>
        <v/>
      </c>
      <c r="E197" s="116" t="str">
        <f>IFERROR(IF(VLOOKUP($A197,'Annex 2 EHV charges'!$D:$O,9,FALSE)=0,"",VLOOKUP($A197,'Annex 2 EHV charges'!$D:$O,9,FALSE)),"")</f>
        <v/>
      </c>
      <c r="F197" s="117" t="str">
        <f>IFERROR(IF(VLOOKUP($A197,'Annex 2 EHV charges'!$D:$O,10,FALSE)=0,"",VLOOKUP($A197,'Annex 2 EHV charges'!$D:$O,10,FALSE)),"")</f>
        <v/>
      </c>
      <c r="G197" s="118" t="str">
        <f>IFERROR(IF(VLOOKUP($A197,'Annex 2 EHV charges'!$D:$O,11,FALSE)=0,"",VLOOKUP($A197,'Annex 2 EHV charges'!$D:$O,11,FALSE)),"")</f>
        <v/>
      </c>
      <c r="H197" s="118" t="str">
        <f>IFERROR(IF(VLOOKUP($A197,'Annex 2 EHV charges'!$D:$O,12,FALSE)=0,"",VLOOKUP($A197,'Annex 2 EHV charges'!$D:$O,12,FALSE)),"")</f>
        <v/>
      </c>
    </row>
    <row r="198" spans="1:8" x14ac:dyDescent="0.2">
      <c r="A198" s="115" t="str">
        <f t="array" ref="A198">IFERROR(INDEX('Annex 2 EHV charges'!$D$11:$D$259, MATCH(0, IF(ISBLANK('Annex 2 EHV charges'!$D$11:$D$259),1, COUNTIF(A$4:$A197, 'Annex 2 EHV charges'!$D$11:$D$259)), 0)),"")</f>
        <v/>
      </c>
      <c r="B198" s="114" t="str">
        <f>IF($A198="","",VLOOKUP($A198,'Annex 2 EHV charges'!$D:$O,2,0))</f>
        <v/>
      </c>
      <c r="C198" s="115" t="str">
        <f>IF($A198="","",VLOOKUP($A198,'Annex 2 EHV charges'!$D:$O,3,0))</f>
        <v/>
      </c>
      <c r="D198" s="114" t="str">
        <f>IF($A198="","",VLOOKUP($A198,'Annex 2 EHV charges'!$D:$O,4,0))</f>
        <v/>
      </c>
      <c r="E198" s="116" t="str">
        <f>IFERROR(IF(VLOOKUP($A198,'Annex 2 EHV charges'!$D:$O,9,FALSE)=0,"",VLOOKUP($A198,'Annex 2 EHV charges'!$D:$O,9,FALSE)),"")</f>
        <v/>
      </c>
      <c r="F198" s="117" t="str">
        <f>IFERROR(IF(VLOOKUP($A198,'Annex 2 EHV charges'!$D:$O,10,FALSE)=0,"",VLOOKUP($A198,'Annex 2 EHV charges'!$D:$O,10,FALSE)),"")</f>
        <v/>
      </c>
      <c r="G198" s="118" t="str">
        <f>IFERROR(IF(VLOOKUP($A198,'Annex 2 EHV charges'!$D:$O,11,FALSE)=0,"",VLOOKUP($A198,'Annex 2 EHV charges'!$D:$O,11,FALSE)),"")</f>
        <v/>
      </c>
      <c r="H198" s="118" t="str">
        <f>IFERROR(IF(VLOOKUP($A198,'Annex 2 EHV charges'!$D:$O,12,FALSE)=0,"",VLOOKUP($A198,'Annex 2 EHV charges'!$D:$O,12,FALSE)),"")</f>
        <v/>
      </c>
    </row>
    <row r="199" spans="1:8" x14ac:dyDescent="0.2">
      <c r="A199" s="115" t="str">
        <f t="array" ref="A199">IFERROR(INDEX('Annex 2 EHV charges'!$D$11:$D$259, MATCH(0, IF(ISBLANK('Annex 2 EHV charges'!$D$11:$D$259),1, COUNTIF(A$4:$A198, 'Annex 2 EHV charges'!$D$11:$D$259)), 0)),"")</f>
        <v/>
      </c>
      <c r="B199" s="114" t="str">
        <f>IF($A199="","",VLOOKUP($A199,'Annex 2 EHV charges'!$D:$O,2,0))</f>
        <v/>
      </c>
      <c r="C199" s="115" t="str">
        <f>IF($A199="","",VLOOKUP($A199,'Annex 2 EHV charges'!$D:$O,3,0))</f>
        <v/>
      </c>
      <c r="D199" s="114" t="str">
        <f>IF($A199="","",VLOOKUP($A199,'Annex 2 EHV charges'!$D:$O,4,0))</f>
        <v/>
      </c>
      <c r="E199" s="116" t="str">
        <f>IFERROR(IF(VLOOKUP($A199,'Annex 2 EHV charges'!$D:$O,9,FALSE)=0,"",VLOOKUP($A199,'Annex 2 EHV charges'!$D:$O,9,FALSE)),"")</f>
        <v/>
      </c>
      <c r="F199" s="117" t="str">
        <f>IFERROR(IF(VLOOKUP($A199,'Annex 2 EHV charges'!$D:$O,10,FALSE)=0,"",VLOOKUP($A199,'Annex 2 EHV charges'!$D:$O,10,FALSE)),"")</f>
        <v/>
      </c>
      <c r="G199" s="118" t="str">
        <f>IFERROR(IF(VLOOKUP($A199,'Annex 2 EHV charges'!$D:$O,11,FALSE)=0,"",VLOOKUP($A199,'Annex 2 EHV charges'!$D:$O,11,FALSE)),"")</f>
        <v/>
      </c>
      <c r="H199" s="118" t="str">
        <f>IFERROR(IF(VLOOKUP($A199,'Annex 2 EHV charges'!$D:$O,12,FALSE)=0,"",VLOOKUP($A199,'Annex 2 EHV charges'!$D:$O,12,FALSE)),"")</f>
        <v/>
      </c>
    </row>
    <row r="200" spans="1:8" x14ac:dyDescent="0.2">
      <c r="A200" s="115" t="str">
        <f t="array" ref="A200">IFERROR(INDEX('Annex 2 EHV charges'!$D$11:$D$259, MATCH(0, IF(ISBLANK('Annex 2 EHV charges'!$D$11:$D$259),1, COUNTIF(A$4:$A199, 'Annex 2 EHV charges'!$D$11:$D$259)), 0)),"")</f>
        <v/>
      </c>
      <c r="B200" s="114" t="str">
        <f>IF($A200="","",VLOOKUP($A200,'Annex 2 EHV charges'!$D:$O,2,0))</f>
        <v/>
      </c>
      <c r="C200" s="115" t="str">
        <f>IF($A200="","",VLOOKUP($A200,'Annex 2 EHV charges'!$D:$O,3,0))</f>
        <v/>
      </c>
      <c r="D200" s="114" t="str">
        <f>IF($A200="","",VLOOKUP($A200,'Annex 2 EHV charges'!$D:$O,4,0))</f>
        <v/>
      </c>
      <c r="E200" s="116" t="str">
        <f>IFERROR(IF(VLOOKUP($A200,'Annex 2 EHV charges'!$D:$O,9,FALSE)=0,"",VLOOKUP($A200,'Annex 2 EHV charges'!$D:$O,9,FALSE)),"")</f>
        <v/>
      </c>
      <c r="F200" s="117" t="str">
        <f>IFERROR(IF(VLOOKUP($A200,'Annex 2 EHV charges'!$D:$O,10,FALSE)=0,"",VLOOKUP($A200,'Annex 2 EHV charges'!$D:$O,10,FALSE)),"")</f>
        <v/>
      </c>
      <c r="G200" s="118" t="str">
        <f>IFERROR(IF(VLOOKUP($A200,'Annex 2 EHV charges'!$D:$O,11,FALSE)=0,"",VLOOKUP($A200,'Annex 2 EHV charges'!$D:$O,11,FALSE)),"")</f>
        <v/>
      </c>
      <c r="H200" s="118" t="str">
        <f>IFERROR(IF(VLOOKUP($A200,'Annex 2 EHV charges'!$D:$O,12,FALSE)=0,"",VLOOKUP($A200,'Annex 2 EHV charges'!$D:$O,12,FALSE)),"")</f>
        <v/>
      </c>
    </row>
    <row r="201" spans="1:8" x14ac:dyDescent="0.2">
      <c r="A201" s="115" t="str">
        <f t="array" ref="A201">IFERROR(INDEX('Annex 2 EHV charges'!$D$11:$D$259, MATCH(0, IF(ISBLANK('Annex 2 EHV charges'!$D$11:$D$259),1, COUNTIF(A$4:$A200, 'Annex 2 EHV charges'!$D$11:$D$259)), 0)),"")</f>
        <v/>
      </c>
      <c r="B201" s="114" t="str">
        <f>IF($A201="","",VLOOKUP($A201,'Annex 2 EHV charges'!$D:$O,2,0))</f>
        <v/>
      </c>
      <c r="C201" s="115" t="str">
        <f>IF($A201="","",VLOOKUP($A201,'Annex 2 EHV charges'!$D:$O,3,0))</f>
        <v/>
      </c>
      <c r="D201" s="114" t="str">
        <f>IF($A201="","",VLOOKUP($A201,'Annex 2 EHV charges'!$D:$O,4,0))</f>
        <v/>
      </c>
      <c r="E201" s="116" t="str">
        <f>IFERROR(IF(VLOOKUP($A201,'Annex 2 EHV charges'!$D:$O,9,FALSE)=0,"",VLOOKUP($A201,'Annex 2 EHV charges'!$D:$O,9,FALSE)),"")</f>
        <v/>
      </c>
      <c r="F201" s="117" t="str">
        <f>IFERROR(IF(VLOOKUP($A201,'Annex 2 EHV charges'!$D:$O,10,FALSE)=0,"",VLOOKUP($A201,'Annex 2 EHV charges'!$D:$O,10,FALSE)),"")</f>
        <v/>
      </c>
      <c r="G201" s="118" t="str">
        <f>IFERROR(IF(VLOOKUP($A201,'Annex 2 EHV charges'!$D:$O,11,FALSE)=0,"",VLOOKUP($A201,'Annex 2 EHV charges'!$D:$O,11,FALSE)),"")</f>
        <v/>
      </c>
      <c r="H201" s="118" t="str">
        <f>IFERROR(IF(VLOOKUP($A201,'Annex 2 EHV charges'!$D:$O,12,FALSE)=0,"",VLOOKUP($A201,'Annex 2 EHV charges'!$D:$O,12,FALSE)),"")</f>
        <v/>
      </c>
    </row>
    <row r="202" spans="1:8" x14ac:dyDescent="0.2">
      <c r="A202" s="115" t="str">
        <f t="array" ref="A202">IFERROR(INDEX('Annex 2 EHV charges'!$D$11:$D$259, MATCH(0, IF(ISBLANK('Annex 2 EHV charges'!$D$11:$D$259),1, COUNTIF(A$4:$A201, 'Annex 2 EHV charges'!$D$11:$D$259)), 0)),"")</f>
        <v/>
      </c>
      <c r="B202" s="114" t="str">
        <f>IF($A202="","",VLOOKUP($A202,'Annex 2 EHV charges'!$D:$O,2,0))</f>
        <v/>
      </c>
      <c r="C202" s="115" t="str">
        <f>IF($A202="","",VLOOKUP($A202,'Annex 2 EHV charges'!$D:$O,3,0))</f>
        <v/>
      </c>
      <c r="D202" s="114" t="str">
        <f>IF($A202="","",VLOOKUP($A202,'Annex 2 EHV charges'!$D:$O,4,0))</f>
        <v/>
      </c>
      <c r="E202" s="116" t="str">
        <f>IFERROR(IF(VLOOKUP($A202,'Annex 2 EHV charges'!$D:$O,9,FALSE)=0,"",VLOOKUP($A202,'Annex 2 EHV charges'!$D:$O,9,FALSE)),"")</f>
        <v/>
      </c>
      <c r="F202" s="117" t="str">
        <f>IFERROR(IF(VLOOKUP($A202,'Annex 2 EHV charges'!$D:$O,10,FALSE)=0,"",VLOOKUP($A202,'Annex 2 EHV charges'!$D:$O,10,FALSE)),"")</f>
        <v/>
      </c>
      <c r="G202" s="118" t="str">
        <f>IFERROR(IF(VLOOKUP($A202,'Annex 2 EHV charges'!$D:$O,11,FALSE)=0,"",VLOOKUP($A202,'Annex 2 EHV charges'!$D:$O,11,FALSE)),"")</f>
        <v/>
      </c>
      <c r="H202" s="118" t="str">
        <f>IFERROR(IF(VLOOKUP($A202,'Annex 2 EHV charges'!$D:$O,12,FALSE)=0,"",VLOOKUP($A202,'Annex 2 EHV charges'!$D:$O,12,FALSE)),"")</f>
        <v/>
      </c>
    </row>
    <row r="203" spans="1:8" x14ac:dyDescent="0.2">
      <c r="A203" s="115" t="str">
        <f t="array" ref="A203">IFERROR(INDEX('Annex 2 EHV charges'!$D$11:$D$259, MATCH(0, IF(ISBLANK('Annex 2 EHV charges'!$D$11:$D$259),1, COUNTIF(A$4:$A202, 'Annex 2 EHV charges'!$D$11:$D$259)), 0)),"")</f>
        <v/>
      </c>
      <c r="B203" s="114" t="str">
        <f>IF($A203="","",VLOOKUP($A203,'Annex 2 EHV charges'!$D:$O,2,0))</f>
        <v/>
      </c>
      <c r="C203" s="115" t="str">
        <f>IF($A203="","",VLOOKUP($A203,'Annex 2 EHV charges'!$D:$O,3,0))</f>
        <v/>
      </c>
      <c r="D203" s="114" t="str">
        <f>IF($A203="","",VLOOKUP($A203,'Annex 2 EHV charges'!$D:$O,4,0))</f>
        <v/>
      </c>
      <c r="E203" s="116" t="str">
        <f>IFERROR(IF(VLOOKUP($A203,'Annex 2 EHV charges'!$D:$O,9,FALSE)=0,"",VLOOKUP($A203,'Annex 2 EHV charges'!$D:$O,9,FALSE)),"")</f>
        <v/>
      </c>
      <c r="F203" s="117" t="str">
        <f>IFERROR(IF(VLOOKUP($A203,'Annex 2 EHV charges'!$D:$O,10,FALSE)=0,"",VLOOKUP($A203,'Annex 2 EHV charges'!$D:$O,10,FALSE)),"")</f>
        <v/>
      </c>
      <c r="G203" s="118" t="str">
        <f>IFERROR(IF(VLOOKUP($A203,'Annex 2 EHV charges'!$D:$O,11,FALSE)=0,"",VLOOKUP($A203,'Annex 2 EHV charges'!$D:$O,11,FALSE)),"")</f>
        <v/>
      </c>
      <c r="H203" s="118" t="str">
        <f>IFERROR(IF(VLOOKUP($A203,'Annex 2 EHV charges'!$D:$O,12,FALSE)=0,"",VLOOKUP($A203,'Annex 2 EHV charges'!$D:$O,12,FALSE)),"")</f>
        <v/>
      </c>
    </row>
    <row r="204" spans="1:8" x14ac:dyDescent="0.2">
      <c r="A204" s="115" t="str">
        <f t="array" ref="A204">IFERROR(INDEX('Annex 2 EHV charges'!$D$11:$D$259, MATCH(0, IF(ISBLANK('Annex 2 EHV charges'!$D$11:$D$259),1, COUNTIF(A$4:$A203, 'Annex 2 EHV charges'!$D$11:$D$259)), 0)),"")</f>
        <v/>
      </c>
      <c r="B204" s="114" t="str">
        <f>IF($A204="","",VLOOKUP($A204,'Annex 2 EHV charges'!$D:$O,2,0))</f>
        <v/>
      </c>
      <c r="C204" s="115" t="str">
        <f>IF($A204="","",VLOOKUP($A204,'Annex 2 EHV charges'!$D:$O,3,0))</f>
        <v/>
      </c>
      <c r="D204" s="114" t="str">
        <f>IF($A204="","",VLOOKUP($A204,'Annex 2 EHV charges'!$D:$O,4,0))</f>
        <v/>
      </c>
      <c r="E204" s="116" t="str">
        <f>IFERROR(IF(VLOOKUP($A204,'Annex 2 EHV charges'!$D:$O,9,FALSE)=0,"",VLOOKUP($A204,'Annex 2 EHV charges'!$D:$O,9,FALSE)),"")</f>
        <v/>
      </c>
      <c r="F204" s="117" t="str">
        <f>IFERROR(IF(VLOOKUP($A204,'Annex 2 EHV charges'!$D:$O,10,FALSE)=0,"",VLOOKUP($A204,'Annex 2 EHV charges'!$D:$O,10,FALSE)),"")</f>
        <v/>
      </c>
      <c r="G204" s="118" t="str">
        <f>IFERROR(IF(VLOOKUP($A204,'Annex 2 EHV charges'!$D:$O,11,FALSE)=0,"",VLOOKUP($A204,'Annex 2 EHV charges'!$D:$O,11,FALSE)),"")</f>
        <v/>
      </c>
      <c r="H204" s="118" t="str">
        <f>IFERROR(IF(VLOOKUP($A204,'Annex 2 EHV charges'!$D:$O,12,FALSE)=0,"",VLOOKUP($A204,'Annex 2 EHV charges'!$D:$O,12,FALSE)),"")</f>
        <v/>
      </c>
    </row>
    <row r="205" spans="1:8" x14ac:dyDescent="0.2">
      <c r="A205" s="115" t="str">
        <f t="array" ref="A205">IFERROR(INDEX('Annex 2 EHV charges'!$D$11:$D$259, MATCH(0, IF(ISBLANK('Annex 2 EHV charges'!$D$11:$D$259),1, COUNTIF(A$4:$A204, 'Annex 2 EHV charges'!$D$11:$D$259)), 0)),"")</f>
        <v/>
      </c>
      <c r="B205" s="114" t="str">
        <f>IF($A205="","",VLOOKUP($A205,'Annex 2 EHV charges'!$D:$O,2,0))</f>
        <v/>
      </c>
      <c r="C205" s="115" t="str">
        <f>IF($A205="","",VLOOKUP($A205,'Annex 2 EHV charges'!$D:$O,3,0))</f>
        <v/>
      </c>
      <c r="D205" s="114" t="str">
        <f>IF($A205="","",VLOOKUP($A205,'Annex 2 EHV charges'!$D:$O,4,0))</f>
        <v/>
      </c>
      <c r="E205" s="116" t="str">
        <f>IFERROR(IF(VLOOKUP($A205,'Annex 2 EHV charges'!$D:$O,9,FALSE)=0,"",VLOOKUP($A205,'Annex 2 EHV charges'!$D:$O,9,FALSE)),"")</f>
        <v/>
      </c>
      <c r="F205" s="117" t="str">
        <f>IFERROR(IF(VLOOKUP($A205,'Annex 2 EHV charges'!$D:$O,10,FALSE)=0,"",VLOOKUP($A205,'Annex 2 EHV charges'!$D:$O,10,FALSE)),"")</f>
        <v/>
      </c>
      <c r="G205" s="118" t="str">
        <f>IFERROR(IF(VLOOKUP($A205,'Annex 2 EHV charges'!$D:$O,11,FALSE)=0,"",VLOOKUP($A205,'Annex 2 EHV charges'!$D:$O,11,FALSE)),"")</f>
        <v/>
      </c>
      <c r="H205" s="118" t="str">
        <f>IFERROR(IF(VLOOKUP($A205,'Annex 2 EHV charges'!$D:$O,12,FALSE)=0,"",VLOOKUP($A205,'Annex 2 EHV charges'!$D:$O,12,FALSE)),"")</f>
        <v/>
      </c>
    </row>
    <row r="206" spans="1:8" x14ac:dyDescent="0.2">
      <c r="A206" s="115" t="str">
        <f t="array" ref="A206">IFERROR(INDEX('Annex 2 EHV charges'!$D$11:$D$259, MATCH(0, IF(ISBLANK('Annex 2 EHV charges'!$D$11:$D$259),1, COUNTIF(A$4:$A205, 'Annex 2 EHV charges'!$D$11:$D$259)), 0)),"")</f>
        <v/>
      </c>
      <c r="B206" s="114" t="str">
        <f>IF($A206="","",VLOOKUP($A206,'Annex 2 EHV charges'!$D:$O,2,0))</f>
        <v/>
      </c>
      <c r="C206" s="115" t="str">
        <f>IF($A206="","",VLOOKUP($A206,'Annex 2 EHV charges'!$D:$O,3,0))</f>
        <v/>
      </c>
      <c r="D206" s="114" t="str">
        <f>IF($A206="","",VLOOKUP($A206,'Annex 2 EHV charges'!$D:$O,4,0))</f>
        <v/>
      </c>
      <c r="E206" s="116" t="str">
        <f>IFERROR(IF(VLOOKUP($A206,'Annex 2 EHV charges'!$D:$O,9,FALSE)=0,"",VLOOKUP($A206,'Annex 2 EHV charges'!$D:$O,9,FALSE)),"")</f>
        <v/>
      </c>
      <c r="F206" s="117" t="str">
        <f>IFERROR(IF(VLOOKUP($A206,'Annex 2 EHV charges'!$D:$O,10,FALSE)=0,"",VLOOKUP($A206,'Annex 2 EHV charges'!$D:$O,10,FALSE)),"")</f>
        <v/>
      </c>
      <c r="G206" s="118" t="str">
        <f>IFERROR(IF(VLOOKUP($A206,'Annex 2 EHV charges'!$D:$O,11,FALSE)=0,"",VLOOKUP($A206,'Annex 2 EHV charges'!$D:$O,11,FALSE)),"")</f>
        <v/>
      </c>
      <c r="H206" s="118" t="str">
        <f>IFERROR(IF(VLOOKUP($A206,'Annex 2 EHV charges'!$D:$O,12,FALSE)=0,"",VLOOKUP($A206,'Annex 2 EHV charges'!$D:$O,12,FALSE)),"")</f>
        <v/>
      </c>
    </row>
    <row r="207" spans="1:8" x14ac:dyDescent="0.2">
      <c r="A207" s="115" t="str">
        <f t="array" ref="A207">IFERROR(INDEX('Annex 2 EHV charges'!$D$11:$D$259, MATCH(0, IF(ISBLANK('Annex 2 EHV charges'!$D$11:$D$259),1, COUNTIF(A$4:$A206, 'Annex 2 EHV charges'!$D$11:$D$259)), 0)),"")</f>
        <v/>
      </c>
      <c r="B207" s="114" t="str">
        <f>IF($A207="","",VLOOKUP($A207,'Annex 2 EHV charges'!$D:$O,2,0))</f>
        <v/>
      </c>
      <c r="C207" s="115" t="str">
        <f>IF($A207="","",VLOOKUP($A207,'Annex 2 EHV charges'!$D:$O,3,0))</f>
        <v/>
      </c>
      <c r="D207" s="114" t="str">
        <f>IF($A207="","",VLOOKUP($A207,'Annex 2 EHV charges'!$D:$O,4,0))</f>
        <v/>
      </c>
      <c r="E207" s="116" t="str">
        <f>IFERROR(IF(VLOOKUP($A207,'Annex 2 EHV charges'!$D:$O,9,FALSE)=0,"",VLOOKUP($A207,'Annex 2 EHV charges'!$D:$O,9,FALSE)),"")</f>
        <v/>
      </c>
      <c r="F207" s="117" t="str">
        <f>IFERROR(IF(VLOOKUP($A207,'Annex 2 EHV charges'!$D:$O,10,FALSE)=0,"",VLOOKUP($A207,'Annex 2 EHV charges'!$D:$O,10,FALSE)),"")</f>
        <v/>
      </c>
      <c r="G207" s="118" t="str">
        <f>IFERROR(IF(VLOOKUP($A207,'Annex 2 EHV charges'!$D:$O,11,FALSE)=0,"",VLOOKUP($A207,'Annex 2 EHV charges'!$D:$O,11,FALSE)),"")</f>
        <v/>
      </c>
      <c r="H207" s="118" t="str">
        <f>IFERROR(IF(VLOOKUP($A207,'Annex 2 EHV charges'!$D:$O,12,FALSE)=0,"",VLOOKUP($A207,'Annex 2 EHV charges'!$D:$O,12,FALSE)),"")</f>
        <v/>
      </c>
    </row>
    <row r="208" spans="1:8" x14ac:dyDescent="0.2">
      <c r="A208" s="115" t="str">
        <f t="array" ref="A208">IFERROR(INDEX('Annex 2 EHV charges'!$D$11:$D$259, MATCH(0, IF(ISBLANK('Annex 2 EHV charges'!$D$11:$D$259),1, COUNTIF(A$4:$A207, 'Annex 2 EHV charges'!$D$11:$D$259)), 0)),"")</f>
        <v/>
      </c>
      <c r="B208" s="114" t="str">
        <f>IF($A208="","",VLOOKUP($A208,'Annex 2 EHV charges'!$D:$O,2,0))</f>
        <v/>
      </c>
      <c r="C208" s="115" t="str">
        <f>IF($A208="","",VLOOKUP($A208,'Annex 2 EHV charges'!$D:$O,3,0))</f>
        <v/>
      </c>
      <c r="D208" s="114" t="str">
        <f>IF($A208="","",VLOOKUP($A208,'Annex 2 EHV charges'!$D:$O,4,0))</f>
        <v/>
      </c>
      <c r="E208" s="116" t="str">
        <f>IFERROR(IF(VLOOKUP($A208,'Annex 2 EHV charges'!$D:$O,9,FALSE)=0,"",VLOOKUP($A208,'Annex 2 EHV charges'!$D:$O,9,FALSE)),"")</f>
        <v/>
      </c>
      <c r="F208" s="117" t="str">
        <f>IFERROR(IF(VLOOKUP($A208,'Annex 2 EHV charges'!$D:$O,10,FALSE)=0,"",VLOOKUP($A208,'Annex 2 EHV charges'!$D:$O,10,FALSE)),"")</f>
        <v/>
      </c>
      <c r="G208" s="118" t="str">
        <f>IFERROR(IF(VLOOKUP($A208,'Annex 2 EHV charges'!$D:$O,11,FALSE)=0,"",VLOOKUP($A208,'Annex 2 EHV charges'!$D:$O,11,FALSE)),"")</f>
        <v/>
      </c>
      <c r="H208" s="118" t="str">
        <f>IFERROR(IF(VLOOKUP($A208,'Annex 2 EHV charges'!$D:$O,12,FALSE)=0,"",VLOOKUP($A208,'Annex 2 EHV charges'!$D:$O,12,FALSE)),"")</f>
        <v/>
      </c>
    </row>
    <row r="209" spans="1:8" x14ac:dyDescent="0.2">
      <c r="A209" s="115" t="str">
        <f t="array" ref="A209">IFERROR(INDEX('Annex 2 EHV charges'!$D$11:$D$259, MATCH(0, IF(ISBLANK('Annex 2 EHV charges'!$D$11:$D$259),1, COUNTIF(A$4:$A208, 'Annex 2 EHV charges'!$D$11:$D$259)), 0)),"")</f>
        <v/>
      </c>
      <c r="B209" s="114" t="str">
        <f>IF($A209="","",VLOOKUP($A209,'Annex 2 EHV charges'!$D:$O,2,0))</f>
        <v/>
      </c>
      <c r="C209" s="115" t="str">
        <f>IF($A209="","",VLOOKUP($A209,'Annex 2 EHV charges'!$D:$O,3,0))</f>
        <v/>
      </c>
      <c r="D209" s="114" t="str">
        <f>IF($A209="","",VLOOKUP($A209,'Annex 2 EHV charges'!$D:$O,4,0))</f>
        <v/>
      </c>
      <c r="E209" s="116" t="str">
        <f>IFERROR(IF(VLOOKUP($A209,'Annex 2 EHV charges'!$D:$O,9,FALSE)=0,"",VLOOKUP($A209,'Annex 2 EHV charges'!$D:$O,9,FALSE)),"")</f>
        <v/>
      </c>
      <c r="F209" s="117" t="str">
        <f>IFERROR(IF(VLOOKUP($A209,'Annex 2 EHV charges'!$D:$O,10,FALSE)=0,"",VLOOKUP($A209,'Annex 2 EHV charges'!$D:$O,10,FALSE)),"")</f>
        <v/>
      </c>
      <c r="G209" s="118" t="str">
        <f>IFERROR(IF(VLOOKUP($A209,'Annex 2 EHV charges'!$D:$O,11,FALSE)=0,"",VLOOKUP($A209,'Annex 2 EHV charges'!$D:$O,11,FALSE)),"")</f>
        <v/>
      </c>
      <c r="H209" s="118" t="str">
        <f>IFERROR(IF(VLOOKUP($A209,'Annex 2 EHV charges'!$D:$O,12,FALSE)=0,"",VLOOKUP($A209,'Annex 2 EHV charges'!$D:$O,12,FALSE)),"")</f>
        <v/>
      </c>
    </row>
    <row r="210" spans="1:8" x14ac:dyDescent="0.2">
      <c r="A210" s="115" t="str">
        <f t="array" ref="A210">IFERROR(INDEX('Annex 2 EHV charges'!$D$11:$D$259, MATCH(0, IF(ISBLANK('Annex 2 EHV charges'!$D$11:$D$259),1, COUNTIF(A$4:$A209, 'Annex 2 EHV charges'!$D$11:$D$259)), 0)),"")</f>
        <v/>
      </c>
      <c r="B210" s="114" t="str">
        <f>IF($A210="","",VLOOKUP($A210,'Annex 2 EHV charges'!$D:$O,2,0))</f>
        <v/>
      </c>
      <c r="C210" s="115" t="str">
        <f>IF($A210="","",VLOOKUP($A210,'Annex 2 EHV charges'!$D:$O,3,0))</f>
        <v/>
      </c>
      <c r="D210" s="114" t="str">
        <f>IF($A210="","",VLOOKUP($A210,'Annex 2 EHV charges'!$D:$O,4,0))</f>
        <v/>
      </c>
      <c r="E210" s="116" t="str">
        <f>IFERROR(IF(VLOOKUP($A210,'Annex 2 EHV charges'!$D:$O,9,FALSE)=0,"",VLOOKUP($A210,'Annex 2 EHV charges'!$D:$O,9,FALSE)),"")</f>
        <v/>
      </c>
      <c r="F210" s="117" t="str">
        <f>IFERROR(IF(VLOOKUP($A210,'Annex 2 EHV charges'!$D:$O,10,FALSE)=0,"",VLOOKUP($A210,'Annex 2 EHV charges'!$D:$O,10,FALSE)),"")</f>
        <v/>
      </c>
      <c r="G210" s="118" t="str">
        <f>IFERROR(IF(VLOOKUP($A210,'Annex 2 EHV charges'!$D:$O,11,FALSE)=0,"",VLOOKUP($A210,'Annex 2 EHV charges'!$D:$O,11,FALSE)),"")</f>
        <v/>
      </c>
      <c r="H210" s="118" t="str">
        <f>IFERROR(IF(VLOOKUP($A210,'Annex 2 EHV charges'!$D:$O,12,FALSE)=0,"",VLOOKUP($A210,'Annex 2 EHV charges'!$D:$O,12,FALSE)),"")</f>
        <v/>
      </c>
    </row>
    <row r="211" spans="1:8" x14ac:dyDescent="0.2">
      <c r="A211" s="115" t="str">
        <f t="array" ref="A211">IFERROR(INDEX('Annex 2 EHV charges'!$D$11:$D$259, MATCH(0, IF(ISBLANK('Annex 2 EHV charges'!$D$11:$D$259),1, COUNTIF(A$4:$A210, 'Annex 2 EHV charges'!$D$11:$D$259)), 0)),"")</f>
        <v/>
      </c>
      <c r="B211" s="114" t="str">
        <f>IF($A211="","",VLOOKUP($A211,'Annex 2 EHV charges'!$D:$O,2,0))</f>
        <v/>
      </c>
      <c r="C211" s="115" t="str">
        <f>IF($A211="","",VLOOKUP($A211,'Annex 2 EHV charges'!$D:$O,3,0))</f>
        <v/>
      </c>
      <c r="D211" s="114" t="str">
        <f>IF($A211="","",VLOOKUP($A211,'Annex 2 EHV charges'!$D:$O,4,0))</f>
        <v/>
      </c>
      <c r="E211" s="116" t="str">
        <f>IFERROR(IF(VLOOKUP($A211,'Annex 2 EHV charges'!$D:$O,9,FALSE)=0,"",VLOOKUP($A211,'Annex 2 EHV charges'!$D:$O,9,FALSE)),"")</f>
        <v/>
      </c>
      <c r="F211" s="117" t="str">
        <f>IFERROR(IF(VLOOKUP($A211,'Annex 2 EHV charges'!$D:$O,10,FALSE)=0,"",VLOOKUP($A211,'Annex 2 EHV charges'!$D:$O,10,FALSE)),"")</f>
        <v/>
      </c>
      <c r="G211" s="118" t="str">
        <f>IFERROR(IF(VLOOKUP($A211,'Annex 2 EHV charges'!$D:$O,11,FALSE)=0,"",VLOOKUP($A211,'Annex 2 EHV charges'!$D:$O,11,FALSE)),"")</f>
        <v/>
      </c>
      <c r="H211" s="118" t="str">
        <f>IFERROR(IF(VLOOKUP($A211,'Annex 2 EHV charges'!$D:$O,12,FALSE)=0,"",VLOOKUP($A211,'Annex 2 EHV charges'!$D:$O,12,FALSE)),"")</f>
        <v/>
      </c>
    </row>
    <row r="212" spans="1:8" x14ac:dyDescent="0.2">
      <c r="A212" s="115" t="str">
        <f t="array" ref="A212">IFERROR(INDEX('Annex 2 EHV charges'!$D$11:$D$259, MATCH(0, IF(ISBLANK('Annex 2 EHV charges'!$D$11:$D$259),1, COUNTIF(A$4:$A211, 'Annex 2 EHV charges'!$D$11:$D$259)), 0)),"")</f>
        <v/>
      </c>
      <c r="B212" s="114" t="str">
        <f>IF($A212="","",VLOOKUP($A212,'Annex 2 EHV charges'!$D:$O,2,0))</f>
        <v/>
      </c>
      <c r="C212" s="115" t="str">
        <f>IF($A212="","",VLOOKUP($A212,'Annex 2 EHV charges'!$D:$O,3,0))</f>
        <v/>
      </c>
      <c r="D212" s="114" t="str">
        <f>IF($A212="","",VLOOKUP($A212,'Annex 2 EHV charges'!$D:$O,4,0))</f>
        <v/>
      </c>
      <c r="E212" s="116" t="str">
        <f>IFERROR(IF(VLOOKUP($A212,'Annex 2 EHV charges'!$D:$O,9,FALSE)=0,"",VLOOKUP($A212,'Annex 2 EHV charges'!$D:$O,9,FALSE)),"")</f>
        <v/>
      </c>
      <c r="F212" s="117" t="str">
        <f>IFERROR(IF(VLOOKUP($A212,'Annex 2 EHV charges'!$D:$O,10,FALSE)=0,"",VLOOKUP($A212,'Annex 2 EHV charges'!$D:$O,10,FALSE)),"")</f>
        <v/>
      </c>
      <c r="G212" s="118" t="str">
        <f>IFERROR(IF(VLOOKUP($A212,'Annex 2 EHV charges'!$D:$O,11,FALSE)=0,"",VLOOKUP($A212,'Annex 2 EHV charges'!$D:$O,11,FALSE)),"")</f>
        <v/>
      </c>
      <c r="H212" s="118" t="str">
        <f>IFERROR(IF(VLOOKUP($A212,'Annex 2 EHV charges'!$D:$O,12,FALSE)=0,"",VLOOKUP($A212,'Annex 2 EHV charges'!$D:$O,12,FALSE)),"")</f>
        <v/>
      </c>
    </row>
    <row r="213" spans="1:8" x14ac:dyDescent="0.2">
      <c r="A213" s="115" t="str">
        <f t="array" ref="A213">IFERROR(INDEX('Annex 2 EHV charges'!$D$11:$D$259, MATCH(0, IF(ISBLANK('Annex 2 EHV charges'!$D$11:$D$259),1, COUNTIF(A$4:$A212, 'Annex 2 EHV charges'!$D$11:$D$259)), 0)),"")</f>
        <v/>
      </c>
      <c r="B213" s="114" t="str">
        <f>IF($A213="","",VLOOKUP($A213,'Annex 2 EHV charges'!$D:$O,2,0))</f>
        <v/>
      </c>
      <c r="C213" s="115" t="str">
        <f>IF($A213="","",VLOOKUP($A213,'Annex 2 EHV charges'!$D:$O,3,0))</f>
        <v/>
      </c>
      <c r="D213" s="114" t="str">
        <f>IF($A213="","",VLOOKUP($A213,'Annex 2 EHV charges'!$D:$O,4,0))</f>
        <v/>
      </c>
      <c r="E213" s="116" t="str">
        <f>IFERROR(IF(VLOOKUP($A213,'Annex 2 EHV charges'!$D:$O,9,FALSE)=0,"",VLOOKUP($A213,'Annex 2 EHV charges'!$D:$O,9,FALSE)),"")</f>
        <v/>
      </c>
      <c r="F213" s="117" t="str">
        <f>IFERROR(IF(VLOOKUP($A213,'Annex 2 EHV charges'!$D:$O,10,FALSE)=0,"",VLOOKUP($A213,'Annex 2 EHV charges'!$D:$O,10,FALSE)),"")</f>
        <v/>
      </c>
      <c r="G213" s="118" t="str">
        <f>IFERROR(IF(VLOOKUP($A213,'Annex 2 EHV charges'!$D:$O,11,FALSE)=0,"",VLOOKUP($A213,'Annex 2 EHV charges'!$D:$O,11,FALSE)),"")</f>
        <v/>
      </c>
      <c r="H213" s="118" t="str">
        <f>IFERROR(IF(VLOOKUP($A213,'Annex 2 EHV charges'!$D:$O,12,FALSE)=0,"",VLOOKUP($A213,'Annex 2 EHV charges'!$D:$O,12,FALSE)),"")</f>
        <v/>
      </c>
    </row>
    <row r="214" spans="1:8" x14ac:dyDescent="0.2">
      <c r="A214" s="115" t="str">
        <f t="array" ref="A214">IFERROR(INDEX('Annex 2 EHV charges'!$D$11:$D$259, MATCH(0, IF(ISBLANK('Annex 2 EHV charges'!$D$11:$D$259),1, COUNTIF(A$4:$A213, 'Annex 2 EHV charges'!$D$11:$D$259)), 0)),"")</f>
        <v/>
      </c>
      <c r="B214" s="114" t="str">
        <f>IF($A214="","",VLOOKUP($A214,'Annex 2 EHV charges'!$D:$O,2,0))</f>
        <v/>
      </c>
      <c r="C214" s="115" t="str">
        <f>IF($A214="","",VLOOKUP($A214,'Annex 2 EHV charges'!$D:$O,3,0))</f>
        <v/>
      </c>
      <c r="D214" s="114" t="str">
        <f>IF($A214="","",VLOOKUP($A214,'Annex 2 EHV charges'!$D:$O,4,0))</f>
        <v/>
      </c>
      <c r="E214" s="116" t="str">
        <f>IFERROR(IF(VLOOKUP($A214,'Annex 2 EHV charges'!$D:$O,9,FALSE)=0,"",VLOOKUP($A214,'Annex 2 EHV charges'!$D:$O,9,FALSE)),"")</f>
        <v/>
      </c>
      <c r="F214" s="117" t="str">
        <f>IFERROR(IF(VLOOKUP($A214,'Annex 2 EHV charges'!$D:$O,10,FALSE)=0,"",VLOOKUP($A214,'Annex 2 EHV charges'!$D:$O,10,FALSE)),"")</f>
        <v/>
      </c>
      <c r="G214" s="118" t="str">
        <f>IFERROR(IF(VLOOKUP($A214,'Annex 2 EHV charges'!$D:$O,11,FALSE)=0,"",VLOOKUP($A214,'Annex 2 EHV charges'!$D:$O,11,FALSE)),"")</f>
        <v/>
      </c>
      <c r="H214" s="118" t="str">
        <f>IFERROR(IF(VLOOKUP($A214,'Annex 2 EHV charges'!$D:$O,12,FALSE)=0,"",VLOOKUP($A214,'Annex 2 EHV charges'!$D:$O,12,FALSE)),"")</f>
        <v/>
      </c>
    </row>
    <row r="215" spans="1:8" x14ac:dyDescent="0.2">
      <c r="A215" s="115" t="str">
        <f t="array" ref="A215">IFERROR(INDEX('Annex 2 EHV charges'!$D$11:$D$259, MATCH(0, IF(ISBLANK('Annex 2 EHV charges'!$D$11:$D$259),1, COUNTIF(A$4:$A214, 'Annex 2 EHV charges'!$D$11:$D$259)), 0)),"")</f>
        <v/>
      </c>
      <c r="B215" s="114" t="str">
        <f>IF($A215="","",VLOOKUP($A215,'Annex 2 EHV charges'!$D:$O,2,0))</f>
        <v/>
      </c>
      <c r="C215" s="115" t="str">
        <f>IF($A215="","",VLOOKUP($A215,'Annex 2 EHV charges'!$D:$O,3,0))</f>
        <v/>
      </c>
      <c r="D215" s="114" t="str">
        <f>IF($A215="","",VLOOKUP($A215,'Annex 2 EHV charges'!$D:$O,4,0))</f>
        <v/>
      </c>
      <c r="E215" s="116" t="str">
        <f>IFERROR(IF(VLOOKUP($A215,'Annex 2 EHV charges'!$D:$O,9,FALSE)=0,"",VLOOKUP($A215,'Annex 2 EHV charges'!$D:$O,9,FALSE)),"")</f>
        <v/>
      </c>
      <c r="F215" s="117" t="str">
        <f>IFERROR(IF(VLOOKUP($A215,'Annex 2 EHV charges'!$D:$O,10,FALSE)=0,"",VLOOKUP($A215,'Annex 2 EHV charges'!$D:$O,10,FALSE)),"")</f>
        <v/>
      </c>
      <c r="G215" s="118" t="str">
        <f>IFERROR(IF(VLOOKUP($A215,'Annex 2 EHV charges'!$D:$O,11,FALSE)=0,"",VLOOKUP($A215,'Annex 2 EHV charges'!$D:$O,11,FALSE)),"")</f>
        <v/>
      </c>
      <c r="H215" s="118" t="str">
        <f>IFERROR(IF(VLOOKUP($A215,'Annex 2 EHV charges'!$D:$O,12,FALSE)=0,"",VLOOKUP($A215,'Annex 2 EHV charges'!$D:$O,12,FALSE)),"")</f>
        <v/>
      </c>
    </row>
    <row r="216" spans="1:8" x14ac:dyDescent="0.2">
      <c r="A216" s="115" t="str">
        <f t="array" ref="A216">IFERROR(INDEX('Annex 2 EHV charges'!$D$11:$D$259, MATCH(0, IF(ISBLANK('Annex 2 EHV charges'!$D$11:$D$259),1, COUNTIF(A$4:$A215, 'Annex 2 EHV charges'!$D$11:$D$259)), 0)),"")</f>
        <v/>
      </c>
      <c r="B216" s="114" t="str">
        <f>IF($A216="","",VLOOKUP($A216,'Annex 2 EHV charges'!$D:$O,2,0))</f>
        <v/>
      </c>
      <c r="C216" s="115" t="str">
        <f>IF($A216="","",VLOOKUP($A216,'Annex 2 EHV charges'!$D:$O,3,0))</f>
        <v/>
      </c>
      <c r="D216" s="114" t="str">
        <f>IF($A216="","",VLOOKUP($A216,'Annex 2 EHV charges'!$D:$O,4,0))</f>
        <v/>
      </c>
      <c r="E216" s="116" t="str">
        <f>IFERROR(IF(VLOOKUP($A216,'Annex 2 EHV charges'!$D:$O,9,FALSE)=0,"",VLOOKUP($A216,'Annex 2 EHV charges'!$D:$O,9,FALSE)),"")</f>
        <v/>
      </c>
      <c r="F216" s="117" t="str">
        <f>IFERROR(IF(VLOOKUP($A216,'Annex 2 EHV charges'!$D:$O,10,FALSE)=0,"",VLOOKUP($A216,'Annex 2 EHV charges'!$D:$O,10,FALSE)),"")</f>
        <v/>
      </c>
      <c r="G216" s="118" t="str">
        <f>IFERROR(IF(VLOOKUP($A216,'Annex 2 EHV charges'!$D:$O,11,FALSE)=0,"",VLOOKUP($A216,'Annex 2 EHV charges'!$D:$O,11,FALSE)),"")</f>
        <v/>
      </c>
      <c r="H216" s="118" t="str">
        <f>IFERROR(IF(VLOOKUP($A216,'Annex 2 EHV charges'!$D:$O,12,FALSE)=0,"",VLOOKUP($A216,'Annex 2 EHV charges'!$D:$O,12,FALSE)),"")</f>
        <v/>
      </c>
    </row>
    <row r="217" spans="1:8" x14ac:dyDescent="0.2">
      <c r="A217" s="115" t="str">
        <f t="array" ref="A217">IFERROR(INDEX('Annex 2 EHV charges'!$D$11:$D$259, MATCH(0, IF(ISBLANK('Annex 2 EHV charges'!$D$11:$D$259),1, COUNTIF(A$4:$A216, 'Annex 2 EHV charges'!$D$11:$D$259)), 0)),"")</f>
        <v/>
      </c>
      <c r="B217" s="114" t="str">
        <f>IF($A217="","",VLOOKUP($A217,'Annex 2 EHV charges'!$D:$O,2,0))</f>
        <v/>
      </c>
      <c r="C217" s="115" t="str">
        <f>IF($A217="","",VLOOKUP($A217,'Annex 2 EHV charges'!$D:$O,3,0))</f>
        <v/>
      </c>
      <c r="D217" s="114" t="str">
        <f>IF($A217="","",VLOOKUP($A217,'Annex 2 EHV charges'!$D:$O,4,0))</f>
        <v/>
      </c>
      <c r="E217" s="116" t="str">
        <f>IFERROR(IF(VLOOKUP($A217,'Annex 2 EHV charges'!$D:$O,9,FALSE)=0,"",VLOOKUP($A217,'Annex 2 EHV charges'!$D:$O,9,FALSE)),"")</f>
        <v/>
      </c>
      <c r="F217" s="117" t="str">
        <f>IFERROR(IF(VLOOKUP($A217,'Annex 2 EHV charges'!$D:$O,10,FALSE)=0,"",VLOOKUP($A217,'Annex 2 EHV charges'!$D:$O,10,FALSE)),"")</f>
        <v/>
      </c>
      <c r="G217" s="118" t="str">
        <f>IFERROR(IF(VLOOKUP($A217,'Annex 2 EHV charges'!$D:$O,11,FALSE)=0,"",VLOOKUP($A217,'Annex 2 EHV charges'!$D:$O,11,FALSE)),"")</f>
        <v/>
      </c>
      <c r="H217" s="118" t="str">
        <f>IFERROR(IF(VLOOKUP($A217,'Annex 2 EHV charges'!$D:$O,12,FALSE)=0,"",VLOOKUP($A217,'Annex 2 EHV charges'!$D:$O,12,FALSE)),"")</f>
        <v/>
      </c>
    </row>
    <row r="218" spans="1:8" x14ac:dyDescent="0.2">
      <c r="A218" s="115" t="str">
        <f t="array" ref="A218">IFERROR(INDEX('Annex 2 EHV charges'!$D$11:$D$259, MATCH(0, IF(ISBLANK('Annex 2 EHV charges'!$D$11:$D$259),1, COUNTIF(A$4:$A217, 'Annex 2 EHV charges'!$D$11:$D$259)), 0)),"")</f>
        <v/>
      </c>
      <c r="B218" s="114" t="str">
        <f>IF($A218="","",VLOOKUP($A218,'Annex 2 EHV charges'!$D:$O,2,0))</f>
        <v/>
      </c>
      <c r="C218" s="115" t="str">
        <f>IF($A218="","",VLOOKUP($A218,'Annex 2 EHV charges'!$D:$O,3,0))</f>
        <v/>
      </c>
      <c r="D218" s="114" t="str">
        <f>IF($A218="","",VLOOKUP($A218,'Annex 2 EHV charges'!$D:$O,4,0))</f>
        <v/>
      </c>
      <c r="E218" s="116" t="str">
        <f>IFERROR(IF(VLOOKUP($A218,'Annex 2 EHV charges'!$D:$O,9,FALSE)=0,"",VLOOKUP($A218,'Annex 2 EHV charges'!$D:$O,9,FALSE)),"")</f>
        <v/>
      </c>
      <c r="F218" s="117" t="str">
        <f>IFERROR(IF(VLOOKUP($A218,'Annex 2 EHV charges'!$D:$O,10,FALSE)=0,"",VLOOKUP($A218,'Annex 2 EHV charges'!$D:$O,10,FALSE)),"")</f>
        <v/>
      </c>
      <c r="G218" s="118" t="str">
        <f>IFERROR(IF(VLOOKUP($A218,'Annex 2 EHV charges'!$D:$O,11,FALSE)=0,"",VLOOKUP($A218,'Annex 2 EHV charges'!$D:$O,11,FALSE)),"")</f>
        <v/>
      </c>
      <c r="H218" s="118" t="str">
        <f>IFERROR(IF(VLOOKUP($A218,'Annex 2 EHV charges'!$D:$O,12,FALSE)=0,"",VLOOKUP($A218,'Annex 2 EHV charges'!$D:$O,12,FALSE)),"")</f>
        <v/>
      </c>
    </row>
    <row r="219" spans="1:8" x14ac:dyDescent="0.2">
      <c r="A219" s="115" t="str">
        <f t="array" ref="A219">IFERROR(INDEX('Annex 2 EHV charges'!$D$11:$D$259, MATCH(0, IF(ISBLANK('Annex 2 EHV charges'!$D$11:$D$259),1, COUNTIF(A$4:$A218, 'Annex 2 EHV charges'!$D$11:$D$259)), 0)),"")</f>
        <v/>
      </c>
      <c r="B219" s="114" t="str">
        <f>IF($A219="","",VLOOKUP($A219,'Annex 2 EHV charges'!$D:$O,2,0))</f>
        <v/>
      </c>
      <c r="C219" s="115" t="str">
        <f>IF($A219="","",VLOOKUP($A219,'Annex 2 EHV charges'!$D:$O,3,0))</f>
        <v/>
      </c>
      <c r="D219" s="114" t="str">
        <f>IF($A219="","",VLOOKUP($A219,'Annex 2 EHV charges'!$D:$O,4,0))</f>
        <v/>
      </c>
      <c r="E219" s="116" t="str">
        <f>IFERROR(IF(VLOOKUP($A219,'Annex 2 EHV charges'!$D:$O,9,FALSE)=0,"",VLOOKUP($A219,'Annex 2 EHV charges'!$D:$O,9,FALSE)),"")</f>
        <v/>
      </c>
      <c r="F219" s="117" t="str">
        <f>IFERROR(IF(VLOOKUP($A219,'Annex 2 EHV charges'!$D:$O,10,FALSE)=0,"",VLOOKUP($A219,'Annex 2 EHV charges'!$D:$O,10,FALSE)),"")</f>
        <v/>
      </c>
      <c r="G219" s="118" t="str">
        <f>IFERROR(IF(VLOOKUP($A219,'Annex 2 EHV charges'!$D:$O,11,FALSE)=0,"",VLOOKUP($A219,'Annex 2 EHV charges'!$D:$O,11,FALSE)),"")</f>
        <v/>
      </c>
      <c r="H219" s="118" t="str">
        <f>IFERROR(IF(VLOOKUP($A219,'Annex 2 EHV charges'!$D:$O,12,FALSE)=0,"",VLOOKUP($A219,'Annex 2 EHV charges'!$D:$O,12,FALSE)),"")</f>
        <v/>
      </c>
    </row>
    <row r="220" spans="1:8" x14ac:dyDescent="0.2">
      <c r="A220" s="115" t="str">
        <f t="array" ref="A220">IFERROR(INDEX('Annex 2 EHV charges'!$D$11:$D$259, MATCH(0, IF(ISBLANK('Annex 2 EHV charges'!$D$11:$D$259),1, COUNTIF(A$4:$A219, 'Annex 2 EHV charges'!$D$11:$D$259)), 0)),"")</f>
        <v/>
      </c>
      <c r="B220" s="114" t="str">
        <f>IF($A220="","",VLOOKUP($A220,'Annex 2 EHV charges'!$D:$O,2,0))</f>
        <v/>
      </c>
      <c r="C220" s="115" t="str">
        <f>IF($A220="","",VLOOKUP($A220,'Annex 2 EHV charges'!$D:$O,3,0))</f>
        <v/>
      </c>
      <c r="D220" s="114" t="str">
        <f>IF($A220="","",VLOOKUP($A220,'Annex 2 EHV charges'!$D:$O,4,0))</f>
        <v/>
      </c>
      <c r="E220" s="116" t="str">
        <f>IFERROR(IF(VLOOKUP($A220,'Annex 2 EHV charges'!$D:$O,9,FALSE)=0,"",VLOOKUP($A220,'Annex 2 EHV charges'!$D:$O,9,FALSE)),"")</f>
        <v/>
      </c>
      <c r="F220" s="117" t="str">
        <f>IFERROR(IF(VLOOKUP($A220,'Annex 2 EHV charges'!$D:$O,10,FALSE)=0,"",VLOOKUP($A220,'Annex 2 EHV charges'!$D:$O,10,FALSE)),"")</f>
        <v/>
      </c>
      <c r="G220" s="118" t="str">
        <f>IFERROR(IF(VLOOKUP($A220,'Annex 2 EHV charges'!$D:$O,11,FALSE)=0,"",VLOOKUP($A220,'Annex 2 EHV charges'!$D:$O,11,FALSE)),"")</f>
        <v/>
      </c>
      <c r="H220" s="118" t="str">
        <f>IFERROR(IF(VLOOKUP($A220,'Annex 2 EHV charges'!$D:$O,12,FALSE)=0,"",VLOOKUP($A220,'Annex 2 EHV charges'!$D:$O,12,FALSE)),"")</f>
        <v/>
      </c>
    </row>
    <row r="221" spans="1:8" x14ac:dyDescent="0.2">
      <c r="A221" s="115" t="str">
        <f t="array" ref="A221">IFERROR(INDEX('Annex 2 EHV charges'!$D$11:$D$259, MATCH(0, IF(ISBLANK('Annex 2 EHV charges'!$D$11:$D$259),1, COUNTIF(A$4:$A220, 'Annex 2 EHV charges'!$D$11:$D$259)), 0)),"")</f>
        <v/>
      </c>
      <c r="B221" s="114" t="str">
        <f>IF($A221="","",VLOOKUP($A221,'Annex 2 EHV charges'!$D:$O,2,0))</f>
        <v/>
      </c>
      <c r="C221" s="115" t="str">
        <f>IF($A221="","",VLOOKUP($A221,'Annex 2 EHV charges'!$D:$O,3,0))</f>
        <v/>
      </c>
      <c r="D221" s="114" t="str">
        <f>IF($A221="","",VLOOKUP($A221,'Annex 2 EHV charges'!$D:$O,4,0))</f>
        <v/>
      </c>
      <c r="E221" s="116" t="str">
        <f>IFERROR(IF(VLOOKUP($A221,'Annex 2 EHV charges'!$D:$O,9,FALSE)=0,"",VLOOKUP($A221,'Annex 2 EHV charges'!$D:$O,9,FALSE)),"")</f>
        <v/>
      </c>
      <c r="F221" s="117" t="str">
        <f>IFERROR(IF(VLOOKUP($A221,'Annex 2 EHV charges'!$D:$O,10,FALSE)=0,"",VLOOKUP($A221,'Annex 2 EHV charges'!$D:$O,10,FALSE)),"")</f>
        <v/>
      </c>
      <c r="G221" s="118" t="str">
        <f>IFERROR(IF(VLOOKUP($A221,'Annex 2 EHV charges'!$D:$O,11,FALSE)=0,"",VLOOKUP($A221,'Annex 2 EHV charges'!$D:$O,11,FALSE)),"")</f>
        <v/>
      </c>
      <c r="H221" s="118" t="str">
        <f>IFERROR(IF(VLOOKUP($A221,'Annex 2 EHV charges'!$D:$O,12,FALSE)=0,"",VLOOKUP($A221,'Annex 2 EHV charges'!$D:$O,12,FALSE)),"")</f>
        <v/>
      </c>
    </row>
    <row r="222" spans="1:8" x14ac:dyDescent="0.2">
      <c r="A222" s="115" t="str">
        <f t="array" ref="A222">IFERROR(INDEX('Annex 2 EHV charges'!$D$11:$D$259, MATCH(0, IF(ISBLANK('Annex 2 EHV charges'!$D$11:$D$259),1, COUNTIF(A$4:$A221, 'Annex 2 EHV charges'!$D$11:$D$259)), 0)),"")</f>
        <v/>
      </c>
      <c r="B222" s="114" t="str">
        <f>IF($A222="","",VLOOKUP($A222,'Annex 2 EHV charges'!$D:$O,2,0))</f>
        <v/>
      </c>
      <c r="C222" s="115" t="str">
        <f>IF($A222="","",VLOOKUP($A222,'Annex 2 EHV charges'!$D:$O,3,0))</f>
        <v/>
      </c>
      <c r="D222" s="114" t="str">
        <f>IF($A222="","",VLOOKUP($A222,'Annex 2 EHV charges'!$D:$O,4,0))</f>
        <v/>
      </c>
      <c r="E222" s="116" t="str">
        <f>IFERROR(IF(VLOOKUP($A222,'Annex 2 EHV charges'!$D:$O,9,FALSE)=0,"",VLOOKUP($A222,'Annex 2 EHV charges'!$D:$O,9,FALSE)),"")</f>
        <v/>
      </c>
      <c r="F222" s="117" t="str">
        <f>IFERROR(IF(VLOOKUP($A222,'Annex 2 EHV charges'!$D:$O,10,FALSE)=0,"",VLOOKUP($A222,'Annex 2 EHV charges'!$D:$O,10,FALSE)),"")</f>
        <v/>
      </c>
      <c r="G222" s="118" t="str">
        <f>IFERROR(IF(VLOOKUP($A222,'Annex 2 EHV charges'!$D:$O,11,FALSE)=0,"",VLOOKUP($A222,'Annex 2 EHV charges'!$D:$O,11,FALSE)),"")</f>
        <v/>
      </c>
      <c r="H222" s="118" t="str">
        <f>IFERROR(IF(VLOOKUP($A222,'Annex 2 EHV charges'!$D:$O,12,FALSE)=0,"",VLOOKUP($A222,'Annex 2 EHV charges'!$D:$O,12,FALSE)),"")</f>
        <v/>
      </c>
    </row>
    <row r="223" spans="1:8" x14ac:dyDescent="0.2">
      <c r="A223" s="115" t="str">
        <f t="array" ref="A223">IFERROR(INDEX('Annex 2 EHV charges'!$D$11:$D$259, MATCH(0, IF(ISBLANK('Annex 2 EHV charges'!$D$11:$D$259),1, COUNTIF(A$4:$A222, 'Annex 2 EHV charges'!$D$11:$D$259)), 0)),"")</f>
        <v/>
      </c>
      <c r="B223" s="114" t="str">
        <f>IF($A223="","",VLOOKUP($A223,'Annex 2 EHV charges'!$D:$O,2,0))</f>
        <v/>
      </c>
      <c r="C223" s="115" t="str">
        <f>IF($A223="","",VLOOKUP($A223,'Annex 2 EHV charges'!$D:$O,3,0))</f>
        <v/>
      </c>
      <c r="D223" s="114" t="str">
        <f>IF($A223="","",VLOOKUP($A223,'Annex 2 EHV charges'!$D:$O,4,0))</f>
        <v/>
      </c>
      <c r="E223" s="116" t="str">
        <f>IFERROR(IF(VLOOKUP($A223,'Annex 2 EHV charges'!$D:$O,9,FALSE)=0,"",VLOOKUP($A223,'Annex 2 EHV charges'!$D:$O,9,FALSE)),"")</f>
        <v/>
      </c>
      <c r="F223" s="117" t="str">
        <f>IFERROR(IF(VLOOKUP($A223,'Annex 2 EHV charges'!$D:$O,10,FALSE)=0,"",VLOOKUP($A223,'Annex 2 EHV charges'!$D:$O,10,FALSE)),"")</f>
        <v/>
      </c>
      <c r="G223" s="118" t="str">
        <f>IFERROR(IF(VLOOKUP($A223,'Annex 2 EHV charges'!$D:$O,11,FALSE)=0,"",VLOOKUP($A223,'Annex 2 EHV charges'!$D:$O,11,FALSE)),"")</f>
        <v/>
      </c>
      <c r="H223" s="118" t="str">
        <f>IFERROR(IF(VLOOKUP($A223,'Annex 2 EHV charges'!$D:$O,12,FALSE)=0,"",VLOOKUP($A223,'Annex 2 EHV charges'!$D:$O,12,FALSE)),"")</f>
        <v/>
      </c>
    </row>
    <row r="224" spans="1:8" x14ac:dyDescent="0.2">
      <c r="A224" s="115" t="str">
        <f t="array" ref="A224">IFERROR(INDEX('Annex 2 EHV charges'!$D$11:$D$259, MATCH(0, IF(ISBLANK('Annex 2 EHV charges'!$D$11:$D$259),1, COUNTIF(A$4:$A223, 'Annex 2 EHV charges'!$D$11:$D$259)), 0)),"")</f>
        <v/>
      </c>
      <c r="B224" s="114" t="str">
        <f>IF($A224="","",VLOOKUP($A224,'Annex 2 EHV charges'!$D:$O,2,0))</f>
        <v/>
      </c>
      <c r="C224" s="115" t="str">
        <f>IF($A224="","",VLOOKUP($A224,'Annex 2 EHV charges'!$D:$O,3,0))</f>
        <v/>
      </c>
      <c r="D224" s="114" t="str">
        <f>IF($A224="","",VLOOKUP($A224,'Annex 2 EHV charges'!$D:$O,4,0))</f>
        <v/>
      </c>
      <c r="E224" s="116" t="str">
        <f>IFERROR(IF(VLOOKUP($A224,'Annex 2 EHV charges'!$D:$O,9,FALSE)=0,"",VLOOKUP($A224,'Annex 2 EHV charges'!$D:$O,9,FALSE)),"")</f>
        <v/>
      </c>
      <c r="F224" s="117" t="str">
        <f>IFERROR(IF(VLOOKUP($A224,'Annex 2 EHV charges'!$D:$O,10,FALSE)=0,"",VLOOKUP($A224,'Annex 2 EHV charges'!$D:$O,10,FALSE)),"")</f>
        <v/>
      </c>
      <c r="G224" s="118" t="str">
        <f>IFERROR(IF(VLOOKUP($A224,'Annex 2 EHV charges'!$D:$O,11,FALSE)=0,"",VLOOKUP($A224,'Annex 2 EHV charges'!$D:$O,11,FALSE)),"")</f>
        <v/>
      </c>
      <c r="H224" s="118" t="str">
        <f>IFERROR(IF(VLOOKUP($A224,'Annex 2 EHV charges'!$D:$O,12,FALSE)=0,"",VLOOKUP($A224,'Annex 2 EHV charges'!$D:$O,12,FALSE)),"")</f>
        <v/>
      </c>
    </row>
    <row r="225" spans="1:8" x14ac:dyDescent="0.2">
      <c r="A225" s="115" t="str">
        <f t="array" ref="A225">IFERROR(INDEX('Annex 2 EHV charges'!$D$11:$D$259, MATCH(0, IF(ISBLANK('Annex 2 EHV charges'!$D$11:$D$259),1, COUNTIF(A$4:$A224, 'Annex 2 EHV charges'!$D$11:$D$259)), 0)),"")</f>
        <v/>
      </c>
      <c r="B225" s="114" t="str">
        <f>IF($A225="","",VLOOKUP($A225,'Annex 2 EHV charges'!$D:$O,2,0))</f>
        <v/>
      </c>
      <c r="C225" s="115" t="str">
        <f>IF($A225="","",VLOOKUP($A225,'Annex 2 EHV charges'!$D:$O,3,0))</f>
        <v/>
      </c>
      <c r="D225" s="114" t="str">
        <f>IF($A225="","",VLOOKUP($A225,'Annex 2 EHV charges'!$D:$O,4,0))</f>
        <v/>
      </c>
      <c r="E225" s="116" t="str">
        <f>IFERROR(IF(VLOOKUP($A225,'Annex 2 EHV charges'!$D:$O,9,FALSE)=0,"",VLOOKUP($A225,'Annex 2 EHV charges'!$D:$O,9,FALSE)),"")</f>
        <v/>
      </c>
      <c r="F225" s="117" t="str">
        <f>IFERROR(IF(VLOOKUP($A225,'Annex 2 EHV charges'!$D:$O,10,FALSE)=0,"",VLOOKUP($A225,'Annex 2 EHV charges'!$D:$O,10,FALSE)),"")</f>
        <v/>
      </c>
      <c r="G225" s="118" t="str">
        <f>IFERROR(IF(VLOOKUP($A225,'Annex 2 EHV charges'!$D:$O,11,FALSE)=0,"",VLOOKUP($A225,'Annex 2 EHV charges'!$D:$O,11,FALSE)),"")</f>
        <v/>
      </c>
      <c r="H225" s="118" t="str">
        <f>IFERROR(IF(VLOOKUP($A225,'Annex 2 EHV charges'!$D:$O,12,FALSE)=0,"",VLOOKUP($A225,'Annex 2 EHV charges'!$D:$O,12,FALSE)),"")</f>
        <v/>
      </c>
    </row>
    <row r="226" spans="1:8" x14ac:dyDescent="0.2">
      <c r="A226" s="115" t="str">
        <f t="array" ref="A226">IFERROR(INDEX('Annex 2 EHV charges'!$D$11:$D$259, MATCH(0, IF(ISBLANK('Annex 2 EHV charges'!$D$11:$D$259),1, COUNTIF(A$4:$A225, 'Annex 2 EHV charges'!$D$11:$D$259)), 0)),"")</f>
        <v/>
      </c>
      <c r="B226" s="114" t="str">
        <f>IF($A226="","",VLOOKUP($A226,'Annex 2 EHV charges'!$D:$O,2,0))</f>
        <v/>
      </c>
      <c r="C226" s="115" t="str">
        <f>IF($A226="","",VLOOKUP($A226,'Annex 2 EHV charges'!$D:$O,3,0))</f>
        <v/>
      </c>
      <c r="D226" s="114" t="str">
        <f>IF($A226="","",VLOOKUP($A226,'Annex 2 EHV charges'!$D:$O,4,0))</f>
        <v/>
      </c>
      <c r="E226" s="116" t="str">
        <f>IFERROR(IF(VLOOKUP($A226,'Annex 2 EHV charges'!$D:$O,9,FALSE)=0,"",VLOOKUP($A226,'Annex 2 EHV charges'!$D:$O,9,FALSE)),"")</f>
        <v/>
      </c>
      <c r="F226" s="117" t="str">
        <f>IFERROR(IF(VLOOKUP($A226,'Annex 2 EHV charges'!$D:$O,10,FALSE)=0,"",VLOOKUP($A226,'Annex 2 EHV charges'!$D:$O,10,FALSE)),"")</f>
        <v/>
      </c>
      <c r="G226" s="118" t="str">
        <f>IFERROR(IF(VLOOKUP($A226,'Annex 2 EHV charges'!$D:$O,11,FALSE)=0,"",VLOOKUP($A226,'Annex 2 EHV charges'!$D:$O,11,FALSE)),"")</f>
        <v/>
      </c>
      <c r="H226" s="118" t="str">
        <f>IFERROR(IF(VLOOKUP($A226,'Annex 2 EHV charges'!$D:$O,12,FALSE)=0,"",VLOOKUP($A226,'Annex 2 EHV charges'!$D:$O,12,FALSE)),"")</f>
        <v/>
      </c>
    </row>
    <row r="227" spans="1:8" x14ac:dyDescent="0.2">
      <c r="A227" s="115" t="str">
        <f t="array" ref="A227">IFERROR(INDEX('Annex 2 EHV charges'!$D$11:$D$259, MATCH(0, IF(ISBLANK('Annex 2 EHV charges'!$D$11:$D$259),1, COUNTIF(A$4:$A226, 'Annex 2 EHV charges'!$D$11:$D$259)), 0)),"")</f>
        <v/>
      </c>
      <c r="B227" s="114" t="str">
        <f>IF($A227="","",VLOOKUP($A227,'Annex 2 EHV charges'!$D:$O,2,0))</f>
        <v/>
      </c>
      <c r="C227" s="115" t="str">
        <f>IF($A227="","",VLOOKUP($A227,'Annex 2 EHV charges'!$D:$O,3,0))</f>
        <v/>
      </c>
      <c r="D227" s="114" t="str">
        <f>IF($A227="","",VLOOKUP($A227,'Annex 2 EHV charges'!$D:$O,4,0))</f>
        <v/>
      </c>
      <c r="E227" s="116" t="str">
        <f>IFERROR(IF(VLOOKUP($A227,'Annex 2 EHV charges'!$D:$O,9,FALSE)=0,"",VLOOKUP($A227,'Annex 2 EHV charges'!$D:$O,9,FALSE)),"")</f>
        <v/>
      </c>
      <c r="F227" s="117" t="str">
        <f>IFERROR(IF(VLOOKUP($A227,'Annex 2 EHV charges'!$D:$O,10,FALSE)=0,"",VLOOKUP($A227,'Annex 2 EHV charges'!$D:$O,10,FALSE)),"")</f>
        <v/>
      </c>
      <c r="G227" s="118" t="str">
        <f>IFERROR(IF(VLOOKUP($A227,'Annex 2 EHV charges'!$D:$O,11,FALSE)=0,"",VLOOKUP($A227,'Annex 2 EHV charges'!$D:$O,11,FALSE)),"")</f>
        <v/>
      </c>
      <c r="H227" s="118" t="str">
        <f>IFERROR(IF(VLOOKUP($A227,'Annex 2 EHV charges'!$D:$O,12,FALSE)=0,"",VLOOKUP($A227,'Annex 2 EHV charges'!$D:$O,12,FALSE)),"")</f>
        <v/>
      </c>
    </row>
    <row r="228" spans="1:8" x14ac:dyDescent="0.2">
      <c r="A228" s="115" t="str">
        <f t="array" ref="A228">IFERROR(INDEX('Annex 2 EHV charges'!$D$11:$D$259, MATCH(0, IF(ISBLANK('Annex 2 EHV charges'!$D$11:$D$259),1, COUNTIF(A$4:$A227, 'Annex 2 EHV charges'!$D$11:$D$259)), 0)),"")</f>
        <v/>
      </c>
      <c r="B228" s="114" t="str">
        <f>IF($A228="","",VLOOKUP($A228,'Annex 2 EHV charges'!$D:$O,2,0))</f>
        <v/>
      </c>
      <c r="C228" s="115" t="str">
        <f>IF($A228="","",VLOOKUP($A228,'Annex 2 EHV charges'!$D:$O,3,0))</f>
        <v/>
      </c>
      <c r="D228" s="114" t="str">
        <f>IF($A228="","",VLOOKUP($A228,'Annex 2 EHV charges'!$D:$O,4,0))</f>
        <v/>
      </c>
      <c r="E228" s="116" t="str">
        <f>IFERROR(IF(VLOOKUP($A228,'Annex 2 EHV charges'!$D:$O,9,FALSE)=0,"",VLOOKUP($A228,'Annex 2 EHV charges'!$D:$O,9,FALSE)),"")</f>
        <v/>
      </c>
      <c r="F228" s="117" t="str">
        <f>IFERROR(IF(VLOOKUP($A228,'Annex 2 EHV charges'!$D:$O,10,FALSE)=0,"",VLOOKUP($A228,'Annex 2 EHV charges'!$D:$O,10,FALSE)),"")</f>
        <v/>
      </c>
      <c r="G228" s="118" t="str">
        <f>IFERROR(IF(VLOOKUP($A228,'Annex 2 EHV charges'!$D:$O,11,FALSE)=0,"",VLOOKUP($A228,'Annex 2 EHV charges'!$D:$O,11,FALSE)),"")</f>
        <v/>
      </c>
      <c r="H228" s="118" t="str">
        <f>IFERROR(IF(VLOOKUP($A228,'Annex 2 EHV charges'!$D:$O,12,FALSE)=0,"",VLOOKUP($A228,'Annex 2 EHV charges'!$D:$O,12,FALSE)),"")</f>
        <v/>
      </c>
    </row>
    <row r="229" spans="1:8" x14ac:dyDescent="0.2">
      <c r="A229" s="115" t="str">
        <f t="array" ref="A229">IFERROR(INDEX('Annex 2 EHV charges'!$D$11:$D$259, MATCH(0, IF(ISBLANK('Annex 2 EHV charges'!$D$11:$D$259),1, COUNTIF(A$4:$A228, 'Annex 2 EHV charges'!$D$11:$D$259)), 0)),"")</f>
        <v/>
      </c>
      <c r="B229" s="114" t="str">
        <f>IF($A229="","",VLOOKUP($A229,'Annex 2 EHV charges'!$D:$O,2,0))</f>
        <v/>
      </c>
      <c r="C229" s="115" t="str">
        <f>IF($A229="","",VLOOKUP($A229,'Annex 2 EHV charges'!$D:$O,3,0))</f>
        <v/>
      </c>
      <c r="D229" s="114" t="str">
        <f>IF($A229="","",VLOOKUP($A229,'Annex 2 EHV charges'!$D:$O,4,0))</f>
        <v/>
      </c>
      <c r="E229" s="116" t="str">
        <f>IFERROR(IF(VLOOKUP($A229,'Annex 2 EHV charges'!$D:$O,9,FALSE)=0,"",VLOOKUP($A229,'Annex 2 EHV charges'!$D:$O,9,FALSE)),"")</f>
        <v/>
      </c>
      <c r="F229" s="117" t="str">
        <f>IFERROR(IF(VLOOKUP($A229,'Annex 2 EHV charges'!$D:$O,10,FALSE)=0,"",VLOOKUP($A229,'Annex 2 EHV charges'!$D:$O,10,FALSE)),"")</f>
        <v/>
      </c>
      <c r="G229" s="118" t="str">
        <f>IFERROR(IF(VLOOKUP($A229,'Annex 2 EHV charges'!$D:$O,11,FALSE)=0,"",VLOOKUP($A229,'Annex 2 EHV charges'!$D:$O,11,FALSE)),"")</f>
        <v/>
      </c>
      <c r="H229" s="118" t="str">
        <f>IFERROR(IF(VLOOKUP($A229,'Annex 2 EHV charges'!$D:$O,12,FALSE)=0,"",VLOOKUP($A229,'Annex 2 EHV charges'!$D:$O,12,FALSE)),"")</f>
        <v/>
      </c>
    </row>
    <row r="230" spans="1:8" x14ac:dyDescent="0.2">
      <c r="A230" s="115" t="str">
        <f t="array" ref="A230">IFERROR(INDEX('Annex 2 EHV charges'!$D$11:$D$259, MATCH(0, IF(ISBLANK('Annex 2 EHV charges'!$D$11:$D$259),1, COUNTIF(A$4:$A229, 'Annex 2 EHV charges'!$D$11:$D$259)), 0)),"")</f>
        <v/>
      </c>
      <c r="B230" s="114" t="str">
        <f>IF($A230="","",VLOOKUP($A230,'Annex 2 EHV charges'!$D:$O,2,0))</f>
        <v/>
      </c>
      <c r="C230" s="115" t="str">
        <f>IF($A230="","",VLOOKUP($A230,'Annex 2 EHV charges'!$D:$O,3,0))</f>
        <v/>
      </c>
      <c r="D230" s="114" t="str">
        <f>IF($A230="","",VLOOKUP($A230,'Annex 2 EHV charges'!$D:$O,4,0))</f>
        <v/>
      </c>
      <c r="E230" s="116" t="str">
        <f>IFERROR(IF(VLOOKUP($A230,'Annex 2 EHV charges'!$D:$O,9,FALSE)=0,"",VLOOKUP($A230,'Annex 2 EHV charges'!$D:$O,9,FALSE)),"")</f>
        <v/>
      </c>
      <c r="F230" s="117" t="str">
        <f>IFERROR(IF(VLOOKUP($A230,'Annex 2 EHV charges'!$D:$O,10,FALSE)=0,"",VLOOKUP($A230,'Annex 2 EHV charges'!$D:$O,10,FALSE)),"")</f>
        <v/>
      </c>
      <c r="G230" s="118" t="str">
        <f>IFERROR(IF(VLOOKUP($A230,'Annex 2 EHV charges'!$D:$O,11,FALSE)=0,"",VLOOKUP($A230,'Annex 2 EHV charges'!$D:$O,11,FALSE)),"")</f>
        <v/>
      </c>
      <c r="H230" s="118" t="str">
        <f>IFERROR(IF(VLOOKUP($A230,'Annex 2 EHV charges'!$D:$O,12,FALSE)=0,"",VLOOKUP($A230,'Annex 2 EHV charges'!$D:$O,12,FALSE)),"")</f>
        <v/>
      </c>
    </row>
    <row r="231" spans="1:8" x14ac:dyDescent="0.2">
      <c r="A231" s="115" t="str">
        <f t="array" ref="A231">IFERROR(INDEX('Annex 2 EHV charges'!$D$11:$D$259, MATCH(0, IF(ISBLANK('Annex 2 EHV charges'!$D$11:$D$259),1, COUNTIF(A$4:$A230, 'Annex 2 EHV charges'!$D$11:$D$259)), 0)),"")</f>
        <v/>
      </c>
      <c r="B231" s="114" t="str">
        <f>IF($A231="","",VLOOKUP($A231,'Annex 2 EHV charges'!$D:$O,2,0))</f>
        <v/>
      </c>
      <c r="C231" s="115" t="str">
        <f>IF($A231="","",VLOOKUP($A231,'Annex 2 EHV charges'!$D:$O,3,0))</f>
        <v/>
      </c>
      <c r="D231" s="114" t="str">
        <f>IF($A231="","",VLOOKUP($A231,'Annex 2 EHV charges'!$D:$O,4,0))</f>
        <v/>
      </c>
      <c r="E231" s="116" t="str">
        <f>IFERROR(IF(VLOOKUP($A231,'Annex 2 EHV charges'!$D:$O,9,FALSE)=0,"",VLOOKUP($A231,'Annex 2 EHV charges'!$D:$O,9,FALSE)),"")</f>
        <v/>
      </c>
      <c r="F231" s="117" t="str">
        <f>IFERROR(IF(VLOOKUP($A231,'Annex 2 EHV charges'!$D:$O,10,FALSE)=0,"",VLOOKUP($A231,'Annex 2 EHV charges'!$D:$O,10,FALSE)),"")</f>
        <v/>
      </c>
      <c r="G231" s="118" t="str">
        <f>IFERROR(IF(VLOOKUP($A231,'Annex 2 EHV charges'!$D:$O,11,FALSE)=0,"",VLOOKUP($A231,'Annex 2 EHV charges'!$D:$O,11,FALSE)),"")</f>
        <v/>
      </c>
      <c r="H231" s="118" t="str">
        <f>IFERROR(IF(VLOOKUP($A231,'Annex 2 EHV charges'!$D:$O,12,FALSE)=0,"",VLOOKUP($A231,'Annex 2 EHV charges'!$D:$O,12,FALSE)),"")</f>
        <v/>
      </c>
    </row>
    <row r="232" spans="1:8" x14ac:dyDescent="0.2">
      <c r="A232" s="115" t="str">
        <f t="array" ref="A232">IFERROR(INDEX('Annex 2 EHV charges'!$D$11:$D$259, MATCH(0, IF(ISBLANK('Annex 2 EHV charges'!$D$11:$D$259),1, COUNTIF(A$4:$A231, 'Annex 2 EHV charges'!$D$11:$D$259)), 0)),"")</f>
        <v/>
      </c>
      <c r="B232" s="114" t="str">
        <f>IF($A232="","",VLOOKUP($A232,'Annex 2 EHV charges'!$D:$O,2,0))</f>
        <v/>
      </c>
      <c r="C232" s="115" t="str">
        <f>IF($A232="","",VLOOKUP($A232,'Annex 2 EHV charges'!$D:$O,3,0))</f>
        <v/>
      </c>
      <c r="D232" s="114" t="str">
        <f>IF($A232="","",VLOOKUP($A232,'Annex 2 EHV charges'!$D:$O,4,0))</f>
        <v/>
      </c>
      <c r="E232" s="116" t="str">
        <f>IFERROR(IF(VLOOKUP($A232,'Annex 2 EHV charges'!$D:$O,9,FALSE)=0,"",VLOOKUP($A232,'Annex 2 EHV charges'!$D:$O,9,FALSE)),"")</f>
        <v/>
      </c>
      <c r="F232" s="117" t="str">
        <f>IFERROR(IF(VLOOKUP($A232,'Annex 2 EHV charges'!$D:$O,10,FALSE)=0,"",VLOOKUP($A232,'Annex 2 EHV charges'!$D:$O,10,FALSE)),"")</f>
        <v/>
      </c>
      <c r="G232" s="118" t="str">
        <f>IFERROR(IF(VLOOKUP($A232,'Annex 2 EHV charges'!$D:$O,11,FALSE)=0,"",VLOOKUP($A232,'Annex 2 EHV charges'!$D:$O,11,FALSE)),"")</f>
        <v/>
      </c>
      <c r="H232" s="118" t="str">
        <f>IFERROR(IF(VLOOKUP($A232,'Annex 2 EHV charges'!$D:$O,12,FALSE)=0,"",VLOOKUP($A232,'Annex 2 EHV charges'!$D:$O,12,FALSE)),"")</f>
        <v/>
      </c>
    </row>
    <row r="233" spans="1:8" x14ac:dyDescent="0.2">
      <c r="A233" s="115" t="str">
        <f t="array" ref="A233">IFERROR(INDEX('Annex 2 EHV charges'!$D$11:$D$259, MATCH(0, IF(ISBLANK('Annex 2 EHV charges'!$D$11:$D$259),1, COUNTIF(A$4:$A232, 'Annex 2 EHV charges'!$D$11:$D$259)), 0)),"")</f>
        <v/>
      </c>
      <c r="B233" s="114" t="str">
        <f>IF($A233="","",VLOOKUP($A233,'Annex 2 EHV charges'!$D:$O,2,0))</f>
        <v/>
      </c>
      <c r="C233" s="115" t="str">
        <f>IF($A233="","",VLOOKUP($A233,'Annex 2 EHV charges'!$D:$O,3,0))</f>
        <v/>
      </c>
      <c r="D233" s="114" t="str">
        <f>IF($A233="","",VLOOKUP($A233,'Annex 2 EHV charges'!$D:$O,4,0))</f>
        <v/>
      </c>
      <c r="E233" s="116" t="str">
        <f>IFERROR(IF(VLOOKUP($A233,'Annex 2 EHV charges'!$D:$O,9,FALSE)=0,"",VLOOKUP($A233,'Annex 2 EHV charges'!$D:$O,9,FALSE)),"")</f>
        <v/>
      </c>
      <c r="F233" s="117" t="str">
        <f>IFERROR(IF(VLOOKUP($A233,'Annex 2 EHV charges'!$D:$O,10,FALSE)=0,"",VLOOKUP($A233,'Annex 2 EHV charges'!$D:$O,10,FALSE)),"")</f>
        <v/>
      </c>
      <c r="G233" s="118" t="str">
        <f>IFERROR(IF(VLOOKUP($A233,'Annex 2 EHV charges'!$D:$O,11,FALSE)=0,"",VLOOKUP($A233,'Annex 2 EHV charges'!$D:$O,11,FALSE)),"")</f>
        <v/>
      </c>
      <c r="H233" s="118" t="str">
        <f>IFERROR(IF(VLOOKUP($A233,'Annex 2 EHV charges'!$D:$O,12,FALSE)=0,"",VLOOKUP($A233,'Annex 2 EHV charges'!$D:$O,12,FALSE)),"")</f>
        <v/>
      </c>
    </row>
    <row r="234" spans="1:8" x14ac:dyDescent="0.2">
      <c r="A234" s="115" t="str">
        <f t="array" ref="A234">IFERROR(INDEX('Annex 2 EHV charges'!$D$11:$D$259, MATCH(0, IF(ISBLANK('Annex 2 EHV charges'!$D$11:$D$259),1, COUNTIF(A$4:$A233, 'Annex 2 EHV charges'!$D$11:$D$259)), 0)),"")</f>
        <v/>
      </c>
      <c r="B234" s="114" t="str">
        <f>IF($A234="","",VLOOKUP($A234,'Annex 2 EHV charges'!$D:$O,2,0))</f>
        <v/>
      </c>
      <c r="C234" s="115" t="str">
        <f>IF($A234="","",VLOOKUP($A234,'Annex 2 EHV charges'!$D:$O,3,0))</f>
        <v/>
      </c>
      <c r="D234" s="114" t="str">
        <f>IF($A234="","",VLOOKUP($A234,'Annex 2 EHV charges'!$D:$O,4,0))</f>
        <v/>
      </c>
      <c r="E234" s="116" t="str">
        <f>IFERROR(IF(VLOOKUP($A234,'Annex 2 EHV charges'!$D:$O,9,FALSE)=0,"",VLOOKUP($A234,'Annex 2 EHV charges'!$D:$O,9,FALSE)),"")</f>
        <v/>
      </c>
      <c r="F234" s="117" t="str">
        <f>IFERROR(IF(VLOOKUP($A234,'Annex 2 EHV charges'!$D:$O,10,FALSE)=0,"",VLOOKUP($A234,'Annex 2 EHV charges'!$D:$O,10,FALSE)),"")</f>
        <v/>
      </c>
      <c r="G234" s="118" t="str">
        <f>IFERROR(IF(VLOOKUP($A234,'Annex 2 EHV charges'!$D:$O,11,FALSE)=0,"",VLOOKUP($A234,'Annex 2 EHV charges'!$D:$O,11,FALSE)),"")</f>
        <v/>
      </c>
      <c r="H234" s="118" t="str">
        <f>IFERROR(IF(VLOOKUP($A234,'Annex 2 EHV charges'!$D:$O,12,FALSE)=0,"",VLOOKUP($A234,'Annex 2 EHV charges'!$D:$O,12,FALSE)),"")</f>
        <v/>
      </c>
    </row>
    <row r="235" spans="1:8" x14ac:dyDescent="0.2">
      <c r="A235" s="115" t="str">
        <f t="array" ref="A235">IFERROR(INDEX('Annex 2 EHV charges'!$D$11:$D$259, MATCH(0, IF(ISBLANK('Annex 2 EHV charges'!$D$11:$D$259),1, COUNTIF(A$4:$A234, 'Annex 2 EHV charges'!$D$11:$D$259)), 0)),"")</f>
        <v/>
      </c>
      <c r="B235" s="114" t="str">
        <f>IF($A235="","",VLOOKUP($A235,'Annex 2 EHV charges'!$D:$O,2,0))</f>
        <v/>
      </c>
      <c r="C235" s="115" t="str">
        <f>IF($A235="","",VLOOKUP($A235,'Annex 2 EHV charges'!$D:$O,3,0))</f>
        <v/>
      </c>
      <c r="D235" s="114" t="str">
        <f>IF($A235="","",VLOOKUP($A235,'Annex 2 EHV charges'!$D:$O,4,0))</f>
        <v/>
      </c>
      <c r="E235" s="116" t="str">
        <f>IFERROR(IF(VLOOKUP($A235,'Annex 2 EHV charges'!$D:$O,9,FALSE)=0,"",VLOOKUP($A235,'Annex 2 EHV charges'!$D:$O,9,FALSE)),"")</f>
        <v/>
      </c>
      <c r="F235" s="117" t="str">
        <f>IFERROR(IF(VLOOKUP($A235,'Annex 2 EHV charges'!$D:$O,10,FALSE)=0,"",VLOOKUP($A235,'Annex 2 EHV charges'!$D:$O,10,FALSE)),"")</f>
        <v/>
      </c>
      <c r="G235" s="118" t="str">
        <f>IFERROR(IF(VLOOKUP($A235,'Annex 2 EHV charges'!$D:$O,11,FALSE)=0,"",VLOOKUP($A235,'Annex 2 EHV charges'!$D:$O,11,FALSE)),"")</f>
        <v/>
      </c>
      <c r="H235" s="118" t="str">
        <f>IFERROR(IF(VLOOKUP($A235,'Annex 2 EHV charges'!$D:$O,12,FALSE)=0,"",VLOOKUP($A235,'Annex 2 EHV charges'!$D:$O,12,FALSE)),"")</f>
        <v/>
      </c>
    </row>
    <row r="236" spans="1:8" x14ac:dyDescent="0.2">
      <c r="A236" s="115" t="str">
        <f t="array" ref="A236">IFERROR(INDEX('Annex 2 EHV charges'!$D$11:$D$259, MATCH(0, IF(ISBLANK('Annex 2 EHV charges'!$D$11:$D$259),1, COUNTIF(A$4:$A235, 'Annex 2 EHV charges'!$D$11:$D$259)), 0)),"")</f>
        <v/>
      </c>
      <c r="B236" s="114" t="str">
        <f>IF($A236="","",VLOOKUP($A236,'Annex 2 EHV charges'!$D:$O,2,0))</f>
        <v/>
      </c>
      <c r="C236" s="115" t="str">
        <f>IF($A236="","",VLOOKUP($A236,'Annex 2 EHV charges'!$D:$O,3,0))</f>
        <v/>
      </c>
      <c r="D236" s="114" t="str">
        <f>IF($A236="","",VLOOKUP($A236,'Annex 2 EHV charges'!$D:$O,4,0))</f>
        <v/>
      </c>
      <c r="E236" s="116" t="str">
        <f>IFERROR(IF(VLOOKUP($A236,'Annex 2 EHV charges'!$D:$O,9,FALSE)=0,"",VLOOKUP($A236,'Annex 2 EHV charges'!$D:$O,9,FALSE)),"")</f>
        <v/>
      </c>
      <c r="F236" s="117" t="str">
        <f>IFERROR(IF(VLOOKUP($A236,'Annex 2 EHV charges'!$D:$O,10,FALSE)=0,"",VLOOKUP($A236,'Annex 2 EHV charges'!$D:$O,10,FALSE)),"")</f>
        <v/>
      </c>
      <c r="G236" s="118" t="str">
        <f>IFERROR(IF(VLOOKUP($A236,'Annex 2 EHV charges'!$D:$O,11,FALSE)=0,"",VLOOKUP($A236,'Annex 2 EHV charges'!$D:$O,11,FALSE)),"")</f>
        <v/>
      </c>
      <c r="H236" s="118" t="str">
        <f>IFERROR(IF(VLOOKUP($A236,'Annex 2 EHV charges'!$D:$O,12,FALSE)=0,"",VLOOKUP($A236,'Annex 2 EHV charges'!$D:$O,12,FALSE)),"")</f>
        <v/>
      </c>
    </row>
    <row r="237" spans="1:8" x14ac:dyDescent="0.2">
      <c r="A237" s="115" t="str">
        <f t="array" ref="A237">IFERROR(INDEX('Annex 2 EHV charges'!$D$11:$D$259, MATCH(0, IF(ISBLANK('Annex 2 EHV charges'!$D$11:$D$259),1, COUNTIF(A$4:$A236, 'Annex 2 EHV charges'!$D$11:$D$259)), 0)),"")</f>
        <v/>
      </c>
      <c r="B237" s="114" t="str">
        <f>IF($A237="","",VLOOKUP($A237,'Annex 2 EHV charges'!$D:$O,2,0))</f>
        <v/>
      </c>
      <c r="C237" s="115" t="str">
        <f>IF($A237="","",VLOOKUP($A237,'Annex 2 EHV charges'!$D:$O,3,0))</f>
        <v/>
      </c>
      <c r="D237" s="114" t="str">
        <f>IF($A237="","",VLOOKUP($A237,'Annex 2 EHV charges'!$D:$O,4,0))</f>
        <v/>
      </c>
      <c r="E237" s="116" t="str">
        <f>IFERROR(IF(VLOOKUP($A237,'Annex 2 EHV charges'!$D:$O,9,FALSE)=0,"",VLOOKUP($A237,'Annex 2 EHV charges'!$D:$O,9,FALSE)),"")</f>
        <v/>
      </c>
      <c r="F237" s="117" t="str">
        <f>IFERROR(IF(VLOOKUP($A237,'Annex 2 EHV charges'!$D:$O,10,FALSE)=0,"",VLOOKUP($A237,'Annex 2 EHV charges'!$D:$O,10,FALSE)),"")</f>
        <v/>
      </c>
      <c r="G237" s="118" t="str">
        <f>IFERROR(IF(VLOOKUP($A237,'Annex 2 EHV charges'!$D:$O,11,FALSE)=0,"",VLOOKUP($A237,'Annex 2 EHV charges'!$D:$O,11,FALSE)),"")</f>
        <v/>
      </c>
      <c r="H237" s="118" t="str">
        <f>IFERROR(IF(VLOOKUP($A237,'Annex 2 EHV charges'!$D:$O,12,FALSE)=0,"",VLOOKUP($A237,'Annex 2 EHV charges'!$D:$O,12,FALSE)),"")</f>
        <v/>
      </c>
    </row>
    <row r="238" spans="1:8" x14ac:dyDescent="0.2">
      <c r="A238" s="115" t="str">
        <f t="array" ref="A238">IFERROR(INDEX('Annex 2 EHV charges'!$D$11:$D$259, MATCH(0, IF(ISBLANK('Annex 2 EHV charges'!$D$11:$D$259),1, COUNTIF(A$4:$A237, 'Annex 2 EHV charges'!$D$11:$D$259)), 0)),"")</f>
        <v/>
      </c>
      <c r="B238" s="114" t="str">
        <f>IF($A238="","",VLOOKUP($A238,'Annex 2 EHV charges'!$D:$O,2,0))</f>
        <v/>
      </c>
      <c r="C238" s="115" t="str">
        <f>IF($A238="","",VLOOKUP($A238,'Annex 2 EHV charges'!$D:$O,3,0))</f>
        <v/>
      </c>
      <c r="D238" s="114" t="str">
        <f>IF($A238="","",VLOOKUP($A238,'Annex 2 EHV charges'!$D:$O,4,0))</f>
        <v/>
      </c>
      <c r="E238" s="116" t="str">
        <f>IFERROR(IF(VLOOKUP($A238,'Annex 2 EHV charges'!$D:$O,9,FALSE)=0,"",VLOOKUP($A238,'Annex 2 EHV charges'!$D:$O,9,FALSE)),"")</f>
        <v/>
      </c>
      <c r="F238" s="117" t="str">
        <f>IFERROR(IF(VLOOKUP($A238,'Annex 2 EHV charges'!$D:$O,10,FALSE)=0,"",VLOOKUP($A238,'Annex 2 EHV charges'!$D:$O,10,FALSE)),"")</f>
        <v/>
      </c>
      <c r="G238" s="118" t="str">
        <f>IFERROR(IF(VLOOKUP($A238,'Annex 2 EHV charges'!$D:$O,11,FALSE)=0,"",VLOOKUP($A238,'Annex 2 EHV charges'!$D:$O,11,FALSE)),"")</f>
        <v/>
      </c>
      <c r="H238" s="118" t="str">
        <f>IFERROR(IF(VLOOKUP($A238,'Annex 2 EHV charges'!$D:$O,12,FALSE)=0,"",VLOOKUP($A238,'Annex 2 EHV charges'!$D:$O,12,FALSE)),"")</f>
        <v/>
      </c>
    </row>
    <row r="239" spans="1:8" x14ac:dyDescent="0.2">
      <c r="A239" s="115" t="str">
        <f t="array" ref="A239">IFERROR(INDEX('Annex 2 EHV charges'!$D$11:$D$259, MATCH(0, IF(ISBLANK('Annex 2 EHV charges'!$D$11:$D$259),1, COUNTIF(A$4:$A238, 'Annex 2 EHV charges'!$D$11:$D$259)), 0)),"")</f>
        <v/>
      </c>
      <c r="B239" s="114" t="str">
        <f>IF($A239="","",VLOOKUP($A239,'Annex 2 EHV charges'!$D:$O,2,0))</f>
        <v/>
      </c>
      <c r="C239" s="115" t="str">
        <f>IF($A239="","",VLOOKUP($A239,'Annex 2 EHV charges'!$D:$O,3,0))</f>
        <v/>
      </c>
      <c r="D239" s="114" t="str">
        <f>IF($A239="","",VLOOKUP($A239,'Annex 2 EHV charges'!$D:$O,4,0))</f>
        <v/>
      </c>
      <c r="E239" s="116" t="str">
        <f>IFERROR(IF(VLOOKUP($A239,'Annex 2 EHV charges'!$D:$O,9,FALSE)=0,"",VLOOKUP($A239,'Annex 2 EHV charges'!$D:$O,9,FALSE)),"")</f>
        <v/>
      </c>
      <c r="F239" s="117" t="str">
        <f>IFERROR(IF(VLOOKUP($A239,'Annex 2 EHV charges'!$D:$O,10,FALSE)=0,"",VLOOKUP($A239,'Annex 2 EHV charges'!$D:$O,10,FALSE)),"")</f>
        <v/>
      </c>
      <c r="G239" s="118" t="str">
        <f>IFERROR(IF(VLOOKUP($A239,'Annex 2 EHV charges'!$D:$O,11,FALSE)=0,"",VLOOKUP($A239,'Annex 2 EHV charges'!$D:$O,11,FALSE)),"")</f>
        <v/>
      </c>
      <c r="H239" s="118" t="str">
        <f>IFERROR(IF(VLOOKUP($A239,'Annex 2 EHV charges'!$D:$O,12,FALSE)=0,"",VLOOKUP($A239,'Annex 2 EHV charges'!$D:$O,12,FALSE)),"")</f>
        <v/>
      </c>
    </row>
    <row r="240" spans="1:8" x14ac:dyDescent="0.2">
      <c r="A240" s="115" t="str">
        <f t="array" ref="A240">IFERROR(INDEX('Annex 2 EHV charges'!$D$11:$D$259, MATCH(0, IF(ISBLANK('Annex 2 EHV charges'!$D$11:$D$259),1, COUNTIF(A$4:$A239, 'Annex 2 EHV charges'!$D$11:$D$259)), 0)),"")</f>
        <v/>
      </c>
      <c r="B240" s="114" t="str">
        <f>IF($A240="","",VLOOKUP($A240,'Annex 2 EHV charges'!$D:$O,2,0))</f>
        <v/>
      </c>
      <c r="C240" s="115" t="str">
        <f>IF($A240="","",VLOOKUP($A240,'Annex 2 EHV charges'!$D:$O,3,0))</f>
        <v/>
      </c>
      <c r="D240" s="114" t="str">
        <f>IF($A240="","",VLOOKUP($A240,'Annex 2 EHV charges'!$D:$O,4,0))</f>
        <v/>
      </c>
      <c r="E240" s="116" t="str">
        <f>IFERROR(IF(VLOOKUP($A240,'Annex 2 EHV charges'!$D:$O,9,FALSE)=0,"",VLOOKUP($A240,'Annex 2 EHV charges'!$D:$O,9,FALSE)),"")</f>
        <v/>
      </c>
      <c r="F240" s="117" t="str">
        <f>IFERROR(IF(VLOOKUP($A240,'Annex 2 EHV charges'!$D:$O,10,FALSE)=0,"",VLOOKUP($A240,'Annex 2 EHV charges'!$D:$O,10,FALSE)),"")</f>
        <v/>
      </c>
      <c r="G240" s="118" t="str">
        <f>IFERROR(IF(VLOOKUP($A240,'Annex 2 EHV charges'!$D:$O,11,FALSE)=0,"",VLOOKUP($A240,'Annex 2 EHV charges'!$D:$O,11,FALSE)),"")</f>
        <v/>
      </c>
      <c r="H240" s="118" t="str">
        <f>IFERROR(IF(VLOOKUP($A240,'Annex 2 EHV charges'!$D:$O,12,FALSE)=0,"",VLOOKUP($A240,'Annex 2 EHV charges'!$D:$O,12,FALSE)),"")</f>
        <v/>
      </c>
    </row>
    <row r="241" spans="1:8" x14ac:dyDescent="0.2">
      <c r="A241" s="115" t="str">
        <f t="array" ref="A241">IFERROR(INDEX('Annex 2 EHV charges'!$D$11:$D$259, MATCH(0, IF(ISBLANK('Annex 2 EHV charges'!$D$11:$D$259),1, COUNTIF(A$4:$A240, 'Annex 2 EHV charges'!$D$11:$D$259)), 0)),"")</f>
        <v/>
      </c>
      <c r="B241" s="114" t="str">
        <f>IF($A241="","",VLOOKUP($A241,'Annex 2 EHV charges'!$D:$O,2,0))</f>
        <v/>
      </c>
      <c r="C241" s="115" t="str">
        <f>IF($A241="","",VLOOKUP($A241,'Annex 2 EHV charges'!$D:$O,3,0))</f>
        <v/>
      </c>
      <c r="D241" s="114" t="str">
        <f>IF($A241="","",VLOOKUP($A241,'Annex 2 EHV charges'!$D:$O,4,0))</f>
        <v/>
      </c>
      <c r="E241" s="116" t="str">
        <f>IFERROR(IF(VLOOKUP($A241,'Annex 2 EHV charges'!$D:$O,9,FALSE)=0,"",VLOOKUP($A241,'Annex 2 EHV charges'!$D:$O,9,FALSE)),"")</f>
        <v/>
      </c>
      <c r="F241" s="117" t="str">
        <f>IFERROR(IF(VLOOKUP($A241,'Annex 2 EHV charges'!$D:$O,10,FALSE)=0,"",VLOOKUP($A241,'Annex 2 EHV charges'!$D:$O,10,FALSE)),"")</f>
        <v/>
      </c>
      <c r="G241" s="118" t="str">
        <f>IFERROR(IF(VLOOKUP($A241,'Annex 2 EHV charges'!$D:$O,11,FALSE)=0,"",VLOOKUP($A241,'Annex 2 EHV charges'!$D:$O,11,FALSE)),"")</f>
        <v/>
      </c>
      <c r="H241" s="118" t="str">
        <f>IFERROR(IF(VLOOKUP($A241,'Annex 2 EHV charges'!$D:$O,12,FALSE)=0,"",VLOOKUP($A241,'Annex 2 EHV charges'!$D:$O,12,FALSE)),"")</f>
        <v/>
      </c>
    </row>
    <row r="242" spans="1:8" x14ac:dyDescent="0.2">
      <c r="A242" s="115" t="str">
        <f t="array" ref="A242">IFERROR(INDEX('Annex 2 EHV charges'!$D$11:$D$259, MATCH(0, IF(ISBLANK('Annex 2 EHV charges'!$D$11:$D$259),1, COUNTIF(A$4:$A241, 'Annex 2 EHV charges'!$D$11:$D$259)), 0)),"")</f>
        <v/>
      </c>
      <c r="B242" s="114" t="str">
        <f>IF($A242="","",VLOOKUP($A242,'Annex 2 EHV charges'!$D:$O,2,0))</f>
        <v/>
      </c>
      <c r="C242" s="115" t="str">
        <f>IF($A242="","",VLOOKUP($A242,'Annex 2 EHV charges'!$D:$O,3,0))</f>
        <v/>
      </c>
      <c r="D242" s="114" t="str">
        <f>IF($A242="","",VLOOKUP($A242,'Annex 2 EHV charges'!$D:$O,4,0))</f>
        <v/>
      </c>
      <c r="E242" s="116" t="str">
        <f>IFERROR(IF(VLOOKUP($A242,'Annex 2 EHV charges'!$D:$O,9,FALSE)=0,"",VLOOKUP($A242,'Annex 2 EHV charges'!$D:$O,9,FALSE)),"")</f>
        <v/>
      </c>
      <c r="F242" s="117" t="str">
        <f>IFERROR(IF(VLOOKUP($A242,'Annex 2 EHV charges'!$D:$O,10,FALSE)=0,"",VLOOKUP($A242,'Annex 2 EHV charges'!$D:$O,10,FALSE)),"")</f>
        <v/>
      </c>
      <c r="G242" s="118" t="str">
        <f>IFERROR(IF(VLOOKUP($A242,'Annex 2 EHV charges'!$D:$O,11,FALSE)=0,"",VLOOKUP($A242,'Annex 2 EHV charges'!$D:$O,11,FALSE)),"")</f>
        <v/>
      </c>
      <c r="H242" s="118" t="str">
        <f>IFERROR(IF(VLOOKUP($A242,'Annex 2 EHV charges'!$D:$O,12,FALSE)=0,"",VLOOKUP($A242,'Annex 2 EHV charges'!$D:$O,12,FALSE)),"")</f>
        <v/>
      </c>
    </row>
    <row r="243" spans="1:8" x14ac:dyDescent="0.2">
      <c r="A243" s="115" t="str">
        <f t="array" ref="A243">IFERROR(INDEX('Annex 2 EHV charges'!$D$11:$D$259, MATCH(0, IF(ISBLANK('Annex 2 EHV charges'!$D$11:$D$259),1, COUNTIF(A$4:$A242, 'Annex 2 EHV charges'!$D$11:$D$259)), 0)),"")</f>
        <v/>
      </c>
      <c r="B243" s="114" t="str">
        <f>IF($A243="","",VLOOKUP($A243,'Annex 2 EHV charges'!$D:$O,2,0))</f>
        <v/>
      </c>
      <c r="C243" s="115" t="str">
        <f>IF($A243="","",VLOOKUP($A243,'Annex 2 EHV charges'!$D:$O,3,0))</f>
        <v/>
      </c>
      <c r="D243" s="114" t="str">
        <f>IF($A243="","",VLOOKUP($A243,'Annex 2 EHV charges'!$D:$O,4,0))</f>
        <v/>
      </c>
      <c r="E243" s="116" t="str">
        <f>IFERROR(IF(VLOOKUP($A243,'Annex 2 EHV charges'!$D:$O,9,FALSE)=0,"",VLOOKUP($A243,'Annex 2 EHV charges'!$D:$O,9,FALSE)),"")</f>
        <v/>
      </c>
      <c r="F243" s="117" t="str">
        <f>IFERROR(IF(VLOOKUP($A243,'Annex 2 EHV charges'!$D:$O,10,FALSE)=0,"",VLOOKUP($A243,'Annex 2 EHV charges'!$D:$O,10,FALSE)),"")</f>
        <v/>
      </c>
      <c r="G243" s="118" t="str">
        <f>IFERROR(IF(VLOOKUP($A243,'Annex 2 EHV charges'!$D:$O,11,FALSE)=0,"",VLOOKUP($A243,'Annex 2 EHV charges'!$D:$O,11,FALSE)),"")</f>
        <v/>
      </c>
      <c r="H243" s="118" t="str">
        <f>IFERROR(IF(VLOOKUP($A243,'Annex 2 EHV charges'!$D:$O,12,FALSE)=0,"",VLOOKUP($A243,'Annex 2 EHV charges'!$D:$O,12,FALSE)),"")</f>
        <v/>
      </c>
    </row>
    <row r="244" spans="1:8" x14ac:dyDescent="0.2">
      <c r="A244" s="115" t="str">
        <f t="array" ref="A244">IFERROR(INDEX('Annex 2 EHV charges'!$D$11:$D$259, MATCH(0, IF(ISBLANK('Annex 2 EHV charges'!$D$11:$D$259),1, COUNTIF(A$4:$A243, 'Annex 2 EHV charges'!$D$11:$D$259)), 0)),"")</f>
        <v/>
      </c>
      <c r="B244" s="114" t="str">
        <f>IF($A244="","",VLOOKUP($A244,'Annex 2 EHV charges'!$D:$O,2,0))</f>
        <v/>
      </c>
      <c r="C244" s="115" t="str">
        <f>IF($A244="","",VLOOKUP($A244,'Annex 2 EHV charges'!$D:$O,3,0))</f>
        <v/>
      </c>
      <c r="D244" s="114" t="str">
        <f>IF($A244="","",VLOOKUP($A244,'Annex 2 EHV charges'!$D:$O,4,0))</f>
        <v/>
      </c>
      <c r="E244" s="116" t="str">
        <f>IFERROR(IF(VLOOKUP($A244,'Annex 2 EHV charges'!$D:$O,9,FALSE)=0,"",VLOOKUP($A244,'Annex 2 EHV charges'!$D:$O,9,FALSE)),"")</f>
        <v/>
      </c>
      <c r="F244" s="117" t="str">
        <f>IFERROR(IF(VLOOKUP($A244,'Annex 2 EHV charges'!$D:$O,10,FALSE)=0,"",VLOOKUP($A244,'Annex 2 EHV charges'!$D:$O,10,FALSE)),"")</f>
        <v/>
      </c>
      <c r="G244" s="118" t="str">
        <f>IFERROR(IF(VLOOKUP($A244,'Annex 2 EHV charges'!$D:$O,11,FALSE)=0,"",VLOOKUP($A244,'Annex 2 EHV charges'!$D:$O,11,FALSE)),"")</f>
        <v/>
      </c>
      <c r="H244" s="118" t="str">
        <f>IFERROR(IF(VLOOKUP($A244,'Annex 2 EHV charges'!$D:$O,12,FALSE)=0,"",VLOOKUP($A244,'Annex 2 EHV charges'!$D:$O,12,FALSE)),"")</f>
        <v/>
      </c>
    </row>
    <row r="245" spans="1:8" x14ac:dyDescent="0.2">
      <c r="A245" s="115" t="str">
        <f t="array" ref="A245">IFERROR(INDEX('Annex 2 EHV charges'!$D$11:$D$259, MATCH(0, IF(ISBLANK('Annex 2 EHV charges'!$D$11:$D$259),1, COUNTIF(A$4:$A244, 'Annex 2 EHV charges'!$D$11:$D$259)), 0)),"")</f>
        <v/>
      </c>
      <c r="B245" s="114" t="str">
        <f>IF($A245="","",VLOOKUP($A245,'Annex 2 EHV charges'!$D:$O,2,0))</f>
        <v/>
      </c>
      <c r="C245" s="115" t="str">
        <f>IF($A245="","",VLOOKUP($A245,'Annex 2 EHV charges'!$D:$O,3,0))</f>
        <v/>
      </c>
      <c r="D245" s="114" t="str">
        <f>IF($A245="","",VLOOKUP($A245,'Annex 2 EHV charges'!$D:$O,4,0))</f>
        <v/>
      </c>
      <c r="E245" s="116" t="str">
        <f>IFERROR(IF(VLOOKUP($A245,'Annex 2 EHV charges'!$D:$O,9,FALSE)=0,"",VLOOKUP($A245,'Annex 2 EHV charges'!$D:$O,9,FALSE)),"")</f>
        <v/>
      </c>
      <c r="F245" s="117" t="str">
        <f>IFERROR(IF(VLOOKUP($A245,'Annex 2 EHV charges'!$D:$O,10,FALSE)=0,"",VLOOKUP($A245,'Annex 2 EHV charges'!$D:$O,10,FALSE)),"")</f>
        <v/>
      </c>
      <c r="G245" s="118" t="str">
        <f>IFERROR(IF(VLOOKUP($A245,'Annex 2 EHV charges'!$D:$O,11,FALSE)=0,"",VLOOKUP($A245,'Annex 2 EHV charges'!$D:$O,11,FALSE)),"")</f>
        <v/>
      </c>
      <c r="H245" s="118" t="str">
        <f>IFERROR(IF(VLOOKUP($A245,'Annex 2 EHV charges'!$D:$O,12,FALSE)=0,"",VLOOKUP($A245,'Annex 2 EHV charges'!$D:$O,12,FALSE)),"")</f>
        <v/>
      </c>
    </row>
    <row r="246" spans="1:8" x14ac:dyDescent="0.2">
      <c r="A246" s="115" t="str">
        <f t="array" ref="A246">IFERROR(INDEX('Annex 2 EHV charges'!$D$11:$D$259, MATCH(0, IF(ISBLANK('Annex 2 EHV charges'!$D$11:$D$259),1, COUNTIF(A$4:$A245, 'Annex 2 EHV charges'!$D$11:$D$259)), 0)),"")</f>
        <v/>
      </c>
      <c r="B246" s="114" t="str">
        <f>IF($A246="","",VLOOKUP($A246,'Annex 2 EHV charges'!$D:$O,2,0))</f>
        <v/>
      </c>
      <c r="C246" s="115" t="str">
        <f>IF($A246="","",VLOOKUP($A246,'Annex 2 EHV charges'!$D:$O,3,0))</f>
        <v/>
      </c>
      <c r="D246" s="114" t="str">
        <f>IF($A246="","",VLOOKUP($A246,'Annex 2 EHV charges'!$D:$O,4,0))</f>
        <v/>
      </c>
      <c r="E246" s="116" t="str">
        <f>IFERROR(IF(VLOOKUP($A246,'Annex 2 EHV charges'!$D:$O,9,FALSE)=0,"",VLOOKUP($A246,'Annex 2 EHV charges'!$D:$O,9,FALSE)),"")</f>
        <v/>
      </c>
      <c r="F246" s="117" t="str">
        <f>IFERROR(IF(VLOOKUP($A246,'Annex 2 EHV charges'!$D:$O,10,FALSE)=0,"",VLOOKUP($A246,'Annex 2 EHV charges'!$D:$O,10,FALSE)),"")</f>
        <v/>
      </c>
      <c r="G246" s="118" t="str">
        <f>IFERROR(IF(VLOOKUP($A246,'Annex 2 EHV charges'!$D:$O,11,FALSE)=0,"",VLOOKUP($A246,'Annex 2 EHV charges'!$D:$O,11,FALSE)),"")</f>
        <v/>
      </c>
      <c r="H246" s="118" t="str">
        <f>IFERROR(IF(VLOOKUP($A246,'Annex 2 EHV charges'!$D:$O,12,FALSE)=0,"",VLOOKUP($A246,'Annex 2 EHV charges'!$D:$O,12,FALSE)),"")</f>
        <v/>
      </c>
    </row>
    <row r="247" spans="1:8" x14ac:dyDescent="0.2">
      <c r="A247" s="115" t="str">
        <f t="array" ref="A247">IFERROR(INDEX('Annex 2 EHV charges'!$D$11:$D$259, MATCH(0, IF(ISBLANK('Annex 2 EHV charges'!$D$11:$D$259),1, COUNTIF(A$4:$A246, 'Annex 2 EHV charges'!$D$11:$D$259)), 0)),"")</f>
        <v/>
      </c>
      <c r="B247" s="114" t="str">
        <f>IF($A247="","",VLOOKUP($A247,'Annex 2 EHV charges'!$D:$O,2,0))</f>
        <v/>
      </c>
      <c r="C247" s="115" t="str">
        <f>IF($A247="","",VLOOKUP($A247,'Annex 2 EHV charges'!$D:$O,3,0))</f>
        <v/>
      </c>
      <c r="D247" s="114" t="str">
        <f>IF($A247="","",VLOOKUP($A247,'Annex 2 EHV charges'!$D:$O,4,0))</f>
        <v/>
      </c>
      <c r="E247" s="116" t="str">
        <f>IFERROR(IF(VLOOKUP($A247,'Annex 2 EHV charges'!$D:$O,9,FALSE)=0,"",VLOOKUP($A247,'Annex 2 EHV charges'!$D:$O,9,FALSE)),"")</f>
        <v/>
      </c>
      <c r="F247" s="117" t="str">
        <f>IFERROR(IF(VLOOKUP($A247,'Annex 2 EHV charges'!$D:$O,10,FALSE)=0,"",VLOOKUP($A247,'Annex 2 EHV charges'!$D:$O,10,FALSE)),"")</f>
        <v/>
      </c>
      <c r="G247" s="118" t="str">
        <f>IFERROR(IF(VLOOKUP($A247,'Annex 2 EHV charges'!$D:$O,11,FALSE)=0,"",VLOOKUP($A247,'Annex 2 EHV charges'!$D:$O,11,FALSE)),"")</f>
        <v/>
      </c>
      <c r="H247" s="118" t="str">
        <f>IFERROR(IF(VLOOKUP($A247,'Annex 2 EHV charges'!$D:$O,12,FALSE)=0,"",VLOOKUP($A247,'Annex 2 EHV charges'!$D:$O,12,FALSE)),"")</f>
        <v/>
      </c>
    </row>
    <row r="248" spans="1:8" x14ac:dyDescent="0.2">
      <c r="A248" s="115" t="str">
        <f t="array" ref="A248">IFERROR(INDEX('Annex 2 EHV charges'!$D$11:$D$259, MATCH(0, IF(ISBLANK('Annex 2 EHV charges'!$D$11:$D$259),1, COUNTIF(A$4:$A247, 'Annex 2 EHV charges'!$D$11:$D$259)), 0)),"")</f>
        <v/>
      </c>
      <c r="B248" s="114" t="str">
        <f>IF($A248="","",VLOOKUP($A248,'Annex 2 EHV charges'!$D:$O,2,0))</f>
        <v/>
      </c>
      <c r="C248" s="115" t="str">
        <f>IF($A248="","",VLOOKUP($A248,'Annex 2 EHV charges'!$D:$O,3,0))</f>
        <v/>
      </c>
      <c r="D248" s="114" t="str">
        <f>IF($A248="","",VLOOKUP($A248,'Annex 2 EHV charges'!$D:$O,4,0))</f>
        <v/>
      </c>
      <c r="E248" s="116" t="str">
        <f>IFERROR(IF(VLOOKUP($A248,'Annex 2 EHV charges'!$D:$O,9,FALSE)=0,"",VLOOKUP($A248,'Annex 2 EHV charges'!$D:$O,9,FALSE)),"")</f>
        <v/>
      </c>
      <c r="F248" s="117" t="str">
        <f>IFERROR(IF(VLOOKUP($A248,'Annex 2 EHV charges'!$D:$O,10,FALSE)=0,"",VLOOKUP($A248,'Annex 2 EHV charges'!$D:$O,10,FALSE)),"")</f>
        <v/>
      </c>
      <c r="G248" s="118" t="str">
        <f>IFERROR(IF(VLOOKUP($A248,'Annex 2 EHV charges'!$D:$O,11,FALSE)=0,"",VLOOKUP($A248,'Annex 2 EHV charges'!$D:$O,11,FALSE)),"")</f>
        <v/>
      </c>
      <c r="H248" s="118" t="str">
        <f>IFERROR(IF(VLOOKUP($A248,'Annex 2 EHV charges'!$D:$O,12,FALSE)=0,"",VLOOKUP($A248,'Annex 2 EHV charges'!$D:$O,12,FALSE)),"")</f>
        <v/>
      </c>
    </row>
    <row r="249" spans="1:8" x14ac:dyDescent="0.2">
      <c r="A249" s="115" t="str">
        <f t="array" ref="A249">IFERROR(INDEX('Annex 2 EHV charges'!$D$11:$D$259, MATCH(0, IF(ISBLANK('Annex 2 EHV charges'!$D$11:$D$259),1, COUNTIF(A$4:$A248, 'Annex 2 EHV charges'!$D$11:$D$259)), 0)),"")</f>
        <v/>
      </c>
      <c r="B249" s="114" t="str">
        <f>IF($A249="","",VLOOKUP($A249,'Annex 2 EHV charges'!$D:$O,2,0))</f>
        <v/>
      </c>
      <c r="C249" s="115" t="str">
        <f>IF($A249="","",VLOOKUP($A249,'Annex 2 EHV charges'!$D:$O,3,0))</f>
        <v/>
      </c>
      <c r="D249" s="114" t="str">
        <f>IF($A249="","",VLOOKUP($A249,'Annex 2 EHV charges'!$D:$O,4,0))</f>
        <v/>
      </c>
      <c r="E249" s="116" t="str">
        <f>IFERROR(IF(VLOOKUP($A249,'Annex 2 EHV charges'!$D:$O,9,FALSE)=0,"",VLOOKUP($A249,'Annex 2 EHV charges'!$D:$O,9,FALSE)),"")</f>
        <v/>
      </c>
      <c r="F249" s="117" t="str">
        <f>IFERROR(IF(VLOOKUP($A249,'Annex 2 EHV charges'!$D:$O,10,FALSE)=0,"",VLOOKUP($A249,'Annex 2 EHV charges'!$D:$O,10,FALSE)),"")</f>
        <v/>
      </c>
      <c r="G249" s="118" t="str">
        <f>IFERROR(IF(VLOOKUP($A249,'Annex 2 EHV charges'!$D:$O,11,FALSE)=0,"",VLOOKUP($A249,'Annex 2 EHV charges'!$D:$O,11,FALSE)),"")</f>
        <v/>
      </c>
      <c r="H249" s="118" t="str">
        <f>IFERROR(IF(VLOOKUP($A249,'Annex 2 EHV charges'!$D:$O,12,FALSE)=0,"",VLOOKUP($A249,'Annex 2 EHV charges'!$D:$O,12,FALSE)),"")</f>
        <v/>
      </c>
    </row>
    <row r="250" spans="1:8" x14ac:dyDescent="0.2">
      <c r="A250" s="115" t="str">
        <f t="array" ref="A250">IFERROR(INDEX('Annex 2 EHV charges'!$D$11:$D$259, MATCH(0, IF(ISBLANK('Annex 2 EHV charges'!$D$11:$D$259),1, COUNTIF(A$4:$A249, 'Annex 2 EHV charges'!$D$11:$D$259)), 0)),"")</f>
        <v/>
      </c>
      <c r="B250" s="114" t="str">
        <f>IF($A250="","",VLOOKUP($A250,'Annex 2 EHV charges'!$D:$O,2,0))</f>
        <v/>
      </c>
      <c r="C250" s="115" t="str">
        <f>IF($A250="","",VLOOKUP($A250,'Annex 2 EHV charges'!$D:$O,3,0))</f>
        <v/>
      </c>
      <c r="D250" s="114" t="str">
        <f>IF($A250="","",VLOOKUP($A250,'Annex 2 EHV charges'!$D:$O,4,0))</f>
        <v/>
      </c>
      <c r="E250" s="116" t="str">
        <f>IFERROR(IF(VLOOKUP($A250,'Annex 2 EHV charges'!$D:$O,9,FALSE)=0,"",VLOOKUP($A250,'Annex 2 EHV charges'!$D:$O,9,FALSE)),"")</f>
        <v/>
      </c>
      <c r="F250" s="117" t="str">
        <f>IFERROR(IF(VLOOKUP($A250,'Annex 2 EHV charges'!$D:$O,10,FALSE)=0,"",VLOOKUP($A250,'Annex 2 EHV charges'!$D:$O,10,FALSE)),"")</f>
        <v/>
      </c>
      <c r="G250" s="118" t="str">
        <f>IFERROR(IF(VLOOKUP($A250,'Annex 2 EHV charges'!$D:$O,11,FALSE)=0,"",VLOOKUP($A250,'Annex 2 EHV charges'!$D:$O,11,FALSE)),"")</f>
        <v/>
      </c>
      <c r="H250" s="118" t="str">
        <f>IFERROR(IF(VLOOKUP($A250,'Annex 2 EHV charges'!$D:$O,12,FALSE)=0,"",VLOOKUP($A250,'Annex 2 EHV charges'!$D:$O,12,FALSE)),"")</f>
        <v/>
      </c>
    </row>
    <row r="251" spans="1:8" x14ac:dyDescent="0.2">
      <c r="A251" s="115" t="str">
        <f t="array" ref="A251">IFERROR(INDEX('Annex 2 EHV charges'!$D$11:$D$259, MATCH(0, IF(ISBLANK('Annex 2 EHV charges'!$D$11:$D$259),1, COUNTIF(A$4:$A250, 'Annex 2 EHV charges'!$D$11:$D$259)), 0)),"")</f>
        <v/>
      </c>
      <c r="B251" s="114" t="str">
        <f>IF($A251="","",VLOOKUP($A251,'Annex 2 EHV charges'!$D:$O,2,0))</f>
        <v/>
      </c>
      <c r="C251" s="115" t="str">
        <f>IF($A251="","",VLOOKUP($A251,'Annex 2 EHV charges'!$D:$O,3,0))</f>
        <v/>
      </c>
      <c r="D251" s="114" t="str">
        <f>IF($A251="","",VLOOKUP($A251,'Annex 2 EHV charges'!$D:$O,4,0))</f>
        <v/>
      </c>
      <c r="E251" s="116" t="str">
        <f>IFERROR(IF(VLOOKUP($A251,'Annex 2 EHV charges'!$D:$O,9,FALSE)=0,"",VLOOKUP($A251,'Annex 2 EHV charges'!$D:$O,9,FALSE)),"")</f>
        <v/>
      </c>
      <c r="F251" s="117" t="str">
        <f>IFERROR(IF(VLOOKUP($A251,'Annex 2 EHV charges'!$D:$O,10,FALSE)=0,"",VLOOKUP($A251,'Annex 2 EHV charges'!$D:$O,10,FALSE)),"")</f>
        <v/>
      </c>
      <c r="G251" s="118" t="str">
        <f>IFERROR(IF(VLOOKUP($A251,'Annex 2 EHV charges'!$D:$O,11,FALSE)=0,"",VLOOKUP($A251,'Annex 2 EHV charges'!$D:$O,11,FALSE)),"")</f>
        <v/>
      </c>
      <c r="H251" s="118" t="str">
        <f>IFERROR(IF(VLOOKUP($A251,'Annex 2 EHV charges'!$D:$O,12,FALSE)=0,"",VLOOKUP($A251,'Annex 2 EHV charges'!$D:$O,12,FALSE)),"")</f>
        <v/>
      </c>
    </row>
    <row r="252" spans="1:8" x14ac:dyDescent="0.2">
      <c r="A252" s="115" t="str">
        <f t="array" ref="A252">IFERROR(INDEX('Annex 2 EHV charges'!$D$11:$D$259, MATCH(0, IF(ISBLANK('Annex 2 EHV charges'!$D$11:$D$259),1, COUNTIF(A$4:$A251, 'Annex 2 EHV charges'!$D$11:$D$259)), 0)),"")</f>
        <v/>
      </c>
      <c r="B252" s="114" t="str">
        <f>IF($A252="","",VLOOKUP($A252,'Annex 2 EHV charges'!$D:$O,2,0))</f>
        <v/>
      </c>
      <c r="C252" s="115" t="str">
        <f>IF($A252="","",VLOOKUP($A252,'Annex 2 EHV charges'!$D:$O,3,0))</f>
        <v/>
      </c>
      <c r="D252" s="114" t="str">
        <f>IF($A252="","",VLOOKUP($A252,'Annex 2 EHV charges'!$D:$O,4,0))</f>
        <v/>
      </c>
      <c r="E252" s="116" t="str">
        <f>IFERROR(IF(VLOOKUP($A252,'Annex 2 EHV charges'!$D:$O,9,FALSE)=0,"",VLOOKUP($A252,'Annex 2 EHV charges'!$D:$O,9,FALSE)),"")</f>
        <v/>
      </c>
      <c r="F252" s="117" t="str">
        <f>IFERROR(IF(VLOOKUP($A252,'Annex 2 EHV charges'!$D:$O,10,FALSE)=0,"",VLOOKUP($A252,'Annex 2 EHV charges'!$D:$O,10,FALSE)),"")</f>
        <v/>
      </c>
      <c r="G252" s="118" t="str">
        <f>IFERROR(IF(VLOOKUP($A252,'Annex 2 EHV charges'!$D:$O,11,FALSE)=0,"",VLOOKUP($A252,'Annex 2 EHV charges'!$D:$O,11,FALSE)),"")</f>
        <v/>
      </c>
      <c r="H252" s="118" t="str">
        <f>IFERROR(IF(VLOOKUP($A252,'Annex 2 EHV charges'!$D:$O,12,FALSE)=0,"",VLOOKUP($A252,'Annex 2 EHV charges'!$D:$O,12,FALSE)),"")</f>
        <v/>
      </c>
    </row>
    <row r="253" spans="1:8" x14ac:dyDescent="0.2">
      <c r="A253" s="115" t="str">
        <f t="array" ref="A253">IFERROR(INDEX('Annex 2 EHV charges'!$D$11:$D$259, MATCH(0, IF(ISBLANK('Annex 2 EHV charges'!$D$11:$D$259),1, COUNTIF(A$4:$A252, 'Annex 2 EHV charges'!$D$11:$D$259)), 0)),"")</f>
        <v/>
      </c>
      <c r="B253" s="114" t="str">
        <f>IF($A253="","",VLOOKUP($A253,'Annex 2 EHV charges'!$D:$O,2,0))</f>
        <v/>
      </c>
      <c r="C253" s="115" t="str">
        <f>IF($A253="","",VLOOKUP($A253,'Annex 2 EHV charges'!$D:$O,3,0))</f>
        <v/>
      </c>
      <c r="D253" s="114" t="str">
        <f>IF($A253="","",VLOOKUP($A253,'Annex 2 EHV charges'!$D:$O,4,0))</f>
        <v/>
      </c>
      <c r="E253" s="116" t="str">
        <f>IFERROR(IF(VLOOKUP($A253,'Annex 2 EHV charges'!$D:$O,9,FALSE)=0,"",VLOOKUP($A253,'Annex 2 EHV charges'!$D:$O,9,FALSE)),"")</f>
        <v/>
      </c>
      <c r="F253" s="117" t="str">
        <f>IFERROR(IF(VLOOKUP($A253,'Annex 2 EHV charges'!$D:$O,10,FALSE)=0,"",VLOOKUP($A253,'Annex 2 EHV charges'!$D:$O,10,FALSE)),"")</f>
        <v/>
      </c>
      <c r="G253" s="118" t="str">
        <f>IFERROR(IF(VLOOKUP($A253,'Annex 2 EHV charges'!$D:$O,11,FALSE)=0,"",VLOOKUP($A253,'Annex 2 EHV charges'!$D:$O,11,FALSE)),"")</f>
        <v/>
      </c>
      <c r="H253" s="118" t="str">
        <f>IFERROR(IF(VLOOKUP($A253,'Annex 2 EHV charges'!$D:$O,12,FALSE)=0,"",VLOOKUP($A253,'Annex 2 EHV charges'!$D:$O,12,FALSE)),"")</f>
        <v/>
      </c>
    </row>
    <row r="254" spans="1:8" x14ac:dyDescent="0.2">
      <c r="A254" s="115" t="str">
        <f t="array" ref="A254">IFERROR(INDEX('Annex 2 EHV charges'!$D$11:$D$259, MATCH(0, IF(ISBLANK('Annex 2 EHV charges'!$D$11:$D$259),1, COUNTIF(A$4:$A253, 'Annex 2 EHV charges'!$D$11:$D$259)), 0)),"")</f>
        <v/>
      </c>
      <c r="B254" s="114" t="str">
        <f>IF($A254="","",VLOOKUP($A254,'Annex 2 EHV charges'!$D:$O,2,0))</f>
        <v/>
      </c>
      <c r="C254" s="115" t="str">
        <f>IF($A254="","",VLOOKUP($A254,'Annex 2 EHV charges'!$D:$O,3,0))</f>
        <v/>
      </c>
      <c r="D254" s="114" t="str">
        <f>IF($A254="","",VLOOKUP($A254,'Annex 2 EHV charges'!$D:$O,4,0))</f>
        <v/>
      </c>
      <c r="E254" s="116" t="str">
        <f>IFERROR(IF(VLOOKUP($A254,'Annex 2 EHV charges'!$D:$O,9,FALSE)=0,"",VLOOKUP($A254,'Annex 2 EHV charges'!$D:$O,9,FALSE)),"")</f>
        <v/>
      </c>
      <c r="F254" s="117" t="str">
        <f>IFERROR(IF(VLOOKUP($A254,'Annex 2 EHV charges'!$D:$O,10,FALSE)=0,"",VLOOKUP($A254,'Annex 2 EHV charges'!$D:$O,10,FALSE)),"")</f>
        <v/>
      </c>
      <c r="G254" s="118" t="str">
        <f>IFERROR(IF(VLOOKUP($A254,'Annex 2 EHV charges'!$D:$O,11,FALSE)=0,"",VLOOKUP($A254,'Annex 2 EHV charges'!$D:$O,11,FALSE)),"")</f>
        <v/>
      </c>
      <c r="H254" s="118" t="str">
        <f>IFERROR(IF(VLOOKUP($A254,'Annex 2 EHV charges'!$D:$O,12,FALSE)=0,"",VLOOKUP($A254,'Annex 2 EHV charges'!$D:$O,12,FALSE)),"")</f>
        <v/>
      </c>
    </row>
  </sheetData>
  <mergeCells count="2">
    <mergeCell ref="A2:H2"/>
    <mergeCell ref="A1:H1"/>
  </mergeCells>
  <pageMargins left="0.70866141732283472" right="0.70866141732283472" top="0.94488188976377963" bottom="0.74803149606299213" header="0.31496062992125984" footer="0.31496062992125984"/>
  <pageSetup paperSize="9" scale="90"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&amp;N&amp;C&amp;1#&amp;"Calibri"&amp;12&amp;K008000Internal Use</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&amp;N&amp;C&amp;1#&amp;"Calibri"&amp;12&amp;K008000Internal Use</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AC31"/>
  <sheetViews>
    <sheetView zoomScale="80" zoomScaleNormal="80" zoomScaleSheetLayoutView="100" workbookViewId="0">
      <selection activeCell="A2" sqref="A2:J2"/>
    </sheetView>
  </sheetViews>
  <sheetFormatPr defaultRowHeight="12.75" x14ac:dyDescent="0.2"/>
  <cols>
    <col min="1" max="1" width="48.85546875" customWidth="1"/>
    <col min="2" max="2" width="20.28515625" customWidth="1"/>
    <col min="4" max="10" width="16.5703125" customWidth="1"/>
  </cols>
  <sheetData>
    <row r="1" spans="1:29" s="2" customFormat="1" ht="27.75" customHeight="1" x14ac:dyDescent="0.2">
      <c r="A1" s="16" t="s">
        <v>91</v>
      </c>
      <c r="B1" s="3"/>
      <c r="D1" s="3"/>
      <c r="E1" s="3"/>
      <c r="F1" s="3"/>
      <c r="G1" s="10"/>
      <c r="H1" s="4"/>
      <c r="I1" s="4"/>
    </row>
    <row r="2" spans="1:29" s="2" customFormat="1" ht="27" customHeight="1" x14ac:dyDescent="0.2">
      <c r="A2" s="242" t="s">
        <v>1442</v>
      </c>
      <c r="B2" s="242"/>
      <c r="C2" s="242"/>
      <c r="D2" s="242"/>
      <c r="E2" s="242"/>
      <c r="F2" s="242"/>
      <c r="G2" s="242"/>
      <c r="H2" s="242"/>
      <c r="I2" s="242"/>
      <c r="J2" s="242"/>
      <c r="K2" s="4"/>
      <c r="L2" s="4"/>
    </row>
    <row r="3" spans="1:29" s="2" customFormat="1" ht="27" customHeight="1" x14ac:dyDescent="0.2">
      <c r="A3" s="262" t="s">
        <v>458</v>
      </c>
      <c r="B3" s="262"/>
      <c r="C3" s="262"/>
      <c r="D3" s="262"/>
      <c r="E3" s="262"/>
      <c r="F3" s="262"/>
      <c r="G3" s="262"/>
      <c r="H3" s="262"/>
      <c r="I3" s="262"/>
      <c r="J3" s="262"/>
      <c r="K3" s="4"/>
      <c r="L3" s="4"/>
    </row>
    <row r="4" spans="1:29" s="2" customFormat="1" ht="88.5" customHeight="1" x14ac:dyDescent="0.2">
      <c r="A4" s="18"/>
      <c r="B4" s="30" t="s">
        <v>48</v>
      </c>
      <c r="C4" s="17" t="s">
        <v>96</v>
      </c>
      <c r="D4" s="30" t="s">
        <v>641</v>
      </c>
      <c r="E4" s="30" t="s">
        <v>642</v>
      </c>
      <c r="F4" s="30" t="s">
        <v>643</v>
      </c>
      <c r="G4" s="200" t="s">
        <v>97</v>
      </c>
      <c r="H4" s="200" t="s">
        <v>98</v>
      </c>
      <c r="I4" s="30" t="s">
        <v>699</v>
      </c>
      <c r="J4" s="200" t="s">
        <v>457</v>
      </c>
      <c r="K4" s="4"/>
      <c r="L4" s="4"/>
    </row>
    <row r="5" spans="1:29" s="2" customFormat="1" ht="32.25" customHeight="1" x14ac:dyDescent="0.2">
      <c r="A5" s="19" t="s">
        <v>1463</v>
      </c>
      <c r="B5" s="43" t="s">
        <v>751</v>
      </c>
      <c r="C5" s="20">
        <v>2</v>
      </c>
      <c r="D5" s="202">
        <v>3.6859999999999999</v>
      </c>
      <c r="E5" s="202">
        <v>1.5449999999999999</v>
      </c>
      <c r="F5" s="198"/>
      <c r="G5" s="199">
        <v>3.68</v>
      </c>
      <c r="H5" s="196"/>
      <c r="I5" s="196"/>
      <c r="J5" s="195"/>
      <c r="K5" s="4"/>
      <c r="L5" s="4"/>
    </row>
    <row r="6" spans="1:29" s="2" customFormat="1" ht="32.25" customHeight="1" x14ac:dyDescent="0.2">
      <c r="A6" s="86" t="s">
        <v>9</v>
      </c>
      <c r="B6" s="43" t="s">
        <v>752</v>
      </c>
      <c r="C6" s="20">
        <v>2</v>
      </c>
      <c r="D6" s="202">
        <v>1.556</v>
      </c>
      <c r="E6" s="203"/>
      <c r="F6" s="198"/>
      <c r="G6" s="198"/>
      <c r="H6" s="196"/>
      <c r="I6" s="196"/>
      <c r="J6" s="195"/>
      <c r="K6" s="4"/>
      <c r="L6" s="4"/>
    </row>
    <row r="7" spans="1:29" s="2" customFormat="1" ht="32.25" customHeight="1" x14ac:dyDescent="0.2">
      <c r="A7" s="86" t="s">
        <v>10</v>
      </c>
      <c r="B7" s="43">
        <v>207</v>
      </c>
      <c r="C7" s="20">
        <v>3</v>
      </c>
      <c r="D7" s="202">
        <v>3.367</v>
      </c>
      <c r="E7" s="203"/>
      <c r="F7" s="198"/>
      <c r="G7" s="199">
        <v>4.63</v>
      </c>
      <c r="H7" s="196"/>
      <c r="I7" s="196"/>
      <c r="J7" s="195"/>
      <c r="K7" s="4"/>
      <c r="L7" s="4"/>
    </row>
    <row r="8" spans="1:29" s="2" customFormat="1" ht="32.25" customHeight="1" x14ac:dyDescent="0.2">
      <c r="A8" s="86" t="s">
        <v>11</v>
      </c>
      <c r="B8" s="43" t="s">
        <v>753</v>
      </c>
      <c r="C8" s="20">
        <v>4</v>
      </c>
      <c r="D8" s="202">
        <v>3.5150000000000001</v>
      </c>
      <c r="E8" s="202">
        <v>1.466</v>
      </c>
      <c r="F8" s="198"/>
      <c r="G8" s="199">
        <v>4.63</v>
      </c>
      <c r="H8" s="196"/>
      <c r="I8" s="196"/>
      <c r="J8" s="195"/>
      <c r="K8" s="4"/>
      <c r="L8" s="4"/>
    </row>
    <row r="9" spans="1:29" s="2" customFormat="1" ht="32.25" customHeight="1" x14ac:dyDescent="0.2">
      <c r="A9" s="86" t="s">
        <v>12</v>
      </c>
      <c r="B9" s="43" t="s">
        <v>754</v>
      </c>
      <c r="C9" s="20">
        <v>4</v>
      </c>
      <c r="D9" s="202">
        <v>1.498</v>
      </c>
      <c r="E9" s="203"/>
      <c r="F9" s="198"/>
      <c r="G9" s="198"/>
      <c r="H9" s="196"/>
      <c r="I9" s="196"/>
      <c r="J9" s="195"/>
      <c r="K9" s="4"/>
      <c r="L9" s="4"/>
    </row>
    <row r="10" spans="1:29" s="2" customFormat="1" ht="32.25" customHeight="1" x14ac:dyDescent="0.2">
      <c r="A10" s="19" t="s">
        <v>0</v>
      </c>
      <c r="B10" s="48" t="s">
        <v>734</v>
      </c>
      <c r="C10" s="20" t="s">
        <v>18</v>
      </c>
      <c r="D10" s="202">
        <v>3.452</v>
      </c>
      <c r="E10" s="202">
        <v>1.4339999999999999</v>
      </c>
      <c r="F10" s="198"/>
      <c r="G10" s="199">
        <v>20.58</v>
      </c>
      <c r="H10" s="196"/>
      <c r="I10" s="196"/>
      <c r="J10" s="195"/>
      <c r="K10" s="4"/>
      <c r="L10" s="4"/>
      <c r="M10" s="4"/>
    </row>
    <row r="11" spans="1:29" s="2" customFormat="1" ht="32.25" customHeight="1" x14ac:dyDescent="0.2">
      <c r="A11" s="19" t="s">
        <v>13</v>
      </c>
      <c r="B11" s="43" t="s">
        <v>735</v>
      </c>
      <c r="C11" s="20" t="s">
        <v>18</v>
      </c>
      <c r="D11" s="202">
        <v>3.44</v>
      </c>
      <c r="E11" s="202">
        <v>1.4339999999999999</v>
      </c>
      <c r="F11" s="198"/>
      <c r="G11" s="199">
        <v>24.87</v>
      </c>
      <c r="H11" s="196"/>
      <c r="I11" s="196"/>
      <c r="J11" s="195"/>
      <c r="K11" s="4"/>
      <c r="L11" s="4"/>
      <c r="M11" s="4"/>
    </row>
    <row r="12" spans="1:29" s="2" customFormat="1" ht="32.25" customHeight="1" x14ac:dyDescent="0.2">
      <c r="A12" s="19" t="s">
        <v>14</v>
      </c>
      <c r="B12" s="43" t="s">
        <v>1197</v>
      </c>
      <c r="C12" s="20" t="s">
        <v>18</v>
      </c>
      <c r="D12" s="202">
        <v>2.5329999999999999</v>
      </c>
      <c r="E12" s="202">
        <v>1.3779999999999999</v>
      </c>
      <c r="F12" s="198"/>
      <c r="G12" s="199">
        <v>190.08</v>
      </c>
      <c r="H12" s="196"/>
      <c r="I12" s="196"/>
      <c r="J12" s="195"/>
      <c r="K12" s="4"/>
      <c r="L12" s="4"/>
      <c r="M12" s="4"/>
    </row>
    <row r="13" spans="1:29" s="2" customFormat="1" ht="32.25" customHeight="1" x14ac:dyDescent="0.2">
      <c r="L13" s="4"/>
      <c r="M13" s="4"/>
    </row>
    <row r="14" spans="1:29" x14ac:dyDescent="0.2">
      <c r="A14" s="267" t="s">
        <v>50</v>
      </c>
      <c r="B14" s="256" t="s">
        <v>51</v>
      </c>
      <c r="C14" s="256"/>
      <c r="D14" s="256"/>
      <c r="E14" s="256"/>
      <c r="F14" s="256"/>
      <c r="G14" s="256"/>
      <c r="H14" s="257"/>
      <c r="I14" s="257"/>
      <c r="J14" s="257"/>
      <c r="K14" s="56"/>
      <c r="L14" s="56"/>
      <c r="M14" s="56"/>
      <c r="N14" s="56"/>
      <c r="O14" s="56"/>
      <c r="P14" s="56"/>
      <c r="Q14" s="56"/>
      <c r="R14" s="56"/>
      <c r="S14" s="56"/>
      <c r="T14" s="56"/>
      <c r="U14" s="56"/>
      <c r="V14" s="56"/>
      <c r="W14" s="56"/>
      <c r="X14" s="56"/>
      <c r="Y14" s="56"/>
      <c r="Z14" s="56"/>
      <c r="AA14" s="56"/>
      <c r="AB14" s="56"/>
      <c r="AC14" s="56"/>
    </row>
    <row r="15" spans="1:29" ht="99" customHeight="1" x14ac:dyDescent="0.2">
      <c r="A15" s="267"/>
      <c r="B15" s="263" t="s">
        <v>1461</v>
      </c>
      <c r="C15" s="264"/>
      <c r="D15" s="264"/>
      <c r="E15" s="264"/>
      <c r="F15" s="264"/>
      <c r="G15" s="264"/>
      <c r="H15" s="265"/>
      <c r="I15" s="265"/>
      <c r="J15" s="266"/>
      <c r="K15" s="56"/>
      <c r="L15" s="56"/>
      <c r="M15" s="56"/>
      <c r="N15" s="56"/>
      <c r="O15" s="56"/>
      <c r="P15" s="56"/>
      <c r="Q15" s="56"/>
      <c r="R15" s="56"/>
      <c r="S15" s="56"/>
      <c r="T15" s="56"/>
      <c r="U15" s="56"/>
      <c r="V15" s="56"/>
      <c r="W15" s="56"/>
      <c r="X15" s="56"/>
      <c r="Y15" s="56"/>
      <c r="Z15" s="56"/>
      <c r="AA15" s="56"/>
      <c r="AB15" s="56"/>
      <c r="AC15" s="56"/>
    </row>
    <row r="16" spans="1:29" ht="27" customHeight="1" x14ac:dyDescent="0.2">
      <c r="A16" s="267"/>
      <c r="B16" s="258" t="s">
        <v>1466</v>
      </c>
      <c r="C16" s="259"/>
      <c r="D16" s="259"/>
      <c r="E16" s="259"/>
      <c r="F16" s="259"/>
      <c r="G16" s="259"/>
      <c r="H16" s="260"/>
      <c r="I16" s="260"/>
      <c r="J16" s="261"/>
      <c r="K16" s="56"/>
      <c r="L16" s="56"/>
      <c r="M16" s="56"/>
      <c r="N16" s="56"/>
      <c r="O16" s="56"/>
      <c r="P16" s="56"/>
      <c r="Q16" s="56"/>
      <c r="R16" s="56"/>
      <c r="S16" s="56"/>
      <c r="T16" s="56"/>
      <c r="U16" s="56"/>
      <c r="V16" s="56"/>
      <c r="W16" s="56"/>
      <c r="X16" s="56"/>
      <c r="Y16" s="56"/>
      <c r="Z16" s="56"/>
      <c r="AA16" s="56"/>
      <c r="AB16" s="56"/>
      <c r="AC16" s="56"/>
    </row>
    <row r="17" spans="1:29" x14ac:dyDescent="0.2">
      <c r="A17" s="56"/>
      <c r="B17" s="56"/>
      <c r="C17" s="56"/>
      <c r="D17" s="56"/>
      <c r="E17" s="56"/>
      <c r="F17" s="56"/>
      <c r="G17" s="56"/>
      <c r="H17" s="56"/>
      <c r="I17" s="56"/>
      <c r="J17" s="56"/>
      <c r="K17" s="56"/>
      <c r="L17" s="56"/>
      <c r="M17" s="56"/>
      <c r="N17" s="56"/>
      <c r="O17" s="56"/>
      <c r="P17" s="56"/>
      <c r="Q17" s="56"/>
      <c r="R17" s="56"/>
      <c r="S17" s="56"/>
      <c r="T17" s="56"/>
      <c r="U17" s="56"/>
      <c r="V17" s="56"/>
      <c r="W17" s="56"/>
      <c r="X17" s="56"/>
      <c r="Y17" s="56"/>
      <c r="Z17" s="56"/>
      <c r="AA17" s="56"/>
      <c r="AB17" s="56"/>
      <c r="AC17" s="56"/>
    </row>
    <row r="18" spans="1:29" x14ac:dyDescent="0.2">
      <c r="A18" s="56"/>
      <c r="B18" s="56"/>
      <c r="C18" s="56"/>
      <c r="D18" s="56"/>
      <c r="E18" s="56"/>
      <c r="F18" s="56"/>
      <c r="G18" s="56"/>
      <c r="H18" s="56"/>
      <c r="I18" s="56"/>
      <c r="J18" s="56"/>
      <c r="K18" s="56"/>
      <c r="L18" s="56"/>
      <c r="M18" s="56"/>
      <c r="N18" s="56"/>
      <c r="O18" s="56"/>
      <c r="P18" s="56"/>
      <c r="Q18" s="56"/>
      <c r="R18" s="56"/>
      <c r="S18" s="56"/>
      <c r="T18" s="56"/>
      <c r="U18" s="56"/>
      <c r="V18" s="56"/>
      <c r="W18" s="56"/>
      <c r="X18" s="56"/>
      <c r="Y18" s="56"/>
      <c r="Z18" s="56"/>
      <c r="AA18" s="56"/>
      <c r="AB18" s="56"/>
      <c r="AC18" s="56"/>
    </row>
    <row r="19" spans="1:29" s="2" customFormat="1" ht="27" customHeight="1" x14ac:dyDescent="0.2">
      <c r="A19" s="262" t="s">
        <v>459</v>
      </c>
      <c r="B19" s="262"/>
      <c r="C19" s="262"/>
      <c r="D19" s="262"/>
      <c r="E19" s="262"/>
      <c r="F19" s="262"/>
      <c r="G19" s="262"/>
      <c r="H19" s="262"/>
      <c r="I19" s="262"/>
      <c r="J19" s="262"/>
      <c r="K19" s="4"/>
      <c r="L19" s="4"/>
    </row>
    <row r="20" spans="1:29" s="2" customFormat="1" ht="58.5" customHeight="1" x14ac:dyDescent="0.2">
      <c r="A20" s="18"/>
      <c r="B20" s="30" t="s">
        <v>48</v>
      </c>
      <c r="C20" s="17" t="s">
        <v>96</v>
      </c>
      <c r="D20" s="30" t="s">
        <v>644</v>
      </c>
      <c r="E20" s="30" t="s">
        <v>645</v>
      </c>
      <c r="F20" s="30" t="s">
        <v>646</v>
      </c>
      <c r="G20" s="156" t="s">
        <v>97</v>
      </c>
      <c r="H20" s="156" t="s">
        <v>98</v>
      </c>
      <c r="I20" s="30" t="s">
        <v>699</v>
      </c>
      <c r="J20" s="156" t="s">
        <v>457</v>
      </c>
      <c r="K20" s="4"/>
      <c r="L20" s="4"/>
    </row>
    <row r="21" spans="1:29" s="2" customFormat="1" ht="32.25" customHeight="1" x14ac:dyDescent="0.2">
      <c r="A21" s="19" t="s">
        <v>15</v>
      </c>
      <c r="B21" s="43">
        <v>501</v>
      </c>
      <c r="C21" s="20">
        <v>0</v>
      </c>
      <c r="D21" s="202">
        <v>10.481</v>
      </c>
      <c r="E21" s="202">
        <v>2.3050000000000002</v>
      </c>
      <c r="F21" s="202">
        <v>1.423</v>
      </c>
      <c r="G21" s="199">
        <v>18.71</v>
      </c>
      <c r="H21" s="199">
        <v>2.5099999999999998</v>
      </c>
      <c r="I21" s="199">
        <v>4.46</v>
      </c>
      <c r="J21" s="202">
        <v>0.36699999999999999</v>
      </c>
      <c r="K21" s="4"/>
      <c r="L21" s="4"/>
    </row>
    <row r="22" spans="1:29" s="2" customFormat="1" ht="32.25" customHeight="1" x14ac:dyDescent="0.2">
      <c r="A22" s="19" t="s">
        <v>16</v>
      </c>
      <c r="B22" s="43">
        <v>503</v>
      </c>
      <c r="C22" s="20">
        <v>0</v>
      </c>
      <c r="D22" s="202">
        <v>8.0660000000000007</v>
      </c>
      <c r="E22" s="202">
        <v>1.869</v>
      </c>
      <c r="F22" s="202">
        <v>1.383</v>
      </c>
      <c r="G22" s="199">
        <v>6.6</v>
      </c>
      <c r="H22" s="199">
        <v>5.15</v>
      </c>
      <c r="I22" s="199">
        <v>7.12</v>
      </c>
      <c r="J22" s="202">
        <v>0.23200000000000001</v>
      </c>
      <c r="K22" s="4"/>
      <c r="L22" s="4"/>
    </row>
    <row r="23" spans="1:29" s="2" customFormat="1" ht="32.25" customHeight="1" x14ac:dyDescent="0.2">
      <c r="A23" s="19" t="s">
        <v>17</v>
      </c>
      <c r="B23" s="43">
        <v>505</v>
      </c>
      <c r="C23" s="20">
        <v>0</v>
      </c>
      <c r="D23" s="202">
        <v>6.54</v>
      </c>
      <c r="E23" s="202">
        <v>1.653</v>
      </c>
      <c r="F23" s="202">
        <v>1.3520000000000001</v>
      </c>
      <c r="G23" s="199">
        <v>99.97</v>
      </c>
      <c r="H23" s="199">
        <v>4.05</v>
      </c>
      <c r="I23" s="199">
        <v>6.63</v>
      </c>
      <c r="J23" s="202">
        <v>0.161</v>
      </c>
      <c r="K23" s="4"/>
      <c r="L23" s="4"/>
    </row>
    <row r="24" spans="1:29" x14ac:dyDescent="0.2">
      <c r="A24" s="267" t="s">
        <v>50</v>
      </c>
      <c r="B24" s="268" t="s">
        <v>80</v>
      </c>
      <c r="C24" s="268"/>
      <c r="D24" s="268"/>
      <c r="E24" s="268"/>
      <c r="F24" s="268"/>
      <c r="G24" s="268"/>
      <c r="H24" s="269"/>
      <c r="I24" s="269"/>
      <c r="J24" s="269"/>
    </row>
    <row r="25" spans="1:29" x14ac:dyDescent="0.2">
      <c r="A25" s="267"/>
      <c r="B25" s="256"/>
      <c r="C25" s="256"/>
      <c r="D25" s="256"/>
      <c r="E25" s="256"/>
      <c r="F25" s="256"/>
      <c r="G25" s="256"/>
      <c r="H25" s="257"/>
      <c r="I25" s="257"/>
      <c r="J25" s="257"/>
    </row>
    <row r="26" spans="1:29" ht="12.75" customHeight="1" x14ac:dyDescent="0.2">
      <c r="A26" s="267"/>
      <c r="B26" s="256" t="s">
        <v>1459</v>
      </c>
      <c r="C26" s="256"/>
      <c r="D26" s="256"/>
      <c r="E26" s="256"/>
      <c r="F26" s="256"/>
      <c r="G26" s="256"/>
      <c r="H26" s="257"/>
      <c r="I26" s="257"/>
      <c r="J26" s="257"/>
    </row>
    <row r="27" spans="1:29" ht="12.75" customHeight="1" x14ac:dyDescent="0.2">
      <c r="A27" s="270"/>
      <c r="B27" s="256"/>
      <c r="C27" s="256"/>
      <c r="D27" s="256"/>
      <c r="E27" s="256"/>
      <c r="F27" s="256"/>
      <c r="G27" s="256"/>
      <c r="H27" s="257"/>
      <c r="I27" s="257"/>
      <c r="J27" s="257"/>
    </row>
    <row r="28" spans="1:29" ht="12.75" customHeight="1" x14ac:dyDescent="0.2">
      <c r="A28" s="270"/>
      <c r="B28" s="256" t="s">
        <v>52</v>
      </c>
      <c r="C28" s="256"/>
      <c r="D28" s="256"/>
      <c r="E28" s="256"/>
      <c r="F28" s="256"/>
      <c r="G28" s="256"/>
      <c r="H28" s="257"/>
      <c r="I28" s="257"/>
      <c r="J28" s="257"/>
    </row>
    <row r="29" spans="1:29" x14ac:dyDescent="0.2">
      <c r="A29" s="270"/>
      <c r="B29" s="256"/>
      <c r="C29" s="256"/>
      <c r="D29" s="256"/>
      <c r="E29" s="256"/>
      <c r="F29" s="256"/>
      <c r="G29" s="256"/>
      <c r="H29" s="257"/>
      <c r="I29" s="257"/>
      <c r="J29" s="257"/>
    </row>
    <row r="30" spans="1:29" ht="54.75" customHeight="1" x14ac:dyDescent="0.2">
      <c r="A30" s="270"/>
      <c r="B30" s="258" t="s">
        <v>1460</v>
      </c>
      <c r="C30" s="259"/>
      <c r="D30" s="259"/>
      <c r="E30" s="259"/>
      <c r="F30" s="259"/>
      <c r="G30" s="259"/>
      <c r="H30" s="260"/>
      <c r="I30" s="260"/>
      <c r="J30" s="261"/>
    </row>
    <row r="31" spans="1:29" x14ac:dyDescent="0.2">
      <c r="A31" s="270"/>
      <c r="B31" s="256"/>
      <c r="C31" s="256"/>
      <c r="D31" s="256"/>
      <c r="E31" s="256"/>
      <c r="F31" s="256"/>
      <c r="G31" s="256"/>
      <c r="H31" s="257"/>
      <c r="I31" s="257"/>
      <c r="J31" s="257"/>
    </row>
  </sheetData>
  <mergeCells count="16">
    <mergeCell ref="B29:J29"/>
    <mergeCell ref="B30:J30"/>
    <mergeCell ref="B31:J31"/>
    <mergeCell ref="B28:J28"/>
    <mergeCell ref="A2:J2"/>
    <mergeCell ref="A3:J3"/>
    <mergeCell ref="B14:J14"/>
    <mergeCell ref="B15:J15"/>
    <mergeCell ref="B27:J27"/>
    <mergeCell ref="B16:J16"/>
    <mergeCell ref="A14:A16"/>
    <mergeCell ref="A19:J19"/>
    <mergeCell ref="B24:J24"/>
    <mergeCell ref="B25:J25"/>
    <mergeCell ref="B26:J26"/>
    <mergeCell ref="A24:A31"/>
  </mergeCells>
  <phoneticPr fontId="9" type="noConversion"/>
  <hyperlinks>
    <hyperlink ref="A1" location="Overview!A1" display="Back to Overview" xr:uid="{00000000-0004-0000-0500-000000000000}"/>
  </hyperlinks>
  <pageMargins left="0.70866141732283472" right="0.70866141732283472" top="1.0236220472440944" bottom="0.74803149606299213" header="0.31496062992125984" footer="0.31496062992125984"/>
  <pageSetup paperSize="9" scale="54" fitToHeight="0" orientation="portrait" r:id="rId1"/>
  <headerFooter scaleWithDoc="0">
    <oddHeader>&amp;L
&amp;"Arial,Bold"Annex 3&amp;"Arial,Regular" - Schedule of Chargesfor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M190"/>
  <sheetViews>
    <sheetView zoomScale="85" zoomScaleNormal="85" zoomScaleSheetLayoutView="85" workbookViewId="0">
      <selection activeCell="A2" sqref="A2:J2"/>
    </sheetView>
  </sheetViews>
  <sheetFormatPr defaultRowHeight="27.75" customHeight="1" x14ac:dyDescent="0.2"/>
  <cols>
    <col min="1" max="1" width="58" style="2" bestFit="1" customWidth="1"/>
    <col min="2" max="2" width="17.7109375" style="3" customWidth="1"/>
    <col min="3" max="4" width="17.7109375" style="2" customWidth="1"/>
    <col min="5" max="7" width="17.7109375" style="3" customWidth="1"/>
    <col min="8" max="9" width="17.7109375" style="9" customWidth="1"/>
    <col min="10" max="10" width="17.7109375" style="4" customWidth="1"/>
    <col min="11" max="11" width="15.5703125" style="4" customWidth="1"/>
    <col min="12" max="17" width="15.5703125" style="2" customWidth="1"/>
    <col min="18" max="16384" width="9.140625" style="2"/>
  </cols>
  <sheetData>
    <row r="1" spans="1:13" ht="27.75" customHeight="1" x14ac:dyDescent="0.2">
      <c r="A1" s="57" t="s">
        <v>91</v>
      </c>
      <c r="B1" s="271" t="s">
        <v>652</v>
      </c>
      <c r="C1" s="272"/>
      <c r="D1" s="272"/>
      <c r="F1" s="273" t="s">
        <v>698</v>
      </c>
      <c r="G1" s="274"/>
      <c r="H1" s="275"/>
      <c r="I1" s="4"/>
      <c r="J1" s="2"/>
      <c r="K1" s="2"/>
    </row>
    <row r="2" spans="1:13" ht="31.5" customHeight="1" x14ac:dyDescent="0.2">
      <c r="A2" s="276" t="s">
        <v>1443</v>
      </c>
      <c r="B2" s="276"/>
      <c r="C2" s="276"/>
      <c r="D2" s="276"/>
      <c r="E2" s="276"/>
      <c r="F2" s="276"/>
      <c r="G2" s="276"/>
      <c r="H2" s="276"/>
      <c r="I2" s="276"/>
      <c r="J2" s="276"/>
    </row>
    <row r="3" spans="1:13" ht="8.25" customHeight="1" x14ac:dyDescent="0.2">
      <c r="A3" s="99"/>
      <c r="B3" s="99"/>
      <c r="C3" s="99"/>
      <c r="D3" s="99"/>
      <c r="E3" s="99"/>
      <c r="F3" s="99"/>
      <c r="G3" s="99"/>
      <c r="H3" s="99"/>
      <c r="I3" s="99"/>
      <c r="J3" s="99"/>
    </row>
    <row r="4" spans="1:13" ht="27" customHeight="1" x14ac:dyDescent="0.2">
      <c r="A4" s="242" t="s">
        <v>504</v>
      </c>
      <c r="B4" s="242"/>
      <c r="C4" s="242"/>
      <c r="D4" s="242"/>
      <c r="E4" s="103"/>
      <c r="F4" s="242" t="s">
        <v>503</v>
      </c>
      <c r="G4" s="242"/>
      <c r="H4" s="242"/>
      <c r="I4" s="242"/>
      <c r="J4" s="242"/>
      <c r="L4" s="4"/>
    </row>
    <row r="5" spans="1:13" ht="32.25" customHeight="1" x14ac:dyDescent="0.2">
      <c r="A5" s="86" t="s">
        <v>80</v>
      </c>
      <c r="B5" s="91" t="s">
        <v>494</v>
      </c>
      <c r="C5" s="110" t="s">
        <v>495</v>
      </c>
      <c r="D5" s="88" t="s">
        <v>496</v>
      </c>
      <c r="E5" s="95"/>
      <c r="F5" s="246"/>
      <c r="G5" s="247"/>
      <c r="H5" s="92" t="s">
        <v>501</v>
      </c>
      <c r="I5" s="93" t="s">
        <v>502</v>
      </c>
      <c r="J5" s="88" t="s">
        <v>496</v>
      </c>
      <c r="K5" s="95"/>
      <c r="L5" s="4"/>
      <c r="M5" s="4"/>
    </row>
    <row r="6" spans="1:13" ht="56.25" customHeight="1" x14ac:dyDescent="0.2">
      <c r="A6" s="89" t="s">
        <v>497</v>
      </c>
      <c r="B6" s="24" t="s">
        <v>721</v>
      </c>
      <c r="C6" s="182" t="s">
        <v>722</v>
      </c>
      <c r="D6" s="185" t="s">
        <v>723</v>
      </c>
      <c r="E6" s="95"/>
      <c r="F6" s="280" t="s">
        <v>498</v>
      </c>
      <c r="G6" s="280"/>
      <c r="H6" s="181"/>
      <c r="I6" s="94" t="s">
        <v>726</v>
      </c>
      <c r="J6" s="185" t="s">
        <v>723</v>
      </c>
      <c r="K6" s="95"/>
      <c r="L6" s="4"/>
      <c r="M6" s="4"/>
    </row>
    <row r="7" spans="1:13" ht="56.25" customHeight="1" x14ac:dyDescent="0.2">
      <c r="A7" s="89" t="s">
        <v>87</v>
      </c>
      <c r="B7" s="181"/>
      <c r="C7" s="187" t="s">
        <v>724</v>
      </c>
      <c r="D7" s="94" t="s">
        <v>725</v>
      </c>
      <c r="E7" s="95"/>
      <c r="F7" s="280" t="s">
        <v>499</v>
      </c>
      <c r="G7" s="280"/>
      <c r="H7" s="24" t="s">
        <v>721</v>
      </c>
      <c r="I7" s="94" t="s">
        <v>722</v>
      </c>
      <c r="J7" s="185" t="s">
        <v>723</v>
      </c>
      <c r="K7" s="95"/>
      <c r="L7" s="4"/>
      <c r="M7" s="4"/>
    </row>
    <row r="8" spans="1:13" ht="55.5" customHeight="1" x14ac:dyDescent="0.2">
      <c r="A8" s="90" t="s">
        <v>85</v>
      </c>
      <c r="B8" s="277" t="s">
        <v>86</v>
      </c>
      <c r="C8" s="278"/>
      <c r="D8" s="279"/>
      <c r="E8" s="95"/>
      <c r="F8" s="280" t="s">
        <v>760</v>
      </c>
      <c r="G8" s="280"/>
      <c r="H8" s="181"/>
      <c r="I8" s="94" t="s">
        <v>726</v>
      </c>
      <c r="J8" s="185" t="s">
        <v>723</v>
      </c>
      <c r="K8" s="95"/>
      <c r="L8" s="4"/>
      <c r="M8" s="4"/>
    </row>
    <row r="9" spans="1:13" s="87" customFormat="1" ht="55.5" customHeight="1" x14ac:dyDescent="0.2">
      <c r="A9" s="97"/>
      <c r="E9" s="100"/>
      <c r="F9" s="237" t="s">
        <v>519</v>
      </c>
      <c r="G9" s="237"/>
      <c r="H9" s="161"/>
      <c r="I9" s="185" t="s">
        <v>724</v>
      </c>
      <c r="J9" s="185" t="s">
        <v>728</v>
      </c>
      <c r="K9" s="95"/>
      <c r="L9" s="56"/>
      <c r="M9" s="56"/>
    </row>
    <row r="10" spans="1:13" s="97" customFormat="1" ht="21" customHeight="1" x14ac:dyDescent="0.2">
      <c r="B10" s="95"/>
      <c r="C10" s="95"/>
      <c r="D10" s="95"/>
      <c r="E10" s="95"/>
      <c r="F10" s="95"/>
      <c r="K10" s="96"/>
      <c r="L10" s="96"/>
    </row>
    <row r="11" spans="1:13" s="97" customFormat="1" ht="12" customHeight="1" x14ac:dyDescent="0.2">
      <c r="A11" s="95"/>
      <c r="B11" s="95"/>
      <c r="C11" s="95"/>
      <c r="D11" s="95"/>
      <c r="E11" s="95"/>
      <c r="F11" s="101"/>
      <c r="G11" s="101"/>
      <c r="H11" s="102"/>
      <c r="I11" s="102"/>
      <c r="J11" s="102"/>
      <c r="K11" s="96"/>
      <c r="L11" s="96"/>
    </row>
    <row r="12" spans="1:13" ht="66" customHeight="1" x14ac:dyDescent="0.2">
      <c r="A12" s="38" t="s">
        <v>697</v>
      </c>
      <c r="B12" s="38" t="s">
        <v>198</v>
      </c>
      <c r="C12" s="27" t="s">
        <v>96</v>
      </c>
      <c r="D12" s="84" t="s">
        <v>641</v>
      </c>
      <c r="E12" s="84" t="s">
        <v>642</v>
      </c>
      <c r="F12" s="84" t="s">
        <v>643</v>
      </c>
      <c r="G12" s="27" t="s">
        <v>97</v>
      </c>
      <c r="H12" s="27" t="s">
        <v>98</v>
      </c>
      <c r="I12" s="27" t="s">
        <v>699</v>
      </c>
      <c r="J12" s="27" t="s">
        <v>457</v>
      </c>
      <c r="K12" s="2"/>
    </row>
    <row r="13" spans="1:13" ht="27" customHeight="1" x14ac:dyDescent="0.2">
      <c r="A13" s="28" t="s">
        <v>19</v>
      </c>
      <c r="B13" s="29"/>
      <c r="C13" s="49"/>
      <c r="D13" s="44">
        <v>2.09</v>
      </c>
      <c r="E13" s="45"/>
      <c r="F13" s="45"/>
      <c r="G13" s="46">
        <v>2.2400000000000002</v>
      </c>
      <c r="H13" s="171"/>
      <c r="I13" s="172"/>
      <c r="J13" s="45"/>
      <c r="K13" s="2"/>
    </row>
    <row r="14" spans="1:13" ht="27" customHeight="1" x14ac:dyDescent="0.2">
      <c r="A14" s="28" t="s">
        <v>20</v>
      </c>
      <c r="B14" s="29"/>
      <c r="C14" s="49"/>
      <c r="D14" s="44">
        <v>2.2959999999999998</v>
      </c>
      <c r="E14" s="44">
        <v>0.96199999999999997</v>
      </c>
      <c r="F14" s="45"/>
      <c r="G14" s="46">
        <v>2.2400000000000002</v>
      </c>
      <c r="H14" s="171"/>
      <c r="I14" s="172"/>
      <c r="J14" s="45"/>
      <c r="K14" s="2"/>
    </row>
    <row r="15" spans="1:13" ht="27" customHeight="1" x14ac:dyDescent="0.2">
      <c r="A15" s="28" t="s">
        <v>21</v>
      </c>
      <c r="B15" s="29"/>
      <c r="C15" s="49"/>
      <c r="D15" s="44">
        <v>0.96899999999999997</v>
      </c>
      <c r="E15" s="45"/>
      <c r="F15" s="45"/>
      <c r="G15" s="171"/>
      <c r="H15" s="171"/>
      <c r="I15" s="172"/>
      <c r="J15" s="45"/>
      <c r="K15" s="2"/>
    </row>
    <row r="16" spans="1:13" ht="27" customHeight="1" x14ac:dyDescent="0.2">
      <c r="A16" s="28" t="s">
        <v>22</v>
      </c>
      <c r="B16" s="29"/>
      <c r="C16" s="49"/>
      <c r="D16" s="44">
        <v>2.097</v>
      </c>
      <c r="E16" s="45"/>
      <c r="F16" s="45"/>
      <c r="G16" s="46">
        <v>2.88</v>
      </c>
      <c r="H16" s="171"/>
      <c r="I16" s="172"/>
      <c r="J16" s="45"/>
      <c r="K16" s="2"/>
    </row>
    <row r="17" spans="1:11" ht="27" customHeight="1" x14ac:dyDescent="0.2">
      <c r="A17" s="28" t="s">
        <v>23</v>
      </c>
      <c r="B17" s="29"/>
      <c r="C17" s="49"/>
      <c r="D17" s="44">
        <v>2.19</v>
      </c>
      <c r="E17" s="44">
        <v>0.91300000000000003</v>
      </c>
      <c r="F17" s="45"/>
      <c r="G17" s="46">
        <v>2.88</v>
      </c>
      <c r="H17" s="171"/>
      <c r="I17" s="172"/>
      <c r="J17" s="45"/>
      <c r="K17" s="2"/>
    </row>
    <row r="18" spans="1:11" ht="27" customHeight="1" x14ac:dyDescent="0.2">
      <c r="A18" s="28" t="s">
        <v>24</v>
      </c>
      <c r="B18" s="29"/>
      <c r="C18" s="49"/>
      <c r="D18" s="44">
        <v>0.93300000000000005</v>
      </c>
      <c r="E18" s="45"/>
      <c r="F18" s="45"/>
      <c r="G18" s="171"/>
      <c r="H18" s="171"/>
      <c r="I18" s="172"/>
      <c r="J18" s="45"/>
      <c r="K18" s="2"/>
    </row>
    <row r="19" spans="1:11" ht="27" customHeight="1" x14ac:dyDescent="0.2">
      <c r="A19" s="28" t="s">
        <v>25</v>
      </c>
      <c r="B19" s="29"/>
      <c r="C19" s="49"/>
      <c r="D19" s="44">
        <v>2.15</v>
      </c>
      <c r="E19" s="44">
        <v>0.89300000000000002</v>
      </c>
      <c r="F19" s="45"/>
      <c r="G19" s="46">
        <v>12.82</v>
      </c>
      <c r="H19" s="171"/>
      <c r="I19" s="172"/>
      <c r="J19" s="45"/>
      <c r="K19" s="2"/>
    </row>
    <row r="20" spans="1:11" ht="27" customHeight="1" x14ac:dyDescent="0.2">
      <c r="A20" s="28" t="s">
        <v>572</v>
      </c>
      <c r="B20" s="29"/>
      <c r="C20" s="49"/>
      <c r="D20" s="176">
        <v>7.641</v>
      </c>
      <c r="E20" s="177">
        <v>1.633</v>
      </c>
      <c r="F20" s="178">
        <v>0.90500000000000003</v>
      </c>
      <c r="G20" s="46">
        <v>2.2400000000000002</v>
      </c>
      <c r="H20" s="171"/>
      <c r="I20" s="172"/>
      <c r="J20" s="45"/>
      <c r="K20" s="2"/>
    </row>
    <row r="21" spans="1:11" ht="27" customHeight="1" x14ac:dyDescent="0.2">
      <c r="A21" s="28" t="s">
        <v>573</v>
      </c>
      <c r="B21" s="29"/>
      <c r="C21" s="49"/>
      <c r="D21" s="176">
        <v>7.8289999999999997</v>
      </c>
      <c r="E21" s="177">
        <v>1.6559999999999999</v>
      </c>
      <c r="F21" s="178">
        <v>0.90800000000000003</v>
      </c>
      <c r="G21" s="46">
        <v>2.88</v>
      </c>
      <c r="H21" s="171"/>
      <c r="I21" s="172"/>
      <c r="J21" s="45"/>
      <c r="K21" s="2"/>
    </row>
    <row r="22" spans="1:11" ht="27" customHeight="1" x14ac:dyDescent="0.2">
      <c r="A22" s="28" t="s">
        <v>26</v>
      </c>
      <c r="B22" s="29"/>
      <c r="C22" s="49"/>
      <c r="D22" s="176">
        <v>6.5289999999999999</v>
      </c>
      <c r="E22" s="177">
        <v>1.4359999999999999</v>
      </c>
      <c r="F22" s="178">
        <v>0.88600000000000001</v>
      </c>
      <c r="G22" s="46">
        <v>11.65</v>
      </c>
      <c r="H22" s="46">
        <v>1.56</v>
      </c>
      <c r="I22" s="173">
        <v>2.78</v>
      </c>
      <c r="J22" s="44">
        <v>0.22900000000000001</v>
      </c>
      <c r="K22" s="2"/>
    </row>
    <row r="23" spans="1:11" ht="27" customHeight="1" x14ac:dyDescent="0.2">
      <c r="A23" s="28" t="s">
        <v>190</v>
      </c>
      <c r="B23" s="29"/>
      <c r="C23" s="49"/>
      <c r="D23" s="44">
        <v>1.6859999999999999</v>
      </c>
      <c r="E23" s="45"/>
      <c r="F23" s="45"/>
      <c r="G23" s="171"/>
      <c r="H23" s="171"/>
      <c r="I23" s="172"/>
      <c r="J23" s="45"/>
      <c r="K23" s="2"/>
    </row>
    <row r="24" spans="1:11" ht="27" customHeight="1" x14ac:dyDescent="0.2">
      <c r="A24" s="28" t="s">
        <v>191</v>
      </c>
      <c r="B24" s="29"/>
      <c r="C24" s="49"/>
      <c r="D24" s="44">
        <v>1.853</v>
      </c>
      <c r="E24" s="45"/>
      <c r="F24" s="45"/>
      <c r="G24" s="171"/>
      <c r="H24" s="171"/>
      <c r="I24" s="172"/>
      <c r="J24" s="45"/>
      <c r="K24" s="2"/>
    </row>
    <row r="25" spans="1:11" ht="27" customHeight="1" x14ac:dyDescent="0.2">
      <c r="A25" s="28" t="s">
        <v>192</v>
      </c>
      <c r="B25" s="29"/>
      <c r="C25" s="49"/>
      <c r="D25" s="44">
        <v>2.5590000000000002</v>
      </c>
      <c r="E25" s="45"/>
      <c r="F25" s="45"/>
      <c r="G25" s="171"/>
      <c r="H25" s="171"/>
      <c r="I25" s="172"/>
      <c r="J25" s="45"/>
      <c r="K25" s="2"/>
    </row>
    <row r="26" spans="1:11" ht="27" customHeight="1" x14ac:dyDescent="0.2">
      <c r="A26" s="28" t="s">
        <v>193</v>
      </c>
      <c r="B26" s="29"/>
      <c r="C26" s="49"/>
      <c r="D26" s="44">
        <v>1.57</v>
      </c>
      <c r="E26" s="45"/>
      <c r="F26" s="45"/>
      <c r="G26" s="171"/>
      <c r="H26" s="171"/>
      <c r="I26" s="172"/>
      <c r="J26" s="45"/>
      <c r="K26" s="2"/>
    </row>
    <row r="27" spans="1:11" ht="27" customHeight="1" x14ac:dyDescent="0.2">
      <c r="A27" s="28" t="s">
        <v>27</v>
      </c>
      <c r="B27" s="29"/>
      <c r="C27" s="52"/>
      <c r="D27" s="179">
        <v>13.026</v>
      </c>
      <c r="E27" s="180">
        <v>1.6479999999999999</v>
      </c>
      <c r="F27" s="178">
        <v>1.0780000000000001</v>
      </c>
      <c r="G27" s="171"/>
      <c r="H27" s="171"/>
      <c r="I27" s="172"/>
      <c r="J27" s="45"/>
      <c r="K27" s="2"/>
    </row>
    <row r="28" spans="1:11" ht="27" customHeight="1" x14ac:dyDescent="0.2">
      <c r="A28" s="28" t="s">
        <v>574</v>
      </c>
      <c r="B28" s="29"/>
      <c r="C28" s="52"/>
      <c r="D28" s="44">
        <v>-1.228</v>
      </c>
      <c r="E28" s="45"/>
      <c r="F28" s="45"/>
      <c r="G28" s="46">
        <v>0</v>
      </c>
      <c r="H28" s="171"/>
      <c r="I28" s="172"/>
      <c r="J28" s="45"/>
      <c r="K28" s="2"/>
    </row>
    <row r="29" spans="1:11" ht="27" customHeight="1" x14ac:dyDescent="0.2">
      <c r="A29" s="28" t="s">
        <v>28</v>
      </c>
      <c r="B29" s="29"/>
      <c r="C29" s="52"/>
      <c r="D29" s="44">
        <v>-1.228</v>
      </c>
      <c r="E29" s="45"/>
      <c r="F29" s="45"/>
      <c r="G29" s="46">
        <v>0</v>
      </c>
      <c r="H29" s="171"/>
      <c r="I29" s="172"/>
      <c r="J29" s="44">
        <v>0.30199999999999999</v>
      </c>
      <c r="K29" s="2"/>
    </row>
    <row r="30" spans="1:11" ht="27" customHeight="1" x14ac:dyDescent="0.2">
      <c r="A30" s="28" t="s">
        <v>29</v>
      </c>
      <c r="B30" s="29"/>
      <c r="C30" s="52"/>
      <c r="D30" s="176">
        <v>-8.2870000000000008</v>
      </c>
      <c r="E30" s="177">
        <v>-1.036</v>
      </c>
      <c r="F30" s="178">
        <v>-0.158</v>
      </c>
      <c r="G30" s="46">
        <v>0</v>
      </c>
      <c r="H30" s="171"/>
      <c r="I30" s="172"/>
      <c r="J30" s="44">
        <v>0.30199999999999999</v>
      </c>
      <c r="K30" s="2"/>
    </row>
    <row r="31" spans="1:11" ht="27" customHeight="1" x14ac:dyDescent="0.2">
      <c r="A31" s="28" t="s">
        <v>30</v>
      </c>
      <c r="B31" s="29"/>
      <c r="C31" s="52"/>
      <c r="D31" s="44">
        <v>1.353</v>
      </c>
      <c r="E31" s="45"/>
      <c r="F31" s="45"/>
      <c r="G31" s="46">
        <v>1.45</v>
      </c>
      <c r="H31" s="171"/>
      <c r="I31" s="172"/>
      <c r="J31" s="45"/>
      <c r="K31" s="2"/>
    </row>
    <row r="32" spans="1:11" ht="27" customHeight="1" x14ac:dyDescent="0.2">
      <c r="A32" s="28" t="s">
        <v>31</v>
      </c>
      <c r="B32" s="29"/>
      <c r="C32" s="52"/>
      <c r="D32" s="44">
        <v>1.486</v>
      </c>
      <c r="E32" s="44">
        <v>0.623</v>
      </c>
      <c r="F32" s="45"/>
      <c r="G32" s="46">
        <v>1.45</v>
      </c>
      <c r="H32" s="171"/>
      <c r="I32" s="172"/>
      <c r="J32" s="45"/>
      <c r="K32" s="2"/>
    </row>
    <row r="33" spans="1:11" ht="27" customHeight="1" x14ac:dyDescent="0.2">
      <c r="A33" s="28" t="s">
        <v>32</v>
      </c>
      <c r="B33" s="29"/>
      <c r="C33" s="52"/>
      <c r="D33" s="44">
        <v>0.627</v>
      </c>
      <c r="E33" s="45"/>
      <c r="F33" s="45"/>
      <c r="G33" s="171"/>
      <c r="H33" s="171"/>
      <c r="I33" s="172"/>
      <c r="J33" s="45"/>
      <c r="K33" s="2"/>
    </row>
    <row r="34" spans="1:11" ht="27" customHeight="1" x14ac:dyDescent="0.2">
      <c r="A34" s="28" t="s">
        <v>33</v>
      </c>
      <c r="B34" s="29"/>
      <c r="C34" s="52"/>
      <c r="D34" s="44">
        <v>1.3580000000000001</v>
      </c>
      <c r="E34" s="45"/>
      <c r="F34" s="45"/>
      <c r="G34" s="46">
        <v>1.87</v>
      </c>
      <c r="H34" s="171"/>
      <c r="I34" s="172"/>
      <c r="J34" s="45"/>
      <c r="K34" s="2"/>
    </row>
    <row r="35" spans="1:11" ht="27" customHeight="1" x14ac:dyDescent="0.2">
      <c r="A35" s="28" t="s">
        <v>34</v>
      </c>
      <c r="B35" s="29"/>
      <c r="C35" s="52"/>
      <c r="D35" s="44">
        <v>1.417</v>
      </c>
      <c r="E35" s="44">
        <v>0.59099999999999997</v>
      </c>
      <c r="F35" s="45"/>
      <c r="G35" s="46">
        <v>1.87</v>
      </c>
      <c r="H35" s="171"/>
      <c r="I35" s="172"/>
      <c r="J35" s="45"/>
      <c r="K35" s="2"/>
    </row>
    <row r="36" spans="1:11" ht="27" customHeight="1" x14ac:dyDescent="0.2">
      <c r="A36" s="28" t="s">
        <v>35</v>
      </c>
      <c r="B36" s="29"/>
      <c r="C36" s="52"/>
      <c r="D36" s="44">
        <v>0.60399999999999998</v>
      </c>
      <c r="E36" s="45"/>
      <c r="F36" s="45"/>
      <c r="G36" s="171"/>
      <c r="H36" s="171"/>
      <c r="I36" s="172"/>
      <c r="J36" s="45"/>
      <c r="K36" s="2"/>
    </row>
    <row r="37" spans="1:11" ht="27" customHeight="1" x14ac:dyDescent="0.2">
      <c r="A37" s="28" t="s">
        <v>36</v>
      </c>
      <c r="B37" s="29"/>
      <c r="C37" s="52"/>
      <c r="D37" s="44">
        <v>1.3919999999999999</v>
      </c>
      <c r="E37" s="44">
        <v>0.57799999999999996</v>
      </c>
      <c r="F37" s="45"/>
      <c r="G37" s="46">
        <v>8.3000000000000007</v>
      </c>
      <c r="H37" s="171"/>
      <c r="I37" s="172"/>
      <c r="J37" s="45"/>
      <c r="K37" s="2"/>
    </row>
    <row r="38" spans="1:11" ht="27" customHeight="1" x14ac:dyDescent="0.2">
      <c r="A38" s="28" t="s">
        <v>575</v>
      </c>
      <c r="B38" s="29"/>
      <c r="C38" s="52"/>
      <c r="D38" s="176">
        <v>4.9459999999999997</v>
      </c>
      <c r="E38" s="177">
        <v>1.0569999999999999</v>
      </c>
      <c r="F38" s="178">
        <v>0.58599999999999997</v>
      </c>
      <c r="G38" s="46">
        <v>1.45</v>
      </c>
      <c r="H38" s="171"/>
      <c r="I38" s="172"/>
      <c r="J38" s="45"/>
      <c r="K38" s="2"/>
    </row>
    <row r="39" spans="1:11" ht="27" customHeight="1" x14ac:dyDescent="0.2">
      <c r="A39" s="28" t="s">
        <v>576</v>
      </c>
      <c r="B39" s="29"/>
      <c r="C39" s="52"/>
      <c r="D39" s="176">
        <v>5.0679999999999996</v>
      </c>
      <c r="E39" s="177">
        <v>1.0720000000000001</v>
      </c>
      <c r="F39" s="178">
        <v>0.58799999999999997</v>
      </c>
      <c r="G39" s="46">
        <v>1.87</v>
      </c>
      <c r="H39" s="171"/>
      <c r="I39" s="172"/>
      <c r="J39" s="45"/>
      <c r="K39" s="2"/>
    </row>
    <row r="40" spans="1:11" ht="27" customHeight="1" x14ac:dyDescent="0.2">
      <c r="A40" s="28" t="s">
        <v>37</v>
      </c>
      <c r="B40" s="29"/>
      <c r="C40" s="52"/>
      <c r="D40" s="176">
        <v>4.226</v>
      </c>
      <c r="E40" s="177">
        <v>0.92900000000000005</v>
      </c>
      <c r="F40" s="178">
        <v>0.57399999999999995</v>
      </c>
      <c r="G40" s="46">
        <v>7.54</v>
      </c>
      <c r="H40" s="46">
        <v>1.01</v>
      </c>
      <c r="I40" s="173">
        <v>1.8</v>
      </c>
      <c r="J40" s="44">
        <v>0.14799999999999999</v>
      </c>
      <c r="K40" s="2"/>
    </row>
    <row r="41" spans="1:11" ht="27" customHeight="1" x14ac:dyDescent="0.2">
      <c r="A41" s="28" t="s">
        <v>38</v>
      </c>
      <c r="B41" s="29"/>
      <c r="C41" s="52"/>
      <c r="D41" s="176">
        <v>5.2320000000000002</v>
      </c>
      <c r="E41" s="177">
        <v>1.212</v>
      </c>
      <c r="F41" s="178">
        <v>0.89700000000000002</v>
      </c>
      <c r="G41" s="46">
        <v>4.28</v>
      </c>
      <c r="H41" s="46">
        <v>3.34</v>
      </c>
      <c r="I41" s="173">
        <v>4.62</v>
      </c>
      <c r="J41" s="44">
        <v>0.15</v>
      </c>
      <c r="K41" s="2"/>
    </row>
    <row r="42" spans="1:11" ht="27" customHeight="1" x14ac:dyDescent="0.2">
      <c r="A42" s="28" t="s">
        <v>39</v>
      </c>
      <c r="B42" s="29"/>
      <c r="C42" s="52"/>
      <c r="D42" s="176">
        <v>4.7960000000000003</v>
      </c>
      <c r="E42" s="177">
        <v>1.212</v>
      </c>
      <c r="F42" s="178">
        <v>0.99199999999999999</v>
      </c>
      <c r="G42" s="46">
        <v>73.319999999999993</v>
      </c>
      <c r="H42" s="46">
        <v>2.97</v>
      </c>
      <c r="I42" s="173">
        <v>4.8600000000000003</v>
      </c>
      <c r="J42" s="44">
        <v>0.11799999999999999</v>
      </c>
      <c r="K42" s="2"/>
    </row>
    <row r="43" spans="1:11" ht="27" customHeight="1" x14ac:dyDescent="0.2">
      <c r="A43" s="28" t="s">
        <v>194</v>
      </c>
      <c r="B43" s="29"/>
      <c r="C43" s="52"/>
      <c r="D43" s="44">
        <v>1.0920000000000001</v>
      </c>
      <c r="E43" s="45"/>
      <c r="F43" s="45"/>
      <c r="G43" s="171"/>
      <c r="H43" s="171"/>
      <c r="I43" s="172"/>
      <c r="J43" s="45"/>
      <c r="K43" s="2"/>
    </row>
    <row r="44" spans="1:11" ht="27" customHeight="1" x14ac:dyDescent="0.2">
      <c r="A44" s="28" t="s">
        <v>195</v>
      </c>
      <c r="B44" s="29"/>
      <c r="C44" s="52"/>
      <c r="D44" s="44">
        <v>1.1990000000000001</v>
      </c>
      <c r="E44" s="45"/>
      <c r="F44" s="45"/>
      <c r="G44" s="171"/>
      <c r="H44" s="171"/>
      <c r="I44" s="172"/>
      <c r="J44" s="45"/>
      <c r="K44" s="2"/>
    </row>
    <row r="45" spans="1:11" ht="27" customHeight="1" x14ac:dyDescent="0.2">
      <c r="A45" s="28" t="s">
        <v>196</v>
      </c>
      <c r="B45" s="29"/>
      <c r="C45" s="52"/>
      <c r="D45" s="44">
        <v>1.657</v>
      </c>
      <c r="E45" s="45"/>
      <c r="F45" s="45"/>
      <c r="G45" s="171"/>
      <c r="H45" s="171"/>
      <c r="I45" s="172"/>
      <c r="J45" s="45"/>
      <c r="K45" s="2"/>
    </row>
    <row r="46" spans="1:11" ht="27" customHeight="1" x14ac:dyDescent="0.2">
      <c r="A46" s="28" t="s">
        <v>197</v>
      </c>
      <c r="B46" s="29"/>
      <c r="C46" s="52"/>
      <c r="D46" s="44">
        <v>1.0169999999999999</v>
      </c>
      <c r="E46" s="45"/>
      <c r="F46" s="45"/>
      <c r="G46" s="171"/>
      <c r="H46" s="171"/>
      <c r="I46" s="172"/>
      <c r="J46" s="45"/>
      <c r="K46" s="2"/>
    </row>
    <row r="47" spans="1:11" ht="27" customHeight="1" x14ac:dyDescent="0.2">
      <c r="A47" s="28" t="s">
        <v>40</v>
      </c>
      <c r="B47" s="29"/>
      <c r="C47" s="52"/>
      <c r="D47" s="179">
        <v>8.4329999999999998</v>
      </c>
      <c r="E47" s="180">
        <v>1.0669999999999999</v>
      </c>
      <c r="F47" s="178">
        <v>0.69799999999999995</v>
      </c>
      <c r="G47" s="171"/>
      <c r="H47" s="171"/>
      <c r="I47" s="172"/>
      <c r="J47" s="45"/>
      <c r="K47" s="2"/>
    </row>
    <row r="48" spans="1:11" ht="27" customHeight="1" x14ac:dyDescent="0.2">
      <c r="A48" s="28" t="s">
        <v>577</v>
      </c>
      <c r="B48" s="29"/>
      <c r="C48" s="52"/>
      <c r="D48" s="44">
        <v>-1.228</v>
      </c>
      <c r="E48" s="45"/>
      <c r="F48" s="45"/>
      <c r="G48" s="46">
        <v>0</v>
      </c>
      <c r="H48" s="171"/>
      <c r="I48" s="172"/>
      <c r="J48" s="45"/>
      <c r="K48" s="2"/>
    </row>
    <row r="49" spans="1:11" ht="27" customHeight="1" x14ac:dyDescent="0.2">
      <c r="A49" s="28" t="s">
        <v>41</v>
      </c>
      <c r="B49" s="29"/>
      <c r="C49" s="52"/>
      <c r="D49" s="44">
        <v>-1.0980000000000001</v>
      </c>
      <c r="E49" s="45"/>
      <c r="F49" s="45"/>
      <c r="G49" s="46">
        <v>0</v>
      </c>
      <c r="H49" s="171"/>
      <c r="I49" s="172"/>
      <c r="J49" s="45"/>
      <c r="K49" s="2"/>
    </row>
    <row r="50" spans="1:11" ht="27" customHeight="1" x14ac:dyDescent="0.2">
      <c r="A50" s="28" t="s">
        <v>42</v>
      </c>
      <c r="B50" s="29"/>
      <c r="C50" s="52"/>
      <c r="D50" s="44">
        <v>-1.228</v>
      </c>
      <c r="E50" s="45"/>
      <c r="F50" s="45"/>
      <c r="G50" s="46">
        <v>0</v>
      </c>
      <c r="H50" s="171"/>
      <c r="I50" s="172"/>
      <c r="J50" s="44">
        <v>0.30199999999999999</v>
      </c>
      <c r="K50" s="2"/>
    </row>
    <row r="51" spans="1:11" ht="27" customHeight="1" x14ac:dyDescent="0.2">
      <c r="A51" s="28" t="s">
        <v>43</v>
      </c>
      <c r="B51" s="29"/>
      <c r="C51" s="52"/>
      <c r="D51" s="176">
        <v>-8.2870000000000008</v>
      </c>
      <c r="E51" s="177">
        <v>-1.036</v>
      </c>
      <c r="F51" s="178">
        <v>-0.158</v>
      </c>
      <c r="G51" s="46">
        <v>0</v>
      </c>
      <c r="H51" s="171"/>
      <c r="I51" s="172"/>
      <c r="J51" s="44">
        <v>0.30199999999999999</v>
      </c>
      <c r="K51" s="2"/>
    </row>
    <row r="52" spans="1:11" ht="39.75" customHeight="1" x14ac:dyDescent="0.2">
      <c r="A52" s="28" t="s">
        <v>44</v>
      </c>
      <c r="B52" s="29"/>
      <c r="C52" s="52"/>
      <c r="D52" s="44">
        <v>-1.0980000000000001</v>
      </c>
      <c r="E52" s="45"/>
      <c r="F52" s="45"/>
      <c r="G52" s="46">
        <v>0</v>
      </c>
      <c r="H52" s="171"/>
      <c r="I52" s="172"/>
      <c r="J52" s="44">
        <v>0.28000000000000003</v>
      </c>
      <c r="K52" s="2"/>
    </row>
    <row r="53" spans="1:11" ht="27" customHeight="1" x14ac:dyDescent="0.2">
      <c r="A53" s="28" t="s">
        <v>45</v>
      </c>
      <c r="B53" s="29"/>
      <c r="C53" s="52"/>
      <c r="D53" s="176">
        <v>-7.5140000000000002</v>
      </c>
      <c r="E53" s="177">
        <v>-0.89800000000000002</v>
      </c>
      <c r="F53" s="178">
        <v>-0.14499999999999999</v>
      </c>
      <c r="G53" s="46">
        <v>0</v>
      </c>
      <c r="H53" s="171"/>
      <c r="I53" s="172"/>
      <c r="J53" s="44">
        <v>0.28000000000000003</v>
      </c>
      <c r="K53" s="2"/>
    </row>
    <row r="54" spans="1:11" ht="27" customHeight="1" x14ac:dyDescent="0.2">
      <c r="A54" s="28" t="s">
        <v>46</v>
      </c>
      <c r="B54" s="29"/>
      <c r="C54" s="52"/>
      <c r="D54" s="44">
        <v>-0.72299999999999998</v>
      </c>
      <c r="E54" s="45"/>
      <c r="F54" s="45"/>
      <c r="G54" s="46">
        <v>0</v>
      </c>
      <c r="H54" s="171"/>
      <c r="I54" s="172"/>
      <c r="J54" s="44">
        <v>0.214</v>
      </c>
      <c r="K54" s="2"/>
    </row>
    <row r="55" spans="1:11" ht="27" customHeight="1" x14ac:dyDescent="0.2">
      <c r="A55" s="28" t="s">
        <v>47</v>
      </c>
      <c r="B55" s="29"/>
      <c r="C55" s="52"/>
      <c r="D55" s="176">
        <v>-5.3849999999999998</v>
      </c>
      <c r="E55" s="177">
        <v>-0.47099999999999997</v>
      </c>
      <c r="F55" s="178">
        <v>-0.11</v>
      </c>
      <c r="G55" s="46">
        <v>0</v>
      </c>
      <c r="H55" s="171"/>
      <c r="I55" s="172"/>
      <c r="J55" s="44">
        <v>0.214</v>
      </c>
      <c r="K55" s="2"/>
    </row>
    <row r="56" spans="1:11" ht="27" customHeight="1" x14ac:dyDescent="0.2">
      <c r="A56" s="28" t="s">
        <v>101</v>
      </c>
      <c r="B56" s="29"/>
      <c r="C56" s="52">
        <v>1</v>
      </c>
      <c r="D56" s="44">
        <v>1.0449999999999999</v>
      </c>
      <c r="E56" s="45"/>
      <c r="F56" s="45"/>
      <c r="G56" s="46">
        <v>1.1200000000000001</v>
      </c>
      <c r="H56" s="171"/>
      <c r="I56" s="172"/>
      <c r="J56" s="45"/>
      <c r="K56" s="2"/>
    </row>
    <row r="57" spans="1:11" ht="27" customHeight="1" x14ac:dyDescent="0.2">
      <c r="A57" s="28" t="s">
        <v>102</v>
      </c>
      <c r="B57" s="29"/>
      <c r="C57" s="52">
        <v>2</v>
      </c>
      <c r="D57" s="44">
        <v>1.1479999999999999</v>
      </c>
      <c r="E57" s="44">
        <v>0.48099999999999998</v>
      </c>
      <c r="F57" s="45"/>
      <c r="G57" s="46">
        <v>1.1200000000000001</v>
      </c>
      <c r="H57" s="171"/>
      <c r="I57" s="172"/>
      <c r="J57" s="45"/>
      <c r="K57" s="2"/>
    </row>
    <row r="58" spans="1:11" ht="27" customHeight="1" x14ac:dyDescent="0.2">
      <c r="A58" s="28" t="s">
        <v>103</v>
      </c>
      <c r="B58" s="29"/>
      <c r="C58" s="52">
        <v>2</v>
      </c>
      <c r="D58" s="44">
        <v>0.48499999999999999</v>
      </c>
      <c r="E58" s="45"/>
      <c r="F58" s="45"/>
      <c r="G58" s="171"/>
      <c r="H58" s="171"/>
      <c r="I58" s="172"/>
      <c r="J58" s="45"/>
      <c r="K58" s="2"/>
    </row>
    <row r="59" spans="1:11" ht="27" customHeight="1" x14ac:dyDescent="0.2">
      <c r="A59" s="28" t="s">
        <v>104</v>
      </c>
      <c r="B59" s="29"/>
      <c r="C59" s="52">
        <v>3</v>
      </c>
      <c r="D59" s="44">
        <v>1.0489999999999999</v>
      </c>
      <c r="E59" s="45"/>
      <c r="F59" s="45"/>
      <c r="G59" s="46">
        <v>1.44</v>
      </c>
      <c r="H59" s="171"/>
      <c r="I59" s="172"/>
      <c r="J59" s="45"/>
      <c r="K59" s="2"/>
    </row>
    <row r="60" spans="1:11" ht="27" customHeight="1" x14ac:dyDescent="0.2">
      <c r="A60" s="28" t="s">
        <v>105</v>
      </c>
      <c r="B60" s="29"/>
      <c r="C60" s="52">
        <v>4</v>
      </c>
      <c r="D60" s="44">
        <v>1.095</v>
      </c>
      <c r="E60" s="44">
        <v>0.45700000000000002</v>
      </c>
      <c r="F60" s="45"/>
      <c r="G60" s="46">
        <v>1.44</v>
      </c>
      <c r="H60" s="171"/>
      <c r="I60" s="172"/>
      <c r="J60" s="45"/>
      <c r="K60" s="2"/>
    </row>
    <row r="61" spans="1:11" ht="27" customHeight="1" x14ac:dyDescent="0.2">
      <c r="A61" s="28" t="s">
        <v>106</v>
      </c>
      <c r="B61" s="29"/>
      <c r="C61" s="52">
        <v>4</v>
      </c>
      <c r="D61" s="44">
        <v>0.46700000000000003</v>
      </c>
      <c r="E61" s="45"/>
      <c r="F61" s="45"/>
      <c r="G61" s="171"/>
      <c r="H61" s="171"/>
      <c r="I61" s="172"/>
      <c r="J61" s="45"/>
      <c r="K61" s="2"/>
    </row>
    <row r="62" spans="1:11" ht="27" customHeight="1" x14ac:dyDescent="0.2">
      <c r="A62" s="28" t="s">
        <v>107</v>
      </c>
      <c r="B62" s="29"/>
      <c r="C62" s="52" t="s">
        <v>18</v>
      </c>
      <c r="D62" s="44">
        <v>1.075</v>
      </c>
      <c r="E62" s="44">
        <v>0.44700000000000001</v>
      </c>
      <c r="F62" s="45"/>
      <c r="G62" s="46">
        <v>6.41</v>
      </c>
      <c r="H62" s="171"/>
      <c r="I62" s="172"/>
      <c r="J62" s="45"/>
      <c r="K62" s="2"/>
    </row>
    <row r="63" spans="1:11" ht="27" customHeight="1" x14ac:dyDescent="0.2">
      <c r="A63" s="28" t="s">
        <v>108</v>
      </c>
      <c r="B63" s="29"/>
      <c r="C63" s="52" t="s">
        <v>18</v>
      </c>
      <c r="D63" s="44">
        <v>1.669</v>
      </c>
      <c r="E63" s="44">
        <v>0.69599999999999995</v>
      </c>
      <c r="F63" s="45"/>
      <c r="G63" s="46">
        <v>12.07</v>
      </c>
      <c r="H63" s="171"/>
      <c r="I63" s="172"/>
      <c r="J63" s="45"/>
      <c r="K63" s="2"/>
    </row>
    <row r="64" spans="1:11" ht="27" customHeight="1" x14ac:dyDescent="0.2">
      <c r="A64" s="28" t="s">
        <v>109</v>
      </c>
      <c r="B64" s="29"/>
      <c r="C64" s="52" t="s">
        <v>18</v>
      </c>
      <c r="D64" s="44">
        <v>1.3759999999999999</v>
      </c>
      <c r="E64" s="44">
        <v>0.748</v>
      </c>
      <c r="F64" s="45"/>
      <c r="G64" s="46">
        <v>103.23</v>
      </c>
      <c r="H64" s="171"/>
      <c r="I64" s="172"/>
      <c r="J64" s="45"/>
      <c r="K64" s="2"/>
    </row>
    <row r="65" spans="1:11" ht="27" customHeight="1" x14ac:dyDescent="0.2">
      <c r="A65" s="28" t="s">
        <v>578</v>
      </c>
      <c r="B65" s="29"/>
      <c r="C65" s="52" t="s">
        <v>571</v>
      </c>
      <c r="D65" s="176">
        <v>3.82</v>
      </c>
      <c r="E65" s="177">
        <v>0.81599999999999995</v>
      </c>
      <c r="F65" s="178">
        <v>0.45300000000000001</v>
      </c>
      <c r="G65" s="46">
        <v>1.1200000000000001</v>
      </c>
      <c r="H65" s="171"/>
      <c r="I65" s="172"/>
      <c r="J65" s="45"/>
      <c r="K65" s="2"/>
    </row>
    <row r="66" spans="1:11" ht="27" customHeight="1" x14ac:dyDescent="0.2">
      <c r="A66" s="28" t="s">
        <v>579</v>
      </c>
      <c r="B66" s="29"/>
      <c r="C66" s="52" t="s">
        <v>571</v>
      </c>
      <c r="D66" s="176">
        <v>3.9140000000000001</v>
      </c>
      <c r="E66" s="177">
        <v>0.82799999999999996</v>
      </c>
      <c r="F66" s="178">
        <v>0.45400000000000001</v>
      </c>
      <c r="G66" s="46">
        <v>1.44</v>
      </c>
      <c r="H66" s="171"/>
      <c r="I66" s="172"/>
      <c r="J66" s="45"/>
      <c r="K66" s="2"/>
    </row>
    <row r="67" spans="1:11" ht="27" customHeight="1" x14ac:dyDescent="0.2">
      <c r="A67" s="28" t="s">
        <v>110</v>
      </c>
      <c r="B67" s="29"/>
      <c r="C67" s="52">
        <v>0</v>
      </c>
      <c r="D67" s="176">
        <v>3.2639999999999998</v>
      </c>
      <c r="E67" s="177">
        <v>0.71799999999999997</v>
      </c>
      <c r="F67" s="178">
        <v>0.443</v>
      </c>
      <c r="G67" s="46">
        <v>5.83</v>
      </c>
      <c r="H67" s="46">
        <v>0.78</v>
      </c>
      <c r="I67" s="173">
        <v>1.39</v>
      </c>
      <c r="J67" s="44">
        <v>0.114</v>
      </c>
      <c r="K67" s="2"/>
    </row>
    <row r="68" spans="1:11" ht="27" customHeight="1" x14ac:dyDescent="0.2">
      <c r="A68" s="28" t="s">
        <v>111</v>
      </c>
      <c r="B68" s="29"/>
      <c r="C68" s="52">
        <v>0</v>
      </c>
      <c r="D68" s="176">
        <v>3.9140000000000001</v>
      </c>
      <c r="E68" s="177">
        <v>0.90700000000000003</v>
      </c>
      <c r="F68" s="178">
        <v>0.67100000000000004</v>
      </c>
      <c r="G68" s="46">
        <v>3.2</v>
      </c>
      <c r="H68" s="46">
        <v>2.5</v>
      </c>
      <c r="I68" s="173">
        <v>3.46</v>
      </c>
      <c r="J68" s="44">
        <v>0.113</v>
      </c>
      <c r="K68" s="2"/>
    </row>
    <row r="69" spans="1:11" ht="27" customHeight="1" x14ac:dyDescent="0.2">
      <c r="A69" s="28" t="s">
        <v>112</v>
      </c>
      <c r="B69" s="29"/>
      <c r="C69" s="52">
        <v>0</v>
      </c>
      <c r="D69" s="176">
        <v>3.552</v>
      </c>
      <c r="E69" s="177">
        <v>0.89800000000000002</v>
      </c>
      <c r="F69" s="178">
        <v>0.73399999999999999</v>
      </c>
      <c r="G69" s="46">
        <v>54.29</v>
      </c>
      <c r="H69" s="46">
        <v>2.2000000000000002</v>
      </c>
      <c r="I69" s="173">
        <v>3.6</v>
      </c>
      <c r="J69" s="44">
        <v>8.6999999999999994E-2</v>
      </c>
      <c r="K69" s="2"/>
    </row>
    <row r="70" spans="1:11" ht="27" customHeight="1" x14ac:dyDescent="0.2">
      <c r="A70" s="28" t="s">
        <v>199</v>
      </c>
      <c r="B70" s="29"/>
      <c r="C70" s="52">
        <v>8</v>
      </c>
      <c r="D70" s="44">
        <v>0.84299999999999997</v>
      </c>
      <c r="E70" s="45"/>
      <c r="F70" s="45"/>
      <c r="G70" s="171"/>
      <c r="H70" s="171"/>
      <c r="I70" s="174"/>
      <c r="J70" s="45"/>
      <c r="K70" s="2"/>
    </row>
    <row r="71" spans="1:11" ht="27" customHeight="1" x14ac:dyDescent="0.2">
      <c r="A71" s="28" t="s">
        <v>200</v>
      </c>
      <c r="B71" s="29"/>
      <c r="C71" s="52">
        <v>1</v>
      </c>
      <c r="D71" s="44">
        <v>0.92600000000000005</v>
      </c>
      <c r="E71" s="45"/>
      <c r="F71" s="45"/>
      <c r="G71" s="171"/>
      <c r="H71" s="171"/>
      <c r="I71" s="174"/>
      <c r="J71" s="45"/>
      <c r="K71" s="2"/>
    </row>
    <row r="72" spans="1:11" ht="27" customHeight="1" x14ac:dyDescent="0.2">
      <c r="A72" s="28" t="s">
        <v>201</v>
      </c>
      <c r="B72" s="29"/>
      <c r="C72" s="52">
        <v>1</v>
      </c>
      <c r="D72" s="44">
        <v>1.2789999999999999</v>
      </c>
      <c r="E72" s="45"/>
      <c r="F72" s="45"/>
      <c r="G72" s="171"/>
      <c r="H72" s="171"/>
      <c r="I72" s="174"/>
      <c r="J72" s="45"/>
      <c r="K72" s="2"/>
    </row>
    <row r="73" spans="1:11" ht="27" customHeight="1" x14ac:dyDescent="0.2">
      <c r="A73" s="28" t="s">
        <v>202</v>
      </c>
      <c r="B73" s="29"/>
      <c r="C73" s="52">
        <v>1</v>
      </c>
      <c r="D73" s="44">
        <v>0.78500000000000003</v>
      </c>
      <c r="E73" s="45"/>
      <c r="F73" s="45"/>
      <c r="G73" s="171"/>
      <c r="H73" s="171"/>
      <c r="I73" s="174"/>
      <c r="J73" s="45"/>
      <c r="K73" s="2"/>
    </row>
    <row r="74" spans="1:11" ht="27" customHeight="1" x14ac:dyDescent="0.2">
      <c r="A74" s="28" t="s">
        <v>113</v>
      </c>
      <c r="B74" s="29"/>
      <c r="C74" s="52">
        <v>0</v>
      </c>
      <c r="D74" s="179">
        <v>6.5129999999999999</v>
      </c>
      <c r="E74" s="180">
        <v>0.82399999999999995</v>
      </c>
      <c r="F74" s="178">
        <v>0.53900000000000003</v>
      </c>
      <c r="G74" s="171"/>
      <c r="H74" s="171"/>
      <c r="I74" s="172"/>
      <c r="J74" s="45"/>
      <c r="K74" s="2"/>
    </row>
    <row r="75" spans="1:11" ht="27" customHeight="1" x14ac:dyDescent="0.2">
      <c r="A75" s="28" t="s">
        <v>580</v>
      </c>
      <c r="B75" s="29"/>
      <c r="C75" s="52">
        <v>8</v>
      </c>
      <c r="D75" s="44">
        <v>-0.59599999999999997</v>
      </c>
      <c r="E75" s="45"/>
      <c r="F75" s="45"/>
      <c r="G75" s="46">
        <v>0</v>
      </c>
      <c r="H75" s="171"/>
      <c r="I75" s="172"/>
      <c r="J75" s="45"/>
      <c r="K75" s="2"/>
    </row>
    <row r="76" spans="1:11" ht="27" customHeight="1" x14ac:dyDescent="0.2">
      <c r="A76" s="28" t="s">
        <v>114</v>
      </c>
      <c r="B76" s="29"/>
      <c r="C76" s="52">
        <v>8</v>
      </c>
      <c r="D76" s="44">
        <v>-0.59599999999999997</v>
      </c>
      <c r="E76" s="45"/>
      <c r="F76" s="45"/>
      <c r="G76" s="46">
        <v>0</v>
      </c>
      <c r="H76" s="171"/>
      <c r="I76" s="172"/>
      <c r="J76" s="45"/>
      <c r="K76" s="2"/>
    </row>
    <row r="77" spans="1:11" ht="27" customHeight="1" x14ac:dyDescent="0.2">
      <c r="A77" s="28" t="s">
        <v>115</v>
      </c>
      <c r="B77" s="29"/>
      <c r="C77" s="52">
        <v>0</v>
      </c>
      <c r="D77" s="44">
        <v>-0.59599999999999997</v>
      </c>
      <c r="E77" s="45"/>
      <c r="F77" s="45"/>
      <c r="G77" s="46">
        <v>0</v>
      </c>
      <c r="H77" s="171"/>
      <c r="I77" s="172"/>
      <c r="J77" s="44">
        <v>0.14699999999999999</v>
      </c>
      <c r="K77" s="2"/>
    </row>
    <row r="78" spans="1:11" ht="27" customHeight="1" x14ac:dyDescent="0.2">
      <c r="A78" s="28" t="s">
        <v>116</v>
      </c>
      <c r="B78" s="29"/>
      <c r="C78" s="52">
        <v>0</v>
      </c>
      <c r="D78" s="176">
        <v>-4.0209999999999999</v>
      </c>
      <c r="E78" s="177">
        <v>-0.503</v>
      </c>
      <c r="F78" s="178">
        <v>-7.6999999999999999E-2</v>
      </c>
      <c r="G78" s="46">
        <v>0</v>
      </c>
      <c r="H78" s="171"/>
      <c r="I78" s="172"/>
      <c r="J78" s="44">
        <v>0.14699999999999999</v>
      </c>
      <c r="K78" s="2"/>
    </row>
    <row r="79" spans="1:11" ht="27" customHeight="1" x14ac:dyDescent="0.2">
      <c r="A79" s="28" t="s">
        <v>117</v>
      </c>
      <c r="B79" s="29"/>
      <c r="C79" s="52">
        <v>0</v>
      </c>
      <c r="D79" s="44">
        <v>-0.59599999999999997</v>
      </c>
      <c r="E79" s="45"/>
      <c r="F79" s="45"/>
      <c r="G79" s="46">
        <v>0</v>
      </c>
      <c r="H79" s="171"/>
      <c r="I79" s="172"/>
      <c r="J79" s="44">
        <v>0.152</v>
      </c>
      <c r="K79" s="2"/>
    </row>
    <row r="80" spans="1:11" ht="27" customHeight="1" x14ac:dyDescent="0.2">
      <c r="A80" s="28" t="s">
        <v>118</v>
      </c>
      <c r="B80" s="29"/>
      <c r="C80" s="52">
        <v>0</v>
      </c>
      <c r="D80" s="176">
        <v>-4.0810000000000004</v>
      </c>
      <c r="E80" s="177">
        <v>-0.48799999999999999</v>
      </c>
      <c r="F80" s="178">
        <v>-7.9000000000000001E-2</v>
      </c>
      <c r="G80" s="46">
        <v>0</v>
      </c>
      <c r="H80" s="171"/>
      <c r="I80" s="172"/>
      <c r="J80" s="44">
        <v>0.152</v>
      </c>
      <c r="K80" s="2"/>
    </row>
    <row r="81" spans="1:11" ht="27" customHeight="1" x14ac:dyDescent="0.2">
      <c r="A81" s="28" t="s">
        <v>119</v>
      </c>
      <c r="B81" s="29"/>
      <c r="C81" s="52">
        <v>0</v>
      </c>
      <c r="D81" s="44">
        <v>-0.72299999999999998</v>
      </c>
      <c r="E81" s="45"/>
      <c r="F81" s="45"/>
      <c r="G81" s="46">
        <v>73</v>
      </c>
      <c r="H81" s="171"/>
      <c r="I81" s="172"/>
      <c r="J81" s="44">
        <v>0.214</v>
      </c>
      <c r="K81" s="2"/>
    </row>
    <row r="82" spans="1:11" ht="27" customHeight="1" x14ac:dyDescent="0.2">
      <c r="A82" s="28" t="s">
        <v>120</v>
      </c>
      <c r="B82" s="29"/>
      <c r="C82" s="52">
        <v>0</v>
      </c>
      <c r="D82" s="176">
        <v>-5.3849999999999998</v>
      </c>
      <c r="E82" s="177">
        <v>-0.47099999999999997</v>
      </c>
      <c r="F82" s="178">
        <v>-0.11</v>
      </c>
      <c r="G82" s="46">
        <v>73</v>
      </c>
      <c r="H82" s="171"/>
      <c r="I82" s="172"/>
      <c r="J82" s="44">
        <v>0.214</v>
      </c>
      <c r="K82" s="2"/>
    </row>
    <row r="83" spans="1:11" ht="27" customHeight="1" x14ac:dyDescent="0.2">
      <c r="A83" s="28" t="s">
        <v>62</v>
      </c>
      <c r="B83" s="29"/>
      <c r="C83" s="52">
        <v>1</v>
      </c>
      <c r="D83" s="44">
        <v>0.746</v>
      </c>
      <c r="E83" s="45"/>
      <c r="F83" s="45"/>
      <c r="G83" s="46">
        <v>0.8</v>
      </c>
      <c r="H83" s="171"/>
      <c r="I83" s="172"/>
      <c r="J83" s="45"/>
      <c r="K83" s="2"/>
    </row>
    <row r="84" spans="1:11" ht="27" customHeight="1" x14ac:dyDescent="0.2">
      <c r="A84" s="28" t="s">
        <v>63</v>
      </c>
      <c r="B84" s="29"/>
      <c r="C84" s="52">
        <v>2</v>
      </c>
      <c r="D84" s="44">
        <v>0.81899999999999995</v>
      </c>
      <c r="E84" s="44">
        <v>0.34300000000000003</v>
      </c>
      <c r="F84" s="45"/>
      <c r="G84" s="46">
        <v>0.8</v>
      </c>
      <c r="H84" s="171"/>
      <c r="I84" s="172"/>
      <c r="J84" s="45"/>
      <c r="K84" s="2"/>
    </row>
    <row r="85" spans="1:11" ht="27" customHeight="1" x14ac:dyDescent="0.2">
      <c r="A85" s="28" t="s">
        <v>64</v>
      </c>
      <c r="B85" s="29"/>
      <c r="C85" s="52">
        <v>2</v>
      </c>
      <c r="D85" s="44">
        <v>0.34599999999999997</v>
      </c>
      <c r="E85" s="45"/>
      <c r="F85" s="45"/>
      <c r="G85" s="171"/>
      <c r="H85" s="171"/>
      <c r="I85" s="172"/>
      <c r="J85" s="45"/>
      <c r="K85" s="2"/>
    </row>
    <row r="86" spans="1:11" ht="27" customHeight="1" x14ac:dyDescent="0.2">
      <c r="A86" s="28" t="s">
        <v>65</v>
      </c>
      <c r="B86" s="29"/>
      <c r="C86" s="52">
        <v>3</v>
      </c>
      <c r="D86" s="44">
        <v>0.748</v>
      </c>
      <c r="E86" s="45"/>
      <c r="F86" s="45"/>
      <c r="G86" s="46">
        <v>1.03</v>
      </c>
      <c r="H86" s="171"/>
      <c r="I86" s="172"/>
      <c r="J86" s="45"/>
      <c r="K86" s="2"/>
    </row>
    <row r="87" spans="1:11" ht="27" customHeight="1" x14ac:dyDescent="0.2">
      <c r="A87" s="28" t="s">
        <v>66</v>
      </c>
      <c r="B87" s="29"/>
      <c r="C87" s="52">
        <v>4</v>
      </c>
      <c r="D87" s="44">
        <v>0.78100000000000003</v>
      </c>
      <c r="E87" s="44">
        <v>0.32600000000000001</v>
      </c>
      <c r="F87" s="45"/>
      <c r="G87" s="46">
        <v>1.03</v>
      </c>
      <c r="H87" s="171"/>
      <c r="I87" s="172"/>
      <c r="J87" s="45"/>
      <c r="K87" s="2"/>
    </row>
    <row r="88" spans="1:11" ht="27" customHeight="1" x14ac:dyDescent="0.2">
      <c r="A88" s="28" t="s">
        <v>67</v>
      </c>
      <c r="B88" s="29"/>
      <c r="C88" s="52">
        <v>4</v>
      </c>
      <c r="D88" s="44">
        <v>0.33300000000000002</v>
      </c>
      <c r="E88" s="45"/>
      <c r="F88" s="45"/>
      <c r="G88" s="171"/>
      <c r="H88" s="171"/>
      <c r="I88" s="172"/>
      <c r="J88" s="45"/>
      <c r="K88" s="2"/>
    </row>
    <row r="89" spans="1:11" ht="27" customHeight="1" x14ac:dyDescent="0.2">
      <c r="A89" s="28" t="s">
        <v>68</v>
      </c>
      <c r="B89" s="29"/>
      <c r="C89" s="52" t="s">
        <v>18</v>
      </c>
      <c r="D89" s="44">
        <v>0.76700000000000002</v>
      </c>
      <c r="E89" s="44">
        <v>0.31900000000000001</v>
      </c>
      <c r="F89" s="45"/>
      <c r="G89" s="46">
        <v>4.57</v>
      </c>
      <c r="H89" s="171"/>
      <c r="I89" s="172"/>
      <c r="J89" s="45"/>
      <c r="K89" s="2"/>
    </row>
    <row r="90" spans="1:11" ht="27" customHeight="1" x14ac:dyDescent="0.2">
      <c r="A90" s="28" t="s">
        <v>121</v>
      </c>
      <c r="B90" s="29"/>
      <c r="C90" s="52" t="s">
        <v>18</v>
      </c>
      <c r="D90" s="44">
        <v>1.1910000000000001</v>
      </c>
      <c r="E90" s="44">
        <v>0.497</v>
      </c>
      <c r="F90" s="45"/>
      <c r="G90" s="46">
        <v>8.61</v>
      </c>
      <c r="H90" s="171"/>
      <c r="I90" s="172"/>
      <c r="J90" s="45"/>
      <c r="K90" s="2"/>
    </row>
    <row r="91" spans="1:11" ht="27" customHeight="1" x14ac:dyDescent="0.2">
      <c r="A91" s="28" t="s">
        <v>122</v>
      </c>
      <c r="B91" s="29"/>
      <c r="C91" s="52" t="s">
        <v>18</v>
      </c>
      <c r="D91" s="44">
        <v>0.98199999999999998</v>
      </c>
      <c r="E91" s="44">
        <v>0.53400000000000003</v>
      </c>
      <c r="F91" s="45"/>
      <c r="G91" s="46">
        <v>73.67</v>
      </c>
      <c r="H91" s="171"/>
      <c r="I91" s="172"/>
      <c r="J91" s="45"/>
      <c r="K91" s="2"/>
    </row>
    <row r="92" spans="1:11" ht="27" customHeight="1" x14ac:dyDescent="0.2">
      <c r="A92" s="28" t="s">
        <v>581</v>
      </c>
      <c r="B92" s="29"/>
      <c r="C92" s="52" t="s">
        <v>571</v>
      </c>
      <c r="D92" s="176">
        <v>2.726</v>
      </c>
      <c r="E92" s="177">
        <v>0.58299999999999996</v>
      </c>
      <c r="F92" s="178">
        <v>0.32300000000000001</v>
      </c>
      <c r="G92" s="46">
        <v>0.8</v>
      </c>
      <c r="H92" s="171"/>
      <c r="I92" s="172"/>
      <c r="J92" s="45"/>
      <c r="K92" s="2"/>
    </row>
    <row r="93" spans="1:11" ht="27" customHeight="1" x14ac:dyDescent="0.2">
      <c r="A93" s="28" t="s">
        <v>582</v>
      </c>
      <c r="B93" s="29"/>
      <c r="C93" s="52" t="s">
        <v>571</v>
      </c>
      <c r="D93" s="176">
        <v>2.794</v>
      </c>
      <c r="E93" s="177">
        <v>0.59099999999999997</v>
      </c>
      <c r="F93" s="178">
        <v>0.32400000000000001</v>
      </c>
      <c r="G93" s="46">
        <v>1.03</v>
      </c>
      <c r="H93" s="171"/>
      <c r="I93" s="172"/>
      <c r="J93" s="45"/>
      <c r="K93" s="2"/>
    </row>
    <row r="94" spans="1:11" ht="27" customHeight="1" x14ac:dyDescent="0.2">
      <c r="A94" s="28" t="s">
        <v>69</v>
      </c>
      <c r="B94" s="29"/>
      <c r="C94" s="52">
        <v>0</v>
      </c>
      <c r="D94" s="176">
        <v>2.33</v>
      </c>
      <c r="E94" s="177">
        <v>0.51200000000000001</v>
      </c>
      <c r="F94" s="178">
        <v>0.316</v>
      </c>
      <c r="G94" s="46">
        <v>4.16</v>
      </c>
      <c r="H94" s="46">
        <v>0.56000000000000005</v>
      </c>
      <c r="I94" s="173">
        <v>0.99</v>
      </c>
      <c r="J94" s="44">
        <v>8.2000000000000003E-2</v>
      </c>
      <c r="K94" s="2"/>
    </row>
    <row r="95" spans="1:11" ht="27" customHeight="1" x14ac:dyDescent="0.2">
      <c r="A95" s="28" t="s">
        <v>70</v>
      </c>
      <c r="B95" s="29"/>
      <c r="C95" s="52">
        <v>0</v>
      </c>
      <c r="D95" s="176">
        <v>2.7930000000000001</v>
      </c>
      <c r="E95" s="177">
        <v>0.64700000000000002</v>
      </c>
      <c r="F95" s="178">
        <v>0.47899999999999998</v>
      </c>
      <c r="G95" s="46">
        <v>2.29</v>
      </c>
      <c r="H95" s="46">
        <v>1.78</v>
      </c>
      <c r="I95" s="173">
        <v>2.4700000000000002</v>
      </c>
      <c r="J95" s="44">
        <v>0.08</v>
      </c>
      <c r="K95" s="2"/>
    </row>
    <row r="96" spans="1:11" ht="27" customHeight="1" x14ac:dyDescent="0.2">
      <c r="A96" s="28" t="s">
        <v>71</v>
      </c>
      <c r="B96" s="29"/>
      <c r="C96" s="52">
        <v>0</v>
      </c>
      <c r="D96" s="176">
        <v>2.5350000000000001</v>
      </c>
      <c r="E96" s="177">
        <v>0.64100000000000001</v>
      </c>
      <c r="F96" s="178">
        <v>0.52400000000000002</v>
      </c>
      <c r="G96" s="46">
        <v>38.75</v>
      </c>
      <c r="H96" s="46">
        <v>1.57</v>
      </c>
      <c r="I96" s="173">
        <v>2.57</v>
      </c>
      <c r="J96" s="44">
        <v>6.2E-2</v>
      </c>
      <c r="K96" s="2"/>
    </row>
    <row r="97" spans="1:11" ht="27" customHeight="1" x14ac:dyDescent="0.2">
      <c r="A97" s="28" t="s">
        <v>203</v>
      </c>
      <c r="B97" s="29"/>
      <c r="C97" s="52">
        <v>8</v>
      </c>
      <c r="D97" s="44">
        <v>0.60199999999999998</v>
      </c>
      <c r="E97" s="45"/>
      <c r="F97" s="45"/>
      <c r="G97" s="171"/>
      <c r="H97" s="171"/>
      <c r="I97" s="174"/>
      <c r="J97" s="45"/>
      <c r="K97" s="2"/>
    </row>
    <row r="98" spans="1:11" ht="27" customHeight="1" x14ac:dyDescent="0.2">
      <c r="A98" s="28" t="s">
        <v>204</v>
      </c>
      <c r="B98" s="29"/>
      <c r="C98" s="52">
        <v>1</v>
      </c>
      <c r="D98" s="44">
        <v>0.66100000000000003</v>
      </c>
      <c r="E98" s="45"/>
      <c r="F98" s="45"/>
      <c r="G98" s="171"/>
      <c r="H98" s="171"/>
      <c r="I98" s="174"/>
      <c r="J98" s="45"/>
      <c r="K98" s="2"/>
    </row>
    <row r="99" spans="1:11" ht="27" customHeight="1" x14ac:dyDescent="0.2">
      <c r="A99" s="28" t="s">
        <v>205</v>
      </c>
      <c r="B99" s="29"/>
      <c r="C99" s="52">
        <v>1</v>
      </c>
      <c r="D99" s="44">
        <v>0.91300000000000003</v>
      </c>
      <c r="E99" s="45"/>
      <c r="F99" s="45"/>
      <c r="G99" s="171"/>
      <c r="H99" s="171"/>
      <c r="I99" s="174"/>
      <c r="J99" s="45"/>
      <c r="K99" s="2"/>
    </row>
    <row r="100" spans="1:11" ht="27" customHeight="1" x14ac:dyDescent="0.2">
      <c r="A100" s="28" t="s">
        <v>206</v>
      </c>
      <c r="B100" s="29"/>
      <c r="C100" s="52">
        <v>1</v>
      </c>
      <c r="D100" s="44">
        <v>0.56000000000000005</v>
      </c>
      <c r="E100" s="45"/>
      <c r="F100" s="45"/>
      <c r="G100" s="171"/>
      <c r="H100" s="171"/>
      <c r="I100" s="174"/>
      <c r="J100" s="45"/>
      <c r="K100" s="2"/>
    </row>
    <row r="101" spans="1:11" ht="27" customHeight="1" x14ac:dyDescent="0.2">
      <c r="A101" s="28" t="s">
        <v>72</v>
      </c>
      <c r="B101" s="29"/>
      <c r="C101" s="52">
        <v>0</v>
      </c>
      <c r="D101" s="179">
        <v>4.6479999999999997</v>
      </c>
      <c r="E101" s="180">
        <v>0.58799999999999997</v>
      </c>
      <c r="F101" s="178">
        <v>0.38500000000000001</v>
      </c>
      <c r="G101" s="171"/>
      <c r="H101" s="171"/>
      <c r="I101" s="172"/>
      <c r="J101" s="45"/>
      <c r="K101" s="2"/>
    </row>
    <row r="102" spans="1:11" ht="27" customHeight="1" x14ac:dyDescent="0.2">
      <c r="A102" s="28" t="s">
        <v>583</v>
      </c>
      <c r="B102" s="29"/>
      <c r="C102" s="52">
        <v>8</v>
      </c>
      <c r="D102" s="44">
        <v>-0.42499999999999999</v>
      </c>
      <c r="E102" s="45"/>
      <c r="F102" s="45"/>
      <c r="G102" s="46">
        <v>0</v>
      </c>
      <c r="H102" s="171"/>
      <c r="I102" s="172"/>
      <c r="J102" s="45"/>
      <c r="K102" s="2"/>
    </row>
    <row r="103" spans="1:11" ht="27" customHeight="1" x14ac:dyDescent="0.2">
      <c r="A103" s="28" t="s">
        <v>73</v>
      </c>
      <c r="B103" s="29"/>
      <c r="C103" s="52">
        <v>8</v>
      </c>
      <c r="D103" s="44">
        <v>-0.42599999999999999</v>
      </c>
      <c r="E103" s="45"/>
      <c r="F103" s="45"/>
      <c r="G103" s="46">
        <v>0</v>
      </c>
      <c r="H103" s="171"/>
      <c r="I103" s="172"/>
      <c r="J103" s="45"/>
      <c r="K103" s="2"/>
    </row>
    <row r="104" spans="1:11" ht="27" customHeight="1" x14ac:dyDescent="0.2">
      <c r="A104" s="28" t="s">
        <v>74</v>
      </c>
      <c r="B104" s="29"/>
      <c r="C104" s="52">
        <v>0</v>
      </c>
      <c r="D104" s="44">
        <v>-0.42499999999999999</v>
      </c>
      <c r="E104" s="45"/>
      <c r="F104" s="45"/>
      <c r="G104" s="46">
        <v>0</v>
      </c>
      <c r="H104" s="171"/>
      <c r="I104" s="172"/>
      <c r="J104" s="44">
        <v>0.105</v>
      </c>
      <c r="K104" s="2"/>
    </row>
    <row r="105" spans="1:11" ht="27" customHeight="1" x14ac:dyDescent="0.2">
      <c r="A105" s="28" t="s">
        <v>75</v>
      </c>
      <c r="B105" s="29"/>
      <c r="C105" s="52">
        <v>0</v>
      </c>
      <c r="D105" s="176">
        <v>-2.87</v>
      </c>
      <c r="E105" s="177">
        <v>-0.35899999999999999</v>
      </c>
      <c r="F105" s="178">
        <v>-5.5E-2</v>
      </c>
      <c r="G105" s="46">
        <v>0</v>
      </c>
      <c r="H105" s="171"/>
      <c r="I105" s="172"/>
      <c r="J105" s="44">
        <v>0.105</v>
      </c>
      <c r="K105" s="2"/>
    </row>
    <row r="106" spans="1:11" ht="27" customHeight="1" x14ac:dyDescent="0.2">
      <c r="A106" s="28" t="s">
        <v>76</v>
      </c>
      <c r="B106" s="29"/>
      <c r="C106" s="52">
        <v>0</v>
      </c>
      <c r="D106" s="44">
        <v>-0.42599999999999999</v>
      </c>
      <c r="E106" s="45"/>
      <c r="F106" s="45"/>
      <c r="G106" s="46">
        <v>0</v>
      </c>
      <c r="H106" s="171"/>
      <c r="I106" s="172"/>
      <c r="J106" s="44">
        <v>0.109</v>
      </c>
      <c r="K106" s="2"/>
    </row>
    <row r="107" spans="1:11" ht="27" customHeight="1" x14ac:dyDescent="0.2">
      <c r="A107" s="28" t="s">
        <v>77</v>
      </c>
      <c r="B107" s="29"/>
      <c r="C107" s="52">
        <v>0</v>
      </c>
      <c r="D107" s="176">
        <v>-2.9119999999999999</v>
      </c>
      <c r="E107" s="177">
        <v>-0.34799999999999998</v>
      </c>
      <c r="F107" s="178">
        <v>-5.6000000000000001E-2</v>
      </c>
      <c r="G107" s="46">
        <v>0</v>
      </c>
      <c r="H107" s="171"/>
      <c r="I107" s="172"/>
      <c r="J107" s="44">
        <v>0.109</v>
      </c>
      <c r="K107" s="2"/>
    </row>
    <row r="108" spans="1:11" ht="27" customHeight="1" x14ac:dyDescent="0.2">
      <c r="A108" s="28" t="s">
        <v>78</v>
      </c>
      <c r="B108" s="29"/>
      <c r="C108" s="52">
        <v>0</v>
      </c>
      <c r="D108" s="44">
        <v>-0.51600000000000001</v>
      </c>
      <c r="E108" s="45"/>
      <c r="F108" s="45"/>
      <c r="G108" s="46">
        <v>52.1</v>
      </c>
      <c r="H108" s="171"/>
      <c r="I108" s="172"/>
      <c r="J108" s="44">
        <v>0.153</v>
      </c>
      <c r="K108" s="2"/>
    </row>
    <row r="109" spans="1:11" ht="27" customHeight="1" x14ac:dyDescent="0.2">
      <c r="A109" s="28" t="s">
        <v>79</v>
      </c>
      <c r="B109" s="29"/>
      <c r="C109" s="52">
        <v>0</v>
      </c>
      <c r="D109" s="176">
        <v>-3.843</v>
      </c>
      <c r="E109" s="177">
        <v>-0.33600000000000002</v>
      </c>
      <c r="F109" s="178">
        <v>-7.9000000000000001E-2</v>
      </c>
      <c r="G109" s="46">
        <v>52.1</v>
      </c>
      <c r="H109" s="171"/>
      <c r="I109" s="172"/>
      <c r="J109" s="44">
        <v>0.153</v>
      </c>
      <c r="K109" s="2"/>
    </row>
    <row r="110" spans="1:11" ht="27" customHeight="1" x14ac:dyDescent="0.2">
      <c r="A110" s="28" t="s">
        <v>123</v>
      </c>
      <c r="B110" s="29"/>
      <c r="C110" s="52">
        <v>1</v>
      </c>
      <c r="D110" s="44">
        <v>0.55600000000000005</v>
      </c>
      <c r="E110" s="45"/>
      <c r="F110" s="45"/>
      <c r="G110" s="46">
        <v>0.6</v>
      </c>
      <c r="H110" s="171"/>
      <c r="I110" s="172"/>
      <c r="J110" s="45"/>
      <c r="K110" s="2"/>
    </row>
    <row r="111" spans="1:11" ht="27" customHeight="1" x14ac:dyDescent="0.2">
      <c r="A111" s="28" t="s">
        <v>124</v>
      </c>
      <c r="B111" s="29"/>
      <c r="C111" s="52">
        <v>2</v>
      </c>
      <c r="D111" s="44">
        <v>0.61099999999999999</v>
      </c>
      <c r="E111" s="44">
        <v>0.25600000000000001</v>
      </c>
      <c r="F111" s="45"/>
      <c r="G111" s="46">
        <v>0.6</v>
      </c>
      <c r="H111" s="171"/>
      <c r="I111" s="172"/>
      <c r="J111" s="45"/>
      <c r="K111" s="2"/>
    </row>
    <row r="112" spans="1:11" ht="27" customHeight="1" x14ac:dyDescent="0.2">
      <c r="A112" s="28" t="s">
        <v>125</v>
      </c>
      <c r="B112" s="29"/>
      <c r="C112" s="52">
        <v>2</v>
      </c>
      <c r="D112" s="44">
        <v>0.25800000000000001</v>
      </c>
      <c r="E112" s="45"/>
      <c r="F112" s="45"/>
      <c r="G112" s="171"/>
      <c r="H112" s="171"/>
      <c r="I112" s="172"/>
      <c r="J112" s="45"/>
      <c r="K112" s="2"/>
    </row>
    <row r="113" spans="1:11" ht="27" customHeight="1" x14ac:dyDescent="0.2">
      <c r="A113" s="28" t="s">
        <v>126</v>
      </c>
      <c r="B113" s="29"/>
      <c r="C113" s="52">
        <v>3</v>
      </c>
      <c r="D113" s="44">
        <v>0.55800000000000005</v>
      </c>
      <c r="E113" s="45"/>
      <c r="F113" s="45"/>
      <c r="G113" s="46">
        <v>0.77</v>
      </c>
      <c r="H113" s="171"/>
      <c r="I113" s="172"/>
      <c r="J113" s="45"/>
      <c r="K113" s="2"/>
    </row>
    <row r="114" spans="1:11" ht="27" customHeight="1" x14ac:dyDescent="0.2">
      <c r="A114" s="28" t="s">
        <v>127</v>
      </c>
      <c r="B114" s="29"/>
      <c r="C114" s="52">
        <v>4</v>
      </c>
      <c r="D114" s="44">
        <v>0.58199999999999996</v>
      </c>
      <c r="E114" s="44">
        <v>0.24299999999999999</v>
      </c>
      <c r="F114" s="45"/>
      <c r="G114" s="46">
        <v>0.77</v>
      </c>
      <c r="H114" s="171"/>
      <c r="I114" s="172"/>
      <c r="J114" s="45"/>
      <c r="K114" s="2"/>
    </row>
    <row r="115" spans="1:11" ht="27" customHeight="1" x14ac:dyDescent="0.2">
      <c r="A115" s="28" t="s">
        <v>128</v>
      </c>
      <c r="B115" s="29"/>
      <c r="C115" s="52">
        <v>4</v>
      </c>
      <c r="D115" s="44">
        <v>0.248</v>
      </c>
      <c r="E115" s="45"/>
      <c r="F115" s="45"/>
      <c r="G115" s="171"/>
      <c r="H115" s="171"/>
      <c r="I115" s="172"/>
      <c r="J115" s="45"/>
      <c r="K115" s="2"/>
    </row>
    <row r="116" spans="1:11" ht="27" customHeight="1" x14ac:dyDescent="0.2">
      <c r="A116" s="28" t="s">
        <v>129</v>
      </c>
      <c r="B116" s="29"/>
      <c r="C116" s="52" t="s">
        <v>18</v>
      </c>
      <c r="D116" s="44">
        <v>0.57199999999999995</v>
      </c>
      <c r="E116" s="44">
        <v>0.23799999999999999</v>
      </c>
      <c r="F116" s="45"/>
      <c r="G116" s="46">
        <v>3.41</v>
      </c>
      <c r="H116" s="171"/>
      <c r="I116" s="172"/>
      <c r="J116" s="45"/>
      <c r="K116" s="2"/>
    </row>
    <row r="117" spans="1:11" ht="27" customHeight="1" x14ac:dyDescent="0.2">
      <c r="A117" s="28" t="s">
        <v>130</v>
      </c>
      <c r="B117" s="29"/>
      <c r="C117" s="52" t="s">
        <v>18</v>
      </c>
      <c r="D117" s="44">
        <v>0.88800000000000001</v>
      </c>
      <c r="E117" s="44">
        <v>0.37</v>
      </c>
      <c r="F117" s="45"/>
      <c r="G117" s="46">
        <v>6.42</v>
      </c>
      <c r="H117" s="171"/>
      <c r="I117" s="172"/>
      <c r="J117" s="45"/>
      <c r="K117" s="2"/>
    </row>
    <row r="118" spans="1:11" ht="27" customHeight="1" x14ac:dyDescent="0.2">
      <c r="A118" s="28" t="s">
        <v>131</v>
      </c>
      <c r="B118" s="29"/>
      <c r="C118" s="52" t="s">
        <v>18</v>
      </c>
      <c r="D118" s="44">
        <v>0.73199999999999998</v>
      </c>
      <c r="E118" s="44">
        <v>0.39800000000000002</v>
      </c>
      <c r="F118" s="45"/>
      <c r="G118" s="46">
        <v>54.91</v>
      </c>
      <c r="H118" s="171"/>
      <c r="I118" s="172"/>
      <c r="J118" s="45"/>
      <c r="K118" s="2"/>
    </row>
    <row r="119" spans="1:11" ht="27" customHeight="1" x14ac:dyDescent="0.2">
      <c r="A119" s="28" t="s">
        <v>584</v>
      </c>
      <c r="B119" s="29"/>
      <c r="C119" s="52" t="s">
        <v>571</v>
      </c>
      <c r="D119" s="176">
        <v>2.032</v>
      </c>
      <c r="E119" s="177">
        <v>0.434</v>
      </c>
      <c r="F119" s="178">
        <v>0.24099999999999999</v>
      </c>
      <c r="G119" s="46">
        <v>0.6</v>
      </c>
      <c r="H119" s="171"/>
      <c r="I119" s="172"/>
      <c r="J119" s="45"/>
      <c r="K119" s="2"/>
    </row>
    <row r="120" spans="1:11" ht="27" customHeight="1" x14ac:dyDescent="0.2">
      <c r="A120" s="28" t="s">
        <v>585</v>
      </c>
      <c r="B120" s="29"/>
      <c r="C120" s="52" t="s">
        <v>571</v>
      </c>
      <c r="D120" s="176">
        <v>2.0819999999999999</v>
      </c>
      <c r="E120" s="177">
        <v>0.441</v>
      </c>
      <c r="F120" s="178">
        <v>0.24199999999999999</v>
      </c>
      <c r="G120" s="46">
        <v>0.77</v>
      </c>
      <c r="H120" s="171"/>
      <c r="I120" s="172"/>
      <c r="J120" s="45"/>
      <c r="K120" s="2"/>
    </row>
    <row r="121" spans="1:11" ht="27" customHeight="1" x14ac:dyDescent="0.2">
      <c r="A121" s="28" t="s">
        <v>132</v>
      </c>
      <c r="B121" s="29"/>
      <c r="C121" s="52">
        <v>0</v>
      </c>
      <c r="D121" s="176">
        <v>1.736</v>
      </c>
      <c r="E121" s="177">
        <v>0.38200000000000001</v>
      </c>
      <c r="F121" s="178">
        <v>0.23599999999999999</v>
      </c>
      <c r="G121" s="46">
        <v>3.1</v>
      </c>
      <c r="H121" s="46">
        <v>0.42</v>
      </c>
      <c r="I121" s="173">
        <v>0.74</v>
      </c>
      <c r="J121" s="44">
        <v>6.0999999999999999E-2</v>
      </c>
      <c r="K121" s="2"/>
    </row>
    <row r="122" spans="1:11" ht="27" customHeight="1" x14ac:dyDescent="0.2">
      <c r="A122" s="28" t="s">
        <v>133</v>
      </c>
      <c r="B122" s="29"/>
      <c r="C122" s="52">
        <v>0</v>
      </c>
      <c r="D122" s="176">
        <v>2.0819999999999999</v>
      </c>
      <c r="E122" s="177">
        <v>0.48199999999999998</v>
      </c>
      <c r="F122" s="178">
        <v>0.35699999999999998</v>
      </c>
      <c r="G122" s="46">
        <v>1.7</v>
      </c>
      <c r="H122" s="46">
        <v>1.33</v>
      </c>
      <c r="I122" s="173">
        <v>1.84</v>
      </c>
      <c r="J122" s="44">
        <v>0.06</v>
      </c>
      <c r="K122" s="2"/>
    </row>
    <row r="123" spans="1:11" ht="27" customHeight="1" x14ac:dyDescent="0.2">
      <c r="A123" s="28" t="s">
        <v>134</v>
      </c>
      <c r="B123" s="29"/>
      <c r="C123" s="52">
        <v>0</v>
      </c>
      <c r="D123" s="176">
        <v>1.889</v>
      </c>
      <c r="E123" s="177">
        <v>0.47799999999999998</v>
      </c>
      <c r="F123" s="178">
        <v>0.39100000000000001</v>
      </c>
      <c r="G123" s="46">
        <v>28.88</v>
      </c>
      <c r="H123" s="46">
        <v>1.17</v>
      </c>
      <c r="I123" s="173">
        <v>1.92</v>
      </c>
      <c r="J123" s="44">
        <v>4.7E-2</v>
      </c>
      <c r="K123" s="2"/>
    </row>
    <row r="124" spans="1:11" ht="27" customHeight="1" x14ac:dyDescent="0.2">
      <c r="A124" s="28" t="s">
        <v>207</v>
      </c>
      <c r="B124" s="29"/>
      <c r="C124" s="52">
        <v>8</v>
      </c>
      <c r="D124" s="44">
        <v>0.44800000000000001</v>
      </c>
      <c r="E124" s="45"/>
      <c r="F124" s="45"/>
      <c r="G124" s="171"/>
      <c r="H124" s="171"/>
      <c r="I124" s="174"/>
      <c r="J124" s="45"/>
      <c r="K124" s="2"/>
    </row>
    <row r="125" spans="1:11" ht="27" customHeight="1" x14ac:dyDescent="0.2">
      <c r="A125" s="28" t="s">
        <v>208</v>
      </c>
      <c r="B125" s="29"/>
      <c r="C125" s="52">
        <v>1</v>
      </c>
      <c r="D125" s="44">
        <v>0.49299999999999999</v>
      </c>
      <c r="E125" s="45"/>
      <c r="F125" s="45"/>
      <c r="G125" s="171"/>
      <c r="H125" s="171"/>
      <c r="I125" s="174"/>
      <c r="J125" s="45"/>
      <c r="K125" s="2"/>
    </row>
    <row r="126" spans="1:11" ht="27" customHeight="1" x14ac:dyDescent="0.2">
      <c r="A126" s="28" t="s">
        <v>209</v>
      </c>
      <c r="B126" s="29"/>
      <c r="C126" s="52">
        <v>1</v>
      </c>
      <c r="D126" s="44">
        <v>0.68100000000000005</v>
      </c>
      <c r="E126" s="45"/>
      <c r="F126" s="45"/>
      <c r="G126" s="171"/>
      <c r="H126" s="171"/>
      <c r="I126" s="174"/>
      <c r="J126" s="45"/>
      <c r="K126" s="2"/>
    </row>
    <row r="127" spans="1:11" ht="27" customHeight="1" x14ac:dyDescent="0.2">
      <c r="A127" s="28" t="s">
        <v>210</v>
      </c>
      <c r="B127" s="29"/>
      <c r="C127" s="52">
        <v>1</v>
      </c>
      <c r="D127" s="44">
        <v>0.41799999999999998</v>
      </c>
      <c r="E127" s="45"/>
      <c r="F127" s="45"/>
      <c r="G127" s="171"/>
      <c r="H127" s="171"/>
      <c r="I127" s="174"/>
      <c r="J127" s="45"/>
      <c r="K127" s="2"/>
    </row>
    <row r="128" spans="1:11" ht="27" customHeight="1" x14ac:dyDescent="0.2">
      <c r="A128" s="28" t="s">
        <v>135</v>
      </c>
      <c r="B128" s="29"/>
      <c r="C128" s="52">
        <v>0</v>
      </c>
      <c r="D128" s="179">
        <v>3.4649999999999999</v>
      </c>
      <c r="E128" s="180">
        <v>0.438</v>
      </c>
      <c r="F128" s="178">
        <v>0.28699999999999998</v>
      </c>
      <c r="G128" s="171"/>
      <c r="H128" s="171"/>
      <c r="I128" s="172"/>
      <c r="J128" s="45"/>
      <c r="K128" s="2"/>
    </row>
    <row r="129" spans="1:11" ht="27" customHeight="1" x14ac:dyDescent="0.2">
      <c r="A129" s="28" t="s">
        <v>586</v>
      </c>
      <c r="B129" s="29"/>
      <c r="C129" s="52">
        <v>8</v>
      </c>
      <c r="D129" s="44">
        <v>-0.317</v>
      </c>
      <c r="E129" s="45"/>
      <c r="F129" s="45"/>
      <c r="G129" s="46">
        <v>0</v>
      </c>
      <c r="H129" s="171"/>
      <c r="I129" s="172"/>
      <c r="J129" s="45"/>
      <c r="K129" s="2"/>
    </row>
    <row r="130" spans="1:11" ht="27" customHeight="1" x14ac:dyDescent="0.2">
      <c r="A130" s="28" t="s">
        <v>136</v>
      </c>
      <c r="B130" s="29"/>
      <c r="C130" s="52">
        <v>8</v>
      </c>
      <c r="D130" s="44">
        <v>-0.317</v>
      </c>
      <c r="E130" s="45"/>
      <c r="F130" s="45"/>
      <c r="G130" s="46">
        <v>0</v>
      </c>
      <c r="H130" s="171"/>
      <c r="I130" s="172"/>
      <c r="J130" s="45"/>
      <c r="K130" s="2"/>
    </row>
    <row r="131" spans="1:11" ht="27" customHeight="1" x14ac:dyDescent="0.2">
      <c r="A131" s="28" t="s">
        <v>137</v>
      </c>
      <c r="B131" s="29"/>
      <c r="C131" s="52">
        <v>0</v>
      </c>
      <c r="D131" s="44">
        <v>-0.317</v>
      </c>
      <c r="E131" s="45"/>
      <c r="F131" s="45"/>
      <c r="G131" s="46">
        <v>0</v>
      </c>
      <c r="H131" s="171"/>
      <c r="I131" s="172"/>
      <c r="J131" s="44">
        <v>7.8E-2</v>
      </c>
      <c r="K131" s="2"/>
    </row>
    <row r="132" spans="1:11" ht="27" customHeight="1" x14ac:dyDescent="0.2">
      <c r="A132" s="28" t="s">
        <v>138</v>
      </c>
      <c r="B132" s="29"/>
      <c r="C132" s="52">
        <v>0</v>
      </c>
      <c r="D132" s="176">
        <v>-2.1389999999999998</v>
      </c>
      <c r="E132" s="177">
        <v>-0.26700000000000002</v>
      </c>
      <c r="F132" s="178">
        <v>-4.1000000000000002E-2</v>
      </c>
      <c r="G132" s="46">
        <v>0</v>
      </c>
      <c r="H132" s="171"/>
      <c r="I132" s="172"/>
      <c r="J132" s="44">
        <v>7.8E-2</v>
      </c>
      <c r="K132" s="2"/>
    </row>
    <row r="133" spans="1:11" ht="27" customHeight="1" x14ac:dyDescent="0.2">
      <c r="A133" s="28" t="s">
        <v>139</v>
      </c>
      <c r="B133" s="29"/>
      <c r="C133" s="52">
        <v>0</v>
      </c>
      <c r="D133" s="44">
        <v>-0.317</v>
      </c>
      <c r="E133" s="45"/>
      <c r="F133" s="45"/>
      <c r="G133" s="46">
        <v>0</v>
      </c>
      <c r="H133" s="171"/>
      <c r="I133" s="172"/>
      <c r="J133" s="44">
        <v>8.1000000000000003E-2</v>
      </c>
      <c r="K133" s="2"/>
    </row>
    <row r="134" spans="1:11" ht="27" customHeight="1" x14ac:dyDescent="0.2">
      <c r="A134" s="28" t="s">
        <v>140</v>
      </c>
      <c r="B134" s="29"/>
      <c r="C134" s="52">
        <v>0</v>
      </c>
      <c r="D134" s="176">
        <v>-2.1709999999999998</v>
      </c>
      <c r="E134" s="177">
        <v>-0.25900000000000001</v>
      </c>
      <c r="F134" s="178">
        <v>-4.2000000000000003E-2</v>
      </c>
      <c r="G134" s="46">
        <v>0</v>
      </c>
      <c r="H134" s="171"/>
      <c r="I134" s="172"/>
      <c r="J134" s="44">
        <v>8.1000000000000003E-2</v>
      </c>
      <c r="K134" s="2"/>
    </row>
    <row r="135" spans="1:11" ht="27" customHeight="1" x14ac:dyDescent="0.2">
      <c r="A135" s="28" t="s">
        <v>141</v>
      </c>
      <c r="B135" s="29"/>
      <c r="C135" s="52">
        <v>0</v>
      </c>
      <c r="D135" s="44">
        <v>-0.38500000000000001</v>
      </c>
      <c r="E135" s="45"/>
      <c r="F135" s="45"/>
      <c r="G135" s="46">
        <v>38.83</v>
      </c>
      <c r="H135" s="171"/>
      <c r="I135" s="172"/>
      <c r="J135" s="44">
        <v>0.114</v>
      </c>
      <c r="K135" s="2"/>
    </row>
    <row r="136" spans="1:11" ht="27" customHeight="1" x14ac:dyDescent="0.2">
      <c r="A136" s="28" t="s">
        <v>142</v>
      </c>
      <c r="B136" s="29"/>
      <c r="C136" s="52">
        <v>0</v>
      </c>
      <c r="D136" s="176">
        <v>-2.8650000000000002</v>
      </c>
      <c r="E136" s="177">
        <v>-0.251</v>
      </c>
      <c r="F136" s="178">
        <v>-5.8999999999999997E-2</v>
      </c>
      <c r="G136" s="46">
        <v>38.83</v>
      </c>
      <c r="H136" s="171"/>
      <c r="I136" s="172"/>
      <c r="J136" s="44">
        <v>0.114</v>
      </c>
      <c r="K136" s="2"/>
    </row>
    <row r="137" spans="1:11" ht="27" customHeight="1" x14ac:dyDescent="0.2">
      <c r="A137" s="28" t="s">
        <v>143</v>
      </c>
      <c r="B137" s="29"/>
      <c r="C137" s="52">
        <v>1</v>
      </c>
      <c r="D137" s="44">
        <v>0.24199999999999999</v>
      </c>
      <c r="E137" s="45"/>
      <c r="F137" s="45"/>
      <c r="G137" s="46">
        <v>0.26</v>
      </c>
      <c r="H137" s="171"/>
      <c r="I137" s="172"/>
      <c r="J137" s="45"/>
      <c r="K137" s="2"/>
    </row>
    <row r="138" spans="1:11" ht="27" customHeight="1" x14ac:dyDescent="0.2">
      <c r="A138" s="28" t="s">
        <v>144</v>
      </c>
      <c r="B138" s="29"/>
      <c r="C138" s="52">
        <v>2</v>
      </c>
      <c r="D138" s="44">
        <v>0.26600000000000001</v>
      </c>
      <c r="E138" s="44">
        <v>0.111</v>
      </c>
      <c r="F138" s="45"/>
      <c r="G138" s="46">
        <v>0.26</v>
      </c>
      <c r="H138" s="171"/>
      <c r="I138" s="172"/>
      <c r="J138" s="45"/>
      <c r="K138" s="2"/>
    </row>
    <row r="139" spans="1:11" ht="27" customHeight="1" x14ac:dyDescent="0.2">
      <c r="A139" s="28" t="s">
        <v>145</v>
      </c>
      <c r="B139" s="29"/>
      <c r="C139" s="52">
        <v>2</v>
      </c>
      <c r="D139" s="44">
        <v>0.112</v>
      </c>
      <c r="E139" s="45"/>
      <c r="F139" s="45"/>
      <c r="G139" s="171"/>
      <c r="H139" s="171"/>
      <c r="I139" s="172"/>
      <c r="J139" s="45"/>
      <c r="K139" s="2"/>
    </row>
    <row r="140" spans="1:11" ht="27" customHeight="1" x14ac:dyDescent="0.2">
      <c r="A140" s="28" t="s">
        <v>146</v>
      </c>
      <c r="B140" s="29"/>
      <c r="C140" s="52">
        <v>3</v>
      </c>
      <c r="D140" s="44">
        <v>0.24299999999999999</v>
      </c>
      <c r="E140" s="45"/>
      <c r="F140" s="45"/>
      <c r="G140" s="46">
        <v>0.33</v>
      </c>
      <c r="H140" s="171"/>
      <c r="I140" s="172"/>
      <c r="J140" s="45"/>
      <c r="K140" s="2"/>
    </row>
    <row r="141" spans="1:11" ht="27" customHeight="1" x14ac:dyDescent="0.2">
      <c r="A141" s="28" t="s">
        <v>147</v>
      </c>
      <c r="B141" s="29"/>
      <c r="C141" s="52">
        <v>4</v>
      </c>
      <c r="D141" s="44">
        <v>0.253</v>
      </c>
      <c r="E141" s="44">
        <v>0.106</v>
      </c>
      <c r="F141" s="45"/>
      <c r="G141" s="46">
        <v>0.33</v>
      </c>
      <c r="H141" s="171"/>
      <c r="I141" s="172"/>
      <c r="J141" s="45"/>
      <c r="K141" s="2"/>
    </row>
    <row r="142" spans="1:11" ht="27" customHeight="1" x14ac:dyDescent="0.2">
      <c r="A142" s="28" t="s">
        <v>148</v>
      </c>
      <c r="B142" s="29"/>
      <c r="C142" s="52">
        <v>4</v>
      </c>
      <c r="D142" s="44">
        <v>0.108</v>
      </c>
      <c r="E142" s="45"/>
      <c r="F142" s="45"/>
      <c r="G142" s="171"/>
      <c r="H142" s="171"/>
      <c r="I142" s="172"/>
      <c r="J142" s="45"/>
      <c r="K142" s="2"/>
    </row>
    <row r="143" spans="1:11" ht="27" customHeight="1" x14ac:dyDescent="0.2">
      <c r="A143" s="28" t="s">
        <v>149</v>
      </c>
      <c r="B143" s="29"/>
      <c r="C143" s="52" t="s">
        <v>18</v>
      </c>
      <c r="D143" s="44">
        <v>0.249</v>
      </c>
      <c r="E143" s="44">
        <v>0.10299999999999999</v>
      </c>
      <c r="F143" s="45"/>
      <c r="G143" s="46">
        <v>1.48</v>
      </c>
      <c r="H143" s="171"/>
      <c r="I143" s="172"/>
      <c r="J143" s="45"/>
      <c r="K143" s="2"/>
    </row>
    <row r="144" spans="1:11" ht="27" customHeight="1" x14ac:dyDescent="0.2">
      <c r="A144" s="28" t="s">
        <v>150</v>
      </c>
      <c r="B144" s="29"/>
      <c r="C144" s="52" t="s">
        <v>18</v>
      </c>
      <c r="D144" s="44">
        <v>0.38600000000000001</v>
      </c>
      <c r="E144" s="44">
        <v>0.161</v>
      </c>
      <c r="F144" s="45"/>
      <c r="G144" s="46">
        <v>2.79</v>
      </c>
      <c r="H144" s="171"/>
      <c r="I144" s="172"/>
      <c r="J144" s="45"/>
      <c r="K144" s="2"/>
    </row>
    <row r="145" spans="1:11" ht="27" customHeight="1" x14ac:dyDescent="0.2">
      <c r="A145" s="28" t="s">
        <v>151</v>
      </c>
      <c r="B145" s="29"/>
      <c r="C145" s="52" t="s">
        <v>18</v>
      </c>
      <c r="D145" s="44">
        <v>0.318</v>
      </c>
      <c r="E145" s="44">
        <v>0.17299999999999999</v>
      </c>
      <c r="F145" s="45"/>
      <c r="G145" s="46">
        <v>23.9</v>
      </c>
      <c r="H145" s="171"/>
      <c r="I145" s="172"/>
      <c r="J145" s="45"/>
      <c r="K145" s="2"/>
    </row>
    <row r="146" spans="1:11" ht="27" customHeight="1" x14ac:dyDescent="0.2">
      <c r="A146" s="28" t="s">
        <v>587</v>
      </c>
      <c r="B146" s="29"/>
      <c r="C146" s="52" t="s">
        <v>571</v>
      </c>
      <c r="D146" s="176">
        <v>0.88400000000000001</v>
      </c>
      <c r="E146" s="177">
        <v>0.189</v>
      </c>
      <c r="F146" s="178">
        <v>0.105</v>
      </c>
      <c r="G146" s="46">
        <v>0.26</v>
      </c>
      <c r="H146" s="171"/>
      <c r="I146" s="172"/>
      <c r="J146" s="45"/>
      <c r="K146" s="2"/>
    </row>
    <row r="147" spans="1:11" ht="27" customHeight="1" x14ac:dyDescent="0.2">
      <c r="A147" s="28" t="s">
        <v>588</v>
      </c>
      <c r="B147" s="29"/>
      <c r="C147" s="52" t="s">
        <v>571</v>
      </c>
      <c r="D147" s="176">
        <v>0.90600000000000003</v>
      </c>
      <c r="E147" s="177">
        <v>0.192</v>
      </c>
      <c r="F147" s="178">
        <v>0.105</v>
      </c>
      <c r="G147" s="46">
        <v>0.33</v>
      </c>
      <c r="H147" s="171"/>
      <c r="I147" s="172"/>
      <c r="J147" s="45"/>
      <c r="K147" s="2"/>
    </row>
    <row r="148" spans="1:11" ht="27" customHeight="1" x14ac:dyDescent="0.2">
      <c r="A148" s="28" t="s">
        <v>152</v>
      </c>
      <c r="B148" s="29"/>
      <c r="C148" s="52">
        <v>0</v>
      </c>
      <c r="D148" s="176">
        <v>0.75600000000000001</v>
      </c>
      <c r="E148" s="177">
        <v>0.16600000000000001</v>
      </c>
      <c r="F148" s="178">
        <v>0.10299999999999999</v>
      </c>
      <c r="G148" s="46">
        <v>1.35</v>
      </c>
      <c r="H148" s="46">
        <v>0.18</v>
      </c>
      <c r="I148" s="173">
        <v>0.32</v>
      </c>
      <c r="J148" s="44">
        <v>2.5999999999999999E-2</v>
      </c>
      <c r="K148" s="2"/>
    </row>
    <row r="149" spans="1:11" ht="27" customHeight="1" x14ac:dyDescent="0.2">
      <c r="A149" s="28" t="s">
        <v>153</v>
      </c>
      <c r="B149" s="29"/>
      <c r="C149" s="52">
        <v>0</v>
      </c>
      <c r="D149" s="176">
        <v>0.90600000000000003</v>
      </c>
      <c r="E149" s="177">
        <v>0.21</v>
      </c>
      <c r="F149" s="178">
        <v>0.155</v>
      </c>
      <c r="G149" s="46">
        <v>0.74</v>
      </c>
      <c r="H149" s="46">
        <v>0.57999999999999996</v>
      </c>
      <c r="I149" s="173">
        <v>0.8</v>
      </c>
      <c r="J149" s="44">
        <v>2.5999999999999999E-2</v>
      </c>
      <c r="K149" s="2"/>
    </row>
    <row r="150" spans="1:11" ht="27" customHeight="1" x14ac:dyDescent="0.2">
      <c r="A150" s="28" t="s">
        <v>154</v>
      </c>
      <c r="B150" s="29"/>
      <c r="C150" s="52">
        <v>0</v>
      </c>
      <c r="D150" s="176">
        <v>0.82199999999999995</v>
      </c>
      <c r="E150" s="177">
        <v>0.20799999999999999</v>
      </c>
      <c r="F150" s="178">
        <v>0.17</v>
      </c>
      <c r="G150" s="46">
        <v>12.57</v>
      </c>
      <c r="H150" s="46">
        <v>0.51</v>
      </c>
      <c r="I150" s="173">
        <v>0.83</v>
      </c>
      <c r="J150" s="44">
        <v>0.02</v>
      </c>
      <c r="K150" s="2"/>
    </row>
    <row r="151" spans="1:11" ht="27" customHeight="1" x14ac:dyDescent="0.2">
      <c r="A151" s="28" t="s">
        <v>211</v>
      </c>
      <c r="B151" s="29"/>
      <c r="C151" s="52">
        <v>8</v>
      </c>
      <c r="D151" s="44">
        <v>0.19500000000000001</v>
      </c>
      <c r="E151" s="45"/>
      <c r="F151" s="45"/>
      <c r="G151" s="171"/>
      <c r="H151" s="171"/>
      <c r="I151" s="174"/>
      <c r="J151" s="45"/>
      <c r="K151" s="2"/>
    </row>
    <row r="152" spans="1:11" ht="27" customHeight="1" x14ac:dyDescent="0.2">
      <c r="A152" s="28" t="s">
        <v>212</v>
      </c>
      <c r="B152" s="29"/>
      <c r="C152" s="52">
        <v>1</v>
      </c>
      <c r="D152" s="44">
        <v>0.214</v>
      </c>
      <c r="E152" s="45"/>
      <c r="F152" s="45"/>
      <c r="G152" s="171"/>
      <c r="H152" s="171"/>
      <c r="I152" s="174"/>
      <c r="J152" s="45"/>
      <c r="K152" s="2"/>
    </row>
    <row r="153" spans="1:11" ht="27" customHeight="1" x14ac:dyDescent="0.2">
      <c r="A153" s="28" t="s">
        <v>213</v>
      </c>
      <c r="B153" s="29"/>
      <c r="C153" s="52">
        <v>1</v>
      </c>
      <c r="D153" s="44">
        <v>0.29599999999999999</v>
      </c>
      <c r="E153" s="45"/>
      <c r="F153" s="45"/>
      <c r="G153" s="171"/>
      <c r="H153" s="171"/>
      <c r="I153" s="172"/>
      <c r="J153" s="45"/>
      <c r="K153" s="2"/>
    </row>
    <row r="154" spans="1:11" ht="27" customHeight="1" x14ac:dyDescent="0.2">
      <c r="A154" s="28" t="s">
        <v>214</v>
      </c>
      <c r="B154" s="29"/>
      <c r="C154" s="52">
        <v>1</v>
      </c>
      <c r="D154" s="44">
        <v>0.182</v>
      </c>
      <c r="E154" s="45"/>
      <c r="F154" s="45"/>
      <c r="G154" s="171"/>
      <c r="H154" s="171"/>
      <c r="I154" s="172"/>
      <c r="J154" s="45"/>
      <c r="K154" s="2"/>
    </row>
    <row r="155" spans="1:11" ht="27" customHeight="1" x14ac:dyDescent="0.2">
      <c r="A155" s="28" t="s">
        <v>155</v>
      </c>
      <c r="B155" s="29"/>
      <c r="C155" s="52">
        <v>0</v>
      </c>
      <c r="D155" s="179">
        <v>1.508</v>
      </c>
      <c r="E155" s="180">
        <v>0.191</v>
      </c>
      <c r="F155" s="178">
        <v>0.125</v>
      </c>
      <c r="G155" s="171"/>
      <c r="H155" s="171"/>
      <c r="I155" s="172"/>
      <c r="J155" s="45"/>
      <c r="K155" s="2"/>
    </row>
    <row r="156" spans="1:11" ht="27" customHeight="1" x14ac:dyDescent="0.2">
      <c r="A156" s="28" t="s">
        <v>589</v>
      </c>
      <c r="B156" s="29"/>
      <c r="C156" s="52">
        <v>8</v>
      </c>
      <c r="D156" s="44">
        <v>-0.13800000000000001</v>
      </c>
      <c r="E156" s="45"/>
      <c r="F156" s="45"/>
      <c r="G156" s="46">
        <v>0</v>
      </c>
      <c r="H156" s="171"/>
      <c r="I156" s="172"/>
      <c r="J156" s="45"/>
      <c r="K156" s="2"/>
    </row>
    <row r="157" spans="1:11" ht="27" customHeight="1" x14ac:dyDescent="0.2">
      <c r="A157" s="28" t="s">
        <v>156</v>
      </c>
      <c r="B157" s="29"/>
      <c r="C157" s="52">
        <v>8</v>
      </c>
      <c r="D157" s="44">
        <v>-0.13800000000000001</v>
      </c>
      <c r="E157" s="45"/>
      <c r="F157" s="45"/>
      <c r="G157" s="46">
        <v>0</v>
      </c>
      <c r="H157" s="171"/>
      <c r="I157" s="172"/>
      <c r="J157" s="45"/>
      <c r="K157" s="2"/>
    </row>
    <row r="158" spans="1:11" ht="27" customHeight="1" x14ac:dyDescent="0.2">
      <c r="A158" s="28" t="s">
        <v>157</v>
      </c>
      <c r="B158" s="29"/>
      <c r="C158" s="52">
        <v>0</v>
      </c>
      <c r="D158" s="44">
        <v>-0.13800000000000001</v>
      </c>
      <c r="E158" s="45"/>
      <c r="F158" s="45"/>
      <c r="G158" s="46">
        <v>0</v>
      </c>
      <c r="H158" s="171"/>
      <c r="I158" s="172"/>
      <c r="J158" s="44">
        <v>3.4000000000000002E-2</v>
      </c>
      <c r="K158" s="2"/>
    </row>
    <row r="159" spans="1:11" ht="27" customHeight="1" x14ac:dyDescent="0.2">
      <c r="A159" s="28" t="s">
        <v>158</v>
      </c>
      <c r="B159" s="29"/>
      <c r="C159" s="52">
        <v>0</v>
      </c>
      <c r="D159" s="176">
        <v>-0.93100000000000005</v>
      </c>
      <c r="E159" s="177">
        <v>-0.11600000000000001</v>
      </c>
      <c r="F159" s="178">
        <v>-1.7999999999999999E-2</v>
      </c>
      <c r="G159" s="46">
        <v>0</v>
      </c>
      <c r="H159" s="171"/>
      <c r="I159" s="172"/>
      <c r="J159" s="44">
        <v>3.4000000000000002E-2</v>
      </c>
      <c r="K159" s="2"/>
    </row>
    <row r="160" spans="1:11" ht="27" customHeight="1" x14ac:dyDescent="0.2">
      <c r="A160" s="28" t="s">
        <v>159</v>
      </c>
      <c r="B160" s="29"/>
      <c r="C160" s="52">
        <v>0</v>
      </c>
      <c r="D160" s="44">
        <v>-0.13800000000000001</v>
      </c>
      <c r="E160" s="45"/>
      <c r="F160" s="45"/>
      <c r="G160" s="46">
        <v>0</v>
      </c>
      <c r="H160" s="171"/>
      <c r="I160" s="172"/>
      <c r="J160" s="44">
        <v>3.5000000000000003E-2</v>
      </c>
      <c r="K160" s="2"/>
    </row>
    <row r="161" spans="1:11" ht="27" customHeight="1" x14ac:dyDescent="0.2">
      <c r="A161" s="28" t="s">
        <v>160</v>
      </c>
      <c r="B161" s="29"/>
      <c r="C161" s="52">
        <v>0</v>
      </c>
      <c r="D161" s="176">
        <v>-0.94499999999999995</v>
      </c>
      <c r="E161" s="177">
        <v>-0.113</v>
      </c>
      <c r="F161" s="178">
        <v>-1.7999999999999999E-2</v>
      </c>
      <c r="G161" s="46">
        <v>0</v>
      </c>
      <c r="H161" s="171"/>
      <c r="I161" s="172"/>
      <c r="J161" s="44">
        <v>3.5000000000000003E-2</v>
      </c>
      <c r="K161" s="2"/>
    </row>
    <row r="162" spans="1:11" ht="27" customHeight="1" x14ac:dyDescent="0.2">
      <c r="A162" s="28" t="s">
        <v>161</v>
      </c>
      <c r="B162" s="29"/>
      <c r="C162" s="52">
        <v>0</v>
      </c>
      <c r="D162" s="44">
        <v>-0.16700000000000001</v>
      </c>
      <c r="E162" s="45"/>
      <c r="F162" s="45"/>
      <c r="G162" s="46">
        <v>16.899999999999999</v>
      </c>
      <c r="H162" s="171"/>
      <c r="I162" s="172"/>
      <c r="J162" s="44">
        <v>0.05</v>
      </c>
      <c r="K162" s="2"/>
    </row>
    <row r="163" spans="1:11" ht="27" customHeight="1" x14ac:dyDescent="0.2">
      <c r="A163" s="28" t="s">
        <v>162</v>
      </c>
      <c r="B163" s="29"/>
      <c r="C163" s="52">
        <v>0</v>
      </c>
      <c r="D163" s="176">
        <v>-1.2470000000000001</v>
      </c>
      <c r="E163" s="177">
        <v>-0.109</v>
      </c>
      <c r="F163" s="178">
        <v>-2.5000000000000001E-2</v>
      </c>
      <c r="G163" s="46">
        <v>16.899999999999999</v>
      </c>
      <c r="H163" s="171"/>
      <c r="I163" s="172"/>
      <c r="J163" s="44">
        <v>0.05</v>
      </c>
      <c r="K163" s="2"/>
    </row>
    <row r="164" spans="1:11" ht="27" customHeight="1" x14ac:dyDescent="0.2">
      <c r="A164" s="28" t="s">
        <v>163</v>
      </c>
      <c r="B164" s="29"/>
      <c r="C164" s="52">
        <v>1</v>
      </c>
      <c r="D164" s="44">
        <v>0</v>
      </c>
      <c r="E164" s="45"/>
      <c r="F164" s="45"/>
      <c r="G164" s="46">
        <v>0</v>
      </c>
      <c r="H164" s="171"/>
      <c r="I164" s="172"/>
      <c r="J164" s="45"/>
      <c r="K164" s="2"/>
    </row>
    <row r="165" spans="1:11" ht="27" customHeight="1" x14ac:dyDescent="0.2">
      <c r="A165" s="28" t="s">
        <v>164</v>
      </c>
      <c r="B165" s="29"/>
      <c r="C165" s="52">
        <v>2</v>
      </c>
      <c r="D165" s="44">
        <v>0</v>
      </c>
      <c r="E165" s="44">
        <v>0</v>
      </c>
      <c r="F165" s="45"/>
      <c r="G165" s="46">
        <v>0</v>
      </c>
      <c r="H165" s="171"/>
      <c r="I165" s="172"/>
      <c r="J165" s="45"/>
      <c r="K165" s="2"/>
    </row>
    <row r="166" spans="1:11" ht="27" customHeight="1" x14ac:dyDescent="0.2">
      <c r="A166" s="28" t="s">
        <v>165</v>
      </c>
      <c r="B166" s="29"/>
      <c r="C166" s="52">
        <v>2</v>
      </c>
      <c r="D166" s="44">
        <v>0</v>
      </c>
      <c r="E166" s="45"/>
      <c r="F166" s="45"/>
      <c r="G166" s="171"/>
      <c r="H166" s="171"/>
      <c r="I166" s="172"/>
      <c r="J166" s="45"/>
      <c r="K166" s="2"/>
    </row>
    <row r="167" spans="1:11" ht="27" customHeight="1" x14ac:dyDescent="0.2">
      <c r="A167" s="28" t="s">
        <v>166</v>
      </c>
      <c r="B167" s="29"/>
      <c r="C167" s="52">
        <v>3</v>
      </c>
      <c r="D167" s="44">
        <v>0</v>
      </c>
      <c r="E167" s="45"/>
      <c r="F167" s="45"/>
      <c r="G167" s="46">
        <v>0</v>
      </c>
      <c r="H167" s="171"/>
      <c r="I167" s="172"/>
      <c r="J167" s="45"/>
      <c r="K167" s="2"/>
    </row>
    <row r="168" spans="1:11" ht="27" customHeight="1" x14ac:dyDescent="0.2">
      <c r="A168" s="28" t="s">
        <v>167</v>
      </c>
      <c r="B168" s="29"/>
      <c r="C168" s="52">
        <v>4</v>
      </c>
      <c r="D168" s="44">
        <v>0</v>
      </c>
      <c r="E168" s="44">
        <v>0</v>
      </c>
      <c r="F168" s="45"/>
      <c r="G168" s="46">
        <v>0</v>
      </c>
      <c r="H168" s="171"/>
      <c r="I168" s="172"/>
      <c r="J168" s="45"/>
      <c r="K168" s="2"/>
    </row>
    <row r="169" spans="1:11" ht="27" customHeight="1" x14ac:dyDescent="0.2">
      <c r="A169" s="28" t="s">
        <v>168</v>
      </c>
      <c r="B169" s="29"/>
      <c r="C169" s="52">
        <v>4</v>
      </c>
      <c r="D169" s="44">
        <v>0</v>
      </c>
      <c r="E169" s="45"/>
      <c r="F169" s="45"/>
      <c r="G169" s="171"/>
      <c r="H169" s="171"/>
      <c r="I169" s="172"/>
      <c r="J169" s="45"/>
      <c r="K169" s="2"/>
    </row>
    <row r="170" spans="1:11" ht="27" customHeight="1" x14ac:dyDescent="0.2">
      <c r="A170" s="28" t="s">
        <v>169</v>
      </c>
      <c r="B170" s="29"/>
      <c r="C170" s="52" t="s">
        <v>18</v>
      </c>
      <c r="D170" s="44">
        <v>0</v>
      </c>
      <c r="E170" s="44">
        <v>0</v>
      </c>
      <c r="F170" s="45"/>
      <c r="G170" s="46">
        <v>0</v>
      </c>
      <c r="H170" s="171"/>
      <c r="I170" s="172"/>
      <c r="J170" s="45"/>
      <c r="K170" s="2"/>
    </row>
    <row r="171" spans="1:11" ht="27" customHeight="1" x14ac:dyDescent="0.2">
      <c r="A171" s="28" t="s">
        <v>170</v>
      </c>
      <c r="B171" s="29"/>
      <c r="C171" s="52" t="s">
        <v>18</v>
      </c>
      <c r="D171" s="44">
        <v>0</v>
      </c>
      <c r="E171" s="44">
        <v>0</v>
      </c>
      <c r="F171" s="45"/>
      <c r="G171" s="46">
        <v>0</v>
      </c>
      <c r="H171" s="171"/>
      <c r="I171" s="172"/>
      <c r="J171" s="45"/>
      <c r="K171" s="2"/>
    </row>
    <row r="172" spans="1:11" ht="27" customHeight="1" x14ac:dyDescent="0.2">
      <c r="A172" s="28" t="s">
        <v>171</v>
      </c>
      <c r="B172" s="29"/>
      <c r="C172" s="52" t="s">
        <v>18</v>
      </c>
      <c r="D172" s="44">
        <v>0</v>
      </c>
      <c r="E172" s="44">
        <v>0</v>
      </c>
      <c r="F172" s="45"/>
      <c r="G172" s="46">
        <v>0</v>
      </c>
      <c r="H172" s="171"/>
      <c r="I172" s="172"/>
      <c r="J172" s="45"/>
      <c r="K172" s="2"/>
    </row>
    <row r="173" spans="1:11" ht="27" customHeight="1" x14ac:dyDescent="0.2">
      <c r="A173" s="28" t="s">
        <v>590</v>
      </c>
      <c r="B173" s="29"/>
      <c r="C173" s="52" t="s">
        <v>571</v>
      </c>
      <c r="D173" s="176">
        <v>0</v>
      </c>
      <c r="E173" s="177">
        <v>0</v>
      </c>
      <c r="F173" s="178">
        <v>0</v>
      </c>
      <c r="G173" s="46">
        <v>0</v>
      </c>
      <c r="H173" s="171"/>
      <c r="I173" s="172"/>
      <c r="J173" s="45"/>
      <c r="K173" s="2"/>
    </row>
    <row r="174" spans="1:11" ht="27" customHeight="1" x14ac:dyDescent="0.2">
      <c r="A174" s="28" t="s">
        <v>591</v>
      </c>
      <c r="B174" s="29"/>
      <c r="C174" s="52" t="s">
        <v>571</v>
      </c>
      <c r="D174" s="176">
        <v>0</v>
      </c>
      <c r="E174" s="177">
        <v>0</v>
      </c>
      <c r="F174" s="178">
        <v>0</v>
      </c>
      <c r="G174" s="46">
        <v>0</v>
      </c>
      <c r="H174" s="171"/>
      <c r="I174" s="172"/>
      <c r="J174" s="45"/>
      <c r="K174" s="2"/>
    </row>
    <row r="175" spans="1:11" ht="27" customHeight="1" x14ac:dyDescent="0.2">
      <c r="A175" s="28" t="s">
        <v>172</v>
      </c>
      <c r="B175" s="29"/>
      <c r="C175" s="52">
        <v>0</v>
      </c>
      <c r="D175" s="176">
        <v>0</v>
      </c>
      <c r="E175" s="177">
        <v>0</v>
      </c>
      <c r="F175" s="178">
        <v>0</v>
      </c>
      <c r="G175" s="46">
        <v>0</v>
      </c>
      <c r="H175" s="46">
        <v>0</v>
      </c>
      <c r="I175" s="173">
        <v>0</v>
      </c>
      <c r="J175" s="44">
        <v>0</v>
      </c>
      <c r="K175" s="2"/>
    </row>
    <row r="176" spans="1:11" ht="27" customHeight="1" x14ac:dyDescent="0.2">
      <c r="A176" s="28" t="s">
        <v>173</v>
      </c>
      <c r="B176" s="29"/>
      <c r="C176" s="52">
        <v>0</v>
      </c>
      <c r="D176" s="176">
        <v>0</v>
      </c>
      <c r="E176" s="177">
        <v>0</v>
      </c>
      <c r="F176" s="178">
        <v>0</v>
      </c>
      <c r="G176" s="46">
        <v>0</v>
      </c>
      <c r="H176" s="46">
        <v>0</v>
      </c>
      <c r="I176" s="173">
        <v>0</v>
      </c>
      <c r="J176" s="44">
        <v>0</v>
      </c>
      <c r="K176" s="2"/>
    </row>
    <row r="177" spans="1:11" ht="27.75" customHeight="1" x14ac:dyDescent="0.2">
      <c r="A177" s="28" t="s">
        <v>174</v>
      </c>
      <c r="B177" s="29"/>
      <c r="C177" s="52">
        <v>0</v>
      </c>
      <c r="D177" s="176">
        <v>0</v>
      </c>
      <c r="E177" s="177">
        <v>0</v>
      </c>
      <c r="F177" s="178">
        <v>0</v>
      </c>
      <c r="G177" s="46">
        <v>0</v>
      </c>
      <c r="H177" s="46">
        <v>0</v>
      </c>
      <c r="I177" s="173">
        <v>0</v>
      </c>
      <c r="J177" s="44">
        <v>0</v>
      </c>
      <c r="K177" s="2"/>
    </row>
    <row r="178" spans="1:11" ht="27.75" customHeight="1" x14ac:dyDescent="0.2">
      <c r="A178" s="28" t="s">
        <v>215</v>
      </c>
      <c r="B178" s="29"/>
      <c r="C178" s="52">
        <v>8</v>
      </c>
      <c r="D178" s="44">
        <v>0</v>
      </c>
      <c r="E178" s="45"/>
      <c r="F178" s="45"/>
      <c r="G178" s="171"/>
      <c r="H178" s="171"/>
      <c r="I178" s="174"/>
      <c r="J178" s="45"/>
      <c r="K178" s="2"/>
    </row>
    <row r="179" spans="1:11" ht="27.75" customHeight="1" x14ac:dyDescent="0.2">
      <c r="A179" s="28" t="s">
        <v>216</v>
      </c>
      <c r="B179" s="29"/>
      <c r="C179" s="52">
        <v>1</v>
      </c>
      <c r="D179" s="44">
        <v>0</v>
      </c>
      <c r="E179" s="45"/>
      <c r="F179" s="45"/>
      <c r="G179" s="171"/>
      <c r="H179" s="171"/>
      <c r="I179" s="174"/>
      <c r="J179" s="45"/>
      <c r="K179" s="2"/>
    </row>
    <row r="180" spans="1:11" ht="27.75" customHeight="1" x14ac:dyDescent="0.2">
      <c r="A180" s="28" t="s">
        <v>217</v>
      </c>
      <c r="B180" s="29"/>
      <c r="C180" s="52">
        <v>1</v>
      </c>
      <c r="D180" s="44">
        <v>0</v>
      </c>
      <c r="E180" s="45"/>
      <c r="F180" s="45"/>
      <c r="G180" s="171"/>
      <c r="H180" s="171"/>
      <c r="I180" s="172"/>
      <c r="J180" s="45"/>
      <c r="K180" s="2"/>
    </row>
    <row r="181" spans="1:11" ht="27.75" customHeight="1" x14ac:dyDescent="0.2">
      <c r="A181" s="28" t="s">
        <v>218</v>
      </c>
      <c r="B181" s="29"/>
      <c r="C181" s="52">
        <v>1</v>
      </c>
      <c r="D181" s="44">
        <v>0</v>
      </c>
      <c r="E181" s="45"/>
      <c r="F181" s="45"/>
      <c r="G181" s="171"/>
      <c r="H181" s="171"/>
      <c r="I181" s="172"/>
      <c r="J181" s="45"/>
      <c r="K181" s="2"/>
    </row>
    <row r="182" spans="1:11" ht="27.75" customHeight="1" x14ac:dyDescent="0.2">
      <c r="A182" s="28" t="s">
        <v>175</v>
      </c>
      <c r="B182" s="29"/>
      <c r="C182" s="52">
        <v>0</v>
      </c>
      <c r="D182" s="179">
        <v>0</v>
      </c>
      <c r="E182" s="180">
        <v>0</v>
      </c>
      <c r="F182" s="178">
        <v>0</v>
      </c>
      <c r="G182" s="171"/>
      <c r="H182" s="171"/>
      <c r="I182" s="172"/>
      <c r="J182" s="45"/>
      <c r="K182" s="2"/>
    </row>
    <row r="183" spans="1:11" ht="27.75" customHeight="1" x14ac:dyDescent="0.2">
      <c r="A183" s="28" t="s">
        <v>592</v>
      </c>
      <c r="B183" s="29"/>
      <c r="C183" s="52">
        <v>8</v>
      </c>
      <c r="D183" s="44">
        <v>0</v>
      </c>
      <c r="E183" s="45"/>
      <c r="F183" s="45"/>
      <c r="G183" s="46">
        <v>0</v>
      </c>
      <c r="H183" s="171"/>
      <c r="I183" s="172"/>
      <c r="J183" s="45"/>
      <c r="K183" s="2"/>
    </row>
    <row r="184" spans="1:11" ht="27.75" customHeight="1" x14ac:dyDescent="0.2">
      <c r="A184" s="28" t="s">
        <v>176</v>
      </c>
      <c r="B184" s="29"/>
      <c r="C184" s="52">
        <v>8</v>
      </c>
      <c r="D184" s="44">
        <v>0</v>
      </c>
      <c r="E184" s="45"/>
      <c r="F184" s="45"/>
      <c r="G184" s="46">
        <v>0</v>
      </c>
      <c r="H184" s="171"/>
      <c r="I184" s="172"/>
      <c r="J184" s="45"/>
      <c r="K184" s="2"/>
    </row>
    <row r="185" spans="1:11" ht="27.75" customHeight="1" x14ac:dyDescent="0.2">
      <c r="A185" s="28" t="s">
        <v>177</v>
      </c>
      <c r="B185" s="29"/>
      <c r="C185" s="52">
        <v>0</v>
      </c>
      <c r="D185" s="44">
        <v>0</v>
      </c>
      <c r="E185" s="45"/>
      <c r="F185" s="45"/>
      <c r="G185" s="46">
        <v>0</v>
      </c>
      <c r="H185" s="171"/>
      <c r="I185" s="172"/>
      <c r="J185" s="44">
        <v>0</v>
      </c>
      <c r="K185" s="2"/>
    </row>
    <row r="186" spans="1:11" ht="27.75" customHeight="1" x14ac:dyDescent="0.2">
      <c r="A186" s="28" t="s">
        <v>178</v>
      </c>
      <c r="B186" s="29"/>
      <c r="C186" s="52">
        <v>0</v>
      </c>
      <c r="D186" s="176">
        <v>0</v>
      </c>
      <c r="E186" s="177">
        <v>0</v>
      </c>
      <c r="F186" s="178">
        <v>0</v>
      </c>
      <c r="G186" s="46">
        <v>0</v>
      </c>
      <c r="H186" s="171"/>
      <c r="I186" s="172"/>
      <c r="J186" s="44">
        <v>0</v>
      </c>
      <c r="K186" s="2"/>
    </row>
    <row r="187" spans="1:11" ht="27.75" customHeight="1" x14ac:dyDescent="0.2">
      <c r="A187" s="28" t="s">
        <v>179</v>
      </c>
      <c r="B187" s="29"/>
      <c r="C187" s="52">
        <v>0</v>
      </c>
      <c r="D187" s="44">
        <v>0</v>
      </c>
      <c r="E187" s="45"/>
      <c r="F187" s="45"/>
      <c r="G187" s="46">
        <v>0</v>
      </c>
      <c r="H187" s="171"/>
      <c r="I187" s="172"/>
      <c r="J187" s="44">
        <v>0</v>
      </c>
      <c r="K187" s="2"/>
    </row>
    <row r="188" spans="1:11" ht="27.75" customHeight="1" x14ac:dyDescent="0.2">
      <c r="A188" s="28" t="s">
        <v>180</v>
      </c>
      <c r="B188" s="29"/>
      <c r="C188" s="52">
        <v>0</v>
      </c>
      <c r="D188" s="176">
        <v>0</v>
      </c>
      <c r="E188" s="177">
        <v>0</v>
      </c>
      <c r="F188" s="178">
        <v>0</v>
      </c>
      <c r="G188" s="46">
        <v>0</v>
      </c>
      <c r="H188" s="171"/>
      <c r="I188" s="172"/>
      <c r="J188" s="44">
        <v>0</v>
      </c>
      <c r="K188" s="2"/>
    </row>
    <row r="189" spans="1:11" ht="27.75" customHeight="1" x14ac:dyDescent="0.2">
      <c r="A189" s="28" t="s">
        <v>181</v>
      </c>
      <c r="B189" s="29"/>
      <c r="C189" s="52">
        <v>0</v>
      </c>
      <c r="D189" s="44">
        <v>0</v>
      </c>
      <c r="E189" s="45"/>
      <c r="F189" s="45"/>
      <c r="G189" s="46">
        <v>0</v>
      </c>
      <c r="H189" s="171"/>
      <c r="I189" s="172"/>
      <c r="J189" s="44">
        <v>0</v>
      </c>
      <c r="K189" s="2"/>
    </row>
    <row r="190" spans="1:11" ht="27.75" customHeight="1" x14ac:dyDescent="0.2">
      <c r="A190" s="28" t="s">
        <v>182</v>
      </c>
      <c r="B190" s="29"/>
      <c r="C190" s="52">
        <v>0</v>
      </c>
      <c r="D190" s="176">
        <v>0</v>
      </c>
      <c r="E190" s="177">
        <v>0</v>
      </c>
      <c r="F190" s="178">
        <v>0</v>
      </c>
      <c r="G190" s="46">
        <v>0</v>
      </c>
      <c r="H190" s="171"/>
      <c r="I190" s="172"/>
      <c r="J190" s="44">
        <v>0</v>
      </c>
      <c r="K190" s="2"/>
    </row>
  </sheetData>
  <autoFilter ref="A12:J190" xr:uid="{00000000-0009-0000-0000-000006000000}"/>
  <mergeCells count="11">
    <mergeCell ref="F9:G9"/>
    <mergeCell ref="B1:D1"/>
    <mergeCell ref="F1:H1"/>
    <mergeCell ref="A2:J2"/>
    <mergeCell ref="F4:J4"/>
    <mergeCell ref="F5:G5"/>
    <mergeCell ref="B8:D8"/>
    <mergeCell ref="A4:D4"/>
    <mergeCell ref="F6:G6"/>
    <mergeCell ref="F7:G7"/>
    <mergeCell ref="F8:G8"/>
  </mergeCells>
  <phoneticPr fontId="4" type="noConversion"/>
  <hyperlinks>
    <hyperlink ref="A1" location="Overview!A1" display="Back to Overview" xr:uid="{00000000-0004-0000-0600-000000000000}"/>
  </hyperlinks>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&amp;LNote: Where a tariff only has a p/kWh unit rate in Unit Charge 1 then this unit rate applies at all times.&amp;R&amp;P of &amp;N</oddFooter>
    <firstHeader>&amp;L
Annex 4 - Charges applied to LDNOs with HV/LV end users</firstHeader>
    <firstFooter>&amp;LNote: Where a tariff only has a p/kWh unit rate in Unit Charge 1 then this unit rate applies at all times.&amp;R&amp;P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XFD210"/>
  <sheetViews>
    <sheetView showGridLines="0" zoomScale="80" zoomScaleNormal="80" zoomScaleSheetLayoutView="100" workbookViewId="0">
      <selection activeCell="A3" sqref="A3:E3"/>
    </sheetView>
  </sheetViews>
  <sheetFormatPr defaultRowHeight="12.75" x14ac:dyDescent="0.2"/>
  <cols>
    <col min="1" max="1" width="38.7109375" bestFit="1" customWidth="1"/>
    <col min="2" max="5" width="21.28515625" customWidth="1"/>
    <col min="6" max="6" width="28.7109375" customWidth="1"/>
    <col min="8" max="8" width="33.140625" customWidth="1"/>
  </cols>
  <sheetData>
    <row r="1" spans="1:16384" s="2" customFormat="1" ht="27.75" customHeight="1" x14ac:dyDescent="0.2">
      <c r="A1" s="166" t="s">
        <v>91</v>
      </c>
      <c r="B1"/>
      <c r="C1" s="165"/>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c r="AMM1"/>
      <c r="AMN1"/>
      <c r="AMO1"/>
      <c r="AMP1"/>
      <c r="AMQ1"/>
      <c r="AMR1"/>
      <c r="AMS1"/>
      <c r="AMT1"/>
      <c r="AMU1"/>
      <c r="AMV1"/>
      <c r="AMW1"/>
      <c r="AMX1"/>
      <c r="AMY1"/>
      <c r="AMZ1"/>
      <c r="ANA1"/>
      <c r="ANB1"/>
      <c r="ANC1"/>
      <c r="AND1"/>
      <c r="ANE1"/>
      <c r="ANF1"/>
      <c r="ANG1"/>
      <c r="ANH1"/>
      <c r="ANI1"/>
      <c r="ANJ1"/>
      <c r="ANK1"/>
      <c r="ANL1"/>
      <c r="ANM1"/>
      <c r="ANN1"/>
      <c r="ANO1"/>
      <c r="ANP1"/>
      <c r="ANQ1"/>
      <c r="ANR1"/>
      <c r="ANS1"/>
      <c r="ANT1"/>
      <c r="ANU1"/>
      <c r="ANV1"/>
      <c r="ANW1"/>
      <c r="ANX1"/>
      <c r="ANY1"/>
      <c r="ANZ1"/>
      <c r="AOA1"/>
      <c r="AOB1"/>
      <c r="AOC1"/>
      <c r="AOD1"/>
      <c r="AOE1"/>
      <c r="AOF1"/>
      <c r="AOG1"/>
      <c r="AOH1"/>
      <c r="AOI1"/>
      <c r="AOJ1"/>
      <c r="AOK1"/>
      <c r="AOL1"/>
      <c r="AOM1"/>
      <c r="AON1"/>
      <c r="AOO1"/>
      <c r="AOP1"/>
      <c r="AOQ1"/>
      <c r="AOR1"/>
      <c r="AOS1"/>
      <c r="AOT1"/>
      <c r="AOU1"/>
      <c r="AOV1"/>
      <c r="AOW1"/>
      <c r="AOX1"/>
      <c r="AOY1"/>
      <c r="AOZ1"/>
      <c r="APA1"/>
      <c r="APB1"/>
      <c r="APC1"/>
      <c r="APD1"/>
      <c r="APE1"/>
      <c r="APF1"/>
      <c r="APG1"/>
      <c r="APH1"/>
      <c r="API1"/>
      <c r="APJ1"/>
      <c r="APK1"/>
      <c r="APL1"/>
      <c r="APM1"/>
      <c r="APN1"/>
      <c r="APO1"/>
      <c r="APP1"/>
      <c r="APQ1"/>
      <c r="APR1"/>
      <c r="APS1"/>
      <c r="APT1"/>
      <c r="APU1"/>
      <c r="APV1"/>
      <c r="APW1"/>
      <c r="APX1"/>
      <c r="APY1"/>
      <c r="APZ1"/>
      <c r="AQA1"/>
      <c r="AQB1"/>
      <c r="AQC1"/>
      <c r="AQD1"/>
      <c r="AQE1"/>
      <c r="AQF1"/>
      <c r="AQG1"/>
      <c r="AQH1"/>
      <c r="AQI1"/>
      <c r="AQJ1"/>
      <c r="AQK1"/>
      <c r="AQL1"/>
      <c r="AQM1"/>
      <c r="AQN1"/>
      <c r="AQO1"/>
      <c r="AQP1"/>
      <c r="AQQ1"/>
      <c r="AQR1"/>
      <c r="AQS1"/>
      <c r="AQT1"/>
      <c r="AQU1"/>
      <c r="AQV1"/>
      <c r="AQW1"/>
      <c r="AQX1"/>
      <c r="AQY1"/>
      <c r="AQZ1"/>
      <c r="ARA1"/>
      <c r="ARB1"/>
      <c r="ARC1"/>
      <c r="ARD1"/>
      <c r="ARE1"/>
      <c r="ARF1"/>
      <c r="ARG1"/>
      <c r="ARH1"/>
      <c r="ARI1"/>
      <c r="ARJ1"/>
      <c r="ARK1"/>
      <c r="ARL1"/>
      <c r="ARM1"/>
      <c r="ARN1"/>
      <c r="ARO1"/>
      <c r="ARP1"/>
      <c r="ARQ1"/>
      <c r="ARR1"/>
      <c r="ARS1"/>
      <c r="ART1"/>
      <c r="ARU1"/>
      <c r="ARV1"/>
      <c r="ARW1"/>
      <c r="ARX1"/>
      <c r="ARY1"/>
      <c r="ARZ1"/>
      <c r="ASA1"/>
      <c r="ASB1"/>
      <c r="ASC1"/>
      <c r="ASD1"/>
      <c r="ASE1"/>
      <c r="ASF1"/>
      <c r="ASG1"/>
      <c r="ASH1"/>
      <c r="ASI1"/>
      <c r="ASJ1"/>
      <c r="ASK1"/>
      <c r="ASL1"/>
      <c r="ASM1"/>
      <c r="ASN1"/>
      <c r="ASO1"/>
      <c r="ASP1"/>
      <c r="ASQ1"/>
      <c r="ASR1"/>
      <c r="ASS1"/>
      <c r="AST1"/>
      <c r="ASU1"/>
      <c r="ASV1"/>
      <c r="ASW1"/>
      <c r="ASX1"/>
      <c r="ASY1"/>
      <c r="ASZ1"/>
      <c r="ATA1"/>
      <c r="ATB1"/>
      <c r="ATC1"/>
      <c r="ATD1"/>
      <c r="ATE1"/>
      <c r="ATF1"/>
      <c r="ATG1"/>
      <c r="ATH1"/>
      <c r="ATI1"/>
      <c r="ATJ1"/>
      <c r="ATK1"/>
      <c r="ATL1"/>
      <c r="ATM1"/>
      <c r="ATN1"/>
      <c r="ATO1"/>
      <c r="ATP1"/>
      <c r="ATQ1"/>
      <c r="ATR1"/>
      <c r="ATS1"/>
      <c r="ATT1"/>
      <c r="ATU1"/>
      <c r="ATV1"/>
      <c r="ATW1"/>
      <c r="ATX1"/>
      <c r="ATY1"/>
      <c r="ATZ1"/>
      <c r="AUA1"/>
      <c r="AUB1"/>
      <c r="AUC1"/>
      <c r="AUD1"/>
      <c r="AUE1"/>
      <c r="AUF1"/>
      <c r="AUG1"/>
      <c r="AUH1"/>
      <c r="AUI1"/>
      <c r="AUJ1"/>
      <c r="AUK1"/>
      <c r="AUL1"/>
      <c r="AUM1"/>
      <c r="AUN1"/>
      <c r="AUO1"/>
      <c r="AUP1"/>
      <c r="AUQ1"/>
      <c r="AUR1"/>
      <c r="AUS1"/>
      <c r="AUT1"/>
      <c r="AUU1"/>
      <c r="AUV1"/>
      <c r="AUW1"/>
      <c r="AUX1"/>
      <c r="AUY1"/>
      <c r="AUZ1"/>
      <c r="AVA1"/>
      <c r="AVB1"/>
      <c r="AVC1"/>
      <c r="AVD1"/>
      <c r="AVE1"/>
      <c r="AVF1"/>
      <c r="AVG1"/>
      <c r="AVH1"/>
      <c r="AVI1"/>
      <c r="AVJ1"/>
      <c r="AVK1"/>
      <c r="AVL1"/>
      <c r="AVM1"/>
      <c r="AVN1"/>
      <c r="AVO1"/>
      <c r="AVP1"/>
      <c r="AVQ1"/>
      <c r="AVR1"/>
      <c r="AVS1"/>
      <c r="AVT1"/>
      <c r="AVU1"/>
      <c r="AVV1"/>
      <c r="AVW1"/>
      <c r="AVX1"/>
      <c r="AVY1"/>
      <c r="AVZ1"/>
      <c r="AWA1"/>
      <c r="AWB1"/>
      <c r="AWC1"/>
      <c r="AWD1"/>
      <c r="AWE1"/>
      <c r="AWF1"/>
      <c r="AWG1"/>
      <c r="AWH1"/>
      <c r="AWI1"/>
      <c r="AWJ1"/>
      <c r="AWK1"/>
      <c r="AWL1"/>
      <c r="AWM1"/>
      <c r="AWN1"/>
      <c r="AWO1"/>
      <c r="AWP1"/>
      <c r="AWQ1"/>
      <c r="AWR1"/>
      <c r="AWS1"/>
      <c r="AWT1"/>
      <c r="AWU1"/>
      <c r="AWV1"/>
      <c r="AWW1"/>
      <c r="AWX1"/>
      <c r="AWY1"/>
      <c r="AWZ1"/>
      <c r="AXA1"/>
      <c r="AXB1"/>
      <c r="AXC1"/>
      <c r="AXD1"/>
      <c r="AXE1"/>
      <c r="AXF1"/>
      <c r="AXG1"/>
      <c r="AXH1"/>
      <c r="AXI1"/>
      <c r="AXJ1"/>
      <c r="AXK1"/>
      <c r="AXL1"/>
      <c r="AXM1"/>
      <c r="AXN1"/>
      <c r="AXO1"/>
      <c r="AXP1"/>
      <c r="AXQ1"/>
      <c r="AXR1"/>
      <c r="AXS1"/>
      <c r="AXT1"/>
      <c r="AXU1"/>
      <c r="AXV1"/>
      <c r="AXW1"/>
      <c r="AXX1"/>
      <c r="AXY1"/>
      <c r="AXZ1"/>
      <c r="AYA1"/>
      <c r="AYB1"/>
      <c r="AYC1"/>
      <c r="AYD1"/>
      <c r="AYE1"/>
      <c r="AYF1"/>
      <c r="AYG1"/>
      <c r="AYH1"/>
      <c r="AYI1"/>
      <c r="AYJ1"/>
      <c r="AYK1"/>
      <c r="AYL1"/>
      <c r="AYM1"/>
      <c r="AYN1"/>
      <c r="AYO1"/>
      <c r="AYP1"/>
      <c r="AYQ1"/>
      <c r="AYR1"/>
      <c r="AYS1"/>
      <c r="AYT1"/>
      <c r="AYU1"/>
      <c r="AYV1"/>
      <c r="AYW1"/>
      <c r="AYX1"/>
      <c r="AYY1"/>
      <c r="AYZ1"/>
      <c r="AZA1"/>
      <c r="AZB1"/>
      <c r="AZC1"/>
      <c r="AZD1"/>
      <c r="AZE1"/>
      <c r="AZF1"/>
      <c r="AZG1"/>
      <c r="AZH1"/>
      <c r="AZI1"/>
      <c r="AZJ1"/>
      <c r="AZK1"/>
      <c r="AZL1"/>
      <c r="AZM1"/>
      <c r="AZN1"/>
      <c r="AZO1"/>
      <c r="AZP1"/>
      <c r="AZQ1"/>
      <c r="AZR1"/>
      <c r="AZS1"/>
      <c r="AZT1"/>
      <c r="AZU1"/>
      <c r="AZV1"/>
      <c r="AZW1"/>
      <c r="AZX1"/>
      <c r="AZY1"/>
      <c r="AZZ1"/>
      <c r="BAA1"/>
      <c r="BAB1"/>
      <c r="BAC1"/>
      <c r="BAD1"/>
      <c r="BAE1"/>
      <c r="BAF1"/>
      <c r="BAG1"/>
      <c r="BAH1"/>
      <c r="BAI1"/>
      <c r="BAJ1"/>
      <c r="BAK1"/>
      <c r="BAL1"/>
      <c r="BAM1"/>
      <c r="BAN1"/>
      <c r="BAO1"/>
      <c r="BAP1"/>
      <c r="BAQ1"/>
      <c r="BAR1"/>
      <c r="BAS1"/>
      <c r="BAT1"/>
      <c r="BAU1"/>
      <c r="BAV1"/>
      <c r="BAW1"/>
      <c r="BAX1"/>
      <c r="BAY1"/>
      <c r="BAZ1"/>
      <c r="BBA1"/>
      <c r="BBB1"/>
      <c r="BBC1"/>
      <c r="BBD1"/>
      <c r="BBE1"/>
      <c r="BBF1"/>
      <c r="BBG1"/>
      <c r="BBH1"/>
      <c r="BBI1"/>
      <c r="BBJ1"/>
      <c r="BBK1"/>
      <c r="BBL1"/>
      <c r="BBM1"/>
      <c r="BBN1"/>
      <c r="BBO1"/>
      <c r="BBP1"/>
      <c r="BBQ1"/>
      <c r="BBR1"/>
      <c r="BBS1"/>
      <c r="BBT1"/>
      <c r="BBU1"/>
      <c r="BBV1"/>
      <c r="BBW1"/>
      <c r="BBX1"/>
      <c r="BBY1"/>
      <c r="BBZ1"/>
      <c r="BCA1"/>
      <c r="BCB1"/>
      <c r="BCC1"/>
      <c r="BCD1"/>
      <c r="BCE1"/>
      <c r="BCF1"/>
      <c r="BCG1"/>
      <c r="BCH1"/>
      <c r="BCI1"/>
      <c r="BCJ1"/>
      <c r="BCK1"/>
      <c r="BCL1"/>
      <c r="BCM1"/>
      <c r="BCN1"/>
      <c r="BCO1"/>
      <c r="BCP1"/>
      <c r="BCQ1"/>
      <c r="BCR1"/>
      <c r="BCS1"/>
      <c r="BCT1"/>
      <c r="BCU1"/>
      <c r="BCV1"/>
      <c r="BCW1"/>
      <c r="BCX1"/>
      <c r="BCY1"/>
      <c r="BCZ1"/>
      <c r="BDA1"/>
      <c r="BDB1"/>
      <c r="BDC1"/>
      <c r="BDD1"/>
      <c r="BDE1"/>
      <c r="BDF1"/>
      <c r="BDG1"/>
      <c r="BDH1"/>
      <c r="BDI1"/>
      <c r="BDJ1"/>
      <c r="BDK1"/>
      <c r="BDL1"/>
      <c r="BDM1"/>
      <c r="BDN1"/>
      <c r="BDO1"/>
      <c r="BDP1"/>
      <c r="BDQ1"/>
      <c r="BDR1"/>
      <c r="BDS1"/>
      <c r="BDT1"/>
      <c r="BDU1"/>
      <c r="BDV1"/>
      <c r="BDW1"/>
      <c r="BDX1"/>
      <c r="BDY1"/>
      <c r="BDZ1"/>
      <c r="BEA1"/>
      <c r="BEB1"/>
      <c r="BEC1"/>
      <c r="BED1"/>
      <c r="BEE1"/>
      <c r="BEF1"/>
      <c r="BEG1"/>
      <c r="BEH1"/>
      <c r="BEI1"/>
      <c r="BEJ1"/>
      <c r="BEK1"/>
      <c r="BEL1"/>
      <c r="BEM1"/>
      <c r="BEN1"/>
      <c r="BEO1"/>
      <c r="BEP1"/>
      <c r="BEQ1"/>
      <c r="BER1"/>
      <c r="BES1"/>
      <c r="BET1"/>
      <c r="BEU1"/>
      <c r="BEV1"/>
      <c r="BEW1"/>
      <c r="BEX1"/>
      <c r="BEY1"/>
      <c r="BEZ1"/>
      <c r="BFA1"/>
      <c r="BFB1"/>
      <c r="BFC1"/>
      <c r="BFD1"/>
      <c r="BFE1"/>
      <c r="BFF1"/>
      <c r="BFG1"/>
      <c r="BFH1"/>
      <c r="BFI1"/>
      <c r="BFJ1"/>
      <c r="BFK1"/>
      <c r="BFL1"/>
      <c r="BFM1"/>
      <c r="BFN1"/>
      <c r="BFO1"/>
      <c r="BFP1"/>
      <c r="BFQ1"/>
      <c r="BFR1"/>
      <c r="BFS1"/>
      <c r="BFT1"/>
      <c r="BFU1"/>
      <c r="BFV1"/>
      <c r="BFW1"/>
      <c r="BFX1"/>
      <c r="BFY1"/>
      <c r="BFZ1"/>
      <c r="BGA1"/>
      <c r="BGB1"/>
      <c r="BGC1"/>
      <c r="BGD1"/>
      <c r="BGE1"/>
      <c r="BGF1"/>
      <c r="BGG1"/>
      <c r="BGH1"/>
      <c r="BGI1"/>
      <c r="BGJ1"/>
      <c r="BGK1"/>
      <c r="BGL1"/>
      <c r="BGM1"/>
      <c r="BGN1"/>
      <c r="BGO1"/>
      <c r="BGP1"/>
      <c r="BGQ1"/>
      <c r="BGR1"/>
      <c r="BGS1"/>
      <c r="BGT1"/>
      <c r="BGU1"/>
      <c r="BGV1"/>
      <c r="BGW1"/>
      <c r="BGX1"/>
      <c r="BGY1"/>
      <c r="BGZ1"/>
      <c r="BHA1"/>
      <c r="BHB1"/>
      <c r="BHC1"/>
      <c r="BHD1"/>
      <c r="BHE1"/>
      <c r="BHF1"/>
      <c r="BHG1"/>
      <c r="BHH1"/>
      <c r="BHI1"/>
      <c r="BHJ1"/>
      <c r="BHK1"/>
      <c r="BHL1"/>
      <c r="BHM1"/>
      <c r="BHN1"/>
      <c r="BHO1"/>
      <c r="BHP1"/>
      <c r="BHQ1"/>
      <c r="BHR1"/>
      <c r="BHS1"/>
      <c r="BHT1"/>
      <c r="BHU1"/>
      <c r="BHV1"/>
      <c r="BHW1"/>
      <c r="BHX1"/>
      <c r="BHY1"/>
      <c r="BHZ1"/>
      <c r="BIA1"/>
      <c r="BIB1"/>
      <c r="BIC1"/>
      <c r="BID1"/>
      <c r="BIE1"/>
      <c r="BIF1"/>
      <c r="BIG1"/>
      <c r="BIH1"/>
      <c r="BII1"/>
      <c r="BIJ1"/>
      <c r="BIK1"/>
      <c r="BIL1"/>
      <c r="BIM1"/>
      <c r="BIN1"/>
      <c r="BIO1"/>
      <c r="BIP1"/>
      <c r="BIQ1"/>
      <c r="BIR1"/>
      <c r="BIS1"/>
      <c r="BIT1"/>
      <c r="BIU1"/>
      <c r="BIV1"/>
      <c r="BIW1"/>
      <c r="BIX1"/>
      <c r="BIY1"/>
      <c r="BIZ1"/>
      <c r="BJA1"/>
      <c r="BJB1"/>
      <c r="BJC1"/>
      <c r="BJD1"/>
      <c r="BJE1"/>
      <c r="BJF1"/>
      <c r="BJG1"/>
      <c r="BJH1"/>
      <c r="BJI1"/>
      <c r="BJJ1"/>
      <c r="BJK1"/>
      <c r="BJL1"/>
      <c r="BJM1"/>
      <c r="BJN1"/>
      <c r="BJO1"/>
      <c r="BJP1"/>
      <c r="BJQ1"/>
      <c r="BJR1"/>
      <c r="BJS1"/>
      <c r="BJT1"/>
      <c r="BJU1"/>
      <c r="BJV1"/>
      <c r="BJW1"/>
      <c r="BJX1"/>
      <c r="BJY1"/>
      <c r="BJZ1"/>
      <c r="BKA1"/>
      <c r="BKB1"/>
      <c r="BKC1"/>
      <c r="BKD1"/>
      <c r="BKE1"/>
      <c r="BKF1"/>
      <c r="BKG1"/>
      <c r="BKH1"/>
      <c r="BKI1"/>
      <c r="BKJ1"/>
      <c r="BKK1"/>
      <c r="BKL1"/>
      <c r="BKM1"/>
      <c r="BKN1"/>
      <c r="BKO1"/>
      <c r="BKP1"/>
      <c r="BKQ1"/>
      <c r="BKR1"/>
      <c r="BKS1"/>
      <c r="BKT1"/>
      <c r="BKU1"/>
      <c r="BKV1"/>
      <c r="BKW1"/>
      <c r="BKX1"/>
      <c r="BKY1"/>
      <c r="BKZ1"/>
      <c r="BLA1"/>
      <c r="BLB1"/>
      <c r="BLC1"/>
      <c r="BLD1"/>
      <c r="BLE1"/>
      <c r="BLF1"/>
      <c r="BLG1"/>
      <c r="BLH1"/>
      <c r="BLI1"/>
      <c r="BLJ1"/>
      <c r="BLK1"/>
      <c r="BLL1"/>
      <c r="BLM1"/>
      <c r="BLN1"/>
      <c r="BLO1"/>
      <c r="BLP1"/>
      <c r="BLQ1"/>
      <c r="BLR1"/>
      <c r="BLS1"/>
      <c r="BLT1"/>
      <c r="BLU1"/>
      <c r="BLV1"/>
      <c r="BLW1"/>
      <c r="BLX1"/>
      <c r="BLY1"/>
      <c r="BLZ1"/>
      <c r="BMA1"/>
      <c r="BMB1"/>
      <c r="BMC1"/>
      <c r="BMD1"/>
      <c r="BME1"/>
      <c r="BMF1"/>
      <c r="BMG1"/>
      <c r="BMH1"/>
      <c r="BMI1"/>
      <c r="BMJ1"/>
      <c r="BMK1"/>
      <c r="BML1"/>
      <c r="BMM1"/>
      <c r="BMN1"/>
      <c r="BMO1"/>
      <c r="BMP1"/>
      <c r="BMQ1"/>
      <c r="BMR1"/>
      <c r="BMS1"/>
      <c r="BMT1"/>
      <c r="BMU1"/>
      <c r="BMV1"/>
      <c r="BMW1"/>
      <c r="BMX1"/>
      <c r="BMY1"/>
      <c r="BMZ1"/>
      <c r="BNA1"/>
      <c r="BNB1"/>
      <c r="BNC1"/>
      <c r="BND1"/>
      <c r="BNE1"/>
      <c r="BNF1"/>
      <c r="BNG1"/>
      <c r="BNH1"/>
      <c r="BNI1"/>
      <c r="BNJ1"/>
      <c r="BNK1"/>
      <c r="BNL1"/>
      <c r="BNM1"/>
      <c r="BNN1"/>
      <c r="BNO1"/>
      <c r="BNP1"/>
      <c r="BNQ1"/>
      <c r="BNR1"/>
      <c r="BNS1"/>
      <c r="BNT1"/>
      <c r="BNU1"/>
      <c r="BNV1"/>
      <c r="BNW1"/>
      <c r="BNX1"/>
      <c r="BNY1"/>
      <c r="BNZ1"/>
      <c r="BOA1"/>
      <c r="BOB1"/>
      <c r="BOC1"/>
      <c r="BOD1"/>
      <c r="BOE1"/>
      <c r="BOF1"/>
      <c r="BOG1"/>
      <c r="BOH1"/>
      <c r="BOI1"/>
      <c r="BOJ1"/>
      <c r="BOK1"/>
      <c r="BOL1"/>
      <c r="BOM1"/>
      <c r="BON1"/>
      <c r="BOO1"/>
      <c r="BOP1"/>
      <c r="BOQ1"/>
      <c r="BOR1"/>
      <c r="BOS1"/>
      <c r="BOT1"/>
      <c r="BOU1"/>
      <c r="BOV1"/>
      <c r="BOW1"/>
      <c r="BOX1"/>
      <c r="BOY1"/>
      <c r="BOZ1"/>
      <c r="BPA1"/>
      <c r="BPB1"/>
      <c r="BPC1"/>
      <c r="BPD1"/>
      <c r="BPE1"/>
      <c r="BPF1"/>
      <c r="BPG1"/>
      <c r="BPH1"/>
      <c r="BPI1"/>
      <c r="BPJ1"/>
      <c r="BPK1"/>
      <c r="BPL1"/>
      <c r="BPM1"/>
      <c r="BPN1"/>
      <c r="BPO1"/>
      <c r="BPP1"/>
      <c r="BPQ1"/>
      <c r="BPR1"/>
      <c r="BPS1"/>
      <c r="BPT1"/>
      <c r="BPU1"/>
      <c r="BPV1"/>
      <c r="BPW1"/>
      <c r="BPX1"/>
      <c r="BPY1"/>
      <c r="BPZ1"/>
      <c r="BQA1"/>
      <c r="BQB1"/>
      <c r="BQC1"/>
      <c r="BQD1"/>
      <c r="BQE1"/>
      <c r="BQF1"/>
      <c r="BQG1"/>
      <c r="BQH1"/>
      <c r="BQI1"/>
      <c r="BQJ1"/>
      <c r="BQK1"/>
      <c r="BQL1"/>
      <c r="BQM1"/>
      <c r="BQN1"/>
      <c r="BQO1"/>
      <c r="BQP1"/>
      <c r="BQQ1"/>
      <c r="BQR1"/>
      <c r="BQS1"/>
      <c r="BQT1"/>
      <c r="BQU1"/>
      <c r="BQV1"/>
      <c r="BQW1"/>
      <c r="BQX1"/>
      <c r="BQY1"/>
      <c r="BQZ1"/>
      <c r="BRA1"/>
      <c r="BRB1"/>
      <c r="BRC1"/>
      <c r="BRD1"/>
      <c r="BRE1"/>
      <c r="BRF1"/>
      <c r="BRG1"/>
      <c r="BRH1"/>
      <c r="BRI1"/>
      <c r="BRJ1"/>
      <c r="BRK1"/>
      <c r="BRL1"/>
      <c r="BRM1"/>
      <c r="BRN1"/>
      <c r="BRO1"/>
      <c r="BRP1"/>
      <c r="BRQ1"/>
      <c r="BRR1"/>
      <c r="BRS1"/>
      <c r="BRT1"/>
      <c r="BRU1"/>
      <c r="BRV1"/>
      <c r="BRW1"/>
      <c r="BRX1"/>
      <c r="BRY1"/>
      <c r="BRZ1"/>
      <c r="BSA1"/>
      <c r="BSB1"/>
      <c r="BSC1"/>
      <c r="BSD1"/>
      <c r="BSE1"/>
      <c r="BSF1"/>
      <c r="BSG1"/>
      <c r="BSH1"/>
      <c r="BSI1"/>
      <c r="BSJ1"/>
      <c r="BSK1"/>
      <c r="BSL1"/>
      <c r="BSM1"/>
      <c r="BSN1"/>
      <c r="BSO1"/>
      <c r="BSP1"/>
      <c r="BSQ1"/>
      <c r="BSR1"/>
      <c r="BSS1"/>
      <c r="BST1"/>
      <c r="BSU1"/>
      <c r="BSV1"/>
      <c r="BSW1"/>
      <c r="BSX1"/>
      <c r="BSY1"/>
      <c r="BSZ1"/>
      <c r="BTA1"/>
      <c r="BTB1"/>
      <c r="BTC1"/>
      <c r="BTD1"/>
      <c r="BTE1"/>
      <c r="BTF1"/>
      <c r="BTG1"/>
      <c r="BTH1"/>
      <c r="BTI1"/>
      <c r="BTJ1"/>
      <c r="BTK1"/>
      <c r="BTL1"/>
      <c r="BTM1"/>
      <c r="BTN1"/>
      <c r="BTO1"/>
      <c r="BTP1"/>
      <c r="BTQ1"/>
      <c r="BTR1"/>
      <c r="BTS1"/>
      <c r="BTT1"/>
      <c r="BTU1"/>
      <c r="BTV1"/>
      <c r="BTW1"/>
      <c r="BTX1"/>
      <c r="BTY1"/>
      <c r="BTZ1"/>
      <c r="BUA1"/>
      <c r="BUB1"/>
      <c r="BUC1"/>
      <c r="BUD1"/>
      <c r="BUE1"/>
      <c r="BUF1"/>
      <c r="BUG1"/>
      <c r="BUH1"/>
      <c r="BUI1"/>
      <c r="BUJ1"/>
      <c r="BUK1"/>
      <c r="BUL1"/>
      <c r="BUM1"/>
      <c r="BUN1"/>
      <c r="BUO1"/>
      <c r="BUP1"/>
      <c r="BUQ1"/>
      <c r="BUR1"/>
      <c r="BUS1"/>
      <c r="BUT1"/>
      <c r="BUU1"/>
      <c r="BUV1"/>
      <c r="BUW1"/>
      <c r="BUX1"/>
      <c r="BUY1"/>
      <c r="BUZ1"/>
      <c r="BVA1"/>
      <c r="BVB1"/>
      <c r="BVC1"/>
      <c r="BVD1"/>
      <c r="BVE1"/>
      <c r="BVF1"/>
      <c r="BVG1"/>
      <c r="BVH1"/>
      <c r="BVI1"/>
      <c r="BVJ1"/>
      <c r="BVK1"/>
      <c r="BVL1"/>
      <c r="BVM1"/>
      <c r="BVN1"/>
      <c r="BVO1"/>
      <c r="BVP1"/>
      <c r="BVQ1"/>
      <c r="BVR1"/>
      <c r="BVS1"/>
      <c r="BVT1"/>
      <c r="BVU1"/>
      <c r="BVV1"/>
      <c r="BVW1"/>
      <c r="BVX1"/>
      <c r="BVY1"/>
      <c r="BVZ1"/>
      <c r="BWA1"/>
      <c r="BWB1"/>
      <c r="BWC1"/>
      <c r="BWD1"/>
      <c r="BWE1"/>
      <c r="BWF1"/>
      <c r="BWG1"/>
      <c r="BWH1"/>
      <c r="BWI1"/>
      <c r="BWJ1"/>
      <c r="BWK1"/>
      <c r="BWL1"/>
      <c r="BWM1"/>
      <c r="BWN1"/>
      <c r="BWO1"/>
      <c r="BWP1"/>
      <c r="BWQ1"/>
      <c r="BWR1"/>
      <c r="BWS1"/>
      <c r="BWT1"/>
      <c r="BWU1"/>
      <c r="BWV1"/>
      <c r="BWW1"/>
      <c r="BWX1"/>
      <c r="BWY1"/>
      <c r="BWZ1"/>
      <c r="BXA1"/>
      <c r="BXB1"/>
      <c r="BXC1"/>
      <c r="BXD1"/>
      <c r="BXE1"/>
      <c r="BXF1"/>
      <c r="BXG1"/>
      <c r="BXH1"/>
      <c r="BXI1"/>
      <c r="BXJ1"/>
      <c r="BXK1"/>
      <c r="BXL1"/>
      <c r="BXM1"/>
      <c r="BXN1"/>
      <c r="BXO1"/>
      <c r="BXP1"/>
      <c r="BXQ1"/>
      <c r="BXR1"/>
      <c r="BXS1"/>
      <c r="BXT1"/>
      <c r="BXU1"/>
      <c r="BXV1"/>
      <c r="BXW1"/>
      <c r="BXX1"/>
      <c r="BXY1"/>
      <c r="BXZ1"/>
      <c r="BYA1"/>
      <c r="BYB1"/>
      <c r="BYC1"/>
      <c r="BYD1"/>
      <c r="BYE1"/>
      <c r="BYF1"/>
      <c r="BYG1"/>
      <c r="BYH1"/>
      <c r="BYI1"/>
      <c r="BYJ1"/>
      <c r="BYK1"/>
      <c r="BYL1"/>
      <c r="BYM1"/>
      <c r="BYN1"/>
      <c r="BYO1"/>
      <c r="BYP1"/>
      <c r="BYQ1"/>
      <c r="BYR1"/>
      <c r="BYS1"/>
      <c r="BYT1"/>
      <c r="BYU1"/>
      <c r="BYV1"/>
      <c r="BYW1"/>
      <c r="BYX1"/>
      <c r="BYY1"/>
      <c r="BYZ1"/>
      <c r="BZA1"/>
      <c r="BZB1"/>
      <c r="BZC1"/>
      <c r="BZD1"/>
      <c r="BZE1"/>
      <c r="BZF1"/>
      <c r="BZG1"/>
      <c r="BZH1"/>
      <c r="BZI1"/>
      <c r="BZJ1"/>
      <c r="BZK1"/>
      <c r="BZL1"/>
      <c r="BZM1"/>
      <c r="BZN1"/>
      <c r="BZO1"/>
      <c r="BZP1"/>
      <c r="BZQ1"/>
      <c r="BZR1"/>
      <c r="BZS1"/>
      <c r="BZT1"/>
      <c r="BZU1"/>
      <c r="BZV1"/>
      <c r="BZW1"/>
      <c r="BZX1"/>
      <c r="BZY1"/>
      <c r="BZZ1"/>
      <c r="CAA1"/>
      <c r="CAB1"/>
      <c r="CAC1"/>
      <c r="CAD1"/>
      <c r="CAE1"/>
      <c r="CAF1"/>
      <c r="CAG1"/>
      <c r="CAH1"/>
      <c r="CAI1"/>
      <c r="CAJ1"/>
      <c r="CAK1"/>
      <c r="CAL1"/>
      <c r="CAM1"/>
      <c r="CAN1"/>
      <c r="CAO1"/>
      <c r="CAP1"/>
      <c r="CAQ1"/>
      <c r="CAR1"/>
      <c r="CAS1"/>
      <c r="CAT1"/>
      <c r="CAU1"/>
      <c r="CAV1"/>
      <c r="CAW1"/>
      <c r="CAX1"/>
      <c r="CAY1"/>
      <c r="CAZ1"/>
      <c r="CBA1"/>
      <c r="CBB1"/>
      <c r="CBC1"/>
      <c r="CBD1"/>
      <c r="CBE1"/>
      <c r="CBF1"/>
      <c r="CBG1"/>
      <c r="CBH1"/>
      <c r="CBI1"/>
      <c r="CBJ1"/>
      <c r="CBK1"/>
      <c r="CBL1"/>
      <c r="CBM1"/>
      <c r="CBN1"/>
      <c r="CBO1"/>
      <c r="CBP1"/>
      <c r="CBQ1"/>
      <c r="CBR1"/>
      <c r="CBS1"/>
      <c r="CBT1"/>
      <c r="CBU1"/>
      <c r="CBV1"/>
      <c r="CBW1"/>
      <c r="CBX1"/>
      <c r="CBY1"/>
      <c r="CBZ1"/>
      <c r="CCA1"/>
      <c r="CCB1"/>
      <c r="CCC1"/>
      <c r="CCD1"/>
      <c r="CCE1"/>
      <c r="CCF1"/>
      <c r="CCG1"/>
      <c r="CCH1"/>
      <c r="CCI1"/>
      <c r="CCJ1"/>
      <c r="CCK1"/>
      <c r="CCL1"/>
      <c r="CCM1"/>
      <c r="CCN1"/>
      <c r="CCO1"/>
      <c r="CCP1"/>
      <c r="CCQ1"/>
      <c r="CCR1"/>
      <c r="CCS1"/>
      <c r="CCT1"/>
      <c r="CCU1"/>
      <c r="CCV1"/>
      <c r="CCW1"/>
      <c r="CCX1"/>
      <c r="CCY1"/>
      <c r="CCZ1"/>
      <c r="CDA1"/>
      <c r="CDB1"/>
      <c r="CDC1"/>
      <c r="CDD1"/>
      <c r="CDE1"/>
      <c r="CDF1"/>
      <c r="CDG1"/>
      <c r="CDH1"/>
      <c r="CDI1"/>
      <c r="CDJ1"/>
      <c r="CDK1"/>
      <c r="CDL1"/>
      <c r="CDM1"/>
      <c r="CDN1"/>
      <c r="CDO1"/>
      <c r="CDP1"/>
      <c r="CDQ1"/>
      <c r="CDR1"/>
      <c r="CDS1"/>
      <c r="CDT1"/>
      <c r="CDU1"/>
      <c r="CDV1"/>
      <c r="CDW1"/>
      <c r="CDX1"/>
      <c r="CDY1"/>
      <c r="CDZ1"/>
      <c r="CEA1"/>
      <c r="CEB1"/>
      <c r="CEC1"/>
      <c r="CED1"/>
      <c r="CEE1"/>
      <c r="CEF1"/>
      <c r="CEG1"/>
      <c r="CEH1"/>
      <c r="CEI1"/>
      <c r="CEJ1"/>
      <c r="CEK1"/>
      <c r="CEL1"/>
      <c r="CEM1"/>
      <c r="CEN1"/>
      <c r="CEO1"/>
      <c r="CEP1"/>
      <c r="CEQ1"/>
      <c r="CER1"/>
      <c r="CES1"/>
      <c r="CET1"/>
      <c r="CEU1"/>
      <c r="CEV1"/>
      <c r="CEW1"/>
      <c r="CEX1"/>
      <c r="CEY1"/>
      <c r="CEZ1"/>
      <c r="CFA1"/>
      <c r="CFB1"/>
      <c r="CFC1"/>
      <c r="CFD1"/>
      <c r="CFE1"/>
      <c r="CFF1"/>
      <c r="CFG1"/>
      <c r="CFH1"/>
      <c r="CFI1"/>
      <c r="CFJ1"/>
      <c r="CFK1"/>
      <c r="CFL1"/>
      <c r="CFM1"/>
      <c r="CFN1"/>
      <c r="CFO1"/>
      <c r="CFP1"/>
      <c r="CFQ1"/>
      <c r="CFR1"/>
      <c r="CFS1"/>
      <c r="CFT1"/>
      <c r="CFU1"/>
      <c r="CFV1"/>
      <c r="CFW1"/>
      <c r="CFX1"/>
      <c r="CFY1"/>
      <c r="CFZ1"/>
      <c r="CGA1"/>
      <c r="CGB1"/>
      <c r="CGC1"/>
      <c r="CGD1"/>
      <c r="CGE1"/>
      <c r="CGF1"/>
      <c r="CGG1"/>
      <c r="CGH1"/>
      <c r="CGI1"/>
      <c r="CGJ1"/>
      <c r="CGK1"/>
      <c r="CGL1"/>
      <c r="CGM1"/>
      <c r="CGN1"/>
      <c r="CGO1"/>
      <c r="CGP1"/>
      <c r="CGQ1"/>
      <c r="CGR1"/>
      <c r="CGS1"/>
      <c r="CGT1"/>
      <c r="CGU1"/>
      <c r="CGV1"/>
      <c r="CGW1"/>
      <c r="CGX1"/>
      <c r="CGY1"/>
      <c r="CGZ1"/>
      <c r="CHA1"/>
      <c r="CHB1"/>
      <c r="CHC1"/>
      <c r="CHD1"/>
      <c r="CHE1"/>
      <c r="CHF1"/>
      <c r="CHG1"/>
      <c r="CHH1"/>
      <c r="CHI1"/>
      <c r="CHJ1"/>
      <c r="CHK1"/>
      <c r="CHL1"/>
      <c r="CHM1"/>
      <c r="CHN1"/>
      <c r="CHO1"/>
      <c r="CHP1"/>
      <c r="CHQ1"/>
      <c r="CHR1"/>
      <c r="CHS1"/>
      <c r="CHT1"/>
      <c r="CHU1"/>
      <c r="CHV1"/>
      <c r="CHW1"/>
      <c r="CHX1"/>
      <c r="CHY1"/>
      <c r="CHZ1"/>
      <c r="CIA1"/>
      <c r="CIB1"/>
      <c r="CIC1"/>
      <c r="CID1"/>
      <c r="CIE1"/>
      <c r="CIF1"/>
      <c r="CIG1"/>
      <c r="CIH1"/>
      <c r="CII1"/>
      <c r="CIJ1"/>
      <c r="CIK1"/>
      <c r="CIL1"/>
      <c r="CIM1"/>
      <c r="CIN1"/>
      <c r="CIO1"/>
      <c r="CIP1"/>
      <c r="CIQ1"/>
      <c r="CIR1"/>
      <c r="CIS1"/>
      <c r="CIT1"/>
      <c r="CIU1"/>
      <c r="CIV1"/>
      <c r="CIW1"/>
      <c r="CIX1"/>
      <c r="CIY1"/>
      <c r="CIZ1"/>
      <c r="CJA1"/>
      <c r="CJB1"/>
      <c r="CJC1"/>
      <c r="CJD1"/>
      <c r="CJE1"/>
      <c r="CJF1"/>
      <c r="CJG1"/>
      <c r="CJH1"/>
      <c r="CJI1"/>
      <c r="CJJ1"/>
      <c r="CJK1"/>
      <c r="CJL1"/>
      <c r="CJM1"/>
      <c r="CJN1"/>
      <c r="CJO1"/>
      <c r="CJP1"/>
      <c r="CJQ1"/>
      <c r="CJR1"/>
      <c r="CJS1"/>
      <c r="CJT1"/>
      <c r="CJU1"/>
      <c r="CJV1"/>
      <c r="CJW1"/>
      <c r="CJX1"/>
      <c r="CJY1"/>
      <c r="CJZ1"/>
      <c r="CKA1"/>
      <c r="CKB1"/>
      <c r="CKC1"/>
      <c r="CKD1"/>
      <c r="CKE1"/>
      <c r="CKF1"/>
      <c r="CKG1"/>
      <c r="CKH1"/>
      <c r="CKI1"/>
      <c r="CKJ1"/>
      <c r="CKK1"/>
      <c r="CKL1"/>
      <c r="CKM1"/>
      <c r="CKN1"/>
      <c r="CKO1"/>
      <c r="CKP1"/>
      <c r="CKQ1"/>
      <c r="CKR1"/>
      <c r="CKS1"/>
      <c r="CKT1"/>
      <c r="CKU1"/>
      <c r="CKV1"/>
      <c r="CKW1"/>
      <c r="CKX1"/>
      <c r="CKY1"/>
      <c r="CKZ1"/>
      <c r="CLA1"/>
      <c r="CLB1"/>
      <c r="CLC1"/>
      <c r="CLD1"/>
      <c r="CLE1"/>
      <c r="CLF1"/>
      <c r="CLG1"/>
      <c r="CLH1"/>
      <c r="CLI1"/>
      <c r="CLJ1"/>
      <c r="CLK1"/>
      <c r="CLL1"/>
      <c r="CLM1"/>
      <c r="CLN1"/>
      <c r="CLO1"/>
      <c r="CLP1"/>
      <c r="CLQ1"/>
      <c r="CLR1"/>
      <c r="CLS1"/>
      <c r="CLT1"/>
      <c r="CLU1"/>
      <c r="CLV1"/>
      <c r="CLW1"/>
      <c r="CLX1"/>
      <c r="CLY1"/>
      <c r="CLZ1"/>
      <c r="CMA1"/>
      <c r="CMB1"/>
      <c r="CMC1"/>
      <c r="CMD1"/>
      <c r="CME1"/>
      <c r="CMF1"/>
      <c r="CMG1"/>
      <c r="CMH1"/>
      <c r="CMI1"/>
      <c r="CMJ1"/>
      <c r="CMK1"/>
      <c r="CML1"/>
      <c r="CMM1"/>
      <c r="CMN1"/>
      <c r="CMO1"/>
      <c r="CMP1"/>
      <c r="CMQ1"/>
      <c r="CMR1"/>
      <c r="CMS1"/>
      <c r="CMT1"/>
      <c r="CMU1"/>
      <c r="CMV1"/>
      <c r="CMW1"/>
      <c r="CMX1"/>
      <c r="CMY1"/>
      <c r="CMZ1"/>
      <c r="CNA1"/>
      <c r="CNB1"/>
      <c r="CNC1"/>
      <c r="CND1"/>
      <c r="CNE1"/>
      <c r="CNF1"/>
      <c r="CNG1"/>
      <c r="CNH1"/>
      <c r="CNI1"/>
      <c r="CNJ1"/>
      <c r="CNK1"/>
      <c r="CNL1"/>
      <c r="CNM1"/>
      <c r="CNN1"/>
      <c r="CNO1"/>
      <c r="CNP1"/>
      <c r="CNQ1"/>
      <c r="CNR1"/>
      <c r="CNS1"/>
      <c r="CNT1"/>
      <c r="CNU1"/>
      <c r="CNV1"/>
      <c r="CNW1"/>
      <c r="CNX1"/>
      <c r="CNY1"/>
      <c r="CNZ1"/>
      <c r="COA1"/>
      <c r="COB1"/>
      <c r="COC1"/>
      <c r="COD1"/>
      <c r="COE1"/>
      <c r="COF1"/>
      <c r="COG1"/>
      <c r="COH1"/>
      <c r="COI1"/>
      <c r="COJ1"/>
      <c r="COK1"/>
      <c r="COL1"/>
      <c r="COM1"/>
      <c r="CON1"/>
      <c r="COO1"/>
      <c r="COP1"/>
      <c r="COQ1"/>
      <c r="COR1"/>
      <c r="COS1"/>
      <c r="COT1"/>
      <c r="COU1"/>
      <c r="COV1"/>
      <c r="COW1"/>
      <c r="COX1"/>
      <c r="COY1"/>
      <c r="COZ1"/>
      <c r="CPA1"/>
      <c r="CPB1"/>
      <c r="CPC1"/>
      <c r="CPD1"/>
      <c r="CPE1"/>
      <c r="CPF1"/>
      <c r="CPG1"/>
      <c r="CPH1"/>
      <c r="CPI1"/>
      <c r="CPJ1"/>
      <c r="CPK1"/>
      <c r="CPL1"/>
      <c r="CPM1"/>
      <c r="CPN1"/>
      <c r="CPO1"/>
      <c r="CPP1"/>
      <c r="CPQ1"/>
      <c r="CPR1"/>
      <c r="CPS1"/>
      <c r="CPT1"/>
      <c r="CPU1"/>
      <c r="CPV1"/>
      <c r="CPW1"/>
      <c r="CPX1"/>
      <c r="CPY1"/>
      <c r="CPZ1"/>
      <c r="CQA1"/>
      <c r="CQB1"/>
      <c r="CQC1"/>
      <c r="CQD1"/>
      <c r="CQE1"/>
      <c r="CQF1"/>
      <c r="CQG1"/>
      <c r="CQH1"/>
      <c r="CQI1"/>
      <c r="CQJ1"/>
      <c r="CQK1"/>
      <c r="CQL1"/>
      <c r="CQM1"/>
      <c r="CQN1"/>
      <c r="CQO1"/>
      <c r="CQP1"/>
      <c r="CQQ1"/>
      <c r="CQR1"/>
      <c r="CQS1"/>
      <c r="CQT1"/>
      <c r="CQU1"/>
      <c r="CQV1"/>
      <c r="CQW1"/>
      <c r="CQX1"/>
      <c r="CQY1"/>
      <c r="CQZ1"/>
      <c r="CRA1"/>
      <c r="CRB1"/>
      <c r="CRC1"/>
      <c r="CRD1"/>
      <c r="CRE1"/>
      <c r="CRF1"/>
      <c r="CRG1"/>
      <c r="CRH1"/>
      <c r="CRI1"/>
      <c r="CRJ1"/>
      <c r="CRK1"/>
      <c r="CRL1"/>
      <c r="CRM1"/>
      <c r="CRN1"/>
      <c r="CRO1"/>
      <c r="CRP1"/>
      <c r="CRQ1"/>
      <c r="CRR1"/>
      <c r="CRS1"/>
      <c r="CRT1"/>
      <c r="CRU1"/>
      <c r="CRV1"/>
      <c r="CRW1"/>
      <c r="CRX1"/>
      <c r="CRY1"/>
      <c r="CRZ1"/>
      <c r="CSA1"/>
      <c r="CSB1"/>
      <c r="CSC1"/>
      <c r="CSD1"/>
      <c r="CSE1"/>
      <c r="CSF1"/>
      <c r="CSG1"/>
      <c r="CSH1"/>
      <c r="CSI1"/>
      <c r="CSJ1"/>
      <c r="CSK1"/>
      <c r="CSL1"/>
      <c r="CSM1"/>
      <c r="CSN1"/>
      <c r="CSO1"/>
      <c r="CSP1"/>
      <c r="CSQ1"/>
      <c r="CSR1"/>
      <c r="CSS1"/>
      <c r="CST1"/>
      <c r="CSU1"/>
      <c r="CSV1"/>
      <c r="CSW1"/>
      <c r="CSX1"/>
      <c r="CSY1"/>
      <c r="CSZ1"/>
      <c r="CTA1"/>
      <c r="CTB1"/>
      <c r="CTC1"/>
      <c r="CTD1"/>
      <c r="CTE1"/>
      <c r="CTF1"/>
      <c r="CTG1"/>
      <c r="CTH1"/>
      <c r="CTI1"/>
      <c r="CTJ1"/>
      <c r="CTK1"/>
      <c r="CTL1"/>
      <c r="CTM1"/>
      <c r="CTN1"/>
      <c r="CTO1"/>
      <c r="CTP1"/>
      <c r="CTQ1"/>
      <c r="CTR1"/>
      <c r="CTS1"/>
      <c r="CTT1"/>
      <c r="CTU1"/>
      <c r="CTV1"/>
      <c r="CTW1"/>
      <c r="CTX1"/>
      <c r="CTY1"/>
      <c r="CTZ1"/>
      <c r="CUA1"/>
      <c r="CUB1"/>
      <c r="CUC1"/>
      <c r="CUD1"/>
      <c r="CUE1"/>
      <c r="CUF1"/>
      <c r="CUG1"/>
      <c r="CUH1"/>
      <c r="CUI1"/>
      <c r="CUJ1"/>
      <c r="CUK1"/>
      <c r="CUL1"/>
      <c r="CUM1"/>
      <c r="CUN1"/>
      <c r="CUO1"/>
      <c r="CUP1"/>
      <c r="CUQ1"/>
      <c r="CUR1"/>
      <c r="CUS1"/>
      <c r="CUT1"/>
      <c r="CUU1"/>
      <c r="CUV1"/>
      <c r="CUW1"/>
      <c r="CUX1"/>
      <c r="CUY1"/>
      <c r="CUZ1"/>
      <c r="CVA1"/>
      <c r="CVB1"/>
      <c r="CVC1"/>
      <c r="CVD1"/>
      <c r="CVE1"/>
      <c r="CVF1"/>
      <c r="CVG1"/>
      <c r="CVH1"/>
      <c r="CVI1"/>
      <c r="CVJ1"/>
      <c r="CVK1"/>
      <c r="CVL1"/>
      <c r="CVM1"/>
      <c r="CVN1"/>
      <c r="CVO1"/>
      <c r="CVP1"/>
      <c r="CVQ1"/>
      <c r="CVR1"/>
      <c r="CVS1"/>
      <c r="CVT1"/>
      <c r="CVU1"/>
      <c r="CVV1"/>
      <c r="CVW1"/>
      <c r="CVX1"/>
      <c r="CVY1"/>
      <c r="CVZ1"/>
      <c r="CWA1"/>
      <c r="CWB1"/>
      <c r="CWC1"/>
      <c r="CWD1"/>
      <c r="CWE1"/>
      <c r="CWF1"/>
      <c r="CWG1"/>
      <c r="CWH1"/>
      <c r="CWI1"/>
      <c r="CWJ1"/>
      <c r="CWK1"/>
      <c r="CWL1"/>
      <c r="CWM1"/>
      <c r="CWN1"/>
      <c r="CWO1"/>
      <c r="CWP1"/>
      <c r="CWQ1"/>
      <c r="CWR1"/>
      <c r="CWS1"/>
      <c r="CWT1"/>
      <c r="CWU1"/>
      <c r="CWV1"/>
      <c r="CWW1"/>
      <c r="CWX1"/>
      <c r="CWY1"/>
      <c r="CWZ1"/>
      <c r="CXA1"/>
      <c r="CXB1"/>
      <c r="CXC1"/>
      <c r="CXD1"/>
      <c r="CXE1"/>
      <c r="CXF1"/>
      <c r="CXG1"/>
      <c r="CXH1"/>
      <c r="CXI1"/>
      <c r="CXJ1"/>
      <c r="CXK1"/>
      <c r="CXL1"/>
      <c r="CXM1"/>
      <c r="CXN1"/>
      <c r="CXO1"/>
      <c r="CXP1"/>
      <c r="CXQ1"/>
      <c r="CXR1"/>
      <c r="CXS1"/>
      <c r="CXT1"/>
      <c r="CXU1"/>
      <c r="CXV1"/>
      <c r="CXW1"/>
      <c r="CXX1"/>
      <c r="CXY1"/>
      <c r="CXZ1"/>
      <c r="CYA1"/>
      <c r="CYB1"/>
      <c r="CYC1"/>
      <c r="CYD1"/>
      <c r="CYE1"/>
      <c r="CYF1"/>
      <c r="CYG1"/>
      <c r="CYH1"/>
      <c r="CYI1"/>
      <c r="CYJ1"/>
      <c r="CYK1"/>
      <c r="CYL1"/>
      <c r="CYM1"/>
      <c r="CYN1"/>
      <c r="CYO1"/>
      <c r="CYP1"/>
      <c r="CYQ1"/>
      <c r="CYR1"/>
      <c r="CYS1"/>
      <c r="CYT1"/>
      <c r="CYU1"/>
      <c r="CYV1"/>
      <c r="CYW1"/>
      <c r="CYX1"/>
      <c r="CYY1"/>
      <c r="CYZ1"/>
      <c r="CZA1"/>
      <c r="CZB1"/>
      <c r="CZC1"/>
      <c r="CZD1"/>
      <c r="CZE1"/>
      <c r="CZF1"/>
      <c r="CZG1"/>
      <c r="CZH1"/>
      <c r="CZI1"/>
      <c r="CZJ1"/>
      <c r="CZK1"/>
      <c r="CZL1"/>
      <c r="CZM1"/>
      <c r="CZN1"/>
      <c r="CZO1"/>
      <c r="CZP1"/>
      <c r="CZQ1"/>
      <c r="CZR1"/>
      <c r="CZS1"/>
      <c r="CZT1"/>
      <c r="CZU1"/>
      <c r="CZV1"/>
      <c r="CZW1"/>
      <c r="CZX1"/>
      <c r="CZY1"/>
      <c r="CZZ1"/>
      <c r="DAA1"/>
      <c r="DAB1"/>
      <c r="DAC1"/>
      <c r="DAD1"/>
      <c r="DAE1"/>
      <c r="DAF1"/>
      <c r="DAG1"/>
      <c r="DAH1"/>
      <c r="DAI1"/>
      <c r="DAJ1"/>
      <c r="DAK1"/>
      <c r="DAL1"/>
      <c r="DAM1"/>
      <c r="DAN1"/>
      <c r="DAO1"/>
      <c r="DAP1"/>
      <c r="DAQ1"/>
      <c r="DAR1"/>
      <c r="DAS1"/>
      <c r="DAT1"/>
      <c r="DAU1"/>
      <c r="DAV1"/>
      <c r="DAW1"/>
      <c r="DAX1"/>
      <c r="DAY1"/>
      <c r="DAZ1"/>
      <c r="DBA1"/>
      <c r="DBB1"/>
      <c r="DBC1"/>
      <c r="DBD1"/>
      <c r="DBE1"/>
      <c r="DBF1"/>
      <c r="DBG1"/>
      <c r="DBH1"/>
      <c r="DBI1"/>
      <c r="DBJ1"/>
      <c r="DBK1"/>
      <c r="DBL1"/>
      <c r="DBM1"/>
      <c r="DBN1"/>
      <c r="DBO1"/>
      <c r="DBP1"/>
      <c r="DBQ1"/>
      <c r="DBR1"/>
      <c r="DBS1"/>
      <c r="DBT1"/>
      <c r="DBU1"/>
      <c r="DBV1"/>
      <c r="DBW1"/>
      <c r="DBX1"/>
      <c r="DBY1"/>
      <c r="DBZ1"/>
      <c r="DCA1"/>
      <c r="DCB1"/>
      <c r="DCC1"/>
      <c r="DCD1"/>
      <c r="DCE1"/>
      <c r="DCF1"/>
      <c r="DCG1"/>
      <c r="DCH1"/>
      <c r="DCI1"/>
      <c r="DCJ1"/>
      <c r="DCK1"/>
      <c r="DCL1"/>
      <c r="DCM1"/>
      <c r="DCN1"/>
      <c r="DCO1"/>
      <c r="DCP1"/>
      <c r="DCQ1"/>
      <c r="DCR1"/>
      <c r="DCS1"/>
      <c r="DCT1"/>
      <c r="DCU1"/>
      <c r="DCV1"/>
      <c r="DCW1"/>
      <c r="DCX1"/>
      <c r="DCY1"/>
      <c r="DCZ1"/>
      <c r="DDA1"/>
      <c r="DDB1"/>
      <c r="DDC1"/>
      <c r="DDD1"/>
      <c r="DDE1"/>
      <c r="DDF1"/>
      <c r="DDG1"/>
      <c r="DDH1"/>
      <c r="DDI1"/>
      <c r="DDJ1"/>
      <c r="DDK1"/>
      <c r="DDL1"/>
      <c r="DDM1"/>
      <c r="DDN1"/>
      <c r="DDO1"/>
      <c r="DDP1"/>
      <c r="DDQ1"/>
      <c r="DDR1"/>
      <c r="DDS1"/>
      <c r="DDT1"/>
      <c r="DDU1"/>
      <c r="DDV1"/>
      <c r="DDW1"/>
      <c r="DDX1"/>
      <c r="DDY1"/>
      <c r="DDZ1"/>
      <c r="DEA1"/>
      <c r="DEB1"/>
      <c r="DEC1"/>
      <c r="DED1"/>
      <c r="DEE1"/>
      <c r="DEF1"/>
      <c r="DEG1"/>
      <c r="DEH1"/>
      <c r="DEI1"/>
      <c r="DEJ1"/>
      <c r="DEK1"/>
      <c r="DEL1"/>
      <c r="DEM1"/>
      <c r="DEN1"/>
      <c r="DEO1"/>
      <c r="DEP1"/>
      <c r="DEQ1"/>
      <c r="DER1"/>
      <c r="DES1"/>
      <c r="DET1"/>
      <c r="DEU1"/>
      <c r="DEV1"/>
      <c r="DEW1"/>
      <c r="DEX1"/>
      <c r="DEY1"/>
      <c r="DEZ1"/>
      <c r="DFA1"/>
      <c r="DFB1"/>
      <c r="DFC1"/>
      <c r="DFD1"/>
      <c r="DFE1"/>
      <c r="DFF1"/>
      <c r="DFG1"/>
      <c r="DFH1"/>
      <c r="DFI1"/>
      <c r="DFJ1"/>
      <c r="DFK1"/>
      <c r="DFL1"/>
      <c r="DFM1"/>
      <c r="DFN1"/>
      <c r="DFO1"/>
      <c r="DFP1"/>
      <c r="DFQ1"/>
      <c r="DFR1"/>
      <c r="DFS1"/>
      <c r="DFT1"/>
      <c r="DFU1"/>
      <c r="DFV1"/>
      <c r="DFW1"/>
      <c r="DFX1"/>
      <c r="DFY1"/>
      <c r="DFZ1"/>
      <c r="DGA1"/>
      <c r="DGB1"/>
      <c r="DGC1"/>
      <c r="DGD1"/>
      <c r="DGE1"/>
      <c r="DGF1"/>
      <c r="DGG1"/>
      <c r="DGH1"/>
      <c r="DGI1"/>
      <c r="DGJ1"/>
      <c r="DGK1"/>
      <c r="DGL1"/>
      <c r="DGM1"/>
      <c r="DGN1"/>
      <c r="DGO1"/>
      <c r="DGP1"/>
      <c r="DGQ1"/>
      <c r="DGR1"/>
      <c r="DGS1"/>
      <c r="DGT1"/>
      <c r="DGU1"/>
      <c r="DGV1"/>
      <c r="DGW1"/>
      <c r="DGX1"/>
      <c r="DGY1"/>
      <c r="DGZ1"/>
      <c r="DHA1"/>
      <c r="DHB1"/>
      <c r="DHC1"/>
      <c r="DHD1"/>
      <c r="DHE1"/>
      <c r="DHF1"/>
      <c r="DHG1"/>
      <c r="DHH1"/>
      <c r="DHI1"/>
      <c r="DHJ1"/>
      <c r="DHK1"/>
      <c r="DHL1"/>
      <c r="DHM1"/>
      <c r="DHN1"/>
      <c r="DHO1"/>
      <c r="DHP1"/>
      <c r="DHQ1"/>
      <c r="DHR1"/>
      <c r="DHS1"/>
      <c r="DHT1"/>
      <c r="DHU1"/>
      <c r="DHV1"/>
      <c r="DHW1"/>
      <c r="DHX1"/>
      <c r="DHY1"/>
      <c r="DHZ1"/>
      <c r="DIA1"/>
      <c r="DIB1"/>
      <c r="DIC1"/>
      <c r="DID1"/>
      <c r="DIE1"/>
      <c r="DIF1"/>
      <c r="DIG1"/>
      <c r="DIH1"/>
      <c r="DII1"/>
      <c r="DIJ1"/>
      <c r="DIK1"/>
      <c r="DIL1"/>
      <c r="DIM1"/>
      <c r="DIN1"/>
      <c r="DIO1"/>
      <c r="DIP1"/>
      <c r="DIQ1"/>
      <c r="DIR1"/>
      <c r="DIS1"/>
      <c r="DIT1"/>
      <c r="DIU1"/>
      <c r="DIV1"/>
      <c r="DIW1"/>
      <c r="DIX1"/>
      <c r="DIY1"/>
      <c r="DIZ1"/>
      <c r="DJA1"/>
      <c r="DJB1"/>
      <c r="DJC1"/>
      <c r="DJD1"/>
      <c r="DJE1"/>
      <c r="DJF1"/>
      <c r="DJG1"/>
      <c r="DJH1"/>
      <c r="DJI1"/>
      <c r="DJJ1"/>
      <c r="DJK1"/>
      <c r="DJL1"/>
      <c r="DJM1"/>
      <c r="DJN1"/>
      <c r="DJO1"/>
      <c r="DJP1"/>
      <c r="DJQ1"/>
      <c r="DJR1"/>
      <c r="DJS1"/>
      <c r="DJT1"/>
      <c r="DJU1"/>
      <c r="DJV1"/>
      <c r="DJW1"/>
      <c r="DJX1"/>
      <c r="DJY1"/>
      <c r="DJZ1"/>
      <c r="DKA1"/>
      <c r="DKB1"/>
      <c r="DKC1"/>
      <c r="DKD1"/>
      <c r="DKE1"/>
      <c r="DKF1"/>
      <c r="DKG1"/>
      <c r="DKH1"/>
      <c r="DKI1"/>
      <c r="DKJ1"/>
      <c r="DKK1"/>
      <c r="DKL1"/>
      <c r="DKM1"/>
      <c r="DKN1"/>
      <c r="DKO1"/>
      <c r="DKP1"/>
      <c r="DKQ1"/>
      <c r="DKR1"/>
      <c r="DKS1"/>
      <c r="DKT1"/>
      <c r="DKU1"/>
      <c r="DKV1"/>
      <c r="DKW1"/>
      <c r="DKX1"/>
      <c r="DKY1"/>
      <c r="DKZ1"/>
      <c r="DLA1"/>
      <c r="DLB1"/>
      <c r="DLC1"/>
      <c r="DLD1"/>
      <c r="DLE1"/>
      <c r="DLF1"/>
      <c r="DLG1"/>
      <c r="DLH1"/>
      <c r="DLI1"/>
      <c r="DLJ1"/>
      <c r="DLK1"/>
      <c r="DLL1"/>
      <c r="DLM1"/>
      <c r="DLN1"/>
      <c r="DLO1"/>
      <c r="DLP1"/>
      <c r="DLQ1"/>
      <c r="DLR1"/>
      <c r="DLS1"/>
      <c r="DLT1"/>
      <c r="DLU1"/>
      <c r="DLV1"/>
      <c r="DLW1"/>
      <c r="DLX1"/>
      <c r="DLY1"/>
      <c r="DLZ1"/>
      <c r="DMA1"/>
      <c r="DMB1"/>
      <c r="DMC1"/>
      <c r="DMD1"/>
      <c r="DME1"/>
      <c r="DMF1"/>
      <c r="DMG1"/>
      <c r="DMH1"/>
      <c r="DMI1"/>
      <c r="DMJ1"/>
      <c r="DMK1"/>
      <c r="DML1"/>
      <c r="DMM1"/>
      <c r="DMN1"/>
      <c r="DMO1"/>
      <c r="DMP1"/>
      <c r="DMQ1"/>
      <c r="DMR1"/>
      <c r="DMS1"/>
      <c r="DMT1"/>
      <c r="DMU1"/>
      <c r="DMV1"/>
      <c r="DMW1"/>
      <c r="DMX1"/>
      <c r="DMY1"/>
      <c r="DMZ1"/>
      <c r="DNA1"/>
      <c r="DNB1"/>
      <c r="DNC1"/>
      <c r="DND1"/>
      <c r="DNE1"/>
      <c r="DNF1"/>
      <c r="DNG1"/>
      <c r="DNH1"/>
      <c r="DNI1"/>
      <c r="DNJ1"/>
      <c r="DNK1"/>
      <c r="DNL1"/>
      <c r="DNM1"/>
      <c r="DNN1"/>
      <c r="DNO1"/>
      <c r="DNP1"/>
      <c r="DNQ1"/>
      <c r="DNR1"/>
      <c r="DNS1"/>
      <c r="DNT1"/>
      <c r="DNU1"/>
      <c r="DNV1"/>
      <c r="DNW1"/>
      <c r="DNX1"/>
      <c r="DNY1"/>
      <c r="DNZ1"/>
      <c r="DOA1"/>
      <c r="DOB1"/>
      <c r="DOC1"/>
      <c r="DOD1"/>
      <c r="DOE1"/>
      <c r="DOF1"/>
      <c r="DOG1"/>
      <c r="DOH1"/>
      <c r="DOI1"/>
      <c r="DOJ1"/>
      <c r="DOK1"/>
      <c r="DOL1"/>
      <c r="DOM1"/>
      <c r="DON1"/>
      <c r="DOO1"/>
      <c r="DOP1"/>
      <c r="DOQ1"/>
      <c r="DOR1"/>
      <c r="DOS1"/>
      <c r="DOT1"/>
      <c r="DOU1"/>
      <c r="DOV1"/>
      <c r="DOW1"/>
      <c r="DOX1"/>
      <c r="DOY1"/>
      <c r="DOZ1"/>
      <c r="DPA1"/>
      <c r="DPB1"/>
      <c r="DPC1"/>
      <c r="DPD1"/>
      <c r="DPE1"/>
      <c r="DPF1"/>
      <c r="DPG1"/>
      <c r="DPH1"/>
      <c r="DPI1"/>
      <c r="DPJ1"/>
      <c r="DPK1"/>
      <c r="DPL1"/>
      <c r="DPM1"/>
      <c r="DPN1"/>
      <c r="DPO1"/>
      <c r="DPP1"/>
      <c r="DPQ1"/>
      <c r="DPR1"/>
      <c r="DPS1"/>
      <c r="DPT1"/>
      <c r="DPU1"/>
      <c r="DPV1"/>
      <c r="DPW1"/>
      <c r="DPX1"/>
      <c r="DPY1"/>
      <c r="DPZ1"/>
      <c r="DQA1"/>
      <c r="DQB1"/>
      <c r="DQC1"/>
      <c r="DQD1"/>
      <c r="DQE1"/>
      <c r="DQF1"/>
      <c r="DQG1"/>
      <c r="DQH1"/>
      <c r="DQI1"/>
      <c r="DQJ1"/>
      <c r="DQK1"/>
      <c r="DQL1"/>
      <c r="DQM1"/>
      <c r="DQN1"/>
      <c r="DQO1"/>
      <c r="DQP1"/>
      <c r="DQQ1"/>
      <c r="DQR1"/>
      <c r="DQS1"/>
      <c r="DQT1"/>
      <c r="DQU1"/>
      <c r="DQV1"/>
      <c r="DQW1"/>
      <c r="DQX1"/>
      <c r="DQY1"/>
      <c r="DQZ1"/>
      <c r="DRA1"/>
      <c r="DRB1"/>
      <c r="DRC1"/>
      <c r="DRD1"/>
      <c r="DRE1"/>
      <c r="DRF1"/>
      <c r="DRG1"/>
      <c r="DRH1"/>
      <c r="DRI1"/>
      <c r="DRJ1"/>
      <c r="DRK1"/>
      <c r="DRL1"/>
      <c r="DRM1"/>
      <c r="DRN1"/>
      <c r="DRO1"/>
      <c r="DRP1"/>
      <c r="DRQ1"/>
      <c r="DRR1"/>
      <c r="DRS1"/>
      <c r="DRT1"/>
      <c r="DRU1"/>
      <c r="DRV1"/>
      <c r="DRW1"/>
      <c r="DRX1"/>
      <c r="DRY1"/>
      <c r="DRZ1"/>
      <c r="DSA1"/>
      <c r="DSB1"/>
      <c r="DSC1"/>
      <c r="DSD1"/>
      <c r="DSE1"/>
      <c r="DSF1"/>
      <c r="DSG1"/>
      <c r="DSH1"/>
      <c r="DSI1"/>
      <c r="DSJ1"/>
      <c r="DSK1"/>
      <c r="DSL1"/>
      <c r="DSM1"/>
      <c r="DSN1"/>
      <c r="DSO1"/>
      <c r="DSP1"/>
      <c r="DSQ1"/>
      <c r="DSR1"/>
      <c r="DSS1"/>
      <c r="DST1"/>
      <c r="DSU1"/>
      <c r="DSV1"/>
      <c r="DSW1"/>
      <c r="DSX1"/>
      <c r="DSY1"/>
      <c r="DSZ1"/>
      <c r="DTA1"/>
      <c r="DTB1"/>
      <c r="DTC1"/>
      <c r="DTD1"/>
      <c r="DTE1"/>
      <c r="DTF1"/>
      <c r="DTG1"/>
      <c r="DTH1"/>
      <c r="DTI1"/>
      <c r="DTJ1"/>
      <c r="DTK1"/>
      <c r="DTL1"/>
      <c r="DTM1"/>
      <c r="DTN1"/>
      <c r="DTO1"/>
      <c r="DTP1"/>
      <c r="DTQ1"/>
      <c r="DTR1"/>
      <c r="DTS1"/>
      <c r="DTT1"/>
      <c r="DTU1"/>
      <c r="DTV1"/>
      <c r="DTW1"/>
      <c r="DTX1"/>
      <c r="DTY1"/>
      <c r="DTZ1"/>
      <c r="DUA1"/>
      <c r="DUB1"/>
      <c r="DUC1"/>
      <c r="DUD1"/>
      <c r="DUE1"/>
      <c r="DUF1"/>
      <c r="DUG1"/>
      <c r="DUH1"/>
      <c r="DUI1"/>
      <c r="DUJ1"/>
      <c r="DUK1"/>
      <c r="DUL1"/>
      <c r="DUM1"/>
      <c r="DUN1"/>
      <c r="DUO1"/>
      <c r="DUP1"/>
      <c r="DUQ1"/>
      <c r="DUR1"/>
      <c r="DUS1"/>
      <c r="DUT1"/>
      <c r="DUU1"/>
      <c r="DUV1"/>
      <c r="DUW1"/>
      <c r="DUX1"/>
      <c r="DUY1"/>
      <c r="DUZ1"/>
      <c r="DVA1"/>
      <c r="DVB1"/>
      <c r="DVC1"/>
      <c r="DVD1"/>
      <c r="DVE1"/>
      <c r="DVF1"/>
      <c r="DVG1"/>
      <c r="DVH1"/>
      <c r="DVI1"/>
      <c r="DVJ1"/>
      <c r="DVK1"/>
      <c r="DVL1"/>
      <c r="DVM1"/>
      <c r="DVN1"/>
      <c r="DVO1"/>
      <c r="DVP1"/>
      <c r="DVQ1"/>
      <c r="DVR1"/>
      <c r="DVS1"/>
      <c r="DVT1"/>
      <c r="DVU1"/>
      <c r="DVV1"/>
      <c r="DVW1"/>
      <c r="DVX1"/>
      <c r="DVY1"/>
      <c r="DVZ1"/>
      <c r="DWA1"/>
      <c r="DWB1"/>
      <c r="DWC1"/>
      <c r="DWD1"/>
      <c r="DWE1"/>
      <c r="DWF1"/>
      <c r="DWG1"/>
      <c r="DWH1"/>
      <c r="DWI1"/>
      <c r="DWJ1"/>
      <c r="DWK1"/>
      <c r="DWL1"/>
      <c r="DWM1"/>
      <c r="DWN1"/>
      <c r="DWO1"/>
      <c r="DWP1"/>
      <c r="DWQ1"/>
      <c r="DWR1"/>
      <c r="DWS1"/>
      <c r="DWT1"/>
      <c r="DWU1"/>
      <c r="DWV1"/>
      <c r="DWW1"/>
      <c r="DWX1"/>
      <c r="DWY1"/>
      <c r="DWZ1"/>
      <c r="DXA1"/>
      <c r="DXB1"/>
      <c r="DXC1"/>
      <c r="DXD1"/>
      <c r="DXE1"/>
      <c r="DXF1"/>
      <c r="DXG1"/>
      <c r="DXH1"/>
      <c r="DXI1"/>
      <c r="DXJ1"/>
      <c r="DXK1"/>
      <c r="DXL1"/>
      <c r="DXM1"/>
      <c r="DXN1"/>
      <c r="DXO1"/>
      <c r="DXP1"/>
      <c r="DXQ1"/>
      <c r="DXR1"/>
      <c r="DXS1"/>
      <c r="DXT1"/>
      <c r="DXU1"/>
      <c r="DXV1"/>
      <c r="DXW1"/>
      <c r="DXX1"/>
      <c r="DXY1"/>
      <c r="DXZ1"/>
      <c r="DYA1"/>
      <c r="DYB1"/>
      <c r="DYC1"/>
      <c r="DYD1"/>
      <c r="DYE1"/>
      <c r="DYF1"/>
      <c r="DYG1"/>
      <c r="DYH1"/>
      <c r="DYI1"/>
      <c r="DYJ1"/>
      <c r="DYK1"/>
      <c r="DYL1"/>
      <c r="DYM1"/>
      <c r="DYN1"/>
      <c r="DYO1"/>
      <c r="DYP1"/>
      <c r="DYQ1"/>
      <c r="DYR1"/>
      <c r="DYS1"/>
      <c r="DYT1"/>
      <c r="DYU1"/>
      <c r="DYV1"/>
      <c r="DYW1"/>
      <c r="DYX1"/>
      <c r="DYY1"/>
      <c r="DYZ1"/>
      <c r="DZA1"/>
      <c r="DZB1"/>
      <c r="DZC1"/>
      <c r="DZD1"/>
      <c r="DZE1"/>
      <c r="DZF1"/>
      <c r="DZG1"/>
      <c r="DZH1"/>
      <c r="DZI1"/>
      <c r="DZJ1"/>
      <c r="DZK1"/>
      <c r="DZL1"/>
      <c r="DZM1"/>
      <c r="DZN1"/>
      <c r="DZO1"/>
      <c r="DZP1"/>
      <c r="DZQ1"/>
      <c r="DZR1"/>
      <c r="DZS1"/>
      <c r="DZT1"/>
      <c r="DZU1"/>
      <c r="DZV1"/>
      <c r="DZW1"/>
      <c r="DZX1"/>
      <c r="DZY1"/>
      <c r="DZZ1"/>
      <c r="EAA1"/>
      <c r="EAB1"/>
      <c r="EAC1"/>
      <c r="EAD1"/>
      <c r="EAE1"/>
      <c r="EAF1"/>
      <c r="EAG1"/>
      <c r="EAH1"/>
      <c r="EAI1"/>
      <c r="EAJ1"/>
      <c r="EAK1"/>
      <c r="EAL1"/>
      <c r="EAM1"/>
      <c r="EAN1"/>
      <c r="EAO1"/>
      <c r="EAP1"/>
      <c r="EAQ1"/>
      <c r="EAR1"/>
      <c r="EAS1"/>
      <c r="EAT1"/>
      <c r="EAU1"/>
      <c r="EAV1"/>
      <c r="EAW1"/>
      <c r="EAX1"/>
      <c r="EAY1"/>
      <c r="EAZ1"/>
      <c r="EBA1"/>
      <c r="EBB1"/>
      <c r="EBC1"/>
      <c r="EBD1"/>
      <c r="EBE1"/>
      <c r="EBF1"/>
      <c r="EBG1"/>
      <c r="EBH1"/>
      <c r="EBI1"/>
      <c r="EBJ1"/>
      <c r="EBK1"/>
      <c r="EBL1"/>
      <c r="EBM1"/>
      <c r="EBN1"/>
      <c r="EBO1"/>
      <c r="EBP1"/>
      <c r="EBQ1"/>
      <c r="EBR1"/>
      <c r="EBS1"/>
      <c r="EBT1"/>
      <c r="EBU1"/>
      <c r="EBV1"/>
      <c r="EBW1"/>
      <c r="EBX1"/>
      <c r="EBY1"/>
      <c r="EBZ1"/>
      <c r="ECA1"/>
      <c r="ECB1"/>
      <c r="ECC1"/>
      <c r="ECD1"/>
      <c r="ECE1"/>
      <c r="ECF1"/>
      <c r="ECG1"/>
      <c r="ECH1"/>
      <c r="ECI1"/>
      <c r="ECJ1"/>
      <c r="ECK1"/>
      <c r="ECL1"/>
      <c r="ECM1"/>
      <c r="ECN1"/>
      <c r="ECO1"/>
      <c r="ECP1"/>
      <c r="ECQ1"/>
      <c r="ECR1"/>
      <c r="ECS1"/>
      <c r="ECT1"/>
      <c r="ECU1"/>
      <c r="ECV1"/>
      <c r="ECW1"/>
      <c r="ECX1"/>
      <c r="ECY1"/>
      <c r="ECZ1"/>
      <c r="EDA1"/>
      <c r="EDB1"/>
      <c r="EDC1"/>
      <c r="EDD1"/>
      <c r="EDE1"/>
      <c r="EDF1"/>
      <c r="EDG1"/>
      <c r="EDH1"/>
      <c r="EDI1"/>
      <c r="EDJ1"/>
      <c r="EDK1"/>
      <c r="EDL1"/>
      <c r="EDM1"/>
      <c r="EDN1"/>
      <c r="EDO1"/>
      <c r="EDP1"/>
      <c r="EDQ1"/>
      <c r="EDR1"/>
      <c r="EDS1"/>
      <c r="EDT1"/>
      <c r="EDU1"/>
      <c r="EDV1"/>
      <c r="EDW1"/>
      <c r="EDX1"/>
      <c r="EDY1"/>
      <c r="EDZ1"/>
      <c r="EEA1"/>
      <c r="EEB1"/>
      <c r="EEC1"/>
      <c r="EED1"/>
      <c r="EEE1"/>
      <c r="EEF1"/>
      <c r="EEG1"/>
      <c r="EEH1"/>
      <c r="EEI1"/>
      <c r="EEJ1"/>
      <c r="EEK1"/>
      <c r="EEL1"/>
      <c r="EEM1"/>
      <c r="EEN1"/>
      <c r="EEO1"/>
      <c r="EEP1"/>
      <c r="EEQ1"/>
      <c r="EER1"/>
      <c r="EES1"/>
      <c r="EET1"/>
      <c r="EEU1"/>
      <c r="EEV1"/>
      <c r="EEW1"/>
      <c r="EEX1"/>
      <c r="EEY1"/>
      <c r="EEZ1"/>
      <c r="EFA1"/>
      <c r="EFB1"/>
      <c r="EFC1"/>
      <c r="EFD1"/>
      <c r="EFE1"/>
      <c r="EFF1"/>
      <c r="EFG1"/>
      <c r="EFH1"/>
      <c r="EFI1"/>
      <c r="EFJ1"/>
      <c r="EFK1"/>
      <c r="EFL1"/>
      <c r="EFM1"/>
      <c r="EFN1"/>
      <c r="EFO1"/>
      <c r="EFP1"/>
      <c r="EFQ1"/>
      <c r="EFR1"/>
      <c r="EFS1"/>
      <c r="EFT1"/>
      <c r="EFU1"/>
      <c r="EFV1"/>
      <c r="EFW1"/>
      <c r="EFX1"/>
      <c r="EFY1"/>
      <c r="EFZ1"/>
      <c r="EGA1"/>
      <c r="EGB1"/>
      <c r="EGC1"/>
      <c r="EGD1"/>
      <c r="EGE1"/>
      <c r="EGF1"/>
      <c r="EGG1"/>
      <c r="EGH1"/>
      <c r="EGI1"/>
      <c r="EGJ1"/>
      <c r="EGK1"/>
      <c r="EGL1"/>
      <c r="EGM1"/>
      <c r="EGN1"/>
      <c r="EGO1"/>
      <c r="EGP1"/>
      <c r="EGQ1"/>
      <c r="EGR1"/>
      <c r="EGS1"/>
      <c r="EGT1"/>
      <c r="EGU1"/>
      <c r="EGV1"/>
      <c r="EGW1"/>
      <c r="EGX1"/>
      <c r="EGY1"/>
      <c r="EGZ1"/>
      <c r="EHA1"/>
      <c r="EHB1"/>
      <c r="EHC1"/>
      <c r="EHD1"/>
      <c r="EHE1"/>
      <c r="EHF1"/>
      <c r="EHG1"/>
      <c r="EHH1"/>
      <c r="EHI1"/>
      <c r="EHJ1"/>
      <c r="EHK1"/>
      <c r="EHL1"/>
      <c r="EHM1"/>
      <c r="EHN1"/>
      <c r="EHO1"/>
      <c r="EHP1"/>
      <c r="EHQ1"/>
      <c r="EHR1"/>
      <c r="EHS1"/>
      <c r="EHT1"/>
      <c r="EHU1"/>
      <c r="EHV1"/>
      <c r="EHW1"/>
      <c r="EHX1"/>
      <c r="EHY1"/>
      <c r="EHZ1"/>
      <c r="EIA1"/>
      <c r="EIB1"/>
      <c r="EIC1"/>
      <c r="EID1"/>
      <c r="EIE1"/>
      <c r="EIF1"/>
      <c r="EIG1"/>
      <c r="EIH1"/>
      <c r="EII1"/>
      <c r="EIJ1"/>
      <c r="EIK1"/>
      <c r="EIL1"/>
      <c r="EIM1"/>
      <c r="EIN1"/>
      <c r="EIO1"/>
      <c r="EIP1"/>
      <c r="EIQ1"/>
      <c r="EIR1"/>
      <c r="EIS1"/>
      <c r="EIT1"/>
      <c r="EIU1"/>
      <c r="EIV1"/>
      <c r="EIW1"/>
      <c r="EIX1"/>
      <c r="EIY1"/>
      <c r="EIZ1"/>
      <c r="EJA1"/>
      <c r="EJB1"/>
      <c r="EJC1"/>
      <c r="EJD1"/>
      <c r="EJE1"/>
      <c r="EJF1"/>
      <c r="EJG1"/>
      <c r="EJH1"/>
      <c r="EJI1"/>
      <c r="EJJ1"/>
      <c r="EJK1"/>
      <c r="EJL1"/>
      <c r="EJM1"/>
      <c r="EJN1"/>
      <c r="EJO1"/>
      <c r="EJP1"/>
      <c r="EJQ1"/>
      <c r="EJR1"/>
      <c r="EJS1"/>
      <c r="EJT1"/>
      <c r="EJU1"/>
      <c r="EJV1"/>
      <c r="EJW1"/>
      <c r="EJX1"/>
      <c r="EJY1"/>
      <c r="EJZ1"/>
      <c r="EKA1"/>
      <c r="EKB1"/>
      <c r="EKC1"/>
      <c r="EKD1"/>
      <c r="EKE1"/>
      <c r="EKF1"/>
      <c r="EKG1"/>
      <c r="EKH1"/>
      <c r="EKI1"/>
      <c r="EKJ1"/>
      <c r="EKK1"/>
      <c r="EKL1"/>
      <c r="EKM1"/>
      <c r="EKN1"/>
      <c r="EKO1"/>
      <c r="EKP1"/>
      <c r="EKQ1"/>
      <c r="EKR1"/>
      <c r="EKS1"/>
      <c r="EKT1"/>
      <c r="EKU1"/>
      <c r="EKV1"/>
      <c r="EKW1"/>
      <c r="EKX1"/>
      <c r="EKY1"/>
      <c r="EKZ1"/>
      <c r="ELA1"/>
      <c r="ELB1"/>
      <c r="ELC1"/>
      <c r="ELD1"/>
      <c r="ELE1"/>
      <c r="ELF1"/>
      <c r="ELG1"/>
      <c r="ELH1"/>
      <c r="ELI1"/>
      <c r="ELJ1"/>
      <c r="ELK1"/>
      <c r="ELL1"/>
      <c r="ELM1"/>
      <c r="ELN1"/>
      <c r="ELO1"/>
      <c r="ELP1"/>
      <c r="ELQ1"/>
      <c r="ELR1"/>
      <c r="ELS1"/>
      <c r="ELT1"/>
      <c r="ELU1"/>
      <c r="ELV1"/>
      <c r="ELW1"/>
      <c r="ELX1"/>
      <c r="ELY1"/>
      <c r="ELZ1"/>
      <c r="EMA1"/>
      <c r="EMB1"/>
      <c r="EMC1"/>
      <c r="EMD1"/>
      <c r="EME1"/>
      <c r="EMF1"/>
      <c r="EMG1"/>
      <c r="EMH1"/>
      <c r="EMI1"/>
      <c r="EMJ1"/>
      <c r="EMK1"/>
      <c r="EML1"/>
      <c r="EMM1"/>
      <c r="EMN1"/>
      <c r="EMO1"/>
      <c r="EMP1"/>
      <c r="EMQ1"/>
      <c r="EMR1"/>
      <c r="EMS1"/>
      <c r="EMT1"/>
      <c r="EMU1"/>
      <c r="EMV1"/>
      <c r="EMW1"/>
      <c r="EMX1"/>
      <c r="EMY1"/>
      <c r="EMZ1"/>
      <c r="ENA1"/>
      <c r="ENB1"/>
      <c r="ENC1"/>
      <c r="END1"/>
      <c r="ENE1"/>
      <c r="ENF1"/>
      <c r="ENG1"/>
      <c r="ENH1"/>
      <c r="ENI1"/>
      <c r="ENJ1"/>
      <c r="ENK1"/>
      <c r="ENL1"/>
      <c r="ENM1"/>
      <c r="ENN1"/>
      <c r="ENO1"/>
      <c r="ENP1"/>
      <c r="ENQ1"/>
      <c r="ENR1"/>
      <c r="ENS1"/>
      <c r="ENT1"/>
      <c r="ENU1"/>
      <c r="ENV1"/>
      <c r="ENW1"/>
      <c r="ENX1"/>
      <c r="ENY1"/>
      <c r="ENZ1"/>
      <c r="EOA1"/>
      <c r="EOB1"/>
      <c r="EOC1"/>
      <c r="EOD1"/>
      <c r="EOE1"/>
      <c r="EOF1"/>
      <c r="EOG1"/>
      <c r="EOH1"/>
      <c r="EOI1"/>
      <c r="EOJ1"/>
      <c r="EOK1"/>
      <c r="EOL1"/>
      <c r="EOM1"/>
      <c r="EON1"/>
      <c r="EOO1"/>
      <c r="EOP1"/>
      <c r="EOQ1"/>
      <c r="EOR1"/>
      <c r="EOS1"/>
      <c r="EOT1"/>
      <c r="EOU1"/>
      <c r="EOV1"/>
      <c r="EOW1"/>
      <c r="EOX1"/>
      <c r="EOY1"/>
      <c r="EOZ1"/>
      <c r="EPA1"/>
      <c r="EPB1"/>
      <c r="EPC1"/>
      <c r="EPD1"/>
      <c r="EPE1"/>
      <c r="EPF1"/>
      <c r="EPG1"/>
      <c r="EPH1"/>
      <c r="EPI1"/>
      <c r="EPJ1"/>
      <c r="EPK1"/>
      <c r="EPL1"/>
      <c r="EPM1"/>
      <c r="EPN1"/>
      <c r="EPO1"/>
      <c r="EPP1"/>
      <c r="EPQ1"/>
      <c r="EPR1"/>
      <c r="EPS1"/>
      <c r="EPT1"/>
      <c r="EPU1"/>
      <c r="EPV1"/>
      <c r="EPW1"/>
      <c r="EPX1"/>
      <c r="EPY1"/>
      <c r="EPZ1"/>
      <c r="EQA1"/>
      <c r="EQB1"/>
      <c r="EQC1"/>
      <c r="EQD1"/>
      <c r="EQE1"/>
      <c r="EQF1"/>
      <c r="EQG1"/>
      <c r="EQH1"/>
      <c r="EQI1"/>
      <c r="EQJ1"/>
      <c r="EQK1"/>
      <c r="EQL1"/>
      <c r="EQM1"/>
      <c r="EQN1"/>
      <c r="EQO1"/>
      <c r="EQP1"/>
      <c r="EQQ1"/>
      <c r="EQR1"/>
      <c r="EQS1"/>
      <c r="EQT1"/>
      <c r="EQU1"/>
      <c r="EQV1"/>
      <c r="EQW1"/>
      <c r="EQX1"/>
      <c r="EQY1"/>
      <c r="EQZ1"/>
      <c r="ERA1"/>
      <c r="ERB1"/>
      <c r="ERC1"/>
      <c r="ERD1"/>
      <c r="ERE1"/>
      <c r="ERF1"/>
      <c r="ERG1"/>
      <c r="ERH1"/>
      <c r="ERI1"/>
      <c r="ERJ1"/>
      <c r="ERK1"/>
      <c r="ERL1"/>
      <c r="ERM1"/>
      <c r="ERN1"/>
      <c r="ERO1"/>
      <c r="ERP1"/>
      <c r="ERQ1"/>
      <c r="ERR1"/>
      <c r="ERS1"/>
      <c r="ERT1"/>
      <c r="ERU1"/>
      <c r="ERV1"/>
      <c r="ERW1"/>
      <c r="ERX1"/>
      <c r="ERY1"/>
      <c r="ERZ1"/>
      <c r="ESA1"/>
      <c r="ESB1"/>
      <c r="ESC1"/>
      <c r="ESD1"/>
      <c r="ESE1"/>
      <c r="ESF1"/>
      <c r="ESG1"/>
      <c r="ESH1"/>
      <c r="ESI1"/>
      <c r="ESJ1"/>
      <c r="ESK1"/>
      <c r="ESL1"/>
      <c r="ESM1"/>
      <c r="ESN1"/>
      <c r="ESO1"/>
      <c r="ESP1"/>
      <c r="ESQ1"/>
      <c r="ESR1"/>
      <c r="ESS1"/>
      <c r="EST1"/>
      <c r="ESU1"/>
      <c r="ESV1"/>
      <c r="ESW1"/>
      <c r="ESX1"/>
      <c r="ESY1"/>
      <c r="ESZ1"/>
      <c r="ETA1"/>
      <c r="ETB1"/>
      <c r="ETC1"/>
      <c r="ETD1"/>
      <c r="ETE1"/>
      <c r="ETF1"/>
      <c r="ETG1"/>
      <c r="ETH1"/>
      <c r="ETI1"/>
      <c r="ETJ1"/>
      <c r="ETK1"/>
      <c r="ETL1"/>
      <c r="ETM1"/>
      <c r="ETN1"/>
      <c r="ETO1"/>
      <c r="ETP1"/>
      <c r="ETQ1"/>
      <c r="ETR1"/>
      <c r="ETS1"/>
      <c r="ETT1"/>
      <c r="ETU1"/>
      <c r="ETV1"/>
      <c r="ETW1"/>
      <c r="ETX1"/>
      <c r="ETY1"/>
      <c r="ETZ1"/>
      <c r="EUA1"/>
      <c r="EUB1"/>
      <c r="EUC1"/>
      <c r="EUD1"/>
      <c r="EUE1"/>
      <c r="EUF1"/>
      <c r="EUG1"/>
      <c r="EUH1"/>
      <c r="EUI1"/>
      <c r="EUJ1"/>
      <c r="EUK1"/>
      <c r="EUL1"/>
      <c r="EUM1"/>
      <c r="EUN1"/>
      <c r="EUO1"/>
      <c r="EUP1"/>
      <c r="EUQ1"/>
      <c r="EUR1"/>
      <c r="EUS1"/>
      <c r="EUT1"/>
      <c r="EUU1"/>
      <c r="EUV1"/>
      <c r="EUW1"/>
      <c r="EUX1"/>
      <c r="EUY1"/>
      <c r="EUZ1"/>
      <c r="EVA1"/>
      <c r="EVB1"/>
      <c r="EVC1"/>
      <c r="EVD1"/>
      <c r="EVE1"/>
      <c r="EVF1"/>
      <c r="EVG1"/>
      <c r="EVH1"/>
      <c r="EVI1"/>
      <c r="EVJ1"/>
      <c r="EVK1"/>
      <c r="EVL1"/>
      <c r="EVM1"/>
      <c r="EVN1"/>
      <c r="EVO1"/>
      <c r="EVP1"/>
      <c r="EVQ1"/>
      <c r="EVR1"/>
      <c r="EVS1"/>
      <c r="EVT1"/>
      <c r="EVU1"/>
      <c r="EVV1"/>
      <c r="EVW1"/>
      <c r="EVX1"/>
      <c r="EVY1"/>
      <c r="EVZ1"/>
      <c r="EWA1"/>
      <c r="EWB1"/>
      <c r="EWC1"/>
      <c r="EWD1"/>
      <c r="EWE1"/>
      <c r="EWF1"/>
      <c r="EWG1"/>
      <c r="EWH1"/>
      <c r="EWI1"/>
      <c r="EWJ1"/>
      <c r="EWK1"/>
      <c r="EWL1"/>
      <c r="EWM1"/>
      <c r="EWN1"/>
      <c r="EWO1"/>
      <c r="EWP1"/>
      <c r="EWQ1"/>
      <c r="EWR1"/>
      <c r="EWS1"/>
      <c r="EWT1"/>
      <c r="EWU1"/>
      <c r="EWV1"/>
      <c r="EWW1"/>
      <c r="EWX1"/>
      <c r="EWY1"/>
      <c r="EWZ1"/>
      <c r="EXA1"/>
      <c r="EXB1"/>
      <c r="EXC1"/>
      <c r="EXD1"/>
      <c r="EXE1"/>
      <c r="EXF1"/>
      <c r="EXG1"/>
      <c r="EXH1"/>
      <c r="EXI1"/>
      <c r="EXJ1"/>
      <c r="EXK1"/>
      <c r="EXL1"/>
      <c r="EXM1"/>
      <c r="EXN1"/>
      <c r="EXO1"/>
      <c r="EXP1"/>
      <c r="EXQ1"/>
      <c r="EXR1"/>
      <c r="EXS1"/>
      <c r="EXT1"/>
      <c r="EXU1"/>
      <c r="EXV1"/>
      <c r="EXW1"/>
      <c r="EXX1"/>
      <c r="EXY1"/>
      <c r="EXZ1"/>
      <c r="EYA1"/>
      <c r="EYB1"/>
      <c r="EYC1"/>
      <c r="EYD1"/>
      <c r="EYE1"/>
      <c r="EYF1"/>
      <c r="EYG1"/>
      <c r="EYH1"/>
      <c r="EYI1"/>
      <c r="EYJ1"/>
      <c r="EYK1"/>
      <c r="EYL1"/>
      <c r="EYM1"/>
      <c r="EYN1"/>
      <c r="EYO1"/>
      <c r="EYP1"/>
      <c r="EYQ1"/>
      <c r="EYR1"/>
      <c r="EYS1"/>
      <c r="EYT1"/>
      <c r="EYU1"/>
      <c r="EYV1"/>
      <c r="EYW1"/>
      <c r="EYX1"/>
      <c r="EYY1"/>
      <c r="EYZ1"/>
      <c r="EZA1"/>
      <c r="EZB1"/>
      <c r="EZC1"/>
      <c r="EZD1"/>
      <c r="EZE1"/>
      <c r="EZF1"/>
      <c r="EZG1"/>
      <c r="EZH1"/>
      <c r="EZI1"/>
      <c r="EZJ1"/>
      <c r="EZK1"/>
      <c r="EZL1"/>
      <c r="EZM1"/>
      <c r="EZN1"/>
      <c r="EZO1"/>
      <c r="EZP1"/>
      <c r="EZQ1"/>
      <c r="EZR1"/>
      <c r="EZS1"/>
      <c r="EZT1"/>
      <c r="EZU1"/>
      <c r="EZV1"/>
      <c r="EZW1"/>
      <c r="EZX1"/>
      <c r="EZY1"/>
      <c r="EZZ1"/>
      <c r="FAA1"/>
      <c r="FAB1"/>
      <c r="FAC1"/>
      <c r="FAD1"/>
      <c r="FAE1"/>
      <c r="FAF1"/>
      <c r="FAG1"/>
      <c r="FAH1"/>
      <c r="FAI1"/>
      <c r="FAJ1"/>
      <c r="FAK1"/>
      <c r="FAL1"/>
      <c r="FAM1"/>
      <c r="FAN1"/>
      <c r="FAO1"/>
      <c r="FAP1"/>
      <c r="FAQ1"/>
      <c r="FAR1"/>
      <c r="FAS1"/>
      <c r="FAT1"/>
      <c r="FAU1"/>
      <c r="FAV1"/>
      <c r="FAW1"/>
      <c r="FAX1"/>
      <c r="FAY1"/>
      <c r="FAZ1"/>
      <c r="FBA1"/>
      <c r="FBB1"/>
      <c r="FBC1"/>
      <c r="FBD1"/>
      <c r="FBE1"/>
      <c r="FBF1"/>
      <c r="FBG1"/>
      <c r="FBH1"/>
      <c r="FBI1"/>
      <c r="FBJ1"/>
      <c r="FBK1"/>
      <c r="FBL1"/>
      <c r="FBM1"/>
      <c r="FBN1"/>
      <c r="FBO1"/>
      <c r="FBP1"/>
      <c r="FBQ1"/>
      <c r="FBR1"/>
      <c r="FBS1"/>
      <c r="FBT1"/>
      <c r="FBU1"/>
      <c r="FBV1"/>
      <c r="FBW1"/>
      <c r="FBX1"/>
      <c r="FBY1"/>
      <c r="FBZ1"/>
      <c r="FCA1"/>
      <c r="FCB1"/>
      <c r="FCC1"/>
      <c r="FCD1"/>
      <c r="FCE1"/>
      <c r="FCF1"/>
      <c r="FCG1"/>
      <c r="FCH1"/>
      <c r="FCI1"/>
      <c r="FCJ1"/>
      <c r="FCK1"/>
      <c r="FCL1"/>
      <c r="FCM1"/>
      <c r="FCN1"/>
      <c r="FCO1"/>
      <c r="FCP1"/>
      <c r="FCQ1"/>
      <c r="FCR1"/>
      <c r="FCS1"/>
      <c r="FCT1"/>
      <c r="FCU1"/>
      <c r="FCV1"/>
      <c r="FCW1"/>
      <c r="FCX1"/>
      <c r="FCY1"/>
      <c r="FCZ1"/>
      <c r="FDA1"/>
      <c r="FDB1"/>
      <c r="FDC1"/>
      <c r="FDD1"/>
      <c r="FDE1"/>
      <c r="FDF1"/>
      <c r="FDG1"/>
      <c r="FDH1"/>
      <c r="FDI1"/>
      <c r="FDJ1"/>
      <c r="FDK1"/>
      <c r="FDL1"/>
      <c r="FDM1"/>
      <c r="FDN1"/>
      <c r="FDO1"/>
      <c r="FDP1"/>
      <c r="FDQ1"/>
      <c r="FDR1"/>
      <c r="FDS1"/>
      <c r="FDT1"/>
      <c r="FDU1"/>
      <c r="FDV1"/>
      <c r="FDW1"/>
      <c r="FDX1"/>
      <c r="FDY1"/>
      <c r="FDZ1"/>
      <c r="FEA1"/>
      <c r="FEB1"/>
      <c r="FEC1"/>
      <c r="FED1"/>
      <c r="FEE1"/>
      <c r="FEF1"/>
      <c r="FEG1"/>
      <c r="FEH1"/>
      <c r="FEI1"/>
      <c r="FEJ1"/>
      <c r="FEK1"/>
      <c r="FEL1"/>
      <c r="FEM1"/>
      <c r="FEN1"/>
      <c r="FEO1"/>
      <c r="FEP1"/>
      <c r="FEQ1"/>
      <c r="FER1"/>
      <c r="FES1"/>
      <c r="FET1"/>
      <c r="FEU1"/>
      <c r="FEV1"/>
      <c r="FEW1"/>
      <c r="FEX1"/>
      <c r="FEY1"/>
      <c r="FEZ1"/>
      <c r="FFA1"/>
      <c r="FFB1"/>
      <c r="FFC1"/>
      <c r="FFD1"/>
      <c r="FFE1"/>
      <c r="FFF1"/>
      <c r="FFG1"/>
      <c r="FFH1"/>
      <c r="FFI1"/>
      <c r="FFJ1"/>
      <c r="FFK1"/>
      <c r="FFL1"/>
      <c r="FFM1"/>
      <c r="FFN1"/>
      <c r="FFO1"/>
      <c r="FFP1"/>
      <c r="FFQ1"/>
      <c r="FFR1"/>
      <c r="FFS1"/>
      <c r="FFT1"/>
      <c r="FFU1"/>
      <c r="FFV1"/>
      <c r="FFW1"/>
      <c r="FFX1"/>
      <c r="FFY1"/>
      <c r="FFZ1"/>
      <c r="FGA1"/>
      <c r="FGB1"/>
      <c r="FGC1"/>
      <c r="FGD1"/>
      <c r="FGE1"/>
      <c r="FGF1"/>
      <c r="FGG1"/>
      <c r="FGH1"/>
      <c r="FGI1"/>
      <c r="FGJ1"/>
      <c r="FGK1"/>
      <c r="FGL1"/>
      <c r="FGM1"/>
      <c r="FGN1"/>
      <c r="FGO1"/>
      <c r="FGP1"/>
      <c r="FGQ1"/>
      <c r="FGR1"/>
      <c r="FGS1"/>
      <c r="FGT1"/>
      <c r="FGU1"/>
      <c r="FGV1"/>
      <c r="FGW1"/>
      <c r="FGX1"/>
      <c r="FGY1"/>
      <c r="FGZ1"/>
      <c r="FHA1"/>
      <c r="FHB1"/>
      <c r="FHC1"/>
      <c r="FHD1"/>
      <c r="FHE1"/>
      <c r="FHF1"/>
      <c r="FHG1"/>
      <c r="FHH1"/>
      <c r="FHI1"/>
      <c r="FHJ1"/>
      <c r="FHK1"/>
      <c r="FHL1"/>
      <c r="FHM1"/>
      <c r="FHN1"/>
      <c r="FHO1"/>
      <c r="FHP1"/>
      <c r="FHQ1"/>
      <c r="FHR1"/>
      <c r="FHS1"/>
      <c r="FHT1"/>
      <c r="FHU1"/>
      <c r="FHV1"/>
      <c r="FHW1"/>
      <c r="FHX1"/>
      <c r="FHY1"/>
      <c r="FHZ1"/>
      <c r="FIA1"/>
      <c r="FIB1"/>
      <c r="FIC1"/>
      <c r="FID1"/>
      <c r="FIE1"/>
      <c r="FIF1"/>
      <c r="FIG1"/>
      <c r="FIH1"/>
      <c r="FII1"/>
      <c r="FIJ1"/>
      <c r="FIK1"/>
      <c r="FIL1"/>
      <c r="FIM1"/>
      <c r="FIN1"/>
      <c r="FIO1"/>
      <c r="FIP1"/>
      <c r="FIQ1"/>
      <c r="FIR1"/>
      <c r="FIS1"/>
      <c r="FIT1"/>
      <c r="FIU1"/>
      <c r="FIV1"/>
      <c r="FIW1"/>
      <c r="FIX1"/>
      <c r="FIY1"/>
      <c r="FIZ1"/>
      <c r="FJA1"/>
      <c r="FJB1"/>
      <c r="FJC1"/>
      <c r="FJD1"/>
      <c r="FJE1"/>
      <c r="FJF1"/>
      <c r="FJG1"/>
      <c r="FJH1"/>
      <c r="FJI1"/>
      <c r="FJJ1"/>
      <c r="FJK1"/>
      <c r="FJL1"/>
      <c r="FJM1"/>
      <c r="FJN1"/>
      <c r="FJO1"/>
      <c r="FJP1"/>
      <c r="FJQ1"/>
      <c r="FJR1"/>
      <c r="FJS1"/>
      <c r="FJT1"/>
      <c r="FJU1"/>
      <c r="FJV1"/>
      <c r="FJW1"/>
      <c r="FJX1"/>
      <c r="FJY1"/>
      <c r="FJZ1"/>
      <c r="FKA1"/>
      <c r="FKB1"/>
      <c r="FKC1"/>
      <c r="FKD1"/>
      <c r="FKE1"/>
      <c r="FKF1"/>
      <c r="FKG1"/>
      <c r="FKH1"/>
      <c r="FKI1"/>
      <c r="FKJ1"/>
      <c r="FKK1"/>
      <c r="FKL1"/>
      <c r="FKM1"/>
      <c r="FKN1"/>
      <c r="FKO1"/>
      <c r="FKP1"/>
      <c r="FKQ1"/>
      <c r="FKR1"/>
      <c r="FKS1"/>
      <c r="FKT1"/>
      <c r="FKU1"/>
      <c r="FKV1"/>
      <c r="FKW1"/>
      <c r="FKX1"/>
      <c r="FKY1"/>
      <c r="FKZ1"/>
      <c r="FLA1"/>
      <c r="FLB1"/>
      <c r="FLC1"/>
      <c r="FLD1"/>
      <c r="FLE1"/>
      <c r="FLF1"/>
      <c r="FLG1"/>
      <c r="FLH1"/>
      <c r="FLI1"/>
      <c r="FLJ1"/>
      <c r="FLK1"/>
      <c r="FLL1"/>
      <c r="FLM1"/>
      <c r="FLN1"/>
      <c r="FLO1"/>
      <c r="FLP1"/>
      <c r="FLQ1"/>
      <c r="FLR1"/>
      <c r="FLS1"/>
      <c r="FLT1"/>
      <c r="FLU1"/>
      <c r="FLV1"/>
      <c r="FLW1"/>
      <c r="FLX1"/>
      <c r="FLY1"/>
      <c r="FLZ1"/>
      <c r="FMA1"/>
      <c r="FMB1"/>
      <c r="FMC1"/>
      <c r="FMD1"/>
      <c r="FME1"/>
      <c r="FMF1"/>
      <c r="FMG1"/>
      <c r="FMH1"/>
      <c r="FMI1"/>
      <c r="FMJ1"/>
      <c r="FMK1"/>
      <c r="FML1"/>
      <c r="FMM1"/>
      <c r="FMN1"/>
      <c r="FMO1"/>
      <c r="FMP1"/>
      <c r="FMQ1"/>
      <c r="FMR1"/>
      <c r="FMS1"/>
      <c r="FMT1"/>
      <c r="FMU1"/>
      <c r="FMV1"/>
      <c r="FMW1"/>
      <c r="FMX1"/>
      <c r="FMY1"/>
      <c r="FMZ1"/>
      <c r="FNA1"/>
      <c r="FNB1"/>
      <c r="FNC1"/>
      <c r="FND1"/>
      <c r="FNE1"/>
      <c r="FNF1"/>
      <c r="FNG1"/>
      <c r="FNH1"/>
      <c r="FNI1"/>
      <c r="FNJ1"/>
      <c r="FNK1"/>
      <c r="FNL1"/>
      <c r="FNM1"/>
      <c r="FNN1"/>
      <c r="FNO1"/>
      <c r="FNP1"/>
      <c r="FNQ1"/>
      <c r="FNR1"/>
      <c r="FNS1"/>
      <c r="FNT1"/>
      <c r="FNU1"/>
      <c r="FNV1"/>
      <c r="FNW1"/>
      <c r="FNX1"/>
      <c r="FNY1"/>
      <c r="FNZ1"/>
      <c r="FOA1"/>
      <c r="FOB1"/>
      <c r="FOC1"/>
      <c r="FOD1"/>
      <c r="FOE1"/>
      <c r="FOF1"/>
      <c r="FOG1"/>
      <c r="FOH1"/>
      <c r="FOI1"/>
      <c r="FOJ1"/>
      <c r="FOK1"/>
      <c r="FOL1"/>
      <c r="FOM1"/>
      <c r="FON1"/>
      <c r="FOO1"/>
      <c r="FOP1"/>
      <c r="FOQ1"/>
      <c r="FOR1"/>
      <c r="FOS1"/>
      <c r="FOT1"/>
      <c r="FOU1"/>
      <c r="FOV1"/>
      <c r="FOW1"/>
      <c r="FOX1"/>
      <c r="FOY1"/>
      <c r="FOZ1"/>
      <c r="FPA1"/>
      <c r="FPB1"/>
      <c r="FPC1"/>
      <c r="FPD1"/>
      <c r="FPE1"/>
      <c r="FPF1"/>
      <c r="FPG1"/>
      <c r="FPH1"/>
      <c r="FPI1"/>
      <c r="FPJ1"/>
      <c r="FPK1"/>
      <c r="FPL1"/>
      <c r="FPM1"/>
      <c r="FPN1"/>
      <c r="FPO1"/>
      <c r="FPP1"/>
      <c r="FPQ1"/>
      <c r="FPR1"/>
      <c r="FPS1"/>
      <c r="FPT1"/>
      <c r="FPU1"/>
      <c r="FPV1"/>
      <c r="FPW1"/>
      <c r="FPX1"/>
      <c r="FPY1"/>
      <c r="FPZ1"/>
      <c r="FQA1"/>
      <c r="FQB1"/>
      <c r="FQC1"/>
      <c r="FQD1"/>
      <c r="FQE1"/>
      <c r="FQF1"/>
      <c r="FQG1"/>
      <c r="FQH1"/>
      <c r="FQI1"/>
      <c r="FQJ1"/>
      <c r="FQK1"/>
      <c r="FQL1"/>
      <c r="FQM1"/>
      <c r="FQN1"/>
      <c r="FQO1"/>
      <c r="FQP1"/>
      <c r="FQQ1"/>
      <c r="FQR1"/>
      <c r="FQS1"/>
      <c r="FQT1"/>
      <c r="FQU1"/>
      <c r="FQV1"/>
      <c r="FQW1"/>
      <c r="FQX1"/>
      <c r="FQY1"/>
      <c r="FQZ1"/>
      <c r="FRA1"/>
      <c r="FRB1"/>
      <c r="FRC1"/>
      <c r="FRD1"/>
      <c r="FRE1"/>
      <c r="FRF1"/>
      <c r="FRG1"/>
      <c r="FRH1"/>
      <c r="FRI1"/>
      <c r="FRJ1"/>
      <c r="FRK1"/>
      <c r="FRL1"/>
      <c r="FRM1"/>
      <c r="FRN1"/>
      <c r="FRO1"/>
      <c r="FRP1"/>
      <c r="FRQ1"/>
      <c r="FRR1"/>
      <c r="FRS1"/>
      <c r="FRT1"/>
      <c r="FRU1"/>
      <c r="FRV1"/>
      <c r="FRW1"/>
      <c r="FRX1"/>
      <c r="FRY1"/>
      <c r="FRZ1"/>
      <c r="FSA1"/>
      <c r="FSB1"/>
      <c r="FSC1"/>
      <c r="FSD1"/>
      <c r="FSE1"/>
      <c r="FSF1"/>
      <c r="FSG1"/>
      <c r="FSH1"/>
      <c r="FSI1"/>
      <c r="FSJ1"/>
      <c r="FSK1"/>
      <c r="FSL1"/>
      <c r="FSM1"/>
      <c r="FSN1"/>
      <c r="FSO1"/>
      <c r="FSP1"/>
      <c r="FSQ1"/>
      <c r="FSR1"/>
      <c r="FSS1"/>
      <c r="FST1"/>
      <c r="FSU1"/>
      <c r="FSV1"/>
      <c r="FSW1"/>
      <c r="FSX1"/>
      <c r="FSY1"/>
      <c r="FSZ1"/>
      <c r="FTA1"/>
      <c r="FTB1"/>
      <c r="FTC1"/>
      <c r="FTD1"/>
      <c r="FTE1"/>
      <c r="FTF1"/>
      <c r="FTG1"/>
      <c r="FTH1"/>
      <c r="FTI1"/>
      <c r="FTJ1"/>
      <c r="FTK1"/>
      <c r="FTL1"/>
      <c r="FTM1"/>
      <c r="FTN1"/>
      <c r="FTO1"/>
      <c r="FTP1"/>
      <c r="FTQ1"/>
      <c r="FTR1"/>
      <c r="FTS1"/>
      <c r="FTT1"/>
      <c r="FTU1"/>
      <c r="FTV1"/>
      <c r="FTW1"/>
      <c r="FTX1"/>
      <c r="FTY1"/>
      <c r="FTZ1"/>
      <c r="FUA1"/>
      <c r="FUB1"/>
      <c r="FUC1"/>
      <c r="FUD1"/>
      <c r="FUE1"/>
      <c r="FUF1"/>
      <c r="FUG1"/>
      <c r="FUH1"/>
      <c r="FUI1"/>
      <c r="FUJ1"/>
      <c r="FUK1"/>
      <c r="FUL1"/>
      <c r="FUM1"/>
      <c r="FUN1"/>
      <c r="FUO1"/>
      <c r="FUP1"/>
      <c r="FUQ1"/>
      <c r="FUR1"/>
      <c r="FUS1"/>
      <c r="FUT1"/>
      <c r="FUU1"/>
      <c r="FUV1"/>
      <c r="FUW1"/>
      <c r="FUX1"/>
      <c r="FUY1"/>
      <c r="FUZ1"/>
      <c r="FVA1"/>
      <c r="FVB1"/>
      <c r="FVC1"/>
      <c r="FVD1"/>
      <c r="FVE1"/>
      <c r="FVF1"/>
      <c r="FVG1"/>
      <c r="FVH1"/>
      <c r="FVI1"/>
      <c r="FVJ1"/>
      <c r="FVK1"/>
      <c r="FVL1"/>
      <c r="FVM1"/>
      <c r="FVN1"/>
      <c r="FVO1"/>
      <c r="FVP1"/>
      <c r="FVQ1"/>
      <c r="FVR1"/>
      <c r="FVS1"/>
      <c r="FVT1"/>
      <c r="FVU1"/>
      <c r="FVV1"/>
      <c r="FVW1"/>
      <c r="FVX1"/>
      <c r="FVY1"/>
      <c r="FVZ1"/>
      <c r="FWA1"/>
      <c r="FWB1"/>
      <c r="FWC1"/>
      <c r="FWD1"/>
      <c r="FWE1"/>
      <c r="FWF1"/>
      <c r="FWG1"/>
      <c r="FWH1"/>
      <c r="FWI1"/>
      <c r="FWJ1"/>
      <c r="FWK1"/>
      <c r="FWL1"/>
      <c r="FWM1"/>
      <c r="FWN1"/>
      <c r="FWO1"/>
      <c r="FWP1"/>
      <c r="FWQ1"/>
      <c r="FWR1"/>
      <c r="FWS1"/>
      <c r="FWT1"/>
      <c r="FWU1"/>
      <c r="FWV1"/>
      <c r="FWW1"/>
      <c r="FWX1"/>
      <c r="FWY1"/>
      <c r="FWZ1"/>
      <c r="FXA1"/>
      <c r="FXB1"/>
      <c r="FXC1"/>
      <c r="FXD1"/>
      <c r="FXE1"/>
      <c r="FXF1"/>
      <c r="FXG1"/>
      <c r="FXH1"/>
      <c r="FXI1"/>
      <c r="FXJ1"/>
      <c r="FXK1"/>
      <c r="FXL1"/>
      <c r="FXM1"/>
      <c r="FXN1"/>
      <c r="FXO1"/>
      <c r="FXP1"/>
      <c r="FXQ1"/>
      <c r="FXR1"/>
      <c r="FXS1"/>
      <c r="FXT1"/>
      <c r="FXU1"/>
      <c r="FXV1"/>
      <c r="FXW1"/>
      <c r="FXX1"/>
      <c r="FXY1"/>
      <c r="FXZ1"/>
      <c r="FYA1"/>
      <c r="FYB1"/>
      <c r="FYC1"/>
      <c r="FYD1"/>
      <c r="FYE1"/>
      <c r="FYF1"/>
      <c r="FYG1"/>
      <c r="FYH1"/>
      <c r="FYI1"/>
      <c r="FYJ1"/>
      <c r="FYK1"/>
      <c r="FYL1"/>
      <c r="FYM1"/>
      <c r="FYN1"/>
      <c r="FYO1"/>
      <c r="FYP1"/>
      <c r="FYQ1"/>
      <c r="FYR1"/>
      <c r="FYS1"/>
      <c r="FYT1"/>
      <c r="FYU1"/>
      <c r="FYV1"/>
      <c r="FYW1"/>
      <c r="FYX1"/>
      <c r="FYY1"/>
      <c r="FYZ1"/>
      <c r="FZA1"/>
      <c r="FZB1"/>
      <c r="FZC1"/>
      <c r="FZD1"/>
      <c r="FZE1"/>
      <c r="FZF1"/>
      <c r="FZG1"/>
      <c r="FZH1"/>
      <c r="FZI1"/>
      <c r="FZJ1"/>
      <c r="FZK1"/>
      <c r="FZL1"/>
      <c r="FZM1"/>
      <c r="FZN1"/>
      <c r="FZO1"/>
      <c r="FZP1"/>
      <c r="FZQ1"/>
      <c r="FZR1"/>
      <c r="FZS1"/>
      <c r="FZT1"/>
      <c r="FZU1"/>
      <c r="FZV1"/>
      <c r="FZW1"/>
      <c r="FZX1"/>
      <c r="FZY1"/>
      <c r="FZZ1"/>
      <c r="GAA1"/>
      <c r="GAB1"/>
      <c r="GAC1"/>
      <c r="GAD1"/>
      <c r="GAE1"/>
      <c r="GAF1"/>
      <c r="GAG1"/>
      <c r="GAH1"/>
      <c r="GAI1"/>
      <c r="GAJ1"/>
      <c r="GAK1"/>
      <c r="GAL1"/>
      <c r="GAM1"/>
      <c r="GAN1"/>
      <c r="GAO1"/>
      <c r="GAP1"/>
      <c r="GAQ1"/>
      <c r="GAR1"/>
      <c r="GAS1"/>
      <c r="GAT1"/>
      <c r="GAU1"/>
      <c r="GAV1"/>
      <c r="GAW1"/>
      <c r="GAX1"/>
      <c r="GAY1"/>
      <c r="GAZ1"/>
      <c r="GBA1"/>
      <c r="GBB1"/>
      <c r="GBC1"/>
      <c r="GBD1"/>
      <c r="GBE1"/>
      <c r="GBF1"/>
      <c r="GBG1"/>
      <c r="GBH1"/>
      <c r="GBI1"/>
      <c r="GBJ1"/>
      <c r="GBK1"/>
      <c r="GBL1"/>
      <c r="GBM1"/>
      <c r="GBN1"/>
      <c r="GBO1"/>
      <c r="GBP1"/>
      <c r="GBQ1"/>
      <c r="GBR1"/>
      <c r="GBS1"/>
      <c r="GBT1"/>
      <c r="GBU1"/>
      <c r="GBV1"/>
      <c r="GBW1"/>
      <c r="GBX1"/>
      <c r="GBY1"/>
      <c r="GBZ1"/>
      <c r="GCA1"/>
      <c r="GCB1"/>
      <c r="GCC1"/>
      <c r="GCD1"/>
      <c r="GCE1"/>
      <c r="GCF1"/>
      <c r="GCG1"/>
      <c r="GCH1"/>
      <c r="GCI1"/>
      <c r="GCJ1"/>
      <c r="GCK1"/>
      <c r="GCL1"/>
      <c r="GCM1"/>
      <c r="GCN1"/>
      <c r="GCO1"/>
      <c r="GCP1"/>
      <c r="GCQ1"/>
      <c r="GCR1"/>
      <c r="GCS1"/>
      <c r="GCT1"/>
      <c r="GCU1"/>
      <c r="GCV1"/>
      <c r="GCW1"/>
      <c r="GCX1"/>
      <c r="GCY1"/>
      <c r="GCZ1"/>
      <c r="GDA1"/>
      <c r="GDB1"/>
      <c r="GDC1"/>
      <c r="GDD1"/>
      <c r="GDE1"/>
      <c r="GDF1"/>
      <c r="GDG1"/>
      <c r="GDH1"/>
      <c r="GDI1"/>
      <c r="GDJ1"/>
      <c r="GDK1"/>
      <c r="GDL1"/>
      <c r="GDM1"/>
      <c r="GDN1"/>
      <c r="GDO1"/>
      <c r="GDP1"/>
      <c r="GDQ1"/>
      <c r="GDR1"/>
      <c r="GDS1"/>
      <c r="GDT1"/>
      <c r="GDU1"/>
      <c r="GDV1"/>
      <c r="GDW1"/>
      <c r="GDX1"/>
      <c r="GDY1"/>
      <c r="GDZ1"/>
      <c r="GEA1"/>
      <c r="GEB1"/>
      <c r="GEC1"/>
      <c r="GED1"/>
      <c r="GEE1"/>
      <c r="GEF1"/>
      <c r="GEG1"/>
      <c r="GEH1"/>
      <c r="GEI1"/>
      <c r="GEJ1"/>
      <c r="GEK1"/>
      <c r="GEL1"/>
      <c r="GEM1"/>
      <c r="GEN1"/>
      <c r="GEO1"/>
      <c r="GEP1"/>
      <c r="GEQ1"/>
      <c r="GER1"/>
      <c r="GES1"/>
      <c r="GET1"/>
      <c r="GEU1"/>
      <c r="GEV1"/>
      <c r="GEW1"/>
      <c r="GEX1"/>
      <c r="GEY1"/>
      <c r="GEZ1"/>
      <c r="GFA1"/>
      <c r="GFB1"/>
      <c r="GFC1"/>
      <c r="GFD1"/>
      <c r="GFE1"/>
      <c r="GFF1"/>
      <c r="GFG1"/>
      <c r="GFH1"/>
      <c r="GFI1"/>
      <c r="GFJ1"/>
      <c r="GFK1"/>
      <c r="GFL1"/>
      <c r="GFM1"/>
      <c r="GFN1"/>
      <c r="GFO1"/>
      <c r="GFP1"/>
      <c r="GFQ1"/>
      <c r="GFR1"/>
      <c r="GFS1"/>
      <c r="GFT1"/>
      <c r="GFU1"/>
      <c r="GFV1"/>
      <c r="GFW1"/>
      <c r="GFX1"/>
      <c r="GFY1"/>
      <c r="GFZ1"/>
      <c r="GGA1"/>
      <c r="GGB1"/>
      <c r="GGC1"/>
      <c r="GGD1"/>
      <c r="GGE1"/>
      <c r="GGF1"/>
      <c r="GGG1"/>
      <c r="GGH1"/>
      <c r="GGI1"/>
      <c r="GGJ1"/>
      <c r="GGK1"/>
      <c r="GGL1"/>
      <c r="GGM1"/>
      <c r="GGN1"/>
      <c r="GGO1"/>
      <c r="GGP1"/>
      <c r="GGQ1"/>
      <c r="GGR1"/>
      <c r="GGS1"/>
      <c r="GGT1"/>
      <c r="GGU1"/>
      <c r="GGV1"/>
      <c r="GGW1"/>
      <c r="GGX1"/>
      <c r="GGY1"/>
      <c r="GGZ1"/>
      <c r="GHA1"/>
      <c r="GHB1"/>
      <c r="GHC1"/>
      <c r="GHD1"/>
      <c r="GHE1"/>
      <c r="GHF1"/>
      <c r="GHG1"/>
      <c r="GHH1"/>
      <c r="GHI1"/>
      <c r="GHJ1"/>
      <c r="GHK1"/>
      <c r="GHL1"/>
      <c r="GHM1"/>
      <c r="GHN1"/>
      <c r="GHO1"/>
      <c r="GHP1"/>
      <c r="GHQ1"/>
      <c r="GHR1"/>
      <c r="GHS1"/>
      <c r="GHT1"/>
      <c r="GHU1"/>
      <c r="GHV1"/>
      <c r="GHW1"/>
      <c r="GHX1"/>
      <c r="GHY1"/>
      <c r="GHZ1"/>
      <c r="GIA1"/>
      <c r="GIB1"/>
      <c r="GIC1"/>
      <c r="GID1"/>
      <c r="GIE1"/>
      <c r="GIF1"/>
      <c r="GIG1"/>
      <c r="GIH1"/>
      <c r="GII1"/>
      <c r="GIJ1"/>
      <c r="GIK1"/>
      <c r="GIL1"/>
      <c r="GIM1"/>
      <c r="GIN1"/>
      <c r="GIO1"/>
      <c r="GIP1"/>
      <c r="GIQ1"/>
      <c r="GIR1"/>
      <c r="GIS1"/>
      <c r="GIT1"/>
      <c r="GIU1"/>
      <c r="GIV1"/>
      <c r="GIW1"/>
      <c r="GIX1"/>
      <c r="GIY1"/>
      <c r="GIZ1"/>
      <c r="GJA1"/>
      <c r="GJB1"/>
      <c r="GJC1"/>
      <c r="GJD1"/>
      <c r="GJE1"/>
      <c r="GJF1"/>
      <c r="GJG1"/>
      <c r="GJH1"/>
      <c r="GJI1"/>
      <c r="GJJ1"/>
      <c r="GJK1"/>
      <c r="GJL1"/>
      <c r="GJM1"/>
      <c r="GJN1"/>
      <c r="GJO1"/>
      <c r="GJP1"/>
      <c r="GJQ1"/>
      <c r="GJR1"/>
      <c r="GJS1"/>
      <c r="GJT1"/>
      <c r="GJU1"/>
      <c r="GJV1"/>
      <c r="GJW1"/>
      <c r="GJX1"/>
      <c r="GJY1"/>
      <c r="GJZ1"/>
      <c r="GKA1"/>
      <c r="GKB1"/>
      <c r="GKC1"/>
      <c r="GKD1"/>
      <c r="GKE1"/>
      <c r="GKF1"/>
      <c r="GKG1"/>
      <c r="GKH1"/>
      <c r="GKI1"/>
      <c r="GKJ1"/>
      <c r="GKK1"/>
      <c r="GKL1"/>
      <c r="GKM1"/>
      <c r="GKN1"/>
      <c r="GKO1"/>
      <c r="GKP1"/>
      <c r="GKQ1"/>
      <c r="GKR1"/>
      <c r="GKS1"/>
      <c r="GKT1"/>
      <c r="GKU1"/>
      <c r="GKV1"/>
      <c r="GKW1"/>
      <c r="GKX1"/>
      <c r="GKY1"/>
      <c r="GKZ1"/>
      <c r="GLA1"/>
      <c r="GLB1"/>
      <c r="GLC1"/>
      <c r="GLD1"/>
      <c r="GLE1"/>
      <c r="GLF1"/>
      <c r="GLG1"/>
      <c r="GLH1"/>
      <c r="GLI1"/>
      <c r="GLJ1"/>
      <c r="GLK1"/>
      <c r="GLL1"/>
      <c r="GLM1"/>
      <c r="GLN1"/>
      <c r="GLO1"/>
      <c r="GLP1"/>
      <c r="GLQ1"/>
      <c r="GLR1"/>
      <c r="GLS1"/>
      <c r="GLT1"/>
      <c r="GLU1"/>
      <c r="GLV1"/>
      <c r="GLW1"/>
      <c r="GLX1"/>
      <c r="GLY1"/>
      <c r="GLZ1"/>
      <c r="GMA1"/>
      <c r="GMB1"/>
      <c r="GMC1"/>
      <c r="GMD1"/>
      <c r="GME1"/>
      <c r="GMF1"/>
      <c r="GMG1"/>
      <c r="GMH1"/>
      <c r="GMI1"/>
      <c r="GMJ1"/>
      <c r="GMK1"/>
      <c r="GML1"/>
      <c r="GMM1"/>
      <c r="GMN1"/>
      <c r="GMO1"/>
      <c r="GMP1"/>
      <c r="GMQ1"/>
      <c r="GMR1"/>
      <c r="GMS1"/>
      <c r="GMT1"/>
      <c r="GMU1"/>
      <c r="GMV1"/>
      <c r="GMW1"/>
      <c r="GMX1"/>
      <c r="GMY1"/>
      <c r="GMZ1"/>
      <c r="GNA1"/>
      <c r="GNB1"/>
      <c r="GNC1"/>
      <c r="GND1"/>
      <c r="GNE1"/>
      <c r="GNF1"/>
      <c r="GNG1"/>
      <c r="GNH1"/>
      <c r="GNI1"/>
      <c r="GNJ1"/>
      <c r="GNK1"/>
      <c r="GNL1"/>
      <c r="GNM1"/>
      <c r="GNN1"/>
      <c r="GNO1"/>
      <c r="GNP1"/>
      <c r="GNQ1"/>
      <c r="GNR1"/>
      <c r="GNS1"/>
      <c r="GNT1"/>
      <c r="GNU1"/>
      <c r="GNV1"/>
      <c r="GNW1"/>
      <c r="GNX1"/>
      <c r="GNY1"/>
      <c r="GNZ1"/>
      <c r="GOA1"/>
      <c r="GOB1"/>
      <c r="GOC1"/>
      <c r="GOD1"/>
      <c r="GOE1"/>
      <c r="GOF1"/>
      <c r="GOG1"/>
      <c r="GOH1"/>
      <c r="GOI1"/>
      <c r="GOJ1"/>
      <c r="GOK1"/>
      <c r="GOL1"/>
      <c r="GOM1"/>
      <c r="GON1"/>
      <c r="GOO1"/>
      <c r="GOP1"/>
      <c r="GOQ1"/>
      <c r="GOR1"/>
      <c r="GOS1"/>
      <c r="GOT1"/>
      <c r="GOU1"/>
      <c r="GOV1"/>
      <c r="GOW1"/>
      <c r="GOX1"/>
      <c r="GOY1"/>
      <c r="GOZ1"/>
      <c r="GPA1"/>
      <c r="GPB1"/>
      <c r="GPC1"/>
      <c r="GPD1"/>
      <c r="GPE1"/>
      <c r="GPF1"/>
      <c r="GPG1"/>
      <c r="GPH1"/>
      <c r="GPI1"/>
      <c r="GPJ1"/>
      <c r="GPK1"/>
      <c r="GPL1"/>
      <c r="GPM1"/>
      <c r="GPN1"/>
      <c r="GPO1"/>
      <c r="GPP1"/>
      <c r="GPQ1"/>
      <c r="GPR1"/>
      <c r="GPS1"/>
      <c r="GPT1"/>
      <c r="GPU1"/>
      <c r="GPV1"/>
      <c r="GPW1"/>
      <c r="GPX1"/>
      <c r="GPY1"/>
      <c r="GPZ1"/>
      <c r="GQA1"/>
      <c r="GQB1"/>
      <c r="GQC1"/>
      <c r="GQD1"/>
      <c r="GQE1"/>
      <c r="GQF1"/>
      <c r="GQG1"/>
      <c r="GQH1"/>
      <c r="GQI1"/>
      <c r="GQJ1"/>
      <c r="GQK1"/>
      <c r="GQL1"/>
      <c r="GQM1"/>
      <c r="GQN1"/>
      <c r="GQO1"/>
      <c r="GQP1"/>
      <c r="GQQ1"/>
      <c r="GQR1"/>
      <c r="GQS1"/>
      <c r="GQT1"/>
      <c r="GQU1"/>
      <c r="GQV1"/>
      <c r="GQW1"/>
      <c r="GQX1"/>
      <c r="GQY1"/>
      <c r="GQZ1"/>
      <c r="GRA1"/>
      <c r="GRB1"/>
      <c r="GRC1"/>
      <c r="GRD1"/>
      <c r="GRE1"/>
      <c r="GRF1"/>
      <c r="GRG1"/>
      <c r="GRH1"/>
      <c r="GRI1"/>
      <c r="GRJ1"/>
      <c r="GRK1"/>
      <c r="GRL1"/>
      <c r="GRM1"/>
      <c r="GRN1"/>
      <c r="GRO1"/>
      <c r="GRP1"/>
      <c r="GRQ1"/>
      <c r="GRR1"/>
      <c r="GRS1"/>
      <c r="GRT1"/>
      <c r="GRU1"/>
      <c r="GRV1"/>
      <c r="GRW1"/>
      <c r="GRX1"/>
      <c r="GRY1"/>
      <c r="GRZ1"/>
      <c r="GSA1"/>
      <c r="GSB1"/>
      <c r="GSC1"/>
      <c r="GSD1"/>
      <c r="GSE1"/>
      <c r="GSF1"/>
      <c r="GSG1"/>
      <c r="GSH1"/>
      <c r="GSI1"/>
      <c r="GSJ1"/>
      <c r="GSK1"/>
      <c r="GSL1"/>
      <c r="GSM1"/>
      <c r="GSN1"/>
      <c r="GSO1"/>
      <c r="GSP1"/>
      <c r="GSQ1"/>
      <c r="GSR1"/>
      <c r="GSS1"/>
      <c r="GST1"/>
      <c r="GSU1"/>
      <c r="GSV1"/>
      <c r="GSW1"/>
      <c r="GSX1"/>
      <c r="GSY1"/>
      <c r="GSZ1"/>
      <c r="GTA1"/>
      <c r="GTB1"/>
      <c r="GTC1"/>
      <c r="GTD1"/>
      <c r="GTE1"/>
      <c r="GTF1"/>
      <c r="GTG1"/>
      <c r="GTH1"/>
      <c r="GTI1"/>
      <c r="GTJ1"/>
      <c r="GTK1"/>
      <c r="GTL1"/>
      <c r="GTM1"/>
      <c r="GTN1"/>
      <c r="GTO1"/>
      <c r="GTP1"/>
      <c r="GTQ1"/>
      <c r="GTR1"/>
      <c r="GTS1"/>
      <c r="GTT1"/>
      <c r="GTU1"/>
      <c r="GTV1"/>
      <c r="GTW1"/>
      <c r="GTX1"/>
      <c r="GTY1"/>
      <c r="GTZ1"/>
      <c r="GUA1"/>
      <c r="GUB1"/>
      <c r="GUC1"/>
      <c r="GUD1"/>
      <c r="GUE1"/>
      <c r="GUF1"/>
      <c r="GUG1"/>
      <c r="GUH1"/>
      <c r="GUI1"/>
      <c r="GUJ1"/>
      <c r="GUK1"/>
      <c r="GUL1"/>
      <c r="GUM1"/>
      <c r="GUN1"/>
      <c r="GUO1"/>
      <c r="GUP1"/>
      <c r="GUQ1"/>
      <c r="GUR1"/>
      <c r="GUS1"/>
      <c r="GUT1"/>
      <c r="GUU1"/>
      <c r="GUV1"/>
      <c r="GUW1"/>
      <c r="GUX1"/>
      <c r="GUY1"/>
      <c r="GUZ1"/>
      <c r="GVA1"/>
      <c r="GVB1"/>
      <c r="GVC1"/>
      <c r="GVD1"/>
      <c r="GVE1"/>
      <c r="GVF1"/>
      <c r="GVG1"/>
      <c r="GVH1"/>
      <c r="GVI1"/>
      <c r="GVJ1"/>
      <c r="GVK1"/>
      <c r="GVL1"/>
      <c r="GVM1"/>
      <c r="GVN1"/>
      <c r="GVO1"/>
      <c r="GVP1"/>
      <c r="GVQ1"/>
      <c r="GVR1"/>
      <c r="GVS1"/>
      <c r="GVT1"/>
      <c r="GVU1"/>
      <c r="GVV1"/>
      <c r="GVW1"/>
      <c r="GVX1"/>
      <c r="GVY1"/>
      <c r="GVZ1"/>
      <c r="GWA1"/>
      <c r="GWB1"/>
      <c r="GWC1"/>
      <c r="GWD1"/>
      <c r="GWE1"/>
      <c r="GWF1"/>
      <c r="GWG1"/>
      <c r="GWH1"/>
      <c r="GWI1"/>
      <c r="GWJ1"/>
      <c r="GWK1"/>
      <c r="GWL1"/>
      <c r="GWM1"/>
      <c r="GWN1"/>
      <c r="GWO1"/>
      <c r="GWP1"/>
      <c r="GWQ1"/>
      <c r="GWR1"/>
      <c r="GWS1"/>
      <c r="GWT1"/>
      <c r="GWU1"/>
      <c r="GWV1"/>
      <c r="GWW1"/>
      <c r="GWX1"/>
      <c r="GWY1"/>
      <c r="GWZ1"/>
      <c r="GXA1"/>
      <c r="GXB1"/>
      <c r="GXC1"/>
      <c r="GXD1"/>
      <c r="GXE1"/>
      <c r="GXF1"/>
      <c r="GXG1"/>
      <c r="GXH1"/>
      <c r="GXI1"/>
      <c r="GXJ1"/>
      <c r="GXK1"/>
      <c r="GXL1"/>
      <c r="GXM1"/>
      <c r="GXN1"/>
      <c r="GXO1"/>
      <c r="GXP1"/>
      <c r="GXQ1"/>
      <c r="GXR1"/>
      <c r="GXS1"/>
      <c r="GXT1"/>
      <c r="GXU1"/>
      <c r="GXV1"/>
      <c r="GXW1"/>
      <c r="GXX1"/>
      <c r="GXY1"/>
      <c r="GXZ1"/>
      <c r="GYA1"/>
      <c r="GYB1"/>
      <c r="GYC1"/>
      <c r="GYD1"/>
      <c r="GYE1"/>
      <c r="GYF1"/>
      <c r="GYG1"/>
      <c r="GYH1"/>
      <c r="GYI1"/>
      <c r="GYJ1"/>
      <c r="GYK1"/>
      <c r="GYL1"/>
      <c r="GYM1"/>
      <c r="GYN1"/>
      <c r="GYO1"/>
      <c r="GYP1"/>
      <c r="GYQ1"/>
      <c r="GYR1"/>
      <c r="GYS1"/>
      <c r="GYT1"/>
      <c r="GYU1"/>
      <c r="GYV1"/>
      <c r="GYW1"/>
      <c r="GYX1"/>
      <c r="GYY1"/>
      <c r="GYZ1"/>
      <c r="GZA1"/>
      <c r="GZB1"/>
      <c r="GZC1"/>
      <c r="GZD1"/>
      <c r="GZE1"/>
      <c r="GZF1"/>
      <c r="GZG1"/>
      <c r="GZH1"/>
      <c r="GZI1"/>
      <c r="GZJ1"/>
      <c r="GZK1"/>
      <c r="GZL1"/>
      <c r="GZM1"/>
      <c r="GZN1"/>
      <c r="GZO1"/>
      <c r="GZP1"/>
      <c r="GZQ1"/>
      <c r="GZR1"/>
      <c r="GZS1"/>
      <c r="GZT1"/>
      <c r="GZU1"/>
      <c r="GZV1"/>
      <c r="GZW1"/>
      <c r="GZX1"/>
      <c r="GZY1"/>
      <c r="GZZ1"/>
      <c r="HAA1"/>
      <c r="HAB1"/>
      <c r="HAC1"/>
      <c r="HAD1"/>
      <c r="HAE1"/>
      <c r="HAF1"/>
      <c r="HAG1"/>
      <c r="HAH1"/>
      <c r="HAI1"/>
      <c r="HAJ1"/>
      <c r="HAK1"/>
      <c r="HAL1"/>
      <c r="HAM1"/>
      <c r="HAN1"/>
      <c r="HAO1"/>
      <c r="HAP1"/>
      <c r="HAQ1"/>
      <c r="HAR1"/>
      <c r="HAS1"/>
      <c r="HAT1"/>
      <c r="HAU1"/>
      <c r="HAV1"/>
      <c r="HAW1"/>
      <c r="HAX1"/>
      <c r="HAY1"/>
      <c r="HAZ1"/>
      <c r="HBA1"/>
      <c r="HBB1"/>
      <c r="HBC1"/>
      <c r="HBD1"/>
      <c r="HBE1"/>
      <c r="HBF1"/>
      <c r="HBG1"/>
      <c r="HBH1"/>
      <c r="HBI1"/>
      <c r="HBJ1"/>
      <c r="HBK1"/>
      <c r="HBL1"/>
      <c r="HBM1"/>
      <c r="HBN1"/>
      <c r="HBO1"/>
      <c r="HBP1"/>
      <c r="HBQ1"/>
      <c r="HBR1"/>
      <c r="HBS1"/>
      <c r="HBT1"/>
      <c r="HBU1"/>
      <c r="HBV1"/>
      <c r="HBW1"/>
      <c r="HBX1"/>
      <c r="HBY1"/>
      <c r="HBZ1"/>
      <c r="HCA1"/>
      <c r="HCB1"/>
      <c r="HCC1"/>
      <c r="HCD1"/>
      <c r="HCE1"/>
      <c r="HCF1"/>
      <c r="HCG1"/>
      <c r="HCH1"/>
      <c r="HCI1"/>
      <c r="HCJ1"/>
      <c r="HCK1"/>
      <c r="HCL1"/>
      <c r="HCM1"/>
      <c r="HCN1"/>
      <c r="HCO1"/>
      <c r="HCP1"/>
      <c r="HCQ1"/>
      <c r="HCR1"/>
      <c r="HCS1"/>
      <c r="HCT1"/>
      <c r="HCU1"/>
      <c r="HCV1"/>
      <c r="HCW1"/>
      <c r="HCX1"/>
      <c r="HCY1"/>
      <c r="HCZ1"/>
      <c r="HDA1"/>
      <c r="HDB1"/>
      <c r="HDC1"/>
      <c r="HDD1"/>
      <c r="HDE1"/>
      <c r="HDF1"/>
      <c r="HDG1"/>
      <c r="HDH1"/>
      <c r="HDI1"/>
      <c r="HDJ1"/>
      <c r="HDK1"/>
      <c r="HDL1"/>
      <c r="HDM1"/>
      <c r="HDN1"/>
      <c r="HDO1"/>
      <c r="HDP1"/>
      <c r="HDQ1"/>
      <c r="HDR1"/>
      <c r="HDS1"/>
      <c r="HDT1"/>
      <c r="HDU1"/>
      <c r="HDV1"/>
      <c r="HDW1"/>
      <c r="HDX1"/>
      <c r="HDY1"/>
      <c r="HDZ1"/>
      <c r="HEA1"/>
      <c r="HEB1"/>
      <c r="HEC1"/>
      <c r="HED1"/>
      <c r="HEE1"/>
      <c r="HEF1"/>
      <c r="HEG1"/>
      <c r="HEH1"/>
      <c r="HEI1"/>
      <c r="HEJ1"/>
      <c r="HEK1"/>
      <c r="HEL1"/>
      <c r="HEM1"/>
      <c r="HEN1"/>
      <c r="HEO1"/>
      <c r="HEP1"/>
      <c r="HEQ1"/>
      <c r="HER1"/>
      <c r="HES1"/>
      <c r="HET1"/>
      <c r="HEU1"/>
      <c r="HEV1"/>
      <c r="HEW1"/>
      <c r="HEX1"/>
      <c r="HEY1"/>
      <c r="HEZ1"/>
      <c r="HFA1"/>
      <c r="HFB1"/>
      <c r="HFC1"/>
      <c r="HFD1"/>
      <c r="HFE1"/>
      <c r="HFF1"/>
      <c r="HFG1"/>
      <c r="HFH1"/>
      <c r="HFI1"/>
      <c r="HFJ1"/>
      <c r="HFK1"/>
      <c r="HFL1"/>
      <c r="HFM1"/>
      <c r="HFN1"/>
      <c r="HFO1"/>
      <c r="HFP1"/>
      <c r="HFQ1"/>
      <c r="HFR1"/>
      <c r="HFS1"/>
      <c r="HFT1"/>
      <c r="HFU1"/>
      <c r="HFV1"/>
      <c r="HFW1"/>
      <c r="HFX1"/>
      <c r="HFY1"/>
      <c r="HFZ1"/>
      <c r="HGA1"/>
      <c r="HGB1"/>
      <c r="HGC1"/>
      <c r="HGD1"/>
      <c r="HGE1"/>
      <c r="HGF1"/>
      <c r="HGG1"/>
      <c r="HGH1"/>
      <c r="HGI1"/>
      <c r="HGJ1"/>
      <c r="HGK1"/>
      <c r="HGL1"/>
      <c r="HGM1"/>
      <c r="HGN1"/>
      <c r="HGO1"/>
      <c r="HGP1"/>
      <c r="HGQ1"/>
      <c r="HGR1"/>
      <c r="HGS1"/>
      <c r="HGT1"/>
      <c r="HGU1"/>
      <c r="HGV1"/>
      <c r="HGW1"/>
      <c r="HGX1"/>
      <c r="HGY1"/>
      <c r="HGZ1"/>
      <c r="HHA1"/>
      <c r="HHB1"/>
      <c r="HHC1"/>
      <c r="HHD1"/>
      <c r="HHE1"/>
      <c r="HHF1"/>
      <c r="HHG1"/>
      <c r="HHH1"/>
      <c r="HHI1"/>
      <c r="HHJ1"/>
      <c r="HHK1"/>
      <c r="HHL1"/>
      <c r="HHM1"/>
      <c r="HHN1"/>
      <c r="HHO1"/>
      <c r="HHP1"/>
      <c r="HHQ1"/>
      <c r="HHR1"/>
      <c r="HHS1"/>
      <c r="HHT1"/>
      <c r="HHU1"/>
      <c r="HHV1"/>
      <c r="HHW1"/>
      <c r="HHX1"/>
      <c r="HHY1"/>
      <c r="HHZ1"/>
      <c r="HIA1"/>
      <c r="HIB1"/>
      <c r="HIC1"/>
      <c r="HID1"/>
      <c r="HIE1"/>
      <c r="HIF1"/>
      <c r="HIG1"/>
      <c r="HIH1"/>
      <c r="HII1"/>
      <c r="HIJ1"/>
      <c r="HIK1"/>
      <c r="HIL1"/>
      <c r="HIM1"/>
      <c r="HIN1"/>
      <c r="HIO1"/>
      <c r="HIP1"/>
      <c r="HIQ1"/>
      <c r="HIR1"/>
      <c r="HIS1"/>
      <c r="HIT1"/>
      <c r="HIU1"/>
      <c r="HIV1"/>
      <c r="HIW1"/>
      <c r="HIX1"/>
      <c r="HIY1"/>
      <c r="HIZ1"/>
      <c r="HJA1"/>
      <c r="HJB1"/>
      <c r="HJC1"/>
      <c r="HJD1"/>
      <c r="HJE1"/>
      <c r="HJF1"/>
      <c r="HJG1"/>
      <c r="HJH1"/>
      <c r="HJI1"/>
      <c r="HJJ1"/>
      <c r="HJK1"/>
      <c r="HJL1"/>
      <c r="HJM1"/>
      <c r="HJN1"/>
      <c r="HJO1"/>
      <c r="HJP1"/>
      <c r="HJQ1"/>
      <c r="HJR1"/>
      <c r="HJS1"/>
      <c r="HJT1"/>
      <c r="HJU1"/>
      <c r="HJV1"/>
      <c r="HJW1"/>
      <c r="HJX1"/>
      <c r="HJY1"/>
      <c r="HJZ1"/>
      <c r="HKA1"/>
      <c r="HKB1"/>
      <c r="HKC1"/>
      <c r="HKD1"/>
      <c r="HKE1"/>
      <c r="HKF1"/>
      <c r="HKG1"/>
      <c r="HKH1"/>
      <c r="HKI1"/>
      <c r="HKJ1"/>
      <c r="HKK1"/>
      <c r="HKL1"/>
      <c r="HKM1"/>
      <c r="HKN1"/>
      <c r="HKO1"/>
      <c r="HKP1"/>
      <c r="HKQ1"/>
      <c r="HKR1"/>
      <c r="HKS1"/>
      <c r="HKT1"/>
      <c r="HKU1"/>
      <c r="HKV1"/>
      <c r="HKW1"/>
      <c r="HKX1"/>
      <c r="HKY1"/>
      <c r="HKZ1"/>
      <c r="HLA1"/>
      <c r="HLB1"/>
      <c r="HLC1"/>
      <c r="HLD1"/>
      <c r="HLE1"/>
      <c r="HLF1"/>
      <c r="HLG1"/>
      <c r="HLH1"/>
      <c r="HLI1"/>
      <c r="HLJ1"/>
      <c r="HLK1"/>
      <c r="HLL1"/>
      <c r="HLM1"/>
      <c r="HLN1"/>
      <c r="HLO1"/>
      <c r="HLP1"/>
      <c r="HLQ1"/>
      <c r="HLR1"/>
      <c r="HLS1"/>
      <c r="HLT1"/>
      <c r="HLU1"/>
      <c r="HLV1"/>
      <c r="HLW1"/>
      <c r="HLX1"/>
      <c r="HLY1"/>
      <c r="HLZ1"/>
      <c r="HMA1"/>
      <c r="HMB1"/>
      <c r="HMC1"/>
      <c r="HMD1"/>
      <c r="HME1"/>
      <c r="HMF1"/>
      <c r="HMG1"/>
      <c r="HMH1"/>
      <c r="HMI1"/>
      <c r="HMJ1"/>
      <c r="HMK1"/>
      <c r="HML1"/>
      <c r="HMM1"/>
      <c r="HMN1"/>
      <c r="HMO1"/>
      <c r="HMP1"/>
      <c r="HMQ1"/>
      <c r="HMR1"/>
      <c r="HMS1"/>
      <c r="HMT1"/>
      <c r="HMU1"/>
      <c r="HMV1"/>
      <c r="HMW1"/>
      <c r="HMX1"/>
      <c r="HMY1"/>
      <c r="HMZ1"/>
      <c r="HNA1"/>
      <c r="HNB1"/>
      <c r="HNC1"/>
      <c r="HND1"/>
      <c r="HNE1"/>
      <c r="HNF1"/>
      <c r="HNG1"/>
      <c r="HNH1"/>
      <c r="HNI1"/>
      <c r="HNJ1"/>
      <c r="HNK1"/>
      <c r="HNL1"/>
      <c r="HNM1"/>
      <c r="HNN1"/>
      <c r="HNO1"/>
      <c r="HNP1"/>
      <c r="HNQ1"/>
      <c r="HNR1"/>
      <c r="HNS1"/>
      <c r="HNT1"/>
      <c r="HNU1"/>
      <c r="HNV1"/>
      <c r="HNW1"/>
      <c r="HNX1"/>
      <c r="HNY1"/>
      <c r="HNZ1"/>
      <c r="HOA1"/>
      <c r="HOB1"/>
      <c r="HOC1"/>
      <c r="HOD1"/>
      <c r="HOE1"/>
      <c r="HOF1"/>
      <c r="HOG1"/>
      <c r="HOH1"/>
      <c r="HOI1"/>
      <c r="HOJ1"/>
      <c r="HOK1"/>
      <c r="HOL1"/>
      <c r="HOM1"/>
      <c r="HON1"/>
      <c r="HOO1"/>
      <c r="HOP1"/>
      <c r="HOQ1"/>
      <c r="HOR1"/>
      <c r="HOS1"/>
      <c r="HOT1"/>
      <c r="HOU1"/>
      <c r="HOV1"/>
      <c r="HOW1"/>
      <c r="HOX1"/>
      <c r="HOY1"/>
      <c r="HOZ1"/>
      <c r="HPA1"/>
      <c r="HPB1"/>
      <c r="HPC1"/>
      <c r="HPD1"/>
      <c r="HPE1"/>
      <c r="HPF1"/>
      <c r="HPG1"/>
      <c r="HPH1"/>
      <c r="HPI1"/>
      <c r="HPJ1"/>
      <c r="HPK1"/>
      <c r="HPL1"/>
      <c r="HPM1"/>
      <c r="HPN1"/>
      <c r="HPO1"/>
      <c r="HPP1"/>
      <c r="HPQ1"/>
      <c r="HPR1"/>
      <c r="HPS1"/>
      <c r="HPT1"/>
      <c r="HPU1"/>
      <c r="HPV1"/>
      <c r="HPW1"/>
      <c r="HPX1"/>
      <c r="HPY1"/>
      <c r="HPZ1"/>
      <c r="HQA1"/>
      <c r="HQB1"/>
      <c r="HQC1"/>
      <c r="HQD1"/>
      <c r="HQE1"/>
      <c r="HQF1"/>
      <c r="HQG1"/>
      <c r="HQH1"/>
      <c r="HQI1"/>
      <c r="HQJ1"/>
      <c r="HQK1"/>
      <c r="HQL1"/>
      <c r="HQM1"/>
      <c r="HQN1"/>
      <c r="HQO1"/>
      <c r="HQP1"/>
      <c r="HQQ1"/>
      <c r="HQR1"/>
      <c r="HQS1"/>
      <c r="HQT1"/>
      <c r="HQU1"/>
      <c r="HQV1"/>
      <c r="HQW1"/>
      <c r="HQX1"/>
      <c r="HQY1"/>
      <c r="HQZ1"/>
      <c r="HRA1"/>
      <c r="HRB1"/>
      <c r="HRC1"/>
      <c r="HRD1"/>
      <c r="HRE1"/>
      <c r="HRF1"/>
      <c r="HRG1"/>
      <c r="HRH1"/>
      <c r="HRI1"/>
      <c r="HRJ1"/>
      <c r="HRK1"/>
      <c r="HRL1"/>
      <c r="HRM1"/>
      <c r="HRN1"/>
      <c r="HRO1"/>
      <c r="HRP1"/>
      <c r="HRQ1"/>
      <c r="HRR1"/>
      <c r="HRS1"/>
      <c r="HRT1"/>
      <c r="HRU1"/>
      <c r="HRV1"/>
      <c r="HRW1"/>
      <c r="HRX1"/>
      <c r="HRY1"/>
      <c r="HRZ1"/>
      <c r="HSA1"/>
      <c r="HSB1"/>
      <c r="HSC1"/>
      <c r="HSD1"/>
      <c r="HSE1"/>
      <c r="HSF1"/>
      <c r="HSG1"/>
      <c r="HSH1"/>
      <c r="HSI1"/>
      <c r="HSJ1"/>
      <c r="HSK1"/>
      <c r="HSL1"/>
      <c r="HSM1"/>
      <c r="HSN1"/>
      <c r="HSO1"/>
      <c r="HSP1"/>
      <c r="HSQ1"/>
      <c r="HSR1"/>
      <c r="HSS1"/>
      <c r="HST1"/>
      <c r="HSU1"/>
      <c r="HSV1"/>
      <c r="HSW1"/>
      <c r="HSX1"/>
      <c r="HSY1"/>
      <c r="HSZ1"/>
      <c r="HTA1"/>
      <c r="HTB1"/>
      <c r="HTC1"/>
      <c r="HTD1"/>
      <c r="HTE1"/>
      <c r="HTF1"/>
      <c r="HTG1"/>
      <c r="HTH1"/>
      <c r="HTI1"/>
      <c r="HTJ1"/>
      <c r="HTK1"/>
      <c r="HTL1"/>
      <c r="HTM1"/>
      <c r="HTN1"/>
      <c r="HTO1"/>
      <c r="HTP1"/>
      <c r="HTQ1"/>
      <c r="HTR1"/>
      <c r="HTS1"/>
      <c r="HTT1"/>
      <c r="HTU1"/>
      <c r="HTV1"/>
      <c r="HTW1"/>
      <c r="HTX1"/>
      <c r="HTY1"/>
      <c r="HTZ1"/>
      <c r="HUA1"/>
      <c r="HUB1"/>
      <c r="HUC1"/>
      <c r="HUD1"/>
      <c r="HUE1"/>
      <c r="HUF1"/>
      <c r="HUG1"/>
      <c r="HUH1"/>
      <c r="HUI1"/>
      <c r="HUJ1"/>
      <c r="HUK1"/>
      <c r="HUL1"/>
      <c r="HUM1"/>
      <c r="HUN1"/>
      <c r="HUO1"/>
      <c r="HUP1"/>
      <c r="HUQ1"/>
      <c r="HUR1"/>
      <c r="HUS1"/>
      <c r="HUT1"/>
      <c r="HUU1"/>
      <c r="HUV1"/>
      <c r="HUW1"/>
      <c r="HUX1"/>
      <c r="HUY1"/>
      <c r="HUZ1"/>
      <c r="HVA1"/>
      <c r="HVB1"/>
      <c r="HVC1"/>
      <c r="HVD1"/>
      <c r="HVE1"/>
      <c r="HVF1"/>
      <c r="HVG1"/>
      <c r="HVH1"/>
      <c r="HVI1"/>
      <c r="HVJ1"/>
      <c r="HVK1"/>
      <c r="HVL1"/>
      <c r="HVM1"/>
      <c r="HVN1"/>
      <c r="HVO1"/>
      <c r="HVP1"/>
      <c r="HVQ1"/>
      <c r="HVR1"/>
      <c r="HVS1"/>
      <c r="HVT1"/>
      <c r="HVU1"/>
      <c r="HVV1"/>
      <c r="HVW1"/>
      <c r="HVX1"/>
      <c r="HVY1"/>
      <c r="HVZ1"/>
      <c r="HWA1"/>
      <c r="HWB1"/>
      <c r="HWC1"/>
      <c r="HWD1"/>
      <c r="HWE1"/>
      <c r="HWF1"/>
      <c r="HWG1"/>
      <c r="HWH1"/>
      <c r="HWI1"/>
      <c r="HWJ1"/>
      <c r="HWK1"/>
      <c r="HWL1"/>
      <c r="HWM1"/>
      <c r="HWN1"/>
      <c r="HWO1"/>
      <c r="HWP1"/>
      <c r="HWQ1"/>
      <c r="HWR1"/>
      <c r="HWS1"/>
      <c r="HWT1"/>
      <c r="HWU1"/>
      <c r="HWV1"/>
      <c r="HWW1"/>
      <c r="HWX1"/>
      <c r="HWY1"/>
      <c r="HWZ1"/>
      <c r="HXA1"/>
      <c r="HXB1"/>
      <c r="HXC1"/>
      <c r="HXD1"/>
      <c r="HXE1"/>
      <c r="HXF1"/>
      <c r="HXG1"/>
      <c r="HXH1"/>
      <c r="HXI1"/>
      <c r="HXJ1"/>
      <c r="HXK1"/>
      <c r="HXL1"/>
      <c r="HXM1"/>
      <c r="HXN1"/>
      <c r="HXO1"/>
      <c r="HXP1"/>
      <c r="HXQ1"/>
      <c r="HXR1"/>
      <c r="HXS1"/>
      <c r="HXT1"/>
      <c r="HXU1"/>
      <c r="HXV1"/>
      <c r="HXW1"/>
      <c r="HXX1"/>
      <c r="HXY1"/>
      <c r="HXZ1"/>
      <c r="HYA1"/>
      <c r="HYB1"/>
      <c r="HYC1"/>
      <c r="HYD1"/>
      <c r="HYE1"/>
      <c r="HYF1"/>
      <c r="HYG1"/>
      <c r="HYH1"/>
      <c r="HYI1"/>
      <c r="HYJ1"/>
      <c r="HYK1"/>
      <c r="HYL1"/>
      <c r="HYM1"/>
      <c r="HYN1"/>
      <c r="HYO1"/>
      <c r="HYP1"/>
      <c r="HYQ1"/>
      <c r="HYR1"/>
      <c r="HYS1"/>
      <c r="HYT1"/>
      <c r="HYU1"/>
      <c r="HYV1"/>
      <c r="HYW1"/>
      <c r="HYX1"/>
      <c r="HYY1"/>
      <c r="HYZ1"/>
      <c r="HZA1"/>
      <c r="HZB1"/>
      <c r="HZC1"/>
      <c r="HZD1"/>
      <c r="HZE1"/>
      <c r="HZF1"/>
      <c r="HZG1"/>
      <c r="HZH1"/>
      <c r="HZI1"/>
      <c r="HZJ1"/>
      <c r="HZK1"/>
      <c r="HZL1"/>
      <c r="HZM1"/>
      <c r="HZN1"/>
      <c r="HZO1"/>
      <c r="HZP1"/>
      <c r="HZQ1"/>
      <c r="HZR1"/>
      <c r="HZS1"/>
      <c r="HZT1"/>
      <c r="HZU1"/>
      <c r="HZV1"/>
      <c r="HZW1"/>
      <c r="HZX1"/>
      <c r="HZY1"/>
      <c r="HZZ1"/>
      <c r="IAA1"/>
      <c r="IAB1"/>
      <c r="IAC1"/>
      <c r="IAD1"/>
      <c r="IAE1"/>
      <c r="IAF1"/>
      <c r="IAG1"/>
      <c r="IAH1"/>
      <c r="IAI1"/>
      <c r="IAJ1"/>
      <c r="IAK1"/>
      <c r="IAL1"/>
      <c r="IAM1"/>
      <c r="IAN1"/>
      <c r="IAO1"/>
      <c r="IAP1"/>
      <c r="IAQ1"/>
      <c r="IAR1"/>
      <c r="IAS1"/>
      <c r="IAT1"/>
      <c r="IAU1"/>
      <c r="IAV1"/>
      <c r="IAW1"/>
      <c r="IAX1"/>
      <c r="IAY1"/>
      <c r="IAZ1"/>
      <c r="IBA1"/>
      <c r="IBB1"/>
      <c r="IBC1"/>
      <c r="IBD1"/>
      <c r="IBE1"/>
      <c r="IBF1"/>
      <c r="IBG1"/>
      <c r="IBH1"/>
      <c r="IBI1"/>
      <c r="IBJ1"/>
      <c r="IBK1"/>
      <c r="IBL1"/>
      <c r="IBM1"/>
      <c r="IBN1"/>
      <c r="IBO1"/>
      <c r="IBP1"/>
      <c r="IBQ1"/>
      <c r="IBR1"/>
      <c r="IBS1"/>
      <c r="IBT1"/>
      <c r="IBU1"/>
      <c r="IBV1"/>
      <c r="IBW1"/>
      <c r="IBX1"/>
      <c r="IBY1"/>
      <c r="IBZ1"/>
      <c r="ICA1"/>
      <c r="ICB1"/>
      <c r="ICC1"/>
      <c r="ICD1"/>
      <c r="ICE1"/>
      <c r="ICF1"/>
      <c r="ICG1"/>
      <c r="ICH1"/>
      <c r="ICI1"/>
      <c r="ICJ1"/>
      <c r="ICK1"/>
      <c r="ICL1"/>
      <c r="ICM1"/>
      <c r="ICN1"/>
      <c r="ICO1"/>
      <c r="ICP1"/>
      <c r="ICQ1"/>
      <c r="ICR1"/>
      <c r="ICS1"/>
      <c r="ICT1"/>
      <c r="ICU1"/>
      <c r="ICV1"/>
      <c r="ICW1"/>
      <c r="ICX1"/>
      <c r="ICY1"/>
      <c r="ICZ1"/>
      <c r="IDA1"/>
      <c r="IDB1"/>
      <c r="IDC1"/>
      <c r="IDD1"/>
      <c r="IDE1"/>
      <c r="IDF1"/>
      <c r="IDG1"/>
      <c r="IDH1"/>
      <c r="IDI1"/>
      <c r="IDJ1"/>
      <c r="IDK1"/>
      <c r="IDL1"/>
      <c r="IDM1"/>
      <c r="IDN1"/>
      <c r="IDO1"/>
      <c r="IDP1"/>
      <c r="IDQ1"/>
      <c r="IDR1"/>
      <c r="IDS1"/>
      <c r="IDT1"/>
      <c r="IDU1"/>
      <c r="IDV1"/>
      <c r="IDW1"/>
      <c r="IDX1"/>
      <c r="IDY1"/>
      <c r="IDZ1"/>
      <c r="IEA1"/>
      <c r="IEB1"/>
      <c r="IEC1"/>
      <c r="IED1"/>
      <c r="IEE1"/>
      <c r="IEF1"/>
      <c r="IEG1"/>
      <c r="IEH1"/>
      <c r="IEI1"/>
      <c r="IEJ1"/>
      <c r="IEK1"/>
      <c r="IEL1"/>
      <c r="IEM1"/>
      <c r="IEN1"/>
      <c r="IEO1"/>
      <c r="IEP1"/>
      <c r="IEQ1"/>
      <c r="IER1"/>
      <c r="IES1"/>
      <c r="IET1"/>
      <c r="IEU1"/>
      <c r="IEV1"/>
      <c r="IEW1"/>
      <c r="IEX1"/>
      <c r="IEY1"/>
      <c r="IEZ1"/>
      <c r="IFA1"/>
      <c r="IFB1"/>
      <c r="IFC1"/>
      <c r="IFD1"/>
      <c r="IFE1"/>
      <c r="IFF1"/>
      <c r="IFG1"/>
      <c r="IFH1"/>
      <c r="IFI1"/>
      <c r="IFJ1"/>
      <c r="IFK1"/>
      <c r="IFL1"/>
      <c r="IFM1"/>
      <c r="IFN1"/>
      <c r="IFO1"/>
      <c r="IFP1"/>
      <c r="IFQ1"/>
      <c r="IFR1"/>
      <c r="IFS1"/>
      <c r="IFT1"/>
      <c r="IFU1"/>
      <c r="IFV1"/>
      <c r="IFW1"/>
      <c r="IFX1"/>
      <c r="IFY1"/>
      <c r="IFZ1"/>
      <c r="IGA1"/>
      <c r="IGB1"/>
      <c r="IGC1"/>
      <c r="IGD1"/>
      <c r="IGE1"/>
      <c r="IGF1"/>
      <c r="IGG1"/>
      <c r="IGH1"/>
      <c r="IGI1"/>
      <c r="IGJ1"/>
      <c r="IGK1"/>
      <c r="IGL1"/>
      <c r="IGM1"/>
      <c r="IGN1"/>
      <c r="IGO1"/>
      <c r="IGP1"/>
      <c r="IGQ1"/>
      <c r="IGR1"/>
      <c r="IGS1"/>
      <c r="IGT1"/>
      <c r="IGU1"/>
      <c r="IGV1"/>
      <c r="IGW1"/>
      <c r="IGX1"/>
      <c r="IGY1"/>
      <c r="IGZ1"/>
      <c r="IHA1"/>
      <c r="IHB1"/>
      <c r="IHC1"/>
      <c r="IHD1"/>
      <c r="IHE1"/>
      <c r="IHF1"/>
      <c r="IHG1"/>
      <c r="IHH1"/>
      <c r="IHI1"/>
      <c r="IHJ1"/>
      <c r="IHK1"/>
      <c r="IHL1"/>
      <c r="IHM1"/>
      <c r="IHN1"/>
      <c r="IHO1"/>
      <c r="IHP1"/>
      <c r="IHQ1"/>
      <c r="IHR1"/>
      <c r="IHS1"/>
      <c r="IHT1"/>
      <c r="IHU1"/>
      <c r="IHV1"/>
      <c r="IHW1"/>
      <c r="IHX1"/>
      <c r="IHY1"/>
      <c r="IHZ1"/>
      <c r="IIA1"/>
      <c r="IIB1"/>
      <c r="IIC1"/>
      <c r="IID1"/>
      <c r="IIE1"/>
      <c r="IIF1"/>
      <c r="IIG1"/>
      <c r="IIH1"/>
      <c r="III1"/>
      <c r="IIJ1"/>
      <c r="IIK1"/>
      <c r="IIL1"/>
      <c r="IIM1"/>
      <c r="IIN1"/>
      <c r="IIO1"/>
      <c r="IIP1"/>
      <c r="IIQ1"/>
      <c r="IIR1"/>
      <c r="IIS1"/>
      <c r="IIT1"/>
      <c r="IIU1"/>
      <c r="IIV1"/>
      <c r="IIW1"/>
      <c r="IIX1"/>
      <c r="IIY1"/>
      <c r="IIZ1"/>
      <c r="IJA1"/>
      <c r="IJB1"/>
      <c r="IJC1"/>
      <c r="IJD1"/>
      <c r="IJE1"/>
      <c r="IJF1"/>
      <c r="IJG1"/>
      <c r="IJH1"/>
      <c r="IJI1"/>
      <c r="IJJ1"/>
      <c r="IJK1"/>
      <c r="IJL1"/>
      <c r="IJM1"/>
      <c r="IJN1"/>
      <c r="IJO1"/>
      <c r="IJP1"/>
      <c r="IJQ1"/>
      <c r="IJR1"/>
      <c r="IJS1"/>
      <c r="IJT1"/>
      <c r="IJU1"/>
      <c r="IJV1"/>
      <c r="IJW1"/>
      <c r="IJX1"/>
      <c r="IJY1"/>
      <c r="IJZ1"/>
      <c r="IKA1"/>
      <c r="IKB1"/>
      <c r="IKC1"/>
      <c r="IKD1"/>
      <c r="IKE1"/>
      <c r="IKF1"/>
      <c r="IKG1"/>
      <c r="IKH1"/>
      <c r="IKI1"/>
      <c r="IKJ1"/>
      <c r="IKK1"/>
      <c r="IKL1"/>
      <c r="IKM1"/>
      <c r="IKN1"/>
      <c r="IKO1"/>
      <c r="IKP1"/>
      <c r="IKQ1"/>
      <c r="IKR1"/>
      <c r="IKS1"/>
      <c r="IKT1"/>
      <c r="IKU1"/>
      <c r="IKV1"/>
      <c r="IKW1"/>
      <c r="IKX1"/>
      <c r="IKY1"/>
      <c r="IKZ1"/>
      <c r="ILA1"/>
      <c r="ILB1"/>
      <c r="ILC1"/>
      <c r="ILD1"/>
      <c r="ILE1"/>
      <c r="ILF1"/>
      <c r="ILG1"/>
      <c r="ILH1"/>
      <c r="ILI1"/>
      <c r="ILJ1"/>
      <c r="ILK1"/>
      <c r="ILL1"/>
      <c r="ILM1"/>
      <c r="ILN1"/>
      <c r="ILO1"/>
      <c r="ILP1"/>
      <c r="ILQ1"/>
      <c r="ILR1"/>
      <c r="ILS1"/>
      <c r="ILT1"/>
      <c r="ILU1"/>
      <c r="ILV1"/>
      <c r="ILW1"/>
      <c r="ILX1"/>
      <c r="ILY1"/>
      <c r="ILZ1"/>
      <c r="IMA1"/>
      <c r="IMB1"/>
      <c r="IMC1"/>
      <c r="IMD1"/>
      <c r="IME1"/>
      <c r="IMF1"/>
      <c r="IMG1"/>
      <c r="IMH1"/>
      <c r="IMI1"/>
      <c r="IMJ1"/>
      <c r="IMK1"/>
      <c r="IML1"/>
      <c r="IMM1"/>
      <c r="IMN1"/>
      <c r="IMO1"/>
      <c r="IMP1"/>
      <c r="IMQ1"/>
      <c r="IMR1"/>
      <c r="IMS1"/>
      <c r="IMT1"/>
      <c r="IMU1"/>
      <c r="IMV1"/>
      <c r="IMW1"/>
      <c r="IMX1"/>
      <c r="IMY1"/>
      <c r="IMZ1"/>
      <c r="INA1"/>
      <c r="INB1"/>
      <c r="INC1"/>
      <c r="IND1"/>
      <c r="INE1"/>
      <c r="INF1"/>
      <c r="ING1"/>
      <c r="INH1"/>
      <c r="INI1"/>
      <c r="INJ1"/>
      <c r="INK1"/>
      <c r="INL1"/>
      <c r="INM1"/>
      <c r="INN1"/>
      <c r="INO1"/>
      <c r="INP1"/>
      <c r="INQ1"/>
      <c r="INR1"/>
      <c r="INS1"/>
      <c r="INT1"/>
      <c r="INU1"/>
      <c r="INV1"/>
      <c r="INW1"/>
      <c r="INX1"/>
      <c r="INY1"/>
      <c r="INZ1"/>
      <c r="IOA1"/>
      <c r="IOB1"/>
      <c r="IOC1"/>
      <c r="IOD1"/>
      <c r="IOE1"/>
      <c r="IOF1"/>
      <c r="IOG1"/>
      <c r="IOH1"/>
      <c r="IOI1"/>
      <c r="IOJ1"/>
      <c r="IOK1"/>
      <c r="IOL1"/>
      <c r="IOM1"/>
      <c r="ION1"/>
      <c r="IOO1"/>
      <c r="IOP1"/>
      <c r="IOQ1"/>
      <c r="IOR1"/>
      <c r="IOS1"/>
      <c r="IOT1"/>
      <c r="IOU1"/>
      <c r="IOV1"/>
      <c r="IOW1"/>
      <c r="IOX1"/>
      <c r="IOY1"/>
      <c r="IOZ1"/>
      <c r="IPA1"/>
      <c r="IPB1"/>
      <c r="IPC1"/>
      <c r="IPD1"/>
      <c r="IPE1"/>
      <c r="IPF1"/>
      <c r="IPG1"/>
      <c r="IPH1"/>
      <c r="IPI1"/>
      <c r="IPJ1"/>
      <c r="IPK1"/>
      <c r="IPL1"/>
      <c r="IPM1"/>
      <c r="IPN1"/>
      <c r="IPO1"/>
      <c r="IPP1"/>
      <c r="IPQ1"/>
      <c r="IPR1"/>
      <c r="IPS1"/>
      <c r="IPT1"/>
      <c r="IPU1"/>
      <c r="IPV1"/>
      <c r="IPW1"/>
      <c r="IPX1"/>
      <c r="IPY1"/>
      <c r="IPZ1"/>
      <c r="IQA1"/>
      <c r="IQB1"/>
      <c r="IQC1"/>
      <c r="IQD1"/>
      <c r="IQE1"/>
      <c r="IQF1"/>
      <c r="IQG1"/>
      <c r="IQH1"/>
      <c r="IQI1"/>
      <c r="IQJ1"/>
      <c r="IQK1"/>
      <c r="IQL1"/>
      <c r="IQM1"/>
      <c r="IQN1"/>
      <c r="IQO1"/>
      <c r="IQP1"/>
      <c r="IQQ1"/>
      <c r="IQR1"/>
      <c r="IQS1"/>
      <c r="IQT1"/>
      <c r="IQU1"/>
      <c r="IQV1"/>
      <c r="IQW1"/>
      <c r="IQX1"/>
      <c r="IQY1"/>
      <c r="IQZ1"/>
      <c r="IRA1"/>
      <c r="IRB1"/>
      <c r="IRC1"/>
      <c r="IRD1"/>
      <c r="IRE1"/>
      <c r="IRF1"/>
      <c r="IRG1"/>
      <c r="IRH1"/>
      <c r="IRI1"/>
      <c r="IRJ1"/>
      <c r="IRK1"/>
      <c r="IRL1"/>
      <c r="IRM1"/>
      <c r="IRN1"/>
      <c r="IRO1"/>
      <c r="IRP1"/>
      <c r="IRQ1"/>
      <c r="IRR1"/>
      <c r="IRS1"/>
      <c r="IRT1"/>
      <c r="IRU1"/>
      <c r="IRV1"/>
      <c r="IRW1"/>
      <c r="IRX1"/>
      <c r="IRY1"/>
      <c r="IRZ1"/>
      <c r="ISA1"/>
      <c r="ISB1"/>
      <c r="ISC1"/>
      <c r="ISD1"/>
      <c r="ISE1"/>
      <c r="ISF1"/>
      <c r="ISG1"/>
      <c r="ISH1"/>
      <c r="ISI1"/>
      <c r="ISJ1"/>
      <c r="ISK1"/>
      <c r="ISL1"/>
      <c r="ISM1"/>
      <c r="ISN1"/>
      <c r="ISO1"/>
      <c r="ISP1"/>
      <c r="ISQ1"/>
      <c r="ISR1"/>
      <c r="ISS1"/>
      <c r="IST1"/>
      <c r="ISU1"/>
      <c r="ISV1"/>
      <c r="ISW1"/>
      <c r="ISX1"/>
      <c r="ISY1"/>
      <c r="ISZ1"/>
      <c r="ITA1"/>
      <c r="ITB1"/>
      <c r="ITC1"/>
      <c r="ITD1"/>
      <c r="ITE1"/>
      <c r="ITF1"/>
      <c r="ITG1"/>
      <c r="ITH1"/>
      <c r="ITI1"/>
      <c r="ITJ1"/>
      <c r="ITK1"/>
      <c r="ITL1"/>
      <c r="ITM1"/>
      <c r="ITN1"/>
      <c r="ITO1"/>
      <c r="ITP1"/>
      <c r="ITQ1"/>
      <c r="ITR1"/>
      <c r="ITS1"/>
      <c r="ITT1"/>
      <c r="ITU1"/>
      <c r="ITV1"/>
      <c r="ITW1"/>
      <c r="ITX1"/>
      <c r="ITY1"/>
      <c r="ITZ1"/>
      <c r="IUA1"/>
      <c r="IUB1"/>
      <c r="IUC1"/>
      <c r="IUD1"/>
      <c r="IUE1"/>
      <c r="IUF1"/>
      <c r="IUG1"/>
      <c r="IUH1"/>
      <c r="IUI1"/>
      <c r="IUJ1"/>
      <c r="IUK1"/>
      <c r="IUL1"/>
      <c r="IUM1"/>
      <c r="IUN1"/>
      <c r="IUO1"/>
      <c r="IUP1"/>
      <c r="IUQ1"/>
      <c r="IUR1"/>
      <c r="IUS1"/>
      <c r="IUT1"/>
      <c r="IUU1"/>
      <c r="IUV1"/>
      <c r="IUW1"/>
      <c r="IUX1"/>
      <c r="IUY1"/>
      <c r="IUZ1"/>
      <c r="IVA1"/>
      <c r="IVB1"/>
      <c r="IVC1"/>
      <c r="IVD1"/>
      <c r="IVE1"/>
      <c r="IVF1"/>
      <c r="IVG1"/>
      <c r="IVH1"/>
      <c r="IVI1"/>
      <c r="IVJ1"/>
      <c r="IVK1"/>
      <c r="IVL1"/>
      <c r="IVM1"/>
      <c r="IVN1"/>
      <c r="IVO1"/>
      <c r="IVP1"/>
      <c r="IVQ1"/>
      <c r="IVR1"/>
      <c r="IVS1"/>
      <c r="IVT1"/>
      <c r="IVU1"/>
      <c r="IVV1"/>
      <c r="IVW1"/>
      <c r="IVX1"/>
      <c r="IVY1"/>
      <c r="IVZ1"/>
      <c r="IWA1"/>
      <c r="IWB1"/>
      <c r="IWC1"/>
      <c r="IWD1"/>
      <c r="IWE1"/>
      <c r="IWF1"/>
      <c r="IWG1"/>
      <c r="IWH1"/>
      <c r="IWI1"/>
      <c r="IWJ1"/>
      <c r="IWK1"/>
      <c r="IWL1"/>
      <c r="IWM1"/>
      <c r="IWN1"/>
      <c r="IWO1"/>
      <c r="IWP1"/>
      <c r="IWQ1"/>
      <c r="IWR1"/>
      <c r="IWS1"/>
      <c r="IWT1"/>
      <c r="IWU1"/>
      <c r="IWV1"/>
      <c r="IWW1"/>
      <c r="IWX1"/>
      <c r="IWY1"/>
      <c r="IWZ1"/>
      <c r="IXA1"/>
      <c r="IXB1"/>
      <c r="IXC1"/>
      <c r="IXD1"/>
      <c r="IXE1"/>
      <c r="IXF1"/>
      <c r="IXG1"/>
      <c r="IXH1"/>
      <c r="IXI1"/>
      <c r="IXJ1"/>
      <c r="IXK1"/>
      <c r="IXL1"/>
      <c r="IXM1"/>
      <c r="IXN1"/>
      <c r="IXO1"/>
      <c r="IXP1"/>
      <c r="IXQ1"/>
      <c r="IXR1"/>
      <c r="IXS1"/>
      <c r="IXT1"/>
      <c r="IXU1"/>
      <c r="IXV1"/>
      <c r="IXW1"/>
      <c r="IXX1"/>
      <c r="IXY1"/>
      <c r="IXZ1"/>
      <c r="IYA1"/>
      <c r="IYB1"/>
      <c r="IYC1"/>
      <c r="IYD1"/>
      <c r="IYE1"/>
      <c r="IYF1"/>
      <c r="IYG1"/>
      <c r="IYH1"/>
      <c r="IYI1"/>
      <c r="IYJ1"/>
      <c r="IYK1"/>
      <c r="IYL1"/>
      <c r="IYM1"/>
      <c r="IYN1"/>
      <c r="IYO1"/>
      <c r="IYP1"/>
      <c r="IYQ1"/>
      <c r="IYR1"/>
      <c r="IYS1"/>
      <c r="IYT1"/>
      <c r="IYU1"/>
      <c r="IYV1"/>
      <c r="IYW1"/>
      <c r="IYX1"/>
      <c r="IYY1"/>
      <c r="IYZ1"/>
      <c r="IZA1"/>
      <c r="IZB1"/>
      <c r="IZC1"/>
      <c r="IZD1"/>
      <c r="IZE1"/>
      <c r="IZF1"/>
      <c r="IZG1"/>
      <c r="IZH1"/>
      <c r="IZI1"/>
      <c r="IZJ1"/>
      <c r="IZK1"/>
      <c r="IZL1"/>
      <c r="IZM1"/>
      <c r="IZN1"/>
      <c r="IZO1"/>
      <c r="IZP1"/>
      <c r="IZQ1"/>
      <c r="IZR1"/>
      <c r="IZS1"/>
      <c r="IZT1"/>
      <c r="IZU1"/>
      <c r="IZV1"/>
      <c r="IZW1"/>
      <c r="IZX1"/>
      <c r="IZY1"/>
      <c r="IZZ1"/>
      <c r="JAA1"/>
      <c r="JAB1"/>
      <c r="JAC1"/>
      <c r="JAD1"/>
      <c r="JAE1"/>
      <c r="JAF1"/>
      <c r="JAG1"/>
      <c r="JAH1"/>
      <c r="JAI1"/>
      <c r="JAJ1"/>
      <c r="JAK1"/>
      <c r="JAL1"/>
      <c r="JAM1"/>
      <c r="JAN1"/>
      <c r="JAO1"/>
      <c r="JAP1"/>
      <c r="JAQ1"/>
      <c r="JAR1"/>
      <c r="JAS1"/>
      <c r="JAT1"/>
      <c r="JAU1"/>
      <c r="JAV1"/>
      <c r="JAW1"/>
      <c r="JAX1"/>
      <c r="JAY1"/>
      <c r="JAZ1"/>
      <c r="JBA1"/>
      <c r="JBB1"/>
      <c r="JBC1"/>
      <c r="JBD1"/>
      <c r="JBE1"/>
      <c r="JBF1"/>
      <c r="JBG1"/>
      <c r="JBH1"/>
      <c r="JBI1"/>
      <c r="JBJ1"/>
      <c r="JBK1"/>
      <c r="JBL1"/>
      <c r="JBM1"/>
      <c r="JBN1"/>
      <c r="JBO1"/>
      <c r="JBP1"/>
      <c r="JBQ1"/>
      <c r="JBR1"/>
      <c r="JBS1"/>
      <c r="JBT1"/>
      <c r="JBU1"/>
      <c r="JBV1"/>
      <c r="JBW1"/>
      <c r="JBX1"/>
      <c r="JBY1"/>
      <c r="JBZ1"/>
      <c r="JCA1"/>
      <c r="JCB1"/>
      <c r="JCC1"/>
      <c r="JCD1"/>
      <c r="JCE1"/>
      <c r="JCF1"/>
      <c r="JCG1"/>
      <c r="JCH1"/>
      <c r="JCI1"/>
      <c r="JCJ1"/>
      <c r="JCK1"/>
      <c r="JCL1"/>
      <c r="JCM1"/>
      <c r="JCN1"/>
      <c r="JCO1"/>
      <c r="JCP1"/>
      <c r="JCQ1"/>
      <c r="JCR1"/>
      <c r="JCS1"/>
      <c r="JCT1"/>
      <c r="JCU1"/>
      <c r="JCV1"/>
      <c r="JCW1"/>
      <c r="JCX1"/>
      <c r="JCY1"/>
      <c r="JCZ1"/>
      <c r="JDA1"/>
      <c r="JDB1"/>
      <c r="JDC1"/>
      <c r="JDD1"/>
      <c r="JDE1"/>
      <c r="JDF1"/>
      <c r="JDG1"/>
      <c r="JDH1"/>
      <c r="JDI1"/>
      <c r="JDJ1"/>
      <c r="JDK1"/>
      <c r="JDL1"/>
      <c r="JDM1"/>
      <c r="JDN1"/>
      <c r="JDO1"/>
      <c r="JDP1"/>
      <c r="JDQ1"/>
      <c r="JDR1"/>
      <c r="JDS1"/>
      <c r="JDT1"/>
      <c r="JDU1"/>
      <c r="JDV1"/>
      <c r="JDW1"/>
      <c r="JDX1"/>
      <c r="JDY1"/>
      <c r="JDZ1"/>
      <c r="JEA1"/>
      <c r="JEB1"/>
      <c r="JEC1"/>
      <c r="JED1"/>
      <c r="JEE1"/>
      <c r="JEF1"/>
      <c r="JEG1"/>
      <c r="JEH1"/>
      <c r="JEI1"/>
      <c r="JEJ1"/>
      <c r="JEK1"/>
      <c r="JEL1"/>
      <c r="JEM1"/>
      <c r="JEN1"/>
      <c r="JEO1"/>
      <c r="JEP1"/>
      <c r="JEQ1"/>
      <c r="JER1"/>
      <c r="JES1"/>
      <c r="JET1"/>
      <c r="JEU1"/>
      <c r="JEV1"/>
      <c r="JEW1"/>
      <c r="JEX1"/>
      <c r="JEY1"/>
      <c r="JEZ1"/>
      <c r="JFA1"/>
      <c r="JFB1"/>
      <c r="JFC1"/>
      <c r="JFD1"/>
      <c r="JFE1"/>
      <c r="JFF1"/>
      <c r="JFG1"/>
      <c r="JFH1"/>
      <c r="JFI1"/>
      <c r="JFJ1"/>
      <c r="JFK1"/>
      <c r="JFL1"/>
      <c r="JFM1"/>
      <c r="JFN1"/>
      <c r="JFO1"/>
      <c r="JFP1"/>
      <c r="JFQ1"/>
      <c r="JFR1"/>
      <c r="JFS1"/>
      <c r="JFT1"/>
      <c r="JFU1"/>
      <c r="JFV1"/>
      <c r="JFW1"/>
      <c r="JFX1"/>
      <c r="JFY1"/>
      <c r="JFZ1"/>
      <c r="JGA1"/>
      <c r="JGB1"/>
      <c r="JGC1"/>
      <c r="JGD1"/>
      <c r="JGE1"/>
      <c r="JGF1"/>
      <c r="JGG1"/>
      <c r="JGH1"/>
      <c r="JGI1"/>
      <c r="JGJ1"/>
      <c r="JGK1"/>
      <c r="JGL1"/>
      <c r="JGM1"/>
      <c r="JGN1"/>
      <c r="JGO1"/>
      <c r="JGP1"/>
      <c r="JGQ1"/>
      <c r="JGR1"/>
      <c r="JGS1"/>
      <c r="JGT1"/>
      <c r="JGU1"/>
      <c r="JGV1"/>
      <c r="JGW1"/>
      <c r="JGX1"/>
      <c r="JGY1"/>
      <c r="JGZ1"/>
      <c r="JHA1"/>
      <c r="JHB1"/>
      <c r="JHC1"/>
      <c r="JHD1"/>
      <c r="JHE1"/>
      <c r="JHF1"/>
      <c r="JHG1"/>
      <c r="JHH1"/>
      <c r="JHI1"/>
      <c r="JHJ1"/>
      <c r="JHK1"/>
      <c r="JHL1"/>
      <c r="JHM1"/>
      <c r="JHN1"/>
      <c r="JHO1"/>
      <c r="JHP1"/>
      <c r="JHQ1"/>
      <c r="JHR1"/>
      <c r="JHS1"/>
      <c r="JHT1"/>
      <c r="JHU1"/>
      <c r="JHV1"/>
      <c r="JHW1"/>
      <c r="JHX1"/>
      <c r="JHY1"/>
      <c r="JHZ1"/>
      <c r="JIA1"/>
      <c r="JIB1"/>
      <c r="JIC1"/>
      <c r="JID1"/>
      <c r="JIE1"/>
      <c r="JIF1"/>
      <c r="JIG1"/>
      <c r="JIH1"/>
      <c r="JII1"/>
      <c r="JIJ1"/>
      <c r="JIK1"/>
      <c r="JIL1"/>
      <c r="JIM1"/>
      <c r="JIN1"/>
      <c r="JIO1"/>
      <c r="JIP1"/>
      <c r="JIQ1"/>
      <c r="JIR1"/>
      <c r="JIS1"/>
      <c r="JIT1"/>
      <c r="JIU1"/>
      <c r="JIV1"/>
      <c r="JIW1"/>
      <c r="JIX1"/>
      <c r="JIY1"/>
      <c r="JIZ1"/>
      <c r="JJA1"/>
      <c r="JJB1"/>
      <c r="JJC1"/>
      <c r="JJD1"/>
      <c r="JJE1"/>
      <c r="JJF1"/>
      <c r="JJG1"/>
      <c r="JJH1"/>
      <c r="JJI1"/>
      <c r="JJJ1"/>
      <c r="JJK1"/>
      <c r="JJL1"/>
      <c r="JJM1"/>
      <c r="JJN1"/>
      <c r="JJO1"/>
      <c r="JJP1"/>
      <c r="JJQ1"/>
      <c r="JJR1"/>
      <c r="JJS1"/>
      <c r="JJT1"/>
      <c r="JJU1"/>
      <c r="JJV1"/>
      <c r="JJW1"/>
      <c r="JJX1"/>
      <c r="JJY1"/>
      <c r="JJZ1"/>
      <c r="JKA1"/>
      <c r="JKB1"/>
      <c r="JKC1"/>
      <c r="JKD1"/>
      <c r="JKE1"/>
      <c r="JKF1"/>
      <c r="JKG1"/>
      <c r="JKH1"/>
      <c r="JKI1"/>
      <c r="JKJ1"/>
      <c r="JKK1"/>
      <c r="JKL1"/>
      <c r="JKM1"/>
      <c r="JKN1"/>
      <c r="JKO1"/>
      <c r="JKP1"/>
      <c r="JKQ1"/>
      <c r="JKR1"/>
      <c r="JKS1"/>
      <c r="JKT1"/>
      <c r="JKU1"/>
      <c r="JKV1"/>
      <c r="JKW1"/>
      <c r="JKX1"/>
      <c r="JKY1"/>
      <c r="JKZ1"/>
      <c r="JLA1"/>
      <c r="JLB1"/>
      <c r="JLC1"/>
      <c r="JLD1"/>
      <c r="JLE1"/>
      <c r="JLF1"/>
      <c r="JLG1"/>
      <c r="JLH1"/>
      <c r="JLI1"/>
      <c r="JLJ1"/>
      <c r="JLK1"/>
      <c r="JLL1"/>
      <c r="JLM1"/>
      <c r="JLN1"/>
      <c r="JLO1"/>
      <c r="JLP1"/>
      <c r="JLQ1"/>
      <c r="JLR1"/>
      <c r="JLS1"/>
      <c r="JLT1"/>
      <c r="JLU1"/>
      <c r="JLV1"/>
      <c r="JLW1"/>
      <c r="JLX1"/>
      <c r="JLY1"/>
      <c r="JLZ1"/>
      <c r="JMA1"/>
      <c r="JMB1"/>
      <c r="JMC1"/>
      <c r="JMD1"/>
      <c r="JME1"/>
      <c r="JMF1"/>
      <c r="JMG1"/>
      <c r="JMH1"/>
      <c r="JMI1"/>
      <c r="JMJ1"/>
      <c r="JMK1"/>
      <c r="JML1"/>
      <c r="JMM1"/>
      <c r="JMN1"/>
      <c r="JMO1"/>
      <c r="JMP1"/>
      <c r="JMQ1"/>
      <c r="JMR1"/>
      <c r="JMS1"/>
      <c r="JMT1"/>
      <c r="JMU1"/>
      <c r="JMV1"/>
      <c r="JMW1"/>
      <c r="JMX1"/>
      <c r="JMY1"/>
      <c r="JMZ1"/>
      <c r="JNA1"/>
      <c r="JNB1"/>
      <c r="JNC1"/>
      <c r="JND1"/>
      <c r="JNE1"/>
      <c r="JNF1"/>
      <c r="JNG1"/>
      <c r="JNH1"/>
      <c r="JNI1"/>
      <c r="JNJ1"/>
      <c r="JNK1"/>
      <c r="JNL1"/>
      <c r="JNM1"/>
      <c r="JNN1"/>
      <c r="JNO1"/>
      <c r="JNP1"/>
      <c r="JNQ1"/>
      <c r="JNR1"/>
      <c r="JNS1"/>
      <c r="JNT1"/>
      <c r="JNU1"/>
      <c r="JNV1"/>
      <c r="JNW1"/>
      <c r="JNX1"/>
      <c r="JNY1"/>
      <c r="JNZ1"/>
      <c r="JOA1"/>
      <c r="JOB1"/>
      <c r="JOC1"/>
      <c r="JOD1"/>
      <c r="JOE1"/>
      <c r="JOF1"/>
      <c r="JOG1"/>
      <c r="JOH1"/>
      <c r="JOI1"/>
      <c r="JOJ1"/>
      <c r="JOK1"/>
      <c r="JOL1"/>
      <c r="JOM1"/>
      <c r="JON1"/>
      <c r="JOO1"/>
      <c r="JOP1"/>
      <c r="JOQ1"/>
      <c r="JOR1"/>
      <c r="JOS1"/>
      <c r="JOT1"/>
      <c r="JOU1"/>
      <c r="JOV1"/>
      <c r="JOW1"/>
      <c r="JOX1"/>
      <c r="JOY1"/>
      <c r="JOZ1"/>
      <c r="JPA1"/>
      <c r="JPB1"/>
      <c r="JPC1"/>
      <c r="JPD1"/>
      <c r="JPE1"/>
      <c r="JPF1"/>
      <c r="JPG1"/>
      <c r="JPH1"/>
      <c r="JPI1"/>
      <c r="JPJ1"/>
      <c r="JPK1"/>
      <c r="JPL1"/>
      <c r="JPM1"/>
      <c r="JPN1"/>
      <c r="JPO1"/>
      <c r="JPP1"/>
      <c r="JPQ1"/>
      <c r="JPR1"/>
      <c r="JPS1"/>
      <c r="JPT1"/>
      <c r="JPU1"/>
      <c r="JPV1"/>
      <c r="JPW1"/>
      <c r="JPX1"/>
      <c r="JPY1"/>
      <c r="JPZ1"/>
      <c r="JQA1"/>
      <c r="JQB1"/>
      <c r="JQC1"/>
      <c r="JQD1"/>
      <c r="JQE1"/>
      <c r="JQF1"/>
      <c r="JQG1"/>
      <c r="JQH1"/>
      <c r="JQI1"/>
      <c r="JQJ1"/>
      <c r="JQK1"/>
      <c r="JQL1"/>
      <c r="JQM1"/>
      <c r="JQN1"/>
      <c r="JQO1"/>
      <c r="JQP1"/>
      <c r="JQQ1"/>
      <c r="JQR1"/>
      <c r="JQS1"/>
      <c r="JQT1"/>
      <c r="JQU1"/>
      <c r="JQV1"/>
      <c r="JQW1"/>
      <c r="JQX1"/>
      <c r="JQY1"/>
      <c r="JQZ1"/>
      <c r="JRA1"/>
      <c r="JRB1"/>
      <c r="JRC1"/>
      <c r="JRD1"/>
      <c r="JRE1"/>
      <c r="JRF1"/>
      <c r="JRG1"/>
      <c r="JRH1"/>
      <c r="JRI1"/>
      <c r="JRJ1"/>
      <c r="JRK1"/>
      <c r="JRL1"/>
      <c r="JRM1"/>
      <c r="JRN1"/>
      <c r="JRO1"/>
      <c r="JRP1"/>
      <c r="JRQ1"/>
      <c r="JRR1"/>
      <c r="JRS1"/>
      <c r="JRT1"/>
      <c r="JRU1"/>
      <c r="JRV1"/>
      <c r="JRW1"/>
      <c r="JRX1"/>
      <c r="JRY1"/>
      <c r="JRZ1"/>
      <c r="JSA1"/>
      <c r="JSB1"/>
      <c r="JSC1"/>
      <c r="JSD1"/>
      <c r="JSE1"/>
      <c r="JSF1"/>
      <c r="JSG1"/>
      <c r="JSH1"/>
      <c r="JSI1"/>
      <c r="JSJ1"/>
      <c r="JSK1"/>
      <c r="JSL1"/>
      <c r="JSM1"/>
      <c r="JSN1"/>
      <c r="JSO1"/>
      <c r="JSP1"/>
      <c r="JSQ1"/>
      <c r="JSR1"/>
      <c r="JSS1"/>
      <c r="JST1"/>
      <c r="JSU1"/>
      <c r="JSV1"/>
      <c r="JSW1"/>
      <c r="JSX1"/>
      <c r="JSY1"/>
      <c r="JSZ1"/>
      <c r="JTA1"/>
      <c r="JTB1"/>
      <c r="JTC1"/>
      <c r="JTD1"/>
      <c r="JTE1"/>
      <c r="JTF1"/>
      <c r="JTG1"/>
      <c r="JTH1"/>
      <c r="JTI1"/>
      <c r="JTJ1"/>
      <c r="JTK1"/>
      <c r="JTL1"/>
      <c r="JTM1"/>
      <c r="JTN1"/>
      <c r="JTO1"/>
      <c r="JTP1"/>
      <c r="JTQ1"/>
      <c r="JTR1"/>
      <c r="JTS1"/>
      <c r="JTT1"/>
      <c r="JTU1"/>
      <c r="JTV1"/>
      <c r="JTW1"/>
      <c r="JTX1"/>
      <c r="JTY1"/>
      <c r="JTZ1"/>
      <c r="JUA1"/>
      <c r="JUB1"/>
      <c r="JUC1"/>
      <c r="JUD1"/>
      <c r="JUE1"/>
      <c r="JUF1"/>
      <c r="JUG1"/>
      <c r="JUH1"/>
      <c r="JUI1"/>
      <c r="JUJ1"/>
      <c r="JUK1"/>
      <c r="JUL1"/>
      <c r="JUM1"/>
      <c r="JUN1"/>
      <c r="JUO1"/>
      <c r="JUP1"/>
      <c r="JUQ1"/>
      <c r="JUR1"/>
      <c r="JUS1"/>
      <c r="JUT1"/>
      <c r="JUU1"/>
      <c r="JUV1"/>
      <c r="JUW1"/>
      <c r="JUX1"/>
      <c r="JUY1"/>
      <c r="JUZ1"/>
      <c r="JVA1"/>
      <c r="JVB1"/>
      <c r="JVC1"/>
      <c r="JVD1"/>
      <c r="JVE1"/>
      <c r="JVF1"/>
      <c r="JVG1"/>
      <c r="JVH1"/>
      <c r="JVI1"/>
      <c r="JVJ1"/>
      <c r="JVK1"/>
      <c r="JVL1"/>
      <c r="JVM1"/>
      <c r="JVN1"/>
      <c r="JVO1"/>
      <c r="JVP1"/>
      <c r="JVQ1"/>
      <c r="JVR1"/>
      <c r="JVS1"/>
      <c r="JVT1"/>
      <c r="JVU1"/>
      <c r="JVV1"/>
      <c r="JVW1"/>
      <c r="JVX1"/>
      <c r="JVY1"/>
      <c r="JVZ1"/>
      <c r="JWA1"/>
      <c r="JWB1"/>
      <c r="JWC1"/>
      <c r="JWD1"/>
      <c r="JWE1"/>
      <c r="JWF1"/>
      <c r="JWG1"/>
      <c r="JWH1"/>
      <c r="JWI1"/>
      <c r="JWJ1"/>
      <c r="JWK1"/>
      <c r="JWL1"/>
      <c r="JWM1"/>
      <c r="JWN1"/>
      <c r="JWO1"/>
      <c r="JWP1"/>
      <c r="JWQ1"/>
      <c r="JWR1"/>
      <c r="JWS1"/>
      <c r="JWT1"/>
      <c r="JWU1"/>
      <c r="JWV1"/>
      <c r="JWW1"/>
      <c r="JWX1"/>
      <c r="JWY1"/>
      <c r="JWZ1"/>
      <c r="JXA1"/>
      <c r="JXB1"/>
      <c r="JXC1"/>
      <c r="JXD1"/>
      <c r="JXE1"/>
      <c r="JXF1"/>
      <c r="JXG1"/>
      <c r="JXH1"/>
      <c r="JXI1"/>
      <c r="JXJ1"/>
      <c r="JXK1"/>
      <c r="JXL1"/>
      <c r="JXM1"/>
      <c r="JXN1"/>
      <c r="JXO1"/>
      <c r="JXP1"/>
      <c r="JXQ1"/>
      <c r="JXR1"/>
      <c r="JXS1"/>
      <c r="JXT1"/>
      <c r="JXU1"/>
      <c r="JXV1"/>
      <c r="JXW1"/>
      <c r="JXX1"/>
      <c r="JXY1"/>
      <c r="JXZ1"/>
      <c r="JYA1"/>
      <c r="JYB1"/>
      <c r="JYC1"/>
      <c r="JYD1"/>
      <c r="JYE1"/>
      <c r="JYF1"/>
      <c r="JYG1"/>
      <c r="JYH1"/>
      <c r="JYI1"/>
      <c r="JYJ1"/>
      <c r="JYK1"/>
      <c r="JYL1"/>
      <c r="JYM1"/>
      <c r="JYN1"/>
      <c r="JYO1"/>
      <c r="JYP1"/>
      <c r="JYQ1"/>
      <c r="JYR1"/>
      <c r="JYS1"/>
      <c r="JYT1"/>
      <c r="JYU1"/>
      <c r="JYV1"/>
      <c r="JYW1"/>
      <c r="JYX1"/>
      <c r="JYY1"/>
      <c r="JYZ1"/>
      <c r="JZA1"/>
      <c r="JZB1"/>
      <c r="JZC1"/>
      <c r="JZD1"/>
      <c r="JZE1"/>
      <c r="JZF1"/>
      <c r="JZG1"/>
      <c r="JZH1"/>
      <c r="JZI1"/>
      <c r="JZJ1"/>
      <c r="JZK1"/>
      <c r="JZL1"/>
      <c r="JZM1"/>
      <c r="JZN1"/>
      <c r="JZO1"/>
      <c r="JZP1"/>
      <c r="JZQ1"/>
      <c r="JZR1"/>
      <c r="JZS1"/>
      <c r="JZT1"/>
      <c r="JZU1"/>
      <c r="JZV1"/>
      <c r="JZW1"/>
      <c r="JZX1"/>
      <c r="JZY1"/>
      <c r="JZZ1"/>
      <c r="KAA1"/>
      <c r="KAB1"/>
      <c r="KAC1"/>
      <c r="KAD1"/>
      <c r="KAE1"/>
      <c r="KAF1"/>
      <c r="KAG1"/>
      <c r="KAH1"/>
      <c r="KAI1"/>
      <c r="KAJ1"/>
      <c r="KAK1"/>
      <c r="KAL1"/>
      <c r="KAM1"/>
      <c r="KAN1"/>
      <c r="KAO1"/>
      <c r="KAP1"/>
      <c r="KAQ1"/>
      <c r="KAR1"/>
      <c r="KAS1"/>
      <c r="KAT1"/>
      <c r="KAU1"/>
      <c r="KAV1"/>
      <c r="KAW1"/>
      <c r="KAX1"/>
      <c r="KAY1"/>
      <c r="KAZ1"/>
      <c r="KBA1"/>
      <c r="KBB1"/>
      <c r="KBC1"/>
      <c r="KBD1"/>
      <c r="KBE1"/>
      <c r="KBF1"/>
      <c r="KBG1"/>
      <c r="KBH1"/>
      <c r="KBI1"/>
      <c r="KBJ1"/>
      <c r="KBK1"/>
      <c r="KBL1"/>
      <c r="KBM1"/>
      <c r="KBN1"/>
      <c r="KBO1"/>
      <c r="KBP1"/>
      <c r="KBQ1"/>
      <c r="KBR1"/>
      <c r="KBS1"/>
      <c r="KBT1"/>
      <c r="KBU1"/>
      <c r="KBV1"/>
      <c r="KBW1"/>
      <c r="KBX1"/>
      <c r="KBY1"/>
      <c r="KBZ1"/>
      <c r="KCA1"/>
      <c r="KCB1"/>
      <c r="KCC1"/>
      <c r="KCD1"/>
      <c r="KCE1"/>
      <c r="KCF1"/>
      <c r="KCG1"/>
      <c r="KCH1"/>
      <c r="KCI1"/>
      <c r="KCJ1"/>
      <c r="KCK1"/>
      <c r="KCL1"/>
      <c r="KCM1"/>
      <c r="KCN1"/>
      <c r="KCO1"/>
      <c r="KCP1"/>
      <c r="KCQ1"/>
      <c r="KCR1"/>
      <c r="KCS1"/>
      <c r="KCT1"/>
      <c r="KCU1"/>
      <c r="KCV1"/>
      <c r="KCW1"/>
      <c r="KCX1"/>
      <c r="KCY1"/>
      <c r="KCZ1"/>
      <c r="KDA1"/>
      <c r="KDB1"/>
      <c r="KDC1"/>
      <c r="KDD1"/>
      <c r="KDE1"/>
      <c r="KDF1"/>
      <c r="KDG1"/>
      <c r="KDH1"/>
      <c r="KDI1"/>
      <c r="KDJ1"/>
      <c r="KDK1"/>
      <c r="KDL1"/>
      <c r="KDM1"/>
      <c r="KDN1"/>
      <c r="KDO1"/>
      <c r="KDP1"/>
      <c r="KDQ1"/>
      <c r="KDR1"/>
      <c r="KDS1"/>
      <c r="KDT1"/>
      <c r="KDU1"/>
      <c r="KDV1"/>
      <c r="KDW1"/>
      <c r="KDX1"/>
      <c r="KDY1"/>
      <c r="KDZ1"/>
      <c r="KEA1"/>
      <c r="KEB1"/>
      <c r="KEC1"/>
      <c r="KED1"/>
      <c r="KEE1"/>
      <c r="KEF1"/>
      <c r="KEG1"/>
      <c r="KEH1"/>
      <c r="KEI1"/>
      <c r="KEJ1"/>
      <c r="KEK1"/>
      <c r="KEL1"/>
      <c r="KEM1"/>
      <c r="KEN1"/>
      <c r="KEO1"/>
      <c r="KEP1"/>
      <c r="KEQ1"/>
      <c r="KER1"/>
      <c r="KES1"/>
      <c r="KET1"/>
      <c r="KEU1"/>
      <c r="KEV1"/>
      <c r="KEW1"/>
      <c r="KEX1"/>
      <c r="KEY1"/>
      <c r="KEZ1"/>
      <c r="KFA1"/>
      <c r="KFB1"/>
      <c r="KFC1"/>
      <c r="KFD1"/>
      <c r="KFE1"/>
      <c r="KFF1"/>
      <c r="KFG1"/>
      <c r="KFH1"/>
      <c r="KFI1"/>
      <c r="KFJ1"/>
      <c r="KFK1"/>
      <c r="KFL1"/>
      <c r="KFM1"/>
      <c r="KFN1"/>
      <c r="KFO1"/>
      <c r="KFP1"/>
      <c r="KFQ1"/>
      <c r="KFR1"/>
      <c r="KFS1"/>
      <c r="KFT1"/>
      <c r="KFU1"/>
      <c r="KFV1"/>
      <c r="KFW1"/>
      <c r="KFX1"/>
      <c r="KFY1"/>
      <c r="KFZ1"/>
      <c r="KGA1"/>
      <c r="KGB1"/>
      <c r="KGC1"/>
      <c r="KGD1"/>
      <c r="KGE1"/>
      <c r="KGF1"/>
      <c r="KGG1"/>
      <c r="KGH1"/>
      <c r="KGI1"/>
      <c r="KGJ1"/>
      <c r="KGK1"/>
      <c r="KGL1"/>
      <c r="KGM1"/>
      <c r="KGN1"/>
      <c r="KGO1"/>
      <c r="KGP1"/>
      <c r="KGQ1"/>
      <c r="KGR1"/>
      <c r="KGS1"/>
      <c r="KGT1"/>
      <c r="KGU1"/>
      <c r="KGV1"/>
      <c r="KGW1"/>
      <c r="KGX1"/>
      <c r="KGY1"/>
      <c r="KGZ1"/>
      <c r="KHA1"/>
      <c r="KHB1"/>
      <c r="KHC1"/>
      <c r="KHD1"/>
      <c r="KHE1"/>
      <c r="KHF1"/>
      <c r="KHG1"/>
      <c r="KHH1"/>
      <c r="KHI1"/>
      <c r="KHJ1"/>
      <c r="KHK1"/>
      <c r="KHL1"/>
      <c r="KHM1"/>
      <c r="KHN1"/>
      <c r="KHO1"/>
      <c r="KHP1"/>
      <c r="KHQ1"/>
      <c r="KHR1"/>
      <c r="KHS1"/>
      <c r="KHT1"/>
      <c r="KHU1"/>
      <c r="KHV1"/>
      <c r="KHW1"/>
      <c r="KHX1"/>
      <c r="KHY1"/>
      <c r="KHZ1"/>
      <c r="KIA1"/>
      <c r="KIB1"/>
      <c r="KIC1"/>
      <c r="KID1"/>
      <c r="KIE1"/>
      <c r="KIF1"/>
      <c r="KIG1"/>
      <c r="KIH1"/>
      <c r="KII1"/>
      <c r="KIJ1"/>
      <c r="KIK1"/>
      <c r="KIL1"/>
      <c r="KIM1"/>
      <c r="KIN1"/>
      <c r="KIO1"/>
      <c r="KIP1"/>
      <c r="KIQ1"/>
      <c r="KIR1"/>
      <c r="KIS1"/>
      <c r="KIT1"/>
      <c r="KIU1"/>
      <c r="KIV1"/>
      <c r="KIW1"/>
      <c r="KIX1"/>
      <c r="KIY1"/>
      <c r="KIZ1"/>
      <c r="KJA1"/>
      <c r="KJB1"/>
      <c r="KJC1"/>
      <c r="KJD1"/>
      <c r="KJE1"/>
      <c r="KJF1"/>
      <c r="KJG1"/>
      <c r="KJH1"/>
      <c r="KJI1"/>
      <c r="KJJ1"/>
      <c r="KJK1"/>
      <c r="KJL1"/>
      <c r="KJM1"/>
      <c r="KJN1"/>
      <c r="KJO1"/>
      <c r="KJP1"/>
      <c r="KJQ1"/>
      <c r="KJR1"/>
      <c r="KJS1"/>
      <c r="KJT1"/>
      <c r="KJU1"/>
      <c r="KJV1"/>
      <c r="KJW1"/>
      <c r="KJX1"/>
      <c r="KJY1"/>
      <c r="KJZ1"/>
      <c r="KKA1"/>
      <c r="KKB1"/>
      <c r="KKC1"/>
      <c r="KKD1"/>
      <c r="KKE1"/>
      <c r="KKF1"/>
      <c r="KKG1"/>
      <c r="KKH1"/>
      <c r="KKI1"/>
      <c r="KKJ1"/>
      <c r="KKK1"/>
      <c r="KKL1"/>
      <c r="KKM1"/>
      <c r="KKN1"/>
      <c r="KKO1"/>
      <c r="KKP1"/>
      <c r="KKQ1"/>
      <c r="KKR1"/>
      <c r="KKS1"/>
      <c r="KKT1"/>
      <c r="KKU1"/>
      <c r="KKV1"/>
      <c r="KKW1"/>
      <c r="KKX1"/>
      <c r="KKY1"/>
      <c r="KKZ1"/>
      <c r="KLA1"/>
      <c r="KLB1"/>
      <c r="KLC1"/>
      <c r="KLD1"/>
      <c r="KLE1"/>
      <c r="KLF1"/>
      <c r="KLG1"/>
      <c r="KLH1"/>
      <c r="KLI1"/>
      <c r="KLJ1"/>
      <c r="KLK1"/>
      <c r="KLL1"/>
      <c r="KLM1"/>
      <c r="KLN1"/>
      <c r="KLO1"/>
      <c r="KLP1"/>
      <c r="KLQ1"/>
      <c r="KLR1"/>
      <c r="KLS1"/>
      <c r="KLT1"/>
      <c r="KLU1"/>
      <c r="KLV1"/>
      <c r="KLW1"/>
      <c r="KLX1"/>
      <c r="KLY1"/>
      <c r="KLZ1"/>
      <c r="KMA1"/>
      <c r="KMB1"/>
      <c r="KMC1"/>
      <c r="KMD1"/>
      <c r="KME1"/>
      <c r="KMF1"/>
      <c r="KMG1"/>
      <c r="KMH1"/>
      <c r="KMI1"/>
      <c r="KMJ1"/>
      <c r="KMK1"/>
      <c r="KML1"/>
      <c r="KMM1"/>
      <c r="KMN1"/>
      <c r="KMO1"/>
      <c r="KMP1"/>
      <c r="KMQ1"/>
      <c r="KMR1"/>
      <c r="KMS1"/>
      <c r="KMT1"/>
      <c r="KMU1"/>
      <c r="KMV1"/>
      <c r="KMW1"/>
      <c r="KMX1"/>
      <c r="KMY1"/>
      <c r="KMZ1"/>
      <c r="KNA1"/>
      <c r="KNB1"/>
      <c r="KNC1"/>
      <c r="KND1"/>
      <c r="KNE1"/>
      <c r="KNF1"/>
      <c r="KNG1"/>
      <c r="KNH1"/>
      <c r="KNI1"/>
      <c r="KNJ1"/>
      <c r="KNK1"/>
      <c r="KNL1"/>
      <c r="KNM1"/>
      <c r="KNN1"/>
      <c r="KNO1"/>
      <c r="KNP1"/>
      <c r="KNQ1"/>
      <c r="KNR1"/>
      <c r="KNS1"/>
      <c r="KNT1"/>
      <c r="KNU1"/>
      <c r="KNV1"/>
      <c r="KNW1"/>
      <c r="KNX1"/>
      <c r="KNY1"/>
      <c r="KNZ1"/>
      <c r="KOA1"/>
      <c r="KOB1"/>
      <c r="KOC1"/>
      <c r="KOD1"/>
      <c r="KOE1"/>
      <c r="KOF1"/>
      <c r="KOG1"/>
      <c r="KOH1"/>
      <c r="KOI1"/>
      <c r="KOJ1"/>
      <c r="KOK1"/>
      <c r="KOL1"/>
      <c r="KOM1"/>
      <c r="KON1"/>
      <c r="KOO1"/>
      <c r="KOP1"/>
      <c r="KOQ1"/>
      <c r="KOR1"/>
      <c r="KOS1"/>
      <c r="KOT1"/>
      <c r="KOU1"/>
      <c r="KOV1"/>
      <c r="KOW1"/>
      <c r="KOX1"/>
      <c r="KOY1"/>
      <c r="KOZ1"/>
      <c r="KPA1"/>
      <c r="KPB1"/>
      <c r="KPC1"/>
      <c r="KPD1"/>
      <c r="KPE1"/>
      <c r="KPF1"/>
      <c r="KPG1"/>
      <c r="KPH1"/>
      <c r="KPI1"/>
      <c r="KPJ1"/>
      <c r="KPK1"/>
      <c r="KPL1"/>
      <c r="KPM1"/>
      <c r="KPN1"/>
      <c r="KPO1"/>
      <c r="KPP1"/>
      <c r="KPQ1"/>
      <c r="KPR1"/>
      <c r="KPS1"/>
      <c r="KPT1"/>
      <c r="KPU1"/>
      <c r="KPV1"/>
      <c r="KPW1"/>
      <c r="KPX1"/>
      <c r="KPY1"/>
      <c r="KPZ1"/>
      <c r="KQA1"/>
      <c r="KQB1"/>
      <c r="KQC1"/>
      <c r="KQD1"/>
      <c r="KQE1"/>
      <c r="KQF1"/>
      <c r="KQG1"/>
      <c r="KQH1"/>
      <c r="KQI1"/>
      <c r="KQJ1"/>
      <c r="KQK1"/>
      <c r="KQL1"/>
      <c r="KQM1"/>
      <c r="KQN1"/>
      <c r="KQO1"/>
      <c r="KQP1"/>
      <c r="KQQ1"/>
      <c r="KQR1"/>
      <c r="KQS1"/>
      <c r="KQT1"/>
      <c r="KQU1"/>
      <c r="KQV1"/>
      <c r="KQW1"/>
      <c r="KQX1"/>
      <c r="KQY1"/>
      <c r="KQZ1"/>
      <c r="KRA1"/>
      <c r="KRB1"/>
      <c r="KRC1"/>
      <c r="KRD1"/>
      <c r="KRE1"/>
      <c r="KRF1"/>
      <c r="KRG1"/>
      <c r="KRH1"/>
      <c r="KRI1"/>
      <c r="KRJ1"/>
      <c r="KRK1"/>
      <c r="KRL1"/>
      <c r="KRM1"/>
      <c r="KRN1"/>
      <c r="KRO1"/>
      <c r="KRP1"/>
      <c r="KRQ1"/>
      <c r="KRR1"/>
      <c r="KRS1"/>
      <c r="KRT1"/>
      <c r="KRU1"/>
      <c r="KRV1"/>
      <c r="KRW1"/>
      <c r="KRX1"/>
      <c r="KRY1"/>
      <c r="KRZ1"/>
      <c r="KSA1"/>
      <c r="KSB1"/>
      <c r="KSC1"/>
      <c r="KSD1"/>
      <c r="KSE1"/>
      <c r="KSF1"/>
      <c r="KSG1"/>
      <c r="KSH1"/>
      <c r="KSI1"/>
      <c r="KSJ1"/>
      <c r="KSK1"/>
      <c r="KSL1"/>
      <c r="KSM1"/>
      <c r="KSN1"/>
      <c r="KSO1"/>
      <c r="KSP1"/>
      <c r="KSQ1"/>
      <c r="KSR1"/>
      <c r="KSS1"/>
      <c r="KST1"/>
      <c r="KSU1"/>
      <c r="KSV1"/>
      <c r="KSW1"/>
      <c r="KSX1"/>
      <c r="KSY1"/>
      <c r="KSZ1"/>
      <c r="KTA1"/>
      <c r="KTB1"/>
      <c r="KTC1"/>
      <c r="KTD1"/>
      <c r="KTE1"/>
      <c r="KTF1"/>
      <c r="KTG1"/>
      <c r="KTH1"/>
      <c r="KTI1"/>
      <c r="KTJ1"/>
      <c r="KTK1"/>
      <c r="KTL1"/>
      <c r="KTM1"/>
      <c r="KTN1"/>
      <c r="KTO1"/>
      <c r="KTP1"/>
      <c r="KTQ1"/>
      <c r="KTR1"/>
      <c r="KTS1"/>
      <c r="KTT1"/>
      <c r="KTU1"/>
      <c r="KTV1"/>
      <c r="KTW1"/>
      <c r="KTX1"/>
      <c r="KTY1"/>
      <c r="KTZ1"/>
      <c r="KUA1"/>
      <c r="KUB1"/>
      <c r="KUC1"/>
      <c r="KUD1"/>
      <c r="KUE1"/>
      <c r="KUF1"/>
      <c r="KUG1"/>
      <c r="KUH1"/>
      <c r="KUI1"/>
      <c r="KUJ1"/>
      <c r="KUK1"/>
      <c r="KUL1"/>
      <c r="KUM1"/>
      <c r="KUN1"/>
      <c r="KUO1"/>
      <c r="KUP1"/>
      <c r="KUQ1"/>
      <c r="KUR1"/>
      <c r="KUS1"/>
      <c r="KUT1"/>
      <c r="KUU1"/>
      <c r="KUV1"/>
      <c r="KUW1"/>
      <c r="KUX1"/>
      <c r="KUY1"/>
      <c r="KUZ1"/>
      <c r="KVA1"/>
      <c r="KVB1"/>
      <c r="KVC1"/>
      <c r="KVD1"/>
      <c r="KVE1"/>
      <c r="KVF1"/>
      <c r="KVG1"/>
      <c r="KVH1"/>
      <c r="KVI1"/>
      <c r="KVJ1"/>
      <c r="KVK1"/>
      <c r="KVL1"/>
      <c r="KVM1"/>
      <c r="KVN1"/>
      <c r="KVO1"/>
      <c r="KVP1"/>
      <c r="KVQ1"/>
      <c r="KVR1"/>
      <c r="KVS1"/>
      <c r="KVT1"/>
      <c r="KVU1"/>
      <c r="KVV1"/>
      <c r="KVW1"/>
      <c r="KVX1"/>
      <c r="KVY1"/>
      <c r="KVZ1"/>
      <c r="KWA1"/>
      <c r="KWB1"/>
      <c r="KWC1"/>
      <c r="KWD1"/>
      <c r="KWE1"/>
      <c r="KWF1"/>
      <c r="KWG1"/>
      <c r="KWH1"/>
      <c r="KWI1"/>
      <c r="KWJ1"/>
      <c r="KWK1"/>
      <c r="KWL1"/>
      <c r="KWM1"/>
      <c r="KWN1"/>
      <c r="KWO1"/>
      <c r="KWP1"/>
      <c r="KWQ1"/>
      <c r="KWR1"/>
      <c r="KWS1"/>
      <c r="KWT1"/>
      <c r="KWU1"/>
      <c r="KWV1"/>
      <c r="KWW1"/>
      <c r="KWX1"/>
      <c r="KWY1"/>
      <c r="KWZ1"/>
      <c r="KXA1"/>
      <c r="KXB1"/>
      <c r="KXC1"/>
      <c r="KXD1"/>
      <c r="KXE1"/>
      <c r="KXF1"/>
      <c r="KXG1"/>
      <c r="KXH1"/>
      <c r="KXI1"/>
      <c r="KXJ1"/>
      <c r="KXK1"/>
      <c r="KXL1"/>
      <c r="KXM1"/>
      <c r="KXN1"/>
      <c r="KXO1"/>
      <c r="KXP1"/>
      <c r="KXQ1"/>
      <c r="KXR1"/>
      <c r="KXS1"/>
      <c r="KXT1"/>
      <c r="KXU1"/>
      <c r="KXV1"/>
      <c r="KXW1"/>
      <c r="KXX1"/>
      <c r="KXY1"/>
      <c r="KXZ1"/>
      <c r="KYA1"/>
      <c r="KYB1"/>
      <c r="KYC1"/>
      <c r="KYD1"/>
      <c r="KYE1"/>
      <c r="KYF1"/>
      <c r="KYG1"/>
      <c r="KYH1"/>
      <c r="KYI1"/>
      <c r="KYJ1"/>
      <c r="KYK1"/>
      <c r="KYL1"/>
      <c r="KYM1"/>
      <c r="KYN1"/>
      <c r="KYO1"/>
      <c r="KYP1"/>
      <c r="KYQ1"/>
      <c r="KYR1"/>
      <c r="KYS1"/>
      <c r="KYT1"/>
      <c r="KYU1"/>
      <c r="KYV1"/>
      <c r="KYW1"/>
      <c r="KYX1"/>
      <c r="KYY1"/>
      <c r="KYZ1"/>
      <c r="KZA1"/>
      <c r="KZB1"/>
      <c r="KZC1"/>
      <c r="KZD1"/>
      <c r="KZE1"/>
      <c r="KZF1"/>
      <c r="KZG1"/>
      <c r="KZH1"/>
      <c r="KZI1"/>
      <c r="KZJ1"/>
      <c r="KZK1"/>
      <c r="KZL1"/>
      <c r="KZM1"/>
      <c r="KZN1"/>
      <c r="KZO1"/>
      <c r="KZP1"/>
      <c r="KZQ1"/>
      <c r="KZR1"/>
      <c r="KZS1"/>
      <c r="KZT1"/>
      <c r="KZU1"/>
      <c r="KZV1"/>
      <c r="KZW1"/>
      <c r="KZX1"/>
      <c r="KZY1"/>
      <c r="KZZ1"/>
      <c r="LAA1"/>
      <c r="LAB1"/>
      <c r="LAC1"/>
      <c r="LAD1"/>
      <c r="LAE1"/>
      <c r="LAF1"/>
      <c r="LAG1"/>
      <c r="LAH1"/>
      <c r="LAI1"/>
      <c r="LAJ1"/>
      <c r="LAK1"/>
      <c r="LAL1"/>
      <c r="LAM1"/>
      <c r="LAN1"/>
      <c r="LAO1"/>
      <c r="LAP1"/>
      <c r="LAQ1"/>
      <c r="LAR1"/>
      <c r="LAS1"/>
      <c r="LAT1"/>
      <c r="LAU1"/>
      <c r="LAV1"/>
      <c r="LAW1"/>
      <c r="LAX1"/>
      <c r="LAY1"/>
      <c r="LAZ1"/>
      <c r="LBA1"/>
      <c r="LBB1"/>
      <c r="LBC1"/>
      <c r="LBD1"/>
      <c r="LBE1"/>
      <c r="LBF1"/>
      <c r="LBG1"/>
      <c r="LBH1"/>
      <c r="LBI1"/>
      <c r="LBJ1"/>
      <c r="LBK1"/>
      <c r="LBL1"/>
      <c r="LBM1"/>
      <c r="LBN1"/>
      <c r="LBO1"/>
      <c r="LBP1"/>
      <c r="LBQ1"/>
      <c r="LBR1"/>
      <c r="LBS1"/>
      <c r="LBT1"/>
      <c r="LBU1"/>
      <c r="LBV1"/>
      <c r="LBW1"/>
      <c r="LBX1"/>
      <c r="LBY1"/>
      <c r="LBZ1"/>
      <c r="LCA1"/>
      <c r="LCB1"/>
      <c r="LCC1"/>
      <c r="LCD1"/>
      <c r="LCE1"/>
      <c r="LCF1"/>
      <c r="LCG1"/>
      <c r="LCH1"/>
      <c r="LCI1"/>
      <c r="LCJ1"/>
      <c r="LCK1"/>
      <c r="LCL1"/>
      <c r="LCM1"/>
      <c r="LCN1"/>
      <c r="LCO1"/>
      <c r="LCP1"/>
      <c r="LCQ1"/>
      <c r="LCR1"/>
      <c r="LCS1"/>
      <c r="LCT1"/>
      <c r="LCU1"/>
      <c r="LCV1"/>
      <c r="LCW1"/>
      <c r="LCX1"/>
      <c r="LCY1"/>
      <c r="LCZ1"/>
      <c r="LDA1"/>
      <c r="LDB1"/>
      <c r="LDC1"/>
      <c r="LDD1"/>
      <c r="LDE1"/>
      <c r="LDF1"/>
      <c r="LDG1"/>
      <c r="LDH1"/>
      <c r="LDI1"/>
      <c r="LDJ1"/>
      <c r="LDK1"/>
      <c r="LDL1"/>
      <c r="LDM1"/>
      <c r="LDN1"/>
      <c r="LDO1"/>
      <c r="LDP1"/>
      <c r="LDQ1"/>
      <c r="LDR1"/>
      <c r="LDS1"/>
      <c r="LDT1"/>
      <c r="LDU1"/>
      <c r="LDV1"/>
      <c r="LDW1"/>
      <c r="LDX1"/>
      <c r="LDY1"/>
      <c r="LDZ1"/>
      <c r="LEA1"/>
      <c r="LEB1"/>
      <c r="LEC1"/>
      <c r="LED1"/>
      <c r="LEE1"/>
      <c r="LEF1"/>
      <c r="LEG1"/>
      <c r="LEH1"/>
      <c r="LEI1"/>
      <c r="LEJ1"/>
      <c r="LEK1"/>
      <c r="LEL1"/>
      <c r="LEM1"/>
      <c r="LEN1"/>
      <c r="LEO1"/>
      <c r="LEP1"/>
      <c r="LEQ1"/>
      <c r="LER1"/>
      <c r="LES1"/>
      <c r="LET1"/>
      <c r="LEU1"/>
      <c r="LEV1"/>
      <c r="LEW1"/>
      <c r="LEX1"/>
      <c r="LEY1"/>
      <c r="LEZ1"/>
      <c r="LFA1"/>
      <c r="LFB1"/>
      <c r="LFC1"/>
      <c r="LFD1"/>
      <c r="LFE1"/>
      <c r="LFF1"/>
      <c r="LFG1"/>
      <c r="LFH1"/>
      <c r="LFI1"/>
      <c r="LFJ1"/>
      <c r="LFK1"/>
      <c r="LFL1"/>
      <c r="LFM1"/>
      <c r="LFN1"/>
      <c r="LFO1"/>
      <c r="LFP1"/>
      <c r="LFQ1"/>
      <c r="LFR1"/>
      <c r="LFS1"/>
      <c r="LFT1"/>
      <c r="LFU1"/>
      <c r="LFV1"/>
      <c r="LFW1"/>
      <c r="LFX1"/>
      <c r="LFY1"/>
      <c r="LFZ1"/>
      <c r="LGA1"/>
      <c r="LGB1"/>
      <c r="LGC1"/>
      <c r="LGD1"/>
      <c r="LGE1"/>
      <c r="LGF1"/>
      <c r="LGG1"/>
      <c r="LGH1"/>
      <c r="LGI1"/>
      <c r="LGJ1"/>
      <c r="LGK1"/>
      <c r="LGL1"/>
      <c r="LGM1"/>
      <c r="LGN1"/>
      <c r="LGO1"/>
      <c r="LGP1"/>
      <c r="LGQ1"/>
      <c r="LGR1"/>
      <c r="LGS1"/>
      <c r="LGT1"/>
      <c r="LGU1"/>
      <c r="LGV1"/>
      <c r="LGW1"/>
      <c r="LGX1"/>
      <c r="LGY1"/>
      <c r="LGZ1"/>
      <c r="LHA1"/>
      <c r="LHB1"/>
      <c r="LHC1"/>
      <c r="LHD1"/>
      <c r="LHE1"/>
      <c r="LHF1"/>
      <c r="LHG1"/>
      <c r="LHH1"/>
      <c r="LHI1"/>
      <c r="LHJ1"/>
      <c r="LHK1"/>
      <c r="LHL1"/>
      <c r="LHM1"/>
      <c r="LHN1"/>
      <c r="LHO1"/>
      <c r="LHP1"/>
      <c r="LHQ1"/>
      <c r="LHR1"/>
      <c r="LHS1"/>
      <c r="LHT1"/>
      <c r="LHU1"/>
      <c r="LHV1"/>
      <c r="LHW1"/>
      <c r="LHX1"/>
      <c r="LHY1"/>
      <c r="LHZ1"/>
      <c r="LIA1"/>
      <c r="LIB1"/>
      <c r="LIC1"/>
      <c r="LID1"/>
      <c r="LIE1"/>
      <c r="LIF1"/>
      <c r="LIG1"/>
      <c r="LIH1"/>
      <c r="LII1"/>
      <c r="LIJ1"/>
      <c r="LIK1"/>
      <c r="LIL1"/>
      <c r="LIM1"/>
      <c r="LIN1"/>
      <c r="LIO1"/>
      <c r="LIP1"/>
      <c r="LIQ1"/>
      <c r="LIR1"/>
      <c r="LIS1"/>
      <c r="LIT1"/>
      <c r="LIU1"/>
      <c r="LIV1"/>
      <c r="LIW1"/>
      <c r="LIX1"/>
      <c r="LIY1"/>
      <c r="LIZ1"/>
      <c r="LJA1"/>
      <c r="LJB1"/>
      <c r="LJC1"/>
      <c r="LJD1"/>
      <c r="LJE1"/>
      <c r="LJF1"/>
      <c r="LJG1"/>
      <c r="LJH1"/>
      <c r="LJI1"/>
      <c r="LJJ1"/>
      <c r="LJK1"/>
      <c r="LJL1"/>
      <c r="LJM1"/>
      <c r="LJN1"/>
      <c r="LJO1"/>
      <c r="LJP1"/>
      <c r="LJQ1"/>
      <c r="LJR1"/>
      <c r="LJS1"/>
      <c r="LJT1"/>
      <c r="LJU1"/>
      <c r="LJV1"/>
      <c r="LJW1"/>
      <c r="LJX1"/>
      <c r="LJY1"/>
      <c r="LJZ1"/>
      <c r="LKA1"/>
      <c r="LKB1"/>
      <c r="LKC1"/>
      <c r="LKD1"/>
      <c r="LKE1"/>
      <c r="LKF1"/>
      <c r="LKG1"/>
      <c r="LKH1"/>
      <c r="LKI1"/>
      <c r="LKJ1"/>
      <c r="LKK1"/>
      <c r="LKL1"/>
      <c r="LKM1"/>
      <c r="LKN1"/>
      <c r="LKO1"/>
      <c r="LKP1"/>
      <c r="LKQ1"/>
      <c r="LKR1"/>
      <c r="LKS1"/>
      <c r="LKT1"/>
      <c r="LKU1"/>
      <c r="LKV1"/>
      <c r="LKW1"/>
      <c r="LKX1"/>
      <c r="LKY1"/>
      <c r="LKZ1"/>
      <c r="LLA1"/>
      <c r="LLB1"/>
      <c r="LLC1"/>
      <c r="LLD1"/>
      <c r="LLE1"/>
      <c r="LLF1"/>
      <c r="LLG1"/>
      <c r="LLH1"/>
      <c r="LLI1"/>
      <c r="LLJ1"/>
      <c r="LLK1"/>
      <c r="LLL1"/>
      <c r="LLM1"/>
      <c r="LLN1"/>
      <c r="LLO1"/>
      <c r="LLP1"/>
      <c r="LLQ1"/>
      <c r="LLR1"/>
      <c r="LLS1"/>
      <c r="LLT1"/>
      <c r="LLU1"/>
      <c r="LLV1"/>
      <c r="LLW1"/>
      <c r="LLX1"/>
      <c r="LLY1"/>
      <c r="LLZ1"/>
      <c r="LMA1"/>
      <c r="LMB1"/>
      <c r="LMC1"/>
      <c r="LMD1"/>
      <c r="LME1"/>
      <c r="LMF1"/>
      <c r="LMG1"/>
      <c r="LMH1"/>
      <c r="LMI1"/>
      <c r="LMJ1"/>
      <c r="LMK1"/>
      <c r="LML1"/>
      <c r="LMM1"/>
      <c r="LMN1"/>
      <c r="LMO1"/>
      <c r="LMP1"/>
      <c r="LMQ1"/>
      <c r="LMR1"/>
      <c r="LMS1"/>
      <c r="LMT1"/>
      <c r="LMU1"/>
      <c r="LMV1"/>
      <c r="LMW1"/>
      <c r="LMX1"/>
      <c r="LMY1"/>
      <c r="LMZ1"/>
      <c r="LNA1"/>
      <c r="LNB1"/>
      <c r="LNC1"/>
      <c r="LND1"/>
      <c r="LNE1"/>
      <c r="LNF1"/>
      <c r="LNG1"/>
      <c r="LNH1"/>
      <c r="LNI1"/>
      <c r="LNJ1"/>
      <c r="LNK1"/>
      <c r="LNL1"/>
      <c r="LNM1"/>
      <c r="LNN1"/>
      <c r="LNO1"/>
      <c r="LNP1"/>
      <c r="LNQ1"/>
      <c r="LNR1"/>
      <c r="LNS1"/>
      <c r="LNT1"/>
      <c r="LNU1"/>
      <c r="LNV1"/>
      <c r="LNW1"/>
      <c r="LNX1"/>
      <c r="LNY1"/>
      <c r="LNZ1"/>
      <c r="LOA1"/>
      <c r="LOB1"/>
      <c r="LOC1"/>
      <c r="LOD1"/>
      <c r="LOE1"/>
      <c r="LOF1"/>
      <c r="LOG1"/>
      <c r="LOH1"/>
      <c r="LOI1"/>
      <c r="LOJ1"/>
      <c r="LOK1"/>
      <c r="LOL1"/>
      <c r="LOM1"/>
      <c r="LON1"/>
      <c r="LOO1"/>
      <c r="LOP1"/>
      <c r="LOQ1"/>
      <c r="LOR1"/>
      <c r="LOS1"/>
      <c r="LOT1"/>
      <c r="LOU1"/>
      <c r="LOV1"/>
      <c r="LOW1"/>
      <c r="LOX1"/>
      <c r="LOY1"/>
      <c r="LOZ1"/>
      <c r="LPA1"/>
      <c r="LPB1"/>
      <c r="LPC1"/>
      <c r="LPD1"/>
      <c r="LPE1"/>
      <c r="LPF1"/>
      <c r="LPG1"/>
      <c r="LPH1"/>
      <c r="LPI1"/>
      <c r="LPJ1"/>
      <c r="LPK1"/>
      <c r="LPL1"/>
      <c r="LPM1"/>
      <c r="LPN1"/>
      <c r="LPO1"/>
      <c r="LPP1"/>
      <c r="LPQ1"/>
      <c r="LPR1"/>
      <c r="LPS1"/>
      <c r="LPT1"/>
      <c r="LPU1"/>
      <c r="LPV1"/>
      <c r="LPW1"/>
      <c r="LPX1"/>
      <c r="LPY1"/>
      <c r="LPZ1"/>
      <c r="LQA1"/>
      <c r="LQB1"/>
      <c r="LQC1"/>
      <c r="LQD1"/>
      <c r="LQE1"/>
      <c r="LQF1"/>
      <c r="LQG1"/>
      <c r="LQH1"/>
      <c r="LQI1"/>
      <c r="LQJ1"/>
      <c r="LQK1"/>
      <c r="LQL1"/>
      <c r="LQM1"/>
      <c r="LQN1"/>
      <c r="LQO1"/>
      <c r="LQP1"/>
      <c r="LQQ1"/>
      <c r="LQR1"/>
      <c r="LQS1"/>
      <c r="LQT1"/>
      <c r="LQU1"/>
      <c r="LQV1"/>
      <c r="LQW1"/>
      <c r="LQX1"/>
      <c r="LQY1"/>
      <c r="LQZ1"/>
      <c r="LRA1"/>
      <c r="LRB1"/>
      <c r="LRC1"/>
      <c r="LRD1"/>
      <c r="LRE1"/>
      <c r="LRF1"/>
      <c r="LRG1"/>
      <c r="LRH1"/>
      <c r="LRI1"/>
      <c r="LRJ1"/>
      <c r="LRK1"/>
      <c r="LRL1"/>
      <c r="LRM1"/>
      <c r="LRN1"/>
      <c r="LRO1"/>
      <c r="LRP1"/>
      <c r="LRQ1"/>
      <c r="LRR1"/>
      <c r="LRS1"/>
      <c r="LRT1"/>
      <c r="LRU1"/>
      <c r="LRV1"/>
      <c r="LRW1"/>
      <c r="LRX1"/>
      <c r="LRY1"/>
      <c r="LRZ1"/>
      <c r="LSA1"/>
      <c r="LSB1"/>
      <c r="LSC1"/>
      <c r="LSD1"/>
      <c r="LSE1"/>
      <c r="LSF1"/>
      <c r="LSG1"/>
      <c r="LSH1"/>
      <c r="LSI1"/>
      <c r="LSJ1"/>
      <c r="LSK1"/>
      <c r="LSL1"/>
      <c r="LSM1"/>
      <c r="LSN1"/>
      <c r="LSO1"/>
      <c r="LSP1"/>
      <c r="LSQ1"/>
      <c r="LSR1"/>
      <c r="LSS1"/>
      <c r="LST1"/>
      <c r="LSU1"/>
      <c r="LSV1"/>
      <c r="LSW1"/>
      <c r="LSX1"/>
      <c r="LSY1"/>
      <c r="LSZ1"/>
      <c r="LTA1"/>
      <c r="LTB1"/>
      <c r="LTC1"/>
      <c r="LTD1"/>
      <c r="LTE1"/>
      <c r="LTF1"/>
      <c r="LTG1"/>
      <c r="LTH1"/>
      <c r="LTI1"/>
      <c r="LTJ1"/>
      <c r="LTK1"/>
      <c r="LTL1"/>
      <c r="LTM1"/>
      <c r="LTN1"/>
      <c r="LTO1"/>
      <c r="LTP1"/>
      <c r="LTQ1"/>
      <c r="LTR1"/>
      <c r="LTS1"/>
      <c r="LTT1"/>
      <c r="LTU1"/>
      <c r="LTV1"/>
      <c r="LTW1"/>
      <c r="LTX1"/>
      <c r="LTY1"/>
      <c r="LTZ1"/>
      <c r="LUA1"/>
      <c r="LUB1"/>
      <c r="LUC1"/>
      <c r="LUD1"/>
      <c r="LUE1"/>
      <c r="LUF1"/>
      <c r="LUG1"/>
      <c r="LUH1"/>
      <c r="LUI1"/>
      <c r="LUJ1"/>
      <c r="LUK1"/>
      <c r="LUL1"/>
      <c r="LUM1"/>
      <c r="LUN1"/>
      <c r="LUO1"/>
      <c r="LUP1"/>
      <c r="LUQ1"/>
      <c r="LUR1"/>
      <c r="LUS1"/>
      <c r="LUT1"/>
      <c r="LUU1"/>
      <c r="LUV1"/>
      <c r="LUW1"/>
      <c r="LUX1"/>
      <c r="LUY1"/>
      <c r="LUZ1"/>
      <c r="LVA1"/>
      <c r="LVB1"/>
      <c r="LVC1"/>
      <c r="LVD1"/>
      <c r="LVE1"/>
      <c r="LVF1"/>
      <c r="LVG1"/>
      <c r="LVH1"/>
      <c r="LVI1"/>
      <c r="LVJ1"/>
      <c r="LVK1"/>
      <c r="LVL1"/>
      <c r="LVM1"/>
      <c r="LVN1"/>
      <c r="LVO1"/>
      <c r="LVP1"/>
      <c r="LVQ1"/>
      <c r="LVR1"/>
      <c r="LVS1"/>
      <c r="LVT1"/>
      <c r="LVU1"/>
      <c r="LVV1"/>
      <c r="LVW1"/>
      <c r="LVX1"/>
      <c r="LVY1"/>
      <c r="LVZ1"/>
      <c r="LWA1"/>
      <c r="LWB1"/>
      <c r="LWC1"/>
      <c r="LWD1"/>
      <c r="LWE1"/>
      <c r="LWF1"/>
      <c r="LWG1"/>
      <c r="LWH1"/>
      <c r="LWI1"/>
      <c r="LWJ1"/>
      <c r="LWK1"/>
      <c r="LWL1"/>
      <c r="LWM1"/>
      <c r="LWN1"/>
      <c r="LWO1"/>
      <c r="LWP1"/>
      <c r="LWQ1"/>
      <c r="LWR1"/>
      <c r="LWS1"/>
      <c r="LWT1"/>
      <c r="LWU1"/>
      <c r="LWV1"/>
      <c r="LWW1"/>
      <c r="LWX1"/>
      <c r="LWY1"/>
      <c r="LWZ1"/>
      <c r="LXA1"/>
      <c r="LXB1"/>
      <c r="LXC1"/>
      <c r="LXD1"/>
      <c r="LXE1"/>
      <c r="LXF1"/>
      <c r="LXG1"/>
      <c r="LXH1"/>
      <c r="LXI1"/>
      <c r="LXJ1"/>
      <c r="LXK1"/>
      <c r="LXL1"/>
      <c r="LXM1"/>
      <c r="LXN1"/>
      <c r="LXO1"/>
      <c r="LXP1"/>
      <c r="LXQ1"/>
      <c r="LXR1"/>
      <c r="LXS1"/>
      <c r="LXT1"/>
      <c r="LXU1"/>
      <c r="LXV1"/>
      <c r="LXW1"/>
      <c r="LXX1"/>
      <c r="LXY1"/>
      <c r="LXZ1"/>
      <c r="LYA1"/>
      <c r="LYB1"/>
      <c r="LYC1"/>
      <c r="LYD1"/>
      <c r="LYE1"/>
      <c r="LYF1"/>
      <c r="LYG1"/>
      <c r="LYH1"/>
      <c r="LYI1"/>
      <c r="LYJ1"/>
      <c r="LYK1"/>
      <c r="LYL1"/>
      <c r="LYM1"/>
      <c r="LYN1"/>
      <c r="LYO1"/>
      <c r="LYP1"/>
      <c r="LYQ1"/>
      <c r="LYR1"/>
      <c r="LYS1"/>
      <c r="LYT1"/>
      <c r="LYU1"/>
      <c r="LYV1"/>
      <c r="LYW1"/>
      <c r="LYX1"/>
      <c r="LYY1"/>
      <c r="LYZ1"/>
      <c r="LZA1"/>
      <c r="LZB1"/>
      <c r="LZC1"/>
      <c r="LZD1"/>
      <c r="LZE1"/>
      <c r="LZF1"/>
      <c r="LZG1"/>
      <c r="LZH1"/>
      <c r="LZI1"/>
      <c r="LZJ1"/>
      <c r="LZK1"/>
      <c r="LZL1"/>
      <c r="LZM1"/>
      <c r="LZN1"/>
      <c r="LZO1"/>
      <c r="LZP1"/>
      <c r="LZQ1"/>
      <c r="LZR1"/>
      <c r="LZS1"/>
      <c r="LZT1"/>
      <c r="LZU1"/>
      <c r="LZV1"/>
      <c r="LZW1"/>
      <c r="LZX1"/>
      <c r="LZY1"/>
      <c r="LZZ1"/>
      <c r="MAA1"/>
      <c r="MAB1"/>
      <c r="MAC1"/>
      <c r="MAD1"/>
      <c r="MAE1"/>
      <c r="MAF1"/>
      <c r="MAG1"/>
      <c r="MAH1"/>
      <c r="MAI1"/>
      <c r="MAJ1"/>
      <c r="MAK1"/>
      <c r="MAL1"/>
      <c r="MAM1"/>
      <c r="MAN1"/>
      <c r="MAO1"/>
      <c r="MAP1"/>
      <c r="MAQ1"/>
      <c r="MAR1"/>
      <c r="MAS1"/>
      <c r="MAT1"/>
      <c r="MAU1"/>
      <c r="MAV1"/>
      <c r="MAW1"/>
      <c r="MAX1"/>
      <c r="MAY1"/>
      <c r="MAZ1"/>
      <c r="MBA1"/>
      <c r="MBB1"/>
      <c r="MBC1"/>
      <c r="MBD1"/>
      <c r="MBE1"/>
      <c r="MBF1"/>
      <c r="MBG1"/>
      <c r="MBH1"/>
      <c r="MBI1"/>
      <c r="MBJ1"/>
      <c r="MBK1"/>
      <c r="MBL1"/>
      <c r="MBM1"/>
      <c r="MBN1"/>
      <c r="MBO1"/>
      <c r="MBP1"/>
      <c r="MBQ1"/>
      <c r="MBR1"/>
      <c r="MBS1"/>
      <c r="MBT1"/>
      <c r="MBU1"/>
      <c r="MBV1"/>
      <c r="MBW1"/>
      <c r="MBX1"/>
      <c r="MBY1"/>
      <c r="MBZ1"/>
      <c r="MCA1"/>
      <c r="MCB1"/>
      <c r="MCC1"/>
      <c r="MCD1"/>
      <c r="MCE1"/>
      <c r="MCF1"/>
      <c r="MCG1"/>
      <c r="MCH1"/>
      <c r="MCI1"/>
      <c r="MCJ1"/>
      <c r="MCK1"/>
      <c r="MCL1"/>
      <c r="MCM1"/>
      <c r="MCN1"/>
      <c r="MCO1"/>
      <c r="MCP1"/>
      <c r="MCQ1"/>
      <c r="MCR1"/>
      <c r="MCS1"/>
      <c r="MCT1"/>
      <c r="MCU1"/>
      <c r="MCV1"/>
      <c r="MCW1"/>
      <c r="MCX1"/>
      <c r="MCY1"/>
      <c r="MCZ1"/>
      <c r="MDA1"/>
      <c r="MDB1"/>
      <c r="MDC1"/>
      <c r="MDD1"/>
      <c r="MDE1"/>
      <c r="MDF1"/>
      <c r="MDG1"/>
      <c r="MDH1"/>
      <c r="MDI1"/>
      <c r="MDJ1"/>
      <c r="MDK1"/>
      <c r="MDL1"/>
      <c r="MDM1"/>
      <c r="MDN1"/>
      <c r="MDO1"/>
      <c r="MDP1"/>
      <c r="MDQ1"/>
      <c r="MDR1"/>
      <c r="MDS1"/>
      <c r="MDT1"/>
      <c r="MDU1"/>
      <c r="MDV1"/>
      <c r="MDW1"/>
      <c r="MDX1"/>
      <c r="MDY1"/>
      <c r="MDZ1"/>
      <c r="MEA1"/>
      <c r="MEB1"/>
      <c r="MEC1"/>
      <c r="MED1"/>
      <c r="MEE1"/>
      <c r="MEF1"/>
      <c r="MEG1"/>
      <c r="MEH1"/>
      <c r="MEI1"/>
      <c r="MEJ1"/>
      <c r="MEK1"/>
      <c r="MEL1"/>
      <c r="MEM1"/>
      <c r="MEN1"/>
      <c r="MEO1"/>
      <c r="MEP1"/>
      <c r="MEQ1"/>
      <c r="MER1"/>
      <c r="MES1"/>
      <c r="MET1"/>
      <c r="MEU1"/>
      <c r="MEV1"/>
      <c r="MEW1"/>
      <c r="MEX1"/>
      <c r="MEY1"/>
      <c r="MEZ1"/>
      <c r="MFA1"/>
      <c r="MFB1"/>
      <c r="MFC1"/>
      <c r="MFD1"/>
      <c r="MFE1"/>
      <c r="MFF1"/>
      <c r="MFG1"/>
      <c r="MFH1"/>
      <c r="MFI1"/>
      <c r="MFJ1"/>
      <c r="MFK1"/>
      <c r="MFL1"/>
      <c r="MFM1"/>
      <c r="MFN1"/>
      <c r="MFO1"/>
      <c r="MFP1"/>
      <c r="MFQ1"/>
      <c r="MFR1"/>
      <c r="MFS1"/>
      <c r="MFT1"/>
      <c r="MFU1"/>
      <c r="MFV1"/>
      <c r="MFW1"/>
      <c r="MFX1"/>
      <c r="MFY1"/>
      <c r="MFZ1"/>
      <c r="MGA1"/>
      <c r="MGB1"/>
      <c r="MGC1"/>
      <c r="MGD1"/>
      <c r="MGE1"/>
      <c r="MGF1"/>
      <c r="MGG1"/>
      <c r="MGH1"/>
      <c r="MGI1"/>
      <c r="MGJ1"/>
      <c r="MGK1"/>
      <c r="MGL1"/>
      <c r="MGM1"/>
      <c r="MGN1"/>
      <c r="MGO1"/>
      <c r="MGP1"/>
      <c r="MGQ1"/>
      <c r="MGR1"/>
      <c r="MGS1"/>
      <c r="MGT1"/>
      <c r="MGU1"/>
      <c r="MGV1"/>
      <c r="MGW1"/>
      <c r="MGX1"/>
      <c r="MGY1"/>
      <c r="MGZ1"/>
      <c r="MHA1"/>
      <c r="MHB1"/>
      <c r="MHC1"/>
      <c r="MHD1"/>
      <c r="MHE1"/>
      <c r="MHF1"/>
      <c r="MHG1"/>
      <c r="MHH1"/>
      <c r="MHI1"/>
      <c r="MHJ1"/>
      <c r="MHK1"/>
      <c r="MHL1"/>
      <c r="MHM1"/>
      <c r="MHN1"/>
      <c r="MHO1"/>
      <c r="MHP1"/>
      <c r="MHQ1"/>
      <c r="MHR1"/>
      <c r="MHS1"/>
      <c r="MHT1"/>
      <c r="MHU1"/>
      <c r="MHV1"/>
      <c r="MHW1"/>
      <c r="MHX1"/>
      <c r="MHY1"/>
      <c r="MHZ1"/>
      <c r="MIA1"/>
      <c r="MIB1"/>
      <c r="MIC1"/>
      <c r="MID1"/>
      <c r="MIE1"/>
      <c r="MIF1"/>
      <c r="MIG1"/>
      <c r="MIH1"/>
      <c r="MII1"/>
      <c r="MIJ1"/>
      <c r="MIK1"/>
      <c r="MIL1"/>
      <c r="MIM1"/>
      <c r="MIN1"/>
      <c r="MIO1"/>
      <c r="MIP1"/>
      <c r="MIQ1"/>
      <c r="MIR1"/>
      <c r="MIS1"/>
      <c r="MIT1"/>
      <c r="MIU1"/>
      <c r="MIV1"/>
      <c r="MIW1"/>
      <c r="MIX1"/>
      <c r="MIY1"/>
      <c r="MIZ1"/>
      <c r="MJA1"/>
      <c r="MJB1"/>
      <c r="MJC1"/>
      <c r="MJD1"/>
      <c r="MJE1"/>
      <c r="MJF1"/>
      <c r="MJG1"/>
      <c r="MJH1"/>
      <c r="MJI1"/>
      <c r="MJJ1"/>
      <c r="MJK1"/>
      <c r="MJL1"/>
      <c r="MJM1"/>
      <c r="MJN1"/>
      <c r="MJO1"/>
      <c r="MJP1"/>
      <c r="MJQ1"/>
      <c r="MJR1"/>
      <c r="MJS1"/>
      <c r="MJT1"/>
      <c r="MJU1"/>
      <c r="MJV1"/>
      <c r="MJW1"/>
      <c r="MJX1"/>
      <c r="MJY1"/>
      <c r="MJZ1"/>
      <c r="MKA1"/>
      <c r="MKB1"/>
      <c r="MKC1"/>
      <c r="MKD1"/>
      <c r="MKE1"/>
      <c r="MKF1"/>
      <c r="MKG1"/>
      <c r="MKH1"/>
      <c r="MKI1"/>
      <c r="MKJ1"/>
      <c r="MKK1"/>
      <c r="MKL1"/>
      <c r="MKM1"/>
      <c r="MKN1"/>
      <c r="MKO1"/>
      <c r="MKP1"/>
      <c r="MKQ1"/>
      <c r="MKR1"/>
      <c r="MKS1"/>
      <c r="MKT1"/>
      <c r="MKU1"/>
      <c r="MKV1"/>
      <c r="MKW1"/>
      <c r="MKX1"/>
      <c r="MKY1"/>
      <c r="MKZ1"/>
      <c r="MLA1"/>
      <c r="MLB1"/>
      <c r="MLC1"/>
      <c r="MLD1"/>
      <c r="MLE1"/>
      <c r="MLF1"/>
      <c r="MLG1"/>
      <c r="MLH1"/>
      <c r="MLI1"/>
      <c r="MLJ1"/>
      <c r="MLK1"/>
      <c r="MLL1"/>
      <c r="MLM1"/>
      <c r="MLN1"/>
      <c r="MLO1"/>
      <c r="MLP1"/>
      <c r="MLQ1"/>
      <c r="MLR1"/>
      <c r="MLS1"/>
      <c r="MLT1"/>
      <c r="MLU1"/>
      <c r="MLV1"/>
      <c r="MLW1"/>
      <c r="MLX1"/>
      <c r="MLY1"/>
      <c r="MLZ1"/>
      <c r="MMA1"/>
      <c r="MMB1"/>
      <c r="MMC1"/>
      <c r="MMD1"/>
      <c r="MME1"/>
      <c r="MMF1"/>
      <c r="MMG1"/>
      <c r="MMH1"/>
      <c r="MMI1"/>
      <c r="MMJ1"/>
      <c r="MMK1"/>
      <c r="MML1"/>
      <c r="MMM1"/>
      <c r="MMN1"/>
      <c r="MMO1"/>
      <c r="MMP1"/>
      <c r="MMQ1"/>
      <c r="MMR1"/>
      <c r="MMS1"/>
      <c r="MMT1"/>
      <c r="MMU1"/>
      <c r="MMV1"/>
      <c r="MMW1"/>
      <c r="MMX1"/>
      <c r="MMY1"/>
      <c r="MMZ1"/>
      <c r="MNA1"/>
      <c r="MNB1"/>
      <c r="MNC1"/>
      <c r="MND1"/>
      <c r="MNE1"/>
      <c r="MNF1"/>
      <c r="MNG1"/>
      <c r="MNH1"/>
      <c r="MNI1"/>
      <c r="MNJ1"/>
      <c r="MNK1"/>
      <c r="MNL1"/>
      <c r="MNM1"/>
      <c r="MNN1"/>
      <c r="MNO1"/>
      <c r="MNP1"/>
      <c r="MNQ1"/>
      <c r="MNR1"/>
      <c r="MNS1"/>
      <c r="MNT1"/>
      <c r="MNU1"/>
      <c r="MNV1"/>
      <c r="MNW1"/>
      <c r="MNX1"/>
      <c r="MNY1"/>
      <c r="MNZ1"/>
      <c r="MOA1"/>
      <c r="MOB1"/>
      <c r="MOC1"/>
      <c r="MOD1"/>
      <c r="MOE1"/>
      <c r="MOF1"/>
      <c r="MOG1"/>
      <c r="MOH1"/>
      <c r="MOI1"/>
      <c r="MOJ1"/>
      <c r="MOK1"/>
      <c r="MOL1"/>
      <c r="MOM1"/>
      <c r="MON1"/>
      <c r="MOO1"/>
      <c r="MOP1"/>
      <c r="MOQ1"/>
      <c r="MOR1"/>
      <c r="MOS1"/>
      <c r="MOT1"/>
      <c r="MOU1"/>
      <c r="MOV1"/>
      <c r="MOW1"/>
      <c r="MOX1"/>
      <c r="MOY1"/>
      <c r="MOZ1"/>
      <c r="MPA1"/>
      <c r="MPB1"/>
      <c r="MPC1"/>
      <c r="MPD1"/>
      <c r="MPE1"/>
      <c r="MPF1"/>
      <c r="MPG1"/>
      <c r="MPH1"/>
      <c r="MPI1"/>
      <c r="MPJ1"/>
      <c r="MPK1"/>
      <c r="MPL1"/>
      <c r="MPM1"/>
      <c r="MPN1"/>
      <c r="MPO1"/>
      <c r="MPP1"/>
      <c r="MPQ1"/>
      <c r="MPR1"/>
      <c r="MPS1"/>
      <c r="MPT1"/>
      <c r="MPU1"/>
      <c r="MPV1"/>
      <c r="MPW1"/>
      <c r="MPX1"/>
      <c r="MPY1"/>
      <c r="MPZ1"/>
      <c r="MQA1"/>
      <c r="MQB1"/>
      <c r="MQC1"/>
      <c r="MQD1"/>
      <c r="MQE1"/>
      <c r="MQF1"/>
      <c r="MQG1"/>
      <c r="MQH1"/>
      <c r="MQI1"/>
      <c r="MQJ1"/>
      <c r="MQK1"/>
      <c r="MQL1"/>
      <c r="MQM1"/>
      <c r="MQN1"/>
      <c r="MQO1"/>
      <c r="MQP1"/>
      <c r="MQQ1"/>
      <c r="MQR1"/>
      <c r="MQS1"/>
      <c r="MQT1"/>
      <c r="MQU1"/>
      <c r="MQV1"/>
      <c r="MQW1"/>
      <c r="MQX1"/>
      <c r="MQY1"/>
      <c r="MQZ1"/>
      <c r="MRA1"/>
      <c r="MRB1"/>
      <c r="MRC1"/>
      <c r="MRD1"/>
      <c r="MRE1"/>
      <c r="MRF1"/>
      <c r="MRG1"/>
      <c r="MRH1"/>
      <c r="MRI1"/>
      <c r="MRJ1"/>
      <c r="MRK1"/>
      <c r="MRL1"/>
      <c r="MRM1"/>
      <c r="MRN1"/>
      <c r="MRO1"/>
      <c r="MRP1"/>
      <c r="MRQ1"/>
      <c r="MRR1"/>
      <c r="MRS1"/>
      <c r="MRT1"/>
      <c r="MRU1"/>
      <c r="MRV1"/>
      <c r="MRW1"/>
      <c r="MRX1"/>
      <c r="MRY1"/>
      <c r="MRZ1"/>
      <c r="MSA1"/>
      <c r="MSB1"/>
      <c r="MSC1"/>
      <c r="MSD1"/>
      <c r="MSE1"/>
      <c r="MSF1"/>
      <c r="MSG1"/>
      <c r="MSH1"/>
      <c r="MSI1"/>
      <c r="MSJ1"/>
      <c r="MSK1"/>
      <c r="MSL1"/>
      <c r="MSM1"/>
      <c r="MSN1"/>
      <c r="MSO1"/>
      <c r="MSP1"/>
      <c r="MSQ1"/>
      <c r="MSR1"/>
      <c r="MSS1"/>
      <c r="MST1"/>
      <c r="MSU1"/>
      <c r="MSV1"/>
      <c r="MSW1"/>
      <c r="MSX1"/>
      <c r="MSY1"/>
      <c r="MSZ1"/>
      <c r="MTA1"/>
      <c r="MTB1"/>
      <c r="MTC1"/>
      <c r="MTD1"/>
      <c r="MTE1"/>
      <c r="MTF1"/>
      <c r="MTG1"/>
      <c r="MTH1"/>
      <c r="MTI1"/>
      <c r="MTJ1"/>
      <c r="MTK1"/>
      <c r="MTL1"/>
      <c r="MTM1"/>
      <c r="MTN1"/>
      <c r="MTO1"/>
      <c r="MTP1"/>
      <c r="MTQ1"/>
      <c r="MTR1"/>
      <c r="MTS1"/>
      <c r="MTT1"/>
      <c r="MTU1"/>
      <c r="MTV1"/>
      <c r="MTW1"/>
      <c r="MTX1"/>
      <c r="MTY1"/>
      <c r="MTZ1"/>
      <c r="MUA1"/>
      <c r="MUB1"/>
      <c r="MUC1"/>
      <c r="MUD1"/>
      <c r="MUE1"/>
      <c r="MUF1"/>
      <c r="MUG1"/>
      <c r="MUH1"/>
      <c r="MUI1"/>
      <c r="MUJ1"/>
      <c r="MUK1"/>
      <c r="MUL1"/>
      <c r="MUM1"/>
      <c r="MUN1"/>
      <c r="MUO1"/>
      <c r="MUP1"/>
      <c r="MUQ1"/>
      <c r="MUR1"/>
      <c r="MUS1"/>
      <c r="MUT1"/>
      <c r="MUU1"/>
      <c r="MUV1"/>
      <c r="MUW1"/>
      <c r="MUX1"/>
      <c r="MUY1"/>
      <c r="MUZ1"/>
      <c r="MVA1"/>
      <c r="MVB1"/>
      <c r="MVC1"/>
      <c r="MVD1"/>
      <c r="MVE1"/>
      <c r="MVF1"/>
      <c r="MVG1"/>
      <c r="MVH1"/>
      <c r="MVI1"/>
      <c r="MVJ1"/>
      <c r="MVK1"/>
      <c r="MVL1"/>
      <c r="MVM1"/>
      <c r="MVN1"/>
      <c r="MVO1"/>
      <c r="MVP1"/>
      <c r="MVQ1"/>
      <c r="MVR1"/>
      <c r="MVS1"/>
      <c r="MVT1"/>
      <c r="MVU1"/>
      <c r="MVV1"/>
      <c r="MVW1"/>
      <c r="MVX1"/>
      <c r="MVY1"/>
      <c r="MVZ1"/>
      <c r="MWA1"/>
      <c r="MWB1"/>
      <c r="MWC1"/>
      <c r="MWD1"/>
      <c r="MWE1"/>
      <c r="MWF1"/>
      <c r="MWG1"/>
      <c r="MWH1"/>
      <c r="MWI1"/>
      <c r="MWJ1"/>
      <c r="MWK1"/>
      <c r="MWL1"/>
      <c r="MWM1"/>
      <c r="MWN1"/>
      <c r="MWO1"/>
      <c r="MWP1"/>
      <c r="MWQ1"/>
      <c r="MWR1"/>
      <c r="MWS1"/>
      <c r="MWT1"/>
      <c r="MWU1"/>
      <c r="MWV1"/>
      <c r="MWW1"/>
      <c r="MWX1"/>
      <c r="MWY1"/>
      <c r="MWZ1"/>
      <c r="MXA1"/>
      <c r="MXB1"/>
      <c r="MXC1"/>
      <c r="MXD1"/>
      <c r="MXE1"/>
      <c r="MXF1"/>
      <c r="MXG1"/>
      <c r="MXH1"/>
      <c r="MXI1"/>
      <c r="MXJ1"/>
      <c r="MXK1"/>
      <c r="MXL1"/>
      <c r="MXM1"/>
      <c r="MXN1"/>
      <c r="MXO1"/>
      <c r="MXP1"/>
      <c r="MXQ1"/>
      <c r="MXR1"/>
      <c r="MXS1"/>
      <c r="MXT1"/>
      <c r="MXU1"/>
      <c r="MXV1"/>
      <c r="MXW1"/>
      <c r="MXX1"/>
      <c r="MXY1"/>
      <c r="MXZ1"/>
      <c r="MYA1"/>
      <c r="MYB1"/>
      <c r="MYC1"/>
      <c r="MYD1"/>
      <c r="MYE1"/>
      <c r="MYF1"/>
      <c r="MYG1"/>
      <c r="MYH1"/>
      <c r="MYI1"/>
      <c r="MYJ1"/>
      <c r="MYK1"/>
      <c r="MYL1"/>
      <c r="MYM1"/>
      <c r="MYN1"/>
      <c r="MYO1"/>
      <c r="MYP1"/>
      <c r="MYQ1"/>
      <c r="MYR1"/>
      <c r="MYS1"/>
      <c r="MYT1"/>
      <c r="MYU1"/>
      <c r="MYV1"/>
      <c r="MYW1"/>
      <c r="MYX1"/>
      <c r="MYY1"/>
      <c r="MYZ1"/>
      <c r="MZA1"/>
      <c r="MZB1"/>
      <c r="MZC1"/>
      <c r="MZD1"/>
      <c r="MZE1"/>
      <c r="MZF1"/>
      <c r="MZG1"/>
      <c r="MZH1"/>
      <c r="MZI1"/>
      <c r="MZJ1"/>
      <c r="MZK1"/>
      <c r="MZL1"/>
      <c r="MZM1"/>
      <c r="MZN1"/>
      <c r="MZO1"/>
      <c r="MZP1"/>
      <c r="MZQ1"/>
      <c r="MZR1"/>
      <c r="MZS1"/>
      <c r="MZT1"/>
      <c r="MZU1"/>
      <c r="MZV1"/>
      <c r="MZW1"/>
      <c r="MZX1"/>
      <c r="MZY1"/>
      <c r="MZZ1"/>
      <c r="NAA1"/>
      <c r="NAB1"/>
      <c r="NAC1"/>
      <c r="NAD1"/>
      <c r="NAE1"/>
      <c r="NAF1"/>
      <c r="NAG1"/>
      <c r="NAH1"/>
      <c r="NAI1"/>
      <c r="NAJ1"/>
      <c r="NAK1"/>
      <c r="NAL1"/>
      <c r="NAM1"/>
      <c r="NAN1"/>
      <c r="NAO1"/>
      <c r="NAP1"/>
      <c r="NAQ1"/>
      <c r="NAR1"/>
      <c r="NAS1"/>
      <c r="NAT1"/>
      <c r="NAU1"/>
      <c r="NAV1"/>
      <c r="NAW1"/>
      <c r="NAX1"/>
      <c r="NAY1"/>
      <c r="NAZ1"/>
      <c r="NBA1"/>
      <c r="NBB1"/>
      <c r="NBC1"/>
      <c r="NBD1"/>
      <c r="NBE1"/>
      <c r="NBF1"/>
      <c r="NBG1"/>
      <c r="NBH1"/>
      <c r="NBI1"/>
      <c r="NBJ1"/>
      <c r="NBK1"/>
      <c r="NBL1"/>
      <c r="NBM1"/>
      <c r="NBN1"/>
      <c r="NBO1"/>
      <c r="NBP1"/>
      <c r="NBQ1"/>
      <c r="NBR1"/>
      <c r="NBS1"/>
      <c r="NBT1"/>
      <c r="NBU1"/>
      <c r="NBV1"/>
      <c r="NBW1"/>
      <c r="NBX1"/>
      <c r="NBY1"/>
      <c r="NBZ1"/>
      <c r="NCA1"/>
      <c r="NCB1"/>
      <c r="NCC1"/>
      <c r="NCD1"/>
      <c r="NCE1"/>
      <c r="NCF1"/>
      <c r="NCG1"/>
      <c r="NCH1"/>
      <c r="NCI1"/>
      <c r="NCJ1"/>
      <c r="NCK1"/>
      <c r="NCL1"/>
      <c r="NCM1"/>
      <c r="NCN1"/>
      <c r="NCO1"/>
      <c r="NCP1"/>
      <c r="NCQ1"/>
      <c r="NCR1"/>
      <c r="NCS1"/>
      <c r="NCT1"/>
      <c r="NCU1"/>
      <c r="NCV1"/>
      <c r="NCW1"/>
      <c r="NCX1"/>
      <c r="NCY1"/>
      <c r="NCZ1"/>
      <c r="NDA1"/>
      <c r="NDB1"/>
      <c r="NDC1"/>
      <c r="NDD1"/>
      <c r="NDE1"/>
      <c r="NDF1"/>
      <c r="NDG1"/>
      <c r="NDH1"/>
      <c r="NDI1"/>
      <c r="NDJ1"/>
      <c r="NDK1"/>
      <c r="NDL1"/>
      <c r="NDM1"/>
      <c r="NDN1"/>
      <c r="NDO1"/>
      <c r="NDP1"/>
      <c r="NDQ1"/>
      <c r="NDR1"/>
      <c r="NDS1"/>
      <c r="NDT1"/>
      <c r="NDU1"/>
      <c r="NDV1"/>
      <c r="NDW1"/>
      <c r="NDX1"/>
      <c r="NDY1"/>
      <c r="NDZ1"/>
      <c r="NEA1"/>
      <c r="NEB1"/>
      <c r="NEC1"/>
      <c r="NED1"/>
      <c r="NEE1"/>
      <c r="NEF1"/>
      <c r="NEG1"/>
      <c r="NEH1"/>
      <c r="NEI1"/>
      <c r="NEJ1"/>
      <c r="NEK1"/>
      <c r="NEL1"/>
      <c r="NEM1"/>
      <c r="NEN1"/>
      <c r="NEO1"/>
      <c r="NEP1"/>
      <c r="NEQ1"/>
      <c r="NER1"/>
      <c r="NES1"/>
      <c r="NET1"/>
      <c r="NEU1"/>
      <c r="NEV1"/>
      <c r="NEW1"/>
      <c r="NEX1"/>
      <c r="NEY1"/>
      <c r="NEZ1"/>
      <c r="NFA1"/>
      <c r="NFB1"/>
      <c r="NFC1"/>
      <c r="NFD1"/>
      <c r="NFE1"/>
      <c r="NFF1"/>
      <c r="NFG1"/>
      <c r="NFH1"/>
      <c r="NFI1"/>
      <c r="NFJ1"/>
      <c r="NFK1"/>
      <c r="NFL1"/>
      <c r="NFM1"/>
      <c r="NFN1"/>
      <c r="NFO1"/>
      <c r="NFP1"/>
      <c r="NFQ1"/>
      <c r="NFR1"/>
      <c r="NFS1"/>
      <c r="NFT1"/>
      <c r="NFU1"/>
      <c r="NFV1"/>
      <c r="NFW1"/>
      <c r="NFX1"/>
      <c r="NFY1"/>
      <c r="NFZ1"/>
      <c r="NGA1"/>
      <c r="NGB1"/>
      <c r="NGC1"/>
      <c r="NGD1"/>
      <c r="NGE1"/>
      <c r="NGF1"/>
      <c r="NGG1"/>
      <c r="NGH1"/>
      <c r="NGI1"/>
      <c r="NGJ1"/>
      <c r="NGK1"/>
      <c r="NGL1"/>
      <c r="NGM1"/>
      <c r="NGN1"/>
      <c r="NGO1"/>
      <c r="NGP1"/>
      <c r="NGQ1"/>
      <c r="NGR1"/>
      <c r="NGS1"/>
      <c r="NGT1"/>
      <c r="NGU1"/>
      <c r="NGV1"/>
      <c r="NGW1"/>
      <c r="NGX1"/>
      <c r="NGY1"/>
      <c r="NGZ1"/>
      <c r="NHA1"/>
      <c r="NHB1"/>
      <c r="NHC1"/>
      <c r="NHD1"/>
      <c r="NHE1"/>
      <c r="NHF1"/>
      <c r="NHG1"/>
      <c r="NHH1"/>
      <c r="NHI1"/>
      <c r="NHJ1"/>
      <c r="NHK1"/>
      <c r="NHL1"/>
      <c r="NHM1"/>
      <c r="NHN1"/>
      <c r="NHO1"/>
      <c r="NHP1"/>
      <c r="NHQ1"/>
      <c r="NHR1"/>
      <c r="NHS1"/>
      <c r="NHT1"/>
      <c r="NHU1"/>
      <c r="NHV1"/>
      <c r="NHW1"/>
      <c r="NHX1"/>
      <c r="NHY1"/>
      <c r="NHZ1"/>
      <c r="NIA1"/>
      <c r="NIB1"/>
      <c r="NIC1"/>
      <c r="NID1"/>
      <c r="NIE1"/>
      <c r="NIF1"/>
      <c r="NIG1"/>
      <c r="NIH1"/>
      <c r="NII1"/>
      <c r="NIJ1"/>
      <c r="NIK1"/>
      <c r="NIL1"/>
      <c r="NIM1"/>
      <c r="NIN1"/>
      <c r="NIO1"/>
      <c r="NIP1"/>
      <c r="NIQ1"/>
      <c r="NIR1"/>
      <c r="NIS1"/>
      <c r="NIT1"/>
      <c r="NIU1"/>
      <c r="NIV1"/>
      <c r="NIW1"/>
      <c r="NIX1"/>
      <c r="NIY1"/>
      <c r="NIZ1"/>
      <c r="NJA1"/>
      <c r="NJB1"/>
      <c r="NJC1"/>
      <c r="NJD1"/>
      <c r="NJE1"/>
      <c r="NJF1"/>
      <c r="NJG1"/>
      <c r="NJH1"/>
      <c r="NJI1"/>
      <c r="NJJ1"/>
      <c r="NJK1"/>
      <c r="NJL1"/>
      <c r="NJM1"/>
      <c r="NJN1"/>
      <c r="NJO1"/>
      <c r="NJP1"/>
      <c r="NJQ1"/>
      <c r="NJR1"/>
      <c r="NJS1"/>
      <c r="NJT1"/>
      <c r="NJU1"/>
      <c r="NJV1"/>
      <c r="NJW1"/>
      <c r="NJX1"/>
      <c r="NJY1"/>
      <c r="NJZ1"/>
      <c r="NKA1"/>
      <c r="NKB1"/>
      <c r="NKC1"/>
      <c r="NKD1"/>
      <c r="NKE1"/>
      <c r="NKF1"/>
      <c r="NKG1"/>
      <c r="NKH1"/>
      <c r="NKI1"/>
      <c r="NKJ1"/>
      <c r="NKK1"/>
      <c r="NKL1"/>
      <c r="NKM1"/>
      <c r="NKN1"/>
      <c r="NKO1"/>
      <c r="NKP1"/>
      <c r="NKQ1"/>
      <c r="NKR1"/>
      <c r="NKS1"/>
      <c r="NKT1"/>
      <c r="NKU1"/>
      <c r="NKV1"/>
      <c r="NKW1"/>
      <c r="NKX1"/>
      <c r="NKY1"/>
      <c r="NKZ1"/>
      <c r="NLA1"/>
      <c r="NLB1"/>
      <c r="NLC1"/>
      <c r="NLD1"/>
      <c r="NLE1"/>
      <c r="NLF1"/>
      <c r="NLG1"/>
      <c r="NLH1"/>
      <c r="NLI1"/>
      <c r="NLJ1"/>
      <c r="NLK1"/>
      <c r="NLL1"/>
      <c r="NLM1"/>
      <c r="NLN1"/>
      <c r="NLO1"/>
      <c r="NLP1"/>
      <c r="NLQ1"/>
      <c r="NLR1"/>
      <c r="NLS1"/>
      <c r="NLT1"/>
      <c r="NLU1"/>
      <c r="NLV1"/>
      <c r="NLW1"/>
      <c r="NLX1"/>
      <c r="NLY1"/>
      <c r="NLZ1"/>
      <c r="NMA1"/>
      <c r="NMB1"/>
      <c r="NMC1"/>
      <c r="NMD1"/>
      <c r="NME1"/>
      <c r="NMF1"/>
      <c r="NMG1"/>
      <c r="NMH1"/>
      <c r="NMI1"/>
      <c r="NMJ1"/>
      <c r="NMK1"/>
      <c r="NML1"/>
      <c r="NMM1"/>
      <c r="NMN1"/>
      <c r="NMO1"/>
      <c r="NMP1"/>
      <c r="NMQ1"/>
      <c r="NMR1"/>
      <c r="NMS1"/>
      <c r="NMT1"/>
      <c r="NMU1"/>
      <c r="NMV1"/>
      <c r="NMW1"/>
      <c r="NMX1"/>
      <c r="NMY1"/>
      <c r="NMZ1"/>
      <c r="NNA1"/>
      <c r="NNB1"/>
      <c r="NNC1"/>
      <c r="NND1"/>
      <c r="NNE1"/>
      <c r="NNF1"/>
      <c r="NNG1"/>
      <c r="NNH1"/>
      <c r="NNI1"/>
      <c r="NNJ1"/>
      <c r="NNK1"/>
      <c r="NNL1"/>
      <c r="NNM1"/>
      <c r="NNN1"/>
      <c r="NNO1"/>
      <c r="NNP1"/>
      <c r="NNQ1"/>
      <c r="NNR1"/>
      <c r="NNS1"/>
      <c r="NNT1"/>
      <c r="NNU1"/>
      <c r="NNV1"/>
      <c r="NNW1"/>
      <c r="NNX1"/>
      <c r="NNY1"/>
      <c r="NNZ1"/>
      <c r="NOA1"/>
      <c r="NOB1"/>
      <c r="NOC1"/>
      <c r="NOD1"/>
      <c r="NOE1"/>
      <c r="NOF1"/>
      <c r="NOG1"/>
      <c r="NOH1"/>
      <c r="NOI1"/>
      <c r="NOJ1"/>
      <c r="NOK1"/>
      <c r="NOL1"/>
      <c r="NOM1"/>
      <c r="NON1"/>
      <c r="NOO1"/>
      <c r="NOP1"/>
      <c r="NOQ1"/>
      <c r="NOR1"/>
      <c r="NOS1"/>
      <c r="NOT1"/>
      <c r="NOU1"/>
      <c r="NOV1"/>
      <c r="NOW1"/>
      <c r="NOX1"/>
      <c r="NOY1"/>
      <c r="NOZ1"/>
      <c r="NPA1"/>
      <c r="NPB1"/>
      <c r="NPC1"/>
      <c r="NPD1"/>
      <c r="NPE1"/>
      <c r="NPF1"/>
      <c r="NPG1"/>
      <c r="NPH1"/>
      <c r="NPI1"/>
      <c r="NPJ1"/>
      <c r="NPK1"/>
      <c r="NPL1"/>
      <c r="NPM1"/>
      <c r="NPN1"/>
      <c r="NPO1"/>
      <c r="NPP1"/>
      <c r="NPQ1"/>
      <c r="NPR1"/>
      <c r="NPS1"/>
      <c r="NPT1"/>
      <c r="NPU1"/>
      <c r="NPV1"/>
      <c r="NPW1"/>
      <c r="NPX1"/>
      <c r="NPY1"/>
      <c r="NPZ1"/>
      <c r="NQA1"/>
      <c r="NQB1"/>
      <c r="NQC1"/>
      <c r="NQD1"/>
      <c r="NQE1"/>
      <c r="NQF1"/>
      <c r="NQG1"/>
      <c r="NQH1"/>
      <c r="NQI1"/>
      <c r="NQJ1"/>
      <c r="NQK1"/>
      <c r="NQL1"/>
      <c r="NQM1"/>
      <c r="NQN1"/>
      <c r="NQO1"/>
      <c r="NQP1"/>
      <c r="NQQ1"/>
      <c r="NQR1"/>
      <c r="NQS1"/>
      <c r="NQT1"/>
      <c r="NQU1"/>
      <c r="NQV1"/>
      <c r="NQW1"/>
      <c r="NQX1"/>
      <c r="NQY1"/>
      <c r="NQZ1"/>
      <c r="NRA1"/>
      <c r="NRB1"/>
      <c r="NRC1"/>
      <c r="NRD1"/>
      <c r="NRE1"/>
      <c r="NRF1"/>
      <c r="NRG1"/>
      <c r="NRH1"/>
      <c r="NRI1"/>
      <c r="NRJ1"/>
      <c r="NRK1"/>
      <c r="NRL1"/>
      <c r="NRM1"/>
      <c r="NRN1"/>
      <c r="NRO1"/>
      <c r="NRP1"/>
      <c r="NRQ1"/>
      <c r="NRR1"/>
      <c r="NRS1"/>
      <c r="NRT1"/>
      <c r="NRU1"/>
      <c r="NRV1"/>
      <c r="NRW1"/>
      <c r="NRX1"/>
      <c r="NRY1"/>
      <c r="NRZ1"/>
      <c r="NSA1"/>
      <c r="NSB1"/>
      <c r="NSC1"/>
      <c r="NSD1"/>
      <c r="NSE1"/>
      <c r="NSF1"/>
      <c r="NSG1"/>
      <c r="NSH1"/>
      <c r="NSI1"/>
      <c r="NSJ1"/>
      <c r="NSK1"/>
      <c r="NSL1"/>
      <c r="NSM1"/>
      <c r="NSN1"/>
      <c r="NSO1"/>
      <c r="NSP1"/>
      <c r="NSQ1"/>
      <c r="NSR1"/>
      <c r="NSS1"/>
      <c r="NST1"/>
      <c r="NSU1"/>
      <c r="NSV1"/>
      <c r="NSW1"/>
      <c r="NSX1"/>
      <c r="NSY1"/>
      <c r="NSZ1"/>
      <c r="NTA1"/>
      <c r="NTB1"/>
      <c r="NTC1"/>
      <c r="NTD1"/>
      <c r="NTE1"/>
      <c r="NTF1"/>
      <c r="NTG1"/>
      <c r="NTH1"/>
      <c r="NTI1"/>
      <c r="NTJ1"/>
      <c r="NTK1"/>
      <c r="NTL1"/>
      <c r="NTM1"/>
      <c r="NTN1"/>
      <c r="NTO1"/>
      <c r="NTP1"/>
      <c r="NTQ1"/>
      <c r="NTR1"/>
      <c r="NTS1"/>
      <c r="NTT1"/>
      <c r="NTU1"/>
      <c r="NTV1"/>
      <c r="NTW1"/>
      <c r="NTX1"/>
      <c r="NTY1"/>
      <c r="NTZ1"/>
      <c r="NUA1"/>
      <c r="NUB1"/>
      <c r="NUC1"/>
      <c r="NUD1"/>
      <c r="NUE1"/>
      <c r="NUF1"/>
      <c r="NUG1"/>
      <c r="NUH1"/>
      <c r="NUI1"/>
      <c r="NUJ1"/>
      <c r="NUK1"/>
      <c r="NUL1"/>
      <c r="NUM1"/>
      <c r="NUN1"/>
      <c r="NUO1"/>
      <c r="NUP1"/>
      <c r="NUQ1"/>
      <c r="NUR1"/>
      <c r="NUS1"/>
      <c r="NUT1"/>
      <c r="NUU1"/>
      <c r="NUV1"/>
      <c r="NUW1"/>
      <c r="NUX1"/>
      <c r="NUY1"/>
      <c r="NUZ1"/>
      <c r="NVA1"/>
      <c r="NVB1"/>
      <c r="NVC1"/>
      <c r="NVD1"/>
      <c r="NVE1"/>
      <c r="NVF1"/>
      <c r="NVG1"/>
      <c r="NVH1"/>
      <c r="NVI1"/>
      <c r="NVJ1"/>
      <c r="NVK1"/>
      <c r="NVL1"/>
      <c r="NVM1"/>
      <c r="NVN1"/>
      <c r="NVO1"/>
      <c r="NVP1"/>
      <c r="NVQ1"/>
      <c r="NVR1"/>
      <c r="NVS1"/>
      <c r="NVT1"/>
      <c r="NVU1"/>
      <c r="NVV1"/>
      <c r="NVW1"/>
      <c r="NVX1"/>
      <c r="NVY1"/>
      <c r="NVZ1"/>
      <c r="NWA1"/>
      <c r="NWB1"/>
      <c r="NWC1"/>
      <c r="NWD1"/>
      <c r="NWE1"/>
      <c r="NWF1"/>
      <c r="NWG1"/>
      <c r="NWH1"/>
      <c r="NWI1"/>
      <c r="NWJ1"/>
      <c r="NWK1"/>
      <c r="NWL1"/>
      <c r="NWM1"/>
      <c r="NWN1"/>
      <c r="NWO1"/>
      <c r="NWP1"/>
      <c r="NWQ1"/>
      <c r="NWR1"/>
      <c r="NWS1"/>
      <c r="NWT1"/>
      <c r="NWU1"/>
      <c r="NWV1"/>
      <c r="NWW1"/>
      <c r="NWX1"/>
      <c r="NWY1"/>
      <c r="NWZ1"/>
      <c r="NXA1"/>
      <c r="NXB1"/>
      <c r="NXC1"/>
      <c r="NXD1"/>
      <c r="NXE1"/>
      <c r="NXF1"/>
      <c r="NXG1"/>
      <c r="NXH1"/>
      <c r="NXI1"/>
      <c r="NXJ1"/>
      <c r="NXK1"/>
      <c r="NXL1"/>
      <c r="NXM1"/>
      <c r="NXN1"/>
      <c r="NXO1"/>
      <c r="NXP1"/>
      <c r="NXQ1"/>
      <c r="NXR1"/>
      <c r="NXS1"/>
      <c r="NXT1"/>
      <c r="NXU1"/>
      <c r="NXV1"/>
      <c r="NXW1"/>
      <c r="NXX1"/>
      <c r="NXY1"/>
      <c r="NXZ1"/>
      <c r="NYA1"/>
      <c r="NYB1"/>
      <c r="NYC1"/>
      <c r="NYD1"/>
      <c r="NYE1"/>
      <c r="NYF1"/>
      <c r="NYG1"/>
      <c r="NYH1"/>
      <c r="NYI1"/>
      <c r="NYJ1"/>
      <c r="NYK1"/>
      <c r="NYL1"/>
      <c r="NYM1"/>
      <c r="NYN1"/>
      <c r="NYO1"/>
      <c r="NYP1"/>
      <c r="NYQ1"/>
      <c r="NYR1"/>
      <c r="NYS1"/>
      <c r="NYT1"/>
      <c r="NYU1"/>
      <c r="NYV1"/>
      <c r="NYW1"/>
      <c r="NYX1"/>
      <c r="NYY1"/>
      <c r="NYZ1"/>
      <c r="NZA1"/>
      <c r="NZB1"/>
      <c r="NZC1"/>
      <c r="NZD1"/>
      <c r="NZE1"/>
      <c r="NZF1"/>
      <c r="NZG1"/>
      <c r="NZH1"/>
      <c r="NZI1"/>
      <c r="NZJ1"/>
      <c r="NZK1"/>
      <c r="NZL1"/>
      <c r="NZM1"/>
      <c r="NZN1"/>
      <c r="NZO1"/>
      <c r="NZP1"/>
      <c r="NZQ1"/>
      <c r="NZR1"/>
      <c r="NZS1"/>
      <c r="NZT1"/>
      <c r="NZU1"/>
      <c r="NZV1"/>
      <c r="NZW1"/>
      <c r="NZX1"/>
      <c r="NZY1"/>
      <c r="NZZ1"/>
      <c r="OAA1"/>
      <c r="OAB1"/>
      <c r="OAC1"/>
      <c r="OAD1"/>
      <c r="OAE1"/>
      <c r="OAF1"/>
      <c r="OAG1"/>
      <c r="OAH1"/>
      <c r="OAI1"/>
      <c r="OAJ1"/>
      <c r="OAK1"/>
      <c r="OAL1"/>
      <c r="OAM1"/>
      <c r="OAN1"/>
      <c r="OAO1"/>
      <c r="OAP1"/>
      <c r="OAQ1"/>
      <c r="OAR1"/>
      <c r="OAS1"/>
      <c r="OAT1"/>
      <c r="OAU1"/>
      <c r="OAV1"/>
      <c r="OAW1"/>
      <c r="OAX1"/>
      <c r="OAY1"/>
      <c r="OAZ1"/>
      <c r="OBA1"/>
      <c r="OBB1"/>
      <c r="OBC1"/>
      <c r="OBD1"/>
      <c r="OBE1"/>
      <c r="OBF1"/>
      <c r="OBG1"/>
      <c r="OBH1"/>
      <c r="OBI1"/>
      <c r="OBJ1"/>
      <c r="OBK1"/>
      <c r="OBL1"/>
      <c r="OBM1"/>
      <c r="OBN1"/>
      <c r="OBO1"/>
      <c r="OBP1"/>
      <c r="OBQ1"/>
      <c r="OBR1"/>
      <c r="OBS1"/>
      <c r="OBT1"/>
      <c r="OBU1"/>
      <c r="OBV1"/>
      <c r="OBW1"/>
      <c r="OBX1"/>
      <c r="OBY1"/>
      <c r="OBZ1"/>
      <c r="OCA1"/>
      <c r="OCB1"/>
      <c r="OCC1"/>
      <c r="OCD1"/>
      <c r="OCE1"/>
      <c r="OCF1"/>
      <c r="OCG1"/>
      <c r="OCH1"/>
      <c r="OCI1"/>
      <c r="OCJ1"/>
      <c r="OCK1"/>
      <c r="OCL1"/>
      <c r="OCM1"/>
      <c r="OCN1"/>
      <c r="OCO1"/>
      <c r="OCP1"/>
      <c r="OCQ1"/>
      <c r="OCR1"/>
      <c r="OCS1"/>
      <c r="OCT1"/>
      <c r="OCU1"/>
      <c r="OCV1"/>
      <c r="OCW1"/>
      <c r="OCX1"/>
      <c r="OCY1"/>
      <c r="OCZ1"/>
      <c r="ODA1"/>
      <c r="ODB1"/>
      <c r="ODC1"/>
      <c r="ODD1"/>
      <c r="ODE1"/>
      <c r="ODF1"/>
      <c r="ODG1"/>
      <c r="ODH1"/>
      <c r="ODI1"/>
      <c r="ODJ1"/>
      <c r="ODK1"/>
      <c r="ODL1"/>
      <c r="ODM1"/>
      <c r="ODN1"/>
      <c r="ODO1"/>
      <c r="ODP1"/>
      <c r="ODQ1"/>
      <c r="ODR1"/>
      <c r="ODS1"/>
      <c r="ODT1"/>
      <c r="ODU1"/>
      <c r="ODV1"/>
      <c r="ODW1"/>
      <c r="ODX1"/>
      <c r="ODY1"/>
      <c r="ODZ1"/>
      <c r="OEA1"/>
      <c r="OEB1"/>
      <c r="OEC1"/>
      <c r="OED1"/>
      <c r="OEE1"/>
      <c r="OEF1"/>
      <c r="OEG1"/>
      <c r="OEH1"/>
      <c r="OEI1"/>
      <c r="OEJ1"/>
      <c r="OEK1"/>
      <c r="OEL1"/>
      <c r="OEM1"/>
      <c r="OEN1"/>
      <c r="OEO1"/>
      <c r="OEP1"/>
      <c r="OEQ1"/>
      <c r="OER1"/>
      <c r="OES1"/>
      <c r="OET1"/>
      <c r="OEU1"/>
      <c r="OEV1"/>
      <c r="OEW1"/>
      <c r="OEX1"/>
      <c r="OEY1"/>
      <c r="OEZ1"/>
      <c r="OFA1"/>
      <c r="OFB1"/>
      <c r="OFC1"/>
      <c r="OFD1"/>
      <c r="OFE1"/>
      <c r="OFF1"/>
      <c r="OFG1"/>
      <c r="OFH1"/>
      <c r="OFI1"/>
      <c r="OFJ1"/>
      <c r="OFK1"/>
      <c r="OFL1"/>
      <c r="OFM1"/>
      <c r="OFN1"/>
      <c r="OFO1"/>
      <c r="OFP1"/>
      <c r="OFQ1"/>
      <c r="OFR1"/>
      <c r="OFS1"/>
      <c r="OFT1"/>
      <c r="OFU1"/>
      <c r="OFV1"/>
      <c r="OFW1"/>
      <c r="OFX1"/>
      <c r="OFY1"/>
      <c r="OFZ1"/>
      <c r="OGA1"/>
      <c r="OGB1"/>
      <c r="OGC1"/>
      <c r="OGD1"/>
      <c r="OGE1"/>
      <c r="OGF1"/>
      <c r="OGG1"/>
      <c r="OGH1"/>
      <c r="OGI1"/>
      <c r="OGJ1"/>
      <c r="OGK1"/>
      <c r="OGL1"/>
      <c r="OGM1"/>
      <c r="OGN1"/>
      <c r="OGO1"/>
      <c r="OGP1"/>
      <c r="OGQ1"/>
      <c r="OGR1"/>
      <c r="OGS1"/>
      <c r="OGT1"/>
      <c r="OGU1"/>
      <c r="OGV1"/>
      <c r="OGW1"/>
      <c r="OGX1"/>
      <c r="OGY1"/>
      <c r="OGZ1"/>
      <c r="OHA1"/>
      <c r="OHB1"/>
      <c r="OHC1"/>
      <c r="OHD1"/>
      <c r="OHE1"/>
      <c r="OHF1"/>
      <c r="OHG1"/>
      <c r="OHH1"/>
      <c r="OHI1"/>
      <c r="OHJ1"/>
      <c r="OHK1"/>
      <c r="OHL1"/>
      <c r="OHM1"/>
      <c r="OHN1"/>
      <c r="OHO1"/>
      <c r="OHP1"/>
      <c r="OHQ1"/>
      <c r="OHR1"/>
      <c r="OHS1"/>
      <c r="OHT1"/>
      <c r="OHU1"/>
      <c r="OHV1"/>
      <c r="OHW1"/>
      <c r="OHX1"/>
      <c r="OHY1"/>
      <c r="OHZ1"/>
      <c r="OIA1"/>
      <c r="OIB1"/>
      <c r="OIC1"/>
      <c r="OID1"/>
      <c r="OIE1"/>
      <c r="OIF1"/>
      <c r="OIG1"/>
      <c r="OIH1"/>
      <c r="OII1"/>
      <c r="OIJ1"/>
      <c r="OIK1"/>
      <c r="OIL1"/>
      <c r="OIM1"/>
      <c r="OIN1"/>
      <c r="OIO1"/>
      <c r="OIP1"/>
      <c r="OIQ1"/>
      <c r="OIR1"/>
      <c r="OIS1"/>
      <c r="OIT1"/>
      <c r="OIU1"/>
      <c r="OIV1"/>
      <c r="OIW1"/>
      <c r="OIX1"/>
      <c r="OIY1"/>
      <c r="OIZ1"/>
      <c r="OJA1"/>
      <c r="OJB1"/>
      <c r="OJC1"/>
      <c r="OJD1"/>
      <c r="OJE1"/>
      <c r="OJF1"/>
      <c r="OJG1"/>
      <c r="OJH1"/>
      <c r="OJI1"/>
      <c r="OJJ1"/>
      <c r="OJK1"/>
      <c r="OJL1"/>
      <c r="OJM1"/>
      <c r="OJN1"/>
      <c r="OJO1"/>
      <c r="OJP1"/>
      <c r="OJQ1"/>
      <c r="OJR1"/>
      <c r="OJS1"/>
      <c r="OJT1"/>
      <c r="OJU1"/>
      <c r="OJV1"/>
      <c r="OJW1"/>
      <c r="OJX1"/>
      <c r="OJY1"/>
      <c r="OJZ1"/>
      <c r="OKA1"/>
      <c r="OKB1"/>
      <c r="OKC1"/>
      <c r="OKD1"/>
      <c r="OKE1"/>
      <c r="OKF1"/>
      <c r="OKG1"/>
      <c r="OKH1"/>
      <c r="OKI1"/>
      <c r="OKJ1"/>
      <c r="OKK1"/>
      <c r="OKL1"/>
      <c r="OKM1"/>
      <c r="OKN1"/>
      <c r="OKO1"/>
      <c r="OKP1"/>
      <c r="OKQ1"/>
      <c r="OKR1"/>
      <c r="OKS1"/>
      <c r="OKT1"/>
      <c r="OKU1"/>
      <c r="OKV1"/>
      <c r="OKW1"/>
      <c r="OKX1"/>
      <c r="OKY1"/>
      <c r="OKZ1"/>
      <c r="OLA1"/>
      <c r="OLB1"/>
      <c r="OLC1"/>
      <c r="OLD1"/>
      <c r="OLE1"/>
      <c r="OLF1"/>
      <c r="OLG1"/>
      <c r="OLH1"/>
      <c r="OLI1"/>
      <c r="OLJ1"/>
      <c r="OLK1"/>
      <c r="OLL1"/>
      <c r="OLM1"/>
      <c r="OLN1"/>
      <c r="OLO1"/>
      <c r="OLP1"/>
      <c r="OLQ1"/>
      <c r="OLR1"/>
      <c r="OLS1"/>
      <c r="OLT1"/>
      <c r="OLU1"/>
      <c r="OLV1"/>
      <c r="OLW1"/>
      <c r="OLX1"/>
      <c r="OLY1"/>
      <c r="OLZ1"/>
      <c r="OMA1"/>
      <c r="OMB1"/>
      <c r="OMC1"/>
      <c r="OMD1"/>
      <c r="OME1"/>
      <c r="OMF1"/>
      <c r="OMG1"/>
      <c r="OMH1"/>
      <c r="OMI1"/>
      <c r="OMJ1"/>
      <c r="OMK1"/>
      <c r="OML1"/>
      <c r="OMM1"/>
      <c r="OMN1"/>
      <c r="OMO1"/>
      <c r="OMP1"/>
      <c r="OMQ1"/>
      <c r="OMR1"/>
      <c r="OMS1"/>
      <c r="OMT1"/>
      <c r="OMU1"/>
      <c r="OMV1"/>
      <c r="OMW1"/>
      <c r="OMX1"/>
      <c r="OMY1"/>
      <c r="OMZ1"/>
      <c r="ONA1"/>
      <c r="ONB1"/>
      <c r="ONC1"/>
      <c r="OND1"/>
      <c r="ONE1"/>
      <c r="ONF1"/>
      <c r="ONG1"/>
      <c r="ONH1"/>
      <c r="ONI1"/>
      <c r="ONJ1"/>
      <c r="ONK1"/>
      <c r="ONL1"/>
      <c r="ONM1"/>
      <c r="ONN1"/>
      <c r="ONO1"/>
      <c r="ONP1"/>
      <c r="ONQ1"/>
      <c r="ONR1"/>
      <c r="ONS1"/>
      <c r="ONT1"/>
      <c r="ONU1"/>
      <c r="ONV1"/>
      <c r="ONW1"/>
      <c r="ONX1"/>
      <c r="ONY1"/>
      <c r="ONZ1"/>
      <c r="OOA1"/>
      <c r="OOB1"/>
      <c r="OOC1"/>
      <c r="OOD1"/>
      <c r="OOE1"/>
      <c r="OOF1"/>
      <c r="OOG1"/>
      <c r="OOH1"/>
      <c r="OOI1"/>
      <c r="OOJ1"/>
      <c r="OOK1"/>
      <c r="OOL1"/>
      <c r="OOM1"/>
      <c r="OON1"/>
      <c r="OOO1"/>
      <c r="OOP1"/>
      <c r="OOQ1"/>
      <c r="OOR1"/>
      <c r="OOS1"/>
      <c r="OOT1"/>
      <c r="OOU1"/>
      <c r="OOV1"/>
      <c r="OOW1"/>
      <c r="OOX1"/>
      <c r="OOY1"/>
      <c r="OOZ1"/>
      <c r="OPA1"/>
      <c r="OPB1"/>
      <c r="OPC1"/>
      <c r="OPD1"/>
      <c r="OPE1"/>
      <c r="OPF1"/>
      <c r="OPG1"/>
      <c r="OPH1"/>
      <c r="OPI1"/>
      <c r="OPJ1"/>
      <c r="OPK1"/>
      <c r="OPL1"/>
      <c r="OPM1"/>
      <c r="OPN1"/>
      <c r="OPO1"/>
      <c r="OPP1"/>
      <c r="OPQ1"/>
      <c r="OPR1"/>
      <c r="OPS1"/>
      <c r="OPT1"/>
      <c r="OPU1"/>
      <c r="OPV1"/>
      <c r="OPW1"/>
      <c r="OPX1"/>
      <c r="OPY1"/>
      <c r="OPZ1"/>
      <c r="OQA1"/>
      <c r="OQB1"/>
      <c r="OQC1"/>
      <c r="OQD1"/>
      <c r="OQE1"/>
      <c r="OQF1"/>
      <c r="OQG1"/>
      <c r="OQH1"/>
      <c r="OQI1"/>
      <c r="OQJ1"/>
      <c r="OQK1"/>
      <c r="OQL1"/>
      <c r="OQM1"/>
      <c r="OQN1"/>
      <c r="OQO1"/>
      <c r="OQP1"/>
      <c r="OQQ1"/>
      <c r="OQR1"/>
      <c r="OQS1"/>
      <c r="OQT1"/>
      <c r="OQU1"/>
      <c r="OQV1"/>
      <c r="OQW1"/>
      <c r="OQX1"/>
      <c r="OQY1"/>
      <c r="OQZ1"/>
      <c r="ORA1"/>
      <c r="ORB1"/>
      <c r="ORC1"/>
      <c r="ORD1"/>
      <c r="ORE1"/>
      <c r="ORF1"/>
      <c r="ORG1"/>
      <c r="ORH1"/>
      <c r="ORI1"/>
      <c r="ORJ1"/>
      <c r="ORK1"/>
      <c r="ORL1"/>
      <c r="ORM1"/>
      <c r="ORN1"/>
      <c r="ORO1"/>
      <c r="ORP1"/>
      <c r="ORQ1"/>
      <c r="ORR1"/>
      <c r="ORS1"/>
      <c r="ORT1"/>
      <c r="ORU1"/>
      <c r="ORV1"/>
      <c r="ORW1"/>
      <c r="ORX1"/>
      <c r="ORY1"/>
      <c r="ORZ1"/>
      <c r="OSA1"/>
      <c r="OSB1"/>
      <c r="OSC1"/>
      <c r="OSD1"/>
      <c r="OSE1"/>
      <c r="OSF1"/>
      <c r="OSG1"/>
      <c r="OSH1"/>
      <c r="OSI1"/>
      <c r="OSJ1"/>
      <c r="OSK1"/>
      <c r="OSL1"/>
      <c r="OSM1"/>
      <c r="OSN1"/>
      <c r="OSO1"/>
      <c r="OSP1"/>
      <c r="OSQ1"/>
      <c r="OSR1"/>
      <c r="OSS1"/>
      <c r="OST1"/>
      <c r="OSU1"/>
      <c r="OSV1"/>
      <c r="OSW1"/>
      <c r="OSX1"/>
      <c r="OSY1"/>
      <c r="OSZ1"/>
      <c r="OTA1"/>
      <c r="OTB1"/>
      <c r="OTC1"/>
      <c r="OTD1"/>
      <c r="OTE1"/>
      <c r="OTF1"/>
      <c r="OTG1"/>
      <c r="OTH1"/>
      <c r="OTI1"/>
      <c r="OTJ1"/>
      <c r="OTK1"/>
      <c r="OTL1"/>
      <c r="OTM1"/>
      <c r="OTN1"/>
      <c r="OTO1"/>
      <c r="OTP1"/>
      <c r="OTQ1"/>
      <c r="OTR1"/>
      <c r="OTS1"/>
      <c r="OTT1"/>
      <c r="OTU1"/>
      <c r="OTV1"/>
      <c r="OTW1"/>
      <c r="OTX1"/>
      <c r="OTY1"/>
      <c r="OTZ1"/>
      <c r="OUA1"/>
      <c r="OUB1"/>
      <c r="OUC1"/>
      <c r="OUD1"/>
      <c r="OUE1"/>
      <c r="OUF1"/>
      <c r="OUG1"/>
      <c r="OUH1"/>
      <c r="OUI1"/>
      <c r="OUJ1"/>
      <c r="OUK1"/>
      <c r="OUL1"/>
      <c r="OUM1"/>
      <c r="OUN1"/>
      <c r="OUO1"/>
      <c r="OUP1"/>
      <c r="OUQ1"/>
      <c r="OUR1"/>
      <c r="OUS1"/>
      <c r="OUT1"/>
      <c r="OUU1"/>
      <c r="OUV1"/>
      <c r="OUW1"/>
      <c r="OUX1"/>
      <c r="OUY1"/>
      <c r="OUZ1"/>
      <c r="OVA1"/>
      <c r="OVB1"/>
      <c r="OVC1"/>
      <c r="OVD1"/>
      <c r="OVE1"/>
      <c r="OVF1"/>
      <c r="OVG1"/>
      <c r="OVH1"/>
      <c r="OVI1"/>
      <c r="OVJ1"/>
      <c r="OVK1"/>
      <c r="OVL1"/>
      <c r="OVM1"/>
      <c r="OVN1"/>
      <c r="OVO1"/>
      <c r="OVP1"/>
      <c r="OVQ1"/>
      <c r="OVR1"/>
      <c r="OVS1"/>
      <c r="OVT1"/>
      <c r="OVU1"/>
      <c r="OVV1"/>
      <c r="OVW1"/>
      <c r="OVX1"/>
      <c r="OVY1"/>
      <c r="OVZ1"/>
      <c r="OWA1"/>
      <c r="OWB1"/>
      <c r="OWC1"/>
      <c r="OWD1"/>
      <c r="OWE1"/>
      <c r="OWF1"/>
      <c r="OWG1"/>
      <c r="OWH1"/>
      <c r="OWI1"/>
      <c r="OWJ1"/>
      <c r="OWK1"/>
      <c r="OWL1"/>
      <c r="OWM1"/>
      <c r="OWN1"/>
      <c r="OWO1"/>
      <c r="OWP1"/>
      <c r="OWQ1"/>
      <c r="OWR1"/>
      <c r="OWS1"/>
      <c r="OWT1"/>
      <c r="OWU1"/>
      <c r="OWV1"/>
      <c r="OWW1"/>
      <c r="OWX1"/>
      <c r="OWY1"/>
      <c r="OWZ1"/>
      <c r="OXA1"/>
      <c r="OXB1"/>
      <c r="OXC1"/>
      <c r="OXD1"/>
      <c r="OXE1"/>
      <c r="OXF1"/>
      <c r="OXG1"/>
      <c r="OXH1"/>
      <c r="OXI1"/>
      <c r="OXJ1"/>
      <c r="OXK1"/>
      <c r="OXL1"/>
      <c r="OXM1"/>
      <c r="OXN1"/>
      <c r="OXO1"/>
      <c r="OXP1"/>
      <c r="OXQ1"/>
      <c r="OXR1"/>
      <c r="OXS1"/>
      <c r="OXT1"/>
      <c r="OXU1"/>
      <c r="OXV1"/>
      <c r="OXW1"/>
      <c r="OXX1"/>
      <c r="OXY1"/>
      <c r="OXZ1"/>
      <c r="OYA1"/>
      <c r="OYB1"/>
      <c r="OYC1"/>
      <c r="OYD1"/>
      <c r="OYE1"/>
      <c r="OYF1"/>
      <c r="OYG1"/>
      <c r="OYH1"/>
      <c r="OYI1"/>
      <c r="OYJ1"/>
      <c r="OYK1"/>
      <c r="OYL1"/>
      <c r="OYM1"/>
      <c r="OYN1"/>
      <c r="OYO1"/>
      <c r="OYP1"/>
      <c r="OYQ1"/>
      <c r="OYR1"/>
      <c r="OYS1"/>
      <c r="OYT1"/>
      <c r="OYU1"/>
      <c r="OYV1"/>
      <c r="OYW1"/>
      <c r="OYX1"/>
      <c r="OYY1"/>
      <c r="OYZ1"/>
      <c r="OZA1"/>
      <c r="OZB1"/>
      <c r="OZC1"/>
      <c r="OZD1"/>
      <c r="OZE1"/>
      <c r="OZF1"/>
      <c r="OZG1"/>
      <c r="OZH1"/>
      <c r="OZI1"/>
      <c r="OZJ1"/>
      <c r="OZK1"/>
      <c r="OZL1"/>
      <c r="OZM1"/>
      <c r="OZN1"/>
      <c r="OZO1"/>
      <c r="OZP1"/>
      <c r="OZQ1"/>
      <c r="OZR1"/>
      <c r="OZS1"/>
      <c r="OZT1"/>
      <c r="OZU1"/>
      <c r="OZV1"/>
      <c r="OZW1"/>
      <c r="OZX1"/>
      <c r="OZY1"/>
      <c r="OZZ1"/>
      <c r="PAA1"/>
      <c r="PAB1"/>
      <c r="PAC1"/>
      <c r="PAD1"/>
      <c r="PAE1"/>
      <c r="PAF1"/>
      <c r="PAG1"/>
      <c r="PAH1"/>
      <c r="PAI1"/>
      <c r="PAJ1"/>
      <c r="PAK1"/>
      <c r="PAL1"/>
      <c r="PAM1"/>
      <c r="PAN1"/>
      <c r="PAO1"/>
      <c r="PAP1"/>
      <c r="PAQ1"/>
      <c r="PAR1"/>
      <c r="PAS1"/>
      <c r="PAT1"/>
      <c r="PAU1"/>
      <c r="PAV1"/>
      <c r="PAW1"/>
      <c r="PAX1"/>
      <c r="PAY1"/>
      <c r="PAZ1"/>
      <c r="PBA1"/>
      <c r="PBB1"/>
      <c r="PBC1"/>
      <c r="PBD1"/>
      <c r="PBE1"/>
      <c r="PBF1"/>
      <c r="PBG1"/>
      <c r="PBH1"/>
      <c r="PBI1"/>
      <c r="PBJ1"/>
      <c r="PBK1"/>
      <c r="PBL1"/>
      <c r="PBM1"/>
      <c r="PBN1"/>
      <c r="PBO1"/>
      <c r="PBP1"/>
      <c r="PBQ1"/>
      <c r="PBR1"/>
      <c r="PBS1"/>
      <c r="PBT1"/>
      <c r="PBU1"/>
      <c r="PBV1"/>
      <c r="PBW1"/>
      <c r="PBX1"/>
      <c r="PBY1"/>
      <c r="PBZ1"/>
      <c r="PCA1"/>
      <c r="PCB1"/>
      <c r="PCC1"/>
      <c r="PCD1"/>
      <c r="PCE1"/>
      <c r="PCF1"/>
      <c r="PCG1"/>
      <c r="PCH1"/>
      <c r="PCI1"/>
      <c r="PCJ1"/>
      <c r="PCK1"/>
      <c r="PCL1"/>
      <c r="PCM1"/>
      <c r="PCN1"/>
      <c r="PCO1"/>
      <c r="PCP1"/>
      <c r="PCQ1"/>
      <c r="PCR1"/>
      <c r="PCS1"/>
      <c r="PCT1"/>
      <c r="PCU1"/>
      <c r="PCV1"/>
      <c r="PCW1"/>
      <c r="PCX1"/>
      <c r="PCY1"/>
      <c r="PCZ1"/>
      <c r="PDA1"/>
      <c r="PDB1"/>
      <c r="PDC1"/>
      <c r="PDD1"/>
      <c r="PDE1"/>
      <c r="PDF1"/>
      <c r="PDG1"/>
      <c r="PDH1"/>
      <c r="PDI1"/>
      <c r="PDJ1"/>
      <c r="PDK1"/>
      <c r="PDL1"/>
      <c r="PDM1"/>
      <c r="PDN1"/>
      <c r="PDO1"/>
      <c r="PDP1"/>
      <c r="PDQ1"/>
      <c r="PDR1"/>
      <c r="PDS1"/>
      <c r="PDT1"/>
      <c r="PDU1"/>
      <c r="PDV1"/>
      <c r="PDW1"/>
      <c r="PDX1"/>
      <c r="PDY1"/>
      <c r="PDZ1"/>
      <c r="PEA1"/>
      <c r="PEB1"/>
      <c r="PEC1"/>
      <c r="PED1"/>
      <c r="PEE1"/>
      <c r="PEF1"/>
      <c r="PEG1"/>
      <c r="PEH1"/>
      <c r="PEI1"/>
      <c r="PEJ1"/>
      <c r="PEK1"/>
      <c r="PEL1"/>
      <c r="PEM1"/>
      <c r="PEN1"/>
      <c r="PEO1"/>
      <c r="PEP1"/>
      <c r="PEQ1"/>
      <c r="PER1"/>
      <c r="PES1"/>
      <c r="PET1"/>
      <c r="PEU1"/>
      <c r="PEV1"/>
      <c r="PEW1"/>
      <c r="PEX1"/>
      <c r="PEY1"/>
      <c r="PEZ1"/>
      <c r="PFA1"/>
      <c r="PFB1"/>
      <c r="PFC1"/>
      <c r="PFD1"/>
      <c r="PFE1"/>
      <c r="PFF1"/>
      <c r="PFG1"/>
      <c r="PFH1"/>
      <c r="PFI1"/>
      <c r="PFJ1"/>
      <c r="PFK1"/>
      <c r="PFL1"/>
      <c r="PFM1"/>
      <c r="PFN1"/>
      <c r="PFO1"/>
      <c r="PFP1"/>
      <c r="PFQ1"/>
      <c r="PFR1"/>
      <c r="PFS1"/>
      <c r="PFT1"/>
      <c r="PFU1"/>
      <c r="PFV1"/>
      <c r="PFW1"/>
      <c r="PFX1"/>
      <c r="PFY1"/>
      <c r="PFZ1"/>
      <c r="PGA1"/>
      <c r="PGB1"/>
      <c r="PGC1"/>
      <c r="PGD1"/>
      <c r="PGE1"/>
      <c r="PGF1"/>
      <c r="PGG1"/>
      <c r="PGH1"/>
      <c r="PGI1"/>
      <c r="PGJ1"/>
      <c r="PGK1"/>
      <c r="PGL1"/>
      <c r="PGM1"/>
      <c r="PGN1"/>
      <c r="PGO1"/>
      <c r="PGP1"/>
      <c r="PGQ1"/>
      <c r="PGR1"/>
      <c r="PGS1"/>
      <c r="PGT1"/>
      <c r="PGU1"/>
      <c r="PGV1"/>
      <c r="PGW1"/>
      <c r="PGX1"/>
      <c r="PGY1"/>
      <c r="PGZ1"/>
      <c r="PHA1"/>
      <c r="PHB1"/>
      <c r="PHC1"/>
      <c r="PHD1"/>
      <c r="PHE1"/>
      <c r="PHF1"/>
      <c r="PHG1"/>
      <c r="PHH1"/>
      <c r="PHI1"/>
      <c r="PHJ1"/>
      <c r="PHK1"/>
      <c r="PHL1"/>
      <c r="PHM1"/>
      <c r="PHN1"/>
      <c r="PHO1"/>
      <c r="PHP1"/>
      <c r="PHQ1"/>
      <c r="PHR1"/>
      <c r="PHS1"/>
      <c r="PHT1"/>
      <c r="PHU1"/>
      <c r="PHV1"/>
      <c r="PHW1"/>
      <c r="PHX1"/>
      <c r="PHY1"/>
      <c r="PHZ1"/>
      <c r="PIA1"/>
      <c r="PIB1"/>
      <c r="PIC1"/>
      <c r="PID1"/>
      <c r="PIE1"/>
      <c r="PIF1"/>
      <c r="PIG1"/>
      <c r="PIH1"/>
      <c r="PII1"/>
      <c r="PIJ1"/>
      <c r="PIK1"/>
      <c r="PIL1"/>
      <c r="PIM1"/>
      <c r="PIN1"/>
      <c r="PIO1"/>
      <c r="PIP1"/>
      <c r="PIQ1"/>
      <c r="PIR1"/>
      <c r="PIS1"/>
      <c r="PIT1"/>
      <c r="PIU1"/>
      <c r="PIV1"/>
      <c r="PIW1"/>
      <c r="PIX1"/>
      <c r="PIY1"/>
      <c r="PIZ1"/>
      <c r="PJA1"/>
      <c r="PJB1"/>
      <c r="PJC1"/>
      <c r="PJD1"/>
      <c r="PJE1"/>
      <c r="PJF1"/>
      <c r="PJG1"/>
      <c r="PJH1"/>
      <c r="PJI1"/>
      <c r="PJJ1"/>
      <c r="PJK1"/>
      <c r="PJL1"/>
      <c r="PJM1"/>
      <c r="PJN1"/>
      <c r="PJO1"/>
      <c r="PJP1"/>
      <c r="PJQ1"/>
      <c r="PJR1"/>
      <c r="PJS1"/>
      <c r="PJT1"/>
      <c r="PJU1"/>
      <c r="PJV1"/>
      <c r="PJW1"/>
      <c r="PJX1"/>
      <c r="PJY1"/>
      <c r="PJZ1"/>
      <c r="PKA1"/>
      <c r="PKB1"/>
      <c r="PKC1"/>
      <c r="PKD1"/>
      <c r="PKE1"/>
      <c r="PKF1"/>
      <c r="PKG1"/>
      <c r="PKH1"/>
      <c r="PKI1"/>
      <c r="PKJ1"/>
      <c r="PKK1"/>
      <c r="PKL1"/>
      <c r="PKM1"/>
      <c r="PKN1"/>
      <c r="PKO1"/>
      <c r="PKP1"/>
      <c r="PKQ1"/>
      <c r="PKR1"/>
      <c r="PKS1"/>
      <c r="PKT1"/>
      <c r="PKU1"/>
      <c r="PKV1"/>
      <c r="PKW1"/>
      <c r="PKX1"/>
      <c r="PKY1"/>
      <c r="PKZ1"/>
      <c r="PLA1"/>
      <c r="PLB1"/>
      <c r="PLC1"/>
      <c r="PLD1"/>
      <c r="PLE1"/>
      <c r="PLF1"/>
      <c r="PLG1"/>
      <c r="PLH1"/>
      <c r="PLI1"/>
      <c r="PLJ1"/>
      <c r="PLK1"/>
      <c r="PLL1"/>
      <c r="PLM1"/>
      <c r="PLN1"/>
      <c r="PLO1"/>
      <c r="PLP1"/>
      <c r="PLQ1"/>
      <c r="PLR1"/>
      <c r="PLS1"/>
      <c r="PLT1"/>
      <c r="PLU1"/>
      <c r="PLV1"/>
      <c r="PLW1"/>
      <c r="PLX1"/>
      <c r="PLY1"/>
      <c r="PLZ1"/>
      <c r="PMA1"/>
      <c r="PMB1"/>
      <c r="PMC1"/>
      <c r="PMD1"/>
      <c r="PME1"/>
      <c r="PMF1"/>
      <c r="PMG1"/>
      <c r="PMH1"/>
      <c r="PMI1"/>
      <c r="PMJ1"/>
      <c r="PMK1"/>
      <c r="PML1"/>
      <c r="PMM1"/>
      <c r="PMN1"/>
      <c r="PMO1"/>
      <c r="PMP1"/>
      <c r="PMQ1"/>
      <c r="PMR1"/>
      <c r="PMS1"/>
      <c r="PMT1"/>
      <c r="PMU1"/>
      <c r="PMV1"/>
      <c r="PMW1"/>
      <c r="PMX1"/>
      <c r="PMY1"/>
      <c r="PMZ1"/>
      <c r="PNA1"/>
      <c r="PNB1"/>
      <c r="PNC1"/>
      <c r="PND1"/>
      <c r="PNE1"/>
      <c r="PNF1"/>
      <c r="PNG1"/>
      <c r="PNH1"/>
      <c r="PNI1"/>
      <c r="PNJ1"/>
      <c r="PNK1"/>
      <c r="PNL1"/>
      <c r="PNM1"/>
      <c r="PNN1"/>
      <c r="PNO1"/>
      <c r="PNP1"/>
      <c r="PNQ1"/>
      <c r="PNR1"/>
      <c r="PNS1"/>
      <c r="PNT1"/>
      <c r="PNU1"/>
      <c r="PNV1"/>
      <c r="PNW1"/>
      <c r="PNX1"/>
      <c r="PNY1"/>
      <c r="PNZ1"/>
      <c r="POA1"/>
      <c r="POB1"/>
      <c r="POC1"/>
      <c r="POD1"/>
      <c r="POE1"/>
      <c r="POF1"/>
      <c r="POG1"/>
      <c r="POH1"/>
      <c r="POI1"/>
      <c r="POJ1"/>
      <c r="POK1"/>
      <c r="POL1"/>
      <c r="POM1"/>
      <c r="PON1"/>
      <c r="POO1"/>
      <c r="POP1"/>
      <c r="POQ1"/>
      <c r="POR1"/>
      <c r="POS1"/>
      <c r="POT1"/>
      <c r="POU1"/>
      <c r="POV1"/>
      <c r="POW1"/>
      <c r="POX1"/>
      <c r="POY1"/>
      <c r="POZ1"/>
      <c r="PPA1"/>
      <c r="PPB1"/>
      <c r="PPC1"/>
      <c r="PPD1"/>
      <c r="PPE1"/>
      <c r="PPF1"/>
      <c r="PPG1"/>
      <c r="PPH1"/>
      <c r="PPI1"/>
      <c r="PPJ1"/>
      <c r="PPK1"/>
      <c r="PPL1"/>
      <c r="PPM1"/>
      <c r="PPN1"/>
      <c r="PPO1"/>
      <c r="PPP1"/>
      <c r="PPQ1"/>
      <c r="PPR1"/>
      <c r="PPS1"/>
      <c r="PPT1"/>
      <c r="PPU1"/>
      <c r="PPV1"/>
      <c r="PPW1"/>
      <c r="PPX1"/>
      <c r="PPY1"/>
      <c r="PPZ1"/>
      <c r="PQA1"/>
      <c r="PQB1"/>
      <c r="PQC1"/>
      <c r="PQD1"/>
      <c r="PQE1"/>
      <c r="PQF1"/>
      <c r="PQG1"/>
      <c r="PQH1"/>
      <c r="PQI1"/>
      <c r="PQJ1"/>
      <c r="PQK1"/>
      <c r="PQL1"/>
      <c r="PQM1"/>
      <c r="PQN1"/>
      <c r="PQO1"/>
      <c r="PQP1"/>
      <c r="PQQ1"/>
      <c r="PQR1"/>
      <c r="PQS1"/>
      <c r="PQT1"/>
      <c r="PQU1"/>
      <c r="PQV1"/>
      <c r="PQW1"/>
      <c r="PQX1"/>
      <c r="PQY1"/>
      <c r="PQZ1"/>
      <c r="PRA1"/>
      <c r="PRB1"/>
      <c r="PRC1"/>
      <c r="PRD1"/>
      <c r="PRE1"/>
      <c r="PRF1"/>
      <c r="PRG1"/>
      <c r="PRH1"/>
      <c r="PRI1"/>
      <c r="PRJ1"/>
      <c r="PRK1"/>
      <c r="PRL1"/>
      <c r="PRM1"/>
      <c r="PRN1"/>
      <c r="PRO1"/>
      <c r="PRP1"/>
      <c r="PRQ1"/>
      <c r="PRR1"/>
      <c r="PRS1"/>
      <c r="PRT1"/>
      <c r="PRU1"/>
      <c r="PRV1"/>
      <c r="PRW1"/>
      <c r="PRX1"/>
      <c r="PRY1"/>
      <c r="PRZ1"/>
      <c r="PSA1"/>
      <c r="PSB1"/>
      <c r="PSC1"/>
      <c r="PSD1"/>
      <c r="PSE1"/>
      <c r="PSF1"/>
      <c r="PSG1"/>
      <c r="PSH1"/>
      <c r="PSI1"/>
      <c r="PSJ1"/>
      <c r="PSK1"/>
      <c r="PSL1"/>
      <c r="PSM1"/>
      <c r="PSN1"/>
      <c r="PSO1"/>
      <c r="PSP1"/>
      <c r="PSQ1"/>
      <c r="PSR1"/>
      <c r="PSS1"/>
      <c r="PST1"/>
      <c r="PSU1"/>
      <c r="PSV1"/>
      <c r="PSW1"/>
      <c r="PSX1"/>
      <c r="PSY1"/>
      <c r="PSZ1"/>
      <c r="PTA1"/>
      <c r="PTB1"/>
      <c r="PTC1"/>
      <c r="PTD1"/>
      <c r="PTE1"/>
      <c r="PTF1"/>
      <c r="PTG1"/>
      <c r="PTH1"/>
      <c r="PTI1"/>
      <c r="PTJ1"/>
      <c r="PTK1"/>
      <c r="PTL1"/>
      <c r="PTM1"/>
      <c r="PTN1"/>
      <c r="PTO1"/>
      <c r="PTP1"/>
      <c r="PTQ1"/>
      <c r="PTR1"/>
      <c r="PTS1"/>
      <c r="PTT1"/>
      <c r="PTU1"/>
      <c r="PTV1"/>
      <c r="PTW1"/>
      <c r="PTX1"/>
      <c r="PTY1"/>
      <c r="PTZ1"/>
      <c r="PUA1"/>
      <c r="PUB1"/>
      <c r="PUC1"/>
      <c r="PUD1"/>
      <c r="PUE1"/>
      <c r="PUF1"/>
      <c r="PUG1"/>
      <c r="PUH1"/>
      <c r="PUI1"/>
      <c r="PUJ1"/>
      <c r="PUK1"/>
      <c r="PUL1"/>
      <c r="PUM1"/>
      <c r="PUN1"/>
      <c r="PUO1"/>
      <c r="PUP1"/>
      <c r="PUQ1"/>
      <c r="PUR1"/>
      <c r="PUS1"/>
      <c r="PUT1"/>
      <c r="PUU1"/>
      <c r="PUV1"/>
      <c r="PUW1"/>
      <c r="PUX1"/>
      <c r="PUY1"/>
      <c r="PUZ1"/>
      <c r="PVA1"/>
      <c r="PVB1"/>
      <c r="PVC1"/>
      <c r="PVD1"/>
      <c r="PVE1"/>
      <c r="PVF1"/>
      <c r="PVG1"/>
      <c r="PVH1"/>
      <c r="PVI1"/>
      <c r="PVJ1"/>
      <c r="PVK1"/>
      <c r="PVL1"/>
      <c r="PVM1"/>
      <c r="PVN1"/>
      <c r="PVO1"/>
      <c r="PVP1"/>
      <c r="PVQ1"/>
      <c r="PVR1"/>
      <c r="PVS1"/>
      <c r="PVT1"/>
      <c r="PVU1"/>
      <c r="PVV1"/>
      <c r="PVW1"/>
      <c r="PVX1"/>
      <c r="PVY1"/>
      <c r="PVZ1"/>
      <c r="PWA1"/>
      <c r="PWB1"/>
      <c r="PWC1"/>
      <c r="PWD1"/>
      <c r="PWE1"/>
      <c r="PWF1"/>
      <c r="PWG1"/>
      <c r="PWH1"/>
      <c r="PWI1"/>
      <c r="PWJ1"/>
      <c r="PWK1"/>
      <c r="PWL1"/>
      <c r="PWM1"/>
      <c r="PWN1"/>
      <c r="PWO1"/>
      <c r="PWP1"/>
      <c r="PWQ1"/>
      <c r="PWR1"/>
      <c r="PWS1"/>
      <c r="PWT1"/>
      <c r="PWU1"/>
      <c r="PWV1"/>
      <c r="PWW1"/>
      <c r="PWX1"/>
      <c r="PWY1"/>
      <c r="PWZ1"/>
      <c r="PXA1"/>
      <c r="PXB1"/>
      <c r="PXC1"/>
      <c r="PXD1"/>
      <c r="PXE1"/>
      <c r="PXF1"/>
      <c r="PXG1"/>
      <c r="PXH1"/>
      <c r="PXI1"/>
      <c r="PXJ1"/>
      <c r="PXK1"/>
      <c r="PXL1"/>
      <c r="PXM1"/>
      <c r="PXN1"/>
      <c r="PXO1"/>
      <c r="PXP1"/>
      <c r="PXQ1"/>
      <c r="PXR1"/>
      <c r="PXS1"/>
      <c r="PXT1"/>
      <c r="PXU1"/>
      <c r="PXV1"/>
      <c r="PXW1"/>
      <c r="PXX1"/>
      <c r="PXY1"/>
      <c r="PXZ1"/>
      <c r="PYA1"/>
      <c r="PYB1"/>
      <c r="PYC1"/>
      <c r="PYD1"/>
      <c r="PYE1"/>
      <c r="PYF1"/>
      <c r="PYG1"/>
      <c r="PYH1"/>
      <c r="PYI1"/>
      <c r="PYJ1"/>
      <c r="PYK1"/>
      <c r="PYL1"/>
      <c r="PYM1"/>
      <c r="PYN1"/>
      <c r="PYO1"/>
      <c r="PYP1"/>
      <c r="PYQ1"/>
      <c r="PYR1"/>
      <c r="PYS1"/>
      <c r="PYT1"/>
      <c r="PYU1"/>
      <c r="PYV1"/>
      <c r="PYW1"/>
      <c r="PYX1"/>
      <c r="PYY1"/>
      <c r="PYZ1"/>
      <c r="PZA1"/>
      <c r="PZB1"/>
      <c r="PZC1"/>
      <c r="PZD1"/>
      <c r="PZE1"/>
      <c r="PZF1"/>
      <c r="PZG1"/>
      <c r="PZH1"/>
      <c r="PZI1"/>
      <c r="PZJ1"/>
      <c r="PZK1"/>
      <c r="PZL1"/>
      <c r="PZM1"/>
      <c r="PZN1"/>
      <c r="PZO1"/>
      <c r="PZP1"/>
      <c r="PZQ1"/>
      <c r="PZR1"/>
      <c r="PZS1"/>
      <c r="PZT1"/>
      <c r="PZU1"/>
      <c r="PZV1"/>
      <c r="PZW1"/>
      <c r="PZX1"/>
      <c r="PZY1"/>
      <c r="PZZ1"/>
      <c r="QAA1"/>
      <c r="QAB1"/>
      <c r="QAC1"/>
      <c r="QAD1"/>
      <c r="QAE1"/>
      <c r="QAF1"/>
      <c r="QAG1"/>
      <c r="QAH1"/>
      <c r="QAI1"/>
      <c r="QAJ1"/>
      <c r="QAK1"/>
      <c r="QAL1"/>
      <c r="QAM1"/>
      <c r="QAN1"/>
      <c r="QAO1"/>
      <c r="QAP1"/>
      <c r="QAQ1"/>
      <c r="QAR1"/>
      <c r="QAS1"/>
      <c r="QAT1"/>
      <c r="QAU1"/>
      <c r="QAV1"/>
      <c r="QAW1"/>
      <c r="QAX1"/>
      <c r="QAY1"/>
      <c r="QAZ1"/>
      <c r="QBA1"/>
      <c r="QBB1"/>
      <c r="QBC1"/>
      <c r="QBD1"/>
      <c r="QBE1"/>
      <c r="QBF1"/>
      <c r="QBG1"/>
      <c r="QBH1"/>
      <c r="QBI1"/>
      <c r="QBJ1"/>
      <c r="QBK1"/>
      <c r="QBL1"/>
      <c r="QBM1"/>
      <c r="QBN1"/>
      <c r="QBO1"/>
      <c r="QBP1"/>
      <c r="QBQ1"/>
      <c r="QBR1"/>
      <c r="QBS1"/>
      <c r="QBT1"/>
      <c r="QBU1"/>
      <c r="QBV1"/>
      <c r="QBW1"/>
      <c r="QBX1"/>
      <c r="QBY1"/>
      <c r="QBZ1"/>
      <c r="QCA1"/>
      <c r="QCB1"/>
      <c r="QCC1"/>
      <c r="QCD1"/>
      <c r="QCE1"/>
      <c r="QCF1"/>
      <c r="QCG1"/>
      <c r="QCH1"/>
      <c r="QCI1"/>
      <c r="QCJ1"/>
      <c r="QCK1"/>
      <c r="QCL1"/>
      <c r="QCM1"/>
      <c r="QCN1"/>
      <c r="QCO1"/>
      <c r="QCP1"/>
      <c r="QCQ1"/>
      <c r="QCR1"/>
      <c r="QCS1"/>
      <c r="QCT1"/>
      <c r="QCU1"/>
      <c r="QCV1"/>
      <c r="QCW1"/>
      <c r="QCX1"/>
      <c r="QCY1"/>
      <c r="QCZ1"/>
      <c r="QDA1"/>
      <c r="QDB1"/>
      <c r="QDC1"/>
      <c r="QDD1"/>
      <c r="QDE1"/>
      <c r="QDF1"/>
      <c r="QDG1"/>
      <c r="QDH1"/>
      <c r="QDI1"/>
      <c r="QDJ1"/>
      <c r="QDK1"/>
      <c r="QDL1"/>
      <c r="QDM1"/>
      <c r="QDN1"/>
      <c r="QDO1"/>
      <c r="QDP1"/>
      <c r="QDQ1"/>
      <c r="QDR1"/>
      <c r="QDS1"/>
      <c r="QDT1"/>
      <c r="QDU1"/>
      <c r="QDV1"/>
      <c r="QDW1"/>
      <c r="QDX1"/>
      <c r="QDY1"/>
      <c r="QDZ1"/>
      <c r="QEA1"/>
      <c r="QEB1"/>
      <c r="QEC1"/>
      <c r="QED1"/>
      <c r="QEE1"/>
      <c r="QEF1"/>
      <c r="QEG1"/>
      <c r="QEH1"/>
      <c r="QEI1"/>
      <c r="QEJ1"/>
      <c r="QEK1"/>
      <c r="QEL1"/>
      <c r="QEM1"/>
      <c r="QEN1"/>
      <c r="QEO1"/>
      <c r="QEP1"/>
      <c r="QEQ1"/>
      <c r="QER1"/>
      <c r="QES1"/>
      <c r="QET1"/>
      <c r="QEU1"/>
      <c r="QEV1"/>
      <c r="QEW1"/>
      <c r="QEX1"/>
      <c r="QEY1"/>
      <c r="QEZ1"/>
      <c r="QFA1"/>
      <c r="QFB1"/>
      <c r="QFC1"/>
      <c r="QFD1"/>
      <c r="QFE1"/>
      <c r="QFF1"/>
      <c r="QFG1"/>
      <c r="QFH1"/>
      <c r="QFI1"/>
      <c r="QFJ1"/>
      <c r="QFK1"/>
      <c r="QFL1"/>
      <c r="QFM1"/>
      <c r="QFN1"/>
      <c r="QFO1"/>
      <c r="QFP1"/>
      <c r="QFQ1"/>
      <c r="QFR1"/>
      <c r="QFS1"/>
      <c r="QFT1"/>
      <c r="QFU1"/>
      <c r="QFV1"/>
      <c r="QFW1"/>
      <c r="QFX1"/>
      <c r="QFY1"/>
      <c r="QFZ1"/>
      <c r="QGA1"/>
      <c r="QGB1"/>
      <c r="QGC1"/>
      <c r="QGD1"/>
      <c r="QGE1"/>
      <c r="QGF1"/>
      <c r="QGG1"/>
      <c r="QGH1"/>
      <c r="QGI1"/>
      <c r="QGJ1"/>
      <c r="QGK1"/>
      <c r="QGL1"/>
      <c r="QGM1"/>
      <c r="QGN1"/>
      <c r="QGO1"/>
      <c r="QGP1"/>
      <c r="QGQ1"/>
      <c r="QGR1"/>
      <c r="QGS1"/>
      <c r="QGT1"/>
      <c r="QGU1"/>
      <c r="QGV1"/>
      <c r="QGW1"/>
      <c r="QGX1"/>
      <c r="QGY1"/>
      <c r="QGZ1"/>
      <c r="QHA1"/>
      <c r="QHB1"/>
      <c r="QHC1"/>
      <c r="QHD1"/>
      <c r="QHE1"/>
      <c r="QHF1"/>
      <c r="QHG1"/>
      <c r="QHH1"/>
      <c r="QHI1"/>
      <c r="QHJ1"/>
      <c r="QHK1"/>
      <c r="QHL1"/>
      <c r="QHM1"/>
      <c r="QHN1"/>
      <c r="QHO1"/>
      <c r="QHP1"/>
      <c r="QHQ1"/>
      <c r="QHR1"/>
      <c r="QHS1"/>
      <c r="QHT1"/>
      <c r="QHU1"/>
      <c r="QHV1"/>
      <c r="QHW1"/>
      <c r="QHX1"/>
      <c r="QHY1"/>
      <c r="QHZ1"/>
      <c r="QIA1"/>
      <c r="QIB1"/>
      <c r="QIC1"/>
      <c r="QID1"/>
      <c r="QIE1"/>
      <c r="QIF1"/>
      <c r="QIG1"/>
      <c r="QIH1"/>
      <c r="QII1"/>
      <c r="QIJ1"/>
      <c r="QIK1"/>
      <c r="QIL1"/>
      <c r="QIM1"/>
      <c r="QIN1"/>
      <c r="QIO1"/>
      <c r="QIP1"/>
      <c r="QIQ1"/>
      <c r="QIR1"/>
      <c r="QIS1"/>
      <c r="QIT1"/>
      <c r="QIU1"/>
      <c r="QIV1"/>
      <c r="QIW1"/>
      <c r="QIX1"/>
      <c r="QIY1"/>
      <c r="QIZ1"/>
      <c r="QJA1"/>
      <c r="QJB1"/>
      <c r="QJC1"/>
      <c r="QJD1"/>
      <c r="QJE1"/>
      <c r="QJF1"/>
      <c r="QJG1"/>
      <c r="QJH1"/>
      <c r="QJI1"/>
      <c r="QJJ1"/>
      <c r="QJK1"/>
      <c r="QJL1"/>
      <c r="QJM1"/>
      <c r="QJN1"/>
      <c r="QJO1"/>
      <c r="QJP1"/>
      <c r="QJQ1"/>
      <c r="QJR1"/>
      <c r="QJS1"/>
      <c r="QJT1"/>
      <c r="QJU1"/>
      <c r="QJV1"/>
      <c r="QJW1"/>
      <c r="QJX1"/>
      <c r="QJY1"/>
      <c r="QJZ1"/>
      <c r="QKA1"/>
      <c r="QKB1"/>
      <c r="QKC1"/>
      <c r="QKD1"/>
      <c r="QKE1"/>
      <c r="QKF1"/>
      <c r="QKG1"/>
      <c r="QKH1"/>
      <c r="QKI1"/>
      <c r="QKJ1"/>
      <c r="QKK1"/>
      <c r="QKL1"/>
      <c r="QKM1"/>
      <c r="QKN1"/>
      <c r="QKO1"/>
      <c r="QKP1"/>
      <c r="QKQ1"/>
      <c r="QKR1"/>
      <c r="QKS1"/>
      <c r="QKT1"/>
      <c r="QKU1"/>
      <c r="QKV1"/>
      <c r="QKW1"/>
      <c r="QKX1"/>
      <c r="QKY1"/>
      <c r="QKZ1"/>
      <c r="QLA1"/>
      <c r="QLB1"/>
      <c r="QLC1"/>
      <c r="QLD1"/>
      <c r="QLE1"/>
      <c r="QLF1"/>
      <c r="QLG1"/>
      <c r="QLH1"/>
      <c r="QLI1"/>
      <c r="QLJ1"/>
      <c r="QLK1"/>
      <c r="QLL1"/>
      <c r="QLM1"/>
      <c r="QLN1"/>
      <c r="QLO1"/>
      <c r="QLP1"/>
      <c r="QLQ1"/>
      <c r="QLR1"/>
      <c r="QLS1"/>
      <c r="QLT1"/>
      <c r="QLU1"/>
      <c r="QLV1"/>
      <c r="QLW1"/>
      <c r="QLX1"/>
      <c r="QLY1"/>
      <c r="QLZ1"/>
      <c r="QMA1"/>
      <c r="QMB1"/>
      <c r="QMC1"/>
      <c r="QMD1"/>
      <c r="QME1"/>
      <c r="QMF1"/>
      <c r="QMG1"/>
      <c r="QMH1"/>
      <c r="QMI1"/>
      <c r="QMJ1"/>
      <c r="QMK1"/>
      <c r="QML1"/>
      <c r="QMM1"/>
      <c r="QMN1"/>
      <c r="QMO1"/>
      <c r="QMP1"/>
      <c r="QMQ1"/>
      <c r="QMR1"/>
      <c r="QMS1"/>
      <c r="QMT1"/>
      <c r="QMU1"/>
      <c r="QMV1"/>
      <c r="QMW1"/>
      <c r="QMX1"/>
      <c r="QMY1"/>
      <c r="QMZ1"/>
      <c r="QNA1"/>
      <c r="QNB1"/>
      <c r="QNC1"/>
      <c r="QND1"/>
      <c r="QNE1"/>
      <c r="QNF1"/>
      <c r="QNG1"/>
      <c r="QNH1"/>
      <c r="QNI1"/>
      <c r="QNJ1"/>
      <c r="QNK1"/>
      <c r="QNL1"/>
      <c r="QNM1"/>
      <c r="QNN1"/>
      <c r="QNO1"/>
      <c r="QNP1"/>
      <c r="QNQ1"/>
      <c r="QNR1"/>
      <c r="QNS1"/>
      <c r="QNT1"/>
      <c r="QNU1"/>
      <c r="QNV1"/>
      <c r="QNW1"/>
      <c r="QNX1"/>
      <c r="QNY1"/>
      <c r="QNZ1"/>
      <c r="QOA1"/>
      <c r="QOB1"/>
      <c r="QOC1"/>
      <c r="QOD1"/>
      <c r="QOE1"/>
      <c r="QOF1"/>
      <c r="QOG1"/>
      <c r="QOH1"/>
      <c r="QOI1"/>
      <c r="QOJ1"/>
      <c r="QOK1"/>
      <c r="QOL1"/>
      <c r="QOM1"/>
      <c r="QON1"/>
      <c r="QOO1"/>
      <c r="QOP1"/>
      <c r="QOQ1"/>
      <c r="QOR1"/>
      <c r="QOS1"/>
      <c r="QOT1"/>
      <c r="QOU1"/>
      <c r="QOV1"/>
      <c r="QOW1"/>
      <c r="QOX1"/>
      <c r="QOY1"/>
      <c r="QOZ1"/>
      <c r="QPA1"/>
      <c r="QPB1"/>
      <c r="QPC1"/>
      <c r="QPD1"/>
      <c r="QPE1"/>
      <c r="QPF1"/>
      <c r="QPG1"/>
      <c r="QPH1"/>
      <c r="QPI1"/>
      <c r="QPJ1"/>
      <c r="QPK1"/>
      <c r="QPL1"/>
      <c r="QPM1"/>
      <c r="QPN1"/>
      <c r="QPO1"/>
      <c r="QPP1"/>
      <c r="QPQ1"/>
      <c r="QPR1"/>
      <c r="QPS1"/>
      <c r="QPT1"/>
      <c r="QPU1"/>
      <c r="QPV1"/>
      <c r="QPW1"/>
      <c r="QPX1"/>
      <c r="QPY1"/>
      <c r="QPZ1"/>
      <c r="QQA1"/>
      <c r="QQB1"/>
      <c r="QQC1"/>
      <c r="QQD1"/>
      <c r="QQE1"/>
      <c r="QQF1"/>
      <c r="QQG1"/>
      <c r="QQH1"/>
      <c r="QQI1"/>
      <c r="QQJ1"/>
      <c r="QQK1"/>
      <c r="QQL1"/>
      <c r="QQM1"/>
      <c r="QQN1"/>
      <c r="QQO1"/>
      <c r="QQP1"/>
      <c r="QQQ1"/>
      <c r="QQR1"/>
      <c r="QQS1"/>
      <c r="QQT1"/>
      <c r="QQU1"/>
      <c r="QQV1"/>
      <c r="QQW1"/>
      <c r="QQX1"/>
      <c r="QQY1"/>
      <c r="QQZ1"/>
      <c r="QRA1"/>
      <c r="QRB1"/>
      <c r="QRC1"/>
      <c r="QRD1"/>
      <c r="QRE1"/>
      <c r="QRF1"/>
      <c r="QRG1"/>
      <c r="QRH1"/>
      <c r="QRI1"/>
      <c r="QRJ1"/>
      <c r="QRK1"/>
      <c r="QRL1"/>
      <c r="QRM1"/>
      <c r="QRN1"/>
      <c r="QRO1"/>
      <c r="QRP1"/>
      <c r="QRQ1"/>
      <c r="QRR1"/>
      <c r="QRS1"/>
      <c r="QRT1"/>
      <c r="QRU1"/>
      <c r="QRV1"/>
      <c r="QRW1"/>
      <c r="QRX1"/>
      <c r="QRY1"/>
      <c r="QRZ1"/>
      <c r="QSA1"/>
      <c r="QSB1"/>
      <c r="QSC1"/>
      <c r="QSD1"/>
      <c r="QSE1"/>
      <c r="QSF1"/>
      <c r="QSG1"/>
      <c r="QSH1"/>
      <c r="QSI1"/>
      <c r="QSJ1"/>
      <c r="QSK1"/>
      <c r="QSL1"/>
      <c r="QSM1"/>
      <c r="QSN1"/>
      <c r="QSO1"/>
      <c r="QSP1"/>
      <c r="QSQ1"/>
      <c r="QSR1"/>
      <c r="QSS1"/>
      <c r="QST1"/>
      <c r="QSU1"/>
      <c r="QSV1"/>
      <c r="QSW1"/>
      <c r="QSX1"/>
      <c r="QSY1"/>
      <c r="QSZ1"/>
      <c r="QTA1"/>
      <c r="QTB1"/>
      <c r="QTC1"/>
      <c r="QTD1"/>
      <c r="QTE1"/>
      <c r="QTF1"/>
      <c r="QTG1"/>
      <c r="QTH1"/>
      <c r="QTI1"/>
      <c r="QTJ1"/>
      <c r="QTK1"/>
      <c r="QTL1"/>
      <c r="QTM1"/>
      <c r="QTN1"/>
      <c r="QTO1"/>
      <c r="QTP1"/>
      <c r="QTQ1"/>
      <c r="QTR1"/>
      <c r="QTS1"/>
      <c r="QTT1"/>
      <c r="QTU1"/>
      <c r="QTV1"/>
      <c r="QTW1"/>
      <c r="QTX1"/>
      <c r="QTY1"/>
      <c r="QTZ1"/>
      <c r="QUA1"/>
      <c r="QUB1"/>
      <c r="QUC1"/>
      <c r="QUD1"/>
      <c r="QUE1"/>
      <c r="QUF1"/>
      <c r="QUG1"/>
      <c r="QUH1"/>
      <c r="QUI1"/>
      <c r="QUJ1"/>
      <c r="QUK1"/>
      <c r="QUL1"/>
      <c r="QUM1"/>
      <c r="QUN1"/>
      <c r="QUO1"/>
      <c r="QUP1"/>
      <c r="QUQ1"/>
      <c r="QUR1"/>
      <c r="QUS1"/>
      <c r="QUT1"/>
      <c r="QUU1"/>
      <c r="QUV1"/>
      <c r="QUW1"/>
      <c r="QUX1"/>
      <c r="QUY1"/>
      <c r="QUZ1"/>
      <c r="QVA1"/>
      <c r="QVB1"/>
      <c r="QVC1"/>
      <c r="QVD1"/>
      <c r="QVE1"/>
      <c r="QVF1"/>
      <c r="QVG1"/>
      <c r="QVH1"/>
      <c r="QVI1"/>
      <c r="QVJ1"/>
      <c r="QVK1"/>
      <c r="QVL1"/>
      <c r="QVM1"/>
      <c r="QVN1"/>
      <c r="QVO1"/>
      <c r="QVP1"/>
      <c r="QVQ1"/>
      <c r="QVR1"/>
      <c r="QVS1"/>
      <c r="QVT1"/>
      <c r="QVU1"/>
      <c r="QVV1"/>
      <c r="QVW1"/>
      <c r="QVX1"/>
      <c r="QVY1"/>
      <c r="QVZ1"/>
      <c r="QWA1"/>
      <c r="QWB1"/>
      <c r="QWC1"/>
      <c r="QWD1"/>
      <c r="QWE1"/>
      <c r="QWF1"/>
      <c r="QWG1"/>
      <c r="QWH1"/>
      <c r="QWI1"/>
      <c r="QWJ1"/>
      <c r="QWK1"/>
      <c r="QWL1"/>
      <c r="QWM1"/>
      <c r="QWN1"/>
      <c r="QWO1"/>
      <c r="QWP1"/>
      <c r="QWQ1"/>
      <c r="QWR1"/>
      <c r="QWS1"/>
      <c r="QWT1"/>
      <c r="QWU1"/>
      <c r="QWV1"/>
      <c r="QWW1"/>
      <c r="QWX1"/>
      <c r="QWY1"/>
      <c r="QWZ1"/>
      <c r="QXA1"/>
      <c r="QXB1"/>
      <c r="QXC1"/>
      <c r="QXD1"/>
      <c r="QXE1"/>
      <c r="QXF1"/>
      <c r="QXG1"/>
      <c r="QXH1"/>
      <c r="QXI1"/>
      <c r="QXJ1"/>
      <c r="QXK1"/>
      <c r="QXL1"/>
      <c r="QXM1"/>
      <c r="QXN1"/>
      <c r="QXO1"/>
      <c r="QXP1"/>
      <c r="QXQ1"/>
      <c r="QXR1"/>
      <c r="QXS1"/>
      <c r="QXT1"/>
      <c r="QXU1"/>
      <c r="QXV1"/>
      <c r="QXW1"/>
      <c r="QXX1"/>
      <c r="QXY1"/>
      <c r="QXZ1"/>
      <c r="QYA1"/>
      <c r="QYB1"/>
      <c r="QYC1"/>
      <c r="QYD1"/>
      <c r="QYE1"/>
      <c r="QYF1"/>
      <c r="QYG1"/>
      <c r="QYH1"/>
      <c r="QYI1"/>
      <c r="QYJ1"/>
      <c r="QYK1"/>
      <c r="QYL1"/>
      <c r="QYM1"/>
      <c r="QYN1"/>
      <c r="QYO1"/>
      <c r="QYP1"/>
      <c r="QYQ1"/>
      <c r="QYR1"/>
      <c r="QYS1"/>
      <c r="QYT1"/>
      <c r="QYU1"/>
      <c r="QYV1"/>
      <c r="QYW1"/>
      <c r="QYX1"/>
      <c r="QYY1"/>
      <c r="QYZ1"/>
      <c r="QZA1"/>
      <c r="QZB1"/>
      <c r="QZC1"/>
      <c r="QZD1"/>
      <c r="QZE1"/>
      <c r="QZF1"/>
      <c r="QZG1"/>
      <c r="QZH1"/>
      <c r="QZI1"/>
      <c r="QZJ1"/>
      <c r="QZK1"/>
      <c r="QZL1"/>
      <c r="QZM1"/>
      <c r="QZN1"/>
      <c r="QZO1"/>
      <c r="QZP1"/>
      <c r="QZQ1"/>
      <c r="QZR1"/>
      <c r="QZS1"/>
      <c r="QZT1"/>
      <c r="QZU1"/>
      <c r="QZV1"/>
      <c r="QZW1"/>
      <c r="QZX1"/>
      <c r="QZY1"/>
      <c r="QZZ1"/>
      <c r="RAA1"/>
      <c r="RAB1"/>
      <c r="RAC1"/>
      <c r="RAD1"/>
      <c r="RAE1"/>
      <c r="RAF1"/>
      <c r="RAG1"/>
      <c r="RAH1"/>
      <c r="RAI1"/>
      <c r="RAJ1"/>
      <c r="RAK1"/>
      <c r="RAL1"/>
      <c r="RAM1"/>
      <c r="RAN1"/>
      <c r="RAO1"/>
      <c r="RAP1"/>
      <c r="RAQ1"/>
      <c r="RAR1"/>
      <c r="RAS1"/>
      <c r="RAT1"/>
      <c r="RAU1"/>
      <c r="RAV1"/>
      <c r="RAW1"/>
      <c r="RAX1"/>
      <c r="RAY1"/>
      <c r="RAZ1"/>
      <c r="RBA1"/>
      <c r="RBB1"/>
      <c r="RBC1"/>
      <c r="RBD1"/>
      <c r="RBE1"/>
      <c r="RBF1"/>
      <c r="RBG1"/>
      <c r="RBH1"/>
      <c r="RBI1"/>
      <c r="RBJ1"/>
      <c r="RBK1"/>
      <c r="RBL1"/>
      <c r="RBM1"/>
      <c r="RBN1"/>
      <c r="RBO1"/>
      <c r="RBP1"/>
      <c r="RBQ1"/>
      <c r="RBR1"/>
      <c r="RBS1"/>
      <c r="RBT1"/>
      <c r="RBU1"/>
      <c r="RBV1"/>
      <c r="RBW1"/>
      <c r="RBX1"/>
      <c r="RBY1"/>
      <c r="RBZ1"/>
      <c r="RCA1"/>
      <c r="RCB1"/>
      <c r="RCC1"/>
      <c r="RCD1"/>
      <c r="RCE1"/>
      <c r="RCF1"/>
      <c r="RCG1"/>
      <c r="RCH1"/>
      <c r="RCI1"/>
      <c r="RCJ1"/>
      <c r="RCK1"/>
      <c r="RCL1"/>
      <c r="RCM1"/>
      <c r="RCN1"/>
      <c r="RCO1"/>
      <c r="RCP1"/>
      <c r="RCQ1"/>
      <c r="RCR1"/>
      <c r="RCS1"/>
      <c r="RCT1"/>
      <c r="RCU1"/>
      <c r="RCV1"/>
      <c r="RCW1"/>
      <c r="RCX1"/>
      <c r="RCY1"/>
      <c r="RCZ1"/>
      <c r="RDA1"/>
      <c r="RDB1"/>
      <c r="RDC1"/>
      <c r="RDD1"/>
      <c r="RDE1"/>
      <c r="RDF1"/>
      <c r="RDG1"/>
      <c r="RDH1"/>
      <c r="RDI1"/>
      <c r="RDJ1"/>
      <c r="RDK1"/>
      <c r="RDL1"/>
      <c r="RDM1"/>
      <c r="RDN1"/>
      <c r="RDO1"/>
      <c r="RDP1"/>
      <c r="RDQ1"/>
      <c r="RDR1"/>
      <c r="RDS1"/>
      <c r="RDT1"/>
      <c r="RDU1"/>
      <c r="RDV1"/>
      <c r="RDW1"/>
      <c r="RDX1"/>
      <c r="RDY1"/>
      <c r="RDZ1"/>
      <c r="REA1"/>
      <c r="REB1"/>
      <c r="REC1"/>
      <c r="RED1"/>
      <c r="REE1"/>
      <c r="REF1"/>
      <c r="REG1"/>
      <c r="REH1"/>
      <c r="REI1"/>
      <c r="REJ1"/>
      <c r="REK1"/>
      <c r="REL1"/>
      <c r="REM1"/>
      <c r="REN1"/>
      <c r="REO1"/>
      <c r="REP1"/>
      <c r="REQ1"/>
      <c r="RER1"/>
      <c r="RES1"/>
      <c r="RET1"/>
      <c r="REU1"/>
      <c r="REV1"/>
      <c r="REW1"/>
      <c r="REX1"/>
      <c r="REY1"/>
      <c r="REZ1"/>
      <c r="RFA1"/>
      <c r="RFB1"/>
      <c r="RFC1"/>
      <c r="RFD1"/>
      <c r="RFE1"/>
      <c r="RFF1"/>
      <c r="RFG1"/>
      <c r="RFH1"/>
      <c r="RFI1"/>
      <c r="RFJ1"/>
      <c r="RFK1"/>
      <c r="RFL1"/>
      <c r="RFM1"/>
      <c r="RFN1"/>
      <c r="RFO1"/>
      <c r="RFP1"/>
      <c r="RFQ1"/>
      <c r="RFR1"/>
      <c r="RFS1"/>
      <c r="RFT1"/>
      <c r="RFU1"/>
      <c r="RFV1"/>
      <c r="RFW1"/>
      <c r="RFX1"/>
      <c r="RFY1"/>
      <c r="RFZ1"/>
      <c r="RGA1"/>
      <c r="RGB1"/>
      <c r="RGC1"/>
      <c r="RGD1"/>
      <c r="RGE1"/>
      <c r="RGF1"/>
      <c r="RGG1"/>
      <c r="RGH1"/>
      <c r="RGI1"/>
      <c r="RGJ1"/>
      <c r="RGK1"/>
      <c r="RGL1"/>
      <c r="RGM1"/>
      <c r="RGN1"/>
      <c r="RGO1"/>
      <c r="RGP1"/>
      <c r="RGQ1"/>
      <c r="RGR1"/>
      <c r="RGS1"/>
      <c r="RGT1"/>
      <c r="RGU1"/>
      <c r="RGV1"/>
      <c r="RGW1"/>
      <c r="RGX1"/>
      <c r="RGY1"/>
      <c r="RGZ1"/>
      <c r="RHA1"/>
      <c r="RHB1"/>
      <c r="RHC1"/>
      <c r="RHD1"/>
      <c r="RHE1"/>
      <c r="RHF1"/>
      <c r="RHG1"/>
      <c r="RHH1"/>
      <c r="RHI1"/>
      <c r="RHJ1"/>
      <c r="RHK1"/>
      <c r="RHL1"/>
      <c r="RHM1"/>
      <c r="RHN1"/>
      <c r="RHO1"/>
      <c r="RHP1"/>
      <c r="RHQ1"/>
      <c r="RHR1"/>
      <c r="RHS1"/>
      <c r="RHT1"/>
      <c r="RHU1"/>
      <c r="RHV1"/>
      <c r="RHW1"/>
      <c r="RHX1"/>
      <c r="RHY1"/>
      <c r="RHZ1"/>
      <c r="RIA1"/>
      <c r="RIB1"/>
      <c r="RIC1"/>
      <c r="RID1"/>
      <c r="RIE1"/>
      <c r="RIF1"/>
      <c r="RIG1"/>
      <c r="RIH1"/>
      <c r="RII1"/>
      <c r="RIJ1"/>
      <c r="RIK1"/>
      <c r="RIL1"/>
      <c r="RIM1"/>
      <c r="RIN1"/>
      <c r="RIO1"/>
      <c r="RIP1"/>
      <c r="RIQ1"/>
      <c r="RIR1"/>
      <c r="RIS1"/>
      <c r="RIT1"/>
      <c r="RIU1"/>
      <c r="RIV1"/>
      <c r="RIW1"/>
      <c r="RIX1"/>
      <c r="RIY1"/>
      <c r="RIZ1"/>
      <c r="RJA1"/>
      <c r="RJB1"/>
      <c r="RJC1"/>
      <c r="RJD1"/>
      <c r="RJE1"/>
      <c r="RJF1"/>
      <c r="RJG1"/>
      <c r="RJH1"/>
      <c r="RJI1"/>
      <c r="RJJ1"/>
      <c r="RJK1"/>
      <c r="RJL1"/>
      <c r="RJM1"/>
      <c r="RJN1"/>
      <c r="RJO1"/>
      <c r="RJP1"/>
      <c r="RJQ1"/>
      <c r="RJR1"/>
      <c r="RJS1"/>
      <c r="RJT1"/>
      <c r="RJU1"/>
      <c r="RJV1"/>
      <c r="RJW1"/>
      <c r="RJX1"/>
      <c r="RJY1"/>
      <c r="RJZ1"/>
      <c r="RKA1"/>
      <c r="RKB1"/>
      <c r="RKC1"/>
      <c r="RKD1"/>
      <c r="RKE1"/>
      <c r="RKF1"/>
      <c r="RKG1"/>
      <c r="RKH1"/>
      <c r="RKI1"/>
      <c r="RKJ1"/>
      <c r="RKK1"/>
      <c r="RKL1"/>
      <c r="RKM1"/>
      <c r="RKN1"/>
      <c r="RKO1"/>
      <c r="RKP1"/>
      <c r="RKQ1"/>
      <c r="RKR1"/>
      <c r="RKS1"/>
      <c r="RKT1"/>
      <c r="RKU1"/>
      <c r="RKV1"/>
      <c r="RKW1"/>
      <c r="RKX1"/>
      <c r="RKY1"/>
      <c r="RKZ1"/>
      <c r="RLA1"/>
      <c r="RLB1"/>
      <c r="RLC1"/>
      <c r="RLD1"/>
      <c r="RLE1"/>
      <c r="RLF1"/>
      <c r="RLG1"/>
      <c r="RLH1"/>
      <c r="RLI1"/>
      <c r="RLJ1"/>
      <c r="RLK1"/>
      <c r="RLL1"/>
      <c r="RLM1"/>
      <c r="RLN1"/>
      <c r="RLO1"/>
      <c r="RLP1"/>
      <c r="RLQ1"/>
      <c r="RLR1"/>
      <c r="RLS1"/>
      <c r="RLT1"/>
      <c r="RLU1"/>
      <c r="RLV1"/>
      <c r="RLW1"/>
      <c r="RLX1"/>
      <c r="RLY1"/>
      <c r="RLZ1"/>
      <c r="RMA1"/>
      <c r="RMB1"/>
      <c r="RMC1"/>
      <c r="RMD1"/>
      <c r="RME1"/>
      <c r="RMF1"/>
      <c r="RMG1"/>
      <c r="RMH1"/>
      <c r="RMI1"/>
      <c r="RMJ1"/>
      <c r="RMK1"/>
      <c r="RML1"/>
      <c r="RMM1"/>
      <c r="RMN1"/>
      <c r="RMO1"/>
      <c r="RMP1"/>
      <c r="RMQ1"/>
      <c r="RMR1"/>
      <c r="RMS1"/>
      <c r="RMT1"/>
      <c r="RMU1"/>
      <c r="RMV1"/>
      <c r="RMW1"/>
      <c r="RMX1"/>
      <c r="RMY1"/>
      <c r="RMZ1"/>
      <c r="RNA1"/>
      <c r="RNB1"/>
      <c r="RNC1"/>
      <c r="RND1"/>
      <c r="RNE1"/>
      <c r="RNF1"/>
      <c r="RNG1"/>
      <c r="RNH1"/>
      <c r="RNI1"/>
      <c r="RNJ1"/>
      <c r="RNK1"/>
      <c r="RNL1"/>
      <c r="RNM1"/>
      <c r="RNN1"/>
      <c r="RNO1"/>
      <c r="RNP1"/>
      <c r="RNQ1"/>
      <c r="RNR1"/>
      <c r="RNS1"/>
      <c r="RNT1"/>
      <c r="RNU1"/>
      <c r="RNV1"/>
      <c r="RNW1"/>
      <c r="RNX1"/>
      <c r="RNY1"/>
      <c r="RNZ1"/>
      <c r="ROA1"/>
      <c r="ROB1"/>
      <c r="ROC1"/>
      <c r="ROD1"/>
      <c r="ROE1"/>
      <c r="ROF1"/>
      <c r="ROG1"/>
      <c r="ROH1"/>
      <c r="ROI1"/>
      <c r="ROJ1"/>
      <c r="ROK1"/>
      <c r="ROL1"/>
      <c r="ROM1"/>
      <c r="RON1"/>
      <c r="ROO1"/>
      <c r="ROP1"/>
      <c r="ROQ1"/>
      <c r="ROR1"/>
      <c r="ROS1"/>
      <c r="ROT1"/>
      <c r="ROU1"/>
      <c r="ROV1"/>
      <c r="ROW1"/>
      <c r="ROX1"/>
      <c r="ROY1"/>
      <c r="ROZ1"/>
      <c r="RPA1"/>
      <c r="RPB1"/>
      <c r="RPC1"/>
      <c r="RPD1"/>
      <c r="RPE1"/>
      <c r="RPF1"/>
      <c r="RPG1"/>
      <c r="RPH1"/>
      <c r="RPI1"/>
      <c r="RPJ1"/>
      <c r="RPK1"/>
      <c r="RPL1"/>
      <c r="RPM1"/>
      <c r="RPN1"/>
      <c r="RPO1"/>
      <c r="RPP1"/>
      <c r="RPQ1"/>
      <c r="RPR1"/>
      <c r="RPS1"/>
      <c r="RPT1"/>
      <c r="RPU1"/>
      <c r="RPV1"/>
      <c r="RPW1"/>
      <c r="RPX1"/>
      <c r="RPY1"/>
      <c r="RPZ1"/>
      <c r="RQA1"/>
      <c r="RQB1"/>
      <c r="RQC1"/>
      <c r="RQD1"/>
      <c r="RQE1"/>
      <c r="RQF1"/>
      <c r="RQG1"/>
      <c r="RQH1"/>
      <c r="RQI1"/>
      <c r="RQJ1"/>
      <c r="RQK1"/>
      <c r="RQL1"/>
      <c r="RQM1"/>
      <c r="RQN1"/>
      <c r="RQO1"/>
      <c r="RQP1"/>
      <c r="RQQ1"/>
      <c r="RQR1"/>
      <c r="RQS1"/>
      <c r="RQT1"/>
      <c r="RQU1"/>
      <c r="RQV1"/>
      <c r="RQW1"/>
      <c r="RQX1"/>
      <c r="RQY1"/>
      <c r="RQZ1"/>
      <c r="RRA1"/>
      <c r="RRB1"/>
      <c r="RRC1"/>
      <c r="RRD1"/>
      <c r="RRE1"/>
      <c r="RRF1"/>
      <c r="RRG1"/>
      <c r="RRH1"/>
      <c r="RRI1"/>
      <c r="RRJ1"/>
      <c r="RRK1"/>
      <c r="RRL1"/>
      <c r="RRM1"/>
      <c r="RRN1"/>
      <c r="RRO1"/>
      <c r="RRP1"/>
      <c r="RRQ1"/>
      <c r="RRR1"/>
      <c r="RRS1"/>
      <c r="RRT1"/>
      <c r="RRU1"/>
      <c r="RRV1"/>
      <c r="RRW1"/>
      <c r="RRX1"/>
      <c r="RRY1"/>
      <c r="RRZ1"/>
      <c r="RSA1"/>
      <c r="RSB1"/>
      <c r="RSC1"/>
      <c r="RSD1"/>
      <c r="RSE1"/>
      <c r="RSF1"/>
      <c r="RSG1"/>
      <c r="RSH1"/>
      <c r="RSI1"/>
      <c r="RSJ1"/>
      <c r="RSK1"/>
      <c r="RSL1"/>
      <c r="RSM1"/>
      <c r="RSN1"/>
      <c r="RSO1"/>
      <c r="RSP1"/>
      <c r="RSQ1"/>
      <c r="RSR1"/>
      <c r="RSS1"/>
      <c r="RST1"/>
      <c r="RSU1"/>
      <c r="RSV1"/>
      <c r="RSW1"/>
      <c r="RSX1"/>
      <c r="RSY1"/>
      <c r="RSZ1"/>
      <c r="RTA1"/>
      <c r="RTB1"/>
      <c r="RTC1"/>
      <c r="RTD1"/>
      <c r="RTE1"/>
      <c r="RTF1"/>
      <c r="RTG1"/>
      <c r="RTH1"/>
      <c r="RTI1"/>
      <c r="RTJ1"/>
      <c r="RTK1"/>
      <c r="RTL1"/>
      <c r="RTM1"/>
      <c r="RTN1"/>
      <c r="RTO1"/>
      <c r="RTP1"/>
      <c r="RTQ1"/>
      <c r="RTR1"/>
      <c r="RTS1"/>
      <c r="RTT1"/>
      <c r="RTU1"/>
      <c r="RTV1"/>
      <c r="RTW1"/>
      <c r="RTX1"/>
      <c r="RTY1"/>
      <c r="RTZ1"/>
      <c r="RUA1"/>
      <c r="RUB1"/>
      <c r="RUC1"/>
      <c r="RUD1"/>
      <c r="RUE1"/>
      <c r="RUF1"/>
      <c r="RUG1"/>
      <c r="RUH1"/>
      <c r="RUI1"/>
      <c r="RUJ1"/>
      <c r="RUK1"/>
      <c r="RUL1"/>
      <c r="RUM1"/>
      <c r="RUN1"/>
      <c r="RUO1"/>
      <c r="RUP1"/>
      <c r="RUQ1"/>
      <c r="RUR1"/>
      <c r="RUS1"/>
      <c r="RUT1"/>
      <c r="RUU1"/>
      <c r="RUV1"/>
      <c r="RUW1"/>
      <c r="RUX1"/>
      <c r="RUY1"/>
      <c r="RUZ1"/>
      <c r="RVA1"/>
      <c r="RVB1"/>
      <c r="RVC1"/>
      <c r="RVD1"/>
      <c r="RVE1"/>
      <c r="RVF1"/>
      <c r="RVG1"/>
      <c r="RVH1"/>
      <c r="RVI1"/>
      <c r="RVJ1"/>
      <c r="RVK1"/>
      <c r="RVL1"/>
      <c r="RVM1"/>
      <c r="RVN1"/>
      <c r="RVO1"/>
      <c r="RVP1"/>
      <c r="RVQ1"/>
      <c r="RVR1"/>
      <c r="RVS1"/>
      <c r="RVT1"/>
      <c r="RVU1"/>
      <c r="RVV1"/>
      <c r="RVW1"/>
      <c r="RVX1"/>
      <c r="RVY1"/>
      <c r="RVZ1"/>
      <c r="RWA1"/>
      <c r="RWB1"/>
      <c r="RWC1"/>
      <c r="RWD1"/>
      <c r="RWE1"/>
      <c r="RWF1"/>
      <c r="RWG1"/>
      <c r="RWH1"/>
      <c r="RWI1"/>
      <c r="RWJ1"/>
      <c r="RWK1"/>
      <c r="RWL1"/>
      <c r="RWM1"/>
      <c r="RWN1"/>
      <c r="RWO1"/>
      <c r="RWP1"/>
      <c r="RWQ1"/>
      <c r="RWR1"/>
      <c r="RWS1"/>
      <c r="RWT1"/>
      <c r="RWU1"/>
      <c r="RWV1"/>
      <c r="RWW1"/>
      <c r="RWX1"/>
      <c r="RWY1"/>
      <c r="RWZ1"/>
      <c r="RXA1"/>
      <c r="RXB1"/>
      <c r="RXC1"/>
      <c r="RXD1"/>
      <c r="RXE1"/>
      <c r="RXF1"/>
      <c r="RXG1"/>
      <c r="RXH1"/>
      <c r="RXI1"/>
      <c r="RXJ1"/>
      <c r="RXK1"/>
      <c r="RXL1"/>
      <c r="RXM1"/>
      <c r="RXN1"/>
      <c r="RXO1"/>
      <c r="RXP1"/>
      <c r="RXQ1"/>
      <c r="RXR1"/>
      <c r="RXS1"/>
      <c r="RXT1"/>
      <c r="RXU1"/>
      <c r="RXV1"/>
      <c r="RXW1"/>
      <c r="RXX1"/>
      <c r="RXY1"/>
      <c r="RXZ1"/>
      <c r="RYA1"/>
      <c r="RYB1"/>
      <c r="RYC1"/>
      <c r="RYD1"/>
      <c r="RYE1"/>
      <c r="RYF1"/>
      <c r="RYG1"/>
      <c r="RYH1"/>
      <c r="RYI1"/>
      <c r="RYJ1"/>
      <c r="RYK1"/>
      <c r="RYL1"/>
      <c r="RYM1"/>
      <c r="RYN1"/>
      <c r="RYO1"/>
      <c r="RYP1"/>
      <c r="RYQ1"/>
      <c r="RYR1"/>
      <c r="RYS1"/>
      <c r="RYT1"/>
      <c r="RYU1"/>
      <c r="RYV1"/>
      <c r="RYW1"/>
      <c r="RYX1"/>
      <c r="RYY1"/>
      <c r="RYZ1"/>
      <c r="RZA1"/>
      <c r="RZB1"/>
      <c r="RZC1"/>
      <c r="RZD1"/>
      <c r="RZE1"/>
      <c r="RZF1"/>
      <c r="RZG1"/>
      <c r="RZH1"/>
      <c r="RZI1"/>
      <c r="RZJ1"/>
      <c r="RZK1"/>
      <c r="RZL1"/>
      <c r="RZM1"/>
      <c r="RZN1"/>
      <c r="RZO1"/>
      <c r="RZP1"/>
      <c r="RZQ1"/>
      <c r="RZR1"/>
      <c r="RZS1"/>
      <c r="RZT1"/>
      <c r="RZU1"/>
      <c r="RZV1"/>
      <c r="RZW1"/>
      <c r="RZX1"/>
      <c r="RZY1"/>
      <c r="RZZ1"/>
      <c r="SAA1"/>
      <c r="SAB1"/>
      <c r="SAC1"/>
      <c r="SAD1"/>
      <c r="SAE1"/>
      <c r="SAF1"/>
      <c r="SAG1"/>
      <c r="SAH1"/>
      <c r="SAI1"/>
      <c r="SAJ1"/>
      <c r="SAK1"/>
      <c r="SAL1"/>
      <c r="SAM1"/>
      <c r="SAN1"/>
      <c r="SAO1"/>
      <c r="SAP1"/>
      <c r="SAQ1"/>
      <c r="SAR1"/>
      <c r="SAS1"/>
      <c r="SAT1"/>
      <c r="SAU1"/>
      <c r="SAV1"/>
      <c r="SAW1"/>
      <c r="SAX1"/>
      <c r="SAY1"/>
      <c r="SAZ1"/>
      <c r="SBA1"/>
      <c r="SBB1"/>
      <c r="SBC1"/>
      <c r="SBD1"/>
      <c r="SBE1"/>
      <c r="SBF1"/>
      <c r="SBG1"/>
      <c r="SBH1"/>
      <c r="SBI1"/>
      <c r="SBJ1"/>
      <c r="SBK1"/>
      <c r="SBL1"/>
      <c r="SBM1"/>
      <c r="SBN1"/>
      <c r="SBO1"/>
      <c r="SBP1"/>
      <c r="SBQ1"/>
      <c r="SBR1"/>
      <c r="SBS1"/>
      <c r="SBT1"/>
      <c r="SBU1"/>
      <c r="SBV1"/>
      <c r="SBW1"/>
      <c r="SBX1"/>
      <c r="SBY1"/>
      <c r="SBZ1"/>
      <c r="SCA1"/>
      <c r="SCB1"/>
      <c r="SCC1"/>
      <c r="SCD1"/>
      <c r="SCE1"/>
      <c r="SCF1"/>
      <c r="SCG1"/>
      <c r="SCH1"/>
      <c r="SCI1"/>
      <c r="SCJ1"/>
      <c r="SCK1"/>
      <c r="SCL1"/>
      <c r="SCM1"/>
      <c r="SCN1"/>
      <c r="SCO1"/>
      <c r="SCP1"/>
      <c r="SCQ1"/>
      <c r="SCR1"/>
      <c r="SCS1"/>
      <c r="SCT1"/>
      <c r="SCU1"/>
      <c r="SCV1"/>
      <c r="SCW1"/>
      <c r="SCX1"/>
      <c r="SCY1"/>
      <c r="SCZ1"/>
      <c r="SDA1"/>
      <c r="SDB1"/>
      <c r="SDC1"/>
      <c r="SDD1"/>
      <c r="SDE1"/>
      <c r="SDF1"/>
      <c r="SDG1"/>
      <c r="SDH1"/>
      <c r="SDI1"/>
      <c r="SDJ1"/>
      <c r="SDK1"/>
      <c r="SDL1"/>
      <c r="SDM1"/>
      <c r="SDN1"/>
      <c r="SDO1"/>
      <c r="SDP1"/>
      <c r="SDQ1"/>
      <c r="SDR1"/>
      <c r="SDS1"/>
      <c r="SDT1"/>
      <c r="SDU1"/>
      <c r="SDV1"/>
      <c r="SDW1"/>
      <c r="SDX1"/>
      <c r="SDY1"/>
      <c r="SDZ1"/>
      <c r="SEA1"/>
      <c r="SEB1"/>
      <c r="SEC1"/>
      <c r="SED1"/>
      <c r="SEE1"/>
      <c r="SEF1"/>
      <c r="SEG1"/>
      <c r="SEH1"/>
      <c r="SEI1"/>
      <c r="SEJ1"/>
      <c r="SEK1"/>
      <c r="SEL1"/>
      <c r="SEM1"/>
      <c r="SEN1"/>
      <c r="SEO1"/>
      <c r="SEP1"/>
      <c r="SEQ1"/>
      <c r="SER1"/>
      <c r="SES1"/>
      <c r="SET1"/>
      <c r="SEU1"/>
      <c r="SEV1"/>
      <c r="SEW1"/>
      <c r="SEX1"/>
      <c r="SEY1"/>
      <c r="SEZ1"/>
      <c r="SFA1"/>
      <c r="SFB1"/>
      <c r="SFC1"/>
      <c r="SFD1"/>
      <c r="SFE1"/>
      <c r="SFF1"/>
      <c r="SFG1"/>
      <c r="SFH1"/>
      <c r="SFI1"/>
      <c r="SFJ1"/>
      <c r="SFK1"/>
      <c r="SFL1"/>
      <c r="SFM1"/>
      <c r="SFN1"/>
      <c r="SFO1"/>
      <c r="SFP1"/>
      <c r="SFQ1"/>
      <c r="SFR1"/>
      <c r="SFS1"/>
      <c r="SFT1"/>
      <c r="SFU1"/>
      <c r="SFV1"/>
      <c r="SFW1"/>
      <c r="SFX1"/>
      <c r="SFY1"/>
      <c r="SFZ1"/>
      <c r="SGA1"/>
      <c r="SGB1"/>
      <c r="SGC1"/>
      <c r="SGD1"/>
      <c r="SGE1"/>
      <c r="SGF1"/>
      <c r="SGG1"/>
      <c r="SGH1"/>
      <c r="SGI1"/>
      <c r="SGJ1"/>
      <c r="SGK1"/>
      <c r="SGL1"/>
      <c r="SGM1"/>
      <c r="SGN1"/>
      <c r="SGO1"/>
      <c r="SGP1"/>
      <c r="SGQ1"/>
      <c r="SGR1"/>
      <c r="SGS1"/>
      <c r="SGT1"/>
      <c r="SGU1"/>
      <c r="SGV1"/>
      <c r="SGW1"/>
      <c r="SGX1"/>
      <c r="SGY1"/>
      <c r="SGZ1"/>
      <c r="SHA1"/>
      <c r="SHB1"/>
      <c r="SHC1"/>
      <c r="SHD1"/>
      <c r="SHE1"/>
      <c r="SHF1"/>
      <c r="SHG1"/>
      <c r="SHH1"/>
      <c r="SHI1"/>
      <c r="SHJ1"/>
      <c r="SHK1"/>
      <c r="SHL1"/>
      <c r="SHM1"/>
      <c r="SHN1"/>
      <c r="SHO1"/>
      <c r="SHP1"/>
      <c r="SHQ1"/>
      <c r="SHR1"/>
      <c r="SHS1"/>
      <c r="SHT1"/>
      <c r="SHU1"/>
      <c r="SHV1"/>
      <c r="SHW1"/>
      <c r="SHX1"/>
      <c r="SHY1"/>
      <c r="SHZ1"/>
      <c r="SIA1"/>
      <c r="SIB1"/>
      <c r="SIC1"/>
      <c r="SID1"/>
      <c r="SIE1"/>
      <c r="SIF1"/>
      <c r="SIG1"/>
      <c r="SIH1"/>
      <c r="SII1"/>
      <c r="SIJ1"/>
      <c r="SIK1"/>
      <c r="SIL1"/>
      <c r="SIM1"/>
      <c r="SIN1"/>
      <c r="SIO1"/>
      <c r="SIP1"/>
      <c r="SIQ1"/>
      <c r="SIR1"/>
      <c r="SIS1"/>
      <c r="SIT1"/>
      <c r="SIU1"/>
      <c r="SIV1"/>
      <c r="SIW1"/>
      <c r="SIX1"/>
      <c r="SIY1"/>
      <c r="SIZ1"/>
      <c r="SJA1"/>
      <c r="SJB1"/>
      <c r="SJC1"/>
      <c r="SJD1"/>
      <c r="SJE1"/>
      <c r="SJF1"/>
      <c r="SJG1"/>
      <c r="SJH1"/>
      <c r="SJI1"/>
      <c r="SJJ1"/>
      <c r="SJK1"/>
      <c r="SJL1"/>
      <c r="SJM1"/>
      <c r="SJN1"/>
      <c r="SJO1"/>
      <c r="SJP1"/>
      <c r="SJQ1"/>
      <c r="SJR1"/>
      <c r="SJS1"/>
      <c r="SJT1"/>
      <c r="SJU1"/>
      <c r="SJV1"/>
      <c r="SJW1"/>
      <c r="SJX1"/>
      <c r="SJY1"/>
      <c r="SJZ1"/>
      <c r="SKA1"/>
      <c r="SKB1"/>
      <c r="SKC1"/>
      <c r="SKD1"/>
      <c r="SKE1"/>
      <c r="SKF1"/>
      <c r="SKG1"/>
      <c r="SKH1"/>
      <c r="SKI1"/>
      <c r="SKJ1"/>
      <c r="SKK1"/>
      <c r="SKL1"/>
      <c r="SKM1"/>
      <c r="SKN1"/>
      <c r="SKO1"/>
      <c r="SKP1"/>
      <c r="SKQ1"/>
      <c r="SKR1"/>
      <c r="SKS1"/>
      <c r="SKT1"/>
      <c r="SKU1"/>
      <c r="SKV1"/>
      <c r="SKW1"/>
      <c r="SKX1"/>
      <c r="SKY1"/>
      <c r="SKZ1"/>
      <c r="SLA1"/>
      <c r="SLB1"/>
      <c r="SLC1"/>
      <c r="SLD1"/>
      <c r="SLE1"/>
      <c r="SLF1"/>
      <c r="SLG1"/>
      <c r="SLH1"/>
      <c r="SLI1"/>
      <c r="SLJ1"/>
      <c r="SLK1"/>
      <c r="SLL1"/>
      <c r="SLM1"/>
      <c r="SLN1"/>
      <c r="SLO1"/>
      <c r="SLP1"/>
      <c r="SLQ1"/>
      <c r="SLR1"/>
      <c r="SLS1"/>
      <c r="SLT1"/>
      <c r="SLU1"/>
      <c r="SLV1"/>
      <c r="SLW1"/>
      <c r="SLX1"/>
      <c r="SLY1"/>
      <c r="SLZ1"/>
      <c r="SMA1"/>
      <c r="SMB1"/>
      <c r="SMC1"/>
      <c r="SMD1"/>
      <c r="SME1"/>
      <c r="SMF1"/>
      <c r="SMG1"/>
      <c r="SMH1"/>
      <c r="SMI1"/>
      <c r="SMJ1"/>
      <c r="SMK1"/>
      <c r="SML1"/>
      <c r="SMM1"/>
      <c r="SMN1"/>
      <c r="SMO1"/>
      <c r="SMP1"/>
      <c r="SMQ1"/>
      <c r="SMR1"/>
      <c r="SMS1"/>
      <c r="SMT1"/>
      <c r="SMU1"/>
      <c r="SMV1"/>
      <c r="SMW1"/>
      <c r="SMX1"/>
      <c r="SMY1"/>
      <c r="SMZ1"/>
      <c r="SNA1"/>
      <c r="SNB1"/>
      <c r="SNC1"/>
      <c r="SND1"/>
      <c r="SNE1"/>
      <c r="SNF1"/>
      <c r="SNG1"/>
      <c r="SNH1"/>
      <c r="SNI1"/>
      <c r="SNJ1"/>
      <c r="SNK1"/>
      <c r="SNL1"/>
      <c r="SNM1"/>
      <c r="SNN1"/>
      <c r="SNO1"/>
      <c r="SNP1"/>
      <c r="SNQ1"/>
      <c r="SNR1"/>
      <c r="SNS1"/>
      <c r="SNT1"/>
      <c r="SNU1"/>
      <c r="SNV1"/>
      <c r="SNW1"/>
      <c r="SNX1"/>
      <c r="SNY1"/>
      <c r="SNZ1"/>
      <c r="SOA1"/>
      <c r="SOB1"/>
      <c r="SOC1"/>
      <c r="SOD1"/>
      <c r="SOE1"/>
      <c r="SOF1"/>
      <c r="SOG1"/>
      <c r="SOH1"/>
      <c r="SOI1"/>
      <c r="SOJ1"/>
      <c r="SOK1"/>
      <c r="SOL1"/>
      <c r="SOM1"/>
      <c r="SON1"/>
      <c r="SOO1"/>
      <c r="SOP1"/>
      <c r="SOQ1"/>
      <c r="SOR1"/>
      <c r="SOS1"/>
      <c r="SOT1"/>
      <c r="SOU1"/>
      <c r="SOV1"/>
      <c r="SOW1"/>
      <c r="SOX1"/>
      <c r="SOY1"/>
      <c r="SOZ1"/>
      <c r="SPA1"/>
      <c r="SPB1"/>
      <c r="SPC1"/>
      <c r="SPD1"/>
      <c r="SPE1"/>
      <c r="SPF1"/>
      <c r="SPG1"/>
      <c r="SPH1"/>
      <c r="SPI1"/>
      <c r="SPJ1"/>
      <c r="SPK1"/>
      <c r="SPL1"/>
      <c r="SPM1"/>
      <c r="SPN1"/>
      <c r="SPO1"/>
      <c r="SPP1"/>
      <c r="SPQ1"/>
      <c r="SPR1"/>
      <c r="SPS1"/>
      <c r="SPT1"/>
      <c r="SPU1"/>
      <c r="SPV1"/>
      <c r="SPW1"/>
      <c r="SPX1"/>
      <c r="SPY1"/>
      <c r="SPZ1"/>
      <c r="SQA1"/>
      <c r="SQB1"/>
      <c r="SQC1"/>
      <c r="SQD1"/>
      <c r="SQE1"/>
      <c r="SQF1"/>
      <c r="SQG1"/>
      <c r="SQH1"/>
      <c r="SQI1"/>
      <c r="SQJ1"/>
      <c r="SQK1"/>
      <c r="SQL1"/>
      <c r="SQM1"/>
      <c r="SQN1"/>
      <c r="SQO1"/>
      <c r="SQP1"/>
      <c r="SQQ1"/>
      <c r="SQR1"/>
      <c r="SQS1"/>
      <c r="SQT1"/>
      <c r="SQU1"/>
      <c r="SQV1"/>
      <c r="SQW1"/>
      <c r="SQX1"/>
      <c r="SQY1"/>
      <c r="SQZ1"/>
      <c r="SRA1"/>
      <c r="SRB1"/>
      <c r="SRC1"/>
      <c r="SRD1"/>
      <c r="SRE1"/>
      <c r="SRF1"/>
      <c r="SRG1"/>
      <c r="SRH1"/>
      <c r="SRI1"/>
      <c r="SRJ1"/>
      <c r="SRK1"/>
      <c r="SRL1"/>
      <c r="SRM1"/>
      <c r="SRN1"/>
      <c r="SRO1"/>
      <c r="SRP1"/>
      <c r="SRQ1"/>
      <c r="SRR1"/>
      <c r="SRS1"/>
      <c r="SRT1"/>
      <c r="SRU1"/>
      <c r="SRV1"/>
      <c r="SRW1"/>
      <c r="SRX1"/>
      <c r="SRY1"/>
      <c r="SRZ1"/>
      <c r="SSA1"/>
      <c r="SSB1"/>
      <c r="SSC1"/>
      <c r="SSD1"/>
      <c r="SSE1"/>
      <c r="SSF1"/>
      <c r="SSG1"/>
      <c r="SSH1"/>
      <c r="SSI1"/>
      <c r="SSJ1"/>
      <c r="SSK1"/>
      <c r="SSL1"/>
      <c r="SSM1"/>
      <c r="SSN1"/>
      <c r="SSO1"/>
      <c r="SSP1"/>
      <c r="SSQ1"/>
      <c r="SSR1"/>
      <c r="SSS1"/>
      <c r="SST1"/>
      <c r="SSU1"/>
      <c r="SSV1"/>
      <c r="SSW1"/>
      <c r="SSX1"/>
      <c r="SSY1"/>
      <c r="SSZ1"/>
      <c r="STA1"/>
      <c r="STB1"/>
      <c r="STC1"/>
      <c r="STD1"/>
      <c r="STE1"/>
      <c r="STF1"/>
      <c r="STG1"/>
      <c r="STH1"/>
      <c r="STI1"/>
      <c r="STJ1"/>
      <c r="STK1"/>
      <c r="STL1"/>
      <c r="STM1"/>
      <c r="STN1"/>
      <c r="STO1"/>
      <c r="STP1"/>
      <c r="STQ1"/>
      <c r="STR1"/>
      <c r="STS1"/>
      <c r="STT1"/>
      <c r="STU1"/>
      <c r="STV1"/>
      <c r="STW1"/>
      <c r="STX1"/>
      <c r="STY1"/>
      <c r="STZ1"/>
      <c r="SUA1"/>
      <c r="SUB1"/>
      <c r="SUC1"/>
      <c r="SUD1"/>
      <c r="SUE1"/>
      <c r="SUF1"/>
      <c r="SUG1"/>
      <c r="SUH1"/>
      <c r="SUI1"/>
      <c r="SUJ1"/>
      <c r="SUK1"/>
      <c r="SUL1"/>
      <c r="SUM1"/>
      <c r="SUN1"/>
      <c r="SUO1"/>
      <c r="SUP1"/>
      <c r="SUQ1"/>
      <c r="SUR1"/>
      <c r="SUS1"/>
      <c r="SUT1"/>
      <c r="SUU1"/>
      <c r="SUV1"/>
      <c r="SUW1"/>
      <c r="SUX1"/>
      <c r="SUY1"/>
      <c r="SUZ1"/>
      <c r="SVA1"/>
      <c r="SVB1"/>
      <c r="SVC1"/>
      <c r="SVD1"/>
      <c r="SVE1"/>
      <c r="SVF1"/>
      <c r="SVG1"/>
      <c r="SVH1"/>
      <c r="SVI1"/>
      <c r="SVJ1"/>
      <c r="SVK1"/>
      <c r="SVL1"/>
      <c r="SVM1"/>
      <c r="SVN1"/>
      <c r="SVO1"/>
      <c r="SVP1"/>
      <c r="SVQ1"/>
      <c r="SVR1"/>
      <c r="SVS1"/>
      <c r="SVT1"/>
      <c r="SVU1"/>
      <c r="SVV1"/>
      <c r="SVW1"/>
      <c r="SVX1"/>
      <c r="SVY1"/>
      <c r="SVZ1"/>
      <c r="SWA1"/>
      <c r="SWB1"/>
      <c r="SWC1"/>
      <c r="SWD1"/>
      <c r="SWE1"/>
      <c r="SWF1"/>
      <c r="SWG1"/>
      <c r="SWH1"/>
      <c r="SWI1"/>
      <c r="SWJ1"/>
      <c r="SWK1"/>
      <c r="SWL1"/>
      <c r="SWM1"/>
      <c r="SWN1"/>
      <c r="SWO1"/>
      <c r="SWP1"/>
      <c r="SWQ1"/>
      <c r="SWR1"/>
      <c r="SWS1"/>
      <c r="SWT1"/>
      <c r="SWU1"/>
      <c r="SWV1"/>
      <c r="SWW1"/>
      <c r="SWX1"/>
      <c r="SWY1"/>
      <c r="SWZ1"/>
      <c r="SXA1"/>
      <c r="SXB1"/>
      <c r="SXC1"/>
      <c r="SXD1"/>
      <c r="SXE1"/>
      <c r="SXF1"/>
      <c r="SXG1"/>
      <c r="SXH1"/>
      <c r="SXI1"/>
      <c r="SXJ1"/>
      <c r="SXK1"/>
      <c r="SXL1"/>
      <c r="SXM1"/>
      <c r="SXN1"/>
      <c r="SXO1"/>
      <c r="SXP1"/>
      <c r="SXQ1"/>
      <c r="SXR1"/>
      <c r="SXS1"/>
      <c r="SXT1"/>
      <c r="SXU1"/>
      <c r="SXV1"/>
      <c r="SXW1"/>
      <c r="SXX1"/>
      <c r="SXY1"/>
      <c r="SXZ1"/>
      <c r="SYA1"/>
      <c r="SYB1"/>
      <c r="SYC1"/>
      <c r="SYD1"/>
      <c r="SYE1"/>
      <c r="SYF1"/>
      <c r="SYG1"/>
      <c r="SYH1"/>
      <c r="SYI1"/>
      <c r="SYJ1"/>
      <c r="SYK1"/>
      <c r="SYL1"/>
      <c r="SYM1"/>
      <c r="SYN1"/>
      <c r="SYO1"/>
      <c r="SYP1"/>
      <c r="SYQ1"/>
      <c r="SYR1"/>
      <c r="SYS1"/>
      <c r="SYT1"/>
      <c r="SYU1"/>
      <c r="SYV1"/>
      <c r="SYW1"/>
      <c r="SYX1"/>
      <c r="SYY1"/>
      <c r="SYZ1"/>
      <c r="SZA1"/>
      <c r="SZB1"/>
      <c r="SZC1"/>
      <c r="SZD1"/>
      <c r="SZE1"/>
      <c r="SZF1"/>
      <c r="SZG1"/>
      <c r="SZH1"/>
      <c r="SZI1"/>
      <c r="SZJ1"/>
      <c r="SZK1"/>
      <c r="SZL1"/>
      <c r="SZM1"/>
      <c r="SZN1"/>
      <c r="SZO1"/>
      <c r="SZP1"/>
      <c r="SZQ1"/>
      <c r="SZR1"/>
      <c r="SZS1"/>
      <c r="SZT1"/>
      <c r="SZU1"/>
      <c r="SZV1"/>
      <c r="SZW1"/>
      <c r="SZX1"/>
      <c r="SZY1"/>
      <c r="SZZ1"/>
      <c r="TAA1"/>
      <c r="TAB1"/>
      <c r="TAC1"/>
      <c r="TAD1"/>
      <c r="TAE1"/>
      <c r="TAF1"/>
      <c r="TAG1"/>
      <c r="TAH1"/>
      <c r="TAI1"/>
      <c r="TAJ1"/>
      <c r="TAK1"/>
      <c r="TAL1"/>
      <c r="TAM1"/>
      <c r="TAN1"/>
      <c r="TAO1"/>
      <c r="TAP1"/>
      <c r="TAQ1"/>
      <c r="TAR1"/>
      <c r="TAS1"/>
      <c r="TAT1"/>
      <c r="TAU1"/>
      <c r="TAV1"/>
      <c r="TAW1"/>
      <c r="TAX1"/>
      <c r="TAY1"/>
      <c r="TAZ1"/>
      <c r="TBA1"/>
      <c r="TBB1"/>
      <c r="TBC1"/>
      <c r="TBD1"/>
      <c r="TBE1"/>
      <c r="TBF1"/>
      <c r="TBG1"/>
      <c r="TBH1"/>
      <c r="TBI1"/>
      <c r="TBJ1"/>
      <c r="TBK1"/>
      <c r="TBL1"/>
      <c r="TBM1"/>
      <c r="TBN1"/>
      <c r="TBO1"/>
      <c r="TBP1"/>
      <c r="TBQ1"/>
      <c r="TBR1"/>
      <c r="TBS1"/>
      <c r="TBT1"/>
      <c r="TBU1"/>
      <c r="TBV1"/>
      <c r="TBW1"/>
      <c r="TBX1"/>
      <c r="TBY1"/>
      <c r="TBZ1"/>
      <c r="TCA1"/>
      <c r="TCB1"/>
      <c r="TCC1"/>
      <c r="TCD1"/>
      <c r="TCE1"/>
      <c r="TCF1"/>
      <c r="TCG1"/>
      <c r="TCH1"/>
      <c r="TCI1"/>
      <c r="TCJ1"/>
      <c r="TCK1"/>
      <c r="TCL1"/>
      <c r="TCM1"/>
      <c r="TCN1"/>
      <c r="TCO1"/>
      <c r="TCP1"/>
      <c r="TCQ1"/>
      <c r="TCR1"/>
      <c r="TCS1"/>
      <c r="TCT1"/>
      <c r="TCU1"/>
      <c r="TCV1"/>
      <c r="TCW1"/>
      <c r="TCX1"/>
      <c r="TCY1"/>
      <c r="TCZ1"/>
      <c r="TDA1"/>
      <c r="TDB1"/>
      <c r="TDC1"/>
      <c r="TDD1"/>
      <c r="TDE1"/>
      <c r="TDF1"/>
      <c r="TDG1"/>
      <c r="TDH1"/>
      <c r="TDI1"/>
      <c r="TDJ1"/>
      <c r="TDK1"/>
      <c r="TDL1"/>
      <c r="TDM1"/>
      <c r="TDN1"/>
      <c r="TDO1"/>
      <c r="TDP1"/>
      <c r="TDQ1"/>
      <c r="TDR1"/>
      <c r="TDS1"/>
      <c r="TDT1"/>
      <c r="TDU1"/>
      <c r="TDV1"/>
      <c r="TDW1"/>
      <c r="TDX1"/>
      <c r="TDY1"/>
      <c r="TDZ1"/>
      <c r="TEA1"/>
      <c r="TEB1"/>
      <c r="TEC1"/>
      <c r="TED1"/>
      <c r="TEE1"/>
      <c r="TEF1"/>
      <c r="TEG1"/>
      <c r="TEH1"/>
      <c r="TEI1"/>
      <c r="TEJ1"/>
      <c r="TEK1"/>
      <c r="TEL1"/>
      <c r="TEM1"/>
      <c r="TEN1"/>
      <c r="TEO1"/>
      <c r="TEP1"/>
      <c r="TEQ1"/>
      <c r="TER1"/>
      <c r="TES1"/>
      <c r="TET1"/>
      <c r="TEU1"/>
      <c r="TEV1"/>
      <c r="TEW1"/>
      <c r="TEX1"/>
      <c r="TEY1"/>
      <c r="TEZ1"/>
      <c r="TFA1"/>
      <c r="TFB1"/>
      <c r="TFC1"/>
      <c r="TFD1"/>
      <c r="TFE1"/>
      <c r="TFF1"/>
      <c r="TFG1"/>
      <c r="TFH1"/>
      <c r="TFI1"/>
      <c r="TFJ1"/>
      <c r="TFK1"/>
      <c r="TFL1"/>
      <c r="TFM1"/>
      <c r="TFN1"/>
      <c r="TFO1"/>
      <c r="TFP1"/>
      <c r="TFQ1"/>
      <c r="TFR1"/>
      <c r="TFS1"/>
      <c r="TFT1"/>
      <c r="TFU1"/>
      <c r="TFV1"/>
      <c r="TFW1"/>
      <c r="TFX1"/>
      <c r="TFY1"/>
      <c r="TFZ1"/>
      <c r="TGA1"/>
      <c r="TGB1"/>
      <c r="TGC1"/>
      <c r="TGD1"/>
      <c r="TGE1"/>
      <c r="TGF1"/>
      <c r="TGG1"/>
      <c r="TGH1"/>
      <c r="TGI1"/>
      <c r="TGJ1"/>
      <c r="TGK1"/>
      <c r="TGL1"/>
      <c r="TGM1"/>
      <c r="TGN1"/>
      <c r="TGO1"/>
      <c r="TGP1"/>
      <c r="TGQ1"/>
      <c r="TGR1"/>
      <c r="TGS1"/>
      <c r="TGT1"/>
      <c r="TGU1"/>
      <c r="TGV1"/>
      <c r="TGW1"/>
      <c r="TGX1"/>
      <c r="TGY1"/>
      <c r="TGZ1"/>
      <c r="THA1"/>
      <c r="THB1"/>
      <c r="THC1"/>
      <c r="THD1"/>
      <c r="THE1"/>
      <c r="THF1"/>
      <c r="THG1"/>
      <c r="THH1"/>
      <c r="THI1"/>
      <c r="THJ1"/>
      <c r="THK1"/>
      <c r="THL1"/>
      <c r="THM1"/>
      <c r="THN1"/>
      <c r="THO1"/>
      <c r="THP1"/>
      <c r="THQ1"/>
      <c r="THR1"/>
      <c r="THS1"/>
      <c r="THT1"/>
      <c r="THU1"/>
      <c r="THV1"/>
      <c r="THW1"/>
      <c r="THX1"/>
      <c r="THY1"/>
      <c r="THZ1"/>
      <c r="TIA1"/>
      <c r="TIB1"/>
      <c r="TIC1"/>
      <c r="TID1"/>
      <c r="TIE1"/>
      <c r="TIF1"/>
      <c r="TIG1"/>
      <c r="TIH1"/>
      <c r="TII1"/>
      <c r="TIJ1"/>
      <c r="TIK1"/>
      <c r="TIL1"/>
      <c r="TIM1"/>
      <c r="TIN1"/>
      <c r="TIO1"/>
      <c r="TIP1"/>
      <c r="TIQ1"/>
      <c r="TIR1"/>
      <c r="TIS1"/>
      <c r="TIT1"/>
      <c r="TIU1"/>
      <c r="TIV1"/>
      <c r="TIW1"/>
      <c r="TIX1"/>
      <c r="TIY1"/>
      <c r="TIZ1"/>
      <c r="TJA1"/>
      <c r="TJB1"/>
      <c r="TJC1"/>
      <c r="TJD1"/>
      <c r="TJE1"/>
      <c r="TJF1"/>
      <c r="TJG1"/>
      <c r="TJH1"/>
      <c r="TJI1"/>
      <c r="TJJ1"/>
      <c r="TJK1"/>
      <c r="TJL1"/>
      <c r="TJM1"/>
      <c r="TJN1"/>
      <c r="TJO1"/>
      <c r="TJP1"/>
      <c r="TJQ1"/>
      <c r="TJR1"/>
      <c r="TJS1"/>
      <c r="TJT1"/>
      <c r="TJU1"/>
      <c r="TJV1"/>
      <c r="TJW1"/>
      <c r="TJX1"/>
      <c r="TJY1"/>
      <c r="TJZ1"/>
      <c r="TKA1"/>
      <c r="TKB1"/>
      <c r="TKC1"/>
      <c r="TKD1"/>
      <c r="TKE1"/>
      <c r="TKF1"/>
      <c r="TKG1"/>
      <c r="TKH1"/>
      <c r="TKI1"/>
      <c r="TKJ1"/>
      <c r="TKK1"/>
      <c r="TKL1"/>
      <c r="TKM1"/>
      <c r="TKN1"/>
      <c r="TKO1"/>
      <c r="TKP1"/>
      <c r="TKQ1"/>
      <c r="TKR1"/>
      <c r="TKS1"/>
      <c r="TKT1"/>
      <c r="TKU1"/>
      <c r="TKV1"/>
      <c r="TKW1"/>
      <c r="TKX1"/>
      <c r="TKY1"/>
      <c r="TKZ1"/>
      <c r="TLA1"/>
      <c r="TLB1"/>
      <c r="TLC1"/>
      <c r="TLD1"/>
      <c r="TLE1"/>
      <c r="TLF1"/>
      <c r="TLG1"/>
      <c r="TLH1"/>
      <c r="TLI1"/>
      <c r="TLJ1"/>
      <c r="TLK1"/>
      <c r="TLL1"/>
      <c r="TLM1"/>
      <c r="TLN1"/>
      <c r="TLO1"/>
      <c r="TLP1"/>
      <c r="TLQ1"/>
      <c r="TLR1"/>
      <c r="TLS1"/>
      <c r="TLT1"/>
      <c r="TLU1"/>
      <c r="TLV1"/>
      <c r="TLW1"/>
      <c r="TLX1"/>
      <c r="TLY1"/>
      <c r="TLZ1"/>
      <c r="TMA1"/>
      <c r="TMB1"/>
      <c r="TMC1"/>
      <c r="TMD1"/>
      <c r="TME1"/>
      <c r="TMF1"/>
      <c r="TMG1"/>
      <c r="TMH1"/>
      <c r="TMI1"/>
      <c r="TMJ1"/>
      <c r="TMK1"/>
      <c r="TML1"/>
      <c r="TMM1"/>
      <c r="TMN1"/>
      <c r="TMO1"/>
      <c r="TMP1"/>
      <c r="TMQ1"/>
      <c r="TMR1"/>
      <c r="TMS1"/>
      <c r="TMT1"/>
      <c r="TMU1"/>
      <c r="TMV1"/>
      <c r="TMW1"/>
      <c r="TMX1"/>
      <c r="TMY1"/>
      <c r="TMZ1"/>
      <c r="TNA1"/>
      <c r="TNB1"/>
      <c r="TNC1"/>
      <c r="TND1"/>
      <c r="TNE1"/>
      <c r="TNF1"/>
      <c r="TNG1"/>
      <c r="TNH1"/>
      <c r="TNI1"/>
      <c r="TNJ1"/>
      <c r="TNK1"/>
      <c r="TNL1"/>
      <c r="TNM1"/>
      <c r="TNN1"/>
      <c r="TNO1"/>
      <c r="TNP1"/>
      <c r="TNQ1"/>
      <c r="TNR1"/>
      <c r="TNS1"/>
      <c r="TNT1"/>
      <c r="TNU1"/>
      <c r="TNV1"/>
      <c r="TNW1"/>
      <c r="TNX1"/>
      <c r="TNY1"/>
      <c r="TNZ1"/>
      <c r="TOA1"/>
      <c r="TOB1"/>
      <c r="TOC1"/>
      <c r="TOD1"/>
      <c r="TOE1"/>
      <c r="TOF1"/>
      <c r="TOG1"/>
      <c r="TOH1"/>
      <c r="TOI1"/>
      <c r="TOJ1"/>
      <c r="TOK1"/>
      <c r="TOL1"/>
      <c r="TOM1"/>
      <c r="TON1"/>
      <c r="TOO1"/>
      <c r="TOP1"/>
      <c r="TOQ1"/>
      <c r="TOR1"/>
      <c r="TOS1"/>
      <c r="TOT1"/>
      <c r="TOU1"/>
      <c r="TOV1"/>
      <c r="TOW1"/>
      <c r="TOX1"/>
      <c r="TOY1"/>
      <c r="TOZ1"/>
      <c r="TPA1"/>
      <c r="TPB1"/>
      <c r="TPC1"/>
      <c r="TPD1"/>
      <c r="TPE1"/>
      <c r="TPF1"/>
      <c r="TPG1"/>
      <c r="TPH1"/>
      <c r="TPI1"/>
      <c r="TPJ1"/>
      <c r="TPK1"/>
      <c r="TPL1"/>
      <c r="TPM1"/>
      <c r="TPN1"/>
      <c r="TPO1"/>
      <c r="TPP1"/>
      <c r="TPQ1"/>
      <c r="TPR1"/>
      <c r="TPS1"/>
      <c r="TPT1"/>
      <c r="TPU1"/>
      <c r="TPV1"/>
      <c r="TPW1"/>
      <c r="TPX1"/>
      <c r="TPY1"/>
      <c r="TPZ1"/>
      <c r="TQA1"/>
      <c r="TQB1"/>
      <c r="TQC1"/>
      <c r="TQD1"/>
      <c r="TQE1"/>
      <c r="TQF1"/>
      <c r="TQG1"/>
      <c r="TQH1"/>
      <c r="TQI1"/>
      <c r="TQJ1"/>
      <c r="TQK1"/>
      <c r="TQL1"/>
      <c r="TQM1"/>
      <c r="TQN1"/>
      <c r="TQO1"/>
      <c r="TQP1"/>
      <c r="TQQ1"/>
      <c r="TQR1"/>
      <c r="TQS1"/>
      <c r="TQT1"/>
      <c r="TQU1"/>
      <c r="TQV1"/>
      <c r="TQW1"/>
      <c r="TQX1"/>
      <c r="TQY1"/>
      <c r="TQZ1"/>
      <c r="TRA1"/>
      <c r="TRB1"/>
      <c r="TRC1"/>
      <c r="TRD1"/>
      <c r="TRE1"/>
      <c r="TRF1"/>
      <c r="TRG1"/>
      <c r="TRH1"/>
      <c r="TRI1"/>
      <c r="TRJ1"/>
      <c r="TRK1"/>
      <c r="TRL1"/>
      <c r="TRM1"/>
      <c r="TRN1"/>
      <c r="TRO1"/>
      <c r="TRP1"/>
      <c r="TRQ1"/>
      <c r="TRR1"/>
      <c r="TRS1"/>
      <c r="TRT1"/>
      <c r="TRU1"/>
      <c r="TRV1"/>
      <c r="TRW1"/>
      <c r="TRX1"/>
      <c r="TRY1"/>
      <c r="TRZ1"/>
      <c r="TSA1"/>
      <c r="TSB1"/>
      <c r="TSC1"/>
      <c r="TSD1"/>
      <c r="TSE1"/>
      <c r="TSF1"/>
      <c r="TSG1"/>
      <c r="TSH1"/>
      <c r="TSI1"/>
      <c r="TSJ1"/>
      <c r="TSK1"/>
      <c r="TSL1"/>
      <c r="TSM1"/>
      <c r="TSN1"/>
      <c r="TSO1"/>
      <c r="TSP1"/>
      <c r="TSQ1"/>
      <c r="TSR1"/>
      <c r="TSS1"/>
      <c r="TST1"/>
      <c r="TSU1"/>
      <c r="TSV1"/>
      <c r="TSW1"/>
      <c r="TSX1"/>
      <c r="TSY1"/>
      <c r="TSZ1"/>
      <c r="TTA1"/>
      <c r="TTB1"/>
      <c r="TTC1"/>
      <c r="TTD1"/>
      <c r="TTE1"/>
      <c r="TTF1"/>
      <c r="TTG1"/>
      <c r="TTH1"/>
      <c r="TTI1"/>
      <c r="TTJ1"/>
      <c r="TTK1"/>
      <c r="TTL1"/>
      <c r="TTM1"/>
      <c r="TTN1"/>
      <c r="TTO1"/>
      <c r="TTP1"/>
      <c r="TTQ1"/>
      <c r="TTR1"/>
      <c r="TTS1"/>
      <c r="TTT1"/>
      <c r="TTU1"/>
      <c r="TTV1"/>
      <c r="TTW1"/>
      <c r="TTX1"/>
      <c r="TTY1"/>
      <c r="TTZ1"/>
      <c r="TUA1"/>
      <c r="TUB1"/>
      <c r="TUC1"/>
      <c r="TUD1"/>
      <c r="TUE1"/>
      <c r="TUF1"/>
      <c r="TUG1"/>
      <c r="TUH1"/>
      <c r="TUI1"/>
      <c r="TUJ1"/>
      <c r="TUK1"/>
      <c r="TUL1"/>
      <c r="TUM1"/>
      <c r="TUN1"/>
      <c r="TUO1"/>
      <c r="TUP1"/>
      <c r="TUQ1"/>
      <c r="TUR1"/>
      <c r="TUS1"/>
      <c r="TUT1"/>
      <c r="TUU1"/>
      <c r="TUV1"/>
      <c r="TUW1"/>
      <c r="TUX1"/>
      <c r="TUY1"/>
      <c r="TUZ1"/>
      <c r="TVA1"/>
      <c r="TVB1"/>
      <c r="TVC1"/>
      <c r="TVD1"/>
      <c r="TVE1"/>
      <c r="TVF1"/>
      <c r="TVG1"/>
      <c r="TVH1"/>
      <c r="TVI1"/>
      <c r="TVJ1"/>
      <c r="TVK1"/>
      <c r="TVL1"/>
      <c r="TVM1"/>
      <c r="TVN1"/>
      <c r="TVO1"/>
      <c r="TVP1"/>
      <c r="TVQ1"/>
      <c r="TVR1"/>
      <c r="TVS1"/>
      <c r="TVT1"/>
      <c r="TVU1"/>
      <c r="TVV1"/>
      <c r="TVW1"/>
      <c r="TVX1"/>
      <c r="TVY1"/>
      <c r="TVZ1"/>
      <c r="TWA1"/>
      <c r="TWB1"/>
      <c r="TWC1"/>
      <c r="TWD1"/>
      <c r="TWE1"/>
      <c r="TWF1"/>
      <c r="TWG1"/>
      <c r="TWH1"/>
      <c r="TWI1"/>
      <c r="TWJ1"/>
      <c r="TWK1"/>
      <c r="TWL1"/>
      <c r="TWM1"/>
      <c r="TWN1"/>
      <c r="TWO1"/>
      <c r="TWP1"/>
      <c r="TWQ1"/>
      <c r="TWR1"/>
      <c r="TWS1"/>
      <c r="TWT1"/>
      <c r="TWU1"/>
      <c r="TWV1"/>
      <c r="TWW1"/>
      <c r="TWX1"/>
      <c r="TWY1"/>
      <c r="TWZ1"/>
      <c r="TXA1"/>
      <c r="TXB1"/>
      <c r="TXC1"/>
      <c r="TXD1"/>
      <c r="TXE1"/>
      <c r="TXF1"/>
      <c r="TXG1"/>
      <c r="TXH1"/>
      <c r="TXI1"/>
      <c r="TXJ1"/>
      <c r="TXK1"/>
      <c r="TXL1"/>
      <c r="TXM1"/>
      <c r="TXN1"/>
      <c r="TXO1"/>
      <c r="TXP1"/>
      <c r="TXQ1"/>
      <c r="TXR1"/>
      <c r="TXS1"/>
      <c r="TXT1"/>
      <c r="TXU1"/>
      <c r="TXV1"/>
      <c r="TXW1"/>
      <c r="TXX1"/>
      <c r="TXY1"/>
      <c r="TXZ1"/>
      <c r="TYA1"/>
      <c r="TYB1"/>
      <c r="TYC1"/>
      <c r="TYD1"/>
      <c r="TYE1"/>
      <c r="TYF1"/>
      <c r="TYG1"/>
      <c r="TYH1"/>
      <c r="TYI1"/>
      <c r="TYJ1"/>
      <c r="TYK1"/>
      <c r="TYL1"/>
      <c r="TYM1"/>
      <c r="TYN1"/>
      <c r="TYO1"/>
      <c r="TYP1"/>
      <c r="TYQ1"/>
      <c r="TYR1"/>
      <c r="TYS1"/>
      <c r="TYT1"/>
      <c r="TYU1"/>
      <c r="TYV1"/>
      <c r="TYW1"/>
      <c r="TYX1"/>
      <c r="TYY1"/>
      <c r="TYZ1"/>
      <c r="TZA1"/>
      <c r="TZB1"/>
      <c r="TZC1"/>
      <c r="TZD1"/>
      <c r="TZE1"/>
      <c r="TZF1"/>
      <c r="TZG1"/>
      <c r="TZH1"/>
      <c r="TZI1"/>
      <c r="TZJ1"/>
      <c r="TZK1"/>
      <c r="TZL1"/>
      <c r="TZM1"/>
      <c r="TZN1"/>
      <c r="TZO1"/>
      <c r="TZP1"/>
      <c r="TZQ1"/>
      <c r="TZR1"/>
      <c r="TZS1"/>
      <c r="TZT1"/>
      <c r="TZU1"/>
      <c r="TZV1"/>
      <c r="TZW1"/>
      <c r="TZX1"/>
      <c r="TZY1"/>
      <c r="TZZ1"/>
      <c r="UAA1"/>
      <c r="UAB1"/>
      <c r="UAC1"/>
      <c r="UAD1"/>
      <c r="UAE1"/>
      <c r="UAF1"/>
      <c r="UAG1"/>
      <c r="UAH1"/>
      <c r="UAI1"/>
      <c r="UAJ1"/>
      <c r="UAK1"/>
      <c r="UAL1"/>
      <c r="UAM1"/>
      <c r="UAN1"/>
      <c r="UAO1"/>
      <c r="UAP1"/>
      <c r="UAQ1"/>
      <c r="UAR1"/>
      <c r="UAS1"/>
      <c r="UAT1"/>
      <c r="UAU1"/>
      <c r="UAV1"/>
      <c r="UAW1"/>
      <c r="UAX1"/>
      <c r="UAY1"/>
      <c r="UAZ1"/>
      <c r="UBA1"/>
      <c r="UBB1"/>
      <c r="UBC1"/>
      <c r="UBD1"/>
      <c r="UBE1"/>
      <c r="UBF1"/>
      <c r="UBG1"/>
      <c r="UBH1"/>
      <c r="UBI1"/>
      <c r="UBJ1"/>
      <c r="UBK1"/>
      <c r="UBL1"/>
      <c r="UBM1"/>
      <c r="UBN1"/>
      <c r="UBO1"/>
      <c r="UBP1"/>
      <c r="UBQ1"/>
      <c r="UBR1"/>
      <c r="UBS1"/>
      <c r="UBT1"/>
      <c r="UBU1"/>
      <c r="UBV1"/>
      <c r="UBW1"/>
      <c r="UBX1"/>
      <c r="UBY1"/>
      <c r="UBZ1"/>
      <c r="UCA1"/>
      <c r="UCB1"/>
      <c r="UCC1"/>
      <c r="UCD1"/>
      <c r="UCE1"/>
      <c r="UCF1"/>
      <c r="UCG1"/>
      <c r="UCH1"/>
      <c r="UCI1"/>
      <c r="UCJ1"/>
      <c r="UCK1"/>
      <c r="UCL1"/>
      <c r="UCM1"/>
      <c r="UCN1"/>
      <c r="UCO1"/>
      <c r="UCP1"/>
      <c r="UCQ1"/>
      <c r="UCR1"/>
      <c r="UCS1"/>
      <c r="UCT1"/>
      <c r="UCU1"/>
      <c r="UCV1"/>
      <c r="UCW1"/>
      <c r="UCX1"/>
      <c r="UCY1"/>
      <c r="UCZ1"/>
      <c r="UDA1"/>
      <c r="UDB1"/>
      <c r="UDC1"/>
      <c r="UDD1"/>
      <c r="UDE1"/>
      <c r="UDF1"/>
      <c r="UDG1"/>
      <c r="UDH1"/>
      <c r="UDI1"/>
      <c r="UDJ1"/>
      <c r="UDK1"/>
      <c r="UDL1"/>
      <c r="UDM1"/>
      <c r="UDN1"/>
      <c r="UDO1"/>
      <c r="UDP1"/>
      <c r="UDQ1"/>
      <c r="UDR1"/>
      <c r="UDS1"/>
      <c r="UDT1"/>
      <c r="UDU1"/>
      <c r="UDV1"/>
      <c r="UDW1"/>
      <c r="UDX1"/>
      <c r="UDY1"/>
      <c r="UDZ1"/>
      <c r="UEA1"/>
      <c r="UEB1"/>
      <c r="UEC1"/>
      <c r="UED1"/>
      <c r="UEE1"/>
      <c r="UEF1"/>
      <c r="UEG1"/>
      <c r="UEH1"/>
      <c r="UEI1"/>
      <c r="UEJ1"/>
      <c r="UEK1"/>
      <c r="UEL1"/>
      <c r="UEM1"/>
      <c r="UEN1"/>
      <c r="UEO1"/>
      <c r="UEP1"/>
      <c r="UEQ1"/>
      <c r="UER1"/>
      <c r="UES1"/>
      <c r="UET1"/>
      <c r="UEU1"/>
      <c r="UEV1"/>
      <c r="UEW1"/>
      <c r="UEX1"/>
      <c r="UEY1"/>
      <c r="UEZ1"/>
      <c r="UFA1"/>
      <c r="UFB1"/>
      <c r="UFC1"/>
      <c r="UFD1"/>
      <c r="UFE1"/>
      <c r="UFF1"/>
      <c r="UFG1"/>
      <c r="UFH1"/>
      <c r="UFI1"/>
      <c r="UFJ1"/>
      <c r="UFK1"/>
      <c r="UFL1"/>
      <c r="UFM1"/>
      <c r="UFN1"/>
      <c r="UFO1"/>
      <c r="UFP1"/>
      <c r="UFQ1"/>
      <c r="UFR1"/>
      <c r="UFS1"/>
      <c r="UFT1"/>
      <c r="UFU1"/>
      <c r="UFV1"/>
      <c r="UFW1"/>
      <c r="UFX1"/>
      <c r="UFY1"/>
      <c r="UFZ1"/>
      <c r="UGA1"/>
      <c r="UGB1"/>
      <c r="UGC1"/>
      <c r="UGD1"/>
      <c r="UGE1"/>
      <c r="UGF1"/>
      <c r="UGG1"/>
      <c r="UGH1"/>
      <c r="UGI1"/>
      <c r="UGJ1"/>
      <c r="UGK1"/>
      <c r="UGL1"/>
      <c r="UGM1"/>
      <c r="UGN1"/>
      <c r="UGO1"/>
      <c r="UGP1"/>
      <c r="UGQ1"/>
      <c r="UGR1"/>
      <c r="UGS1"/>
      <c r="UGT1"/>
      <c r="UGU1"/>
      <c r="UGV1"/>
      <c r="UGW1"/>
      <c r="UGX1"/>
      <c r="UGY1"/>
      <c r="UGZ1"/>
      <c r="UHA1"/>
      <c r="UHB1"/>
      <c r="UHC1"/>
      <c r="UHD1"/>
      <c r="UHE1"/>
      <c r="UHF1"/>
      <c r="UHG1"/>
      <c r="UHH1"/>
      <c r="UHI1"/>
      <c r="UHJ1"/>
      <c r="UHK1"/>
      <c r="UHL1"/>
      <c r="UHM1"/>
      <c r="UHN1"/>
      <c r="UHO1"/>
      <c r="UHP1"/>
      <c r="UHQ1"/>
      <c r="UHR1"/>
      <c r="UHS1"/>
      <c r="UHT1"/>
      <c r="UHU1"/>
      <c r="UHV1"/>
      <c r="UHW1"/>
      <c r="UHX1"/>
      <c r="UHY1"/>
      <c r="UHZ1"/>
      <c r="UIA1"/>
      <c r="UIB1"/>
      <c r="UIC1"/>
      <c r="UID1"/>
      <c r="UIE1"/>
      <c r="UIF1"/>
      <c r="UIG1"/>
      <c r="UIH1"/>
      <c r="UII1"/>
      <c r="UIJ1"/>
      <c r="UIK1"/>
      <c r="UIL1"/>
      <c r="UIM1"/>
      <c r="UIN1"/>
      <c r="UIO1"/>
      <c r="UIP1"/>
      <c r="UIQ1"/>
      <c r="UIR1"/>
      <c r="UIS1"/>
      <c r="UIT1"/>
      <c r="UIU1"/>
      <c r="UIV1"/>
      <c r="UIW1"/>
      <c r="UIX1"/>
      <c r="UIY1"/>
      <c r="UIZ1"/>
      <c r="UJA1"/>
      <c r="UJB1"/>
      <c r="UJC1"/>
      <c r="UJD1"/>
      <c r="UJE1"/>
      <c r="UJF1"/>
      <c r="UJG1"/>
      <c r="UJH1"/>
      <c r="UJI1"/>
      <c r="UJJ1"/>
      <c r="UJK1"/>
      <c r="UJL1"/>
      <c r="UJM1"/>
      <c r="UJN1"/>
      <c r="UJO1"/>
      <c r="UJP1"/>
      <c r="UJQ1"/>
      <c r="UJR1"/>
      <c r="UJS1"/>
      <c r="UJT1"/>
      <c r="UJU1"/>
      <c r="UJV1"/>
      <c r="UJW1"/>
      <c r="UJX1"/>
      <c r="UJY1"/>
      <c r="UJZ1"/>
      <c r="UKA1"/>
      <c r="UKB1"/>
      <c r="UKC1"/>
      <c r="UKD1"/>
      <c r="UKE1"/>
      <c r="UKF1"/>
      <c r="UKG1"/>
      <c r="UKH1"/>
      <c r="UKI1"/>
      <c r="UKJ1"/>
      <c r="UKK1"/>
      <c r="UKL1"/>
      <c r="UKM1"/>
      <c r="UKN1"/>
      <c r="UKO1"/>
      <c r="UKP1"/>
      <c r="UKQ1"/>
      <c r="UKR1"/>
      <c r="UKS1"/>
      <c r="UKT1"/>
      <c r="UKU1"/>
      <c r="UKV1"/>
      <c r="UKW1"/>
      <c r="UKX1"/>
      <c r="UKY1"/>
      <c r="UKZ1"/>
      <c r="ULA1"/>
      <c r="ULB1"/>
      <c r="ULC1"/>
      <c r="ULD1"/>
      <c r="ULE1"/>
      <c r="ULF1"/>
      <c r="ULG1"/>
      <c r="ULH1"/>
      <c r="ULI1"/>
      <c r="ULJ1"/>
      <c r="ULK1"/>
      <c r="ULL1"/>
      <c r="ULM1"/>
      <c r="ULN1"/>
      <c r="ULO1"/>
      <c r="ULP1"/>
      <c r="ULQ1"/>
      <c r="ULR1"/>
      <c r="ULS1"/>
      <c r="ULT1"/>
      <c r="ULU1"/>
      <c r="ULV1"/>
      <c r="ULW1"/>
      <c r="ULX1"/>
      <c r="ULY1"/>
      <c r="ULZ1"/>
      <c r="UMA1"/>
      <c r="UMB1"/>
      <c r="UMC1"/>
      <c r="UMD1"/>
      <c r="UME1"/>
      <c r="UMF1"/>
      <c r="UMG1"/>
      <c r="UMH1"/>
      <c r="UMI1"/>
      <c r="UMJ1"/>
      <c r="UMK1"/>
      <c r="UML1"/>
      <c r="UMM1"/>
      <c r="UMN1"/>
      <c r="UMO1"/>
      <c r="UMP1"/>
      <c r="UMQ1"/>
      <c r="UMR1"/>
      <c r="UMS1"/>
      <c r="UMT1"/>
      <c r="UMU1"/>
      <c r="UMV1"/>
      <c r="UMW1"/>
      <c r="UMX1"/>
      <c r="UMY1"/>
      <c r="UMZ1"/>
      <c r="UNA1"/>
      <c r="UNB1"/>
      <c r="UNC1"/>
      <c r="UND1"/>
      <c r="UNE1"/>
      <c r="UNF1"/>
      <c r="UNG1"/>
      <c r="UNH1"/>
      <c r="UNI1"/>
      <c r="UNJ1"/>
      <c r="UNK1"/>
      <c r="UNL1"/>
      <c r="UNM1"/>
      <c r="UNN1"/>
      <c r="UNO1"/>
      <c r="UNP1"/>
      <c r="UNQ1"/>
      <c r="UNR1"/>
      <c r="UNS1"/>
      <c r="UNT1"/>
      <c r="UNU1"/>
      <c r="UNV1"/>
      <c r="UNW1"/>
      <c r="UNX1"/>
      <c r="UNY1"/>
      <c r="UNZ1"/>
      <c r="UOA1"/>
      <c r="UOB1"/>
      <c r="UOC1"/>
      <c r="UOD1"/>
      <c r="UOE1"/>
      <c r="UOF1"/>
      <c r="UOG1"/>
      <c r="UOH1"/>
      <c r="UOI1"/>
      <c r="UOJ1"/>
      <c r="UOK1"/>
      <c r="UOL1"/>
      <c r="UOM1"/>
      <c r="UON1"/>
      <c r="UOO1"/>
      <c r="UOP1"/>
      <c r="UOQ1"/>
      <c r="UOR1"/>
      <c r="UOS1"/>
      <c r="UOT1"/>
      <c r="UOU1"/>
      <c r="UOV1"/>
      <c r="UOW1"/>
      <c r="UOX1"/>
      <c r="UOY1"/>
      <c r="UOZ1"/>
      <c r="UPA1"/>
      <c r="UPB1"/>
      <c r="UPC1"/>
      <c r="UPD1"/>
      <c r="UPE1"/>
      <c r="UPF1"/>
      <c r="UPG1"/>
      <c r="UPH1"/>
      <c r="UPI1"/>
      <c r="UPJ1"/>
      <c r="UPK1"/>
      <c r="UPL1"/>
      <c r="UPM1"/>
      <c r="UPN1"/>
      <c r="UPO1"/>
      <c r="UPP1"/>
      <c r="UPQ1"/>
      <c r="UPR1"/>
      <c r="UPS1"/>
      <c r="UPT1"/>
      <c r="UPU1"/>
      <c r="UPV1"/>
      <c r="UPW1"/>
      <c r="UPX1"/>
      <c r="UPY1"/>
      <c r="UPZ1"/>
      <c r="UQA1"/>
      <c r="UQB1"/>
      <c r="UQC1"/>
      <c r="UQD1"/>
      <c r="UQE1"/>
      <c r="UQF1"/>
      <c r="UQG1"/>
      <c r="UQH1"/>
      <c r="UQI1"/>
      <c r="UQJ1"/>
      <c r="UQK1"/>
      <c r="UQL1"/>
      <c r="UQM1"/>
      <c r="UQN1"/>
      <c r="UQO1"/>
      <c r="UQP1"/>
      <c r="UQQ1"/>
      <c r="UQR1"/>
      <c r="UQS1"/>
      <c r="UQT1"/>
      <c r="UQU1"/>
      <c r="UQV1"/>
      <c r="UQW1"/>
      <c r="UQX1"/>
      <c r="UQY1"/>
      <c r="UQZ1"/>
      <c r="URA1"/>
      <c r="URB1"/>
      <c r="URC1"/>
      <c r="URD1"/>
      <c r="URE1"/>
      <c r="URF1"/>
      <c r="URG1"/>
      <c r="URH1"/>
      <c r="URI1"/>
      <c r="URJ1"/>
      <c r="URK1"/>
      <c r="URL1"/>
      <c r="URM1"/>
      <c r="URN1"/>
      <c r="URO1"/>
      <c r="URP1"/>
      <c r="URQ1"/>
      <c r="URR1"/>
      <c r="URS1"/>
      <c r="URT1"/>
      <c r="URU1"/>
      <c r="URV1"/>
      <c r="URW1"/>
      <c r="URX1"/>
      <c r="URY1"/>
      <c r="URZ1"/>
      <c r="USA1"/>
      <c r="USB1"/>
      <c r="USC1"/>
      <c r="USD1"/>
      <c r="USE1"/>
      <c r="USF1"/>
      <c r="USG1"/>
      <c r="USH1"/>
      <c r="USI1"/>
      <c r="USJ1"/>
      <c r="USK1"/>
      <c r="USL1"/>
      <c r="USM1"/>
      <c r="USN1"/>
      <c r="USO1"/>
      <c r="USP1"/>
      <c r="USQ1"/>
      <c r="USR1"/>
      <c r="USS1"/>
      <c r="UST1"/>
      <c r="USU1"/>
      <c r="USV1"/>
      <c r="USW1"/>
      <c r="USX1"/>
      <c r="USY1"/>
      <c r="USZ1"/>
      <c r="UTA1"/>
      <c r="UTB1"/>
      <c r="UTC1"/>
      <c r="UTD1"/>
      <c r="UTE1"/>
      <c r="UTF1"/>
      <c r="UTG1"/>
      <c r="UTH1"/>
      <c r="UTI1"/>
      <c r="UTJ1"/>
      <c r="UTK1"/>
      <c r="UTL1"/>
      <c r="UTM1"/>
      <c r="UTN1"/>
      <c r="UTO1"/>
      <c r="UTP1"/>
      <c r="UTQ1"/>
      <c r="UTR1"/>
      <c r="UTS1"/>
      <c r="UTT1"/>
      <c r="UTU1"/>
      <c r="UTV1"/>
      <c r="UTW1"/>
      <c r="UTX1"/>
      <c r="UTY1"/>
      <c r="UTZ1"/>
      <c r="UUA1"/>
      <c r="UUB1"/>
      <c r="UUC1"/>
      <c r="UUD1"/>
      <c r="UUE1"/>
      <c r="UUF1"/>
      <c r="UUG1"/>
      <c r="UUH1"/>
      <c r="UUI1"/>
      <c r="UUJ1"/>
      <c r="UUK1"/>
      <c r="UUL1"/>
      <c r="UUM1"/>
      <c r="UUN1"/>
      <c r="UUO1"/>
      <c r="UUP1"/>
      <c r="UUQ1"/>
      <c r="UUR1"/>
      <c r="UUS1"/>
      <c r="UUT1"/>
      <c r="UUU1"/>
      <c r="UUV1"/>
      <c r="UUW1"/>
      <c r="UUX1"/>
      <c r="UUY1"/>
      <c r="UUZ1"/>
      <c r="UVA1"/>
      <c r="UVB1"/>
      <c r="UVC1"/>
      <c r="UVD1"/>
      <c r="UVE1"/>
      <c r="UVF1"/>
      <c r="UVG1"/>
      <c r="UVH1"/>
      <c r="UVI1"/>
      <c r="UVJ1"/>
      <c r="UVK1"/>
      <c r="UVL1"/>
      <c r="UVM1"/>
      <c r="UVN1"/>
      <c r="UVO1"/>
      <c r="UVP1"/>
      <c r="UVQ1"/>
      <c r="UVR1"/>
      <c r="UVS1"/>
      <c r="UVT1"/>
      <c r="UVU1"/>
      <c r="UVV1"/>
      <c r="UVW1"/>
      <c r="UVX1"/>
      <c r="UVY1"/>
      <c r="UVZ1"/>
      <c r="UWA1"/>
      <c r="UWB1"/>
      <c r="UWC1"/>
      <c r="UWD1"/>
      <c r="UWE1"/>
      <c r="UWF1"/>
      <c r="UWG1"/>
      <c r="UWH1"/>
      <c r="UWI1"/>
      <c r="UWJ1"/>
      <c r="UWK1"/>
      <c r="UWL1"/>
      <c r="UWM1"/>
      <c r="UWN1"/>
      <c r="UWO1"/>
      <c r="UWP1"/>
      <c r="UWQ1"/>
      <c r="UWR1"/>
      <c r="UWS1"/>
      <c r="UWT1"/>
      <c r="UWU1"/>
      <c r="UWV1"/>
      <c r="UWW1"/>
      <c r="UWX1"/>
      <c r="UWY1"/>
      <c r="UWZ1"/>
      <c r="UXA1"/>
      <c r="UXB1"/>
      <c r="UXC1"/>
      <c r="UXD1"/>
      <c r="UXE1"/>
      <c r="UXF1"/>
      <c r="UXG1"/>
      <c r="UXH1"/>
      <c r="UXI1"/>
      <c r="UXJ1"/>
      <c r="UXK1"/>
      <c r="UXL1"/>
      <c r="UXM1"/>
      <c r="UXN1"/>
      <c r="UXO1"/>
      <c r="UXP1"/>
      <c r="UXQ1"/>
      <c r="UXR1"/>
      <c r="UXS1"/>
      <c r="UXT1"/>
      <c r="UXU1"/>
      <c r="UXV1"/>
      <c r="UXW1"/>
      <c r="UXX1"/>
      <c r="UXY1"/>
      <c r="UXZ1"/>
      <c r="UYA1"/>
      <c r="UYB1"/>
      <c r="UYC1"/>
      <c r="UYD1"/>
      <c r="UYE1"/>
      <c r="UYF1"/>
      <c r="UYG1"/>
      <c r="UYH1"/>
      <c r="UYI1"/>
      <c r="UYJ1"/>
      <c r="UYK1"/>
      <c r="UYL1"/>
      <c r="UYM1"/>
      <c r="UYN1"/>
      <c r="UYO1"/>
      <c r="UYP1"/>
      <c r="UYQ1"/>
      <c r="UYR1"/>
      <c r="UYS1"/>
      <c r="UYT1"/>
      <c r="UYU1"/>
      <c r="UYV1"/>
      <c r="UYW1"/>
      <c r="UYX1"/>
      <c r="UYY1"/>
      <c r="UYZ1"/>
      <c r="UZA1"/>
      <c r="UZB1"/>
      <c r="UZC1"/>
      <c r="UZD1"/>
      <c r="UZE1"/>
      <c r="UZF1"/>
      <c r="UZG1"/>
      <c r="UZH1"/>
      <c r="UZI1"/>
      <c r="UZJ1"/>
      <c r="UZK1"/>
      <c r="UZL1"/>
      <c r="UZM1"/>
      <c r="UZN1"/>
      <c r="UZO1"/>
      <c r="UZP1"/>
      <c r="UZQ1"/>
      <c r="UZR1"/>
      <c r="UZS1"/>
      <c r="UZT1"/>
      <c r="UZU1"/>
      <c r="UZV1"/>
      <c r="UZW1"/>
      <c r="UZX1"/>
      <c r="UZY1"/>
      <c r="UZZ1"/>
      <c r="VAA1"/>
      <c r="VAB1"/>
      <c r="VAC1"/>
      <c r="VAD1"/>
      <c r="VAE1"/>
      <c r="VAF1"/>
      <c r="VAG1"/>
      <c r="VAH1"/>
      <c r="VAI1"/>
      <c r="VAJ1"/>
      <c r="VAK1"/>
      <c r="VAL1"/>
      <c r="VAM1"/>
      <c r="VAN1"/>
      <c r="VAO1"/>
      <c r="VAP1"/>
      <c r="VAQ1"/>
      <c r="VAR1"/>
      <c r="VAS1"/>
      <c r="VAT1"/>
      <c r="VAU1"/>
      <c r="VAV1"/>
      <c r="VAW1"/>
      <c r="VAX1"/>
      <c r="VAY1"/>
      <c r="VAZ1"/>
      <c r="VBA1"/>
      <c r="VBB1"/>
      <c r="VBC1"/>
      <c r="VBD1"/>
      <c r="VBE1"/>
      <c r="VBF1"/>
      <c r="VBG1"/>
      <c r="VBH1"/>
      <c r="VBI1"/>
      <c r="VBJ1"/>
      <c r="VBK1"/>
      <c r="VBL1"/>
      <c r="VBM1"/>
      <c r="VBN1"/>
      <c r="VBO1"/>
      <c r="VBP1"/>
      <c r="VBQ1"/>
      <c r="VBR1"/>
      <c r="VBS1"/>
      <c r="VBT1"/>
      <c r="VBU1"/>
      <c r="VBV1"/>
      <c r="VBW1"/>
      <c r="VBX1"/>
      <c r="VBY1"/>
      <c r="VBZ1"/>
      <c r="VCA1"/>
      <c r="VCB1"/>
      <c r="VCC1"/>
      <c r="VCD1"/>
      <c r="VCE1"/>
      <c r="VCF1"/>
      <c r="VCG1"/>
      <c r="VCH1"/>
      <c r="VCI1"/>
      <c r="VCJ1"/>
      <c r="VCK1"/>
      <c r="VCL1"/>
      <c r="VCM1"/>
      <c r="VCN1"/>
      <c r="VCO1"/>
      <c r="VCP1"/>
      <c r="VCQ1"/>
      <c r="VCR1"/>
      <c r="VCS1"/>
      <c r="VCT1"/>
      <c r="VCU1"/>
      <c r="VCV1"/>
      <c r="VCW1"/>
      <c r="VCX1"/>
      <c r="VCY1"/>
      <c r="VCZ1"/>
      <c r="VDA1"/>
      <c r="VDB1"/>
      <c r="VDC1"/>
      <c r="VDD1"/>
      <c r="VDE1"/>
      <c r="VDF1"/>
      <c r="VDG1"/>
      <c r="VDH1"/>
      <c r="VDI1"/>
      <c r="VDJ1"/>
      <c r="VDK1"/>
      <c r="VDL1"/>
      <c r="VDM1"/>
      <c r="VDN1"/>
      <c r="VDO1"/>
      <c r="VDP1"/>
      <c r="VDQ1"/>
      <c r="VDR1"/>
      <c r="VDS1"/>
      <c r="VDT1"/>
      <c r="VDU1"/>
      <c r="VDV1"/>
      <c r="VDW1"/>
      <c r="VDX1"/>
      <c r="VDY1"/>
      <c r="VDZ1"/>
      <c r="VEA1"/>
      <c r="VEB1"/>
      <c r="VEC1"/>
      <c r="VED1"/>
      <c r="VEE1"/>
      <c r="VEF1"/>
      <c r="VEG1"/>
      <c r="VEH1"/>
      <c r="VEI1"/>
      <c r="VEJ1"/>
      <c r="VEK1"/>
      <c r="VEL1"/>
      <c r="VEM1"/>
      <c r="VEN1"/>
      <c r="VEO1"/>
      <c r="VEP1"/>
      <c r="VEQ1"/>
      <c r="VER1"/>
      <c r="VES1"/>
      <c r="VET1"/>
      <c r="VEU1"/>
      <c r="VEV1"/>
      <c r="VEW1"/>
      <c r="VEX1"/>
      <c r="VEY1"/>
      <c r="VEZ1"/>
      <c r="VFA1"/>
      <c r="VFB1"/>
      <c r="VFC1"/>
      <c r="VFD1"/>
      <c r="VFE1"/>
      <c r="VFF1"/>
      <c r="VFG1"/>
      <c r="VFH1"/>
      <c r="VFI1"/>
      <c r="VFJ1"/>
      <c r="VFK1"/>
      <c r="VFL1"/>
      <c r="VFM1"/>
      <c r="VFN1"/>
      <c r="VFO1"/>
      <c r="VFP1"/>
      <c r="VFQ1"/>
      <c r="VFR1"/>
      <c r="VFS1"/>
      <c r="VFT1"/>
      <c r="VFU1"/>
      <c r="VFV1"/>
      <c r="VFW1"/>
      <c r="VFX1"/>
      <c r="VFY1"/>
      <c r="VFZ1"/>
      <c r="VGA1"/>
      <c r="VGB1"/>
      <c r="VGC1"/>
      <c r="VGD1"/>
      <c r="VGE1"/>
      <c r="VGF1"/>
      <c r="VGG1"/>
      <c r="VGH1"/>
      <c r="VGI1"/>
      <c r="VGJ1"/>
      <c r="VGK1"/>
      <c r="VGL1"/>
      <c r="VGM1"/>
      <c r="VGN1"/>
      <c r="VGO1"/>
      <c r="VGP1"/>
      <c r="VGQ1"/>
      <c r="VGR1"/>
      <c r="VGS1"/>
      <c r="VGT1"/>
      <c r="VGU1"/>
      <c r="VGV1"/>
      <c r="VGW1"/>
      <c r="VGX1"/>
      <c r="VGY1"/>
      <c r="VGZ1"/>
      <c r="VHA1"/>
      <c r="VHB1"/>
      <c r="VHC1"/>
      <c r="VHD1"/>
      <c r="VHE1"/>
      <c r="VHF1"/>
      <c r="VHG1"/>
      <c r="VHH1"/>
      <c r="VHI1"/>
      <c r="VHJ1"/>
      <c r="VHK1"/>
      <c r="VHL1"/>
      <c r="VHM1"/>
      <c r="VHN1"/>
      <c r="VHO1"/>
      <c r="VHP1"/>
      <c r="VHQ1"/>
      <c r="VHR1"/>
      <c r="VHS1"/>
      <c r="VHT1"/>
      <c r="VHU1"/>
      <c r="VHV1"/>
      <c r="VHW1"/>
      <c r="VHX1"/>
      <c r="VHY1"/>
      <c r="VHZ1"/>
      <c r="VIA1"/>
      <c r="VIB1"/>
      <c r="VIC1"/>
      <c r="VID1"/>
      <c r="VIE1"/>
      <c r="VIF1"/>
      <c r="VIG1"/>
      <c r="VIH1"/>
      <c r="VII1"/>
      <c r="VIJ1"/>
      <c r="VIK1"/>
      <c r="VIL1"/>
      <c r="VIM1"/>
      <c r="VIN1"/>
      <c r="VIO1"/>
      <c r="VIP1"/>
      <c r="VIQ1"/>
      <c r="VIR1"/>
      <c r="VIS1"/>
      <c r="VIT1"/>
      <c r="VIU1"/>
      <c r="VIV1"/>
      <c r="VIW1"/>
      <c r="VIX1"/>
      <c r="VIY1"/>
      <c r="VIZ1"/>
      <c r="VJA1"/>
      <c r="VJB1"/>
      <c r="VJC1"/>
      <c r="VJD1"/>
      <c r="VJE1"/>
      <c r="VJF1"/>
      <c r="VJG1"/>
      <c r="VJH1"/>
      <c r="VJI1"/>
      <c r="VJJ1"/>
      <c r="VJK1"/>
      <c r="VJL1"/>
      <c r="VJM1"/>
      <c r="VJN1"/>
      <c r="VJO1"/>
      <c r="VJP1"/>
      <c r="VJQ1"/>
      <c r="VJR1"/>
      <c r="VJS1"/>
      <c r="VJT1"/>
      <c r="VJU1"/>
      <c r="VJV1"/>
      <c r="VJW1"/>
      <c r="VJX1"/>
      <c r="VJY1"/>
      <c r="VJZ1"/>
      <c r="VKA1"/>
      <c r="VKB1"/>
      <c r="VKC1"/>
      <c r="VKD1"/>
      <c r="VKE1"/>
      <c r="VKF1"/>
      <c r="VKG1"/>
      <c r="VKH1"/>
      <c r="VKI1"/>
      <c r="VKJ1"/>
      <c r="VKK1"/>
      <c r="VKL1"/>
      <c r="VKM1"/>
      <c r="VKN1"/>
      <c r="VKO1"/>
      <c r="VKP1"/>
      <c r="VKQ1"/>
      <c r="VKR1"/>
      <c r="VKS1"/>
      <c r="VKT1"/>
      <c r="VKU1"/>
      <c r="VKV1"/>
      <c r="VKW1"/>
      <c r="VKX1"/>
      <c r="VKY1"/>
      <c r="VKZ1"/>
      <c r="VLA1"/>
      <c r="VLB1"/>
      <c r="VLC1"/>
      <c r="VLD1"/>
      <c r="VLE1"/>
      <c r="VLF1"/>
      <c r="VLG1"/>
      <c r="VLH1"/>
      <c r="VLI1"/>
      <c r="VLJ1"/>
      <c r="VLK1"/>
      <c r="VLL1"/>
      <c r="VLM1"/>
      <c r="VLN1"/>
      <c r="VLO1"/>
      <c r="VLP1"/>
      <c r="VLQ1"/>
      <c r="VLR1"/>
      <c r="VLS1"/>
      <c r="VLT1"/>
      <c r="VLU1"/>
      <c r="VLV1"/>
      <c r="VLW1"/>
      <c r="VLX1"/>
      <c r="VLY1"/>
      <c r="VLZ1"/>
      <c r="VMA1"/>
      <c r="VMB1"/>
      <c r="VMC1"/>
      <c r="VMD1"/>
      <c r="VME1"/>
      <c r="VMF1"/>
      <c r="VMG1"/>
      <c r="VMH1"/>
      <c r="VMI1"/>
      <c r="VMJ1"/>
      <c r="VMK1"/>
      <c r="VML1"/>
      <c r="VMM1"/>
      <c r="VMN1"/>
      <c r="VMO1"/>
      <c r="VMP1"/>
      <c r="VMQ1"/>
      <c r="VMR1"/>
      <c r="VMS1"/>
      <c r="VMT1"/>
      <c r="VMU1"/>
      <c r="VMV1"/>
      <c r="VMW1"/>
      <c r="VMX1"/>
      <c r="VMY1"/>
      <c r="VMZ1"/>
      <c r="VNA1"/>
      <c r="VNB1"/>
      <c r="VNC1"/>
      <c r="VND1"/>
      <c r="VNE1"/>
      <c r="VNF1"/>
      <c r="VNG1"/>
      <c r="VNH1"/>
      <c r="VNI1"/>
      <c r="VNJ1"/>
      <c r="VNK1"/>
      <c r="VNL1"/>
      <c r="VNM1"/>
      <c r="VNN1"/>
      <c r="VNO1"/>
      <c r="VNP1"/>
      <c r="VNQ1"/>
      <c r="VNR1"/>
      <c r="VNS1"/>
      <c r="VNT1"/>
      <c r="VNU1"/>
      <c r="VNV1"/>
      <c r="VNW1"/>
      <c r="VNX1"/>
      <c r="VNY1"/>
      <c r="VNZ1"/>
      <c r="VOA1"/>
      <c r="VOB1"/>
      <c r="VOC1"/>
      <c r="VOD1"/>
      <c r="VOE1"/>
      <c r="VOF1"/>
      <c r="VOG1"/>
      <c r="VOH1"/>
      <c r="VOI1"/>
      <c r="VOJ1"/>
      <c r="VOK1"/>
      <c r="VOL1"/>
      <c r="VOM1"/>
      <c r="VON1"/>
      <c r="VOO1"/>
      <c r="VOP1"/>
      <c r="VOQ1"/>
      <c r="VOR1"/>
      <c r="VOS1"/>
      <c r="VOT1"/>
      <c r="VOU1"/>
      <c r="VOV1"/>
      <c r="VOW1"/>
      <c r="VOX1"/>
      <c r="VOY1"/>
      <c r="VOZ1"/>
      <c r="VPA1"/>
      <c r="VPB1"/>
      <c r="VPC1"/>
      <c r="VPD1"/>
      <c r="VPE1"/>
      <c r="VPF1"/>
      <c r="VPG1"/>
      <c r="VPH1"/>
      <c r="VPI1"/>
      <c r="VPJ1"/>
      <c r="VPK1"/>
      <c r="VPL1"/>
      <c r="VPM1"/>
      <c r="VPN1"/>
      <c r="VPO1"/>
      <c r="VPP1"/>
      <c r="VPQ1"/>
      <c r="VPR1"/>
      <c r="VPS1"/>
      <c r="VPT1"/>
      <c r="VPU1"/>
      <c r="VPV1"/>
      <c r="VPW1"/>
      <c r="VPX1"/>
      <c r="VPY1"/>
      <c r="VPZ1"/>
      <c r="VQA1"/>
      <c r="VQB1"/>
      <c r="VQC1"/>
      <c r="VQD1"/>
      <c r="VQE1"/>
      <c r="VQF1"/>
      <c r="VQG1"/>
      <c r="VQH1"/>
      <c r="VQI1"/>
      <c r="VQJ1"/>
      <c r="VQK1"/>
      <c r="VQL1"/>
      <c r="VQM1"/>
      <c r="VQN1"/>
      <c r="VQO1"/>
      <c r="VQP1"/>
      <c r="VQQ1"/>
      <c r="VQR1"/>
      <c r="VQS1"/>
      <c r="VQT1"/>
      <c r="VQU1"/>
      <c r="VQV1"/>
      <c r="VQW1"/>
      <c r="VQX1"/>
      <c r="VQY1"/>
      <c r="VQZ1"/>
      <c r="VRA1"/>
      <c r="VRB1"/>
      <c r="VRC1"/>
      <c r="VRD1"/>
      <c r="VRE1"/>
      <c r="VRF1"/>
      <c r="VRG1"/>
      <c r="VRH1"/>
      <c r="VRI1"/>
      <c r="VRJ1"/>
      <c r="VRK1"/>
      <c r="VRL1"/>
      <c r="VRM1"/>
      <c r="VRN1"/>
      <c r="VRO1"/>
      <c r="VRP1"/>
      <c r="VRQ1"/>
      <c r="VRR1"/>
      <c r="VRS1"/>
      <c r="VRT1"/>
      <c r="VRU1"/>
      <c r="VRV1"/>
      <c r="VRW1"/>
      <c r="VRX1"/>
      <c r="VRY1"/>
      <c r="VRZ1"/>
      <c r="VSA1"/>
      <c r="VSB1"/>
      <c r="VSC1"/>
      <c r="VSD1"/>
      <c r="VSE1"/>
      <c r="VSF1"/>
      <c r="VSG1"/>
      <c r="VSH1"/>
      <c r="VSI1"/>
      <c r="VSJ1"/>
      <c r="VSK1"/>
      <c r="VSL1"/>
      <c r="VSM1"/>
      <c r="VSN1"/>
      <c r="VSO1"/>
      <c r="VSP1"/>
      <c r="VSQ1"/>
      <c r="VSR1"/>
      <c r="VSS1"/>
      <c r="VST1"/>
      <c r="VSU1"/>
      <c r="VSV1"/>
      <c r="VSW1"/>
      <c r="VSX1"/>
      <c r="VSY1"/>
      <c r="VSZ1"/>
      <c r="VTA1"/>
      <c r="VTB1"/>
      <c r="VTC1"/>
      <c r="VTD1"/>
      <c r="VTE1"/>
      <c r="VTF1"/>
      <c r="VTG1"/>
      <c r="VTH1"/>
      <c r="VTI1"/>
      <c r="VTJ1"/>
      <c r="VTK1"/>
      <c r="VTL1"/>
      <c r="VTM1"/>
      <c r="VTN1"/>
      <c r="VTO1"/>
      <c r="VTP1"/>
      <c r="VTQ1"/>
      <c r="VTR1"/>
      <c r="VTS1"/>
      <c r="VTT1"/>
      <c r="VTU1"/>
      <c r="VTV1"/>
      <c r="VTW1"/>
      <c r="VTX1"/>
      <c r="VTY1"/>
      <c r="VTZ1"/>
      <c r="VUA1"/>
      <c r="VUB1"/>
      <c r="VUC1"/>
      <c r="VUD1"/>
      <c r="VUE1"/>
      <c r="VUF1"/>
      <c r="VUG1"/>
      <c r="VUH1"/>
      <c r="VUI1"/>
      <c r="VUJ1"/>
      <c r="VUK1"/>
      <c r="VUL1"/>
      <c r="VUM1"/>
      <c r="VUN1"/>
      <c r="VUO1"/>
      <c r="VUP1"/>
      <c r="VUQ1"/>
      <c r="VUR1"/>
      <c r="VUS1"/>
      <c r="VUT1"/>
      <c r="VUU1"/>
      <c r="VUV1"/>
      <c r="VUW1"/>
      <c r="VUX1"/>
      <c r="VUY1"/>
      <c r="VUZ1"/>
      <c r="VVA1"/>
      <c r="VVB1"/>
      <c r="VVC1"/>
      <c r="VVD1"/>
      <c r="VVE1"/>
      <c r="VVF1"/>
      <c r="VVG1"/>
      <c r="VVH1"/>
      <c r="VVI1"/>
      <c r="VVJ1"/>
      <c r="VVK1"/>
      <c r="VVL1"/>
      <c r="VVM1"/>
      <c r="VVN1"/>
      <c r="VVO1"/>
      <c r="VVP1"/>
      <c r="VVQ1"/>
      <c r="VVR1"/>
      <c r="VVS1"/>
      <c r="VVT1"/>
      <c r="VVU1"/>
      <c r="VVV1"/>
      <c r="VVW1"/>
      <c r="VVX1"/>
      <c r="VVY1"/>
      <c r="VVZ1"/>
      <c r="VWA1"/>
      <c r="VWB1"/>
      <c r="VWC1"/>
      <c r="VWD1"/>
      <c r="VWE1"/>
      <c r="VWF1"/>
      <c r="VWG1"/>
      <c r="VWH1"/>
      <c r="VWI1"/>
      <c r="VWJ1"/>
      <c r="VWK1"/>
      <c r="VWL1"/>
      <c r="VWM1"/>
      <c r="VWN1"/>
      <c r="VWO1"/>
      <c r="VWP1"/>
      <c r="VWQ1"/>
      <c r="VWR1"/>
      <c r="VWS1"/>
      <c r="VWT1"/>
      <c r="VWU1"/>
      <c r="VWV1"/>
      <c r="VWW1"/>
      <c r="VWX1"/>
      <c r="VWY1"/>
      <c r="VWZ1"/>
      <c r="VXA1"/>
      <c r="VXB1"/>
      <c r="VXC1"/>
      <c r="VXD1"/>
      <c r="VXE1"/>
      <c r="VXF1"/>
      <c r="VXG1"/>
      <c r="VXH1"/>
      <c r="VXI1"/>
      <c r="VXJ1"/>
      <c r="VXK1"/>
      <c r="VXL1"/>
      <c r="VXM1"/>
      <c r="VXN1"/>
      <c r="VXO1"/>
      <c r="VXP1"/>
      <c r="VXQ1"/>
      <c r="VXR1"/>
      <c r="VXS1"/>
      <c r="VXT1"/>
      <c r="VXU1"/>
      <c r="VXV1"/>
      <c r="VXW1"/>
      <c r="VXX1"/>
      <c r="VXY1"/>
      <c r="VXZ1"/>
      <c r="VYA1"/>
      <c r="VYB1"/>
      <c r="VYC1"/>
      <c r="VYD1"/>
      <c r="VYE1"/>
      <c r="VYF1"/>
      <c r="VYG1"/>
      <c r="VYH1"/>
      <c r="VYI1"/>
      <c r="VYJ1"/>
      <c r="VYK1"/>
      <c r="VYL1"/>
      <c r="VYM1"/>
      <c r="VYN1"/>
      <c r="VYO1"/>
      <c r="VYP1"/>
      <c r="VYQ1"/>
      <c r="VYR1"/>
      <c r="VYS1"/>
      <c r="VYT1"/>
      <c r="VYU1"/>
      <c r="VYV1"/>
      <c r="VYW1"/>
      <c r="VYX1"/>
      <c r="VYY1"/>
      <c r="VYZ1"/>
      <c r="VZA1"/>
      <c r="VZB1"/>
      <c r="VZC1"/>
      <c r="VZD1"/>
      <c r="VZE1"/>
      <c r="VZF1"/>
      <c r="VZG1"/>
      <c r="VZH1"/>
      <c r="VZI1"/>
      <c r="VZJ1"/>
      <c r="VZK1"/>
      <c r="VZL1"/>
      <c r="VZM1"/>
      <c r="VZN1"/>
      <c r="VZO1"/>
      <c r="VZP1"/>
      <c r="VZQ1"/>
      <c r="VZR1"/>
      <c r="VZS1"/>
      <c r="VZT1"/>
      <c r="VZU1"/>
      <c r="VZV1"/>
      <c r="VZW1"/>
      <c r="VZX1"/>
      <c r="VZY1"/>
      <c r="VZZ1"/>
      <c r="WAA1"/>
      <c r="WAB1"/>
      <c r="WAC1"/>
      <c r="WAD1"/>
      <c r="WAE1"/>
      <c r="WAF1"/>
      <c r="WAG1"/>
      <c r="WAH1"/>
      <c r="WAI1"/>
      <c r="WAJ1"/>
      <c r="WAK1"/>
      <c r="WAL1"/>
      <c r="WAM1"/>
      <c r="WAN1"/>
      <c r="WAO1"/>
      <c r="WAP1"/>
      <c r="WAQ1"/>
      <c r="WAR1"/>
      <c r="WAS1"/>
      <c r="WAT1"/>
      <c r="WAU1"/>
      <c r="WAV1"/>
      <c r="WAW1"/>
      <c r="WAX1"/>
      <c r="WAY1"/>
      <c r="WAZ1"/>
      <c r="WBA1"/>
      <c r="WBB1"/>
      <c r="WBC1"/>
      <c r="WBD1"/>
      <c r="WBE1"/>
      <c r="WBF1"/>
      <c r="WBG1"/>
      <c r="WBH1"/>
      <c r="WBI1"/>
      <c r="WBJ1"/>
      <c r="WBK1"/>
      <c r="WBL1"/>
      <c r="WBM1"/>
      <c r="WBN1"/>
      <c r="WBO1"/>
      <c r="WBP1"/>
      <c r="WBQ1"/>
      <c r="WBR1"/>
      <c r="WBS1"/>
      <c r="WBT1"/>
      <c r="WBU1"/>
      <c r="WBV1"/>
      <c r="WBW1"/>
      <c r="WBX1"/>
      <c r="WBY1"/>
      <c r="WBZ1"/>
      <c r="WCA1"/>
      <c r="WCB1"/>
      <c r="WCC1"/>
      <c r="WCD1"/>
      <c r="WCE1"/>
      <c r="WCF1"/>
      <c r="WCG1"/>
      <c r="WCH1"/>
      <c r="WCI1"/>
      <c r="WCJ1"/>
      <c r="WCK1"/>
      <c r="WCL1"/>
      <c r="WCM1"/>
      <c r="WCN1"/>
      <c r="WCO1"/>
      <c r="WCP1"/>
      <c r="WCQ1"/>
      <c r="WCR1"/>
      <c r="WCS1"/>
      <c r="WCT1"/>
      <c r="WCU1"/>
      <c r="WCV1"/>
      <c r="WCW1"/>
      <c r="WCX1"/>
      <c r="WCY1"/>
      <c r="WCZ1"/>
      <c r="WDA1"/>
      <c r="WDB1"/>
      <c r="WDC1"/>
      <c r="WDD1"/>
      <c r="WDE1"/>
      <c r="WDF1"/>
      <c r="WDG1"/>
      <c r="WDH1"/>
      <c r="WDI1"/>
      <c r="WDJ1"/>
      <c r="WDK1"/>
      <c r="WDL1"/>
      <c r="WDM1"/>
      <c r="WDN1"/>
      <c r="WDO1"/>
      <c r="WDP1"/>
      <c r="WDQ1"/>
      <c r="WDR1"/>
      <c r="WDS1"/>
      <c r="WDT1"/>
      <c r="WDU1"/>
      <c r="WDV1"/>
      <c r="WDW1"/>
      <c r="WDX1"/>
      <c r="WDY1"/>
      <c r="WDZ1"/>
      <c r="WEA1"/>
      <c r="WEB1"/>
      <c r="WEC1"/>
      <c r="WED1"/>
      <c r="WEE1"/>
      <c r="WEF1"/>
      <c r="WEG1"/>
      <c r="WEH1"/>
      <c r="WEI1"/>
      <c r="WEJ1"/>
      <c r="WEK1"/>
      <c r="WEL1"/>
      <c r="WEM1"/>
      <c r="WEN1"/>
      <c r="WEO1"/>
      <c r="WEP1"/>
      <c r="WEQ1"/>
      <c r="WER1"/>
      <c r="WES1"/>
      <c r="WET1"/>
      <c r="WEU1"/>
      <c r="WEV1"/>
      <c r="WEW1"/>
      <c r="WEX1"/>
      <c r="WEY1"/>
      <c r="WEZ1"/>
      <c r="WFA1"/>
      <c r="WFB1"/>
      <c r="WFC1"/>
      <c r="WFD1"/>
      <c r="WFE1"/>
      <c r="WFF1"/>
      <c r="WFG1"/>
      <c r="WFH1"/>
      <c r="WFI1"/>
      <c r="WFJ1"/>
      <c r="WFK1"/>
      <c r="WFL1"/>
      <c r="WFM1"/>
      <c r="WFN1"/>
      <c r="WFO1"/>
      <c r="WFP1"/>
      <c r="WFQ1"/>
      <c r="WFR1"/>
      <c r="WFS1"/>
      <c r="WFT1"/>
      <c r="WFU1"/>
      <c r="WFV1"/>
      <c r="WFW1"/>
      <c r="WFX1"/>
      <c r="WFY1"/>
      <c r="WFZ1"/>
      <c r="WGA1"/>
      <c r="WGB1"/>
      <c r="WGC1"/>
      <c r="WGD1"/>
      <c r="WGE1"/>
      <c r="WGF1"/>
      <c r="WGG1"/>
      <c r="WGH1"/>
      <c r="WGI1"/>
      <c r="WGJ1"/>
      <c r="WGK1"/>
      <c r="WGL1"/>
      <c r="WGM1"/>
      <c r="WGN1"/>
      <c r="WGO1"/>
      <c r="WGP1"/>
      <c r="WGQ1"/>
      <c r="WGR1"/>
      <c r="WGS1"/>
      <c r="WGT1"/>
      <c r="WGU1"/>
      <c r="WGV1"/>
      <c r="WGW1"/>
      <c r="WGX1"/>
      <c r="WGY1"/>
      <c r="WGZ1"/>
      <c r="WHA1"/>
      <c r="WHB1"/>
      <c r="WHC1"/>
      <c r="WHD1"/>
      <c r="WHE1"/>
      <c r="WHF1"/>
      <c r="WHG1"/>
      <c r="WHH1"/>
      <c r="WHI1"/>
      <c r="WHJ1"/>
      <c r="WHK1"/>
      <c r="WHL1"/>
      <c r="WHM1"/>
      <c r="WHN1"/>
      <c r="WHO1"/>
      <c r="WHP1"/>
      <c r="WHQ1"/>
      <c r="WHR1"/>
      <c r="WHS1"/>
      <c r="WHT1"/>
      <c r="WHU1"/>
      <c r="WHV1"/>
      <c r="WHW1"/>
      <c r="WHX1"/>
      <c r="WHY1"/>
      <c r="WHZ1"/>
      <c r="WIA1"/>
      <c r="WIB1"/>
      <c r="WIC1"/>
      <c r="WID1"/>
      <c r="WIE1"/>
      <c r="WIF1"/>
      <c r="WIG1"/>
      <c r="WIH1"/>
      <c r="WII1"/>
      <c r="WIJ1"/>
      <c r="WIK1"/>
      <c r="WIL1"/>
      <c r="WIM1"/>
      <c r="WIN1"/>
      <c r="WIO1"/>
      <c r="WIP1"/>
      <c r="WIQ1"/>
      <c r="WIR1"/>
      <c r="WIS1"/>
      <c r="WIT1"/>
      <c r="WIU1"/>
      <c r="WIV1"/>
      <c r="WIW1"/>
      <c r="WIX1"/>
      <c r="WIY1"/>
      <c r="WIZ1"/>
      <c r="WJA1"/>
      <c r="WJB1"/>
      <c r="WJC1"/>
      <c r="WJD1"/>
      <c r="WJE1"/>
      <c r="WJF1"/>
      <c r="WJG1"/>
      <c r="WJH1"/>
      <c r="WJI1"/>
      <c r="WJJ1"/>
      <c r="WJK1"/>
      <c r="WJL1"/>
      <c r="WJM1"/>
      <c r="WJN1"/>
      <c r="WJO1"/>
      <c r="WJP1"/>
      <c r="WJQ1"/>
      <c r="WJR1"/>
      <c r="WJS1"/>
      <c r="WJT1"/>
      <c r="WJU1"/>
      <c r="WJV1"/>
      <c r="WJW1"/>
      <c r="WJX1"/>
      <c r="WJY1"/>
      <c r="WJZ1"/>
      <c r="WKA1"/>
      <c r="WKB1"/>
      <c r="WKC1"/>
      <c r="WKD1"/>
      <c r="WKE1"/>
      <c r="WKF1"/>
      <c r="WKG1"/>
      <c r="WKH1"/>
      <c r="WKI1"/>
      <c r="WKJ1"/>
      <c r="WKK1"/>
      <c r="WKL1"/>
      <c r="WKM1"/>
      <c r="WKN1"/>
      <c r="WKO1"/>
      <c r="WKP1"/>
      <c r="WKQ1"/>
      <c r="WKR1"/>
      <c r="WKS1"/>
      <c r="WKT1"/>
      <c r="WKU1"/>
      <c r="WKV1"/>
      <c r="WKW1"/>
      <c r="WKX1"/>
      <c r="WKY1"/>
      <c r="WKZ1"/>
      <c r="WLA1"/>
      <c r="WLB1"/>
      <c r="WLC1"/>
      <c r="WLD1"/>
      <c r="WLE1"/>
      <c r="WLF1"/>
      <c r="WLG1"/>
      <c r="WLH1"/>
      <c r="WLI1"/>
      <c r="WLJ1"/>
      <c r="WLK1"/>
      <c r="WLL1"/>
      <c r="WLM1"/>
      <c r="WLN1"/>
      <c r="WLO1"/>
      <c r="WLP1"/>
      <c r="WLQ1"/>
      <c r="WLR1"/>
      <c r="WLS1"/>
      <c r="WLT1"/>
      <c r="WLU1"/>
      <c r="WLV1"/>
      <c r="WLW1"/>
      <c r="WLX1"/>
      <c r="WLY1"/>
      <c r="WLZ1"/>
      <c r="WMA1"/>
      <c r="WMB1"/>
      <c r="WMC1"/>
      <c r="WMD1"/>
      <c r="WME1"/>
      <c r="WMF1"/>
      <c r="WMG1"/>
      <c r="WMH1"/>
      <c r="WMI1"/>
      <c r="WMJ1"/>
      <c r="WMK1"/>
      <c r="WML1"/>
      <c r="WMM1"/>
      <c r="WMN1"/>
      <c r="WMO1"/>
      <c r="WMP1"/>
      <c r="WMQ1"/>
      <c r="WMR1"/>
      <c r="WMS1"/>
      <c r="WMT1"/>
      <c r="WMU1"/>
      <c r="WMV1"/>
      <c r="WMW1"/>
      <c r="WMX1"/>
      <c r="WMY1"/>
      <c r="WMZ1"/>
      <c r="WNA1"/>
      <c r="WNB1"/>
      <c r="WNC1"/>
      <c r="WND1"/>
      <c r="WNE1"/>
      <c r="WNF1"/>
      <c r="WNG1"/>
      <c r="WNH1"/>
      <c r="WNI1"/>
      <c r="WNJ1"/>
      <c r="WNK1"/>
      <c r="WNL1"/>
      <c r="WNM1"/>
      <c r="WNN1"/>
      <c r="WNO1"/>
      <c r="WNP1"/>
      <c r="WNQ1"/>
      <c r="WNR1"/>
      <c r="WNS1"/>
      <c r="WNT1"/>
      <c r="WNU1"/>
      <c r="WNV1"/>
      <c r="WNW1"/>
      <c r="WNX1"/>
      <c r="WNY1"/>
      <c r="WNZ1"/>
      <c r="WOA1"/>
      <c r="WOB1"/>
      <c r="WOC1"/>
      <c r="WOD1"/>
      <c r="WOE1"/>
      <c r="WOF1"/>
      <c r="WOG1"/>
      <c r="WOH1"/>
      <c r="WOI1"/>
      <c r="WOJ1"/>
      <c r="WOK1"/>
      <c r="WOL1"/>
      <c r="WOM1"/>
      <c r="WON1"/>
      <c r="WOO1"/>
      <c r="WOP1"/>
      <c r="WOQ1"/>
      <c r="WOR1"/>
      <c r="WOS1"/>
      <c r="WOT1"/>
      <c r="WOU1"/>
      <c r="WOV1"/>
      <c r="WOW1"/>
      <c r="WOX1"/>
      <c r="WOY1"/>
      <c r="WOZ1"/>
      <c r="WPA1"/>
      <c r="WPB1"/>
      <c r="WPC1"/>
      <c r="WPD1"/>
      <c r="WPE1"/>
      <c r="WPF1"/>
      <c r="WPG1"/>
      <c r="WPH1"/>
      <c r="WPI1"/>
      <c r="WPJ1"/>
      <c r="WPK1"/>
      <c r="WPL1"/>
      <c r="WPM1"/>
      <c r="WPN1"/>
      <c r="WPO1"/>
      <c r="WPP1"/>
      <c r="WPQ1"/>
      <c r="WPR1"/>
      <c r="WPS1"/>
      <c r="WPT1"/>
      <c r="WPU1"/>
      <c r="WPV1"/>
      <c r="WPW1"/>
      <c r="WPX1"/>
      <c r="WPY1"/>
      <c r="WPZ1"/>
      <c r="WQA1"/>
      <c r="WQB1"/>
      <c r="WQC1"/>
      <c r="WQD1"/>
      <c r="WQE1"/>
      <c r="WQF1"/>
      <c r="WQG1"/>
      <c r="WQH1"/>
      <c r="WQI1"/>
      <c r="WQJ1"/>
      <c r="WQK1"/>
      <c r="WQL1"/>
      <c r="WQM1"/>
      <c r="WQN1"/>
      <c r="WQO1"/>
      <c r="WQP1"/>
      <c r="WQQ1"/>
      <c r="WQR1"/>
      <c r="WQS1"/>
      <c r="WQT1"/>
      <c r="WQU1"/>
      <c r="WQV1"/>
      <c r="WQW1"/>
      <c r="WQX1"/>
      <c r="WQY1"/>
      <c r="WQZ1"/>
      <c r="WRA1"/>
      <c r="WRB1"/>
      <c r="WRC1"/>
      <c r="WRD1"/>
      <c r="WRE1"/>
      <c r="WRF1"/>
      <c r="WRG1"/>
      <c r="WRH1"/>
      <c r="WRI1"/>
      <c r="WRJ1"/>
      <c r="WRK1"/>
      <c r="WRL1"/>
      <c r="WRM1"/>
      <c r="WRN1"/>
      <c r="WRO1"/>
      <c r="WRP1"/>
      <c r="WRQ1"/>
      <c r="WRR1"/>
      <c r="WRS1"/>
      <c r="WRT1"/>
      <c r="WRU1"/>
      <c r="WRV1"/>
      <c r="WRW1"/>
      <c r="WRX1"/>
      <c r="WRY1"/>
      <c r="WRZ1"/>
      <c r="WSA1"/>
      <c r="WSB1"/>
      <c r="WSC1"/>
      <c r="WSD1"/>
      <c r="WSE1"/>
      <c r="WSF1"/>
      <c r="WSG1"/>
      <c r="WSH1"/>
      <c r="WSI1"/>
      <c r="WSJ1"/>
      <c r="WSK1"/>
      <c r="WSL1"/>
      <c r="WSM1"/>
      <c r="WSN1"/>
      <c r="WSO1"/>
      <c r="WSP1"/>
      <c r="WSQ1"/>
      <c r="WSR1"/>
      <c r="WSS1"/>
      <c r="WST1"/>
      <c r="WSU1"/>
      <c r="WSV1"/>
      <c r="WSW1"/>
      <c r="WSX1"/>
      <c r="WSY1"/>
      <c r="WSZ1"/>
      <c r="WTA1"/>
      <c r="WTB1"/>
      <c r="WTC1"/>
      <c r="WTD1"/>
      <c r="WTE1"/>
      <c r="WTF1"/>
      <c r="WTG1"/>
      <c r="WTH1"/>
      <c r="WTI1"/>
      <c r="WTJ1"/>
      <c r="WTK1"/>
      <c r="WTL1"/>
      <c r="WTM1"/>
      <c r="WTN1"/>
      <c r="WTO1"/>
      <c r="WTP1"/>
      <c r="WTQ1"/>
      <c r="WTR1"/>
      <c r="WTS1"/>
      <c r="WTT1"/>
      <c r="WTU1"/>
      <c r="WTV1"/>
      <c r="WTW1"/>
      <c r="WTX1"/>
      <c r="WTY1"/>
      <c r="WTZ1"/>
      <c r="WUA1"/>
      <c r="WUB1"/>
      <c r="WUC1"/>
      <c r="WUD1"/>
      <c r="WUE1"/>
      <c r="WUF1"/>
      <c r="WUG1"/>
      <c r="WUH1"/>
      <c r="WUI1"/>
      <c r="WUJ1"/>
      <c r="WUK1"/>
      <c r="WUL1"/>
      <c r="WUM1"/>
      <c r="WUN1"/>
      <c r="WUO1"/>
      <c r="WUP1"/>
      <c r="WUQ1"/>
      <c r="WUR1"/>
      <c r="WUS1"/>
      <c r="WUT1"/>
      <c r="WUU1"/>
      <c r="WUV1"/>
      <c r="WUW1"/>
      <c r="WUX1"/>
      <c r="WUY1"/>
      <c r="WUZ1"/>
      <c r="WVA1"/>
      <c r="WVB1"/>
      <c r="WVC1"/>
      <c r="WVD1"/>
      <c r="WVE1"/>
      <c r="WVF1"/>
      <c r="WVG1"/>
      <c r="WVH1"/>
      <c r="WVI1"/>
      <c r="WVJ1"/>
      <c r="WVK1"/>
      <c r="WVL1"/>
      <c r="WVM1"/>
      <c r="WVN1"/>
      <c r="WVO1"/>
      <c r="WVP1"/>
      <c r="WVQ1"/>
      <c r="WVR1"/>
      <c r="WVS1"/>
      <c r="WVT1"/>
      <c r="WVU1"/>
      <c r="WVV1"/>
      <c r="WVW1"/>
      <c r="WVX1"/>
      <c r="WVY1"/>
      <c r="WVZ1"/>
      <c r="WWA1"/>
      <c r="WWB1"/>
      <c r="WWC1"/>
      <c r="WWD1"/>
      <c r="WWE1"/>
      <c r="WWF1"/>
      <c r="WWG1"/>
      <c r="WWH1"/>
      <c r="WWI1"/>
      <c r="WWJ1"/>
      <c r="WWK1"/>
      <c r="WWL1"/>
      <c r="WWM1"/>
      <c r="WWN1"/>
      <c r="WWO1"/>
      <c r="WWP1"/>
      <c r="WWQ1"/>
      <c r="WWR1"/>
      <c r="WWS1"/>
      <c r="WWT1"/>
      <c r="WWU1"/>
      <c r="WWV1"/>
      <c r="WWW1"/>
      <c r="WWX1"/>
      <c r="WWY1"/>
      <c r="WWZ1"/>
      <c r="WXA1"/>
      <c r="WXB1"/>
      <c r="WXC1"/>
      <c r="WXD1"/>
      <c r="WXE1"/>
      <c r="WXF1"/>
      <c r="WXG1"/>
      <c r="WXH1"/>
      <c r="WXI1"/>
      <c r="WXJ1"/>
      <c r="WXK1"/>
      <c r="WXL1"/>
      <c r="WXM1"/>
      <c r="WXN1"/>
      <c r="WXO1"/>
      <c r="WXP1"/>
      <c r="WXQ1"/>
      <c r="WXR1"/>
      <c r="WXS1"/>
      <c r="WXT1"/>
      <c r="WXU1"/>
      <c r="WXV1"/>
      <c r="WXW1"/>
      <c r="WXX1"/>
      <c r="WXY1"/>
      <c r="WXZ1"/>
      <c r="WYA1"/>
      <c r="WYB1"/>
      <c r="WYC1"/>
      <c r="WYD1"/>
      <c r="WYE1"/>
      <c r="WYF1"/>
      <c r="WYG1"/>
      <c r="WYH1"/>
      <c r="WYI1"/>
      <c r="WYJ1"/>
      <c r="WYK1"/>
      <c r="WYL1"/>
      <c r="WYM1"/>
      <c r="WYN1"/>
      <c r="WYO1"/>
      <c r="WYP1"/>
      <c r="WYQ1"/>
      <c r="WYR1"/>
      <c r="WYS1"/>
      <c r="WYT1"/>
      <c r="WYU1"/>
      <c r="WYV1"/>
      <c r="WYW1"/>
      <c r="WYX1"/>
      <c r="WYY1"/>
      <c r="WYZ1"/>
      <c r="WZA1"/>
      <c r="WZB1"/>
      <c r="WZC1"/>
      <c r="WZD1"/>
      <c r="WZE1"/>
      <c r="WZF1"/>
      <c r="WZG1"/>
      <c r="WZH1"/>
      <c r="WZI1"/>
      <c r="WZJ1"/>
      <c r="WZK1"/>
      <c r="WZL1"/>
      <c r="WZM1"/>
      <c r="WZN1"/>
      <c r="WZO1"/>
      <c r="WZP1"/>
      <c r="WZQ1"/>
      <c r="WZR1"/>
      <c r="WZS1"/>
      <c r="WZT1"/>
      <c r="WZU1"/>
      <c r="WZV1"/>
      <c r="WZW1"/>
      <c r="WZX1"/>
      <c r="WZY1"/>
      <c r="WZZ1"/>
      <c r="XAA1"/>
      <c r="XAB1"/>
      <c r="XAC1"/>
      <c r="XAD1"/>
      <c r="XAE1"/>
      <c r="XAF1"/>
      <c r="XAG1"/>
      <c r="XAH1"/>
      <c r="XAI1"/>
      <c r="XAJ1"/>
      <c r="XAK1"/>
      <c r="XAL1"/>
      <c r="XAM1"/>
      <c r="XAN1"/>
      <c r="XAO1"/>
      <c r="XAP1"/>
      <c r="XAQ1"/>
      <c r="XAR1"/>
      <c r="XAS1"/>
      <c r="XAT1"/>
      <c r="XAU1"/>
      <c r="XAV1"/>
      <c r="XAW1"/>
      <c r="XAX1"/>
      <c r="XAY1"/>
      <c r="XAZ1"/>
      <c r="XBA1"/>
      <c r="XBB1"/>
      <c r="XBC1"/>
      <c r="XBD1"/>
      <c r="XBE1"/>
      <c r="XBF1"/>
      <c r="XBG1"/>
      <c r="XBH1"/>
      <c r="XBI1"/>
      <c r="XBJ1"/>
      <c r="XBK1"/>
      <c r="XBL1"/>
      <c r="XBM1"/>
      <c r="XBN1"/>
      <c r="XBO1"/>
      <c r="XBP1"/>
      <c r="XBQ1"/>
      <c r="XBR1"/>
      <c r="XBS1"/>
      <c r="XBT1"/>
      <c r="XBU1"/>
      <c r="XBV1"/>
      <c r="XBW1"/>
      <c r="XBX1"/>
      <c r="XBY1"/>
      <c r="XBZ1"/>
      <c r="XCA1"/>
      <c r="XCB1"/>
      <c r="XCC1"/>
      <c r="XCD1"/>
      <c r="XCE1"/>
      <c r="XCF1"/>
      <c r="XCG1"/>
      <c r="XCH1"/>
      <c r="XCI1"/>
      <c r="XCJ1"/>
      <c r="XCK1"/>
      <c r="XCL1"/>
      <c r="XCM1"/>
      <c r="XCN1"/>
      <c r="XCO1"/>
      <c r="XCP1"/>
      <c r="XCQ1"/>
      <c r="XCR1"/>
      <c r="XCS1"/>
      <c r="XCT1"/>
      <c r="XCU1"/>
      <c r="XCV1"/>
      <c r="XCW1"/>
      <c r="XCX1"/>
      <c r="XCY1"/>
      <c r="XCZ1"/>
      <c r="XDA1"/>
      <c r="XDB1"/>
      <c r="XDC1"/>
      <c r="XDD1"/>
      <c r="XDE1"/>
      <c r="XDF1"/>
      <c r="XDG1"/>
      <c r="XDH1"/>
      <c r="XDI1"/>
      <c r="XDJ1"/>
      <c r="XDK1"/>
      <c r="XDL1"/>
      <c r="XDM1"/>
      <c r="XDN1"/>
      <c r="XDO1"/>
      <c r="XDP1"/>
      <c r="XDQ1"/>
      <c r="XDR1"/>
      <c r="XDS1"/>
      <c r="XDT1"/>
      <c r="XDU1"/>
      <c r="XDV1"/>
      <c r="XDW1"/>
      <c r="XDX1"/>
      <c r="XDY1"/>
      <c r="XDZ1"/>
      <c r="XEA1"/>
      <c r="XEB1"/>
      <c r="XEC1"/>
      <c r="XED1"/>
      <c r="XEE1"/>
      <c r="XEF1"/>
      <c r="XEG1"/>
      <c r="XEH1"/>
      <c r="XEI1"/>
      <c r="XEJ1"/>
      <c r="XEK1"/>
      <c r="XEL1"/>
      <c r="XEM1"/>
      <c r="XEN1"/>
      <c r="XEO1"/>
      <c r="XEP1"/>
      <c r="XEQ1"/>
      <c r="XER1"/>
      <c r="XES1"/>
      <c r="XET1"/>
      <c r="XEU1"/>
      <c r="XEV1"/>
      <c r="XEW1"/>
      <c r="XEX1"/>
      <c r="XEY1"/>
      <c r="XEZ1"/>
      <c r="XFA1"/>
      <c r="XFB1"/>
      <c r="XFC1"/>
      <c r="XFD1"/>
    </row>
    <row r="2" spans="1:16384" s="2" customFormat="1" ht="44.25" customHeight="1" x14ac:dyDescent="0.2">
      <c r="A2" s="281" t="s">
        <v>715</v>
      </c>
      <c r="B2" s="282"/>
      <c r="C2" s="282"/>
      <c r="D2" s="282"/>
      <c r="E2" s="28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c r="AUY2"/>
      <c r="AUZ2"/>
      <c r="AVA2"/>
      <c r="AVB2"/>
      <c r="AVC2"/>
      <c r="AVD2"/>
      <c r="AVE2"/>
      <c r="AVF2"/>
      <c r="AVG2"/>
      <c r="AVH2"/>
      <c r="AVI2"/>
      <c r="AVJ2"/>
      <c r="AVK2"/>
      <c r="AVL2"/>
      <c r="AVM2"/>
      <c r="AVN2"/>
      <c r="AVO2"/>
      <c r="AVP2"/>
      <c r="AVQ2"/>
      <c r="AVR2"/>
      <c r="AVS2"/>
      <c r="AVT2"/>
      <c r="AVU2"/>
      <c r="AVV2"/>
      <c r="AVW2"/>
      <c r="AVX2"/>
      <c r="AVY2"/>
      <c r="AVZ2"/>
      <c r="AWA2"/>
      <c r="AWB2"/>
      <c r="AWC2"/>
      <c r="AWD2"/>
      <c r="AWE2"/>
      <c r="AWF2"/>
      <c r="AWG2"/>
      <c r="AWH2"/>
      <c r="AWI2"/>
      <c r="AWJ2"/>
      <c r="AWK2"/>
      <c r="AWL2"/>
      <c r="AWM2"/>
      <c r="AWN2"/>
      <c r="AWO2"/>
      <c r="AWP2"/>
      <c r="AWQ2"/>
      <c r="AWR2"/>
      <c r="AWS2"/>
      <c r="AWT2"/>
      <c r="AWU2"/>
      <c r="AWV2"/>
      <c r="AWW2"/>
      <c r="AWX2"/>
      <c r="AWY2"/>
      <c r="AWZ2"/>
      <c r="AXA2"/>
      <c r="AXB2"/>
      <c r="AXC2"/>
      <c r="AXD2"/>
      <c r="AXE2"/>
      <c r="AXF2"/>
      <c r="AXG2"/>
      <c r="AXH2"/>
      <c r="AXI2"/>
      <c r="AXJ2"/>
      <c r="AXK2"/>
      <c r="AXL2"/>
      <c r="AXM2"/>
      <c r="AXN2"/>
      <c r="AXO2"/>
      <c r="AXP2"/>
      <c r="AXQ2"/>
      <c r="AXR2"/>
      <c r="AXS2"/>
      <c r="AXT2"/>
      <c r="AXU2"/>
      <c r="AXV2"/>
      <c r="AXW2"/>
      <c r="AXX2"/>
      <c r="AXY2"/>
      <c r="AXZ2"/>
      <c r="AYA2"/>
      <c r="AYB2"/>
      <c r="AYC2"/>
      <c r="AYD2"/>
      <c r="AYE2"/>
      <c r="AYF2"/>
      <c r="AYG2"/>
      <c r="AYH2"/>
      <c r="AYI2"/>
      <c r="AYJ2"/>
      <c r="AYK2"/>
      <c r="AYL2"/>
      <c r="AYM2"/>
      <c r="AYN2"/>
      <c r="AYO2"/>
      <c r="AYP2"/>
      <c r="AYQ2"/>
      <c r="AYR2"/>
      <c r="AYS2"/>
      <c r="AYT2"/>
      <c r="AYU2"/>
      <c r="AYV2"/>
      <c r="AYW2"/>
      <c r="AYX2"/>
      <c r="AYY2"/>
      <c r="AYZ2"/>
      <c r="AZA2"/>
      <c r="AZB2"/>
      <c r="AZC2"/>
      <c r="AZD2"/>
      <c r="AZE2"/>
      <c r="AZF2"/>
      <c r="AZG2"/>
      <c r="AZH2"/>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c r="BRR2"/>
      <c r="BRS2"/>
      <c r="BRT2"/>
      <c r="BRU2"/>
      <c r="BRV2"/>
      <c r="BRW2"/>
      <c r="BRX2"/>
      <c r="BRY2"/>
      <c r="BRZ2"/>
      <c r="BSA2"/>
      <c r="BSB2"/>
      <c r="BSC2"/>
      <c r="BSD2"/>
      <c r="BSE2"/>
      <c r="BSF2"/>
      <c r="BSG2"/>
      <c r="BSH2"/>
      <c r="BSI2"/>
      <c r="BSJ2"/>
      <c r="BSK2"/>
      <c r="BSL2"/>
      <c r="BSM2"/>
      <c r="BSN2"/>
      <c r="BSO2"/>
      <c r="BSP2"/>
      <c r="BSQ2"/>
      <c r="BSR2"/>
      <c r="BSS2"/>
      <c r="BST2"/>
      <c r="BSU2"/>
      <c r="BSV2"/>
      <c r="BSW2"/>
      <c r="BSX2"/>
      <c r="BSY2"/>
      <c r="BSZ2"/>
      <c r="BTA2"/>
      <c r="BTB2"/>
      <c r="BTC2"/>
      <c r="BTD2"/>
      <c r="BTE2"/>
      <c r="BTF2"/>
      <c r="BTG2"/>
      <c r="BTH2"/>
      <c r="BTI2"/>
      <c r="BTJ2"/>
      <c r="BTK2"/>
      <c r="BTL2"/>
      <c r="BTM2"/>
      <c r="BTN2"/>
      <c r="BTO2"/>
      <c r="BTP2"/>
      <c r="BTQ2"/>
      <c r="BTR2"/>
      <c r="BTS2"/>
      <c r="BTT2"/>
      <c r="BTU2"/>
      <c r="BTV2"/>
      <c r="BTW2"/>
      <c r="BTX2"/>
      <c r="BTY2"/>
      <c r="BTZ2"/>
      <c r="BUA2"/>
      <c r="BUB2"/>
      <c r="BUC2"/>
      <c r="BUD2"/>
      <c r="BUE2"/>
      <c r="BUF2"/>
      <c r="BUG2"/>
      <c r="BUH2"/>
      <c r="BUI2"/>
      <c r="BUJ2"/>
      <c r="BUK2"/>
      <c r="BUL2"/>
      <c r="BUM2"/>
      <c r="BUN2"/>
      <c r="BUO2"/>
      <c r="BUP2"/>
      <c r="BUQ2"/>
      <c r="BUR2"/>
      <c r="BUS2"/>
      <c r="BUT2"/>
      <c r="BUU2"/>
      <c r="BUV2"/>
      <c r="BUW2"/>
      <c r="BUX2"/>
      <c r="BUY2"/>
      <c r="BUZ2"/>
      <c r="BVA2"/>
      <c r="BVB2"/>
      <c r="BVC2"/>
      <c r="BVD2"/>
      <c r="BVE2"/>
      <c r="BVF2"/>
      <c r="BVG2"/>
      <c r="BVH2"/>
      <c r="BVI2"/>
      <c r="BVJ2"/>
      <c r="BVK2"/>
      <c r="BVL2"/>
      <c r="BVM2"/>
      <c r="BVN2"/>
      <c r="BVO2"/>
      <c r="BVP2"/>
      <c r="BVQ2"/>
      <c r="BVR2"/>
      <c r="BVS2"/>
      <c r="BVT2"/>
      <c r="BVU2"/>
      <c r="BVV2"/>
      <c r="BVW2"/>
      <c r="BVX2"/>
      <c r="BVY2"/>
      <c r="BVZ2"/>
      <c r="BWA2"/>
      <c r="BWB2"/>
      <c r="BWC2"/>
      <c r="BWD2"/>
      <c r="BWE2"/>
      <c r="BWF2"/>
      <c r="BWG2"/>
      <c r="BWH2"/>
      <c r="BWI2"/>
      <c r="BWJ2"/>
      <c r="BWK2"/>
      <c r="BWL2"/>
      <c r="BWM2"/>
      <c r="BWN2"/>
      <c r="BWO2"/>
      <c r="BWP2"/>
      <c r="BWQ2"/>
      <c r="BWR2"/>
      <c r="BWS2"/>
      <c r="BWT2"/>
      <c r="BWU2"/>
      <c r="BWV2"/>
      <c r="BWW2"/>
      <c r="BWX2"/>
      <c r="BWY2"/>
      <c r="BWZ2"/>
      <c r="BXA2"/>
      <c r="BXB2"/>
      <c r="BXC2"/>
      <c r="BXD2"/>
      <c r="BXE2"/>
      <c r="BXF2"/>
      <c r="BXG2"/>
      <c r="BXH2"/>
      <c r="BXI2"/>
      <c r="BXJ2"/>
      <c r="BXK2"/>
      <c r="BXL2"/>
      <c r="BXM2"/>
      <c r="BXN2"/>
      <c r="BXO2"/>
      <c r="BXP2"/>
      <c r="BXQ2"/>
      <c r="BXR2"/>
      <c r="BXS2"/>
      <c r="BXT2"/>
      <c r="BXU2"/>
      <c r="BXV2"/>
      <c r="BXW2"/>
      <c r="BXX2"/>
      <c r="BXY2"/>
      <c r="BXZ2"/>
      <c r="BYA2"/>
      <c r="BYB2"/>
      <c r="BYC2"/>
      <c r="BYD2"/>
      <c r="BYE2"/>
      <c r="BYF2"/>
      <c r="BYG2"/>
      <c r="BYH2"/>
      <c r="BYI2"/>
      <c r="BYJ2"/>
      <c r="BYK2"/>
      <c r="BYL2"/>
      <c r="BYM2"/>
      <c r="BYN2"/>
      <c r="BYO2"/>
      <c r="BYP2"/>
      <c r="BYQ2"/>
      <c r="BYR2"/>
      <c r="BYS2"/>
      <c r="BYT2"/>
      <c r="BYU2"/>
      <c r="BYV2"/>
      <c r="BYW2"/>
      <c r="BYX2"/>
      <c r="BYY2"/>
      <c r="BYZ2"/>
      <c r="BZA2"/>
      <c r="BZB2"/>
      <c r="BZC2"/>
      <c r="BZD2"/>
      <c r="BZE2"/>
      <c r="BZF2"/>
      <c r="BZG2"/>
      <c r="BZH2"/>
      <c r="BZI2"/>
      <c r="BZJ2"/>
      <c r="BZK2"/>
      <c r="BZL2"/>
      <c r="BZM2"/>
      <c r="BZN2"/>
      <c r="BZO2"/>
      <c r="BZP2"/>
      <c r="BZQ2"/>
      <c r="BZR2"/>
      <c r="BZS2"/>
      <c r="BZT2"/>
      <c r="BZU2"/>
      <c r="BZV2"/>
      <c r="BZW2"/>
      <c r="BZX2"/>
      <c r="BZY2"/>
      <c r="BZZ2"/>
      <c r="CAA2"/>
      <c r="CAB2"/>
      <c r="CAC2"/>
      <c r="CAD2"/>
      <c r="CAE2"/>
      <c r="CAF2"/>
      <c r="CAG2"/>
      <c r="CAH2"/>
      <c r="CAI2"/>
      <c r="CAJ2"/>
      <c r="CAK2"/>
      <c r="CAL2"/>
      <c r="CAM2"/>
      <c r="CAN2"/>
      <c r="CAO2"/>
      <c r="CAP2"/>
      <c r="CAQ2"/>
      <c r="CAR2"/>
      <c r="CAS2"/>
      <c r="CAT2"/>
      <c r="CAU2"/>
      <c r="CAV2"/>
      <c r="CAW2"/>
      <c r="CAX2"/>
      <c r="CAY2"/>
      <c r="CAZ2"/>
      <c r="CBA2"/>
      <c r="CBB2"/>
      <c r="CBC2"/>
      <c r="CBD2"/>
      <c r="CBE2"/>
      <c r="CBF2"/>
      <c r="CBG2"/>
      <c r="CBH2"/>
      <c r="CBI2"/>
      <c r="CBJ2"/>
      <c r="CBK2"/>
      <c r="CBL2"/>
      <c r="CBM2"/>
      <c r="CBN2"/>
      <c r="CBO2"/>
      <c r="CBP2"/>
      <c r="CBQ2"/>
      <c r="CBR2"/>
      <c r="CBS2"/>
      <c r="CBT2"/>
      <c r="CBU2"/>
      <c r="CBV2"/>
      <c r="CBW2"/>
      <c r="CBX2"/>
      <c r="CBY2"/>
      <c r="CBZ2"/>
      <c r="CCA2"/>
      <c r="CCB2"/>
      <c r="CCC2"/>
      <c r="CCD2"/>
      <c r="CCE2"/>
      <c r="CCF2"/>
      <c r="CCG2"/>
      <c r="CCH2"/>
      <c r="CCI2"/>
      <c r="CCJ2"/>
      <c r="CCK2"/>
      <c r="CCL2"/>
      <c r="CCM2"/>
      <c r="CCN2"/>
      <c r="CCO2"/>
      <c r="CCP2"/>
      <c r="CCQ2"/>
      <c r="CCR2"/>
      <c r="CCS2"/>
      <c r="CCT2"/>
      <c r="CCU2"/>
      <c r="CCV2"/>
      <c r="CCW2"/>
      <c r="CCX2"/>
      <c r="CCY2"/>
      <c r="CCZ2"/>
      <c r="CDA2"/>
      <c r="CDB2"/>
      <c r="CDC2"/>
      <c r="CDD2"/>
      <c r="CDE2"/>
      <c r="CDF2"/>
      <c r="CDG2"/>
      <c r="CDH2"/>
      <c r="CDI2"/>
      <c r="CDJ2"/>
      <c r="CDK2"/>
      <c r="CDL2"/>
      <c r="CDM2"/>
      <c r="CDN2"/>
      <c r="CDO2"/>
      <c r="CDP2"/>
      <c r="CDQ2"/>
      <c r="CDR2"/>
      <c r="CDS2"/>
      <c r="CDT2"/>
      <c r="CDU2"/>
      <c r="CDV2"/>
      <c r="CDW2"/>
      <c r="CDX2"/>
      <c r="CDY2"/>
      <c r="CDZ2"/>
      <c r="CEA2"/>
      <c r="CEB2"/>
      <c r="CEC2"/>
      <c r="CED2"/>
      <c r="CEE2"/>
      <c r="CEF2"/>
      <c r="CEG2"/>
      <c r="CEH2"/>
      <c r="CEI2"/>
      <c r="CEJ2"/>
      <c r="CEK2"/>
      <c r="CEL2"/>
      <c r="CEM2"/>
      <c r="CEN2"/>
      <c r="CEO2"/>
      <c r="CEP2"/>
      <c r="CEQ2"/>
      <c r="CER2"/>
      <c r="CES2"/>
      <c r="CET2"/>
      <c r="CEU2"/>
      <c r="CEV2"/>
      <c r="CEW2"/>
      <c r="CEX2"/>
      <c r="CEY2"/>
      <c r="CEZ2"/>
      <c r="CFA2"/>
      <c r="CFB2"/>
      <c r="CFC2"/>
      <c r="CFD2"/>
      <c r="CFE2"/>
      <c r="CFF2"/>
      <c r="CFG2"/>
      <c r="CFH2"/>
      <c r="CFI2"/>
      <c r="CFJ2"/>
      <c r="CFK2"/>
      <c r="CFL2"/>
      <c r="CFM2"/>
      <c r="CFN2"/>
      <c r="CFO2"/>
      <c r="CFP2"/>
      <c r="CFQ2"/>
      <c r="CFR2"/>
      <c r="CFS2"/>
      <c r="CFT2"/>
      <c r="CFU2"/>
      <c r="CFV2"/>
      <c r="CFW2"/>
      <c r="CFX2"/>
      <c r="CFY2"/>
      <c r="CFZ2"/>
      <c r="CGA2"/>
      <c r="CGB2"/>
      <c r="CGC2"/>
      <c r="CGD2"/>
      <c r="CGE2"/>
      <c r="CGF2"/>
      <c r="CGG2"/>
      <c r="CGH2"/>
      <c r="CGI2"/>
      <c r="CGJ2"/>
      <c r="CGK2"/>
      <c r="CGL2"/>
      <c r="CGM2"/>
      <c r="CGN2"/>
      <c r="CGO2"/>
      <c r="CGP2"/>
      <c r="CGQ2"/>
      <c r="CGR2"/>
      <c r="CGS2"/>
      <c r="CGT2"/>
      <c r="CGU2"/>
      <c r="CGV2"/>
      <c r="CGW2"/>
      <c r="CGX2"/>
      <c r="CGY2"/>
      <c r="CGZ2"/>
      <c r="CHA2"/>
      <c r="CHB2"/>
      <c r="CHC2"/>
      <c r="CHD2"/>
      <c r="CHE2"/>
      <c r="CHF2"/>
      <c r="CHG2"/>
      <c r="CHH2"/>
      <c r="CHI2"/>
      <c r="CHJ2"/>
      <c r="CHK2"/>
      <c r="CHL2"/>
      <c r="CHM2"/>
      <c r="CHN2"/>
      <c r="CHO2"/>
      <c r="CHP2"/>
      <c r="CHQ2"/>
      <c r="CHR2"/>
      <c r="CHS2"/>
      <c r="CHT2"/>
      <c r="CHU2"/>
      <c r="CHV2"/>
      <c r="CHW2"/>
      <c r="CHX2"/>
      <c r="CHY2"/>
      <c r="CHZ2"/>
      <c r="CIA2"/>
      <c r="CIB2"/>
      <c r="CIC2"/>
      <c r="CID2"/>
      <c r="CIE2"/>
      <c r="CIF2"/>
      <c r="CIG2"/>
      <c r="CIH2"/>
      <c r="CII2"/>
      <c r="CIJ2"/>
      <c r="CIK2"/>
      <c r="CIL2"/>
      <c r="CIM2"/>
      <c r="CIN2"/>
      <c r="CIO2"/>
      <c r="CIP2"/>
      <c r="CIQ2"/>
      <c r="CIR2"/>
      <c r="CIS2"/>
      <c r="CIT2"/>
      <c r="CIU2"/>
      <c r="CIV2"/>
      <c r="CIW2"/>
      <c r="CIX2"/>
      <c r="CIY2"/>
      <c r="CIZ2"/>
      <c r="CJA2"/>
      <c r="CJB2"/>
      <c r="CJC2"/>
      <c r="CJD2"/>
      <c r="CJE2"/>
      <c r="CJF2"/>
      <c r="CJG2"/>
      <c r="CJH2"/>
      <c r="CJI2"/>
      <c r="CJJ2"/>
      <c r="CJK2"/>
      <c r="CJL2"/>
      <c r="CJM2"/>
      <c r="CJN2"/>
      <c r="CJO2"/>
      <c r="CJP2"/>
      <c r="CJQ2"/>
      <c r="CJR2"/>
      <c r="CJS2"/>
      <c r="CJT2"/>
      <c r="CJU2"/>
      <c r="CJV2"/>
      <c r="CJW2"/>
      <c r="CJX2"/>
      <c r="CJY2"/>
      <c r="CJZ2"/>
      <c r="CKA2"/>
      <c r="CKB2"/>
      <c r="CKC2"/>
      <c r="CKD2"/>
      <c r="CKE2"/>
      <c r="CKF2"/>
      <c r="CKG2"/>
      <c r="CKH2"/>
      <c r="CKI2"/>
      <c r="CKJ2"/>
      <c r="CKK2"/>
      <c r="CKL2"/>
      <c r="CKM2"/>
      <c r="CKN2"/>
      <c r="CKO2"/>
      <c r="CKP2"/>
      <c r="CKQ2"/>
      <c r="CKR2"/>
      <c r="CKS2"/>
      <c r="CKT2"/>
      <c r="CKU2"/>
      <c r="CKV2"/>
      <c r="CKW2"/>
      <c r="CKX2"/>
      <c r="CKY2"/>
      <c r="CKZ2"/>
      <c r="CLA2"/>
      <c r="CLB2"/>
      <c r="CLC2"/>
      <c r="CLD2"/>
      <c r="CLE2"/>
      <c r="CLF2"/>
      <c r="CLG2"/>
      <c r="CLH2"/>
      <c r="CLI2"/>
      <c r="CLJ2"/>
      <c r="CLK2"/>
      <c r="CLL2"/>
      <c r="CLM2"/>
      <c r="CLN2"/>
      <c r="CLO2"/>
      <c r="CLP2"/>
      <c r="CLQ2"/>
      <c r="CLR2"/>
      <c r="CLS2"/>
      <c r="CLT2"/>
      <c r="CLU2"/>
      <c r="CLV2"/>
      <c r="CLW2"/>
      <c r="CLX2"/>
      <c r="CLY2"/>
      <c r="CLZ2"/>
      <c r="CMA2"/>
      <c r="CMB2"/>
      <c r="CMC2"/>
      <c r="CMD2"/>
      <c r="CME2"/>
      <c r="CMF2"/>
      <c r="CMG2"/>
      <c r="CMH2"/>
      <c r="CMI2"/>
      <c r="CMJ2"/>
      <c r="CMK2"/>
      <c r="CML2"/>
      <c r="CMM2"/>
      <c r="CMN2"/>
      <c r="CMO2"/>
      <c r="CMP2"/>
      <c r="CMQ2"/>
      <c r="CMR2"/>
      <c r="CMS2"/>
      <c r="CMT2"/>
      <c r="CMU2"/>
      <c r="CMV2"/>
      <c r="CMW2"/>
      <c r="CMX2"/>
      <c r="CMY2"/>
      <c r="CMZ2"/>
      <c r="CNA2"/>
      <c r="CNB2"/>
      <c r="CNC2"/>
      <c r="CND2"/>
      <c r="CNE2"/>
      <c r="CNF2"/>
      <c r="CNG2"/>
      <c r="CNH2"/>
      <c r="CNI2"/>
      <c r="CNJ2"/>
      <c r="CNK2"/>
      <c r="CNL2"/>
      <c r="CNM2"/>
      <c r="CNN2"/>
      <c r="CNO2"/>
      <c r="CNP2"/>
      <c r="CNQ2"/>
      <c r="CNR2"/>
      <c r="CNS2"/>
      <c r="CNT2"/>
      <c r="CNU2"/>
      <c r="CNV2"/>
      <c r="CNW2"/>
      <c r="CNX2"/>
      <c r="CNY2"/>
      <c r="CNZ2"/>
      <c r="COA2"/>
      <c r="COB2"/>
      <c r="COC2"/>
      <c r="COD2"/>
      <c r="COE2"/>
      <c r="COF2"/>
      <c r="COG2"/>
      <c r="COH2"/>
      <c r="COI2"/>
      <c r="COJ2"/>
      <c r="COK2"/>
      <c r="COL2"/>
      <c r="COM2"/>
      <c r="CON2"/>
      <c r="COO2"/>
      <c r="COP2"/>
      <c r="COQ2"/>
      <c r="COR2"/>
      <c r="COS2"/>
      <c r="COT2"/>
      <c r="COU2"/>
      <c r="COV2"/>
      <c r="COW2"/>
      <c r="COX2"/>
      <c r="COY2"/>
      <c r="COZ2"/>
      <c r="CPA2"/>
      <c r="CPB2"/>
      <c r="CPC2"/>
      <c r="CPD2"/>
      <c r="CPE2"/>
      <c r="CPF2"/>
      <c r="CPG2"/>
      <c r="CPH2"/>
      <c r="CPI2"/>
      <c r="CPJ2"/>
      <c r="CPK2"/>
      <c r="CPL2"/>
      <c r="CPM2"/>
      <c r="CPN2"/>
      <c r="CPO2"/>
      <c r="CPP2"/>
      <c r="CPQ2"/>
      <c r="CPR2"/>
      <c r="CPS2"/>
      <c r="CPT2"/>
      <c r="CPU2"/>
      <c r="CPV2"/>
      <c r="CPW2"/>
      <c r="CPX2"/>
      <c r="CPY2"/>
      <c r="CPZ2"/>
      <c r="CQA2"/>
      <c r="CQB2"/>
      <c r="CQC2"/>
      <c r="CQD2"/>
      <c r="CQE2"/>
      <c r="CQF2"/>
      <c r="CQG2"/>
      <c r="CQH2"/>
      <c r="CQI2"/>
      <c r="CQJ2"/>
      <c r="CQK2"/>
      <c r="CQL2"/>
      <c r="CQM2"/>
      <c r="CQN2"/>
      <c r="CQO2"/>
      <c r="CQP2"/>
      <c r="CQQ2"/>
      <c r="CQR2"/>
      <c r="CQS2"/>
      <c r="CQT2"/>
      <c r="CQU2"/>
      <c r="CQV2"/>
      <c r="CQW2"/>
      <c r="CQX2"/>
      <c r="CQY2"/>
      <c r="CQZ2"/>
      <c r="CRA2"/>
      <c r="CRB2"/>
      <c r="CRC2"/>
      <c r="CRD2"/>
      <c r="CRE2"/>
      <c r="CRF2"/>
      <c r="CRG2"/>
      <c r="CRH2"/>
      <c r="CRI2"/>
      <c r="CRJ2"/>
      <c r="CRK2"/>
      <c r="CRL2"/>
      <c r="CRM2"/>
      <c r="CRN2"/>
      <c r="CRO2"/>
      <c r="CRP2"/>
      <c r="CRQ2"/>
      <c r="CRR2"/>
      <c r="CRS2"/>
      <c r="CRT2"/>
      <c r="CRU2"/>
      <c r="CRV2"/>
      <c r="CRW2"/>
      <c r="CRX2"/>
      <c r="CRY2"/>
      <c r="CRZ2"/>
      <c r="CSA2"/>
      <c r="CSB2"/>
      <c r="CSC2"/>
      <c r="CSD2"/>
      <c r="CSE2"/>
      <c r="CSF2"/>
      <c r="CSG2"/>
      <c r="CSH2"/>
      <c r="CSI2"/>
      <c r="CSJ2"/>
      <c r="CSK2"/>
      <c r="CSL2"/>
      <c r="CSM2"/>
      <c r="CSN2"/>
      <c r="CSO2"/>
      <c r="CSP2"/>
      <c r="CSQ2"/>
      <c r="CSR2"/>
      <c r="CSS2"/>
      <c r="CST2"/>
      <c r="CSU2"/>
      <c r="CSV2"/>
      <c r="CSW2"/>
      <c r="CSX2"/>
      <c r="CSY2"/>
      <c r="CSZ2"/>
      <c r="CTA2"/>
      <c r="CTB2"/>
      <c r="CTC2"/>
      <c r="CTD2"/>
      <c r="CTE2"/>
      <c r="CTF2"/>
      <c r="CTG2"/>
      <c r="CTH2"/>
      <c r="CTI2"/>
      <c r="CTJ2"/>
      <c r="CTK2"/>
      <c r="CTL2"/>
      <c r="CTM2"/>
      <c r="CTN2"/>
      <c r="CTO2"/>
      <c r="CTP2"/>
      <c r="CTQ2"/>
      <c r="CTR2"/>
      <c r="CTS2"/>
      <c r="CTT2"/>
      <c r="CTU2"/>
      <c r="CTV2"/>
      <c r="CTW2"/>
      <c r="CTX2"/>
      <c r="CTY2"/>
      <c r="CTZ2"/>
      <c r="CUA2"/>
      <c r="CUB2"/>
      <c r="CUC2"/>
      <c r="CUD2"/>
      <c r="CUE2"/>
      <c r="CUF2"/>
      <c r="CUG2"/>
      <c r="CUH2"/>
      <c r="CUI2"/>
      <c r="CUJ2"/>
      <c r="CUK2"/>
      <c r="CUL2"/>
      <c r="CUM2"/>
      <c r="CUN2"/>
      <c r="CUO2"/>
      <c r="CUP2"/>
      <c r="CUQ2"/>
      <c r="CUR2"/>
      <c r="CUS2"/>
      <c r="CUT2"/>
      <c r="CUU2"/>
      <c r="CUV2"/>
      <c r="CUW2"/>
      <c r="CUX2"/>
      <c r="CUY2"/>
      <c r="CUZ2"/>
      <c r="CVA2"/>
      <c r="CVB2"/>
      <c r="CVC2"/>
      <c r="CVD2"/>
      <c r="CVE2"/>
      <c r="CVF2"/>
      <c r="CVG2"/>
      <c r="CVH2"/>
      <c r="CVI2"/>
      <c r="CVJ2"/>
      <c r="CVK2"/>
      <c r="CVL2"/>
      <c r="CVM2"/>
      <c r="CVN2"/>
      <c r="CVO2"/>
      <c r="CVP2"/>
      <c r="CVQ2"/>
      <c r="CVR2"/>
      <c r="CVS2"/>
      <c r="CVT2"/>
      <c r="CVU2"/>
      <c r="CVV2"/>
      <c r="CVW2"/>
      <c r="CVX2"/>
      <c r="CVY2"/>
      <c r="CVZ2"/>
      <c r="CWA2"/>
      <c r="CWB2"/>
      <c r="CWC2"/>
      <c r="CWD2"/>
      <c r="CWE2"/>
      <c r="CWF2"/>
      <c r="CWG2"/>
      <c r="CWH2"/>
      <c r="CWI2"/>
      <c r="CWJ2"/>
      <c r="CWK2"/>
      <c r="CWL2"/>
      <c r="CWM2"/>
      <c r="CWN2"/>
      <c r="CWO2"/>
      <c r="CWP2"/>
      <c r="CWQ2"/>
      <c r="CWR2"/>
      <c r="CWS2"/>
      <c r="CWT2"/>
      <c r="CWU2"/>
      <c r="CWV2"/>
      <c r="CWW2"/>
      <c r="CWX2"/>
      <c r="CWY2"/>
      <c r="CWZ2"/>
      <c r="CXA2"/>
      <c r="CXB2"/>
      <c r="CXC2"/>
      <c r="CXD2"/>
      <c r="CXE2"/>
      <c r="CXF2"/>
      <c r="CXG2"/>
      <c r="CXH2"/>
      <c r="CXI2"/>
      <c r="CXJ2"/>
      <c r="CXK2"/>
      <c r="CXL2"/>
      <c r="CXM2"/>
      <c r="CXN2"/>
      <c r="CXO2"/>
      <c r="CXP2"/>
      <c r="CXQ2"/>
      <c r="CXR2"/>
      <c r="CXS2"/>
      <c r="CXT2"/>
      <c r="CXU2"/>
      <c r="CXV2"/>
      <c r="CXW2"/>
      <c r="CXX2"/>
      <c r="CXY2"/>
      <c r="CXZ2"/>
      <c r="CYA2"/>
      <c r="CYB2"/>
      <c r="CYC2"/>
      <c r="CYD2"/>
      <c r="CYE2"/>
      <c r="CYF2"/>
      <c r="CYG2"/>
      <c r="CYH2"/>
      <c r="CYI2"/>
      <c r="CYJ2"/>
      <c r="CYK2"/>
      <c r="CYL2"/>
      <c r="CYM2"/>
      <c r="CYN2"/>
      <c r="CYO2"/>
      <c r="CYP2"/>
      <c r="CYQ2"/>
      <c r="CYR2"/>
      <c r="CYS2"/>
      <c r="CYT2"/>
      <c r="CYU2"/>
      <c r="CYV2"/>
      <c r="CYW2"/>
      <c r="CYX2"/>
      <c r="CYY2"/>
      <c r="CYZ2"/>
      <c r="CZA2"/>
      <c r="CZB2"/>
      <c r="CZC2"/>
      <c r="CZD2"/>
      <c r="CZE2"/>
      <c r="CZF2"/>
      <c r="CZG2"/>
      <c r="CZH2"/>
      <c r="CZI2"/>
      <c r="CZJ2"/>
      <c r="CZK2"/>
      <c r="CZL2"/>
      <c r="CZM2"/>
      <c r="CZN2"/>
      <c r="CZO2"/>
      <c r="CZP2"/>
      <c r="CZQ2"/>
      <c r="CZR2"/>
      <c r="CZS2"/>
      <c r="CZT2"/>
      <c r="CZU2"/>
      <c r="CZV2"/>
      <c r="CZW2"/>
      <c r="CZX2"/>
      <c r="CZY2"/>
      <c r="CZZ2"/>
      <c r="DAA2"/>
      <c r="DAB2"/>
      <c r="DAC2"/>
      <c r="DAD2"/>
      <c r="DAE2"/>
      <c r="DAF2"/>
      <c r="DAG2"/>
      <c r="DAH2"/>
      <c r="DAI2"/>
      <c r="DAJ2"/>
      <c r="DAK2"/>
      <c r="DAL2"/>
      <c r="DAM2"/>
      <c r="DAN2"/>
      <c r="DAO2"/>
      <c r="DAP2"/>
      <c r="DAQ2"/>
      <c r="DAR2"/>
      <c r="DAS2"/>
      <c r="DAT2"/>
      <c r="DAU2"/>
      <c r="DAV2"/>
      <c r="DAW2"/>
      <c r="DAX2"/>
      <c r="DAY2"/>
      <c r="DAZ2"/>
      <c r="DBA2"/>
      <c r="DBB2"/>
      <c r="DBC2"/>
      <c r="DBD2"/>
      <c r="DBE2"/>
      <c r="DBF2"/>
      <c r="DBG2"/>
      <c r="DBH2"/>
      <c r="DBI2"/>
      <c r="DBJ2"/>
      <c r="DBK2"/>
      <c r="DBL2"/>
      <c r="DBM2"/>
      <c r="DBN2"/>
      <c r="DBO2"/>
      <c r="DBP2"/>
      <c r="DBQ2"/>
      <c r="DBR2"/>
      <c r="DBS2"/>
      <c r="DBT2"/>
      <c r="DBU2"/>
      <c r="DBV2"/>
      <c r="DBW2"/>
      <c r="DBX2"/>
      <c r="DBY2"/>
      <c r="DBZ2"/>
      <c r="DCA2"/>
      <c r="DCB2"/>
      <c r="DCC2"/>
      <c r="DCD2"/>
      <c r="DCE2"/>
      <c r="DCF2"/>
      <c r="DCG2"/>
      <c r="DCH2"/>
      <c r="DCI2"/>
      <c r="DCJ2"/>
      <c r="DCK2"/>
      <c r="DCL2"/>
      <c r="DCM2"/>
      <c r="DCN2"/>
      <c r="DCO2"/>
      <c r="DCP2"/>
      <c r="DCQ2"/>
      <c r="DCR2"/>
      <c r="DCS2"/>
      <c r="DCT2"/>
      <c r="DCU2"/>
      <c r="DCV2"/>
      <c r="DCW2"/>
      <c r="DCX2"/>
      <c r="DCY2"/>
      <c r="DCZ2"/>
      <c r="DDA2"/>
      <c r="DDB2"/>
      <c r="DDC2"/>
      <c r="DDD2"/>
      <c r="DDE2"/>
      <c r="DDF2"/>
      <c r="DDG2"/>
      <c r="DDH2"/>
      <c r="DDI2"/>
      <c r="DDJ2"/>
      <c r="DDK2"/>
      <c r="DDL2"/>
      <c r="DDM2"/>
      <c r="DDN2"/>
      <c r="DDO2"/>
      <c r="DDP2"/>
      <c r="DDQ2"/>
      <c r="DDR2"/>
      <c r="DDS2"/>
      <c r="DDT2"/>
      <c r="DDU2"/>
      <c r="DDV2"/>
      <c r="DDW2"/>
      <c r="DDX2"/>
      <c r="DDY2"/>
      <c r="DDZ2"/>
      <c r="DEA2"/>
      <c r="DEB2"/>
      <c r="DEC2"/>
      <c r="DED2"/>
      <c r="DEE2"/>
      <c r="DEF2"/>
      <c r="DEG2"/>
      <c r="DEH2"/>
      <c r="DEI2"/>
      <c r="DEJ2"/>
      <c r="DEK2"/>
      <c r="DEL2"/>
      <c r="DEM2"/>
      <c r="DEN2"/>
      <c r="DEO2"/>
      <c r="DEP2"/>
      <c r="DEQ2"/>
      <c r="DER2"/>
      <c r="DES2"/>
      <c r="DET2"/>
      <c r="DEU2"/>
      <c r="DEV2"/>
      <c r="DEW2"/>
      <c r="DEX2"/>
      <c r="DEY2"/>
      <c r="DEZ2"/>
      <c r="DFA2"/>
      <c r="DFB2"/>
      <c r="DFC2"/>
      <c r="DFD2"/>
      <c r="DFE2"/>
      <c r="DFF2"/>
      <c r="DFG2"/>
      <c r="DFH2"/>
      <c r="DFI2"/>
      <c r="DFJ2"/>
      <c r="DFK2"/>
      <c r="DFL2"/>
      <c r="DFM2"/>
      <c r="DFN2"/>
      <c r="DFO2"/>
      <c r="DFP2"/>
      <c r="DFQ2"/>
      <c r="DFR2"/>
      <c r="DFS2"/>
      <c r="DFT2"/>
      <c r="DFU2"/>
      <c r="DFV2"/>
      <c r="DFW2"/>
      <c r="DFX2"/>
      <c r="DFY2"/>
      <c r="DFZ2"/>
      <c r="DGA2"/>
      <c r="DGB2"/>
      <c r="DGC2"/>
      <c r="DGD2"/>
      <c r="DGE2"/>
      <c r="DGF2"/>
      <c r="DGG2"/>
      <c r="DGH2"/>
      <c r="DGI2"/>
      <c r="DGJ2"/>
      <c r="DGK2"/>
      <c r="DGL2"/>
      <c r="DGM2"/>
      <c r="DGN2"/>
      <c r="DGO2"/>
      <c r="DGP2"/>
      <c r="DGQ2"/>
      <c r="DGR2"/>
      <c r="DGS2"/>
      <c r="DGT2"/>
      <c r="DGU2"/>
      <c r="DGV2"/>
      <c r="DGW2"/>
      <c r="DGX2"/>
      <c r="DGY2"/>
      <c r="DGZ2"/>
      <c r="DHA2"/>
      <c r="DHB2"/>
      <c r="DHC2"/>
      <c r="DHD2"/>
      <c r="DHE2"/>
      <c r="DHF2"/>
      <c r="DHG2"/>
      <c r="DHH2"/>
      <c r="DHI2"/>
      <c r="DHJ2"/>
      <c r="DHK2"/>
      <c r="DHL2"/>
      <c r="DHM2"/>
      <c r="DHN2"/>
      <c r="DHO2"/>
      <c r="DHP2"/>
      <c r="DHQ2"/>
      <c r="DHR2"/>
      <c r="DHS2"/>
      <c r="DHT2"/>
      <c r="DHU2"/>
      <c r="DHV2"/>
      <c r="DHW2"/>
      <c r="DHX2"/>
      <c r="DHY2"/>
      <c r="DHZ2"/>
      <c r="DIA2"/>
      <c r="DIB2"/>
      <c r="DIC2"/>
      <c r="DID2"/>
      <c r="DIE2"/>
      <c r="DIF2"/>
      <c r="DIG2"/>
      <c r="DIH2"/>
      <c r="DII2"/>
      <c r="DIJ2"/>
      <c r="DIK2"/>
      <c r="DIL2"/>
      <c r="DIM2"/>
      <c r="DIN2"/>
      <c r="DIO2"/>
      <c r="DIP2"/>
      <c r="DIQ2"/>
      <c r="DIR2"/>
      <c r="DIS2"/>
      <c r="DIT2"/>
      <c r="DIU2"/>
      <c r="DIV2"/>
      <c r="DIW2"/>
      <c r="DIX2"/>
      <c r="DIY2"/>
      <c r="DIZ2"/>
      <c r="DJA2"/>
      <c r="DJB2"/>
      <c r="DJC2"/>
      <c r="DJD2"/>
      <c r="DJE2"/>
      <c r="DJF2"/>
      <c r="DJG2"/>
      <c r="DJH2"/>
      <c r="DJI2"/>
      <c r="DJJ2"/>
      <c r="DJK2"/>
      <c r="DJL2"/>
      <c r="DJM2"/>
      <c r="DJN2"/>
      <c r="DJO2"/>
      <c r="DJP2"/>
      <c r="DJQ2"/>
      <c r="DJR2"/>
      <c r="DJS2"/>
      <c r="DJT2"/>
      <c r="DJU2"/>
      <c r="DJV2"/>
      <c r="DJW2"/>
      <c r="DJX2"/>
      <c r="DJY2"/>
      <c r="DJZ2"/>
      <c r="DKA2"/>
      <c r="DKB2"/>
      <c r="DKC2"/>
      <c r="DKD2"/>
      <c r="DKE2"/>
      <c r="DKF2"/>
      <c r="DKG2"/>
      <c r="DKH2"/>
      <c r="DKI2"/>
      <c r="DKJ2"/>
      <c r="DKK2"/>
      <c r="DKL2"/>
      <c r="DKM2"/>
      <c r="DKN2"/>
      <c r="DKO2"/>
      <c r="DKP2"/>
      <c r="DKQ2"/>
      <c r="DKR2"/>
      <c r="DKS2"/>
      <c r="DKT2"/>
      <c r="DKU2"/>
      <c r="DKV2"/>
      <c r="DKW2"/>
      <c r="DKX2"/>
      <c r="DKY2"/>
      <c r="DKZ2"/>
      <c r="DLA2"/>
      <c r="DLB2"/>
      <c r="DLC2"/>
      <c r="DLD2"/>
      <c r="DLE2"/>
      <c r="DLF2"/>
      <c r="DLG2"/>
      <c r="DLH2"/>
      <c r="DLI2"/>
      <c r="DLJ2"/>
      <c r="DLK2"/>
      <c r="DLL2"/>
      <c r="DLM2"/>
      <c r="DLN2"/>
      <c r="DLO2"/>
      <c r="DLP2"/>
      <c r="DLQ2"/>
      <c r="DLR2"/>
      <c r="DLS2"/>
      <c r="DLT2"/>
      <c r="DLU2"/>
      <c r="DLV2"/>
      <c r="DLW2"/>
      <c r="DLX2"/>
      <c r="DLY2"/>
      <c r="DLZ2"/>
      <c r="DMA2"/>
      <c r="DMB2"/>
      <c r="DMC2"/>
      <c r="DMD2"/>
      <c r="DME2"/>
      <c r="DMF2"/>
      <c r="DMG2"/>
      <c r="DMH2"/>
      <c r="DMI2"/>
      <c r="DMJ2"/>
      <c r="DMK2"/>
      <c r="DML2"/>
      <c r="DMM2"/>
      <c r="DMN2"/>
      <c r="DMO2"/>
      <c r="DMP2"/>
      <c r="DMQ2"/>
      <c r="DMR2"/>
      <c r="DMS2"/>
      <c r="DMT2"/>
      <c r="DMU2"/>
      <c r="DMV2"/>
      <c r="DMW2"/>
      <c r="DMX2"/>
      <c r="DMY2"/>
      <c r="DMZ2"/>
      <c r="DNA2"/>
      <c r="DNB2"/>
      <c r="DNC2"/>
      <c r="DND2"/>
      <c r="DNE2"/>
      <c r="DNF2"/>
      <c r="DNG2"/>
      <c r="DNH2"/>
      <c r="DNI2"/>
      <c r="DNJ2"/>
      <c r="DNK2"/>
      <c r="DNL2"/>
      <c r="DNM2"/>
      <c r="DNN2"/>
      <c r="DNO2"/>
      <c r="DNP2"/>
      <c r="DNQ2"/>
      <c r="DNR2"/>
      <c r="DNS2"/>
      <c r="DNT2"/>
      <c r="DNU2"/>
      <c r="DNV2"/>
      <c r="DNW2"/>
      <c r="DNX2"/>
      <c r="DNY2"/>
      <c r="DNZ2"/>
      <c r="DOA2"/>
      <c r="DOB2"/>
      <c r="DOC2"/>
      <c r="DOD2"/>
      <c r="DOE2"/>
      <c r="DOF2"/>
      <c r="DOG2"/>
      <c r="DOH2"/>
      <c r="DOI2"/>
      <c r="DOJ2"/>
      <c r="DOK2"/>
      <c r="DOL2"/>
      <c r="DOM2"/>
      <c r="DON2"/>
      <c r="DOO2"/>
      <c r="DOP2"/>
      <c r="DOQ2"/>
      <c r="DOR2"/>
      <c r="DOS2"/>
      <c r="DOT2"/>
      <c r="DOU2"/>
      <c r="DOV2"/>
      <c r="DOW2"/>
      <c r="DOX2"/>
      <c r="DOY2"/>
      <c r="DOZ2"/>
      <c r="DPA2"/>
      <c r="DPB2"/>
      <c r="DPC2"/>
      <c r="DPD2"/>
      <c r="DPE2"/>
      <c r="DPF2"/>
      <c r="DPG2"/>
      <c r="DPH2"/>
      <c r="DPI2"/>
      <c r="DPJ2"/>
      <c r="DPK2"/>
      <c r="DPL2"/>
      <c r="DPM2"/>
      <c r="DPN2"/>
      <c r="DPO2"/>
      <c r="DPP2"/>
      <c r="DPQ2"/>
      <c r="DPR2"/>
      <c r="DPS2"/>
      <c r="DPT2"/>
      <c r="DPU2"/>
      <c r="DPV2"/>
      <c r="DPW2"/>
      <c r="DPX2"/>
      <c r="DPY2"/>
      <c r="DPZ2"/>
      <c r="DQA2"/>
      <c r="DQB2"/>
      <c r="DQC2"/>
      <c r="DQD2"/>
      <c r="DQE2"/>
      <c r="DQF2"/>
      <c r="DQG2"/>
      <c r="DQH2"/>
      <c r="DQI2"/>
      <c r="DQJ2"/>
      <c r="DQK2"/>
      <c r="DQL2"/>
      <c r="DQM2"/>
      <c r="DQN2"/>
      <c r="DQO2"/>
      <c r="DQP2"/>
      <c r="DQQ2"/>
      <c r="DQR2"/>
      <c r="DQS2"/>
      <c r="DQT2"/>
      <c r="DQU2"/>
      <c r="DQV2"/>
      <c r="DQW2"/>
      <c r="DQX2"/>
      <c r="DQY2"/>
      <c r="DQZ2"/>
      <c r="DRA2"/>
      <c r="DRB2"/>
      <c r="DRC2"/>
      <c r="DRD2"/>
      <c r="DRE2"/>
      <c r="DRF2"/>
      <c r="DRG2"/>
      <c r="DRH2"/>
      <c r="DRI2"/>
      <c r="DRJ2"/>
      <c r="DRK2"/>
      <c r="DRL2"/>
      <c r="DRM2"/>
      <c r="DRN2"/>
      <c r="DRO2"/>
      <c r="DRP2"/>
      <c r="DRQ2"/>
      <c r="DRR2"/>
      <c r="DRS2"/>
      <c r="DRT2"/>
      <c r="DRU2"/>
      <c r="DRV2"/>
      <c r="DRW2"/>
      <c r="DRX2"/>
      <c r="DRY2"/>
      <c r="DRZ2"/>
      <c r="DSA2"/>
      <c r="DSB2"/>
      <c r="DSC2"/>
      <c r="DSD2"/>
      <c r="DSE2"/>
      <c r="DSF2"/>
      <c r="DSG2"/>
      <c r="DSH2"/>
      <c r="DSI2"/>
      <c r="DSJ2"/>
      <c r="DSK2"/>
      <c r="DSL2"/>
      <c r="DSM2"/>
      <c r="DSN2"/>
      <c r="DSO2"/>
      <c r="DSP2"/>
      <c r="DSQ2"/>
      <c r="DSR2"/>
      <c r="DSS2"/>
      <c r="DST2"/>
      <c r="DSU2"/>
      <c r="DSV2"/>
      <c r="DSW2"/>
      <c r="DSX2"/>
      <c r="DSY2"/>
      <c r="DSZ2"/>
      <c r="DTA2"/>
      <c r="DTB2"/>
      <c r="DTC2"/>
      <c r="DTD2"/>
      <c r="DTE2"/>
      <c r="DTF2"/>
      <c r="DTG2"/>
      <c r="DTH2"/>
      <c r="DTI2"/>
      <c r="DTJ2"/>
      <c r="DTK2"/>
      <c r="DTL2"/>
      <c r="DTM2"/>
      <c r="DTN2"/>
      <c r="DTO2"/>
      <c r="DTP2"/>
      <c r="DTQ2"/>
      <c r="DTR2"/>
      <c r="DTS2"/>
      <c r="DTT2"/>
      <c r="DTU2"/>
      <c r="DTV2"/>
      <c r="DTW2"/>
      <c r="DTX2"/>
      <c r="DTY2"/>
      <c r="DTZ2"/>
      <c r="DUA2"/>
      <c r="DUB2"/>
      <c r="DUC2"/>
      <c r="DUD2"/>
      <c r="DUE2"/>
      <c r="DUF2"/>
      <c r="DUG2"/>
      <c r="DUH2"/>
      <c r="DUI2"/>
      <c r="DUJ2"/>
      <c r="DUK2"/>
      <c r="DUL2"/>
      <c r="DUM2"/>
      <c r="DUN2"/>
      <c r="DUO2"/>
      <c r="DUP2"/>
      <c r="DUQ2"/>
      <c r="DUR2"/>
      <c r="DUS2"/>
      <c r="DUT2"/>
      <c r="DUU2"/>
      <c r="DUV2"/>
      <c r="DUW2"/>
      <c r="DUX2"/>
      <c r="DUY2"/>
      <c r="DUZ2"/>
      <c r="DVA2"/>
      <c r="DVB2"/>
      <c r="DVC2"/>
      <c r="DVD2"/>
      <c r="DVE2"/>
      <c r="DVF2"/>
      <c r="DVG2"/>
      <c r="DVH2"/>
      <c r="DVI2"/>
      <c r="DVJ2"/>
      <c r="DVK2"/>
      <c r="DVL2"/>
      <c r="DVM2"/>
      <c r="DVN2"/>
      <c r="DVO2"/>
      <c r="DVP2"/>
      <c r="DVQ2"/>
      <c r="DVR2"/>
      <c r="DVS2"/>
      <c r="DVT2"/>
      <c r="DVU2"/>
      <c r="DVV2"/>
      <c r="DVW2"/>
      <c r="DVX2"/>
      <c r="DVY2"/>
      <c r="DVZ2"/>
      <c r="DWA2"/>
      <c r="DWB2"/>
      <c r="DWC2"/>
      <c r="DWD2"/>
      <c r="DWE2"/>
      <c r="DWF2"/>
      <c r="DWG2"/>
      <c r="DWH2"/>
      <c r="DWI2"/>
      <c r="DWJ2"/>
      <c r="DWK2"/>
      <c r="DWL2"/>
      <c r="DWM2"/>
      <c r="DWN2"/>
      <c r="DWO2"/>
      <c r="DWP2"/>
      <c r="DWQ2"/>
      <c r="DWR2"/>
      <c r="DWS2"/>
      <c r="DWT2"/>
      <c r="DWU2"/>
      <c r="DWV2"/>
      <c r="DWW2"/>
      <c r="DWX2"/>
      <c r="DWY2"/>
      <c r="DWZ2"/>
      <c r="DXA2"/>
      <c r="DXB2"/>
      <c r="DXC2"/>
      <c r="DXD2"/>
      <c r="DXE2"/>
      <c r="DXF2"/>
      <c r="DXG2"/>
      <c r="DXH2"/>
      <c r="DXI2"/>
      <c r="DXJ2"/>
      <c r="DXK2"/>
      <c r="DXL2"/>
      <c r="DXM2"/>
      <c r="DXN2"/>
      <c r="DXO2"/>
      <c r="DXP2"/>
      <c r="DXQ2"/>
      <c r="DXR2"/>
      <c r="DXS2"/>
      <c r="DXT2"/>
      <c r="DXU2"/>
      <c r="DXV2"/>
      <c r="DXW2"/>
      <c r="DXX2"/>
      <c r="DXY2"/>
      <c r="DXZ2"/>
      <c r="DYA2"/>
      <c r="DYB2"/>
      <c r="DYC2"/>
      <c r="DYD2"/>
      <c r="DYE2"/>
      <c r="DYF2"/>
      <c r="DYG2"/>
      <c r="DYH2"/>
      <c r="DYI2"/>
      <c r="DYJ2"/>
      <c r="DYK2"/>
      <c r="DYL2"/>
      <c r="DYM2"/>
      <c r="DYN2"/>
      <c r="DYO2"/>
      <c r="DYP2"/>
      <c r="DYQ2"/>
      <c r="DYR2"/>
      <c r="DYS2"/>
      <c r="DYT2"/>
      <c r="DYU2"/>
      <c r="DYV2"/>
      <c r="DYW2"/>
      <c r="DYX2"/>
      <c r="DYY2"/>
      <c r="DYZ2"/>
      <c r="DZA2"/>
      <c r="DZB2"/>
      <c r="DZC2"/>
      <c r="DZD2"/>
      <c r="DZE2"/>
      <c r="DZF2"/>
      <c r="DZG2"/>
      <c r="DZH2"/>
      <c r="DZI2"/>
      <c r="DZJ2"/>
      <c r="DZK2"/>
      <c r="DZL2"/>
      <c r="DZM2"/>
      <c r="DZN2"/>
      <c r="DZO2"/>
      <c r="DZP2"/>
      <c r="DZQ2"/>
      <c r="DZR2"/>
      <c r="DZS2"/>
      <c r="DZT2"/>
      <c r="DZU2"/>
      <c r="DZV2"/>
      <c r="DZW2"/>
      <c r="DZX2"/>
      <c r="DZY2"/>
      <c r="DZZ2"/>
      <c r="EAA2"/>
      <c r="EAB2"/>
      <c r="EAC2"/>
      <c r="EAD2"/>
      <c r="EAE2"/>
      <c r="EAF2"/>
      <c r="EAG2"/>
      <c r="EAH2"/>
      <c r="EAI2"/>
      <c r="EAJ2"/>
      <c r="EAK2"/>
      <c r="EAL2"/>
      <c r="EAM2"/>
      <c r="EAN2"/>
      <c r="EAO2"/>
      <c r="EAP2"/>
      <c r="EAQ2"/>
      <c r="EAR2"/>
      <c r="EAS2"/>
      <c r="EAT2"/>
      <c r="EAU2"/>
      <c r="EAV2"/>
      <c r="EAW2"/>
      <c r="EAX2"/>
      <c r="EAY2"/>
      <c r="EAZ2"/>
      <c r="EBA2"/>
      <c r="EBB2"/>
      <c r="EBC2"/>
      <c r="EBD2"/>
      <c r="EBE2"/>
      <c r="EBF2"/>
      <c r="EBG2"/>
      <c r="EBH2"/>
      <c r="EBI2"/>
      <c r="EBJ2"/>
      <c r="EBK2"/>
      <c r="EBL2"/>
      <c r="EBM2"/>
      <c r="EBN2"/>
      <c r="EBO2"/>
      <c r="EBP2"/>
      <c r="EBQ2"/>
      <c r="EBR2"/>
      <c r="EBS2"/>
      <c r="EBT2"/>
      <c r="EBU2"/>
      <c r="EBV2"/>
      <c r="EBW2"/>
      <c r="EBX2"/>
      <c r="EBY2"/>
      <c r="EBZ2"/>
      <c r="ECA2"/>
      <c r="ECB2"/>
      <c r="ECC2"/>
      <c r="ECD2"/>
      <c r="ECE2"/>
      <c r="ECF2"/>
      <c r="ECG2"/>
      <c r="ECH2"/>
      <c r="ECI2"/>
      <c r="ECJ2"/>
      <c r="ECK2"/>
      <c r="ECL2"/>
      <c r="ECM2"/>
      <c r="ECN2"/>
      <c r="ECO2"/>
      <c r="ECP2"/>
      <c r="ECQ2"/>
      <c r="ECR2"/>
      <c r="ECS2"/>
      <c r="ECT2"/>
      <c r="ECU2"/>
      <c r="ECV2"/>
      <c r="ECW2"/>
      <c r="ECX2"/>
      <c r="ECY2"/>
      <c r="ECZ2"/>
      <c r="EDA2"/>
      <c r="EDB2"/>
      <c r="EDC2"/>
      <c r="EDD2"/>
      <c r="EDE2"/>
      <c r="EDF2"/>
      <c r="EDG2"/>
      <c r="EDH2"/>
      <c r="EDI2"/>
      <c r="EDJ2"/>
      <c r="EDK2"/>
      <c r="EDL2"/>
      <c r="EDM2"/>
      <c r="EDN2"/>
      <c r="EDO2"/>
      <c r="EDP2"/>
      <c r="EDQ2"/>
      <c r="EDR2"/>
      <c r="EDS2"/>
      <c r="EDT2"/>
      <c r="EDU2"/>
      <c r="EDV2"/>
      <c r="EDW2"/>
      <c r="EDX2"/>
      <c r="EDY2"/>
      <c r="EDZ2"/>
      <c r="EEA2"/>
      <c r="EEB2"/>
      <c r="EEC2"/>
      <c r="EED2"/>
      <c r="EEE2"/>
      <c r="EEF2"/>
      <c r="EEG2"/>
      <c r="EEH2"/>
      <c r="EEI2"/>
      <c r="EEJ2"/>
      <c r="EEK2"/>
      <c r="EEL2"/>
      <c r="EEM2"/>
      <c r="EEN2"/>
      <c r="EEO2"/>
      <c r="EEP2"/>
      <c r="EEQ2"/>
      <c r="EER2"/>
      <c r="EES2"/>
      <c r="EET2"/>
      <c r="EEU2"/>
      <c r="EEV2"/>
      <c r="EEW2"/>
      <c r="EEX2"/>
      <c r="EEY2"/>
      <c r="EEZ2"/>
      <c r="EFA2"/>
      <c r="EFB2"/>
      <c r="EFC2"/>
      <c r="EFD2"/>
      <c r="EFE2"/>
      <c r="EFF2"/>
      <c r="EFG2"/>
      <c r="EFH2"/>
      <c r="EFI2"/>
      <c r="EFJ2"/>
      <c r="EFK2"/>
      <c r="EFL2"/>
      <c r="EFM2"/>
      <c r="EFN2"/>
      <c r="EFO2"/>
      <c r="EFP2"/>
      <c r="EFQ2"/>
      <c r="EFR2"/>
      <c r="EFS2"/>
      <c r="EFT2"/>
      <c r="EFU2"/>
      <c r="EFV2"/>
      <c r="EFW2"/>
      <c r="EFX2"/>
      <c r="EFY2"/>
      <c r="EFZ2"/>
      <c r="EGA2"/>
      <c r="EGB2"/>
      <c r="EGC2"/>
      <c r="EGD2"/>
      <c r="EGE2"/>
      <c r="EGF2"/>
      <c r="EGG2"/>
      <c r="EGH2"/>
      <c r="EGI2"/>
      <c r="EGJ2"/>
      <c r="EGK2"/>
      <c r="EGL2"/>
      <c r="EGM2"/>
      <c r="EGN2"/>
      <c r="EGO2"/>
      <c r="EGP2"/>
      <c r="EGQ2"/>
      <c r="EGR2"/>
      <c r="EGS2"/>
      <c r="EGT2"/>
      <c r="EGU2"/>
      <c r="EGV2"/>
      <c r="EGW2"/>
      <c r="EGX2"/>
      <c r="EGY2"/>
      <c r="EGZ2"/>
      <c r="EHA2"/>
      <c r="EHB2"/>
      <c r="EHC2"/>
      <c r="EHD2"/>
      <c r="EHE2"/>
      <c r="EHF2"/>
      <c r="EHG2"/>
      <c r="EHH2"/>
      <c r="EHI2"/>
      <c r="EHJ2"/>
      <c r="EHK2"/>
      <c r="EHL2"/>
      <c r="EHM2"/>
      <c r="EHN2"/>
      <c r="EHO2"/>
      <c r="EHP2"/>
      <c r="EHQ2"/>
      <c r="EHR2"/>
      <c r="EHS2"/>
      <c r="EHT2"/>
      <c r="EHU2"/>
      <c r="EHV2"/>
      <c r="EHW2"/>
      <c r="EHX2"/>
      <c r="EHY2"/>
      <c r="EHZ2"/>
      <c r="EIA2"/>
      <c r="EIB2"/>
      <c r="EIC2"/>
      <c r="EID2"/>
      <c r="EIE2"/>
      <c r="EIF2"/>
      <c r="EIG2"/>
      <c r="EIH2"/>
      <c r="EII2"/>
      <c r="EIJ2"/>
      <c r="EIK2"/>
      <c r="EIL2"/>
      <c r="EIM2"/>
      <c r="EIN2"/>
      <c r="EIO2"/>
      <c r="EIP2"/>
      <c r="EIQ2"/>
      <c r="EIR2"/>
      <c r="EIS2"/>
      <c r="EIT2"/>
      <c r="EIU2"/>
      <c r="EIV2"/>
      <c r="EIW2"/>
      <c r="EIX2"/>
      <c r="EIY2"/>
      <c r="EIZ2"/>
      <c r="EJA2"/>
      <c r="EJB2"/>
      <c r="EJC2"/>
      <c r="EJD2"/>
      <c r="EJE2"/>
      <c r="EJF2"/>
      <c r="EJG2"/>
      <c r="EJH2"/>
      <c r="EJI2"/>
      <c r="EJJ2"/>
      <c r="EJK2"/>
      <c r="EJL2"/>
      <c r="EJM2"/>
      <c r="EJN2"/>
      <c r="EJO2"/>
      <c r="EJP2"/>
      <c r="EJQ2"/>
      <c r="EJR2"/>
      <c r="EJS2"/>
      <c r="EJT2"/>
      <c r="EJU2"/>
      <c r="EJV2"/>
      <c r="EJW2"/>
      <c r="EJX2"/>
      <c r="EJY2"/>
      <c r="EJZ2"/>
      <c r="EKA2"/>
      <c r="EKB2"/>
      <c r="EKC2"/>
      <c r="EKD2"/>
      <c r="EKE2"/>
      <c r="EKF2"/>
      <c r="EKG2"/>
      <c r="EKH2"/>
      <c r="EKI2"/>
      <c r="EKJ2"/>
      <c r="EKK2"/>
      <c r="EKL2"/>
      <c r="EKM2"/>
      <c r="EKN2"/>
      <c r="EKO2"/>
      <c r="EKP2"/>
      <c r="EKQ2"/>
      <c r="EKR2"/>
      <c r="EKS2"/>
      <c r="EKT2"/>
      <c r="EKU2"/>
      <c r="EKV2"/>
      <c r="EKW2"/>
      <c r="EKX2"/>
      <c r="EKY2"/>
      <c r="EKZ2"/>
      <c r="ELA2"/>
      <c r="ELB2"/>
      <c r="ELC2"/>
      <c r="ELD2"/>
      <c r="ELE2"/>
      <c r="ELF2"/>
      <c r="ELG2"/>
      <c r="ELH2"/>
      <c r="ELI2"/>
      <c r="ELJ2"/>
      <c r="ELK2"/>
      <c r="ELL2"/>
      <c r="ELM2"/>
      <c r="ELN2"/>
      <c r="ELO2"/>
      <c r="ELP2"/>
      <c r="ELQ2"/>
      <c r="ELR2"/>
      <c r="ELS2"/>
      <c r="ELT2"/>
      <c r="ELU2"/>
      <c r="ELV2"/>
      <c r="ELW2"/>
      <c r="ELX2"/>
      <c r="ELY2"/>
      <c r="ELZ2"/>
      <c r="EMA2"/>
      <c r="EMB2"/>
      <c r="EMC2"/>
      <c r="EMD2"/>
      <c r="EME2"/>
      <c r="EMF2"/>
      <c r="EMG2"/>
      <c r="EMH2"/>
      <c r="EMI2"/>
      <c r="EMJ2"/>
      <c r="EMK2"/>
      <c r="EML2"/>
      <c r="EMM2"/>
      <c r="EMN2"/>
      <c r="EMO2"/>
      <c r="EMP2"/>
      <c r="EMQ2"/>
      <c r="EMR2"/>
      <c r="EMS2"/>
      <c r="EMT2"/>
      <c r="EMU2"/>
      <c r="EMV2"/>
      <c r="EMW2"/>
      <c r="EMX2"/>
      <c r="EMY2"/>
      <c r="EMZ2"/>
      <c r="ENA2"/>
      <c r="ENB2"/>
      <c r="ENC2"/>
      <c r="END2"/>
      <c r="ENE2"/>
      <c r="ENF2"/>
      <c r="ENG2"/>
      <c r="ENH2"/>
      <c r="ENI2"/>
      <c r="ENJ2"/>
      <c r="ENK2"/>
      <c r="ENL2"/>
      <c r="ENM2"/>
      <c r="ENN2"/>
      <c r="ENO2"/>
      <c r="ENP2"/>
      <c r="ENQ2"/>
      <c r="ENR2"/>
      <c r="ENS2"/>
      <c r="ENT2"/>
      <c r="ENU2"/>
      <c r="ENV2"/>
      <c r="ENW2"/>
      <c r="ENX2"/>
      <c r="ENY2"/>
      <c r="ENZ2"/>
      <c r="EOA2"/>
      <c r="EOB2"/>
      <c r="EOC2"/>
      <c r="EOD2"/>
      <c r="EOE2"/>
      <c r="EOF2"/>
      <c r="EOG2"/>
      <c r="EOH2"/>
      <c r="EOI2"/>
      <c r="EOJ2"/>
      <c r="EOK2"/>
      <c r="EOL2"/>
      <c r="EOM2"/>
      <c r="EON2"/>
      <c r="EOO2"/>
      <c r="EOP2"/>
      <c r="EOQ2"/>
      <c r="EOR2"/>
      <c r="EOS2"/>
      <c r="EOT2"/>
      <c r="EOU2"/>
      <c r="EOV2"/>
      <c r="EOW2"/>
      <c r="EOX2"/>
      <c r="EOY2"/>
      <c r="EOZ2"/>
      <c r="EPA2"/>
      <c r="EPB2"/>
      <c r="EPC2"/>
      <c r="EPD2"/>
      <c r="EPE2"/>
      <c r="EPF2"/>
      <c r="EPG2"/>
      <c r="EPH2"/>
      <c r="EPI2"/>
      <c r="EPJ2"/>
      <c r="EPK2"/>
      <c r="EPL2"/>
      <c r="EPM2"/>
      <c r="EPN2"/>
      <c r="EPO2"/>
      <c r="EPP2"/>
      <c r="EPQ2"/>
      <c r="EPR2"/>
      <c r="EPS2"/>
      <c r="EPT2"/>
      <c r="EPU2"/>
      <c r="EPV2"/>
      <c r="EPW2"/>
      <c r="EPX2"/>
      <c r="EPY2"/>
      <c r="EPZ2"/>
      <c r="EQA2"/>
      <c r="EQB2"/>
      <c r="EQC2"/>
      <c r="EQD2"/>
      <c r="EQE2"/>
      <c r="EQF2"/>
      <c r="EQG2"/>
      <c r="EQH2"/>
      <c r="EQI2"/>
      <c r="EQJ2"/>
      <c r="EQK2"/>
      <c r="EQL2"/>
      <c r="EQM2"/>
      <c r="EQN2"/>
      <c r="EQO2"/>
      <c r="EQP2"/>
      <c r="EQQ2"/>
      <c r="EQR2"/>
      <c r="EQS2"/>
      <c r="EQT2"/>
      <c r="EQU2"/>
      <c r="EQV2"/>
      <c r="EQW2"/>
      <c r="EQX2"/>
      <c r="EQY2"/>
      <c r="EQZ2"/>
      <c r="ERA2"/>
      <c r="ERB2"/>
      <c r="ERC2"/>
      <c r="ERD2"/>
      <c r="ERE2"/>
      <c r="ERF2"/>
      <c r="ERG2"/>
      <c r="ERH2"/>
      <c r="ERI2"/>
      <c r="ERJ2"/>
      <c r="ERK2"/>
      <c r="ERL2"/>
      <c r="ERM2"/>
      <c r="ERN2"/>
      <c r="ERO2"/>
      <c r="ERP2"/>
      <c r="ERQ2"/>
      <c r="ERR2"/>
      <c r="ERS2"/>
      <c r="ERT2"/>
      <c r="ERU2"/>
      <c r="ERV2"/>
      <c r="ERW2"/>
      <c r="ERX2"/>
      <c r="ERY2"/>
      <c r="ERZ2"/>
      <c r="ESA2"/>
      <c r="ESB2"/>
      <c r="ESC2"/>
      <c r="ESD2"/>
      <c r="ESE2"/>
      <c r="ESF2"/>
      <c r="ESG2"/>
      <c r="ESH2"/>
      <c r="ESI2"/>
      <c r="ESJ2"/>
      <c r="ESK2"/>
      <c r="ESL2"/>
      <c r="ESM2"/>
      <c r="ESN2"/>
      <c r="ESO2"/>
      <c r="ESP2"/>
      <c r="ESQ2"/>
      <c r="ESR2"/>
      <c r="ESS2"/>
      <c r="EST2"/>
      <c r="ESU2"/>
      <c r="ESV2"/>
      <c r="ESW2"/>
      <c r="ESX2"/>
      <c r="ESY2"/>
      <c r="ESZ2"/>
      <c r="ETA2"/>
      <c r="ETB2"/>
      <c r="ETC2"/>
      <c r="ETD2"/>
      <c r="ETE2"/>
      <c r="ETF2"/>
      <c r="ETG2"/>
      <c r="ETH2"/>
      <c r="ETI2"/>
      <c r="ETJ2"/>
      <c r="ETK2"/>
      <c r="ETL2"/>
      <c r="ETM2"/>
      <c r="ETN2"/>
      <c r="ETO2"/>
      <c r="ETP2"/>
      <c r="ETQ2"/>
      <c r="ETR2"/>
      <c r="ETS2"/>
      <c r="ETT2"/>
      <c r="ETU2"/>
      <c r="ETV2"/>
      <c r="ETW2"/>
      <c r="ETX2"/>
      <c r="ETY2"/>
      <c r="ETZ2"/>
      <c r="EUA2"/>
      <c r="EUB2"/>
      <c r="EUC2"/>
      <c r="EUD2"/>
      <c r="EUE2"/>
      <c r="EUF2"/>
      <c r="EUG2"/>
      <c r="EUH2"/>
      <c r="EUI2"/>
      <c r="EUJ2"/>
      <c r="EUK2"/>
      <c r="EUL2"/>
      <c r="EUM2"/>
      <c r="EUN2"/>
      <c r="EUO2"/>
      <c r="EUP2"/>
      <c r="EUQ2"/>
      <c r="EUR2"/>
      <c r="EUS2"/>
      <c r="EUT2"/>
      <c r="EUU2"/>
      <c r="EUV2"/>
      <c r="EUW2"/>
      <c r="EUX2"/>
      <c r="EUY2"/>
      <c r="EUZ2"/>
      <c r="EVA2"/>
      <c r="EVB2"/>
      <c r="EVC2"/>
      <c r="EVD2"/>
      <c r="EVE2"/>
      <c r="EVF2"/>
      <c r="EVG2"/>
      <c r="EVH2"/>
      <c r="EVI2"/>
      <c r="EVJ2"/>
      <c r="EVK2"/>
      <c r="EVL2"/>
      <c r="EVM2"/>
      <c r="EVN2"/>
      <c r="EVO2"/>
      <c r="EVP2"/>
      <c r="EVQ2"/>
      <c r="EVR2"/>
      <c r="EVS2"/>
      <c r="EVT2"/>
      <c r="EVU2"/>
      <c r="EVV2"/>
      <c r="EVW2"/>
      <c r="EVX2"/>
      <c r="EVY2"/>
      <c r="EVZ2"/>
      <c r="EWA2"/>
      <c r="EWB2"/>
      <c r="EWC2"/>
      <c r="EWD2"/>
      <c r="EWE2"/>
      <c r="EWF2"/>
      <c r="EWG2"/>
      <c r="EWH2"/>
      <c r="EWI2"/>
      <c r="EWJ2"/>
      <c r="EWK2"/>
      <c r="EWL2"/>
      <c r="EWM2"/>
      <c r="EWN2"/>
      <c r="EWO2"/>
      <c r="EWP2"/>
      <c r="EWQ2"/>
      <c r="EWR2"/>
      <c r="EWS2"/>
      <c r="EWT2"/>
      <c r="EWU2"/>
      <c r="EWV2"/>
      <c r="EWW2"/>
      <c r="EWX2"/>
      <c r="EWY2"/>
      <c r="EWZ2"/>
      <c r="EXA2"/>
      <c r="EXB2"/>
      <c r="EXC2"/>
      <c r="EXD2"/>
      <c r="EXE2"/>
      <c r="EXF2"/>
      <c r="EXG2"/>
      <c r="EXH2"/>
      <c r="EXI2"/>
      <c r="EXJ2"/>
      <c r="EXK2"/>
      <c r="EXL2"/>
      <c r="EXM2"/>
      <c r="EXN2"/>
      <c r="EXO2"/>
      <c r="EXP2"/>
      <c r="EXQ2"/>
      <c r="EXR2"/>
      <c r="EXS2"/>
      <c r="EXT2"/>
      <c r="EXU2"/>
      <c r="EXV2"/>
      <c r="EXW2"/>
      <c r="EXX2"/>
      <c r="EXY2"/>
      <c r="EXZ2"/>
      <c r="EYA2"/>
      <c r="EYB2"/>
      <c r="EYC2"/>
      <c r="EYD2"/>
      <c r="EYE2"/>
      <c r="EYF2"/>
      <c r="EYG2"/>
      <c r="EYH2"/>
      <c r="EYI2"/>
      <c r="EYJ2"/>
      <c r="EYK2"/>
      <c r="EYL2"/>
      <c r="EYM2"/>
      <c r="EYN2"/>
      <c r="EYO2"/>
      <c r="EYP2"/>
      <c r="EYQ2"/>
      <c r="EYR2"/>
      <c r="EYS2"/>
      <c r="EYT2"/>
      <c r="EYU2"/>
      <c r="EYV2"/>
      <c r="EYW2"/>
      <c r="EYX2"/>
      <c r="EYY2"/>
      <c r="EYZ2"/>
      <c r="EZA2"/>
      <c r="EZB2"/>
      <c r="EZC2"/>
      <c r="EZD2"/>
      <c r="EZE2"/>
      <c r="EZF2"/>
      <c r="EZG2"/>
      <c r="EZH2"/>
      <c r="EZI2"/>
      <c r="EZJ2"/>
      <c r="EZK2"/>
      <c r="EZL2"/>
      <c r="EZM2"/>
      <c r="EZN2"/>
      <c r="EZO2"/>
      <c r="EZP2"/>
      <c r="EZQ2"/>
      <c r="EZR2"/>
      <c r="EZS2"/>
      <c r="EZT2"/>
      <c r="EZU2"/>
      <c r="EZV2"/>
      <c r="EZW2"/>
      <c r="EZX2"/>
      <c r="EZY2"/>
      <c r="EZZ2"/>
      <c r="FAA2"/>
      <c r="FAB2"/>
      <c r="FAC2"/>
      <c r="FAD2"/>
      <c r="FAE2"/>
      <c r="FAF2"/>
      <c r="FAG2"/>
      <c r="FAH2"/>
      <c r="FAI2"/>
      <c r="FAJ2"/>
      <c r="FAK2"/>
      <c r="FAL2"/>
      <c r="FAM2"/>
      <c r="FAN2"/>
      <c r="FAO2"/>
      <c r="FAP2"/>
      <c r="FAQ2"/>
      <c r="FAR2"/>
      <c r="FAS2"/>
      <c r="FAT2"/>
      <c r="FAU2"/>
      <c r="FAV2"/>
      <c r="FAW2"/>
      <c r="FAX2"/>
      <c r="FAY2"/>
      <c r="FAZ2"/>
      <c r="FBA2"/>
      <c r="FBB2"/>
      <c r="FBC2"/>
      <c r="FBD2"/>
      <c r="FBE2"/>
      <c r="FBF2"/>
      <c r="FBG2"/>
      <c r="FBH2"/>
      <c r="FBI2"/>
      <c r="FBJ2"/>
      <c r="FBK2"/>
      <c r="FBL2"/>
      <c r="FBM2"/>
      <c r="FBN2"/>
      <c r="FBO2"/>
      <c r="FBP2"/>
      <c r="FBQ2"/>
      <c r="FBR2"/>
      <c r="FBS2"/>
      <c r="FBT2"/>
      <c r="FBU2"/>
      <c r="FBV2"/>
      <c r="FBW2"/>
      <c r="FBX2"/>
      <c r="FBY2"/>
      <c r="FBZ2"/>
      <c r="FCA2"/>
      <c r="FCB2"/>
      <c r="FCC2"/>
      <c r="FCD2"/>
      <c r="FCE2"/>
      <c r="FCF2"/>
      <c r="FCG2"/>
      <c r="FCH2"/>
      <c r="FCI2"/>
      <c r="FCJ2"/>
      <c r="FCK2"/>
      <c r="FCL2"/>
      <c r="FCM2"/>
      <c r="FCN2"/>
      <c r="FCO2"/>
      <c r="FCP2"/>
      <c r="FCQ2"/>
      <c r="FCR2"/>
      <c r="FCS2"/>
      <c r="FCT2"/>
      <c r="FCU2"/>
      <c r="FCV2"/>
      <c r="FCW2"/>
      <c r="FCX2"/>
      <c r="FCY2"/>
      <c r="FCZ2"/>
      <c r="FDA2"/>
      <c r="FDB2"/>
      <c r="FDC2"/>
      <c r="FDD2"/>
      <c r="FDE2"/>
      <c r="FDF2"/>
      <c r="FDG2"/>
      <c r="FDH2"/>
      <c r="FDI2"/>
      <c r="FDJ2"/>
      <c r="FDK2"/>
      <c r="FDL2"/>
      <c r="FDM2"/>
      <c r="FDN2"/>
      <c r="FDO2"/>
      <c r="FDP2"/>
      <c r="FDQ2"/>
      <c r="FDR2"/>
      <c r="FDS2"/>
      <c r="FDT2"/>
      <c r="FDU2"/>
      <c r="FDV2"/>
      <c r="FDW2"/>
      <c r="FDX2"/>
      <c r="FDY2"/>
      <c r="FDZ2"/>
      <c r="FEA2"/>
      <c r="FEB2"/>
      <c r="FEC2"/>
      <c r="FED2"/>
      <c r="FEE2"/>
      <c r="FEF2"/>
      <c r="FEG2"/>
      <c r="FEH2"/>
      <c r="FEI2"/>
      <c r="FEJ2"/>
      <c r="FEK2"/>
      <c r="FEL2"/>
      <c r="FEM2"/>
      <c r="FEN2"/>
      <c r="FEO2"/>
      <c r="FEP2"/>
      <c r="FEQ2"/>
      <c r="FER2"/>
      <c r="FES2"/>
      <c r="FET2"/>
      <c r="FEU2"/>
      <c r="FEV2"/>
      <c r="FEW2"/>
      <c r="FEX2"/>
      <c r="FEY2"/>
      <c r="FEZ2"/>
      <c r="FFA2"/>
      <c r="FFB2"/>
      <c r="FFC2"/>
      <c r="FFD2"/>
      <c r="FFE2"/>
      <c r="FFF2"/>
      <c r="FFG2"/>
      <c r="FFH2"/>
      <c r="FFI2"/>
      <c r="FFJ2"/>
      <c r="FFK2"/>
      <c r="FFL2"/>
      <c r="FFM2"/>
      <c r="FFN2"/>
      <c r="FFO2"/>
      <c r="FFP2"/>
      <c r="FFQ2"/>
      <c r="FFR2"/>
      <c r="FFS2"/>
      <c r="FFT2"/>
      <c r="FFU2"/>
      <c r="FFV2"/>
      <c r="FFW2"/>
      <c r="FFX2"/>
      <c r="FFY2"/>
      <c r="FFZ2"/>
      <c r="FGA2"/>
      <c r="FGB2"/>
      <c r="FGC2"/>
      <c r="FGD2"/>
      <c r="FGE2"/>
      <c r="FGF2"/>
      <c r="FGG2"/>
      <c r="FGH2"/>
      <c r="FGI2"/>
      <c r="FGJ2"/>
      <c r="FGK2"/>
      <c r="FGL2"/>
      <c r="FGM2"/>
      <c r="FGN2"/>
      <c r="FGO2"/>
      <c r="FGP2"/>
      <c r="FGQ2"/>
      <c r="FGR2"/>
      <c r="FGS2"/>
      <c r="FGT2"/>
      <c r="FGU2"/>
      <c r="FGV2"/>
      <c r="FGW2"/>
      <c r="FGX2"/>
      <c r="FGY2"/>
      <c r="FGZ2"/>
      <c r="FHA2"/>
      <c r="FHB2"/>
      <c r="FHC2"/>
      <c r="FHD2"/>
      <c r="FHE2"/>
      <c r="FHF2"/>
      <c r="FHG2"/>
      <c r="FHH2"/>
      <c r="FHI2"/>
      <c r="FHJ2"/>
      <c r="FHK2"/>
      <c r="FHL2"/>
      <c r="FHM2"/>
      <c r="FHN2"/>
      <c r="FHO2"/>
      <c r="FHP2"/>
      <c r="FHQ2"/>
      <c r="FHR2"/>
      <c r="FHS2"/>
      <c r="FHT2"/>
      <c r="FHU2"/>
      <c r="FHV2"/>
      <c r="FHW2"/>
      <c r="FHX2"/>
      <c r="FHY2"/>
      <c r="FHZ2"/>
      <c r="FIA2"/>
      <c r="FIB2"/>
      <c r="FIC2"/>
      <c r="FID2"/>
      <c r="FIE2"/>
      <c r="FIF2"/>
      <c r="FIG2"/>
      <c r="FIH2"/>
      <c r="FII2"/>
      <c r="FIJ2"/>
      <c r="FIK2"/>
      <c r="FIL2"/>
      <c r="FIM2"/>
      <c r="FIN2"/>
      <c r="FIO2"/>
      <c r="FIP2"/>
      <c r="FIQ2"/>
      <c r="FIR2"/>
      <c r="FIS2"/>
      <c r="FIT2"/>
      <c r="FIU2"/>
      <c r="FIV2"/>
      <c r="FIW2"/>
      <c r="FIX2"/>
      <c r="FIY2"/>
      <c r="FIZ2"/>
      <c r="FJA2"/>
      <c r="FJB2"/>
      <c r="FJC2"/>
      <c r="FJD2"/>
      <c r="FJE2"/>
      <c r="FJF2"/>
      <c r="FJG2"/>
      <c r="FJH2"/>
      <c r="FJI2"/>
      <c r="FJJ2"/>
      <c r="FJK2"/>
      <c r="FJL2"/>
      <c r="FJM2"/>
      <c r="FJN2"/>
      <c r="FJO2"/>
      <c r="FJP2"/>
      <c r="FJQ2"/>
      <c r="FJR2"/>
      <c r="FJS2"/>
      <c r="FJT2"/>
      <c r="FJU2"/>
      <c r="FJV2"/>
      <c r="FJW2"/>
      <c r="FJX2"/>
      <c r="FJY2"/>
      <c r="FJZ2"/>
      <c r="FKA2"/>
      <c r="FKB2"/>
      <c r="FKC2"/>
      <c r="FKD2"/>
      <c r="FKE2"/>
      <c r="FKF2"/>
      <c r="FKG2"/>
      <c r="FKH2"/>
      <c r="FKI2"/>
      <c r="FKJ2"/>
      <c r="FKK2"/>
      <c r="FKL2"/>
      <c r="FKM2"/>
      <c r="FKN2"/>
      <c r="FKO2"/>
      <c r="FKP2"/>
      <c r="FKQ2"/>
      <c r="FKR2"/>
      <c r="FKS2"/>
      <c r="FKT2"/>
      <c r="FKU2"/>
      <c r="FKV2"/>
      <c r="FKW2"/>
      <c r="FKX2"/>
      <c r="FKY2"/>
      <c r="FKZ2"/>
      <c r="FLA2"/>
      <c r="FLB2"/>
      <c r="FLC2"/>
      <c r="FLD2"/>
      <c r="FLE2"/>
      <c r="FLF2"/>
      <c r="FLG2"/>
      <c r="FLH2"/>
      <c r="FLI2"/>
      <c r="FLJ2"/>
      <c r="FLK2"/>
      <c r="FLL2"/>
      <c r="FLM2"/>
      <c r="FLN2"/>
      <c r="FLO2"/>
      <c r="FLP2"/>
      <c r="FLQ2"/>
      <c r="FLR2"/>
      <c r="FLS2"/>
      <c r="FLT2"/>
      <c r="FLU2"/>
      <c r="FLV2"/>
      <c r="FLW2"/>
      <c r="FLX2"/>
      <c r="FLY2"/>
      <c r="FLZ2"/>
      <c r="FMA2"/>
      <c r="FMB2"/>
      <c r="FMC2"/>
      <c r="FMD2"/>
      <c r="FME2"/>
      <c r="FMF2"/>
      <c r="FMG2"/>
      <c r="FMH2"/>
      <c r="FMI2"/>
      <c r="FMJ2"/>
      <c r="FMK2"/>
      <c r="FML2"/>
      <c r="FMM2"/>
      <c r="FMN2"/>
      <c r="FMO2"/>
      <c r="FMP2"/>
      <c r="FMQ2"/>
      <c r="FMR2"/>
      <c r="FMS2"/>
      <c r="FMT2"/>
      <c r="FMU2"/>
      <c r="FMV2"/>
      <c r="FMW2"/>
      <c r="FMX2"/>
      <c r="FMY2"/>
      <c r="FMZ2"/>
      <c r="FNA2"/>
      <c r="FNB2"/>
      <c r="FNC2"/>
      <c r="FND2"/>
      <c r="FNE2"/>
      <c r="FNF2"/>
      <c r="FNG2"/>
      <c r="FNH2"/>
      <c r="FNI2"/>
      <c r="FNJ2"/>
      <c r="FNK2"/>
      <c r="FNL2"/>
      <c r="FNM2"/>
      <c r="FNN2"/>
      <c r="FNO2"/>
      <c r="FNP2"/>
      <c r="FNQ2"/>
      <c r="FNR2"/>
      <c r="FNS2"/>
      <c r="FNT2"/>
      <c r="FNU2"/>
      <c r="FNV2"/>
      <c r="FNW2"/>
      <c r="FNX2"/>
      <c r="FNY2"/>
      <c r="FNZ2"/>
      <c r="FOA2"/>
      <c r="FOB2"/>
      <c r="FOC2"/>
      <c r="FOD2"/>
      <c r="FOE2"/>
      <c r="FOF2"/>
      <c r="FOG2"/>
      <c r="FOH2"/>
      <c r="FOI2"/>
      <c r="FOJ2"/>
      <c r="FOK2"/>
      <c r="FOL2"/>
      <c r="FOM2"/>
      <c r="FON2"/>
      <c r="FOO2"/>
      <c r="FOP2"/>
      <c r="FOQ2"/>
      <c r="FOR2"/>
      <c r="FOS2"/>
      <c r="FOT2"/>
      <c r="FOU2"/>
      <c r="FOV2"/>
      <c r="FOW2"/>
      <c r="FOX2"/>
      <c r="FOY2"/>
      <c r="FOZ2"/>
      <c r="FPA2"/>
      <c r="FPB2"/>
      <c r="FPC2"/>
      <c r="FPD2"/>
      <c r="FPE2"/>
      <c r="FPF2"/>
      <c r="FPG2"/>
      <c r="FPH2"/>
      <c r="FPI2"/>
      <c r="FPJ2"/>
      <c r="FPK2"/>
      <c r="FPL2"/>
      <c r="FPM2"/>
      <c r="FPN2"/>
      <c r="FPO2"/>
      <c r="FPP2"/>
      <c r="FPQ2"/>
      <c r="FPR2"/>
      <c r="FPS2"/>
      <c r="FPT2"/>
      <c r="FPU2"/>
      <c r="FPV2"/>
      <c r="FPW2"/>
      <c r="FPX2"/>
      <c r="FPY2"/>
      <c r="FPZ2"/>
      <c r="FQA2"/>
      <c r="FQB2"/>
      <c r="FQC2"/>
      <c r="FQD2"/>
      <c r="FQE2"/>
      <c r="FQF2"/>
      <c r="FQG2"/>
      <c r="FQH2"/>
      <c r="FQI2"/>
      <c r="FQJ2"/>
      <c r="FQK2"/>
      <c r="FQL2"/>
      <c r="FQM2"/>
      <c r="FQN2"/>
      <c r="FQO2"/>
      <c r="FQP2"/>
      <c r="FQQ2"/>
      <c r="FQR2"/>
      <c r="FQS2"/>
      <c r="FQT2"/>
      <c r="FQU2"/>
      <c r="FQV2"/>
      <c r="FQW2"/>
      <c r="FQX2"/>
      <c r="FQY2"/>
      <c r="FQZ2"/>
      <c r="FRA2"/>
      <c r="FRB2"/>
      <c r="FRC2"/>
      <c r="FRD2"/>
      <c r="FRE2"/>
      <c r="FRF2"/>
      <c r="FRG2"/>
      <c r="FRH2"/>
      <c r="FRI2"/>
      <c r="FRJ2"/>
      <c r="FRK2"/>
      <c r="FRL2"/>
      <c r="FRM2"/>
      <c r="FRN2"/>
      <c r="FRO2"/>
      <c r="FRP2"/>
      <c r="FRQ2"/>
      <c r="FRR2"/>
      <c r="FRS2"/>
      <c r="FRT2"/>
      <c r="FRU2"/>
      <c r="FRV2"/>
      <c r="FRW2"/>
      <c r="FRX2"/>
      <c r="FRY2"/>
      <c r="FRZ2"/>
      <c r="FSA2"/>
      <c r="FSB2"/>
      <c r="FSC2"/>
      <c r="FSD2"/>
      <c r="FSE2"/>
      <c r="FSF2"/>
      <c r="FSG2"/>
      <c r="FSH2"/>
      <c r="FSI2"/>
      <c r="FSJ2"/>
      <c r="FSK2"/>
      <c r="FSL2"/>
      <c r="FSM2"/>
      <c r="FSN2"/>
      <c r="FSO2"/>
      <c r="FSP2"/>
      <c r="FSQ2"/>
      <c r="FSR2"/>
      <c r="FSS2"/>
      <c r="FST2"/>
      <c r="FSU2"/>
      <c r="FSV2"/>
      <c r="FSW2"/>
      <c r="FSX2"/>
      <c r="FSY2"/>
      <c r="FSZ2"/>
      <c r="FTA2"/>
      <c r="FTB2"/>
      <c r="FTC2"/>
      <c r="FTD2"/>
      <c r="FTE2"/>
      <c r="FTF2"/>
      <c r="FTG2"/>
      <c r="FTH2"/>
      <c r="FTI2"/>
      <c r="FTJ2"/>
      <c r="FTK2"/>
      <c r="FTL2"/>
      <c r="FTM2"/>
      <c r="FTN2"/>
      <c r="FTO2"/>
      <c r="FTP2"/>
      <c r="FTQ2"/>
      <c r="FTR2"/>
      <c r="FTS2"/>
      <c r="FTT2"/>
      <c r="FTU2"/>
      <c r="FTV2"/>
      <c r="FTW2"/>
      <c r="FTX2"/>
      <c r="FTY2"/>
      <c r="FTZ2"/>
      <c r="FUA2"/>
      <c r="FUB2"/>
      <c r="FUC2"/>
      <c r="FUD2"/>
      <c r="FUE2"/>
      <c r="FUF2"/>
      <c r="FUG2"/>
      <c r="FUH2"/>
      <c r="FUI2"/>
      <c r="FUJ2"/>
      <c r="FUK2"/>
      <c r="FUL2"/>
      <c r="FUM2"/>
      <c r="FUN2"/>
      <c r="FUO2"/>
      <c r="FUP2"/>
      <c r="FUQ2"/>
      <c r="FUR2"/>
      <c r="FUS2"/>
      <c r="FUT2"/>
      <c r="FUU2"/>
      <c r="FUV2"/>
      <c r="FUW2"/>
      <c r="FUX2"/>
      <c r="FUY2"/>
      <c r="FUZ2"/>
      <c r="FVA2"/>
      <c r="FVB2"/>
      <c r="FVC2"/>
      <c r="FVD2"/>
      <c r="FVE2"/>
      <c r="FVF2"/>
      <c r="FVG2"/>
      <c r="FVH2"/>
      <c r="FVI2"/>
      <c r="FVJ2"/>
      <c r="FVK2"/>
      <c r="FVL2"/>
      <c r="FVM2"/>
      <c r="FVN2"/>
      <c r="FVO2"/>
      <c r="FVP2"/>
      <c r="FVQ2"/>
      <c r="FVR2"/>
      <c r="FVS2"/>
      <c r="FVT2"/>
      <c r="FVU2"/>
      <c r="FVV2"/>
      <c r="FVW2"/>
      <c r="FVX2"/>
      <c r="FVY2"/>
      <c r="FVZ2"/>
      <c r="FWA2"/>
      <c r="FWB2"/>
      <c r="FWC2"/>
      <c r="FWD2"/>
      <c r="FWE2"/>
      <c r="FWF2"/>
      <c r="FWG2"/>
      <c r="FWH2"/>
      <c r="FWI2"/>
      <c r="FWJ2"/>
      <c r="FWK2"/>
      <c r="FWL2"/>
      <c r="FWM2"/>
      <c r="FWN2"/>
      <c r="FWO2"/>
      <c r="FWP2"/>
      <c r="FWQ2"/>
      <c r="FWR2"/>
      <c r="FWS2"/>
      <c r="FWT2"/>
      <c r="FWU2"/>
      <c r="FWV2"/>
      <c r="FWW2"/>
      <c r="FWX2"/>
      <c r="FWY2"/>
      <c r="FWZ2"/>
      <c r="FXA2"/>
      <c r="FXB2"/>
      <c r="FXC2"/>
      <c r="FXD2"/>
      <c r="FXE2"/>
      <c r="FXF2"/>
      <c r="FXG2"/>
      <c r="FXH2"/>
      <c r="FXI2"/>
      <c r="FXJ2"/>
      <c r="FXK2"/>
      <c r="FXL2"/>
      <c r="FXM2"/>
      <c r="FXN2"/>
      <c r="FXO2"/>
      <c r="FXP2"/>
      <c r="FXQ2"/>
      <c r="FXR2"/>
      <c r="FXS2"/>
      <c r="FXT2"/>
      <c r="FXU2"/>
      <c r="FXV2"/>
      <c r="FXW2"/>
      <c r="FXX2"/>
      <c r="FXY2"/>
      <c r="FXZ2"/>
      <c r="FYA2"/>
      <c r="FYB2"/>
      <c r="FYC2"/>
      <c r="FYD2"/>
      <c r="FYE2"/>
      <c r="FYF2"/>
      <c r="FYG2"/>
      <c r="FYH2"/>
      <c r="FYI2"/>
      <c r="FYJ2"/>
      <c r="FYK2"/>
      <c r="FYL2"/>
      <c r="FYM2"/>
      <c r="FYN2"/>
      <c r="FYO2"/>
      <c r="FYP2"/>
      <c r="FYQ2"/>
      <c r="FYR2"/>
      <c r="FYS2"/>
      <c r="FYT2"/>
      <c r="FYU2"/>
      <c r="FYV2"/>
      <c r="FYW2"/>
      <c r="FYX2"/>
      <c r="FYY2"/>
      <c r="FYZ2"/>
      <c r="FZA2"/>
      <c r="FZB2"/>
      <c r="FZC2"/>
      <c r="FZD2"/>
      <c r="FZE2"/>
      <c r="FZF2"/>
      <c r="FZG2"/>
      <c r="FZH2"/>
      <c r="FZI2"/>
      <c r="FZJ2"/>
      <c r="FZK2"/>
      <c r="FZL2"/>
      <c r="FZM2"/>
      <c r="FZN2"/>
      <c r="FZO2"/>
      <c r="FZP2"/>
      <c r="FZQ2"/>
      <c r="FZR2"/>
      <c r="FZS2"/>
      <c r="FZT2"/>
      <c r="FZU2"/>
      <c r="FZV2"/>
      <c r="FZW2"/>
      <c r="FZX2"/>
      <c r="FZY2"/>
      <c r="FZZ2"/>
      <c r="GAA2"/>
      <c r="GAB2"/>
      <c r="GAC2"/>
      <c r="GAD2"/>
      <c r="GAE2"/>
      <c r="GAF2"/>
      <c r="GAG2"/>
      <c r="GAH2"/>
      <c r="GAI2"/>
      <c r="GAJ2"/>
      <c r="GAK2"/>
      <c r="GAL2"/>
      <c r="GAM2"/>
      <c r="GAN2"/>
      <c r="GAO2"/>
      <c r="GAP2"/>
      <c r="GAQ2"/>
      <c r="GAR2"/>
      <c r="GAS2"/>
      <c r="GAT2"/>
      <c r="GAU2"/>
      <c r="GAV2"/>
      <c r="GAW2"/>
      <c r="GAX2"/>
      <c r="GAY2"/>
      <c r="GAZ2"/>
      <c r="GBA2"/>
      <c r="GBB2"/>
      <c r="GBC2"/>
      <c r="GBD2"/>
      <c r="GBE2"/>
      <c r="GBF2"/>
      <c r="GBG2"/>
      <c r="GBH2"/>
      <c r="GBI2"/>
      <c r="GBJ2"/>
      <c r="GBK2"/>
      <c r="GBL2"/>
      <c r="GBM2"/>
      <c r="GBN2"/>
      <c r="GBO2"/>
      <c r="GBP2"/>
      <c r="GBQ2"/>
      <c r="GBR2"/>
      <c r="GBS2"/>
      <c r="GBT2"/>
      <c r="GBU2"/>
      <c r="GBV2"/>
      <c r="GBW2"/>
      <c r="GBX2"/>
      <c r="GBY2"/>
      <c r="GBZ2"/>
      <c r="GCA2"/>
      <c r="GCB2"/>
      <c r="GCC2"/>
      <c r="GCD2"/>
      <c r="GCE2"/>
      <c r="GCF2"/>
      <c r="GCG2"/>
      <c r="GCH2"/>
      <c r="GCI2"/>
      <c r="GCJ2"/>
      <c r="GCK2"/>
      <c r="GCL2"/>
      <c r="GCM2"/>
      <c r="GCN2"/>
      <c r="GCO2"/>
      <c r="GCP2"/>
      <c r="GCQ2"/>
      <c r="GCR2"/>
      <c r="GCS2"/>
      <c r="GCT2"/>
      <c r="GCU2"/>
      <c r="GCV2"/>
      <c r="GCW2"/>
      <c r="GCX2"/>
      <c r="GCY2"/>
      <c r="GCZ2"/>
      <c r="GDA2"/>
      <c r="GDB2"/>
      <c r="GDC2"/>
      <c r="GDD2"/>
      <c r="GDE2"/>
      <c r="GDF2"/>
      <c r="GDG2"/>
      <c r="GDH2"/>
      <c r="GDI2"/>
      <c r="GDJ2"/>
      <c r="GDK2"/>
      <c r="GDL2"/>
      <c r="GDM2"/>
      <c r="GDN2"/>
      <c r="GDO2"/>
      <c r="GDP2"/>
      <c r="GDQ2"/>
      <c r="GDR2"/>
      <c r="GDS2"/>
      <c r="GDT2"/>
      <c r="GDU2"/>
      <c r="GDV2"/>
      <c r="GDW2"/>
      <c r="GDX2"/>
      <c r="GDY2"/>
      <c r="GDZ2"/>
      <c r="GEA2"/>
      <c r="GEB2"/>
      <c r="GEC2"/>
      <c r="GED2"/>
      <c r="GEE2"/>
      <c r="GEF2"/>
      <c r="GEG2"/>
      <c r="GEH2"/>
      <c r="GEI2"/>
      <c r="GEJ2"/>
      <c r="GEK2"/>
      <c r="GEL2"/>
      <c r="GEM2"/>
      <c r="GEN2"/>
      <c r="GEO2"/>
      <c r="GEP2"/>
      <c r="GEQ2"/>
      <c r="GER2"/>
      <c r="GES2"/>
      <c r="GET2"/>
      <c r="GEU2"/>
      <c r="GEV2"/>
      <c r="GEW2"/>
      <c r="GEX2"/>
      <c r="GEY2"/>
      <c r="GEZ2"/>
      <c r="GFA2"/>
      <c r="GFB2"/>
      <c r="GFC2"/>
      <c r="GFD2"/>
      <c r="GFE2"/>
      <c r="GFF2"/>
      <c r="GFG2"/>
      <c r="GFH2"/>
      <c r="GFI2"/>
      <c r="GFJ2"/>
      <c r="GFK2"/>
      <c r="GFL2"/>
      <c r="GFM2"/>
      <c r="GFN2"/>
      <c r="GFO2"/>
      <c r="GFP2"/>
      <c r="GFQ2"/>
      <c r="GFR2"/>
      <c r="GFS2"/>
      <c r="GFT2"/>
      <c r="GFU2"/>
      <c r="GFV2"/>
      <c r="GFW2"/>
      <c r="GFX2"/>
      <c r="GFY2"/>
      <c r="GFZ2"/>
      <c r="GGA2"/>
      <c r="GGB2"/>
      <c r="GGC2"/>
      <c r="GGD2"/>
      <c r="GGE2"/>
      <c r="GGF2"/>
      <c r="GGG2"/>
      <c r="GGH2"/>
      <c r="GGI2"/>
      <c r="GGJ2"/>
      <c r="GGK2"/>
      <c r="GGL2"/>
      <c r="GGM2"/>
      <c r="GGN2"/>
      <c r="GGO2"/>
      <c r="GGP2"/>
      <c r="GGQ2"/>
      <c r="GGR2"/>
      <c r="GGS2"/>
      <c r="GGT2"/>
      <c r="GGU2"/>
      <c r="GGV2"/>
      <c r="GGW2"/>
      <c r="GGX2"/>
      <c r="GGY2"/>
      <c r="GGZ2"/>
      <c r="GHA2"/>
      <c r="GHB2"/>
      <c r="GHC2"/>
      <c r="GHD2"/>
      <c r="GHE2"/>
      <c r="GHF2"/>
      <c r="GHG2"/>
      <c r="GHH2"/>
      <c r="GHI2"/>
      <c r="GHJ2"/>
      <c r="GHK2"/>
      <c r="GHL2"/>
      <c r="GHM2"/>
      <c r="GHN2"/>
      <c r="GHO2"/>
      <c r="GHP2"/>
      <c r="GHQ2"/>
      <c r="GHR2"/>
      <c r="GHS2"/>
      <c r="GHT2"/>
      <c r="GHU2"/>
      <c r="GHV2"/>
      <c r="GHW2"/>
      <c r="GHX2"/>
      <c r="GHY2"/>
      <c r="GHZ2"/>
      <c r="GIA2"/>
      <c r="GIB2"/>
      <c r="GIC2"/>
      <c r="GID2"/>
      <c r="GIE2"/>
      <c r="GIF2"/>
      <c r="GIG2"/>
      <c r="GIH2"/>
      <c r="GII2"/>
      <c r="GIJ2"/>
      <c r="GIK2"/>
      <c r="GIL2"/>
      <c r="GIM2"/>
      <c r="GIN2"/>
      <c r="GIO2"/>
      <c r="GIP2"/>
      <c r="GIQ2"/>
      <c r="GIR2"/>
      <c r="GIS2"/>
      <c r="GIT2"/>
      <c r="GIU2"/>
      <c r="GIV2"/>
      <c r="GIW2"/>
      <c r="GIX2"/>
      <c r="GIY2"/>
      <c r="GIZ2"/>
      <c r="GJA2"/>
      <c r="GJB2"/>
      <c r="GJC2"/>
      <c r="GJD2"/>
      <c r="GJE2"/>
      <c r="GJF2"/>
      <c r="GJG2"/>
      <c r="GJH2"/>
      <c r="GJI2"/>
      <c r="GJJ2"/>
      <c r="GJK2"/>
      <c r="GJL2"/>
      <c r="GJM2"/>
      <c r="GJN2"/>
      <c r="GJO2"/>
      <c r="GJP2"/>
      <c r="GJQ2"/>
      <c r="GJR2"/>
      <c r="GJS2"/>
      <c r="GJT2"/>
      <c r="GJU2"/>
      <c r="GJV2"/>
      <c r="GJW2"/>
      <c r="GJX2"/>
      <c r="GJY2"/>
      <c r="GJZ2"/>
      <c r="GKA2"/>
      <c r="GKB2"/>
      <c r="GKC2"/>
      <c r="GKD2"/>
      <c r="GKE2"/>
      <c r="GKF2"/>
      <c r="GKG2"/>
      <c r="GKH2"/>
      <c r="GKI2"/>
      <c r="GKJ2"/>
      <c r="GKK2"/>
      <c r="GKL2"/>
      <c r="GKM2"/>
      <c r="GKN2"/>
      <c r="GKO2"/>
      <c r="GKP2"/>
      <c r="GKQ2"/>
      <c r="GKR2"/>
      <c r="GKS2"/>
      <c r="GKT2"/>
      <c r="GKU2"/>
      <c r="GKV2"/>
      <c r="GKW2"/>
      <c r="GKX2"/>
      <c r="GKY2"/>
      <c r="GKZ2"/>
      <c r="GLA2"/>
      <c r="GLB2"/>
      <c r="GLC2"/>
      <c r="GLD2"/>
      <c r="GLE2"/>
      <c r="GLF2"/>
      <c r="GLG2"/>
      <c r="GLH2"/>
      <c r="GLI2"/>
      <c r="GLJ2"/>
      <c r="GLK2"/>
      <c r="GLL2"/>
      <c r="GLM2"/>
      <c r="GLN2"/>
      <c r="GLO2"/>
      <c r="GLP2"/>
      <c r="GLQ2"/>
      <c r="GLR2"/>
      <c r="GLS2"/>
      <c r="GLT2"/>
      <c r="GLU2"/>
      <c r="GLV2"/>
      <c r="GLW2"/>
      <c r="GLX2"/>
      <c r="GLY2"/>
      <c r="GLZ2"/>
      <c r="GMA2"/>
      <c r="GMB2"/>
      <c r="GMC2"/>
      <c r="GMD2"/>
      <c r="GME2"/>
      <c r="GMF2"/>
      <c r="GMG2"/>
      <c r="GMH2"/>
      <c r="GMI2"/>
      <c r="GMJ2"/>
      <c r="GMK2"/>
      <c r="GML2"/>
      <c r="GMM2"/>
      <c r="GMN2"/>
      <c r="GMO2"/>
      <c r="GMP2"/>
      <c r="GMQ2"/>
      <c r="GMR2"/>
      <c r="GMS2"/>
      <c r="GMT2"/>
      <c r="GMU2"/>
      <c r="GMV2"/>
      <c r="GMW2"/>
      <c r="GMX2"/>
      <c r="GMY2"/>
      <c r="GMZ2"/>
      <c r="GNA2"/>
      <c r="GNB2"/>
      <c r="GNC2"/>
      <c r="GND2"/>
      <c r="GNE2"/>
      <c r="GNF2"/>
      <c r="GNG2"/>
      <c r="GNH2"/>
      <c r="GNI2"/>
      <c r="GNJ2"/>
      <c r="GNK2"/>
      <c r="GNL2"/>
      <c r="GNM2"/>
      <c r="GNN2"/>
      <c r="GNO2"/>
      <c r="GNP2"/>
      <c r="GNQ2"/>
      <c r="GNR2"/>
      <c r="GNS2"/>
      <c r="GNT2"/>
      <c r="GNU2"/>
      <c r="GNV2"/>
      <c r="GNW2"/>
      <c r="GNX2"/>
      <c r="GNY2"/>
      <c r="GNZ2"/>
      <c r="GOA2"/>
      <c r="GOB2"/>
      <c r="GOC2"/>
      <c r="GOD2"/>
      <c r="GOE2"/>
      <c r="GOF2"/>
      <c r="GOG2"/>
      <c r="GOH2"/>
      <c r="GOI2"/>
      <c r="GOJ2"/>
      <c r="GOK2"/>
      <c r="GOL2"/>
      <c r="GOM2"/>
      <c r="GON2"/>
      <c r="GOO2"/>
      <c r="GOP2"/>
      <c r="GOQ2"/>
      <c r="GOR2"/>
      <c r="GOS2"/>
      <c r="GOT2"/>
      <c r="GOU2"/>
      <c r="GOV2"/>
      <c r="GOW2"/>
      <c r="GOX2"/>
      <c r="GOY2"/>
      <c r="GOZ2"/>
      <c r="GPA2"/>
      <c r="GPB2"/>
      <c r="GPC2"/>
      <c r="GPD2"/>
      <c r="GPE2"/>
      <c r="GPF2"/>
      <c r="GPG2"/>
      <c r="GPH2"/>
      <c r="GPI2"/>
      <c r="GPJ2"/>
      <c r="GPK2"/>
      <c r="GPL2"/>
      <c r="GPM2"/>
      <c r="GPN2"/>
      <c r="GPO2"/>
      <c r="GPP2"/>
      <c r="GPQ2"/>
      <c r="GPR2"/>
      <c r="GPS2"/>
      <c r="GPT2"/>
      <c r="GPU2"/>
      <c r="GPV2"/>
      <c r="GPW2"/>
      <c r="GPX2"/>
      <c r="GPY2"/>
      <c r="GPZ2"/>
      <c r="GQA2"/>
      <c r="GQB2"/>
      <c r="GQC2"/>
      <c r="GQD2"/>
      <c r="GQE2"/>
      <c r="GQF2"/>
      <c r="GQG2"/>
      <c r="GQH2"/>
      <c r="GQI2"/>
      <c r="GQJ2"/>
      <c r="GQK2"/>
      <c r="GQL2"/>
      <c r="GQM2"/>
      <c r="GQN2"/>
      <c r="GQO2"/>
      <c r="GQP2"/>
      <c r="GQQ2"/>
      <c r="GQR2"/>
      <c r="GQS2"/>
      <c r="GQT2"/>
      <c r="GQU2"/>
      <c r="GQV2"/>
      <c r="GQW2"/>
      <c r="GQX2"/>
      <c r="GQY2"/>
      <c r="GQZ2"/>
      <c r="GRA2"/>
      <c r="GRB2"/>
      <c r="GRC2"/>
      <c r="GRD2"/>
      <c r="GRE2"/>
      <c r="GRF2"/>
      <c r="GRG2"/>
      <c r="GRH2"/>
      <c r="GRI2"/>
      <c r="GRJ2"/>
      <c r="GRK2"/>
      <c r="GRL2"/>
      <c r="GRM2"/>
      <c r="GRN2"/>
      <c r="GRO2"/>
      <c r="GRP2"/>
      <c r="GRQ2"/>
      <c r="GRR2"/>
      <c r="GRS2"/>
      <c r="GRT2"/>
      <c r="GRU2"/>
      <c r="GRV2"/>
      <c r="GRW2"/>
      <c r="GRX2"/>
      <c r="GRY2"/>
      <c r="GRZ2"/>
      <c r="GSA2"/>
      <c r="GSB2"/>
      <c r="GSC2"/>
      <c r="GSD2"/>
      <c r="GSE2"/>
      <c r="GSF2"/>
      <c r="GSG2"/>
      <c r="GSH2"/>
      <c r="GSI2"/>
      <c r="GSJ2"/>
      <c r="GSK2"/>
      <c r="GSL2"/>
      <c r="GSM2"/>
      <c r="GSN2"/>
      <c r="GSO2"/>
      <c r="GSP2"/>
      <c r="GSQ2"/>
      <c r="GSR2"/>
      <c r="GSS2"/>
      <c r="GST2"/>
      <c r="GSU2"/>
      <c r="GSV2"/>
      <c r="GSW2"/>
      <c r="GSX2"/>
      <c r="GSY2"/>
      <c r="GSZ2"/>
      <c r="GTA2"/>
      <c r="GTB2"/>
      <c r="GTC2"/>
      <c r="GTD2"/>
      <c r="GTE2"/>
      <c r="GTF2"/>
      <c r="GTG2"/>
      <c r="GTH2"/>
      <c r="GTI2"/>
      <c r="GTJ2"/>
      <c r="GTK2"/>
      <c r="GTL2"/>
      <c r="GTM2"/>
      <c r="GTN2"/>
      <c r="GTO2"/>
      <c r="GTP2"/>
      <c r="GTQ2"/>
      <c r="GTR2"/>
      <c r="GTS2"/>
      <c r="GTT2"/>
      <c r="GTU2"/>
      <c r="GTV2"/>
      <c r="GTW2"/>
      <c r="GTX2"/>
      <c r="GTY2"/>
      <c r="GTZ2"/>
      <c r="GUA2"/>
      <c r="GUB2"/>
      <c r="GUC2"/>
      <c r="GUD2"/>
      <c r="GUE2"/>
      <c r="GUF2"/>
      <c r="GUG2"/>
      <c r="GUH2"/>
      <c r="GUI2"/>
      <c r="GUJ2"/>
      <c r="GUK2"/>
      <c r="GUL2"/>
      <c r="GUM2"/>
      <c r="GUN2"/>
      <c r="GUO2"/>
      <c r="GUP2"/>
      <c r="GUQ2"/>
      <c r="GUR2"/>
      <c r="GUS2"/>
      <c r="GUT2"/>
      <c r="GUU2"/>
      <c r="GUV2"/>
      <c r="GUW2"/>
      <c r="GUX2"/>
      <c r="GUY2"/>
      <c r="GUZ2"/>
      <c r="GVA2"/>
      <c r="GVB2"/>
      <c r="GVC2"/>
      <c r="GVD2"/>
      <c r="GVE2"/>
      <c r="GVF2"/>
      <c r="GVG2"/>
      <c r="GVH2"/>
      <c r="GVI2"/>
      <c r="GVJ2"/>
      <c r="GVK2"/>
      <c r="GVL2"/>
      <c r="GVM2"/>
      <c r="GVN2"/>
      <c r="GVO2"/>
      <c r="GVP2"/>
      <c r="GVQ2"/>
      <c r="GVR2"/>
      <c r="GVS2"/>
      <c r="GVT2"/>
      <c r="GVU2"/>
      <c r="GVV2"/>
      <c r="GVW2"/>
      <c r="GVX2"/>
      <c r="GVY2"/>
      <c r="GVZ2"/>
      <c r="GWA2"/>
      <c r="GWB2"/>
      <c r="GWC2"/>
      <c r="GWD2"/>
      <c r="GWE2"/>
      <c r="GWF2"/>
      <c r="GWG2"/>
      <c r="GWH2"/>
      <c r="GWI2"/>
      <c r="GWJ2"/>
      <c r="GWK2"/>
      <c r="GWL2"/>
      <c r="GWM2"/>
      <c r="GWN2"/>
      <c r="GWO2"/>
      <c r="GWP2"/>
      <c r="GWQ2"/>
      <c r="GWR2"/>
      <c r="GWS2"/>
      <c r="GWT2"/>
      <c r="GWU2"/>
      <c r="GWV2"/>
      <c r="GWW2"/>
      <c r="GWX2"/>
      <c r="GWY2"/>
      <c r="GWZ2"/>
      <c r="GXA2"/>
      <c r="GXB2"/>
      <c r="GXC2"/>
      <c r="GXD2"/>
      <c r="GXE2"/>
      <c r="GXF2"/>
      <c r="GXG2"/>
      <c r="GXH2"/>
      <c r="GXI2"/>
      <c r="GXJ2"/>
      <c r="GXK2"/>
      <c r="GXL2"/>
      <c r="GXM2"/>
      <c r="GXN2"/>
      <c r="GXO2"/>
      <c r="GXP2"/>
      <c r="GXQ2"/>
      <c r="GXR2"/>
      <c r="GXS2"/>
      <c r="GXT2"/>
      <c r="GXU2"/>
      <c r="GXV2"/>
      <c r="GXW2"/>
      <c r="GXX2"/>
      <c r="GXY2"/>
      <c r="GXZ2"/>
      <c r="GYA2"/>
      <c r="GYB2"/>
      <c r="GYC2"/>
      <c r="GYD2"/>
      <c r="GYE2"/>
      <c r="GYF2"/>
      <c r="GYG2"/>
      <c r="GYH2"/>
      <c r="GYI2"/>
      <c r="GYJ2"/>
      <c r="GYK2"/>
      <c r="GYL2"/>
      <c r="GYM2"/>
      <c r="GYN2"/>
      <c r="GYO2"/>
      <c r="GYP2"/>
      <c r="GYQ2"/>
      <c r="GYR2"/>
      <c r="GYS2"/>
      <c r="GYT2"/>
      <c r="GYU2"/>
      <c r="GYV2"/>
      <c r="GYW2"/>
      <c r="GYX2"/>
      <c r="GYY2"/>
      <c r="GYZ2"/>
      <c r="GZA2"/>
      <c r="GZB2"/>
      <c r="GZC2"/>
      <c r="GZD2"/>
      <c r="GZE2"/>
      <c r="GZF2"/>
      <c r="GZG2"/>
      <c r="GZH2"/>
      <c r="GZI2"/>
      <c r="GZJ2"/>
      <c r="GZK2"/>
      <c r="GZL2"/>
      <c r="GZM2"/>
      <c r="GZN2"/>
      <c r="GZO2"/>
      <c r="GZP2"/>
      <c r="GZQ2"/>
      <c r="GZR2"/>
      <c r="GZS2"/>
      <c r="GZT2"/>
      <c r="GZU2"/>
      <c r="GZV2"/>
      <c r="GZW2"/>
      <c r="GZX2"/>
      <c r="GZY2"/>
      <c r="GZZ2"/>
      <c r="HAA2"/>
      <c r="HAB2"/>
      <c r="HAC2"/>
      <c r="HAD2"/>
      <c r="HAE2"/>
      <c r="HAF2"/>
      <c r="HAG2"/>
      <c r="HAH2"/>
      <c r="HAI2"/>
      <c r="HAJ2"/>
      <c r="HAK2"/>
      <c r="HAL2"/>
      <c r="HAM2"/>
      <c r="HAN2"/>
      <c r="HAO2"/>
      <c r="HAP2"/>
      <c r="HAQ2"/>
      <c r="HAR2"/>
      <c r="HAS2"/>
      <c r="HAT2"/>
      <c r="HAU2"/>
      <c r="HAV2"/>
      <c r="HAW2"/>
      <c r="HAX2"/>
      <c r="HAY2"/>
      <c r="HAZ2"/>
      <c r="HBA2"/>
      <c r="HBB2"/>
      <c r="HBC2"/>
      <c r="HBD2"/>
      <c r="HBE2"/>
      <c r="HBF2"/>
      <c r="HBG2"/>
      <c r="HBH2"/>
      <c r="HBI2"/>
      <c r="HBJ2"/>
      <c r="HBK2"/>
      <c r="HBL2"/>
      <c r="HBM2"/>
      <c r="HBN2"/>
      <c r="HBO2"/>
      <c r="HBP2"/>
      <c r="HBQ2"/>
      <c r="HBR2"/>
      <c r="HBS2"/>
      <c r="HBT2"/>
      <c r="HBU2"/>
      <c r="HBV2"/>
      <c r="HBW2"/>
      <c r="HBX2"/>
      <c r="HBY2"/>
      <c r="HBZ2"/>
      <c r="HCA2"/>
      <c r="HCB2"/>
      <c r="HCC2"/>
      <c r="HCD2"/>
      <c r="HCE2"/>
      <c r="HCF2"/>
      <c r="HCG2"/>
      <c r="HCH2"/>
      <c r="HCI2"/>
      <c r="HCJ2"/>
      <c r="HCK2"/>
      <c r="HCL2"/>
      <c r="HCM2"/>
      <c r="HCN2"/>
      <c r="HCO2"/>
      <c r="HCP2"/>
      <c r="HCQ2"/>
      <c r="HCR2"/>
      <c r="HCS2"/>
      <c r="HCT2"/>
      <c r="HCU2"/>
      <c r="HCV2"/>
      <c r="HCW2"/>
      <c r="HCX2"/>
      <c r="HCY2"/>
      <c r="HCZ2"/>
      <c r="HDA2"/>
      <c r="HDB2"/>
      <c r="HDC2"/>
      <c r="HDD2"/>
      <c r="HDE2"/>
      <c r="HDF2"/>
      <c r="HDG2"/>
      <c r="HDH2"/>
      <c r="HDI2"/>
      <c r="HDJ2"/>
      <c r="HDK2"/>
      <c r="HDL2"/>
      <c r="HDM2"/>
      <c r="HDN2"/>
      <c r="HDO2"/>
      <c r="HDP2"/>
      <c r="HDQ2"/>
      <c r="HDR2"/>
      <c r="HDS2"/>
      <c r="HDT2"/>
      <c r="HDU2"/>
      <c r="HDV2"/>
      <c r="HDW2"/>
      <c r="HDX2"/>
      <c r="HDY2"/>
      <c r="HDZ2"/>
      <c r="HEA2"/>
      <c r="HEB2"/>
      <c r="HEC2"/>
      <c r="HED2"/>
      <c r="HEE2"/>
      <c r="HEF2"/>
      <c r="HEG2"/>
      <c r="HEH2"/>
      <c r="HEI2"/>
      <c r="HEJ2"/>
      <c r="HEK2"/>
      <c r="HEL2"/>
      <c r="HEM2"/>
      <c r="HEN2"/>
      <c r="HEO2"/>
      <c r="HEP2"/>
      <c r="HEQ2"/>
      <c r="HER2"/>
      <c r="HES2"/>
      <c r="HET2"/>
      <c r="HEU2"/>
      <c r="HEV2"/>
      <c r="HEW2"/>
      <c r="HEX2"/>
      <c r="HEY2"/>
      <c r="HEZ2"/>
      <c r="HFA2"/>
      <c r="HFB2"/>
      <c r="HFC2"/>
      <c r="HFD2"/>
      <c r="HFE2"/>
      <c r="HFF2"/>
      <c r="HFG2"/>
      <c r="HFH2"/>
      <c r="HFI2"/>
      <c r="HFJ2"/>
      <c r="HFK2"/>
      <c r="HFL2"/>
      <c r="HFM2"/>
      <c r="HFN2"/>
      <c r="HFO2"/>
      <c r="HFP2"/>
      <c r="HFQ2"/>
      <c r="HFR2"/>
      <c r="HFS2"/>
      <c r="HFT2"/>
      <c r="HFU2"/>
      <c r="HFV2"/>
      <c r="HFW2"/>
      <c r="HFX2"/>
      <c r="HFY2"/>
      <c r="HFZ2"/>
      <c r="HGA2"/>
      <c r="HGB2"/>
      <c r="HGC2"/>
      <c r="HGD2"/>
      <c r="HGE2"/>
      <c r="HGF2"/>
      <c r="HGG2"/>
      <c r="HGH2"/>
      <c r="HGI2"/>
      <c r="HGJ2"/>
      <c r="HGK2"/>
      <c r="HGL2"/>
      <c r="HGM2"/>
      <c r="HGN2"/>
      <c r="HGO2"/>
      <c r="HGP2"/>
      <c r="HGQ2"/>
      <c r="HGR2"/>
      <c r="HGS2"/>
      <c r="HGT2"/>
      <c r="HGU2"/>
      <c r="HGV2"/>
      <c r="HGW2"/>
      <c r="HGX2"/>
      <c r="HGY2"/>
      <c r="HGZ2"/>
      <c r="HHA2"/>
      <c r="HHB2"/>
      <c r="HHC2"/>
      <c r="HHD2"/>
      <c r="HHE2"/>
      <c r="HHF2"/>
      <c r="HHG2"/>
      <c r="HHH2"/>
      <c r="HHI2"/>
      <c r="HHJ2"/>
      <c r="HHK2"/>
      <c r="HHL2"/>
      <c r="HHM2"/>
      <c r="HHN2"/>
      <c r="HHO2"/>
      <c r="HHP2"/>
      <c r="HHQ2"/>
      <c r="HHR2"/>
      <c r="HHS2"/>
      <c r="HHT2"/>
      <c r="HHU2"/>
      <c r="HHV2"/>
      <c r="HHW2"/>
      <c r="HHX2"/>
      <c r="HHY2"/>
      <c r="HHZ2"/>
      <c r="HIA2"/>
      <c r="HIB2"/>
      <c r="HIC2"/>
      <c r="HID2"/>
      <c r="HIE2"/>
      <c r="HIF2"/>
      <c r="HIG2"/>
      <c r="HIH2"/>
      <c r="HII2"/>
      <c r="HIJ2"/>
      <c r="HIK2"/>
      <c r="HIL2"/>
      <c r="HIM2"/>
      <c r="HIN2"/>
      <c r="HIO2"/>
      <c r="HIP2"/>
      <c r="HIQ2"/>
      <c r="HIR2"/>
      <c r="HIS2"/>
      <c r="HIT2"/>
      <c r="HIU2"/>
      <c r="HIV2"/>
      <c r="HIW2"/>
      <c r="HIX2"/>
      <c r="HIY2"/>
      <c r="HIZ2"/>
      <c r="HJA2"/>
      <c r="HJB2"/>
      <c r="HJC2"/>
      <c r="HJD2"/>
      <c r="HJE2"/>
      <c r="HJF2"/>
      <c r="HJG2"/>
      <c r="HJH2"/>
      <c r="HJI2"/>
      <c r="HJJ2"/>
      <c r="HJK2"/>
      <c r="HJL2"/>
      <c r="HJM2"/>
      <c r="HJN2"/>
      <c r="HJO2"/>
      <c r="HJP2"/>
      <c r="HJQ2"/>
      <c r="HJR2"/>
      <c r="HJS2"/>
      <c r="HJT2"/>
      <c r="HJU2"/>
      <c r="HJV2"/>
      <c r="HJW2"/>
      <c r="HJX2"/>
      <c r="HJY2"/>
      <c r="HJZ2"/>
      <c r="HKA2"/>
      <c r="HKB2"/>
      <c r="HKC2"/>
      <c r="HKD2"/>
      <c r="HKE2"/>
      <c r="HKF2"/>
      <c r="HKG2"/>
      <c r="HKH2"/>
      <c r="HKI2"/>
      <c r="HKJ2"/>
      <c r="HKK2"/>
      <c r="HKL2"/>
      <c r="HKM2"/>
      <c r="HKN2"/>
      <c r="HKO2"/>
      <c r="HKP2"/>
      <c r="HKQ2"/>
      <c r="HKR2"/>
      <c r="HKS2"/>
      <c r="HKT2"/>
      <c r="HKU2"/>
      <c r="HKV2"/>
      <c r="HKW2"/>
      <c r="HKX2"/>
      <c r="HKY2"/>
      <c r="HKZ2"/>
      <c r="HLA2"/>
      <c r="HLB2"/>
      <c r="HLC2"/>
      <c r="HLD2"/>
      <c r="HLE2"/>
      <c r="HLF2"/>
      <c r="HLG2"/>
      <c r="HLH2"/>
      <c r="HLI2"/>
      <c r="HLJ2"/>
      <c r="HLK2"/>
      <c r="HLL2"/>
      <c r="HLM2"/>
      <c r="HLN2"/>
      <c r="HLO2"/>
      <c r="HLP2"/>
      <c r="HLQ2"/>
      <c r="HLR2"/>
      <c r="HLS2"/>
      <c r="HLT2"/>
      <c r="HLU2"/>
      <c r="HLV2"/>
      <c r="HLW2"/>
      <c r="HLX2"/>
      <c r="HLY2"/>
      <c r="HLZ2"/>
      <c r="HMA2"/>
      <c r="HMB2"/>
      <c r="HMC2"/>
      <c r="HMD2"/>
      <c r="HME2"/>
      <c r="HMF2"/>
      <c r="HMG2"/>
      <c r="HMH2"/>
      <c r="HMI2"/>
      <c r="HMJ2"/>
      <c r="HMK2"/>
      <c r="HML2"/>
      <c r="HMM2"/>
      <c r="HMN2"/>
      <c r="HMO2"/>
      <c r="HMP2"/>
      <c r="HMQ2"/>
      <c r="HMR2"/>
      <c r="HMS2"/>
      <c r="HMT2"/>
      <c r="HMU2"/>
      <c r="HMV2"/>
      <c r="HMW2"/>
      <c r="HMX2"/>
      <c r="HMY2"/>
      <c r="HMZ2"/>
      <c r="HNA2"/>
      <c r="HNB2"/>
      <c r="HNC2"/>
      <c r="HND2"/>
      <c r="HNE2"/>
      <c r="HNF2"/>
      <c r="HNG2"/>
      <c r="HNH2"/>
      <c r="HNI2"/>
      <c r="HNJ2"/>
      <c r="HNK2"/>
      <c r="HNL2"/>
      <c r="HNM2"/>
      <c r="HNN2"/>
      <c r="HNO2"/>
      <c r="HNP2"/>
      <c r="HNQ2"/>
      <c r="HNR2"/>
      <c r="HNS2"/>
      <c r="HNT2"/>
      <c r="HNU2"/>
      <c r="HNV2"/>
      <c r="HNW2"/>
      <c r="HNX2"/>
      <c r="HNY2"/>
      <c r="HNZ2"/>
      <c r="HOA2"/>
      <c r="HOB2"/>
      <c r="HOC2"/>
      <c r="HOD2"/>
      <c r="HOE2"/>
      <c r="HOF2"/>
      <c r="HOG2"/>
      <c r="HOH2"/>
      <c r="HOI2"/>
      <c r="HOJ2"/>
      <c r="HOK2"/>
      <c r="HOL2"/>
      <c r="HOM2"/>
      <c r="HON2"/>
      <c r="HOO2"/>
      <c r="HOP2"/>
      <c r="HOQ2"/>
      <c r="HOR2"/>
      <c r="HOS2"/>
      <c r="HOT2"/>
      <c r="HOU2"/>
      <c r="HOV2"/>
      <c r="HOW2"/>
      <c r="HOX2"/>
      <c r="HOY2"/>
      <c r="HOZ2"/>
      <c r="HPA2"/>
      <c r="HPB2"/>
      <c r="HPC2"/>
      <c r="HPD2"/>
      <c r="HPE2"/>
      <c r="HPF2"/>
      <c r="HPG2"/>
      <c r="HPH2"/>
      <c r="HPI2"/>
      <c r="HPJ2"/>
      <c r="HPK2"/>
      <c r="HPL2"/>
      <c r="HPM2"/>
      <c r="HPN2"/>
      <c r="HPO2"/>
      <c r="HPP2"/>
      <c r="HPQ2"/>
      <c r="HPR2"/>
      <c r="HPS2"/>
      <c r="HPT2"/>
      <c r="HPU2"/>
      <c r="HPV2"/>
      <c r="HPW2"/>
      <c r="HPX2"/>
      <c r="HPY2"/>
      <c r="HPZ2"/>
      <c r="HQA2"/>
      <c r="HQB2"/>
      <c r="HQC2"/>
      <c r="HQD2"/>
      <c r="HQE2"/>
      <c r="HQF2"/>
      <c r="HQG2"/>
      <c r="HQH2"/>
      <c r="HQI2"/>
      <c r="HQJ2"/>
      <c r="HQK2"/>
      <c r="HQL2"/>
      <c r="HQM2"/>
      <c r="HQN2"/>
      <c r="HQO2"/>
      <c r="HQP2"/>
      <c r="HQQ2"/>
      <c r="HQR2"/>
      <c r="HQS2"/>
      <c r="HQT2"/>
      <c r="HQU2"/>
      <c r="HQV2"/>
      <c r="HQW2"/>
      <c r="HQX2"/>
      <c r="HQY2"/>
      <c r="HQZ2"/>
      <c r="HRA2"/>
      <c r="HRB2"/>
      <c r="HRC2"/>
      <c r="HRD2"/>
      <c r="HRE2"/>
      <c r="HRF2"/>
      <c r="HRG2"/>
      <c r="HRH2"/>
      <c r="HRI2"/>
      <c r="HRJ2"/>
      <c r="HRK2"/>
      <c r="HRL2"/>
      <c r="HRM2"/>
      <c r="HRN2"/>
      <c r="HRO2"/>
      <c r="HRP2"/>
      <c r="HRQ2"/>
      <c r="HRR2"/>
      <c r="HRS2"/>
      <c r="HRT2"/>
      <c r="HRU2"/>
      <c r="HRV2"/>
      <c r="HRW2"/>
      <c r="HRX2"/>
      <c r="HRY2"/>
      <c r="HRZ2"/>
      <c r="HSA2"/>
      <c r="HSB2"/>
      <c r="HSC2"/>
      <c r="HSD2"/>
      <c r="HSE2"/>
      <c r="HSF2"/>
      <c r="HSG2"/>
      <c r="HSH2"/>
      <c r="HSI2"/>
      <c r="HSJ2"/>
      <c r="HSK2"/>
      <c r="HSL2"/>
      <c r="HSM2"/>
      <c r="HSN2"/>
      <c r="HSO2"/>
      <c r="HSP2"/>
      <c r="HSQ2"/>
      <c r="HSR2"/>
      <c r="HSS2"/>
      <c r="HST2"/>
      <c r="HSU2"/>
      <c r="HSV2"/>
      <c r="HSW2"/>
      <c r="HSX2"/>
      <c r="HSY2"/>
      <c r="HSZ2"/>
      <c r="HTA2"/>
      <c r="HTB2"/>
      <c r="HTC2"/>
      <c r="HTD2"/>
      <c r="HTE2"/>
      <c r="HTF2"/>
      <c r="HTG2"/>
      <c r="HTH2"/>
      <c r="HTI2"/>
      <c r="HTJ2"/>
      <c r="HTK2"/>
      <c r="HTL2"/>
      <c r="HTM2"/>
      <c r="HTN2"/>
      <c r="HTO2"/>
      <c r="HTP2"/>
      <c r="HTQ2"/>
      <c r="HTR2"/>
      <c r="HTS2"/>
      <c r="HTT2"/>
      <c r="HTU2"/>
      <c r="HTV2"/>
      <c r="HTW2"/>
      <c r="HTX2"/>
      <c r="HTY2"/>
      <c r="HTZ2"/>
      <c r="HUA2"/>
      <c r="HUB2"/>
      <c r="HUC2"/>
      <c r="HUD2"/>
      <c r="HUE2"/>
      <c r="HUF2"/>
      <c r="HUG2"/>
      <c r="HUH2"/>
      <c r="HUI2"/>
      <c r="HUJ2"/>
      <c r="HUK2"/>
      <c r="HUL2"/>
      <c r="HUM2"/>
      <c r="HUN2"/>
      <c r="HUO2"/>
      <c r="HUP2"/>
      <c r="HUQ2"/>
      <c r="HUR2"/>
      <c r="HUS2"/>
      <c r="HUT2"/>
      <c r="HUU2"/>
      <c r="HUV2"/>
      <c r="HUW2"/>
      <c r="HUX2"/>
      <c r="HUY2"/>
      <c r="HUZ2"/>
      <c r="HVA2"/>
      <c r="HVB2"/>
      <c r="HVC2"/>
      <c r="HVD2"/>
      <c r="HVE2"/>
      <c r="HVF2"/>
      <c r="HVG2"/>
      <c r="HVH2"/>
      <c r="HVI2"/>
      <c r="HVJ2"/>
      <c r="HVK2"/>
      <c r="HVL2"/>
      <c r="HVM2"/>
      <c r="HVN2"/>
      <c r="HVO2"/>
      <c r="HVP2"/>
      <c r="HVQ2"/>
      <c r="HVR2"/>
      <c r="HVS2"/>
      <c r="HVT2"/>
      <c r="HVU2"/>
      <c r="HVV2"/>
      <c r="HVW2"/>
      <c r="HVX2"/>
      <c r="HVY2"/>
      <c r="HVZ2"/>
      <c r="HWA2"/>
      <c r="HWB2"/>
      <c r="HWC2"/>
      <c r="HWD2"/>
      <c r="HWE2"/>
      <c r="HWF2"/>
      <c r="HWG2"/>
      <c r="HWH2"/>
      <c r="HWI2"/>
      <c r="HWJ2"/>
      <c r="HWK2"/>
      <c r="HWL2"/>
      <c r="HWM2"/>
      <c r="HWN2"/>
      <c r="HWO2"/>
      <c r="HWP2"/>
      <c r="HWQ2"/>
      <c r="HWR2"/>
      <c r="HWS2"/>
      <c r="HWT2"/>
      <c r="HWU2"/>
      <c r="HWV2"/>
      <c r="HWW2"/>
      <c r="HWX2"/>
      <c r="HWY2"/>
      <c r="HWZ2"/>
      <c r="HXA2"/>
      <c r="HXB2"/>
      <c r="HXC2"/>
      <c r="HXD2"/>
      <c r="HXE2"/>
      <c r="HXF2"/>
      <c r="HXG2"/>
      <c r="HXH2"/>
      <c r="HXI2"/>
      <c r="HXJ2"/>
      <c r="HXK2"/>
      <c r="HXL2"/>
      <c r="HXM2"/>
      <c r="HXN2"/>
      <c r="HXO2"/>
      <c r="HXP2"/>
      <c r="HXQ2"/>
      <c r="HXR2"/>
      <c r="HXS2"/>
      <c r="HXT2"/>
      <c r="HXU2"/>
      <c r="HXV2"/>
      <c r="HXW2"/>
      <c r="HXX2"/>
      <c r="HXY2"/>
      <c r="HXZ2"/>
      <c r="HYA2"/>
      <c r="HYB2"/>
      <c r="HYC2"/>
      <c r="HYD2"/>
      <c r="HYE2"/>
      <c r="HYF2"/>
      <c r="HYG2"/>
      <c r="HYH2"/>
      <c r="HYI2"/>
      <c r="HYJ2"/>
      <c r="HYK2"/>
      <c r="HYL2"/>
      <c r="HYM2"/>
      <c r="HYN2"/>
      <c r="HYO2"/>
      <c r="HYP2"/>
      <c r="HYQ2"/>
      <c r="HYR2"/>
      <c r="HYS2"/>
      <c r="HYT2"/>
      <c r="HYU2"/>
      <c r="HYV2"/>
      <c r="HYW2"/>
      <c r="HYX2"/>
      <c r="HYY2"/>
      <c r="HYZ2"/>
      <c r="HZA2"/>
      <c r="HZB2"/>
      <c r="HZC2"/>
      <c r="HZD2"/>
      <c r="HZE2"/>
      <c r="HZF2"/>
      <c r="HZG2"/>
      <c r="HZH2"/>
      <c r="HZI2"/>
      <c r="HZJ2"/>
      <c r="HZK2"/>
      <c r="HZL2"/>
      <c r="HZM2"/>
      <c r="HZN2"/>
      <c r="HZO2"/>
      <c r="HZP2"/>
      <c r="HZQ2"/>
      <c r="HZR2"/>
      <c r="HZS2"/>
      <c r="HZT2"/>
      <c r="HZU2"/>
      <c r="HZV2"/>
      <c r="HZW2"/>
      <c r="HZX2"/>
      <c r="HZY2"/>
      <c r="HZZ2"/>
      <c r="IAA2"/>
      <c r="IAB2"/>
      <c r="IAC2"/>
      <c r="IAD2"/>
      <c r="IAE2"/>
      <c r="IAF2"/>
      <c r="IAG2"/>
      <c r="IAH2"/>
      <c r="IAI2"/>
      <c r="IAJ2"/>
      <c r="IAK2"/>
      <c r="IAL2"/>
      <c r="IAM2"/>
      <c r="IAN2"/>
      <c r="IAO2"/>
      <c r="IAP2"/>
      <c r="IAQ2"/>
      <c r="IAR2"/>
      <c r="IAS2"/>
      <c r="IAT2"/>
      <c r="IAU2"/>
      <c r="IAV2"/>
      <c r="IAW2"/>
      <c r="IAX2"/>
      <c r="IAY2"/>
      <c r="IAZ2"/>
      <c r="IBA2"/>
      <c r="IBB2"/>
      <c r="IBC2"/>
      <c r="IBD2"/>
      <c r="IBE2"/>
      <c r="IBF2"/>
      <c r="IBG2"/>
      <c r="IBH2"/>
      <c r="IBI2"/>
      <c r="IBJ2"/>
      <c r="IBK2"/>
      <c r="IBL2"/>
      <c r="IBM2"/>
      <c r="IBN2"/>
      <c r="IBO2"/>
      <c r="IBP2"/>
      <c r="IBQ2"/>
      <c r="IBR2"/>
      <c r="IBS2"/>
      <c r="IBT2"/>
      <c r="IBU2"/>
      <c r="IBV2"/>
      <c r="IBW2"/>
      <c r="IBX2"/>
      <c r="IBY2"/>
      <c r="IBZ2"/>
      <c r="ICA2"/>
      <c r="ICB2"/>
      <c r="ICC2"/>
      <c r="ICD2"/>
      <c r="ICE2"/>
      <c r="ICF2"/>
      <c r="ICG2"/>
      <c r="ICH2"/>
      <c r="ICI2"/>
      <c r="ICJ2"/>
      <c r="ICK2"/>
      <c r="ICL2"/>
      <c r="ICM2"/>
      <c r="ICN2"/>
      <c r="ICO2"/>
      <c r="ICP2"/>
      <c r="ICQ2"/>
      <c r="ICR2"/>
      <c r="ICS2"/>
      <c r="ICT2"/>
      <c r="ICU2"/>
      <c r="ICV2"/>
      <c r="ICW2"/>
      <c r="ICX2"/>
      <c r="ICY2"/>
      <c r="ICZ2"/>
      <c r="IDA2"/>
      <c r="IDB2"/>
      <c r="IDC2"/>
      <c r="IDD2"/>
      <c r="IDE2"/>
      <c r="IDF2"/>
      <c r="IDG2"/>
      <c r="IDH2"/>
      <c r="IDI2"/>
      <c r="IDJ2"/>
      <c r="IDK2"/>
      <c r="IDL2"/>
      <c r="IDM2"/>
      <c r="IDN2"/>
      <c r="IDO2"/>
      <c r="IDP2"/>
      <c r="IDQ2"/>
      <c r="IDR2"/>
      <c r="IDS2"/>
      <c r="IDT2"/>
      <c r="IDU2"/>
      <c r="IDV2"/>
      <c r="IDW2"/>
      <c r="IDX2"/>
      <c r="IDY2"/>
      <c r="IDZ2"/>
      <c r="IEA2"/>
      <c r="IEB2"/>
      <c r="IEC2"/>
      <c r="IED2"/>
      <c r="IEE2"/>
      <c r="IEF2"/>
      <c r="IEG2"/>
      <c r="IEH2"/>
      <c r="IEI2"/>
      <c r="IEJ2"/>
      <c r="IEK2"/>
      <c r="IEL2"/>
      <c r="IEM2"/>
      <c r="IEN2"/>
      <c r="IEO2"/>
      <c r="IEP2"/>
      <c r="IEQ2"/>
      <c r="IER2"/>
      <c r="IES2"/>
      <c r="IET2"/>
      <c r="IEU2"/>
      <c r="IEV2"/>
      <c r="IEW2"/>
      <c r="IEX2"/>
      <c r="IEY2"/>
      <c r="IEZ2"/>
      <c r="IFA2"/>
      <c r="IFB2"/>
      <c r="IFC2"/>
      <c r="IFD2"/>
      <c r="IFE2"/>
      <c r="IFF2"/>
      <c r="IFG2"/>
      <c r="IFH2"/>
      <c r="IFI2"/>
      <c r="IFJ2"/>
      <c r="IFK2"/>
      <c r="IFL2"/>
      <c r="IFM2"/>
      <c r="IFN2"/>
      <c r="IFO2"/>
      <c r="IFP2"/>
      <c r="IFQ2"/>
      <c r="IFR2"/>
      <c r="IFS2"/>
      <c r="IFT2"/>
      <c r="IFU2"/>
      <c r="IFV2"/>
      <c r="IFW2"/>
      <c r="IFX2"/>
      <c r="IFY2"/>
      <c r="IFZ2"/>
      <c r="IGA2"/>
      <c r="IGB2"/>
      <c r="IGC2"/>
      <c r="IGD2"/>
      <c r="IGE2"/>
      <c r="IGF2"/>
      <c r="IGG2"/>
      <c r="IGH2"/>
      <c r="IGI2"/>
      <c r="IGJ2"/>
      <c r="IGK2"/>
      <c r="IGL2"/>
      <c r="IGM2"/>
      <c r="IGN2"/>
      <c r="IGO2"/>
      <c r="IGP2"/>
      <c r="IGQ2"/>
      <c r="IGR2"/>
      <c r="IGS2"/>
      <c r="IGT2"/>
      <c r="IGU2"/>
      <c r="IGV2"/>
      <c r="IGW2"/>
      <c r="IGX2"/>
      <c r="IGY2"/>
      <c r="IGZ2"/>
      <c r="IHA2"/>
      <c r="IHB2"/>
      <c r="IHC2"/>
      <c r="IHD2"/>
      <c r="IHE2"/>
      <c r="IHF2"/>
      <c r="IHG2"/>
      <c r="IHH2"/>
      <c r="IHI2"/>
      <c r="IHJ2"/>
      <c r="IHK2"/>
      <c r="IHL2"/>
      <c r="IHM2"/>
      <c r="IHN2"/>
      <c r="IHO2"/>
      <c r="IHP2"/>
      <c r="IHQ2"/>
      <c r="IHR2"/>
      <c r="IHS2"/>
      <c r="IHT2"/>
      <c r="IHU2"/>
      <c r="IHV2"/>
      <c r="IHW2"/>
      <c r="IHX2"/>
      <c r="IHY2"/>
      <c r="IHZ2"/>
      <c r="IIA2"/>
      <c r="IIB2"/>
      <c r="IIC2"/>
      <c r="IID2"/>
      <c r="IIE2"/>
      <c r="IIF2"/>
      <c r="IIG2"/>
      <c r="IIH2"/>
      <c r="III2"/>
      <c r="IIJ2"/>
      <c r="IIK2"/>
      <c r="IIL2"/>
      <c r="IIM2"/>
      <c r="IIN2"/>
      <c r="IIO2"/>
      <c r="IIP2"/>
      <c r="IIQ2"/>
      <c r="IIR2"/>
      <c r="IIS2"/>
      <c r="IIT2"/>
      <c r="IIU2"/>
      <c r="IIV2"/>
      <c r="IIW2"/>
      <c r="IIX2"/>
      <c r="IIY2"/>
      <c r="IIZ2"/>
      <c r="IJA2"/>
      <c r="IJB2"/>
      <c r="IJC2"/>
      <c r="IJD2"/>
      <c r="IJE2"/>
      <c r="IJF2"/>
      <c r="IJG2"/>
      <c r="IJH2"/>
      <c r="IJI2"/>
      <c r="IJJ2"/>
      <c r="IJK2"/>
      <c r="IJL2"/>
      <c r="IJM2"/>
      <c r="IJN2"/>
      <c r="IJO2"/>
      <c r="IJP2"/>
      <c r="IJQ2"/>
      <c r="IJR2"/>
      <c r="IJS2"/>
      <c r="IJT2"/>
      <c r="IJU2"/>
      <c r="IJV2"/>
      <c r="IJW2"/>
      <c r="IJX2"/>
      <c r="IJY2"/>
      <c r="IJZ2"/>
      <c r="IKA2"/>
      <c r="IKB2"/>
      <c r="IKC2"/>
      <c r="IKD2"/>
      <c r="IKE2"/>
      <c r="IKF2"/>
      <c r="IKG2"/>
      <c r="IKH2"/>
      <c r="IKI2"/>
      <c r="IKJ2"/>
      <c r="IKK2"/>
      <c r="IKL2"/>
      <c r="IKM2"/>
      <c r="IKN2"/>
      <c r="IKO2"/>
      <c r="IKP2"/>
      <c r="IKQ2"/>
      <c r="IKR2"/>
      <c r="IKS2"/>
      <c r="IKT2"/>
      <c r="IKU2"/>
      <c r="IKV2"/>
      <c r="IKW2"/>
      <c r="IKX2"/>
      <c r="IKY2"/>
      <c r="IKZ2"/>
      <c r="ILA2"/>
      <c r="ILB2"/>
      <c r="ILC2"/>
      <c r="ILD2"/>
      <c r="ILE2"/>
      <c r="ILF2"/>
      <c r="ILG2"/>
      <c r="ILH2"/>
      <c r="ILI2"/>
      <c r="ILJ2"/>
      <c r="ILK2"/>
      <c r="ILL2"/>
      <c r="ILM2"/>
      <c r="ILN2"/>
      <c r="ILO2"/>
      <c r="ILP2"/>
      <c r="ILQ2"/>
      <c r="ILR2"/>
      <c r="ILS2"/>
      <c r="ILT2"/>
      <c r="ILU2"/>
      <c r="ILV2"/>
      <c r="ILW2"/>
      <c r="ILX2"/>
      <c r="ILY2"/>
      <c r="ILZ2"/>
      <c r="IMA2"/>
      <c r="IMB2"/>
      <c r="IMC2"/>
      <c r="IMD2"/>
      <c r="IME2"/>
      <c r="IMF2"/>
      <c r="IMG2"/>
      <c r="IMH2"/>
      <c r="IMI2"/>
      <c r="IMJ2"/>
      <c r="IMK2"/>
      <c r="IML2"/>
      <c r="IMM2"/>
      <c r="IMN2"/>
      <c r="IMO2"/>
      <c r="IMP2"/>
      <c r="IMQ2"/>
      <c r="IMR2"/>
      <c r="IMS2"/>
      <c r="IMT2"/>
      <c r="IMU2"/>
      <c r="IMV2"/>
      <c r="IMW2"/>
      <c r="IMX2"/>
      <c r="IMY2"/>
      <c r="IMZ2"/>
      <c r="INA2"/>
      <c r="INB2"/>
      <c r="INC2"/>
      <c r="IND2"/>
      <c r="INE2"/>
      <c r="INF2"/>
      <c r="ING2"/>
      <c r="INH2"/>
      <c r="INI2"/>
      <c r="INJ2"/>
      <c r="INK2"/>
      <c r="INL2"/>
      <c r="INM2"/>
      <c r="INN2"/>
      <c r="INO2"/>
      <c r="INP2"/>
      <c r="INQ2"/>
      <c r="INR2"/>
      <c r="INS2"/>
      <c r="INT2"/>
      <c r="INU2"/>
      <c r="INV2"/>
      <c r="INW2"/>
      <c r="INX2"/>
      <c r="INY2"/>
      <c r="INZ2"/>
      <c r="IOA2"/>
      <c r="IOB2"/>
      <c r="IOC2"/>
      <c r="IOD2"/>
      <c r="IOE2"/>
      <c r="IOF2"/>
      <c r="IOG2"/>
      <c r="IOH2"/>
      <c r="IOI2"/>
      <c r="IOJ2"/>
      <c r="IOK2"/>
      <c r="IOL2"/>
      <c r="IOM2"/>
      <c r="ION2"/>
      <c r="IOO2"/>
      <c r="IOP2"/>
      <c r="IOQ2"/>
      <c r="IOR2"/>
      <c r="IOS2"/>
      <c r="IOT2"/>
      <c r="IOU2"/>
      <c r="IOV2"/>
      <c r="IOW2"/>
      <c r="IOX2"/>
      <c r="IOY2"/>
      <c r="IOZ2"/>
      <c r="IPA2"/>
      <c r="IPB2"/>
      <c r="IPC2"/>
      <c r="IPD2"/>
      <c r="IPE2"/>
      <c r="IPF2"/>
      <c r="IPG2"/>
      <c r="IPH2"/>
      <c r="IPI2"/>
      <c r="IPJ2"/>
      <c r="IPK2"/>
      <c r="IPL2"/>
      <c r="IPM2"/>
      <c r="IPN2"/>
      <c r="IPO2"/>
      <c r="IPP2"/>
      <c r="IPQ2"/>
      <c r="IPR2"/>
      <c r="IPS2"/>
      <c r="IPT2"/>
      <c r="IPU2"/>
      <c r="IPV2"/>
      <c r="IPW2"/>
      <c r="IPX2"/>
      <c r="IPY2"/>
      <c r="IPZ2"/>
      <c r="IQA2"/>
      <c r="IQB2"/>
      <c r="IQC2"/>
      <c r="IQD2"/>
      <c r="IQE2"/>
      <c r="IQF2"/>
      <c r="IQG2"/>
      <c r="IQH2"/>
      <c r="IQI2"/>
      <c r="IQJ2"/>
      <c r="IQK2"/>
      <c r="IQL2"/>
      <c r="IQM2"/>
      <c r="IQN2"/>
      <c r="IQO2"/>
      <c r="IQP2"/>
      <c r="IQQ2"/>
      <c r="IQR2"/>
      <c r="IQS2"/>
      <c r="IQT2"/>
      <c r="IQU2"/>
      <c r="IQV2"/>
      <c r="IQW2"/>
      <c r="IQX2"/>
      <c r="IQY2"/>
      <c r="IQZ2"/>
      <c r="IRA2"/>
      <c r="IRB2"/>
      <c r="IRC2"/>
      <c r="IRD2"/>
      <c r="IRE2"/>
      <c r="IRF2"/>
      <c r="IRG2"/>
      <c r="IRH2"/>
      <c r="IRI2"/>
      <c r="IRJ2"/>
      <c r="IRK2"/>
      <c r="IRL2"/>
      <c r="IRM2"/>
      <c r="IRN2"/>
      <c r="IRO2"/>
      <c r="IRP2"/>
      <c r="IRQ2"/>
      <c r="IRR2"/>
      <c r="IRS2"/>
      <c r="IRT2"/>
      <c r="IRU2"/>
      <c r="IRV2"/>
      <c r="IRW2"/>
      <c r="IRX2"/>
      <c r="IRY2"/>
      <c r="IRZ2"/>
      <c r="ISA2"/>
      <c r="ISB2"/>
      <c r="ISC2"/>
      <c r="ISD2"/>
      <c r="ISE2"/>
      <c r="ISF2"/>
      <c r="ISG2"/>
      <c r="ISH2"/>
      <c r="ISI2"/>
      <c r="ISJ2"/>
      <c r="ISK2"/>
      <c r="ISL2"/>
      <c r="ISM2"/>
      <c r="ISN2"/>
      <c r="ISO2"/>
      <c r="ISP2"/>
      <c r="ISQ2"/>
      <c r="ISR2"/>
      <c r="ISS2"/>
      <c r="IST2"/>
      <c r="ISU2"/>
      <c r="ISV2"/>
      <c r="ISW2"/>
      <c r="ISX2"/>
      <c r="ISY2"/>
      <c r="ISZ2"/>
      <c r="ITA2"/>
      <c r="ITB2"/>
      <c r="ITC2"/>
      <c r="ITD2"/>
      <c r="ITE2"/>
      <c r="ITF2"/>
      <c r="ITG2"/>
      <c r="ITH2"/>
      <c r="ITI2"/>
      <c r="ITJ2"/>
      <c r="ITK2"/>
      <c r="ITL2"/>
      <c r="ITM2"/>
      <c r="ITN2"/>
      <c r="ITO2"/>
      <c r="ITP2"/>
      <c r="ITQ2"/>
      <c r="ITR2"/>
      <c r="ITS2"/>
      <c r="ITT2"/>
      <c r="ITU2"/>
      <c r="ITV2"/>
      <c r="ITW2"/>
      <c r="ITX2"/>
      <c r="ITY2"/>
      <c r="ITZ2"/>
      <c r="IUA2"/>
      <c r="IUB2"/>
      <c r="IUC2"/>
      <c r="IUD2"/>
      <c r="IUE2"/>
      <c r="IUF2"/>
      <c r="IUG2"/>
      <c r="IUH2"/>
      <c r="IUI2"/>
      <c r="IUJ2"/>
      <c r="IUK2"/>
      <c r="IUL2"/>
      <c r="IUM2"/>
      <c r="IUN2"/>
      <c r="IUO2"/>
      <c r="IUP2"/>
      <c r="IUQ2"/>
      <c r="IUR2"/>
      <c r="IUS2"/>
      <c r="IUT2"/>
      <c r="IUU2"/>
      <c r="IUV2"/>
      <c r="IUW2"/>
      <c r="IUX2"/>
      <c r="IUY2"/>
      <c r="IUZ2"/>
      <c r="IVA2"/>
      <c r="IVB2"/>
      <c r="IVC2"/>
      <c r="IVD2"/>
      <c r="IVE2"/>
      <c r="IVF2"/>
      <c r="IVG2"/>
      <c r="IVH2"/>
      <c r="IVI2"/>
      <c r="IVJ2"/>
      <c r="IVK2"/>
      <c r="IVL2"/>
      <c r="IVM2"/>
      <c r="IVN2"/>
      <c r="IVO2"/>
      <c r="IVP2"/>
      <c r="IVQ2"/>
      <c r="IVR2"/>
      <c r="IVS2"/>
      <c r="IVT2"/>
      <c r="IVU2"/>
      <c r="IVV2"/>
      <c r="IVW2"/>
      <c r="IVX2"/>
      <c r="IVY2"/>
      <c r="IVZ2"/>
      <c r="IWA2"/>
      <c r="IWB2"/>
      <c r="IWC2"/>
      <c r="IWD2"/>
      <c r="IWE2"/>
      <c r="IWF2"/>
      <c r="IWG2"/>
      <c r="IWH2"/>
      <c r="IWI2"/>
      <c r="IWJ2"/>
      <c r="IWK2"/>
      <c r="IWL2"/>
      <c r="IWM2"/>
      <c r="IWN2"/>
      <c r="IWO2"/>
      <c r="IWP2"/>
      <c r="IWQ2"/>
      <c r="IWR2"/>
      <c r="IWS2"/>
      <c r="IWT2"/>
      <c r="IWU2"/>
      <c r="IWV2"/>
      <c r="IWW2"/>
      <c r="IWX2"/>
      <c r="IWY2"/>
      <c r="IWZ2"/>
      <c r="IXA2"/>
      <c r="IXB2"/>
      <c r="IXC2"/>
      <c r="IXD2"/>
      <c r="IXE2"/>
      <c r="IXF2"/>
      <c r="IXG2"/>
      <c r="IXH2"/>
      <c r="IXI2"/>
      <c r="IXJ2"/>
      <c r="IXK2"/>
      <c r="IXL2"/>
      <c r="IXM2"/>
      <c r="IXN2"/>
      <c r="IXO2"/>
      <c r="IXP2"/>
      <c r="IXQ2"/>
      <c r="IXR2"/>
      <c r="IXS2"/>
      <c r="IXT2"/>
      <c r="IXU2"/>
      <c r="IXV2"/>
      <c r="IXW2"/>
      <c r="IXX2"/>
      <c r="IXY2"/>
      <c r="IXZ2"/>
      <c r="IYA2"/>
      <c r="IYB2"/>
      <c r="IYC2"/>
      <c r="IYD2"/>
      <c r="IYE2"/>
      <c r="IYF2"/>
      <c r="IYG2"/>
      <c r="IYH2"/>
      <c r="IYI2"/>
      <c r="IYJ2"/>
      <c r="IYK2"/>
      <c r="IYL2"/>
      <c r="IYM2"/>
      <c r="IYN2"/>
      <c r="IYO2"/>
      <c r="IYP2"/>
      <c r="IYQ2"/>
      <c r="IYR2"/>
      <c r="IYS2"/>
      <c r="IYT2"/>
      <c r="IYU2"/>
      <c r="IYV2"/>
      <c r="IYW2"/>
      <c r="IYX2"/>
      <c r="IYY2"/>
      <c r="IYZ2"/>
      <c r="IZA2"/>
      <c r="IZB2"/>
      <c r="IZC2"/>
      <c r="IZD2"/>
      <c r="IZE2"/>
      <c r="IZF2"/>
      <c r="IZG2"/>
      <c r="IZH2"/>
      <c r="IZI2"/>
      <c r="IZJ2"/>
      <c r="IZK2"/>
      <c r="IZL2"/>
      <c r="IZM2"/>
      <c r="IZN2"/>
      <c r="IZO2"/>
      <c r="IZP2"/>
      <c r="IZQ2"/>
      <c r="IZR2"/>
      <c r="IZS2"/>
      <c r="IZT2"/>
      <c r="IZU2"/>
      <c r="IZV2"/>
      <c r="IZW2"/>
      <c r="IZX2"/>
      <c r="IZY2"/>
      <c r="IZZ2"/>
      <c r="JAA2"/>
      <c r="JAB2"/>
      <c r="JAC2"/>
      <c r="JAD2"/>
      <c r="JAE2"/>
      <c r="JAF2"/>
      <c r="JAG2"/>
      <c r="JAH2"/>
      <c r="JAI2"/>
      <c r="JAJ2"/>
      <c r="JAK2"/>
      <c r="JAL2"/>
      <c r="JAM2"/>
      <c r="JAN2"/>
      <c r="JAO2"/>
      <c r="JAP2"/>
      <c r="JAQ2"/>
      <c r="JAR2"/>
      <c r="JAS2"/>
      <c r="JAT2"/>
      <c r="JAU2"/>
      <c r="JAV2"/>
      <c r="JAW2"/>
      <c r="JAX2"/>
      <c r="JAY2"/>
      <c r="JAZ2"/>
      <c r="JBA2"/>
      <c r="JBB2"/>
      <c r="JBC2"/>
      <c r="JBD2"/>
      <c r="JBE2"/>
      <c r="JBF2"/>
      <c r="JBG2"/>
      <c r="JBH2"/>
      <c r="JBI2"/>
      <c r="JBJ2"/>
      <c r="JBK2"/>
      <c r="JBL2"/>
      <c r="JBM2"/>
      <c r="JBN2"/>
      <c r="JBO2"/>
      <c r="JBP2"/>
      <c r="JBQ2"/>
      <c r="JBR2"/>
      <c r="JBS2"/>
      <c r="JBT2"/>
      <c r="JBU2"/>
      <c r="JBV2"/>
      <c r="JBW2"/>
      <c r="JBX2"/>
      <c r="JBY2"/>
      <c r="JBZ2"/>
      <c r="JCA2"/>
      <c r="JCB2"/>
      <c r="JCC2"/>
      <c r="JCD2"/>
      <c r="JCE2"/>
      <c r="JCF2"/>
      <c r="JCG2"/>
      <c r="JCH2"/>
      <c r="JCI2"/>
      <c r="JCJ2"/>
      <c r="JCK2"/>
      <c r="JCL2"/>
      <c r="JCM2"/>
      <c r="JCN2"/>
      <c r="JCO2"/>
      <c r="JCP2"/>
      <c r="JCQ2"/>
      <c r="JCR2"/>
      <c r="JCS2"/>
      <c r="JCT2"/>
      <c r="JCU2"/>
      <c r="JCV2"/>
      <c r="JCW2"/>
      <c r="JCX2"/>
      <c r="JCY2"/>
      <c r="JCZ2"/>
      <c r="JDA2"/>
      <c r="JDB2"/>
      <c r="JDC2"/>
      <c r="JDD2"/>
      <c r="JDE2"/>
      <c r="JDF2"/>
      <c r="JDG2"/>
      <c r="JDH2"/>
      <c r="JDI2"/>
      <c r="JDJ2"/>
      <c r="JDK2"/>
      <c r="JDL2"/>
      <c r="JDM2"/>
      <c r="JDN2"/>
      <c r="JDO2"/>
      <c r="JDP2"/>
      <c r="JDQ2"/>
      <c r="JDR2"/>
      <c r="JDS2"/>
      <c r="JDT2"/>
      <c r="JDU2"/>
      <c r="JDV2"/>
      <c r="JDW2"/>
      <c r="JDX2"/>
      <c r="JDY2"/>
      <c r="JDZ2"/>
      <c r="JEA2"/>
      <c r="JEB2"/>
      <c r="JEC2"/>
      <c r="JED2"/>
      <c r="JEE2"/>
      <c r="JEF2"/>
      <c r="JEG2"/>
      <c r="JEH2"/>
      <c r="JEI2"/>
      <c r="JEJ2"/>
      <c r="JEK2"/>
      <c r="JEL2"/>
      <c r="JEM2"/>
      <c r="JEN2"/>
      <c r="JEO2"/>
      <c r="JEP2"/>
      <c r="JEQ2"/>
      <c r="JER2"/>
      <c r="JES2"/>
      <c r="JET2"/>
      <c r="JEU2"/>
      <c r="JEV2"/>
      <c r="JEW2"/>
      <c r="JEX2"/>
      <c r="JEY2"/>
      <c r="JEZ2"/>
      <c r="JFA2"/>
      <c r="JFB2"/>
      <c r="JFC2"/>
      <c r="JFD2"/>
      <c r="JFE2"/>
      <c r="JFF2"/>
      <c r="JFG2"/>
      <c r="JFH2"/>
      <c r="JFI2"/>
      <c r="JFJ2"/>
      <c r="JFK2"/>
      <c r="JFL2"/>
      <c r="JFM2"/>
      <c r="JFN2"/>
      <c r="JFO2"/>
      <c r="JFP2"/>
      <c r="JFQ2"/>
      <c r="JFR2"/>
      <c r="JFS2"/>
      <c r="JFT2"/>
      <c r="JFU2"/>
      <c r="JFV2"/>
      <c r="JFW2"/>
      <c r="JFX2"/>
      <c r="JFY2"/>
      <c r="JFZ2"/>
      <c r="JGA2"/>
      <c r="JGB2"/>
      <c r="JGC2"/>
      <c r="JGD2"/>
      <c r="JGE2"/>
      <c r="JGF2"/>
      <c r="JGG2"/>
      <c r="JGH2"/>
      <c r="JGI2"/>
      <c r="JGJ2"/>
      <c r="JGK2"/>
      <c r="JGL2"/>
      <c r="JGM2"/>
      <c r="JGN2"/>
      <c r="JGO2"/>
      <c r="JGP2"/>
      <c r="JGQ2"/>
      <c r="JGR2"/>
      <c r="JGS2"/>
      <c r="JGT2"/>
      <c r="JGU2"/>
      <c r="JGV2"/>
      <c r="JGW2"/>
      <c r="JGX2"/>
      <c r="JGY2"/>
      <c r="JGZ2"/>
      <c r="JHA2"/>
      <c r="JHB2"/>
      <c r="JHC2"/>
      <c r="JHD2"/>
      <c r="JHE2"/>
      <c r="JHF2"/>
      <c r="JHG2"/>
      <c r="JHH2"/>
      <c r="JHI2"/>
      <c r="JHJ2"/>
      <c r="JHK2"/>
      <c r="JHL2"/>
      <c r="JHM2"/>
      <c r="JHN2"/>
      <c r="JHO2"/>
      <c r="JHP2"/>
      <c r="JHQ2"/>
      <c r="JHR2"/>
      <c r="JHS2"/>
      <c r="JHT2"/>
      <c r="JHU2"/>
      <c r="JHV2"/>
      <c r="JHW2"/>
      <c r="JHX2"/>
      <c r="JHY2"/>
      <c r="JHZ2"/>
      <c r="JIA2"/>
      <c r="JIB2"/>
      <c r="JIC2"/>
      <c r="JID2"/>
      <c r="JIE2"/>
      <c r="JIF2"/>
      <c r="JIG2"/>
      <c r="JIH2"/>
      <c r="JII2"/>
      <c r="JIJ2"/>
      <c r="JIK2"/>
      <c r="JIL2"/>
      <c r="JIM2"/>
      <c r="JIN2"/>
      <c r="JIO2"/>
      <c r="JIP2"/>
      <c r="JIQ2"/>
      <c r="JIR2"/>
      <c r="JIS2"/>
      <c r="JIT2"/>
      <c r="JIU2"/>
      <c r="JIV2"/>
      <c r="JIW2"/>
      <c r="JIX2"/>
      <c r="JIY2"/>
      <c r="JIZ2"/>
      <c r="JJA2"/>
      <c r="JJB2"/>
      <c r="JJC2"/>
      <c r="JJD2"/>
      <c r="JJE2"/>
      <c r="JJF2"/>
      <c r="JJG2"/>
      <c r="JJH2"/>
      <c r="JJI2"/>
      <c r="JJJ2"/>
      <c r="JJK2"/>
      <c r="JJL2"/>
      <c r="JJM2"/>
      <c r="JJN2"/>
      <c r="JJO2"/>
      <c r="JJP2"/>
      <c r="JJQ2"/>
      <c r="JJR2"/>
      <c r="JJS2"/>
      <c r="JJT2"/>
      <c r="JJU2"/>
      <c r="JJV2"/>
      <c r="JJW2"/>
      <c r="JJX2"/>
      <c r="JJY2"/>
      <c r="JJZ2"/>
      <c r="JKA2"/>
      <c r="JKB2"/>
      <c r="JKC2"/>
      <c r="JKD2"/>
      <c r="JKE2"/>
      <c r="JKF2"/>
      <c r="JKG2"/>
      <c r="JKH2"/>
      <c r="JKI2"/>
      <c r="JKJ2"/>
      <c r="JKK2"/>
      <c r="JKL2"/>
      <c r="JKM2"/>
      <c r="JKN2"/>
      <c r="JKO2"/>
      <c r="JKP2"/>
      <c r="JKQ2"/>
      <c r="JKR2"/>
      <c r="JKS2"/>
      <c r="JKT2"/>
      <c r="JKU2"/>
      <c r="JKV2"/>
      <c r="JKW2"/>
      <c r="JKX2"/>
      <c r="JKY2"/>
      <c r="JKZ2"/>
      <c r="JLA2"/>
      <c r="JLB2"/>
      <c r="JLC2"/>
      <c r="JLD2"/>
      <c r="JLE2"/>
      <c r="JLF2"/>
      <c r="JLG2"/>
      <c r="JLH2"/>
      <c r="JLI2"/>
      <c r="JLJ2"/>
      <c r="JLK2"/>
      <c r="JLL2"/>
      <c r="JLM2"/>
      <c r="JLN2"/>
      <c r="JLO2"/>
      <c r="JLP2"/>
      <c r="JLQ2"/>
      <c r="JLR2"/>
      <c r="JLS2"/>
      <c r="JLT2"/>
      <c r="JLU2"/>
      <c r="JLV2"/>
      <c r="JLW2"/>
      <c r="JLX2"/>
      <c r="JLY2"/>
      <c r="JLZ2"/>
      <c r="JMA2"/>
      <c r="JMB2"/>
      <c r="JMC2"/>
      <c r="JMD2"/>
      <c r="JME2"/>
      <c r="JMF2"/>
      <c r="JMG2"/>
      <c r="JMH2"/>
      <c r="JMI2"/>
      <c r="JMJ2"/>
      <c r="JMK2"/>
      <c r="JML2"/>
      <c r="JMM2"/>
      <c r="JMN2"/>
      <c r="JMO2"/>
      <c r="JMP2"/>
      <c r="JMQ2"/>
      <c r="JMR2"/>
      <c r="JMS2"/>
      <c r="JMT2"/>
      <c r="JMU2"/>
      <c r="JMV2"/>
      <c r="JMW2"/>
      <c r="JMX2"/>
      <c r="JMY2"/>
      <c r="JMZ2"/>
      <c r="JNA2"/>
      <c r="JNB2"/>
      <c r="JNC2"/>
      <c r="JND2"/>
      <c r="JNE2"/>
      <c r="JNF2"/>
      <c r="JNG2"/>
      <c r="JNH2"/>
      <c r="JNI2"/>
      <c r="JNJ2"/>
      <c r="JNK2"/>
      <c r="JNL2"/>
      <c r="JNM2"/>
      <c r="JNN2"/>
      <c r="JNO2"/>
      <c r="JNP2"/>
      <c r="JNQ2"/>
      <c r="JNR2"/>
      <c r="JNS2"/>
      <c r="JNT2"/>
      <c r="JNU2"/>
      <c r="JNV2"/>
      <c r="JNW2"/>
      <c r="JNX2"/>
      <c r="JNY2"/>
      <c r="JNZ2"/>
      <c r="JOA2"/>
      <c r="JOB2"/>
      <c r="JOC2"/>
      <c r="JOD2"/>
      <c r="JOE2"/>
      <c r="JOF2"/>
      <c r="JOG2"/>
      <c r="JOH2"/>
      <c r="JOI2"/>
      <c r="JOJ2"/>
      <c r="JOK2"/>
      <c r="JOL2"/>
      <c r="JOM2"/>
      <c r="JON2"/>
      <c r="JOO2"/>
      <c r="JOP2"/>
      <c r="JOQ2"/>
      <c r="JOR2"/>
      <c r="JOS2"/>
      <c r="JOT2"/>
      <c r="JOU2"/>
      <c r="JOV2"/>
      <c r="JOW2"/>
      <c r="JOX2"/>
      <c r="JOY2"/>
      <c r="JOZ2"/>
      <c r="JPA2"/>
      <c r="JPB2"/>
      <c r="JPC2"/>
      <c r="JPD2"/>
      <c r="JPE2"/>
      <c r="JPF2"/>
      <c r="JPG2"/>
      <c r="JPH2"/>
      <c r="JPI2"/>
      <c r="JPJ2"/>
      <c r="JPK2"/>
      <c r="JPL2"/>
      <c r="JPM2"/>
      <c r="JPN2"/>
      <c r="JPO2"/>
      <c r="JPP2"/>
      <c r="JPQ2"/>
      <c r="JPR2"/>
      <c r="JPS2"/>
      <c r="JPT2"/>
      <c r="JPU2"/>
      <c r="JPV2"/>
      <c r="JPW2"/>
      <c r="JPX2"/>
      <c r="JPY2"/>
      <c r="JPZ2"/>
      <c r="JQA2"/>
      <c r="JQB2"/>
      <c r="JQC2"/>
      <c r="JQD2"/>
      <c r="JQE2"/>
      <c r="JQF2"/>
      <c r="JQG2"/>
      <c r="JQH2"/>
      <c r="JQI2"/>
      <c r="JQJ2"/>
      <c r="JQK2"/>
      <c r="JQL2"/>
      <c r="JQM2"/>
      <c r="JQN2"/>
      <c r="JQO2"/>
      <c r="JQP2"/>
      <c r="JQQ2"/>
      <c r="JQR2"/>
      <c r="JQS2"/>
      <c r="JQT2"/>
      <c r="JQU2"/>
      <c r="JQV2"/>
      <c r="JQW2"/>
      <c r="JQX2"/>
      <c r="JQY2"/>
      <c r="JQZ2"/>
      <c r="JRA2"/>
      <c r="JRB2"/>
      <c r="JRC2"/>
      <c r="JRD2"/>
      <c r="JRE2"/>
      <c r="JRF2"/>
      <c r="JRG2"/>
      <c r="JRH2"/>
      <c r="JRI2"/>
      <c r="JRJ2"/>
      <c r="JRK2"/>
      <c r="JRL2"/>
      <c r="JRM2"/>
      <c r="JRN2"/>
      <c r="JRO2"/>
      <c r="JRP2"/>
      <c r="JRQ2"/>
      <c r="JRR2"/>
      <c r="JRS2"/>
      <c r="JRT2"/>
      <c r="JRU2"/>
      <c r="JRV2"/>
      <c r="JRW2"/>
      <c r="JRX2"/>
      <c r="JRY2"/>
      <c r="JRZ2"/>
      <c r="JSA2"/>
      <c r="JSB2"/>
      <c r="JSC2"/>
      <c r="JSD2"/>
      <c r="JSE2"/>
      <c r="JSF2"/>
      <c r="JSG2"/>
      <c r="JSH2"/>
      <c r="JSI2"/>
      <c r="JSJ2"/>
      <c r="JSK2"/>
      <c r="JSL2"/>
      <c r="JSM2"/>
      <c r="JSN2"/>
      <c r="JSO2"/>
      <c r="JSP2"/>
      <c r="JSQ2"/>
      <c r="JSR2"/>
      <c r="JSS2"/>
      <c r="JST2"/>
      <c r="JSU2"/>
      <c r="JSV2"/>
      <c r="JSW2"/>
      <c r="JSX2"/>
      <c r="JSY2"/>
      <c r="JSZ2"/>
      <c r="JTA2"/>
      <c r="JTB2"/>
      <c r="JTC2"/>
      <c r="JTD2"/>
      <c r="JTE2"/>
      <c r="JTF2"/>
      <c r="JTG2"/>
      <c r="JTH2"/>
      <c r="JTI2"/>
      <c r="JTJ2"/>
      <c r="JTK2"/>
      <c r="JTL2"/>
      <c r="JTM2"/>
      <c r="JTN2"/>
      <c r="JTO2"/>
      <c r="JTP2"/>
      <c r="JTQ2"/>
      <c r="JTR2"/>
      <c r="JTS2"/>
      <c r="JTT2"/>
      <c r="JTU2"/>
      <c r="JTV2"/>
      <c r="JTW2"/>
      <c r="JTX2"/>
      <c r="JTY2"/>
      <c r="JTZ2"/>
      <c r="JUA2"/>
      <c r="JUB2"/>
      <c r="JUC2"/>
      <c r="JUD2"/>
      <c r="JUE2"/>
      <c r="JUF2"/>
      <c r="JUG2"/>
      <c r="JUH2"/>
      <c r="JUI2"/>
      <c r="JUJ2"/>
      <c r="JUK2"/>
      <c r="JUL2"/>
      <c r="JUM2"/>
      <c r="JUN2"/>
      <c r="JUO2"/>
      <c r="JUP2"/>
      <c r="JUQ2"/>
      <c r="JUR2"/>
      <c r="JUS2"/>
      <c r="JUT2"/>
      <c r="JUU2"/>
      <c r="JUV2"/>
      <c r="JUW2"/>
      <c r="JUX2"/>
      <c r="JUY2"/>
      <c r="JUZ2"/>
      <c r="JVA2"/>
      <c r="JVB2"/>
      <c r="JVC2"/>
      <c r="JVD2"/>
      <c r="JVE2"/>
      <c r="JVF2"/>
      <c r="JVG2"/>
      <c r="JVH2"/>
      <c r="JVI2"/>
      <c r="JVJ2"/>
      <c r="JVK2"/>
      <c r="JVL2"/>
      <c r="JVM2"/>
      <c r="JVN2"/>
      <c r="JVO2"/>
      <c r="JVP2"/>
      <c r="JVQ2"/>
      <c r="JVR2"/>
      <c r="JVS2"/>
      <c r="JVT2"/>
      <c r="JVU2"/>
      <c r="JVV2"/>
      <c r="JVW2"/>
      <c r="JVX2"/>
      <c r="JVY2"/>
      <c r="JVZ2"/>
      <c r="JWA2"/>
      <c r="JWB2"/>
      <c r="JWC2"/>
      <c r="JWD2"/>
      <c r="JWE2"/>
      <c r="JWF2"/>
      <c r="JWG2"/>
      <c r="JWH2"/>
      <c r="JWI2"/>
      <c r="JWJ2"/>
      <c r="JWK2"/>
      <c r="JWL2"/>
      <c r="JWM2"/>
      <c r="JWN2"/>
      <c r="JWO2"/>
      <c r="JWP2"/>
      <c r="JWQ2"/>
      <c r="JWR2"/>
      <c r="JWS2"/>
      <c r="JWT2"/>
      <c r="JWU2"/>
      <c r="JWV2"/>
      <c r="JWW2"/>
      <c r="JWX2"/>
      <c r="JWY2"/>
      <c r="JWZ2"/>
      <c r="JXA2"/>
      <c r="JXB2"/>
      <c r="JXC2"/>
      <c r="JXD2"/>
      <c r="JXE2"/>
      <c r="JXF2"/>
      <c r="JXG2"/>
      <c r="JXH2"/>
      <c r="JXI2"/>
      <c r="JXJ2"/>
      <c r="JXK2"/>
      <c r="JXL2"/>
      <c r="JXM2"/>
      <c r="JXN2"/>
      <c r="JXO2"/>
      <c r="JXP2"/>
      <c r="JXQ2"/>
      <c r="JXR2"/>
      <c r="JXS2"/>
      <c r="JXT2"/>
      <c r="JXU2"/>
      <c r="JXV2"/>
      <c r="JXW2"/>
      <c r="JXX2"/>
      <c r="JXY2"/>
      <c r="JXZ2"/>
      <c r="JYA2"/>
      <c r="JYB2"/>
      <c r="JYC2"/>
      <c r="JYD2"/>
      <c r="JYE2"/>
      <c r="JYF2"/>
      <c r="JYG2"/>
      <c r="JYH2"/>
      <c r="JYI2"/>
      <c r="JYJ2"/>
      <c r="JYK2"/>
      <c r="JYL2"/>
      <c r="JYM2"/>
      <c r="JYN2"/>
      <c r="JYO2"/>
      <c r="JYP2"/>
      <c r="JYQ2"/>
      <c r="JYR2"/>
      <c r="JYS2"/>
      <c r="JYT2"/>
      <c r="JYU2"/>
      <c r="JYV2"/>
      <c r="JYW2"/>
      <c r="JYX2"/>
      <c r="JYY2"/>
      <c r="JYZ2"/>
      <c r="JZA2"/>
      <c r="JZB2"/>
      <c r="JZC2"/>
      <c r="JZD2"/>
      <c r="JZE2"/>
      <c r="JZF2"/>
      <c r="JZG2"/>
      <c r="JZH2"/>
      <c r="JZI2"/>
      <c r="JZJ2"/>
      <c r="JZK2"/>
      <c r="JZL2"/>
      <c r="JZM2"/>
      <c r="JZN2"/>
      <c r="JZO2"/>
      <c r="JZP2"/>
      <c r="JZQ2"/>
      <c r="JZR2"/>
      <c r="JZS2"/>
      <c r="JZT2"/>
      <c r="JZU2"/>
      <c r="JZV2"/>
      <c r="JZW2"/>
      <c r="JZX2"/>
      <c r="JZY2"/>
      <c r="JZZ2"/>
      <c r="KAA2"/>
      <c r="KAB2"/>
      <c r="KAC2"/>
      <c r="KAD2"/>
      <c r="KAE2"/>
      <c r="KAF2"/>
      <c r="KAG2"/>
      <c r="KAH2"/>
      <c r="KAI2"/>
      <c r="KAJ2"/>
      <c r="KAK2"/>
      <c r="KAL2"/>
      <c r="KAM2"/>
      <c r="KAN2"/>
      <c r="KAO2"/>
      <c r="KAP2"/>
      <c r="KAQ2"/>
      <c r="KAR2"/>
      <c r="KAS2"/>
      <c r="KAT2"/>
      <c r="KAU2"/>
      <c r="KAV2"/>
      <c r="KAW2"/>
      <c r="KAX2"/>
      <c r="KAY2"/>
      <c r="KAZ2"/>
      <c r="KBA2"/>
      <c r="KBB2"/>
      <c r="KBC2"/>
      <c r="KBD2"/>
      <c r="KBE2"/>
      <c r="KBF2"/>
      <c r="KBG2"/>
      <c r="KBH2"/>
      <c r="KBI2"/>
      <c r="KBJ2"/>
      <c r="KBK2"/>
      <c r="KBL2"/>
      <c r="KBM2"/>
      <c r="KBN2"/>
      <c r="KBO2"/>
      <c r="KBP2"/>
      <c r="KBQ2"/>
      <c r="KBR2"/>
      <c r="KBS2"/>
      <c r="KBT2"/>
      <c r="KBU2"/>
      <c r="KBV2"/>
      <c r="KBW2"/>
      <c r="KBX2"/>
      <c r="KBY2"/>
      <c r="KBZ2"/>
      <c r="KCA2"/>
      <c r="KCB2"/>
      <c r="KCC2"/>
      <c r="KCD2"/>
      <c r="KCE2"/>
      <c r="KCF2"/>
      <c r="KCG2"/>
      <c r="KCH2"/>
      <c r="KCI2"/>
      <c r="KCJ2"/>
      <c r="KCK2"/>
      <c r="KCL2"/>
      <c r="KCM2"/>
      <c r="KCN2"/>
      <c r="KCO2"/>
      <c r="KCP2"/>
      <c r="KCQ2"/>
      <c r="KCR2"/>
      <c r="KCS2"/>
      <c r="KCT2"/>
      <c r="KCU2"/>
      <c r="KCV2"/>
      <c r="KCW2"/>
      <c r="KCX2"/>
      <c r="KCY2"/>
      <c r="KCZ2"/>
      <c r="KDA2"/>
      <c r="KDB2"/>
      <c r="KDC2"/>
      <c r="KDD2"/>
      <c r="KDE2"/>
      <c r="KDF2"/>
      <c r="KDG2"/>
      <c r="KDH2"/>
      <c r="KDI2"/>
      <c r="KDJ2"/>
      <c r="KDK2"/>
      <c r="KDL2"/>
      <c r="KDM2"/>
      <c r="KDN2"/>
      <c r="KDO2"/>
      <c r="KDP2"/>
      <c r="KDQ2"/>
      <c r="KDR2"/>
      <c r="KDS2"/>
      <c r="KDT2"/>
      <c r="KDU2"/>
      <c r="KDV2"/>
      <c r="KDW2"/>
      <c r="KDX2"/>
      <c r="KDY2"/>
      <c r="KDZ2"/>
      <c r="KEA2"/>
      <c r="KEB2"/>
      <c r="KEC2"/>
      <c r="KED2"/>
      <c r="KEE2"/>
      <c r="KEF2"/>
      <c r="KEG2"/>
      <c r="KEH2"/>
      <c r="KEI2"/>
      <c r="KEJ2"/>
      <c r="KEK2"/>
      <c r="KEL2"/>
      <c r="KEM2"/>
      <c r="KEN2"/>
      <c r="KEO2"/>
      <c r="KEP2"/>
      <c r="KEQ2"/>
      <c r="KER2"/>
      <c r="KES2"/>
      <c r="KET2"/>
      <c r="KEU2"/>
      <c r="KEV2"/>
      <c r="KEW2"/>
      <c r="KEX2"/>
      <c r="KEY2"/>
      <c r="KEZ2"/>
      <c r="KFA2"/>
      <c r="KFB2"/>
      <c r="KFC2"/>
      <c r="KFD2"/>
      <c r="KFE2"/>
      <c r="KFF2"/>
      <c r="KFG2"/>
      <c r="KFH2"/>
      <c r="KFI2"/>
      <c r="KFJ2"/>
      <c r="KFK2"/>
      <c r="KFL2"/>
      <c r="KFM2"/>
      <c r="KFN2"/>
      <c r="KFO2"/>
      <c r="KFP2"/>
      <c r="KFQ2"/>
      <c r="KFR2"/>
      <c r="KFS2"/>
      <c r="KFT2"/>
      <c r="KFU2"/>
      <c r="KFV2"/>
      <c r="KFW2"/>
      <c r="KFX2"/>
      <c r="KFY2"/>
      <c r="KFZ2"/>
      <c r="KGA2"/>
      <c r="KGB2"/>
      <c r="KGC2"/>
      <c r="KGD2"/>
      <c r="KGE2"/>
      <c r="KGF2"/>
      <c r="KGG2"/>
      <c r="KGH2"/>
      <c r="KGI2"/>
      <c r="KGJ2"/>
      <c r="KGK2"/>
      <c r="KGL2"/>
      <c r="KGM2"/>
      <c r="KGN2"/>
      <c r="KGO2"/>
      <c r="KGP2"/>
      <c r="KGQ2"/>
      <c r="KGR2"/>
      <c r="KGS2"/>
      <c r="KGT2"/>
      <c r="KGU2"/>
      <c r="KGV2"/>
      <c r="KGW2"/>
      <c r="KGX2"/>
      <c r="KGY2"/>
      <c r="KGZ2"/>
      <c r="KHA2"/>
      <c r="KHB2"/>
      <c r="KHC2"/>
      <c r="KHD2"/>
      <c r="KHE2"/>
      <c r="KHF2"/>
      <c r="KHG2"/>
      <c r="KHH2"/>
      <c r="KHI2"/>
      <c r="KHJ2"/>
      <c r="KHK2"/>
      <c r="KHL2"/>
      <c r="KHM2"/>
      <c r="KHN2"/>
      <c r="KHO2"/>
      <c r="KHP2"/>
      <c r="KHQ2"/>
      <c r="KHR2"/>
      <c r="KHS2"/>
      <c r="KHT2"/>
      <c r="KHU2"/>
      <c r="KHV2"/>
      <c r="KHW2"/>
      <c r="KHX2"/>
      <c r="KHY2"/>
      <c r="KHZ2"/>
      <c r="KIA2"/>
      <c r="KIB2"/>
      <c r="KIC2"/>
      <c r="KID2"/>
      <c r="KIE2"/>
      <c r="KIF2"/>
      <c r="KIG2"/>
      <c r="KIH2"/>
      <c r="KII2"/>
      <c r="KIJ2"/>
      <c r="KIK2"/>
      <c r="KIL2"/>
      <c r="KIM2"/>
      <c r="KIN2"/>
      <c r="KIO2"/>
      <c r="KIP2"/>
      <c r="KIQ2"/>
      <c r="KIR2"/>
      <c r="KIS2"/>
      <c r="KIT2"/>
      <c r="KIU2"/>
      <c r="KIV2"/>
      <c r="KIW2"/>
      <c r="KIX2"/>
      <c r="KIY2"/>
      <c r="KIZ2"/>
      <c r="KJA2"/>
      <c r="KJB2"/>
      <c r="KJC2"/>
      <c r="KJD2"/>
      <c r="KJE2"/>
      <c r="KJF2"/>
      <c r="KJG2"/>
      <c r="KJH2"/>
      <c r="KJI2"/>
      <c r="KJJ2"/>
      <c r="KJK2"/>
      <c r="KJL2"/>
      <c r="KJM2"/>
      <c r="KJN2"/>
      <c r="KJO2"/>
      <c r="KJP2"/>
      <c r="KJQ2"/>
      <c r="KJR2"/>
      <c r="KJS2"/>
      <c r="KJT2"/>
      <c r="KJU2"/>
      <c r="KJV2"/>
      <c r="KJW2"/>
      <c r="KJX2"/>
      <c r="KJY2"/>
      <c r="KJZ2"/>
      <c r="KKA2"/>
      <c r="KKB2"/>
      <c r="KKC2"/>
      <c r="KKD2"/>
      <c r="KKE2"/>
      <c r="KKF2"/>
      <c r="KKG2"/>
      <c r="KKH2"/>
      <c r="KKI2"/>
      <c r="KKJ2"/>
      <c r="KKK2"/>
      <c r="KKL2"/>
      <c r="KKM2"/>
      <c r="KKN2"/>
      <c r="KKO2"/>
      <c r="KKP2"/>
      <c r="KKQ2"/>
      <c r="KKR2"/>
      <c r="KKS2"/>
      <c r="KKT2"/>
      <c r="KKU2"/>
      <c r="KKV2"/>
      <c r="KKW2"/>
      <c r="KKX2"/>
      <c r="KKY2"/>
      <c r="KKZ2"/>
      <c r="KLA2"/>
      <c r="KLB2"/>
      <c r="KLC2"/>
      <c r="KLD2"/>
      <c r="KLE2"/>
      <c r="KLF2"/>
      <c r="KLG2"/>
      <c r="KLH2"/>
      <c r="KLI2"/>
      <c r="KLJ2"/>
      <c r="KLK2"/>
      <c r="KLL2"/>
      <c r="KLM2"/>
      <c r="KLN2"/>
      <c r="KLO2"/>
      <c r="KLP2"/>
      <c r="KLQ2"/>
      <c r="KLR2"/>
      <c r="KLS2"/>
      <c r="KLT2"/>
      <c r="KLU2"/>
      <c r="KLV2"/>
      <c r="KLW2"/>
      <c r="KLX2"/>
      <c r="KLY2"/>
      <c r="KLZ2"/>
      <c r="KMA2"/>
      <c r="KMB2"/>
      <c r="KMC2"/>
      <c r="KMD2"/>
      <c r="KME2"/>
      <c r="KMF2"/>
      <c r="KMG2"/>
      <c r="KMH2"/>
      <c r="KMI2"/>
      <c r="KMJ2"/>
      <c r="KMK2"/>
      <c r="KML2"/>
      <c r="KMM2"/>
      <c r="KMN2"/>
      <c r="KMO2"/>
      <c r="KMP2"/>
      <c r="KMQ2"/>
      <c r="KMR2"/>
      <c r="KMS2"/>
      <c r="KMT2"/>
      <c r="KMU2"/>
      <c r="KMV2"/>
      <c r="KMW2"/>
      <c r="KMX2"/>
      <c r="KMY2"/>
      <c r="KMZ2"/>
      <c r="KNA2"/>
      <c r="KNB2"/>
      <c r="KNC2"/>
      <c r="KND2"/>
      <c r="KNE2"/>
      <c r="KNF2"/>
      <c r="KNG2"/>
      <c r="KNH2"/>
      <c r="KNI2"/>
      <c r="KNJ2"/>
      <c r="KNK2"/>
      <c r="KNL2"/>
      <c r="KNM2"/>
      <c r="KNN2"/>
      <c r="KNO2"/>
      <c r="KNP2"/>
      <c r="KNQ2"/>
      <c r="KNR2"/>
      <c r="KNS2"/>
      <c r="KNT2"/>
      <c r="KNU2"/>
      <c r="KNV2"/>
      <c r="KNW2"/>
      <c r="KNX2"/>
      <c r="KNY2"/>
      <c r="KNZ2"/>
      <c r="KOA2"/>
      <c r="KOB2"/>
      <c r="KOC2"/>
      <c r="KOD2"/>
      <c r="KOE2"/>
      <c r="KOF2"/>
      <c r="KOG2"/>
      <c r="KOH2"/>
      <c r="KOI2"/>
      <c r="KOJ2"/>
      <c r="KOK2"/>
      <c r="KOL2"/>
      <c r="KOM2"/>
      <c r="KON2"/>
      <c r="KOO2"/>
      <c r="KOP2"/>
      <c r="KOQ2"/>
      <c r="KOR2"/>
      <c r="KOS2"/>
      <c r="KOT2"/>
      <c r="KOU2"/>
      <c r="KOV2"/>
      <c r="KOW2"/>
      <c r="KOX2"/>
      <c r="KOY2"/>
      <c r="KOZ2"/>
      <c r="KPA2"/>
      <c r="KPB2"/>
      <c r="KPC2"/>
      <c r="KPD2"/>
      <c r="KPE2"/>
      <c r="KPF2"/>
      <c r="KPG2"/>
      <c r="KPH2"/>
      <c r="KPI2"/>
      <c r="KPJ2"/>
      <c r="KPK2"/>
      <c r="KPL2"/>
      <c r="KPM2"/>
      <c r="KPN2"/>
      <c r="KPO2"/>
      <c r="KPP2"/>
      <c r="KPQ2"/>
      <c r="KPR2"/>
      <c r="KPS2"/>
      <c r="KPT2"/>
      <c r="KPU2"/>
      <c r="KPV2"/>
      <c r="KPW2"/>
      <c r="KPX2"/>
      <c r="KPY2"/>
      <c r="KPZ2"/>
      <c r="KQA2"/>
      <c r="KQB2"/>
      <c r="KQC2"/>
      <c r="KQD2"/>
      <c r="KQE2"/>
      <c r="KQF2"/>
      <c r="KQG2"/>
      <c r="KQH2"/>
      <c r="KQI2"/>
      <c r="KQJ2"/>
      <c r="KQK2"/>
      <c r="KQL2"/>
      <c r="KQM2"/>
      <c r="KQN2"/>
      <c r="KQO2"/>
      <c r="KQP2"/>
      <c r="KQQ2"/>
      <c r="KQR2"/>
      <c r="KQS2"/>
      <c r="KQT2"/>
      <c r="KQU2"/>
      <c r="KQV2"/>
      <c r="KQW2"/>
      <c r="KQX2"/>
      <c r="KQY2"/>
      <c r="KQZ2"/>
      <c r="KRA2"/>
      <c r="KRB2"/>
      <c r="KRC2"/>
      <c r="KRD2"/>
      <c r="KRE2"/>
      <c r="KRF2"/>
      <c r="KRG2"/>
      <c r="KRH2"/>
      <c r="KRI2"/>
      <c r="KRJ2"/>
      <c r="KRK2"/>
      <c r="KRL2"/>
      <c r="KRM2"/>
      <c r="KRN2"/>
      <c r="KRO2"/>
      <c r="KRP2"/>
      <c r="KRQ2"/>
      <c r="KRR2"/>
      <c r="KRS2"/>
      <c r="KRT2"/>
      <c r="KRU2"/>
      <c r="KRV2"/>
      <c r="KRW2"/>
      <c r="KRX2"/>
      <c r="KRY2"/>
      <c r="KRZ2"/>
      <c r="KSA2"/>
      <c r="KSB2"/>
      <c r="KSC2"/>
      <c r="KSD2"/>
      <c r="KSE2"/>
      <c r="KSF2"/>
      <c r="KSG2"/>
      <c r="KSH2"/>
      <c r="KSI2"/>
      <c r="KSJ2"/>
      <c r="KSK2"/>
      <c r="KSL2"/>
      <c r="KSM2"/>
      <c r="KSN2"/>
      <c r="KSO2"/>
      <c r="KSP2"/>
      <c r="KSQ2"/>
      <c r="KSR2"/>
      <c r="KSS2"/>
      <c r="KST2"/>
      <c r="KSU2"/>
      <c r="KSV2"/>
      <c r="KSW2"/>
      <c r="KSX2"/>
      <c r="KSY2"/>
      <c r="KSZ2"/>
      <c r="KTA2"/>
      <c r="KTB2"/>
      <c r="KTC2"/>
      <c r="KTD2"/>
      <c r="KTE2"/>
      <c r="KTF2"/>
      <c r="KTG2"/>
      <c r="KTH2"/>
      <c r="KTI2"/>
      <c r="KTJ2"/>
      <c r="KTK2"/>
      <c r="KTL2"/>
      <c r="KTM2"/>
      <c r="KTN2"/>
      <c r="KTO2"/>
      <c r="KTP2"/>
      <c r="KTQ2"/>
      <c r="KTR2"/>
      <c r="KTS2"/>
      <c r="KTT2"/>
      <c r="KTU2"/>
      <c r="KTV2"/>
      <c r="KTW2"/>
      <c r="KTX2"/>
      <c r="KTY2"/>
      <c r="KTZ2"/>
      <c r="KUA2"/>
      <c r="KUB2"/>
      <c r="KUC2"/>
      <c r="KUD2"/>
      <c r="KUE2"/>
      <c r="KUF2"/>
      <c r="KUG2"/>
      <c r="KUH2"/>
      <c r="KUI2"/>
      <c r="KUJ2"/>
      <c r="KUK2"/>
      <c r="KUL2"/>
      <c r="KUM2"/>
      <c r="KUN2"/>
      <c r="KUO2"/>
      <c r="KUP2"/>
      <c r="KUQ2"/>
      <c r="KUR2"/>
      <c r="KUS2"/>
      <c r="KUT2"/>
      <c r="KUU2"/>
      <c r="KUV2"/>
      <c r="KUW2"/>
      <c r="KUX2"/>
      <c r="KUY2"/>
      <c r="KUZ2"/>
      <c r="KVA2"/>
      <c r="KVB2"/>
      <c r="KVC2"/>
      <c r="KVD2"/>
      <c r="KVE2"/>
      <c r="KVF2"/>
      <c r="KVG2"/>
      <c r="KVH2"/>
      <c r="KVI2"/>
      <c r="KVJ2"/>
      <c r="KVK2"/>
      <c r="KVL2"/>
      <c r="KVM2"/>
      <c r="KVN2"/>
      <c r="KVO2"/>
      <c r="KVP2"/>
      <c r="KVQ2"/>
      <c r="KVR2"/>
      <c r="KVS2"/>
      <c r="KVT2"/>
      <c r="KVU2"/>
      <c r="KVV2"/>
      <c r="KVW2"/>
      <c r="KVX2"/>
      <c r="KVY2"/>
      <c r="KVZ2"/>
      <c r="KWA2"/>
      <c r="KWB2"/>
      <c r="KWC2"/>
      <c r="KWD2"/>
      <c r="KWE2"/>
      <c r="KWF2"/>
      <c r="KWG2"/>
      <c r="KWH2"/>
      <c r="KWI2"/>
      <c r="KWJ2"/>
      <c r="KWK2"/>
      <c r="KWL2"/>
      <c r="KWM2"/>
      <c r="KWN2"/>
      <c r="KWO2"/>
      <c r="KWP2"/>
      <c r="KWQ2"/>
      <c r="KWR2"/>
      <c r="KWS2"/>
      <c r="KWT2"/>
      <c r="KWU2"/>
      <c r="KWV2"/>
      <c r="KWW2"/>
      <c r="KWX2"/>
      <c r="KWY2"/>
      <c r="KWZ2"/>
      <c r="KXA2"/>
      <c r="KXB2"/>
      <c r="KXC2"/>
      <c r="KXD2"/>
      <c r="KXE2"/>
      <c r="KXF2"/>
      <c r="KXG2"/>
      <c r="KXH2"/>
      <c r="KXI2"/>
      <c r="KXJ2"/>
      <c r="KXK2"/>
      <c r="KXL2"/>
      <c r="KXM2"/>
      <c r="KXN2"/>
      <c r="KXO2"/>
      <c r="KXP2"/>
      <c r="KXQ2"/>
      <c r="KXR2"/>
      <c r="KXS2"/>
      <c r="KXT2"/>
      <c r="KXU2"/>
      <c r="KXV2"/>
      <c r="KXW2"/>
      <c r="KXX2"/>
      <c r="KXY2"/>
      <c r="KXZ2"/>
      <c r="KYA2"/>
      <c r="KYB2"/>
      <c r="KYC2"/>
      <c r="KYD2"/>
      <c r="KYE2"/>
      <c r="KYF2"/>
      <c r="KYG2"/>
      <c r="KYH2"/>
      <c r="KYI2"/>
      <c r="KYJ2"/>
      <c r="KYK2"/>
      <c r="KYL2"/>
      <c r="KYM2"/>
      <c r="KYN2"/>
      <c r="KYO2"/>
      <c r="KYP2"/>
      <c r="KYQ2"/>
      <c r="KYR2"/>
      <c r="KYS2"/>
      <c r="KYT2"/>
      <c r="KYU2"/>
      <c r="KYV2"/>
      <c r="KYW2"/>
      <c r="KYX2"/>
      <c r="KYY2"/>
      <c r="KYZ2"/>
      <c r="KZA2"/>
      <c r="KZB2"/>
      <c r="KZC2"/>
      <c r="KZD2"/>
      <c r="KZE2"/>
      <c r="KZF2"/>
      <c r="KZG2"/>
      <c r="KZH2"/>
      <c r="KZI2"/>
      <c r="KZJ2"/>
      <c r="KZK2"/>
      <c r="KZL2"/>
      <c r="KZM2"/>
      <c r="KZN2"/>
      <c r="KZO2"/>
      <c r="KZP2"/>
      <c r="KZQ2"/>
      <c r="KZR2"/>
      <c r="KZS2"/>
      <c r="KZT2"/>
      <c r="KZU2"/>
      <c r="KZV2"/>
      <c r="KZW2"/>
      <c r="KZX2"/>
      <c r="KZY2"/>
      <c r="KZZ2"/>
      <c r="LAA2"/>
      <c r="LAB2"/>
      <c r="LAC2"/>
      <c r="LAD2"/>
      <c r="LAE2"/>
      <c r="LAF2"/>
      <c r="LAG2"/>
      <c r="LAH2"/>
      <c r="LAI2"/>
      <c r="LAJ2"/>
      <c r="LAK2"/>
      <c r="LAL2"/>
      <c r="LAM2"/>
      <c r="LAN2"/>
      <c r="LAO2"/>
      <c r="LAP2"/>
      <c r="LAQ2"/>
      <c r="LAR2"/>
      <c r="LAS2"/>
      <c r="LAT2"/>
      <c r="LAU2"/>
      <c r="LAV2"/>
      <c r="LAW2"/>
      <c r="LAX2"/>
      <c r="LAY2"/>
      <c r="LAZ2"/>
      <c r="LBA2"/>
      <c r="LBB2"/>
      <c r="LBC2"/>
      <c r="LBD2"/>
      <c r="LBE2"/>
      <c r="LBF2"/>
      <c r="LBG2"/>
      <c r="LBH2"/>
      <c r="LBI2"/>
      <c r="LBJ2"/>
      <c r="LBK2"/>
      <c r="LBL2"/>
      <c r="LBM2"/>
      <c r="LBN2"/>
      <c r="LBO2"/>
      <c r="LBP2"/>
      <c r="LBQ2"/>
      <c r="LBR2"/>
      <c r="LBS2"/>
      <c r="LBT2"/>
      <c r="LBU2"/>
      <c r="LBV2"/>
      <c r="LBW2"/>
      <c r="LBX2"/>
      <c r="LBY2"/>
      <c r="LBZ2"/>
      <c r="LCA2"/>
      <c r="LCB2"/>
      <c r="LCC2"/>
      <c r="LCD2"/>
      <c r="LCE2"/>
      <c r="LCF2"/>
      <c r="LCG2"/>
      <c r="LCH2"/>
      <c r="LCI2"/>
      <c r="LCJ2"/>
      <c r="LCK2"/>
      <c r="LCL2"/>
      <c r="LCM2"/>
      <c r="LCN2"/>
      <c r="LCO2"/>
      <c r="LCP2"/>
      <c r="LCQ2"/>
      <c r="LCR2"/>
      <c r="LCS2"/>
      <c r="LCT2"/>
      <c r="LCU2"/>
      <c r="LCV2"/>
      <c r="LCW2"/>
      <c r="LCX2"/>
      <c r="LCY2"/>
      <c r="LCZ2"/>
      <c r="LDA2"/>
      <c r="LDB2"/>
      <c r="LDC2"/>
      <c r="LDD2"/>
      <c r="LDE2"/>
      <c r="LDF2"/>
      <c r="LDG2"/>
      <c r="LDH2"/>
      <c r="LDI2"/>
      <c r="LDJ2"/>
      <c r="LDK2"/>
      <c r="LDL2"/>
      <c r="LDM2"/>
      <c r="LDN2"/>
      <c r="LDO2"/>
      <c r="LDP2"/>
      <c r="LDQ2"/>
      <c r="LDR2"/>
      <c r="LDS2"/>
      <c r="LDT2"/>
      <c r="LDU2"/>
      <c r="LDV2"/>
      <c r="LDW2"/>
      <c r="LDX2"/>
      <c r="LDY2"/>
      <c r="LDZ2"/>
      <c r="LEA2"/>
      <c r="LEB2"/>
      <c r="LEC2"/>
      <c r="LED2"/>
      <c r="LEE2"/>
      <c r="LEF2"/>
      <c r="LEG2"/>
      <c r="LEH2"/>
      <c r="LEI2"/>
      <c r="LEJ2"/>
      <c r="LEK2"/>
      <c r="LEL2"/>
      <c r="LEM2"/>
      <c r="LEN2"/>
      <c r="LEO2"/>
      <c r="LEP2"/>
      <c r="LEQ2"/>
      <c r="LER2"/>
      <c r="LES2"/>
      <c r="LET2"/>
      <c r="LEU2"/>
      <c r="LEV2"/>
      <c r="LEW2"/>
      <c r="LEX2"/>
      <c r="LEY2"/>
      <c r="LEZ2"/>
      <c r="LFA2"/>
      <c r="LFB2"/>
      <c r="LFC2"/>
      <c r="LFD2"/>
      <c r="LFE2"/>
      <c r="LFF2"/>
      <c r="LFG2"/>
      <c r="LFH2"/>
      <c r="LFI2"/>
      <c r="LFJ2"/>
      <c r="LFK2"/>
      <c r="LFL2"/>
      <c r="LFM2"/>
      <c r="LFN2"/>
      <c r="LFO2"/>
      <c r="LFP2"/>
      <c r="LFQ2"/>
      <c r="LFR2"/>
      <c r="LFS2"/>
      <c r="LFT2"/>
      <c r="LFU2"/>
      <c r="LFV2"/>
      <c r="LFW2"/>
      <c r="LFX2"/>
      <c r="LFY2"/>
      <c r="LFZ2"/>
      <c r="LGA2"/>
      <c r="LGB2"/>
      <c r="LGC2"/>
      <c r="LGD2"/>
      <c r="LGE2"/>
      <c r="LGF2"/>
      <c r="LGG2"/>
      <c r="LGH2"/>
      <c r="LGI2"/>
      <c r="LGJ2"/>
      <c r="LGK2"/>
      <c r="LGL2"/>
      <c r="LGM2"/>
      <c r="LGN2"/>
      <c r="LGO2"/>
      <c r="LGP2"/>
      <c r="LGQ2"/>
      <c r="LGR2"/>
      <c r="LGS2"/>
      <c r="LGT2"/>
      <c r="LGU2"/>
      <c r="LGV2"/>
      <c r="LGW2"/>
      <c r="LGX2"/>
      <c r="LGY2"/>
      <c r="LGZ2"/>
      <c r="LHA2"/>
      <c r="LHB2"/>
      <c r="LHC2"/>
      <c r="LHD2"/>
      <c r="LHE2"/>
      <c r="LHF2"/>
      <c r="LHG2"/>
      <c r="LHH2"/>
      <c r="LHI2"/>
      <c r="LHJ2"/>
      <c r="LHK2"/>
      <c r="LHL2"/>
      <c r="LHM2"/>
      <c r="LHN2"/>
      <c r="LHO2"/>
      <c r="LHP2"/>
      <c r="LHQ2"/>
      <c r="LHR2"/>
      <c r="LHS2"/>
      <c r="LHT2"/>
      <c r="LHU2"/>
      <c r="LHV2"/>
      <c r="LHW2"/>
      <c r="LHX2"/>
      <c r="LHY2"/>
      <c r="LHZ2"/>
      <c r="LIA2"/>
      <c r="LIB2"/>
      <c r="LIC2"/>
      <c r="LID2"/>
      <c r="LIE2"/>
      <c r="LIF2"/>
      <c r="LIG2"/>
      <c r="LIH2"/>
      <c r="LII2"/>
      <c r="LIJ2"/>
      <c r="LIK2"/>
      <c r="LIL2"/>
      <c r="LIM2"/>
      <c r="LIN2"/>
      <c r="LIO2"/>
      <c r="LIP2"/>
      <c r="LIQ2"/>
      <c r="LIR2"/>
      <c r="LIS2"/>
      <c r="LIT2"/>
      <c r="LIU2"/>
      <c r="LIV2"/>
      <c r="LIW2"/>
      <c r="LIX2"/>
      <c r="LIY2"/>
      <c r="LIZ2"/>
      <c r="LJA2"/>
      <c r="LJB2"/>
      <c r="LJC2"/>
      <c r="LJD2"/>
      <c r="LJE2"/>
      <c r="LJF2"/>
      <c r="LJG2"/>
      <c r="LJH2"/>
      <c r="LJI2"/>
      <c r="LJJ2"/>
      <c r="LJK2"/>
      <c r="LJL2"/>
      <c r="LJM2"/>
      <c r="LJN2"/>
      <c r="LJO2"/>
      <c r="LJP2"/>
      <c r="LJQ2"/>
      <c r="LJR2"/>
      <c r="LJS2"/>
      <c r="LJT2"/>
      <c r="LJU2"/>
      <c r="LJV2"/>
      <c r="LJW2"/>
      <c r="LJX2"/>
      <c r="LJY2"/>
      <c r="LJZ2"/>
      <c r="LKA2"/>
      <c r="LKB2"/>
      <c r="LKC2"/>
      <c r="LKD2"/>
      <c r="LKE2"/>
      <c r="LKF2"/>
      <c r="LKG2"/>
      <c r="LKH2"/>
      <c r="LKI2"/>
      <c r="LKJ2"/>
      <c r="LKK2"/>
      <c r="LKL2"/>
      <c r="LKM2"/>
      <c r="LKN2"/>
      <c r="LKO2"/>
      <c r="LKP2"/>
      <c r="LKQ2"/>
      <c r="LKR2"/>
      <c r="LKS2"/>
      <c r="LKT2"/>
      <c r="LKU2"/>
      <c r="LKV2"/>
      <c r="LKW2"/>
      <c r="LKX2"/>
      <c r="LKY2"/>
      <c r="LKZ2"/>
      <c r="LLA2"/>
      <c r="LLB2"/>
      <c r="LLC2"/>
      <c r="LLD2"/>
      <c r="LLE2"/>
      <c r="LLF2"/>
      <c r="LLG2"/>
      <c r="LLH2"/>
      <c r="LLI2"/>
      <c r="LLJ2"/>
      <c r="LLK2"/>
      <c r="LLL2"/>
      <c r="LLM2"/>
      <c r="LLN2"/>
      <c r="LLO2"/>
      <c r="LLP2"/>
      <c r="LLQ2"/>
      <c r="LLR2"/>
      <c r="LLS2"/>
      <c r="LLT2"/>
      <c r="LLU2"/>
      <c r="LLV2"/>
      <c r="LLW2"/>
      <c r="LLX2"/>
      <c r="LLY2"/>
      <c r="LLZ2"/>
      <c r="LMA2"/>
      <c r="LMB2"/>
      <c r="LMC2"/>
      <c r="LMD2"/>
      <c r="LME2"/>
      <c r="LMF2"/>
      <c r="LMG2"/>
      <c r="LMH2"/>
      <c r="LMI2"/>
      <c r="LMJ2"/>
      <c r="LMK2"/>
      <c r="LML2"/>
      <c r="LMM2"/>
      <c r="LMN2"/>
      <c r="LMO2"/>
      <c r="LMP2"/>
      <c r="LMQ2"/>
      <c r="LMR2"/>
      <c r="LMS2"/>
      <c r="LMT2"/>
      <c r="LMU2"/>
      <c r="LMV2"/>
      <c r="LMW2"/>
      <c r="LMX2"/>
      <c r="LMY2"/>
      <c r="LMZ2"/>
      <c r="LNA2"/>
      <c r="LNB2"/>
      <c r="LNC2"/>
      <c r="LND2"/>
      <c r="LNE2"/>
      <c r="LNF2"/>
      <c r="LNG2"/>
      <c r="LNH2"/>
      <c r="LNI2"/>
      <c r="LNJ2"/>
      <c r="LNK2"/>
      <c r="LNL2"/>
      <c r="LNM2"/>
      <c r="LNN2"/>
      <c r="LNO2"/>
      <c r="LNP2"/>
      <c r="LNQ2"/>
      <c r="LNR2"/>
      <c r="LNS2"/>
      <c r="LNT2"/>
      <c r="LNU2"/>
      <c r="LNV2"/>
      <c r="LNW2"/>
      <c r="LNX2"/>
      <c r="LNY2"/>
      <c r="LNZ2"/>
      <c r="LOA2"/>
      <c r="LOB2"/>
      <c r="LOC2"/>
      <c r="LOD2"/>
      <c r="LOE2"/>
      <c r="LOF2"/>
      <c r="LOG2"/>
      <c r="LOH2"/>
      <c r="LOI2"/>
      <c r="LOJ2"/>
      <c r="LOK2"/>
      <c r="LOL2"/>
      <c r="LOM2"/>
      <c r="LON2"/>
      <c r="LOO2"/>
      <c r="LOP2"/>
      <c r="LOQ2"/>
      <c r="LOR2"/>
      <c r="LOS2"/>
      <c r="LOT2"/>
      <c r="LOU2"/>
      <c r="LOV2"/>
      <c r="LOW2"/>
      <c r="LOX2"/>
      <c r="LOY2"/>
      <c r="LOZ2"/>
      <c r="LPA2"/>
      <c r="LPB2"/>
      <c r="LPC2"/>
      <c r="LPD2"/>
      <c r="LPE2"/>
      <c r="LPF2"/>
      <c r="LPG2"/>
      <c r="LPH2"/>
      <c r="LPI2"/>
      <c r="LPJ2"/>
      <c r="LPK2"/>
      <c r="LPL2"/>
      <c r="LPM2"/>
      <c r="LPN2"/>
      <c r="LPO2"/>
      <c r="LPP2"/>
      <c r="LPQ2"/>
      <c r="LPR2"/>
      <c r="LPS2"/>
      <c r="LPT2"/>
      <c r="LPU2"/>
      <c r="LPV2"/>
      <c r="LPW2"/>
      <c r="LPX2"/>
      <c r="LPY2"/>
      <c r="LPZ2"/>
      <c r="LQA2"/>
      <c r="LQB2"/>
      <c r="LQC2"/>
      <c r="LQD2"/>
      <c r="LQE2"/>
      <c r="LQF2"/>
      <c r="LQG2"/>
      <c r="LQH2"/>
      <c r="LQI2"/>
      <c r="LQJ2"/>
      <c r="LQK2"/>
      <c r="LQL2"/>
      <c r="LQM2"/>
      <c r="LQN2"/>
      <c r="LQO2"/>
      <c r="LQP2"/>
      <c r="LQQ2"/>
      <c r="LQR2"/>
      <c r="LQS2"/>
      <c r="LQT2"/>
      <c r="LQU2"/>
      <c r="LQV2"/>
      <c r="LQW2"/>
      <c r="LQX2"/>
      <c r="LQY2"/>
      <c r="LQZ2"/>
      <c r="LRA2"/>
      <c r="LRB2"/>
      <c r="LRC2"/>
      <c r="LRD2"/>
      <c r="LRE2"/>
      <c r="LRF2"/>
      <c r="LRG2"/>
      <c r="LRH2"/>
      <c r="LRI2"/>
      <c r="LRJ2"/>
      <c r="LRK2"/>
      <c r="LRL2"/>
      <c r="LRM2"/>
      <c r="LRN2"/>
      <c r="LRO2"/>
      <c r="LRP2"/>
      <c r="LRQ2"/>
      <c r="LRR2"/>
      <c r="LRS2"/>
      <c r="LRT2"/>
      <c r="LRU2"/>
      <c r="LRV2"/>
      <c r="LRW2"/>
      <c r="LRX2"/>
      <c r="LRY2"/>
      <c r="LRZ2"/>
      <c r="LSA2"/>
      <c r="LSB2"/>
      <c r="LSC2"/>
      <c r="LSD2"/>
      <c r="LSE2"/>
      <c r="LSF2"/>
      <c r="LSG2"/>
      <c r="LSH2"/>
      <c r="LSI2"/>
      <c r="LSJ2"/>
      <c r="LSK2"/>
      <c r="LSL2"/>
      <c r="LSM2"/>
      <c r="LSN2"/>
      <c r="LSO2"/>
      <c r="LSP2"/>
      <c r="LSQ2"/>
      <c r="LSR2"/>
      <c r="LSS2"/>
      <c r="LST2"/>
      <c r="LSU2"/>
      <c r="LSV2"/>
      <c r="LSW2"/>
      <c r="LSX2"/>
      <c r="LSY2"/>
      <c r="LSZ2"/>
      <c r="LTA2"/>
      <c r="LTB2"/>
      <c r="LTC2"/>
      <c r="LTD2"/>
      <c r="LTE2"/>
      <c r="LTF2"/>
      <c r="LTG2"/>
      <c r="LTH2"/>
      <c r="LTI2"/>
      <c r="LTJ2"/>
      <c r="LTK2"/>
      <c r="LTL2"/>
      <c r="LTM2"/>
      <c r="LTN2"/>
      <c r="LTO2"/>
      <c r="LTP2"/>
      <c r="LTQ2"/>
      <c r="LTR2"/>
      <c r="LTS2"/>
      <c r="LTT2"/>
      <c r="LTU2"/>
      <c r="LTV2"/>
      <c r="LTW2"/>
      <c r="LTX2"/>
      <c r="LTY2"/>
      <c r="LTZ2"/>
      <c r="LUA2"/>
      <c r="LUB2"/>
      <c r="LUC2"/>
      <c r="LUD2"/>
      <c r="LUE2"/>
      <c r="LUF2"/>
      <c r="LUG2"/>
      <c r="LUH2"/>
      <c r="LUI2"/>
      <c r="LUJ2"/>
      <c r="LUK2"/>
      <c r="LUL2"/>
      <c r="LUM2"/>
      <c r="LUN2"/>
      <c r="LUO2"/>
      <c r="LUP2"/>
      <c r="LUQ2"/>
      <c r="LUR2"/>
      <c r="LUS2"/>
      <c r="LUT2"/>
      <c r="LUU2"/>
      <c r="LUV2"/>
      <c r="LUW2"/>
      <c r="LUX2"/>
      <c r="LUY2"/>
      <c r="LUZ2"/>
      <c r="LVA2"/>
      <c r="LVB2"/>
      <c r="LVC2"/>
      <c r="LVD2"/>
      <c r="LVE2"/>
      <c r="LVF2"/>
      <c r="LVG2"/>
      <c r="LVH2"/>
      <c r="LVI2"/>
      <c r="LVJ2"/>
      <c r="LVK2"/>
      <c r="LVL2"/>
      <c r="LVM2"/>
      <c r="LVN2"/>
      <c r="LVO2"/>
      <c r="LVP2"/>
      <c r="LVQ2"/>
      <c r="LVR2"/>
      <c r="LVS2"/>
      <c r="LVT2"/>
      <c r="LVU2"/>
      <c r="LVV2"/>
      <c r="LVW2"/>
      <c r="LVX2"/>
      <c r="LVY2"/>
      <c r="LVZ2"/>
      <c r="LWA2"/>
      <c r="LWB2"/>
      <c r="LWC2"/>
      <c r="LWD2"/>
      <c r="LWE2"/>
      <c r="LWF2"/>
      <c r="LWG2"/>
      <c r="LWH2"/>
      <c r="LWI2"/>
      <c r="LWJ2"/>
      <c r="LWK2"/>
      <c r="LWL2"/>
      <c r="LWM2"/>
      <c r="LWN2"/>
      <c r="LWO2"/>
      <c r="LWP2"/>
      <c r="LWQ2"/>
      <c r="LWR2"/>
      <c r="LWS2"/>
      <c r="LWT2"/>
      <c r="LWU2"/>
      <c r="LWV2"/>
      <c r="LWW2"/>
      <c r="LWX2"/>
      <c r="LWY2"/>
      <c r="LWZ2"/>
      <c r="LXA2"/>
      <c r="LXB2"/>
      <c r="LXC2"/>
      <c r="LXD2"/>
      <c r="LXE2"/>
      <c r="LXF2"/>
      <c r="LXG2"/>
      <c r="LXH2"/>
      <c r="LXI2"/>
      <c r="LXJ2"/>
      <c r="LXK2"/>
      <c r="LXL2"/>
      <c r="LXM2"/>
      <c r="LXN2"/>
      <c r="LXO2"/>
      <c r="LXP2"/>
      <c r="LXQ2"/>
      <c r="LXR2"/>
      <c r="LXS2"/>
      <c r="LXT2"/>
      <c r="LXU2"/>
      <c r="LXV2"/>
      <c r="LXW2"/>
      <c r="LXX2"/>
      <c r="LXY2"/>
      <c r="LXZ2"/>
      <c r="LYA2"/>
      <c r="LYB2"/>
      <c r="LYC2"/>
      <c r="LYD2"/>
      <c r="LYE2"/>
      <c r="LYF2"/>
      <c r="LYG2"/>
      <c r="LYH2"/>
      <c r="LYI2"/>
      <c r="LYJ2"/>
      <c r="LYK2"/>
      <c r="LYL2"/>
      <c r="LYM2"/>
      <c r="LYN2"/>
      <c r="LYO2"/>
      <c r="LYP2"/>
      <c r="LYQ2"/>
      <c r="LYR2"/>
      <c r="LYS2"/>
      <c r="LYT2"/>
      <c r="LYU2"/>
      <c r="LYV2"/>
      <c r="LYW2"/>
      <c r="LYX2"/>
      <c r="LYY2"/>
      <c r="LYZ2"/>
      <c r="LZA2"/>
      <c r="LZB2"/>
      <c r="LZC2"/>
      <c r="LZD2"/>
      <c r="LZE2"/>
      <c r="LZF2"/>
      <c r="LZG2"/>
      <c r="LZH2"/>
      <c r="LZI2"/>
      <c r="LZJ2"/>
      <c r="LZK2"/>
      <c r="LZL2"/>
      <c r="LZM2"/>
      <c r="LZN2"/>
      <c r="LZO2"/>
      <c r="LZP2"/>
      <c r="LZQ2"/>
      <c r="LZR2"/>
      <c r="LZS2"/>
      <c r="LZT2"/>
      <c r="LZU2"/>
      <c r="LZV2"/>
      <c r="LZW2"/>
      <c r="LZX2"/>
      <c r="LZY2"/>
      <c r="LZZ2"/>
      <c r="MAA2"/>
      <c r="MAB2"/>
      <c r="MAC2"/>
      <c r="MAD2"/>
      <c r="MAE2"/>
      <c r="MAF2"/>
      <c r="MAG2"/>
      <c r="MAH2"/>
      <c r="MAI2"/>
      <c r="MAJ2"/>
      <c r="MAK2"/>
      <c r="MAL2"/>
      <c r="MAM2"/>
      <c r="MAN2"/>
      <c r="MAO2"/>
      <c r="MAP2"/>
      <c r="MAQ2"/>
      <c r="MAR2"/>
      <c r="MAS2"/>
      <c r="MAT2"/>
      <c r="MAU2"/>
      <c r="MAV2"/>
      <c r="MAW2"/>
      <c r="MAX2"/>
      <c r="MAY2"/>
      <c r="MAZ2"/>
      <c r="MBA2"/>
      <c r="MBB2"/>
      <c r="MBC2"/>
      <c r="MBD2"/>
      <c r="MBE2"/>
      <c r="MBF2"/>
      <c r="MBG2"/>
      <c r="MBH2"/>
      <c r="MBI2"/>
      <c r="MBJ2"/>
      <c r="MBK2"/>
      <c r="MBL2"/>
      <c r="MBM2"/>
      <c r="MBN2"/>
      <c r="MBO2"/>
      <c r="MBP2"/>
      <c r="MBQ2"/>
      <c r="MBR2"/>
      <c r="MBS2"/>
      <c r="MBT2"/>
      <c r="MBU2"/>
      <c r="MBV2"/>
      <c r="MBW2"/>
      <c r="MBX2"/>
      <c r="MBY2"/>
      <c r="MBZ2"/>
      <c r="MCA2"/>
      <c r="MCB2"/>
      <c r="MCC2"/>
      <c r="MCD2"/>
      <c r="MCE2"/>
      <c r="MCF2"/>
      <c r="MCG2"/>
      <c r="MCH2"/>
      <c r="MCI2"/>
      <c r="MCJ2"/>
      <c r="MCK2"/>
      <c r="MCL2"/>
      <c r="MCM2"/>
      <c r="MCN2"/>
      <c r="MCO2"/>
      <c r="MCP2"/>
      <c r="MCQ2"/>
      <c r="MCR2"/>
      <c r="MCS2"/>
      <c r="MCT2"/>
      <c r="MCU2"/>
      <c r="MCV2"/>
      <c r="MCW2"/>
      <c r="MCX2"/>
      <c r="MCY2"/>
      <c r="MCZ2"/>
      <c r="MDA2"/>
      <c r="MDB2"/>
      <c r="MDC2"/>
      <c r="MDD2"/>
      <c r="MDE2"/>
      <c r="MDF2"/>
      <c r="MDG2"/>
      <c r="MDH2"/>
      <c r="MDI2"/>
      <c r="MDJ2"/>
      <c r="MDK2"/>
      <c r="MDL2"/>
      <c r="MDM2"/>
      <c r="MDN2"/>
      <c r="MDO2"/>
      <c r="MDP2"/>
      <c r="MDQ2"/>
      <c r="MDR2"/>
      <c r="MDS2"/>
      <c r="MDT2"/>
      <c r="MDU2"/>
      <c r="MDV2"/>
      <c r="MDW2"/>
      <c r="MDX2"/>
      <c r="MDY2"/>
      <c r="MDZ2"/>
      <c r="MEA2"/>
      <c r="MEB2"/>
      <c r="MEC2"/>
      <c r="MED2"/>
      <c r="MEE2"/>
      <c r="MEF2"/>
      <c r="MEG2"/>
      <c r="MEH2"/>
      <c r="MEI2"/>
      <c r="MEJ2"/>
      <c r="MEK2"/>
      <c r="MEL2"/>
      <c r="MEM2"/>
      <c r="MEN2"/>
      <c r="MEO2"/>
      <c r="MEP2"/>
      <c r="MEQ2"/>
      <c r="MER2"/>
      <c r="MES2"/>
      <c r="MET2"/>
      <c r="MEU2"/>
      <c r="MEV2"/>
      <c r="MEW2"/>
      <c r="MEX2"/>
      <c r="MEY2"/>
      <c r="MEZ2"/>
      <c r="MFA2"/>
      <c r="MFB2"/>
      <c r="MFC2"/>
      <c r="MFD2"/>
      <c r="MFE2"/>
      <c r="MFF2"/>
      <c r="MFG2"/>
      <c r="MFH2"/>
      <c r="MFI2"/>
      <c r="MFJ2"/>
      <c r="MFK2"/>
      <c r="MFL2"/>
      <c r="MFM2"/>
      <c r="MFN2"/>
      <c r="MFO2"/>
      <c r="MFP2"/>
      <c r="MFQ2"/>
      <c r="MFR2"/>
      <c r="MFS2"/>
      <c r="MFT2"/>
      <c r="MFU2"/>
      <c r="MFV2"/>
      <c r="MFW2"/>
      <c r="MFX2"/>
      <c r="MFY2"/>
      <c r="MFZ2"/>
      <c r="MGA2"/>
      <c r="MGB2"/>
      <c r="MGC2"/>
      <c r="MGD2"/>
      <c r="MGE2"/>
      <c r="MGF2"/>
      <c r="MGG2"/>
      <c r="MGH2"/>
      <c r="MGI2"/>
      <c r="MGJ2"/>
      <c r="MGK2"/>
      <c r="MGL2"/>
      <c r="MGM2"/>
      <c r="MGN2"/>
      <c r="MGO2"/>
      <c r="MGP2"/>
      <c r="MGQ2"/>
      <c r="MGR2"/>
      <c r="MGS2"/>
      <c r="MGT2"/>
      <c r="MGU2"/>
      <c r="MGV2"/>
      <c r="MGW2"/>
      <c r="MGX2"/>
      <c r="MGY2"/>
      <c r="MGZ2"/>
      <c r="MHA2"/>
      <c r="MHB2"/>
      <c r="MHC2"/>
      <c r="MHD2"/>
      <c r="MHE2"/>
      <c r="MHF2"/>
      <c r="MHG2"/>
      <c r="MHH2"/>
      <c r="MHI2"/>
      <c r="MHJ2"/>
      <c r="MHK2"/>
      <c r="MHL2"/>
      <c r="MHM2"/>
      <c r="MHN2"/>
      <c r="MHO2"/>
      <c r="MHP2"/>
      <c r="MHQ2"/>
      <c r="MHR2"/>
      <c r="MHS2"/>
      <c r="MHT2"/>
      <c r="MHU2"/>
      <c r="MHV2"/>
      <c r="MHW2"/>
      <c r="MHX2"/>
      <c r="MHY2"/>
      <c r="MHZ2"/>
      <c r="MIA2"/>
      <c r="MIB2"/>
      <c r="MIC2"/>
      <c r="MID2"/>
      <c r="MIE2"/>
      <c r="MIF2"/>
      <c r="MIG2"/>
      <c r="MIH2"/>
      <c r="MII2"/>
      <c r="MIJ2"/>
      <c r="MIK2"/>
      <c r="MIL2"/>
      <c r="MIM2"/>
      <c r="MIN2"/>
      <c r="MIO2"/>
      <c r="MIP2"/>
      <c r="MIQ2"/>
      <c r="MIR2"/>
      <c r="MIS2"/>
      <c r="MIT2"/>
      <c r="MIU2"/>
      <c r="MIV2"/>
      <c r="MIW2"/>
      <c r="MIX2"/>
      <c r="MIY2"/>
      <c r="MIZ2"/>
      <c r="MJA2"/>
      <c r="MJB2"/>
      <c r="MJC2"/>
      <c r="MJD2"/>
      <c r="MJE2"/>
      <c r="MJF2"/>
      <c r="MJG2"/>
      <c r="MJH2"/>
      <c r="MJI2"/>
      <c r="MJJ2"/>
      <c r="MJK2"/>
      <c r="MJL2"/>
      <c r="MJM2"/>
      <c r="MJN2"/>
      <c r="MJO2"/>
      <c r="MJP2"/>
      <c r="MJQ2"/>
      <c r="MJR2"/>
      <c r="MJS2"/>
      <c r="MJT2"/>
      <c r="MJU2"/>
      <c r="MJV2"/>
      <c r="MJW2"/>
      <c r="MJX2"/>
      <c r="MJY2"/>
      <c r="MJZ2"/>
      <c r="MKA2"/>
      <c r="MKB2"/>
      <c r="MKC2"/>
      <c r="MKD2"/>
      <c r="MKE2"/>
      <c r="MKF2"/>
      <c r="MKG2"/>
      <c r="MKH2"/>
      <c r="MKI2"/>
      <c r="MKJ2"/>
      <c r="MKK2"/>
      <c r="MKL2"/>
      <c r="MKM2"/>
      <c r="MKN2"/>
      <c r="MKO2"/>
      <c r="MKP2"/>
      <c r="MKQ2"/>
      <c r="MKR2"/>
      <c r="MKS2"/>
      <c r="MKT2"/>
      <c r="MKU2"/>
      <c r="MKV2"/>
      <c r="MKW2"/>
      <c r="MKX2"/>
      <c r="MKY2"/>
      <c r="MKZ2"/>
      <c r="MLA2"/>
      <c r="MLB2"/>
      <c r="MLC2"/>
      <c r="MLD2"/>
      <c r="MLE2"/>
      <c r="MLF2"/>
      <c r="MLG2"/>
      <c r="MLH2"/>
      <c r="MLI2"/>
      <c r="MLJ2"/>
      <c r="MLK2"/>
      <c r="MLL2"/>
      <c r="MLM2"/>
      <c r="MLN2"/>
      <c r="MLO2"/>
      <c r="MLP2"/>
      <c r="MLQ2"/>
      <c r="MLR2"/>
      <c r="MLS2"/>
      <c r="MLT2"/>
      <c r="MLU2"/>
      <c r="MLV2"/>
      <c r="MLW2"/>
      <c r="MLX2"/>
      <c r="MLY2"/>
      <c r="MLZ2"/>
      <c r="MMA2"/>
      <c r="MMB2"/>
      <c r="MMC2"/>
      <c r="MMD2"/>
      <c r="MME2"/>
      <c r="MMF2"/>
      <c r="MMG2"/>
      <c r="MMH2"/>
      <c r="MMI2"/>
      <c r="MMJ2"/>
      <c r="MMK2"/>
      <c r="MML2"/>
      <c r="MMM2"/>
      <c r="MMN2"/>
      <c r="MMO2"/>
      <c r="MMP2"/>
      <c r="MMQ2"/>
      <c r="MMR2"/>
      <c r="MMS2"/>
      <c r="MMT2"/>
      <c r="MMU2"/>
      <c r="MMV2"/>
      <c r="MMW2"/>
      <c r="MMX2"/>
      <c r="MMY2"/>
      <c r="MMZ2"/>
      <c r="MNA2"/>
      <c r="MNB2"/>
      <c r="MNC2"/>
      <c r="MND2"/>
      <c r="MNE2"/>
      <c r="MNF2"/>
      <c r="MNG2"/>
      <c r="MNH2"/>
      <c r="MNI2"/>
      <c r="MNJ2"/>
      <c r="MNK2"/>
      <c r="MNL2"/>
      <c r="MNM2"/>
      <c r="MNN2"/>
      <c r="MNO2"/>
      <c r="MNP2"/>
      <c r="MNQ2"/>
      <c r="MNR2"/>
      <c r="MNS2"/>
      <c r="MNT2"/>
      <c r="MNU2"/>
      <c r="MNV2"/>
      <c r="MNW2"/>
      <c r="MNX2"/>
      <c r="MNY2"/>
      <c r="MNZ2"/>
      <c r="MOA2"/>
      <c r="MOB2"/>
      <c r="MOC2"/>
      <c r="MOD2"/>
      <c r="MOE2"/>
      <c r="MOF2"/>
      <c r="MOG2"/>
      <c r="MOH2"/>
      <c r="MOI2"/>
      <c r="MOJ2"/>
      <c r="MOK2"/>
      <c r="MOL2"/>
      <c r="MOM2"/>
      <c r="MON2"/>
      <c r="MOO2"/>
      <c r="MOP2"/>
      <c r="MOQ2"/>
      <c r="MOR2"/>
      <c r="MOS2"/>
      <c r="MOT2"/>
      <c r="MOU2"/>
      <c r="MOV2"/>
      <c r="MOW2"/>
      <c r="MOX2"/>
      <c r="MOY2"/>
      <c r="MOZ2"/>
      <c r="MPA2"/>
      <c r="MPB2"/>
      <c r="MPC2"/>
      <c r="MPD2"/>
      <c r="MPE2"/>
      <c r="MPF2"/>
      <c r="MPG2"/>
      <c r="MPH2"/>
      <c r="MPI2"/>
      <c r="MPJ2"/>
      <c r="MPK2"/>
      <c r="MPL2"/>
      <c r="MPM2"/>
      <c r="MPN2"/>
      <c r="MPO2"/>
      <c r="MPP2"/>
      <c r="MPQ2"/>
      <c r="MPR2"/>
      <c r="MPS2"/>
      <c r="MPT2"/>
      <c r="MPU2"/>
      <c r="MPV2"/>
      <c r="MPW2"/>
      <c r="MPX2"/>
      <c r="MPY2"/>
      <c r="MPZ2"/>
      <c r="MQA2"/>
      <c r="MQB2"/>
      <c r="MQC2"/>
      <c r="MQD2"/>
      <c r="MQE2"/>
      <c r="MQF2"/>
      <c r="MQG2"/>
      <c r="MQH2"/>
      <c r="MQI2"/>
      <c r="MQJ2"/>
      <c r="MQK2"/>
      <c r="MQL2"/>
      <c r="MQM2"/>
      <c r="MQN2"/>
      <c r="MQO2"/>
      <c r="MQP2"/>
      <c r="MQQ2"/>
      <c r="MQR2"/>
      <c r="MQS2"/>
      <c r="MQT2"/>
      <c r="MQU2"/>
      <c r="MQV2"/>
      <c r="MQW2"/>
      <c r="MQX2"/>
      <c r="MQY2"/>
      <c r="MQZ2"/>
      <c r="MRA2"/>
      <c r="MRB2"/>
      <c r="MRC2"/>
      <c r="MRD2"/>
      <c r="MRE2"/>
      <c r="MRF2"/>
      <c r="MRG2"/>
      <c r="MRH2"/>
      <c r="MRI2"/>
      <c r="MRJ2"/>
      <c r="MRK2"/>
      <c r="MRL2"/>
      <c r="MRM2"/>
      <c r="MRN2"/>
      <c r="MRO2"/>
      <c r="MRP2"/>
      <c r="MRQ2"/>
      <c r="MRR2"/>
      <c r="MRS2"/>
      <c r="MRT2"/>
      <c r="MRU2"/>
      <c r="MRV2"/>
      <c r="MRW2"/>
      <c r="MRX2"/>
      <c r="MRY2"/>
      <c r="MRZ2"/>
      <c r="MSA2"/>
      <c r="MSB2"/>
      <c r="MSC2"/>
      <c r="MSD2"/>
      <c r="MSE2"/>
      <c r="MSF2"/>
      <c r="MSG2"/>
      <c r="MSH2"/>
      <c r="MSI2"/>
      <c r="MSJ2"/>
      <c r="MSK2"/>
      <c r="MSL2"/>
      <c r="MSM2"/>
      <c r="MSN2"/>
      <c r="MSO2"/>
      <c r="MSP2"/>
      <c r="MSQ2"/>
      <c r="MSR2"/>
      <c r="MSS2"/>
      <c r="MST2"/>
      <c r="MSU2"/>
      <c r="MSV2"/>
      <c r="MSW2"/>
      <c r="MSX2"/>
      <c r="MSY2"/>
      <c r="MSZ2"/>
      <c r="MTA2"/>
      <c r="MTB2"/>
      <c r="MTC2"/>
      <c r="MTD2"/>
      <c r="MTE2"/>
      <c r="MTF2"/>
      <c r="MTG2"/>
      <c r="MTH2"/>
      <c r="MTI2"/>
      <c r="MTJ2"/>
      <c r="MTK2"/>
      <c r="MTL2"/>
      <c r="MTM2"/>
      <c r="MTN2"/>
      <c r="MTO2"/>
      <c r="MTP2"/>
      <c r="MTQ2"/>
      <c r="MTR2"/>
      <c r="MTS2"/>
      <c r="MTT2"/>
      <c r="MTU2"/>
      <c r="MTV2"/>
      <c r="MTW2"/>
      <c r="MTX2"/>
      <c r="MTY2"/>
      <c r="MTZ2"/>
      <c r="MUA2"/>
      <c r="MUB2"/>
      <c r="MUC2"/>
      <c r="MUD2"/>
      <c r="MUE2"/>
      <c r="MUF2"/>
      <c r="MUG2"/>
      <c r="MUH2"/>
      <c r="MUI2"/>
      <c r="MUJ2"/>
      <c r="MUK2"/>
      <c r="MUL2"/>
      <c r="MUM2"/>
      <c r="MUN2"/>
      <c r="MUO2"/>
      <c r="MUP2"/>
      <c r="MUQ2"/>
      <c r="MUR2"/>
      <c r="MUS2"/>
      <c r="MUT2"/>
      <c r="MUU2"/>
      <c r="MUV2"/>
      <c r="MUW2"/>
      <c r="MUX2"/>
      <c r="MUY2"/>
      <c r="MUZ2"/>
      <c r="MVA2"/>
      <c r="MVB2"/>
      <c r="MVC2"/>
      <c r="MVD2"/>
      <c r="MVE2"/>
      <c r="MVF2"/>
      <c r="MVG2"/>
      <c r="MVH2"/>
      <c r="MVI2"/>
      <c r="MVJ2"/>
      <c r="MVK2"/>
      <c r="MVL2"/>
      <c r="MVM2"/>
      <c r="MVN2"/>
      <c r="MVO2"/>
      <c r="MVP2"/>
      <c r="MVQ2"/>
      <c r="MVR2"/>
      <c r="MVS2"/>
      <c r="MVT2"/>
      <c r="MVU2"/>
      <c r="MVV2"/>
      <c r="MVW2"/>
      <c r="MVX2"/>
      <c r="MVY2"/>
      <c r="MVZ2"/>
      <c r="MWA2"/>
      <c r="MWB2"/>
      <c r="MWC2"/>
      <c r="MWD2"/>
      <c r="MWE2"/>
      <c r="MWF2"/>
      <c r="MWG2"/>
      <c r="MWH2"/>
      <c r="MWI2"/>
      <c r="MWJ2"/>
      <c r="MWK2"/>
      <c r="MWL2"/>
      <c r="MWM2"/>
      <c r="MWN2"/>
      <c r="MWO2"/>
      <c r="MWP2"/>
      <c r="MWQ2"/>
      <c r="MWR2"/>
      <c r="MWS2"/>
      <c r="MWT2"/>
      <c r="MWU2"/>
      <c r="MWV2"/>
      <c r="MWW2"/>
      <c r="MWX2"/>
      <c r="MWY2"/>
      <c r="MWZ2"/>
      <c r="MXA2"/>
      <c r="MXB2"/>
      <c r="MXC2"/>
      <c r="MXD2"/>
      <c r="MXE2"/>
      <c r="MXF2"/>
      <c r="MXG2"/>
      <c r="MXH2"/>
      <c r="MXI2"/>
      <c r="MXJ2"/>
      <c r="MXK2"/>
      <c r="MXL2"/>
      <c r="MXM2"/>
      <c r="MXN2"/>
      <c r="MXO2"/>
      <c r="MXP2"/>
      <c r="MXQ2"/>
      <c r="MXR2"/>
      <c r="MXS2"/>
      <c r="MXT2"/>
      <c r="MXU2"/>
      <c r="MXV2"/>
      <c r="MXW2"/>
      <c r="MXX2"/>
      <c r="MXY2"/>
      <c r="MXZ2"/>
      <c r="MYA2"/>
      <c r="MYB2"/>
      <c r="MYC2"/>
      <c r="MYD2"/>
      <c r="MYE2"/>
      <c r="MYF2"/>
      <c r="MYG2"/>
      <c r="MYH2"/>
      <c r="MYI2"/>
      <c r="MYJ2"/>
      <c r="MYK2"/>
      <c r="MYL2"/>
      <c r="MYM2"/>
      <c r="MYN2"/>
      <c r="MYO2"/>
      <c r="MYP2"/>
      <c r="MYQ2"/>
      <c r="MYR2"/>
      <c r="MYS2"/>
      <c r="MYT2"/>
      <c r="MYU2"/>
      <c r="MYV2"/>
      <c r="MYW2"/>
      <c r="MYX2"/>
      <c r="MYY2"/>
      <c r="MYZ2"/>
      <c r="MZA2"/>
      <c r="MZB2"/>
      <c r="MZC2"/>
      <c r="MZD2"/>
      <c r="MZE2"/>
      <c r="MZF2"/>
      <c r="MZG2"/>
      <c r="MZH2"/>
      <c r="MZI2"/>
      <c r="MZJ2"/>
      <c r="MZK2"/>
      <c r="MZL2"/>
      <c r="MZM2"/>
      <c r="MZN2"/>
      <c r="MZO2"/>
      <c r="MZP2"/>
      <c r="MZQ2"/>
      <c r="MZR2"/>
      <c r="MZS2"/>
      <c r="MZT2"/>
      <c r="MZU2"/>
      <c r="MZV2"/>
      <c r="MZW2"/>
      <c r="MZX2"/>
      <c r="MZY2"/>
      <c r="MZZ2"/>
      <c r="NAA2"/>
      <c r="NAB2"/>
      <c r="NAC2"/>
      <c r="NAD2"/>
      <c r="NAE2"/>
      <c r="NAF2"/>
      <c r="NAG2"/>
      <c r="NAH2"/>
      <c r="NAI2"/>
      <c r="NAJ2"/>
      <c r="NAK2"/>
      <c r="NAL2"/>
      <c r="NAM2"/>
      <c r="NAN2"/>
      <c r="NAO2"/>
      <c r="NAP2"/>
      <c r="NAQ2"/>
      <c r="NAR2"/>
      <c r="NAS2"/>
      <c r="NAT2"/>
      <c r="NAU2"/>
      <c r="NAV2"/>
      <c r="NAW2"/>
      <c r="NAX2"/>
      <c r="NAY2"/>
      <c r="NAZ2"/>
      <c r="NBA2"/>
      <c r="NBB2"/>
      <c r="NBC2"/>
      <c r="NBD2"/>
      <c r="NBE2"/>
      <c r="NBF2"/>
      <c r="NBG2"/>
      <c r="NBH2"/>
      <c r="NBI2"/>
      <c r="NBJ2"/>
      <c r="NBK2"/>
      <c r="NBL2"/>
      <c r="NBM2"/>
      <c r="NBN2"/>
      <c r="NBO2"/>
      <c r="NBP2"/>
      <c r="NBQ2"/>
      <c r="NBR2"/>
      <c r="NBS2"/>
      <c r="NBT2"/>
      <c r="NBU2"/>
      <c r="NBV2"/>
      <c r="NBW2"/>
      <c r="NBX2"/>
      <c r="NBY2"/>
      <c r="NBZ2"/>
      <c r="NCA2"/>
      <c r="NCB2"/>
      <c r="NCC2"/>
      <c r="NCD2"/>
      <c r="NCE2"/>
      <c r="NCF2"/>
      <c r="NCG2"/>
      <c r="NCH2"/>
      <c r="NCI2"/>
      <c r="NCJ2"/>
      <c r="NCK2"/>
      <c r="NCL2"/>
      <c r="NCM2"/>
      <c r="NCN2"/>
      <c r="NCO2"/>
      <c r="NCP2"/>
      <c r="NCQ2"/>
      <c r="NCR2"/>
      <c r="NCS2"/>
      <c r="NCT2"/>
      <c r="NCU2"/>
      <c r="NCV2"/>
      <c r="NCW2"/>
      <c r="NCX2"/>
      <c r="NCY2"/>
      <c r="NCZ2"/>
      <c r="NDA2"/>
      <c r="NDB2"/>
      <c r="NDC2"/>
      <c r="NDD2"/>
      <c r="NDE2"/>
      <c r="NDF2"/>
      <c r="NDG2"/>
      <c r="NDH2"/>
      <c r="NDI2"/>
      <c r="NDJ2"/>
      <c r="NDK2"/>
      <c r="NDL2"/>
      <c r="NDM2"/>
      <c r="NDN2"/>
      <c r="NDO2"/>
      <c r="NDP2"/>
      <c r="NDQ2"/>
      <c r="NDR2"/>
      <c r="NDS2"/>
      <c r="NDT2"/>
      <c r="NDU2"/>
      <c r="NDV2"/>
      <c r="NDW2"/>
      <c r="NDX2"/>
      <c r="NDY2"/>
      <c r="NDZ2"/>
      <c r="NEA2"/>
      <c r="NEB2"/>
      <c r="NEC2"/>
      <c r="NED2"/>
      <c r="NEE2"/>
      <c r="NEF2"/>
      <c r="NEG2"/>
      <c r="NEH2"/>
      <c r="NEI2"/>
      <c r="NEJ2"/>
      <c r="NEK2"/>
      <c r="NEL2"/>
      <c r="NEM2"/>
      <c r="NEN2"/>
      <c r="NEO2"/>
      <c r="NEP2"/>
      <c r="NEQ2"/>
      <c r="NER2"/>
      <c r="NES2"/>
      <c r="NET2"/>
      <c r="NEU2"/>
      <c r="NEV2"/>
      <c r="NEW2"/>
      <c r="NEX2"/>
      <c r="NEY2"/>
      <c r="NEZ2"/>
      <c r="NFA2"/>
      <c r="NFB2"/>
      <c r="NFC2"/>
      <c r="NFD2"/>
      <c r="NFE2"/>
      <c r="NFF2"/>
      <c r="NFG2"/>
      <c r="NFH2"/>
      <c r="NFI2"/>
      <c r="NFJ2"/>
      <c r="NFK2"/>
      <c r="NFL2"/>
      <c r="NFM2"/>
      <c r="NFN2"/>
      <c r="NFO2"/>
      <c r="NFP2"/>
      <c r="NFQ2"/>
      <c r="NFR2"/>
      <c r="NFS2"/>
      <c r="NFT2"/>
      <c r="NFU2"/>
      <c r="NFV2"/>
      <c r="NFW2"/>
      <c r="NFX2"/>
      <c r="NFY2"/>
      <c r="NFZ2"/>
      <c r="NGA2"/>
      <c r="NGB2"/>
      <c r="NGC2"/>
      <c r="NGD2"/>
      <c r="NGE2"/>
      <c r="NGF2"/>
      <c r="NGG2"/>
      <c r="NGH2"/>
      <c r="NGI2"/>
      <c r="NGJ2"/>
      <c r="NGK2"/>
      <c r="NGL2"/>
      <c r="NGM2"/>
      <c r="NGN2"/>
      <c r="NGO2"/>
      <c r="NGP2"/>
      <c r="NGQ2"/>
      <c r="NGR2"/>
      <c r="NGS2"/>
      <c r="NGT2"/>
      <c r="NGU2"/>
      <c r="NGV2"/>
      <c r="NGW2"/>
      <c r="NGX2"/>
      <c r="NGY2"/>
      <c r="NGZ2"/>
      <c r="NHA2"/>
      <c r="NHB2"/>
      <c r="NHC2"/>
      <c r="NHD2"/>
      <c r="NHE2"/>
      <c r="NHF2"/>
      <c r="NHG2"/>
      <c r="NHH2"/>
      <c r="NHI2"/>
      <c r="NHJ2"/>
      <c r="NHK2"/>
      <c r="NHL2"/>
      <c r="NHM2"/>
      <c r="NHN2"/>
      <c r="NHO2"/>
      <c r="NHP2"/>
      <c r="NHQ2"/>
      <c r="NHR2"/>
      <c r="NHS2"/>
      <c r="NHT2"/>
      <c r="NHU2"/>
      <c r="NHV2"/>
      <c r="NHW2"/>
      <c r="NHX2"/>
      <c r="NHY2"/>
      <c r="NHZ2"/>
      <c r="NIA2"/>
      <c r="NIB2"/>
      <c r="NIC2"/>
      <c r="NID2"/>
      <c r="NIE2"/>
      <c r="NIF2"/>
      <c r="NIG2"/>
      <c r="NIH2"/>
      <c r="NII2"/>
      <c r="NIJ2"/>
      <c r="NIK2"/>
      <c r="NIL2"/>
      <c r="NIM2"/>
      <c r="NIN2"/>
      <c r="NIO2"/>
      <c r="NIP2"/>
      <c r="NIQ2"/>
      <c r="NIR2"/>
      <c r="NIS2"/>
      <c r="NIT2"/>
      <c r="NIU2"/>
      <c r="NIV2"/>
      <c r="NIW2"/>
      <c r="NIX2"/>
      <c r="NIY2"/>
      <c r="NIZ2"/>
      <c r="NJA2"/>
      <c r="NJB2"/>
      <c r="NJC2"/>
      <c r="NJD2"/>
      <c r="NJE2"/>
      <c r="NJF2"/>
      <c r="NJG2"/>
      <c r="NJH2"/>
      <c r="NJI2"/>
      <c r="NJJ2"/>
      <c r="NJK2"/>
      <c r="NJL2"/>
      <c r="NJM2"/>
      <c r="NJN2"/>
      <c r="NJO2"/>
      <c r="NJP2"/>
      <c r="NJQ2"/>
      <c r="NJR2"/>
      <c r="NJS2"/>
      <c r="NJT2"/>
      <c r="NJU2"/>
      <c r="NJV2"/>
      <c r="NJW2"/>
      <c r="NJX2"/>
      <c r="NJY2"/>
      <c r="NJZ2"/>
      <c r="NKA2"/>
      <c r="NKB2"/>
      <c r="NKC2"/>
      <c r="NKD2"/>
      <c r="NKE2"/>
      <c r="NKF2"/>
      <c r="NKG2"/>
      <c r="NKH2"/>
      <c r="NKI2"/>
      <c r="NKJ2"/>
      <c r="NKK2"/>
      <c r="NKL2"/>
      <c r="NKM2"/>
      <c r="NKN2"/>
      <c r="NKO2"/>
      <c r="NKP2"/>
      <c r="NKQ2"/>
      <c r="NKR2"/>
      <c r="NKS2"/>
      <c r="NKT2"/>
      <c r="NKU2"/>
      <c r="NKV2"/>
      <c r="NKW2"/>
      <c r="NKX2"/>
      <c r="NKY2"/>
      <c r="NKZ2"/>
      <c r="NLA2"/>
      <c r="NLB2"/>
      <c r="NLC2"/>
      <c r="NLD2"/>
      <c r="NLE2"/>
      <c r="NLF2"/>
      <c r="NLG2"/>
      <c r="NLH2"/>
      <c r="NLI2"/>
      <c r="NLJ2"/>
      <c r="NLK2"/>
      <c r="NLL2"/>
      <c r="NLM2"/>
      <c r="NLN2"/>
      <c r="NLO2"/>
      <c r="NLP2"/>
      <c r="NLQ2"/>
      <c r="NLR2"/>
      <c r="NLS2"/>
      <c r="NLT2"/>
      <c r="NLU2"/>
      <c r="NLV2"/>
      <c r="NLW2"/>
      <c r="NLX2"/>
      <c r="NLY2"/>
      <c r="NLZ2"/>
      <c r="NMA2"/>
      <c r="NMB2"/>
      <c r="NMC2"/>
      <c r="NMD2"/>
      <c r="NME2"/>
      <c r="NMF2"/>
      <c r="NMG2"/>
      <c r="NMH2"/>
      <c r="NMI2"/>
      <c r="NMJ2"/>
      <c r="NMK2"/>
      <c r="NML2"/>
      <c r="NMM2"/>
      <c r="NMN2"/>
      <c r="NMO2"/>
      <c r="NMP2"/>
      <c r="NMQ2"/>
      <c r="NMR2"/>
      <c r="NMS2"/>
      <c r="NMT2"/>
      <c r="NMU2"/>
      <c r="NMV2"/>
      <c r="NMW2"/>
      <c r="NMX2"/>
      <c r="NMY2"/>
      <c r="NMZ2"/>
      <c r="NNA2"/>
      <c r="NNB2"/>
      <c r="NNC2"/>
      <c r="NND2"/>
      <c r="NNE2"/>
      <c r="NNF2"/>
      <c r="NNG2"/>
      <c r="NNH2"/>
      <c r="NNI2"/>
      <c r="NNJ2"/>
      <c r="NNK2"/>
      <c r="NNL2"/>
      <c r="NNM2"/>
      <c r="NNN2"/>
      <c r="NNO2"/>
      <c r="NNP2"/>
      <c r="NNQ2"/>
      <c r="NNR2"/>
      <c r="NNS2"/>
      <c r="NNT2"/>
      <c r="NNU2"/>
      <c r="NNV2"/>
      <c r="NNW2"/>
      <c r="NNX2"/>
      <c r="NNY2"/>
      <c r="NNZ2"/>
      <c r="NOA2"/>
      <c r="NOB2"/>
      <c r="NOC2"/>
      <c r="NOD2"/>
      <c r="NOE2"/>
      <c r="NOF2"/>
      <c r="NOG2"/>
      <c r="NOH2"/>
      <c r="NOI2"/>
      <c r="NOJ2"/>
      <c r="NOK2"/>
      <c r="NOL2"/>
      <c r="NOM2"/>
      <c r="NON2"/>
      <c r="NOO2"/>
      <c r="NOP2"/>
      <c r="NOQ2"/>
      <c r="NOR2"/>
      <c r="NOS2"/>
      <c r="NOT2"/>
      <c r="NOU2"/>
      <c r="NOV2"/>
      <c r="NOW2"/>
      <c r="NOX2"/>
      <c r="NOY2"/>
      <c r="NOZ2"/>
      <c r="NPA2"/>
      <c r="NPB2"/>
      <c r="NPC2"/>
      <c r="NPD2"/>
      <c r="NPE2"/>
      <c r="NPF2"/>
      <c r="NPG2"/>
      <c r="NPH2"/>
      <c r="NPI2"/>
      <c r="NPJ2"/>
      <c r="NPK2"/>
      <c r="NPL2"/>
      <c r="NPM2"/>
      <c r="NPN2"/>
      <c r="NPO2"/>
      <c r="NPP2"/>
      <c r="NPQ2"/>
      <c r="NPR2"/>
      <c r="NPS2"/>
      <c r="NPT2"/>
      <c r="NPU2"/>
      <c r="NPV2"/>
      <c r="NPW2"/>
      <c r="NPX2"/>
      <c r="NPY2"/>
      <c r="NPZ2"/>
      <c r="NQA2"/>
      <c r="NQB2"/>
      <c r="NQC2"/>
      <c r="NQD2"/>
      <c r="NQE2"/>
      <c r="NQF2"/>
      <c r="NQG2"/>
      <c r="NQH2"/>
      <c r="NQI2"/>
      <c r="NQJ2"/>
      <c r="NQK2"/>
      <c r="NQL2"/>
      <c r="NQM2"/>
      <c r="NQN2"/>
      <c r="NQO2"/>
      <c r="NQP2"/>
      <c r="NQQ2"/>
      <c r="NQR2"/>
      <c r="NQS2"/>
      <c r="NQT2"/>
      <c r="NQU2"/>
      <c r="NQV2"/>
      <c r="NQW2"/>
      <c r="NQX2"/>
      <c r="NQY2"/>
      <c r="NQZ2"/>
      <c r="NRA2"/>
      <c r="NRB2"/>
      <c r="NRC2"/>
      <c r="NRD2"/>
      <c r="NRE2"/>
      <c r="NRF2"/>
      <c r="NRG2"/>
      <c r="NRH2"/>
      <c r="NRI2"/>
      <c r="NRJ2"/>
      <c r="NRK2"/>
      <c r="NRL2"/>
      <c r="NRM2"/>
      <c r="NRN2"/>
      <c r="NRO2"/>
      <c r="NRP2"/>
      <c r="NRQ2"/>
      <c r="NRR2"/>
      <c r="NRS2"/>
      <c r="NRT2"/>
      <c r="NRU2"/>
      <c r="NRV2"/>
      <c r="NRW2"/>
      <c r="NRX2"/>
      <c r="NRY2"/>
      <c r="NRZ2"/>
      <c r="NSA2"/>
      <c r="NSB2"/>
      <c r="NSC2"/>
      <c r="NSD2"/>
      <c r="NSE2"/>
      <c r="NSF2"/>
      <c r="NSG2"/>
      <c r="NSH2"/>
      <c r="NSI2"/>
      <c r="NSJ2"/>
      <c r="NSK2"/>
      <c r="NSL2"/>
      <c r="NSM2"/>
      <c r="NSN2"/>
      <c r="NSO2"/>
      <c r="NSP2"/>
      <c r="NSQ2"/>
      <c r="NSR2"/>
      <c r="NSS2"/>
      <c r="NST2"/>
      <c r="NSU2"/>
      <c r="NSV2"/>
      <c r="NSW2"/>
      <c r="NSX2"/>
      <c r="NSY2"/>
      <c r="NSZ2"/>
      <c r="NTA2"/>
      <c r="NTB2"/>
      <c r="NTC2"/>
      <c r="NTD2"/>
      <c r="NTE2"/>
      <c r="NTF2"/>
      <c r="NTG2"/>
      <c r="NTH2"/>
      <c r="NTI2"/>
      <c r="NTJ2"/>
      <c r="NTK2"/>
      <c r="NTL2"/>
      <c r="NTM2"/>
      <c r="NTN2"/>
      <c r="NTO2"/>
      <c r="NTP2"/>
      <c r="NTQ2"/>
      <c r="NTR2"/>
      <c r="NTS2"/>
      <c r="NTT2"/>
      <c r="NTU2"/>
      <c r="NTV2"/>
      <c r="NTW2"/>
      <c r="NTX2"/>
      <c r="NTY2"/>
      <c r="NTZ2"/>
      <c r="NUA2"/>
      <c r="NUB2"/>
      <c r="NUC2"/>
      <c r="NUD2"/>
      <c r="NUE2"/>
      <c r="NUF2"/>
      <c r="NUG2"/>
      <c r="NUH2"/>
      <c r="NUI2"/>
      <c r="NUJ2"/>
      <c r="NUK2"/>
      <c r="NUL2"/>
      <c r="NUM2"/>
      <c r="NUN2"/>
      <c r="NUO2"/>
      <c r="NUP2"/>
      <c r="NUQ2"/>
      <c r="NUR2"/>
      <c r="NUS2"/>
      <c r="NUT2"/>
      <c r="NUU2"/>
      <c r="NUV2"/>
      <c r="NUW2"/>
      <c r="NUX2"/>
      <c r="NUY2"/>
      <c r="NUZ2"/>
      <c r="NVA2"/>
      <c r="NVB2"/>
      <c r="NVC2"/>
      <c r="NVD2"/>
      <c r="NVE2"/>
      <c r="NVF2"/>
      <c r="NVG2"/>
      <c r="NVH2"/>
      <c r="NVI2"/>
      <c r="NVJ2"/>
      <c r="NVK2"/>
      <c r="NVL2"/>
      <c r="NVM2"/>
      <c r="NVN2"/>
      <c r="NVO2"/>
      <c r="NVP2"/>
      <c r="NVQ2"/>
      <c r="NVR2"/>
      <c r="NVS2"/>
      <c r="NVT2"/>
      <c r="NVU2"/>
      <c r="NVV2"/>
      <c r="NVW2"/>
      <c r="NVX2"/>
      <c r="NVY2"/>
      <c r="NVZ2"/>
      <c r="NWA2"/>
      <c r="NWB2"/>
      <c r="NWC2"/>
      <c r="NWD2"/>
      <c r="NWE2"/>
      <c r="NWF2"/>
      <c r="NWG2"/>
      <c r="NWH2"/>
      <c r="NWI2"/>
      <c r="NWJ2"/>
      <c r="NWK2"/>
      <c r="NWL2"/>
      <c r="NWM2"/>
      <c r="NWN2"/>
      <c r="NWO2"/>
      <c r="NWP2"/>
      <c r="NWQ2"/>
      <c r="NWR2"/>
      <c r="NWS2"/>
      <c r="NWT2"/>
      <c r="NWU2"/>
      <c r="NWV2"/>
      <c r="NWW2"/>
      <c r="NWX2"/>
      <c r="NWY2"/>
      <c r="NWZ2"/>
      <c r="NXA2"/>
      <c r="NXB2"/>
      <c r="NXC2"/>
      <c r="NXD2"/>
      <c r="NXE2"/>
      <c r="NXF2"/>
      <c r="NXG2"/>
      <c r="NXH2"/>
      <c r="NXI2"/>
      <c r="NXJ2"/>
      <c r="NXK2"/>
      <c r="NXL2"/>
      <c r="NXM2"/>
      <c r="NXN2"/>
      <c r="NXO2"/>
      <c r="NXP2"/>
      <c r="NXQ2"/>
      <c r="NXR2"/>
      <c r="NXS2"/>
      <c r="NXT2"/>
      <c r="NXU2"/>
      <c r="NXV2"/>
      <c r="NXW2"/>
      <c r="NXX2"/>
      <c r="NXY2"/>
      <c r="NXZ2"/>
      <c r="NYA2"/>
      <c r="NYB2"/>
      <c r="NYC2"/>
      <c r="NYD2"/>
      <c r="NYE2"/>
      <c r="NYF2"/>
      <c r="NYG2"/>
      <c r="NYH2"/>
      <c r="NYI2"/>
      <c r="NYJ2"/>
      <c r="NYK2"/>
      <c r="NYL2"/>
      <c r="NYM2"/>
      <c r="NYN2"/>
      <c r="NYO2"/>
      <c r="NYP2"/>
      <c r="NYQ2"/>
      <c r="NYR2"/>
      <c r="NYS2"/>
      <c r="NYT2"/>
      <c r="NYU2"/>
      <c r="NYV2"/>
      <c r="NYW2"/>
      <c r="NYX2"/>
      <c r="NYY2"/>
      <c r="NYZ2"/>
      <c r="NZA2"/>
      <c r="NZB2"/>
      <c r="NZC2"/>
      <c r="NZD2"/>
      <c r="NZE2"/>
      <c r="NZF2"/>
      <c r="NZG2"/>
      <c r="NZH2"/>
      <c r="NZI2"/>
      <c r="NZJ2"/>
      <c r="NZK2"/>
      <c r="NZL2"/>
      <c r="NZM2"/>
      <c r="NZN2"/>
      <c r="NZO2"/>
      <c r="NZP2"/>
      <c r="NZQ2"/>
      <c r="NZR2"/>
      <c r="NZS2"/>
      <c r="NZT2"/>
      <c r="NZU2"/>
      <c r="NZV2"/>
      <c r="NZW2"/>
      <c r="NZX2"/>
      <c r="NZY2"/>
      <c r="NZZ2"/>
      <c r="OAA2"/>
      <c r="OAB2"/>
      <c r="OAC2"/>
      <c r="OAD2"/>
      <c r="OAE2"/>
      <c r="OAF2"/>
      <c r="OAG2"/>
      <c r="OAH2"/>
      <c r="OAI2"/>
      <c r="OAJ2"/>
      <c r="OAK2"/>
      <c r="OAL2"/>
      <c r="OAM2"/>
      <c r="OAN2"/>
      <c r="OAO2"/>
      <c r="OAP2"/>
      <c r="OAQ2"/>
      <c r="OAR2"/>
      <c r="OAS2"/>
      <c r="OAT2"/>
      <c r="OAU2"/>
      <c r="OAV2"/>
      <c r="OAW2"/>
      <c r="OAX2"/>
      <c r="OAY2"/>
      <c r="OAZ2"/>
      <c r="OBA2"/>
      <c r="OBB2"/>
      <c r="OBC2"/>
      <c r="OBD2"/>
      <c r="OBE2"/>
      <c r="OBF2"/>
      <c r="OBG2"/>
      <c r="OBH2"/>
      <c r="OBI2"/>
      <c r="OBJ2"/>
      <c r="OBK2"/>
      <c r="OBL2"/>
      <c r="OBM2"/>
      <c r="OBN2"/>
      <c r="OBO2"/>
      <c r="OBP2"/>
      <c r="OBQ2"/>
      <c r="OBR2"/>
      <c r="OBS2"/>
      <c r="OBT2"/>
      <c r="OBU2"/>
      <c r="OBV2"/>
      <c r="OBW2"/>
      <c r="OBX2"/>
      <c r="OBY2"/>
      <c r="OBZ2"/>
      <c r="OCA2"/>
      <c r="OCB2"/>
      <c r="OCC2"/>
      <c r="OCD2"/>
      <c r="OCE2"/>
      <c r="OCF2"/>
      <c r="OCG2"/>
      <c r="OCH2"/>
      <c r="OCI2"/>
      <c r="OCJ2"/>
      <c r="OCK2"/>
      <c r="OCL2"/>
      <c r="OCM2"/>
      <c r="OCN2"/>
      <c r="OCO2"/>
      <c r="OCP2"/>
      <c r="OCQ2"/>
      <c r="OCR2"/>
      <c r="OCS2"/>
      <c r="OCT2"/>
      <c r="OCU2"/>
      <c r="OCV2"/>
      <c r="OCW2"/>
      <c r="OCX2"/>
      <c r="OCY2"/>
      <c r="OCZ2"/>
      <c r="ODA2"/>
      <c r="ODB2"/>
      <c r="ODC2"/>
      <c r="ODD2"/>
      <c r="ODE2"/>
      <c r="ODF2"/>
      <c r="ODG2"/>
      <c r="ODH2"/>
      <c r="ODI2"/>
      <c r="ODJ2"/>
      <c r="ODK2"/>
      <c r="ODL2"/>
      <c r="ODM2"/>
      <c r="ODN2"/>
      <c r="ODO2"/>
      <c r="ODP2"/>
      <c r="ODQ2"/>
      <c r="ODR2"/>
      <c r="ODS2"/>
      <c r="ODT2"/>
      <c r="ODU2"/>
      <c r="ODV2"/>
      <c r="ODW2"/>
      <c r="ODX2"/>
      <c r="ODY2"/>
      <c r="ODZ2"/>
      <c r="OEA2"/>
      <c r="OEB2"/>
      <c r="OEC2"/>
      <c r="OED2"/>
      <c r="OEE2"/>
      <c r="OEF2"/>
      <c r="OEG2"/>
      <c r="OEH2"/>
      <c r="OEI2"/>
      <c r="OEJ2"/>
      <c r="OEK2"/>
      <c r="OEL2"/>
      <c r="OEM2"/>
      <c r="OEN2"/>
      <c r="OEO2"/>
      <c r="OEP2"/>
      <c r="OEQ2"/>
      <c r="OER2"/>
      <c r="OES2"/>
      <c r="OET2"/>
      <c r="OEU2"/>
      <c r="OEV2"/>
      <c r="OEW2"/>
      <c r="OEX2"/>
      <c r="OEY2"/>
      <c r="OEZ2"/>
      <c r="OFA2"/>
      <c r="OFB2"/>
      <c r="OFC2"/>
      <c r="OFD2"/>
      <c r="OFE2"/>
      <c r="OFF2"/>
      <c r="OFG2"/>
      <c r="OFH2"/>
      <c r="OFI2"/>
      <c r="OFJ2"/>
      <c r="OFK2"/>
      <c r="OFL2"/>
      <c r="OFM2"/>
      <c r="OFN2"/>
      <c r="OFO2"/>
      <c r="OFP2"/>
      <c r="OFQ2"/>
      <c r="OFR2"/>
      <c r="OFS2"/>
      <c r="OFT2"/>
      <c r="OFU2"/>
      <c r="OFV2"/>
      <c r="OFW2"/>
      <c r="OFX2"/>
      <c r="OFY2"/>
      <c r="OFZ2"/>
      <c r="OGA2"/>
      <c r="OGB2"/>
      <c r="OGC2"/>
      <c r="OGD2"/>
      <c r="OGE2"/>
      <c r="OGF2"/>
      <c r="OGG2"/>
      <c r="OGH2"/>
      <c r="OGI2"/>
      <c r="OGJ2"/>
      <c r="OGK2"/>
      <c r="OGL2"/>
      <c r="OGM2"/>
      <c r="OGN2"/>
      <c r="OGO2"/>
      <c r="OGP2"/>
      <c r="OGQ2"/>
      <c r="OGR2"/>
      <c r="OGS2"/>
      <c r="OGT2"/>
      <c r="OGU2"/>
      <c r="OGV2"/>
      <c r="OGW2"/>
      <c r="OGX2"/>
      <c r="OGY2"/>
      <c r="OGZ2"/>
      <c r="OHA2"/>
      <c r="OHB2"/>
      <c r="OHC2"/>
      <c r="OHD2"/>
      <c r="OHE2"/>
      <c r="OHF2"/>
      <c r="OHG2"/>
      <c r="OHH2"/>
      <c r="OHI2"/>
      <c r="OHJ2"/>
      <c r="OHK2"/>
      <c r="OHL2"/>
      <c r="OHM2"/>
      <c r="OHN2"/>
      <c r="OHO2"/>
      <c r="OHP2"/>
      <c r="OHQ2"/>
      <c r="OHR2"/>
      <c r="OHS2"/>
      <c r="OHT2"/>
      <c r="OHU2"/>
      <c r="OHV2"/>
      <c r="OHW2"/>
      <c r="OHX2"/>
      <c r="OHY2"/>
      <c r="OHZ2"/>
      <c r="OIA2"/>
      <c r="OIB2"/>
      <c r="OIC2"/>
      <c r="OID2"/>
      <c r="OIE2"/>
      <c r="OIF2"/>
      <c r="OIG2"/>
      <c r="OIH2"/>
      <c r="OII2"/>
      <c r="OIJ2"/>
      <c r="OIK2"/>
      <c r="OIL2"/>
      <c r="OIM2"/>
      <c r="OIN2"/>
      <c r="OIO2"/>
      <c r="OIP2"/>
      <c r="OIQ2"/>
      <c r="OIR2"/>
      <c r="OIS2"/>
      <c r="OIT2"/>
      <c r="OIU2"/>
      <c r="OIV2"/>
      <c r="OIW2"/>
      <c r="OIX2"/>
      <c r="OIY2"/>
      <c r="OIZ2"/>
      <c r="OJA2"/>
      <c r="OJB2"/>
      <c r="OJC2"/>
      <c r="OJD2"/>
      <c r="OJE2"/>
      <c r="OJF2"/>
      <c r="OJG2"/>
      <c r="OJH2"/>
      <c r="OJI2"/>
      <c r="OJJ2"/>
      <c r="OJK2"/>
      <c r="OJL2"/>
      <c r="OJM2"/>
      <c r="OJN2"/>
      <c r="OJO2"/>
      <c r="OJP2"/>
      <c r="OJQ2"/>
      <c r="OJR2"/>
      <c r="OJS2"/>
      <c r="OJT2"/>
      <c r="OJU2"/>
      <c r="OJV2"/>
      <c r="OJW2"/>
      <c r="OJX2"/>
      <c r="OJY2"/>
      <c r="OJZ2"/>
      <c r="OKA2"/>
      <c r="OKB2"/>
      <c r="OKC2"/>
      <c r="OKD2"/>
      <c r="OKE2"/>
      <c r="OKF2"/>
      <c r="OKG2"/>
      <c r="OKH2"/>
      <c r="OKI2"/>
      <c r="OKJ2"/>
      <c r="OKK2"/>
      <c r="OKL2"/>
      <c r="OKM2"/>
      <c r="OKN2"/>
      <c r="OKO2"/>
      <c r="OKP2"/>
      <c r="OKQ2"/>
      <c r="OKR2"/>
      <c r="OKS2"/>
      <c r="OKT2"/>
      <c r="OKU2"/>
      <c r="OKV2"/>
      <c r="OKW2"/>
      <c r="OKX2"/>
      <c r="OKY2"/>
      <c r="OKZ2"/>
      <c r="OLA2"/>
      <c r="OLB2"/>
      <c r="OLC2"/>
      <c r="OLD2"/>
      <c r="OLE2"/>
      <c r="OLF2"/>
      <c r="OLG2"/>
      <c r="OLH2"/>
      <c r="OLI2"/>
      <c r="OLJ2"/>
      <c r="OLK2"/>
      <c r="OLL2"/>
      <c r="OLM2"/>
      <c r="OLN2"/>
      <c r="OLO2"/>
      <c r="OLP2"/>
      <c r="OLQ2"/>
      <c r="OLR2"/>
      <c r="OLS2"/>
      <c r="OLT2"/>
      <c r="OLU2"/>
      <c r="OLV2"/>
      <c r="OLW2"/>
      <c r="OLX2"/>
      <c r="OLY2"/>
      <c r="OLZ2"/>
      <c r="OMA2"/>
      <c r="OMB2"/>
      <c r="OMC2"/>
      <c r="OMD2"/>
      <c r="OME2"/>
      <c r="OMF2"/>
      <c r="OMG2"/>
      <c r="OMH2"/>
      <c r="OMI2"/>
      <c r="OMJ2"/>
      <c r="OMK2"/>
      <c r="OML2"/>
      <c r="OMM2"/>
      <c r="OMN2"/>
      <c r="OMO2"/>
      <c r="OMP2"/>
      <c r="OMQ2"/>
      <c r="OMR2"/>
      <c r="OMS2"/>
      <c r="OMT2"/>
      <c r="OMU2"/>
      <c r="OMV2"/>
      <c r="OMW2"/>
      <c r="OMX2"/>
      <c r="OMY2"/>
      <c r="OMZ2"/>
      <c r="ONA2"/>
      <c r="ONB2"/>
      <c r="ONC2"/>
      <c r="OND2"/>
      <c r="ONE2"/>
      <c r="ONF2"/>
      <c r="ONG2"/>
      <c r="ONH2"/>
      <c r="ONI2"/>
      <c r="ONJ2"/>
      <c r="ONK2"/>
      <c r="ONL2"/>
      <c r="ONM2"/>
      <c r="ONN2"/>
      <c r="ONO2"/>
      <c r="ONP2"/>
      <c r="ONQ2"/>
      <c r="ONR2"/>
      <c r="ONS2"/>
      <c r="ONT2"/>
      <c r="ONU2"/>
      <c r="ONV2"/>
      <c r="ONW2"/>
      <c r="ONX2"/>
      <c r="ONY2"/>
      <c r="ONZ2"/>
      <c r="OOA2"/>
      <c r="OOB2"/>
      <c r="OOC2"/>
      <c r="OOD2"/>
      <c r="OOE2"/>
      <c r="OOF2"/>
      <c r="OOG2"/>
      <c r="OOH2"/>
      <c r="OOI2"/>
      <c r="OOJ2"/>
      <c r="OOK2"/>
      <c r="OOL2"/>
      <c r="OOM2"/>
      <c r="OON2"/>
      <c r="OOO2"/>
      <c r="OOP2"/>
      <c r="OOQ2"/>
      <c r="OOR2"/>
      <c r="OOS2"/>
      <c r="OOT2"/>
      <c r="OOU2"/>
      <c r="OOV2"/>
      <c r="OOW2"/>
      <c r="OOX2"/>
      <c r="OOY2"/>
      <c r="OOZ2"/>
      <c r="OPA2"/>
      <c r="OPB2"/>
      <c r="OPC2"/>
      <c r="OPD2"/>
      <c r="OPE2"/>
      <c r="OPF2"/>
      <c r="OPG2"/>
      <c r="OPH2"/>
      <c r="OPI2"/>
      <c r="OPJ2"/>
      <c r="OPK2"/>
      <c r="OPL2"/>
      <c r="OPM2"/>
      <c r="OPN2"/>
      <c r="OPO2"/>
      <c r="OPP2"/>
      <c r="OPQ2"/>
      <c r="OPR2"/>
      <c r="OPS2"/>
      <c r="OPT2"/>
      <c r="OPU2"/>
      <c r="OPV2"/>
      <c r="OPW2"/>
      <c r="OPX2"/>
      <c r="OPY2"/>
      <c r="OPZ2"/>
      <c r="OQA2"/>
      <c r="OQB2"/>
      <c r="OQC2"/>
      <c r="OQD2"/>
      <c r="OQE2"/>
      <c r="OQF2"/>
      <c r="OQG2"/>
      <c r="OQH2"/>
      <c r="OQI2"/>
      <c r="OQJ2"/>
      <c r="OQK2"/>
      <c r="OQL2"/>
      <c r="OQM2"/>
      <c r="OQN2"/>
      <c r="OQO2"/>
      <c r="OQP2"/>
      <c r="OQQ2"/>
      <c r="OQR2"/>
      <c r="OQS2"/>
      <c r="OQT2"/>
      <c r="OQU2"/>
      <c r="OQV2"/>
      <c r="OQW2"/>
      <c r="OQX2"/>
      <c r="OQY2"/>
      <c r="OQZ2"/>
      <c r="ORA2"/>
      <c r="ORB2"/>
      <c r="ORC2"/>
      <c r="ORD2"/>
      <c r="ORE2"/>
      <c r="ORF2"/>
      <c r="ORG2"/>
      <c r="ORH2"/>
      <c r="ORI2"/>
      <c r="ORJ2"/>
      <c r="ORK2"/>
      <c r="ORL2"/>
      <c r="ORM2"/>
      <c r="ORN2"/>
      <c r="ORO2"/>
      <c r="ORP2"/>
      <c r="ORQ2"/>
      <c r="ORR2"/>
      <c r="ORS2"/>
      <c r="ORT2"/>
      <c r="ORU2"/>
      <c r="ORV2"/>
      <c r="ORW2"/>
      <c r="ORX2"/>
      <c r="ORY2"/>
      <c r="ORZ2"/>
      <c r="OSA2"/>
      <c r="OSB2"/>
      <c r="OSC2"/>
      <c r="OSD2"/>
      <c r="OSE2"/>
      <c r="OSF2"/>
      <c r="OSG2"/>
      <c r="OSH2"/>
      <c r="OSI2"/>
      <c r="OSJ2"/>
      <c r="OSK2"/>
      <c r="OSL2"/>
      <c r="OSM2"/>
      <c r="OSN2"/>
      <c r="OSO2"/>
      <c r="OSP2"/>
      <c r="OSQ2"/>
      <c r="OSR2"/>
      <c r="OSS2"/>
      <c r="OST2"/>
      <c r="OSU2"/>
      <c r="OSV2"/>
      <c r="OSW2"/>
      <c r="OSX2"/>
      <c r="OSY2"/>
      <c r="OSZ2"/>
      <c r="OTA2"/>
      <c r="OTB2"/>
      <c r="OTC2"/>
      <c r="OTD2"/>
      <c r="OTE2"/>
      <c r="OTF2"/>
      <c r="OTG2"/>
      <c r="OTH2"/>
      <c r="OTI2"/>
      <c r="OTJ2"/>
      <c r="OTK2"/>
      <c r="OTL2"/>
      <c r="OTM2"/>
      <c r="OTN2"/>
      <c r="OTO2"/>
      <c r="OTP2"/>
      <c r="OTQ2"/>
      <c r="OTR2"/>
      <c r="OTS2"/>
      <c r="OTT2"/>
      <c r="OTU2"/>
      <c r="OTV2"/>
      <c r="OTW2"/>
      <c r="OTX2"/>
      <c r="OTY2"/>
      <c r="OTZ2"/>
      <c r="OUA2"/>
      <c r="OUB2"/>
      <c r="OUC2"/>
      <c r="OUD2"/>
      <c r="OUE2"/>
      <c r="OUF2"/>
      <c r="OUG2"/>
      <c r="OUH2"/>
      <c r="OUI2"/>
      <c r="OUJ2"/>
      <c r="OUK2"/>
      <c r="OUL2"/>
      <c r="OUM2"/>
      <c r="OUN2"/>
      <c r="OUO2"/>
      <c r="OUP2"/>
      <c r="OUQ2"/>
      <c r="OUR2"/>
      <c r="OUS2"/>
      <c r="OUT2"/>
      <c r="OUU2"/>
      <c r="OUV2"/>
      <c r="OUW2"/>
      <c r="OUX2"/>
      <c r="OUY2"/>
      <c r="OUZ2"/>
      <c r="OVA2"/>
      <c r="OVB2"/>
      <c r="OVC2"/>
      <c r="OVD2"/>
      <c r="OVE2"/>
      <c r="OVF2"/>
      <c r="OVG2"/>
      <c r="OVH2"/>
      <c r="OVI2"/>
      <c r="OVJ2"/>
      <c r="OVK2"/>
      <c r="OVL2"/>
      <c r="OVM2"/>
      <c r="OVN2"/>
      <c r="OVO2"/>
      <c r="OVP2"/>
      <c r="OVQ2"/>
      <c r="OVR2"/>
      <c r="OVS2"/>
      <c r="OVT2"/>
      <c r="OVU2"/>
      <c r="OVV2"/>
      <c r="OVW2"/>
      <c r="OVX2"/>
      <c r="OVY2"/>
      <c r="OVZ2"/>
      <c r="OWA2"/>
      <c r="OWB2"/>
      <c r="OWC2"/>
      <c r="OWD2"/>
      <c r="OWE2"/>
      <c r="OWF2"/>
      <c r="OWG2"/>
      <c r="OWH2"/>
      <c r="OWI2"/>
      <c r="OWJ2"/>
      <c r="OWK2"/>
      <c r="OWL2"/>
      <c r="OWM2"/>
      <c r="OWN2"/>
      <c r="OWO2"/>
      <c r="OWP2"/>
      <c r="OWQ2"/>
      <c r="OWR2"/>
      <c r="OWS2"/>
      <c r="OWT2"/>
      <c r="OWU2"/>
      <c r="OWV2"/>
      <c r="OWW2"/>
      <c r="OWX2"/>
      <c r="OWY2"/>
      <c r="OWZ2"/>
      <c r="OXA2"/>
      <c r="OXB2"/>
      <c r="OXC2"/>
      <c r="OXD2"/>
      <c r="OXE2"/>
      <c r="OXF2"/>
      <c r="OXG2"/>
      <c r="OXH2"/>
      <c r="OXI2"/>
      <c r="OXJ2"/>
      <c r="OXK2"/>
      <c r="OXL2"/>
      <c r="OXM2"/>
      <c r="OXN2"/>
      <c r="OXO2"/>
      <c r="OXP2"/>
      <c r="OXQ2"/>
      <c r="OXR2"/>
      <c r="OXS2"/>
      <c r="OXT2"/>
      <c r="OXU2"/>
      <c r="OXV2"/>
      <c r="OXW2"/>
      <c r="OXX2"/>
      <c r="OXY2"/>
      <c r="OXZ2"/>
      <c r="OYA2"/>
      <c r="OYB2"/>
      <c r="OYC2"/>
      <c r="OYD2"/>
      <c r="OYE2"/>
      <c r="OYF2"/>
      <c r="OYG2"/>
      <c r="OYH2"/>
      <c r="OYI2"/>
      <c r="OYJ2"/>
      <c r="OYK2"/>
      <c r="OYL2"/>
      <c r="OYM2"/>
      <c r="OYN2"/>
      <c r="OYO2"/>
      <c r="OYP2"/>
      <c r="OYQ2"/>
      <c r="OYR2"/>
      <c r="OYS2"/>
      <c r="OYT2"/>
      <c r="OYU2"/>
      <c r="OYV2"/>
      <c r="OYW2"/>
      <c r="OYX2"/>
      <c r="OYY2"/>
      <c r="OYZ2"/>
      <c r="OZA2"/>
      <c r="OZB2"/>
      <c r="OZC2"/>
      <c r="OZD2"/>
      <c r="OZE2"/>
      <c r="OZF2"/>
      <c r="OZG2"/>
      <c r="OZH2"/>
      <c r="OZI2"/>
      <c r="OZJ2"/>
      <c r="OZK2"/>
      <c r="OZL2"/>
      <c r="OZM2"/>
      <c r="OZN2"/>
      <c r="OZO2"/>
      <c r="OZP2"/>
      <c r="OZQ2"/>
      <c r="OZR2"/>
      <c r="OZS2"/>
      <c r="OZT2"/>
      <c r="OZU2"/>
      <c r="OZV2"/>
      <c r="OZW2"/>
      <c r="OZX2"/>
      <c r="OZY2"/>
      <c r="OZZ2"/>
      <c r="PAA2"/>
      <c r="PAB2"/>
      <c r="PAC2"/>
      <c r="PAD2"/>
      <c r="PAE2"/>
      <c r="PAF2"/>
      <c r="PAG2"/>
      <c r="PAH2"/>
      <c r="PAI2"/>
      <c r="PAJ2"/>
      <c r="PAK2"/>
      <c r="PAL2"/>
      <c r="PAM2"/>
      <c r="PAN2"/>
      <c r="PAO2"/>
      <c r="PAP2"/>
      <c r="PAQ2"/>
      <c r="PAR2"/>
      <c r="PAS2"/>
      <c r="PAT2"/>
      <c r="PAU2"/>
      <c r="PAV2"/>
      <c r="PAW2"/>
      <c r="PAX2"/>
      <c r="PAY2"/>
      <c r="PAZ2"/>
      <c r="PBA2"/>
      <c r="PBB2"/>
      <c r="PBC2"/>
      <c r="PBD2"/>
      <c r="PBE2"/>
      <c r="PBF2"/>
      <c r="PBG2"/>
      <c r="PBH2"/>
      <c r="PBI2"/>
      <c r="PBJ2"/>
      <c r="PBK2"/>
      <c r="PBL2"/>
      <c r="PBM2"/>
      <c r="PBN2"/>
      <c r="PBO2"/>
      <c r="PBP2"/>
      <c r="PBQ2"/>
      <c r="PBR2"/>
      <c r="PBS2"/>
      <c r="PBT2"/>
      <c r="PBU2"/>
      <c r="PBV2"/>
      <c r="PBW2"/>
      <c r="PBX2"/>
      <c r="PBY2"/>
      <c r="PBZ2"/>
      <c r="PCA2"/>
      <c r="PCB2"/>
      <c r="PCC2"/>
      <c r="PCD2"/>
      <c r="PCE2"/>
      <c r="PCF2"/>
      <c r="PCG2"/>
      <c r="PCH2"/>
      <c r="PCI2"/>
      <c r="PCJ2"/>
      <c r="PCK2"/>
      <c r="PCL2"/>
      <c r="PCM2"/>
      <c r="PCN2"/>
      <c r="PCO2"/>
      <c r="PCP2"/>
      <c r="PCQ2"/>
      <c r="PCR2"/>
      <c r="PCS2"/>
      <c r="PCT2"/>
      <c r="PCU2"/>
      <c r="PCV2"/>
      <c r="PCW2"/>
      <c r="PCX2"/>
      <c r="PCY2"/>
      <c r="PCZ2"/>
      <c r="PDA2"/>
      <c r="PDB2"/>
      <c r="PDC2"/>
      <c r="PDD2"/>
      <c r="PDE2"/>
      <c r="PDF2"/>
      <c r="PDG2"/>
      <c r="PDH2"/>
      <c r="PDI2"/>
      <c r="PDJ2"/>
      <c r="PDK2"/>
      <c r="PDL2"/>
      <c r="PDM2"/>
      <c r="PDN2"/>
      <c r="PDO2"/>
      <c r="PDP2"/>
      <c r="PDQ2"/>
      <c r="PDR2"/>
      <c r="PDS2"/>
      <c r="PDT2"/>
      <c r="PDU2"/>
      <c r="PDV2"/>
      <c r="PDW2"/>
      <c r="PDX2"/>
      <c r="PDY2"/>
      <c r="PDZ2"/>
      <c r="PEA2"/>
      <c r="PEB2"/>
      <c r="PEC2"/>
      <c r="PED2"/>
      <c r="PEE2"/>
      <c r="PEF2"/>
      <c r="PEG2"/>
      <c r="PEH2"/>
      <c r="PEI2"/>
      <c r="PEJ2"/>
      <c r="PEK2"/>
      <c r="PEL2"/>
      <c r="PEM2"/>
      <c r="PEN2"/>
      <c r="PEO2"/>
      <c r="PEP2"/>
      <c r="PEQ2"/>
      <c r="PER2"/>
      <c r="PES2"/>
      <c r="PET2"/>
      <c r="PEU2"/>
      <c r="PEV2"/>
      <c r="PEW2"/>
      <c r="PEX2"/>
      <c r="PEY2"/>
      <c r="PEZ2"/>
      <c r="PFA2"/>
      <c r="PFB2"/>
      <c r="PFC2"/>
      <c r="PFD2"/>
      <c r="PFE2"/>
      <c r="PFF2"/>
      <c r="PFG2"/>
      <c r="PFH2"/>
      <c r="PFI2"/>
      <c r="PFJ2"/>
      <c r="PFK2"/>
      <c r="PFL2"/>
      <c r="PFM2"/>
      <c r="PFN2"/>
      <c r="PFO2"/>
      <c r="PFP2"/>
      <c r="PFQ2"/>
      <c r="PFR2"/>
      <c r="PFS2"/>
      <c r="PFT2"/>
      <c r="PFU2"/>
      <c r="PFV2"/>
      <c r="PFW2"/>
      <c r="PFX2"/>
      <c r="PFY2"/>
      <c r="PFZ2"/>
      <c r="PGA2"/>
      <c r="PGB2"/>
      <c r="PGC2"/>
      <c r="PGD2"/>
      <c r="PGE2"/>
      <c r="PGF2"/>
      <c r="PGG2"/>
      <c r="PGH2"/>
      <c r="PGI2"/>
      <c r="PGJ2"/>
      <c r="PGK2"/>
      <c r="PGL2"/>
      <c r="PGM2"/>
      <c r="PGN2"/>
      <c r="PGO2"/>
      <c r="PGP2"/>
      <c r="PGQ2"/>
      <c r="PGR2"/>
      <c r="PGS2"/>
      <c r="PGT2"/>
      <c r="PGU2"/>
      <c r="PGV2"/>
      <c r="PGW2"/>
      <c r="PGX2"/>
      <c r="PGY2"/>
      <c r="PGZ2"/>
      <c r="PHA2"/>
      <c r="PHB2"/>
      <c r="PHC2"/>
      <c r="PHD2"/>
      <c r="PHE2"/>
      <c r="PHF2"/>
      <c r="PHG2"/>
      <c r="PHH2"/>
      <c r="PHI2"/>
      <c r="PHJ2"/>
      <c r="PHK2"/>
      <c r="PHL2"/>
      <c r="PHM2"/>
      <c r="PHN2"/>
      <c r="PHO2"/>
      <c r="PHP2"/>
      <c r="PHQ2"/>
      <c r="PHR2"/>
      <c r="PHS2"/>
      <c r="PHT2"/>
      <c r="PHU2"/>
      <c r="PHV2"/>
      <c r="PHW2"/>
      <c r="PHX2"/>
      <c r="PHY2"/>
      <c r="PHZ2"/>
      <c r="PIA2"/>
      <c r="PIB2"/>
      <c r="PIC2"/>
      <c r="PID2"/>
      <c r="PIE2"/>
      <c r="PIF2"/>
      <c r="PIG2"/>
      <c r="PIH2"/>
      <c r="PII2"/>
      <c r="PIJ2"/>
      <c r="PIK2"/>
      <c r="PIL2"/>
      <c r="PIM2"/>
      <c r="PIN2"/>
      <c r="PIO2"/>
      <c r="PIP2"/>
      <c r="PIQ2"/>
      <c r="PIR2"/>
      <c r="PIS2"/>
      <c r="PIT2"/>
      <c r="PIU2"/>
      <c r="PIV2"/>
      <c r="PIW2"/>
      <c r="PIX2"/>
      <c r="PIY2"/>
      <c r="PIZ2"/>
      <c r="PJA2"/>
      <c r="PJB2"/>
      <c r="PJC2"/>
      <c r="PJD2"/>
      <c r="PJE2"/>
      <c r="PJF2"/>
      <c r="PJG2"/>
      <c r="PJH2"/>
      <c r="PJI2"/>
      <c r="PJJ2"/>
      <c r="PJK2"/>
      <c r="PJL2"/>
      <c r="PJM2"/>
      <c r="PJN2"/>
      <c r="PJO2"/>
      <c r="PJP2"/>
      <c r="PJQ2"/>
      <c r="PJR2"/>
      <c r="PJS2"/>
      <c r="PJT2"/>
      <c r="PJU2"/>
      <c r="PJV2"/>
      <c r="PJW2"/>
      <c r="PJX2"/>
      <c r="PJY2"/>
      <c r="PJZ2"/>
      <c r="PKA2"/>
      <c r="PKB2"/>
      <c r="PKC2"/>
      <c r="PKD2"/>
      <c r="PKE2"/>
      <c r="PKF2"/>
      <c r="PKG2"/>
      <c r="PKH2"/>
      <c r="PKI2"/>
      <c r="PKJ2"/>
      <c r="PKK2"/>
      <c r="PKL2"/>
      <c r="PKM2"/>
      <c r="PKN2"/>
      <c r="PKO2"/>
      <c r="PKP2"/>
      <c r="PKQ2"/>
      <c r="PKR2"/>
      <c r="PKS2"/>
      <c r="PKT2"/>
      <c r="PKU2"/>
      <c r="PKV2"/>
      <c r="PKW2"/>
      <c r="PKX2"/>
      <c r="PKY2"/>
      <c r="PKZ2"/>
      <c r="PLA2"/>
      <c r="PLB2"/>
      <c r="PLC2"/>
      <c r="PLD2"/>
      <c r="PLE2"/>
      <c r="PLF2"/>
      <c r="PLG2"/>
      <c r="PLH2"/>
      <c r="PLI2"/>
      <c r="PLJ2"/>
      <c r="PLK2"/>
      <c r="PLL2"/>
      <c r="PLM2"/>
      <c r="PLN2"/>
      <c r="PLO2"/>
      <c r="PLP2"/>
      <c r="PLQ2"/>
      <c r="PLR2"/>
      <c r="PLS2"/>
      <c r="PLT2"/>
      <c r="PLU2"/>
      <c r="PLV2"/>
      <c r="PLW2"/>
      <c r="PLX2"/>
      <c r="PLY2"/>
      <c r="PLZ2"/>
      <c r="PMA2"/>
      <c r="PMB2"/>
      <c r="PMC2"/>
      <c r="PMD2"/>
      <c r="PME2"/>
      <c r="PMF2"/>
      <c r="PMG2"/>
      <c r="PMH2"/>
      <c r="PMI2"/>
      <c r="PMJ2"/>
      <c r="PMK2"/>
      <c r="PML2"/>
      <c r="PMM2"/>
      <c r="PMN2"/>
      <c r="PMO2"/>
      <c r="PMP2"/>
      <c r="PMQ2"/>
      <c r="PMR2"/>
      <c r="PMS2"/>
      <c r="PMT2"/>
      <c r="PMU2"/>
      <c r="PMV2"/>
      <c r="PMW2"/>
      <c r="PMX2"/>
      <c r="PMY2"/>
      <c r="PMZ2"/>
      <c r="PNA2"/>
      <c r="PNB2"/>
      <c r="PNC2"/>
      <c r="PND2"/>
      <c r="PNE2"/>
      <c r="PNF2"/>
      <c r="PNG2"/>
      <c r="PNH2"/>
      <c r="PNI2"/>
      <c r="PNJ2"/>
      <c r="PNK2"/>
      <c r="PNL2"/>
      <c r="PNM2"/>
      <c r="PNN2"/>
      <c r="PNO2"/>
      <c r="PNP2"/>
      <c r="PNQ2"/>
      <c r="PNR2"/>
      <c r="PNS2"/>
      <c r="PNT2"/>
      <c r="PNU2"/>
      <c r="PNV2"/>
      <c r="PNW2"/>
      <c r="PNX2"/>
      <c r="PNY2"/>
      <c r="PNZ2"/>
      <c r="POA2"/>
      <c r="POB2"/>
      <c r="POC2"/>
      <c r="POD2"/>
      <c r="POE2"/>
      <c r="POF2"/>
      <c r="POG2"/>
      <c r="POH2"/>
      <c r="POI2"/>
      <c r="POJ2"/>
      <c r="POK2"/>
      <c r="POL2"/>
      <c r="POM2"/>
      <c r="PON2"/>
      <c r="POO2"/>
      <c r="POP2"/>
      <c r="POQ2"/>
      <c r="POR2"/>
      <c r="POS2"/>
      <c r="POT2"/>
      <c r="POU2"/>
      <c r="POV2"/>
      <c r="POW2"/>
      <c r="POX2"/>
      <c r="POY2"/>
      <c r="POZ2"/>
      <c r="PPA2"/>
      <c r="PPB2"/>
      <c r="PPC2"/>
      <c r="PPD2"/>
      <c r="PPE2"/>
      <c r="PPF2"/>
      <c r="PPG2"/>
      <c r="PPH2"/>
      <c r="PPI2"/>
      <c r="PPJ2"/>
      <c r="PPK2"/>
      <c r="PPL2"/>
      <c r="PPM2"/>
      <c r="PPN2"/>
      <c r="PPO2"/>
      <c r="PPP2"/>
      <c r="PPQ2"/>
      <c r="PPR2"/>
      <c r="PPS2"/>
      <c r="PPT2"/>
      <c r="PPU2"/>
      <c r="PPV2"/>
      <c r="PPW2"/>
      <c r="PPX2"/>
      <c r="PPY2"/>
      <c r="PPZ2"/>
      <c r="PQA2"/>
      <c r="PQB2"/>
      <c r="PQC2"/>
      <c r="PQD2"/>
      <c r="PQE2"/>
      <c r="PQF2"/>
      <c r="PQG2"/>
      <c r="PQH2"/>
      <c r="PQI2"/>
      <c r="PQJ2"/>
      <c r="PQK2"/>
      <c r="PQL2"/>
      <c r="PQM2"/>
      <c r="PQN2"/>
      <c r="PQO2"/>
      <c r="PQP2"/>
      <c r="PQQ2"/>
      <c r="PQR2"/>
      <c r="PQS2"/>
      <c r="PQT2"/>
      <c r="PQU2"/>
      <c r="PQV2"/>
      <c r="PQW2"/>
      <c r="PQX2"/>
      <c r="PQY2"/>
      <c r="PQZ2"/>
      <c r="PRA2"/>
      <c r="PRB2"/>
      <c r="PRC2"/>
      <c r="PRD2"/>
      <c r="PRE2"/>
      <c r="PRF2"/>
      <c r="PRG2"/>
      <c r="PRH2"/>
      <c r="PRI2"/>
      <c r="PRJ2"/>
      <c r="PRK2"/>
      <c r="PRL2"/>
      <c r="PRM2"/>
      <c r="PRN2"/>
      <c r="PRO2"/>
      <c r="PRP2"/>
      <c r="PRQ2"/>
      <c r="PRR2"/>
      <c r="PRS2"/>
      <c r="PRT2"/>
      <c r="PRU2"/>
      <c r="PRV2"/>
      <c r="PRW2"/>
      <c r="PRX2"/>
      <c r="PRY2"/>
      <c r="PRZ2"/>
      <c r="PSA2"/>
      <c r="PSB2"/>
      <c r="PSC2"/>
      <c r="PSD2"/>
      <c r="PSE2"/>
      <c r="PSF2"/>
      <c r="PSG2"/>
      <c r="PSH2"/>
      <c r="PSI2"/>
      <c r="PSJ2"/>
      <c r="PSK2"/>
      <c r="PSL2"/>
      <c r="PSM2"/>
      <c r="PSN2"/>
      <c r="PSO2"/>
      <c r="PSP2"/>
      <c r="PSQ2"/>
      <c r="PSR2"/>
      <c r="PSS2"/>
      <c r="PST2"/>
      <c r="PSU2"/>
      <c r="PSV2"/>
      <c r="PSW2"/>
      <c r="PSX2"/>
      <c r="PSY2"/>
      <c r="PSZ2"/>
      <c r="PTA2"/>
      <c r="PTB2"/>
      <c r="PTC2"/>
      <c r="PTD2"/>
      <c r="PTE2"/>
      <c r="PTF2"/>
      <c r="PTG2"/>
      <c r="PTH2"/>
      <c r="PTI2"/>
      <c r="PTJ2"/>
      <c r="PTK2"/>
      <c r="PTL2"/>
      <c r="PTM2"/>
      <c r="PTN2"/>
      <c r="PTO2"/>
      <c r="PTP2"/>
      <c r="PTQ2"/>
      <c r="PTR2"/>
      <c r="PTS2"/>
      <c r="PTT2"/>
      <c r="PTU2"/>
      <c r="PTV2"/>
      <c r="PTW2"/>
      <c r="PTX2"/>
      <c r="PTY2"/>
      <c r="PTZ2"/>
      <c r="PUA2"/>
      <c r="PUB2"/>
      <c r="PUC2"/>
      <c r="PUD2"/>
      <c r="PUE2"/>
      <c r="PUF2"/>
      <c r="PUG2"/>
      <c r="PUH2"/>
      <c r="PUI2"/>
      <c r="PUJ2"/>
      <c r="PUK2"/>
      <c r="PUL2"/>
      <c r="PUM2"/>
      <c r="PUN2"/>
      <c r="PUO2"/>
      <c r="PUP2"/>
      <c r="PUQ2"/>
      <c r="PUR2"/>
      <c r="PUS2"/>
      <c r="PUT2"/>
      <c r="PUU2"/>
      <c r="PUV2"/>
      <c r="PUW2"/>
      <c r="PUX2"/>
      <c r="PUY2"/>
      <c r="PUZ2"/>
      <c r="PVA2"/>
      <c r="PVB2"/>
      <c r="PVC2"/>
      <c r="PVD2"/>
      <c r="PVE2"/>
      <c r="PVF2"/>
      <c r="PVG2"/>
      <c r="PVH2"/>
      <c r="PVI2"/>
      <c r="PVJ2"/>
      <c r="PVK2"/>
      <c r="PVL2"/>
      <c r="PVM2"/>
      <c r="PVN2"/>
      <c r="PVO2"/>
      <c r="PVP2"/>
      <c r="PVQ2"/>
      <c r="PVR2"/>
      <c r="PVS2"/>
      <c r="PVT2"/>
      <c r="PVU2"/>
      <c r="PVV2"/>
      <c r="PVW2"/>
      <c r="PVX2"/>
      <c r="PVY2"/>
      <c r="PVZ2"/>
      <c r="PWA2"/>
      <c r="PWB2"/>
      <c r="PWC2"/>
      <c r="PWD2"/>
      <c r="PWE2"/>
      <c r="PWF2"/>
      <c r="PWG2"/>
      <c r="PWH2"/>
      <c r="PWI2"/>
      <c r="PWJ2"/>
      <c r="PWK2"/>
      <c r="PWL2"/>
      <c r="PWM2"/>
      <c r="PWN2"/>
      <c r="PWO2"/>
      <c r="PWP2"/>
      <c r="PWQ2"/>
      <c r="PWR2"/>
      <c r="PWS2"/>
      <c r="PWT2"/>
      <c r="PWU2"/>
      <c r="PWV2"/>
      <c r="PWW2"/>
      <c r="PWX2"/>
      <c r="PWY2"/>
      <c r="PWZ2"/>
      <c r="PXA2"/>
      <c r="PXB2"/>
      <c r="PXC2"/>
      <c r="PXD2"/>
      <c r="PXE2"/>
      <c r="PXF2"/>
      <c r="PXG2"/>
      <c r="PXH2"/>
      <c r="PXI2"/>
      <c r="PXJ2"/>
      <c r="PXK2"/>
      <c r="PXL2"/>
      <c r="PXM2"/>
      <c r="PXN2"/>
      <c r="PXO2"/>
      <c r="PXP2"/>
      <c r="PXQ2"/>
      <c r="PXR2"/>
      <c r="PXS2"/>
      <c r="PXT2"/>
      <c r="PXU2"/>
      <c r="PXV2"/>
      <c r="PXW2"/>
      <c r="PXX2"/>
      <c r="PXY2"/>
      <c r="PXZ2"/>
      <c r="PYA2"/>
      <c r="PYB2"/>
      <c r="PYC2"/>
      <c r="PYD2"/>
      <c r="PYE2"/>
      <c r="PYF2"/>
      <c r="PYG2"/>
      <c r="PYH2"/>
      <c r="PYI2"/>
      <c r="PYJ2"/>
      <c r="PYK2"/>
      <c r="PYL2"/>
      <c r="PYM2"/>
      <c r="PYN2"/>
      <c r="PYO2"/>
      <c r="PYP2"/>
      <c r="PYQ2"/>
      <c r="PYR2"/>
      <c r="PYS2"/>
      <c r="PYT2"/>
      <c r="PYU2"/>
      <c r="PYV2"/>
      <c r="PYW2"/>
      <c r="PYX2"/>
      <c r="PYY2"/>
      <c r="PYZ2"/>
      <c r="PZA2"/>
      <c r="PZB2"/>
      <c r="PZC2"/>
      <c r="PZD2"/>
      <c r="PZE2"/>
      <c r="PZF2"/>
      <c r="PZG2"/>
      <c r="PZH2"/>
      <c r="PZI2"/>
      <c r="PZJ2"/>
      <c r="PZK2"/>
      <c r="PZL2"/>
      <c r="PZM2"/>
      <c r="PZN2"/>
      <c r="PZO2"/>
      <c r="PZP2"/>
      <c r="PZQ2"/>
      <c r="PZR2"/>
      <c r="PZS2"/>
      <c r="PZT2"/>
      <c r="PZU2"/>
      <c r="PZV2"/>
      <c r="PZW2"/>
      <c r="PZX2"/>
      <c r="PZY2"/>
      <c r="PZZ2"/>
      <c r="QAA2"/>
      <c r="QAB2"/>
      <c r="QAC2"/>
      <c r="QAD2"/>
      <c r="QAE2"/>
      <c r="QAF2"/>
      <c r="QAG2"/>
      <c r="QAH2"/>
      <c r="QAI2"/>
      <c r="QAJ2"/>
      <c r="QAK2"/>
      <c r="QAL2"/>
      <c r="QAM2"/>
      <c r="QAN2"/>
      <c r="QAO2"/>
      <c r="QAP2"/>
      <c r="QAQ2"/>
      <c r="QAR2"/>
      <c r="QAS2"/>
      <c r="QAT2"/>
      <c r="QAU2"/>
      <c r="QAV2"/>
      <c r="QAW2"/>
      <c r="QAX2"/>
      <c r="QAY2"/>
      <c r="QAZ2"/>
      <c r="QBA2"/>
      <c r="QBB2"/>
      <c r="QBC2"/>
      <c r="QBD2"/>
      <c r="QBE2"/>
      <c r="QBF2"/>
      <c r="QBG2"/>
      <c r="QBH2"/>
      <c r="QBI2"/>
      <c r="QBJ2"/>
      <c r="QBK2"/>
      <c r="QBL2"/>
      <c r="QBM2"/>
      <c r="QBN2"/>
      <c r="QBO2"/>
      <c r="QBP2"/>
      <c r="QBQ2"/>
      <c r="QBR2"/>
      <c r="QBS2"/>
      <c r="QBT2"/>
      <c r="QBU2"/>
      <c r="QBV2"/>
      <c r="QBW2"/>
      <c r="QBX2"/>
      <c r="QBY2"/>
      <c r="QBZ2"/>
      <c r="QCA2"/>
      <c r="QCB2"/>
      <c r="QCC2"/>
      <c r="QCD2"/>
      <c r="QCE2"/>
      <c r="QCF2"/>
      <c r="QCG2"/>
      <c r="QCH2"/>
      <c r="QCI2"/>
      <c r="QCJ2"/>
      <c r="QCK2"/>
      <c r="QCL2"/>
      <c r="QCM2"/>
      <c r="QCN2"/>
      <c r="QCO2"/>
      <c r="QCP2"/>
      <c r="QCQ2"/>
      <c r="QCR2"/>
      <c r="QCS2"/>
      <c r="QCT2"/>
      <c r="QCU2"/>
      <c r="QCV2"/>
      <c r="QCW2"/>
      <c r="QCX2"/>
      <c r="QCY2"/>
      <c r="QCZ2"/>
      <c r="QDA2"/>
      <c r="QDB2"/>
      <c r="QDC2"/>
      <c r="QDD2"/>
      <c r="QDE2"/>
      <c r="QDF2"/>
      <c r="QDG2"/>
      <c r="QDH2"/>
      <c r="QDI2"/>
      <c r="QDJ2"/>
      <c r="QDK2"/>
      <c r="QDL2"/>
      <c r="QDM2"/>
      <c r="QDN2"/>
      <c r="QDO2"/>
      <c r="QDP2"/>
      <c r="QDQ2"/>
      <c r="QDR2"/>
      <c r="QDS2"/>
      <c r="QDT2"/>
      <c r="QDU2"/>
      <c r="QDV2"/>
      <c r="QDW2"/>
      <c r="QDX2"/>
      <c r="QDY2"/>
      <c r="QDZ2"/>
      <c r="QEA2"/>
      <c r="QEB2"/>
      <c r="QEC2"/>
      <c r="QED2"/>
      <c r="QEE2"/>
      <c r="QEF2"/>
      <c r="QEG2"/>
      <c r="QEH2"/>
      <c r="QEI2"/>
      <c r="QEJ2"/>
      <c r="QEK2"/>
      <c r="QEL2"/>
      <c r="QEM2"/>
      <c r="QEN2"/>
      <c r="QEO2"/>
      <c r="QEP2"/>
      <c r="QEQ2"/>
      <c r="QER2"/>
      <c r="QES2"/>
      <c r="QET2"/>
      <c r="QEU2"/>
      <c r="QEV2"/>
      <c r="QEW2"/>
      <c r="QEX2"/>
      <c r="QEY2"/>
      <c r="QEZ2"/>
      <c r="QFA2"/>
      <c r="QFB2"/>
      <c r="QFC2"/>
      <c r="QFD2"/>
      <c r="QFE2"/>
      <c r="QFF2"/>
      <c r="QFG2"/>
      <c r="QFH2"/>
      <c r="QFI2"/>
      <c r="QFJ2"/>
      <c r="QFK2"/>
      <c r="QFL2"/>
      <c r="QFM2"/>
      <c r="QFN2"/>
      <c r="QFO2"/>
      <c r="QFP2"/>
      <c r="QFQ2"/>
      <c r="QFR2"/>
      <c r="QFS2"/>
      <c r="QFT2"/>
      <c r="QFU2"/>
      <c r="QFV2"/>
      <c r="QFW2"/>
      <c r="QFX2"/>
      <c r="QFY2"/>
      <c r="QFZ2"/>
      <c r="QGA2"/>
      <c r="QGB2"/>
      <c r="QGC2"/>
      <c r="QGD2"/>
      <c r="QGE2"/>
      <c r="QGF2"/>
      <c r="QGG2"/>
      <c r="QGH2"/>
      <c r="QGI2"/>
      <c r="QGJ2"/>
      <c r="QGK2"/>
      <c r="QGL2"/>
      <c r="QGM2"/>
      <c r="QGN2"/>
      <c r="QGO2"/>
      <c r="QGP2"/>
      <c r="QGQ2"/>
      <c r="QGR2"/>
      <c r="QGS2"/>
      <c r="QGT2"/>
      <c r="QGU2"/>
      <c r="QGV2"/>
      <c r="QGW2"/>
      <c r="QGX2"/>
      <c r="QGY2"/>
      <c r="QGZ2"/>
      <c r="QHA2"/>
      <c r="QHB2"/>
      <c r="QHC2"/>
      <c r="QHD2"/>
      <c r="QHE2"/>
      <c r="QHF2"/>
      <c r="QHG2"/>
      <c r="QHH2"/>
      <c r="QHI2"/>
      <c r="QHJ2"/>
      <c r="QHK2"/>
      <c r="QHL2"/>
      <c r="QHM2"/>
      <c r="QHN2"/>
      <c r="QHO2"/>
      <c r="QHP2"/>
      <c r="QHQ2"/>
      <c r="QHR2"/>
      <c r="QHS2"/>
      <c r="QHT2"/>
      <c r="QHU2"/>
      <c r="QHV2"/>
      <c r="QHW2"/>
      <c r="QHX2"/>
      <c r="QHY2"/>
      <c r="QHZ2"/>
      <c r="QIA2"/>
      <c r="QIB2"/>
      <c r="QIC2"/>
      <c r="QID2"/>
      <c r="QIE2"/>
      <c r="QIF2"/>
      <c r="QIG2"/>
      <c r="QIH2"/>
      <c r="QII2"/>
      <c r="QIJ2"/>
      <c r="QIK2"/>
      <c r="QIL2"/>
      <c r="QIM2"/>
      <c r="QIN2"/>
      <c r="QIO2"/>
      <c r="QIP2"/>
      <c r="QIQ2"/>
      <c r="QIR2"/>
      <c r="QIS2"/>
      <c r="QIT2"/>
      <c r="QIU2"/>
      <c r="QIV2"/>
      <c r="QIW2"/>
      <c r="QIX2"/>
      <c r="QIY2"/>
      <c r="QIZ2"/>
      <c r="QJA2"/>
      <c r="QJB2"/>
      <c r="QJC2"/>
      <c r="QJD2"/>
      <c r="QJE2"/>
      <c r="QJF2"/>
      <c r="QJG2"/>
      <c r="QJH2"/>
      <c r="QJI2"/>
      <c r="QJJ2"/>
      <c r="QJK2"/>
      <c r="QJL2"/>
      <c r="QJM2"/>
      <c r="QJN2"/>
      <c r="QJO2"/>
      <c r="QJP2"/>
      <c r="QJQ2"/>
      <c r="QJR2"/>
      <c r="QJS2"/>
      <c r="QJT2"/>
      <c r="QJU2"/>
      <c r="QJV2"/>
      <c r="QJW2"/>
      <c r="QJX2"/>
      <c r="QJY2"/>
      <c r="QJZ2"/>
      <c r="QKA2"/>
      <c r="QKB2"/>
      <c r="QKC2"/>
      <c r="QKD2"/>
      <c r="QKE2"/>
      <c r="QKF2"/>
      <c r="QKG2"/>
      <c r="QKH2"/>
      <c r="QKI2"/>
      <c r="QKJ2"/>
      <c r="QKK2"/>
      <c r="QKL2"/>
      <c r="QKM2"/>
      <c r="QKN2"/>
      <c r="QKO2"/>
      <c r="QKP2"/>
      <c r="QKQ2"/>
      <c r="QKR2"/>
      <c r="QKS2"/>
      <c r="QKT2"/>
      <c r="QKU2"/>
      <c r="QKV2"/>
      <c r="QKW2"/>
      <c r="QKX2"/>
      <c r="QKY2"/>
      <c r="QKZ2"/>
      <c r="QLA2"/>
      <c r="QLB2"/>
      <c r="QLC2"/>
      <c r="QLD2"/>
      <c r="QLE2"/>
      <c r="QLF2"/>
      <c r="QLG2"/>
      <c r="QLH2"/>
      <c r="QLI2"/>
      <c r="QLJ2"/>
      <c r="QLK2"/>
      <c r="QLL2"/>
      <c r="QLM2"/>
      <c r="QLN2"/>
      <c r="QLO2"/>
      <c r="QLP2"/>
      <c r="QLQ2"/>
      <c r="QLR2"/>
      <c r="QLS2"/>
      <c r="QLT2"/>
      <c r="QLU2"/>
      <c r="QLV2"/>
      <c r="QLW2"/>
      <c r="QLX2"/>
      <c r="QLY2"/>
      <c r="QLZ2"/>
      <c r="QMA2"/>
      <c r="QMB2"/>
      <c r="QMC2"/>
      <c r="QMD2"/>
      <c r="QME2"/>
      <c r="QMF2"/>
      <c r="QMG2"/>
      <c r="QMH2"/>
      <c r="QMI2"/>
      <c r="QMJ2"/>
      <c r="QMK2"/>
      <c r="QML2"/>
      <c r="QMM2"/>
      <c r="QMN2"/>
      <c r="QMO2"/>
      <c r="QMP2"/>
      <c r="QMQ2"/>
      <c r="QMR2"/>
      <c r="QMS2"/>
      <c r="QMT2"/>
      <c r="QMU2"/>
      <c r="QMV2"/>
      <c r="QMW2"/>
      <c r="QMX2"/>
      <c r="QMY2"/>
      <c r="QMZ2"/>
      <c r="QNA2"/>
      <c r="QNB2"/>
      <c r="QNC2"/>
      <c r="QND2"/>
      <c r="QNE2"/>
      <c r="QNF2"/>
      <c r="QNG2"/>
      <c r="QNH2"/>
      <c r="QNI2"/>
      <c r="QNJ2"/>
      <c r="QNK2"/>
      <c r="QNL2"/>
      <c r="QNM2"/>
      <c r="QNN2"/>
      <c r="QNO2"/>
      <c r="QNP2"/>
      <c r="QNQ2"/>
      <c r="QNR2"/>
      <c r="QNS2"/>
      <c r="QNT2"/>
      <c r="QNU2"/>
      <c r="QNV2"/>
      <c r="QNW2"/>
      <c r="QNX2"/>
      <c r="QNY2"/>
      <c r="QNZ2"/>
      <c r="QOA2"/>
      <c r="QOB2"/>
      <c r="QOC2"/>
      <c r="QOD2"/>
      <c r="QOE2"/>
      <c r="QOF2"/>
      <c r="QOG2"/>
      <c r="QOH2"/>
      <c r="QOI2"/>
      <c r="QOJ2"/>
      <c r="QOK2"/>
      <c r="QOL2"/>
      <c r="QOM2"/>
      <c r="QON2"/>
      <c r="QOO2"/>
      <c r="QOP2"/>
      <c r="QOQ2"/>
      <c r="QOR2"/>
      <c r="QOS2"/>
      <c r="QOT2"/>
      <c r="QOU2"/>
      <c r="QOV2"/>
      <c r="QOW2"/>
      <c r="QOX2"/>
      <c r="QOY2"/>
      <c r="QOZ2"/>
      <c r="QPA2"/>
      <c r="QPB2"/>
      <c r="QPC2"/>
      <c r="QPD2"/>
      <c r="QPE2"/>
      <c r="QPF2"/>
      <c r="QPG2"/>
      <c r="QPH2"/>
      <c r="QPI2"/>
      <c r="QPJ2"/>
      <c r="QPK2"/>
      <c r="QPL2"/>
      <c r="QPM2"/>
      <c r="QPN2"/>
      <c r="QPO2"/>
      <c r="QPP2"/>
      <c r="QPQ2"/>
      <c r="QPR2"/>
      <c r="QPS2"/>
      <c r="QPT2"/>
      <c r="QPU2"/>
      <c r="QPV2"/>
      <c r="QPW2"/>
      <c r="QPX2"/>
      <c r="QPY2"/>
      <c r="QPZ2"/>
      <c r="QQA2"/>
      <c r="QQB2"/>
      <c r="QQC2"/>
      <c r="QQD2"/>
      <c r="QQE2"/>
      <c r="QQF2"/>
      <c r="QQG2"/>
      <c r="QQH2"/>
      <c r="QQI2"/>
      <c r="QQJ2"/>
      <c r="QQK2"/>
      <c r="QQL2"/>
      <c r="QQM2"/>
      <c r="QQN2"/>
      <c r="QQO2"/>
      <c r="QQP2"/>
      <c r="QQQ2"/>
      <c r="QQR2"/>
      <c r="QQS2"/>
      <c r="QQT2"/>
      <c r="QQU2"/>
      <c r="QQV2"/>
      <c r="QQW2"/>
      <c r="QQX2"/>
      <c r="QQY2"/>
      <c r="QQZ2"/>
      <c r="QRA2"/>
      <c r="QRB2"/>
      <c r="QRC2"/>
      <c r="QRD2"/>
      <c r="QRE2"/>
      <c r="QRF2"/>
      <c r="QRG2"/>
      <c r="QRH2"/>
      <c r="QRI2"/>
      <c r="QRJ2"/>
      <c r="QRK2"/>
      <c r="QRL2"/>
      <c r="QRM2"/>
      <c r="QRN2"/>
      <c r="QRO2"/>
      <c r="QRP2"/>
      <c r="QRQ2"/>
      <c r="QRR2"/>
      <c r="QRS2"/>
      <c r="QRT2"/>
      <c r="QRU2"/>
      <c r="QRV2"/>
      <c r="QRW2"/>
      <c r="QRX2"/>
      <c r="QRY2"/>
      <c r="QRZ2"/>
      <c r="QSA2"/>
      <c r="QSB2"/>
      <c r="QSC2"/>
      <c r="QSD2"/>
      <c r="QSE2"/>
      <c r="QSF2"/>
      <c r="QSG2"/>
      <c r="QSH2"/>
      <c r="QSI2"/>
      <c r="QSJ2"/>
      <c r="QSK2"/>
      <c r="QSL2"/>
      <c r="QSM2"/>
      <c r="QSN2"/>
      <c r="QSO2"/>
      <c r="QSP2"/>
      <c r="QSQ2"/>
      <c r="QSR2"/>
      <c r="QSS2"/>
      <c r="QST2"/>
      <c r="QSU2"/>
      <c r="QSV2"/>
      <c r="QSW2"/>
      <c r="QSX2"/>
      <c r="QSY2"/>
      <c r="QSZ2"/>
      <c r="QTA2"/>
      <c r="QTB2"/>
      <c r="QTC2"/>
      <c r="QTD2"/>
      <c r="QTE2"/>
      <c r="QTF2"/>
      <c r="QTG2"/>
      <c r="QTH2"/>
      <c r="QTI2"/>
      <c r="QTJ2"/>
      <c r="QTK2"/>
      <c r="QTL2"/>
      <c r="QTM2"/>
      <c r="QTN2"/>
      <c r="QTO2"/>
      <c r="QTP2"/>
      <c r="QTQ2"/>
      <c r="QTR2"/>
      <c r="QTS2"/>
      <c r="QTT2"/>
      <c r="QTU2"/>
      <c r="QTV2"/>
      <c r="QTW2"/>
      <c r="QTX2"/>
      <c r="QTY2"/>
      <c r="QTZ2"/>
      <c r="QUA2"/>
      <c r="QUB2"/>
      <c r="QUC2"/>
      <c r="QUD2"/>
      <c r="QUE2"/>
      <c r="QUF2"/>
      <c r="QUG2"/>
      <c r="QUH2"/>
      <c r="QUI2"/>
      <c r="QUJ2"/>
      <c r="QUK2"/>
      <c r="QUL2"/>
      <c r="QUM2"/>
      <c r="QUN2"/>
      <c r="QUO2"/>
      <c r="QUP2"/>
      <c r="QUQ2"/>
      <c r="QUR2"/>
      <c r="QUS2"/>
      <c r="QUT2"/>
      <c r="QUU2"/>
      <c r="QUV2"/>
      <c r="QUW2"/>
      <c r="QUX2"/>
      <c r="QUY2"/>
      <c r="QUZ2"/>
      <c r="QVA2"/>
      <c r="QVB2"/>
      <c r="QVC2"/>
      <c r="QVD2"/>
      <c r="QVE2"/>
      <c r="QVF2"/>
      <c r="QVG2"/>
      <c r="QVH2"/>
      <c r="QVI2"/>
      <c r="QVJ2"/>
      <c r="QVK2"/>
      <c r="QVL2"/>
      <c r="QVM2"/>
      <c r="QVN2"/>
      <c r="QVO2"/>
      <c r="QVP2"/>
      <c r="QVQ2"/>
      <c r="QVR2"/>
      <c r="QVS2"/>
      <c r="QVT2"/>
      <c r="QVU2"/>
      <c r="QVV2"/>
      <c r="QVW2"/>
      <c r="QVX2"/>
      <c r="QVY2"/>
      <c r="QVZ2"/>
      <c r="QWA2"/>
      <c r="QWB2"/>
      <c r="QWC2"/>
      <c r="QWD2"/>
      <c r="QWE2"/>
      <c r="QWF2"/>
      <c r="QWG2"/>
      <c r="QWH2"/>
      <c r="QWI2"/>
      <c r="QWJ2"/>
      <c r="QWK2"/>
      <c r="QWL2"/>
      <c r="QWM2"/>
      <c r="QWN2"/>
      <c r="QWO2"/>
      <c r="QWP2"/>
      <c r="QWQ2"/>
      <c r="QWR2"/>
      <c r="QWS2"/>
      <c r="QWT2"/>
      <c r="QWU2"/>
      <c r="QWV2"/>
      <c r="QWW2"/>
      <c r="QWX2"/>
      <c r="QWY2"/>
      <c r="QWZ2"/>
      <c r="QXA2"/>
      <c r="QXB2"/>
      <c r="QXC2"/>
      <c r="QXD2"/>
      <c r="QXE2"/>
      <c r="QXF2"/>
      <c r="QXG2"/>
      <c r="QXH2"/>
      <c r="QXI2"/>
      <c r="QXJ2"/>
      <c r="QXK2"/>
      <c r="QXL2"/>
      <c r="QXM2"/>
      <c r="QXN2"/>
      <c r="QXO2"/>
      <c r="QXP2"/>
      <c r="QXQ2"/>
      <c r="QXR2"/>
      <c r="QXS2"/>
      <c r="QXT2"/>
      <c r="QXU2"/>
      <c r="QXV2"/>
      <c r="QXW2"/>
      <c r="QXX2"/>
      <c r="QXY2"/>
      <c r="QXZ2"/>
      <c r="QYA2"/>
      <c r="QYB2"/>
      <c r="QYC2"/>
      <c r="QYD2"/>
      <c r="QYE2"/>
      <c r="QYF2"/>
      <c r="QYG2"/>
      <c r="QYH2"/>
      <c r="QYI2"/>
      <c r="QYJ2"/>
      <c r="QYK2"/>
      <c r="QYL2"/>
      <c r="QYM2"/>
      <c r="QYN2"/>
      <c r="QYO2"/>
      <c r="QYP2"/>
      <c r="QYQ2"/>
      <c r="QYR2"/>
      <c r="QYS2"/>
      <c r="QYT2"/>
      <c r="QYU2"/>
      <c r="QYV2"/>
      <c r="QYW2"/>
      <c r="QYX2"/>
      <c r="QYY2"/>
      <c r="QYZ2"/>
      <c r="QZA2"/>
      <c r="QZB2"/>
      <c r="QZC2"/>
      <c r="QZD2"/>
      <c r="QZE2"/>
      <c r="QZF2"/>
      <c r="QZG2"/>
      <c r="QZH2"/>
      <c r="QZI2"/>
      <c r="QZJ2"/>
      <c r="QZK2"/>
      <c r="QZL2"/>
      <c r="QZM2"/>
      <c r="QZN2"/>
      <c r="QZO2"/>
      <c r="QZP2"/>
      <c r="QZQ2"/>
      <c r="QZR2"/>
      <c r="QZS2"/>
      <c r="QZT2"/>
      <c r="QZU2"/>
      <c r="QZV2"/>
      <c r="QZW2"/>
      <c r="QZX2"/>
      <c r="QZY2"/>
      <c r="QZZ2"/>
      <c r="RAA2"/>
      <c r="RAB2"/>
      <c r="RAC2"/>
      <c r="RAD2"/>
      <c r="RAE2"/>
      <c r="RAF2"/>
      <c r="RAG2"/>
      <c r="RAH2"/>
      <c r="RAI2"/>
      <c r="RAJ2"/>
      <c r="RAK2"/>
      <c r="RAL2"/>
      <c r="RAM2"/>
      <c r="RAN2"/>
      <c r="RAO2"/>
      <c r="RAP2"/>
      <c r="RAQ2"/>
      <c r="RAR2"/>
      <c r="RAS2"/>
      <c r="RAT2"/>
      <c r="RAU2"/>
      <c r="RAV2"/>
      <c r="RAW2"/>
      <c r="RAX2"/>
      <c r="RAY2"/>
      <c r="RAZ2"/>
      <c r="RBA2"/>
      <c r="RBB2"/>
      <c r="RBC2"/>
      <c r="RBD2"/>
      <c r="RBE2"/>
      <c r="RBF2"/>
      <c r="RBG2"/>
      <c r="RBH2"/>
      <c r="RBI2"/>
      <c r="RBJ2"/>
      <c r="RBK2"/>
      <c r="RBL2"/>
      <c r="RBM2"/>
      <c r="RBN2"/>
      <c r="RBO2"/>
      <c r="RBP2"/>
      <c r="RBQ2"/>
      <c r="RBR2"/>
      <c r="RBS2"/>
      <c r="RBT2"/>
      <c r="RBU2"/>
      <c r="RBV2"/>
      <c r="RBW2"/>
      <c r="RBX2"/>
      <c r="RBY2"/>
      <c r="RBZ2"/>
      <c r="RCA2"/>
      <c r="RCB2"/>
      <c r="RCC2"/>
      <c r="RCD2"/>
      <c r="RCE2"/>
      <c r="RCF2"/>
      <c r="RCG2"/>
      <c r="RCH2"/>
      <c r="RCI2"/>
      <c r="RCJ2"/>
      <c r="RCK2"/>
      <c r="RCL2"/>
      <c r="RCM2"/>
      <c r="RCN2"/>
      <c r="RCO2"/>
      <c r="RCP2"/>
      <c r="RCQ2"/>
      <c r="RCR2"/>
      <c r="RCS2"/>
      <c r="RCT2"/>
      <c r="RCU2"/>
      <c r="RCV2"/>
      <c r="RCW2"/>
      <c r="RCX2"/>
      <c r="RCY2"/>
      <c r="RCZ2"/>
      <c r="RDA2"/>
      <c r="RDB2"/>
      <c r="RDC2"/>
      <c r="RDD2"/>
      <c r="RDE2"/>
      <c r="RDF2"/>
      <c r="RDG2"/>
      <c r="RDH2"/>
      <c r="RDI2"/>
      <c r="RDJ2"/>
      <c r="RDK2"/>
      <c r="RDL2"/>
      <c r="RDM2"/>
      <c r="RDN2"/>
      <c r="RDO2"/>
      <c r="RDP2"/>
      <c r="RDQ2"/>
      <c r="RDR2"/>
      <c r="RDS2"/>
      <c r="RDT2"/>
      <c r="RDU2"/>
      <c r="RDV2"/>
      <c r="RDW2"/>
      <c r="RDX2"/>
      <c r="RDY2"/>
      <c r="RDZ2"/>
      <c r="REA2"/>
      <c r="REB2"/>
      <c r="REC2"/>
      <c r="RED2"/>
      <c r="REE2"/>
      <c r="REF2"/>
      <c r="REG2"/>
      <c r="REH2"/>
      <c r="REI2"/>
      <c r="REJ2"/>
      <c r="REK2"/>
      <c r="REL2"/>
      <c r="REM2"/>
      <c r="REN2"/>
      <c r="REO2"/>
      <c r="REP2"/>
      <c r="REQ2"/>
      <c r="RER2"/>
      <c r="RES2"/>
      <c r="RET2"/>
      <c r="REU2"/>
      <c r="REV2"/>
      <c r="REW2"/>
      <c r="REX2"/>
      <c r="REY2"/>
      <c r="REZ2"/>
      <c r="RFA2"/>
      <c r="RFB2"/>
      <c r="RFC2"/>
      <c r="RFD2"/>
      <c r="RFE2"/>
      <c r="RFF2"/>
      <c r="RFG2"/>
      <c r="RFH2"/>
      <c r="RFI2"/>
      <c r="RFJ2"/>
      <c r="RFK2"/>
      <c r="RFL2"/>
      <c r="RFM2"/>
      <c r="RFN2"/>
      <c r="RFO2"/>
      <c r="RFP2"/>
      <c r="RFQ2"/>
      <c r="RFR2"/>
      <c r="RFS2"/>
      <c r="RFT2"/>
      <c r="RFU2"/>
      <c r="RFV2"/>
      <c r="RFW2"/>
      <c r="RFX2"/>
      <c r="RFY2"/>
      <c r="RFZ2"/>
      <c r="RGA2"/>
      <c r="RGB2"/>
      <c r="RGC2"/>
      <c r="RGD2"/>
      <c r="RGE2"/>
      <c r="RGF2"/>
      <c r="RGG2"/>
      <c r="RGH2"/>
      <c r="RGI2"/>
      <c r="RGJ2"/>
      <c r="RGK2"/>
      <c r="RGL2"/>
      <c r="RGM2"/>
      <c r="RGN2"/>
      <c r="RGO2"/>
      <c r="RGP2"/>
      <c r="RGQ2"/>
      <c r="RGR2"/>
      <c r="RGS2"/>
      <c r="RGT2"/>
      <c r="RGU2"/>
      <c r="RGV2"/>
      <c r="RGW2"/>
      <c r="RGX2"/>
      <c r="RGY2"/>
      <c r="RGZ2"/>
      <c r="RHA2"/>
      <c r="RHB2"/>
      <c r="RHC2"/>
      <c r="RHD2"/>
      <c r="RHE2"/>
      <c r="RHF2"/>
      <c r="RHG2"/>
      <c r="RHH2"/>
      <c r="RHI2"/>
      <c r="RHJ2"/>
      <c r="RHK2"/>
      <c r="RHL2"/>
      <c r="RHM2"/>
      <c r="RHN2"/>
      <c r="RHO2"/>
      <c r="RHP2"/>
      <c r="RHQ2"/>
      <c r="RHR2"/>
      <c r="RHS2"/>
      <c r="RHT2"/>
      <c r="RHU2"/>
      <c r="RHV2"/>
      <c r="RHW2"/>
      <c r="RHX2"/>
      <c r="RHY2"/>
      <c r="RHZ2"/>
      <c r="RIA2"/>
      <c r="RIB2"/>
      <c r="RIC2"/>
      <c r="RID2"/>
      <c r="RIE2"/>
      <c r="RIF2"/>
      <c r="RIG2"/>
      <c r="RIH2"/>
      <c r="RII2"/>
      <c r="RIJ2"/>
      <c r="RIK2"/>
      <c r="RIL2"/>
      <c r="RIM2"/>
      <c r="RIN2"/>
      <c r="RIO2"/>
      <c r="RIP2"/>
      <c r="RIQ2"/>
      <c r="RIR2"/>
      <c r="RIS2"/>
      <c r="RIT2"/>
      <c r="RIU2"/>
      <c r="RIV2"/>
      <c r="RIW2"/>
      <c r="RIX2"/>
      <c r="RIY2"/>
      <c r="RIZ2"/>
      <c r="RJA2"/>
      <c r="RJB2"/>
      <c r="RJC2"/>
      <c r="RJD2"/>
      <c r="RJE2"/>
      <c r="RJF2"/>
      <c r="RJG2"/>
      <c r="RJH2"/>
      <c r="RJI2"/>
      <c r="RJJ2"/>
      <c r="RJK2"/>
      <c r="RJL2"/>
      <c r="RJM2"/>
      <c r="RJN2"/>
      <c r="RJO2"/>
      <c r="RJP2"/>
      <c r="RJQ2"/>
      <c r="RJR2"/>
      <c r="RJS2"/>
      <c r="RJT2"/>
      <c r="RJU2"/>
      <c r="RJV2"/>
      <c r="RJW2"/>
      <c r="RJX2"/>
      <c r="RJY2"/>
      <c r="RJZ2"/>
      <c r="RKA2"/>
      <c r="RKB2"/>
      <c r="RKC2"/>
      <c r="RKD2"/>
      <c r="RKE2"/>
      <c r="RKF2"/>
      <c r="RKG2"/>
      <c r="RKH2"/>
      <c r="RKI2"/>
      <c r="RKJ2"/>
      <c r="RKK2"/>
      <c r="RKL2"/>
      <c r="RKM2"/>
      <c r="RKN2"/>
      <c r="RKO2"/>
      <c r="RKP2"/>
      <c r="RKQ2"/>
      <c r="RKR2"/>
      <c r="RKS2"/>
      <c r="RKT2"/>
      <c r="RKU2"/>
      <c r="RKV2"/>
      <c r="RKW2"/>
      <c r="RKX2"/>
      <c r="RKY2"/>
      <c r="RKZ2"/>
      <c r="RLA2"/>
      <c r="RLB2"/>
      <c r="RLC2"/>
      <c r="RLD2"/>
      <c r="RLE2"/>
      <c r="RLF2"/>
      <c r="RLG2"/>
      <c r="RLH2"/>
      <c r="RLI2"/>
      <c r="RLJ2"/>
      <c r="RLK2"/>
      <c r="RLL2"/>
      <c r="RLM2"/>
      <c r="RLN2"/>
      <c r="RLO2"/>
      <c r="RLP2"/>
      <c r="RLQ2"/>
      <c r="RLR2"/>
      <c r="RLS2"/>
      <c r="RLT2"/>
      <c r="RLU2"/>
      <c r="RLV2"/>
      <c r="RLW2"/>
      <c r="RLX2"/>
      <c r="RLY2"/>
      <c r="RLZ2"/>
      <c r="RMA2"/>
      <c r="RMB2"/>
      <c r="RMC2"/>
      <c r="RMD2"/>
      <c r="RME2"/>
      <c r="RMF2"/>
      <c r="RMG2"/>
      <c r="RMH2"/>
      <c r="RMI2"/>
      <c r="RMJ2"/>
      <c r="RMK2"/>
      <c r="RML2"/>
      <c r="RMM2"/>
      <c r="RMN2"/>
      <c r="RMO2"/>
      <c r="RMP2"/>
      <c r="RMQ2"/>
      <c r="RMR2"/>
      <c r="RMS2"/>
      <c r="RMT2"/>
      <c r="RMU2"/>
      <c r="RMV2"/>
      <c r="RMW2"/>
      <c r="RMX2"/>
      <c r="RMY2"/>
      <c r="RMZ2"/>
      <c r="RNA2"/>
      <c r="RNB2"/>
      <c r="RNC2"/>
      <c r="RND2"/>
      <c r="RNE2"/>
      <c r="RNF2"/>
      <c r="RNG2"/>
      <c r="RNH2"/>
      <c r="RNI2"/>
      <c r="RNJ2"/>
      <c r="RNK2"/>
      <c r="RNL2"/>
      <c r="RNM2"/>
      <c r="RNN2"/>
      <c r="RNO2"/>
      <c r="RNP2"/>
      <c r="RNQ2"/>
      <c r="RNR2"/>
      <c r="RNS2"/>
      <c r="RNT2"/>
      <c r="RNU2"/>
      <c r="RNV2"/>
      <c r="RNW2"/>
      <c r="RNX2"/>
      <c r="RNY2"/>
      <c r="RNZ2"/>
      <c r="ROA2"/>
      <c r="ROB2"/>
      <c r="ROC2"/>
      <c r="ROD2"/>
      <c r="ROE2"/>
      <c r="ROF2"/>
      <c r="ROG2"/>
      <c r="ROH2"/>
      <c r="ROI2"/>
      <c r="ROJ2"/>
      <c r="ROK2"/>
      <c r="ROL2"/>
      <c r="ROM2"/>
      <c r="RON2"/>
      <c r="ROO2"/>
      <c r="ROP2"/>
      <c r="ROQ2"/>
      <c r="ROR2"/>
      <c r="ROS2"/>
      <c r="ROT2"/>
      <c r="ROU2"/>
      <c r="ROV2"/>
      <c r="ROW2"/>
      <c r="ROX2"/>
      <c r="ROY2"/>
      <c r="ROZ2"/>
      <c r="RPA2"/>
      <c r="RPB2"/>
      <c r="RPC2"/>
      <c r="RPD2"/>
      <c r="RPE2"/>
      <c r="RPF2"/>
      <c r="RPG2"/>
      <c r="RPH2"/>
      <c r="RPI2"/>
      <c r="RPJ2"/>
      <c r="RPK2"/>
      <c r="RPL2"/>
      <c r="RPM2"/>
      <c r="RPN2"/>
      <c r="RPO2"/>
      <c r="RPP2"/>
      <c r="RPQ2"/>
      <c r="RPR2"/>
      <c r="RPS2"/>
      <c r="RPT2"/>
      <c r="RPU2"/>
      <c r="RPV2"/>
      <c r="RPW2"/>
      <c r="RPX2"/>
      <c r="RPY2"/>
      <c r="RPZ2"/>
      <c r="RQA2"/>
      <c r="RQB2"/>
      <c r="RQC2"/>
      <c r="RQD2"/>
      <c r="RQE2"/>
      <c r="RQF2"/>
      <c r="RQG2"/>
      <c r="RQH2"/>
      <c r="RQI2"/>
      <c r="RQJ2"/>
      <c r="RQK2"/>
      <c r="RQL2"/>
      <c r="RQM2"/>
      <c r="RQN2"/>
      <c r="RQO2"/>
      <c r="RQP2"/>
      <c r="RQQ2"/>
      <c r="RQR2"/>
      <c r="RQS2"/>
      <c r="RQT2"/>
      <c r="RQU2"/>
      <c r="RQV2"/>
      <c r="RQW2"/>
      <c r="RQX2"/>
      <c r="RQY2"/>
      <c r="RQZ2"/>
      <c r="RRA2"/>
      <c r="RRB2"/>
      <c r="RRC2"/>
      <c r="RRD2"/>
      <c r="RRE2"/>
      <c r="RRF2"/>
      <c r="RRG2"/>
      <c r="RRH2"/>
      <c r="RRI2"/>
      <c r="RRJ2"/>
      <c r="RRK2"/>
      <c r="RRL2"/>
      <c r="RRM2"/>
      <c r="RRN2"/>
      <c r="RRO2"/>
      <c r="RRP2"/>
      <c r="RRQ2"/>
      <c r="RRR2"/>
      <c r="RRS2"/>
      <c r="RRT2"/>
      <c r="RRU2"/>
      <c r="RRV2"/>
      <c r="RRW2"/>
      <c r="RRX2"/>
      <c r="RRY2"/>
      <c r="RRZ2"/>
      <c r="RSA2"/>
      <c r="RSB2"/>
      <c r="RSC2"/>
      <c r="RSD2"/>
      <c r="RSE2"/>
      <c r="RSF2"/>
      <c r="RSG2"/>
      <c r="RSH2"/>
      <c r="RSI2"/>
      <c r="RSJ2"/>
      <c r="RSK2"/>
      <c r="RSL2"/>
      <c r="RSM2"/>
      <c r="RSN2"/>
      <c r="RSO2"/>
      <c r="RSP2"/>
      <c r="RSQ2"/>
      <c r="RSR2"/>
      <c r="RSS2"/>
      <c r="RST2"/>
      <c r="RSU2"/>
      <c r="RSV2"/>
      <c r="RSW2"/>
      <c r="RSX2"/>
      <c r="RSY2"/>
      <c r="RSZ2"/>
      <c r="RTA2"/>
      <c r="RTB2"/>
      <c r="RTC2"/>
      <c r="RTD2"/>
      <c r="RTE2"/>
      <c r="RTF2"/>
      <c r="RTG2"/>
      <c r="RTH2"/>
      <c r="RTI2"/>
      <c r="RTJ2"/>
      <c r="RTK2"/>
      <c r="RTL2"/>
      <c r="RTM2"/>
      <c r="RTN2"/>
      <c r="RTO2"/>
      <c r="RTP2"/>
      <c r="RTQ2"/>
      <c r="RTR2"/>
      <c r="RTS2"/>
      <c r="RTT2"/>
      <c r="RTU2"/>
      <c r="RTV2"/>
      <c r="RTW2"/>
      <c r="RTX2"/>
      <c r="RTY2"/>
      <c r="RTZ2"/>
      <c r="RUA2"/>
      <c r="RUB2"/>
      <c r="RUC2"/>
      <c r="RUD2"/>
      <c r="RUE2"/>
      <c r="RUF2"/>
      <c r="RUG2"/>
      <c r="RUH2"/>
      <c r="RUI2"/>
      <c r="RUJ2"/>
      <c r="RUK2"/>
      <c r="RUL2"/>
      <c r="RUM2"/>
      <c r="RUN2"/>
      <c r="RUO2"/>
      <c r="RUP2"/>
      <c r="RUQ2"/>
      <c r="RUR2"/>
      <c r="RUS2"/>
      <c r="RUT2"/>
      <c r="RUU2"/>
      <c r="RUV2"/>
      <c r="RUW2"/>
      <c r="RUX2"/>
      <c r="RUY2"/>
      <c r="RUZ2"/>
      <c r="RVA2"/>
      <c r="RVB2"/>
      <c r="RVC2"/>
      <c r="RVD2"/>
      <c r="RVE2"/>
      <c r="RVF2"/>
      <c r="RVG2"/>
      <c r="RVH2"/>
      <c r="RVI2"/>
      <c r="RVJ2"/>
      <c r="RVK2"/>
      <c r="RVL2"/>
      <c r="RVM2"/>
      <c r="RVN2"/>
      <c r="RVO2"/>
      <c r="RVP2"/>
      <c r="RVQ2"/>
      <c r="RVR2"/>
      <c r="RVS2"/>
      <c r="RVT2"/>
      <c r="RVU2"/>
      <c r="RVV2"/>
      <c r="RVW2"/>
      <c r="RVX2"/>
      <c r="RVY2"/>
      <c r="RVZ2"/>
      <c r="RWA2"/>
      <c r="RWB2"/>
      <c r="RWC2"/>
      <c r="RWD2"/>
      <c r="RWE2"/>
      <c r="RWF2"/>
      <c r="RWG2"/>
      <c r="RWH2"/>
      <c r="RWI2"/>
      <c r="RWJ2"/>
      <c r="RWK2"/>
      <c r="RWL2"/>
      <c r="RWM2"/>
      <c r="RWN2"/>
      <c r="RWO2"/>
      <c r="RWP2"/>
      <c r="RWQ2"/>
      <c r="RWR2"/>
      <c r="RWS2"/>
      <c r="RWT2"/>
      <c r="RWU2"/>
      <c r="RWV2"/>
      <c r="RWW2"/>
      <c r="RWX2"/>
      <c r="RWY2"/>
      <c r="RWZ2"/>
      <c r="RXA2"/>
      <c r="RXB2"/>
      <c r="RXC2"/>
      <c r="RXD2"/>
      <c r="RXE2"/>
      <c r="RXF2"/>
      <c r="RXG2"/>
      <c r="RXH2"/>
      <c r="RXI2"/>
      <c r="RXJ2"/>
      <c r="RXK2"/>
      <c r="RXL2"/>
      <c r="RXM2"/>
      <c r="RXN2"/>
      <c r="RXO2"/>
      <c r="RXP2"/>
      <c r="RXQ2"/>
      <c r="RXR2"/>
      <c r="RXS2"/>
      <c r="RXT2"/>
      <c r="RXU2"/>
      <c r="RXV2"/>
      <c r="RXW2"/>
      <c r="RXX2"/>
      <c r="RXY2"/>
      <c r="RXZ2"/>
      <c r="RYA2"/>
      <c r="RYB2"/>
      <c r="RYC2"/>
      <c r="RYD2"/>
      <c r="RYE2"/>
      <c r="RYF2"/>
      <c r="RYG2"/>
      <c r="RYH2"/>
      <c r="RYI2"/>
      <c r="RYJ2"/>
      <c r="RYK2"/>
      <c r="RYL2"/>
      <c r="RYM2"/>
      <c r="RYN2"/>
      <c r="RYO2"/>
      <c r="RYP2"/>
      <c r="RYQ2"/>
      <c r="RYR2"/>
      <c r="RYS2"/>
      <c r="RYT2"/>
      <c r="RYU2"/>
      <c r="RYV2"/>
      <c r="RYW2"/>
      <c r="RYX2"/>
      <c r="RYY2"/>
      <c r="RYZ2"/>
      <c r="RZA2"/>
      <c r="RZB2"/>
      <c r="RZC2"/>
      <c r="RZD2"/>
      <c r="RZE2"/>
      <c r="RZF2"/>
      <c r="RZG2"/>
      <c r="RZH2"/>
      <c r="RZI2"/>
      <c r="RZJ2"/>
      <c r="RZK2"/>
      <c r="RZL2"/>
      <c r="RZM2"/>
      <c r="RZN2"/>
      <c r="RZO2"/>
      <c r="RZP2"/>
      <c r="RZQ2"/>
      <c r="RZR2"/>
      <c r="RZS2"/>
      <c r="RZT2"/>
      <c r="RZU2"/>
      <c r="RZV2"/>
      <c r="RZW2"/>
      <c r="RZX2"/>
      <c r="RZY2"/>
      <c r="RZZ2"/>
      <c r="SAA2"/>
      <c r="SAB2"/>
      <c r="SAC2"/>
      <c r="SAD2"/>
      <c r="SAE2"/>
      <c r="SAF2"/>
      <c r="SAG2"/>
      <c r="SAH2"/>
      <c r="SAI2"/>
      <c r="SAJ2"/>
      <c r="SAK2"/>
      <c r="SAL2"/>
      <c r="SAM2"/>
      <c r="SAN2"/>
      <c r="SAO2"/>
      <c r="SAP2"/>
      <c r="SAQ2"/>
      <c r="SAR2"/>
      <c r="SAS2"/>
      <c r="SAT2"/>
      <c r="SAU2"/>
      <c r="SAV2"/>
      <c r="SAW2"/>
      <c r="SAX2"/>
      <c r="SAY2"/>
      <c r="SAZ2"/>
      <c r="SBA2"/>
      <c r="SBB2"/>
      <c r="SBC2"/>
      <c r="SBD2"/>
      <c r="SBE2"/>
      <c r="SBF2"/>
      <c r="SBG2"/>
      <c r="SBH2"/>
      <c r="SBI2"/>
      <c r="SBJ2"/>
      <c r="SBK2"/>
      <c r="SBL2"/>
      <c r="SBM2"/>
      <c r="SBN2"/>
      <c r="SBO2"/>
      <c r="SBP2"/>
      <c r="SBQ2"/>
      <c r="SBR2"/>
      <c r="SBS2"/>
      <c r="SBT2"/>
      <c r="SBU2"/>
      <c r="SBV2"/>
      <c r="SBW2"/>
      <c r="SBX2"/>
      <c r="SBY2"/>
      <c r="SBZ2"/>
      <c r="SCA2"/>
      <c r="SCB2"/>
      <c r="SCC2"/>
      <c r="SCD2"/>
      <c r="SCE2"/>
      <c r="SCF2"/>
      <c r="SCG2"/>
      <c r="SCH2"/>
      <c r="SCI2"/>
      <c r="SCJ2"/>
      <c r="SCK2"/>
      <c r="SCL2"/>
      <c r="SCM2"/>
      <c r="SCN2"/>
      <c r="SCO2"/>
      <c r="SCP2"/>
      <c r="SCQ2"/>
      <c r="SCR2"/>
      <c r="SCS2"/>
      <c r="SCT2"/>
      <c r="SCU2"/>
      <c r="SCV2"/>
      <c r="SCW2"/>
      <c r="SCX2"/>
      <c r="SCY2"/>
      <c r="SCZ2"/>
      <c r="SDA2"/>
      <c r="SDB2"/>
      <c r="SDC2"/>
      <c r="SDD2"/>
      <c r="SDE2"/>
      <c r="SDF2"/>
      <c r="SDG2"/>
      <c r="SDH2"/>
      <c r="SDI2"/>
      <c r="SDJ2"/>
      <c r="SDK2"/>
      <c r="SDL2"/>
      <c r="SDM2"/>
      <c r="SDN2"/>
      <c r="SDO2"/>
      <c r="SDP2"/>
      <c r="SDQ2"/>
      <c r="SDR2"/>
      <c r="SDS2"/>
      <c r="SDT2"/>
      <c r="SDU2"/>
      <c r="SDV2"/>
      <c r="SDW2"/>
      <c r="SDX2"/>
      <c r="SDY2"/>
      <c r="SDZ2"/>
      <c r="SEA2"/>
      <c r="SEB2"/>
      <c r="SEC2"/>
      <c r="SED2"/>
      <c r="SEE2"/>
      <c r="SEF2"/>
      <c r="SEG2"/>
      <c r="SEH2"/>
      <c r="SEI2"/>
      <c r="SEJ2"/>
      <c r="SEK2"/>
      <c r="SEL2"/>
      <c r="SEM2"/>
      <c r="SEN2"/>
      <c r="SEO2"/>
      <c r="SEP2"/>
      <c r="SEQ2"/>
      <c r="SER2"/>
      <c r="SES2"/>
      <c r="SET2"/>
      <c r="SEU2"/>
      <c r="SEV2"/>
      <c r="SEW2"/>
      <c r="SEX2"/>
      <c r="SEY2"/>
      <c r="SEZ2"/>
      <c r="SFA2"/>
      <c r="SFB2"/>
      <c r="SFC2"/>
      <c r="SFD2"/>
      <c r="SFE2"/>
      <c r="SFF2"/>
      <c r="SFG2"/>
      <c r="SFH2"/>
      <c r="SFI2"/>
      <c r="SFJ2"/>
      <c r="SFK2"/>
      <c r="SFL2"/>
      <c r="SFM2"/>
      <c r="SFN2"/>
      <c r="SFO2"/>
      <c r="SFP2"/>
      <c r="SFQ2"/>
      <c r="SFR2"/>
      <c r="SFS2"/>
      <c r="SFT2"/>
      <c r="SFU2"/>
      <c r="SFV2"/>
      <c r="SFW2"/>
      <c r="SFX2"/>
      <c r="SFY2"/>
      <c r="SFZ2"/>
      <c r="SGA2"/>
      <c r="SGB2"/>
      <c r="SGC2"/>
      <c r="SGD2"/>
      <c r="SGE2"/>
      <c r="SGF2"/>
      <c r="SGG2"/>
      <c r="SGH2"/>
      <c r="SGI2"/>
      <c r="SGJ2"/>
      <c r="SGK2"/>
      <c r="SGL2"/>
      <c r="SGM2"/>
      <c r="SGN2"/>
      <c r="SGO2"/>
      <c r="SGP2"/>
      <c r="SGQ2"/>
      <c r="SGR2"/>
      <c r="SGS2"/>
      <c r="SGT2"/>
      <c r="SGU2"/>
      <c r="SGV2"/>
      <c r="SGW2"/>
      <c r="SGX2"/>
      <c r="SGY2"/>
      <c r="SGZ2"/>
      <c r="SHA2"/>
      <c r="SHB2"/>
      <c r="SHC2"/>
      <c r="SHD2"/>
      <c r="SHE2"/>
      <c r="SHF2"/>
      <c r="SHG2"/>
      <c r="SHH2"/>
      <c r="SHI2"/>
      <c r="SHJ2"/>
      <c r="SHK2"/>
      <c r="SHL2"/>
      <c r="SHM2"/>
      <c r="SHN2"/>
      <c r="SHO2"/>
      <c r="SHP2"/>
      <c r="SHQ2"/>
      <c r="SHR2"/>
      <c r="SHS2"/>
      <c r="SHT2"/>
      <c r="SHU2"/>
      <c r="SHV2"/>
      <c r="SHW2"/>
      <c r="SHX2"/>
      <c r="SHY2"/>
      <c r="SHZ2"/>
      <c r="SIA2"/>
      <c r="SIB2"/>
      <c r="SIC2"/>
      <c r="SID2"/>
      <c r="SIE2"/>
      <c r="SIF2"/>
      <c r="SIG2"/>
      <c r="SIH2"/>
      <c r="SII2"/>
      <c r="SIJ2"/>
      <c r="SIK2"/>
      <c r="SIL2"/>
      <c r="SIM2"/>
      <c r="SIN2"/>
      <c r="SIO2"/>
      <c r="SIP2"/>
      <c r="SIQ2"/>
      <c r="SIR2"/>
      <c r="SIS2"/>
      <c r="SIT2"/>
      <c r="SIU2"/>
      <c r="SIV2"/>
      <c r="SIW2"/>
      <c r="SIX2"/>
      <c r="SIY2"/>
      <c r="SIZ2"/>
      <c r="SJA2"/>
      <c r="SJB2"/>
      <c r="SJC2"/>
      <c r="SJD2"/>
      <c r="SJE2"/>
      <c r="SJF2"/>
      <c r="SJG2"/>
      <c r="SJH2"/>
      <c r="SJI2"/>
      <c r="SJJ2"/>
      <c r="SJK2"/>
      <c r="SJL2"/>
      <c r="SJM2"/>
      <c r="SJN2"/>
      <c r="SJO2"/>
      <c r="SJP2"/>
      <c r="SJQ2"/>
      <c r="SJR2"/>
      <c r="SJS2"/>
      <c r="SJT2"/>
      <c r="SJU2"/>
      <c r="SJV2"/>
      <c r="SJW2"/>
      <c r="SJX2"/>
      <c r="SJY2"/>
      <c r="SJZ2"/>
      <c r="SKA2"/>
      <c r="SKB2"/>
      <c r="SKC2"/>
      <c r="SKD2"/>
      <c r="SKE2"/>
      <c r="SKF2"/>
      <c r="SKG2"/>
      <c r="SKH2"/>
      <c r="SKI2"/>
      <c r="SKJ2"/>
      <c r="SKK2"/>
      <c r="SKL2"/>
      <c r="SKM2"/>
      <c r="SKN2"/>
      <c r="SKO2"/>
      <c r="SKP2"/>
      <c r="SKQ2"/>
      <c r="SKR2"/>
      <c r="SKS2"/>
      <c r="SKT2"/>
      <c r="SKU2"/>
      <c r="SKV2"/>
      <c r="SKW2"/>
      <c r="SKX2"/>
      <c r="SKY2"/>
      <c r="SKZ2"/>
      <c r="SLA2"/>
      <c r="SLB2"/>
      <c r="SLC2"/>
      <c r="SLD2"/>
      <c r="SLE2"/>
      <c r="SLF2"/>
      <c r="SLG2"/>
      <c r="SLH2"/>
      <c r="SLI2"/>
      <c r="SLJ2"/>
      <c r="SLK2"/>
      <c r="SLL2"/>
      <c r="SLM2"/>
      <c r="SLN2"/>
      <c r="SLO2"/>
      <c r="SLP2"/>
      <c r="SLQ2"/>
      <c r="SLR2"/>
      <c r="SLS2"/>
      <c r="SLT2"/>
      <c r="SLU2"/>
      <c r="SLV2"/>
      <c r="SLW2"/>
      <c r="SLX2"/>
      <c r="SLY2"/>
      <c r="SLZ2"/>
      <c r="SMA2"/>
      <c r="SMB2"/>
      <c r="SMC2"/>
      <c r="SMD2"/>
      <c r="SME2"/>
      <c r="SMF2"/>
      <c r="SMG2"/>
      <c r="SMH2"/>
      <c r="SMI2"/>
      <c r="SMJ2"/>
      <c r="SMK2"/>
      <c r="SML2"/>
      <c r="SMM2"/>
      <c r="SMN2"/>
      <c r="SMO2"/>
      <c r="SMP2"/>
      <c r="SMQ2"/>
      <c r="SMR2"/>
      <c r="SMS2"/>
      <c r="SMT2"/>
      <c r="SMU2"/>
      <c r="SMV2"/>
      <c r="SMW2"/>
      <c r="SMX2"/>
      <c r="SMY2"/>
      <c r="SMZ2"/>
      <c r="SNA2"/>
      <c r="SNB2"/>
      <c r="SNC2"/>
      <c r="SND2"/>
      <c r="SNE2"/>
      <c r="SNF2"/>
      <c r="SNG2"/>
      <c r="SNH2"/>
      <c r="SNI2"/>
      <c r="SNJ2"/>
      <c r="SNK2"/>
      <c r="SNL2"/>
      <c r="SNM2"/>
      <c r="SNN2"/>
      <c r="SNO2"/>
      <c r="SNP2"/>
      <c r="SNQ2"/>
      <c r="SNR2"/>
      <c r="SNS2"/>
      <c r="SNT2"/>
      <c r="SNU2"/>
      <c r="SNV2"/>
      <c r="SNW2"/>
      <c r="SNX2"/>
      <c r="SNY2"/>
      <c r="SNZ2"/>
      <c r="SOA2"/>
      <c r="SOB2"/>
      <c r="SOC2"/>
      <c r="SOD2"/>
      <c r="SOE2"/>
      <c r="SOF2"/>
      <c r="SOG2"/>
      <c r="SOH2"/>
      <c r="SOI2"/>
      <c r="SOJ2"/>
      <c r="SOK2"/>
      <c r="SOL2"/>
      <c r="SOM2"/>
      <c r="SON2"/>
      <c r="SOO2"/>
      <c r="SOP2"/>
      <c r="SOQ2"/>
      <c r="SOR2"/>
      <c r="SOS2"/>
      <c r="SOT2"/>
      <c r="SOU2"/>
      <c r="SOV2"/>
      <c r="SOW2"/>
      <c r="SOX2"/>
      <c r="SOY2"/>
      <c r="SOZ2"/>
      <c r="SPA2"/>
      <c r="SPB2"/>
      <c r="SPC2"/>
      <c r="SPD2"/>
      <c r="SPE2"/>
      <c r="SPF2"/>
      <c r="SPG2"/>
      <c r="SPH2"/>
      <c r="SPI2"/>
      <c r="SPJ2"/>
      <c r="SPK2"/>
      <c r="SPL2"/>
      <c r="SPM2"/>
      <c r="SPN2"/>
      <c r="SPO2"/>
      <c r="SPP2"/>
      <c r="SPQ2"/>
      <c r="SPR2"/>
      <c r="SPS2"/>
      <c r="SPT2"/>
      <c r="SPU2"/>
      <c r="SPV2"/>
      <c r="SPW2"/>
      <c r="SPX2"/>
      <c r="SPY2"/>
      <c r="SPZ2"/>
      <c r="SQA2"/>
      <c r="SQB2"/>
      <c r="SQC2"/>
      <c r="SQD2"/>
      <c r="SQE2"/>
      <c r="SQF2"/>
      <c r="SQG2"/>
      <c r="SQH2"/>
      <c r="SQI2"/>
      <c r="SQJ2"/>
      <c r="SQK2"/>
      <c r="SQL2"/>
      <c r="SQM2"/>
      <c r="SQN2"/>
      <c r="SQO2"/>
      <c r="SQP2"/>
      <c r="SQQ2"/>
      <c r="SQR2"/>
      <c r="SQS2"/>
      <c r="SQT2"/>
      <c r="SQU2"/>
      <c r="SQV2"/>
      <c r="SQW2"/>
      <c r="SQX2"/>
      <c r="SQY2"/>
      <c r="SQZ2"/>
      <c r="SRA2"/>
      <c r="SRB2"/>
      <c r="SRC2"/>
      <c r="SRD2"/>
      <c r="SRE2"/>
      <c r="SRF2"/>
      <c r="SRG2"/>
      <c r="SRH2"/>
      <c r="SRI2"/>
      <c r="SRJ2"/>
      <c r="SRK2"/>
      <c r="SRL2"/>
      <c r="SRM2"/>
      <c r="SRN2"/>
      <c r="SRO2"/>
      <c r="SRP2"/>
      <c r="SRQ2"/>
      <c r="SRR2"/>
      <c r="SRS2"/>
      <c r="SRT2"/>
      <c r="SRU2"/>
      <c r="SRV2"/>
      <c r="SRW2"/>
      <c r="SRX2"/>
      <c r="SRY2"/>
      <c r="SRZ2"/>
      <c r="SSA2"/>
      <c r="SSB2"/>
      <c r="SSC2"/>
      <c r="SSD2"/>
      <c r="SSE2"/>
      <c r="SSF2"/>
      <c r="SSG2"/>
      <c r="SSH2"/>
      <c r="SSI2"/>
      <c r="SSJ2"/>
      <c r="SSK2"/>
      <c r="SSL2"/>
      <c r="SSM2"/>
      <c r="SSN2"/>
      <c r="SSO2"/>
      <c r="SSP2"/>
      <c r="SSQ2"/>
      <c r="SSR2"/>
      <c r="SSS2"/>
      <c r="SST2"/>
      <c r="SSU2"/>
      <c r="SSV2"/>
      <c r="SSW2"/>
      <c r="SSX2"/>
      <c r="SSY2"/>
      <c r="SSZ2"/>
      <c r="STA2"/>
      <c r="STB2"/>
      <c r="STC2"/>
      <c r="STD2"/>
      <c r="STE2"/>
      <c r="STF2"/>
      <c r="STG2"/>
      <c r="STH2"/>
      <c r="STI2"/>
      <c r="STJ2"/>
      <c r="STK2"/>
      <c r="STL2"/>
      <c r="STM2"/>
      <c r="STN2"/>
      <c r="STO2"/>
      <c r="STP2"/>
      <c r="STQ2"/>
      <c r="STR2"/>
      <c r="STS2"/>
      <c r="STT2"/>
      <c r="STU2"/>
      <c r="STV2"/>
      <c r="STW2"/>
      <c r="STX2"/>
      <c r="STY2"/>
      <c r="STZ2"/>
      <c r="SUA2"/>
      <c r="SUB2"/>
      <c r="SUC2"/>
      <c r="SUD2"/>
      <c r="SUE2"/>
      <c r="SUF2"/>
      <c r="SUG2"/>
      <c r="SUH2"/>
      <c r="SUI2"/>
      <c r="SUJ2"/>
      <c r="SUK2"/>
      <c r="SUL2"/>
      <c r="SUM2"/>
      <c r="SUN2"/>
      <c r="SUO2"/>
      <c r="SUP2"/>
      <c r="SUQ2"/>
      <c r="SUR2"/>
      <c r="SUS2"/>
      <c r="SUT2"/>
      <c r="SUU2"/>
      <c r="SUV2"/>
      <c r="SUW2"/>
      <c r="SUX2"/>
      <c r="SUY2"/>
      <c r="SUZ2"/>
      <c r="SVA2"/>
      <c r="SVB2"/>
      <c r="SVC2"/>
      <c r="SVD2"/>
      <c r="SVE2"/>
      <c r="SVF2"/>
      <c r="SVG2"/>
      <c r="SVH2"/>
      <c r="SVI2"/>
      <c r="SVJ2"/>
      <c r="SVK2"/>
      <c r="SVL2"/>
      <c r="SVM2"/>
      <c r="SVN2"/>
      <c r="SVO2"/>
      <c r="SVP2"/>
      <c r="SVQ2"/>
      <c r="SVR2"/>
      <c r="SVS2"/>
      <c r="SVT2"/>
      <c r="SVU2"/>
      <c r="SVV2"/>
      <c r="SVW2"/>
      <c r="SVX2"/>
      <c r="SVY2"/>
      <c r="SVZ2"/>
      <c r="SWA2"/>
      <c r="SWB2"/>
      <c r="SWC2"/>
      <c r="SWD2"/>
      <c r="SWE2"/>
      <c r="SWF2"/>
      <c r="SWG2"/>
      <c r="SWH2"/>
      <c r="SWI2"/>
      <c r="SWJ2"/>
      <c r="SWK2"/>
      <c r="SWL2"/>
      <c r="SWM2"/>
      <c r="SWN2"/>
      <c r="SWO2"/>
      <c r="SWP2"/>
      <c r="SWQ2"/>
      <c r="SWR2"/>
      <c r="SWS2"/>
      <c r="SWT2"/>
      <c r="SWU2"/>
      <c r="SWV2"/>
      <c r="SWW2"/>
      <c r="SWX2"/>
      <c r="SWY2"/>
      <c r="SWZ2"/>
      <c r="SXA2"/>
      <c r="SXB2"/>
      <c r="SXC2"/>
      <c r="SXD2"/>
      <c r="SXE2"/>
      <c r="SXF2"/>
      <c r="SXG2"/>
      <c r="SXH2"/>
      <c r="SXI2"/>
      <c r="SXJ2"/>
      <c r="SXK2"/>
      <c r="SXL2"/>
      <c r="SXM2"/>
      <c r="SXN2"/>
      <c r="SXO2"/>
      <c r="SXP2"/>
      <c r="SXQ2"/>
      <c r="SXR2"/>
      <c r="SXS2"/>
      <c r="SXT2"/>
      <c r="SXU2"/>
      <c r="SXV2"/>
      <c r="SXW2"/>
      <c r="SXX2"/>
      <c r="SXY2"/>
      <c r="SXZ2"/>
      <c r="SYA2"/>
      <c r="SYB2"/>
      <c r="SYC2"/>
      <c r="SYD2"/>
      <c r="SYE2"/>
      <c r="SYF2"/>
      <c r="SYG2"/>
      <c r="SYH2"/>
      <c r="SYI2"/>
      <c r="SYJ2"/>
      <c r="SYK2"/>
      <c r="SYL2"/>
      <c r="SYM2"/>
      <c r="SYN2"/>
      <c r="SYO2"/>
      <c r="SYP2"/>
      <c r="SYQ2"/>
      <c r="SYR2"/>
      <c r="SYS2"/>
      <c r="SYT2"/>
      <c r="SYU2"/>
      <c r="SYV2"/>
      <c r="SYW2"/>
      <c r="SYX2"/>
      <c r="SYY2"/>
      <c r="SYZ2"/>
      <c r="SZA2"/>
      <c r="SZB2"/>
      <c r="SZC2"/>
      <c r="SZD2"/>
      <c r="SZE2"/>
      <c r="SZF2"/>
      <c r="SZG2"/>
      <c r="SZH2"/>
      <c r="SZI2"/>
      <c r="SZJ2"/>
      <c r="SZK2"/>
      <c r="SZL2"/>
      <c r="SZM2"/>
      <c r="SZN2"/>
      <c r="SZO2"/>
      <c r="SZP2"/>
      <c r="SZQ2"/>
      <c r="SZR2"/>
      <c r="SZS2"/>
      <c r="SZT2"/>
      <c r="SZU2"/>
      <c r="SZV2"/>
      <c r="SZW2"/>
      <c r="SZX2"/>
      <c r="SZY2"/>
      <c r="SZZ2"/>
      <c r="TAA2"/>
      <c r="TAB2"/>
      <c r="TAC2"/>
      <c r="TAD2"/>
      <c r="TAE2"/>
      <c r="TAF2"/>
      <c r="TAG2"/>
      <c r="TAH2"/>
      <c r="TAI2"/>
      <c r="TAJ2"/>
      <c r="TAK2"/>
      <c r="TAL2"/>
      <c r="TAM2"/>
      <c r="TAN2"/>
      <c r="TAO2"/>
      <c r="TAP2"/>
      <c r="TAQ2"/>
      <c r="TAR2"/>
      <c r="TAS2"/>
      <c r="TAT2"/>
      <c r="TAU2"/>
      <c r="TAV2"/>
      <c r="TAW2"/>
      <c r="TAX2"/>
      <c r="TAY2"/>
      <c r="TAZ2"/>
      <c r="TBA2"/>
      <c r="TBB2"/>
      <c r="TBC2"/>
      <c r="TBD2"/>
      <c r="TBE2"/>
      <c r="TBF2"/>
      <c r="TBG2"/>
      <c r="TBH2"/>
      <c r="TBI2"/>
      <c r="TBJ2"/>
      <c r="TBK2"/>
      <c r="TBL2"/>
      <c r="TBM2"/>
      <c r="TBN2"/>
      <c r="TBO2"/>
      <c r="TBP2"/>
      <c r="TBQ2"/>
      <c r="TBR2"/>
      <c r="TBS2"/>
      <c r="TBT2"/>
      <c r="TBU2"/>
      <c r="TBV2"/>
      <c r="TBW2"/>
      <c r="TBX2"/>
      <c r="TBY2"/>
      <c r="TBZ2"/>
      <c r="TCA2"/>
      <c r="TCB2"/>
      <c r="TCC2"/>
      <c r="TCD2"/>
      <c r="TCE2"/>
      <c r="TCF2"/>
      <c r="TCG2"/>
      <c r="TCH2"/>
      <c r="TCI2"/>
      <c r="TCJ2"/>
      <c r="TCK2"/>
      <c r="TCL2"/>
      <c r="TCM2"/>
      <c r="TCN2"/>
      <c r="TCO2"/>
      <c r="TCP2"/>
      <c r="TCQ2"/>
      <c r="TCR2"/>
      <c r="TCS2"/>
      <c r="TCT2"/>
      <c r="TCU2"/>
      <c r="TCV2"/>
      <c r="TCW2"/>
      <c r="TCX2"/>
      <c r="TCY2"/>
      <c r="TCZ2"/>
      <c r="TDA2"/>
      <c r="TDB2"/>
      <c r="TDC2"/>
      <c r="TDD2"/>
      <c r="TDE2"/>
      <c r="TDF2"/>
      <c r="TDG2"/>
      <c r="TDH2"/>
      <c r="TDI2"/>
      <c r="TDJ2"/>
      <c r="TDK2"/>
      <c r="TDL2"/>
      <c r="TDM2"/>
      <c r="TDN2"/>
      <c r="TDO2"/>
      <c r="TDP2"/>
      <c r="TDQ2"/>
      <c r="TDR2"/>
      <c r="TDS2"/>
      <c r="TDT2"/>
      <c r="TDU2"/>
      <c r="TDV2"/>
      <c r="TDW2"/>
      <c r="TDX2"/>
      <c r="TDY2"/>
      <c r="TDZ2"/>
      <c r="TEA2"/>
      <c r="TEB2"/>
      <c r="TEC2"/>
      <c r="TED2"/>
      <c r="TEE2"/>
      <c r="TEF2"/>
      <c r="TEG2"/>
      <c r="TEH2"/>
      <c r="TEI2"/>
      <c r="TEJ2"/>
      <c r="TEK2"/>
      <c r="TEL2"/>
      <c r="TEM2"/>
      <c r="TEN2"/>
      <c r="TEO2"/>
      <c r="TEP2"/>
      <c r="TEQ2"/>
      <c r="TER2"/>
      <c r="TES2"/>
      <c r="TET2"/>
      <c r="TEU2"/>
      <c r="TEV2"/>
      <c r="TEW2"/>
      <c r="TEX2"/>
      <c r="TEY2"/>
      <c r="TEZ2"/>
      <c r="TFA2"/>
      <c r="TFB2"/>
      <c r="TFC2"/>
      <c r="TFD2"/>
      <c r="TFE2"/>
      <c r="TFF2"/>
      <c r="TFG2"/>
      <c r="TFH2"/>
      <c r="TFI2"/>
      <c r="TFJ2"/>
      <c r="TFK2"/>
      <c r="TFL2"/>
      <c r="TFM2"/>
      <c r="TFN2"/>
      <c r="TFO2"/>
      <c r="TFP2"/>
      <c r="TFQ2"/>
      <c r="TFR2"/>
      <c r="TFS2"/>
      <c r="TFT2"/>
      <c r="TFU2"/>
      <c r="TFV2"/>
      <c r="TFW2"/>
      <c r="TFX2"/>
      <c r="TFY2"/>
      <c r="TFZ2"/>
      <c r="TGA2"/>
      <c r="TGB2"/>
      <c r="TGC2"/>
      <c r="TGD2"/>
      <c r="TGE2"/>
      <c r="TGF2"/>
      <c r="TGG2"/>
      <c r="TGH2"/>
      <c r="TGI2"/>
      <c r="TGJ2"/>
      <c r="TGK2"/>
      <c r="TGL2"/>
      <c r="TGM2"/>
      <c r="TGN2"/>
      <c r="TGO2"/>
      <c r="TGP2"/>
      <c r="TGQ2"/>
      <c r="TGR2"/>
      <c r="TGS2"/>
      <c r="TGT2"/>
      <c r="TGU2"/>
      <c r="TGV2"/>
      <c r="TGW2"/>
      <c r="TGX2"/>
      <c r="TGY2"/>
      <c r="TGZ2"/>
      <c r="THA2"/>
      <c r="THB2"/>
      <c r="THC2"/>
      <c r="THD2"/>
      <c r="THE2"/>
      <c r="THF2"/>
      <c r="THG2"/>
      <c r="THH2"/>
      <c r="THI2"/>
      <c r="THJ2"/>
      <c r="THK2"/>
      <c r="THL2"/>
      <c r="THM2"/>
      <c r="THN2"/>
      <c r="THO2"/>
      <c r="THP2"/>
      <c r="THQ2"/>
      <c r="THR2"/>
      <c r="THS2"/>
      <c r="THT2"/>
      <c r="THU2"/>
      <c r="THV2"/>
      <c r="THW2"/>
      <c r="THX2"/>
      <c r="THY2"/>
      <c r="THZ2"/>
      <c r="TIA2"/>
      <c r="TIB2"/>
      <c r="TIC2"/>
      <c r="TID2"/>
      <c r="TIE2"/>
      <c r="TIF2"/>
      <c r="TIG2"/>
      <c r="TIH2"/>
      <c r="TII2"/>
      <c r="TIJ2"/>
      <c r="TIK2"/>
      <c r="TIL2"/>
      <c r="TIM2"/>
      <c r="TIN2"/>
      <c r="TIO2"/>
      <c r="TIP2"/>
      <c r="TIQ2"/>
      <c r="TIR2"/>
      <c r="TIS2"/>
      <c r="TIT2"/>
      <c r="TIU2"/>
      <c r="TIV2"/>
      <c r="TIW2"/>
      <c r="TIX2"/>
      <c r="TIY2"/>
      <c r="TIZ2"/>
      <c r="TJA2"/>
      <c r="TJB2"/>
      <c r="TJC2"/>
      <c r="TJD2"/>
      <c r="TJE2"/>
      <c r="TJF2"/>
      <c r="TJG2"/>
      <c r="TJH2"/>
      <c r="TJI2"/>
      <c r="TJJ2"/>
      <c r="TJK2"/>
      <c r="TJL2"/>
      <c r="TJM2"/>
      <c r="TJN2"/>
      <c r="TJO2"/>
      <c r="TJP2"/>
      <c r="TJQ2"/>
      <c r="TJR2"/>
      <c r="TJS2"/>
      <c r="TJT2"/>
      <c r="TJU2"/>
      <c r="TJV2"/>
      <c r="TJW2"/>
      <c r="TJX2"/>
      <c r="TJY2"/>
      <c r="TJZ2"/>
      <c r="TKA2"/>
      <c r="TKB2"/>
      <c r="TKC2"/>
      <c r="TKD2"/>
      <c r="TKE2"/>
      <c r="TKF2"/>
      <c r="TKG2"/>
      <c r="TKH2"/>
      <c r="TKI2"/>
      <c r="TKJ2"/>
      <c r="TKK2"/>
      <c r="TKL2"/>
      <c r="TKM2"/>
      <c r="TKN2"/>
      <c r="TKO2"/>
      <c r="TKP2"/>
      <c r="TKQ2"/>
      <c r="TKR2"/>
      <c r="TKS2"/>
      <c r="TKT2"/>
      <c r="TKU2"/>
      <c r="TKV2"/>
      <c r="TKW2"/>
      <c r="TKX2"/>
      <c r="TKY2"/>
      <c r="TKZ2"/>
      <c r="TLA2"/>
      <c r="TLB2"/>
      <c r="TLC2"/>
      <c r="TLD2"/>
      <c r="TLE2"/>
      <c r="TLF2"/>
      <c r="TLG2"/>
      <c r="TLH2"/>
      <c r="TLI2"/>
      <c r="TLJ2"/>
      <c r="TLK2"/>
      <c r="TLL2"/>
      <c r="TLM2"/>
      <c r="TLN2"/>
      <c r="TLO2"/>
      <c r="TLP2"/>
      <c r="TLQ2"/>
      <c r="TLR2"/>
      <c r="TLS2"/>
      <c r="TLT2"/>
      <c r="TLU2"/>
      <c r="TLV2"/>
      <c r="TLW2"/>
      <c r="TLX2"/>
      <c r="TLY2"/>
      <c r="TLZ2"/>
      <c r="TMA2"/>
      <c r="TMB2"/>
      <c r="TMC2"/>
      <c r="TMD2"/>
      <c r="TME2"/>
      <c r="TMF2"/>
      <c r="TMG2"/>
      <c r="TMH2"/>
      <c r="TMI2"/>
      <c r="TMJ2"/>
      <c r="TMK2"/>
      <c r="TML2"/>
      <c r="TMM2"/>
      <c r="TMN2"/>
      <c r="TMO2"/>
      <c r="TMP2"/>
      <c r="TMQ2"/>
      <c r="TMR2"/>
      <c r="TMS2"/>
      <c r="TMT2"/>
      <c r="TMU2"/>
      <c r="TMV2"/>
      <c r="TMW2"/>
      <c r="TMX2"/>
      <c r="TMY2"/>
      <c r="TMZ2"/>
      <c r="TNA2"/>
      <c r="TNB2"/>
      <c r="TNC2"/>
      <c r="TND2"/>
      <c r="TNE2"/>
      <c r="TNF2"/>
      <c r="TNG2"/>
      <c r="TNH2"/>
      <c r="TNI2"/>
      <c r="TNJ2"/>
      <c r="TNK2"/>
      <c r="TNL2"/>
      <c r="TNM2"/>
      <c r="TNN2"/>
      <c r="TNO2"/>
      <c r="TNP2"/>
      <c r="TNQ2"/>
      <c r="TNR2"/>
      <c r="TNS2"/>
      <c r="TNT2"/>
      <c r="TNU2"/>
      <c r="TNV2"/>
      <c r="TNW2"/>
      <c r="TNX2"/>
      <c r="TNY2"/>
      <c r="TNZ2"/>
      <c r="TOA2"/>
      <c r="TOB2"/>
      <c r="TOC2"/>
      <c r="TOD2"/>
      <c r="TOE2"/>
      <c r="TOF2"/>
      <c r="TOG2"/>
      <c r="TOH2"/>
      <c r="TOI2"/>
      <c r="TOJ2"/>
      <c r="TOK2"/>
      <c r="TOL2"/>
      <c r="TOM2"/>
      <c r="TON2"/>
      <c r="TOO2"/>
      <c r="TOP2"/>
      <c r="TOQ2"/>
      <c r="TOR2"/>
      <c r="TOS2"/>
      <c r="TOT2"/>
      <c r="TOU2"/>
      <c r="TOV2"/>
      <c r="TOW2"/>
      <c r="TOX2"/>
      <c r="TOY2"/>
      <c r="TOZ2"/>
      <c r="TPA2"/>
      <c r="TPB2"/>
      <c r="TPC2"/>
      <c r="TPD2"/>
      <c r="TPE2"/>
      <c r="TPF2"/>
      <c r="TPG2"/>
      <c r="TPH2"/>
      <c r="TPI2"/>
      <c r="TPJ2"/>
      <c r="TPK2"/>
      <c r="TPL2"/>
      <c r="TPM2"/>
      <c r="TPN2"/>
      <c r="TPO2"/>
      <c r="TPP2"/>
      <c r="TPQ2"/>
      <c r="TPR2"/>
      <c r="TPS2"/>
      <c r="TPT2"/>
      <c r="TPU2"/>
      <c r="TPV2"/>
      <c r="TPW2"/>
      <c r="TPX2"/>
      <c r="TPY2"/>
      <c r="TPZ2"/>
      <c r="TQA2"/>
      <c r="TQB2"/>
      <c r="TQC2"/>
      <c r="TQD2"/>
      <c r="TQE2"/>
      <c r="TQF2"/>
      <c r="TQG2"/>
      <c r="TQH2"/>
      <c r="TQI2"/>
      <c r="TQJ2"/>
      <c r="TQK2"/>
      <c r="TQL2"/>
      <c r="TQM2"/>
      <c r="TQN2"/>
      <c r="TQO2"/>
      <c r="TQP2"/>
      <c r="TQQ2"/>
      <c r="TQR2"/>
      <c r="TQS2"/>
      <c r="TQT2"/>
      <c r="TQU2"/>
      <c r="TQV2"/>
      <c r="TQW2"/>
      <c r="TQX2"/>
      <c r="TQY2"/>
      <c r="TQZ2"/>
      <c r="TRA2"/>
      <c r="TRB2"/>
      <c r="TRC2"/>
      <c r="TRD2"/>
      <c r="TRE2"/>
      <c r="TRF2"/>
      <c r="TRG2"/>
      <c r="TRH2"/>
      <c r="TRI2"/>
      <c r="TRJ2"/>
      <c r="TRK2"/>
      <c r="TRL2"/>
      <c r="TRM2"/>
      <c r="TRN2"/>
      <c r="TRO2"/>
      <c r="TRP2"/>
      <c r="TRQ2"/>
      <c r="TRR2"/>
      <c r="TRS2"/>
      <c r="TRT2"/>
      <c r="TRU2"/>
      <c r="TRV2"/>
      <c r="TRW2"/>
      <c r="TRX2"/>
      <c r="TRY2"/>
      <c r="TRZ2"/>
      <c r="TSA2"/>
      <c r="TSB2"/>
      <c r="TSC2"/>
      <c r="TSD2"/>
      <c r="TSE2"/>
      <c r="TSF2"/>
      <c r="TSG2"/>
      <c r="TSH2"/>
      <c r="TSI2"/>
      <c r="TSJ2"/>
      <c r="TSK2"/>
      <c r="TSL2"/>
      <c r="TSM2"/>
      <c r="TSN2"/>
      <c r="TSO2"/>
      <c r="TSP2"/>
      <c r="TSQ2"/>
      <c r="TSR2"/>
      <c r="TSS2"/>
      <c r="TST2"/>
      <c r="TSU2"/>
      <c r="TSV2"/>
      <c r="TSW2"/>
      <c r="TSX2"/>
      <c r="TSY2"/>
      <c r="TSZ2"/>
      <c r="TTA2"/>
      <c r="TTB2"/>
      <c r="TTC2"/>
      <c r="TTD2"/>
      <c r="TTE2"/>
      <c r="TTF2"/>
      <c r="TTG2"/>
      <c r="TTH2"/>
      <c r="TTI2"/>
      <c r="TTJ2"/>
      <c r="TTK2"/>
      <c r="TTL2"/>
      <c r="TTM2"/>
      <c r="TTN2"/>
      <c r="TTO2"/>
      <c r="TTP2"/>
      <c r="TTQ2"/>
      <c r="TTR2"/>
      <c r="TTS2"/>
      <c r="TTT2"/>
      <c r="TTU2"/>
      <c r="TTV2"/>
      <c r="TTW2"/>
      <c r="TTX2"/>
      <c r="TTY2"/>
      <c r="TTZ2"/>
      <c r="TUA2"/>
      <c r="TUB2"/>
      <c r="TUC2"/>
      <c r="TUD2"/>
      <c r="TUE2"/>
      <c r="TUF2"/>
      <c r="TUG2"/>
      <c r="TUH2"/>
      <c r="TUI2"/>
      <c r="TUJ2"/>
      <c r="TUK2"/>
      <c r="TUL2"/>
      <c r="TUM2"/>
      <c r="TUN2"/>
      <c r="TUO2"/>
      <c r="TUP2"/>
      <c r="TUQ2"/>
      <c r="TUR2"/>
      <c r="TUS2"/>
      <c r="TUT2"/>
      <c r="TUU2"/>
      <c r="TUV2"/>
      <c r="TUW2"/>
      <c r="TUX2"/>
      <c r="TUY2"/>
      <c r="TUZ2"/>
      <c r="TVA2"/>
      <c r="TVB2"/>
      <c r="TVC2"/>
      <c r="TVD2"/>
      <c r="TVE2"/>
      <c r="TVF2"/>
      <c r="TVG2"/>
      <c r="TVH2"/>
      <c r="TVI2"/>
      <c r="TVJ2"/>
      <c r="TVK2"/>
      <c r="TVL2"/>
      <c r="TVM2"/>
      <c r="TVN2"/>
      <c r="TVO2"/>
      <c r="TVP2"/>
      <c r="TVQ2"/>
      <c r="TVR2"/>
      <c r="TVS2"/>
      <c r="TVT2"/>
      <c r="TVU2"/>
      <c r="TVV2"/>
      <c r="TVW2"/>
      <c r="TVX2"/>
      <c r="TVY2"/>
      <c r="TVZ2"/>
      <c r="TWA2"/>
      <c r="TWB2"/>
      <c r="TWC2"/>
      <c r="TWD2"/>
      <c r="TWE2"/>
      <c r="TWF2"/>
      <c r="TWG2"/>
      <c r="TWH2"/>
      <c r="TWI2"/>
      <c r="TWJ2"/>
      <c r="TWK2"/>
      <c r="TWL2"/>
      <c r="TWM2"/>
      <c r="TWN2"/>
      <c r="TWO2"/>
      <c r="TWP2"/>
      <c r="TWQ2"/>
      <c r="TWR2"/>
      <c r="TWS2"/>
      <c r="TWT2"/>
      <c r="TWU2"/>
      <c r="TWV2"/>
      <c r="TWW2"/>
      <c r="TWX2"/>
      <c r="TWY2"/>
      <c r="TWZ2"/>
      <c r="TXA2"/>
      <c r="TXB2"/>
      <c r="TXC2"/>
      <c r="TXD2"/>
      <c r="TXE2"/>
      <c r="TXF2"/>
      <c r="TXG2"/>
      <c r="TXH2"/>
      <c r="TXI2"/>
      <c r="TXJ2"/>
      <c r="TXK2"/>
      <c r="TXL2"/>
      <c r="TXM2"/>
      <c r="TXN2"/>
      <c r="TXO2"/>
      <c r="TXP2"/>
      <c r="TXQ2"/>
      <c r="TXR2"/>
      <c r="TXS2"/>
      <c r="TXT2"/>
      <c r="TXU2"/>
      <c r="TXV2"/>
      <c r="TXW2"/>
      <c r="TXX2"/>
      <c r="TXY2"/>
      <c r="TXZ2"/>
      <c r="TYA2"/>
      <c r="TYB2"/>
      <c r="TYC2"/>
      <c r="TYD2"/>
      <c r="TYE2"/>
      <c r="TYF2"/>
      <c r="TYG2"/>
      <c r="TYH2"/>
      <c r="TYI2"/>
      <c r="TYJ2"/>
      <c r="TYK2"/>
      <c r="TYL2"/>
      <c r="TYM2"/>
      <c r="TYN2"/>
      <c r="TYO2"/>
      <c r="TYP2"/>
      <c r="TYQ2"/>
      <c r="TYR2"/>
      <c r="TYS2"/>
      <c r="TYT2"/>
      <c r="TYU2"/>
      <c r="TYV2"/>
      <c r="TYW2"/>
      <c r="TYX2"/>
      <c r="TYY2"/>
      <c r="TYZ2"/>
      <c r="TZA2"/>
      <c r="TZB2"/>
      <c r="TZC2"/>
      <c r="TZD2"/>
      <c r="TZE2"/>
      <c r="TZF2"/>
      <c r="TZG2"/>
      <c r="TZH2"/>
      <c r="TZI2"/>
      <c r="TZJ2"/>
      <c r="TZK2"/>
      <c r="TZL2"/>
      <c r="TZM2"/>
      <c r="TZN2"/>
      <c r="TZO2"/>
      <c r="TZP2"/>
      <c r="TZQ2"/>
      <c r="TZR2"/>
      <c r="TZS2"/>
      <c r="TZT2"/>
      <c r="TZU2"/>
      <c r="TZV2"/>
      <c r="TZW2"/>
      <c r="TZX2"/>
      <c r="TZY2"/>
      <c r="TZZ2"/>
      <c r="UAA2"/>
      <c r="UAB2"/>
      <c r="UAC2"/>
      <c r="UAD2"/>
      <c r="UAE2"/>
      <c r="UAF2"/>
      <c r="UAG2"/>
      <c r="UAH2"/>
      <c r="UAI2"/>
      <c r="UAJ2"/>
      <c r="UAK2"/>
      <c r="UAL2"/>
      <c r="UAM2"/>
      <c r="UAN2"/>
      <c r="UAO2"/>
      <c r="UAP2"/>
      <c r="UAQ2"/>
      <c r="UAR2"/>
      <c r="UAS2"/>
      <c r="UAT2"/>
      <c r="UAU2"/>
      <c r="UAV2"/>
      <c r="UAW2"/>
      <c r="UAX2"/>
      <c r="UAY2"/>
      <c r="UAZ2"/>
      <c r="UBA2"/>
      <c r="UBB2"/>
      <c r="UBC2"/>
      <c r="UBD2"/>
      <c r="UBE2"/>
      <c r="UBF2"/>
      <c r="UBG2"/>
      <c r="UBH2"/>
      <c r="UBI2"/>
      <c r="UBJ2"/>
      <c r="UBK2"/>
      <c r="UBL2"/>
      <c r="UBM2"/>
      <c r="UBN2"/>
      <c r="UBO2"/>
      <c r="UBP2"/>
      <c r="UBQ2"/>
      <c r="UBR2"/>
      <c r="UBS2"/>
      <c r="UBT2"/>
      <c r="UBU2"/>
      <c r="UBV2"/>
      <c r="UBW2"/>
      <c r="UBX2"/>
      <c r="UBY2"/>
      <c r="UBZ2"/>
      <c r="UCA2"/>
      <c r="UCB2"/>
      <c r="UCC2"/>
      <c r="UCD2"/>
      <c r="UCE2"/>
      <c r="UCF2"/>
      <c r="UCG2"/>
      <c r="UCH2"/>
      <c r="UCI2"/>
      <c r="UCJ2"/>
      <c r="UCK2"/>
      <c r="UCL2"/>
      <c r="UCM2"/>
      <c r="UCN2"/>
      <c r="UCO2"/>
      <c r="UCP2"/>
      <c r="UCQ2"/>
      <c r="UCR2"/>
      <c r="UCS2"/>
      <c r="UCT2"/>
      <c r="UCU2"/>
      <c r="UCV2"/>
      <c r="UCW2"/>
      <c r="UCX2"/>
      <c r="UCY2"/>
      <c r="UCZ2"/>
      <c r="UDA2"/>
      <c r="UDB2"/>
      <c r="UDC2"/>
      <c r="UDD2"/>
      <c r="UDE2"/>
      <c r="UDF2"/>
      <c r="UDG2"/>
      <c r="UDH2"/>
      <c r="UDI2"/>
      <c r="UDJ2"/>
      <c r="UDK2"/>
      <c r="UDL2"/>
      <c r="UDM2"/>
      <c r="UDN2"/>
      <c r="UDO2"/>
      <c r="UDP2"/>
      <c r="UDQ2"/>
      <c r="UDR2"/>
      <c r="UDS2"/>
      <c r="UDT2"/>
      <c r="UDU2"/>
      <c r="UDV2"/>
      <c r="UDW2"/>
      <c r="UDX2"/>
      <c r="UDY2"/>
      <c r="UDZ2"/>
      <c r="UEA2"/>
      <c r="UEB2"/>
      <c r="UEC2"/>
      <c r="UED2"/>
      <c r="UEE2"/>
      <c r="UEF2"/>
      <c r="UEG2"/>
      <c r="UEH2"/>
      <c r="UEI2"/>
      <c r="UEJ2"/>
      <c r="UEK2"/>
      <c r="UEL2"/>
      <c r="UEM2"/>
      <c r="UEN2"/>
      <c r="UEO2"/>
      <c r="UEP2"/>
      <c r="UEQ2"/>
      <c r="UER2"/>
      <c r="UES2"/>
      <c r="UET2"/>
      <c r="UEU2"/>
      <c r="UEV2"/>
      <c r="UEW2"/>
      <c r="UEX2"/>
      <c r="UEY2"/>
      <c r="UEZ2"/>
      <c r="UFA2"/>
      <c r="UFB2"/>
      <c r="UFC2"/>
      <c r="UFD2"/>
      <c r="UFE2"/>
      <c r="UFF2"/>
      <c r="UFG2"/>
      <c r="UFH2"/>
      <c r="UFI2"/>
      <c r="UFJ2"/>
      <c r="UFK2"/>
      <c r="UFL2"/>
      <c r="UFM2"/>
      <c r="UFN2"/>
      <c r="UFO2"/>
      <c r="UFP2"/>
      <c r="UFQ2"/>
      <c r="UFR2"/>
      <c r="UFS2"/>
      <c r="UFT2"/>
      <c r="UFU2"/>
      <c r="UFV2"/>
      <c r="UFW2"/>
      <c r="UFX2"/>
      <c r="UFY2"/>
      <c r="UFZ2"/>
      <c r="UGA2"/>
      <c r="UGB2"/>
      <c r="UGC2"/>
      <c r="UGD2"/>
      <c r="UGE2"/>
      <c r="UGF2"/>
      <c r="UGG2"/>
      <c r="UGH2"/>
      <c r="UGI2"/>
      <c r="UGJ2"/>
      <c r="UGK2"/>
      <c r="UGL2"/>
      <c r="UGM2"/>
      <c r="UGN2"/>
      <c r="UGO2"/>
      <c r="UGP2"/>
      <c r="UGQ2"/>
      <c r="UGR2"/>
      <c r="UGS2"/>
      <c r="UGT2"/>
      <c r="UGU2"/>
      <c r="UGV2"/>
      <c r="UGW2"/>
      <c r="UGX2"/>
      <c r="UGY2"/>
      <c r="UGZ2"/>
      <c r="UHA2"/>
      <c r="UHB2"/>
      <c r="UHC2"/>
      <c r="UHD2"/>
      <c r="UHE2"/>
      <c r="UHF2"/>
      <c r="UHG2"/>
      <c r="UHH2"/>
      <c r="UHI2"/>
      <c r="UHJ2"/>
      <c r="UHK2"/>
      <c r="UHL2"/>
      <c r="UHM2"/>
      <c r="UHN2"/>
      <c r="UHO2"/>
      <c r="UHP2"/>
      <c r="UHQ2"/>
      <c r="UHR2"/>
      <c r="UHS2"/>
      <c r="UHT2"/>
      <c r="UHU2"/>
      <c r="UHV2"/>
      <c r="UHW2"/>
      <c r="UHX2"/>
      <c r="UHY2"/>
      <c r="UHZ2"/>
      <c r="UIA2"/>
      <c r="UIB2"/>
      <c r="UIC2"/>
      <c r="UID2"/>
      <c r="UIE2"/>
      <c r="UIF2"/>
      <c r="UIG2"/>
      <c r="UIH2"/>
      <c r="UII2"/>
      <c r="UIJ2"/>
      <c r="UIK2"/>
      <c r="UIL2"/>
      <c r="UIM2"/>
      <c r="UIN2"/>
      <c r="UIO2"/>
      <c r="UIP2"/>
      <c r="UIQ2"/>
      <c r="UIR2"/>
      <c r="UIS2"/>
      <c r="UIT2"/>
      <c r="UIU2"/>
      <c r="UIV2"/>
      <c r="UIW2"/>
      <c r="UIX2"/>
      <c r="UIY2"/>
      <c r="UIZ2"/>
      <c r="UJA2"/>
      <c r="UJB2"/>
      <c r="UJC2"/>
      <c r="UJD2"/>
      <c r="UJE2"/>
      <c r="UJF2"/>
      <c r="UJG2"/>
      <c r="UJH2"/>
      <c r="UJI2"/>
      <c r="UJJ2"/>
      <c r="UJK2"/>
      <c r="UJL2"/>
      <c r="UJM2"/>
      <c r="UJN2"/>
      <c r="UJO2"/>
      <c r="UJP2"/>
      <c r="UJQ2"/>
      <c r="UJR2"/>
      <c r="UJS2"/>
      <c r="UJT2"/>
      <c r="UJU2"/>
      <c r="UJV2"/>
      <c r="UJW2"/>
      <c r="UJX2"/>
      <c r="UJY2"/>
      <c r="UJZ2"/>
      <c r="UKA2"/>
      <c r="UKB2"/>
      <c r="UKC2"/>
      <c r="UKD2"/>
      <c r="UKE2"/>
      <c r="UKF2"/>
      <c r="UKG2"/>
      <c r="UKH2"/>
      <c r="UKI2"/>
      <c r="UKJ2"/>
      <c r="UKK2"/>
      <c r="UKL2"/>
      <c r="UKM2"/>
      <c r="UKN2"/>
      <c r="UKO2"/>
      <c r="UKP2"/>
      <c r="UKQ2"/>
      <c r="UKR2"/>
      <c r="UKS2"/>
      <c r="UKT2"/>
      <c r="UKU2"/>
      <c r="UKV2"/>
      <c r="UKW2"/>
      <c r="UKX2"/>
      <c r="UKY2"/>
      <c r="UKZ2"/>
      <c r="ULA2"/>
      <c r="ULB2"/>
      <c r="ULC2"/>
      <c r="ULD2"/>
      <c r="ULE2"/>
      <c r="ULF2"/>
      <c r="ULG2"/>
      <c r="ULH2"/>
      <c r="ULI2"/>
      <c r="ULJ2"/>
      <c r="ULK2"/>
      <c r="ULL2"/>
      <c r="ULM2"/>
      <c r="ULN2"/>
      <c r="ULO2"/>
      <c r="ULP2"/>
      <c r="ULQ2"/>
      <c r="ULR2"/>
      <c r="ULS2"/>
      <c r="ULT2"/>
      <c r="ULU2"/>
      <c r="ULV2"/>
      <c r="ULW2"/>
      <c r="ULX2"/>
      <c r="ULY2"/>
      <c r="ULZ2"/>
      <c r="UMA2"/>
      <c r="UMB2"/>
      <c r="UMC2"/>
      <c r="UMD2"/>
      <c r="UME2"/>
      <c r="UMF2"/>
      <c r="UMG2"/>
      <c r="UMH2"/>
      <c r="UMI2"/>
      <c r="UMJ2"/>
      <c r="UMK2"/>
      <c r="UML2"/>
      <c r="UMM2"/>
      <c r="UMN2"/>
      <c r="UMO2"/>
      <c r="UMP2"/>
      <c r="UMQ2"/>
      <c r="UMR2"/>
      <c r="UMS2"/>
      <c r="UMT2"/>
      <c r="UMU2"/>
      <c r="UMV2"/>
      <c r="UMW2"/>
      <c r="UMX2"/>
      <c r="UMY2"/>
      <c r="UMZ2"/>
      <c r="UNA2"/>
      <c r="UNB2"/>
      <c r="UNC2"/>
      <c r="UND2"/>
      <c r="UNE2"/>
      <c r="UNF2"/>
      <c r="UNG2"/>
      <c r="UNH2"/>
      <c r="UNI2"/>
      <c r="UNJ2"/>
      <c r="UNK2"/>
      <c r="UNL2"/>
      <c r="UNM2"/>
      <c r="UNN2"/>
      <c r="UNO2"/>
      <c r="UNP2"/>
      <c r="UNQ2"/>
      <c r="UNR2"/>
      <c r="UNS2"/>
      <c r="UNT2"/>
      <c r="UNU2"/>
      <c r="UNV2"/>
      <c r="UNW2"/>
      <c r="UNX2"/>
      <c r="UNY2"/>
      <c r="UNZ2"/>
      <c r="UOA2"/>
      <c r="UOB2"/>
      <c r="UOC2"/>
      <c r="UOD2"/>
      <c r="UOE2"/>
      <c r="UOF2"/>
      <c r="UOG2"/>
      <c r="UOH2"/>
      <c r="UOI2"/>
      <c r="UOJ2"/>
      <c r="UOK2"/>
      <c r="UOL2"/>
      <c r="UOM2"/>
      <c r="UON2"/>
      <c r="UOO2"/>
      <c r="UOP2"/>
      <c r="UOQ2"/>
      <c r="UOR2"/>
      <c r="UOS2"/>
      <c r="UOT2"/>
      <c r="UOU2"/>
      <c r="UOV2"/>
      <c r="UOW2"/>
      <c r="UOX2"/>
      <c r="UOY2"/>
      <c r="UOZ2"/>
      <c r="UPA2"/>
      <c r="UPB2"/>
      <c r="UPC2"/>
      <c r="UPD2"/>
      <c r="UPE2"/>
      <c r="UPF2"/>
      <c r="UPG2"/>
      <c r="UPH2"/>
      <c r="UPI2"/>
      <c r="UPJ2"/>
      <c r="UPK2"/>
      <c r="UPL2"/>
      <c r="UPM2"/>
      <c r="UPN2"/>
      <c r="UPO2"/>
      <c r="UPP2"/>
      <c r="UPQ2"/>
      <c r="UPR2"/>
      <c r="UPS2"/>
      <c r="UPT2"/>
      <c r="UPU2"/>
      <c r="UPV2"/>
      <c r="UPW2"/>
      <c r="UPX2"/>
      <c r="UPY2"/>
      <c r="UPZ2"/>
      <c r="UQA2"/>
      <c r="UQB2"/>
      <c r="UQC2"/>
      <c r="UQD2"/>
      <c r="UQE2"/>
      <c r="UQF2"/>
      <c r="UQG2"/>
      <c r="UQH2"/>
      <c r="UQI2"/>
      <c r="UQJ2"/>
      <c r="UQK2"/>
      <c r="UQL2"/>
      <c r="UQM2"/>
      <c r="UQN2"/>
      <c r="UQO2"/>
      <c r="UQP2"/>
      <c r="UQQ2"/>
      <c r="UQR2"/>
      <c r="UQS2"/>
      <c r="UQT2"/>
      <c r="UQU2"/>
      <c r="UQV2"/>
      <c r="UQW2"/>
      <c r="UQX2"/>
      <c r="UQY2"/>
      <c r="UQZ2"/>
      <c r="URA2"/>
      <c r="URB2"/>
      <c r="URC2"/>
      <c r="URD2"/>
      <c r="URE2"/>
      <c r="URF2"/>
      <c r="URG2"/>
      <c r="URH2"/>
      <c r="URI2"/>
      <c r="URJ2"/>
      <c r="URK2"/>
      <c r="URL2"/>
      <c r="URM2"/>
      <c r="URN2"/>
      <c r="URO2"/>
      <c r="URP2"/>
      <c r="URQ2"/>
      <c r="URR2"/>
      <c r="URS2"/>
      <c r="URT2"/>
      <c r="URU2"/>
      <c r="URV2"/>
      <c r="URW2"/>
      <c r="URX2"/>
      <c r="URY2"/>
      <c r="URZ2"/>
      <c r="USA2"/>
      <c r="USB2"/>
      <c r="USC2"/>
      <c r="USD2"/>
      <c r="USE2"/>
      <c r="USF2"/>
      <c r="USG2"/>
      <c r="USH2"/>
      <c r="USI2"/>
      <c r="USJ2"/>
      <c r="USK2"/>
      <c r="USL2"/>
      <c r="USM2"/>
      <c r="USN2"/>
      <c r="USO2"/>
      <c r="USP2"/>
      <c r="USQ2"/>
      <c r="USR2"/>
      <c r="USS2"/>
      <c r="UST2"/>
      <c r="USU2"/>
      <c r="USV2"/>
      <c r="USW2"/>
      <c r="USX2"/>
      <c r="USY2"/>
      <c r="USZ2"/>
      <c r="UTA2"/>
      <c r="UTB2"/>
      <c r="UTC2"/>
      <c r="UTD2"/>
      <c r="UTE2"/>
      <c r="UTF2"/>
      <c r="UTG2"/>
      <c r="UTH2"/>
      <c r="UTI2"/>
      <c r="UTJ2"/>
      <c r="UTK2"/>
      <c r="UTL2"/>
      <c r="UTM2"/>
      <c r="UTN2"/>
      <c r="UTO2"/>
      <c r="UTP2"/>
      <c r="UTQ2"/>
      <c r="UTR2"/>
      <c r="UTS2"/>
      <c r="UTT2"/>
      <c r="UTU2"/>
      <c r="UTV2"/>
      <c r="UTW2"/>
      <c r="UTX2"/>
      <c r="UTY2"/>
      <c r="UTZ2"/>
      <c r="UUA2"/>
      <c r="UUB2"/>
      <c r="UUC2"/>
      <c r="UUD2"/>
      <c r="UUE2"/>
      <c r="UUF2"/>
      <c r="UUG2"/>
      <c r="UUH2"/>
      <c r="UUI2"/>
      <c r="UUJ2"/>
      <c r="UUK2"/>
      <c r="UUL2"/>
      <c r="UUM2"/>
      <c r="UUN2"/>
      <c r="UUO2"/>
      <c r="UUP2"/>
      <c r="UUQ2"/>
      <c r="UUR2"/>
      <c r="UUS2"/>
      <c r="UUT2"/>
      <c r="UUU2"/>
      <c r="UUV2"/>
      <c r="UUW2"/>
      <c r="UUX2"/>
      <c r="UUY2"/>
      <c r="UUZ2"/>
      <c r="UVA2"/>
      <c r="UVB2"/>
      <c r="UVC2"/>
      <c r="UVD2"/>
      <c r="UVE2"/>
      <c r="UVF2"/>
      <c r="UVG2"/>
      <c r="UVH2"/>
      <c r="UVI2"/>
      <c r="UVJ2"/>
      <c r="UVK2"/>
      <c r="UVL2"/>
      <c r="UVM2"/>
      <c r="UVN2"/>
      <c r="UVO2"/>
      <c r="UVP2"/>
      <c r="UVQ2"/>
      <c r="UVR2"/>
      <c r="UVS2"/>
      <c r="UVT2"/>
      <c r="UVU2"/>
      <c r="UVV2"/>
      <c r="UVW2"/>
      <c r="UVX2"/>
      <c r="UVY2"/>
      <c r="UVZ2"/>
      <c r="UWA2"/>
      <c r="UWB2"/>
      <c r="UWC2"/>
      <c r="UWD2"/>
      <c r="UWE2"/>
      <c r="UWF2"/>
      <c r="UWG2"/>
      <c r="UWH2"/>
      <c r="UWI2"/>
      <c r="UWJ2"/>
      <c r="UWK2"/>
      <c r="UWL2"/>
      <c r="UWM2"/>
      <c r="UWN2"/>
      <c r="UWO2"/>
      <c r="UWP2"/>
      <c r="UWQ2"/>
      <c r="UWR2"/>
      <c r="UWS2"/>
      <c r="UWT2"/>
      <c r="UWU2"/>
      <c r="UWV2"/>
      <c r="UWW2"/>
      <c r="UWX2"/>
      <c r="UWY2"/>
      <c r="UWZ2"/>
      <c r="UXA2"/>
      <c r="UXB2"/>
      <c r="UXC2"/>
      <c r="UXD2"/>
      <c r="UXE2"/>
      <c r="UXF2"/>
      <c r="UXG2"/>
      <c r="UXH2"/>
      <c r="UXI2"/>
      <c r="UXJ2"/>
      <c r="UXK2"/>
      <c r="UXL2"/>
      <c r="UXM2"/>
      <c r="UXN2"/>
      <c r="UXO2"/>
      <c r="UXP2"/>
      <c r="UXQ2"/>
      <c r="UXR2"/>
      <c r="UXS2"/>
      <c r="UXT2"/>
      <c r="UXU2"/>
      <c r="UXV2"/>
      <c r="UXW2"/>
      <c r="UXX2"/>
      <c r="UXY2"/>
      <c r="UXZ2"/>
      <c r="UYA2"/>
      <c r="UYB2"/>
      <c r="UYC2"/>
      <c r="UYD2"/>
      <c r="UYE2"/>
      <c r="UYF2"/>
      <c r="UYG2"/>
      <c r="UYH2"/>
      <c r="UYI2"/>
      <c r="UYJ2"/>
      <c r="UYK2"/>
      <c r="UYL2"/>
      <c r="UYM2"/>
      <c r="UYN2"/>
      <c r="UYO2"/>
      <c r="UYP2"/>
      <c r="UYQ2"/>
      <c r="UYR2"/>
      <c r="UYS2"/>
      <c r="UYT2"/>
      <c r="UYU2"/>
      <c r="UYV2"/>
      <c r="UYW2"/>
      <c r="UYX2"/>
      <c r="UYY2"/>
      <c r="UYZ2"/>
      <c r="UZA2"/>
      <c r="UZB2"/>
      <c r="UZC2"/>
      <c r="UZD2"/>
      <c r="UZE2"/>
      <c r="UZF2"/>
      <c r="UZG2"/>
      <c r="UZH2"/>
      <c r="UZI2"/>
      <c r="UZJ2"/>
      <c r="UZK2"/>
      <c r="UZL2"/>
      <c r="UZM2"/>
      <c r="UZN2"/>
      <c r="UZO2"/>
      <c r="UZP2"/>
      <c r="UZQ2"/>
      <c r="UZR2"/>
      <c r="UZS2"/>
      <c r="UZT2"/>
      <c r="UZU2"/>
      <c r="UZV2"/>
      <c r="UZW2"/>
      <c r="UZX2"/>
      <c r="UZY2"/>
      <c r="UZZ2"/>
      <c r="VAA2"/>
      <c r="VAB2"/>
      <c r="VAC2"/>
      <c r="VAD2"/>
      <c r="VAE2"/>
      <c r="VAF2"/>
      <c r="VAG2"/>
      <c r="VAH2"/>
      <c r="VAI2"/>
      <c r="VAJ2"/>
      <c r="VAK2"/>
      <c r="VAL2"/>
      <c r="VAM2"/>
      <c r="VAN2"/>
      <c r="VAO2"/>
      <c r="VAP2"/>
      <c r="VAQ2"/>
      <c r="VAR2"/>
      <c r="VAS2"/>
      <c r="VAT2"/>
      <c r="VAU2"/>
      <c r="VAV2"/>
      <c r="VAW2"/>
      <c r="VAX2"/>
      <c r="VAY2"/>
      <c r="VAZ2"/>
      <c r="VBA2"/>
      <c r="VBB2"/>
      <c r="VBC2"/>
      <c r="VBD2"/>
      <c r="VBE2"/>
      <c r="VBF2"/>
      <c r="VBG2"/>
      <c r="VBH2"/>
      <c r="VBI2"/>
      <c r="VBJ2"/>
      <c r="VBK2"/>
      <c r="VBL2"/>
      <c r="VBM2"/>
      <c r="VBN2"/>
      <c r="VBO2"/>
      <c r="VBP2"/>
      <c r="VBQ2"/>
      <c r="VBR2"/>
      <c r="VBS2"/>
      <c r="VBT2"/>
      <c r="VBU2"/>
      <c r="VBV2"/>
      <c r="VBW2"/>
      <c r="VBX2"/>
      <c r="VBY2"/>
      <c r="VBZ2"/>
      <c r="VCA2"/>
      <c r="VCB2"/>
      <c r="VCC2"/>
      <c r="VCD2"/>
      <c r="VCE2"/>
      <c r="VCF2"/>
      <c r="VCG2"/>
      <c r="VCH2"/>
      <c r="VCI2"/>
      <c r="VCJ2"/>
      <c r="VCK2"/>
      <c r="VCL2"/>
      <c r="VCM2"/>
      <c r="VCN2"/>
      <c r="VCO2"/>
      <c r="VCP2"/>
      <c r="VCQ2"/>
      <c r="VCR2"/>
      <c r="VCS2"/>
      <c r="VCT2"/>
      <c r="VCU2"/>
      <c r="VCV2"/>
      <c r="VCW2"/>
      <c r="VCX2"/>
      <c r="VCY2"/>
      <c r="VCZ2"/>
      <c r="VDA2"/>
      <c r="VDB2"/>
      <c r="VDC2"/>
      <c r="VDD2"/>
      <c r="VDE2"/>
      <c r="VDF2"/>
      <c r="VDG2"/>
      <c r="VDH2"/>
      <c r="VDI2"/>
      <c r="VDJ2"/>
      <c r="VDK2"/>
      <c r="VDL2"/>
      <c r="VDM2"/>
      <c r="VDN2"/>
      <c r="VDO2"/>
      <c r="VDP2"/>
      <c r="VDQ2"/>
      <c r="VDR2"/>
      <c r="VDS2"/>
      <c r="VDT2"/>
      <c r="VDU2"/>
      <c r="VDV2"/>
      <c r="VDW2"/>
      <c r="VDX2"/>
      <c r="VDY2"/>
      <c r="VDZ2"/>
      <c r="VEA2"/>
      <c r="VEB2"/>
      <c r="VEC2"/>
      <c r="VED2"/>
      <c r="VEE2"/>
      <c r="VEF2"/>
      <c r="VEG2"/>
      <c r="VEH2"/>
      <c r="VEI2"/>
      <c r="VEJ2"/>
      <c r="VEK2"/>
      <c r="VEL2"/>
      <c r="VEM2"/>
      <c r="VEN2"/>
      <c r="VEO2"/>
      <c r="VEP2"/>
      <c r="VEQ2"/>
      <c r="VER2"/>
      <c r="VES2"/>
      <c r="VET2"/>
      <c r="VEU2"/>
      <c r="VEV2"/>
      <c r="VEW2"/>
      <c r="VEX2"/>
      <c r="VEY2"/>
      <c r="VEZ2"/>
      <c r="VFA2"/>
      <c r="VFB2"/>
      <c r="VFC2"/>
      <c r="VFD2"/>
      <c r="VFE2"/>
      <c r="VFF2"/>
      <c r="VFG2"/>
      <c r="VFH2"/>
      <c r="VFI2"/>
      <c r="VFJ2"/>
      <c r="VFK2"/>
      <c r="VFL2"/>
      <c r="VFM2"/>
      <c r="VFN2"/>
      <c r="VFO2"/>
      <c r="VFP2"/>
      <c r="VFQ2"/>
      <c r="VFR2"/>
      <c r="VFS2"/>
      <c r="VFT2"/>
      <c r="VFU2"/>
      <c r="VFV2"/>
      <c r="VFW2"/>
      <c r="VFX2"/>
      <c r="VFY2"/>
      <c r="VFZ2"/>
      <c r="VGA2"/>
      <c r="VGB2"/>
      <c r="VGC2"/>
      <c r="VGD2"/>
      <c r="VGE2"/>
      <c r="VGF2"/>
      <c r="VGG2"/>
      <c r="VGH2"/>
      <c r="VGI2"/>
      <c r="VGJ2"/>
      <c r="VGK2"/>
      <c r="VGL2"/>
      <c r="VGM2"/>
      <c r="VGN2"/>
      <c r="VGO2"/>
      <c r="VGP2"/>
      <c r="VGQ2"/>
      <c r="VGR2"/>
      <c r="VGS2"/>
      <c r="VGT2"/>
      <c r="VGU2"/>
      <c r="VGV2"/>
      <c r="VGW2"/>
      <c r="VGX2"/>
      <c r="VGY2"/>
      <c r="VGZ2"/>
      <c r="VHA2"/>
      <c r="VHB2"/>
      <c r="VHC2"/>
      <c r="VHD2"/>
      <c r="VHE2"/>
      <c r="VHF2"/>
      <c r="VHG2"/>
      <c r="VHH2"/>
      <c r="VHI2"/>
      <c r="VHJ2"/>
      <c r="VHK2"/>
      <c r="VHL2"/>
      <c r="VHM2"/>
      <c r="VHN2"/>
      <c r="VHO2"/>
      <c r="VHP2"/>
      <c r="VHQ2"/>
      <c r="VHR2"/>
      <c r="VHS2"/>
      <c r="VHT2"/>
      <c r="VHU2"/>
      <c r="VHV2"/>
      <c r="VHW2"/>
      <c r="VHX2"/>
      <c r="VHY2"/>
      <c r="VHZ2"/>
      <c r="VIA2"/>
      <c r="VIB2"/>
      <c r="VIC2"/>
      <c r="VID2"/>
      <c r="VIE2"/>
      <c r="VIF2"/>
      <c r="VIG2"/>
      <c r="VIH2"/>
      <c r="VII2"/>
      <c r="VIJ2"/>
      <c r="VIK2"/>
      <c r="VIL2"/>
      <c r="VIM2"/>
      <c r="VIN2"/>
      <c r="VIO2"/>
      <c r="VIP2"/>
      <c r="VIQ2"/>
      <c r="VIR2"/>
      <c r="VIS2"/>
      <c r="VIT2"/>
      <c r="VIU2"/>
      <c r="VIV2"/>
      <c r="VIW2"/>
      <c r="VIX2"/>
      <c r="VIY2"/>
      <c r="VIZ2"/>
      <c r="VJA2"/>
      <c r="VJB2"/>
      <c r="VJC2"/>
      <c r="VJD2"/>
      <c r="VJE2"/>
      <c r="VJF2"/>
      <c r="VJG2"/>
      <c r="VJH2"/>
      <c r="VJI2"/>
      <c r="VJJ2"/>
      <c r="VJK2"/>
      <c r="VJL2"/>
      <c r="VJM2"/>
      <c r="VJN2"/>
      <c r="VJO2"/>
      <c r="VJP2"/>
      <c r="VJQ2"/>
      <c r="VJR2"/>
      <c r="VJS2"/>
      <c r="VJT2"/>
      <c r="VJU2"/>
      <c r="VJV2"/>
      <c r="VJW2"/>
      <c r="VJX2"/>
      <c r="VJY2"/>
      <c r="VJZ2"/>
      <c r="VKA2"/>
      <c r="VKB2"/>
      <c r="VKC2"/>
      <c r="VKD2"/>
      <c r="VKE2"/>
      <c r="VKF2"/>
      <c r="VKG2"/>
      <c r="VKH2"/>
      <c r="VKI2"/>
      <c r="VKJ2"/>
      <c r="VKK2"/>
      <c r="VKL2"/>
      <c r="VKM2"/>
      <c r="VKN2"/>
      <c r="VKO2"/>
      <c r="VKP2"/>
      <c r="VKQ2"/>
      <c r="VKR2"/>
      <c r="VKS2"/>
      <c r="VKT2"/>
      <c r="VKU2"/>
      <c r="VKV2"/>
      <c r="VKW2"/>
      <c r="VKX2"/>
      <c r="VKY2"/>
      <c r="VKZ2"/>
      <c r="VLA2"/>
      <c r="VLB2"/>
      <c r="VLC2"/>
      <c r="VLD2"/>
      <c r="VLE2"/>
      <c r="VLF2"/>
      <c r="VLG2"/>
      <c r="VLH2"/>
      <c r="VLI2"/>
      <c r="VLJ2"/>
      <c r="VLK2"/>
      <c r="VLL2"/>
      <c r="VLM2"/>
      <c r="VLN2"/>
      <c r="VLO2"/>
      <c r="VLP2"/>
      <c r="VLQ2"/>
      <c r="VLR2"/>
      <c r="VLS2"/>
      <c r="VLT2"/>
      <c r="VLU2"/>
      <c r="VLV2"/>
      <c r="VLW2"/>
      <c r="VLX2"/>
      <c r="VLY2"/>
      <c r="VLZ2"/>
      <c r="VMA2"/>
      <c r="VMB2"/>
      <c r="VMC2"/>
      <c r="VMD2"/>
      <c r="VME2"/>
      <c r="VMF2"/>
      <c r="VMG2"/>
      <c r="VMH2"/>
      <c r="VMI2"/>
      <c r="VMJ2"/>
      <c r="VMK2"/>
      <c r="VML2"/>
      <c r="VMM2"/>
      <c r="VMN2"/>
      <c r="VMO2"/>
      <c r="VMP2"/>
      <c r="VMQ2"/>
      <c r="VMR2"/>
      <c r="VMS2"/>
      <c r="VMT2"/>
      <c r="VMU2"/>
      <c r="VMV2"/>
      <c r="VMW2"/>
      <c r="VMX2"/>
      <c r="VMY2"/>
      <c r="VMZ2"/>
      <c r="VNA2"/>
      <c r="VNB2"/>
      <c r="VNC2"/>
      <c r="VND2"/>
      <c r="VNE2"/>
      <c r="VNF2"/>
      <c r="VNG2"/>
      <c r="VNH2"/>
      <c r="VNI2"/>
      <c r="VNJ2"/>
      <c r="VNK2"/>
      <c r="VNL2"/>
      <c r="VNM2"/>
      <c r="VNN2"/>
      <c r="VNO2"/>
      <c r="VNP2"/>
      <c r="VNQ2"/>
      <c r="VNR2"/>
      <c r="VNS2"/>
      <c r="VNT2"/>
      <c r="VNU2"/>
      <c r="VNV2"/>
      <c r="VNW2"/>
      <c r="VNX2"/>
      <c r="VNY2"/>
      <c r="VNZ2"/>
      <c r="VOA2"/>
      <c r="VOB2"/>
      <c r="VOC2"/>
      <c r="VOD2"/>
      <c r="VOE2"/>
      <c r="VOF2"/>
      <c r="VOG2"/>
      <c r="VOH2"/>
      <c r="VOI2"/>
      <c r="VOJ2"/>
      <c r="VOK2"/>
      <c r="VOL2"/>
      <c r="VOM2"/>
      <c r="VON2"/>
      <c r="VOO2"/>
      <c r="VOP2"/>
      <c r="VOQ2"/>
      <c r="VOR2"/>
      <c r="VOS2"/>
      <c r="VOT2"/>
      <c r="VOU2"/>
      <c r="VOV2"/>
      <c r="VOW2"/>
      <c r="VOX2"/>
      <c r="VOY2"/>
      <c r="VOZ2"/>
      <c r="VPA2"/>
      <c r="VPB2"/>
      <c r="VPC2"/>
      <c r="VPD2"/>
      <c r="VPE2"/>
      <c r="VPF2"/>
      <c r="VPG2"/>
      <c r="VPH2"/>
      <c r="VPI2"/>
      <c r="VPJ2"/>
      <c r="VPK2"/>
      <c r="VPL2"/>
      <c r="VPM2"/>
      <c r="VPN2"/>
      <c r="VPO2"/>
      <c r="VPP2"/>
      <c r="VPQ2"/>
      <c r="VPR2"/>
      <c r="VPS2"/>
      <c r="VPT2"/>
      <c r="VPU2"/>
      <c r="VPV2"/>
      <c r="VPW2"/>
      <c r="VPX2"/>
      <c r="VPY2"/>
      <c r="VPZ2"/>
      <c r="VQA2"/>
      <c r="VQB2"/>
      <c r="VQC2"/>
      <c r="VQD2"/>
      <c r="VQE2"/>
      <c r="VQF2"/>
      <c r="VQG2"/>
      <c r="VQH2"/>
      <c r="VQI2"/>
      <c r="VQJ2"/>
      <c r="VQK2"/>
      <c r="VQL2"/>
      <c r="VQM2"/>
      <c r="VQN2"/>
      <c r="VQO2"/>
      <c r="VQP2"/>
      <c r="VQQ2"/>
      <c r="VQR2"/>
      <c r="VQS2"/>
      <c r="VQT2"/>
      <c r="VQU2"/>
      <c r="VQV2"/>
      <c r="VQW2"/>
      <c r="VQX2"/>
      <c r="VQY2"/>
      <c r="VQZ2"/>
      <c r="VRA2"/>
      <c r="VRB2"/>
      <c r="VRC2"/>
      <c r="VRD2"/>
      <c r="VRE2"/>
      <c r="VRF2"/>
      <c r="VRG2"/>
      <c r="VRH2"/>
      <c r="VRI2"/>
      <c r="VRJ2"/>
      <c r="VRK2"/>
      <c r="VRL2"/>
      <c r="VRM2"/>
      <c r="VRN2"/>
      <c r="VRO2"/>
      <c r="VRP2"/>
      <c r="VRQ2"/>
      <c r="VRR2"/>
      <c r="VRS2"/>
      <c r="VRT2"/>
      <c r="VRU2"/>
      <c r="VRV2"/>
      <c r="VRW2"/>
      <c r="VRX2"/>
      <c r="VRY2"/>
      <c r="VRZ2"/>
      <c r="VSA2"/>
      <c r="VSB2"/>
      <c r="VSC2"/>
      <c r="VSD2"/>
      <c r="VSE2"/>
      <c r="VSF2"/>
      <c r="VSG2"/>
      <c r="VSH2"/>
      <c r="VSI2"/>
      <c r="VSJ2"/>
      <c r="VSK2"/>
      <c r="VSL2"/>
      <c r="VSM2"/>
      <c r="VSN2"/>
      <c r="VSO2"/>
      <c r="VSP2"/>
      <c r="VSQ2"/>
      <c r="VSR2"/>
      <c r="VSS2"/>
      <c r="VST2"/>
      <c r="VSU2"/>
      <c r="VSV2"/>
      <c r="VSW2"/>
      <c r="VSX2"/>
      <c r="VSY2"/>
      <c r="VSZ2"/>
      <c r="VTA2"/>
      <c r="VTB2"/>
      <c r="VTC2"/>
      <c r="VTD2"/>
      <c r="VTE2"/>
      <c r="VTF2"/>
      <c r="VTG2"/>
      <c r="VTH2"/>
      <c r="VTI2"/>
      <c r="VTJ2"/>
      <c r="VTK2"/>
      <c r="VTL2"/>
      <c r="VTM2"/>
      <c r="VTN2"/>
      <c r="VTO2"/>
      <c r="VTP2"/>
      <c r="VTQ2"/>
      <c r="VTR2"/>
      <c r="VTS2"/>
      <c r="VTT2"/>
      <c r="VTU2"/>
      <c r="VTV2"/>
      <c r="VTW2"/>
      <c r="VTX2"/>
      <c r="VTY2"/>
      <c r="VTZ2"/>
      <c r="VUA2"/>
      <c r="VUB2"/>
      <c r="VUC2"/>
      <c r="VUD2"/>
      <c r="VUE2"/>
      <c r="VUF2"/>
      <c r="VUG2"/>
      <c r="VUH2"/>
      <c r="VUI2"/>
      <c r="VUJ2"/>
      <c r="VUK2"/>
      <c r="VUL2"/>
      <c r="VUM2"/>
      <c r="VUN2"/>
      <c r="VUO2"/>
      <c r="VUP2"/>
      <c r="VUQ2"/>
      <c r="VUR2"/>
      <c r="VUS2"/>
      <c r="VUT2"/>
      <c r="VUU2"/>
      <c r="VUV2"/>
      <c r="VUW2"/>
      <c r="VUX2"/>
      <c r="VUY2"/>
      <c r="VUZ2"/>
      <c r="VVA2"/>
      <c r="VVB2"/>
      <c r="VVC2"/>
      <c r="VVD2"/>
      <c r="VVE2"/>
      <c r="VVF2"/>
      <c r="VVG2"/>
      <c r="VVH2"/>
      <c r="VVI2"/>
      <c r="VVJ2"/>
      <c r="VVK2"/>
      <c r="VVL2"/>
      <c r="VVM2"/>
      <c r="VVN2"/>
      <c r="VVO2"/>
      <c r="VVP2"/>
      <c r="VVQ2"/>
      <c r="VVR2"/>
      <c r="VVS2"/>
      <c r="VVT2"/>
      <c r="VVU2"/>
      <c r="VVV2"/>
      <c r="VVW2"/>
      <c r="VVX2"/>
      <c r="VVY2"/>
      <c r="VVZ2"/>
      <c r="VWA2"/>
      <c r="VWB2"/>
      <c r="VWC2"/>
      <c r="VWD2"/>
      <c r="VWE2"/>
      <c r="VWF2"/>
      <c r="VWG2"/>
      <c r="VWH2"/>
      <c r="VWI2"/>
      <c r="VWJ2"/>
      <c r="VWK2"/>
      <c r="VWL2"/>
      <c r="VWM2"/>
      <c r="VWN2"/>
      <c r="VWO2"/>
      <c r="VWP2"/>
      <c r="VWQ2"/>
      <c r="VWR2"/>
      <c r="VWS2"/>
      <c r="VWT2"/>
      <c r="VWU2"/>
      <c r="VWV2"/>
      <c r="VWW2"/>
      <c r="VWX2"/>
      <c r="VWY2"/>
      <c r="VWZ2"/>
      <c r="VXA2"/>
      <c r="VXB2"/>
      <c r="VXC2"/>
      <c r="VXD2"/>
      <c r="VXE2"/>
      <c r="VXF2"/>
      <c r="VXG2"/>
      <c r="VXH2"/>
      <c r="VXI2"/>
      <c r="VXJ2"/>
      <c r="VXK2"/>
      <c r="VXL2"/>
      <c r="VXM2"/>
      <c r="VXN2"/>
      <c r="VXO2"/>
      <c r="VXP2"/>
      <c r="VXQ2"/>
      <c r="VXR2"/>
      <c r="VXS2"/>
      <c r="VXT2"/>
      <c r="VXU2"/>
      <c r="VXV2"/>
      <c r="VXW2"/>
      <c r="VXX2"/>
      <c r="VXY2"/>
      <c r="VXZ2"/>
      <c r="VYA2"/>
      <c r="VYB2"/>
      <c r="VYC2"/>
      <c r="VYD2"/>
      <c r="VYE2"/>
      <c r="VYF2"/>
      <c r="VYG2"/>
      <c r="VYH2"/>
      <c r="VYI2"/>
      <c r="VYJ2"/>
      <c r="VYK2"/>
      <c r="VYL2"/>
      <c r="VYM2"/>
      <c r="VYN2"/>
      <c r="VYO2"/>
      <c r="VYP2"/>
      <c r="VYQ2"/>
      <c r="VYR2"/>
      <c r="VYS2"/>
      <c r="VYT2"/>
      <c r="VYU2"/>
      <c r="VYV2"/>
      <c r="VYW2"/>
      <c r="VYX2"/>
      <c r="VYY2"/>
      <c r="VYZ2"/>
      <c r="VZA2"/>
      <c r="VZB2"/>
      <c r="VZC2"/>
      <c r="VZD2"/>
      <c r="VZE2"/>
      <c r="VZF2"/>
      <c r="VZG2"/>
      <c r="VZH2"/>
      <c r="VZI2"/>
      <c r="VZJ2"/>
      <c r="VZK2"/>
      <c r="VZL2"/>
      <c r="VZM2"/>
      <c r="VZN2"/>
      <c r="VZO2"/>
      <c r="VZP2"/>
      <c r="VZQ2"/>
      <c r="VZR2"/>
      <c r="VZS2"/>
      <c r="VZT2"/>
      <c r="VZU2"/>
      <c r="VZV2"/>
      <c r="VZW2"/>
      <c r="VZX2"/>
      <c r="VZY2"/>
      <c r="VZZ2"/>
      <c r="WAA2"/>
      <c r="WAB2"/>
      <c r="WAC2"/>
      <c r="WAD2"/>
      <c r="WAE2"/>
      <c r="WAF2"/>
      <c r="WAG2"/>
      <c r="WAH2"/>
      <c r="WAI2"/>
      <c r="WAJ2"/>
      <c r="WAK2"/>
      <c r="WAL2"/>
      <c r="WAM2"/>
      <c r="WAN2"/>
      <c r="WAO2"/>
      <c r="WAP2"/>
      <c r="WAQ2"/>
      <c r="WAR2"/>
      <c r="WAS2"/>
      <c r="WAT2"/>
      <c r="WAU2"/>
      <c r="WAV2"/>
      <c r="WAW2"/>
      <c r="WAX2"/>
      <c r="WAY2"/>
      <c r="WAZ2"/>
      <c r="WBA2"/>
      <c r="WBB2"/>
      <c r="WBC2"/>
      <c r="WBD2"/>
      <c r="WBE2"/>
      <c r="WBF2"/>
      <c r="WBG2"/>
      <c r="WBH2"/>
      <c r="WBI2"/>
      <c r="WBJ2"/>
      <c r="WBK2"/>
      <c r="WBL2"/>
      <c r="WBM2"/>
      <c r="WBN2"/>
      <c r="WBO2"/>
      <c r="WBP2"/>
      <c r="WBQ2"/>
      <c r="WBR2"/>
      <c r="WBS2"/>
      <c r="WBT2"/>
      <c r="WBU2"/>
      <c r="WBV2"/>
      <c r="WBW2"/>
      <c r="WBX2"/>
      <c r="WBY2"/>
      <c r="WBZ2"/>
      <c r="WCA2"/>
      <c r="WCB2"/>
      <c r="WCC2"/>
      <c r="WCD2"/>
      <c r="WCE2"/>
      <c r="WCF2"/>
      <c r="WCG2"/>
      <c r="WCH2"/>
      <c r="WCI2"/>
      <c r="WCJ2"/>
      <c r="WCK2"/>
      <c r="WCL2"/>
      <c r="WCM2"/>
      <c r="WCN2"/>
      <c r="WCO2"/>
      <c r="WCP2"/>
      <c r="WCQ2"/>
      <c r="WCR2"/>
      <c r="WCS2"/>
      <c r="WCT2"/>
      <c r="WCU2"/>
      <c r="WCV2"/>
      <c r="WCW2"/>
      <c r="WCX2"/>
      <c r="WCY2"/>
      <c r="WCZ2"/>
      <c r="WDA2"/>
      <c r="WDB2"/>
      <c r="WDC2"/>
      <c r="WDD2"/>
      <c r="WDE2"/>
      <c r="WDF2"/>
      <c r="WDG2"/>
      <c r="WDH2"/>
      <c r="WDI2"/>
      <c r="WDJ2"/>
      <c r="WDK2"/>
      <c r="WDL2"/>
      <c r="WDM2"/>
      <c r="WDN2"/>
      <c r="WDO2"/>
      <c r="WDP2"/>
      <c r="WDQ2"/>
      <c r="WDR2"/>
      <c r="WDS2"/>
      <c r="WDT2"/>
      <c r="WDU2"/>
      <c r="WDV2"/>
      <c r="WDW2"/>
      <c r="WDX2"/>
      <c r="WDY2"/>
      <c r="WDZ2"/>
      <c r="WEA2"/>
      <c r="WEB2"/>
      <c r="WEC2"/>
      <c r="WED2"/>
      <c r="WEE2"/>
      <c r="WEF2"/>
      <c r="WEG2"/>
      <c r="WEH2"/>
      <c r="WEI2"/>
      <c r="WEJ2"/>
      <c r="WEK2"/>
      <c r="WEL2"/>
      <c r="WEM2"/>
      <c r="WEN2"/>
      <c r="WEO2"/>
      <c r="WEP2"/>
      <c r="WEQ2"/>
      <c r="WER2"/>
      <c r="WES2"/>
      <c r="WET2"/>
      <c r="WEU2"/>
      <c r="WEV2"/>
      <c r="WEW2"/>
      <c r="WEX2"/>
      <c r="WEY2"/>
      <c r="WEZ2"/>
      <c r="WFA2"/>
      <c r="WFB2"/>
      <c r="WFC2"/>
      <c r="WFD2"/>
      <c r="WFE2"/>
      <c r="WFF2"/>
      <c r="WFG2"/>
      <c r="WFH2"/>
      <c r="WFI2"/>
      <c r="WFJ2"/>
      <c r="WFK2"/>
      <c r="WFL2"/>
      <c r="WFM2"/>
      <c r="WFN2"/>
      <c r="WFO2"/>
      <c r="WFP2"/>
      <c r="WFQ2"/>
      <c r="WFR2"/>
      <c r="WFS2"/>
      <c r="WFT2"/>
      <c r="WFU2"/>
      <c r="WFV2"/>
      <c r="WFW2"/>
      <c r="WFX2"/>
      <c r="WFY2"/>
      <c r="WFZ2"/>
      <c r="WGA2"/>
      <c r="WGB2"/>
      <c r="WGC2"/>
      <c r="WGD2"/>
      <c r="WGE2"/>
      <c r="WGF2"/>
      <c r="WGG2"/>
      <c r="WGH2"/>
      <c r="WGI2"/>
      <c r="WGJ2"/>
      <c r="WGK2"/>
      <c r="WGL2"/>
      <c r="WGM2"/>
      <c r="WGN2"/>
      <c r="WGO2"/>
      <c r="WGP2"/>
      <c r="WGQ2"/>
      <c r="WGR2"/>
      <c r="WGS2"/>
      <c r="WGT2"/>
      <c r="WGU2"/>
      <c r="WGV2"/>
      <c r="WGW2"/>
      <c r="WGX2"/>
      <c r="WGY2"/>
      <c r="WGZ2"/>
      <c r="WHA2"/>
      <c r="WHB2"/>
      <c r="WHC2"/>
      <c r="WHD2"/>
      <c r="WHE2"/>
      <c r="WHF2"/>
      <c r="WHG2"/>
      <c r="WHH2"/>
      <c r="WHI2"/>
      <c r="WHJ2"/>
      <c r="WHK2"/>
      <c r="WHL2"/>
      <c r="WHM2"/>
      <c r="WHN2"/>
      <c r="WHO2"/>
      <c r="WHP2"/>
      <c r="WHQ2"/>
      <c r="WHR2"/>
      <c r="WHS2"/>
      <c r="WHT2"/>
      <c r="WHU2"/>
      <c r="WHV2"/>
      <c r="WHW2"/>
      <c r="WHX2"/>
      <c r="WHY2"/>
      <c r="WHZ2"/>
      <c r="WIA2"/>
      <c r="WIB2"/>
      <c r="WIC2"/>
      <c r="WID2"/>
      <c r="WIE2"/>
      <c r="WIF2"/>
      <c r="WIG2"/>
      <c r="WIH2"/>
      <c r="WII2"/>
      <c r="WIJ2"/>
      <c r="WIK2"/>
      <c r="WIL2"/>
      <c r="WIM2"/>
      <c r="WIN2"/>
      <c r="WIO2"/>
      <c r="WIP2"/>
      <c r="WIQ2"/>
      <c r="WIR2"/>
      <c r="WIS2"/>
      <c r="WIT2"/>
      <c r="WIU2"/>
      <c r="WIV2"/>
      <c r="WIW2"/>
      <c r="WIX2"/>
      <c r="WIY2"/>
      <c r="WIZ2"/>
      <c r="WJA2"/>
      <c r="WJB2"/>
      <c r="WJC2"/>
      <c r="WJD2"/>
      <c r="WJE2"/>
      <c r="WJF2"/>
      <c r="WJG2"/>
      <c r="WJH2"/>
      <c r="WJI2"/>
      <c r="WJJ2"/>
      <c r="WJK2"/>
      <c r="WJL2"/>
      <c r="WJM2"/>
      <c r="WJN2"/>
      <c r="WJO2"/>
      <c r="WJP2"/>
      <c r="WJQ2"/>
      <c r="WJR2"/>
      <c r="WJS2"/>
      <c r="WJT2"/>
      <c r="WJU2"/>
      <c r="WJV2"/>
      <c r="WJW2"/>
      <c r="WJX2"/>
      <c r="WJY2"/>
      <c r="WJZ2"/>
      <c r="WKA2"/>
      <c r="WKB2"/>
      <c r="WKC2"/>
      <c r="WKD2"/>
      <c r="WKE2"/>
      <c r="WKF2"/>
      <c r="WKG2"/>
      <c r="WKH2"/>
      <c r="WKI2"/>
      <c r="WKJ2"/>
      <c r="WKK2"/>
      <c r="WKL2"/>
      <c r="WKM2"/>
      <c r="WKN2"/>
      <c r="WKO2"/>
      <c r="WKP2"/>
      <c r="WKQ2"/>
      <c r="WKR2"/>
      <c r="WKS2"/>
      <c r="WKT2"/>
      <c r="WKU2"/>
      <c r="WKV2"/>
      <c r="WKW2"/>
      <c r="WKX2"/>
      <c r="WKY2"/>
      <c r="WKZ2"/>
      <c r="WLA2"/>
      <c r="WLB2"/>
      <c r="WLC2"/>
      <c r="WLD2"/>
      <c r="WLE2"/>
      <c r="WLF2"/>
      <c r="WLG2"/>
      <c r="WLH2"/>
      <c r="WLI2"/>
      <c r="WLJ2"/>
      <c r="WLK2"/>
      <c r="WLL2"/>
      <c r="WLM2"/>
      <c r="WLN2"/>
      <c r="WLO2"/>
      <c r="WLP2"/>
      <c r="WLQ2"/>
      <c r="WLR2"/>
      <c r="WLS2"/>
      <c r="WLT2"/>
      <c r="WLU2"/>
      <c r="WLV2"/>
      <c r="WLW2"/>
      <c r="WLX2"/>
      <c r="WLY2"/>
      <c r="WLZ2"/>
      <c r="WMA2"/>
      <c r="WMB2"/>
      <c r="WMC2"/>
      <c r="WMD2"/>
      <c r="WME2"/>
      <c r="WMF2"/>
      <c r="WMG2"/>
      <c r="WMH2"/>
      <c r="WMI2"/>
      <c r="WMJ2"/>
      <c r="WMK2"/>
      <c r="WML2"/>
      <c r="WMM2"/>
      <c r="WMN2"/>
      <c r="WMO2"/>
      <c r="WMP2"/>
      <c r="WMQ2"/>
      <c r="WMR2"/>
      <c r="WMS2"/>
      <c r="WMT2"/>
      <c r="WMU2"/>
      <c r="WMV2"/>
      <c r="WMW2"/>
      <c r="WMX2"/>
      <c r="WMY2"/>
      <c r="WMZ2"/>
      <c r="WNA2"/>
      <c r="WNB2"/>
      <c r="WNC2"/>
      <c r="WND2"/>
      <c r="WNE2"/>
      <c r="WNF2"/>
      <c r="WNG2"/>
      <c r="WNH2"/>
      <c r="WNI2"/>
      <c r="WNJ2"/>
      <c r="WNK2"/>
      <c r="WNL2"/>
      <c r="WNM2"/>
      <c r="WNN2"/>
      <c r="WNO2"/>
      <c r="WNP2"/>
      <c r="WNQ2"/>
      <c r="WNR2"/>
      <c r="WNS2"/>
      <c r="WNT2"/>
      <c r="WNU2"/>
      <c r="WNV2"/>
      <c r="WNW2"/>
      <c r="WNX2"/>
      <c r="WNY2"/>
      <c r="WNZ2"/>
      <c r="WOA2"/>
      <c r="WOB2"/>
      <c r="WOC2"/>
      <c r="WOD2"/>
      <c r="WOE2"/>
      <c r="WOF2"/>
      <c r="WOG2"/>
      <c r="WOH2"/>
      <c r="WOI2"/>
      <c r="WOJ2"/>
      <c r="WOK2"/>
      <c r="WOL2"/>
      <c r="WOM2"/>
      <c r="WON2"/>
      <c r="WOO2"/>
      <c r="WOP2"/>
      <c r="WOQ2"/>
      <c r="WOR2"/>
      <c r="WOS2"/>
      <c r="WOT2"/>
      <c r="WOU2"/>
      <c r="WOV2"/>
      <c r="WOW2"/>
      <c r="WOX2"/>
      <c r="WOY2"/>
      <c r="WOZ2"/>
      <c r="WPA2"/>
      <c r="WPB2"/>
      <c r="WPC2"/>
      <c r="WPD2"/>
      <c r="WPE2"/>
      <c r="WPF2"/>
      <c r="WPG2"/>
      <c r="WPH2"/>
      <c r="WPI2"/>
      <c r="WPJ2"/>
      <c r="WPK2"/>
      <c r="WPL2"/>
      <c r="WPM2"/>
      <c r="WPN2"/>
      <c r="WPO2"/>
      <c r="WPP2"/>
      <c r="WPQ2"/>
      <c r="WPR2"/>
      <c r="WPS2"/>
      <c r="WPT2"/>
      <c r="WPU2"/>
      <c r="WPV2"/>
      <c r="WPW2"/>
      <c r="WPX2"/>
      <c r="WPY2"/>
      <c r="WPZ2"/>
      <c r="WQA2"/>
      <c r="WQB2"/>
      <c r="WQC2"/>
      <c r="WQD2"/>
      <c r="WQE2"/>
      <c r="WQF2"/>
      <c r="WQG2"/>
      <c r="WQH2"/>
      <c r="WQI2"/>
      <c r="WQJ2"/>
      <c r="WQK2"/>
      <c r="WQL2"/>
      <c r="WQM2"/>
      <c r="WQN2"/>
      <c r="WQO2"/>
      <c r="WQP2"/>
      <c r="WQQ2"/>
      <c r="WQR2"/>
      <c r="WQS2"/>
      <c r="WQT2"/>
      <c r="WQU2"/>
      <c r="WQV2"/>
      <c r="WQW2"/>
      <c r="WQX2"/>
      <c r="WQY2"/>
      <c r="WQZ2"/>
      <c r="WRA2"/>
      <c r="WRB2"/>
      <c r="WRC2"/>
      <c r="WRD2"/>
      <c r="WRE2"/>
      <c r="WRF2"/>
      <c r="WRG2"/>
      <c r="WRH2"/>
      <c r="WRI2"/>
      <c r="WRJ2"/>
      <c r="WRK2"/>
      <c r="WRL2"/>
      <c r="WRM2"/>
      <c r="WRN2"/>
      <c r="WRO2"/>
      <c r="WRP2"/>
      <c r="WRQ2"/>
      <c r="WRR2"/>
      <c r="WRS2"/>
      <c r="WRT2"/>
      <c r="WRU2"/>
      <c r="WRV2"/>
      <c r="WRW2"/>
      <c r="WRX2"/>
      <c r="WRY2"/>
      <c r="WRZ2"/>
      <c r="WSA2"/>
      <c r="WSB2"/>
      <c r="WSC2"/>
      <c r="WSD2"/>
      <c r="WSE2"/>
      <c r="WSF2"/>
      <c r="WSG2"/>
      <c r="WSH2"/>
      <c r="WSI2"/>
      <c r="WSJ2"/>
      <c r="WSK2"/>
      <c r="WSL2"/>
      <c r="WSM2"/>
      <c r="WSN2"/>
      <c r="WSO2"/>
      <c r="WSP2"/>
      <c r="WSQ2"/>
      <c r="WSR2"/>
      <c r="WSS2"/>
      <c r="WST2"/>
      <c r="WSU2"/>
      <c r="WSV2"/>
      <c r="WSW2"/>
      <c r="WSX2"/>
      <c r="WSY2"/>
      <c r="WSZ2"/>
      <c r="WTA2"/>
      <c r="WTB2"/>
      <c r="WTC2"/>
      <c r="WTD2"/>
      <c r="WTE2"/>
      <c r="WTF2"/>
      <c r="WTG2"/>
      <c r="WTH2"/>
      <c r="WTI2"/>
      <c r="WTJ2"/>
      <c r="WTK2"/>
      <c r="WTL2"/>
      <c r="WTM2"/>
      <c r="WTN2"/>
      <c r="WTO2"/>
      <c r="WTP2"/>
      <c r="WTQ2"/>
      <c r="WTR2"/>
      <c r="WTS2"/>
      <c r="WTT2"/>
      <c r="WTU2"/>
      <c r="WTV2"/>
      <c r="WTW2"/>
      <c r="WTX2"/>
      <c r="WTY2"/>
      <c r="WTZ2"/>
      <c r="WUA2"/>
      <c r="WUB2"/>
      <c r="WUC2"/>
      <c r="WUD2"/>
      <c r="WUE2"/>
      <c r="WUF2"/>
      <c r="WUG2"/>
      <c r="WUH2"/>
      <c r="WUI2"/>
      <c r="WUJ2"/>
      <c r="WUK2"/>
      <c r="WUL2"/>
      <c r="WUM2"/>
      <c r="WUN2"/>
      <c r="WUO2"/>
      <c r="WUP2"/>
      <c r="WUQ2"/>
      <c r="WUR2"/>
      <c r="WUS2"/>
      <c r="WUT2"/>
      <c r="WUU2"/>
      <c r="WUV2"/>
      <c r="WUW2"/>
      <c r="WUX2"/>
      <c r="WUY2"/>
      <c r="WUZ2"/>
      <c r="WVA2"/>
      <c r="WVB2"/>
      <c r="WVC2"/>
      <c r="WVD2"/>
      <c r="WVE2"/>
      <c r="WVF2"/>
      <c r="WVG2"/>
      <c r="WVH2"/>
      <c r="WVI2"/>
      <c r="WVJ2"/>
      <c r="WVK2"/>
      <c r="WVL2"/>
      <c r="WVM2"/>
      <c r="WVN2"/>
      <c r="WVO2"/>
      <c r="WVP2"/>
      <c r="WVQ2"/>
      <c r="WVR2"/>
      <c r="WVS2"/>
      <c r="WVT2"/>
      <c r="WVU2"/>
      <c r="WVV2"/>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c r="WYS2"/>
      <c r="WYT2"/>
      <c r="WYU2"/>
      <c r="WYV2"/>
      <c r="WYW2"/>
      <c r="WYX2"/>
      <c r="WYY2"/>
      <c r="WYZ2"/>
      <c r="WZA2"/>
      <c r="WZB2"/>
      <c r="WZC2"/>
      <c r="WZD2"/>
      <c r="WZE2"/>
      <c r="WZF2"/>
      <c r="WZG2"/>
      <c r="WZH2"/>
      <c r="WZI2"/>
      <c r="WZJ2"/>
      <c r="WZK2"/>
      <c r="WZL2"/>
      <c r="WZM2"/>
      <c r="WZN2"/>
      <c r="WZO2"/>
      <c r="WZP2"/>
      <c r="WZQ2"/>
      <c r="WZR2"/>
      <c r="WZS2"/>
      <c r="WZT2"/>
      <c r="WZU2"/>
      <c r="WZV2"/>
      <c r="WZW2"/>
      <c r="WZX2"/>
      <c r="WZY2"/>
      <c r="WZZ2"/>
      <c r="XAA2"/>
      <c r="XAB2"/>
      <c r="XAC2"/>
      <c r="XAD2"/>
      <c r="XAE2"/>
      <c r="XAF2"/>
      <c r="XAG2"/>
      <c r="XAH2"/>
      <c r="XAI2"/>
      <c r="XAJ2"/>
      <c r="XAK2"/>
      <c r="XAL2"/>
      <c r="XAM2"/>
      <c r="XAN2"/>
      <c r="XAO2"/>
      <c r="XAP2"/>
      <c r="XAQ2"/>
      <c r="XAR2"/>
      <c r="XAS2"/>
      <c r="XAT2"/>
      <c r="XAU2"/>
      <c r="XAV2"/>
      <c r="XAW2"/>
      <c r="XAX2"/>
      <c r="XAY2"/>
      <c r="XAZ2"/>
      <c r="XBA2"/>
      <c r="XBB2"/>
      <c r="XBC2"/>
      <c r="XBD2"/>
      <c r="XBE2"/>
      <c r="XBF2"/>
      <c r="XBG2"/>
      <c r="XBH2"/>
      <c r="XBI2"/>
      <c r="XBJ2"/>
      <c r="XBK2"/>
      <c r="XBL2"/>
      <c r="XBM2"/>
      <c r="XBN2"/>
      <c r="XBO2"/>
      <c r="XBP2"/>
      <c r="XBQ2"/>
      <c r="XBR2"/>
      <c r="XBS2"/>
      <c r="XBT2"/>
      <c r="XBU2"/>
      <c r="XBV2"/>
      <c r="XBW2"/>
      <c r="XBX2"/>
      <c r="XBY2"/>
      <c r="XBZ2"/>
      <c r="XCA2"/>
      <c r="XCB2"/>
      <c r="XCC2"/>
      <c r="XCD2"/>
      <c r="XCE2"/>
      <c r="XCF2"/>
      <c r="XCG2"/>
      <c r="XCH2"/>
      <c r="XCI2"/>
      <c r="XCJ2"/>
      <c r="XCK2"/>
      <c r="XCL2"/>
      <c r="XCM2"/>
      <c r="XCN2"/>
      <c r="XCO2"/>
      <c r="XCP2"/>
      <c r="XCQ2"/>
      <c r="XCR2"/>
      <c r="XCS2"/>
      <c r="XCT2"/>
      <c r="XCU2"/>
      <c r="XCV2"/>
      <c r="XCW2"/>
      <c r="XCX2"/>
      <c r="XCY2"/>
      <c r="XCZ2"/>
      <c r="XDA2"/>
      <c r="XDB2"/>
      <c r="XDC2"/>
      <c r="XDD2"/>
      <c r="XDE2"/>
      <c r="XDF2"/>
      <c r="XDG2"/>
      <c r="XDH2"/>
      <c r="XDI2"/>
      <c r="XDJ2"/>
      <c r="XDK2"/>
      <c r="XDL2"/>
      <c r="XDM2"/>
      <c r="XDN2"/>
      <c r="XDO2"/>
      <c r="XDP2"/>
      <c r="XDQ2"/>
      <c r="XDR2"/>
      <c r="XDS2"/>
      <c r="XDT2"/>
      <c r="XDU2"/>
      <c r="XDV2"/>
      <c r="XDW2"/>
      <c r="XDX2"/>
      <c r="XDY2"/>
      <c r="XDZ2"/>
      <c r="XEA2"/>
      <c r="XEB2"/>
      <c r="XEC2"/>
      <c r="XED2"/>
      <c r="XEE2"/>
      <c r="XEF2"/>
      <c r="XEG2"/>
      <c r="XEH2"/>
      <c r="XEI2"/>
      <c r="XEJ2"/>
      <c r="XEK2"/>
      <c r="XEL2"/>
      <c r="XEM2"/>
      <c r="XEN2"/>
      <c r="XEO2"/>
      <c r="XEP2"/>
      <c r="XEQ2"/>
      <c r="XER2"/>
      <c r="XES2"/>
      <c r="XET2"/>
      <c r="XEU2"/>
      <c r="XEV2"/>
      <c r="XEW2"/>
      <c r="XEX2"/>
      <c r="XEY2"/>
      <c r="XEZ2"/>
      <c r="XFA2"/>
      <c r="XFB2"/>
      <c r="XFC2"/>
      <c r="XFD2"/>
    </row>
    <row r="3" spans="1:16384" ht="47.25" customHeight="1" x14ac:dyDescent="0.2">
      <c r="A3" s="242" t="s">
        <v>1220</v>
      </c>
      <c r="B3" s="242"/>
      <c r="C3" s="242"/>
      <c r="D3" s="242"/>
      <c r="E3" s="242"/>
    </row>
    <row r="4" spans="1:16384" ht="19.5" customHeight="1" x14ac:dyDescent="0.2">
      <c r="A4" s="283" t="s">
        <v>80</v>
      </c>
      <c r="B4" s="21" t="s">
        <v>54</v>
      </c>
      <c r="C4" s="21" t="s">
        <v>55</v>
      </c>
      <c r="D4" s="21" t="s">
        <v>56</v>
      </c>
      <c r="E4" s="21" t="s">
        <v>57</v>
      </c>
    </row>
    <row r="5" spans="1:16384" ht="19.5" customHeight="1" x14ac:dyDescent="0.2">
      <c r="A5" s="284"/>
      <c r="B5" s="21" t="s">
        <v>81</v>
      </c>
      <c r="C5" s="21" t="s">
        <v>82</v>
      </c>
      <c r="D5" s="21" t="s">
        <v>83</v>
      </c>
      <c r="E5" s="21" t="s">
        <v>84</v>
      </c>
    </row>
    <row r="6" spans="1:16384" ht="45" customHeight="1" x14ac:dyDescent="0.2">
      <c r="A6" s="190" t="s">
        <v>767</v>
      </c>
      <c r="B6" s="189" t="s">
        <v>762</v>
      </c>
      <c r="C6" s="189" t="s">
        <v>761</v>
      </c>
      <c r="D6" s="188"/>
      <c r="E6" s="188"/>
    </row>
    <row r="7" spans="1:16384" ht="45" customHeight="1" x14ac:dyDescent="0.2">
      <c r="A7" s="190" t="s">
        <v>766</v>
      </c>
      <c r="B7" s="189" t="s">
        <v>762</v>
      </c>
      <c r="C7" s="189" t="s">
        <v>765</v>
      </c>
      <c r="D7" s="191" t="s">
        <v>764</v>
      </c>
      <c r="E7" s="189" t="s">
        <v>763</v>
      </c>
    </row>
    <row r="8" spans="1:16384" ht="45" customHeight="1" x14ac:dyDescent="0.2">
      <c r="A8" s="190" t="s">
        <v>87</v>
      </c>
      <c r="B8" s="189" t="s">
        <v>762</v>
      </c>
      <c r="C8" s="189" t="s">
        <v>761</v>
      </c>
      <c r="D8" s="188"/>
      <c r="E8" s="188"/>
    </row>
    <row r="9" spans="1:16384" ht="25.5" customHeight="1" x14ac:dyDescent="0.2">
      <c r="A9" s="160" t="s">
        <v>85</v>
      </c>
      <c r="B9" s="238" t="s">
        <v>86</v>
      </c>
      <c r="C9" s="239"/>
      <c r="D9" s="239"/>
      <c r="E9" s="240"/>
    </row>
    <row r="10" spans="1:16384" s="15" customFormat="1" x14ac:dyDescent="0.2">
      <c r="A10" s="14"/>
      <c r="B10" s="13"/>
      <c r="C10" s="13"/>
      <c r="D10" s="13"/>
      <c r="E10" s="13"/>
    </row>
    <row r="11" spans="1:16384" x14ac:dyDescent="0.2">
      <c r="B11" s="13"/>
      <c r="C11" s="13"/>
      <c r="D11" s="13"/>
      <c r="E11" s="13"/>
    </row>
    <row r="12" spans="1:16384" ht="22.5" customHeight="1" x14ac:dyDescent="0.2">
      <c r="A12" s="246" t="s">
        <v>481</v>
      </c>
      <c r="B12" s="285"/>
      <c r="C12" s="285"/>
      <c r="D12" s="285"/>
      <c r="E12" s="285"/>
      <c r="F12" s="247"/>
    </row>
    <row r="13" spans="1:16384" ht="22.5" customHeight="1" x14ac:dyDescent="0.2">
      <c r="A13" s="246" t="s">
        <v>53</v>
      </c>
      <c r="B13" s="285"/>
      <c r="C13" s="285"/>
      <c r="D13" s="285"/>
      <c r="E13" s="285"/>
      <c r="F13" s="247"/>
    </row>
    <row r="14" spans="1:16384" ht="33" customHeight="1" x14ac:dyDescent="0.2">
      <c r="A14" s="21" t="s">
        <v>482</v>
      </c>
      <c r="B14" s="21" t="s">
        <v>54</v>
      </c>
      <c r="C14" s="21" t="s">
        <v>55</v>
      </c>
      <c r="D14" s="21" t="s">
        <v>56</v>
      </c>
      <c r="E14" s="21" t="s">
        <v>57</v>
      </c>
      <c r="F14" s="21" t="s">
        <v>58</v>
      </c>
    </row>
    <row r="15" spans="1:16384" ht="140.25" customHeight="1" x14ac:dyDescent="0.2">
      <c r="A15" s="1" t="s">
        <v>483</v>
      </c>
      <c r="B15" s="217">
        <v>1.087</v>
      </c>
      <c r="C15" s="217">
        <v>1.105</v>
      </c>
      <c r="D15" s="217">
        <v>1.1180000000000001</v>
      </c>
      <c r="E15" s="217">
        <v>1.1379999999999999</v>
      </c>
      <c r="F15" s="23" t="s">
        <v>1196</v>
      </c>
    </row>
    <row r="16" spans="1:16384" ht="42" customHeight="1" x14ac:dyDescent="0.2">
      <c r="A16" s="1" t="s">
        <v>484</v>
      </c>
      <c r="B16" s="217">
        <v>1.0569999999999999</v>
      </c>
      <c r="C16" s="217">
        <v>1.06</v>
      </c>
      <c r="D16" s="217">
        <v>1.0649999999999999</v>
      </c>
      <c r="E16" s="217">
        <v>1.069</v>
      </c>
      <c r="F16" s="192" t="s">
        <v>768</v>
      </c>
    </row>
    <row r="17" spans="1:6" ht="44.25" customHeight="1" x14ac:dyDescent="0.2">
      <c r="A17" s="1" t="s">
        <v>485</v>
      </c>
      <c r="B17" s="217">
        <v>1.032</v>
      </c>
      <c r="C17" s="217">
        <v>1.038</v>
      </c>
      <c r="D17" s="217">
        <v>1.0429999999999999</v>
      </c>
      <c r="E17" s="217">
        <v>1.0469999999999999</v>
      </c>
      <c r="F17" s="23" t="s">
        <v>1195</v>
      </c>
    </row>
    <row r="18" spans="1:6" ht="43.5" customHeight="1" x14ac:dyDescent="0.2">
      <c r="A18" s="1" t="s">
        <v>486</v>
      </c>
      <c r="B18" s="217">
        <v>1.024</v>
      </c>
      <c r="C18" s="217">
        <v>1.026</v>
      </c>
      <c r="D18" s="217">
        <v>1.0289999999999999</v>
      </c>
      <c r="E18" s="217">
        <v>1.0309999999999999</v>
      </c>
      <c r="F18" s="192" t="s">
        <v>769</v>
      </c>
    </row>
    <row r="19" spans="1:6" ht="22.5" customHeight="1" x14ac:dyDescent="0.2">
      <c r="A19" s="1" t="s">
        <v>1444</v>
      </c>
      <c r="B19" s="217">
        <v>1.016</v>
      </c>
      <c r="C19" s="217">
        <v>1.018</v>
      </c>
      <c r="D19" s="217">
        <v>1.02</v>
      </c>
      <c r="E19" s="217">
        <v>1.022</v>
      </c>
      <c r="F19" s="193"/>
    </row>
    <row r="20" spans="1:6" ht="22.5" customHeight="1" x14ac:dyDescent="0.2">
      <c r="A20" s="1" t="s">
        <v>1445</v>
      </c>
      <c r="B20" s="217">
        <v>1.012</v>
      </c>
      <c r="C20" s="217">
        <v>1.012</v>
      </c>
      <c r="D20" s="217">
        <v>1.0129999999999999</v>
      </c>
      <c r="E20" s="217">
        <v>1.014</v>
      </c>
      <c r="F20" s="193"/>
    </row>
    <row r="21" spans="1:6" ht="22.5" customHeight="1" x14ac:dyDescent="0.2">
      <c r="A21" s="1" t="s">
        <v>1446</v>
      </c>
      <c r="B21" s="217">
        <v>1.004</v>
      </c>
      <c r="C21" s="217">
        <v>1.0049999999999999</v>
      </c>
      <c r="D21" s="217">
        <v>1.006</v>
      </c>
      <c r="E21" s="217">
        <v>1.006</v>
      </c>
      <c r="F21" s="193"/>
    </row>
    <row r="22" spans="1:6" ht="22.5" customHeight="1" x14ac:dyDescent="0.2">
      <c r="A22" s="1" t="s">
        <v>1447</v>
      </c>
      <c r="B22" s="217">
        <v>1</v>
      </c>
      <c r="C22" s="217">
        <v>1</v>
      </c>
      <c r="D22" s="217">
        <v>1</v>
      </c>
      <c r="E22" s="217">
        <v>1</v>
      </c>
      <c r="F22" s="193"/>
    </row>
    <row r="24" spans="1:6" ht="22.5" customHeight="1" x14ac:dyDescent="0.2">
      <c r="A24" s="246" t="s">
        <v>487</v>
      </c>
      <c r="B24" s="285"/>
      <c r="C24" s="285"/>
      <c r="D24" s="285"/>
      <c r="E24" s="285"/>
      <c r="F24" s="247"/>
    </row>
    <row r="25" spans="1:6" ht="22.5" customHeight="1" x14ac:dyDescent="0.2">
      <c r="A25" s="246" t="s">
        <v>60</v>
      </c>
      <c r="B25" s="285"/>
      <c r="C25" s="285"/>
      <c r="D25" s="285"/>
      <c r="E25" s="285"/>
      <c r="F25" s="247"/>
    </row>
    <row r="26" spans="1:6" ht="33" customHeight="1" x14ac:dyDescent="0.2">
      <c r="A26" s="21" t="s">
        <v>59</v>
      </c>
      <c r="B26" s="21" t="s">
        <v>54</v>
      </c>
      <c r="C26" s="21" t="s">
        <v>55</v>
      </c>
      <c r="D26" s="21" t="s">
        <v>56</v>
      </c>
      <c r="E26" s="21" t="s">
        <v>57</v>
      </c>
      <c r="F26" s="21" t="s">
        <v>58</v>
      </c>
    </row>
    <row r="27" spans="1:6" ht="22.5" customHeight="1" x14ac:dyDescent="0.2">
      <c r="A27" s="219" t="s">
        <v>1221</v>
      </c>
      <c r="B27" s="220">
        <v>1.0429999999999999</v>
      </c>
      <c r="C27" s="220">
        <v>1.0469999999999999</v>
      </c>
      <c r="D27" s="220">
        <v>1.044</v>
      </c>
      <c r="E27" s="220">
        <v>1.048</v>
      </c>
      <c r="F27" s="193">
        <v>803</v>
      </c>
    </row>
    <row r="28" spans="1:6" ht="22.5" customHeight="1" x14ac:dyDescent="0.2">
      <c r="A28" s="219" t="s">
        <v>1222</v>
      </c>
      <c r="B28" s="220">
        <v>1.073</v>
      </c>
      <c r="C28" s="220">
        <v>1.08</v>
      </c>
      <c r="D28" s="220">
        <v>1.0780000000000001</v>
      </c>
      <c r="E28" s="220">
        <v>1.087</v>
      </c>
      <c r="F28" s="193">
        <v>804</v>
      </c>
    </row>
    <row r="29" spans="1:6" ht="22.5" customHeight="1" x14ac:dyDescent="0.2">
      <c r="A29" s="219" t="s">
        <v>1223</v>
      </c>
      <c r="B29" s="220">
        <v>1.0349999999999999</v>
      </c>
      <c r="C29" s="220">
        <v>1.046</v>
      </c>
      <c r="D29" s="220">
        <v>1.0429999999999999</v>
      </c>
      <c r="E29" s="220">
        <v>1.052</v>
      </c>
      <c r="F29" s="193">
        <v>805</v>
      </c>
    </row>
    <row r="30" spans="1:6" ht="22.5" customHeight="1" x14ac:dyDescent="0.2">
      <c r="A30" s="219" t="s">
        <v>1224</v>
      </c>
      <c r="B30" s="220">
        <v>1.03</v>
      </c>
      <c r="C30" s="220">
        <v>1.034</v>
      </c>
      <c r="D30" s="220">
        <v>1.034</v>
      </c>
      <c r="E30" s="220">
        <v>1.038</v>
      </c>
      <c r="F30" s="193">
        <v>806</v>
      </c>
    </row>
    <row r="31" spans="1:6" ht="22.5" customHeight="1" x14ac:dyDescent="0.2">
      <c r="A31" s="219" t="s">
        <v>1225</v>
      </c>
      <c r="B31" s="220">
        <v>1.028</v>
      </c>
      <c r="C31" s="220">
        <v>1.032</v>
      </c>
      <c r="D31" s="220">
        <v>1.0309999999999999</v>
      </c>
      <c r="E31" s="220">
        <v>1.034</v>
      </c>
      <c r="F31" s="193">
        <v>807</v>
      </c>
    </row>
    <row r="32" spans="1:6" ht="22.5" customHeight="1" x14ac:dyDescent="0.2">
      <c r="A32" s="219" t="s">
        <v>1226</v>
      </c>
      <c r="B32" s="220">
        <v>1.0189999999999999</v>
      </c>
      <c r="C32" s="220">
        <v>1.022</v>
      </c>
      <c r="D32" s="220">
        <v>1.02</v>
      </c>
      <c r="E32" s="220">
        <v>1.026</v>
      </c>
      <c r="F32" s="193">
        <v>808</v>
      </c>
    </row>
    <row r="33" spans="1:6" ht="22.5" customHeight="1" x14ac:dyDescent="0.2">
      <c r="A33" s="219" t="s">
        <v>1227</v>
      </c>
      <c r="B33" s="220">
        <v>1.0289999999999999</v>
      </c>
      <c r="C33" s="220">
        <v>1.03</v>
      </c>
      <c r="D33" s="220">
        <v>1.03</v>
      </c>
      <c r="E33" s="220">
        <v>1.032</v>
      </c>
      <c r="F33" s="193">
        <v>809</v>
      </c>
    </row>
    <row r="34" spans="1:6" ht="22.5" customHeight="1" x14ac:dyDescent="0.2">
      <c r="A34" s="219" t="s">
        <v>791</v>
      </c>
      <c r="B34" s="220">
        <v>1.04</v>
      </c>
      <c r="C34" s="220">
        <v>1.0580000000000001</v>
      </c>
      <c r="D34" s="220">
        <v>1.046</v>
      </c>
      <c r="E34" s="220">
        <v>1.0660000000000001</v>
      </c>
      <c r="F34" s="193">
        <v>810</v>
      </c>
    </row>
    <row r="35" spans="1:6" ht="22.5" customHeight="1" x14ac:dyDescent="0.2">
      <c r="A35" s="219" t="s">
        <v>1228</v>
      </c>
      <c r="B35" s="220">
        <v>1.016</v>
      </c>
      <c r="C35" s="220">
        <v>1.018</v>
      </c>
      <c r="D35" s="220">
        <v>1.02</v>
      </c>
      <c r="E35" s="220">
        <v>1.022</v>
      </c>
      <c r="F35" s="193">
        <v>811</v>
      </c>
    </row>
    <row r="36" spans="1:6" ht="22.5" customHeight="1" x14ac:dyDescent="0.2">
      <c r="A36" s="219" t="s">
        <v>1229</v>
      </c>
      <c r="B36" s="220">
        <v>1.0780000000000001</v>
      </c>
      <c r="C36" s="220">
        <v>1.0880000000000001</v>
      </c>
      <c r="D36" s="220">
        <v>1.0840000000000001</v>
      </c>
      <c r="E36" s="220">
        <v>1.0960000000000001</v>
      </c>
      <c r="F36" s="193">
        <v>812</v>
      </c>
    </row>
    <row r="37" spans="1:6" ht="22.5" customHeight="1" x14ac:dyDescent="0.2">
      <c r="A37" s="219" t="s">
        <v>1230</v>
      </c>
      <c r="B37" s="220">
        <v>1.052</v>
      </c>
      <c r="C37" s="220">
        <v>1.0569999999999999</v>
      </c>
      <c r="D37" s="220">
        <v>1.0549999999999999</v>
      </c>
      <c r="E37" s="220">
        <v>1.06</v>
      </c>
      <c r="F37" s="193">
        <v>813</v>
      </c>
    </row>
    <row r="38" spans="1:6" ht="22.5" customHeight="1" x14ac:dyDescent="0.2">
      <c r="A38" s="219" t="s">
        <v>1231</v>
      </c>
      <c r="B38" s="220">
        <v>1.0429999999999999</v>
      </c>
      <c r="C38" s="220">
        <v>1.0469999999999999</v>
      </c>
      <c r="D38" s="220">
        <v>1.0449999999999999</v>
      </c>
      <c r="E38" s="220">
        <v>1.05</v>
      </c>
      <c r="F38" s="193">
        <v>814</v>
      </c>
    </row>
    <row r="39" spans="1:6" ht="22.5" customHeight="1" x14ac:dyDescent="0.2">
      <c r="A39" s="219" t="s">
        <v>1275</v>
      </c>
      <c r="B39" s="220">
        <v>1.044</v>
      </c>
      <c r="C39" s="220">
        <v>1.0469999999999999</v>
      </c>
      <c r="D39" s="220">
        <v>1.046</v>
      </c>
      <c r="E39" s="220">
        <v>1.0489999999999999</v>
      </c>
      <c r="F39" s="193">
        <v>815</v>
      </c>
    </row>
    <row r="40" spans="1:6" ht="22.5" customHeight="1" x14ac:dyDescent="0.2">
      <c r="A40" s="219" t="s">
        <v>1232</v>
      </c>
      <c r="B40" s="220">
        <v>1.022</v>
      </c>
      <c r="C40" s="220">
        <v>1.0289999999999999</v>
      </c>
      <c r="D40" s="220">
        <v>1.024</v>
      </c>
      <c r="E40" s="220">
        <v>1.0329999999999999</v>
      </c>
      <c r="F40" s="193">
        <v>816</v>
      </c>
    </row>
    <row r="41" spans="1:6" ht="22.5" customHeight="1" x14ac:dyDescent="0.2">
      <c r="A41" s="219" t="s">
        <v>1233</v>
      </c>
      <c r="B41" s="220">
        <v>1.038</v>
      </c>
      <c r="C41" s="220">
        <v>1.052</v>
      </c>
      <c r="D41" s="220">
        <v>1.0429999999999999</v>
      </c>
      <c r="E41" s="220">
        <v>1.0620000000000001</v>
      </c>
      <c r="F41" s="193">
        <v>817</v>
      </c>
    </row>
    <row r="42" spans="1:6" ht="22.5" customHeight="1" x14ac:dyDescent="0.2">
      <c r="A42" s="219" t="s">
        <v>1441</v>
      </c>
      <c r="B42" s="220">
        <v>1.016</v>
      </c>
      <c r="C42" s="220">
        <v>1.018</v>
      </c>
      <c r="D42" s="220">
        <v>1.02</v>
      </c>
      <c r="E42" s="220">
        <v>1.022</v>
      </c>
      <c r="F42" s="193">
        <v>818</v>
      </c>
    </row>
    <row r="43" spans="1:6" ht="22.5" customHeight="1" x14ac:dyDescent="0.2">
      <c r="A43" s="219" t="s">
        <v>1234</v>
      </c>
      <c r="B43" s="220">
        <v>1.0269999999999999</v>
      </c>
      <c r="C43" s="220">
        <v>1.038</v>
      </c>
      <c r="D43" s="220">
        <v>1.032</v>
      </c>
      <c r="E43" s="220">
        <v>1.0449999999999999</v>
      </c>
      <c r="F43" s="193">
        <v>819</v>
      </c>
    </row>
    <row r="44" spans="1:6" ht="22.5" customHeight="1" x14ac:dyDescent="0.2">
      <c r="A44" s="219" t="s">
        <v>1235</v>
      </c>
      <c r="B44" s="220">
        <v>1.0189999999999999</v>
      </c>
      <c r="C44" s="220">
        <v>1.0449999999999999</v>
      </c>
      <c r="D44" s="220">
        <v>1.0229999999999999</v>
      </c>
      <c r="E44" s="220">
        <v>1.0660000000000001</v>
      </c>
      <c r="F44" s="193">
        <v>820</v>
      </c>
    </row>
    <row r="45" spans="1:6" ht="22.5" customHeight="1" x14ac:dyDescent="0.2">
      <c r="A45" s="219" t="s">
        <v>1271</v>
      </c>
      <c r="B45" s="220">
        <v>1.0369999999999999</v>
      </c>
      <c r="C45" s="220">
        <v>1.0609999999999999</v>
      </c>
      <c r="D45" s="220">
        <v>1.0509999999999999</v>
      </c>
      <c r="E45" s="220">
        <v>1.0740000000000001</v>
      </c>
      <c r="F45" s="193">
        <v>821</v>
      </c>
    </row>
    <row r="46" spans="1:6" ht="22.5" customHeight="1" x14ac:dyDescent="0.2">
      <c r="A46" s="219" t="s">
        <v>1236</v>
      </c>
      <c r="B46" s="220">
        <v>1.0309999999999999</v>
      </c>
      <c r="C46" s="220">
        <v>1.042</v>
      </c>
      <c r="D46" s="220">
        <v>1.038</v>
      </c>
      <c r="E46" s="220">
        <v>1.0509999999999999</v>
      </c>
      <c r="F46" s="193">
        <v>822</v>
      </c>
    </row>
    <row r="47" spans="1:6" ht="22.5" customHeight="1" x14ac:dyDescent="0.2">
      <c r="A47" s="219" t="s">
        <v>1276</v>
      </c>
      <c r="B47" s="220">
        <v>1.016</v>
      </c>
      <c r="C47" s="220">
        <v>1.018</v>
      </c>
      <c r="D47" s="220">
        <v>1.0209999999999999</v>
      </c>
      <c r="E47" s="220">
        <v>1.022</v>
      </c>
      <c r="F47" s="193">
        <v>823</v>
      </c>
    </row>
    <row r="48" spans="1:6" ht="22.5" customHeight="1" x14ac:dyDescent="0.2">
      <c r="A48" s="219" t="s">
        <v>1237</v>
      </c>
      <c r="B48" s="220">
        <v>1.01</v>
      </c>
      <c r="C48" s="220">
        <v>1.016</v>
      </c>
      <c r="D48" s="220">
        <v>1.014</v>
      </c>
      <c r="E48" s="220">
        <v>1.0209999999999999</v>
      </c>
      <c r="F48" s="193">
        <v>824</v>
      </c>
    </row>
    <row r="49" spans="1:6" ht="22.5" customHeight="1" x14ac:dyDescent="0.2">
      <c r="A49" s="219" t="s">
        <v>1238</v>
      </c>
      <c r="B49" s="220">
        <v>1.016</v>
      </c>
      <c r="C49" s="220">
        <v>1.018</v>
      </c>
      <c r="D49" s="220">
        <v>1.0209999999999999</v>
      </c>
      <c r="E49" s="220">
        <v>1.022</v>
      </c>
      <c r="F49" s="193">
        <v>826</v>
      </c>
    </row>
    <row r="50" spans="1:6" ht="22.5" customHeight="1" x14ac:dyDescent="0.2">
      <c r="A50" s="219" t="s">
        <v>1277</v>
      </c>
      <c r="B50" s="220">
        <v>1.0449999999999999</v>
      </c>
      <c r="C50" s="220">
        <v>1.069</v>
      </c>
      <c r="D50" s="220">
        <v>1.052</v>
      </c>
      <c r="E50" s="220">
        <v>1.079</v>
      </c>
      <c r="F50" s="193">
        <v>827</v>
      </c>
    </row>
    <row r="51" spans="1:6" ht="22.5" customHeight="1" x14ac:dyDescent="0.2">
      <c r="A51" s="219" t="s">
        <v>1239</v>
      </c>
      <c r="B51" s="220">
        <v>1.012</v>
      </c>
      <c r="C51" s="220">
        <v>1.028</v>
      </c>
      <c r="D51" s="220">
        <v>1.022</v>
      </c>
      <c r="E51" s="220">
        <v>1.0389999999999999</v>
      </c>
      <c r="F51" s="193">
        <v>828</v>
      </c>
    </row>
    <row r="52" spans="1:6" ht="22.5" customHeight="1" x14ac:dyDescent="0.2">
      <c r="A52" s="219" t="s">
        <v>1240</v>
      </c>
      <c r="B52" s="220">
        <v>1.0589999999999999</v>
      </c>
      <c r="C52" s="220">
        <v>1.069</v>
      </c>
      <c r="D52" s="220">
        <v>1.0649999999999999</v>
      </c>
      <c r="E52" s="220">
        <v>1.0680000000000001</v>
      </c>
      <c r="F52" s="193">
        <v>829</v>
      </c>
    </row>
    <row r="53" spans="1:6" ht="22.5" customHeight="1" x14ac:dyDescent="0.2">
      <c r="A53" s="219" t="s">
        <v>1278</v>
      </c>
      <c r="B53" s="220">
        <v>1</v>
      </c>
      <c r="C53" s="220">
        <v>1.0229999999999999</v>
      </c>
      <c r="D53" s="220">
        <v>1.0089999999999999</v>
      </c>
      <c r="E53" s="220">
        <v>1.038</v>
      </c>
      <c r="F53" s="193">
        <v>830</v>
      </c>
    </row>
    <row r="54" spans="1:6" ht="22.5" customHeight="1" x14ac:dyDescent="0.2">
      <c r="A54" s="219" t="s">
        <v>1279</v>
      </c>
      <c r="B54" s="220">
        <v>1.0669999999999999</v>
      </c>
      <c r="C54" s="220">
        <v>1.075</v>
      </c>
      <c r="D54" s="220">
        <v>1.071</v>
      </c>
      <c r="E54" s="220">
        <v>1.08</v>
      </c>
      <c r="F54" s="193">
        <v>831</v>
      </c>
    </row>
    <row r="55" spans="1:6" ht="22.5" customHeight="1" x14ac:dyDescent="0.2">
      <c r="A55" s="219" t="s">
        <v>1241</v>
      </c>
      <c r="B55" s="220">
        <v>1.022</v>
      </c>
      <c r="C55" s="220">
        <v>1.028</v>
      </c>
      <c r="D55" s="220">
        <v>1.0229999999999999</v>
      </c>
      <c r="E55" s="220">
        <v>1.0309999999999999</v>
      </c>
      <c r="F55" s="193">
        <v>833</v>
      </c>
    </row>
    <row r="56" spans="1:6" ht="22.5" customHeight="1" x14ac:dyDescent="0.2">
      <c r="A56" s="219" t="s">
        <v>1242</v>
      </c>
      <c r="B56" s="220">
        <v>1.0680000000000001</v>
      </c>
      <c r="C56" s="220">
        <v>1.0840000000000001</v>
      </c>
      <c r="D56" s="220">
        <v>1.075</v>
      </c>
      <c r="E56" s="220">
        <v>1.0980000000000001</v>
      </c>
      <c r="F56" s="193">
        <v>834</v>
      </c>
    </row>
    <row r="57" spans="1:6" ht="22.5" customHeight="1" x14ac:dyDescent="0.2">
      <c r="A57" s="219" t="s">
        <v>1243</v>
      </c>
      <c r="B57" s="220">
        <v>1.0169999999999999</v>
      </c>
      <c r="C57" s="220">
        <v>1.034</v>
      </c>
      <c r="D57" s="220">
        <v>1.0309999999999999</v>
      </c>
      <c r="E57" s="220">
        <v>1</v>
      </c>
      <c r="F57" s="193">
        <v>835</v>
      </c>
    </row>
    <row r="58" spans="1:6" ht="22.5" customHeight="1" x14ac:dyDescent="0.2">
      <c r="A58" s="219" t="s">
        <v>1244</v>
      </c>
      <c r="B58" s="220">
        <v>1.026</v>
      </c>
      <c r="C58" s="220">
        <v>1.032</v>
      </c>
      <c r="D58" s="220">
        <v>1.0269999999999999</v>
      </c>
      <c r="E58" s="220">
        <v>1.0369999999999999</v>
      </c>
      <c r="F58" s="193">
        <v>836</v>
      </c>
    </row>
    <row r="59" spans="1:6" ht="22.5" customHeight="1" x14ac:dyDescent="0.2">
      <c r="A59" s="219" t="s">
        <v>1439</v>
      </c>
      <c r="B59" s="220">
        <v>1.016</v>
      </c>
      <c r="C59" s="220">
        <v>1.018</v>
      </c>
      <c r="D59" s="220">
        <v>1.02</v>
      </c>
      <c r="E59" s="220">
        <v>1.022</v>
      </c>
      <c r="F59" s="193">
        <v>837</v>
      </c>
    </row>
    <row r="60" spans="1:6" ht="22.5" customHeight="1" x14ac:dyDescent="0.2">
      <c r="A60" s="219" t="s">
        <v>1280</v>
      </c>
      <c r="B60" s="220">
        <v>1.036</v>
      </c>
      <c r="C60" s="220">
        <v>1.046</v>
      </c>
      <c r="D60" s="220">
        <v>1.069</v>
      </c>
      <c r="E60" s="220">
        <v>1.0960000000000001</v>
      </c>
      <c r="F60" s="193">
        <v>838</v>
      </c>
    </row>
    <row r="61" spans="1:6" ht="22.5" customHeight="1" x14ac:dyDescent="0.2">
      <c r="A61" s="219" t="s">
        <v>1245</v>
      </c>
      <c r="B61" s="220">
        <v>1.036</v>
      </c>
      <c r="C61" s="220">
        <v>1.0449999999999999</v>
      </c>
      <c r="D61" s="220">
        <v>1.042</v>
      </c>
      <c r="E61" s="220">
        <v>1.052</v>
      </c>
      <c r="F61" s="193">
        <v>839</v>
      </c>
    </row>
    <row r="62" spans="1:6" ht="22.5" customHeight="1" x14ac:dyDescent="0.2">
      <c r="A62" s="219" t="s">
        <v>1281</v>
      </c>
      <c r="B62" s="220">
        <v>1.0069999999999999</v>
      </c>
      <c r="C62" s="220">
        <v>1.0229999999999999</v>
      </c>
      <c r="D62" s="220">
        <v>1.016</v>
      </c>
      <c r="E62" s="220">
        <v>1.0289999999999999</v>
      </c>
      <c r="F62" s="193">
        <v>840</v>
      </c>
    </row>
    <row r="63" spans="1:6" ht="22.5" customHeight="1" x14ac:dyDescent="0.2">
      <c r="A63" s="219" t="s">
        <v>1282</v>
      </c>
      <c r="B63" s="220">
        <v>1.0069999999999999</v>
      </c>
      <c r="C63" s="220">
        <v>1.0229999999999999</v>
      </c>
      <c r="D63" s="220">
        <v>1.016</v>
      </c>
      <c r="E63" s="220">
        <v>1.0289999999999999</v>
      </c>
      <c r="F63" s="193">
        <v>841</v>
      </c>
    </row>
    <row r="64" spans="1:6" ht="22.5" customHeight="1" x14ac:dyDescent="0.2">
      <c r="A64" s="219" t="s">
        <v>1246</v>
      </c>
      <c r="B64" s="220">
        <v>1.02</v>
      </c>
      <c r="C64" s="220">
        <v>1.038</v>
      </c>
      <c r="D64" s="220">
        <v>1.0289999999999999</v>
      </c>
      <c r="E64" s="220">
        <v>1.046</v>
      </c>
      <c r="F64" s="193">
        <v>842</v>
      </c>
    </row>
    <row r="65" spans="1:6" ht="22.5" customHeight="1" x14ac:dyDescent="0.2">
      <c r="A65" s="219" t="s">
        <v>1247</v>
      </c>
      <c r="B65" s="220">
        <v>1.054</v>
      </c>
      <c r="C65" s="220">
        <v>1.0680000000000001</v>
      </c>
      <c r="D65" s="220">
        <v>1.0640000000000001</v>
      </c>
      <c r="E65" s="220">
        <v>1.0760000000000001</v>
      </c>
      <c r="F65" s="193">
        <v>843</v>
      </c>
    </row>
    <row r="66" spans="1:6" ht="22.5" customHeight="1" x14ac:dyDescent="0.2">
      <c r="A66" s="219" t="s">
        <v>1248</v>
      </c>
      <c r="B66" s="220">
        <v>1.054</v>
      </c>
      <c r="C66" s="220">
        <v>1.0680000000000001</v>
      </c>
      <c r="D66" s="220">
        <v>1.0640000000000001</v>
      </c>
      <c r="E66" s="220">
        <v>1.0760000000000001</v>
      </c>
      <c r="F66" s="193">
        <v>844</v>
      </c>
    </row>
    <row r="67" spans="1:6" ht="22.5" customHeight="1" x14ac:dyDescent="0.2">
      <c r="A67" s="219" t="s">
        <v>1249</v>
      </c>
      <c r="B67" s="220">
        <v>1.026</v>
      </c>
      <c r="C67" s="220">
        <v>1.0549999999999999</v>
      </c>
      <c r="D67" s="220">
        <v>1.042</v>
      </c>
      <c r="E67" s="220">
        <v>1.0720000000000001</v>
      </c>
      <c r="F67" s="193">
        <v>845</v>
      </c>
    </row>
    <row r="68" spans="1:6" ht="22.5" customHeight="1" x14ac:dyDescent="0.2">
      <c r="A68" s="219" t="s">
        <v>1283</v>
      </c>
      <c r="B68" s="220">
        <v>1.008</v>
      </c>
      <c r="C68" s="220">
        <v>1.034</v>
      </c>
      <c r="D68" s="220">
        <v>1.0309999999999999</v>
      </c>
      <c r="E68" s="220">
        <v>1.0449999999999999</v>
      </c>
      <c r="F68" s="193">
        <v>846</v>
      </c>
    </row>
    <row r="69" spans="1:6" ht="22.5" customHeight="1" x14ac:dyDescent="0.2">
      <c r="A69" s="219" t="s">
        <v>1250</v>
      </c>
      <c r="B69" s="220">
        <v>1.0129999999999999</v>
      </c>
      <c r="C69" s="220">
        <v>1.0209999999999999</v>
      </c>
      <c r="D69" s="220">
        <v>1.018</v>
      </c>
      <c r="E69" s="220">
        <v>1.0269999999999999</v>
      </c>
      <c r="F69" s="193">
        <v>847</v>
      </c>
    </row>
    <row r="70" spans="1:6" ht="22.5" customHeight="1" x14ac:dyDescent="0.2">
      <c r="A70" s="219" t="s">
        <v>1284</v>
      </c>
      <c r="B70" s="220">
        <v>1.0109999999999999</v>
      </c>
      <c r="C70" s="220">
        <v>1.0209999999999999</v>
      </c>
      <c r="D70" s="220">
        <v>1.014</v>
      </c>
      <c r="E70" s="220">
        <v>1.028</v>
      </c>
      <c r="F70" s="193">
        <v>848</v>
      </c>
    </row>
    <row r="71" spans="1:6" ht="22.5" customHeight="1" x14ac:dyDescent="0.2">
      <c r="A71" s="219" t="s">
        <v>1251</v>
      </c>
      <c r="B71" s="220">
        <v>1.016</v>
      </c>
      <c r="C71" s="220">
        <v>1.012</v>
      </c>
      <c r="D71" s="220">
        <v>1.0189999999999999</v>
      </c>
      <c r="E71" s="220">
        <v>1.0229999999999999</v>
      </c>
      <c r="F71" s="193">
        <v>849</v>
      </c>
    </row>
    <row r="72" spans="1:6" ht="22.5" customHeight="1" x14ac:dyDescent="0.2">
      <c r="A72" s="219" t="s">
        <v>1252</v>
      </c>
      <c r="B72" s="220">
        <v>1.0109999999999999</v>
      </c>
      <c r="C72" s="220">
        <v>1.016</v>
      </c>
      <c r="D72" s="220">
        <v>1.014</v>
      </c>
      <c r="E72" s="220">
        <v>1.0209999999999999</v>
      </c>
      <c r="F72" s="193">
        <v>850</v>
      </c>
    </row>
    <row r="73" spans="1:6" ht="22.5" customHeight="1" x14ac:dyDescent="0.2">
      <c r="A73" s="219" t="s">
        <v>1253</v>
      </c>
      <c r="B73" s="220">
        <v>1.0069999999999999</v>
      </c>
      <c r="C73" s="220">
        <v>1.0229999999999999</v>
      </c>
      <c r="D73" s="220">
        <v>1.016</v>
      </c>
      <c r="E73" s="220">
        <v>1.0289999999999999</v>
      </c>
      <c r="F73" s="193">
        <v>851</v>
      </c>
    </row>
    <row r="74" spans="1:6" ht="22.5" customHeight="1" x14ac:dyDescent="0.2">
      <c r="A74" s="219" t="s">
        <v>1254</v>
      </c>
      <c r="B74" s="220">
        <v>1.0680000000000001</v>
      </c>
      <c r="C74" s="220">
        <v>1.0760000000000001</v>
      </c>
      <c r="D74" s="220">
        <v>1.073</v>
      </c>
      <c r="E74" s="220">
        <v>1.08</v>
      </c>
      <c r="F74" s="193">
        <v>852</v>
      </c>
    </row>
    <row r="75" spans="1:6" ht="22.5" customHeight="1" x14ac:dyDescent="0.2">
      <c r="A75" s="219" t="s">
        <v>1255</v>
      </c>
      <c r="B75" s="220">
        <v>1.0289999999999999</v>
      </c>
      <c r="C75" s="220">
        <v>1.0549999999999999</v>
      </c>
      <c r="D75" s="220">
        <v>1.04</v>
      </c>
      <c r="E75" s="220">
        <v>1.073</v>
      </c>
      <c r="F75" s="193">
        <v>854</v>
      </c>
    </row>
    <row r="76" spans="1:6" ht="22.5" customHeight="1" x14ac:dyDescent="0.2">
      <c r="A76" s="219" t="s">
        <v>1256</v>
      </c>
      <c r="B76" s="220">
        <v>1.0169999999999999</v>
      </c>
      <c r="C76" s="220">
        <v>1.0329999999999999</v>
      </c>
      <c r="D76" s="220">
        <v>1.0269999999999999</v>
      </c>
      <c r="E76" s="220">
        <v>1.042</v>
      </c>
      <c r="F76" s="193">
        <v>856</v>
      </c>
    </row>
    <row r="77" spans="1:6" ht="22.5" customHeight="1" x14ac:dyDescent="0.2">
      <c r="A77" s="219" t="s">
        <v>805</v>
      </c>
      <c r="B77" s="220">
        <v>1.0029999999999999</v>
      </c>
      <c r="C77" s="220">
        <v>1.008</v>
      </c>
      <c r="D77" s="220">
        <v>1.004</v>
      </c>
      <c r="E77" s="220">
        <v>1.0129999999999999</v>
      </c>
      <c r="F77" s="193">
        <v>857</v>
      </c>
    </row>
    <row r="78" spans="1:6" ht="22.5" customHeight="1" x14ac:dyDescent="0.2">
      <c r="A78" s="219" t="s">
        <v>1257</v>
      </c>
      <c r="B78" s="220">
        <v>1.036</v>
      </c>
      <c r="C78" s="220">
        <v>1.046</v>
      </c>
      <c r="D78" s="220">
        <v>1.069</v>
      </c>
      <c r="E78" s="220">
        <v>1.0960000000000001</v>
      </c>
      <c r="F78" s="193">
        <v>865</v>
      </c>
    </row>
    <row r="79" spans="1:6" ht="22.5" customHeight="1" x14ac:dyDescent="0.2">
      <c r="A79" s="219" t="s">
        <v>1258</v>
      </c>
      <c r="B79" s="220">
        <v>1.026</v>
      </c>
      <c r="C79" s="220">
        <v>1.0589999999999999</v>
      </c>
      <c r="D79" s="220">
        <v>1.0469999999999999</v>
      </c>
      <c r="E79" s="220">
        <v>1.083</v>
      </c>
      <c r="F79" s="193">
        <v>866</v>
      </c>
    </row>
    <row r="80" spans="1:6" ht="22.5" customHeight="1" x14ac:dyDescent="0.2">
      <c r="A80" s="219" t="s">
        <v>1285</v>
      </c>
      <c r="B80" s="220">
        <v>1.008</v>
      </c>
      <c r="C80" s="220">
        <v>1.0409999999999999</v>
      </c>
      <c r="D80" s="220">
        <v>1.0409999999999999</v>
      </c>
      <c r="E80" s="220">
        <v>1.0649999999999999</v>
      </c>
      <c r="F80" s="193">
        <v>867</v>
      </c>
    </row>
    <row r="81" spans="1:6" ht="22.5" customHeight="1" x14ac:dyDescent="0.2">
      <c r="A81" s="219" t="s">
        <v>1286</v>
      </c>
      <c r="B81" s="220">
        <v>0.996</v>
      </c>
      <c r="C81" s="220">
        <v>0.99299999999999999</v>
      </c>
      <c r="D81" s="220">
        <v>0.99399999999999999</v>
      </c>
      <c r="E81" s="220">
        <v>0.995</v>
      </c>
      <c r="F81" s="193">
        <v>868</v>
      </c>
    </row>
    <row r="82" spans="1:6" ht="22.5" customHeight="1" x14ac:dyDescent="0.2">
      <c r="A82" s="219" t="s">
        <v>1287</v>
      </c>
      <c r="B82" s="220">
        <v>1.0229999999999999</v>
      </c>
      <c r="C82" s="220">
        <v>1.0429999999999999</v>
      </c>
      <c r="D82" s="220">
        <v>1.038</v>
      </c>
      <c r="E82" s="220">
        <v>1.0569999999999999</v>
      </c>
      <c r="F82" s="193">
        <v>869</v>
      </c>
    </row>
    <row r="83" spans="1:6" ht="22.5" customHeight="1" x14ac:dyDescent="0.2">
      <c r="A83" s="219" t="s">
        <v>1288</v>
      </c>
      <c r="B83" s="220">
        <v>1.0189999999999999</v>
      </c>
      <c r="C83" s="220">
        <v>1.0249999999999999</v>
      </c>
      <c r="D83" s="220">
        <v>1.022</v>
      </c>
      <c r="E83" s="220">
        <v>1.03</v>
      </c>
      <c r="F83" s="193">
        <v>870</v>
      </c>
    </row>
    <row r="84" spans="1:6" ht="22.5" customHeight="1" x14ac:dyDescent="0.2">
      <c r="A84" s="219" t="s">
        <v>1259</v>
      </c>
      <c r="B84" s="220">
        <v>1.0049999999999999</v>
      </c>
      <c r="C84" s="220">
        <v>1.0169999999999999</v>
      </c>
      <c r="D84" s="220">
        <v>1.014</v>
      </c>
      <c r="E84" s="220">
        <v>1.024</v>
      </c>
      <c r="F84" s="193">
        <v>871</v>
      </c>
    </row>
    <row r="85" spans="1:6" ht="22.5" customHeight="1" x14ac:dyDescent="0.2">
      <c r="A85" s="219" t="s">
        <v>1260</v>
      </c>
      <c r="B85" s="220">
        <v>1.012</v>
      </c>
      <c r="C85" s="220">
        <v>1.028</v>
      </c>
      <c r="D85" s="220">
        <v>1.022</v>
      </c>
      <c r="E85" s="220">
        <v>1.0389999999999999</v>
      </c>
      <c r="F85" s="193">
        <v>872</v>
      </c>
    </row>
    <row r="86" spans="1:6" ht="22.5" customHeight="1" x14ac:dyDescent="0.2">
      <c r="A86" s="219" t="s">
        <v>1261</v>
      </c>
      <c r="B86" s="220">
        <v>1.012</v>
      </c>
      <c r="C86" s="220">
        <v>1.028</v>
      </c>
      <c r="D86" s="220">
        <v>1.022</v>
      </c>
      <c r="E86" s="220">
        <v>1.0389999999999999</v>
      </c>
      <c r="F86" s="193">
        <v>873</v>
      </c>
    </row>
    <row r="87" spans="1:6" ht="22.5" customHeight="1" x14ac:dyDescent="0.2">
      <c r="A87" s="219" t="s">
        <v>1262</v>
      </c>
      <c r="B87" s="220">
        <v>1.008</v>
      </c>
      <c r="C87" s="220">
        <v>1.008</v>
      </c>
      <c r="D87" s="220">
        <v>1.008</v>
      </c>
      <c r="E87" s="220">
        <v>1.01</v>
      </c>
      <c r="F87" s="193">
        <v>874</v>
      </c>
    </row>
    <row r="88" spans="1:6" ht="22.5" customHeight="1" x14ac:dyDescent="0.2">
      <c r="A88" s="219" t="s">
        <v>1263</v>
      </c>
      <c r="B88" s="220">
        <v>1.0089999999999999</v>
      </c>
      <c r="C88" s="220">
        <v>1.008</v>
      </c>
      <c r="D88" s="220">
        <v>1.008</v>
      </c>
      <c r="E88" s="220">
        <v>1.01</v>
      </c>
      <c r="F88" s="193">
        <v>875</v>
      </c>
    </row>
    <row r="89" spans="1:6" ht="22.5" customHeight="1" x14ac:dyDescent="0.2">
      <c r="A89" s="219" t="s">
        <v>1264</v>
      </c>
      <c r="B89" s="220">
        <v>1.016</v>
      </c>
      <c r="C89" s="220">
        <v>1.018</v>
      </c>
      <c r="D89" s="220">
        <v>1.02</v>
      </c>
      <c r="E89" s="220">
        <v>1.022</v>
      </c>
      <c r="F89" s="193">
        <v>876</v>
      </c>
    </row>
    <row r="90" spans="1:6" ht="22.5" customHeight="1" x14ac:dyDescent="0.2">
      <c r="A90" s="219" t="s">
        <v>1265</v>
      </c>
      <c r="B90" s="220">
        <v>1.0429999999999999</v>
      </c>
      <c r="C90" s="220">
        <v>1.0469999999999999</v>
      </c>
      <c r="D90" s="220">
        <v>1.046</v>
      </c>
      <c r="E90" s="220">
        <v>1.05</v>
      </c>
      <c r="F90" s="193">
        <v>877</v>
      </c>
    </row>
    <row r="91" spans="1:6" ht="22.5" customHeight="1" x14ac:dyDescent="0.2">
      <c r="A91" s="219" t="s">
        <v>1266</v>
      </c>
      <c r="B91" s="220">
        <v>1.0629999999999999</v>
      </c>
      <c r="C91" s="220">
        <v>1.071</v>
      </c>
      <c r="D91" s="220">
        <v>1.0680000000000001</v>
      </c>
      <c r="E91" s="220">
        <v>1.0780000000000001</v>
      </c>
      <c r="F91" s="193">
        <v>878</v>
      </c>
    </row>
    <row r="92" spans="1:6" ht="22.5" customHeight="1" x14ac:dyDescent="0.2">
      <c r="A92" s="219" t="s">
        <v>1267</v>
      </c>
      <c r="B92" s="220">
        <v>1.016</v>
      </c>
      <c r="C92" s="220">
        <v>1.018</v>
      </c>
      <c r="D92" s="220">
        <v>1.02</v>
      </c>
      <c r="E92" s="220">
        <v>1.022</v>
      </c>
      <c r="F92" s="193">
        <v>880</v>
      </c>
    </row>
    <row r="93" spans="1:6" ht="22.5" customHeight="1" x14ac:dyDescent="0.2">
      <c r="A93" s="219" t="s">
        <v>1289</v>
      </c>
      <c r="B93" s="220">
        <v>1.016</v>
      </c>
      <c r="C93" s="220">
        <v>1.018</v>
      </c>
      <c r="D93" s="220">
        <v>1.0209999999999999</v>
      </c>
      <c r="E93" s="220">
        <v>1.022</v>
      </c>
      <c r="F93" s="193">
        <v>881</v>
      </c>
    </row>
    <row r="94" spans="1:6" ht="22.5" customHeight="1" x14ac:dyDescent="0.2">
      <c r="A94" s="219" t="s">
        <v>1290</v>
      </c>
      <c r="B94" s="220">
        <v>1.016</v>
      </c>
      <c r="C94" s="220">
        <v>1.018</v>
      </c>
      <c r="D94" s="220">
        <v>1.02</v>
      </c>
      <c r="E94" s="220">
        <v>1.022</v>
      </c>
      <c r="F94" s="193">
        <v>882</v>
      </c>
    </row>
    <row r="95" spans="1:6" ht="22.5" customHeight="1" x14ac:dyDescent="0.2">
      <c r="A95" s="219" t="s">
        <v>1291</v>
      </c>
      <c r="B95" s="220">
        <v>1.016</v>
      </c>
      <c r="C95" s="220">
        <v>1.018</v>
      </c>
      <c r="D95" s="220">
        <v>1.0209999999999999</v>
      </c>
      <c r="E95" s="220">
        <v>1.022</v>
      </c>
      <c r="F95" s="193">
        <v>883</v>
      </c>
    </row>
    <row r="96" spans="1:6" ht="22.5" customHeight="1" x14ac:dyDescent="0.2">
      <c r="A96" s="219" t="s">
        <v>1210</v>
      </c>
      <c r="B96" s="220">
        <v>1.016</v>
      </c>
      <c r="C96" s="220">
        <v>1.018</v>
      </c>
      <c r="D96" s="220">
        <v>1.02</v>
      </c>
      <c r="E96" s="220">
        <v>1.022</v>
      </c>
      <c r="F96" s="193">
        <v>884</v>
      </c>
    </row>
    <row r="97" spans="1:6" ht="22.5" customHeight="1" x14ac:dyDescent="0.2">
      <c r="A97" s="219" t="s">
        <v>1440</v>
      </c>
      <c r="B97" s="220">
        <v>1.016</v>
      </c>
      <c r="C97" s="220">
        <v>1.018</v>
      </c>
      <c r="D97" s="220">
        <v>1.02</v>
      </c>
      <c r="E97" s="220">
        <v>1.022</v>
      </c>
      <c r="F97" s="193">
        <v>885</v>
      </c>
    </row>
    <row r="98" spans="1:6" ht="22.5" customHeight="1" x14ac:dyDescent="0.2">
      <c r="A98" s="219" t="s">
        <v>1292</v>
      </c>
      <c r="B98" s="220">
        <v>1.016</v>
      </c>
      <c r="C98" s="220">
        <v>1.018</v>
      </c>
      <c r="D98" s="220">
        <v>1.02</v>
      </c>
      <c r="E98" s="220">
        <v>1.022</v>
      </c>
      <c r="F98" s="193">
        <v>886</v>
      </c>
    </row>
    <row r="99" spans="1:6" ht="22.5" customHeight="1" x14ac:dyDescent="0.2">
      <c r="A99" s="219" t="s">
        <v>1293</v>
      </c>
      <c r="B99" s="220">
        <v>1.022</v>
      </c>
      <c r="C99" s="220">
        <v>1.0489999999999999</v>
      </c>
      <c r="D99" s="220">
        <v>1.0409999999999999</v>
      </c>
      <c r="E99" s="220">
        <v>1.0649999999999999</v>
      </c>
      <c r="F99" s="193">
        <v>887</v>
      </c>
    </row>
    <row r="100" spans="1:6" ht="22.5" customHeight="1" x14ac:dyDescent="0.2">
      <c r="A100" s="219" t="s">
        <v>1294</v>
      </c>
      <c r="B100" s="220">
        <v>1.016</v>
      </c>
      <c r="C100" s="220">
        <v>1.018</v>
      </c>
      <c r="D100" s="220">
        <v>1.02</v>
      </c>
      <c r="E100" s="220">
        <v>1.022</v>
      </c>
      <c r="F100" s="193">
        <v>888</v>
      </c>
    </row>
    <row r="101" spans="1:6" ht="22.5" customHeight="1" x14ac:dyDescent="0.2">
      <c r="A101" s="219" t="s">
        <v>1296</v>
      </c>
      <c r="B101" s="220">
        <v>1.016</v>
      </c>
      <c r="C101" s="220">
        <v>1.018</v>
      </c>
      <c r="D101" s="220">
        <v>1.02</v>
      </c>
      <c r="E101" s="220">
        <v>1.022</v>
      </c>
      <c r="F101" s="193">
        <v>889</v>
      </c>
    </row>
    <row r="102" spans="1:6" ht="22.5" customHeight="1" x14ac:dyDescent="0.2">
      <c r="A102" s="219" t="s">
        <v>1297</v>
      </c>
      <c r="B102" s="220">
        <v>1.016</v>
      </c>
      <c r="C102" s="220">
        <v>1.018</v>
      </c>
      <c r="D102" s="220">
        <v>1.02</v>
      </c>
      <c r="E102" s="220">
        <v>1.022</v>
      </c>
      <c r="F102" s="193">
        <v>890</v>
      </c>
    </row>
    <row r="103" spans="1:6" ht="22.5" customHeight="1" x14ac:dyDescent="0.2">
      <c r="A103" s="219" t="s">
        <v>1298</v>
      </c>
      <c r="B103" s="220">
        <v>1.016</v>
      </c>
      <c r="C103" s="220">
        <v>1.018</v>
      </c>
      <c r="D103" s="220">
        <v>1.02</v>
      </c>
      <c r="E103" s="220">
        <v>1.022</v>
      </c>
      <c r="F103" s="193">
        <v>891</v>
      </c>
    </row>
    <row r="104" spans="1:6" ht="22.5" customHeight="1" x14ac:dyDescent="0.2">
      <c r="A104" s="219" t="s">
        <v>1299</v>
      </c>
      <c r="B104" s="220">
        <v>1.016</v>
      </c>
      <c r="C104" s="220">
        <v>1.018</v>
      </c>
      <c r="D104" s="220">
        <v>1.02</v>
      </c>
      <c r="E104" s="220">
        <v>1.022</v>
      </c>
      <c r="F104" s="193">
        <v>892</v>
      </c>
    </row>
    <row r="105" spans="1:6" ht="22.5" customHeight="1" x14ac:dyDescent="0.2">
      <c r="A105" s="219" t="s">
        <v>1268</v>
      </c>
      <c r="B105" s="220">
        <v>1.016</v>
      </c>
      <c r="C105" s="220">
        <v>1.018</v>
      </c>
      <c r="D105" s="220">
        <v>1.02</v>
      </c>
      <c r="E105" s="220">
        <v>1.022</v>
      </c>
      <c r="F105" s="193">
        <v>893</v>
      </c>
    </row>
    <row r="106" spans="1:6" ht="22.5" customHeight="1" x14ac:dyDescent="0.2">
      <c r="A106" s="219" t="s">
        <v>1300</v>
      </c>
      <c r="B106" s="220">
        <v>1.016</v>
      </c>
      <c r="C106" s="220">
        <v>1.018</v>
      </c>
      <c r="D106" s="220">
        <v>1.02</v>
      </c>
      <c r="E106" s="220">
        <v>1.022</v>
      </c>
      <c r="F106" s="193">
        <v>894</v>
      </c>
    </row>
    <row r="107" spans="1:6" ht="22.5" customHeight="1" x14ac:dyDescent="0.2">
      <c r="A107" s="219" t="s">
        <v>1301</v>
      </c>
      <c r="B107" s="220">
        <v>1.016</v>
      </c>
      <c r="C107" s="220">
        <v>1.018</v>
      </c>
      <c r="D107" s="220">
        <v>1.02</v>
      </c>
      <c r="E107" s="220">
        <v>1.022</v>
      </c>
      <c r="F107" s="193">
        <v>896</v>
      </c>
    </row>
    <row r="108" spans="1:6" ht="22.5" customHeight="1" x14ac:dyDescent="0.2">
      <c r="A108" s="219" t="s">
        <v>1302</v>
      </c>
      <c r="B108" s="220">
        <v>1.0109999999999999</v>
      </c>
      <c r="C108" s="220">
        <v>1.0189999999999999</v>
      </c>
      <c r="D108" s="220">
        <v>1.0129999999999999</v>
      </c>
      <c r="E108" s="220">
        <v>1.022</v>
      </c>
      <c r="F108" s="193">
        <v>897</v>
      </c>
    </row>
    <row r="109" spans="1:6" ht="22.5" customHeight="1" x14ac:dyDescent="0.2">
      <c r="A109" s="219" t="s">
        <v>1269</v>
      </c>
      <c r="B109" s="220">
        <v>1.038</v>
      </c>
      <c r="C109" s="220">
        <v>1.0469999999999999</v>
      </c>
      <c r="D109" s="220">
        <v>1.0429999999999999</v>
      </c>
      <c r="E109" s="220">
        <v>1.052</v>
      </c>
      <c r="F109" s="193">
        <v>898</v>
      </c>
    </row>
    <row r="110" spans="1:6" ht="22.5" customHeight="1" x14ac:dyDescent="0.2">
      <c r="A110" s="219" t="s">
        <v>1270</v>
      </c>
      <c r="B110" s="220">
        <v>1.014</v>
      </c>
      <c r="C110" s="220">
        <v>1.0169999999999999</v>
      </c>
      <c r="D110" s="220">
        <v>1.0169999999999999</v>
      </c>
      <c r="E110" s="220">
        <v>1.0209999999999999</v>
      </c>
      <c r="F110" s="193">
        <v>899</v>
      </c>
    </row>
    <row r="111" spans="1:6" ht="22.5" customHeight="1" x14ac:dyDescent="0.2">
      <c r="A111" s="219" t="s">
        <v>1303</v>
      </c>
      <c r="B111" s="220">
        <v>1.0449999999999999</v>
      </c>
      <c r="C111" s="220">
        <v>1.0529999999999999</v>
      </c>
      <c r="D111" s="220">
        <v>1.05</v>
      </c>
      <c r="E111" s="220">
        <v>1.06</v>
      </c>
      <c r="F111" s="193">
        <v>921</v>
      </c>
    </row>
    <row r="112" spans="1:6" ht="22.5" customHeight="1" x14ac:dyDescent="0.2">
      <c r="A112" s="219" t="s">
        <v>1304</v>
      </c>
      <c r="B112" s="220">
        <v>1.073</v>
      </c>
      <c r="C112" s="220">
        <v>1.079</v>
      </c>
      <c r="D112" s="220">
        <v>1.077</v>
      </c>
      <c r="E112" s="220">
        <v>1.0860000000000001</v>
      </c>
      <c r="F112" s="193">
        <v>922</v>
      </c>
    </row>
    <row r="113" spans="1:6" ht="22.5" customHeight="1" x14ac:dyDescent="0.2">
      <c r="A113" s="219" t="s">
        <v>1305</v>
      </c>
      <c r="B113" s="220">
        <v>1.0740000000000001</v>
      </c>
      <c r="C113" s="220">
        <v>1.085</v>
      </c>
      <c r="D113" s="220">
        <v>1.08</v>
      </c>
      <c r="E113" s="220">
        <v>1.0920000000000001</v>
      </c>
      <c r="F113" s="193">
        <v>923</v>
      </c>
    </row>
    <row r="114" spans="1:6" ht="22.5" customHeight="1" x14ac:dyDescent="0.2">
      <c r="A114" s="219" t="s">
        <v>1306</v>
      </c>
      <c r="B114" s="220">
        <v>1.0449999999999999</v>
      </c>
      <c r="C114" s="220">
        <v>1.0549999999999999</v>
      </c>
      <c r="D114" s="220">
        <v>1.0509999999999999</v>
      </c>
      <c r="E114" s="220">
        <v>1.0629999999999999</v>
      </c>
      <c r="F114" s="193">
        <v>924</v>
      </c>
    </row>
    <row r="115" spans="1:6" ht="22.5" customHeight="1" x14ac:dyDescent="0.2">
      <c r="A115" s="219" t="s">
        <v>1307</v>
      </c>
      <c r="B115" s="220">
        <v>1.0409999999999999</v>
      </c>
      <c r="C115" s="220">
        <v>1.046</v>
      </c>
      <c r="D115" s="220">
        <v>1.044</v>
      </c>
      <c r="E115" s="220">
        <v>1.05</v>
      </c>
      <c r="F115" s="193">
        <v>925</v>
      </c>
    </row>
    <row r="116" spans="1:6" ht="22.5" customHeight="1" x14ac:dyDescent="0.2">
      <c r="A116" s="219" t="s">
        <v>1211</v>
      </c>
      <c r="B116" s="220">
        <v>1.016</v>
      </c>
      <c r="C116" s="220">
        <v>1.018</v>
      </c>
      <c r="D116" s="220">
        <v>1.02</v>
      </c>
      <c r="E116" s="220">
        <v>1.022</v>
      </c>
      <c r="F116" s="193">
        <v>800</v>
      </c>
    </row>
    <row r="117" spans="1:6" ht="22.5" customHeight="1" x14ac:dyDescent="0.2">
      <c r="A117" s="219" t="s">
        <v>1212</v>
      </c>
      <c r="B117" s="220">
        <v>1.016</v>
      </c>
      <c r="C117" s="220">
        <v>1.018</v>
      </c>
      <c r="D117" s="220">
        <v>1.02</v>
      </c>
      <c r="E117" s="220">
        <v>1.022</v>
      </c>
      <c r="F117" s="193">
        <v>915</v>
      </c>
    </row>
    <row r="118" spans="1:6" ht="22.5" customHeight="1" x14ac:dyDescent="0.2">
      <c r="A118" s="221" t="s">
        <v>1213</v>
      </c>
      <c r="B118" s="220">
        <v>1.012</v>
      </c>
      <c r="C118" s="220">
        <v>1.012</v>
      </c>
      <c r="D118" s="220">
        <v>1.0129999999999999</v>
      </c>
      <c r="E118" s="220">
        <v>1.014</v>
      </c>
      <c r="F118" s="193">
        <v>660</v>
      </c>
    </row>
    <row r="119" spans="1:6" ht="22.5" customHeight="1" x14ac:dyDescent="0.2">
      <c r="A119" s="221" t="s">
        <v>1451</v>
      </c>
      <c r="B119" s="220">
        <v>1.016</v>
      </c>
      <c r="C119" s="220">
        <v>1.018</v>
      </c>
      <c r="D119" s="220">
        <v>1.02</v>
      </c>
      <c r="E119" s="220">
        <v>1.022</v>
      </c>
      <c r="F119" s="193">
        <v>895</v>
      </c>
    </row>
    <row r="120" spans="1:6" ht="22.5" customHeight="1" x14ac:dyDescent="0.2">
      <c r="A120" s="221" t="s">
        <v>1452</v>
      </c>
      <c r="B120" s="220">
        <v>1.016</v>
      </c>
      <c r="C120" s="220">
        <v>1.018</v>
      </c>
      <c r="D120" s="220">
        <v>1.02</v>
      </c>
      <c r="E120" s="220">
        <v>1.022</v>
      </c>
      <c r="F120" s="193">
        <v>911</v>
      </c>
    </row>
    <row r="121" spans="1:6" ht="22.5" customHeight="1" x14ac:dyDescent="0.2">
      <c r="A121" s="221" t="s">
        <v>1453</v>
      </c>
      <c r="B121" s="220">
        <v>1.016</v>
      </c>
      <c r="C121" s="220">
        <v>1.018</v>
      </c>
      <c r="D121" s="220">
        <v>1.02</v>
      </c>
      <c r="E121" s="220">
        <v>1.022</v>
      </c>
      <c r="F121" s="193">
        <v>912</v>
      </c>
    </row>
    <row r="122" spans="1:6" ht="22.5" customHeight="1" x14ac:dyDescent="0.2">
      <c r="A122" s="221" t="s">
        <v>1454</v>
      </c>
      <c r="B122" s="220">
        <v>1.016</v>
      </c>
      <c r="C122" s="220">
        <v>1.018</v>
      </c>
      <c r="D122" s="220">
        <v>1.02</v>
      </c>
      <c r="E122" s="220">
        <v>1.022</v>
      </c>
      <c r="F122" s="193">
        <v>914</v>
      </c>
    </row>
    <row r="123" spans="1:6" ht="22.5" customHeight="1" x14ac:dyDescent="0.2">
      <c r="A123" s="221" t="s">
        <v>1455</v>
      </c>
      <c r="B123" s="220">
        <v>1.016</v>
      </c>
      <c r="C123" s="220">
        <v>1.018</v>
      </c>
      <c r="D123" s="220">
        <v>1.02</v>
      </c>
      <c r="E123" s="220">
        <v>1.022</v>
      </c>
      <c r="F123" s="193">
        <v>853</v>
      </c>
    </row>
    <row r="124" spans="1:6" ht="22.5" customHeight="1" x14ac:dyDescent="0.2">
      <c r="A124" s="221" t="s">
        <v>1449</v>
      </c>
      <c r="B124" s="220">
        <v>1.0189999999999999</v>
      </c>
      <c r="C124" s="220">
        <v>1.0229999999999999</v>
      </c>
      <c r="D124" s="220">
        <v>1.0229999999999999</v>
      </c>
      <c r="E124" s="220">
        <v>1.0269999999999999</v>
      </c>
      <c r="F124" s="193" t="s">
        <v>1203</v>
      </c>
    </row>
    <row r="125" spans="1:6" ht="22.5" customHeight="1" x14ac:dyDescent="0.2">
      <c r="A125" s="221" t="s">
        <v>1450</v>
      </c>
      <c r="B125" s="220">
        <v>1.0389999999999999</v>
      </c>
      <c r="C125" s="220">
        <v>1.05</v>
      </c>
      <c r="D125" s="220">
        <v>1.06</v>
      </c>
      <c r="E125" s="220">
        <v>1.069</v>
      </c>
      <c r="F125" s="193" t="s">
        <v>1204</v>
      </c>
    </row>
    <row r="126" spans="1:6" ht="22.5" customHeight="1" x14ac:dyDescent="0.2">
      <c r="A126" s="219" t="s">
        <v>1218</v>
      </c>
      <c r="B126" s="220">
        <v>0.98599999999999999</v>
      </c>
      <c r="C126" s="220">
        <v>0.99099999999999999</v>
      </c>
      <c r="D126" s="220">
        <v>0.98499999999999999</v>
      </c>
      <c r="E126" s="220">
        <v>0.99099999999999999</v>
      </c>
      <c r="F126" s="193" t="s">
        <v>1205</v>
      </c>
    </row>
    <row r="127" spans="1:6" ht="22.5" customHeight="1" x14ac:dyDescent="0.2">
      <c r="A127" s="219" t="s">
        <v>1308</v>
      </c>
      <c r="B127" s="220">
        <v>1.004</v>
      </c>
      <c r="C127" s="220">
        <v>1.0049999999999999</v>
      </c>
      <c r="D127" s="220">
        <v>1.006</v>
      </c>
      <c r="E127" s="220">
        <v>1.006</v>
      </c>
      <c r="F127" s="193">
        <v>802</v>
      </c>
    </row>
    <row r="128" spans="1:6" ht="22.5" customHeight="1" x14ac:dyDescent="0.2">
      <c r="A128" s="219" t="s">
        <v>1448</v>
      </c>
      <c r="B128" s="220">
        <v>0.997</v>
      </c>
      <c r="C128" s="220">
        <v>0.999</v>
      </c>
      <c r="D128" s="220">
        <v>0.997</v>
      </c>
      <c r="E128" s="220">
        <v>0.999</v>
      </c>
      <c r="F128" s="193" t="s">
        <v>1202</v>
      </c>
    </row>
    <row r="129" spans="1:6" ht="22.5" customHeight="1" x14ac:dyDescent="0.2">
      <c r="A129" s="219"/>
      <c r="B129" s="220"/>
      <c r="C129" s="220"/>
      <c r="D129" s="220"/>
      <c r="E129" s="220"/>
      <c r="F129" s="12"/>
    </row>
    <row r="131" spans="1:6" ht="22.5" customHeight="1" x14ac:dyDescent="0.2">
      <c r="A131" s="246" t="s">
        <v>487</v>
      </c>
      <c r="B131" s="285"/>
      <c r="C131" s="285"/>
      <c r="D131" s="285"/>
      <c r="E131" s="285"/>
      <c r="F131" s="247"/>
    </row>
    <row r="132" spans="1:6" ht="22.5" customHeight="1" x14ac:dyDescent="0.2">
      <c r="A132" s="246" t="s">
        <v>61</v>
      </c>
      <c r="B132" s="285"/>
      <c r="C132" s="285"/>
      <c r="D132" s="285"/>
      <c r="E132" s="285"/>
      <c r="F132" s="247"/>
    </row>
    <row r="133" spans="1:6" ht="33" customHeight="1" x14ac:dyDescent="0.2">
      <c r="A133" s="21" t="s">
        <v>59</v>
      </c>
      <c r="B133" s="21" t="s">
        <v>54</v>
      </c>
      <c r="C133" s="21" t="s">
        <v>55</v>
      </c>
      <c r="D133" s="21" t="s">
        <v>56</v>
      </c>
      <c r="E133" s="21" t="s">
        <v>57</v>
      </c>
      <c r="F133" s="21" t="s">
        <v>58</v>
      </c>
    </row>
    <row r="134" spans="1:6" ht="22.5" customHeight="1" x14ac:dyDescent="0.2">
      <c r="A134" s="1" t="s">
        <v>1221</v>
      </c>
      <c r="B134" s="217">
        <v>1.0309999999999999</v>
      </c>
      <c r="C134" s="217">
        <v>1.0309999999999999</v>
      </c>
      <c r="D134" s="217">
        <v>1.0329999999999999</v>
      </c>
      <c r="E134" s="217">
        <v>1.0329999999999999</v>
      </c>
      <c r="F134" s="193">
        <v>603</v>
      </c>
    </row>
    <row r="135" spans="1:6" ht="22.5" customHeight="1" x14ac:dyDescent="0.2">
      <c r="A135" s="1" t="s">
        <v>1237</v>
      </c>
      <c r="B135" s="217">
        <v>1.008</v>
      </c>
      <c r="C135" s="217">
        <v>1.014</v>
      </c>
      <c r="D135" s="217">
        <v>1.012</v>
      </c>
      <c r="E135" s="217">
        <v>1.018</v>
      </c>
      <c r="F135" s="193">
        <v>604</v>
      </c>
    </row>
    <row r="136" spans="1:6" ht="22.5" customHeight="1" x14ac:dyDescent="0.2">
      <c r="A136" s="1" t="s">
        <v>1224</v>
      </c>
      <c r="B136" s="217">
        <v>1.0009999999999999</v>
      </c>
      <c r="C136" s="217">
        <v>1.0029999999999999</v>
      </c>
      <c r="D136" s="217">
        <v>1.002</v>
      </c>
      <c r="E136" s="217">
        <v>1.0029999999999999</v>
      </c>
      <c r="F136" s="193">
        <v>606</v>
      </c>
    </row>
    <row r="137" spans="1:6" ht="22.5" customHeight="1" x14ac:dyDescent="0.2">
      <c r="A137" s="1" t="s">
        <v>1253</v>
      </c>
      <c r="B137" s="217">
        <v>0.97199999999999998</v>
      </c>
      <c r="C137" s="217">
        <v>0.98399999999999999</v>
      </c>
      <c r="D137" s="217">
        <v>0.97699999999999998</v>
      </c>
      <c r="E137" s="217">
        <v>0.98599999999999999</v>
      </c>
      <c r="F137" s="193">
        <v>611</v>
      </c>
    </row>
    <row r="138" spans="1:6" ht="22.5" customHeight="1" x14ac:dyDescent="0.2">
      <c r="A138" s="1" t="s">
        <v>1440</v>
      </c>
      <c r="B138" s="217">
        <v>1.012</v>
      </c>
      <c r="C138" s="217">
        <v>1.012</v>
      </c>
      <c r="D138" s="217">
        <v>1.0129999999999999</v>
      </c>
      <c r="E138" s="217">
        <v>1.014</v>
      </c>
      <c r="F138" s="193">
        <v>615</v>
      </c>
    </row>
    <row r="139" spans="1:6" ht="22.5" customHeight="1" x14ac:dyDescent="0.2">
      <c r="A139" s="1" t="s">
        <v>1301</v>
      </c>
      <c r="B139" s="217">
        <v>1.012</v>
      </c>
      <c r="C139" s="217">
        <v>1.012</v>
      </c>
      <c r="D139" s="217">
        <v>1.0129999999999999</v>
      </c>
      <c r="E139" s="217">
        <v>1.014</v>
      </c>
      <c r="F139" s="193">
        <v>616</v>
      </c>
    </row>
    <row r="140" spans="1:6" ht="22.5" customHeight="1" x14ac:dyDescent="0.2">
      <c r="A140" s="1" t="s">
        <v>1302</v>
      </c>
      <c r="B140" s="217">
        <v>1.01</v>
      </c>
      <c r="C140" s="217">
        <v>1.016</v>
      </c>
      <c r="D140" s="217">
        <v>1.01</v>
      </c>
      <c r="E140" s="217">
        <v>1.0149999999999999</v>
      </c>
      <c r="F140" s="193">
        <v>617</v>
      </c>
    </row>
    <row r="141" spans="1:6" ht="22.5" customHeight="1" x14ac:dyDescent="0.2">
      <c r="A141" s="1" t="s">
        <v>791</v>
      </c>
      <c r="B141" s="217">
        <v>1.012</v>
      </c>
      <c r="C141" s="217">
        <v>1.012</v>
      </c>
      <c r="D141" s="217">
        <v>1.0129999999999999</v>
      </c>
      <c r="E141" s="217">
        <v>1.014</v>
      </c>
      <c r="F141" s="193">
        <v>618</v>
      </c>
    </row>
    <row r="142" spans="1:6" ht="22.5" customHeight="1" x14ac:dyDescent="0.2">
      <c r="A142" s="1" t="s">
        <v>1234</v>
      </c>
      <c r="B142" s="217">
        <v>1.024</v>
      </c>
      <c r="C142" s="217">
        <v>1.0289999999999999</v>
      </c>
      <c r="D142" s="217">
        <v>1.0229999999999999</v>
      </c>
      <c r="E142" s="217">
        <v>1.0249999999999999</v>
      </c>
      <c r="F142" s="193">
        <v>619</v>
      </c>
    </row>
    <row r="143" spans="1:6" ht="22.5" customHeight="1" x14ac:dyDescent="0.2">
      <c r="A143" s="1" t="s">
        <v>1271</v>
      </c>
      <c r="B143" s="217">
        <v>1.0229999999999999</v>
      </c>
      <c r="C143" s="217">
        <v>1.044</v>
      </c>
      <c r="D143" s="217">
        <v>1.0389999999999999</v>
      </c>
      <c r="E143" s="217">
        <v>1.0580000000000001</v>
      </c>
      <c r="F143" s="193">
        <v>621</v>
      </c>
    </row>
    <row r="144" spans="1:6" ht="22.5" customHeight="1" x14ac:dyDescent="0.2">
      <c r="A144" s="1" t="s">
        <v>1239</v>
      </c>
      <c r="B144" s="217">
        <v>0.98699999999999999</v>
      </c>
      <c r="C144" s="217">
        <v>0.999</v>
      </c>
      <c r="D144" s="217">
        <v>1</v>
      </c>
      <c r="E144" s="217">
        <v>1.01</v>
      </c>
      <c r="F144" s="193">
        <v>628</v>
      </c>
    </row>
    <row r="145" spans="1:6" ht="22.5" customHeight="1" x14ac:dyDescent="0.2">
      <c r="A145" s="1" t="s">
        <v>1240</v>
      </c>
      <c r="B145" s="217">
        <v>1.032</v>
      </c>
      <c r="C145" s="217">
        <v>1.032</v>
      </c>
      <c r="D145" s="217">
        <v>1.0329999999999999</v>
      </c>
      <c r="E145" s="217">
        <v>1.0329999999999999</v>
      </c>
      <c r="F145" s="193">
        <v>629</v>
      </c>
    </row>
    <row r="146" spans="1:6" ht="22.5" customHeight="1" x14ac:dyDescent="0.2">
      <c r="A146" s="1" t="s">
        <v>1243</v>
      </c>
      <c r="B146" s="217">
        <v>1.0029999999999999</v>
      </c>
      <c r="C146" s="217">
        <v>1.012</v>
      </c>
      <c r="D146" s="217">
        <v>1.01</v>
      </c>
      <c r="E146" s="217">
        <v>1.0189999999999999</v>
      </c>
      <c r="F146" s="193">
        <v>635</v>
      </c>
    </row>
    <row r="147" spans="1:6" ht="22.5" customHeight="1" x14ac:dyDescent="0.2">
      <c r="A147" s="1" t="s">
        <v>1280</v>
      </c>
      <c r="B147" s="217">
        <v>0.96</v>
      </c>
      <c r="C147" s="217">
        <v>0.99299999999999999</v>
      </c>
      <c r="D147" s="217">
        <v>0.96199999999999997</v>
      </c>
      <c r="E147" s="217">
        <v>0.98299999999999998</v>
      </c>
      <c r="F147" s="193">
        <v>638</v>
      </c>
    </row>
    <row r="148" spans="1:6" ht="22.5" customHeight="1" x14ac:dyDescent="0.2">
      <c r="A148" s="1" t="s">
        <v>1245</v>
      </c>
      <c r="B148" s="217">
        <v>0.99</v>
      </c>
      <c r="C148" s="217">
        <v>0.996</v>
      </c>
      <c r="D148" s="217">
        <v>0.99399999999999999</v>
      </c>
      <c r="E148" s="217">
        <v>0.999</v>
      </c>
      <c r="F148" s="193">
        <v>639</v>
      </c>
    </row>
    <row r="149" spans="1:6" ht="22.5" customHeight="1" x14ac:dyDescent="0.2">
      <c r="A149" s="1" t="s">
        <v>1281</v>
      </c>
      <c r="B149" s="217">
        <v>0.97199999999999998</v>
      </c>
      <c r="C149" s="217">
        <v>0.98399999999999999</v>
      </c>
      <c r="D149" s="217">
        <v>0.97699999999999998</v>
      </c>
      <c r="E149" s="217">
        <v>0.98599999999999999</v>
      </c>
      <c r="F149" s="193">
        <v>640</v>
      </c>
    </row>
    <row r="150" spans="1:6" ht="22.5" customHeight="1" x14ac:dyDescent="0.2">
      <c r="A150" s="1" t="s">
        <v>1282</v>
      </c>
      <c r="B150" s="217">
        <v>0.97199999999999998</v>
      </c>
      <c r="C150" s="217">
        <v>0.98399999999999999</v>
      </c>
      <c r="D150" s="217">
        <v>0.97699999999999998</v>
      </c>
      <c r="E150" s="217">
        <v>0.98599999999999999</v>
      </c>
      <c r="F150" s="193">
        <v>641</v>
      </c>
    </row>
    <row r="151" spans="1:6" ht="22.5" customHeight="1" x14ac:dyDescent="0.2">
      <c r="A151" s="1" t="s">
        <v>1246</v>
      </c>
      <c r="B151" s="217">
        <v>0.98699999999999999</v>
      </c>
      <c r="C151" s="217">
        <v>0.997</v>
      </c>
      <c r="D151" s="217">
        <v>0.99099999999999999</v>
      </c>
      <c r="E151" s="217">
        <v>1.0009999999999999</v>
      </c>
      <c r="F151" s="193">
        <v>642</v>
      </c>
    </row>
    <row r="152" spans="1:6" ht="22.5" customHeight="1" x14ac:dyDescent="0.2">
      <c r="A152" s="1" t="s">
        <v>1247</v>
      </c>
      <c r="B152" s="217">
        <v>1.044</v>
      </c>
      <c r="C152" s="217">
        <v>1.0589999999999999</v>
      </c>
      <c r="D152" s="217">
        <v>1.0509999999999999</v>
      </c>
      <c r="E152" s="217">
        <v>1.0660000000000001</v>
      </c>
      <c r="F152" s="193">
        <v>643</v>
      </c>
    </row>
    <row r="153" spans="1:6" ht="22.5" customHeight="1" x14ac:dyDescent="0.2">
      <c r="A153" s="1" t="s">
        <v>1248</v>
      </c>
      <c r="B153" s="217">
        <v>1.0369999999999999</v>
      </c>
      <c r="C153" s="217">
        <v>1.05</v>
      </c>
      <c r="D153" s="217">
        <v>1.042</v>
      </c>
      <c r="E153" s="217">
        <v>1.0549999999999999</v>
      </c>
      <c r="F153" s="193">
        <v>644</v>
      </c>
    </row>
    <row r="154" spans="1:6" ht="22.5" customHeight="1" x14ac:dyDescent="0.2">
      <c r="A154" s="1" t="s">
        <v>1249</v>
      </c>
      <c r="B154" s="217">
        <v>0.98099999999999998</v>
      </c>
      <c r="C154" s="217">
        <v>1</v>
      </c>
      <c r="D154" s="217">
        <v>0.98499999999999999</v>
      </c>
      <c r="E154" s="217">
        <v>1.0049999999999999</v>
      </c>
      <c r="F154" s="193">
        <v>645</v>
      </c>
    </row>
    <row r="155" spans="1:6" ht="22.5" customHeight="1" x14ac:dyDescent="0.2">
      <c r="A155" s="1" t="s">
        <v>1283</v>
      </c>
      <c r="B155" s="217">
        <v>1.0009999999999999</v>
      </c>
      <c r="C155" s="217">
        <v>1.02</v>
      </c>
      <c r="D155" s="217">
        <v>1.0149999999999999</v>
      </c>
      <c r="E155" s="217">
        <v>1.03</v>
      </c>
      <c r="F155" s="193">
        <v>646</v>
      </c>
    </row>
    <row r="156" spans="1:6" ht="22.5" customHeight="1" x14ac:dyDescent="0.2">
      <c r="A156" s="1" t="s">
        <v>1250</v>
      </c>
      <c r="B156" s="217">
        <v>1.0109999999999999</v>
      </c>
      <c r="C156" s="217">
        <v>1.0169999999999999</v>
      </c>
      <c r="D156" s="217">
        <v>1.016</v>
      </c>
      <c r="E156" s="217">
        <v>1.0229999999999999</v>
      </c>
      <c r="F156" s="193">
        <v>647</v>
      </c>
    </row>
    <row r="157" spans="1:6" ht="22.5" customHeight="1" x14ac:dyDescent="0.2">
      <c r="A157" s="1" t="s">
        <v>1233</v>
      </c>
      <c r="B157" s="217">
        <v>1.0089999999999999</v>
      </c>
      <c r="C157" s="217">
        <v>1.016</v>
      </c>
      <c r="D157" s="217">
        <v>1.012</v>
      </c>
      <c r="E157" s="217">
        <v>1.0289999999999999</v>
      </c>
      <c r="F157" s="193">
        <v>648</v>
      </c>
    </row>
    <row r="158" spans="1:6" ht="22.5" customHeight="1" x14ac:dyDescent="0.2">
      <c r="A158" s="1" t="s">
        <v>1251</v>
      </c>
      <c r="B158" s="217">
        <v>0.97899999999999998</v>
      </c>
      <c r="C158" s="217">
        <v>1</v>
      </c>
      <c r="D158" s="217">
        <v>0.98199999999999998</v>
      </c>
      <c r="E158" s="217">
        <v>0.92100000000000004</v>
      </c>
      <c r="F158" s="193">
        <v>649</v>
      </c>
    </row>
    <row r="159" spans="1:6" ht="22.5" customHeight="1" x14ac:dyDescent="0.2">
      <c r="A159" s="1" t="s">
        <v>1284</v>
      </c>
      <c r="B159" s="217">
        <v>1.0029999999999999</v>
      </c>
      <c r="C159" s="217">
        <v>1.004</v>
      </c>
      <c r="D159" s="217">
        <v>1.0029999999999999</v>
      </c>
      <c r="E159" s="217">
        <v>1.0169999999999999</v>
      </c>
      <c r="F159" s="193">
        <v>651</v>
      </c>
    </row>
    <row r="160" spans="1:6" ht="22.5" customHeight="1" x14ac:dyDescent="0.2">
      <c r="A160" s="1" t="s">
        <v>1252</v>
      </c>
      <c r="B160" s="217">
        <v>1.0029999999999999</v>
      </c>
      <c r="C160" s="217">
        <v>1.0089999999999999</v>
      </c>
      <c r="D160" s="217">
        <v>1.0049999999999999</v>
      </c>
      <c r="E160" s="217">
        <v>1.012</v>
      </c>
      <c r="F160" s="193">
        <v>652</v>
      </c>
    </row>
    <row r="161" spans="1:6" ht="22.5" customHeight="1" x14ac:dyDescent="0.2">
      <c r="A161" s="1" t="s">
        <v>1255</v>
      </c>
      <c r="B161" s="217">
        <v>0.995</v>
      </c>
      <c r="C161" s="217">
        <v>1.012</v>
      </c>
      <c r="D161" s="217">
        <v>0.998</v>
      </c>
      <c r="E161" s="217">
        <v>1.022</v>
      </c>
      <c r="F161" s="193">
        <v>654</v>
      </c>
    </row>
    <row r="162" spans="1:6" ht="22.5" customHeight="1" x14ac:dyDescent="0.2">
      <c r="A162" s="1" t="s">
        <v>1228</v>
      </c>
      <c r="B162" s="217">
        <v>1.012</v>
      </c>
      <c r="C162" s="217">
        <v>1.0229999999999999</v>
      </c>
      <c r="D162" s="217">
        <v>1.018</v>
      </c>
      <c r="E162" s="217">
        <v>1.014</v>
      </c>
      <c r="F162" s="193">
        <v>655</v>
      </c>
    </row>
    <row r="163" spans="1:6" ht="22.5" customHeight="1" x14ac:dyDescent="0.2">
      <c r="A163" s="1" t="s">
        <v>1256</v>
      </c>
      <c r="B163" s="217">
        <v>1</v>
      </c>
      <c r="C163" s="217">
        <v>1.0149999999999999</v>
      </c>
      <c r="D163" s="217">
        <v>1.008</v>
      </c>
      <c r="E163" s="217">
        <v>1.022</v>
      </c>
      <c r="F163" s="193">
        <v>656</v>
      </c>
    </row>
    <row r="164" spans="1:6" ht="22.5" customHeight="1" x14ac:dyDescent="0.2">
      <c r="A164" s="1" t="s">
        <v>1235</v>
      </c>
      <c r="B164" s="217">
        <v>1.0109999999999999</v>
      </c>
      <c r="C164" s="217">
        <v>1.014</v>
      </c>
      <c r="D164" s="217">
        <v>1.012</v>
      </c>
      <c r="E164" s="217">
        <v>1.03</v>
      </c>
      <c r="F164" s="193">
        <v>658</v>
      </c>
    </row>
    <row r="165" spans="1:6" ht="22.5" customHeight="1" x14ac:dyDescent="0.2">
      <c r="A165" s="1" t="s">
        <v>1276</v>
      </c>
      <c r="B165" s="217">
        <v>1.012</v>
      </c>
      <c r="C165" s="217">
        <v>1.02</v>
      </c>
      <c r="D165" s="217">
        <v>1.014</v>
      </c>
      <c r="E165" s="217">
        <v>1.014</v>
      </c>
      <c r="F165" s="193">
        <v>659</v>
      </c>
    </row>
    <row r="166" spans="1:6" ht="22.5" customHeight="1" x14ac:dyDescent="0.2">
      <c r="A166" s="1" t="s">
        <v>1238</v>
      </c>
      <c r="B166" s="217">
        <v>1.0209999999999999</v>
      </c>
      <c r="C166" s="217">
        <v>1.0309999999999999</v>
      </c>
      <c r="D166" s="217">
        <v>1.026</v>
      </c>
      <c r="E166" s="217">
        <v>1.05</v>
      </c>
      <c r="F166" s="193">
        <v>661</v>
      </c>
    </row>
    <row r="167" spans="1:6" ht="22.5" customHeight="1" x14ac:dyDescent="0.2">
      <c r="A167" s="1" t="s">
        <v>1439</v>
      </c>
      <c r="B167" s="217">
        <v>1.012</v>
      </c>
      <c r="C167" s="217">
        <v>1.012</v>
      </c>
      <c r="D167" s="217">
        <v>1.0129999999999999</v>
      </c>
      <c r="E167" s="217">
        <v>1.014</v>
      </c>
      <c r="F167" s="193">
        <v>662</v>
      </c>
    </row>
    <row r="168" spans="1:6" ht="22.5" customHeight="1" x14ac:dyDescent="0.2">
      <c r="A168" s="1" t="s">
        <v>1210</v>
      </c>
      <c r="B168" s="217">
        <v>1.012</v>
      </c>
      <c r="C168" s="217">
        <v>1.012</v>
      </c>
      <c r="D168" s="217">
        <v>1.0129999999999999</v>
      </c>
      <c r="E168" s="217">
        <v>1.014</v>
      </c>
      <c r="F168" s="193">
        <v>664</v>
      </c>
    </row>
    <row r="169" spans="1:6" ht="22.5" customHeight="1" x14ac:dyDescent="0.2">
      <c r="A169" s="1" t="s">
        <v>1257</v>
      </c>
      <c r="B169" s="217">
        <v>0.96</v>
      </c>
      <c r="C169" s="217">
        <v>0.99299999999999999</v>
      </c>
      <c r="D169" s="217">
        <v>0.96199999999999997</v>
      </c>
      <c r="E169" s="217">
        <v>0.98299999999999998</v>
      </c>
      <c r="F169" s="193">
        <v>665</v>
      </c>
    </row>
    <row r="170" spans="1:6" ht="22.5" customHeight="1" x14ac:dyDescent="0.2">
      <c r="A170" s="1" t="s">
        <v>1258</v>
      </c>
      <c r="B170" s="217">
        <v>0.98499999999999999</v>
      </c>
      <c r="C170" s="217">
        <v>0.97899999999999998</v>
      </c>
      <c r="D170" s="217">
        <v>0.93400000000000005</v>
      </c>
      <c r="E170" s="217">
        <v>0.95599999999999996</v>
      </c>
      <c r="F170" s="193">
        <v>666</v>
      </c>
    </row>
    <row r="171" spans="1:6" ht="22.5" customHeight="1" x14ac:dyDescent="0.2">
      <c r="A171" s="1" t="s">
        <v>1285</v>
      </c>
      <c r="B171" s="217">
        <v>0.95599999999999996</v>
      </c>
      <c r="C171" s="217">
        <v>0.98599999999999999</v>
      </c>
      <c r="D171" s="217">
        <v>0.96799999999999997</v>
      </c>
      <c r="E171" s="217">
        <v>0.99299999999999999</v>
      </c>
      <c r="F171" s="193">
        <v>667</v>
      </c>
    </row>
    <row r="172" spans="1:6" ht="22.5" customHeight="1" x14ac:dyDescent="0.2">
      <c r="A172" s="1" t="s">
        <v>1286</v>
      </c>
      <c r="B172" s="217">
        <v>0.96699999999999997</v>
      </c>
      <c r="C172" s="217">
        <v>0.96599999999999997</v>
      </c>
      <c r="D172" s="217">
        <v>0.96299999999999997</v>
      </c>
      <c r="E172" s="217">
        <v>0.96799999999999997</v>
      </c>
      <c r="F172" s="193">
        <v>668</v>
      </c>
    </row>
    <row r="173" spans="1:6" ht="22.5" customHeight="1" x14ac:dyDescent="0.2">
      <c r="A173" s="1" t="s">
        <v>1287</v>
      </c>
      <c r="B173" s="217">
        <v>0.996</v>
      </c>
      <c r="C173" s="217">
        <v>1.0109999999999999</v>
      </c>
      <c r="D173" s="217">
        <v>1.002</v>
      </c>
      <c r="E173" s="217">
        <v>1.018</v>
      </c>
      <c r="F173" s="193">
        <v>669</v>
      </c>
    </row>
    <row r="174" spans="1:6" ht="22.5" customHeight="1" x14ac:dyDescent="0.2">
      <c r="A174" s="1" t="s">
        <v>1267</v>
      </c>
      <c r="B174" s="217">
        <v>1.012</v>
      </c>
      <c r="C174" s="217">
        <v>1.044</v>
      </c>
      <c r="D174" s="217">
        <v>1.032</v>
      </c>
      <c r="E174" s="217">
        <v>1.014</v>
      </c>
      <c r="F174" s="193">
        <v>670</v>
      </c>
    </row>
    <row r="175" spans="1:6" ht="22.5" customHeight="1" x14ac:dyDescent="0.2">
      <c r="A175" s="1" t="s">
        <v>1259</v>
      </c>
      <c r="B175" s="217">
        <v>1.012</v>
      </c>
      <c r="C175" s="217">
        <v>1.028</v>
      </c>
      <c r="D175" s="217">
        <v>1.0229999999999999</v>
      </c>
      <c r="E175" s="217">
        <v>1.0369999999999999</v>
      </c>
      <c r="F175" s="193">
        <v>671</v>
      </c>
    </row>
    <row r="176" spans="1:6" ht="22.5" customHeight="1" x14ac:dyDescent="0.2">
      <c r="A176" s="1" t="s">
        <v>1260</v>
      </c>
      <c r="B176" s="217">
        <v>0.98699999999999999</v>
      </c>
      <c r="C176" s="217">
        <v>0.999</v>
      </c>
      <c r="D176" s="217">
        <v>1</v>
      </c>
      <c r="E176" s="217">
        <v>1.01</v>
      </c>
      <c r="F176" s="193">
        <v>672</v>
      </c>
    </row>
    <row r="177" spans="1:6" ht="22.5" customHeight="1" x14ac:dyDescent="0.2">
      <c r="A177" s="1" t="s">
        <v>1261</v>
      </c>
      <c r="B177" s="217">
        <v>0.98699999999999999</v>
      </c>
      <c r="C177" s="217">
        <v>0.999</v>
      </c>
      <c r="D177" s="217">
        <v>1</v>
      </c>
      <c r="E177" s="217">
        <v>1.01</v>
      </c>
      <c r="F177" s="193">
        <v>673</v>
      </c>
    </row>
    <row r="178" spans="1:6" ht="22.5" customHeight="1" x14ac:dyDescent="0.2">
      <c r="A178" s="1" t="s">
        <v>1262</v>
      </c>
      <c r="B178" s="217">
        <v>0.98499999999999999</v>
      </c>
      <c r="C178" s="217">
        <v>0.98499999999999999</v>
      </c>
      <c r="D178" s="217">
        <v>0.98299999999999998</v>
      </c>
      <c r="E178" s="217">
        <v>0.98599999999999999</v>
      </c>
      <c r="F178" s="193">
        <v>674</v>
      </c>
    </row>
    <row r="179" spans="1:6" ht="22.5" customHeight="1" x14ac:dyDescent="0.2">
      <c r="A179" s="1" t="s">
        <v>1263</v>
      </c>
      <c r="B179" s="217">
        <v>0.97299999999999998</v>
      </c>
      <c r="C179" s="217">
        <v>0.97199999999999998</v>
      </c>
      <c r="D179" s="217">
        <v>0.96799999999999997</v>
      </c>
      <c r="E179" s="217">
        <v>0.97199999999999998</v>
      </c>
      <c r="F179" s="193">
        <v>675</v>
      </c>
    </row>
    <row r="180" spans="1:6" ht="22.5" customHeight="1" x14ac:dyDescent="0.2">
      <c r="A180" s="1" t="s">
        <v>1264</v>
      </c>
      <c r="B180" s="217">
        <v>1.012</v>
      </c>
      <c r="C180" s="217">
        <v>1.012</v>
      </c>
      <c r="D180" s="217">
        <v>1.0129999999999999</v>
      </c>
      <c r="E180" s="217">
        <v>1.014</v>
      </c>
      <c r="F180" s="193">
        <v>676</v>
      </c>
    </row>
    <row r="181" spans="1:6" ht="22.5" customHeight="1" x14ac:dyDescent="0.2">
      <c r="A181" s="1" t="s">
        <v>1296</v>
      </c>
      <c r="B181" s="217">
        <v>1.012</v>
      </c>
      <c r="C181" s="217">
        <v>1.022</v>
      </c>
      <c r="D181" s="217">
        <v>1.0169999999999999</v>
      </c>
      <c r="E181" s="217">
        <v>1.014</v>
      </c>
      <c r="F181" s="193">
        <v>678</v>
      </c>
    </row>
    <row r="182" spans="1:6" ht="22.5" customHeight="1" x14ac:dyDescent="0.2">
      <c r="A182" s="1" t="s">
        <v>1289</v>
      </c>
      <c r="B182" s="217">
        <v>1.012</v>
      </c>
      <c r="C182" s="217">
        <v>1.0169999999999999</v>
      </c>
      <c r="D182" s="217">
        <v>1.014</v>
      </c>
      <c r="E182" s="217">
        <v>1.014</v>
      </c>
      <c r="F182" s="193">
        <v>679</v>
      </c>
    </row>
    <row r="183" spans="1:6" ht="22.5" customHeight="1" x14ac:dyDescent="0.2">
      <c r="A183" s="1" t="s">
        <v>1278</v>
      </c>
      <c r="B183" s="217">
        <v>1.0029999999999999</v>
      </c>
      <c r="C183" s="217">
        <v>1.014</v>
      </c>
      <c r="D183" s="217">
        <v>1.0069999999999999</v>
      </c>
      <c r="E183" s="217">
        <v>1.022</v>
      </c>
      <c r="F183" s="193">
        <v>681</v>
      </c>
    </row>
    <row r="184" spans="1:6" ht="22.5" customHeight="1" x14ac:dyDescent="0.2">
      <c r="A184" s="1" t="s">
        <v>1304</v>
      </c>
      <c r="B184" s="217">
        <v>1.006</v>
      </c>
      <c r="C184" s="217">
        <v>1.008</v>
      </c>
      <c r="D184" s="217">
        <v>1.008</v>
      </c>
      <c r="E184" s="217">
        <v>1.0109999999999999</v>
      </c>
      <c r="F184" s="193">
        <v>682</v>
      </c>
    </row>
    <row r="185" spans="1:6" ht="22.5" customHeight="1" x14ac:dyDescent="0.2">
      <c r="A185" s="1" t="s">
        <v>1291</v>
      </c>
      <c r="B185" s="217">
        <v>1.012</v>
      </c>
      <c r="C185" s="217">
        <v>1.0209999999999999</v>
      </c>
      <c r="D185" s="217">
        <v>1.0189999999999999</v>
      </c>
      <c r="E185" s="217">
        <v>1.014</v>
      </c>
      <c r="F185" s="193">
        <v>683</v>
      </c>
    </row>
    <row r="186" spans="1:6" ht="22.5" customHeight="1" x14ac:dyDescent="0.2">
      <c r="A186" s="1" t="s">
        <v>1290</v>
      </c>
      <c r="B186" s="217">
        <v>1.012</v>
      </c>
      <c r="C186" s="217">
        <v>1.012</v>
      </c>
      <c r="D186" s="217">
        <v>1.0129999999999999</v>
      </c>
      <c r="E186" s="217">
        <v>1.014</v>
      </c>
      <c r="F186" s="193">
        <v>684</v>
      </c>
    </row>
    <row r="187" spans="1:6" ht="22.5" customHeight="1" x14ac:dyDescent="0.2">
      <c r="A187" s="1" t="s">
        <v>1292</v>
      </c>
      <c r="B187" s="217">
        <v>1.0269999999999999</v>
      </c>
      <c r="C187" s="217">
        <v>1.0369999999999999</v>
      </c>
      <c r="D187" s="217">
        <v>1.032</v>
      </c>
      <c r="E187" s="217">
        <v>1.0760000000000001</v>
      </c>
      <c r="F187" s="193">
        <v>686</v>
      </c>
    </row>
    <row r="188" spans="1:6" ht="22.5" customHeight="1" x14ac:dyDescent="0.2">
      <c r="A188" s="1" t="s">
        <v>1293</v>
      </c>
      <c r="B188" s="217">
        <v>1.0129999999999999</v>
      </c>
      <c r="C188" s="217">
        <v>1.04</v>
      </c>
      <c r="D188" s="217">
        <v>1.028</v>
      </c>
      <c r="E188" s="217">
        <v>1.052</v>
      </c>
      <c r="F188" s="193">
        <v>687</v>
      </c>
    </row>
    <row r="189" spans="1:6" ht="22.5" customHeight="1" x14ac:dyDescent="0.2">
      <c r="A189" s="1" t="s">
        <v>1303</v>
      </c>
      <c r="B189" s="217">
        <v>1.02</v>
      </c>
      <c r="C189" s="217">
        <v>1.026</v>
      </c>
      <c r="D189" s="217">
        <v>1.024</v>
      </c>
      <c r="E189" s="217">
        <v>1.0309999999999999</v>
      </c>
      <c r="F189" s="193">
        <v>691</v>
      </c>
    </row>
    <row r="190" spans="1:6" ht="22.5" customHeight="1" x14ac:dyDescent="0.2">
      <c r="A190" s="1" t="s">
        <v>1299</v>
      </c>
      <c r="B190" s="217">
        <v>1.012</v>
      </c>
      <c r="C190" s="217">
        <v>1.012</v>
      </c>
      <c r="D190" s="217">
        <v>1.0129999999999999</v>
      </c>
      <c r="E190" s="217">
        <v>1.014</v>
      </c>
      <c r="F190" s="193">
        <v>692</v>
      </c>
    </row>
    <row r="191" spans="1:6" ht="22.5" customHeight="1" x14ac:dyDescent="0.2">
      <c r="A191" s="1" t="s">
        <v>1268</v>
      </c>
      <c r="B191" s="217">
        <v>1.012</v>
      </c>
      <c r="C191" s="217">
        <v>1.0149999999999999</v>
      </c>
      <c r="D191" s="217">
        <v>1.012</v>
      </c>
      <c r="E191" s="217">
        <v>1.0249999999999999</v>
      </c>
      <c r="F191" s="193">
        <v>693</v>
      </c>
    </row>
    <row r="192" spans="1:6" ht="22.5" customHeight="1" x14ac:dyDescent="0.2">
      <c r="A192" s="1" t="s">
        <v>1300</v>
      </c>
      <c r="B192" s="217">
        <v>1.012</v>
      </c>
      <c r="C192" s="217">
        <v>1.022</v>
      </c>
      <c r="D192" s="217">
        <v>1.014</v>
      </c>
      <c r="E192" s="217">
        <v>1.032</v>
      </c>
      <c r="F192" s="193">
        <v>694</v>
      </c>
    </row>
    <row r="193" spans="1:6" ht="22.5" customHeight="1" x14ac:dyDescent="0.2">
      <c r="A193" s="1" t="s">
        <v>1297</v>
      </c>
      <c r="B193" s="217">
        <v>1.008</v>
      </c>
      <c r="C193" s="217">
        <v>1.0089999999999999</v>
      </c>
      <c r="D193" s="217">
        <v>1.008</v>
      </c>
      <c r="E193" s="217">
        <v>1.01</v>
      </c>
      <c r="F193" s="193">
        <v>697</v>
      </c>
    </row>
    <row r="194" spans="1:6" ht="22.5" customHeight="1" x14ac:dyDescent="0.2">
      <c r="A194" s="1" t="s">
        <v>1269</v>
      </c>
      <c r="B194" s="217">
        <v>1.0149999999999999</v>
      </c>
      <c r="C194" s="217">
        <v>1.0209999999999999</v>
      </c>
      <c r="D194" s="217">
        <v>1.0169999999999999</v>
      </c>
      <c r="E194" s="217">
        <v>1.022</v>
      </c>
      <c r="F194" s="193">
        <v>698</v>
      </c>
    </row>
    <row r="195" spans="1:6" ht="22.5" customHeight="1" x14ac:dyDescent="0.2">
      <c r="A195" s="1" t="s">
        <v>1298</v>
      </c>
      <c r="B195" s="217">
        <v>1.008</v>
      </c>
      <c r="C195" s="217">
        <v>1.01</v>
      </c>
      <c r="D195" s="217">
        <v>1.008</v>
      </c>
      <c r="E195" s="217">
        <v>1.012</v>
      </c>
      <c r="F195" s="193">
        <v>699</v>
      </c>
    </row>
    <row r="196" spans="1:6" ht="22.5" customHeight="1" x14ac:dyDescent="0.2">
      <c r="A196" s="1" t="s">
        <v>1211</v>
      </c>
      <c r="B196" s="217">
        <v>1.012</v>
      </c>
      <c r="C196" s="217">
        <v>1.012</v>
      </c>
      <c r="D196" s="217">
        <v>1.0129999999999999</v>
      </c>
      <c r="E196" s="217">
        <v>1.014</v>
      </c>
      <c r="F196" s="193">
        <v>622</v>
      </c>
    </row>
    <row r="197" spans="1:6" ht="22.5" customHeight="1" x14ac:dyDescent="0.2">
      <c r="A197" s="1" t="s">
        <v>1212</v>
      </c>
      <c r="B197" s="217">
        <v>1.012</v>
      </c>
      <c r="C197" s="217">
        <v>1.012</v>
      </c>
      <c r="D197" s="217">
        <v>1.0129999999999999</v>
      </c>
      <c r="E197" s="217">
        <v>1.014</v>
      </c>
      <c r="F197" s="193">
        <v>627</v>
      </c>
    </row>
    <row r="198" spans="1:6" ht="22.5" customHeight="1" x14ac:dyDescent="0.2">
      <c r="A198" s="213" t="s">
        <v>1213</v>
      </c>
      <c r="B198" s="218">
        <v>1.016</v>
      </c>
      <c r="C198" s="218">
        <v>1.018</v>
      </c>
      <c r="D198" s="218">
        <v>1.02</v>
      </c>
      <c r="E198" s="218">
        <v>1.022</v>
      </c>
      <c r="F198" s="214">
        <v>825</v>
      </c>
    </row>
    <row r="199" spans="1:6" ht="22.5" customHeight="1" x14ac:dyDescent="0.2">
      <c r="A199" s="213" t="s">
        <v>1455</v>
      </c>
      <c r="B199" s="218">
        <v>1.012</v>
      </c>
      <c r="C199" s="218">
        <v>1.012</v>
      </c>
      <c r="D199" s="218">
        <v>1.0129999999999999</v>
      </c>
      <c r="E199" s="218">
        <v>1.014</v>
      </c>
      <c r="F199" s="214">
        <v>653</v>
      </c>
    </row>
    <row r="200" spans="1:6" ht="22.5" customHeight="1" x14ac:dyDescent="0.2">
      <c r="A200" s="213" t="s">
        <v>1452</v>
      </c>
      <c r="B200" s="218">
        <v>1.012</v>
      </c>
      <c r="C200" s="218">
        <v>1.012</v>
      </c>
      <c r="D200" s="218">
        <v>1.0129999999999999</v>
      </c>
      <c r="E200" s="218">
        <v>1.014</v>
      </c>
      <c r="F200" s="214">
        <v>623</v>
      </c>
    </row>
    <row r="201" spans="1:6" ht="22.5" customHeight="1" x14ac:dyDescent="0.2">
      <c r="A201" s="213" t="s">
        <v>1453</v>
      </c>
      <c r="B201" s="218">
        <v>1.012</v>
      </c>
      <c r="C201" s="218">
        <v>1.012</v>
      </c>
      <c r="D201" s="218">
        <v>1.0129999999999999</v>
      </c>
      <c r="E201" s="218">
        <v>1.014</v>
      </c>
      <c r="F201" s="214">
        <v>624</v>
      </c>
    </row>
    <row r="202" spans="1:6" ht="22.5" customHeight="1" x14ac:dyDescent="0.2">
      <c r="A202" s="213" t="s">
        <v>1454</v>
      </c>
      <c r="B202" s="218">
        <v>1.012</v>
      </c>
      <c r="C202" s="218">
        <v>1.012</v>
      </c>
      <c r="D202" s="218">
        <v>1.0129999999999999</v>
      </c>
      <c r="E202" s="218">
        <v>1.014</v>
      </c>
      <c r="F202" s="214">
        <v>626</v>
      </c>
    </row>
    <row r="203" spans="1:6" ht="22.5" customHeight="1" x14ac:dyDescent="0.2">
      <c r="A203" s="213" t="s">
        <v>1441</v>
      </c>
      <c r="B203" s="218">
        <v>1.012</v>
      </c>
      <c r="C203" s="218">
        <v>1.012</v>
      </c>
      <c r="D203" s="218">
        <v>1.0129999999999999</v>
      </c>
      <c r="E203" s="218">
        <v>1.014</v>
      </c>
      <c r="F203" s="214">
        <v>680</v>
      </c>
    </row>
    <row r="204" spans="1:6" ht="22.5" customHeight="1" x14ac:dyDescent="0.2">
      <c r="A204" s="213" t="s">
        <v>1451</v>
      </c>
      <c r="B204" s="218">
        <v>1.012</v>
      </c>
      <c r="C204" s="218">
        <v>1.012</v>
      </c>
      <c r="D204" s="218">
        <v>1.0129999999999999</v>
      </c>
      <c r="E204" s="218">
        <v>1.014</v>
      </c>
      <c r="F204" s="214">
        <v>696</v>
      </c>
    </row>
    <row r="205" spans="1:6" ht="22.5" customHeight="1" x14ac:dyDescent="0.2">
      <c r="A205" s="213" t="s">
        <v>1241</v>
      </c>
      <c r="B205" s="218">
        <v>1.012</v>
      </c>
      <c r="C205" s="218">
        <v>1.012</v>
      </c>
      <c r="D205" s="218">
        <v>1.0129999999999999</v>
      </c>
      <c r="E205" s="218">
        <v>1.014</v>
      </c>
      <c r="F205" s="214">
        <v>663</v>
      </c>
    </row>
    <row r="206" spans="1:6" ht="22.5" customHeight="1" x14ac:dyDescent="0.2">
      <c r="A206" s="1" t="s">
        <v>1217</v>
      </c>
      <c r="B206" s="217">
        <v>0.96499999999999997</v>
      </c>
      <c r="C206" s="217">
        <v>0.99299999999999999</v>
      </c>
      <c r="D206" s="217">
        <v>0.98199999999999998</v>
      </c>
      <c r="E206" s="217">
        <v>0.97199999999999998</v>
      </c>
      <c r="F206" s="193" t="s">
        <v>1215</v>
      </c>
    </row>
    <row r="207" spans="1:6" ht="22.5" customHeight="1" x14ac:dyDescent="0.2">
      <c r="A207" s="1" t="s">
        <v>1218</v>
      </c>
      <c r="B207" s="217">
        <v>0.98599999999999999</v>
      </c>
      <c r="C207" s="217">
        <v>0.99099999999999999</v>
      </c>
      <c r="D207" s="217">
        <v>0.98499999999999999</v>
      </c>
      <c r="E207" s="217">
        <v>0.99099999999999999</v>
      </c>
      <c r="F207" s="193" t="s">
        <v>1205</v>
      </c>
    </row>
    <row r="208" spans="1:6" ht="22.5" customHeight="1" x14ac:dyDescent="0.2">
      <c r="A208" s="1" t="s">
        <v>1219</v>
      </c>
      <c r="B208" s="217">
        <v>0.92100000000000004</v>
      </c>
      <c r="C208" s="217">
        <v>0.93799999999999994</v>
      </c>
      <c r="D208" s="217">
        <v>0.97799999999999998</v>
      </c>
      <c r="E208" s="217">
        <v>0.94699999999999995</v>
      </c>
      <c r="F208" s="193" t="s">
        <v>1216</v>
      </c>
    </row>
    <row r="209" spans="1:6" ht="22.5" customHeight="1" x14ac:dyDescent="0.2">
      <c r="A209" s="1" t="s">
        <v>1308</v>
      </c>
      <c r="B209" s="217">
        <v>1</v>
      </c>
      <c r="C209" s="217">
        <v>1</v>
      </c>
      <c r="D209" s="217">
        <v>1</v>
      </c>
      <c r="E209" s="217">
        <v>1</v>
      </c>
      <c r="F209" s="193">
        <v>601</v>
      </c>
    </row>
    <row r="210" spans="1:6" ht="22.5" customHeight="1" x14ac:dyDescent="0.2">
      <c r="A210" s="1" t="s">
        <v>1448</v>
      </c>
      <c r="B210" s="217">
        <v>0.997</v>
      </c>
      <c r="C210" s="217">
        <v>0.999</v>
      </c>
      <c r="D210" s="217">
        <v>0.997</v>
      </c>
      <c r="E210" s="217">
        <v>0.999</v>
      </c>
      <c r="F210" s="193" t="s">
        <v>1202</v>
      </c>
    </row>
  </sheetData>
  <autoFilter ref="A2:F93" xr:uid="{00000000-0009-0000-0000-000007000000}">
    <filterColumn colId="0" showButton="0"/>
    <filterColumn colId="1" showButton="0"/>
    <filterColumn colId="2" showButton="0"/>
    <filterColumn colId="3" showButton="0"/>
  </autoFilter>
  <sortState ref="H36:H134">
    <sortCondition ref="H36:H134"/>
  </sortState>
  <mergeCells count="10">
    <mergeCell ref="A2:E2"/>
    <mergeCell ref="B9:E9"/>
    <mergeCell ref="A3:E3"/>
    <mergeCell ref="A4:A5"/>
    <mergeCell ref="A132:F132"/>
    <mergeCell ref="A12:F12"/>
    <mergeCell ref="A13:F13"/>
    <mergeCell ref="A131:F131"/>
    <mergeCell ref="A24:F24"/>
    <mergeCell ref="A25:F25"/>
  </mergeCells>
  <phoneticPr fontId="9" type="noConversion"/>
  <hyperlinks>
    <hyperlink ref="A1" location="Overview!A1" display="Back to Overview" xr:uid="{00000000-0004-0000-0700-000000000000}"/>
  </hyperlinks>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R31"/>
  <sheetViews>
    <sheetView tabSelected="1" topLeftCell="A10" zoomScale="80" zoomScaleNormal="80" zoomScaleSheetLayoutView="100" workbookViewId="0">
      <selection activeCell="B24" sqref="B24"/>
    </sheetView>
  </sheetViews>
  <sheetFormatPr defaultRowHeight="27.75" customHeight="1" x14ac:dyDescent="0.2"/>
  <cols>
    <col min="1" max="2" width="16" style="2" customWidth="1"/>
    <col min="3" max="3" width="6.28515625" style="2" bestFit="1" customWidth="1"/>
    <col min="4" max="4" width="20.7109375" style="2" customWidth="1"/>
    <col min="5" max="5" width="16.42578125" style="3" customWidth="1"/>
    <col min="6" max="6" width="6.28515625" style="3" bestFit="1" customWidth="1"/>
    <col min="7" max="7" width="20.7109375" style="2" customWidth="1"/>
    <col min="8" max="8" width="50.5703125" style="3" customWidth="1"/>
    <col min="9" max="10" width="15.5703125" style="3" customWidth="1"/>
    <col min="11" max="11" width="15.5703125" style="10" customWidth="1"/>
    <col min="12" max="13" width="15.5703125" style="4" customWidth="1"/>
    <col min="14" max="16" width="15.5703125" style="207" customWidth="1"/>
    <col min="17" max="17" width="13.7109375" style="207" customWidth="1"/>
    <col min="18" max="18" width="13.7109375" style="2" customWidth="1"/>
    <col min="19" max="19" width="15.5703125" style="2" customWidth="1"/>
    <col min="20" max="16384" width="9.140625" style="2"/>
  </cols>
  <sheetData>
    <row r="1" spans="1:17" ht="100.5" customHeight="1" x14ac:dyDescent="0.2">
      <c r="A1" s="16" t="s">
        <v>91</v>
      </c>
      <c r="B1" s="16"/>
      <c r="C1" s="16"/>
      <c r="D1" s="16"/>
      <c r="G1" s="25"/>
      <c r="H1" s="290" t="s">
        <v>717</v>
      </c>
      <c r="I1" s="291"/>
    </row>
    <row r="2" spans="1:17" ht="27.75" customHeight="1" x14ac:dyDescent="0.2">
      <c r="A2" s="286" t="s">
        <v>716</v>
      </c>
      <c r="B2" s="287"/>
      <c r="C2" s="287"/>
      <c r="D2" s="287"/>
      <c r="E2" s="288"/>
      <c r="F2" s="288"/>
      <c r="G2" s="288"/>
      <c r="H2" s="288"/>
      <c r="I2" s="288"/>
      <c r="J2" s="288"/>
      <c r="K2" s="288"/>
      <c r="L2" s="288"/>
      <c r="M2" s="288"/>
      <c r="N2" s="288"/>
      <c r="O2" s="288"/>
      <c r="P2" s="289"/>
    </row>
    <row r="3" spans="1:17" ht="17.25" customHeight="1" x14ac:dyDescent="0.2">
      <c r="A3" s="16"/>
      <c r="B3" s="16"/>
      <c r="C3" s="16"/>
      <c r="D3" s="16"/>
      <c r="G3" s="25"/>
    </row>
    <row r="4" spans="1:17" s="11" customFormat="1" ht="25.5" customHeight="1" x14ac:dyDescent="0.2">
      <c r="A4" s="253" t="str">
        <f>Overview!B4&amp; " - Effective from "&amp;Overview!D4&amp;" - "&amp;Overview!E4&amp;" new designated EHV charges"</f>
        <v>SP Manweb - Effective from 1 April 2019 - Final new designated EHV charges</v>
      </c>
      <c r="B4" s="254"/>
      <c r="C4" s="254"/>
      <c r="D4" s="254"/>
      <c r="E4" s="254"/>
      <c r="F4" s="254"/>
      <c r="G4" s="254"/>
      <c r="H4" s="254"/>
      <c r="I4" s="254"/>
      <c r="J4" s="254"/>
      <c r="K4" s="254"/>
      <c r="L4" s="254"/>
      <c r="M4" s="254"/>
      <c r="N4" s="254"/>
      <c r="O4" s="254"/>
      <c r="P4" s="255"/>
      <c r="Q4" s="208"/>
    </row>
    <row r="5" spans="1:17" ht="69.75" customHeight="1" x14ac:dyDescent="0.2">
      <c r="A5" s="30" t="s">
        <v>720</v>
      </c>
      <c r="B5" s="30" t="s">
        <v>489</v>
      </c>
      <c r="C5" s="30" t="s">
        <v>473</v>
      </c>
      <c r="D5" s="30" t="s">
        <v>474</v>
      </c>
      <c r="E5" s="30" t="s">
        <v>490</v>
      </c>
      <c r="F5" s="30" t="s">
        <v>473</v>
      </c>
      <c r="G5" s="30" t="s">
        <v>475</v>
      </c>
      <c r="H5" s="83" t="s">
        <v>184</v>
      </c>
      <c r="I5" s="83" t="str">
        <f>'Annex 2 EHV charges'!H10</f>
        <v>Import
Super Red
unit charge
(p/kWh)</v>
      </c>
      <c r="J5" s="83" t="str">
        <f>'Annex 2 EHV charges'!I10</f>
        <v>Import
fixed charge
(p/day)</v>
      </c>
      <c r="K5" s="83" t="str">
        <f>'Annex 2 EHV charges'!J10</f>
        <v>Import
capacity charge
(p/kVA/day)</v>
      </c>
      <c r="L5" s="83" t="str">
        <f>'Annex 2 EHV charges'!K10</f>
        <v>Import
exceeded capacity charge
(p/kVA/day)</v>
      </c>
      <c r="M5" s="83" t="str">
        <f>'Annex 2 EHV charges'!L10</f>
        <v>Export
Super Red
unit charge
(p/kWh)</v>
      </c>
      <c r="N5" s="209" t="str">
        <f>'Annex 2 EHV charges'!M10</f>
        <v>Export
fixed charge
(p/day)</v>
      </c>
      <c r="O5" s="209" t="str">
        <f>'Annex 2 EHV charges'!N10</f>
        <v>Export
capacity charge
(p/kVA/day)</v>
      </c>
      <c r="P5" s="209" t="str">
        <f>'Annex 2 EHV charges'!O10</f>
        <v>Export
exceeded capacity charge
(p/kVA/day)</v>
      </c>
    </row>
    <row r="6" spans="1:17" ht="22.5" customHeight="1" x14ac:dyDescent="0.2">
      <c r="A6" s="53" t="s">
        <v>1456</v>
      </c>
      <c r="B6" s="53">
        <v>895</v>
      </c>
      <c r="C6" s="53">
        <v>895</v>
      </c>
      <c r="D6" s="210">
        <v>1300060785462</v>
      </c>
      <c r="E6" s="54">
        <v>696</v>
      </c>
      <c r="F6" s="36">
        <v>696</v>
      </c>
      <c r="G6" s="210">
        <v>1300060785453</v>
      </c>
      <c r="H6" s="55" t="s">
        <v>1451</v>
      </c>
      <c r="I6" s="211">
        <v>0</v>
      </c>
      <c r="J6" s="211">
        <v>296.11</v>
      </c>
      <c r="K6" s="211">
        <v>3.22</v>
      </c>
      <c r="L6" s="211">
        <v>3.22</v>
      </c>
      <c r="M6" s="212">
        <v>0</v>
      </c>
      <c r="N6" s="212">
        <v>23451.82</v>
      </c>
      <c r="O6" s="212">
        <v>0.05</v>
      </c>
      <c r="P6" s="211">
        <v>0.05</v>
      </c>
    </row>
    <row r="7" spans="1:17" ht="22.5" customHeight="1" x14ac:dyDescent="0.2">
      <c r="A7" s="53" t="s">
        <v>1456</v>
      </c>
      <c r="B7" s="53">
        <v>911</v>
      </c>
      <c r="C7" s="53">
        <v>911</v>
      </c>
      <c r="D7" s="210">
        <v>1300060805612</v>
      </c>
      <c r="E7" s="54">
        <v>623</v>
      </c>
      <c r="F7" s="36">
        <v>623</v>
      </c>
      <c r="G7" s="210">
        <v>1300060805621</v>
      </c>
      <c r="H7" s="55" t="s">
        <v>1452</v>
      </c>
      <c r="I7" s="211">
        <v>1.7130000000000001</v>
      </c>
      <c r="J7" s="211">
        <v>212.44</v>
      </c>
      <c r="K7" s="211">
        <v>3.19</v>
      </c>
      <c r="L7" s="211">
        <v>3.19</v>
      </c>
      <c r="M7" s="212">
        <v>-2.3199999999999998</v>
      </c>
      <c r="N7" s="212">
        <v>5664.15</v>
      </c>
      <c r="O7" s="212">
        <v>0.05</v>
      </c>
      <c r="P7" s="211">
        <v>0.05</v>
      </c>
    </row>
    <row r="8" spans="1:17" ht="22.5" customHeight="1" x14ac:dyDescent="0.2">
      <c r="A8" s="53" t="s">
        <v>1456</v>
      </c>
      <c r="B8" s="53">
        <v>912</v>
      </c>
      <c r="C8" s="53">
        <v>912</v>
      </c>
      <c r="D8" s="210">
        <v>1300060805560</v>
      </c>
      <c r="E8" s="54">
        <v>624</v>
      </c>
      <c r="F8" s="36">
        <v>624</v>
      </c>
      <c r="G8" s="210">
        <v>1300060805570</v>
      </c>
      <c r="H8" s="55" t="s">
        <v>1453</v>
      </c>
      <c r="I8" s="211">
        <v>1.7130000000000001</v>
      </c>
      <c r="J8" s="211">
        <v>153.71</v>
      </c>
      <c r="K8" s="211">
        <v>4.7699999999999996</v>
      </c>
      <c r="L8" s="211">
        <v>4.7699999999999996</v>
      </c>
      <c r="M8" s="212">
        <v>-2.8109999999999999</v>
      </c>
      <c r="N8" s="212">
        <v>4100.51</v>
      </c>
      <c r="O8" s="212">
        <v>0.05</v>
      </c>
      <c r="P8" s="211">
        <v>0.05</v>
      </c>
    </row>
    <row r="9" spans="1:17" ht="22.5" customHeight="1" x14ac:dyDescent="0.2">
      <c r="A9" s="53" t="s">
        <v>1456</v>
      </c>
      <c r="B9" s="53">
        <v>914</v>
      </c>
      <c r="C9" s="53">
        <v>914</v>
      </c>
      <c r="D9" s="210">
        <v>1300060818597</v>
      </c>
      <c r="E9" s="54">
        <v>626</v>
      </c>
      <c r="F9" s="36">
        <v>626</v>
      </c>
      <c r="G9" s="210">
        <v>1300060818602</v>
      </c>
      <c r="H9" s="55" t="s">
        <v>1454</v>
      </c>
      <c r="I9" s="211">
        <v>1.7130000000000001</v>
      </c>
      <c r="J9" s="211">
        <v>16.670000000000002</v>
      </c>
      <c r="K9" s="211">
        <v>4.7699999999999996</v>
      </c>
      <c r="L9" s="211">
        <v>4.7699999999999996</v>
      </c>
      <c r="M9" s="212">
        <v>-2.8109999999999999</v>
      </c>
      <c r="N9" s="212">
        <v>1267.98</v>
      </c>
      <c r="O9" s="212">
        <v>0.05</v>
      </c>
      <c r="P9" s="211">
        <v>0.05</v>
      </c>
    </row>
    <row r="10" spans="1:17" ht="22.5" customHeight="1" x14ac:dyDescent="0.2">
      <c r="A10" s="53" t="s">
        <v>1456</v>
      </c>
      <c r="B10" s="53">
        <v>853</v>
      </c>
      <c r="C10" s="53">
        <v>853</v>
      </c>
      <c r="D10" s="210"/>
      <c r="E10" s="54">
        <v>653</v>
      </c>
      <c r="F10" s="36">
        <v>653</v>
      </c>
      <c r="G10" s="210"/>
      <c r="H10" s="55" t="s">
        <v>1455</v>
      </c>
      <c r="I10" s="211">
        <v>0.28100000000000003</v>
      </c>
      <c r="J10" s="211">
        <v>278.44</v>
      </c>
      <c r="K10" s="211">
        <v>4.46</v>
      </c>
      <c r="L10" s="211">
        <v>4.46</v>
      </c>
      <c r="M10" s="212">
        <v>-0.91300000000000003</v>
      </c>
      <c r="N10" s="212">
        <v>5822.98</v>
      </c>
      <c r="O10" s="212">
        <v>0.05</v>
      </c>
      <c r="P10" s="211">
        <v>0.05</v>
      </c>
    </row>
    <row r="11" spans="1:17" ht="22.5" customHeight="1" x14ac:dyDescent="0.2">
      <c r="A11" s="53" t="s">
        <v>1456</v>
      </c>
      <c r="B11" s="53">
        <v>833</v>
      </c>
      <c r="C11" s="53">
        <v>833</v>
      </c>
      <c r="D11" s="210">
        <v>1300035361803</v>
      </c>
      <c r="E11" s="54">
        <v>663</v>
      </c>
      <c r="F11" s="54">
        <v>663</v>
      </c>
      <c r="G11" s="210">
        <v>1300060327224</v>
      </c>
      <c r="H11" s="55" t="s">
        <v>1241</v>
      </c>
      <c r="I11" s="211"/>
      <c r="J11" s="211">
        <v>1880.85</v>
      </c>
      <c r="K11" s="211">
        <v>5.56</v>
      </c>
      <c r="L11" s="211">
        <v>5.56</v>
      </c>
      <c r="M11" s="212">
        <v>0</v>
      </c>
      <c r="N11" s="212">
        <v>949.83</v>
      </c>
      <c r="O11" s="212">
        <v>0.05</v>
      </c>
      <c r="P11" s="211">
        <v>0.05</v>
      </c>
    </row>
    <row r="12" spans="1:17" ht="22.5" customHeight="1" x14ac:dyDescent="0.2">
      <c r="A12" s="53" t="s">
        <v>1456</v>
      </c>
      <c r="B12" s="53">
        <v>898</v>
      </c>
      <c r="C12" s="53">
        <v>898</v>
      </c>
      <c r="D12" s="210">
        <v>1300051694552</v>
      </c>
      <c r="E12" s="54">
        <v>698</v>
      </c>
      <c r="F12" s="54">
        <v>698</v>
      </c>
      <c r="G12" s="210">
        <v>1300051694827</v>
      </c>
      <c r="H12" s="55" t="s">
        <v>1269</v>
      </c>
      <c r="I12" s="211">
        <v>0</v>
      </c>
      <c r="J12" s="211">
        <v>594.99</v>
      </c>
      <c r="K12" s="211">
        <v>2.17</v>
      </c>
      <c r="L12" s="211">
        <v>3.4</v>
      </c>
      <c r="M12" s="212">
        <v>-1.7450000000000001</v>
      </c>
      <c r="N12" s="212">
        <v>3545.62</v>
      </c>
      <c r="O12" s="212">
        <v>0.05</v>
      </c>
      <c r="P12" s="211">
        <v>0.05</v>
      </c>
    </row>
    <row r="13" spans="1:17" ht="22.5" customHeight="1" x14ac:dyDescent="0.2">
      <c r="A13" s="53" t="s">
        <v>1456</v>
      </c>
      <c r="B13" s="53">
        <v>806</v>
      </c>
      <c r="C13" s="53">
        <v>806</v>
      </c>
      <c r="D13" s="210">
        <v>1300051060972</v>
      </c>
      <c r="E13" s="54">
        <v>606</v>
      </c>
      <c r="F13" s="54">
        <v>606</v>
      </c>
      <c r="G13" s="210">
        <v>1300051060981</v>
      </c>
      <c r="H13" s="55" t="s">
        <v>1224</v>
      </c>
      <c r="I13" s="211">
        <v>0</v>
      </c>
      <c r="J13" s="211">
        <v>54.88</v>
      </c>
      <c r="K13" s="211">
        <v>3.14</v>
      </c>
      <c r="L13" s="211">
        <v>3.14</v>
      </c>
      <c r="M13" s="212">
        <v>-0.11700000000000001</v>
      </c>
      <c r="N13" s="212">
        <v>4134.92</v>
      </c>
      <c r="O13" s="212">
        <v>0.05</v>
      </c>
      <c r="P13" s="211">
        <v>0.05</v>
      </c>
    </row>
    <row r="14" spans="1:17" ht="22.5" customHeight="1" x14ac:dyDescent="0.2">
      <c r="A14" s="53" t="s">
        <v>1456</v>
      </c>
      <c r="B14" s="215">
        <v>312</v>
      </c>
      <c r="C14" s="215">
        <v>312</v>
      </c>
      <c r="D14" s="210">
        <v>1300060736891</v>
      </c>
      <c r="E14" s="54"/>
      <c r="F14" s="54"/>
      <c r="G14" s="210"/>
      <c r="H14" s="55" t="s">
        <v>1457</v>
      </c>
      <c r="I14" s="211">
        <v>0.23200000000000001</v>
      </c>
      <c r="J14" s="211">
        <v>210.49</v>
      </c>
      <c r="K14" s="211">
        <v>3.58</v>
      </c>
      <c r="L14" s="211">
        <v>3.58</v>
      </c>
      <c r="M14" s="212"/>
      <c r="N14" s="212"/>
      <c r="O14" s="212"/>
      <c r="P14" s="211"/>
    </row>
    <row r="15" spans="1:17" ht="22.5" customHeight="1" x14ac:dyDescent="0.2">
      <c r="A15" s="53" t="s">
        <v>1456</v>
      </c>
      <c r="B15" s="215">
        <v>336</v>
      </c>
      <c r="C15" s="215">
        <v>336</v>
      </c>
      <c r="D15" s="210">
        <v>1300060254338</v>
      </c>
      <c r="E15" s="54"/>
      <c r="F15" s="54"/>
      <c r="G15" s="210"/>
      <c r="H15" s="55" t="s">
        <v>1458</v>
      </c>
      <c r="I15" s="211">
        <v>0</v>
      </c>
      <c r="J15" s="211">
        <v>1001.98</v>
      </c>
      <c r="K15" s="211">
        <v>3.58</v>
      </c>
      <c r="L15" s="211">
        <v>3.58</v>
      </c>
      <c r="M15" s="212"/>
      <c r="N15" s="212"/>
      <c r="O15" s="212"/>
      <c r="P15" s="211"/>
    </row>
    <row r="16" spans="1:17" ht="22.5" customHeight="1" x14ac:dyDescent="0.2">
      <c r="A16" s="53"/>
      <c r="B16" s="53"/>
      <c r="C16" s="53"/>
      <c r="D16" s="210"/>
      <c r="E16" s="54"/>
      <c r="F16" s="54"/>
      <c r="G16" s="210"/>
      <c r="H16" s="55"/>
      <c r="I16" s="211"/>
      <c r="J16" s="211"/>
      <c r="K16" s="211"/>
      <c r="L16" s="211"/>
      <c r="M16" s="212"/>
      <c r="N16" s="212"/>
      <c r="O16" s="212"/>
      <c r="P16" s="211"/>
    </row>
    <row r="17" spans="1:18" ht="22.5" customHeight="1" x14ac:dyDescent="0.2">
      <c r="A17" s="53"/>
      <c r="B17" s="53"/>
      <c r="C17" s="53"/>
      <c r="D17" s="210"/>
      <c r="E17" s="54"/>
      <c r="F17" s="54"/>
      <c r="G17" s="210"/>
      <c r="H17" s="55"/>
      <c r="I17" s="211"/>
      <c r="J17" s="211"/>
      <c r="K17" s="211"/>
      <c r="L17" s="211"/>
      <c r="M17" s="212"/>
      <c r="N17" s="212"/>
      <c r="O17" s="212"/>
      <c r="P17" s="211"/>
    </row>
    <row r="18" spans="1:18" ht="22.5" customHeight="1" x14ac:dyDescent="0.2">
      <c r="A18" s="53"/>
      <c r="B18" s="53"/>
      <c r="C18" s="53"/>
      <c r="D18" s="210"/>
      <c r="E18" s="54"/>
      <c r="F18" s="54"/>
      <c r="G18" s="210"/>
      <c r="H18" s="55"/>
      <c r="I18" s="211"/>
      <c r="J18" s="211"/>
      <c r="K18" s="211"/>
      <c r="L18" s="211"/>
      <c r="M18" s="212"/>
      <c r="N18" s="212"/>
      <c r="O18" s="212"/>
      <c r="P18" s="211"/>
    </row>
    <row r="20" spans="1:18" ht="27.75" customHeight="1" x14ac:dyDescent="0.2">
      <c r="A20" s="253" t="str">
        <f>[1]Overview!B4&amp; " - Effective from "&amp;[1]Overview!D4&amp;" - "&amp;[1]Overview!E4&amp;" new designated EHV line loss factors"</f>
        <v>SP Manweb - Effective from 1 April 2019 - Final new designated EHV line loss factors</v>
      </c>
      <c r="B20" s="254"/>
      <c r="C20" s="254"/>
      <c r="D20" s="254"/>
      <c r="E20" s="254"/>
      <c r="F20" s="254"/>
      <c r="G20" s="254"/>
      <c r="H20" s="254"/>
      <c r="I20" s="254"/>
      <c r="J20" s="254"/>
      <c r="K20" s="254"/>
      <c r="L20" s="254"/>
      <c r="M20" s="254"/>
      <c r="N20" s="254"/>
      <c r="O20" s="254"/>
      <c r="P20" s="254"/>
      <c r="Q20" s="254"/>
      <c r="R20" s="255"/>
    </row>
    <row r="21" spans="1:18" ht="62.25" customHeight="1" x14ac:dyDescent="0.2">
      <c r="A21" s="30" t="s">
        <v>720</v>
      </c>
      <c r="B21" s="30" t="s">
        <v>489</v>
      </c>
      <c r="C21" s="30" t="s">
        <v>473</v>
      </c>
      <c r="D21" s="30" t="s">
        <v>474</v>
      </c>
      <c r="E21" s="30" t="s">
        <v>490</v>
      </c>
      <c r="F21" s="30" t="s">
        <v>473</v>
      </c>
      <c r="G21" s="30" t="s">
        <v>475</v>
      </c>
      <c r="H21" s="83" t="s">
        <v>184</v>
      </c>
      <c r="I21" s="33" t="s">
        <v>628</v>
      </c>
      <c r="J21" s="33" t="s">
        <v>627</v>
      </c>
      <c r="K21" s="33" t="s">
        <v>629</v>
      </c>
      <c r="L21" s="33" t="s">
        <v>630</v>
      </c>
      <c r="M21" s="33" t="s">
        <v>631</v>
      </c>
      <c r="N21" s="222" t="s">
        <v>632</v>
      </c>
      <c r="O21" s="222" t="s">
        <v>633</v>
      </c>
      <c r="P21" s="222" t="s">
        <v>634</v>
      </c>
      <c r="Q21" s="222" t="s">
        <v>635</v>
      </c>
      <c r="R21" s="35" t="s">
        <v>636</v>
      </c>
    </row>
    <row r="22" spans="1:18" ht="22.5" customHeight="1" x14ac:dyDescent="0.2">
      <c r="A22" s="53" t="s">
        <v>1456</v>
      </c>
      <c r="B22" s="53">
        <v>895</v>
      </c>
      <c r="C22" s="53">
        <v>895</v>
      </c>
      <c r="D22" s="210">
        <v>1300060785462</v>
      </c>
      <c r="E22" s="54">
        <v>696</v>
      </c>
      <c r="F22" s="36">
        <v>696</v>
      </c>
      <c r="G22" s="210">
        <v>1300060785453</v>
      </c>
      <c r="H22" s="37" t="s">
        <v>1451</v>
      </c>
      <c r="I22" s="223">
        <v>1.016</v>
      </c>
      <c r="J22" s="223">
        <v>1.018</v>
      </c>
      <c r="K22" s="224">
        <v>1.02</v>
      </c>
      <c r="L22" s="224">
        <v>1.022</v>
      </c>
      <c r="M22" s="32"/>
      <c r="N22" s="225">
        <v>1.012</v>
      </c>
      <c r="O22" s="225">
        <v>1.012</v>
      </c>
      <c r="P22" s="225">
        <v>1.0129999999999999</v>
      </c>
      <c r="Q22" s="225">
        <v>1.014</v>
      </c>
      <c r="R22" s="34"/>
    </row>
    <row r="23" spans="1:18" ht="22.5" customHeight="1" x14ac:dyDescent="0.2">
      <c r="A23" s="53" t="s">
        <v>1456</v>
      </c>
      <c r="B23" s="53">
        <v>911</v>
      </c>
      <c r="C23" s="53">
        <v>911</v>
      </c>
      <c r="D23" s="210">
        <v>1300060805612</v>
      </c>
      <c r="E23" s="54">
        <v>623</v>
      </c>
      <c r="F23" s="36">
        <v>623</v>
      </c>
      <c r="G23" s="210">
        <v>1300060805621</v>
      </c>
      <c r="H23" s="37" t="s">
        <v>1452</v>
      </c>
      <c r="I23" s="223">
        <v>1.016</v>
      </c>
      <c r="J23" s="223">
        <v>1.018</v>
      </c>
      <c r="K23" s="224">
        <v>1.02</v>
      </c>
      <c r="L23" s="224">
        <v>1.022</v>
      </c>
      <c r="M23" s="32"/>
      <c r="N23" s="225">
        <v>1.012</v>
      </c>
      <c r="O23" s="225">
        <v>1.012</v>
      </c>
      <c r="P23" s="225">
        <v>1.0129999999999999</v>
      </c>
      <c r="Q23" s="225">
        <v>1.014</v>
      </c>
      <c r="R23" s="34"/>
    </row>
    <row r="24" spans="1:18" ht="22.5" customHeight="1" x14ac:dyDescent="0.2">
      <c r="A24" s="53" t="s">
        <v>1456</v>
      </c>
      <c r="B24" s="53">
        <v>912</v>
      </c>
      <c r="C24" s="53">
        <v>912</v>
      </c>
      <c r="D24" s="210">
        <v>1300060805560</v>
      </c>
      <c r="E24" s="54">
        <v>624</v>
      </c>
      <c r="F24" s="36">
        <v>624</v>
      </c>
      <c r="G24" s="210">
        <v>1300060805570</v>
      </c>
      <c r="H24" s="37" t="s">
        <v>1453</v>
      </c>
      <c r="I24" s="223">
        <v>1.016</v>
      </c>
      <c r="J24" s="223">
        <v>1.018</v>
      </c>
      <c r="K24" s="224">
        <v>1.02</v>
      </c>
      <c r="L24" s="224">
        <v>1.022</v>
      </c>
      <c r="M24" s="32"/>
      <c r="N24" s="225">
        <v>1.012</v>
      </c>
      <c r="O24" s="225">
        <v>1.012</v>
      </c>
      <c r="P24" s="225">
        <v>1.0129999999999999</v>
      </c>
      <c r="Q24" s="225">
        <v>1.014</v>
      </c>
      <c r="R24" s="34"/>
    </row>
    <row r="25" spans="1:18" ht="22.5" customHeight="1" x14ac:dyDescent="0.2">
      <c r="A25" s="53" t="s">
        <v>1456</v>
      </c>
      <c r="B25" s="53">
        <v>914</v>
      </c>
      <c r="C25" s="53">
        <v>914</v>
      </c>
      <c r="D25" s="210">
        <v>1300060818597</v>
      </c>
      <c r="E25" s="54">
        <v>626</v>
      </c>
      <c r="F25" s="36">
        <v>626</v>
      </c>
      <c r="G25" s="210">
        <v>1300060818602</v>
      </c>
      <c r="H25" s="37" t="s">
        <v>1454</v>
      </c>
      <c r="I25" s="223">
        <v>1.016</v>
      </c>
      <c r="J25" s="223">
        <v>1.018</v>
      </c>
      <c r="K25" s="224">
        <v>1.02</v>
      </c>
      <c r="L25" s="224">
        <v>1.022</v>
      </c>
      <c r="M25" s="32"/>
      <c r="N25" s="225">
        <v>1.012</v>
      </c>
      <c r="O25" s="225">
        <v>1.012</v>
      </c>
      <c r="P25" s="225">
        <v>1.0129999999999999</v>
      </c>
      <c r="Q25" s="225">
        <v>1.014</v>
      </c>
      <c r="R25" s="34"/>
    </row>
    <row r="26" spans="1:18" ht="22.5" customHeight="1" x14ac:dyDescent="0.2">
      <c r="A26" s="53" t="s">
        <v>1456</v>
      </c>
      <c r="B26" s="53">
        <v>853</v>
      </c>
      <c r="C26" s="53">
        <v>853</v>
      </c>
      <c r="D26" s="53"/>
      <c r="E26" s="54">
        <v>653</v>
      </c>
      <c r="F26" s="36">
        <v>653</v>
      </c>
      <c r="G26" s="36"/>
      <c r="H26" s="37" t="s">
        <v>1455</v>
      </c>
      <c r="I26" s="223">
        <v>1.016</v>
      </c>
      <c r="J26" s="223">
        <v>1.018</v>
      </c>
      <c r="K26" s="224">
        <v>1.02</v>
      </c>
      <c r="L26" s="224">
        <v>1.022</v>
      </c>
      <c r="M26" s="32"/>
      <c r="N26" s="225">
        <v>1.012</v>
      </c>
      <c r="O26" s="225">
        <v>1.012</v>
      </c>
      <c r="P26" s="225">
        <v>1.0129999999999999</v>
      </c>
      <c r="Q26" s="225">
        <v>1.014</v>
      </c>
      <c r="R26" s="34"/>
    </row>
    <row r="27" spans="1:18" ht="22.5" customHeight="1" x14ac:dyDescent="0.2">
      <c r="A27" s="53" t="s">
        <v>1456</v>
      </c>
      <c r="B27" s="53">
        <v>833</v>
      </c>
      <c r="C27" s="53">
        <v>833</v>
      </c>
      <c r="D27" s="210">
        <v>1300035361803</v>
      </c>
      <c r="E27" s="54">
        <v>663</v>
      </c>
      <c r="F27" s="54">
        <v>663</v>
      </c>
      <c r="G27" s="210">
        <v>1300060327224</v>
      </c>
      <c r="H27" s="55" t="s">
        <v>1241</v>
      </c>
      <c r="I27" s="223">
        <v>1.022</v>
      </c>
      <c r="J27" s="223">
        <v>1.028</v>
      </c>
      <c r="K27" s="224">
        <v>1.0229999999999999</v>
      </c>
      <c r="L27" s="224">
        <v>1.0309999999999999</v>
      </c>
      <c r="M27" s="32"/>
      <c r="N27" s="225">
        <v>1.012</v>
      </c>
      <c r="O27" s="225">
        <v>1.012</v>
      </c>
      <c r="P27" s="225">
        <v>1.0129999999999999</v>
      </c>
      <c r="Q27" s="225">
        <v>1.014</v>
      </c>
      <c r="R27" s="34"/>
    </row>
    <row r="28" spans="1:18" ht="22.5" customHeight="1" x14ac:dyDescent="0.2">
      <c r="A28" s="53" t="s">
        <v>1456</v>
      </c>
      <c r="B28" s="53">
        <v>898</v>
      </c>
      <c r="C28" s="53">
        <v>898</v>
      </c>
      <c r="D28" s="210">
        <v>1300051694552</v>
      </c>
      <c r="E28" s="54">
        <v>698</v>
      </c>
      <c r="F28" s="54">
        <v>698</v>
      </c>
      <c r="G28" s="210">
        <v>1300051694827</v>
      </c>
      <c r="H28" s="55" t="s">
        <v>1269</v>
      </c>
      <c r="I28" s="223">
        <v>1.038</v>
      </c>
      <c r="J28" s="223">
        <v>1.0469999999999999</v>
      </c>
      <c r="K28" s="224">
        <v>1.0429999999999999</v>
      </c>
      <c r="L28" s="224">
        <v>1.052</v>
      </c>
      <c r="M28" s="32"/>
      <c r="N28" s="225">
        <v>1.0149999999999999</v>
      </c>
      <c r="O28" s="225">
        <v>1.0209999999999999</v>
      </c>
      <c r="P28" s="225">
        <v>1.0169999999999999</v>
      </c>
      <c r="Q28" s="225">
        <v>1.022</v>
      </c>
      <c r="R28" s="34"/>
    </row>
    <row r="29" spans="1:18" ht="22.5" customHeight="1" x14ac:dyDescent="0.2">
      <c r="A29" s="53" t="s">
        <v>1456</v>
      </c>
      <c r="B29" s="53">
        <v>806</v>
      </c>
      <c r="C29" s="53">
        <v>806</v>
      </c>
      <c r="D29" s="210">
        <v>1300051060972</v>
      </c>
      <c r="E29" s="54">
        <v>606</v>
      </c>
      <c r="F29" s="54">
        <v>606</v>
      </c>
      <c r="G29" s="210">
        <v>1300051060981</v>
      </c>
      <c r="H29" s="55" t="s">
        <v>1224</v>
      </c>
      <c r="I29" s="223">
        <v>1.03</v>
      </c>
      <c r="J29" s="223">
        <v>1.034</v>
      </c>
      <c r="K29" s="224">
        <v>1.034</v>
      </c>
      <c r="L29" s="224">
        <v>1.038</v>
      </c>
      <c r="M29" s="32"/>
      <c r="N29" s="225">
        <v>1.0009999999999999</v>
      </c>
      <c r="O29" s="225">
        <v>1.0029999999999999</v>
      </c>
      <c r="P29" s="225">
        <v>1.002</v>
      </c>
      <c r="Q29" s="225">
        <v>1.0029999999999999</v>
      </c>
      <c r="R29" s="34"/>
    </row>
    <row r="30" spans="1:18" ht="22.5" customHeight="1" x14ac:dyDescent="0.2">
      <c r="A30" s="53" t="s">
        <v>1456</v>
      </c>
      <c r="B30" s="215">
        <v>312</v>
      </c>
      <c r="C30" s="215">
        <v>312</v>
      </c>
      <c r="D30" s="210">
        <v>1300060736891</v>
      </c>
      <c r="E30" s="54"/>
      <c r="F30" s="54"/>
      <c r="G30" s="210"/>
      <c r="H30" s="55" t="s">
        <v>1457</v>
      </c>
      <c r="I30" s="223">
        <v>1.024</v>
      </c>
      <c r="J30" s="223">
        <v>1.026</v>
      </c>
      <c r="K30" s="224">
        <v>1.0289999999999999</v>
      </c>
      <c r="L30" s="224">
        <v>1.0309999999999999</v>
      </c>
      <c r="M30" s="32"/>
      <c r="N30" s="225"/>
      <c r="O30" s="225"/>
      <c r="P30" s="225"/>
      <c r="Q30" s="225"/>
      <c r="R30" s="34"/>
    </row>
    <row r="31" spans="1:18" ht="22.5" customHeight="1" x14ac:dyDescent="0.2">
      <c r="A31" s="53" t="s">
        <v>1456</v>
      </c>
      <c r="B31" s="215">
        <v>336</v>
      </c>
      <c r="C31" s="215">
        <v>336</v>
      </c>
      <c r="D31" s="210">
        <v>1300060254338</v>
      </c>
      <c r="E31" s="54"/>
      <c r="F31" s="54"/>
      <c r="G31" s="210"/>
      <c r="H31" s="55" t="s">
        <v>1458</v>
      </c>
      <c r="I31" s="223">
        <v>1.024</v>
      </c>
      <c r="J31" s="223">
        <v>1.026</v>
      </c>
      <c r="K31" s="224">
        <v>1.0289999999999999</v>
      </c>
      <c r="L31" s="224">
        <v>1.0309999999999999</v>
      </c>
      <c r="M31" s="32"/>
      <c r="N31" s="225"/>
      <c r="O31" s="225"/>
      <c r="P31" s="225"/>
      <c r="Q31" s="225"/>
      <c r="R31" s="34"/>
    </row>
  </sheetData>
  <mergeCells count="4">
    <mergeCell ref="A4:P4"/>
    <mergeCell ref="A2:P2"/>
    <mergeCell ref="A20:R20"/>
    <mergeCell ref="H1:I1"/>
  </mergeCells>
  <hyperlinks>
    <hyperlink ref="A1" location="Overview!A1" display="Back to Overview" xr:uid="{00000000-0004-0000-0800-000000000000}"/>
  </hyperlinks>
  <pageMargins left="0.39370078740157483" right="0.35433070866141736" top="1.1023622047244095" bottom="0.55118110236220474" header="0.35433070866141736" footer="0.31496062992125984"/>
  <pageSetup paperSize="9" scale="33" fitToHeight="0" orientation="portrait" r:id="rId1"/>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G428"/>
  <sheetViews>
    <sheetView topLeftCell="A3" zoomScale="85" zoomScaleNormal="85" zoomScaleSheetLayoutView="100" workbookViewId="0">
      <pane ySplit="1" topLeftCell="A4" activePane="bottomLeft" state="frozen"/>
      <selection activeCell="A3" sqref="A3"/>
      <selection pane="bottomLeft" activeCell="D53" sqref="D53"/>
    </sheetView>
  </sheetViews>
  <sheetFormatPr defaultRowHeight="27.75" customHeight="1" x14ac:dyDescent="0.2"/>
  <cols>
    <col min="1" max="1" width="115.5703125" style="2" bestFit="1" customWidth="1"/>
    <col min="2" max="2" width="48.5703125" style="2" customWidth="1"/>
    <col min="3" max="3" width="49.42578125" style="3" bestFit="1" customWidth="1"/>
    <col min="4" max="4" width="23.7109375" style="3" customWidth="1"/>
    <col min="5" max="5" width="15.5703125" style="2" customWidth="1"/>
    <col min="6" max="16384" width="9.140625" style="2"/>
  </cols>
  <sheetData>
    <row r="1" spans="1:7" ht="27.75" customHeight="1" x14ac:dyDescent="0.2">
      <c r="A1" s="16" t="s">
        <v>91</v>
      </c>
      <c r="B1" s="3"/>
      <c r="C1" s="2"/>
      <c r="E1" s="10"/>
      <c r="F1" s="4"/>
      <c r="G1" s="4"/>
    </row>
    <row r="2" spans="1:7" s="11" customFormat="1" ht="22.5" customHeight="1" x14ac:dyDescent="0.2">
      <c r="A2" s="253" t="str">
        <f>Overview!B4&amp; " - Effective from "&amp;Overview!D4&amp;" - "&amp;Overview!E4&amp;" Nodal/Zonal charges"</f>
        <v>SP Manweb - Effective from 1 April 2019 - Final Nodal/Zonal charges</v>
      </c>
      <c r="B2" s="254"/>
      <c r="C2" s="254"/>
      <c r="D2" s="255"/>
    </row>
    <row r="3" spans="1:7" ht="60.75" customHeight="1" x14ac:dyDescent="0.2">
      <c r="A3" s="21" t="s">
        <v>488</v>
      </c>
      <c r="B3" s="21" t="s">
        <v>49</v>
      </c>
      <c r="C3" s="21" t="s">
        <v>460</v>
      </c>
      <c r="D3" s="21" t="s">
        <v>461</v>
      </c>
    </row>
    <row r="4" spans="1:7" ht="21.75" customHeight="1" x14ac:dyDescent="0.2">
      <c r="A4" s="7" t="s">
        <v>770</v>
      </c>
      <c r="B4" s="8">
        <v>1</v>
      </c>
      <c r="C4" s="8"/>
      <c r="D4" s="194"/>
    </row>
    <row r="5" spans="1:7" ht="21.75" customHeight="1" x14ac:dyDescent="0.2">
      <c r="A5" s="7" t="s">
        <v>771</v>
      </c>
      <c r="B5" s="8">
        <v>1</v>
      </c>
      <c r="C5" s="8"/>
      <c r="D5" s="194"/>
    </row>
    <row r="6" spans="1:7" ht="21.75" customHeight="1" x14ac:dyDescent="0.2">
      <c r="A6" s="7" t="s">
        <v>772</v>
      </c>
      <c r="B6" s="8">
        <v>1</v>
      </c>
      <c r="C6" s="8"/>
      <c r="D6" s="204">
        <v>4.5022746911000002</v>
      </c>
    </row>
    <row r="7" spans="1:7" ht="21.75" customHeight="1" x14ac:dyDescent="0.2">
      <c r="A7" s="7" t="s">
        <v>773</v>
      </c>
      <c r="B7" s="8">
        <v>1</v>
      </c>
      <c r="C7" s="8"/>
      <c r="D7" s="204">
        <v>0</v>
      </c>
    </row>
    <row r="8" spans="1:7" ht="21.75" customHeight="1" x14ac:dyDescent="0.2">
      <c r="A8" s="7" t="s">
        <v>774</v>
      </c>
      <c r="B8" s="8">
        <v>1</v>
      </c>
      <c r="C8" s="8"/>
      <c r="D8" s="204">
        <v>0</v>
      </c>
    </row>
    <row r="9" spans="1:7" ht="21.75" customHeight="1" x14ac:dyDescent="0.2">
      <c r="A9" s="7" t="s">
        <v>775</v>
      </c>
      <c r="B9" s="8">
        <v>1</v>
      </c>
      <c r="C9" s="8"/>
      <c r="D9" s="204">
        <v>0</v>
      </c>
    </row>
    <row r="10" spans="1:7" ht="21.75" customHeight="1" x14ac:dyDescent="0.2">
      <c r="A10" s="7" t="s">
        <v>776</v>
      </c>
      <c r="B10" s="8">
        <v>1</v>
      </c>
      <c r="C10" s="8"/>
      <c r="D10" s="204">
        <v>0</v>
      </c>
    </row>
    <row r="11" spans="1:7" ht="21.75" customHeight="1" x14ac:dyDescent="0.2">
      <c r="A11" s="7" t="s">
        <v>777</v>
      </c>
      <c r="B11" s="8">
        <v>1</v>
      </c>
      <c r="C11" s="8"/>
      <c r="D11" s="204">
        <v>0</v>
      </c>
    </row>
    <row r="12" spans="1:7" ht="21.75" customHeight="1" x14ac:dyDescent="0.2">
      <c r="A12" s="7" t="s">
        <v>778</v>
      </c>
      <c r="B12" s="8">
        <v>1</v>
      </c>
      <c r="C12" s="8"/>
      <c r="D12" s="204">
        <v>0</v>
      </c>
    </row>
    <row r="13" spans="1:7" ht="21.75" customHeight="1" x14ac:dyDescent="0.2">
      <c r="A13" s="7" t="s">
        <v>779</v>
      </c>
      <c r="B13" s="8">
        <v>1</v>
      </c>
      <c r="C13" s="8"/>
      <c r="D13" s="204">
        <v>0.73877517069200005</v>
      </c>
    </row>
    <row r="14" spans="1:7" ht="21.75" customHeight="1" x14ac:dyDescent="0.2">
      <c r="A14" s="7" t="s">
        <v>780</v>
      </c>
      <c r="B14" s="8">
        <v>1</v>
      </c>
      <c r="C14" s="8"/>
      <c r="D14" s="204">
        <v>0</v>
      </c>
    </row>
    <row r="15" spans="1:7" ht="21.75" customHeight="1" x14ac:dyDescent="0.2">
      <c r="A15" s="7" t="s">
        <v>781</v>
      </c>
      <c r="B15" s="8">
        <v>1</v>
      </c>
      <c r="C15" s="8"/>
      <c r="D15" s="204">
        <v>0</v>
      </c>
    </row>
    <row r="16" spans="1:7" ht="21.75" customHeight="1" x14ac:dyDescent="0.2">
      <c r="A16" s="7" t="s">
        <v>782</v>
      </c>
      <c r="B16" s="8">
        <v>1</v>
      </c>
      <c r="C16" s="8"/>
      <c r="D16" s="204">
        <v>0</v>
      </c>
    </row>
    <row r="17" spans="1:4" ht="21.75" customHeight="1" x14ac:dyDescent="0.2">
      <c r="A17" s="7" t="s">
        <v>783</v>
      </c>
      <c r="B17" s="8">
        <v>1</v>
      </c>
      <c r="C17" s="8"/>
      <c r="D17" s="204">
        <v>0.67700840476799995</v>
      </c>
    </row>
    <row r="18" spans="1:4" ht="21.75" customHeight="1" x14ac:dyDescent="0.2">
      <c r="A18" s="7" t="s">
        <v>784</v>
      </c>
      <c r="B18" s="8">
        <v>2</v>
      </c>
      <c r="C18" s="8" t="s">
        <v>770</v>
      </c>
      <c r="D18" s="204">
        <v>1.95064343006</v>
      </c>
    </row>
    <row r="19" spans="1:4" ht="21.75" customHeight="1" x14ac:dyDescent="0.2">
      <c r="A19" s="7" t="s">
        <v>785</v>
      </c>
      <c r="B19" s="8">
        <v>2</v>
      </c>
      <c r="C19" s="8" t="s">
        <v>771</v>
      </c>
      <c r="D19" s="204">
        <v>2.10127698803</v>
      </c>
    </row>
    <row r="20" spans="1:4" ht="21.75" customHeight="1" x14ac:dyDescent="0.2">
      <c r="A20" s="7" t="s">
        <v>786</v>
      </c>
      <c r="B20" s="8">
        <v>2</v>
      </c>
      <c r="C20" s="8" t="s">
        <v>771</v>
      </c>
      <c r="D20" s="204">
        <v>0</v>
      </c>
    </row>
    <row r="21" spans="1:4" ht="21.75" customHeight="1" x14ac:dyDescent="0.2">
      <c r="A21" s="7" t="s">
        <v>787</v>
      </c>
      <c r="B21" s="8">
        <v>2</v>
      </c>
      <c r="C21" s="8" t="s">
        <v>771</v>
      </c>
      <c r="D21" s="204">
        <v>2.4654688898799999</v>
      </c>
    </row>
    <row r="22" spans="1:4" ht="21.75" customHeight="1" x14ac:dyDescent="0.2">
      <c r="A22" s="7" t="s">
        <v>788</v>
      </c>
      <c r="B22" s="8">
        <v>2</v>
      </c>
      <c r="C22" s="8" t="s">
        <v>771</v>
      </c>
      <c r="D22" s="204">
        <v>0</v>
      </c>
    </row>
    <row r="23" spans="1:4" ht="21.75" customHeight="1" x14ac:dyDescent="0.2">
      <c r="A23" s="7" t="s">
        <v>789</v>
      </c>
      <c r="B23" s="8">
        <v>2</v>
      </c>
      <c r="C23" s="8" t="s">
        <v>772</v>
      </c>
      <c r="D23" s="204">
        <v>2.7493617013099998</v>
      </c>
    </row>
    <row r="24" spans="1:4" ht="21.75" customHeight="1" x14ac:dyDescent="0.2">
      <c r="A24" s="7" t="s">
        <v>790</v>
      </c>
      <c r="B24" s="8">
        <v>2</v>
      </c>
      <c r="C24" s="8" t="s">
        <v>772</v>
      </c>
      <c r="D24" s="204">
        <v>1.48315077563</v>
      </c>
    </row>
    <row r="25" spans="1:4" ht="21.75" customHeight="1" x14ac:dyDescent="0.2">
      <c r="A25" s="7" t="s">
        <v>791</v>
      </c>
      <c r="B25" s="8">
        <v>2</v>
      </c>
      <c r="C25" s="8" t="s">
        <v>772</v>
      </c>
      <c r="D25" s="204">
        <v>0</v>
      </c>
    </row>
    <row r="26" spans="1:4" ht="21.75" customHeight="1" x14ac:dyDescent="0.2">
      <c r="A26" s="7" t="s">
        <v>792</v>
      </c>
      <c r="B26" s="8">
        <v>2</v>
      </c>
      <c r="C26" s="8" t="s">
        <v>773</v>
      </c>
      <c r="D26" s="204">
        <v>0</v>
      </c>
    </row>
    <row r="27" spans="1:4" ht="21.75" customHeight="1" x14ac:dyDescent="0.2">
      <c r="A27" s="7" t="s">
        <v>793</v>
      </c>
      <c r="B27" s="8">
        <v>2</v>
      </c>
      <c r="C27" s="8" t="s">
        <v>773</v>
      </c>
      <c r="D27" s="204">
        <v>4.8970878995899998</v>
      </c>
    </row>
    <row r="28" spans="1:4" ht="21.75" customHeight="1" x14ac:dyDescent="0.2">
      <c r="A28" s="7" t="s">
        <v>794</v>
      </c>
      <c r="B28" s="8">
        <v>2</v>
      </c>
      <c r="C28" s="8" t="s">
        <v>773</v>
      </c>
      <c r="D28" s="204">
        <v>0.40770406588500002</v>
      </c>
    </row>
    <row r="29" spans="1:4" ht="21.75" customHeight="1" x14ac:dyDescent="0.2">
      <c r="A29" s="7" t="s">
        <v>795</v>
      </c>
      <c r="B29" s="8">
        <v>2</v>
      </c>
      <c r="C29" s="8" t="s">
        <v>773</v>
      </c>
      <c r="D29" s="204">
        <v>0.79040212423699996</v>
      </c>
    </row>
    <row r="30" spans="1:4" ht="21.75" customHeight="1" x14ac:dyDescent="0.2">
      <c r="A30" s="7" t="s">
        <v>796</v>
      </c>
      <c r="B30" s="8">
        <v>2</v>
      </c>
      <c r="C30" s="8" t="s">
        <v>773</v>
      </c>
      <c r="D30" s="204">
        <v>0</v>
      </c>
    </row>
    <row r="31" spans="1:4" ht="21.75" customHeight="1" x14ac:dyDescent="0.2">
      <c r="A31" s="7" t="s">
        <v>797</v>
      </c>
      <c r="B31" s="8">
        <v>2</v>
      </c>
      <c r="C31" s="8" t="s">
        <v>773</v>
      </c>
      <c r="D31" s="204">
        <v>0</v>
      </c>
    </row>
    <row r="32" spans="1:4" ht="21.75" customHeight="1" x14ac:dyDescent="0.2">
      <c r="A32" s="7" t="s">
        <v>798</v>
      </c>
      <c r="B32" s="8">
        <v>2</v>
      </c>
      <c r="C32" s="8" t="s">
        <v>774</v>
      </c>
      <c r="D32" s="204">
        <v>2.24398137321</v>
      </c>
    </row>
    <row r="33" spans="1:4" ht="21.75" customHeight="1" x14ac:dyDescent="0.2">
      <c r="A33" s="7" t="s">
        <v>799</v>
      </c>
      <c r="B33" s="8">
        <v>2</v>
      </c>
      <c r="C33" s="8" t="s">
        <v>774</v>
      </c>
      <c r="D33" s="204">
        <v>4.5144764374099999</v>
      </c>
    </row>
    <row r="34" spans="1:4" ht="21.75" customHeight="1" x14ac:dyDescent="0.2">
      <c r="A34" s="7" t="s">
        <v>800</v>
      </c>
      <c r="B34" s="8">
        <v>2</v>
      </c>
      <c r="C34" s="8" t="s">
        <v>775</v>
      </c>
      <c r="D34" s="204">
        <v>0</v>
      </c>
    </row>
    <row r="35" spans="1:4" ht="21.75" customHeight="1" x14ac:dyDescent="0.2">
      <c r="A35" s="7" t="s">
        <v>801</v>
      </c>
      <c r="B35" s="8">
        <v>2</v>
      </c>
      <c r="C35" s="8" t="s">
        <v>776</v>
      </c>
      <c r="D35" s="204">
        <v>0</v>
      </c>
    </row>
    <row r="36" spans="1:4" ht="21.75" customHeight="1" x14ac:dyDescent="0.2">
      <c r="A36" s="7" t="s">
        <v>802</v>
      </c>
      <c r="B36" s="8">
        <v>2</v>
      </c>
      <c r="C36" s="8" t="s">
        <v>776</v>
      </c>
      <c r="D36" s="204">
        <v>0</v>
      </c>
    </row>
    <row r="37" spans="1:4" ht="21.75" customHeight="1" x14ac:dyDescent="0.2">
      <c r="A37" s="7" t="s">
        <v>803</v>
      </c>
      <c r="B37" s="8">
        <v>2</v>
      </c>
      <c r="C37" s="8" t="s">
        <v>776</v>
      </c>
      <c r="D37" s="204">
        <v>0</v>
      </c>
    </row>
    <row r="38" spans="1:4" ht="21.75" customHeight="1" x14ac:dyDescent="0.2">
      <c r="A38" s="7" t="s">
        <v>804</v>
      </c>
      <c r="B38" s="8">
        <v>2</v>
      </c>
      <c r="C38" s="8" t="s">
        <v>776</v>
      </c>
      <c r="D38" s="204">
        <v>0</v>
      </c>
    </row>
    <row r="39" spans="1:4" ht="21.75" customHeight="1" x14ac:dyDescent="0.2">
      <c r="A39" s="7" t="s">
        <v>805</v>
      </c>
      <c r="B39" s="8">
        <v>2</v>
      </c>
      <c r="C39" s="8" t="s">
        <v>776</v>
      </c>
      <c r="D39" s="204">
        <v>0</v>
      </c>
    </row>
    <row r="40" spans="1:4" ht="21.75" customHeight="1" x14ac:dyDescent="0.2">
      <c r="A40" s="7" t="s">
        <v>806</v>
      </c>
      <c r="B40" s="8">
        <v>2</v>
      </c>
      <c r="C40" s="8" t="s">
        <v>777</v>
      </c>
      <c r="D40" s="204">
        <v>0</v>
      </c>
    </row>
    <row r="41" spans="1:4" ht="21.75" customHeight="1" x14ac:dyDescent="0.2">
      <c r="A41" s="7" t="s">
        <v>807</v>
      </c>
      <c r="B41" s="8">
        <v>2</v>
      </c>
      <c r="C41" s="8" t="s">
        <v>777</v>
      </c>
      <c r="D41" s="204">
        <v>0.66800765935399997</v>
      </c>
    </row>
    <row r="42" spans="1:4" ht="21.75" customHeight="1" x14ac:dyDescent="0.2">
      <c r="A42" s="7" t="s">
        <v>808</v>
      </c>
      <c r="B42" s="8">
        <v>2</v>
      </c>
      <c r="C42" s="8" t="s">
        <v>778</v>
      </c>
      <c r="D42" s="204">
        <v>3.0519758057900002</v>
      </c>
    </row>
    <row r="43" spans="1:4" ht="21.75" customHeight="1" x14ac:dyDescent="0.2">
      <c r="A43" s="7" t="s">
        <v>809</v>
      </c>
      <c r="B43" s="8">
        <v>2</v>
      </c>
      <c r="C43" s="8" t="s">
        <v>778</v>
      </c>
      <c r="D43" s="204">
        <v>0</v>
      </c>
    </row>
    <row r="44" spans="1:4" ht="21.75" customHeight="1" x14ac:dyDescent="0.2">
      <c r="A44" s="7" t="s">
        <v>810</v>
      </c>
      <c r="B44" s="8">
        <v>2</v>
      </c>
      <c r="C44" s="8" t="s">
        <v>778</v>
      </c>
      <c r="D44" s="204">
        <v>0</v>
      </c>
    </row>
    <row r="45" spans="1:4" ht="21.75" customHeight="1" x14ac:dyDescent="0.2">
      <c r="A45" s="7" t="s">
        <v>811</v>
      </c>
      <c r="B45" s="8">
        <v>2</v>
      </c>
      <c r="C45" s="8" t="s">
        <v>778</v>
      </c>
      <c r="D45" s="204">
        <v>1.2898817602899999</v>
      </c>
    </row>
    <row r="46" spans="1:4" ht="21.75" customHeight="1" x14ac:dyDescent="0.2">
      <c r="A46" s="7" t="s">
        <v>812</v>
      </c>
      <c r="B46" s="8">
        <v>2</v>
      </c>
      <c r="C46" s="8" t="s">
        <v>779</v>
      </c>
      <c r="D46" s="204">
        <v>0</v>
      </c>
    </row>
    <row r="47" spans="1:4" ht="21.75" customHeight="1" x14ac:dyDescent="0.2">
      <c r="A47" s="7" t="s">
        <v>813</v>
      </c>
      <c r="B47" s="8">
        <v>2</v>
      </c>
      <c r="C47" s="8" t="s">
        <v>779</v>
      </c>
      <c r="D47" s="204">
        <v>0.44423723287400002</v>
      </c>
    </row>
    <row r="48" spans="1:4" ht="21.75" customHeight="1" x14ac:dyDescent="0.2">
      <c r="A48" s="7" t="s">
        <v>814</v>
      </c>
      <c r="B48" s="8">
        <v>2</v>
      </c>
      <c r="C48" s="8" t="s">
        <v>779</v>
      </c>
      <c r="D48" s="204">
        <v>0</v>
      </c>
    </row>
    <row r="49" spans="1:4" ht="21.75" customHeight="1" x14ac:dyDescent="0.2">
      <c r="A49" s="7" t="s">
        <v>815</v>
      </c>
      <c r="B49" s="8">
        <v>2</v>
      </c>
      <c r="C49" s="8" t="s">
        <v>779</v>
      </c>
      <c r="D49" s="204">
        <v>0</v>
      </c>
    </row>
    <row r="50" spans="1:4" ht="21.75" customHeight="1" x14ac:dyDescent="0.2">
      <c r="A50" s="7" t="s">
        <v>816</v>
      </c>
      <c r="B50" s="8">
        <v>2</v>
      </c>
      <c r="C50" s="8" t="s">
        <v>779</v>
      </c>
      <c r="D50" s="204">
        <v>1.61554692167</v>
      </c>
    </row>
    <row r="51" spans="1:4" ht="21.75" customHeight="1" x14ac:dyDescent="0.2">
      <c r="A51" s="7" t="s">
        <v>817</v>
      </c>
      <c r="B51" s="8">
        <v>2</v>
      </c>
      <c r="C51" s="8" t="s">
        <v>780</v>
      </c>
      <c r="D51" s="204">
        <v>0</v>
      </c>
    </row>
    <row r="52" spans="1:4" ht="21.75" customHeight="1" x14ac:dyDescent="0.2">
      <c r="A52" s="7" t="s">
        <v>818</v>
      </c>
      <c r="B52" s="8">
        <v>2</v>
      </c>
      <c r="C52" s="8" t="s">
        <v>781</v>
      </c>
      <c r="D52" s="204">
        <v>0.60667733029600002</v>
      </c>
    </row>
    <row r="53" spans="1:4" ht="21.75" customHeight="1" x14ac:dyDescent="0.2">
      <c r="A53" s="7" t="s">
        <v>819</v>
      </c>
      <c r="B53" s="8">
        <v>2</v>
      </c>
      <c r="C53" s="8" t="s">
        <v>783</v>
      </c>
      <c r="D53" s="204">
        <v>1.2084878973199999</v>
      </c>
    </row>
    <row r="54" spans="1:4" ht="21.75" customHeight="1" x14ac:dyDescent="0.2">
      <c r="A54" s="7" t="s">
        <v>820</v>
      </c>
      <c r="B54" s="8">
        <v>2</v>
      </c>
      <c r="C54" s="8" t="s">
        <v>783</v>
      </c>
      <c r="D54" s="204">
        <v>2.8666085413100002</v>
      </c>
    </row>
    <row r="55" spans="1:4" ht="21.75" customHeight="1" x14ac:dyDescent="0.2">
      <c r="A55" s="7" t="s">
        <v>821</v>
      </c>
      <c r="B55" s="8">
        <v>2</v>
      </c>
      <c r="C55" s="8" t="s">
        <v>783</v>
      </c>
      <c r="D55" s="204">
        <v>0</v>
      </c>
    </row>
    <row r="56" spans="1:4" ht="21.75" customHeight="1" x14ac:dyDescent="0.2">
      <c r="A56" s="7" t="s">
        <v>822</v>
      </c>
      <c r="B56" s="8">
        <v>2</v>
      </c>
      <c r="C56" s="8" t="s">
        <v>783</v>
      </c>
      <c r="D56" s="204">
        <v>0</v>
      </c>
    </row>
    <row r="57" spans="1:4" ht="21.75" customHeight="1" x14ac:dyDescent="0.2">
      <c r="A57" s="7" t="s">
        <v>823</v>
      </c>
      <c r="B57" s="8">
        <v>3</v>
      </c>
      <c r="C57" s="8" t="s">
        <v>784</v>
      </c>
      <c r="D57" s="204">
        <v>0</v>
      </c>
    </row>
    <row r="58" spans="1:4" ht="21.75" customHeight="1" x14ac:dyDescent="0.2">
      <c r="A58" s="7" t="s">
        <v>824</v>
      </c>
      <c r="B58" s="8">
        <v>3</v>
      </c>
      <c r="C58" s="8" t="s">
        <v>797</v>
      </c>
      <c r="D58" s="204">
        <v>3.4416961915600002</v>
      </c>
    </row>
    <row r="59" spans="1:4" ht="21.75" customHeight="1" x14ac:dyDescent="0.2">
      <c r="A59" s="7" t="s">
        <v>825</v>
      </c>
      <c r="B59" s="8">
        <v>3</v>
      </c>
      <c r="C59" s="8" t="s">
        <v>817</v>
      </c>
      <c r="D59" s="204">
        <v>0</v>
      </c>
    </row>
    <row r="60" spans="1:4" ht="21.75" customHeight="1" x14ac:dyDescent="0.2">
      <c r="A60" s="7" t="s">
        <v>826</v>
      </c>
      <c r="B60" s="8">
        <v>3</v>
      </c>
      <c r="C60" s="8" t="s">
        <v>784</v>
      </c>
      <c r="D60" s="204">
        <v>0</v>
      </c>
    </row>
    <row r="61" spans="1:4" ht="21.75" customHeight="1" x14ac:dyDescent="0.2">
      <c r="A61" s="7" t="s">
        <v>827</v>
      </c>
      <c r="B61" s="8">
        <v>3</v>
      </c>
      <c r="C61" s="8" t="s">
        <v>798</v>
      </c>
      <c r="D61" s="204">
        <v>0</v>
      </c>
    </row>
    <row r="62" spans="1:4" ht="21.75" customHeight="1" x14ac:dyDescent="0.2">
      <c r="A62" s="7" t="s">
        <v>828</v>
      </c>
      <c r="B62" s="8">
        <v>3</v>
      </c>
      <c r="C62" s="8" t="s">
        <v>804</v>
      </c>
      <c r="D62" s="204">
        <v>0</v>
      </c>
    </row>
    <row r="63" spans="1:4" ht="21.75" customHeight="1" x14ac:dyDescent="0.2">
      <c r="A63" s="7" t="s">
        <v>829</v>
      </c>
      <c r="B63" s="8">
        <v>3</v>
      </c>
      <c r="C63" s="8" t="s">
        <v>799</v>
      </c>
      <c r="D63" s="204">
        <v>0</v>
      </c>
    </row>
    <row r="64" spans="1:4" ht="21.75" customHeight="1" x14ac:dyDescent="0.2">
      <c r="A64" s="7" t="s">
        <v>830</v>
      </c>
      <c r="B64" s="8">
        <v>3</v>
      </c>
      <c r="C64" s="8" t="s">
        <v>810</v>
      </c>
      <c r="D64" s="204">
        <v>0</v>
      </c>
    </row>
    <row r="65" spans="1:4" ht="21.75" customHeight="1" x14ac:dyDescent="0.2">
      <c r="A65" s="7" t="s">
        <v>831</v>
      </c>
      <c r="B65" s="8">
        <v>3</v>
      </c>
      <c r="C65" s="8" t="s">
        <v>801</v>
      </c>
      <c r="D65" s="204">
        <v>2.3134640130699999</v>
      </c>
    </row>
    <row r="66" spans="1:4" ht="21.75" customHeight="1" x14ac:dyDescent="0.2">
      <c r="A66" s="7" t="s">
        <v>832</v>
      </c>
      <c r="B66" s="8">
        <v>3</v>
      </c>
      <c r="C66" s="8" t="s">
        <v>802</v>
      </c>
      <c r="D66" s="204">
        <v>0</v>
      </c>
    </row>
    <row r="67" spans="1:4" ht="21.75" customHeight="1" x14ac:dyDescent="0.2">
      <c r="A67" s="7" t="s">
        <v>833</v>
      </c>
      <c r="B67" s="8">
        <v>3</v>
      </c>
      <c r="C67" s="8" t="s">
        <v>794</v>
      </c>
      <c r="D67" s="204">
        <v>0</v>
      </c>
    </row>
    <row r="68" spans="1:4" ht="21.75" customHeight="1" x14ac:dyDescent="0.2">
      <c r="A68" s="7" t="s">
        <v>834</v>
      </c>
      <c r="B68" s="8">
        <v>3</v>
      </c>
      <c r="C68" s="8" t="s">
        <v>810</v>
      </c>
      <c r="D68" s="204">
        <v>0</v>
      </c>
    </row>
    <row r="69" spans="1:4" ht="21.75" customHeight="1" x14ac:dyDescent="0.2">
      <c r="A69" s="7" t="s">
        <v>835</v>
      </c>
      <c r="B69" s="8">
        <v>3</v>
      </c>
      <c r="C69" s="8" t="s">
        <v>811</v>
      </c>
      <c r="D69" s="204">
        <v>0</v>
      </c>
    </row>
    <row r="70" spans="1:4" ht="21.75" customHeight="1" x14ac:dyDescent="0.2">
      <c r="A70" s="7" t="s">
        <v>836</v>
      </c>
      <c r="B70" s="8">
        <v>3</v>
      </c>
      <c r="C70" s="8" t="s">
        <v>810</v>
      </c>
      <c r="D70" s="204">
        <v>0</v>
      </c>
    </row>
    <row r="71" spans="1:4" ht="21.75" customHeight="1" x14ac:dyDescent="0.2">
      <c r="A71" s="7" t="s">
        <v>837</v>
      </c>
      <c r="B71" s="8">
        <v>3</v>
      </c>
      <c r="C71" s="8" t="s">
        <v>816</v>
      </c>
      <c r="D71" s="204">
        <v>0</v>
      </c>
    </row>
    <row r="72" spans="1:4" ht="21.75" customHeight="1" x14ac:dyDescent="0.2">
      <c r="A72" s="7" t="s">
        <v>838</v>
      </c>
      <c r="B72" s="8">
        <v>3</v>
      </c>
      <c r="C72" s="8" t="s">
        <v>801</v>
      </c>
      <c r="D72" s="204">
        <v>0</v>
      </c>
    </row>
    <row r="73" spans="1:4" ht="21.75" customHeight="1" x14ac:dyDescent="0.2">
      <c r="A73" s="7" t="s">
        <v>839</v>
      </c>
      <c r="B73" s="8">
        <v>3</v>
      </c>
      <c r="C73" s="8" t="s">
        <v>818</v>
      </c>
      <c r="D73" s="204">
        <v>0</v>
      </c>
    </row>
    <row r="74" spans="1:4" ht="21.75" customHeight="1" x14ac:dyDescent="0.2">
      <c r="A74" s="7" t="s">
        <v>840</v>
      </c>
      <c r="B74" s="8">
        <v>3</v>
      </c>
      <c r="C74" s="8" t="s">
        <v>801</v>
      </c>
      <c r="D74" s="204">
        <v>0</v>
      </c>
    </row>
    <row r="75" spans="1:4" ht="21.75" customHeight="1" x14ac:dyDescent="0.2">
      <c r="A75" s="7" t="s">
        <v>841</v>
      </c>
      <c r="B75" s="8">
        <v>3</v>
      </c>
      <c r="C75" s="8" t="s">
        <v>818</v>
      </c>
      <c r="D75" s="204">
        <v>0</v>
      </c>
    </row>
    <row r="76" spans="1:4" ht="21.75" customHeight="1" x14ac:dyDescent="0.2">
      <c r="A76" s="7" t="s">
        <v>842</v>
      </c>
      <c r="B76" s="8">
        <v>3</v>
      </c>
      <c r="C76" s="8" t="s">
        <v>790</v>
      </c>
      <c r="D76" s="204">
        <v>0</v>
      </c>
    </row>
    <row r="77" spans="1:4" ht="21.75" customHeight="1" x14ac:dyDescent="0.2">
      <c r="A77" s="7" t="s">
        <v>843</v>
      </c>
      <c r="B77" s="8">
        <v>3</v>
      </c>
      <c r="C77" s="8" t="s">
        <v>812</v>
      </c>
      <c r="D77" s="204">
        <v>2.2345404021499999</v>
      </c>
    </row>
    <row r="78" spans="1:4" ht="21.75" customHeight="1" x14ac:dyDescent="0.2">
      <c r="A78" s="7" t="s">
        <v>844</v>
      </c>
      <c r="B78" s="8">
        <v>3</v>
      </c>
      <c r="C78" s="8" t="s">
        <v>786</v>
      </c>
      <c r="D78" s="204">
        <v>0</v>
      </c>
    </row>
    <row r="79" spans="1:4" ht="21.75" customHeight="1" x14ac:dyDescent="0.2">
      <c r="A79" s="7" t="s">
        <v>845</v>
      </c>
      <c r="B79" s="8">
        <v>3</v>
      </c>
      <c r="C79" s="8" t="s">
        <v>811</v>
      </c>
      <c r="D79" s="204">
        <v>0</v>
      </c>
    </row>
    <row r="80" spans="1:4" ht="21.75" customHeight="1" x14ac:dyDescent="0.2">
      <c r="A80" s="7" t="s">
        <v>846</v>
      </c>
      <c r="B80" s="8">
        <v>3</v>
      </c>
      <c r="C80" s="8" t="s">
        <v>806</v>
      </c>
      <c r="D80" s="204">
        <v>0</v>
      </c>
    </row>
    <row r="81" spans="1:4" ht="21.75" customHeight="1" x14ac:dyDescent="0.2">
      <c r="A81" s="7" t="s">
        <v>847</v>
      </c>
      <c r="B81" s="8">
        <v>3</v>
      </c>
      <c r="C81" s="8" t="s">
        <v>820</v>
      </c>
      <c r="D81" s="204">
        <v>0</v>
      </c>
    </row>
    <row r="82" spans="1:4" ht="21.75" customHeight="1" x14ac:dyDescent="0.2">
      <c r="A82" s="7" t="s">
        <v>848</v>
      </c>
      <c r="B82" s="8">
        <v>3</v>
      </c>
      <c r="C82" s="8" t="s">
        <v>800</v>
      </c>
      <c r="D82" s="204">
        <v>0</v>
      </c>
    </row>
    <row r="83" spans="1:4" ht="21.75" customHeight="1" x14ac:dyDescent="0.2">
      <c r="A83" s="7" t="s">
        <v>849</v>
      </c>
      <c r="B83" s="8">
        <v>3</v>
      </c>
      <c r="C83" s="8" t="s">
        <v>808</v>
      </c>
      <c r="D83" s="204">
        <v>0</v>
      </c>
    </row>
    <row r="84" spans="1:4" ht="21.75" customHeight="1" x14ac:dyDescent="0.2">
      <c r="A84" s="7" t="s">
        <v>850</v>
      </c>
      <c r="B84" s="8">
        <v>3</v>
      </c>
      <c r="C84" s="8" t="s">
        <v>799</v>
      </c>
      <c r="D84" s="204">
        <v>0</v>
      </c>
    </row>
    <row r="85" spans="1:4" ht="21.75" customHeight="1" x14ac:dyDescent="0.2">
      <c r="A85" s="7" t="s">
        <v>851</v>
      </c>
      <c r="B85" s="8">
        <v>3</v>
      </c>
      <c r="C85" s="8" t="s">
        <v>799</v>
      </c>
      <c r="D85" s="204">
        <v>0</v>
      </c>
    </row>
    <row r="86" spans="1:4" ht="21.75" customHeight="1" x14ac:dyDescent="0.2">
      <c r="A86" s="7" t="s">
        <v>852</v>
      </c>
      <c r="B86" s="8">
        <v>3</v>
      </c>
      <c r="C86" s="8" t="s">
        <v>817</v>
      </c>
      <c r="D86" s="204">
        <v>0</v>
      </c>
    </row>
    <row r="87" spans="1:4" ht="21.75" customHeight="1" x14ac:dyDescent="0.2">
      <c r="A87" s="7" t="s">
        <v>853</v>
      </c>
      <c r="B87" s="8">
        <v>3</v>
      </c>
      <c r="C87" s="8" t="s">
        <v>801</v>
      </c>
      <c r="D87" s="204">
        <v>0</v>
      </c>
    </row>
    <row r="88" spans="1:4" ht="21.75" customHeight="1" x14ac:dyDescent="0.2">
      <c r="A88" s="7" t="s">
        <v>854</v>
      </c>
      <c r="B88" s="8">
        <v>3</v>
      </c>
      <c r="C88" s="8" t="s">
        <v>792</v>
      </c>
      <c r="D88" s="204">
        <v>0</v>
      </c>
    </row>
    <row r="89" spans="1:4" ht="21.75" customHeight="1" x14ac:dyDescent="0.2">
      <c r="A89" s="7" t="s">
        <v>855</v>
      </c>
      <c r="B89" s="8">
        <v>3</v>
      </c>
      <c r="C89" s="8" t="s">
        <v>789</v>
      </c>
      <c r="D89" s="204">
        <v>0</v>
      </c>
    </row>
    <row r="90" spans="1:4" ht="21.75" customHeight="1" x14ac:dyDescent="0.2">
      <c r="A90" s="7" t="s">
        <v>856</v>
      </c>
      <c r="B90" s="8">
        <v>3</v>
      </c>
      <c r="C90" s="8" t="s">
        <v>817</v>
      </c>
      <c r="D90" s="204">
        <v>0</v>
      </c>
    </row>
    <row r="91" spans="1:4" ht="21.75" customHeight="1" x14ac:dyDescent="0.2">
      <c r="A91" s="7" t="s">
        <v>857</v>
      </c>
      <c r="B91" s="8">
        <v>3</v>
      </c>
      <c r="C91" s="8" t="s">
        <v>786</v>
      </c>
      <c r="D91" s="204">
        <v>0</v>
      </c>
    </row>
    <row r="92" spans="1:4" ht="21.75" customHeight="1" x14ac:dyDescent="0.2">
      <c r="A92" s="7" t="s">
        <v>858</v>
      </c>
      <c r="B92" s="8">
        <v>3</v>
      </c>
      <c r="C92" s="8" t="s">
        <v>807</v>
      </c>
      <c r="D92" s="204">
        <v>0</v>
      </c>
    </row>
    <row r="93" spans="1:4" ht="21.75" customHeight="1" x14ac:dyDescent="0.2">
      <c r="A93" s="7" t="s">
        <v>859</v>
      </c>
      <c r="B93" s="8">
        <v>3</v>
      </c>
      <c r="C93" s="8" t="s">
        <v>800</v>
      </c>
      <c r="D93" s="204">
        <v>0</v>
      </c>
    </row>
    <row r="94" spans="1:4" ht="21.75" customHeight="1" x14ac:dyDescent="0.2">
      <c r="A94" s="7" t="s">
        <v>860</v>
      </c>
      <c r="B94" s="8">
        <v>3</v>
      </c>
      <c r="C94" s="8" t="s">
        <v>789</v>
      </c>
      <c r="D94" s="204">
        <v>0</v>
      </c>
    </row>
    <row r="95" spans="1:4" ht="21.75" customHeight="1" x14ac:dyDescent="0.2">
      <c r="A95" s="7" t="s">
        <v>861</v>
      </c>
      <c r="B95" s="8">
        <v>3</v>
      </c>
      <c r="C95" s="8" t="s">
        <v>818</v>
      </c>
      <c r="D95" s="204">
        <v>0</v>
      </c>
    </row>
    <row r="96" spans="1:4" ht="21.75" customHeight="1" x14ac:dyDescent="0.2">
      <c r="A96" s="7" t="s">
        <v>862</v>
      </c>
      <c r="B96" s="8">
        <v>3</v>
      </c>
      <c r="C96" s="8" t="s">
        <v>811</v>
      </c>
      <c r="D96" s="204">
        <v>0</v>
      </c>
    </row>
    <row r="97" spans="1:4" ht="21.75" customHeight="1" x14ac:dyDescent="0.2">
      <c r="A97" s="7" t="s">
        <v>863</v>
      </c>
      <c r="B97" s="8">
        <v>3</v>
      </c>
      <c r="C97" s="8" t="s">
        <v>813</v>
      </c>
      <c r="D97" s="204">
        <v>0</v>
      </c>
    </row>
    <row r="98" spans="1:4" ht="21.75" customHeight="1" x14ac:dyDescent="0.2">
      <c r="A98" s="7" t="s">
        <v>864</v>
      </c>
      <c r="B98" s="8">
        <v>3</v>
      </c>
      <c r="C98" s="8" t="s">
        <v>811</v>
      </c>
      <c r="D98" s="204">
        <v>0</v>
      </c>
    </row>
    <row r="99" spans="1:4" ht="21.75" customHeight="1" x14ac:dyDescent="0.2">
      <c r="A99" s="7" t="s">
        <v>865</v>
      </c>
      <c r="B99" s="8">
        <v>3</v>
      </c>
      <c r="C99" s="8" t="s">
        <v>802</v>
      </c>
      <c r="D99" s="204">
        <v>0</v>
      </c>
    </row>
    <row r="100" spans="1:4" ht="21.75" customHeight="1" x14ac:dyDescent="0.2">
      <c r="A100" s="7" t="s">
        <v>866</v>
      </c>
      <c r="B100" s="8">
        <v>3</v>
      </c>
      <c r="C100" s="8" t="s">
        <v>787</v>
      </c>
      <c r="D100" s="204">
        <v>0</v>
      </c>
    </row>
    <row r="101" spans="1:4" ht="21.75" customHeight="1" x14ac:dyDescent="0.2">
      <c r="A101" s="7" t="s">
        <v>867</v>
      </c>
      <c r="B101" s="8">
        <v>3</v>
      </c>
      <c r="C101" s="8" t="s">
        <v>806</v>
      </c>
      <c r="D101" s="204">
        <v>0</v>
      </c>
    </row>
    <row r="102" spans="1:4" ht="21.75" customHeight="1" x14ac:dyDescent="0.2">
      <c r="A102" s="7" t="s">
        <v>868</v>
      </c>
      <c r="B102" s="8">
        <v>3</v>
      </c>
      <c r="C102" s="8" t="s">
        <v>806</v>
      </c>
      <c r="D102" s="204">
        <v>0</v>
      </c>
    </row>
    <row r="103" spans="1:4" ht="21.75" customHeight="1" x14ac:dyDescent="0.2">
      <c r="A103" s="7" t="s">
        <v>869</v>
      </c>
      <c r="B103" s="8">
        <v>3</v>
      </c>
      <c r="C103" s="8" t="s">
        <v>792</v>
      </c>
      <c r="D103" s="204">
        <v>0</v>
      </c>
    </row>
    <row r="104" spans="1:4" ht="21.75" customHeight="1" x14ac:dyDescent="0.2">
      <c r="A104" s="7" t="s">
        <v>870</v>
      </c>
      <c r="B104" s="8">
        <v>3</v>
      </c>
      <c r="C104" s="8" t="s">
        <v>795</v>
      </c>
      <c r="D104" s="204">
        <v>0</v>
      </c>
    </row>
    <row r="105" spans="1:4" ht="21.75" customHeight="1" x14ac:dyDescent="0.2">
      <c r="A105" s="7" t="s">
        <v>871</v>
      </c>
      <c r="B105" s="8">
        <v>3</v>
      </c>
      <c r="C105" s="8" t="s">
        <v>789</v>
      </c>
      <c r="D105" s="204">
        <v>0</v>
      </c>
    </row>
    <row r="106" spans="1:4" ht="21.75" customHeight="1" x14ac:dyDescent="0.2">
      <c r="A106" s="7" t="s">
        <v>872</v>
      </c>
      <c r="B106" s="8">
        <v>3</v>
      </c>
      <c r="C106" s="8" t="s">
        <v>808</v>
      </c>
      <c r="D106" s="204">
        <v>0</v>
      </c>
    </row>
    <row r="107" spans="1:4" ht="21.75" customHeight="1" x14ac:dyDescent="0.2">
      <c r="A107" s="7" t="s">
        <v>873</v>
      </c>
      <c r="B107" s="8">
        <v>3</v>
      </c>
      <c r="C107" s="8" t="s">
        <v>821</v>
      </c>
      <c r="D107" s="204">
        <v>0</v>
      </c>
    </row>
    <row r="108" spans="1:4" ht="21.75" customHeight="1" x14ac:dyDescent="0.2">
      <c r="A108" s="7" t="s">
        <v>874</v>
      </c>
      <c r="B108" s="8">
        <v>3</v>
      </c>
      <c r="C108" s="8" t="s">
        <v>813</v>
      </c>
      <c r="D108" s="204">
        <v>0</v>
      </c>
    </row>
    <row r="109" spans="1:4" ht="21.75" customHeight="1" x14ac:dyDescent="0.2">
      <c r="A109" s="7" t="s">
        <v>875</v>
      </c>
      <c r="B109" s="8">
        <v>3</v>
      </c>
      <c r="C109" s="8" t="s">
        <v>806</v>
      </c>
      <c r="D109" s="204">
        <v>0</v>
      </c>
    </row>
    <row r="110" spans="1:4" ht="21.75" customHeight="1" x14ac:dyDescent="0.2">
      <c r="A110" s="7" t="s">
        <v>876</v>
      </c>
      <c r="B110" s="8">
        <v>3</v>
      </c>
      <c r="C110" s="8" t="s">
        <v>787</v>
      </c>
      <c r="D110" s="204">
        <v>0</v>
      </c>
    </row>
    <row r="111" spans="1:4" ht="21.75" customHeight="1" x14ac:dyDescent="0.2">
      <c r="A111" s="7" t="s">
        <v>877</v>
      </c>
      <c r="B111" s="8">
        <v>3</v>
      </c>
      <c r="C111" s="8" t="s">
        <v>809</v>
      </c>
      <c r="D111" s="204">
        <v>0</v>
      </c>
    </row>
    <row r="112" spans="1:4" ht="21.75" customHeight="1" x14ac:dyDescent="0.2">
      <c r="A112" s="7" t="s">
        <v>878</v>
      </c>
      <c r="B112" s="8">
        <v>3</v>
      </c>
      <c r="C112" s="8" t="s">
        <v>820</v>
      </c>
      <c r="D112" s="204">
        <v>0</v>
      </c>
    </row>
    <row r="113" spans="1:4" ht="21.75" customHeight="1" x14ac:dyDescent="0.2">
      <c r="A113" s="7" t="s">
        <v>879</v>
      </c>
      <c r="B113" s="8">
        <v>3</v>
      </c>
      <c r="C113" s="8" t="s">
        <v>795</v>
      </c>
      <c r="D113" s="204">
        <v>0</v>
      </c>
    </row>
    <row r="114" spans="1:4" ht="21.75" customHeight="1" x14ac:dyDescent="0.2">
      <c r="A114" s="7" t="s">
        <v>880</v>
      </c>
      <c r="B114" s="8">
        <v>3</v>
      </c>
      <c r="C114" s="8" t="s">
        <v>817</v>
      </c>
      <c r="D114" s="204">
        <v>0</v>
      </c>
    </row>
    <row r="115" spans="1:4" ht="21.75" customHeight="1" x14ac:dyDescent="0.2">
      <c r="A115" s="7" t="s">
        <v>881</v>
      </c>
      <c r="B115" s="8">
        <v>3</v>
      </c>
      <c r="C115" s="8" t="s">
        <v>811</v>
      </c>
      <c r="D115" s="204">
        <v>0</v>
      </c>
    </row>
    <row r="116" spans="1:4" ht="21.75" customHeight="1" x14ac:dyDescent="0.2">
      <c r="A116" s="7" t="s">
        <v>882</v>
      </c>
      <c r="B116" s="8">
        <v>3</v>
      </c>
      <c r="C116" s="8" t="s">
        <v>801</v>
      </c>
      <c r="D116" s="204">
        <v>0</v>
      </c>
    </row>
    <row r="117" spans="1:4" ht="21.75" customHeight="1" x14ac:dyDescent="0.2">
      <c r="A117" s="7" t="s">
        <v>883</v>
      </c>
      <c r="B117" s="8">
        <v>3</v>
      </c>
      <c r="C117" s="8" t="s">
        <v>820</v>
      </c>
      <c r="D117" s="204">
        <v>0</v>
      </c>
    </row>
    <row r="118" spans="1:4" ht="21.75" customHeight="1" x14ac:dyDescent="0.2">
      <c r="A118" s="7" t="s">
        <v>884</v>
      </c>
      <c r="B118" s="8">
        <v>3</v>
      </c>
      <c r="C118" s="8" t="s">
        <v>809</v>
      </c>
      <c r="D118" s="204">
        <v>0</v>
      </c>
    </row>
    <row r="119" spans="1:4" ht="21.75" customHeight="1" x14ac:dyDescent="0.2">
      <c r="A119" s="7" t="s">
        <v>885</v>
      </c>
      <c r="B119" s="8">
        <v>3</v>
      </c>
      <c r="C119" s="8" t="s">
        <v>803</v>
      </c>
      <c r="D119" s="204">
        <v>0</v>
      </c>
    </row>
    <row r="120" spans="1:4" ht="21.75" customHeight="1" x14ac:dyDescent="0.2">
      <c r="A120" s="7" t="s">
        <v>886</v>
      </c>
      <c r="B120" s="8">
        <v>3</v>
      </c>
      <c r="C120" s="8" t="s">
        <v>803</v>
      </c>
      <c r="D120" s="204">
        <v>0</v>
      </c>
    </row>
    <row r="121" spans="1:4" ht="21.75" customHeight="1" x14ac:dyDescent="0.2">
      <c r="A121" s="7" t="s">
        <v>887</v>
      </c>
      <c r="B121" s="8">
        <v>3</v>
      </c>
      <c r="C121" s="8" t="s">
        <v>817</v>
      </c>
      <c r="D121" s="204">
        <v>0</v>
      </c>
    </row>
    <row r="122" spans="1:4" ht="21.75" customHeight="1" x14ac:dyDescent="0.2">
      <c r="A122" s="7" t="s">
        <v>888</v>
      </c>
      <c r="B122" s="8">
        <v>3</v>
      </c>
      <c r="C122" s="8" t="s">
        <v>789</v>
      </c>
      <c r="D122" s="204">
        <v>0</v>
      </c>
    </row>
    <row r="123" spans="1:4" ht="21.75" customHeight="1" x14ac:dyDescent="0.2">
      <c r="A123" s="7" t="s">
        <v>889</v>
      </c>
      <c r="B123" s="8">
        <v>3</v>
      </c>
      <c r="C123" s="8" t="s">
        <v>784</v>
      </c>
      <c r="D123" s="204">
        <v>0</v>
      </c>
    </row>
    <row r="124" spans="1:4" ht="21.75" customHeight="1" x14ac:dyDescent="0.2">
      <c r="A124" s="7" t="s">
        <v>890</v>
      </c>
      <c r="B124" s="8">
        <v>3</v>
      </c>
      <c r="C124" s="8" t="s">
        <v>819</v>
      </c>
      <c r="D124" s="204">
        <v>0</v>
      </c>
    </row>
    <row r="125" spans="1:4" ht="21.75" customHeight="1" x14ac:dyDescent="0.2">
      <c r="A125" s="7" t="s">
        <v>891</v>
      </c>
      <c r="B125" s="8">
        <v>3</v>
      </c>
      <c r="C125" s="8" t="s">
        <v>799</v>
      </c>
      <c r="D125" s="204">
        <v>0</v>
      </c>
    </row>
    <row r="126" spans="1:4" ht="21.75" customHeight="1" x14ac:dyDescent="0.2">
      <c r="A126" s="7" t="s">
        <v>892</v>
      </c>
      <c r="B126" s="8">
        <v>3</v>
      </c>
      <c r="C126" s="8" t="s">
        <v>807</v>
      </c>
      <c r="D126" s="204">
        <v>0</v>
      </c>
    </row>
    <row r="127" spans="1:4" ht="21.75" customHeight="1" x14ac:dyDescent="0.2">
      <c r="A127" s="7" t="s">
        <v>893</v>
      </c>
      <c r="B127" s="8">
        <v>3</v>
      </c>
      <c r="C127" s="8" t="s">
        <v>789</v>
      </c>
      <c r="D127" s="204">
        <v>0</v>
      </c>
    </row>
    <row r="128" spans="1:4" ht="21.75" customHeight="1" x14ac:dyDescent="0.2">
      <c r="A128" s="7" t="s">
        <v>894</v>
      </c>
      <c r="B128" s="8">
        <v>3</v>
      </c>
      <c r="C128" s="8" t="s">
        <v>816</v>
      </c>
      <c r="D128" s="204">
        <v>0</v>
      </c>
    </row>
    <row r="129" spans="1:4" ht="21.75" customHeight="1" x14ac:dyDescent="0.2">
      <c r="A129" s="7" t="s">
        <v>895</v>
      </c>
      <c r="B129" s="8">
        <v>3</v>
      </c>
      <c r="C129" s="8" t="s">
        <v>821</v>
      </c>
      <c r="D129" s="204">
        <v>0</v>
      </c>
    </row>
    <row r="130" spans="1:4" ht="21.75" customHeight="1" x14ac:dyDescent="0.2">
      <c r="A130" s="7" t="s">
        <v>896</v>
      </c>
      <c r="B130" s="8">
        <v>3</v>
      </c>
      <c r="C130" s="8" t="s">
        <v>816</v>
      </c>
      <c r="D130" s="204">
        <v>0</v>
      </c>
    </row>
    <row r="131" spans="1:4" ht="21.75" customHeight="1" x14ac:dyDescent="0.2">
      <c r="A131" s="7" t="s">
        <v>897</v>
      </c>
      <c r="B131" s="8">
        <v>3</v>
      </c>
      <c r="C131" s="8" t="s">
        <v>813</v>
      </c>
      <c r="D131" s="204">
        <v>0</v>
      </c>
    </row>
    <row r="132" spans="1:4" ht="21.75" customHeight="1" x14ac:dyDescent="0.2">
      <c r="A132" s="7" t="s">
        <v>898</v>
      </c>
      <c r="B132" s="8">
        <v>3</v>
      </c>
      <c r="C132" s="8" t="s">
        <v>793</v>
      </c>
      <c r="D132" s="204">
        <v>0</v>
      </c>
    </row>
    <row r="133" spans="1:4" ht="21.75" customHeight="1" x14ac:dyDescent="0.2">
      <c r="A133" s="7" t="s">
        <v>899</v>
      </c>
      <c r="B133" s="8">
        <v>3</v>
      </c>
      <c r="C133" s="8" t="s">
        <v>820</v>
      </c>
      <c r="D133" s="204">
        <v>0</v>
      </c>
    </row>
    <row r="134" spans="1:4" ht="21.75" customHeight="1" x14ac:dyDescent="0.2">
      <c r="A134" s="7" t="s">
        <v>900</v>
      </c>
      <c r="B134" s="8">
        <v>3</v>
      </c>
      <c r="C134" s="8" t="s">
        <v>808</v>
      </c>
      <c r="D134" s="204">
        <v>0</v>
      </c>
    </row>
    <row r="135" spans="1:4" ht="21.75" customHeight="1" x14ac:dyDescent="0.2">
      <c r="A135" s="7" t="s">
        <v>901</v>
      </c>
      <c r="B135" s="8">
        <v>3</v>
      </c>
      <c r="C135" s="8" t="s">
        <v>797</v>
      </c>
      <c r="D135" s="204">
        <v>0</v>
      </c>
    </row>
    <row r="136" spans="1:4" ht="21.75" customHeight="1" x14ac:dyDescent="0.2">
      <c r="A136" s="7" t="s">
        <v>902</v>
      </c>
      <c r="B136" s="8">
        <v>3</v>
      </c>
      <c r="C136" s="8" t="s">
        <v>808</v>
      </c>
      <c r="D136" s="204">
        <v>0</v>
      </c>
    </row>
    <row r="137" spans="1:4" ht="21.75" customHeight="1" x14ac:dyDescent="0.2">
      <c r="A137" s="7" t="s">
        <v>903</v>
      </c>
      <c r="B137" s="8">
        <v>3</v>
      </c>
      <c r="C137" s="8" t="s">
        <v>794</v>
      </c>
      <c r="D137" s="204">
        <v>3.4649474696400002</v>
      </c>
    </row>
    <row r="138" spans="1:4" ht="21.75" customHeight="1" x14ac:dyDescent="0.2">
      <c r="A138" s="7" t="s">
        <v>904</v>
      </c>
      <c r="B138" s="8">
        <v>3</v>
      </c>
      <c r="C138" s="8" t="s">
        <v>801</v>
      </c>
      <c r="D138" s="204">
        <v>0</v>
      </c>
    </row>
    <row r="139" spans="1:4" ht="21.75" customHeight="1" x14ac:dyDescent="0.2">
      <c r="A139" s="7" t="s">
        <v>905</v>
      </c>
      <c r="B139" s="8">
        <v>3</v>
      </c>
      <c r="C139" s="8" t="s">
        <v>821</v>
      </c>
      <c r="D139" s="204">
        <v>0</v>
      </c>
    </row>
    <row r="140" spans="1:4" ht="21.75" customHeight="1" x14ac:dyDescent="0.2">
      <c r="A140" s="7" t="s">
        <v>906</v>
      </c>
      <c r="B140" s="8">
        <v>3</v>
      </c>
      <c r="C140" s="8" t="s">
        <v>817</v>
      </c>
      <c r="D140" s="204">
        <v>0</v>
      </c>
    </row>
    <row r="141" spans="1:4" ht="21.75" customHeight="1" x14ac:dyDescent="0.2">
      <c r="A141" s="7" t="s">
        <v>907</v>
      </c>
      <c r="B141" s="8">
        <v>3</v>
      </c>
      <c r="C141" s="8" t="s">
        <v>807</v>
      </c>
      <c r="D141" s="204">
        <v>0</v>
      </c>
    </row>
    <row r="142" spans="1:4" ht="21.75" customHeight="1" x14ac:dyDescent="0.2">
      <c r="A142" s="7" t="s">
        <v>908</v>
      </c>
      <c r="B142" s="8">
        <v>3</v>
      </c>
      <c r="C142" s="8" t="s">
        <v>785</v>
      </c>
      <c r="D142" s="204">
        <v>0</v>
      </c>
    </row>
    <row r="143" spans="1:4" ht="21.75" customHeight="1" x14ac:dyDescent="0.2">
      <c r="A143" s="7" t="s">
        <v>909</v>
      </c>
      <c r="B143" s="8">
        <v>3</v>
      </c>
      <c r="C143" s="8" t="s">
        <v>809</v>
      </c>
      <c r="D143" s="204">
        <v>0</v>
      </c>
    </row>
    <row r="144" spans="1:4" ht="21.75" customHeight="1" x14ac:dyDescent="0.2">
      <c r="A144" s="7" t="s">
        <v>910</v>
      </c>
      <c r="B144" s="8">
        <v>3</v>
      </c>
      <c r="C144" s="8" t="s">
        <v>809</v>
      </c>
      <c r="D144" s="204">
        <v>0</v>
      </c>
    </row>
    <row r="145" spans="1:4" ht="21.75" customHeight="1" x14ac:dyDescent="0.2">
      <c r="A145" s="7" t="s">
        <v>911</v>
      </c>
      <c r="B145" s="8">
        <v>3</v>
      </c>
      <c r="C145" s="8" t="s">
        <v>807</v>
      </c>
      <c r="D145" s="204">
        <v>0</v>
      </c>
    </row>
    <row r="146" spans="1:4" ht="21.75" customHeight="1" x14ac:dyDescent="0.2">
      <c r="A146" s="7" t="s">
        <v>912</v>
      </c>
      <c r="B146" s="8">
        <v>3</v>
      </c>
      <c r="C146" s="8" t="s">
        <v>788</v>
      </c>
      <c r="D146" s="204">
        <v>0</v>
      </c>
    </row>
    <row r="147" spans="1:4" ht="21.75" customHeight="1" x14ac:dyDescent="0.2">
      <c r="A147" s="7" t="s">
        <v>913</v>
      </c>
      <c r="B147" s="8">
        <v>3</v>
      </c>
      <c r="C147" s="8" t="s">
        <v>818</v>
      </c>
      <c r="D147" s="204">
        <v>0</v>
      </c>
    </row>
    <row r="148" spans="1:4" ht="21.75" customHeight="1" x14ac:dyDescent="0.2">
      <c r="A148" s="7" t="s">
        <v>914</v>
      </c>
      <c r="B148" s="8">
        <v>3</v>
      </c>
      <c r="C148" s="8" t="s">
        <v>794</v>
      </c>
      <c r="D148" s="204">
        <v>0</v>
      </c>
    </row>
    <row r="149" spans="1:4" ht="21.75" customHeight="1" x14ac:dyDescent="0.2">
      <c r="A149" s="7" t="s">
        <v>915</v>
      </c>
      <c r="B149" s="8">
        <v>3</v>
      </c>
      <c r="C149" s="8" t="s">
        <v>792</v>
      </c>
      <c r="D149" s="204">
        <v>0</v>
      </c>
    </row>
    <row r="150" spans="1:4" ht="21.75" customHeight="1" x14ac:dyDescent="0.2">
      <c r="A150" s="7" t="s">
        <v>916</v>
      </c>
      <c r="B150" s="8">
        <v>3</v>
      </c>
      <c r="C150" s="8" t="s">
        <v>807</v>
      </c>
      <c r="D150" s="204">
        <v>0</v>
      </c>
    </row>
    <row r="151" spans="1:4" ht="21.75" customHeight="1" x14ac:dyDescent="0.2">
      <c r="A151" s="7" t="s">
        <v>917</v>
      </c>
      <c r="B151" s="8">
        <v>3</v>
      </c>
      <c r="C151" s="8" t="s">
        <v>786</v>
      </c>
      <c r="D151" s="204">
        <v>0</v>
      </c>
    </row>
    <row r="152" spans="1:4" ht="21.75" customHeight="1" x14ac:dyDescent="0.2">
      <c r="A152" s="7" t="s">
        <v>918</v>
      </c>
      <c r="B152" s="8">
        <v>3</v>
      </c>
      <c r="C152" s="8" t="s">
        <v>787</v>
      </c>
      <c r="D152" s="204">
        <v>0</v>
      </c>
    </row>
    <row r="153" spans="1:4" ht="21.75" customHeight="1" x14ac:dyDescent="0.2">
      <c r="A153" s="7" t="s">
        <v>919</v>
      </c>
      <c r="B153" s="8">
        <v>3</v>
      </c>
      <c r="C153" s="8" t="s">
        <v>816</v>
      </c>
      <c r="D153" s="204">
        <v>0</v>
      </c>
    </row>
    <row r="154" spans="1:4" ht="21.75" customHeight="1" x14ac:dyDescent="0.2">
      <c r="A154" s="7" t="s">
        <v>920</v>
      </c>
      <c r="B154" s="8">
        <v>3</v>
      </c>
      <c r="C154" s="8" t="s">
        <v>816</v>
      </c>
      <c r="D154" s="204">
        <v>0</v>
      </c>
    </row>
    <row r="155" spans="1:4" ht="21.75" customHeight="1" x14ac:dyDescent="0.2">
      <c r="A155" s="7" t="s">
        <v>921</v>
      </c>
      <c r="B155" s="8">
        <v>3</v>
      </c>
      <c r="C155" s="8" t="s">
        <v>817</v>
      </c>
      <c r="D155" s="204">
        <v>0</v>
      </c>
    </row>
    <row r="156" spans="1:4" ht="21.75" customHeight="1" x14ac:dyDescent="0.2">
      <c r="A156" s="7" t="s">
        <v>922</v>
      </c>
      <c r="B156" s="8">
        <v>3</v>
      </c>
      <c r="C156" s="8" t="s">
        <v>790</v>
      </c>
      <c r="D156" s="204">
        <v>0</v>
      </c>
    </row>
    <row r="157" spans="1:4" ht="21.75" customHeight="1" x14ac:dyDescent="0.2">
      <c r="A157" s="7" t="s">
        <v>923</v>
      </c>
      <c r="B157" s="8">
        <v>3</v>
      </c>
      <c r="C157" s="8" t="s">
        <v>793</v>
      </c>
      <c r="D157" s="204">
        <v>0</v>
      </c>
    </row>
    <row r="158" spans="1:4" ht="21.75" customHeight="1" x14ac:dyDescent="0.2">
      <c r="A158" s="7" t="s">
        <v>924</v>
      </c>
      <c r="B158" s="8">
        <v>3</v>
      </c>
      <c r="C158" s="8" t="s">
        <v>818</v>
      </c>
      <c r="D158" s="204">
        <v>0</v>
      </c>
    </row>
    <row r="159" spans="1:4" ht="21.75" customHeight="1" x14ac:dyDescent="0.2">
      <c r="A159" s="7" t="s">
        <v>925</v>
      </c>
      <c r="B159" s="8">
        <v>3</v>
      </c>
      <c r="C159" s="8" t="s">
        <v>817</v>
      </c>
      <c r="D159" s="204">
        <v>0</v>
      </c>
    </row>
    <row r="160" spans="1:4" ht="21.75" customHeight="1" x14ac:dyDescent="0.2">
      <c r="A160" s="7" t="s">
        <v>926</v>
      </c>
      <c r="B160" s="8">
        <v>3</v>
      </c>
      <c r="C160" s="8" t="s">
        <v>785</v>
      </c>
      <c r="D160" s="204">
        <v>0</v>
      </c>
    </row>
    <row r="161" spans="1:4" ht="21.75" customHeight="1" x14ac:dyDescent="0.2">
      <c r="A161" s="7" t="s">
        <v>927</v>
      </c>
      <c r="B161" s="8">
        <v>3</v>
      </c>
      <c r="C161" s="8" t="s">
        <v>816</v>
      </c>
      <c r="D161" s="204">
        <v>0</v>
      </c>
    </row>
    <row r="162" spans="1:4" ht="21.75" customHeight="1" x14ac:dyDescent="0.2">
      <c r="A162" s="7" t="s">
        <v>928</v>
      </c>
      <c r="B162" s="8">
        <v>3</v>
      </c>
      <c r="C162" s="8" t="s">
        <v>819</v>
      </c>
      <c r="D162" s="204">
        <v>0</v>
      </c>
    </row>
    <row r="163" spans="1:4" ht="21.75" customHeight="1" x14ac:dyDescent="0.2">
      <c r="A163" s="7" t="s">
        <v>929</v>
      </c>
      <c r="B163" s="8">
        <v>3</v>
      </c>
      <c r="C163" s="8" t="s">
        <v>806</v>
      </c>
      <c r="D163" s="204">
        <v>0</v>
      </c>
    </row>
    <row r="164" spans="1:4" ht="21.75" customHeight="1" x14ac:dyDescent="0.2">
      <c r="A164" s="7" t="s">
        <v>930</v>
      </c>
      <c r="B164" s="8">
        <v>3</v>
      </c>
      <c r="C164" s="8" t="s">
        <v>820</v>
      </c>
      <c r="D164" s="204">
        <v>2.8719492837199998</v>
      </c>
    </row>
    <row r="165" spans="1:4" ht="21.75" customHeight="1" x14ac:dyDescent="0.2">
      <c r="A165" s="7" t="s">
        <v>931</v>
      </c>
      <c r="B165" s="8">
        <v>3</v>
      </c>
      <c r="C165" s="8" t="s">
        <v>813</v>
      </c>
      <c r="D165" s="204">
        <v>0</v>
      </c>
    </row>
    <row r="166" spans="1:4" ht="21.75" customHeight="1" x14ac:dyDescent="0.2">
      <c r="A166" s="7" t="s">
        <v>932</v>
      </c>
      <c r="B166" s="8">
        <v>3</v>
      </c>
      <c r="C166" s="8" t="s">
        <v>814</v>
      </c>
      <c r="D166" s="204">
        <v>0</v>
      </c>
    </row>
    <row r="167" spans="1:4" ht="21.75" customHeight="1" x14ac:dyDescent="0.2">
      <c r="A167" s="7" t="s">
        <v>933</v>
      </c>
      <c r="B167" s="8">
        <v>3</v>
      </c>
      <c r="C167" s="8" t="s">
        <v>820</v>
      </c>
      <c r="D167" s="204">
        <v>0</v>
      </c>
    </row>
    <row r="168" spans="1:4" ht="21.75" customHeight="1" x14ac:dyDescent="0.2">
      <c r="A168" s="7" t="s">
        <v>934</v>
      </c>
      <c r="B168" s="8">
        <v>3</v>
      </c>
      <c r="C168" s="8" t="s">
        <v>797</v>
      </c>
      <c r="D168" s="204">
        <v>0</v>
      </c>
    </row>
    <row r="169" spans="1:4" ht="21.75" customHeight="1" x14ac:dyDescent="0.2">
      <c r="A169" s="7" t="s">
        <v>935</v>
      </c>
      <c r="B169" s="8">
        <v>3</v>
      </c>
      <c r="C169" s="8" t="s">
        <v>799</v>
      </c>
      <c r="D169" s="204">
        <v>0</v>
      </c>
    </row>
    <row r="170" spans="1:4" ht="21.75" customHeight="1" x14ac:dyDescent="0.2">
      <c r="A170" s="7" t="s">
        <v>936</v>
      </c>
      <c r="B170" s="8">
        <v>3</v>
      </c>
      <c r="C170" s="8" t="s">
        <v>790</v>
      </c>
      <c r="D170" s="204">
        <v>0</v>
      </c>
    </row>
    <row r="171" spans="1:4" ht="21.75" customHeight="1" x14ac:dyDescent="0.2">
      <c r="A171" s="7" t="s">
        <v>937</v>
      </c>
      <c r="B171" s="8">
        <v>3</v>
      </c>
      <c r="C171" s="8" t="s">
        <v>798</v>
      </c>
      <c r="D171" s="204">
        <v>0.56092561087500004</v>
      </c>
    </row>
    <row r="172" spans="1:4" ht="21.75" customHeight="1" x14ac:dyDescent="0.2">
      <c r="A172" s="7" t="s">
        <v>938</v>
      </c>
      <c r="B172" s="8">
        <v>3</v>
      </c>
      <c r="C172" s="8" t="s">
        <v>790</v>
      </c>
      <c r="D172" s="204">
        <v>0</v>
      </c>
    </row>
    <row r="173" spans="1:4" ht="21.75" customHeight="1" x14ac:dyDescent="0.2">
      <c r="A173" s="7" t="s">
        <v>939</v>
      </c>
      <c r="B173" s="8">
        <v>3</v>
      </c>
      <c r="C173" s="8" t="s">
        <v>812</v>
      </c>
      <c r="D173" s="204">
        <v>0</v>
      </c>
    </row>
    <row r="174" spans="1:4" ht="21.75" customHeight="1" x14ac:dyDescent="0.2">
      <c r="A174" s="7" t="s">
        <v>940</v>
      </c>
      <c r="B174" s="8">
        <v>3</v>
      </c>
      <c r="C174" s="8" t="s">
        <v>808</v>
      </c>
      <c r="D174" s="204">
        <v>0</v>
      </c>
    </row>
    <row r="175" spans="1:4" ht="21.75" customHeight="1" x14ac:dyDescent="0.2">
      <c r="A175" s="7" t="s">
        <v>941</v>
      </c>
      <c r="B175" s="8">
        <v>3</v>
      </c>
      <c r="C175" s="8" t="s">
        <v>808</v>
      </c>
      <c r="D175" s="204">
        <v>0</v>
      </c>
    </row>
    <row r="176" spans="1:4" ht="21.75" customHeight="1" x14ac:dyDescent="0.2">
      <c r="A176" s="7" t="s">
        <v>942</v>
      </c>
      <c r="B176" s="8">
        <v>3</v>
      </c>
      <c r="C176" s="8" t="s">
        <v>806</v>
      </c>
      <c r="D176" s="204">
        <v>0</v>
      </c>
    </row>
    <row r="177" spans="1:4" ht="21.75" customHeight="1" x14ac:dyDescent="0.2">
      <c r="A177" s="7" t="s">
        <v>943</v>
      </c>
      <c r="B177" s="8">
        <v>3</v>
      </c>
      <c r="C177" s="8" t="s">
        <v>795</v>
      </c>
      <c r="D177" s="204">
        <v>0</v>
      </c>
    </row>
    <row r="178" spans="1:4" ht="21.75" customHeight="1" x14ac:dyDescent="0.2">
      <c r="A178" s="7" t="s">
        <v>944</v>
      </c>
      <c r="B178" s="8">
        <v>3</v>
      </c>
      <c r="C178" s="8" t="s">
        <v>807</v>
      </c>
      <c r="D178" s="204">
        <v>0</v>
      </c>
    </row>
    <row r="179" spans="1:4" ht="21.75" customHeight="1" x14ac:dyDescent="0.2">
      <c r="A179" s="7" t="s">
        <v>945</v>
      </c>
      <c r="B179" s="8">
        <v>3</v>
      </c>
      <c r="C179" s="8" t="s">
        <v>814</v>
      </c>
      <c r="D179" s="204">
        <v>0</v>
      </c>
    </row>
    <row r="180" spans="1:4" ht="21.75" customHeight="1" x14ac:dyDescent="0.2">
      <c r="A180" s="7" t="s">
        <v>946</v>
      </c>
      <c r="B180" s="8">
        <v>3</v>
      </c>
      <c r="C180" s="8" t="s">
        <v>794</v>
      </c>
      <c r="D180" s="204">
        <v>0</v>
      </c>
    </row>
    <row r="181" spans="1:4" ht="21.75" customHeight="1" x14ac:dyDescent="0.2">
      <c r="A181" s="7" t="s">
        <v>947</v>
      </c>
      <c r="B181" s="8">
        <v>3</v>
      </c>
      <c r="C181" s="8" t="s">
        <v>795</v>
      </c>
      <c r="D181" s="204">
        <v>0</v>
      </c>
    </row>
    <row r="182" spans="1:4" ht="21.75" customHeight="1" x14ac:dyDescent="0.2">
      <c r="A182" s="7" t="s">
        <v>948</v>
      </c>
      <c r="B182" s="8">
        <v>3</v>
      </c>
      <c r="C182" s="8" t="s">
        <v>817</v>
      </c>
      <c r="D182" s="204">
        <v>0</v>
      </c>
    </row>
    <row r="183" spans="1:4" ht="21.75" customHeight="1" x14ac:dyDescent="0.2">
      <c r="A183" s="7" t="s">
        <v>949</v>
      </c>
      <c r="B183" s="8">
        <v>3</v>
      </c>
      <c r="C183" s="8"/>
      <c r="D183" s="204">
        <v>0</v>
      </c>
    </row>
    <row r="184" spans="1:4" ht="21.75" customHeight="1" x14ac:dyDescent="0.2">
      <c r="A184" s="7" t="s">
        <v>950</v>
      </c>
      <c r="B184" s="8">
        <v>3</v>
      </c>
      <c r="C184" s="8" t="s">
        <v>799</v>
      </c>
      <c r="D184" s="204">
        <v>1.34059196191</v>
      </c>
    </row>
    <row r="185" spans="1:4" ht="21.75" customHeight="1" x14ac:dyDescent="0.2">
      <c r="A185" s="7" t="s">
        <v>951</v>
      </c>
      <c r="B185" s="8">
        <v>3</v>
      </c>
      <c r="C185" s="8" t="s">
        <v>807</v>
      </c>
      <c r="D185" s="204">
        <v>0</v>
      </c>
    </row>
    <row r="186" spans="1:4" ht="21.75" customHeight="1" x14ac:dyDescent="0.2">
      <c r="A186" s="7" t="s">
        <v>952</v>
      </c>
      <c r="B186" s="8">
        <v>3</v>
      </c>
      <c r="C186" s="8" t="s">
        <v>789</v>
      </c>
      <c r="D186" s="204">
        <v>0</v>
      </c>
    </row>
    <row r="187" spans="1:4" ht="21.75" customHeight="1" x14ac:dyDescent="0.2">
      <c r="A187" s="7" t="s">
        <v>953</v>
      </c>
      <c r="B187" s="8">
        <v>3</v>
      </c>
      <c r="C187" s="8" t="s">
        <v>821</v>
      </c>
      <c r="D187" s="204">
        <v>0</v>
      </c>
    </row>
    <row r="188" spans="1:4" ht="21.75" customHeight="1" x14ac:dyDescent="0.2">
      <c r="A188" s="7" t="s">
        <v>954</v>
      </c>
      <c r="B188" s="8">
        <v>3</v>
      </c>
      <c r="C188" s="8" t="s">
        <v>817</v>
      </c>
      <c r="D188" s="204">
        <v>0</v>
      </c>
    </row>
    <row r="189" spans="1:4" ht="21.75" customHeight="1" x14ac:dyDescent="0.2">
      <c r="A189" s="7" t="s">
        <v>955</v>
      </c>
      <c r="B189" s="8">
        <v>3</v>
      </c>
      <c r="C189" s="8" t="s">
        <v>809</v>
      </c>
      <c r="D189" s="204">
        <v>0</v>
      </c>
    </row>
    <row r="190" spans="1:4" ht="21.75" customHeight="1" x14ac:dyDescent="0.2">
      <c r="A190" s="7" t="s">
        <v>956</v>
      </c>
      <c r="B190" s="8">
        <v>3</v>
      </c>
      <c r="C190" s="8" t="s">
        <v>800</v>
      </c>
      <c r="D190" s="204">
        <v>0</v>
      </c>
    </row>
    <row r="191" spans="1:4" ht="21.75" customHeight="1" x14ac:dyDescent="0.2">
      <c r="A191" s="7" t="s">
        <v>957</v>
      </c>
      <c r="B191" s="8">
        <v>3</v>
      </c>
      <c r="C191" s="8" t="s">
        <v>806</v>
      </c>
      <c r="D191" s="204">
        <v>0</v>
      </c>
    </row>
    <row r="192" spans="1:4" ht="21.75" customHeight="1" x14ac:dyDescent="0.2">
      <c r="A192" s="7" t="s">
        <v>958</v>
      </c>
      <c r="B192" s="8">
        <v>3</v>
      </c>
      <c r="C192" s="8" t="s">
        <v>806</v>
      </c>
      <c r="D192" s="204">
        <v>0</v>
      </c>
    </row>
    <row r="193" spans="1:4" ht="21.75" customHeight="1" x14ac:dyDescent="0.2">
      <c r="A193" s="7" t="s">
        <v>959</v>
      </c>
      <c r="B193" s="8">
        <v>3</v>
      </c>
      <c r="C193" s="8" t="s">
        <v>796</v>
      </c>
      <c r="D193" s="204">
        <v>0</v>
      </c>
    </row>
    <row r="194" spans="1:4" ht="21.75" customHeight="1" x14ac:dyDescent="0.2">
      <c r="A194" s="7" t="s">
        <v>960</v>
      </c>
      <c r="B194" s="8">
        <v>3</v>
      </c>
      <c r="C194" s="8" t="s">
        <v>808</v>
      </c>
      <c r="D194" s="204">
        <v>0</v>
      </c>
    </row>
    <row r="195" spans="1:4" ht="21.75" customHeight="1" x14ac:dyDescent="0.2">
      <c r="A195" s="7" t="s">
        <v>961</v>
      </c>
      <c r="B195" s="8">
        <v>3</v>
      </c>
      <c r="C195" s="8" t="s">
        <v>797</v>
      </c>
      <c r="D195" s="204">
        <v>0</v>
      </c>
    </row>
    <row r="196" spans="1:4" ht="21.75" customHeight="1" x14ac:dyDescent="0.2">
      <c r="A196" s="7" t="s">
        <v>962</v>
      </c>
      <c r="B196" s="8">
        <v>3</v>
      </c>
      <c r="C196" s="8" t="s">
        <v>812</v>
      </c>
      <c r="D196" s="204">
        <v>0</v>
      </c>
    </row>
    <row r="197" spans="1:4" ht="21.75" customHeight="1" x14ac:dyDescent="0.2">
      <c r="A197" s="7" t="s">
        <v>963</v>
      </c>
      <c r="B197" s="8">
        <v>3</v>
      </c>
      <c r="C197" s="8" t="s">
        <v>785</v>
      </c>
      <c r="D197" s="204">
        <v>0</v>
      </c>
    </row>
    <row r="198" spans="1:4" ht="21.75" customHeight="1" x14ac:dyDescent="0.2">
      <c r="A198" s="7" t="s">
        <v>964</v>
      </c>
      <c r="B198" s="8">
        <v>3</v>
      </c>
      <c r="C198" s="8" t="s">
        <v>811</v>
      </c>
      <c r="D198" s="204">
        <v>0</v>
      </c>
    </row>
    <row r="199" spans="1:4" ht="21.75" customHeight="1" x14ac:dyDescent="0.2">
      <c r="A199" s="7" t="s">
        <v>965</v>
      </c>
      <c r="B199" s="8">
        <v>3</v>
      </c>
      <c r="C199" s="8" t="s">
        <v>812</v>
      </c>
      <c r="D199" s="204">
        <v>0</v>
      </c>
    </row>
    <row r="200" spans="1:4" ht="21.75" customHeight="1" x14ac:dyDescent="0.2">
      <c r="A200" s="7" t="s">
        <v>966</v>
      </c>
      <c r="B200" s="8">
        <v>3</v>
      </c>
      <c r="C200" s="8" t="s">
        <v>801</v>
      </c>
      <c r="D200" s="204">
        <v>0</v>
      </c>
    </row>
    <row r="201" spans="1:4" ht="21.75" customHeight="1" x14ac:dyDescent="0.2">
      <c r="A201" s="7" t="s">
        <v>967</v>
      </c>
      <c r="B201" s="8">
        <v>3</v>
      </c>
      <c r="C201" s="8" t="s">
        <v>795</v>
      </c>
      <c r="D201" s="204">
        <v>0</v>
      </c>
    </row>
    <row r="202" spans="1:4" ht="21.75" customHeight="1" x14ac:dyDescent="0.2">
      <c r="A202" s="7" t="s">
        <v>968</v>
      </c>
      <c r="B202" s="8">
        <v>3</v>
      </c>
      <c r="C202" s="8" t="s">
        <v>817</v>
      </c>
      <c r="D202" s="204">
        <v>0</v>
      </c>
    </row>
    <row r="203" spans="1:4" ht="21.75" customHeight="1" x14ac:dyDescent="0.2">
      <c r="A203" s="7" t="s">
        <v>969</v>
      </c>
      <c r="B203" s="8">
        <v>3</v>
      </c>
      <c r="C203" s="8" t="s">
        <v>799</v>
      </c>
      <c r="D203" s="204">
        <v>0</v>
      </c>
    </row>
    <row r="204" spans="1:4" ht="21.75" customHeight="1" x14ac:dyDescent="0.2">
      <c r="A204" s="7" t="s">
        <v>970</v>
      </c>
      <c r="B204" s="8">
        <v>3</v>
      </c>
      <c r="C204" s="8" t="s">
        <v>820</v>
      </c>
      <c r="D204" s="204">
        <v>0</v>
      </c>
    </row>
    <row r="205" spans="1:4" ht="21.75" customHeight="1" x14ac:dyDescent="0.2">
      <c r="A205" s="7" t="s">
        <v>971</v>
      </c>
      <c r="B205" s="8">
        <v>3</v>
      </c>
      <c r="C205" s="8" t="s">
        <v>817</v>
      </c>
      <c r="D205" s="204">
        <v>0</v>
      </c>
    </row>
    <row r="206" spans="1:4" ht="21.75" customHeight="1" x14ac:dyDescent="0.2">
      <c r="A206" s="7" t="s">
        <v>972</v>
      </c>
      <c r="B206" s="8">
        <v>3</v>
      </c>
      <c r="C206" s="8" t="s">
        <v>797</v>
      </c>
      <c r="D206" s="204">
        <v>0</v>
      </c>
    </row>
    <row r="207" spans="1:4" ht="21.75" customHeight="1" x14ac:dyDescent="0.2">
      <c r="A207" s="7" t="s">
        <v>973</v>
      </c>
      <c r="B207" s="8">
        <v>3</v>
      </c>
      <c r="C207" s="8" t="s">
        <v>790</v>
      </c>
      <c r="D207" s="204">
        <v>0</v>
      </c>
    </row>
    <row r="208" spans="1:4" ht="21.75" customHeight="1" x14ac:dyDescent="0.2">
      <c r="A208" s="7" t="s">
        <v>974</v>
      </c>
      <c r="B208" s="8">
        <v>3</v>
      </c>
      <c r="C208" s="8" t="s">
        <v>817</v>
      </c>
      <c r="D208" s="204">
        <v>0</v>
      </c>
    </row>
    <row r="209" spans="1:4" ht="21.75" customHeight="1" x14ac:dyDescent="0.2">
      <c r="A209" s="7" t="s">
        <v>975</v>
      </c>
      <c r="B209" s="8">
        <v>3</v>
      </c>
      <c r="C209" s="8" t="s">
        <v>811</v>
      </c>
      <c r="D209" s="204">
        <v>0</v>
      </c>
    </row>
    <row r="210" spans="1:4" ht="21.75" customHeight="1" x14ac:dyDescent="0.2">
      <c r="A210" s="7" t="s">
        <v>976</v>
      </c>
      <c r="B210" s="8">
        <v>3</v>
      </c>
      <c r="C210" s="8" t="s">
        <v>811</v>
      </c>
      <c r="D210" s="204">
        <v>0</v>
      </c>
    </row>
    <row r="211" spans="1:4" ht="21.75" customHeight="1" x14ac:dyDescent="0.2">
      <c r="A211" s="7" t="s">
        <v>977</v>
      </c>
      <c r="B211" s="8">
        <v>3</v>
      </c>
      <c r="C211" s="8" t="s">
        <v>797</v>
      </c>
      <c r="D211" s="204">
        <v>0</v>
      </c>
    </row>
    <row r="212" spans="1:4" ht="21.75" customHeight="1" x14ac:dyDescent="0.2">
      <c r="A212" s="7" t="s">
        <v>978</v>
      </c>
      <c r="B212" s="8">
        <v>3</v>
      </c>
      <c r="C212" s="8" t="s">
        <v>787</v>
      </c>
      <c r="D212" s="204">
        <v>0.62744292735600005</v>
      </c>
    </row>
    <row r="213" spans="1:4" ht="21.75" customHeight="1" x14ac:dyDescent="0.2">
      <c r="A213" s="7" t="s">
        <v>979</v>
      </c>
      <c r="B213" s="8">
        <v>3</v>
      </c>
      <c r="C213" s="8" t="s">
        <v>788</v>
      </c>
      <c r="D213" s="204">
        <v>0</v>
      </c>
    </row>
    <row r="214" spans="1:4" ht="21.75" customHeight="1" x14ac:dyDescent="0.2">
      <c r="A214" s="7" t="s">
        <v>980</v>
      </c>
      <c r="B214" s="8">
        <v>3</v>
      </c>
      <c r="C214" s="8" t="s">
        <v>807</v>
      </c>
      <c r="D214" s="204">
        <v>0</v>
      </c>
    </row>
    <row r="215" spans="1:4" ht="21.75" customHeight="1" x14ac:dyDescent="0.2">
      <c r="A215" s="7" t="s">
        <v>981</v>
      </c>
      <c r="B215" s="8">
        <v>3</v>
      </c>
      <c r="C215" s="8" t="s">
        <v>821</v>
      </c>
      <c r="D215" s="204">
        <v>0</v>
      </c>
    </row>
    <row r="216" spans="1:4" ht="21.75" customHeight="1" x14ac:dyDescent="0.2">
      <c r="A216" s="7" t="s">
        <v>982</v>
      </c>
      <c r="B216" s="8">
        <v>3</v>
      </c>
      <c r="C216" s="8" t="s">
        <v>794</v>
      </c>
      <c r="D216" s="204">
        <v>0</v>
      </c>
    </row>
    <row r="217" spans="1:4" ht="21.75" customHeight="1" x14ac:dyDescent="0.2">
      <c r="A217" s="7" t="s">
        <v>983</v>
      </c>
      <c r="B217" s="8">
        <v>3</v>
      </c>
      <c r="C217" s="8" t="s">
        <v>810</v>
      </c>
      <c r="D217" s="204">
        <v>0</v>
      </c>
    </row>
    <row r="218" spans="1:4" ht="21.75" customHeight="1" x14ac:dyDescent="0.2">
      <c r="A218" s="7" t="s">
        <v>984</v>
      </c>
      <c r="B218" s="8">
        <v>3</v>
      </c>
      <c r="C218" s="8" t="s">
        <v>808</v>
      </c>
      <c r="D218" s="204">
        <v>0</v>
      </c>
    </row>
    <row r="219" spans="1:4" ht="21.75" customHeight="1" x14ac:dyDescent="0.2">
      <c r="A219" s="7" t="s">
        <v>985</v>
      </c>
      <c r="B219" s="8">
        <v>3</v>
      </c>
      <c r="C219" s="8" t="s">
        <v>807</v>
      </c>
      <c r="D219" s="204">
        <v>0</v>
      </c>
    </row>
    <row r="220" spans="1:4" ht="21.75" customHeight="1" x14ac:dyDescent="0.2">
      <c r="A220" s="7" t="s">
        <v>986</v>
      </c>
      <c r="B220" s="8">
        <v>3</v>
      </c>
      <c r="C220" s="8" t="s">
        <v>784</v>
      </c>
      <c r="D220" s="204">
        <v>0</v>
      </c>
    </row>
    <row r="221" spans="1:4" ht="21.75" customHeight="1" x14ac:dyDescent="0.2">
      <c r="A221" s="7" t="s">
        <v>987</v>
      </c>
      <c r="B221" s="8">
        <v>3</v>
      </c>
      <c r="C221" s="8" t="s">
        <v>802</v>
      </c>
      <c r="D221" s="204">
        <v>0</v>
      </c>
    </row>
    <row r="222" spans="1:4" ht="21.75" customHeight="1" x14ac:dyDescent="0.2">
      <c r="A222" s="7" t="s">
        <v>988</v>
      </c>
      <c r="B222" s="8">
        <v>3</v>
      </c>
      <c r="C222" s="8" t="s">
        <v>792</v>
      </c>
      <c r="D222" s="204">
        <v>0</v>
      </c>
    </row>
    <row r="223" spans="1:4" ht="21.75" customHeight="1" x14ac:dyDescent="0.2">
      <c r="A223" s="7" t="s">
        <v>989</v>
      </c>
      <c r="B223" s="8">
        <v>3</v>
      </c>
      <c r="C223" s="8" t="s">
        <v>790</v>
      </c>
      <c r="D223" s="204">
        <v>0</v>
      </c>
    </row>
    <row r="224" spans="1:4" ht="21.75" customHeight="1" x14ac:dyDescent="0.2">
      <c r="A224" s="7" t="s">
        <v>990</v>
      </c>
      <c r="B224" s="8">
        <v>3</v>
      </c>
      <c r="C224" s="8" t="s">
        <v>793</v>
      </c>
      <c r="D224" s="204">
        <v>0</v>
      </c>
    </row>
    <row r="225" spans="1:4" ht="21.75" customHeight="1" x14ac:dyDescent="0.2">
      <c r="A225" s="7" t="s">
        <v>991</v>
      </c>
      <c r="B225" s="8">
        <v>3</v>
      </c>
      <c r="C225" s="8" t="s">
        <v>799</v>
      </c>
      <c r="D225" s="204">
        <v>0</v>
      </c>
    </row>
    <row r="226" spans="1:4" ht="21.75" customHeight="1" x14ac:dyDescent="0.2">
      <c r="A226" s="7" t="s">
        <v>992</v>
      </c>
      <c r="B226" s="8">
        <v>3</v>
      </c>
      <c r="C226" s="8" t="s">
        <v>787</v>
      </c>
      <c r="D226" s="204">
        <v>0</v>
      </c>
    </row>
    <row r="227" spans="1:4" ht="21.75" customHeight="1" x14ac:dyDescent="0.2">
      <c r="A227" s="7" t="s">
        <v>993</v>
      </c>
      <c r="B227" s="8">
        <v>3</v>
      </c>
      <c r="C227" s="8" t="s">
        <v>807</v>
      </c>
      <c r="D227" s="204">
        <v>0</v>
      </c>
    </row>
    <row r="228" spans="1:4" ht="21.75" customHeight="1" x14ac:dyDescent="0.2">
      <c r="A228" s="7" t="s">
        <v>994</v>
      </c>
      <c r="B228" s="8">
        <v>3</v>
      </c>
      <c r="C228" s="8" t="s">
        <v>817</v>
      </c>
      <c r="D228" s="204">
        <v>0</v>
      </c>
    </row>
    <row r="229" spans="1:4" ht="21.75" customHeight="1" x14ac:dyDescent="0.2">
      <c r="A229" s="7" t="s">
        <v>995</v>
      </c>
      <c r="B229" s="8">
        <v>3</v>
      </c>
      <c r="C229" s="8" t="s">
        <v>821</v>
      </c>
      <c r="D229" s="204">
        <v>1.4618382777600001</v>
      </c>
    </row>
    <row r="230" spans="1:4" ht="21.75" customHeight="1" x14ac:dyDescent="0.2">
      <c r="A230" s="7" t="s">
        <v>996</v>
      </c>
      <c r="B230" s="8">
        <v>3</v>
      </c>
      <c r="C230" s="8" t="s">
        <v>790</v>
      </c>
      <c r="D230" s="204">
        <v>0</v>
      </c>
    </row>
    <row r="231" spans="1:4" ht="21.75" customHeight="1" x14ac:dyDescent="0.2">
      <c r="A231" s="7" t="s">
        <v>997</v>
      </c>
      <c r="B231" s="8">
        <v>3</v>
      </c>
      <c r="C231" s="8" t="s">
        <v>818</v>
      </c>
      <c r="D231" s="204">
        <v>0</v>
      </c>
    </row>
    <row r="232" spans="1:4" ht="21.75" customHeight="1" x14ac:dyDescent="0.2">
      <c r="A232" s="7" t="s">
        <v>998</v>
      </c>
      <c r="B232" s="8">
        <v>3</v>
      </c>
      <c r="C232" s="8" t="s">
        <v>786</v>
      </c>
      <c r="D232" s="204">
        <v>0</v>
      </c>
    </row>
    <row r="233" spans="1:4" ht="21.75" customHeight="1" x14ac:dyDescent="0.2">
      <c r="A233" s="7" t="s">
        <v>999</v>
      </c>
      <c r="B233" s="8">
        <v>3</v>
      </c>
      <c r="C233" s="8" t="s">
        <v>789</v>
      </c>
      <c r="D233" s="204">
        <v>0</v>
      </c>
    </row>
    <row r="234" spans="1:4" ht="21.75" customHeight="1" x14ac:dyDescent="0.2">
      <c r="A234" s="7" t="s">
        <v>1000</v>
      </c>
      <c r="B234" s="8">
        <v>3</v>
      </c>
      <c r="C234" s="8" t="s">
        <v>788</v>
      </c>
      <c r="D234" s="204">
        <v>0</v>
      </c>
    </row>
    <row r="235" spans="1:4" ht="21.75" customHeight="1" x14ac:dyDescent="0.2">
      <c r="A235" s="7" t="s">
        <v>1001</v>
      </c>
      <c r="B235" s="8">
        <v>3</v>
      </c>
      <c r="C235" s="8" t="s">
        <v>817</v>
      </c>
      <c r="D235" s="204">
        <v>0</v>
      </c>
    </row>
    <row r="236" spans="1:4" ht="21.75" customHeight="1" x14ac:dyDescent="0.2">
      <c r="A236" s="7" t="s">
        <v>1002</v>
      </c>
      <c r="B236" s="8">
        <v>3</v>
      </c>
      <c r="C236" s="8" t="s">
        <v>797</v>
      </c>
      <c r="D236" s="204">
        <v>0</v>
      </c>
    </row>
    <row r="237" spans="1:4" ht="21.75" customHeight="1" x14ac:dyDescent="0.2">
      <c r="A237" s="7" t="s">
        <v>1003</v>
      </c>
      <c r="B237" s="8">
        <v>3</v>
      </c>
      <c r="C237" s="8" t="s">
        <v>790</v>
      </c>
      <c r="D237" s="204">
        <v>0</v>
      </c>
    </row>
    <row r="238" spans="1:4" ht="21.75" customHeight="1" x14ac:dyDescent="0.2">
      <c r="A238" s="7" t="s">
        <v>1004</v>
      </c>
      <c r="B238" s="8">
        <v>3</v>
      </c>
      <c r="C238" s="8" t="s">
        <v>786</v>
      </c>
      <c r="D238" s="204">
        <v>0</v>
      </c>
    </row>
    <row r="239" spans="1:4" ht="21.75" customHeight="1" x14ac:dyDescent="0.2">
      <c r="A239" s="7" t="s">
        <v>1005</v>
      </c>
      <c r="B239" s="8">
        <v>3</v>
      </c>
      <c r="C239" s="8" t="s">
        <v>789</v>
      </c>
      <c r="D239" s="204">
        <v>0</v>
      </c>
    </row>
    <row r="240" spans="1:4" ht="21.75" customHeight="1" x14ac:dyDescent="0.2">
      <c r="A240" s="7" t="s">
        <v>1006</v>
      </c>
      <c r="B240" s="8">
        <v>3</v>
      </c>
      <c r="C240" s="8" t="s">
        <v>819</v>
      </c>
      <c r="D240" s="204">
        <v>0</v>
      </c>
    </row>
    <row r="241" spans="1:4" ht="21.75" customHeight="1" x14ac:dyDescent="0.2">
      <c r="A241" s="7" t="s">
        <v>1007</v>
      </c>
      <c r="B241" s="8">
        <v>3</v>
      </c>
      <c r="C241" s="8" t="s">
        <v>793</v>
      </c>
      <c r="D241" s="204">
        <v>0</v>
      </c>
    </row>
    <row r="242" spans="1:4" ht="21.75" customHeight="1" x14ac:dyDescent="0.2">
      <c r="A242" s="7" t="s">
        <v>1008</v>
      </c>
      <c r="B242" s="8">
        <v>3</v>
      </c>
      <c r="C242" s="8" t="s">
        <v>820</v>
      </c>
      <c r="D242" s="204">
        <v>0</v>
      </c>
    </row>
    <row r="243" spans="1:4" ht="21.75" customHeight="1" x14ac:dyDescent="0.2">
      <c r="A243" s="7" t="s">
        <v>1009</v>
      </c>
      <c r="B243" s="8">
        <v>3</v>
      </c>
      <c r="C243" s="8" t="s">
        <v>806</v>
      </c>
      <c r="D243" s="204">
        <v>0</v>
      </c>
    </row>
    <row r="244" spans="1:4" ht="21.75" customHeight="1" x14ac:dyDescent="0.2">
      <c r="A244" s="7" t="s">
        <v>1010</v>
      </c>
      <c r="B244" s="8">
        <v>3</v>
      </c>
      <c r="C244" s="8" t="s">
        <v>800</v>
      </c>
      <c r="D244" s="204">
        <v>0</v>
      </c>
    </row>
    <row r="245" spans="1:4" ht="21.75" customHeight="1" x14ac:dyDescent="0.2">
      <c r="A245" s="7" t="s">
        <v>1011</v>
      </c>
      <c r="B245" s="8">
        <v>3</v>
      </c>
      <c r="C245" s="8" t="s">
        <v>817</v>
      </c>
      <c r="D245" s="204">
        <v>0</v>
      </c>
    </row>
    <row r="246" spans="1:4" ht="21.75" customHeight="1" x14ac:dyDescent="0.2">
      <c r="A246" s="7" t="s">
        <v>1012</v>
      </c>
      <c r="B246" s="8">
        <v>3</v>
      </c>
      <c r="C246" s="8" t="s">
        <v>809</v>
      </c>
      <c r="D246" s="204">
        <v>0</v>
      </c>
    </row>
    <row r="247" spans="1:4" ht="21.75" customHeight="1" x14ac:dyDescent="0.2">
      <c r="A247" s="7" t="s">
        <v>1013</v>
      </c>
      <c r="B247" s="8">
        <v>3</v>
      </c>
      <c r="C247" s="8" t="s">
        <v>809</v>
      </c>
      <c r="D247" s="204">
        <v>3.1586674766599998</v>
      </c>
    </row>
    <row r="248" spans="1:4" ht="21.75" customHeight="1" x14ac:dyDescent="0.2">
      <c r="A248" s="7" t="s">
        <v>1014</v>
      </c>
      <c r="B248" s="8">
        <v>3</v>
      </c>
      <c r="C248" s="8" t="s">
        <v>809</v>
      </c>
      <c r="D248" s="204">
        <v>0</v>
      </c>
    </row>
    <row r="249" spans="1:4" ht="21.75" customHeight="1" x14ac:dyDescent="0.2">
      <c r="A249" s="7" t="s">
        <v>1015</v>
      </c>
      <c r="B249" s="8">
        <v>3</v>
      </c>
      <c r="C249" s="8" t="s">
        <v>790</v>
      </c>
      <c r="D249" s="204">
        <v>0</v>
      </c>
    </row>
    <row r="250" spans="1:4" ht="21.75" customHeight="1" x14ac:dyDescent="0.2">
      <c r="A250" s="7" t="s">
        <v>1016</v>
      </c>
      <c r="B250" s="8">
        <v>3</v>
      </c>
      <c r="C250" s="8" t="s">
        <v>801</v>
      </c>
      <c r="D250" s="204">
        <v>0</v>
      </c>
    </row>
    <row r="251" spans="1:4" ht="21.75" customHeight="1" x14ac:dyDescent="0.2">
      <c r="A251" s="7" t="s">
        <v>1017</v>
      </c>
      <c r="B251" s="8">
        <v>3</v>
      </c>
      <c r="C251" s="8" t="s">
        <v>799</v>
      </c>
      <c r="D251" s="204">
        <v>0</v>
      </c>
    </row>
    <row r="252" spans="1:4" ht="21.75" customHeight="1" x14ac:dyDescent="0.2">
      <c r="A252" s="7" t="s">
        <v>1018</v>
      </c>
      <c r="B252" s="8">
        <v>3</v>
      </c>
      <c r="C252" s="8" t="s">
        <v>820</v>
      </c>
      <c r="D252" s="204">
        <v>0</v>
      </c>
    </row>
    <row r="253" spans="1:4" ht="21.75" customHeight="1" x14ac:dyDescent="0.2">
      <c r="A253" s="7" t="s">
        <v>1019</v>
      </c>
      <c r="B253" s="8">
        <v>3</v>
      </c>
      <c r="C253" s="8" t="s">
        <v>809</v>
      </c>
      <c r="D253" s="204">
        <v>0</v>
      </c>
    </row>
    <row r="254" spans="1:4" ht="21.75" customHeight="1" x14ac:dyDescent="0.2">
      <c r="A254" s="7" t="s">
        <v>1020</v>
      </c>
      <c r="B254" s="8">
        <v>3</v>
      </c>
      <c r="C254" s="8" t="s">
        <v>790</v>
      </c>
      <c r="D254" s="204">
        <v>0</v>
      </c>
    </row>
    <row r="255" spans="1:4" ht="21.75" customHeight="1" x14ac:dyDescent="0.2">
      <c r="A255" s="7" t="s">
        <v>1021</v>
      </c>
      <c r="B255" s="8">
        <v>3</v>
      </c>
      <c r="C255" s="8" t="s">
        <v>812</v>
      </c>
      <c r="D255" s="204">
        <v>0</v>
      </c>
    </row>
    <row r="256" spans="1:4" ht="21.75" customHeight="1" x14ac:dyDescent="0.2">
      <c r="A256" s="7" t="s">
        <v>1022</v>
      </c>
      <c r="B256" s="8">
        <v>3</v>
      </c>
      <c r="C256" s="8" t="s">
        <v>793</v>
      </c>
      <c r="D256" s="204">
        <v>0</v>
      </c>
    </row>
    <row r="257" spans="1:4" ht="21.75" customHeight="1" x14ac:dyDescent="0.2">
      <c r="A257" s="7" t="s">
        <v>1023</v>
      </c>
      <c r="B257" s="8">
        <v>3</v>
      </c>
      <c r="C257" s="8" t="s">
        <v>818</v>
      </c>
      <c r="D257" s="204">
        <v>0</v>
      </c>
    </row>
    <row r="258" spans="1:4" ht="21.75" customHeight="1" x14ac:dyDescent="0.2">
      <c r="A258" s="7" t="s">
        <v>1024</v>
      </c>
      <c r="B258" s="8">
        <v>3</v>
      </c>
      <c r="C258" s="8" t="s">
        <v>797</v>
      </c>
      <c r="D258" s="204">
        <v>0</v>
      </c>
    </row>
    <row r="259" spans="1:4" ht="21.75" customHeight="1" x14ac:dyDescent="0.2">
      <c r="A259" s="7" t="s">
        <v>1025</v>
      </c>
      <c r="B259" s="8">
        <v>3</v>
      </c>
      <c r="C259" s="8" t="s">
        <v>819</v>
      </c>
      <c r="D259" s="204">
        <v>0</v>
      </c>
    </row>
    <row r="260" spans="1:4" ht="21.75" customHeight="1" x14ac:dyDescent="0.2">
      <c r="A260" s="7" t="s">
        <v>1026</v>
      </c>
      <c r="B260" s="8">
        <v>3</v>
      </c>
      <c r="C260" s="8" t="s">
        <v>814</v>
      </c>
      <c r="D260" s="204">
        <v>0</v>
      </c>
    </row>
    <row r="261" spans="1:4" ht="21.75" customHeight="1" x14ac:dyDescent="0.2">
      <c r="A261" s="7" t="s">
        <v>1027</v>
      </c>
      <c r="B261" s="8">
        <v>3</v>
      </c>
      <c r="C261" s="8" t="s">
        <v>813</v>
      </c>
      <c r="D261" s="204">
        <v>0</v>
      </c>
    </row>
    <row r="262" spans="1:4" ht="21.75" customHeight="1" x14ac:dyDescent="0.2">
      <c r="A262" s="7" t="s">
        <v>1028</v>
      </c>
      <c r="B262" s="8">
        <v>3</v>
      </c>
      <c r="C262" s="8" t="s">
        <v>807</v>
      </c>
      <c r="D262" s="204">
        <v>0</v>
      </c>
    </row>
    <row r="263" spans="1:4" ht="21.75" customHeight="1" x14ac:dyDescent="0.2">
      <c r="A263" s="7" t="s">
        <v>1029</v>
      </c>
      <c r="B263" s="8">
        <v>3</v>
      </c>
      <c r="C263" s="8" t="s">
        <v>790</v>
      </c>
      <c r="D263" s="204">
        <v>0</v>
      </c>
    </row>
    <row r="264" spans="1:4" ht="21.75" customHeight="1" x14ac:dyDescent="0.2">
      <c r="A264" s="7" t="s">
        <v>1030</v>
      </c>
      <c r="B264" s="8">
        <v>3</v>
      </c>
      <c r="C264" s="8" t="s">
        <v>801</v>
      </c>
      <c r="D264" s="204">
        <v>0</v>
      </c>
    </row>
    <row r="265" spans="1:4" ht="21.75" customHeight="1" x14ac:dyDescent="0.2">
      <c r="A265" s="7" t="s">
        <v>1031</v>
      </c>
      <c r="B265" s="8">
        <v>3</v>
      </c>
      <c r="C265" s="8" t="s">
        <v>795</v>
      </c>
      <c r="D265" s="204">
        <v>0</v>
      </c>
    </row>
    <row r="266" spans="1:4" ht="21.75" customHeight="1" x14ac:dyDescent="0.2">
      <c r="A266" s="7" t="s">
        <v>1032</v>
      </c>
      <c r="B266" s="8">
        <v>3</v>
      </c>
      <c r="C266" s="8" t="s">
        <v>807</v>
      </c>
      <c r="D266" s="204">
        <v>0</v>
      </c>
    </row>
    <row r="267" spans="1:4" ht="21.75" customHeight="1" x14ac:dyDescent="0.2">
      <c r="A267" s="7" t="s">
        <v>1033</v>
      </c>
      <c r="B267" s="8">
        <v>3</v>
      </c>
      <c r="C267" s="8" t="s">
        <v>804</v>
      </c>
      <c r="D267" s="204">
        <v>0</v>
      </c>
    </row>
    <row r="268" spans="1:4" ht="21.75" customHeight="1" x14ac:dyDescent="0.2">
      <c r="A268" s="7" t="s">
        <v>1034</v>
      </c>
      <c r="B268" s="8">
        <v>3</v>
      </c>
      <c r="C268" s="8" t="s">
        <v>789</v>
      </c>
      <c r="D268" s="204">
        <v>0</v>
      </c>
    </row>
    <row r="269" spans="1:4" ht="21.75" customHeight="1" x14ac:dyDescent="0.2">
      <c r="A269" s="7" t="s">
        <v>1035</v>
      </c>
      <c r="B269" s="8">
        <v>3</v>
      </c>
      <c r="C269" s="8" t="s">
        <v>794</v>
      </c>
      <c r="D269" s="204">
        <v>0</v>
      </c>
    </row>
    <row r="270" spans="1:4" ht="21.75" customHeight="1" x14ac:dyDescent="0.2">
      <c r="A270" s="7" t="s">
        <v>1036</v>
      </c>
      <c r="B270" s="8">
        <v>3</v>
      </c>
      <c r="C270" s="8" t="s">
        <v>804</v>
      </c>
      <c r="D270" s="204">
        <v>0</v>
      </c>
    </row>
    <row r="271" spans="1:4" ht="21.75" customHeight="1" x14ac:dyDescent="0.2">
      <c r="A271" s="7" t="s">
        <v>1037</v>
      </c>
      <c r="B271" s="8">
        <v>3</v>
      </c>
      <c r="C271" s="8" t="s">
        <v>813</v>
      </c>
      <c r="D271" s="204">
        <v>0</v>
      </c>
    </row>
    <row r="272" spans="1:4" ht="21.75" customHeight="1" x14ac:dyDescent="0.2">
      <c r="A272" s="7" t="s">
        <v>1038</v>
      </c>
      <c r="B272" s="8">
        <v>3</v>
      </c>
      <c r="C272" s="8" t="s">
        <v>790</v>
      </c>
      <c r="D272" s="204">
        <v>0</v>
      </c>
    </row>
    <row r="273" spans="1:4" ht="21.75" customHeight="1" x14ac:dyDescent="0.2">
      <c r="A273" s="7" t="s">
        <v>1039</v>
      </c>
      <c r="B273" s="8">
        <v>3</v>
      </c>
      <c r="C273" s="8" t="s">
        <v>820</v>
      </c>
      <c r="D273" s="204">
        <v>0</v>
      </c>
    </row>
    <row r="274" spans="1:4" ht="21.75" customHeight="1" x14ac:dyDescent="0.2">
      <c r="A274" s="7" t="s">
        <v>1040</v>
      </c>
      <c r="B274" s="8">
        <v>3</v>
      </c>
      <c r="C274" s="8" t="s">
        <v>806</v>
      </c>
      <c r="D274" s="204">
        <v>0</v>
      </c>
    </row>
    <row r="275" spans="1:4" ht="21.75" customHeight="1" x14ac:dyDescent="0.2">
      <c r="A275" s="7" t="s">
        <v>1041</v>
      </c>
      <c r="B275" s="8">
        <v>3</v>
      </c>
      <c r="C275" s="8" t="s">
        <v>785</v>
      </c>
      <c r="D275" s="204">
        <v>0</v>
      </c>
    </row>
    <row r="276" spans="1:4" ht="21.75" customHeight="1" x14ac:dyDescent="0.2">
      <c r="A276" s="7" t="s">
        <v>1042</v>
      </c>
      <c r="B276" s="8">
        <v>3</v>
      </c>
      <c r="C276" s="8" t="s">
        <v>807</v>
      </c>
      <c r="D276" s="204">
        <v>0</v>
      </c>
    </row>
    <row r="277" spans="1:4" ht="21.75" customHeight="1" x14ac:dyDescent="0.2">
      <c r="A277" s="7" t="s">
        <v>1043</v>
      </c>
      <c r="B277" s="8">
        <v>3</v>
      </c>
      <c r="C277" s="8" t="s">
        <v>818</v>
      </c>
      <c r="D277" s="204">
        <v>0</v>
      </c>
    </row>
    <row r="278" spans="1:4" ht="21.75" customHeight="1" x14ac:dyDescent="0.2">
      <c r="A278" s="7" t="s">
        <v>1044</v>
      </c>
      <c r="B278" s="8">
        <v>3</v>
      </c>
      <c r="C278" s="8" t="s">
        <v>793</v>
      </c>
      <c r="D278" s="204">
        <v>0</v>
      </c>
    </row>
    <row r="279" spans="1:4" ht="21.75" customHeight="1" x14ac:dyDescent="0.2">
      <c r="A279" s="7" t="s">
        <v>1045</v>
      </c>
      <c r="B279" s="8">
        <v>3</v>
      </c>
      <c r="C279" s="8" t="s">
        <v>817</v>
      </c>
      <c r="D279" s="204">
        <v>0</v>
      </c>
    </row>
    <row r="280" spans="1:4" ht="21.75" customHeight="1" x14ac:dyDescent="0.2">
      <c r="A280" s="7" t="s">
        <v>1046</v>
      </c>
      <c r="B280" s="8">
        <v>3</v>
      </c>
      <c r="C280" s="8" t="s">
        <v>792</v>
      </c>
      <c r="D280" s="204">
        <v>0</v>
      </c>
    </row>
    <row r="281" spans="1:4" ht="21.75" customHeight="1" x14ac:dyDescent="0.2">
      <c r="A281" s="7" t="s">
        <v>1047</v>
      </c>
      <c r="B281" s="8">
        <v>3</v>
      </c>
      <c r="C281" s="8" t="s">
        <v>818</v>
      </c>
      <c r="D281" s="204">
        <v>0</v>
      </c>
    </row>
    <row r="282" spans="1:4" ht="21.75" customHeight="1" x14ac:dyDescent="0.2">
      <c r="A282" s="7" t="s">
        <v>1048</v>
      </c>
      <c r="B282" s="8">
        <v>3</v>
      </c>
      <c r="C282" s="8" t="s">
        <v>807</v>
      </c>
      <c r="D282" s="204">
        <v>0</v>
      </c>
    </row>
    <row r="283" spans="1:4" ht="21.75" customHeight="1" x14ac:dyDescent="0.2">
      <c r="A283" s="7" t="s">
        <v>1049</v>
      </c>
      <c r="B283" s="8">
        <v>3</v>
      </c>
      <c r="C283" s="8" t="s">
        <v>818</v>
      </c>
      <c r="D283" s="204">
        <v>0</v>
      </c>
    </row>
    <row r="284" spans="1:4" ht="21.75" customHeight="1" x14ac:dyDescent="0.2">
      <c r="A284" s="7" t="s">
        <v>1050</v>
      </c>
      <c r="B284" s="8">
        <v>3</v>
      </c>
      <c r="C284" s="8" t="s">
        <v>807</v>
      </c>
      <c r="D284" s="204">
        <v>0</v>
      </c>
    </row>
    <row r="285" spans="1:4" ht="21.75" customHeight="1" x14ac:dyDescent="0.2">
      <c r="A285" s="7" t="s">
        <v>1051</v>
      </c>
      <c r="B285" s="8">
        <v>3</v>
      </c>
      <c r="C285" s="8" t="s">
        <v>795</v>
      </c>
      <c r="D285" s="204">
        <v>0</v>
      </c>
    </row>
    <row r="286" spans="1:4" ht="21.75" customHeight="1" x14ac:dyDescent="0.2">
      <c r="A286" s="7" t="s">
        <v>1052</v>
      </c>
      <c r="B286" s="8">
        <v>3</v>
      </c>
      <c r="C286" s="8" t="s">
        <v>818</v>
      </c>
      <c r="D286" s="204">
        <v>0</v>
      </c>
    </row>
    <row r="287" spans="1:4" ht="21.75" customHeight="1" x14ac:dyDescent="0.2">
      <c r="A287" s="7" t="s">
        <v>1053</v>
      </c>
      <c r="B287" s="8">
        <v>3</v>
      </c>
      <c r="C287" s="8" t="s">
        <v>797</v>
      </c>
      <c r="D287" s="204">
        <v>4.0986676075100004</v>
      </c>
    </row>
    <row r="288" spans="1:4" ht="21.75" customHeight="1" x14ac:dyDescent="0.2">
      <c r="A288" s="7" t="s">
        <v>1054</v>
      </c>
      <c r="B288" s="8">
        <v>3</v>
      </c>
      <c r="C288" s="8" t="s">
        <v>818</v>
      </c>
      <c r="D288" s="204">
        <v>3.4383470209100002</v>
      </c>
    </row>
    <row r="289" spans="1:4" ht="21.75" customHeight="1" x14ac:dyDescent="0.2">
      <c r="A289" s="7" t="s">
        <v>1055</v>
      </c>
      <c r="B289" s="8">
        <v>3</v>
      </c>
      <c r="C289" s="8" t="s">
        <v>807</v>
      </c>
      <c r="D289" s="204">
        <v>0</v>
      </c>
    </row>
    <row r="290" spans="1:4" ht="21.75" customHeight="1" x14ac:dyDescent="0.2">
      <c r="A290" s="7" t="s">
        <v>1056</v>
      </c>
      <c r="B290" s="8">
        <v>3</v>
      </c>
      <c r="C290" s="8" t="s">
        <v>818</v>
      </c>
      <c r="D290" s="204">
        <v>0</v>
      </c>
    </row>
    <row r="291" spans="1:4" ht="21.75" customHeight="1" x14ac:dyDescent="0.2">
      <c r="A291" s="7" t="s">
        <v>1057</v>
      </c>
      <c r="B291" s="8">
        <v>3</v>
      </c>
      <c r="C291" s="8" t="s">
        <v>795</v>
      </c>
      <c r="D291" s="204">
        <v>0</v>
      </c>
    </row>
    <row r="292" spans="1:4" ht="21.75" customHeight="1" x14ac:dyDescent="0.2">
      <c r="A292" s="7" t="s">
        <v>1058</v>
      </c>
      <c r="B292" s="8">
        <v>3</v>
      </c>
      <c r="C292" s="8" t="s">
        <v>817</v>
      </c>
      <c r="D292" s="204">
        <v>0</v>
      </c>
    </row>
    <row r="293" spans="1:4" ht="21.75" customHeight="1" x14ac:dyDescent="0.2">
      <c r="A293" s="7" t="s">
        <v>1059</v>
      </c>
      <c r="B293" s="8">
        <v>3</v>
      </c>
      <c r="C293" s="8" t="s">
        <v>817</v>
      </c>
      <c r="D293" s="204">
        <v>2.6467497743299999</v>
      </c>
    </row>
    <row r="294" spans="1:4" ht="21.75" customHeight="1" x14ac:dyDescent="0.2">
      <c r="A294" s="7" t="s">
        <v>1060</v>
      </c>
      <c r="B294" s="8">
        <v>3</v>
      </c>
      <c r="C294" s="8" t="s">
        <v>807</v>
      </c>
      <c r="D294" s="204">
        <v>0</v>
      </c>
    </row>
    <row r="295" spans="1:4" ht="21.75" customHeight="1" x14ac:dyDescent="0.2">
      <c r="A295" s="7" t="s">
        <v>1061</v>
      </c>
      <c r="B295" s="8">
        <v>3</v>
      </c>
      <c r="C295" s="8" t="s">
        <v>818</v>
      </c>
      <c r="D295" s="204">
        <v>0</v>
      </c>
    </row>
    <row r="296" spans="1:4" ht="21.75" customHeight="1" x14ac:dyDescent="0.2">
      <c r="A296" s="7" t="s">
        <v>1062</v>
      </c>
      <c r="B296" s="8">
        <v>3</v>
      </c>
      <c r="C296" s="8" t="s">
        <v>818</v>
      </c>
      <c r="D296" s="204">
        <v>0</v>
      </c>
    </row>
    <row r="297" spans="1:4" ht="21.75" customHeight="1" x14ac:dyDescent="0.2">
      <c r="A297" s="7" t="s">
        <v>1063</v>
      </c>
      <c r="B297" s="8">
        <v>3</v>
      </c>
      <c r="C297" s="8" t="s">
        <v>818</v>
      </c>
      <c r="D297" s="204">
        <v>0</v>
      </c>
    </row>
    <row r="298" spans="1:4" ht="21.75" customHeight="1" x14ac:dyDescent="0.2">
      <c r="A298" s="7" t="s">
        <v>1064</v>
      </c>
      <c r="B298" s="8">
        <v>3</v>
      </c>
      <c r="C298" s="8" t="s">
        <v>807</v>
      </c>
      <c r="D298" s="204">
        <v>0</v>
      </c>
    </row>
    <row r="299" spans="1:4" ht="21.75" customHeight="1" x14ac:dyDescent="0.2">
      <c r="A299" s="7" t="s">
        <v>1065</v>
      </c>
      <c r="B299" s="8">
        <v>3</v>
      </c>
      <c r="C299" s="8" t="s">
        <v>807</v>
      </c>
      <c r="D299" s="204">
        <v>0</v>
      </c>
    </row>
    <row r="300" spans="1:4" ht="21.75" customHeight="1" x14ac:dyDescent="0.2">
      <c r="A300" s="7" t="s">
        <v>1066</v>
      </c>
      <c r="B300" s="8">
        <v>3</v>
      </c>
      <c r="C300" s="8" t="s">
        <v>784</v>
      </c>
      <c r="D300" s="204">
        <v>0</v>
      </c>
    </row>
    <row r="301" spans="1:4" ht="21.75" customHeight="1" x14ac:dyDescent="0.2">
      <c r="A301" s="7" t="s">
        <v>1067</v>
      </c>
      <c r="B301" s="8">
        <v>3</v>
      </c>
      <c r="C301" s="8" t="s">
        <v>795</v>
      </c>
      <c r="D301" s="204">
        <v>0</v>
      </c>
    </row>
    <row r="302" spans="1:4" ht="21.75" customHeight="1" x14ac:dyDescent="0.2">
      <c r="A302" s="7" t="s">
        <v>1068</v>
      </c>
      <c r="B302" s="8">
        <v>3</v>
      </c>
      <c r="C302" s="8" t="s">
        <v>797</v>
      </c>
      <c r="D302" s="204">
        <v>0</v>
      </c>
    </row>
    <row r="303" spans="1:4" ht="21.75" customHeight="1" x14ac:dyDescent="0.2">
      <c r="A303" s="7" t="s">
        <v>1069</v>
      </c>
      <c r="B303" s="8">
        <v>3</v>
      </c>
      <c r="C303" s="8" t="s">
        <v>807</v>
      </c>
      <c r="D303" s="204">
        <v>0</v>
      </c>
    </row>
    <row r="304" spans="1:4" ht="21.75" customHeight="1" x14ac:dyDescent="0.2">
      <c r="A304" s="7" t="s">
        <v>1070</v>
      </c>
      <c r="B304" s="8">
        <v>3</v>
      </c>
      <c r="C304" s="8" t="s">
        <v>807</v>
      </c>
      <c r="D304" s="204">
        <v>0</v>
      </c>
    </row>
    <row r="305" spans="1:4" ht="21.75" customHeight="1" x14ac:dyDescent="0.2">
      <c r="A305" s="7" t="s">
        <v>1071</v>
      </c>
      <c r="B305" s="8">
        <v>3</v>
      </c>
      <c r="C305" s="8" t="s">
        <v>801</v>
      </c>
      <c r="D305" s="204">
        <v>0</v>
      </c>
    </row>
    <row r="306" spans="1:4" ht="21.75" customHeight="1" x14ac:dyDescent="0.2">
      <c r="A306" s="7" t="s">
        <v>1072</v>
      </c>
      <c r="B306" s="8">
        <v>3</v>
      </c>
      <c r="C306" s="8" t="s">
        <v>790</v>
      </c>
      <c r="D306" s="204">
        <v>0</v>
      </c>
    </row>
    <row r="307" spans="1:4" ht="21.75" customHeight="1" x14ac:dyDescent="0.2">
      <c r="A307" s="7" t="s">
        <v>1073</v>
      </c>
      <c r="B307" s="8">
        <v>3</v>
      </c>
      <c r="C307" s="8" t="s">
        <v>790</v>
      </c>
      <c r="D307" s="204">
        <v>0</v>
      </c>
    </row>
    <row r="308" spans="1:4" ht="21.75" customHeight="1" x14ac:dyDescent="0.2">
      <c r="A308" s="7" t="s">
        <v>1074</v>
      </c>
      <c r="B308" s="8">
        <v>3</v>
      </c>
      <c r="C308" s="8" t="s">
        <v>785</v>
      </c>
      <c r="D308" s="204">
        <v>0</v>
      </c>
    </row>
    <row r="309" spans="1:4" ht="21.75" customHeight="1" x14ac:dyDescent="0.2">
      <c r="A309" s="7" t="s">
        <v>1075</v>
      </c>
      <c r="B309" s="8">
        <v>3</v>
      </c>
      <c r="C309" s="8" t="s">
        <v>812</v>
      </c>
      <c r="D309" s="204">
        <v>1.1785098115699999</v>
      </c>
    </row>
    <row r="310" spans="1:4" ht="21.75" customHeight="1" x14ac:dyDescent="0.2">
      <c r="A310" s="7" t="s">
        <v>1076</v>
      </c>
      <c r="B310" s="8">
        <v>3</v>
      </c>
      <c r="C310" s="8" t="s">
        <v>789</v>
      </c>
      <c r="D310" s="204">
        <v>2.44888181438</v>
      </c>
    </row>
    <row r="311" spans="1:4" ht="21.75" customHeight="1" x14ac:dyDescent="0.2">
      <c r="A311" s="7" t="s">
        <v>1077</v>
      </c>
      <c r="B311" s="8">
        <v>3</v>
      </c>
      <c r="C311" s="8" t="s">
        <v>784</v>
      </c>
      <c r="D311" s="204">
        <v>0</v>
      </c>
    </row>
    <row r="312" spans="1:4" ht="21.75" customHeight="1" x14ac:dyDescent="0.2">
      <c r="A312" s="7" t="s">
        <v>1078</v>
      </c>
      <c r="B312" s="8">
        <v>3</v>
      </c>
      <c r="C312" s="8" t="s">
        <v>817</v>
      </c>
      <c r="D312" s="204">
        <v>0</v>
      </c>
    </row>
    <row r="313" spans="1:4" ht="21.75" customHeight="1" x14ac:dyDescent="0.2">
      <c r="A313" s="7" t="s">
        <v>1079</v>
      </c>
      <c r="B313" s="8">
        <v>3</v>
      </c>
      <c r="C313" s="8" t="s">
        <v>806</v>
      </c>
      <c r="D313" s="204">
        <v>0</v>
      </c>
    </row>
    <row r="314" spans="1:4" ht="21.75" customHeight="1" x14ac:dyDescent="0.2">
      <c r="A314" s="7" t="s">
        <v>1080</v>
      </c>
      <c r="B314" s="8">
        <v>3</v>
      </c>
      <c r="C314" s="8" t="s">
        <v>817</v>
      </c>
      <c r="D314" s="204">
        <v>0</v>
      </c>
    </row>
    <row r="315" spans="1:4" ht="21.75" customHeight="1" x14ac:dyDescent="0.2">
      <c r="A315" s="7" t="s">
        <v>1081</v>
      </c>
      <c r="B315" s="8">
        <v>3</v>
      </c>
      <c r="C315" s="8" t="s">
        <v>807</v>
      </c>
      <c r="D315" s="204">
        <v>0</v>
      </c>
    </row>
    <row r="316" spans="1:4" ht="21.75" customHeight="1" x14ac:dyDescent="0.2">
      <c r="A316" s="7" t="s">
        <v>1082</v>
      </c>
      <c r="B316" s="8">
        <v>3</v>
      </c>
      <c r="C316" s="8" t="s">
        <v>809</v>
      </c>
      <c r="D316" s="204">
        <v>0</v>
      </c>
    </row>
    <row r="317" spans="1:4" ht="21.75" customHeight="1" x14ac:dyDescent="0.2">
      <c r="A317" s="7" t="s">
        <v>1083</v>
      </c>
      <c r="B317" s="8">
        <v>3</v>
      </c>
      <c r="C317" s="8" t="s">
        <v>817</v>
      </c>
      <c r="D317" s="204">
        <v>0</v>
      </c>
    </row>
    <row r="318" spans="1:4" ht="21.75" customHeight="1" x14ac:dyDescent="0.2">
      <c r="A318" s="7" t="s">
        <v>1084</v>
      </c>
      <c r="B318" s="8">
        <v>3</v>
      </c>
      <c r="C318" s="8" t="s">
        <v>800</v>
      </c>
      <c r="D318" s="204">
        <v>2.97302019906</v>
      </c>
    </row>
    <row r="319" spans="1:4" ht="21.75" customHeight="1" x14ac:dyDescent="0.2">
      <c r="A319" s="7" t="s">
        <v>1085</v>
      </c>
      <c r="B319" s="8">
        <v>3</v>
      </c>
      <c r="C319" s="8" t="s">
        <v>787</v>
      </c>
      <c r="D319" s="204">
        <v>0</v>
      </c>
    </row>
    <row r="320" spans="1:4" ht="21.75" customHeight="1" x14ac:dyDescent="0.2">
      <c r="A320" s="7" t="s">
        <v>1086</v>
      </c>
      <c r="B320" s="8">
        <v>3</v>
      </c>
      <c r="C320" s="8" t="s">
        <v>803</v>
      </c>
      <c r="D320" s="204">
        <v>0</v>
      </c>
    </row>
    <row r="321" spans="1:4" ht="21.75" customHeight="1" x14ac:dyDescent="0.2">
      <c r="A321" s="7" t="s">
        <v>1087</v>
      </c>
      <c r="B321" s="8">
        <v>3</v>
      </c>
      <c r="C321" s="8" t="s">
        <v>790</v>
      </c>
      <c r="D321" s="204">
        <v>0</v>
      </c>
    </row>
    <row r="322" spans="1:4" ht="21.75" customHeight="1" x14ac:dyDescent="0.2">
      <c r="A322" s="7" t="s">
        <v>1088</v>
      </c>
      <c r="B322" s="8">
        <v>3</v>
      </c>
      <c r="C322" s="8" t="s">
        <v>790</v>
      </c>
      <c r="D322" s="204">
        <v>0</v>
      </c>
    </row>
    <row r="323" spans="1:4" ht="21.75" customHeight="1" x14ac:dyDescent="0.2">
      <c r="A323" s="7" t="s">
        <v>1089</v>
      </c>
      <c r="B323" s="8">
        <v>3</v>
      </c>
      <c r="C323" s="8" t="s">
        <v>790</v>
      </c>
      <c r="D323" s="204">
        <v>0</v>
      </c>
    </row>
    <row r="324" spans="1:4" ht="21.75" customHeight="1" x14ac:dyDescent="0.2">
      <c r="A324" s="7" t="s">
        <v>1090</v>
      </c>
      <c r="B324" s="8">
        <v>3</v>
      </c>
      <c r="C324" s="8" t="s">
        <v>807</v>
      </c>
      <c r="D324" s="204">
        <v>0</v>
      </c>
    </row>
    <row r="325" spans="1:4" ht="21.75" customHeight="1" x14ac:dyDescent="0.2">
      <c r="A325" s="7" t="s">
        <v>1091</v>
      </c>
      <c r="B325" s="8">
        <v>3</v>
      </c>
      <c r="C325" s="8" t="s">
        <v>792</v>
      </c>
      <c r="D325" s="204">
        <v>0</v>
      </c>
    </row>
    <row r="326" spans="1:4" ht="21.75" customHeight="1" x14ac:dyDescent="0.2">
      <c r="A326" s="7" t="s">
        <v>1092</v>
      </c>
      <c r="B326" s="8">
        <v>3</v>
      </c>
      <c r="C326" s="8" t="s">
        <v>807</v>
      </c>
      <c r="D326" s="204">
        <v>0</v>
      </c>
    </row>
    <row r="327" spans="1:4" ht="21.75" customHeight="1" x14ac:dyDescent="0.2">
      <c r="A327" s="7" t="s">
        <v>1093</v>
      </c>
      <c r="B327" s="8">
        <v>3</v>
      </c>
      <c r="C327" s="8" t="s">
        <v>818</v>
      </c>
      <c r="D327" s="204">
        <v>0</v>
      </c>
    </row>
    <row r="328" spans="1:4" ht="21.75" customHeight="1" x14ac:dyDescent="0.2">
      <c r="A328" s="7" t="s">
        <v>1094</v>
      </c>
      <c r="B328" s="8">
        <v>3</v>
      </c>
      <c r="C328" s="8" t="s">
        <v>807</v>
      </c>
      <c r="D328" s="204">
        <v>0</v>
      </c>
    </row>
    <row r="329" spans="1:4" ht="21.75" customHeight="1" x14ac:dyDescent="0.2">
      <c r="A329" s="7" t="s">
        <v>1095</v>
      </c>
      <c r="B329" s="8">
        <v>3</v>
      </c>
      <c r="C329" s="8" t="s">
        <v>807</v>
      </c>
      <c r="D329" s="204">
        <v>0</v>
      </c>
    </row>
    <row r="330" spans="1:4" ht="21.75" customHeight="1" x14ac:dyDescent="0.2">
      <c r="A330" s="7" t="s">
        <v>1096</v>
      </c>
      <c r="B330" s="8">
        <v>3</v>
      </c>
      <c r="C330" s="8" t="s">
        <v>819</v>
      </c>
      <c r="D330" s="204">
        <v>0</v>
      </c>
    </row>
    <row r="331" spans="1:4" ht="21.75" customHeight="1" x14ac:dyDescent="0.2">
      <c r="A331" s="7" t="s">
        <v>1097</v>
      </c>
      <c r="B331" s="8">
        <v>3</v>
      </c>
      <c r="C331" s="8" t="s">
        <v>790</v>
      </c>
      <c r="D331" s="204">
        <v>0</v>
      </c>
    </row>
    <row r="332" spans="1:4" ht="21.75" customHeight="1" x14ac:dyDescent="0.2">
      <c r="A332" s="7" t="s">
        <v>1098</v>
      </c>
      <c r="B332" s="8">
        <v>3</v>
      </c>
      <c r="C332" s="8" t="s">
        <v>799</v>
      </c>
      <c r="D332" s="204">
        <v>0</v>
      </c>
    </row>
    <row r="333" spans="1:4" ht="21.75" customHeight="1" x14ac:dyDescent="0.2">
      <c r="A333" s="7" t="s">
        <v>1099</v>
      </c>
      <c r="B333" s="8">
        <v>3</v>
      </c>
      <c r="C333" s="8" t="s">
        <v>795</v>
      </c>
      <c r="D333" s="204">
        <v>0</v>
      </c>
    </row>
    <row r="334" spans="1:4" ht="21.75" customHeight="1" x14ac:dyDescent="0.2">
      <c r="A334" s="7" t="s">
        <v>1100</v>
      </c>
      <c r="B334" s="8">
        <v>3</v>
      </c>
      <c r="C334" s="8" t="s">
        <v>801</v>
      </c>
      <c r="D334" s="204">
        <v>0</v>
      </c>
    </row>
    <row r="335" spans="1:4" ht="21.75" customHeight="1" x14ac:dyDescent="0.2">
      <c r="A335" s="7" t="s">
        <v>1101</v>
      </c>
      <c r="B335" s="8">
        <v>3</v>
      </c>
      <c r="C335" s="8" t="s">
        <v>788</v>
      </c>
      <c r="D335" s="204">
        <v>0</v>
      </c>
    </row>
    <row r="336" spans="1:4" ht="21.75" customHeight="1" x14ac:dyDescent="0.2">
      <c r="A336" s="7" t="s">
        <v>1102</v>
      </c>
      <c r="B336" s="8">
        <v>3</v>
      </c>
      <c r="C336" s="8" t="s">
        <v>799</v>
      </c>
      <c r="D336" s="204">
        <v>0</v>
      </c>
    </row>
    <row r="337" spans="1:4" ht="21.75" customHeight="1" x14ac:dyDescent="0.2">
      <c r="A337" s="7" t="s">
        <v>1103</v>
      </c>
      <c r="B337" s="8">
        <v>3</v>
      </c>
      <c r="C337" s="8" t="s">
        <v>793</v>
      </c>
      <c r="D337" s="204">
        <v>0</v>
      </c>
    </row>
    <row r="338" spans="1:4" ht="21.75" customHeight="1" x14ac:dyDescent="0.2">
      <c r="A338" s="7" t="s">
        <v>1104</v>
      </c>
      <c r="B338" s="8">
        <v>3</v>
      </c>
      <c r="C338" s="8" t="s">
        <v>789</v>
      </c>
      <c r="D338" s="204">
        <v>0</v>
      </c>
    </row>
    <row r="339" spans="1:4" ht="21.75" customHeight="1" x14ac:dyDescent="0.2">
      <c r="A339" s="7" t="s">
        <v>1105</v>
      </c>
      <c r="B339" s="8">
        <v>3</v>
      </c>
      <c r="C339" s="8" t="s">
        <v>808</v>
      </c>
      <c r="D339" s="204">
        <v>0</v>
      </c>
    </row>
    <row r="340" spans="1:4" ht="21.75" customHeight="1" x14ac:dyDescent="0.2">
      <c r="A340" s="7" t="s">
        <v>1106</v>
      </c>
      <c r="B340" s="8">
        <v>3</v>
      </c>
      <c r="C340" s="8" t="s">
        <v>799</v>
      </c>
      <c r="D340" s="204">
        <v>0</v>
      </c>
    </row>
    <row r="341" spans="1:4" ht="21.75" customHeight="1" x14ac:dyDescent="0.2">
      <c r="A341" s="7" t="s">
        <v>1107</v>
      </c>
      <c r="B341" s="8">
        <v>3</v>
      </c>
      <c r="C341" s="8" t="s">
        <v>812</v>
      </c>
      <c r="D341" s="204">
        <v>0</v>
      </c>
    </row>
    <row r="342" spans="1:4" ht="21.75" customHeight="1" x14ac:dyDescent="0.2">
      <c r="A342" s="7" t="s">
        <v>1108</v>
      </c>
      <c r="B342" s="8">
        <v>3</v>
      </c>
      <c r="C342" s="8" t="s">
        <v>787</v>
      </c>
      <c r="D342" s="204">
        <v>0</v>
      </c>
    </row>
    <row r="343" spans="1:4" ht="21.75" customHeight="1" x14ac:dyDescent="0.2">
      <c r="A343" s="7" t="s">
        <v>1109</v>
      </c>
      <c r="B343" s="8">
        <v>3</v>
      </c>
      <c r="C343" s="8" t="s">
        <v>785</v>
      </c>
      <c r="D343" s="204">
        <v>0</v>
      </c>
    </row>
    <row r="344" spans="1:4" ht="21.75" customHeight="1" x14ac:dyDescent="0.2">
      <c r="A344" s="7" t="s">
        <v>1110</v>
      </c>
      <c r="B344" s="8">
        <v>3</v>
      </c>
      <c r="C344" s="8" t="s">
        <v>796</v>
      </c>
      <c r="D344" s="204">
        <v>0</v>
      </c>
    </row>
    <row r="345" spans="1:4" ht="21.75" customHeight="1" x14ac:dyDescent="0.2">
      <c r="A345" s="7" t="s">
        <v>1111</v>
      </c>
      <c r="B345" s="8">
        <v>3</v>
      </c>
      <c r="C345" s="8" t="s">
        <v>802</v>
      </c>
      <c r="D345" s="204">
        <v>0</v>
      </c>
    </row>
    <row r="346" spans="1:4" ht="21.75" customHeight="1" x14ac:dyDescent="0.2">
      <c r="A346" s="7" t="s">
        <v>1112</v>
      </c>
      <c r="B346" s="8">
        <v>3</v>
      </c>
      <c r="C346" s="8" t="s">
        <v>789</v>
      </c>
      <c r="D346" s="204">
        <v>4.0703265923099998</v>
      </c>
    </row>
    <row r="347" spans="1:4" ht="21.75" customHeight="1" x14ac:dyDescent="0.2">
      <c r="A347" s="7" t="s">
        <v>1113</v>
      </c>
      <c r="B347" s="8">
        <v>3</v>
      </c>
      <c r="C347" s="8" t="s">
        <v>804</v>
      </c>
      <c r="D347" s="204">
        <v>0</v>
      </c>
    </row>
    <row r="348" spans="1:4" ht="21.75" customHeight="1" x14ac:dyDescent="0.2">
      <c r="A348" s="7" t="s">
        <v>1114</v>
      </c>
      <c r="B348" s="8">
        <v>3</v>
      </c>
      <c r="C348" s="8" t="s">
        <v>807</v>
      </c>
      <c r="D348" s="204">
        <v>0</v>
      </c>
    </row>
    <row r="349" spans="1:4" ht="21.75" customHeight="1" x14ac:dyDescent="0.2">
      <c r="A349" s="7" t="s">
        <v>1115</v>
      </c>
      <c r="B349" s="8">
        <v>3</v>
      </c>
      <c r="C349" s="8" t="s">
        <v>806</v>
      </c>
      <c r="D349" s="204">
        <v>0</v>
      </c>
    </row>
    <row r="350" spans="1:4" ht="21.75" customHeight="1" x14ac:dyDescent="0.2">
      <c r="A350" s="7" t="s">
        <v>1116</v>
      </c>
      <c r="B350" s="8">
        <v>3</v>
      </c>
      <c r="C350" s="8" t="s">
        <v>818</v>
      </c>
      <c r="D350" s="204">
        <v>0</v>
      </c>
    </row>
    <row r="351" spans="1:4" ht="21.75" customHeight="1" x14ac:dyDescent="0.2">
      <c r="A351" s="7" t="s">
        <v>1117</v>
      </c>
      <c r="B351" s="8">
        <v>3</v>
      </c>
      <c r="C351" s="8" t="s">
        <v>792</v>
      </c>
      <c r="D351" s="204">
        <v>0</v>
      </c>
    </row>
    <row r="352" spans="1:4" ht="21.75" customHeight="1" x14ac:dyDescent="0.2">
      <c r="A352" s="7" t="s">
        <v>1118</v>
      </c>
      <c r="B352" s="8">
        <v>3</v>
      </c>
      <c r="C352" s="8" t="s">
        <v>817</v>
      </c>
      <c r="D352" s="204">
        <v>0</v>
      </c>
    </row>
    <row r="353" spans="1:4" ht="21.75" customHeight="1" x14ac:dyDescent="0.2">
      <c r="A353" s="7" t="s">
        <v>1119</v>
      </c>
      <c r="B353" s="8">
        <v>3</v>
      </c>
      <c r="C353" s="8" t="s">
        <v>795</v>
      </c>
      <c r="D353" s="204">
        <v>0</v>
      </c>
    </row>
    <row r="354" spans="1:4" ht="21.75" customHeight="1" x14ac:dyDescent="0.2">
      <c r="A354" s="7" t="s">
        <v>1120</v>
      </c>
      <c r="B354" s="8">
        <v>3</v>
      </c>
      <c r="C354" s="8" t="s">
        <v>818</v>
      </c>
      <c r="D354" s="204">
        <v>0</v>
      </c>
    </row>
    <row r="355" spans="1:4" ht="21.75" customHeight="1" x14ac:dyDescent="0.2">
      <c r="A355" s="7" t="s">
        <v>1121</v>
      </c>
      <c r="B355" s="8">
        <v>3</v>
      </c>
      <c r="C355" s="8" t="s">
        <v>817</v>
      </c>
      <c r="D355" s="204">
        <v>0</v>
      </c>
    </row>
    <row r="356" spans="1:4" ht="21.75" customHeight="1" x14ac:dyDescent="0.2">
      <c r="A356" s="7" t="s">
        <v>1122</v>
      </c>
      <c r="B356" s="8">
        <v>3</v>
      </c>
      <c r="C356" s="8" t="s">
        <v>812</v>
      </c>
      <c r="D356" s="204">
        <v>0</v>
      </c>
    </row>
    <row r="357" spans="1:4" ht="21.75" customHeight="1" x14ac:dyDescent="0.2">
      <c r="A357" s="7" t="s">
        <v>1123</v>
      </c>
      <c r="B357" s="8">
        <v>3</v>
      </c>
      <c r="C357" s="8" t="s">
        <v>816</v>
      </c>
      <c r="D357" s="204">
        <v>0</v>
      </c>
    </row>
    <row r="358" spans="1:4" ht="21.75" customHeight="1" x14ac:dyDescent="0.2">
      <c r="A358" s="7" t="s">
        <v>1124</v>
      </c>
      <c r="B358" s="8">
        <v>3</v>
      </c>
      <c r="C358" s="8" t="s">
        <v>816</v>
      </c>
      <c r="D358" s="204">
        <v>0</v>
      </c>
    </row>
    <row r="359" spans="1:4" ht="21.75" customHeight="1" x14ac:dyDescent="0.2">
      <c r="A359" s="7" t="s">
        <v>1125</v>
      </c>
      <c r="B359" s="8">
        <v>3</v>
      </c>
      <c r="C359" s="8" t="s">
        <v>797</v>
      </c>
      <c r="D359" s="204">
        <v>0</v>
      </c>
    </row>
    <row r="360" spans="1:4" ht="21.75" customHeight="1" x14ac:dyDescent="0.2">
      <c r="A360" s="7" t="s">
        <v>1126</v>
      </c>
      <c r="B360" s="8">
        <v>3</v>
      </c>
      <c r="C360" s="8" t="s">
        <v>797</v>
      </c>
      <c r="D360" s="204">
        <v>0</v>
      </c>
    </row>
    <row r="361" spans="1:4" ht="21.75" customHeight="1" x14ac:dyDescent="0.2">
      <c r="A361" s="7" t="s">
        <v>1127</v>
      </c>
      <c r="B361" s="8">
        <v>3</v>
      </c>
      <c r="C361" s="8" t="s">
        <v>817</v>
      </c>
      <c r="D361" s="204">
        <v>0</v>
      </c>
    </row>
    <row r="362" spans="1:4" ht="21.75" customHeight="1" x14ac:dyDescent="0.2">
      <c r="A362" s="7" t="s">
        <v>1128</v>
      </c>
      <c r="B362" s="8">
        <v>3</v>
      </c>
      <c r="C362" s="8" t="s">
        <v>807</v>
      </c>
      <c r="D362" s="204">
        <v>0</v>
      </c>
    </row>
    <row r="363" spans="1:4" ht="21.75" customHeight="1" x14ac:dyDescent="0.2">
      <c r="A363" s="7" t="s">
        <v>1129</v>
      </c>
      <c r="B363" s="8">
        <v>3</v>
      </c>
      <c r="C363" s="8" t="s">
        <v>790</v>
      </c>
      <c r="D363" s="204">
        <v>0</v>
      </c>
    </row>
    <row r="364" spans="1:4" ht="21.75" customHeight="1" x14ac:dyDescent="0.2">
      <c r="A364" s="7" t="s">
        <v>1130</v>
      </c>
      <c r="B364" s="8">
        <v>3</v>
      </c>
      <c r="C364" s="8" t="s">
        <v>817</v>
      </c>
      <c r="D364" s="204">
        <v>0</v>
      </c>
    </row>
    <row r="365" spans="1:4" ht="21.75" customHeight="1" x14ac:dyDescent="0.2">
      <c r="A365" s="7" t="s">
        <v>1131</v>
      </c>
      <c r="B365" s="8">
        <v>3</v>
      </c>
      <c r="C365" s="8" t="s">
        <v>799</v>
      </c>
      <c r="D365" s="204">
        <v>0</v>
      </c>
    </row>
    <row r="366" spans="1:4" ht="21.75" customHeight="1" x14ac:dyDescent="0.2">
      <c r="A366" s="7" t="s">
        <v>1132</v>
      </c>
      <c r="B366" s="8">
        <v>3</v>
      </c>
      <c r="C366" s="8" t="s">
        <v>818</v>
      </c>
      <c r="D366" s="204">
        <v>0</v>
      </c>
    </row>
    <row r="367" spans="1:4" ht="21.75" customHeight="1" x14ac:dyDescent="0.2">
      <c r="A367" s="7" t="s">
        <v>1133</v>
      </c>
      <c r="B367" s="8">
        <v>3</v>
      </c>
      <c r="C367" s="8" t="s">
        <v>807</v>
      </c>
      <c r="D367" s="204">
        <v>0</v>
      </c>
    </row>
    <row r="368" spans="1:4" ht="21.75" customHeight="1" x14ac:dyDescent="0.2">
      <c r="A368" s="7" t="s">
        <v>1134</v>
      </c>
      <c r="B368" s="8">
        <v>3</v>
      </c>
      <c r="C368" s="8" t="s">
        <v>795</v>
      </c>
      <c r="D368" s="204">
        <v>0</v>
      </c>
    </row>
    <row r="369" spans="1:4" ht="21.75" customHeight="1" x14ac:dyDescent="0.2">
      <c r="A369" s="7" t="s">
        <v>1135</v>
      </c>
      <c r="B369" s="8">
        <v>3</v>
      </c>
      <c r="C369" s="8" t="s">
        <v>790</v>
      </c>
      <c r="D369" s="204">
        <v>0</v>
      </c>
    </row>
    <row r="370" spans="1:4" ht="21.75" customHeight="1" x14ac:dyDescent="0.2">
      <c r="A370" s="7" t="s">
        <v>1136</v>
      </c>
      <c r="B370" s="8">
        <v>3</v>
      </c>
      <c r="C370" s="8" t="s">
        <v>817</v>
      </c>
      <c r="D370" s="204">
        <v>0</v>
      </c>
    </row>
    <row r="371" spans="1:4" ht="21.75" customHeight="1" x14ac:dyDescent="0.2">
      <c r="A371" s="7" t="s">
        <v>1137</v>
      </c>
      <c r="B371" s="8">
        <v>3</v>
      </c>
      <c r="C371" s="8" t="s">
        <v>797</v>
      </c>
      <c r="D371" s="204">
        <v>0</v>
      </c>
    </row>
    <row r="372" spans="1:4" ht="21.75" customHeight="1" x14ac:dyDescent="0.2">
      <c r="A372" s="7" t="s">
        <v>1138</v>
      </c>
      <c r="B372" s="8">
        <v>3</v>
      </c>
      <c r="C372" s="8" t="s">
        <v>784</v>
      </c>
      <c r="D372" s="204">
        <v>0</v>
      </c>
    </row>
    <row r="373" spans="1:4" ht="21.75" customHeight="1" x14ac:dyDescent="0.2">
      <c r="A373" s="7" t="s">
        <v>1139</v>
      </c>
      <c r="B373" s="8">
        <v>3</v>
      </c>
      <c r="C373" s="8" t="s">
        <v>795</v>
      </c>
      <c r="D373" s="204">
        <v>0</v>
      </c>
    </row>
    <row r="374" spans="1:4" ht="21.75" customHeight="1" x14ac:dyDescent="0.2">
      <c r="A374" s="7" t="s">
        <v>1140</v>
      </c>
      <c r="B374" s="8">
        <v>3</v>
      </c>
      <c r="C374" s="8" t="s">
        <v>790</v>
      </c>
      <c r="D374" s="204">
        <v>0</v>
      </c>
    </row>
    <row r="375" spans="1:4" ht="21.75" customHeight="1" x14ac:dyDescent="0.2">
      <c r="A375" s="7" t="s">
        <v>1141</v>
      </c>
      <c r="B375" s="8">
        <v>3</v>
      </c>
      <c r="C375" s="8" t="s">
        <v>817</v>
      </c>
      <c r="D375" s="204">
        <v>0</v>
      </c>
    </row>
    <row r="376" spans="1:4" ht="21.75" customHeight="1" x14ac:dyDescent="0.2">
      <c r="A376" s="7" t="s">
        <v>1142</v>
      </c>
      <c r="B376" s="8">
        <v>3</v>
      </c>
      <c r="C376" s="8" t="s">
        <v>798</v>
      </c>
      <c r="D376" s="204">
        <v>0</v>
      </c>
    </row>
    <row r="377" spans="1:4" ht="21.75" customHeight="1" x14ac:dyDescent="0.2">
      <c r="A377" s="7" t="s">
        <v>1143</v>
      </c>
      <c r="B377" s="8">
        <v>3</v>
      </c>
      <c r="C377" s="8" t="s">
        <v>806</v>
      </c>
      <c r="D377" s="204">
        <v>0</v>
      </c>
    </row>
    <row r="378" spans="1:4" ht="21.75" customHeight="1" x14ac:dyDescent="0.2">
      <c r="A378" s="7" t="s">
        <v>1144</v>
      </c>
      <c r="B378" s="8">
        <v>3</v>
      </c>
      <c r="C378" s="8" t="s">
        <v>809</v>
      </c>
      <c r="D378" s="204">
        <v>0</v>
      </c>
    </row>
    <row r="379" spans="1:4" ht="21.75" customHeight="1" x14ac:dyDescent="0.2">
      <c r="A379" s="7" t="s">
        <v>1145</v>
      </c>
      <c r="B379" s="8">
        <v>3</v>
      </c>
      <c r="C379" s="8" t="s">
        <v>809</v>
      </c>
      <c r="D379" s="204">
        <v>0</v>
      </c>
    </row>
    <row r="380" spans="1:4" ht="21.75" customHeight="1" x14ac:dyDescent="0.2">
      <c r="A380" s="7" t="s">
        <v>1146</v>
      </c>
      <c r="B380" s="8">
        <v>3</v>
      </c>
      <c r="C380" s="8" t="s">
        <v>807</v>
      </c>
      <c r="D380" s="204">
        <v>0</v>
      </c>
    </row>
    <row r="381" spans="1:4" ht="21.75" customHeight="1" x14ac:dyDescent="0.2">
      <c r="A381" s="7" t="s">
        <v>1147</v>
      </c>
      <c r="B381" s="8">
        <v>3</v>
      </c>
      <c r="C381" s="8" t="s">
        <v>820</v>
      </c>
      <c r="D381" s="204">
        <v>0</v>
      </c>
    </row>
    <row r="382" spans="1:4" ht="21.75" customHeight="1" x14ac:dyDescent="0.2">
      <c r="A382" s="7" t="s">
        <v>1148</v>
      </c>
      <c r="B382" s="8">
        <v>3</v>
      </c>
      <c r="C382" s="8" t="s">
        <v>799</v>
      </c>
      <c r="D382" s="204">
        <v>1.8718392238999999</v>
      </c>
    </row>
    <row r="383" spans="1:4" ht="21.75" customHeight="1" x14ac:dyDescent="0.2">
      <c r="A383" s="7" t="s">
        <v>1149</v>
      </c>
      <c r="B383" s="8">
        <v>3</v>
      </c>
      <c r="C383" s="8" t="s">
        <v>807</v>
      </c>
      <c r="D383" s="204">
        <v>0</v>
      </c>
    </row>
    <row r="384" spans="1:4" ht="21.75" customHeight="1" x14ac:dyDescent="0.2">
      <c r="A384" s="7" t="s">
        <v>1150</v>
      </c>
      <c r="B384" s="8">
        <v>3</v>
      </c>
      <c r="C384" s="8" t="s">
        <v>799</v>
      </c>
      <c r="D384" s="204">
        <v>0</v>
      </c>
    </row>
    <row r="385" spans="1:4" ht="21.75" customHeight="1" x14ac:dyDescent="0.2">
      <c r="A385" s="7" t="s">
        <v>1151</v>
      </c>
      <c r="B385" s="8">
        <v>3</v>
      </c>
      <c r="C385" s="8" t="s">
        <v>799</v>
      </c>
      <c r="D385" s="204">
        <v>0</v>
      </c>
    </row>
    <row r="386" spans="1:4" ht="21.75" customHeight="1" x14ac:dyDescent="0.2">
      <c r="A386" s="7" t="s">
        <v>1152</v>
      </c>
      <c r="B386" s="8">
        <v>3</v>
      </c>
      <c r="C386" s="8" t="s">
        <v>789</v>
      </c>
      <c r="D386" s="204">
        <v>0</v>
      </c>
    </row>
    <row r="387" spans="1:4" ht="21.75" customHeight="1" x14ac:dyDescent="0.2">
      <c r="A387" s="7" t="s">
        <v>1153</v>
      </c>
      <c r="B387" s="8">
        <v>3</v>
      </c>
      <c r="C387" s="8" t="s">
        <v>797</v>
      </c>
      <c r="D387" s="204">
        <v>0</v>
      </c>
    </row>
    <row r="388" spans="1:4" ht="21.75" customHeight="1" x14ac:dyDescent="0.2">
      <c r="A388" s="7" t="s">
        <v>1154</v>
      </c>
      <c r="B388" s="8">
        <v>3</v>
      </c>
      <c r="C388" s="8" t="s">
        <v>792</v>
      </c>
      <c r="D388" s="204">
        <v>0</v>
      </c>
    </row>
    <row r="389" spans="1:4" ht="21.75" customHeight="1" x14ac:dyDescent="0.2">
      <c r="A389" s="7" t="s">
        <v>1155</v>
      </c>
      <c r="B389" s="8">
        <v>3</v>
      </c>
      <c r="C389" s="8" t="s">
        <v>799</v>
      </c>
      <c r="D389" s="204">
        <v>0</v>
      </c>
    </row>
    <row r="390" spans="1:4" ht="21.75" customHeight="1" x14ac:dyDescent="0.2">
      <c r="A390" s="7" t="s">
        <v>1156</v>
      </c>
      <c r="B390" s="8">
        <v>3</v>
      </c>
      <c r="C390" s="8" t="s">
        <v>790</v>
      </c>
      <c r="D390" s="204">
        <v>0</v>
      </c>
    </row>
    <row r="391" spans="1:4" ht="21.75" customHeight="1" x14ac:dyDescent="0.2">
      <c r="A391" s="7" t="s">
        <v>1157</v>
      </c>
      <c r="B391" s="8">
        <v>3</v>
      </c>
      <c r="C391" s="8" t="s">
        <v>820</v>
      </c>
      <c r="D391" s="204">
        <v>0</v>
      </c>
    </row>
    <row r="392" spans="1:4" ht="21.75" customHeight="1" x14ac:dyDescent="0.2">
      <c r="A392" s="7" t="s">
        <v>1158</v>
      </c>
      <c r="B392" s="8">
        <v>3</v>
      </c>
      <c r="C392" s="8" t="s">
        <v>820</v>
      </c>
      <c r="D392" s="204">
        <v>0</v>
      </c>
    </row>
    <row r="393" spans="1:4" ht="21.75" customHeight="1" x14ac:dyDescent="0.2">
      <c r="A393" s="7" t="s">
        <v>1159</v>
      </c>
      <c r="B393" s="8">
        <v>3</v>
      </c>
      <c r="C393" s="8" t="s">
        <v>817</v>
      </c>
      <c r="D393" s="204">
        <v>0</v>
      </c>
    </row>
    <row r="394" spans="1:4" ht="21.75" customHeight="1" x14ac:dyDescent="0.2">
      <c r="A394" s="7" t="s">
        <v>1160</v>
      </c>
      <c r="B394" s="8">
        <v>3</v>
      </c>
      <c r="C394" s="8" t="s">
        <v>799</v>
      </c>
      <c r="D394" s="204">
        <v>0</v>
      </c>
    </row>
    <row r="395" spans="1:4" ht="21.75" customHeight="1" x14ac:dyDescent="0.2">
      <c r="A395" s="7" t="s">
        <v>1161</v>
      </c>
      <c r="B395" s="8">
        <v>3</v>
      </c>
      <c r="C395" s="8" t="s">
        <v>784</v>
      </c>
      <c r="D395" s="204">
        <v>0</v>
      </c>
    </row>
    <row r="396" spans="1:4" ht="21.75" customHeight="1" x14ac:dyDescent="0.2">
      <c r="A396" s="7" t="s">
        <v>1162</v>
      </c>
      <c r="B396" s="8">
        <v>3</v>
      </c>
      <c r="C396" s="8" t="s">
        <v>819</v>
      </c>
      <c r="D396" s="204">
        <v>0</v>
      </c>
    </row>
    <row r="397" spans="1:4" ht="21.75" customHeight="1" x14ac:dyDescent="0.2">
      <c r="A397" s="7" t="s">
        <v>1163</v>
      </c>
      <c r="B397" s="8">
        <v>3</v>
      </c>
      <c r="C397" s="8" t="s">
        <v>792</v>
      </c>
      <c r="D397" s="204">
        <v>0</v>
      </c>
    </row>
    <row r="398" spans="1:4" ht="21.75" customHeight="1" x14ac:dyDescent="0.2">
      <c r="A398" s="7" t="s">
        <v>1164</v>
      </c>
      <c r="B398" s="8">
        <v>3</v>
      </c>
      <c r="C398" s="8" t="s">
        <v>811</v>
      </c>
      <c r="D398" s="204">
        <v>0</v>
      </c>
    </row>
    <row r="399" spans="1:4" ht="21.75" customHeight="1" x14ac:dyDescent="0.2">
      <c r="A399" s="7" t="s">
        <v>1165</v>
      </c>
      <c r="B399" s="8">
        <v>3</v>
      </c>
      <c r="C399" s="8" t="s">
        <v>807</v>
      </c>
      <c r="D399" s="204">
        <v>0</v>
      </c>
    </row>
    <row r="400" spans="1:4" ht="21.75" customHeight="1" x14ac:dyDescent="0.2">
      <c r="A400" s="7" t="s">
        <v>1166</v>
      </c>
      <c r="B400" s="8">
        <v>3</v>
      </c>
      <c r="C400" s="8" t="s">
        <v>807</v>
      </c>
      <c r="D400" s="204">
        <v>0</v>
      </c>
    </row>
    <row r="401" spans="1:4" ht="21.75" customHeight="1" x14ac:dyDescent="0.2">
      <c r="A401" s="7" t="s">
        <v>1167</v>
      </c>
      <c r="B401" s="8">
        <v>3</v>
      </c>
      <c r="C401" s="8" t="s">
        <v>807</v>
      </c>
      <c r="D401" s="204">
        <v>0</v>
      </c>
    </row>
    <row r="402" spans="1:4" ht="21.75" customHeight="1" x14ac:dyDescent="0.2">
      <c r="A402" s="7" t="s">
        <v>1168</v>
      </c>
      <c r="B402" s="8">
        <v>3</v>
      </c>
      <c r="C402" s="8" t="s">
        <v>820</v>
      </c>
      <c r="D402" s="204">
        <v>0</v>
      </c>
    </row>
    <row r="403" spans="1:4" ht="21.75" customHeight="1" x14ac:dyDescent="0.2">
      <c r="A403" s="7" t="s">
        <v>1169</v>
      </c>
      <c r="B403" s="8">
        <v>3</v>
      </c>
      <c r="C403" s="8" t="s">
        <v>807</v>
      </c>
      <c r="D403" s="204">
        <v>0</v>
      </c>
    </row>
    <row r="404" spans="1:4" ht="21.75" customHeight="1" x14ac:dyDescent="0.2">
      <c r="A404" s="7" t="s">
        <v>1170</v>
      </c>
      <c r="B404" s="8">
        <v>3</v>
      </c>
      <c r="C404" s="8" t="s">
        <v>799</v>
      </c>
      <c r="D404" s="204">
        <v>0</v>
      </c>
    </row>
    <row r="405" spans="1:4" ht="21.75" customHeight="1" x14ac:dyDescent="0.2">
      <c r="A405" s="7" t="s">
        <v>1171</v>
      </c>
      <c r="B405" s="8">
        <v>3</v>
      </c>
      <c r="C405" s="8" t="s">
        <v>799</v>
      </c>
      <c r="D405" s="204">
        <v>0</v>
      </c>
    </row>
    <row r="406" spans="1:4" ht="21.75" customHeight="1" x14ac:dyDescent="0.2">
      <c r="A406" s="7" t="s">
        <v>1172</v>
      </c>
      <c r="B406" s="8">
        <v>3</v>
      </c>
      <c r="C406" s="8" t="s">
        <v>807</v>
      </c>
      <c r="D406" s="204">
        <v>0</v>
      </c>
    </row>
    <row r="407" spans="1:4" ht="21.75" customHeight="1" x14ac:dyDescent="0.2">
      <c r="A407" s="7" t="s">
        <v>1173</v>
      </c>
      <c r="B407" s="8">
        <v>3</v>
      </c>
      <c r="C407" s="8" t="s">
        <v>793</v>
      </c>
      <c r="D407" s="204">
        <v>0</v>
      </c>
    </row>
    <row r="408" spans="1:4" ht="21.75" customHeight="1" x14ac:dyDescent="0.2">
      <c r="A408" s="7" t="s">
        <v>1174</v>
      </c>
      <c r="B408" s="8">
        <v>3</v>
      </c>
      <c r="C408" s="8" t="s">
        <v>790</v>
      </c>
      <c r="D408" s="204">
        <v>0</v>
      </c>
    </row>
    <row r="409" spans="1:4" ht="21.75" customHeight="1" x14ac:dyDescent="0.2">
      <c r="A409" s="7" t="s">
        <v>1175</v>
      </c>
      <c r="B409" s="8">
        <v>3</v>
      </c>
      <c r="C409" s="8" t="s">
        <v>799</v>
      </c>
      <c r="D409" s="204">
        <v>0</v>
      </c>
    </row>
    <row r="410" spans="1:4" ht="21.75" customHeight="1" x14ac:dyDescent="0.2">
      <c r="A410" s="7" t="s">
        <v>1176</v>
      </c>
      <c r="B410" s="8">
        <v>3</v>
      </c>
      <c r="C410" s="8" t="s">
        <v>799</v>
      </c>
      <c r="D410" s="204">
        <v>0</v>
      </c>
    </row>
    <row r="411" spans="1:4" ht="21.75" customHeight="1" x14ac:dyDescent="0.2">
      <c r="A411" s="7" t="s">
        <v>1177</v>
      </c>
      <c r="B411" s="8">
        <v>3</v>
      </c>
      <c r="C411" s="8" t="s">
        <v>807</v>
      </c>
      <c r="D411" s="204">
        <v>0</v>
      </c>
    </row>
    <row r="412" spans="1:4" ht="21.75" customHeight="1" x14ac:dyDescent="0.2">
      <c r="A412" s="7" t="s">
        <v>1178</v>
      </c>
      <c r="B412" s="8">
        <v>3</v>
      </c>
      <c r="C412" s="8" t="s">
        <v>797</v>
      </c>
      <c r="D412" s="204">
        <v>0</v>
      </c>
    </row>
    <row r="413" spans="1:4" ht="21.75" customHeight="1" x14ac:dyDescent="0.2">
      <c r="A413" s="7" t="s">
        <v>1179</v>
      </c>
      <c r="B413" s="8">
        <v>3</v>
      </c>
      <c r="C413" s="8" t="s">
        <v>798</v>
      </c>
      <c r="D413" s="204">
        <v>0</v>
      </c>
    </row>
    <row r="414" spans="1:4" ht="21.75" customHeight="1" x14ac:dyDescent="0.2">
      <c r="A414" s="7" t="s">
        <v>1180</v>
      </c>
      <c r="B414" s="8">
        <v>3</v>
      </c>
      <c r="C414" s="8" t="s">
        <v>804</v>
      </c>
      <c r="D414" s="204">
        <v>0</v>
      </c>
    </row>
    <row r="415" spans="1:4" ht="21.75" customHeight="1" x14ac:dyDescent="0.2">
      <c r="A415" s="7" t="s">
        <v>1181</v>
      </c>
      <c r="B415" s="8">
        <v>3</v>
      </c>
      <c r="C415" s="8" t="s">
        <v>789</v>
      </c>
      <c r="D415" s="204">
        <v>0</v>
      </c>
    </row>
    <row r="416" spans="1:4" ht="21.75" customHeight="1" x14ac:dyDescent="0.2">
      <c r="A416" s="7" t="s">
        <v>1182</v>
      </c>
      <c r="B416" s="8">
        <v>3</v>
      </c>
      <c r="C416" s="8" t="s">
        <v>800</v>
      </c>
      <c r="D416" s="204">
        <v>0</v>
      </c>
    </row>
    <row r="417" spans="1:4" ht="21.75" customHeight="1" x14ac:dyDescent="0.2">
      <c r="A417" s="7" t="s">
        <v>1183</v>
      </c>
      <c r="B417" s="8">
        <v>3</v>
      </c>
      <c r="C417" s="8" t="s">
        <v>806</v>
      </c>
      <c r="D417" s="204">
        <v>0</v>
      </c>
    </row>
    <row r="418" spans="1:4" ht="21.75" customHeight="1" x14ac:dyDescent="0.2">
      <c r="A418" s="7" t="s">
        <v>1184</v>
      </c>
      <c r="B418" s="8">
        <v>3</v>
      </c>
      <c r="C418" s="8" t="s">
        <v>803</v>
      </c>
      <c r="D418" s="204">
        <v>0</v>
      </c>
    </row>
    <row r="419" spans="1:4" ht="21.75" customHeight="1" x14ac:dyDescent="0.2">
      <c r="A419" s="7" t="s">
        <v>1185</v>
      </c>
      <c r="B419" s="8">
        <v>3</v>
      </c>
      <c r="C419" s="8" t="s">
        <v>787</v>
      </c>
      <c r="D419" s="204">
        <v>0</v>
      </c>
    </row>
    <row r="420" spans="1:4" ht="21.75" customHeight="1" x14ac:dyDescent="0.2">
      <c r="A420" s="7" t="s">
        <v>1186</v>
      </c>
      <c r="B420" s="8">
        <v>3</v>
      </c>
      <c r="C420" s="8" t="s">
        <v>785</v>
      </c>
      <c r="D420" s="204">
        <v>0</v>
      </c>
    </row>
    <row r="421" spans="1:4" ht="21.75" customHeight="1" x14ac:dyDescent="0.2">
      <c r="A421" s="7" t="s">
        <v>1187</v>
      </c>
      <c r="B421" s="8">
        <v>3</v>
      </c>
      <c r="C421" s="8" t="s">
        <v>808</v>
      </c>
      <c r="D421" s="204">
        <v>0</v>
      </c>
    </row>
    <row r="422" spans="1:4" ht="21.75" customHeight="1" x14ac:dyDescent="0.2">
      <c r="A422" s="7" t="s">
        <v>1188</v>
      </c>
      <c r="B422" s="8">
        <v>3</v>
      </c>
      <c r="C422" s="8" t="s">
        <v>814</v>
      </c>
      <c r="D422" s="204">
        <v>0</v>
      </c>
    </row>
    <row r="423" spans="1:4" ht="21.75" customHeight="1" x14ac:dyDescent="0.2">
      <c r="A423" s="7" t="s">
        <v>1189</v>
      </c>
      <c r="B423" s="8">
        <v>3</v>
      </c>
      <c r="C423" s="8" t="s">
        <v>816</v>
      </c>
      <c r="D423" s="204">
        <v>0</v>
      </c>
    </row>
    <row r="424" spans="1:4" ht="21.75" customHeight="1" x14ac:dyDescent="0.2">
      <c r="A424" s="7" t="s">
        <v>1190</v>
      </c>
      <c r="B424" s="8">
        <v>3</v>
      </c>
      <c r="C424" s="8" t="s">
        <v>816</v>
      </c>
      <c r="D424" s="204">
        <v>0</v>
      </c>
    </row>
    <row r="425" spans="1:4" ht="21.75" customHeight="1" x14ac:dyDescent="0.2">
      <c r="A425" s="7" t="s">
        <v>1191</v>
      </c>
      <c r="B425" s="8">
        <v>3</v>
      </c>
      <c r="C425" s="8" t="s">
        <v>809</v>
      </c>
      <c r="D425" s="204">
        <v>0</v>
      </c>
    </row>
    <row r="426" spans="1:4" ht="21.75" customHeight="1" x14ac:dyDescent="0.2">
      <c r="A426" s="7" t="s">
        <v>1192</v>
      </c>
      <c r="B426" s="8">
        <v>3</v>
      </c>
      <c r="C426" s="8" t="s">
        <v>816</v>
      </c>
      <c r="D426" s="204">
        <v>0</v>
      </c>
    </row>
    <row r="427" spans="1:4" ht="21.75" customHeight="1" x14ac:dyDescent="0.2">
      <c r="A427" s="7" t="s">
        <v>1193</v>
      </c>
      <c r="B427" s="8">
        <v>3</v>
      </c>
      <c r="C427" s="8" t="s">
        <v>814</v>
      </c>
      <c r="D427" s="204">
        <v>0</v>
      </c>
    </row>
    <row r="428" spans="1:4" ht="21.75" customHeight="1" x14ac:dyDescent="0.2">
      <c r="A428" s="7" t="s">
        <v>1194</v>
      </c>
      <c r="B428" s="8">
        <v>3</v>
      </c>
      <c r="C428" s="8" t="s">
        <v>808</v>
      </c>
      <c r="D428" s="204">
        <v>0</v>
      </c>
    </row>
  </sheetData>
  <sheetProtection selectLockedCells="1" selectUnlockedCells="1"/>
  <mergeCells count="1">
    <mergeCell ref="A2:D2"/>
  </mergeCells>
  <phoneticPr fontId="4" type="noConversion"/>
  <hyperlinks>
    <hyperlink ref="A1" location="Overview!A1" display="Back to Overview" xr:uid="{00000000-0004-0000-0900-000000000000}"/>
  </hyperlinks>
  <pageMargins left="0.39370078740157483" right="0.35433070866141736" top="0.82677165354330717" bottom="0.74803149606299213" header="0.51181102362204722" footer="0.51181102362204722"/>
  <pageSetup paperSize="9" scale="77" fitToHeight="0" orientation="portrait" r:id="rId1"/>
  <headerFooter differentFirst="1" scaleWithDoc="0">
    <oddFooter>&amp;C&amp;P of &amp;N</oddFooter>
    <firstHeader>&amp;LUn-scaled [nodal /network group] costs</firstHeader>
    <firstFooter>&amp;C&amp;P of &amp;N</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I1205"/>
  <sheetViews>
    <sheetView zoomScale="90" zoomScaleNormal="90" zoomScaleSheetLayoutView="100" workbookViewId="0">
      <selection sqref="A1:B1"/>
    </sheetView>
  </sheetViews>
  <sheetFormatPr defaultColWidth="11.5703125" defaultRowHeight="12.75" x14ac:dyDescent="0.2"/>
  <cols>
    <col min="1" max="1" width="13.85546875" style="40" customWidth="1"/>
    <col min="2" max="2" width="11.5703125" style="40" customWidth="1"/>
    <col min="3" max="3" width="37.42578125" style="40" bestFit="1" customWidth="1"/>
    <col min="4" max="4" width="40.5703125" style="41" bestFit="1" customWidth="1"/>
    <col min="5" max="6" width="4.7109375" style="40" customWidth="1"/>
    <col min="7" max="7" width="29.140625" style="40" bestFit="1" customWidth="1"/>
    <col min="8" max="8" width="11.5703125" style="40"/>
    <col min="9" max="9" width="60.28515625" style="40" customWidth="1"/>
    <col min="10" max="16384" width="11.5703125" style="40"/>
  </cols>
  <sheetData>
    <row r="1" spans="1:2" ht="26.25" customHeight="1" x14ac:dyDescent="0.2">
      <c r="A1" s="292" t="s">
        <v>91</v>
      </c>
      <c r="B1" s="292"/>
    </row>
    <row r="2" spans="1:2" ht="12.75" customHeight="1" x14ac:dyDescent="0.2">
      <c r="A2" s="167"/>
      <c r="B2" s="167"/>
    </row>
    <row r="3" spans="1:2" ht="12.75" customHeight="1" x14ac:dyDescent="0.2">
      <c r="A3" s="167"/>
      <c r="B3" s="167"/>
    </row>
    <row r="4" spans="1:2" ht="12.75" customHeight="1" x14ac:dyDescent="0.2">
      <c r="A4" s="167"/>
      <c r="B4" s="167"/>
    </row>
    <row r="5" spans="1:2" ht="12.75" customHeight="1" x14ac:dyDescent="0.2">
      <c r="A5" s="167"/>
      <c r="B5" s="167"/>
    </row>
    <row r="6" spans="1:2" ht="12.75" customHeight="1" x14ac:dyDescent="0.2">
      <c r="A6" s="167"/>
      <c r="B6" s="167"/>
    </row>
    <row r="7" spans="1:2" ht="12.75" customHeight="1" x14ac:dyDescent="0.2">
      <c r="A7" s="167"/>
      <c r="B7" s="167"/>
    </row>
    <row r="8" spans="1:2" ht="12.75" customHeight="1" x14ac:dyDescent="0.2">
      <c r="A8" s="167"/>
      <c r="B8" s="167"/>
    </row>
    <row r="9" spans="1:2" ht="12.75" customHeight="1" x14ac:dyDescent="0.2">
      <c r="A9" s="167"/>
      <c r="B9" s="167"/>
    </row>
    <row r="10" spans="1:2" ht="12.75" customHeight="1" x14ac:dyDescent="0.2">
      <c r="A10" s="167"/>
      <c r="B10" s="167"/>
    </row>
    <row r="11" spans="1:2" ht="12.75" customHeight="1" x14ac:dyDescent="0.2">
      <c r="A11" s="167"/>
      <c r="B11" s="167"/>
    </row>
    <row r="12" spans="1:2" ht="12.75" customHeight="1" x14ac:dyDescent="0.2">
      <c r="A12" s="167"/>
      <c r="B12" s="167"/>
    </row>
    <row r="13" spans="1:2" ht="12.75" customHeight="1" x14ac:dyDescent="0.2">
      <c r="A13" s="167"/>
      <c r="B13" s="167"/>
    </row>
    <row r="14" spans="1:2" ht="12.75" customHeight="1" x14ac:dyDescent="0.2">
      <c r="A14" s="167"/>
      <c r="B14" s="167"/>
    </row>
    <row r="15" spans="1:2" ht="12.75" customHeight="1" x14ac:dyDescent="0.2">
      <c r="A15" s="167"/>
      <c r="B15" s="167"/>
    </row>
    <row r="16" spans="1:2" ht="12.75" customHeight="1" x14ac:dyDescent="0.2">
      <c r="A16" s="167"/>
      <c r="B16" s="167"/>
    </row>
    <row r="17" spans="1:9" ht="12.75" customHeight="1" x14ac:dyDescent="0.2">
      <c r="A17" s="167"/>
      <c r="B17" s="167"/>
    </row>
    <row r="18" spans="1:9" ht="12.75" customHeight="1" x14ac:dyDescent="0.2">
      <c r="A18" s="167"/>
      <c r="B18" s="167"/>
    </row>
    <row r="19" spans="1:9" ht="12.75" customHeight="1" x14ac:dyDescent="0.2">
      <c r="A19" s="167"/>
      <c r="B19" s="167"/>
    </row>
    <row r="20" spans="1:9" ht="12.75" customHeight="1" x14ac:dyDescent="0.2">
      <c r="A20" s="167"/>
      <c r="B20" s="167"/>
    </row>
    <row r="21" spans="1:9" ht="12.75" customHeight="1" x14ac:dyDescent="0.2">
      <c r="A21" s="167"/>
      <c r="B21" s="167"/>
    </row>
    <row r="22" spans="1:9" ht="12.75" customHeight="1" x14ac:dyDescent="0.2">
      <c r="A22" s="167"/>
      <c r="B22" s="167"/>
    </row>
    <row r="23" spans="1:9" ht="12.75" customHeight="1" x14ac:dyDescent="0.2">
      <c r="A23" s="167"/>
      <c r="B23" s="167"/>
    </row>
    <row r="24" spans="1:9" ht="12.75" customHeight="1" x14ac:dyDescent="0.2">
      <c r="A24" s="167"/>
      <c r="B24" s="167"/>
    </row>
    <row r="25" spans="1:9" ht="12.75" customHeight="1" x14ac:dyDescent="0.2">
      <c r="A25" s="167"/>
      <c r="B25" s="167"/>
    </row>
    <row r="26" spans="1:9" ht="12.75" customHeight="1" x14ac:dyDescent="0.2">
      <c r="A26" s="167"/>
      <c r="B26" s="167"/>
    </row>
    <row r="27" spans="1:9" ht="12.75" customHeight="1" x14ac:dyDescent="0.2">
      <c r="A27" s="167"/>
      <c r="B27" s="167"/>
    </row>
    <row r="28" spans="1:9" s="39" customFormat="1" ht="51" x14ac:dyDescent="0.2">
      <c r="A28" s="62" t="s">
        <v>219</v>
      </c>
      <c r="B28" s="62" t="s">
        <v>220</v>
      </c>
      <c r="C28" s="62" t="s">
        <v>221</v>
      </c>
      <c r="D28" s="62" t="s">
        <v>222</v>
      </c>
      <c r="E28" s="42"/>
      <c r="F28" s="42"/>
      <c r="G28" s="62" t="s">
        <v>442</v>
      </c>
      <c r="H28" s="62" t="s">
        <v>443</v>
      </c>
      <c r="I28" s="62" t="s">
        <v>444</v>
      </c>
    </row>
    <row r="29" spans="1:9" x14ac:dyDescent="0.2">
      <c r="A29" s="122">
        <v>3</v>
      </c>
      <c r="B29" s="123">
        <v>166</v>
      </c>
      <c r="C29" s="124" t="s">
        <v>223</v>
      </c>
      <c r="D29" s="125" t="s">
        <v>224</v>
      </c>
      <c r="H29" s="108">
        <v>40057</v>
      </c>
      <c r="I29" s="109" t="s">
        <v>445</v>
      </c>
    </row>
    <row r="30" spans="1:9" x14ac:dyDescent="0.2">
      <c r="A30" s="122">
        <v>4</v>
      </c>
      <c r="B30" s="123">
        <v>168</v>
      </c>
      <c r="C30" s="124" t="s">
        <v>223</v>
      </c>
      <c r="D30" s="125" t="s">
        <v>224</v>
      </c>
      <c r="G30" s="109" t="s">
        <v>446</v>
      </c>
      <c r="H30" s="108">
        <v>40275</v>
      </c>
      <c r="I30" s="168" t="s">
        <v>450</v>
      </c>
    </row>
    <row r="31" spans="1:9" x14ac:dyDescent="0.2">
      <c r="A31" s="122">
        <v>5</v>
      </c>
      <c r="B31" s="123">
        <v>100</v>
      </c>
      <c r="C31" s="124" t="s">
        <v>225</v>
      </c>
      <c r="D31" s="125" t="s">
        <v>224</v>
      </c>
      <c r="G31" s="169" t="s">
        <v>453</v>
      </c>
      <c r="H31" s="108">
        <v>40347</v>
      </c>
      <c r="I31" s="40" t="s">
        <v>447</v>
      </c>
    </row>
    <row r="32" spans="1:9" x14ac:dyDescent="0.2">
      <c r="A32" s="122">
        <v>6</v>
      </c>
      <c r="B32" s="123">
        <v>257</v>
      </c>
      <c r="C32" s="124" t="s">
        <v>226</v>
      </c>
      <c r="D32" s="125" t="s">
        <v>224</v>
      </c>
      <c r="G32" s="168" t="s">
        <v>454</v>
      </c>
      <c r="H32" s="108">
        <v>41166</v>
      </c>
      <c r="I32" s="168" t="s">
        <v>455</v>
      </c>
    </row>
    <row r="33" spans="1:9" x14ac:dyDescent="0.2">
      <c r="A33" s="122">
        <v>7</v>
      </c>
      <c r="B33" s="123">
        <v>158</v>
      </c>
      <c r="C33" s="124" t="s">
        <v>226</v>
      </c>
      <c r="D33" s="125" t="s">
        <v>224</v>
      </c>
      <c r="G33" s="169" t="s">
        <v>448</v>
      </c>
      <c r="H33" s="108">
        <v>41178</v>
      </c>
      <c r="I33" s="168" t="s">
        <v>449</v>
      </c>
    </row>
    <row r="34" spans="1:9" x14ac:dyDescent="0.2">
      <c r="A34" s="122">
        <v>8</v>
      </c>
      <c r="B34" s="123">
        <v>159</v>
      </c>
      <c r="C34" s="124" t="s">
        <v>226</v>
      </c>
      <c r="D34" s="125" t="s">
        <v>224</v>
      </c>
      <c r="G34" s="109" t="s">
        <v>517</v>
      </c>
      <c r="H34" s="108">
        <v>41758</v>
      </c>
      <c r="I34" s="40" t="s">
        <v>518</v>
      </c>
    </row>
    <row r="35" spans="1:9" x14ac:dyDescent="0.2">
      <c r="A35" s="122">
        <v>9</v>
      </c>
      <c r="B35" s="123">
        <v>1111</v>
      </c>
      <c r="C35" s="124" t="s">
        <v>226</v>
      </c>
      <c r="D35" s="125" t="s">
        <v>224</v>
      </c>
      <c r="G35" s="40" t="s">
        <v>515</v>
      </c>
      <c r="H35" s="108">
        <v>41758</v>
      </c>
      <c r="I35" s="109" t="s">
        <v>516</v>
      </c>
    </row>
    <row r="36" spans="1:9" x14ac:dyDescent="0.2">
      <c r="A36" s="122">
        <v>10</v>
      </c>
      <c r="B36" s="123">
        <v>1104</v>
      </c>
      <c r="C36" s="124" t="s">
        <v>226</v>
      </c>
      <c r="D36" s="125" t="s">
        <v>224</v>
      </c>
      <c r="G36" s="40" t="s">
        <v>515</v>
      </c>
      <c r="H36" s="108">
        <v>41944</v>
      </c>
      <c r="I36" s="109" t="s">
        <v>568</v>
      </c>
    </row>
    <row r="37" spans="1:9" x14ac:dyDescent="0.2">
      <c r="A37" s="122">
        <v>11</v>
      </c>
      <c r="B37" s="123">
        <v>1112</v>
      </c>
      <c r="C37" s="124" t="s">
        <v>226</v>
      </c>
      <c r="D37" s="125" t="s">
        <v>224</v>
      </c>
      <c r="G37" s="40" t="s">
        <v>595</v>
      </c>
      <c r="H37" s="108">
        <v>42081</v>
      </c>
      <c r="I37" s="40" t="s">
        <v>596</v>
      </c>
    </row>
    <row r="38" spans="1:9" x14ac:dyDescent="0.2">
      <c r="A38" s="122">
        <v>12</v>
      </c>
      <c r="B38" s="123">
        <v>1116</v>
      </c>
      <c r="C38" s="124" t="s">
        <v>226</v>
      </c>
      <c r="D38" s="125" t="s">
        <v>224</v>
      </c>
      <c r="G38" s="40" t="s">
        <v>597</v>
      </c>
      <c r="H38" s="108">
        <v>42081</v>
      </c>
      <c r="I38" s="40" t="s">
        <v>598</v>
      </c>
    </row>
    <row r="39" spans="1:9" x14ac:dyDescent="0.2">
      <c r="A39" s="122">
        <v>13</v>
      </c>
      <c r="B39" s="123">
        <v>139</v>
      </c>
      <c r="C39" s="124" t="s">
        <v>227</v>
      </c>
      <c r="D39" s="125" t="s">
        <v>462</v>
      </c>
      <c r="G39" s="40" t="s">
        <v>599</v>
      </c>
      <c r="H39" s="108">
        <v>42081</v>
      </c>
      <c r="I39" s="40" t="s">
        <v>624</v>
      </c>
    </row>
    <row r="40" spans="1:9" x14ac:dyDescent="0.2">
      <c r="A40" s="122">
        <v>15</v>
      </c>
      <c r="B40" s="123">
        <v>152</v>
      </c>
      <c r="C40" s="124" t="s">
        <v>227</v>
      </c>
      <c r="D40" s="125" t="s">
        <v>462</v>
      </c>
      <c r="G40" s="109" t="s">
        <v>594</v>
      </c>
      <c r="H40" s="108">
        <v>42081</v>
      </c>
      <c r="I40" s="109" t="s">
        <v>623</v>
      </c>
    </row>
    <row r="41" spans="1:9" x14ac:dyDescent="0.2">
      <c r="A41" s="122">
        <v>16</v>
      </c>
      <c r="B41" s="123">
        <v>113</v>
      </c>
      <c r="C41" s="124" t="s">
        <v>228</v>
      </c>
      <c r="D41" s="125" t="s">
        <v>463</v>
      </c>
      <c r="G41" s="40" t="s">
        <v>600</v>
      </c>
      <c r="H41" s="108">
        <v>42081</v>
      </c>
      <c r="I41" s="109" t="s">
        <v>601</v>
      </c>
    </row>
    <row r="42" spans="1:9" x14ac:dyDescent="0.2">
      <c r="A42" s="122">
        <v>17</v>
      </c>
      <c r="B42" s="123">
        <v>125</v>
      </c>
      <c r="C42" s="124" t="s">
        <v>228</v>
      </c>
      <c r="D42" s="125" t="s">
        <v>463</v>
      </c>
      <c r="G42" s="40" t="s">
        <v>602</v>
      </c>
      <c r="H42" s="108">
        <v>42081</v>
      </c>
      <c r="I42" s="40" t="s">
        <v>603</v>
      </c>
    </row>
    <row r="43" spans="1:9" x14ac:dyDescent="0.2">
      <c r="A43" s="122">
        <v>18</v>
      </c>
      <c r="B43" s="123">
        <v>126</v>
      </c>
      <c r="C43" s="124" t="s">
        <v>228</v>
      </c>
      <c r="D43" s="125" t="s">
        <v>463</v>
      </c>
      <c r="G43" s="40" t="s">
        <v>602</v>
      </c>
      <c r="H43" s="108">
        <v>42081</v>
      </c>
      <c r="I43" s="40" t="s">
        <v>604</v>
      </c>
    </row>
    <row r="44" spans="1:9" x14ac:dyDescent="0.2">
      <c r="A44" s="122">
        <v>19</v>
      </c>
      <c r="B44" s="123">
        <v>127</v>
      </c>
      <c r="C44" s="124" t="s">
        <v>228</v>
      </c>
      <c r="D44" s="125" t="s">
        <v>463</v>
      </c>
      <c r="G44" s="40" t="s">
        <v>605</v>
      </c>
      <c r="H44" s="108">
        <v>42081</v>
      </c>
      <c r="I44" s="40" t="s">
        <v>606</v>
      </c>
    </row>
    <row r="45" spans="1:9" x14ac:dyDescent="0.2">
      <c r="A45" s="122">
        <v>20</v>
      </c>
      <c r="B45" s="123">
        <v>129</v>
      </c>
      <c r="C45" s="124" t="s">
        <v>228</v>
      </c>
      <c r="D45" s="125" t="s">
        <v>463</v>
      </c>
      <c r="G45" s="40" t="s">
        <v>607</v>
      </c>
      <c r="H45" s="108">
        <v>42081</v>
      </c>
      <c r="I45" s="40" t="s">
        <v>608</v>
      </c>
    </row>
    <row r="46" spans="1:9" x14ac:dyDescent="0.2">
      <c r="A46" s="122">
        <v>21</v>
      </c>
      <c r="B46" s="123">
        <v>130</v>
      </c>
      <c r="C46" s="124" t="s">
        <v>228</v>
      </c>
      <c r="D46" s="125" t="s">
        <v>463</v>
      </c>
      <c r="G46" s="40" t="s">
        <v>609</v>
      </c>
      <c r="H46" s="108">
        <v>42081</v>
      </c>
      <c r="I46" s="40" t="s">
        <v>606</v>
      </c>
    </row>
    <row r="47" spans="1:9" x14ac:dyDescent="0.2">
      <c r="A47" s="122">
        <v>22</v>
      </c>
      <c r="B47" s="123">
        <v>131</v>
      </c>
      <c r="C47" s="124" t="s">
        <v>228</v>
      </c>
      <c r="D47" s="125" t="s">
        <v>463</v>
      </c>
      <c r="G47" s="40" t="s">
        <v>609</v>
      </c>
      <c r="H47" s="108">
        <v>42081</v>
      </c>
      <c r="I47" s="40" t="s">
        <v>610</v>
      </c>
    </row>
    <row r="48" spans="1:9" x14ac:dyDescent="0.2">
      <c r="A48" s="122">
        <v>23</v>
      </c>
      <c r="B48" s="123">
        <v>136</v>
      </c>
      <c r="C48" s="124" t="s">
        <v>229</v>
      </c>
      <c r="D48" s="125" t="s">
        <v>464</v>
      </c>
      <c r="G48" s="40" t="s">
        <v>611</v>
      </c>
      <c r="H48" s="108">
        <v>42081</v>
      </c>
      <c r="I48" s="40" t="s">
        <v>608</v>
      </c>
    </row>
    <row r="49" spans="1:9" x14ac:dyDescent="0.2">
      <c r="A49" s="122">
        <v>24</v>
      </c>
      <c r="B49" s="123">
        <v>137</v>
      </c>
      <c r="C49" s="124" t="s">
        <v>229</v>
      </c>
      <c r="D49" s="125" t="s">
        <v>463</v>
      </c>
      <c r="G49" s="40" t="s">
        <v>612</v>
      </c>
      <c r="H49" s="108">
        <v>42081</v>
      </c>
      <c r="I49" s="40" t="s">
        <v>606</v>
      </c>
    </row>
    <row r="50" spans="1:9" x14ac:dyDescent="0.2">
      <c r="A50" s="122">
        <v>25</v>
      </c>
      <c r="B50" s="123">
        <v>138</v>
      </c>
      <c r="C50" s="124" t="s">
        <v>229</v>
      </c>
      <c r="D50" s="125" t="s">
        <v>463</v>
      </c>
      <c r="G50" s="40" t="s">
        <v>613</v>
      </c>
      <c r="H50" s="108">
        <v>42081</v>
      </c>
      <c r="I50" s="40" t="s">
        <v>614</v>
      </c>
    </row>
    <row r="51" spans="1:9" x14ac:dyDescent="0.2">
      <c r="A51" s="122">
        <v>26</v>
      </c>
      <c r="B51" s="123">
        <v>141</v>
      </c>
      <c r="C51" s="124" t="s">
        <v>229</v>
      </c>
      <c r="D51" s="125" t="s">
        <v>224</v>
      </c>
      <c r="G51" s="40" t="s">
        <v>615</v>
      </c>
      <c r="H51" s="108">
        <v>42081</v>
      </c>
      <c r="I51" s="40" t="s">
        <v>616</v>
      </c>
    </row>
    <row r="52" spans="1:9" x14ac:dyDescent="0.2">
      <c r="A52" s="122">
        <v>28</v>
      </c>
      <c r="B52" s="123">
        <v>143</v>
      </c>
      <c r="C52" s="124" t="s">
        <v>229</v>
      </c>
      <c r="D52" s="125" t="s">
        <v>224</v>
      </c>
      <c r="G52" s="40" t="s">
        <v>617</v>
      </c>
      <c r="H52" s="108">
        <v>42081</v>
      </c>
      <c r="I52" s="40" t="s">
        <v>618</v>
      </c>
    </row>
    <row r="53" spans="1:9" x14ac:dyDescent="0.2">
      <c r="A53" s="122">
        <v>29</v>
      </c>
      <c r="B53" s="123">
        <v>144</v>
      </c>
      <c r="C53" s="124" t="s">
        <v>229</v>
      </c>
      <c r="D53" s="125" t="s">
        <v>462</v>
      </c>
      <c r="G53" s="40" t="s">
        <v>617</v>
      </c>
      <c r="H53" s="108">
        <v>42081</v>
      </c>
      <c r="I53" s="40" t="s">
        <v>619</v>
      </c>
    </row>
    <row r="54" spans="1:9" x14ac:dyDescent="0.2">
      <c r="A54" s="122">
        <v>30</v>
      </c>
      <c r="B54" s="123">
        <v>145</v>
      </c>
      <c r="C54" s="124" t="s">
        <v>229</v>
      </c>
      <c r="D54" s="125" t="s">
        <v>224</v>
      </c>
      <c r="G54" s="40" t="s">
        <v>620</v>
      </c>
      <c r="H54" s="108">
        <v>42081</v>
      </c>
      <c r="I54" s="40" t="s">
        <v>621</v>
      </c>
    </row>
    <row r="55" spans="1:9" x14ac:dyDescent="0.2">
      <c r="A55" s="122">
        <v>31</v>
      </c>
      <c r="B55" s="123">
        <v>146</v>
      </c>
      <c r="C55" s="124" t="s">
        <v>229</v>
      </c>
      <c r="D55" s="125" t="s">
        <v>224</v>
      </c>
      <c r="G55" s="40" t="s">
        <v>620</v>
      </c>
      <c r="H55" s="108">
        <v>42081</v>
      </c>
      <c r="I55" s="40" t="s">
        <v>622</v>
      </c>
    </row>
    <row r="56" spans="1:9" x14ac:dyDescent="0.2">
      <c r="A56" s="122">
        <v>32</v>
      </c>
      <c r="B56" s="123">
        <v>147</v>
      </c>
      <c r="C56" s="124" t="s">
        <v>229</v>
      </c>
      <c r="D56" s="125" t="s">
        <v>224</v>
      </c>
      <c r="G56" s="109" t="s">
        <v>625</v>
      </c>
      <c r="H56" s="108">
        <v>42089</v>
      </c>
      <c r="I56" s="109" t="s">
        <v>626</v>
      </c>
    </row>
    <row r="57" spans="1:9" x14ac:dyDescent="0.2">
      <c r="A57" s="122">
        <v>33</v>
      </c>
      <c r="B57" s="123">
        <v>228</v>
      </c>
      <c r="C57" s="124" t="s">
        <v>229</v>
      </c>
      <c r="D57" s="125" t="s">
        <v>464</v>
      </c>
      <c r="G57" s="109" t="s">
        <v>607</v>
      </c>
      <c r="H57" s="108">
        <v>42166</v>
      </c>
      <c r="I57" s="109" t="s">
        <v>606</v>
      </c>
    </row>
    <row r="58" spans="1:9" x14ac:dyDescent="0.2">
      <c r="A58" s="122">
        <v>34</v>
      </c>
      <c r="B58" s="123">
        <v>149</v>
      </c>
      <c r="C58" s="124" t="s">
        <v>229</v>
      </c>
      <c r="D58" s="125" t="s">
        <v>464</v>
      </c>
      <c r="G58" s="109" t="s">
        <v>611</v>
      </c>
      <c r="H58" s="108">
        <v>42166</v>
      </c>
      <c r="I58" s="109" t="s">
        <v>606</v>
      </c>
    </row>
    <row r="59" spans="1:9" x14ac:dyDescent="0.2">
      <c r="A59" s="122">
        <v>35</v>
      </c>
      <c r="B59" s="123">
        <v>150</v>
      </c>
      <c r="C59" s="124" t="s">
        <v>229</v>
      </c>
      <c r="D59" s="125" t="s">
        <v>224</v>
      </c>
      <c r="G59" s="109" t="s">
        <v>653</v>
      </c>
      <c r="H59" s="108">
        <v>42166</v>
      </c>
      <c r="I59" s="109" t="s">
        <v>276</v>
      </c>
    </row>
    <row r="60" spans="1:9" x14ac:dyDescent="0.2">
      <c r="A60" s="122">
        <v>36</v>
      </c>
      <c r="B60" s="123">
        <v>151</v>
      </c>
      <c r="C60" s="124" t="s">
        <v>229</v>
      </c>
      <c r="D60" s="125" t="s">
        <v>463</v>
      </c>
      <c r="G60" s="109" t="s">
        <v>654</v>
      </c>
      <c r="H60" s="108">
        <v>42166</v>
      </c>
      <c r="I60" s="109" t="s">
        <v>262</v>
      </c>
    </row>
    <row r="61" spans="1:9" x14ac:dyDescent="0.2">
      <c r="A61" s="122">
        <v>37</v>
      </c>
      <c r="B61" s="123">
        <v>153</v>
      </c>
      <c r="C61" s="124" t="s">
        <v>229</v>
      </c>
      <c r="D61" s="125" t="s">
        <v>463</v>
      </c>
      <c r="G61" s="109" t="s">
        <v>655</v>
      </c>
      <c r="H61" s="108">
        <v>42166</v>
      </c>
      <c r="I61" s="109" t="s">
        <v>360</v>
      </c>
    </row>
    <row r="62" spans="1:9" x14ac:dyDescent="0.2">
      <c r="A62" s="122">
        <v>38</v>
      </c>
      <c r="B62" s="123">
        <v>154</v>
      </c>
      <c r="C62" s="124" t="s">
        <v>229</v>
      </c>
      <c r="D62" s="125" t="s">
        <v>224</v>
      </c>
      <c r="G62" s="109" t="s">
        <v>656</v>
      </c>
      <c r="H62" s="108">
        <v>42166</v>
      </c>
      <c r="I62" s="109" t="s">
        <v>359</v>
      </c>
    </row>
    <row r="63" spans="1:9" x14ac:dyDescent="0.2">
      <c r="A63" s="122">
        <v>39</v>
      </c>
      <c r="B63" s="123">
        <v>155</v>
      </c>
      <c r="C63" s="124" t="s">
        <v>229</v>
      </c>
      <c r="D63" s="125" t="s">
        <v>224</v>
      </c>
      <c r="G63" s="109" t="s">
        <v>657</v>
      </c>
      <c r="H63" s="108">
        <v>42166</v>
      </c>
      <c r="I63" s="109" t="s">
        <v>658</v>
      </c>
    </row>
    <row r="64" spans="1:9" x14ac:dyDescent="0.2">
      <c r="A64" s="122">
        <v>40</v>
      </c>
      <c r="B64" s="123">
        <v>157</v>
      </c>
      <c r="C64" s="124" t="s">
        <v>228</v>
      </c>
      <c r="D64" s="125" t="s">
        <v>463</v>
      </c>
      <c r="G64" s="109" t="s">
        <v>659</v>
      </c>
      <c r="H64" s="108">
        <v>42166</v>
      </c>
      <c r="I64" s="109" t="s">
        <v>660</v>
      </c>
    </row>
    <row r="65" spans="1:9" x14ac:dyDescent="0.2">
      <c r="A65" s="122">
        <v>41</v>
      </c>
      <c r="B65" s="123">
        <v>171</v>
      </c>
      <c r="C65" s="124" t="s">
        <v>230</v>
      </c>
      <c r="D65" s="125" t="s">
        <v>463</v>
      </c>
      <c r="G65" s="109" t="s">
        <v>661</v>
      </c>
      <c r="H65" s="108">
        <v>42166</v>
      </c>
      <c r="I65" s="109" t="s">
        <v>662</v>
      </c>
    </row>
    <row r="66" spans="1:9" x14ac:dyDescent="0.2">
      <c r="A66" s="122">
        <v>42</v>
      </c>
      <c r="B66" s="123">
        <v>173</v>
      </c>
      <c r="C66" s="124" t="s">
        <v>231</v>
      </c>
      <c r="D66" s="125" t="s">
        <v>463</v>
      </c>
      <c r="G66" s="109" t="s">
        <v>663</v>
      </c>
      <c r="H66" s="108">
        <v>42166</v>
      </c>
      <c r="I66" s="109" t="s">
        <v>664</v>
      </c>
    </row>
    <row r="67" spans="1:9" x14ac:dyDescent="0.2">
      <c r="A67" s="122">
        <v>43</v>
      </c>
      <c r="B67" s="123">
        <v>174</v>
      </c>
      <c r="C67" s="124" t="s">
        <v>231</v>
      </c>
      <c r="D67" s="125" t="s">
        <v>463</v>
      </c>
      <c r="G67" s="109" t="s">
        <v>665</v>
      </c>
      <c r="H67" s="108">
        <v>42166</v>
      </c>
      <c r="I67" s="109" t="s">
        <v>666</v>
      </c>
    </row>
    <row r="68" spans="1:9" x14ac:dyDescent="0.2">
      <c r="A68" s="122">
        <v>44</v>
      </c>
      <c r="B68" s="123">
        <v>185</v>
      </c>
      <c r="C68" s="124" t="s">
        <v>230</v>
      </c>
      <c r="D68" s="125" t="s">
        <v>463</v>
      </c>
      <c r="G68" s="109" t="s">
        <v>667</v>
      </c>
      <c r="H68" s="108">
        <v>42166</v>
      </c>
      <c r="I68" s="109" t="s">
        <v>668</v>
      </c>
    </row>
    <row r="69" spans="1:9" x14ac:dyDescent="0.2">
      <c r="A69" s="122">
        <v>45</v>
      </c>
      <c r="B69" s="123">
        <v>19</v>
      </c>
      <c r="C69" s="124" t="s">
        <v>232</v>
      </c>
      <c r="D69" s="125" t="s">
        <v>224</v>
      </c>
      <c r="G69" s="109" t="s">
        <v>669</v>
      </c>
      <c r="H69" s="108">
        <v>42166</v>
      </c>
      <c r="I69" s="109" t="s">
        <v>670</v>
      </c>
    </row>
    <row r="70" spans="1:9" x14ac:dyDescent="0.2">
      <c r="A70" s="122">
        <v>46</v>
      </c>
      <c r="B70" s="123">
        <v>78</v>
      </c>
      <c r="C70" s="124" t="s">
        <v>233</v>
      </c>
      <c r="D70" s="125" t="s">
        <v>224</v>
      </c>
      <c r="G70" s="109" t="s">
        <v>671</v>
      </c>
      <c r="H70" s="108">
        <v>42166</v>
      </c>
      <c r="I70" s="109" t="s">
        <v>672</v>
      </c>
    </row>
    <row r="71" spans="1:9" x14ac:dyDescent="0.2">
      <c r="A71" s="122">
        <v>47</v>
      </c>
      <c r="B71" s="123">
        <v>15</v>
      </c>
      <c r="C71" s="124" t="s">
        <v>234</v>
      </c>
      <c r="D71" s="125" t="s">
        <v>224</v>
      </c>
      <c r="G71" s="109" t="s">
        <v>671</v>
      </c>
      <c r="H71" s="108">
        <v>42166</v>
      </c>
      <c r="I71" s="109" t="s">
        <v>673</v>
      </c>
    </row>
    <row r="72" spans="1:9" x14ac:dyDescent="0.2">
      <c r="A72" s="122">
        <v>48</v>
      </c>
      <c r="B72" s="123">
        <v>79</v>
      </c>
      <c r="C72" s="124" t="s">
        <v>235</v>
      </c>
      <c r="D72" s="125" t="s">
        <v>462</v>
      </c>
      <c r="G72" s="109" t="s">
        <v>674</v>
      </c>
      <c r="H72" s="108">
        <v>42166</v>
      </c>
      <c r="I72" s="109" t="s">
        <v>675</v>
      </c>
    </row>
    <row r="73" spans="1:9" x14ac:dyDescent="0.2">
      <c r="A73" s="122">
        <v>49</v>
      </c>
      <c r="B73" s="123">
        <v>128</v>
      </c>
      <c r="C73" s="124" t="s">
        <v>228</v>
      </c>
      <c r="D73" s="125" t="s">
        <v>224</v>
      </c>
      <c r="G73" s="109" t="s">
        <v>674</v>
      </c>
      <c r="H73" s="108">
        <v>42166</v>
      </c>
      <c r="I73" s="109" t="s">
        <v>676</v>
      </c>
    </row>
    <row r="74" spans="1:9" x14ac:dyDescent="0.2">
      <c r="A74" s="122">
        <v>50</v>
      </c>
      <c r="B74" s="123">
        <v>14</v>
      </c>
      <c r="C74" s="124" t="s">
        <v>236</v>
      </c>
      <c r="D74" s="125" t="s">
        <v>224</v>
      </c>
      <c r="G74" s="109" t="s">
        <v>677</v>
      </c>
      <c r="H74" s="108">
        <v>42166</v>
      </c>
      <c r="I74" s="109" t="s">
        <v>678</v>
      </c>
    </row>
    <row r="75" spans="1:9" x14ac:dyDescent="0.2">
      <c r="A75" s="122">
        <v>51</v>
      </c>
      <c r="B75" s="123">
        <v>112</v>
      </c>
      <c r="C75" s="124" t="s">
        <v>237</v>
      </c>
      <c r="D75" s="125">
        <v>1</v>
      </c>
      <c r="G75" s="109" t="s">
        <v>679</v>
      </c>
      <c r="H75" s="108">
        <v>42166</v>
      </c>
      <c r="I75" s="109" t="s">
        <v>680</v>
      </c>
    </row>
    <row r="76" spans="1:9" x14ac:dyDescent="0.2">
      <c r="A76" s="122">
        <v>51</v>
      </c>
      <c r="B76" s="123">
        <v>120</v>
      </c>
      <c r="C76" s="124" t="s">
        <v>237</v>
      </c>
      <c r="D76" s="125">
        <v>2</v>
      </c>
      <c r="G76" s="109" t="s">
        <v>681</v>
      </c>
      <c r="H76" s="108">
        <v>42166</v>
      </c>
      <c r="I76" s="109" t="s">
        <v>682</v>
      </c>
    </row>
    <row r="77" spans="1:9" x14ac:dyDescent="0.2">
      <c r="A77" s="122">
        <v>52</v>
      </c>
      <c r="B77" s="123">
        <v>114</v>
      </c>
      <c r="C77" s="124" t="s">
        <v>238</v>
      </c>
      <c r="D77" s="125" t="s">
        <v>462</v>
      </c>
      <c r="G77" s="109" t="s">
        <v>683</v>
      </c>
      <c r="H77" s="108">
        <v>42166</v>
      </c>
      <c r="I77" s="109" t="s">
        <v>684</v>
      </c>
    </row>
    <row r="78" spans="1:9" x14ac:dyDescent="0.2">
      <c r="A78" s="122">
        <v>53</v>
      </c>
      <c r="B78" s="123">
        <v>115</v>
      </c>
      <c r="C78" s="124" t="s">
        <v>238</v>
      </c>
      <c r="D78" s="125" t="s">
        <v>462</v>
      </c>
      <c r="G78" s="109" t="s">
        <v>685</v>
      </c>
      <c r="H78" s="108">
        <v>42166</v>
      </c>
      <c r="I78" s="109" t="s">
        <v>686</v>
      </c>
    </row>
    <row r="79" spans="1:9" x14ac:dyDescent="0.2">
      <c r="A79" s="122">
        <v>55</v>
      </c>
      <c r="B79" s="123">
        <v>117</v>
      </c>
      <c r="C79" s="124" t="s">
        <v>238</v>
      </c>
      <c r="D79" s="125" t="s">
        <v>462</v>
      </c>
      <c r="G79" s="109" t="s">
        <v>687</v>
      </c>
      <c r="H79" s="108">
        <v>42166</v>
      </c>
      <c r="I79" s="109" t="s">
        <v>688</v>
      </c>
    </row>
    <row r="80" spans="1:9" x14ac:dyDescent="0.2">
      <c r="A80" s="122">
        <v>56</v>
      </c>
      <c r="B80" s="123">
        <v>118</v>
      </c>
      <c r="C80" s="124" t="s">
        <v>238</v>
      </c>
      <c r="D80" s="125" t="s">
        <v>462</v>
      </c>
      <c r="G80" s="109" t="s">
        <v>689</v>
      </c>
      <c r="H80" s="108">
        <v>42166</v>
      </c>
      <c r="I80" s="109" t="s">
        <v>690</v>
      </c>
    </row>
    <row r="81" spans="1:9" x14ac:dyDescent="0.2">
      <c r="A81" s="122">
        <v>57</v>
      </c>
      <c r="B81" s="123">
        <v>119</v>
      </c>
      <c r="C81" s="124" t="s">
        <v>238</v>
      </c>
      <c r="D81" s="125" t="s">
        <v>224</v>
      </c>
      <c r="G81" s="109" t="s">
        <v>691</v>
      </c>
      <c r="H81" s="108">
        <v>42166</v>
      </c>
      <c r="I81" s="109" t="s">
        <v>692</v>
      </c>
    </row>
    <row r="82" spans="1:9" x14ac:dyDescent="0.2">
      <c r="A82" s="122">
        <v>58</v>
      </c>
      <c r="B82" s="123">
        <v>21</v>
      </c>
      <c r="C82" s="124" t="s">
        <v>276</v>
      </c>
      <c r="D82" s="125">
        <v>1</v>
      </c>
      <c r="G82" s="109" t="s">
        <v>691</v>
      </c>
      <c r="H82" s="108">
        <v>42166</v>
      </c>
      <c r="I82" s="109" t="s">
        <v>693</v>
      </c>
    </row>
    <row r="83" spans="1:9" x14ac:dyDescent="0.2">
      <c r="A83" s="122">
        <v>58</v>
      </c>
      <c r="B83" s="123">
        <v>175</v>
      </c>
      <c r="C83" s="124" t="s">
        <v>276</v>
      </c>
      <c r="D83" s="125">
        <v>1</v>
      </c>
      <c r="G83" s="109" t="s">
        <v>694</v>
      </c>
      <c r="H83" s="108">
        <v>42166</v>
      </c>
      <c r="I83" s="109" t="s">
        <v>695</v>
      </c>
    </row>
    <row r="84" spans="1:9" x14ac:dyDescent="0.2">
      <c r="A84" s="122">
        <v>59</v>
      </c>
      <c r="B84" s="123">
        <v>121</v>
      </c>
      <c r="C84" s="124" t="s">
        <v>238</v>
      </c>
      <c r="D84" s="125" t="s">
        <v>462</v>
      </c>
    </row>
    <row r="85" spans="1:9" x14ac:dyDescent="0.2">
      <c r="A85" s="122">
        <v>60</v>
      </c>
      <c r="B85" s="123">
        <v>122</v>
      </c>
      <c r="C85" s="124" t="s">
        <v>238</v>
      </c>
      <c r="D85" s="125" t="s">
        <v>224</v>
      </c>
    </row>
    <row r="86" spans="1:9" x14ac:dyDescent="0.2">
      <c r="A86" s="122">
        <v>62</v>
      </c>
      <c r="B86" s="123">
        <v>1119</v>
      </c>
      <c r="C86" s="124" t="s">
        <v>239</v>
      </c>
      <c r="D86" s="125" t="s">
        <v>465</v>
      </c>
    </row>
    <row r="87" spans="1:9" x14ac:dyDescent="0.2">
      <c r="A87" s="122">
        <v>63</v>
      </c>
      <c r="B87" s="123">
        <v>172</v>
      </c>
      <c r="C87" s="124" t="s">
        <v>231</v>
      </c>
      <c r="D87" s="125" t="s">
        <v>462</v>
      </c>
    </row>
    <row r="88" spans="1:9" x14ac:dyDescent="0.2">
      <c r="A88" s="122">
        <v>64</v>
      </c>
      <c r="B88" s="123">
        <v>1105</v>
      </c>
      <c r="C88" s="124" t="s">
        <v>238</v>
      </c>
      <c r="D88" s="125" t="s">
        <v>224</v>
      </c>
    </row>
    <row r="89" spans="1:9" x14ac:dyDescent="0.2">
      <c r="A89" s="122">
        <v>65</v>
      </c>
      <c r="B89" s="123">
        <v>10</v>
      </c>
      <c r="C89" s="124" t="s">
        <v>240</v>
      </c>
      <c r="D89" s="125" t="s">
        <v>224</v>
      </c>
    </row>
    <row r="90" spans="1:9" x14ac:dyDescent="0.2">
      <c r="A90" s="122">
        <v>66</v>
      </c>
      <c r="B90" s="123">
        <v>1106</v>
      </c>
      <c r="C90" s="124" t="s">
        <v>240</v>
      </c>
      <c r="D90" s="125" t="s">
        <v>224</v>
      </c>
    </row>
    <row r="91" spans="1:9" x14ac:dyDescent="0.2">
      <c r="A91" s="122">
        <v>67</v>
      </c>
      <c r="B91" s="123">
        <v>102</v>
      </c>
      <c r="C91" s="124" t="s">
        <v>241</v>
      </c>
      <c r="D91" s="125" t="s">
        <v>463</v>
      </c>
    </row>
    <row r="92" spans="1:9" x14ac:dyDescent="0.2">
      <c r="A92" s="122">
        <v>71</v>
      </c>
      <c r="B92" s="123">
        <v>109</v>
      </c>
      <c r="C92" s="124" t="s">
        <v>241</v>
      </c>
      <c r="D92" s="125" t="s">
        <v>224</v>
      </c>
    </row>
    <row r="93" spans="1:9" x14ac:dyDescent="0.2">
      <c r="A93" s="122">
        <v>72</v>
      </c>
      <c r="B93" s="123">
        <v>111</v>
      </c>
      <c r="C93" s="124" t="s">
        <v>241</v>
      </c>
      <c r="D93" s="125" t="s">
        <v>224</v>
      </c>
    </row>
    <row r="94" spans="1:9" x14ac:dyDescent="0.2">
      <c r="A94" s="122">
        <v>73</v>
      </c>
      <c r="B94" s="123">
        <v>156</v>
      </c>
      <c r="C94" s="124" t="s">
        <v>241</v>
      </c>
      <c r="D94" s="125" t="s">
        <v>463</v>
      </c>
    </row>
    <row r="95" spans="1:9" x14ac:dyDescent="0.2">
      <c r="A95" s="122">
        <v>74</v>
      </c>
      <c r="B95" s="123">
        <v>17</v>
      </c>
      <c r="C95" s="124" t="s">
        <v>242</v>
      </c>
      <c r="D95" s="125" t="s">
        <v>224</v>
      </c>
    </row>
    <row r="96" spans="1:9" x14ac:dyDescent="0.2">
      <c r="A96" s="122">
        <v>75</v>
      </c>
      <c r="B96" s="123">
        <v>62</v>
      </c>
      <c r="C96" s="124" t="s">
        <v>243</v>
      </c>
      <c r="D96" s="125" t="s">
        <v>224</v>
      </c>
    </row>
    <row r="97" spans="1:4" x14ac:dyDescent="0.2">
      <c r="A97" s="122">
        <v>76</v>
      </c>
      <c r="B97" s="123">
        <v>63</v>
      </c>
      <c r="C97" s="124" t="s">
        <v>243</v>
      </c>
      <c r="D97" s="125" t="s">
        <v>224</v>
      </c>
    </row>
    <row r="98" spans="1:4" x14ac:dyDescent="0.2">
      <c r="A98" s="122">
        <v>77</v>
      </c>
      <c r="B98" s="123">
        <v>134</v>
      </c>
      <c r="C98" s="124" t="s">
        <v>243</v>
      </c>
      <c r="D98" s="125" t="s">
        <v>224</v>
      </c>
    </row>
    <row r="99" spans="1:4" x14ac:dyDescent="0.2">
      <c r="A99" s="122">
        <v>78</v>
      </c>
      <c r="B99" s="123">
        <v>13</v>
      </c>
      <c r="C99" s="124" t="s">
        <v>244</v>
      </c>
      <c r="D99" s="125" t="s">
        <v>224</v>
      </c>
    </row>
    <row r="100" spans="1:4" x14ac:dyDescent="0.2">
      <c r="A100" s="122">
        <v>79</v>
      </c>
      <c r="B100" s="123">
        <v>97</v>
      </c>
      <c r="C100" s="124" t="s">
        <v>245</v>
      </c>
      <c r="D100" s="125">
        <v>2</v>
      </c>
    </row>
    <row r="101" spans="1:4" x14ac:dyDescent="0.2">
      <c r="A101" s="122">
        <v>79</v>
      </c>
      <c r="B101" s="123">
        <v>164</v>
      </c>
      <c r="C101" s="124" t="s">
        <v>245</v>
      </c>
      <c r="D101" s="125">
        <v>1</v>
      </c>
    </row>
    <row r="102" spans="1:4" x14ac:dyDescent="0.2">
      <c r="A102" s="122">
        <v>80</v>
      </c>
      <c r="B102" s="123">
        <v>96</v>
      </c>
      <c r="C102" s="124" t="s">
        <v>246</v>
      </c>
      <c r="D102" s="125" t="s">
        <v>224</v>
      </c>
    </row>
    <row r="103" spans="1:4" x14ac:dyDescent="0.2">
      <c r="A103" s="122">
        <v>81</v>
      </c>
      <c r="B103" s="123">
        <v>60</v>
      </c>
      <c r="C103" s="124" t="s">
        <v>247</v>
      </c>
      <c r="D103" s="125" t="s">
        <v>224</v>
      </c>
    </row>
    <row r="104" spans="1:4" x14ac:dyDescent="0.2">
      <c r="A104" s="122">
        <v>82</v>
      </c>
      <c r="B104" s="123">
        <v>83</v>
      </c>
      <c r="C104" s="124" t="s">
        <v>248</v>
      </c>
      <c r="D104" s="125" t="s">
        <v>224</v>
      </c>
    </row>
    <row r="105" spans="1:4" x14ac:dyDescent="0.2">
      <c r="A105" s="122">
        <v>83</v>
      </c>
      <c r="B105" s="123">
        <v>84</v>
      </c>
      <c r="C105" s="124" t="s">
        <v>248</v>
      </c>
      <c r="D105" s="125" t="s">
        <v>224</v>
      </c>
    </row>
    <row r="106" spans="1:4" x14ac:dyDescent="0.2">
      <c r="A106" s="122">
        <v>84</v>
      </c>
      <c r="B106" s="123">
        <v>85</v>
      </c>
      <c r="C106" s="124" t="s">
        <v>248</v>
      </c>
      <c r="D106" s="125" t="s">
        <v>224</v>
      </c>
    </row>
    <row r="107" spans="1:4" x14ac:dyDescent="0.2">
      <c r="A107" s="122">
        <v>85</v>
      </c>
      <c r="B107" s="123">
        <v>86</v>
      </c>
      <c r="C107" s="124" t="s">
        <v>248</v>
      </c>
      <c r="D107" s="125" t="s">
        <v>224</v>
      </c>
    </row>
    <row r="108" spans="1:4" x14ac:dyDescent="0.2">
      <c r="A108" s="122">
        <v>86</v>
      </c>
      <c r="B108" s="123">
        <v>1107</v>
      </c>
      <c r="C108" s="124" t="s">
        <v>248</v>
      </c>
      <c r="D108" s="125" t="s">
        <v>224</v>
      </c>
    </row>
    <row r="109" spans="1:4" x14ac:dyDescent="0.2">
      <c r="A109" s="122">
        <v>87</v>
      </c>
      <c r="B109" s="123">
        <v>1109</v>
      </c>
      <c r="C109" s="124" t="s">
        <v>248</v>
      </c>
      <c r="D109" s="125" t="s">
        <v>224</v>
      </c>
    </row>
    <row r="110" spans="1:4" x14ac:dyDescent="0.2">
      <c r="A110" s="122">
        <v>88</v>
      </c>
      <c r="B110" s="123">
        <v>1113</v>
      </c>
      <c r="C110" s="124" t="s">
        <v>248</v>
      </c>
      <c r="D110" s="125" t="s">
        <v>224</v>
      </c>
    </row>
    <row r="111" spans="1:4" x14ac:dyDescent="0.2">
      <c r="A111" s="122">
        <v>91</v>
      </c>
      <c r="B111" s="123">
        <v>3</v>
      </c>
      <c r="C111" s="124" t="s">
        <v>249</v>
      </c>
      <c r="D111" s="125" t="s">
        <v>224</v>
      </c>
    </row>
    <row r="112" spans="1:4" x14ac:dyDescent="0.2">
      <c r="A112" s="122">
        <v>92</v>
      </c>
      <c r="B112" s="123">
        <v>4</v>
      </c>
      <c r="C112" s="124" t="s">
        <v>249</v>
      </c>
      <c r="D112" s="125" t="s">
        <v>224</v>
      </c>
    </row>
    <row r="113" spans="1:4" x14ac:dyDescent="0.2">
      <c r="A113" s="122">
        <v>93</v>
      </c>
      <c r="B113" s="123">
        <v>30</v>
      </c>
      <c r="C113" s="124" t="s">
        <v>250</v>
      </c>
      <c r="D113" s="125">
        <v>1</v>
      </c>
    </row>
    <row r="114" spans="1:4" x14ac:dyDescent="0.2">
      <c r="A114" s="122">
        <v>93</v>
      </c>
      <c r="B114" s="123">
        <v>214</v>
      </c>
      <c r="C114" s="124" t="s">
        <v>250</v>
      </c>
      <c r="D114" s="125">
        <v>2</v>
      </c>
    </row>
    <row r="115" spans="1:4" x14ac:dyDescent="0.2">
      <c r="A115" s="122">
        <v>94</v>
      </c>
      <c r="B115" s="123">
        <v>1108</v>
      </c>
      <c r="C115" s="124" t="s">
        <v>249</v>
      </c>
      <c r="D115" s="125" t="s">
        <v>224</v>
      </c>
    </row>
    <row r="116" spans="1:4" x14ac:dyDescent="0.2">
      <c r="A116" s="122">
        <v>95</v>
      </c>
      <c r="B116" s="123">
        <v>1110</v>
      </c>
      <c r="C116" s="124" t="s">
        <v>249</v>
      </c>
      <c r="D116" s="125" t="s">
        <v>224</v>
      </c>
    </row>
    <row r="117" spans="1:4" x14ac:dyDescent="0.2">
      <c r="A117" s="122">
        <v>96</v>
      </c>
      <c r="B117" s="123">
        <v>1114</v>
      </c>
      <c r="C117" s="124" t="s">
        <v>249</v>
      </c>
      <c r="D117" s="125" t="s">
        <v>224</v>
      </c>
    </row>
    <row r="118" spans="1:4" x14ac:dyDescent="0.2">
      <c r="A118" s="122">
        <v>97</v>
      </c>
      <c r="B118" s="123">
        <v>54</v>
      </c>
      <c r="C118" s="124" t="s">
        <v>251</v>
      </c>
      <c r="D118" s="125" t="s">
        <v>224</v>
      </c>
    </row>
    <row r="119" spans="1:4" x14ac:dyDescent="0.2">
      <c r="A119" s="122">
        <v>98</v>
      </c>
      <c r="B119" s="123">
        <v>12</v>
      </c>
      <c r="C119" s="124" t="s">
        <v>252</v>
      </c>
      <c r="D119" s="125" t="s">
        <v>224</v>
      </c>
    </row>
    <row r="120" spans="1:4" x14ac:dyDescent="0.2">
      <c r="A120" s="122">
        <v>99</v>
      </c>
      <c r="B120" s="123">
        <v>75</v>
      </c>
      <c r="C120" s="124" t="s">
        <v>253</v>
      </c>
      <c r="D120" s="125" t="s">
        <v>462</v>
      </c>
    </row>
    <row r="121" spans="1:4" x14ac:dyDescent="0.2">
      <c r="A121" s="122">
        <v>100</v>
      </c>
      <c r="B121" s="123">
        <v>76</v>
      </c>
      <c r="C121" s="124" t="s">
        <v>253</v>
      </c>
      <c r="D121" s="125" t="s">
        <v>462</v>
      </c>
    </row>
    <row r="122" spans="1:4" x14ac:dyDescent="0.2">
      <c r="A122" s="122">
        <v>101</v>
      </c>
      <c r="B122" s="123">
        <v>7</v>
      </c>
      <c r="C122" s="124" t="s">
        <v>254</v>
      </c>
      <c r="D122" s="125" t="s">
        <v>224</v>
      </c>
    </row>
    <row r="123" spans="1:4" x14ac:dyDescent="0.2">
      <c r="A123" s="122">
        <v>102</v>
      </c>
      <c r="B123" s="123">
        <v>8</v>
      </c>
      <c r="C123" s="124" t="s">
        <v>254</v>
      </c>
      <c r="D123" s="125" t="s">
        <v>224</v>
      </c>
    </row>
    <row r="124" spans="1:4" x14ac:dyDescent="0.2">
      <c r="A124" s="122">
        <v>103</v>
      </c>
      <c r="B124" s="123">
        <v>9</v>
      </c>
      <c r="C124" s="124" t="s">
        <v>254</v>
      </c>
      <c r="D124" s="125" t="s">
        <v>224</v>
      </c>
    </row>
    <row r="125" spans="1:4" x14ac:dyDescent="0.2">
      <c r="A125" s="122">
        <v>104</v>
      </c>
      <c r="B125" s="123">
        <v>61</v>
      </c>
      <c r="C125" s="124" t="s">
        <v>255</v>
      </c>
      <c r="D125" s="125" t="s">
        <v>463</v>
      </c>
    </row>
    <row r="126" spans="1:4" x14ac:dyDescent="0.2">
      <c r="A126" s="122">
        <v>105</v>
      </c>
      <c r="B126" s="123">
        <v>65</v>
      </c>
      <c r="C126" s="124" t="s">
        <v>255</v>
      </c>
      <c r="D126" s="125" t="s">
        <v>224</v>
      </c>
    </row>
    <row r="127" spans="1:4" x14ac:dyDescent="0.2">
      <c r="A127" s="122">
        <v>106</v>
      </c>
      <c r="B127" s="123">
        <v>66</v>
      </c>
      <c r="C127" s="124" t="s">
        <v>255</v>
      </c>
      <c r="D127" s="125" t="s">
        <v>463</v>
      </c>
    </row>
    <row r="128" spans="1:4" x14ac:dyDescent="0.2">
      <c r="A128" s="122">
        <v>107</v>
      </c>
      <c r="B128" s="123">
        <v>67</v>
      </c>
      <c r="C128" s="124" t="s">
        <v>255</v>
      </c>
      <c r="D128" s="125" t="s">
        <v>463</v>
      </c>
    </row>
    <row r="129" spans="1:4" x14ac:dyDescent="0.2">
      <c r="A129" s="122">
        <v>108</v>
      </c>
      <c r="B129" s="123">
        <v>68</v>
      </c>
      <c r="C129" s="124" t="s">
        <v>255</v>
      </c>
      <c r="D129" s="125" t="s">
        <v>463</v>
      </c>
    </row>
    <row r="130" spans="1:4" x14ac:dyDescent="0.2">
      <c r="A130" s="122">
        <v>109</v>
      </c>
      <c r="B130" s="123">
        <v>69</v>
      </c>
      <c r="C130" s="124" t="s">
        <v>255</v>
      </c>
      <c r="D130" s="125" t="s">
        <v>224</v>
      </c>
    </row>
    <row r="131" spans="1:4" x14ac:dyDescent="0.2">
      <c r="A131" s="122">
        <v>110</v>
      </c>
      <c r="B131" s="123">
        <v>1348</v>
      </c>
      <c r="C131" s="124" t="s">
        <v>255</v>
      </c>
      <c r="D131" s="125" t="s">
        <v>224</v>
      </c>
    </row>
    <row r="132" spans="1:4" x14ac:dyDescent="0.2">
      <c r="A132" s="122">
        <v>111</v>
      </c>
      <c r="B132" s="123">
        <v>91</v>
      </c>
      <c r="C132" s="124" t="s">
        <v>256</v>
      </c>
      <c r="D132" s="125" t="s">
        <v>224</v>
      </c>
    </row>
    <row r="133" spans="1:4" x14ac:dyDescent="0.2">
      <c r="A133" s="122">
        <v>112</v>
      </c>
      <c r="B133" s="123">
        <v>22</v>
      </c>
      <c r="C133" s="124" t="s">
        <v>257</v>
      </c>
      <c r="D133" s="125" t="s">
        <v>462</v>
      </c>
    </row>
    <row r="134" spans="1:4" x14ac:dyDescent="0.2">
      <c r="A134" s="122">
        <v>113</v>
      </c>
      <c r="B134" s="123">
        <v>23</v>
      </c>
      <c r="C134" s="124" t="s">
        <v>257</v>
      </c>
      <c r="D134" s="125" t="s">
        <v>462</v>
      </c>
    </row>
    <row r="135" spans="1:4" x14ac:dyDescent="0.2">
      <c r="A135" s="122">
        <v>115</v>
      </c>
      <c r="B135" s="123">
        <v>25</v>
      </c>
      <c r="C135" s="124" t="s">
        <v>257</v>
      </c>
      <c r="D135" s="125" t="s">
        <v>224</v>
      </c>
    </row>
    <row r="136" spans="1:4" x14ac:dyDescent="0.2">
      <c r="A136" s="122">
        <v>116</v>
      </c>
      <c r="B136" s="123">
        <v>26</v>
      </c>
      <c r="C136" s="124" t="s">
        <v>257</v>
      </c>
      <c r="D136" s="125" t="s">
        <v>224</v>
      </c>
    </row>
    <row r="137" spans="1:4" x14ac:dyDescent="0.2">
      <c r="A137" s="122">
        <v>117</v>
      </c>
      <c r="B137" s="123">
        <v>1349</v>
      </c>
      <c r="C137" s="124" t="s">
        <v>257</v>
      </c>
      <c r="D137" s="125" t="s">
        <v>224</v>
      </c>
    </row>
    <row r="138" spans="1:4" x14ac:dyDescent="0.2">
      <c r="A138" s="122">
        <v>118</v>
      </c>
      <c r="B138" s="123">
        <v>6</v>
      </c>
      <c r="C138" s="124" t="s">
        <v>258</v>
      </c>
      <c r="D138" s="125" t="s">
        <v>224</v>
      </c>
    </row>
    <row r="139" spans="1:4" x14ac:dyDescent="0.2">
      <c r="A139" s="122">
        <v>119</v>
      </c>
      <c r="B139" s="123">
        <v>1350</v>
      </c>
      <c r="C139" s="124" t="s">
        <v>258</v>
      </c>
      <c r="D139" s="125" t="s">
        <v>224</v>
      </c>
    </row>
    <row r="140" spans="1:4" x14ac:dyDescent="0.2">
      <c r="A140" s="122">
        <v>120</v>
      </c>
      <c r="B140" s="123">
        <v>11</v>
      </c>
      <c r="C140" s="124" t="s">
        <v>231</v>
      </c>
      <c r="D140" s="125" t="s">
        <v>224</v>
      </c>
    </row>
    <row r="141" spans="1:4" x14ac:dyDescent="0.2">
      <c r="A141" s="122">
        <v>121</v>
      </c>
      <c r="B141" s="123">
        <v>26</v>
      </c>
      <c r="C141" s="124" t="s">
        <v>259</v>
      </c>
      <c r="D141" s="125">
        <v>2</v>
      </c>
    </row>
    <row r="142" spans="1:4" x14ac:dyDescent="0.2">
      <c r="A142" s="122">
        <v>121</v>
      </c>
      <c r="B142" s="123">
        <v>224</v>
      </c>
      <c r="C142" s="124" t="s">
        <v>259</v>
      </c>
      <c r="D142" s="125">
        <v>1</v>
      </c>
    </row>
    <row r="143" spans="1:4" x14ac:dyDescent="0.2">
      <c r="A143" s="122">
        <v>122</v>
      </c>
      <c r="B143" s="123">
        <v>201</v>
      </c>
      <c r="C143" s="124" t="s">
        <v>260</v>
      </c>
      <c r="D143" s="125">
        <v>1</v>
      </c>
    </row>
    <row r="144" spans="1:4" x14ac:dyDescent="0.2">
      <c r="A144" s="122">
        <v>122</v>
      </c>
      <c r="B144" s="123">
        <v>245</v>
      </c>
      <c r="C144" s="124" t="s">
        <v>260</v>
      </c>
      <c r="D144" s="125">
        <v>2</v>
      </c>
    </row>
    <row r="145" spans="1:4" x14ac:dyDescent="0.2">
      <c r="A145" s="122">
        <v>123</v>
      </c>
      <c r="B145" s="123">
        <v>1307</v>
      </c>
      <c r="C145" s="124" t="s">
        <v>261</v>
      </c>
      <c r="D145" s="125">
        <v>1</v>
      </c>
    </row>
    <row r="146" spans="1:4" x14ac:dyDescent="0.2">
      <c r="A146" s="122">
        <v>124</v>
      </c>
      <c r="B146" s="123">
        <v>1319</v>
      </c>
      <c r="C146" s="124" t="s">
        <v>261</v>
      </c>
      <c r="D146" s="125">
        <v>1</v>
      </c>
    </row>
    <row r="147" spans="1:4" x14ac:dyDescent="0.2">
      <c r="A147" s="122">
        <v>125</v>
      </c>
      <c r="B147" s="123">
        <v>1315</v>
      </c>
      <c r="C147" s="124" t="s">
        <v>261</v>
      </c>
      <c r="D147" s="125">
        <v>1</v>
      </c>
    </row>
    <row r="148" spans="1:4" x14ac:dyDescent="0.2">
      <c r="A148" s="122">
        <v>126</v>
      </c>
      <c r="B148" s="123">
        <v>1193</v>
      </c>
      <c r="C148" s="124" t="s">
        <v>262</v>
      </c>
      <c r="D148" s="125">
        <v>1</v>
      </c>
    </row>
    <row r="149" spans="1:4" x14ac:dyDescent="0.2">
      <c r="A149" s="122">
        <v>126</v>
      </c>
      <c r="B149" s="123">
        <v>1194</v>
      </c>
      <c r="C149" s="124" t="s">
        <v>262</v>
      </c>
      <c r="D149" s="125">
        <v>2</v>
      </c>
    </row>
    <row r="150" spans="1:4" x14ac:dyDescent="0.2">
      <c r="A150" s="122">
        <v>127</v>
      </c>
      <c r="B150" s="123">
        <v>80</v>
      </c>
      <c r="C150" s="124" t="s">
        <v>263</v>
      </c>
      <c r="D150" s="125" t="s">
        <v>463</v>
      </c>
    </row>
    <row r="151" spans="1:4" x14ac:dyDescent="0.2">
      <c r="A151" s="122">
        <v>127</v>
      </c>
      <c r="B151" s="123">
        <v>148</v>
      </c>
      <c r="C151" s="124" t="s">
        <v>263</v>
      </c>
      <c r="D151" s="125">
        <v>1</v>
      </c>
    </row>
    <row r="152" spans="1:4" x14ac:dyDescent="0.2">
      <c r="A152" s="122">
        <v>127</v>
      </c>
      <c r="B152" s="123">
        <v>221</v>
      </c>
      <c r="C152" s="124" t="s">
        <v>263</v>
      </c>
      <c r="D152" s="125" t="s">
        <v>465</v>
      </c>
    </row>
    <row r="153" spans="1:4" x14ac:dyDescent="0.2">
      <c r="A153" s="122">
        <v>128</v>
      </c>
      <c r="B153" s="123">
        <v>1120</v>
      </c>
      <c r="C153" s="124" t="s">
        <v>264</v>
      </c>
      <c r="D153" s="125">
        <v>1</v>
      </c>
    </row>
    <row r="154" spans="1:4" x14ac:dyDescent="0.2">
      <c r="A154" s="122">
        <v>128</v>
      </c>
      <c r="B154" s="123">
        <v>1121</v>
      </c>
      <c r="C154" s="124" t="s">
        <v>264</v>
      </c>
      <c r="D154" s="125">
        <v>1</v>
      </c>
    </row>
    <row r="155" spans="1:4" x14ac:dyDescent="0.2">
      <c r="A155" s="122">
        <v>128</v>
      </c>
      <c r="B155" s="123">
        <v>1122</v>
      </c>
      <c r="C155" s="124" t="s">
        <v>264</v>
      </c>
      <c r="D155" s="125">
        <v>2</v>
      </c>
    </row>
    <row r="156" spans="1:4" x14ac:dyDescent="0.2">
      <c r="A156" s="122">
        <v>129</v>
      </c>
      <c r="B156" s="123">
        <v>169</v>
      </c>
      <c r="C156" s="124" t="s">
        <v>263</v>
      </c>
      <c r="D156" s="125">
        <v>1</v>
      </c>
    </row>
    <row r="157" spans="1:4" x14ac:dyDescent="0.2">
      <c r="A157" s="122">
        <v>129</v>
      </c>
      <c r="B157" s="123">
        <v>202</v>
      </c>
      <c r="C157" s="124" t="s">
        <v>263</v>
      </c>
      <c r="D157" s="125">
        <v>1</v>
      </c>
    </row>
    <row r="158" spans="1:4" x14ac:dyDescent="0.2">
      <c r="A158" s="122">
        <v>129</v>
      </c>
      <c r="B158" s="123">
        <v>222</v>
      </c>
      <c r="C158" s="124" t="s">
        <v>263</v>
      </c>
      <c r="D158" s="125">
        <v>2</v>
      </c>
    </row>
    <row r="159" spans="1:4" x14ac:dyDescent="0.2">
      <c r="A159" s="122">
        <v>130</v>
      </c>
      <c r="B159" s="123">
        <v>1308</v>
      </c>
      <c r="C159" s="124" t="s">
        <v>265</v>
      </c>
      <c r="D159" s="125">
        <v>1</v>
      </c>
    </row>
    <row r="160" spans="1:4" x14ac:dyDescent="0.2">
      <c r="A160" s="122">
        <v>130</v>
      </c>
      <c r="B160" s="123">
        <v>1309</v>
      </c>
      <c r="C160" s="124" t="s">
        <v>265</v>
      </c>
      <c r="D160" s="125">
        <v>1</v>
      </c>
    </row>
    <row r="161" spans="1:4" x14ac:dyDescent="0.2">
      <c r="A161" s="122">
        <v>130</v>
      </c>
      <c r="B161" s="123">
        <v>1310</v>
      </c>
      <c r="C161" s="124" t="s">
        <v>265</v>
      </c>
      <c r="D161" s="125">
        <v>2</v>
      </c>
    </row>
    <row r="162" spans="1:4" x14ac:dyDescent="0.2">
      <c r="A162" s="122">
        <v>131</v>
      </c>
      <c r="B162" s="123">
        <v>1311</v>
      </c>
      <c r="C162" s="124" t="s">
        <v>265</v>
      </c>
      <c r="D162" s="125">
        <v>1</v>
      </c>
    </row>
    <row r="163" spans="1:4" x14ac:dyDescent="0.2">
      <c r="A163" s="122">
        <v>131</v>
      </c>
      <c r="B163" s="123">
        <v>1312</v>
      </c>
      <c r="C163" s="124" t="s">
        <v>265</v>
      </c>
      <c r="D163" s="125">
        <v>1</v>
      </c>
    </row>
    <row r="164" spans="1:4" x14ac:dyDescent="0.2">
      <c r="A164" s="122">
        <v>131</v>
      </c>
      <c r="B164" s="123">
        <v>1313</v>
      </c>
      <c r="C164" s="124" t="s">
        <v>265</v>
      </c>
      <c r="D164" s="125">
        <v>2</v>
      </c>
    </row>
    <row r="165" spans="1:4" x14ac:dyDescent="0.2">
      <c r="A165" s="122">
        <v>132</v>
      </c>
      <c r="B165" s="123">
        <v>92</v>
      </c>
      <c r="C165" s="124" t="s">
        <v>266</v>
      </c>
      <c r="D165" s="125" t="s">
        <v>462</v>
      </c>
    </row>
    <row r="166" spans="1:4" x14ac:dyDescent="0.2">
      <c r="A166" s="122">
        <v>132</v>
      </c>
      <c r="B166" s="123">
        <v>210</v>
      </c>
      <c r="C166" s="124" t="s">
        <v>266</v>
      </c>
      <c r="D166" s="125">
        <v>2</v>
      </c>
    </row>
    <row r="167" spans="1:4" x14ac:dyDescent="0.2">
      <c r="A167" s="122">
        <v>132</v>
      </c>
      <c r="B167" s="123">
        <v>234</v>
      </c>
      <c r="C167" s="124" t="s">
        <v>266</v>
      </c>
      <c r="D167" s="125" t="s">
        <v>462</v>
      </c>
    </row>
    <row r="168" spans="1:4" x14ac:dyDescent="0.2">
      <c r="A168" s="122">
        <v>132</v>
      </c>
      <c r="B168" s="123">
        <v>236</v>
      </c>
      <c r="C168" s="124" t="s">
        <v>266</v>
      </c>
      <c r="D168" s="125" t="s">
        <v>462</v>
      </c>
    </row>
    <row r="169" spans="1:4" x14ac:dyDescent="0.2">
      <c r="A169" s="122">
        <v>133</v>
      </c>
      <c r="B169" s="123">
        <v>92</v>
      </c>
      <c r="C169" s="124" t="s">
        <v>266</v>
      </c>
      <c r="D169" s="125">
        <v>1</v>
      </c>
    </row>
    <row r="170" spans="1:4" x14ac:dyDescent="0.2">
      <c r="A170" s="122">
        <v>133</v>
      </c>
      <c r="B170" s="123">
        <v>210</v>
      </c>
      <c r="C170" s="124" t="s">
        <v>266</v>
      </c>
      <c r="D170" s="125">
        <v>2</v>
      </c>
    </row>
    <row r="171" spans="1:4" x14ac:dyDescent="0.2">
      <c r="A171" s="122">
        <v>133</v>
      </c>
      <c r="B171" s="123">
        <v>233</v>
      </c>
      <c r="C171" s="124" t="s">
        <v>266</v>
      </c>
      <c r="D171" s="125">
        <v>1</v>
      </c>
    </row>
    <row r="172" spans="1:4" x14ac:dyDescent="0.2">
      <c r="A172" s="122">
        <v>133</v>
      </c>
      <c r="B172" s="123">
        <v>246</v>
      </c>
      <c r="C172" s="124" t="s">
        <v>266</v>
      </c>
      <c r="D172" s="125">
        <v>1</v>
      </c>
    </row>
    <row r="173" spans="1:4" x14ac:dyDescent="0.2">
      <c r="A173" s="122">
        <v>134</v>
      </c>
      <c r="B173" s="123">
        <v>101</v>
      </c>
      <c r="C173" s="124" t="s">
        <v>266</v>
      </c>
      <c r="D173" s="125">
        <v>1</v>
      </c>
    </row>
    <row r="174" spans="1:4" x14ac:dyDescent="0.2">
      <c r="A174" s="122">
        <v>134</v>
      </c>
      <c r="B174" s="123">
        <v>210</v>
      </c>
      <c r="C174" s="124" t="s">
        <v>266</v>
      </c>
      <c r="D174" s="125">
        <v>2</v>
      </c>
    </row>
    <row r="175" spans="1:4" x14ac:dyDescent="0.2">
      <c r="A175" s="122">
        <v>134</v>
      </c>
      <c r="B175" s="123">
        <v>232</v>
      </c>
      <c r="C175" s="124" t="s">
        <v>266</v>
      </c>
      <c r="D175" s="125">
        <v>1</v>
      </c>
    </row>
    <row r="176" spans="1:4" x14ac:dyDescent="0.2">
      <c r="A176" s="122">
        <v>134</v>
      </c>
      <c r="B176" s="123">
        <v>250</v>
      </c>
      <c r="C176" s="124" t="s">
        <v>266</v>
      </c>
      <c r="D176" s="125">
        <v>1</v>
      </c>
    </row>
    <row r="177" spans="1:4" x14ac:dyDescent="0.2">
      <c r="A177" s="122">
        <v>135</v>
      </c>
      <c r="B177" s="123">
        <v>38</v>
      </c>
      <c r="C177" s="124" t="s">
        <v>266</v>
      </c>
      <c r="D177" s="125">
        <v>1</v>
      </c>
    </row>
    <row r="178" spans="1:4" x14ac:dyDescent="0.2">
      <c r="A178" s="122">
        <v>135</v>
      </c>
      <c r="B178" s="123">
        <v>80</v>
      </c>
      <c r="C178" s="124" t="s">
        <v>266</v>
      </c>
      <c r="D178" s="125">
        <v>1</v>
      </c>
    </row>
    <row r="179" spans="1:4" x14ac:dyDescent="0.2">
      <c r="A179" s="122">
        <v>135</v>
      </c>
      <c r="B179" s="123">
        <v>221</v>
      </c>
      <c r="C179" s="124" t="s">
        <v>266</v>
      </c>
      <c r="D179" s="125" t="s">
        <v>465</v>
      </c>
    </row>
    <row r="180" spans="1:4" x14ac:dyDescent="0.2">
      <c r="A180" s="122">
        <v>135</v>
      </c>
      <c r="B180" s="123">
        <v>247</v>
      </c>
      <c r="C180" s="124" t="s">
        <v>266</v>
      </c>
      <c r="D180" s="125">
        <v>1</v>
      </c>
    </row>
    <row r="181" spans="1:4" x14ac:dyDescent="0.2">
      <c r="A181" s="122">
        <v>136</v>
      </c>
      <c r="B181" s="123">
        <v>124</v>
      </c>
      <c r="C181" s="124" t="s">
        <v>266</v>
      </c>
      <c r="D181" s="125">
        <v>1</v>
      </c>
    </row>
    <row r="182" spans="1:4" x14ac:dyDescent="0.2">
      <c r="A182" s="122">
        <v>136</v>
      </c>
      <c r="B182" s="123">
        <v>202</v>
      </c>
      <c r="C182" s="124" t="s">
        <v>266</v>
      </c>
      <c r="D182" s="125">
        <v>1</v>
      </c>
    </row>
    <row r="183" spans="1:4" x14ac:dyDescent="0.2">
      <c r="A183" s="122">
        <v>136</v>
      </c>
      <c r="B183" s="123">
        <v>222</v>
      </c>
      <c r="C183" s="124" t="s">
        <v>266</v>
      </c>
      <c r="D183" s="125">
        <v>2</v>
      </c>
    </row>
    <row r="184" spans="1:4" x14ac:dyDescent="0.2">
      <c r="A184" s="122">
        <v>136</v>
      </c>
      <c r="B184" s="123">
        <v>246</v>
      </c>
      <c r="C184" s="124" t="s">
        <v>266</v>
      </c>
      <c r="D184" s="125">
        <v>1</v>
      </c>
    </row>
    <row r="185" spans="1:4" x14ac:dyDescent="0.2">
      <c r="A185" s="122">
        <v>137</v>
      </c>
      <c r="B185" s="123">
        <v>203</v>
      </c>
      <c r="C185" s="124" t="s">
        <v>266</v>
      </c>
      <c r="D185" s="125" t="s">
        <v>267</v>
      </c>
    </row>
    <row r="186" spans="1:4" x14ac:dyDescent="0.2">
      <c r="A186" s="122">
        <v>137</v>
      </c>
      <c r="B186" s="123">
        <v>222</v>
      </c>
      <c r="C186" s="124" t="s">
        <v>266</v>
      </c>
      <c r="D186" s="125" t="s">
        <v>267</v>
      </c>
    </row>
    <row r="187" spans="1:4" x14ac:dyDescent="0.2">
      <c r="A187" s="122">
        <v>137</v>
      </c>
      <c r="B187" s="123">
        <v>223</v>
      </c>
      <c r="C187" s="124" t="s">
        <v>266</v>
      </c>
      <c r="D187" s="125" t="s">
        <v>267</v>
      </c>
    </row>
    <row r="188" spans="1:4" x14ac:dyDescent="0.2">
      <c r="A188" s="122">
        <v>137</v>
      </c>
      <c r="B188" s="123">
        <v>229</v>
      </c>
      <c r="C188" s="124" t="s">
        <v>266</v>
      </c>
      <c r="D188" s="125" t="s">
        <v>267</v>
      </c>
    </row>
    <row r="189" spans="1:4" x14ac:dyDescent="0.2">
      <c r="A189" s="122">
        <v>138</v>
      </c>
      <c r="B189" s="123">
        <v>5</v>
      </c>
      <c r="C189" s="124" t="s">
        <v>266</v>
      </c>
      <c r="D189" s="125" t="s">
        <v>462</v>
      </c>
    </row>
    <row r="190" spans="1:4" x14ac:dyDescent="0.2">
      <c r="A190" s="122">
        <v>138</v>
      </c>
      <c r="B190" s="123">
        <v>88</v>
      </c>
      <c r="C190" s="124" t="s">
        <v>266</v>
      </c>
      <c r="D190" s="125" t="s">
        <v>462</v>
      </c>
    </row>
    <row r="191" spans="1:4" x14ac:dyDescent="0.2">
      <c r="A191" s="122">
        <v>138</v>
      </c>
      <c r="B191" s="123">
        <v>208</v>
      </c>
      <c r="C191" s="124" t="s">
        <v>266</v>
      </c>
      <c r="D191" s="125">
        <v>2</v>
      </c>
    </row>
    <row r="192" spans="1:4" x14ac:dyDescent="0.2">
      <c r="A192" s="122">
        <v>138</v>
      </c>
      <c r="B192" s="123">
        <v>235</v>
      </c>
      <c r="C192" s="124" t="s">
        <v>266</v>
      </c>
      <c r="D192" s="125" t="s">
        <v>462</v>
      </c>
    </row>
    <row r="193" spans="1:4" x14ac:dyDescent="0.2">
      <c r="A193" s="122">
        <v>140</v>
      </c>
      <c r="B193" s="123">
        <v>1395</v>
      </c>
      <c r="C193" s="124" t="s">
        <v>250</v>
      </c>
      <c r="D193" s="125">
        <v>2</v>
      </c>
    </row>
    <row r="194" spans="1:4" x14ac:dyDescent="0.2">
      <c r="A194" s="122">
        <v>140</v>
      </c>
      <c r="B194" s="123">
        <v>1396</v>
      </c>
      <c r="C194" s="124" t="s">
        <v>250</v>
      </c>
      <c r="D194" s="125">
        <v>1</v>
      </c>
    </row>
    <row r="195" spans="1:4" x14ac:dyDescent="0.2">
      <c r="A195" s="122">
        <v>141</v>
      </c>
      <c r="B195" s="123">
        <v>189</v>
      </c>
      <c r="C195" s="124" t="s">
        <v>268</v>
      </c>
      <c r="D195" s="125">
        <v>1</v>
      </c>
    </row>
    <row r="196" spans="1:4" x14ac:dyDescent="0.2">
      <c r="A196" s="122">
        <v>141</v>
      </c>
      <c r="B196" s="123">
        <v>210</v>
      </c>
      <c r="C196" s="124" t="s">
        <v>268</v>
      </c>
      <c r="D196" s="125">
        <v>2</v>
      </c>
    </row>
    <row r="197" spans="1:4" x14ac:dyDescent="0.2">
      <c r="A197" s="122">
        <v>141</v>
      </c>
      <c r="B197" s="123">
        <v>233</v>
      </c>
      <c r="C197" s="124" t="s">
        <v>268</v>
      </c>
      <c r="D197" s="125">
        <v>1</v>
      </c>
    </row>
    <row r="198" spans="1:4" x14ac:dyDescent="0.2">
      <c r="A198" s="122">
        <v>141</v>
      </c>
      <c r="B198" s="123">
        <v>249</v>
      </c>
      <c r="C198" s="124" t="s">
        <v>268</v>
      </c>
      <c r="D198" s="125">
        <v>1</v>
      </c>
    </row>
    <row r="199" spans="1:4" x14ac:dyDescent="0.2">
      <c r="A199" s="122">
        <v>141</v>
      </c>
      <c r="B199" s="123">
        <v>252</v>
      </c>
      <c r="C199" s="124" t="s">
        <v>268</v>
      </c>
      <c r="D199" s="125">
        <v>1</v>
      </c>
    </row>
    <row r="200" spans="1:4" x14ac:dyDescent="0.2">
      <c r="A200" s="122">
        <v>142</v>
      </c>
      <c r="B200" s="123">
        <v>132</v>
      </c>
      <c r="C200" s="124" t="s">
        <v>268</v>
      </c>
      <c r="D200" s="125">
        <v>1</v>
      </c>
    </row>
    <row r="201" spans="1:4" x14ac:dyDescent="0.2">
      <c r="A201" s="122">
        <v>142</v>
      </c>
      <c r="B201" s="123">
        <v>206</v>
      </c>
      <c r="C201" s="124" t="s">
        <v>268</v>
      </c>
      <c r="D201" s="125">
        <v>2</v>
      </c>
    </row>
    <row r="202" spans="1:4" x14ac:dyDescent="0.2">
      <c r="A202" s="122">
        <v>142</v>
      </c>
      <c r="B202" s="123">
        <v>230</v>
      </c>
      <c r="C202" s="124" t="s">
        <v>268</v>
      </c>
      <c r="D202" s="125">
        <v>1</v>
      </c>
    </row>
    <row r="203" spans="1:4" x14ac:dyDescent="0.2">
      <c r="A203" s="122">
        <v>142</v>
      </c>
      <c r="B203" s="123">
        <v>249</v>
      </c>
      <c r="C203" s="124" t="s">
        <v>268</v>
      </c>
      <c r="D203" s="125">
        <v>1</v>
      </c>
    </row>
    <row r="204" spans="1:4" x14ac:dyDescent="0.2">
      <c r="A204" s="122">
        <v>142</v>
      </c>
      <c r="B204" s="123">
        <v>252</v>
      </c>
      <c r="C204" s="124" t="s">
        <v>268</v>
      </c>
      <c r="D204" s="125">
        <v>1</v>
      </c>
    </row>
    <row r="205" spans="1:4" x14ac:dyDescent="0.2">
      <c r="A205" s="122">
        <v>143</v>
      </c>
      <c r="B205" s="123">
        <v>47</v>
      </c>
      <c r="C205" s="124" t="s">
        <v>253</v>
      </c>
      <c r="D205" s="125" t="s">
        <v>224</v>
      </c>
    </row>
    <row r="206" spans="1:4" x14ac:dyDescent="0.2">
      <c r="A206" s="122">
        <v>144</v>
      </c>
      <c r="B206" s="123">
        <v>93</v>
      </c>
      <c r="C206" s="124" t="s">
        <v>269</v>
      </c>
      <c r="D206" s="125">
        <v>1</v>
      </c>
    </row>
    <row r="207" spans="1:4" x14ac:dyDescent="0.2">
      <c r="A207" s="122">
        <v>144</v>
      </c>
      <c r="B207" s="123">
        <v>208</v>
      </c>
      <c r="C207" s="124" t="s">
        <v>269</v>
      </c>
      <c r="D207" s="125">
        <v>2</v>
      </c>
    </row>
    <row r="208" spans="1:4" x14ac:dyDescent="0.2">
      <c r="A208" s="122">
        <v>144</v>
      </c>
      <c r="B208" s="123">
        <v>239</v>
      </c>
      <c r="C208" s="124" t="s">
        <v>269</v>
      </c>
      <c r="D208" s="125">
        <v>1</v>
      </c>
    </row>
    <row r="209" spans="1:4" x14ac:dyDescent="0.2">
      <c r="A209" s="122">
        <v>144</v>
      </c>
      <c r="B209" s="123">
        <v>243</v>
      </c>
      <c r="C209" s="124" t="s">
        <v>269</v>
      </c>
      <c r="D209" s="125">
        <v>1</v>
      </c>
    </row>
    <row r="210" spans="1:4" x14ac:dyDescent="0.2">
      <c r="A210" s="122">
        <v>144</v>
      </c>
      <c r="B210" s="123">
        <v>248</v>
      </c>
      <c r="C210" s="124" t="s">
        <v>269</v>
      </c>
      <c r="D210" s="125">
        <v>1</v>
      </c>
    </row>
    <row r="211" spans="1:4" x14ac:dyDescent="0.2">
      <c r="A211" s="122">
        <v>144</v>
      </c>
      <c r="B211" s="123">
        <v>251</v>
      </c>
      <c r="C211" s="124" t="s">
        <v>269</v>
      </c>
      <c r="D211" s="125">
        <v>1</v>
      </c>
    </row>
    <row r="212" spans="1:4" x14ac:dyDescent="0.2">
      <c r="A212" s="122">
        <v>145</v>
      </c>
      <c r="B212" s="123">
        <v>210</v>
      </c>
      <c r="C212" s="124" t="s">
        <v>269</v>
      </c>
      <c r="D212" s="125">
        <v>2</v>
      </c>
    </row>
    <row r="213" spans="1:4" x14ac:dyDescent="0.2">
      <c r="A213" s="122">
        <v>145</v>
      </c>
      <c r="B213" s="123">
        <v>249</v>
      </c>
      <c r="C213" s="124" t="s">
        <v>269</v>
      </c>
      <c r="D213" s="125">
        <v>1</v>
      </c>
    </row>
    <row r="214" spans="1:4" x14ac:dyDescent="0.2">
      <c r="A214" s="122">
        <v>145</v>
      </c>
      <c r="B214" s="123">
        <v>92</v>
      </c>
      <c r="C214" s="124" t="s">
        <v>269</v>
      </c>
      <c r="D214" s="125" t="s">
        <v>462</v>
      </c>
    </row>
    <row r="215" spans="1:4" x14ac:dyDescent="0.2">
      <c r="A215" s="122">
        <v>145</v>
      </c>
      <c r="B215" s="123">
        <v>240</v>
      </c>
      <c r="C215" s="124" t="s">
        <v>269</v>
      </c>
      <c r="D215" s="125" t="s">
        <v>462</v>
      </c>
    </row>
    <row r="216" spans="1:4" x14ac:dyDescent="0.2">
      <c r="A216" s="122">
        <v>145</v>
      </c>
      <c r="B216" s="123">
        <v>244</v>
      </c>
      <c r="C216" s="124" t="s">
        <v>269</v>
      </c>
      <c r="D216" s="125" t="s">
        <v>462</v>
      </c>
    </row>
    <row r="217" spans="1:4" x14ac:dyDescent="0.2">
      <c r="A217" s="122">
        <v>145</v>
      </c>
      <c r="B217" s="123">
        <v>252</v>
      </c>
      <c r="C217" s="124" t="s">
        <v>269</v>
      </c>
      <c r="D217" s="125">
        <v>1</v>
      </c>
    </row>
    <row r="218" spans="1:4" x14ac:dyDescent="0.2">
      <c r="A218" s="122">
        <v>146</v>
      </c>
      <c r="B218" s="123">
        <v>73</v>
      </c>
      <c r="C218" s="124" t="s">
        <v>269</v>
      </c>
      <c r="D218" s="125">
        <v>1</v>
      </c>
    </row>
    <row r="219" spans="1:4" x14ac:dyDescent="0.2">
      <c r="A219" s="122">
        <v>146</v>
      </c>
      <c r="B219" s="123">
        <v>93</v>
      </c>
      <c r="C219" s="124" t="s">
        <v>269</v>
      </c>
      <c r="D219" s="125">
        <v>1</v>
      </c>
    </row>
    <row r="220" spans="1:4" x14ac:dyDescent="0.2">
      <c r="A220" s="122">
        <v>146</v>
      </c>
      <c r="B220" s="123">
        <v>208</v>
      </c>
      <c r="C220" s="124" t="s">
        <v>269</v>
      </c>
      <c r="D220" s="125">
        <v>2</v>
      </c>
    </row>
    <row r="221" spans="1:4" x14ac:dyDescent="0.2">
      <c r="A221" s="122">
        <v>146</v>
      </c>
      <c r="B221" s="123">
        <v>239</v>
      </c>
      <c r="C221" s="124" t="s">
        <v>269</v>
      </c>
      <c r="D221" s="125">
        <v>1</v>
      </c>
    </row>
    <row r="222" spans="1:4" x14ac:dyDescent="0.2">
      <c r="A222" s="122">
        <v>146</v>
      </c>
      <c r="B222" s="123">
        <v>248</v>
      </c>
      <c r="C222" s="124" t="s">
        <v>269</v>
      </c>
      <c r="D222" s="125">
        <v>1</v>
      </c>
    </row>
    <row r="223" spans="1:4" x14ac:dyDescent="0.2">
      <c r="A223" s="122">
        <v>146</v>
      </c>
      <c r="B223" s="123">
        <v>251</v>
      </c>
      <c r="C223" s="124" t="s">
        <v>269</v>
      </c>
      <c r="D223" s="125">
        <v>1</v>
      </c>
    </row>
    <row r="224" spans="1:4" x14ac:dyDescent="0.2">
      <c r="A224" s="122">
        <v>147</v>
      </c>
      <c r="B224" s="123">
        <v>99</v>
      </c>
      <c r="C224" s="124" t="s">
        <v>269</v>
      </c>
      <c r="D224" s="125">
        <v>1</v>
      </c>
    </row>
    <row r="225" spans="1:4" x14ac:dyDescent="0.2">
      <c r="A225" s="122">
        <v>147</v>
      </c>
      <c r="B225" s="123">
        <v>206</v>
      </c>
      <c r="C225" s="124" t="s">
        <v>269</v>
      </c>
      <c r="D225" s="125">
        <v>2</v>
      </c>
    </row>
    <row r="226" spans="1:4" x14ac:dyDescent="0.2">
      <c r="A226" s="122">
        <v>147</v>
      </c>
      <c r="B226" s="123">
        <v>238</v>
      </c>
      <c r="C226" s="124" t="s">
        <v>269</v>
      </c>
      <c r="D226" s="125">
        <v>1</v>
      </c>
    </row>
    <row r="227" spans="1:4" x14ac:dyDescent="0.2">
      <c r="A227" s="122">
        <v>147</v>
      </c>
      <c r="B227" s="123">
        <v>242</v>
      </c>
      <c r="C227" s="124" t="s">
        <v>269</v>
      </c>
      <c r="D227" s="125">
        <v>1</v>
      </c>
    </row>
    <row r="228" spans="1:4" x14ac:dyDescent="0.2">
      <c r="A228" s="122">
        <v>147</v>
      </c>
      <c r="B228" s="123">
        <v>249</v>
      </c>
      <c r="C228" s="124" t="s">
        <v>269</v>
      </c>
      <c r="D228" s="125">
        <v>1</v>
      </c>
    </row>
    <row r="229" spans="1:4" x14ac:dyDescent="0.2">
      <c r="A229" s="122">
        <v>147</v>
      </c>
      <c r="B229" s="123">
        <v>252</v>
      </c>
      <c r="C229" s="124" t="s">
        <v>269</v>
      </c>
      <c r="D229" s="125">
        <v>1</v>
      </c>
    </row>
    <row r="230" spans="1:4" x14ac:dyDescent="0.2">
      <c r="A230" s="122">
        <v>148</v>
      </c>
      <c r="B230" s="123">
        <v>1152</v>
      </c>
      <c r="C230" s="124" t="s">
        <v>270</v>
      </c>
      <c r="D230" s="125" t="s">
        <v>465</v>
      </c>
    </row>
    <row r="231" spans="1:4" x14ac:dyDescent="0.2">
      <c r="A231" s="122">
        <v>149</v>
      </c>
      <c r="B231" s="123">
        <v>1394</v>
      </c>
      <c r="C231" s="124" t="s">
        <v>271</v>
      </c>
      <c r="D231" s="125">
        <v>2</v>
      </c>
    </row>
    <row r="232" spans="1:4" x14ac:dyDescent="0.2">
      <c r="A232" s="122">
        <v>150</v>
      </c>
      <c r="B232" s="123">
        <v>42</v>
      </c>
      <c r="C232" s="124" t="s">
        <v>262</v>
      </c>
      <c r="D232" s="125">
        <v>1</v>
      </c>
    </row>
    <row r="233" spans="1:4" x14ac:dyDescent="0.2">
      <c r="A233" s="122">
        <v>150</v>
      </c>
      <c r="B233" s="123">
        <v>207</v>
      </c>
      <c r="C233" s="124" t="s">
        <v>262</v>
      </c>
      <c r="D233" s="125">
        <v>2</v>
      </c>
    </row>
    <row r="234" spans="1:4" x14ac:dyDescent="0.2">
      <c r="A234" s="122">
        <v>151</v>
      </c>
      <c r="B234" s="123">
        <v>43</v>
      </c>
      <c r="C234" s="124" t="s">
        <v>262</v>
      </c>
      <c r="D234" s="125">
        <v>1</v>
      </c>
    </row>
    <row r="235" spans="1:4" x14ac:dyDescent="0.2">
      <c r="A235" s="122">
        <v>151</v>
      </c>
      <c r="B235" s="123">
        <v>210</v>
      </c>
      <c r="C235" s="124" t="s">
        <v>262</v>
      </c>
      <c r="D235" s="125" t="s">
        <v>465</v>
      </c>
    </row>
    <row r="236" spans="1:4" x14ac:dyDescent="0.2">
      <c r="A236" s="122">
        <v>152</v>
      </c>
      <c r="B236" s="123">
        <v>45</v>
      </c>
      <c r="C236" s="124" t="s">
        <v>262</v>
      </c>
      <c r="D236" s="125">
        <v>1</v>
      </c>
    </row>
    <row r="237" spans="1:4" x14ac:dyDescent="0.2">
      <c r="A237" s="122">
        <v>152</v>
      </c>
      <c r="B237" s="123">
        <v>211</v>
      </c>
      <c r="C237" s="124" t="s">
        <v>262</v>
      </c>
      <c r="D237" s="125">
        <v>2</v>
      </c>
    </row>
    <row r="238" spans="1:4" x14ac:dyDescent="0.2">
      <c r="A238" s="122">
        <v>153</v>
      </c>
      <c r="B238" s="123">
        <v>46</v>
      </c>
      <c r="C238" s="124" t="s">
        <v>262</v>
      </c>
      <c r="D238" s="125">
        <v>1</v>
      </c>
    </row>
    <row r="239" spans="1:4" x14ac:dyDescent="0.2">
      <c r="A239" s="122">
        <v>153</v>
      </c>
      <c r="B239" s="123">
        <v>212</v>
      </c>
      <c r="C239" s="124" t="s">
        <v>262</v>
      </c>
      <c r="D239" s="125">
        <v>2</v>
      </c>
    </row>
    <row r="240" spans="1:4" x14ac:dyDescent="0.2">
      <c r="A240" s="122">
        <v>154</v>
      </c>
      <c r="B240" s="123">
        <v>39</v>
      </c>
      <c r="C240" s="124" t="s">
        <v>262</v>
      </c>
      <c r="D240" s="125">
        <v>1</v>
      </c>
    </row>
    <row r="241" spans="1:4" x14ac:dyDescent="0.2">
      <c r="A241" s="122">
        <v>154</v>
      </c>
      <c r="B241" s="123">
        <v>221</v>
      </c>
      <c r="C241" s="124" t="s">
        <v>262</v>
      </c>
      <c r="D241" s="125">
        <v>2</v>
      </c>
    </row>
    <row r="242" spans="1:4" x14ac:dyDescent="0.2">
      <c r="A242" s="122">
        <v>155</v>
      </c>
      <c r="B242" s="123">
        <v>51</v>
      </c>
      <c r="C242" s="124" t="s">
        <v>250</v>
      </c>
      <c r="D242" s="125" t="s">
        <v>462</v>
      </c>
    </row>
    <row r="243" spans="1:4" x14ac:dyDescent="0.2">
      <c r="A243" s="122">
        <v>155</v>
      </c>
      <c r="B243" s="123">
        <v>200</v>
      </c>
      <c r="C243" s="124" t="s">
        <v>250</v>
      </c>
      <c r="D243" s="125" t="s">
        <v>462</v>
      </c>
    </row>
    <row r="244" spans="1:4" x14ac:dyDescent="0.2">
      <c r="A244" s="122">
        <v>156</v>
      </c>
      <c r="B244" s="123">
        <v>1000</v>
      </c>
      <c r="C244" s="124" t="s">
        <v>262</v>
      </c>
      <c r="D244" s="125">
        <v>2</v>
      </c>
    </row>
    <row r="245" spans="1:4" x14ac:dyDescent="0.2">
      <c r="A245" s="122">
        <v>156</v>
      </c>
      <c r="B245" s="123">
        <v>1001</v>
      </c>
      <c r="C245" s="124" t="s">
        <v>262</v>
      </c>
      <c r="D245" s="125">
        <v>1</v>
      </c>
    </row>
    <row r="246" spans="1:4" x14ac:dyDescent="0.2">
      <c r="A246" s="122">
        <v>157</v>
      </c>
      <c r="B246" s="123">
        <v>1002</v>
      </c>
      <c r="C246" s="124" t="s">
        <v>262</v>
      </c>
      <c r="D246" s="125">
        <v>2</v>
      </c>
    </row>
    <row r="247" spans="1:4" x14ac:dyDescent="0.2">
      <c r="A247" s="122">
        <v>157</v>
      </c>
      <c r="B247" s="123">
        <v>1003</v>
      </c>
      <c r="C247" s="124" t="s">
        <v>262</v>
      </c>
      <c r="D247" s="125">
        <v>1</v>
      </c>
    </row>
    <row r="248" spans="1:4" x14ac:dyDescent="0.2">
      <c r="A248" s="122">
        <v>158</v>
      </c>
      <c r="B248" s="123">
        <v>1008</v>
      </c>
      <c r="C248" s="124" t="s">
        <v>262</v>
      </c>
      <c r="D248" s="125">
        <v>2</v>
      </c>
    </row>
    <row r="249" spans="1:4" x14ac:dyDescent="0.2">
      <c r="A249" s="122">
        <v>158</v>
      </c>
      <c r="B249" s="123">
        <v>1009</v>
      </c>
      <c r="C249" s="124" t="s">
        <v>262</v>
      </c>
      <c r="D249" s="125">
        <v>1</v>
      </c>
    </row>
    <row r="250" spans="1:4" x14ac:dyDescent="0.2">
      <c r="A250" s="122">
        <v>159</v>
      </c>
      <c r="B250" s="123">
        <v>28</v>
      </c>
      <c r="C250" s="124" t="s">
        <v>238</v>
      </c>
      <c r="D250" s="125" t="s">
        <v>464</v>
      </c>
    </row>
    <row r="251" spans="1:4" x14ac:dyDescent="0.2">
      <c r="A251" s="122">
        <v>160</v>
      </c>
      <c r="B251" s="123">
        <v>1014</v>
      </c>
      <c r="C251" s="124" t="s">
        <v>262</v>
      </c>
      <c r="D251" s="125">
        <v>2</v>
      </c>
    </row>
    <row r="252" spans="1:4" x14ac:dyDescent="0.2">
      <c r="A252" s="122">
        <v>160</v>
      </c>
      <c r="B252" s="123">
        <v>1015</v>
      </c>
      <c r="C252" s="124" t="s">
        <v>262</v>
      </c>
      <c r="D252" s="125">
        <v>1</v>
      </c>
    </row>
    <row r="253" spans="1:4" x14ac:dyDescent="0.2">
      <c r="A253" s="122">
        <v>161</v>
      </c>
      <c r="B253" s="123">
        <v>1018</v>
      </c>
      <c r="C253" s="124" t="s">
        <v>262</v>
      </c>
      <c r="D253" s="125">
        <v>2</v>
      </c>
    </row>
    <row r="254" spans="1:4" x14ac:dyDescent="0.2">
      <c r="A254" s="122">
        <v>161</v>
      </c>
      <c r="B254" s="123">
        <v>1019</v>
      </c>
      <c r="C254" s="124" t="s">
        <v>262</v>
      </c>
      <c r="D254" s="125">
        <v>1</v>
      </c>
    </row>
    <row r="255" spans="1:4" x14ac:dyDescent="0.2">
      <c r="A255" s="122">
        <v>162</v>
      </c>
      <c r="B255" s="123">
        <v>1020</v>
      </c>
      <c r="C255" s="124" t="s">
        <v>262</v>
      </c>
      <c r="D255" s="125">
        <v>2</v>
      </c>
    </row>
    <row r="256" spans="1:4" x14ac:dyDescent="0.2">
      <c r="A256" s="122">
        <v>162</v>
      </c>
      <c r="B256" s="123">
        <v>1021</v>
      </c>
      <c r="C256" s="124" t="s">
        <v>262</v>
      </c>
      <c r="D256" s="125">
        <v>1</v>
      </c>
    </row>
    <row r="257" spans="1:4" x14ac:dyDescent="0.2">
      <c r="A257" s="122">
        <v>163</v>
      </c>
      <c r="B257" s="123">
        <v>1034</v>
      </c>
      <c r="C257" s="124" t="s">
        <v>262</v>
      </c>
      <c r="D257" s="125">
        <v>2</v>
      </c>
    </row>
    <row r="258" spans="1:4" x14ac:dyDescent="0.2">
      <c r="A258" s="122">
        <v>163</v>
      </c>
      <c r="B258" s="123">
        <v>1035</v>
      </c>
      <c r="C258" s="124" t="s">
        <v>262</v>
      </c>
      <c r="D258" s="125">
        <v>1</v>
      </c>
    </row>
    <row r="259" spans="1:4" x14ac:dyDescent="0.2">
      <c r="A259" s="122">
        <v>164</v>
      </c>
      <c r="B259" s="123">
        <v>1037</v>
      </c>
      <c r="C259" s="124" t="s">
        <v>262</v>
      </c>
      <c r="D259" s="125">
        <v>2</v>
      </c>
    </row>
    <row r="260" spans="1:4" x14ac:dyDescent="0.2">
      <c r="A260" s="122">
        <v>164</v>
      </c>
      <c r="B260" s="123">
        <v>1038</v>
      </c>
      <c r="C260" s="124" t="s">
        <v>262</v>
      </c>
      <c r="D260" s="125">
        <v>1</v>
      </c>
    </row>
    <row r="261" spans="1:4" x14ac:dyDescent="0.2">
      <c r="A261" s="122">
        <v>165</v>
      </c>
      <c r="B261" s="123">
        <v>1039</v>
      </c>
      <c r="C261" s="124" t="s">
        <v>262</v>
      </c>
      <c r="D261" s="125">
        <v>2</v>
      </c>
    </row>
    <row r="262" spans="1:4" x14ac:dyDescent="0.2">
      <c r="A262" s="122">
        <v>165</v>
      </c>
      <c r="B262" s="123">
        <v>1040</v>
      </c>
      <c r="C262" s="124" t="s">
        <v>262</v>
      </c>
      <c r="D262" s="125">
        <v>1</v>
      </c>
    </row>
    <row r="263" spans="1:4" x14ac:dyDescent="0.2">
      <c r="A263" s="122">
        <v>166</v>
      </c>
      <c r="B263" s="123">
        <v>1048</v>
      </c>
      <c r="C263" s="124" t="s">
        <v>262</v>
      </c>
      <c r="D263" s="125">
        <v>2</v>
      </c>
    </row>
    <row r="264" spans="1:4" x14ac:dyDescent="0.2">
      <c r="A264" s="122">
        <v>166</v>
      </c>
      <c r="B264" s="123">
        <v>1049</v>
      </c>
      <c r="C264" s="124" t="s">
        <v>262</v>
      </c>
      <c r="D264" s="125">
        <v>1</v>
      </c>
    </row>
    <row r="265" spans="1:4" x14ac:dyDescent="0.2">
      <c r="A265" s="122">
        <v>167</v>
      </c>
      <c r="B265" s="123">
        <v>1055</v>
      </c>
      <c r="C265" s="124" t="s">
        <v>262</v>
      </c>
      <c r="D265" s="125">
        <v>1</v>
      </c>
    </row>
    <row r="266" spans="1:4" x14ac:dyDescent="0.2">
      <c r="A266" s="122">
        <v>167</v>
      </c>
      <c r="B266" s="123">
        <v>1056</v>
      </c>
      <c r="C266" s="124" t="s">
        <v>262</v>
      </c>
      <c r="D266" s="125">
        <v>2</v>
      </c>
    </row>
    <row r="267" spans="1:4" x14ac:dyDescent="0.2">
      <c r="A267" s="122">
        <v>168</v>
      </c>
      <c r="B267" s="123">
        <v>1057</v>
      </c>
      <c r="C267" s="124" t="s">
        <v>262</v>
      </c>
      <c r="D267" s="125">
        <v>1</v>
      </c>
    </row>
    <row r="268" spans="1:4" x14ac:dyDescent="0.2">
      <c r="A268" s="122">
        <v>168</v>
      </c>
      <c r="B268" s="123">
        <v>1058</v>
      </c>
      <c r="C268" s="124" t="s">
        <v>262</v>
      </c>
      <c r="D268" s="125">
        <v>2</v>
      </c>
    </row>
    <row r="269" spans="1:4" x14ac:dyDescent="0.2">
      <c r="A269" s="122">
        <v>169</v>
      </c>
      <c r="B269" s="123">
        <v>1059</v>
      </c>
      <c r="C269" s="124" t="s">
        <v>262</v>
      </c>
      <c r="D269" s="125">
        <v>1</v>
      </c>
    </row>
    <row r="270" spans="1:4" x14ac:dyDescent="0.2">
      <c r="A270" s="122">
        <v>169</v>
      </c>
      <c r="B270" s="123">
        <v>1060</v>
      </c>
      <c r="C270" s="124" t="s">
        <v>262</v>
      </c>
      <c r="D270" s="125">
        <v>2</v>
      </c>
    </row>
    <row r="271" spans="1:4" x14ac:dyDescent="0.2">
      <c r="A271" s="122">
        <v>170</v>
      </c>
      <c r="B271" s="123">
        <v>1061</v>
      </c>
      <c r="C271" s="124" t="s">
        <v>262</v>
      </c>
      <c r="D271" s="125">
        <v>1</v>
      </c>
    </row>
    <row r="272" spans="1:4" x14ac:dyDescent="0.2">
      <c r="A272" s="122">
        <v>170</v>
      </c>
      <c r="B272" s="123">
        <v>1062</v>
      </c>
      <c r="C272" s="124" t="s">
        <v>262</v>
      </c>
      <c r="D272" s="125">
        <v>2</v>
      </c>
    </row>
    <row r="273" spans="1:4" x14ac:dyDescent="0.2">
      <c r="A273" s="122">
        <v>171</v>
      </c>
      <c r="B273" s="123">
        <v>1063</v>
      </c>
      <c r="C273" s="124" t="s">
        <v>262</v>
      </c>
      <c r="D273" s="125">
        <v>1</v>
      </c>
    </row>
    <row r="274" spans="1:4" x14ac:dyDescent="0.2">
      <c r="A274" s="122">
        <v>171</v>
      </c>
      <c r="B274" s="123">
        <v>1064</v>
      </c>
      <c r="C274" s="124" t="s">
        <v>262</v>
      </c>
      <c r="D274" s="125">
        <v>2</v>
      </c>
    </row>
    <row r="275" spans="1:4" x14ac:dyDescent="0.2">
      <c r="A275" s="122">
        <v>172</v>
      </c>
      <c r="B275" s="123">
        <v>1065</v>
      </c>
      <c r="C275" s="124" t="s">
        <v>262</v>
      </c>
      <c r="D275" s="125">
        <v>1</v>
      </c>
    </row>
    <row r="276" spans="1:4" x14ac:dyDescent="0.2">
      <c r="A276" s="122">
        <v>172</v>
      </c>
      <c r="B276" s="123">
        <v>1066</v>
      </c>
      <c r="C276" s="124" t="s">
        <v>262</v>
      </c>
      <c r="D276" s="125">
        <v>2</v>
      </c>
    </row>
    <row r="277" spans="1:4" x14ac:dyDescent="0.2">
      <c r="A277" s="122">
        <v>173</v>
      </c>
      <c r="B277" s="123">
        <v>1067</v>
      </c>
      <c r="C277" s="124" t="s">
        <v>262</v>
      </c>
      <c r="D277" s="125">
        <v>1</v>
      </c>
    </row>
    <row r="278" spans="1:4" x14ac:dyDescent="0.2">
      <c r="A278" s="122">
        <v>173</v>
      </c>
      <c r="B278" s="123">
        <v>1068</v>
      </c>
      <c r="C278" s="124" t="s">
        <v>262</v>
      </c>
      <c r="D278" s="125">
        <v>2</v>
      </c>
    </row>
    <row r="279" spans="1:4" x14ac:dyDescent="0.2">
      <c r="A279" s="122">
        <v>174</v>
      </c>
      <c r="B279" s="123">
        <v>1071</v>
      </c>
      <c r="C279" s="124" t="s">
        <v>262</v>
      </c>
      <c r="D279" s="125">
        <v>1</v>
      </c>
    </row>
    <row r="280" spans="1:4" x14ac:dyDescent="0.2">
      <c r="A280" s="122">
        <v>174</v>
      </c>
      <c r="B280" s="123">
        <v>1072</v>
      </c>
      <c r="C280" s="124" t="s">
        <v>262</v>
      </c>
      <c r="D280" s="125">
        <v>2</v>
      </c>
    </row>
    <row r="281" spans="1:4" x14ac:dyDescent="0.2">
      <c r="A281" s="122">
        <v>175</v>
      </c>
      <c r="B281" s="123">
        <v>1078</v>
      </c>
      <c r="C281" s="124" t="s">
        <v>262</v>
      </c>
      <c r="D281" s="125">
        <v>1</v>
      </c>
    </row>
    <row r="282" spans="1:4" x14ac:dyDescent="0.2">
      <c r="A282" s="122">
        <v>175</v>
      </c>
      <c r="B282" s="123">
        <v>1079</v>
      </c>
      <c r="C282" s="124" t="s">
        <v>262</v>
      </c>
      <c r="D282" s="125">
        <v>2</v>
      </c>
    </row>
    <row r="283" spans="1:4" x14ac:dyDescent="0.2">
      <c r="A283" s="122">
        <v>176</v>
      </c>
      <c r="B283" s="123">
        <v>1124</v>
      </c>
      <c r="C283" s="124" t="s">
        <v>262</v>
      </c>
      <c r="D283" s="125">
        <v>1</v>
      </c>
    </row>
    <row r="284" spans="1:4" x14ac:dyDescent="0.2">
      <c r="A284" s="122">
        <v>176</v>
      </c>
      <c r="B284" s="123">
        <v>1125</v>
      </c>
      <c r="C284" s="124" t="s">
        <v>262</v>
      </c>
      <c r="D284" s="125">
        <v>2</v>
      </c>
    </row>
    <row r="285" spans="1:4" x14ac:dyDescent="0.2">
      <c r="A285" s="122">
        <v>177</v>
      </c>
      <c r="B285" s="123">
        <v>1126</v>
      </c>
      <c r="C285" s="124" t="s">
        <v>262</v>
      </c>
      <c r="D285" s="125">
        <v>1</v>
      </c>
    </row>
    <row r="286" spans="1:4" x14ac:dyDescent="0.2">
      <c r="A286" s="122">
        <v>177</v>
      </c>
      <c r="B286" s="123">
        <v>1127</v>
      </c>
      <c r="C286" s="124" t="s">
        <v>262</v>
      </c>
      <c r="D286" s="125">
        <v>2</v>
      </c>
    </row>
    <row r="287" spans="1:4" x14ac:dyDescent="0.2">
      <c r="A287" s="122">
        <v>178</v>
      </c>
      <c r="B287" s="123">
        <v>1128</v>
      </c>
      <c r="C287" s="124" t="s">
        <v>272</v>
      </c>
      <c r="D287" s="125">
        <v>1</v>
      </c>
    </row>
    <row r="288" spans="1:4" x14ac:dyDescent="0.2">
      <c r="A288" s="122">
        <v>178</v>
      </c>
      <c r="B288" s="123">
        <v>1129</v>
      </c>
      <c r="C288" s="124" t="s">
        <v>272</v>
      </c>
      <c r="D288" s="125">
        <v>2</v>
      </c>
    </row>
    <row r="289" spans="1:4" x14ac:dyDescent="0.2">
      <c r="A289" s="122">
        <v>179</v>
      </c>
      <c r="B289" s="123">
        <v>1139</v>
      </c>
      <c r="C289" s="124" t="s">
        <v>262</v>
      </c>
      <c r="D289" s="125">
        <v>1</v>
      </c>
    </row>
    <row r="290" spans="1:4" x14ac:dyDescent="0.2">
      <c r="A290" s="122">
        <v>179</v>
      </c>
      <c r="B290" s="123">
        <v>1140</v>
      </c>
      <c r="C290" s="124" t="s">
        <v>262</v>
      </c>
      <c r="D290" s="125">
        <v>2</v>
      </c>
    </row>
    <row r="291" spans="1:4" x14ac:dyDescent="0.2">
      <c r="A291" s="122">
        <v>180</v>
      </c>
      <c r="B291" s="123">
        <v>1141</v>
      </c>
      <c r="C291" s="124" t="s">
        <v>262</v>
      </c>
      <c r="D291" s="125">
        <v>1</v>
      </c>
    </row>
    <row r="292" spans="1:4" x14ac:dyDescent="0.2">
      <c r="A292" s="122">
        <v>180</v>
      </c>
      <c r="B292" s="123">
        <v>1142</v>
      </c>
      <c r="C292" s="124" t="s">
        <v>262</v>
      </c>
      <c r="D292" s="125">
        <v>2</v>
      </c>
    </row>
    <row r="293" spans="1:4" x14ac:dyDescent="0.2">
      <c r="A293" s="122">
        <v>181</v>
      </c>
      <c r="B293" s="123">
        <v>1143</v>
      </c>
      <c r="C293" s="124" t="s">
        <v>262</v>
      </c>
      <c r="D293" s="125">
        <v>1</v>
      </c>
    </row>
    <row r="294" spans="1:4" x14ac:dyDescent="0.2">
      <c r="A294" s="122">
        <v>181</v>
      </c>
      <c r="B294" s="123">
        <v>1144</v>
      </c>
      <c r="C294" s="124" t="s">
        <v>262</v>
      </c>
      <c r="D294" s="125">
        <v>2</v>
      </c>
    </row>
    <row r="295" spans="1:4" x14ac:dyDescent="0.2">
      <c r="A295" s="122">
        <v>182</v>
      </c>
      <c r="B295" s="123">
        <v>1145</v>
      </c>
      <c r="C295" s="124" t="s">
        <v>262</v>
      </c>
      <c r="D295" s="125">
        <v>1</v>
      </c>
    </row>
    <row r="296" spans="1:4" x14ac:dyDescent="0.2">
      <c r="A296" s="122">
        <v>182</v>
      </c>
      <c r="B296" s="123">
        <v>1146</v>
      </c>
      <c r="C296" s="124" t="s">
        <v>262</v>
      </c>
      <c r="D296" s="125">
        <v>2</v>
      </c>
    </row>
    <row r="297" spans="1:4" x14ac:dyDescent="0.2">
      <c r="A297" s="122">
        <v>183</v>
      </c>
      <c r="B297" s="123">
        <v>1147</v>
      </c>
      <c r="C297" s="124" t="s">
        <v>262</v>
      </c>
      <c r="D297" s="125">
        <v>1</v>
      </c>
    </row>
    <row r="298" spans="1:4" x14ac:dyDescent="0.2">
      <c r="A298" s="122">
        <v>183</v>
      </c>
      <c r="B298" s="123">
        <v>1148</v>
      </c>
      <c r="C298" s="124" t="s">
        <v>262</v>
      </c>
      <c r="D298" s="125">
        <v>2</v>
      </c>
    </row>
    <row r="299" spans="1:4" x14ac:dyDescent="0.2">
      <c r="A299" s="122">
        <v>184</v>
      </c>
      <c r="B299" s="123">
        <v>1149</v>
      </c>
      <c r="C299" s="124" t="s">
        <v>262</v>
      </c>
      <c r="D299" s="125">
        <v>1</v>
      </c>
    </row>
    <row r="300" spans="1:4" x14ac:dyDescent="0.2">
      <c r="A300" s="122">
        <v>184</v>
      </c>
      <c r="B300" s="123">
        <v>1150</v>
      </c>
      <c r="C300" s="124" t="s">
        <v>262</v>
      </c>
      <c r="D300" s="125">
        <v>2</v>
      </c>
    </row>
    <row r="301" spans="1:4" x14ac:dyDescent="0.2">
      <c r="A301" s="122">
        <v>185</v>
      </c>
      <c r="B301" s="123">
        <v>1151</v>
      </c>
      <c r="C301" s="124" t="s">
        <v>262</v>
      </c>
      <c r="D301" s="125">
        <v>1</v>
      </c>
    </row>
    <row r="302" spans="1:4" x14ac:dyDescent="0.2">
      <c r="A302" s="122">
        <v>185</v>
      </c>
      <c r="B302" s="123">
        <v>1152</v>
      </c>
      <c r="C302" s="124" t="s">
        <v>262</v>
      </c>
      <c r="D302" s="125">
        <v>2</v>
      </c>
    </row>
    <row r="303" spans="1:4" x14ac:dyDescent="0.2">
      <c r="A303" s="122">
        <v>186</v>
      </c>
      <c r="B303" s="123">
        <v>1153</v>
      </c>
      <c r="C303" s="124" t="s">
        <v>262</v>
      </c>
      <c r="D303" s="125">
        <v>1</v>
      </c>
    </row>
    <row r="304" spans="1:4" x14ac:dyDescent="0.2">
      <c r="A304" s="122">
        <v>186</v>
      </c>
      <c r="B304" s="123">
        <v>1154</v>
      </c>
      <c r="C304" s="124" t="s">
        <v>262</v>
      </c>
      <c r="D304" s="125">
        <v>2</v>
      </c>
    </row>
    <row r="305" spans="1:4" x14ac:dyDescent="0.2">
      <c r="A305" s="122">
        <v>187</v>
      </c>
      <c r="B305" s="123">
        <v>1324</v>
      </c>
      <c r="C305" s="124" t="s">
        <v>262</v>
      </c>
      <c r="D305" s="125">
        <v>2</v>
      </c>
    </row>
    <row r="306" spans="1:4" x14ac:dyDescent="0.2">
      <c r="A306" s="122">
        <v>187</v>
      </c>
      <c r="B306" s="123">
        <v>1325</v>
      </c>
      <c r="C306" s="124" t="s">
        <v>262</v>
      </c>
      <c r="D306" s="125">
        <v>1</v>
      </c>
    </row>
    <row r="307" spans="1:4" x14ac:dyDescent="0.2">
      <c r="A307" s="122">
        <v>188</v>
      </c>
      <c r="B307" s="123">
        <v>1191</v>
      </c>
      <c r="C307" s="124" t="s">
        <v>262</v>
      </c>
      <c r="D307" s="125">
        <v>2</v>
      </c>
    </row>
    <row r="308" spans="1:4" x14ac:dyDescent="0.2">
      <c r="A308" s="122">
        <v>188</v>
      </c>
      <c r="B308" s="123">
        <v>1192</v>
      </c>
      <c r="C308" s="124" t="s">
        <v>262</v>
      </c>
      <c r="D308" s="125">
        <v>1</v>
      </c>
    </row>
    <row r="309" spans="1:4" x14ac:dyDescent="0.2">
      <c r="A309" s="122">
        <v>189</v>
      </c>
      <c r="B309" s="123">
        <v>1233</v>
      </c>
      <c r="C309" s="124" t="s">
        <v>262</v>
      </c>
      <c r="D309" s="125" t="s">
        <v>462</v>
      </c>
    </row>
    <row r="310" spans="1:4" x14ac:dyDescent="0.2">
      <c r="A310" s="122">
        <v>189</v>
      </c>
      <c r="B310" s="123">
        <v>1234</v>
      </c>
      <c r="C310" s="124" t="s">
        <v>262</v>
      </c>
      <c r="D310" s="125" t="s">
        <v>462</v>
      </c>
    </row>
    <row r="311" spans="1:4" x14ac:dyDescent="0.2">
      <c r="A311" s="122">
        <v>190</v>
      </c>
      <c r="B311" s="123">
        <v>1238</v>
      </c>
      <c r="C311" s="124" t="s">
        <v>262</v>
      </c>
      <c r="D311" s="125" t="s">
        <v>462</v>
      </c>
    </row>
    <row r="312" spans="1:4" x14ac:dyDescent="0.2">
      <c r="A312" s="122">
        <v>190</v>
      </c>
      <c r="B312" s="123">
        <v>1239</v>
      </c>
      <c r="C312" s="124" t="s">
        <v>262</v>
      </c>
      <c r="D312" s="125" t="s">
        <v>462</v>
      </c>
    </row>
    <row r="313" spans="1:4" x14ac:dyDescent="0.2">
      <c r="A313" s="122">
        <v>191</v>
      </c>
      <c r="B313" s="123">
        <v>1240</v>
      </c>
      <c r="C313" s="124" t="s">
        <v>262</v>
      </c>
      <c r="D313" s="125" t="s">
        <v>462</v>
      </c>
    </row>
    <row r="314" spans="1:4" x14ac:dyDescent="0.2">
      <c r="A314" s="122">
        <v>191</v>
      </c>
      <c r="B314" s="123">
        <v>1241</v>
      </c>
      <c r="C314" s="124" t="s">
        <v>262</v>
      </c>
      <c r="D314" s="125" t="s">
        <v>462</v>
      </c>
    </row>
    <row r="315" spans="1:4" x14ac:dyDescent="0.2">
      <c r="A315" s="122">
        <v>192</v>
      </c>
      <c r="B315" s="123">
        <v>1242</v>
      </c>
      <c r="C315" s="124" t="s">
        <v>262</v>
      </c>
      <c r="D315" s="125" t="s">
        <v>462</v>
      </c>
    </row>
    <row r="316" spans="1:4" x14ac:dyDescent="0.2">
      <c r="A316" s="122">
        <v>192</v>
      </c>
      <c r="B316" s="123">
        <v>1243</v>
      </c>
      <c r="C316" s="124" t="s">
        <v>262</v>
      </c>
      <c r="D316" s="125" t="s">
        <v>462</v>
      </c>
    </row>
    <row r="317" spans="1:4" x14ac:dyDescent="0.2">
      <c r="A317" s="122">
        <v>193</v>
      </c>
      <c r="B317" s="123">
        <v>1244</v>
      </c>
      <c r="C317" s="124" t="s">
        <v>262</v>
      </c>
      <c r="D317" s="125" t="s">
        <v>462</v>
      </c>
    </row>
    <row r="318" spans="1:4" x14ac:dyDescent="0.2">
      <c r="A318" s="122">
        <v>193</v>
      </c>
      <c r="B318" s="123">
        <v>1245</v>
      </c>
      <c r="C318" s="124" t="s">
        <v>262</v>
      </c>
      <c r="D318" s="125" t="s">
        <v>462</v>
      </c>
    </row>
    <row r="319" spans="1:4" x14ac:dyDescent="0.2">
      <c r="A319" s="122">
        <v>194</v>
      </c>
      <c r="B319" s="123">
        <v>1246</v>
      </c>
      <c r="C319" s="124" t="s">
        <v>262</v>
      </c>
      <c r="D319" s="125" t="s">
        <v>462</v>
      </c>
    </row>
    <row r="320" spans="1:4" x14ac:dyDescent="0.2">
      <c r="A320" s="122">
        <v>194</v>
      </c>
      <c r="B320" s="123">
        <v>1247</v>
      </c>
      <c r="C320" s="124" t="s">
        <v>262</v>
      </c>
      <c r="D320" s="125" t="s">
        <v>462</v>
      </c>
    </row>
    <row r="321" spans="1:4" x14ac:dyDescent="0.2">
      <c r="A321" s="122">
        <v>195</v>
      </c>
      <c r="B321" s="123">
        <v>1248</v>
      </c>
      <c r="C321" s="124" t="s">
        <v>262</v>
      </c>
      <c r="D321" s="125" t="s">
        <v>462</v>
      </c>
    </row>
    <row r="322" spans="1:4" x14ac:dyDescent="0.2">
      <c r="A322" s="122">
        <v>195</v>
      </c>
      <c r="B322" s="123">
        <v>1249</v>
      </c>
      <c r="C322" s="124" t="s">
        <v>262</v>
      </c>
      <c r="D322" s="125" t="s">
        <v>462</v>
      </c>
    </row>
    <row r="323" spans="1:4" x14ac:dyDescent="0.2">
      <c r="A323" s="122">
        <v>196</v>
      </c>
      <c r="B323" s="123">
        <v>1250</v>
      </c>
      <c r="C323" s="124" t="s">
        <v>262</v>
      </c>
      <c r="D323" s="125" t="s">
        <v>462</v>
      </c>
    </row>
    <row r="324" spans="1:4" x14ac:dyDescent="0.2">
      <c r="A324" s="122">
        <v>196</v>
      </c>
      <c r="B324" s="123">
        <v>1251</v>
      </c>
      <c r="C324" s="124" t="s">
        <v>262</v>
      </c>
      <c r="D324" s="125" t="s">
        <v>462</v>
      </c>
    </row>
    <row r="325" spans="1:4" x14ac:dyDescent="0.2">
      <c r="A325" s="122">
        <v>197</v>
      </c>
      <c r="B325" s="123">
        <v>1252</v>
      </c>
      <c r="C325" s="124" t="s">
        <v>262</v>
      </c>
      <c r="D325" s="125" t="s">
        <v>462</v>
      </c>
    </row>
    <row r="326" spans="1:4" x14ac:dyDescent="0.2">
      <c r="A326" s="122">
        <v>197</v>
      </c>
      <c r="B326" s="123">
        <v>1253</v>
      </c>
      <c r="C326" s="124" t="s">
        <v>262</v>
      </c>
      <c r="D326" s="125" t="s">
        <v>462</v>
      </c>
    </row>
    <row r="327" spans="1:4" x14ac:dyDescent="0.2">
      <c r="A327" s="122">
        <v>198</v>
      </c>
      <c r="B327" s="123">
        <v>1254</v>
      </c>
      <c r="C327" s="124" t="s">
        <v>262</v>
      </c>
      <c r="D327" s="125" t="s">
        <v>462</v>
      </c>
    </row>
    <row r="328" spans="1:4" x14ac:dyDescent="0.2">
      <c r="A328" s="122">
        <v>198</v>
      </c>
      <c r="B328" s="123">
        <v>1255</v>
      </c>
      <c r="C328" s="124" t="s">
        <v>262</v>
      </c>
      <c r="D328" s="125" t="s">
        <v>462</v>
      </c>
    </row>
    <row r="329" spans="1:4" x14ac:dyDescent="0.2">
      <c r="A329" s="122">
        <v>199</v>
      </c>
      <c r="B329" s="123">
        <v>1256</v>
      </c>
      <c r="C329" s="124" t="s">
        <v>262</v>
      </c>
      <c r="D329" s="125" t="s">
        <v>462</v>
      </c>
    </row>
    <row r="330" spans="1:4" x14ac:dyDescent="0.2">
      <c r="A330" s="122">
        <v>199</v>
      </c>
      <c r="B330" s="123">
        <v>1257</v>
      </c>
      <c r="C330" s="124" t="s">
        <v>262</v>
      </c>
      <c r="D330" s="125" t="s">
        <v>462</v>
      </c>
    </row>
    <row r="331" spans="1:4" x14ac:dyDescent="0.2">
      <c r="A331" s="122">
        <v>201</v>
      </c>
      <c r="B331" s="123">
        <v>1265</v>
      </c>
      <c r="C331" s="124" t="s">
        <v>262</v>
      </c>
      <c r="D331" s="125" t="s">
        <v>462</v>
      </c>
    </row>
    <row r="332" spans="1:4" x14ac:dyDescent="0.2">
      <c r="A332" s="122">
        <v>201</v>
      </c>
      <c r="B332" s="123">
        <v>1266</v>
      </c>
      <c r="C332" s="124" t="s">
        <v>262</v>
      </c>
      <c r="D332" s="125" t="s">
        <v>462</v>
      </c>
    </row>
    <row r="333" spans="1:4" x14ac:dyDescent="0.2">
      <c r="A333" s="122">
        <v>202</v>
      </c>
      <c r="B333" s="123">
        <v>1267</v>
      </c>
      <c r="C333" s="124" t="s">
        <v>262</v>
      </c>
      <c r="D333" s="125" t="s">
        <v>462</v>
      </c>
    </row>
    <row r="334" spans="1:4" x14ac:dyDescent="0.2">
      <c r="A334" s="122">
        <v>202</v>
      </c>
      <c r="B334" s="123">
        <v>1268</v>
      </c>
      <c r="C334" s="124" t="s">
        <v>262</v>
      </c>
      <c r="D334" s="125" t="s">
        <v>462</v>
      </c>
    </row>
    <row r="335" spans="1:4" x14ac:dyDescent="0.2">
      <c r="A335" s="122">
        <v>203</v>
      </c>
      <c r="B335" s="123">
        <v>1269</v>
      </c>
      <c r="C335" s="124" t="s">
        <v>262</v>
      </c>
      <c r="D335" s="125" t="s">
        <v>462</v>
      </c>
    </row>
    <row r="336" spans="1:4" x14ac:dyDescent="0.2">
      <c r="A336" s="122">
        <v>203</v>
      </c>
      <c r="B336" s="123">
        <v>1270</v>
      </c>
      <c r="C336" s="124" t="s">
        <v>262</v>
      </c>
      <c r="D336" s="125" t="s">
        <v>462</v>
      </c>
    </row>
    <row r="337" spans="1:4" x14ac:dyDescent="0.2">
      <c r="A337" s="122">
        <v>204</v>
      </c>
      <c r="B337" s="123">
        <v>1271</v>
      </c>
      <c r="C337" s="124" t="s">
        <v>262</v>
      </c>
      <c r="D337" s="125" t="s">
        <v>462</v>
      </c>
    </row>
    <row r="338" spans="1:4" x14ac:dyDescent="0.2">
      <c r="A338" s="122">
        <v>204</v>
      </c>
      <c r="B338" s="123">
        <v>1272</v>
      </c>
      <c r="C338" s="124" t="s">
        <v>262</v>
      </c>
      <c r="D338" s="125" t="s">
        <v>462</v>
      </c>
    </row>
    <row r="339" spans="1:4" x14ac:dyDescent="0.2">
      <c r="A339" s="122">
        <v>205</v>
      </c>
      <c r="B339" s="123">
        <v>1273</v>
      </c>
      <c r="C339" s="124" t="s">
        <v>262</v>
      </c>
      <c r="D339" s="125" t="s">
        <v>462</v>
      </c>
    </row>
    <row r="340" spans="1:4" x14ac:dyDescent="0.2">
      <c r="A340" s="122">
        <v>205</v>
      </c>
      <c r="B340" s="123">
        <v>1274</v>
      </c>
      <c r="C340" s="124" t="s">
        <v>262</v>
      </c>
      <c r="D340" s="125" t="s">
        <v>462</v>
      </c>
    </row>
    <row r="341" spans="1:4" x14ac:dyDescent="0.2">
      <c r="A341" s="122">
        <v>206</v>
      </c>
      <c r="B341" s="123">
        <v>1275</v>
      </c>
      <c r="C341" s="124" t="s">
        <v>262</v>
      </c>
      <c r="D341" s="125" t="s">
        <v>462</v>
      </c>
    </row>
    <row r="342" spans="1:4" x14ac:dyDescent="0.2">
      <c r="A342" s="122">
        <v>206</v>
      </c>
      <c r="B342" s="123">
        <v>1276</v>
      </c>
      <c r="C342" s="124" t="s">
        <v>262</v>
      </c>
      <c r="D342" s="125" t="s">
        <v>462</v>
      </c>
    </row>
    <row r="343" spans="1:4" x14ac:dyDescent="0.2">
      <c r="A343" s="122">
        <v>207</v>
      </c>
      <c r="B343" s="123">
        <v>1277</v>
      </c>
      <c r="C343" s="124" t="s">
        <v>262</v>
      </c>
      <c r="D343" s="125" t="s">
        <v>462</v>
      </c>
    </row>
    <row r="344" spans="1:4" x14ac:dyDescent="0.2">
      <c r="A344" s="122">
        <v>207</v>
      </c>
      <c r="B344" s="123">
        <v>1278</v>
      </c>
      <c r="C344" s="124" t="s">
        <v>262</v>
      </c>
      <c r="D344" s="125" t="s">
        <v>462</v>
      </c>
    </row>
    <row r="345" spans="1:4" x14ac:dyDescent="0.2">
      <c r="A345" s="122">
        <v>208</v>
      </c>
      <c r="B345" s="123">
        <v>1279</v>
      </c>
      <c r="C345" s="124" t="s">
        <v>262</v>
      </c>
      <c r="D345" s="125" t="s">
        <v>462</v>
      </c>
    </row>
    <row r="346" spans="1:4" x14ac:dyDescent="0.2">
      <c r="A346" s="122">
        <v>208</v>
      </c>
      <c r="B346" s="123">
        <v>1280</v>
      </c>
      <c r="C346" s="124" t="s">
        <v>262</v>
      </c>
      <c r="D346" s="125" t="s">
        <v>462</v>
      </c>
    </row>
    <row r="347" spans="1:4" x14ac:dyDescent="0.2">
      <c r="A347" s="122">
        <v>209</v>
      </c>
      <c r="B347" s="123">
        <v>1286</v>
      </c>
      <c r="C347" s="124" t="s">
        <v>262</v>
      </c>
      <c r="D347" s="125">
        <v>2</v>
      </c>
    </row>
    <row r="348" spans="1:4" x14ac:dyDescent="0.2">
      <c r="A348" s="122">
        <v>209</v>
      </c>
      <c r="B348" s="123">
        <v>1287</v>
      </c>
      <c r="C348" s="124" t="s">
        <v>262</v>
      </c>
      <c r="D348" s="125">
        <v>1</v>
      </c>
    </row>
    <row r="349" spans="1:4" x14ac:dyDescent="0.2">
      <c r="A349" s="122">
        <v>210</v>
      </c>
      <c r="B349" s="123">
        <v>1293</v>
      </c>
      <c r="C349" s="124" t="s">
        <v>262</v>
      </c>
      <c r="D349" s="125">
        <v>2</v>
      </c>
    </row>
    <row r="350" spans="1:4" x14ac:dyDescent="0.2">
      <c r="A350" s="122">
        <v>210</v>
      </c>
      <c r="B350" s="123">
        <v>1294</v>
      </c>
      <c r="C350" s="124" t="s">
        <v>262</v>
      </c>
      <c r="D350" s="125">
        <v>1</v>
      </c>
    </row>
    <row r="351" spans="1:4" x14ac:dyDescent="0.2">
      <c r="A351" s="122">
        <v>211</v>
      </c>
      <c r="B351" s="123">
        <v>1295</v>
      </c>
      <c r="C351" s="124" t="s">
        <v>262</v>
      </c>
      <c r="D351" s="125">
        <v>2</v>
      </c>
    </row>
    <row r="352" spans="1:4" x14ac:dyDescent="0.2">
      <c r="A352" s="122">
        <v>211</v>
      </c>
      <c r="B352" s="123">
        <v>1296</v>
      </c>
      <c r="C352" s="124" t="s">
        <v>262</v>
      </c>
      <c r="D352" s="125">
        <v>1</v>
      </c>
    </row>
    <row r="353" spans="1:4" x14ac:dyDescent="0.2">
      <c r="A353" s="122">
        <v>212</v>
      </c>
      <c r="B353" s="123">
        <v>1297</v>
      </c>
      <c r="C353" s="124" t="s">
        <v>262</v>
      </c>
      <c r="D353" s="125">
        <v>2</v>
      </c>
    </row>
    <row r="354" spans="1:4" x14ac:dyDescent="0.2">
      <c r="A354" s="122">
        <v>212</v>
      </c>
      <c r="B354" s="123">
        <v>1298</v>
      </c>
      <c r="C354" s="124" t="s">
        <v>262</v>
      </c>
      <c r="D354" s="125">
        <v>1</v>
      </c>
    </row>
    <row r="355" spans="1:4" x14ac:dyDescent="0.2">
      <c r="A355" s="122">
        <v>213</v>
      </c>
      <c r="B355" s="123">
        <v>1299</v>
      </c>
      <c r="C355" s="124" t="s">
        <v>262</v>
      </c>
      <c r="D355" s="125">
        <v>2</v>
      </c>
    </row>
    <row r="356" spans="1:4" x14ac:dyDescent="0.2">
      <c r="A356" s="122">
        <v>213</v>
      </c>
      <c r="B356" s="123">
        <v>1300</v>
      </c>
      <c r="C356" s="124" t="s">
        <v>262</v>
      </c>
      <c r="D356" s="125">
        <v>1</v>
      </c>
    </row>
    <row r="357" spans="1:4" x14ac:dyDescent="0.2">
      <c r="A357" s="122">
        <v>214</v>
      </c>
      <c r="B357" s="123">
        <v>1326</v>
      </c>
      <c r="C357" s="124" t="s">
        <v>262</v>
      </c>
      <c r="D357" s="125">
        <v>2</v>
      </c>
    </row>
    <row r="358" spans="1:4" x14ac:dyDescent="0.2">
      <c r="A358" s="122">
        <v>214</v>
      </c>
      <c r="B358" s="123">
        <v>1327</v>
      </c>
      <c r="C358" s="124" t="s">
        <v>262</v>
      </c>
      <c r="D358" s="125">
        <v>1</v>
      </c>
    </row>
    <row r="359" spans="1:4" x14ac:dyDescent="0.2">
      <c r="A359" s="122">
        <v>215</v>
      </c>
      <c r="B359" s="123">
        <v>1328</v>
      </c>
      <c r="C359" s="124" t="s">
        <v>262</v>
      </c>
      <c r="D359" s="125">
        <v>2</v>
      </c>
    </row>
    <row r="360" spans="1:4" x14ac:dyDescent="0.2">
      <c r="A360" s="122">
        <v>215</v>
      </c>
      <c r="B360" s="123">
        <v>1329</v>
      </c>
      <c r="C360" s="124" t="s">
        <v>262</v>
      </c>
      <c r="D360" s="125">
        <v>1</v>
      </c>
    </row>
    <row r="361" spans="1:4" x14ac:dyDescent="0.2">
      <c r="A361" s="122">
        <v>216</v>
      </c>
      <c r="B361" s="123">
        <v>1330</v>
      </c>
      <c r="C361" s="124" t="s">
        <v>262</v>
      </c>
      <c r="D361" s="125">
        <v>2</v>
      </c>
    </row>
    <row r="362" spans="1:4" x14ac:dyDescent="0.2">
      <c r="A362" s="122">
        <v>216</v>
      </c>
      <c r="B362" s="123">
        <v>1331</v>
      </c>
      <c r="C362" s="124" t="s">
        <v>262</v>
      </c>
      <c r="D362" s="125">
        <v>1</v>
      </c>
    </row>
    <row r="363" spans="1:4" x14ac:dyDescent="0.2">
      <c r="A363" s="122">
        <v>217</v>
      </c>
      <c r="B363" s="123">
        <v>1332</v>
      </c>
      <c r="C363" s="124" t="s">
        <v>262</v>
      </c>
      <c r="D363" s="125">
        <v>2</v>
      </c>
    </row>
    <row r="364" spans="1:4" x14ac:dyDescent="0.2">
      <c r="A364" s="122">
        <v>217</v>
      </c>
      <c r="B364" s="123">
        <v>1333</v>
      </c>
      <c r="C364" s="124" t="s">
        <v>262</v>
      </c>
      <c r="D364" s="125">
        <v>1</v>
      </c>
    </row>
    <row r="365" spans="1:4" x14ac:dyDescent="0.2">
      <c r="A365" s="122">
        <v>218</v>
      </c>
      <c r="B365" s="123">
        <v>1334</v>
      </c>
      <c r="C365" s="124" t="s">
        <v>262</v>
      </c>
      <c r="D365" s="125">
        <v>2</v>
      </c>
    </row>
    <row r="366" spans="1:4" x14ac:dyDescent="0.2">
      <c r="A366" s="122">
        <v>218</v>
      </c>
      <c r="B366" s="123">
        <v>1335</v>
      </c>
      <c r="C366" s="124" t="s">
        <v>262</v>
      </c>
      <c r="D366" s="125">
        <v>1</v>
      </c>
    </row>
    <row r="367" spans="1:4" x14ac:dyDescent="0.2">
      <c r="A367" s="122">
        <v>219</v>
      </c>
      <c r="B367" s="123">
        <v>1336</v>
      </c>
      <c r="C367" s="124" t="s">
        <v>262</v>
      </c>
      <c r="D367" s="125">
        <v>2</v>
      </c>
    </row>
    <row r="368" spans="1:4" x14ac:dyDescent="0.2">
      <c r="A368" s="122">
        <v>219</v>
      </c>
      <c r="B368" s="123">
        <v>1337</v>
      </c>
      <c r="C368" s="124" t="s">
        <v>262</v>
      </c>
      <c r="D368" s="125">
        <v>1</v>
      </c>
    </row>
    <row r="369" spans="1:4" x14ac:dyDescent="0.2">
      <c r="A369" s="122">
        <v>220</v>
      </c>
      <c r="B369" s="123">
        <v>1338</v>
      </c>
      <c r="C369" s="124" t="s">
        <v>262</v>
      </c>
      <c r="D369" s="125">
        <v>2</v>
      </c>
    </row>
    <row r="370" spans="1:4" x14ac:dyDescent="0.2">
      <c r="A370" s="122">
        <v>220</v>
      </c>
      <c r="B370" s="123">
        <v>1339</v>
      </c>
      <c r="C370" s="124" t="s">
        <v>262</v>
      </c>
      <c r="D370" s="125">
        <v>1</v>
      </c>
    </row>
    <row r="371" spans="1:4" x14ac:dyDescent="0.2">
      <c r="A371" s="122">
        <v>221</v>
      </c>
      <c r="B371" s="123">
        <v>1340</v>
      </c>
      <c r="C371" s="124" t="s">
        <v>262</v>
      </c>
      <c r="D371" s="125">
        <v>2</v>
      </c>
    </row>
    <row r="372" spans="1:4" x14ac:dyDescent="0.2">
      <c r="A372" s="122">
        <v>221</v>
      </c>
      <c r="B372" s="123">
        <v>1341</v>
      </c>
      <c r="C372" s="124" t="s">
        <v>262</v>
      </c>
      <c r="D372" s="125">
        <v>1</v>
      </c>
    </row>
    <row r="373" spans="1:4" x14ac:dyDescent="0.2">
      <c r="A373" s="122">
        <v>222</v>
      </c>
      <c r="B373" s="123">
        <v>1342</v>
      </c>
      <c r="C373" s="124" t="s">
        <v>262</v>
      </c>
      <c r="D373" s="125">
        <v>2</v>
      </c>
    </row>
    <row r="374" spans="1:4" x14ac:dyDescent="0.2">
      <c r="A374" s="122">
        <v>222</v>
      </c>
      <c r="B374" s="123">
        <v>1343</v>
      </c>
      <c r="C374" s="124" t="s">
        <v>262</v>
      </c>
      <c r="D374" s="125">
        <v>1</v>
      </c>
    </row>
    <row r="375" spans="1:4" x14ac:dyDescent="0.2">
      <c r="A375" s="122">
        <v>223</v>
      </c>
      <c r="B375" s="123">
        <v>1344</v>
      </c>
      <c r="C375" s="124" t="s">
        <v>262</v>
      </c>
      <c r="D375" s="125">
        <v>2</v>
      </c>
    </row>
    <row r="376" spans="1:4" x14ac:dyDescent="0.2">
      <c r="A376" s="122">
        <v>223</v>
      </c>
      <c r="B376" s="123">
        <v>1345</v>
      </c>
      <c r="C376" s="124" t="s">
        <v>262</v>
      </c>
      <c r="D376" s="125">
        <v>1</v>
      </c>
    </row>
    <row r="377" spans="1:4" x14ac:dyDescent="0.2">
      <c r="A377" s="122">
        <v>224</v>
      </c>
      <c r="B377" s="123">
        <v>1353</v>
      </c>
      <c r="C377" s="124" t="s">
        <v>262</v>
      </c>
      <c r="D377" s="125">
        <v>2</v>
      </c>
    </row>
    <row r="378" spans="1:4" x14ac:dyDescent="0.2">
      <c r="A378" s="122">
        <v>224</v>
      </c>
      <c r="B378" s="123">
        <v>1354</v>
      </c>
      <c r="C378" s="124" t="s">
        <v>262</v>
      </c>
      <c r="D378" s="125">
        <v>1</v>
      </c>
    </row>
    <row r="379" spans="1:4" x14ac:dyDescent="0.2">
      <c r="A379" s="122">
        <v>225</v>
      </c>
      <c r="B379" s="123">
        <v>1355</v>
      </c>
      <c r="C379" s="124" t="s">
        <v>262</v>
      </c>
      <c r="D379" s="125">
        <v>2</v>
      </c>
    </row>
    <row r="380" spans="1:4" x14ac:dyDescent="0.2">
      <c r="A380" s="122">
        <v>225</v>
      </c>
      <c r="B380" s="123">
        <v>1356</v>
      </c>
      <c r="C380" s="124" t="s">
        <v>262</v>
      </c>
      <c r="D380" s="125">
        <v>1</v>
      </c>
    </row>
    <row r="381" spans="1:4" x14ac:dyDescent="0.2">
      <c r="A381" s="122">
        <v>226</v>
      </c>
      <c r="B381" s="123">
        <v>1357</v>
      </c>
      <c r="C381" s="124" t="s">
        <v>262</v>
      </c>
      <c r="D381" s="125">
        <v>2</v>
      </c>
    </row>
    <row r="382" spans="1:4" x14ac:dyDescent="0.2">
      <c r="A382" s="122">
        <v>226</v>
      </c>
      <c r="B382" s="123">
        <v>1358</v>
      </c>
      <c r="C382" s="124" t="s">
        <v>262</v>
      </c>
      <c r="D382" s="125">
        <v>1</v>
      </c>
    </row>
    <row r="383" spans="1:4" x14ac:dyDescent="0.2">
      <c r="A383" s="122">
        <v>227</v>
      </c>
      <c r="B383" s="123">
        <v>1359</v>
      </c>
      <c r="C383" s="124" t="s">
        <v>262</v>
      </c>
      <c r="D383" s="125">
        <v>2</v>
      </c>
    </row>
    <row r="384" spans="1:4" x14ac:dyDescent="0.2">
      <c r="A384" s="122">
        <v>227</v>
      </c>
      <c r="B384" s="123">
        <v>1360</v>
      </c>
      <c r="C384" s="124" t="s">
        <v>262</v>
      </c>
      <c r="D384" s="125">
        <v>1</v>
      </c>
    </row>
    <row r="385" spans="1:4" x14ac:dyDescent="0.2">
      <c r="A385" s="122">
        <v>228</v>
      </c>
      <c r="B385" s="123">
        <v>1361</v>
      </c>
      <c r="C385" s="124" t="s">
        <v>273</v>
      </c>
      <c r="D385" s="125" t="s">
        <v>224</v>
      </c>
    </row>
    <row r="386" spans="1:4" x14ac:dyDescent="0.2">
      <c r="A386" s="122">
        <v>228</v>
      </c>
      <c r="B386" s="123">
        <v>1399</v>
      </c>
      <c r="C386" s="124" t="s">
        <v>273</v>
      </c>
      <c r="D386" s="125" t="s">
        <v>224</v>
      </c>
    </row>
    <row r="387" spans="1:4" x14ac:dyDescent="0.2">
      <c r="A387" s="122">
        <v>229</v>
      </c>
      <c r="B387" s="123">
        <v>1362</v>
      </c>
      <c r="C387" s="124" t="s">
        <v>273</v>
      </c>
      <c r="D387" s="125" t="s">
        <v>224</v>
      </c>
    </row>
    <row r="388" spans="1:4" x14ac:dyDescent="0.2">
      <c r="A388" s="122">
        <v>229</v>
      </c>
      <c r="B388" s="123">
        <v>1400</v>
      </c>
      <c r="C388" s="124" t="s">
        <v>273</v>
      </c>
      <c r="D388" s="125" t="s">
        <v>224</v>
      </c>
    </row>
    <row r="389" spans="1:4" x14ac:dyDescent="0.2">
      <c r="A389" s="122">
        <v>230</v>
      </c>
      <c r="B389" s="123">
        <v>1363</v>
      </c>
      <c r="C389" s="124" t="s">
        <v>262</v>
      </c>
      <c r="D389" s="125" t="s">
        <v>224</v>
      </c>
    </row>
    <row r="390" spans="1:4" x14ac:dyDescent="0.2">
      <c r="A390" s="122">
        <v>230</v>
      </c>
      <c r="B390" s="123">
        <v>1401</v>
      </c>
      <c r="C390" s="124" t="s">
        <v>262</v>
      </c>
      <c r="D390" s="125" t="s">
        <v>224</v>
      </c>
    </row>
    <row r="391" spans="1:4" x14ac:dyDescent="0.2">
      <c r="A391" s="122">
        <v>231</v>
      </c>
      <c r="B391" s="123">
        <v>1371</v>
      </c>
      <c r="C391" s="124" t="s">
        <v>250</v>
      </c>
      <c r="D391" s="125">
        <v>2</v>
      </c>
    </row>
    <row r="392" spans="1:4" x14ac:dyDescent="0.2">
      <c r="A392" s="122">
        <v>231</v>
      </c>
      <c r="B392" s="123">
        <v>1372</v>
      </c>
      <c r="C392" s="124" t="s">
        <v>250</v>
      </c>
      <c r="D392" s="125">
        <v>1</v>
      </c>
    </row>
    <row r="393" spans="1:4" x14ac:dyDescent="0.2">
      <c r="A393" s="122">
        <v>233</v>
      </c>
      <c r="B393" s="123">
        <v>1375</v>
      </c>
      <c r="C393" s="124" t="s">
        <v>250</v>
      </c>
      <c r="D393" s="125">
        <v>2</v>
      </c>
    </row>
    <row r="394" spans="1:4" x14ac:dyDescent="0.2">
      <c r="A394" s="122">
        <v>233</v>
      </c>
      <c r="B394" s="123">
        <v>1376</v>
      </c>
      <c r="C394" s="124" t="s">
        <v>250</v>
      </c>
      <c r="D394" s="125">
        <v>1</v>
      </c>
    </row>
    <row r="395" spans="1:4" x14ac:dyDescent="0.2">
      <c r="A395" s="122">
        <v>234</v>
      </c>
      <c r="B395" s="123">
        <v>1377</v>
      </c>
      <c r="C395" s="124" t="s">
        <v>250</v>
      </c>
      <c r="D395" s="125">
        <v>2</v>
      </c>
    </row>
    <row r="396" spans="1:4" x14ac:dyDescent="0.2">
      <c r="A396" s="122">
        <v>234</v>
      </c>
      <c r="B396" s="123">
        <v>1378</v>
      </c>
      <c r="C396" s="124" t="s">
        <v>250</v>
      </c>
      <c r="D396" s="125">
        <v>1</v>
      </c>
    </row>
    <row r="397" spans="1:4" x14ac:dyDescent="0.2">
      <c r="A397" s="122">
        <v>235</v>
      </c>
      <c r="B397" s="123">
        <v>1379</v>
      </c>
      <c r="C397" s="124" t="s">
        <v>250</v>
      </c>
      <c r="D397" s="125">
        <v>2</v>
      </c>
    </row>
    <row r="398" spans="1:4" x14ac:dyDescent="0.2">
      <c r="A398" s="122">
        <v>235</v>
      </c>
      <c r="B398" s="123">
        <v>1380</v>
      </c>
      <c r="C398" s="124" t="s">
        <v>250</v>
      </c>
      <c r="D398" s="125">
        <v>1</v>
      </c>
    </row>
    <row r="399" spans="1:4" x14ac:dyDescent="0.2">
      <c r="A399" s="122">
        <v>236</v>
      </c>
      <c r="B399" s="123">
        <v>1381</v>
      </c>
      <c r="C399" s="124" t="s">
        <v>250</v>
      </c>
      <c r="D399" s="125">
        <v>2</v>
      </c>
    </row>
    <row r="400" spans="1:4" x14ac:dyDescent="0.2">
      <c r="A400" s="122">
        <v>236</v>
      </c>
      <c r="B400" s="123">
        <v>1382</v>
      </c>
      <c r="C400" s="124" t="s">
        <v>250</v>
      </c>
      <c r="D400" s="125">
        <v>1</v>
      </c>
    </row>
    <row r="401" spans="1:4" x14ac:dyDescent="0.2">
      <c r="A401" s="122">
        <v>237</v>
      </c>
      <c r="B401" s="123">
        <v>1383</v>
      </c>
      <c r="C401" s="124" t="s">
        <v>250</v>
      </c>
      <c r="D401" s="125">
        <v>2</v>
      </c>
    </row>
    <row r="402" spans="1:4" x14ac:dyDescent="0.2">
      <c r="A402" s="122">
        <v>237</v>
      </c>
      <c r="B402" s="123">
        <v>1384</v>
      </c>
      <c r="C402" s="124" t="s">
        <v>250</v>
      </c>
      <c r="D402" s="125">
        <v>1</v>
      </c>
    </row>
    <row r="403" spans="1:4" x14ac:dyDescent="0.2">
      <c r="A403" s="122">
        <v>238</v>
      </c>
      <c r="B403" s="123">
        <v>1385</v>
      </c>
      <c r="C403" s="124" t="s">
        <v>262</v>
      </c>
      <c r="D403" s="125">
        <v>2</v>
      </c>
    </row>
    <row r="404" spans="1:4" x14ac:dyDescent="0.2">
      <c r="A404" s="122">
        <v>238</v>
      </c>
      <c r="B404" s="123">
        <v>1386</v>
      </c>
      <c r="C404" s="124" t="s">
        <v>262</v>
      </c>
      <c r="D404" s="125">
        <v>1</v>
      </c>
    </row>
    <row r="405" spans="1:4" x14ac:dyDescent="0.2">
      <c r="A405" s="122">
        <v>241</v>
      </c>
      <c r="B405" s="123">
        <v>1042</v>
      </c>
      <c r="C405" s="124" t="s">
        <v>274</v>
      </c>
      <c r="D405" s="125">
        <v>2</v>
      </c>
    </row>
    <row r="406" spans="1:4" x14ac:dyDescent="0.2">
      <c r="A406" s="122">
        <v>241</v>
      </c>
      <c r="B406" s="123">
        <v>1043</v>
      </c>
      <c r="C406" s="124" t="s">
        <v>274</v>
      </c>
      <c r="D406" s="125">
        <v>1</v>
      </c>
    </row>
    <row r="407" spans="1:4" x14ac:dyDescent="0.2">
      <c r="A407" s="122">
        <v>242</v>
      </c>
      <c r="B407" s="123">
        <v>44</v>
      </c>
      <c r="C407" s="124" t="s">
        <v>275</v>
      </c>
      <c r="D407" s="125">
        <v>1</v>
      </c>
    </row>
    <row r="408" spans="1:4" x14ac:dyDescent="0.2">
      <c r="A408" s="122">
        <v>242</v>
      </c>
      <c r="B408" s="123">
        <v>208</v>
      </c>
      <c r="C408" s="124" t="s">
        <v>275</v>
      </c>
      <c r="D408" s="125">
        <v>2</v>
      </c>
    </row>
    <row r="409" spans="1:4" x14ac:dyDescent="0.2">
      <c r="A409" s="122">
        <v>243</v>
      </c>
      <c r="B409" s="123">
        <v>21</v>
      </c>
      <c r="C409" s="124" t="s">
        <v>276</v>
      </c>
      <c r="D409" s="125">
        <v>1</v>
      </c>
    </row>
    <row r="410" spans="1:4" x14ac:dyDescent="0.2">
      <c r="A410" s="122">
        <v>243</v>
      </c>
      <c r="B410" s="123">
        <v>231</v>
      </c>
      <c r="C410" s="124" t="s">
        <v>276</v>
      </c>
      <c r="D410" s="125" t="s">
        <v>466</v>
      </c>
    </row>
    <row r="411" spans="1:4" x14ac:dyDescent="0.2">
      <c r="A411" s="122">
        <v>244</v>
      </c>
      <c r="B411" s="123">
        <v>40</v>
      </c>
      <c r="C411" s="124" t="s">
        <v>262</v>
      </c>
      <c r="D411" s="125">
        <v>1</v>
      </c>
    </row>
    <row r="412" spans="1:4" x14ac:dyDescent="0.2">
      <c r="A412" s="122">
        <v>244</v>
      </c>
      <c r="B412" s="123">
        <v>206</v>
      </c>
      <c r="C412" s="124" t="s">
        <v>262</v>
      </c>
      <c r="D412" s="125">
        <v>2</v>
      </c>
    </row>
    <row r="413" spans="1:4" x14ac:dyDescent="0.2">
      <c r="A413" s="122">
        <v>245</v>
      </c>
      <c r="B413" s="123">
        <v>1012</v>
      </c>
      <c r="C413" s="124" t="s">
        <v>275</v>
      </c>
      <c r="D413" s="125">
        <v>2</v>
      </c>
    </row>
    <row r="414" spans="1:4" x14ac:dyDescent="0.2">
      <c r="A414" s="122">
        <v>245</v>
      </c>
      <c r="B414" s="123">
        <v>1013</v>
      </c>
      <c r="C414" s="124" t="s">
        <v>275</v>
      </c>
      <c r="D414" s="125">
        <v>1</v>
      </c>
    </row>
    <row r="415" spans="1:4" x14ac:dyDescent="0.2">
      <c r="A415" s="122">
        <v>246</v>
      </c>
      <c r="B415" s="123">
        <v>160</v>
      </c>
      <c r="C415" s="124" t="s">
        <v>277</v>
      </c>
      <c r="D415" s="125">
        <v>2</v>
      </c>
    </row>
    <row r="416" spans="1:4" x14ac:dyDescent="0.2">
      <c r="A416" s="122">
        <v>246</v>
      </c>
      <c r="B416" s="123">
        <v>276</v>
      </c>
      <c r="C416" s="124" t="s">
        <v>277</v>
      </c>
      <c r="D416" s="125">
        <v>1</v>
      </c>
    </row>
    <row r="417" spans="1:4" x14ac:dyDescent="0.2">
      <c r="A417" s="122">
        <v>246</v>
      </c>
      <c r="B417" s="123">
        <v>277</v>
      </c>
      <c r="C417" s="124" t="s">
        <v>277</v>
      </c>
      <c r="D417" s="125">
        <v>1</v>
      </c>
    </row>
    <row r="418" spans="1:4" x14ac:dyDescent="0.2">
      <c r="A418" s="122">
        <v>247</v>
      </c>
      <c r="B418" s="123">
        <v>1288</v>
      </c>
      <c r="C418" s="124" t="s">
        <v>275</v>
      </c>
      <c r="D418" s="125">
        <v>1</v>
      </c>
    </row>
    <row r="419" spans="1:4" x14ac:dyDescent="0.2">
      <c r="A419" s="122">
        <v>247</v>
      </c>
      <c r="B419" s="123">
        <v>1289</v>
      </c>
      <c r="C419" s="124" t="s">
        <v>275</v>
      </c>
      <c r="D419" s="125">
        <v>2</v>
      </c>
    </row>
    <row r="420" spans="1:4" x14ac:dyDescent="0.2">
      <c r="A420" s="122">
        <v>248</v>
      </c>
      <c r="B420" s="123">
        <v>1174</v>
      </c>
      <c r="C420" s="124" t="s">
        <v>262</v>
      </c>
      <c r="D420" s="125">
        <v>1</v>
      </c>
    </row>
    <row r="421" spans="1:4" x14ac:dyDescent="0.2">
      <c r="A421" s="122">
        <v>248</v>
      </c>
      <c r="B421" s="123">
        <v>1175</v>
      </c>
      <c r="C421" s="124" t="s">
        <v>262</v>
      </c>
      <c r="D421" s="125">
        <v>2</v>
      </c>
    </row>
    <row r="422" spans="1:4" x14ac:dyDescent="0.2">
      <c r="A422" s="122">
        <v>249</v>
      </c>
      <c r="B422" s="123">
        <v>1351</v>
      </c>
      <c r="C422" s="124" t="s">
        <v>275</v>
      </c>
      <c r="D422" s="125">
        <v>2</v>
      </c>
    </row>
    <row r="423" spans="1:4" x14ac:dyDescent="0.2">
      <c r="A423" s="122">
        <v>249</v>
      </c>
      <c r="B423" s="123">
        <v>1352</v>
      </c>
      <c r="C423" s="124" t="s">
        <v>275</v>
      </c>
      <c r="D423" s="125">
        <v>1</v>
      </c>
    </row>
    <row r="424" spans="1:4" x14ac:dyDescent="0.2">
      <c r="A424" s="122">
        <v>250</v>
      </c>
      <c r="B424" s="123">
        <v>206</v>
      </c>
      <c r="C424" s="124" t="s">
        <v>278</v>
      </c>
      <c r="D424" s="125" t="s">
        <v>224</v>
      </c>
    </row>
    <row r="425" spans="1:4" x14ac:dyDescent="0.2">
      <c r="A425" s="122">
        <v>251</v>
      </c>
      <c r="B425" s="123">
        <v>210</v>
      </c>
      <c r="C425" s="124" t="s">
        <v>278</v>
      </c>
      <c r="D425" s="125" t="s">
        <v>224</v>
      </c>
    </row>
    <row r="426" spans="1:4" x14ac:dyDescent="0.2">
      <c r="A426" s="122">
        <v>252</v>
      </c>
      <c r="B426" s="123">
        <v>212</v>
      </c>
      <c r="C426" s="124" t="s">
        <v>278</v>
      </c>
      <c r="D426" s="125" t="s">
        <v>224</v>
      </c>
    </row>
    <row r="427" spans="1:4" x14ac:dyDescent="0.2">
      <c r="A427" s="122">
        <v>253</v>
      </c>
      <c r="B427" s="123">
        <v>1290</v>
      </c>
      <c r="C427" s="124" t="s">
        <v>278</v>
      </c>
      <c r="D427" s="125" t="s">
        <v>224</v>
      </c>
    </row>
    <row r="428" spans="1:4" x14ac:dyDescent="0.2">
      <c r="A428" s="122">
        <v>254</v>
      </c>
      <c r="B428" s="123">
        <v>1316</v>
      </c>
      <c r="C428" s="124" t="s">
        <v>279</v>
      </c>
      <c r="D428" s="125">
        <v>2</v>
      </c>
    </row>
    <row r="429" spans="1:4" x14ac:dyDescent="0.2">
      <c r="A429" s="122">
        <v>254</v>
      </c>
      <c r="B429" s="123">
        <v>1317</v>
      </c>
      <c r="C429" s="124" t="s">
        <v>279</v>
      </c>
      <c r="D429" s="125">
        <v>1</v>
      </c>
    </row>
    <row r="430" spans="1:4" x14ac:dyDescent="0.2">
      <c r="A430" s="122">
        <v>255</v>
      </c>
      <c r="B430" s="123">
        <v>1320</v>
      </c>
      <c r="C430" s="124" t="s">
        <v>280</v>
      </c>
      <c r="D430" s="125">
        <v>2</v>
      </c>
    </row>
    <row r="431" spans="1:4" x14ac:dyDescent="0.2">
      <c r="A431" s="122">
        <v>255</v>
      </c>
      <c r="B431" s="123">
        <v>1321</v>
      </c>
      <c r="C431" s="124" t="s">
        <v>280</v>
      </c>
      <c r="D431" s="125">
        <v>1</v>
      </c>
    </row>
    <row r="432" spans="1:4" x14ac:dyDescent="0.2">
      <c r="A432" s="122">
        <v>257</v>
      </c>
      <c r="B432" s="123">
        <v>57</v>
      </c>
      <c r="C432" s="124" t="s">
        <v>281</v>
      </c>
      <c r="D432" s="125">
        <v>1</v>
      </c>
    </row>
    <row r="433" spans="1:4" x14ac:dyDescent="0.2">
      <c r="A433" s="122">
        <v>257</v>
      </c>
      <c r="B433" s="123">
        <v>196</v>
      </c>
      <c r="C433" s="124" t="s">
        <v>281</v>
      </c>
      <c r="D433" s="125">
        <v>2</v>
      </c>
    </row>
    <row r="434" spans="1:4" x14ac:dyDescent="0.2">
      <c r="A434" s="122">
        <v>258</v>
      </c>
      <c r="B434" s="123">
        <v>56</v>
      </c>
      <c r="C434" s="124" t="s">
        <v>282</v>
      </c>
      <c r="D434" s="125">
        <v>1</v>
      </c>
    </row>
    <row r="435" spans="1:4" x14ac:dyDescent="0.2">
      <c r="A435" s="122">
        <v>258</v>
      </c>
      <c r="B435" s="123">
        <v>195</v>
      </c>
      <c r="C435" s="124" t="s">
        <v>282</v>
      </c>
      <c r="D435" s="125">
        <v>2</v>
      </c>
    </row>
    <row r="436" spans="1:4" x14ac:dyDescent="0.2">
      <c r="A436" s="122">
        <v>259</v>
      </c>
      <c r="B436" s="123">
        <v>94</v>
      </c>
      <c r="C436" s="124" t="s">
        <v>283</v>
      </c>
      <c r="D436" s="125">
        <v>1</v>
      </c>
    </row>
    <row r="437" spans="1:4" x14ac:dyDescent="0.2">
      <c r="A437" s="122">
        <v>259</v>
      </c>
      <c r="B437" s="123">
        <v>167</v>
      </c>
      <c r="C437" s="124" t="s">
        <v>283</v>
      </c>
      <c r="D437" s="125">
        <v>2</v>
      </c>
    </row>
    <row r="438" spans="1:4" x14ac:dyDescent="0.2">
      <c r="A438" s="122">
        <v>260</v>
      </c>
      <c r="B438" s="123">
        <v>59</v>
      </c>
      <c r="C438" s="124" t="s">
        <v>282</v>
      </c>
      <c r="D438" s="125" t="s">
        <v>462</v>
      </c>
    </row>
    <row r="439" spans="1:4" x14ac:dyDescent="0.2">
      <c r="A439" s="122">
        <v>260</v>
      </c>
      <c r="B439" s="123">
        <v>191</v>
      </c>
      <c r="C439" s="124" t="s">
        <v>282</v>
      </c>
      <c r="D439" s="125" t="s">
        <v>462</v>
      </c>
    </row>
    <row r="440" spans="1:4" x14ac:dyDescent="0.2">
      <c r="A440" s="122">
        <v>261</v>
      </c>
      <c r="B440" s="123">
        <v>55</v>
      </c>
      <c r="C440" s="124" t="s">
        <v>282</v>
      </c>
      <c r="D440" s="125">
        <v>1</v>
      </c>
    </row>
    <row r="441" spans="1:4" x14ac:dyDescent="0.2">
      <c r="A441" s="122">
        <v>261</v>
      </c>
      <c r="B441" s="123">
        <v>194</v>
      </c>
      <c r="C441" s="124" t="s">
        <v>282</v>
      </c>
      <c r="D441" s="125" t="s">
        <v>465</v>
      </c>
    </row>
    <row r="442" spans="1:4" x14ac:dyDescent="0.2">
      <c r="A442" s="122">
        <v>262</v>
      </c>
      <c r="B442" s="123">
        <v>57</v>
      </c>
      <c r="C442" s="124" t="s">
        <v>282</v>
      </c>
      <c r="D442" s="125">
        <v>1</v>
      </c>
    </row>
    <row r="443" spans="1:4" x14ac:dyDescent="0.2">
      <c r="A443" s="122">
        <v>262</v>
      </c>
      <c r="B443" s="123">
        <v>196</v>
      </c>
      <c r="C443" s="124" t="s">
        <v>282</v>
      </c>
      <c r="D443" s="125" t="s">
        <v>467</v>
      </c>
    </row>
    <row r="444" spans="1:4" x14ac:dyDescent="0.2">
      <c r="A444" s="122">
        <v>263</v>
      </c>
      <c r="B444" s="123">
        <v>1010</v>
      </c>
      <c r="C444" s="124" t="s">
        <v>282</v>
      </c>
      <c r="D444" s="125">
        <v>2</v>
      </c>
    </row>
    <row r="445" spans="1:4" x14ac:dyDescent="0.2">
      <c r="A445" s="122">
        <v>263</v>
      </c>
      <c r="B445" s="123">
        <v>1011</v>
      </c>
      <c r="C445" s="124" t="s">
        <v>282</v>
      </c>
      <c r="D445" s="125">
        <v>1</v>
      </c>
    </row>
    <row r="446" spans="1:4" x14ac:dyDescent="0.2">
      <c r="A446" s="122">
        <v>264</v>
      </c>
      <c r="B446" s="123">
        <v>1069</v>
      </c>
      <c r="C446" s="124" t="s">
        <v>282</v>
      </c>
      <c r="D446" s="125">
        <v>1</v>
      </c>
    </row>
    <row r="447" spans="1:4" x14ac:dyDescent="0.2">
      <c r="A447" s="122">
        <v>264</v>
      </c>
      <c r="B447" s="123">
        <v>1070</v>
      </c>
      <c r="C447" s="124" t="s">
        <v>282</v>
      </c>
      <c r="D447" s="125">
        <v>2</v>
      </c>
    </row>
    <row r="448" spans="1:4" x14ac:dyDescent="0.2">
      <c r="A448" s="122">
        <v>265</v>
      </c>
      <c r="B448" s="123">
        <v>190</v>
      </c>
      <c r="C448" s="124" t="s">
        <v>284</v>
      </c>
      <c r="D448" s="125" t="s">
        <v>464</v>
      </c>
    </row>
    <row r="449" spans="1:4" x14ac:dyDescent="0.2">
      <c r="A449" s="122">
        <v>266</v>
      </c>
      <c r="B449" s="123">
        <v>191</v>
      </c>
      <c r="C449" s="124" t="s">
        <v>284</v>
      </c>
      <c r="D449" s="125" t="s">
        <v>224</v>
      </c>
    </row>
    <row r="450" spans="1:4" x14ac:dyDescent="0.2">
      <c r="A450" s="122">
        <v>267</v>
      </c>
      <c r="B450" s="123">
        <v>192</v>
      </c>
      <c r="C450" s="124" t="s">
        <v>284</v>
      </c>
      <c r="D450" s="125" t="s">
        <v>224</v>
      </c>
    </row>
    <row r="451" spans="1:4" x14ac:dyDescent="0.2">
      <c r="A451" s="122">
        <v>268</v>
      </c>
      <c r="B451" s="123">
        <v>193</v>
      </c>
      <c r="C451" s="124" t="s">
        <v>284</v>
      </c>
      <c r="D451" s="125" t="s">
        <v>464</v>
      </c>
    </row>
    <row r="452" spans="1:4" x14ac:dyDescent="0.2">
      <c r="A452" s="122">
        <v>269</v>
      </c>
      <c r="B452" s="123">
        <v>194</v>
      </c>
      <c r="C452" s="124" t="s">
        <v>284</v>
      </c>
      <c r="D452" s="125" t="s">
        <v>224</v>
      </c>
    </row>
    <row r="453" spans="1:4" x14ac:dyDescent="0.2">
      <c r="A453" s="122">
        <v>270</v>
      </c>
      <c r="B453" s="123">
        <v>196</v>
      </c>
      <c r="C453" s="124" t="s">
        <v>284</v>
      </c>
      <c r="D453" s="125" t="s">
        <v>464</v>
      </c>
    </row>
    <row r="454" spans="1:4" x14ac:dyDescent="0.2">
      <c r="A454" s="122">
        <v>271</v>
      </c>
      <c r="B454" s="123">
        <v>1088</v>
      </c>
      <c r="C454" s="124" t="s">
        <v>284</v>
      </c>
      <c r="D454" s="125" t="s">
        <v>224</v>
      </c>
    </row>
    <row r="455" spans="1:4" x14ac:dyDescent="0.2">
      <c r="A455" s="122">
        <v>272</v>
      </c>
      <c r="B455" s="123">
        <v>1089</v>
      </c>
      <c r="C455" s="124" t="s">
        <v>284</v>
      </c>
      <c r="D455" s="125" t="s">
        <v>224</v>
      </c>
    </row>
    <row r="456" spans="1:4" x14ac:dyDescent="0.2">
      <c r="A456" s="122">
        <v>273</v>
      </c>
      <c r="B456" s="123">
        <v>1090</v>
      </c>
      <c r="C456" s="124" t="s">
        <v>284</v>
      </c>
      <c r="D456" s="125" t="s">
        <v>224</v>
      </c>
    </row>
    <row r="457" spans="1:4" x14ac:dyDescent="0.2">
      <c r="A457" s="122">
        <v>274</v>
      </c>
      <c r="B457" s="123">
        <v>1115</v>
      </c>
      <c r="C457" s="124" t="s">
        <v>284</v>
      </c>
      <c r="D457" s="125" t="s">
        <v>224</v>
      </c>
    </row>
    <row r="458" spans="1:4" x14ac:dyDescent="0.2">
      <c r="A458" s="122">
        <v>276</v>
      </c>
      <c r="B458" s="123">
        <v>1347</v>
      </c>
      <c r="C458" s="124" t="s">
        <v>284</v>
      </c>
      <c r="D458" s="125" t="s">
        <v>224</v>
      </c>
    </row>
    <row r="459" spans="1:4" x14ac:dyDescent="0.2">
      <c r="A459" s="122">
        <v>277</v>
      </c>
      <c r="B459" s="123">
        <v>52</v>
      </c>
      <c r="C459" s="124" t="s">
        <v>285</v>
      </c>
      <c r="D459" s="125" t="s">
        <v>224</v>
      </c>
    </row>
    <row r="460" spans="1:4" x14ac:dyDescent="0.2">
      <c r="A460" s="122">
        <v>278</v>
      </c>
      <c r="B460" s="123">
        <v>105</v>
      </c>
      <c r="C460" s="124" t="s">
        <v>286</v>
      </c>
      <c r="D460" s="125" t="s">
        <v>224</v>
      </c>
    </row>
    <row r="461" spans="1:4" x14ac:dyDescent="0.2">
      <c r="A461" s="122">
        <v>279</v>
      </c>
      <c r="B461" s="123">
        <v>16</v>
      </c>
      <c r="C461" s="124" t="s">
        <v>287</v>
      </c>
      <c r="D461" s="125" t="s">
        <v>224</v>
      </c>
    </row>
    <row r="462" spans="1:4" x14ac:dyDescent="0.2">
      <c r="A462" s="122">
        <v>280</v>
      </c>
      <c r="B462" s="123">
        <v>170</v>
      </c>
      <c r="C462" s="124" t="s">
        <v>288</v>
      </c>
      <c r="D462" s="125" t="s">
        <v>462</v>
      </c>
    </row>
    <row r="463" spans="1:4" x14ac:dyDescent="0.2">
      <c r="A463" s="122">
        <v>281</v>
      </c>
      <c r="B463" s="123">
        <v>11</v>
      </c>
      <c r="C463" s="124" t="s">
        <v>289</v>
      </c>
      <c r="D463" s="125">
        <v>2</v>
      </c>
    </row>
    <row r="464" spans="1:4" x14ac:dyDescent="0.2">
      <c r="A464" s="122">
        <v>281</v>
      </c>
      <c r="B464" s="123">
        <v>95</v>
      </c>
      <c r="C464" s="124" t="s">
        <v>289</v>
      </c>
      <c r="D464" s="125">
        <v>1</v>
      </c>
    </row>
    <row r="465" spans="1:4" x14ac:dyDescent="0.2">
      <c r="A465" s="122">
        <v>283</v>
      </c>
      <c r="B465" s="123">
        <v>1016</v>
      </c>
      <c r="C465" s="124" t="s">
        <v>290</v>
      </c>
      <c r="D465" s="125">
        <v>1</v>
      </c>
    </row>
    <row r="466" spans="1:4" x14ac:dyDescent="0.2">
      <c r="A466" s="122">
        <v>283</v>
      </c>
      <c r="B466" s="123">
        <v>1017</v>
      </c>
      <c r="C466" s="124" t="s">
        <v>290</v>
      </c>
      <c r="D466" s="125">
        <v>2</v>
      </c>
    </row>
    <row r="467" spans="1:4" x14ac:dyDescent="0.2">
      <c r="A467" s="122">
        <v>284</v>
      </c>
      <c r="B467" s="123">
        <v>177</v>
      </c>
      <c r="C467" s="124" t="s">
        <v>231</v>
      </c>
      <c r="D467" s="125" t="s">
        <v>224</v>
      </c>
    </row>
    <row r="468" spans="1:4" x14ac:dyDescent="0.2">
      <c r="A468" s="122">
        <v>285</v>
      </c>
      <c r="B468" s="123">
        <v>178</v>
      </c>
      <c r="C468" s="124" t="s">
        <v>231</v>
      </c>
      <c r="D468" s="125" t="s">
        <v>462</v>
      </c>
    </row>
    <row r="469" spans="1:4" x14ac:dyDescent="0.2">
      <c r="A469" s="122">
        <v>286</v>
      </c>
      <c r="B469" s="123">
        <v>103</v>
      </c>
      <c r="C469" s="124" t="s">
        <v>291</v>
      </c>
      <c r="D469" s="125" t="s">
        <v>224</v>
      </c>
    </row>
    <row r="470" spans="1:4" x14ac:dyDescent="0.2">
      <c r="A470" s="122">
        <v>287</v>
      </c>
      <c r="B470" s="123">
        <v>1364</v>
      </c>
      <c r="C470" s="124" t="s">
        <v>292</v>
      </c>
      <c r="D470" s="125" t="s">
        <v>224</v>
      </c>
    </row>
    <row r="471" spans="1:4" x14ac:dyDescent="0.2">
      <c r="A471" s="122">
        <v>287</v>
      </c>
      <c r="B471" s="123">
        <v>1402</v>
      </c>
      <c r="C471" s="124" t="s">
        <v>292</v>
      </c>
      <c r="D471" s="125" t="s">
        <v>224</v>
      </c>
    </row>
    <row r="472" spans="1:4" x14ac:dyDescent="0.2">
      <c r="A472" s="122">
        <v>288</v>
      </c>
      <c r="B472" s="123">
        <v>1036</v>
      </c>
      <c r="C472" s="124" t="s">
        <v>293</v>
      </c>
      <c r="D472" s="125" t="s">
        <v>224</v>
      </c>
    </row>
    <row r="473" spans="1:4" x14ac:dyDescent="0.2">
      <c r="A473" s="122">
        <v>289</v>
      </c>
      <c r="B473" s="123">
        <v>1041</v>
      </c>
      <c r="C473" s="124" t="s">
        <v>293</v>
      </c>
      <c r="D473" s="125" t="s">
        <v>224</v>
      </c>
    </row>
    <row r="474" spans="1:4" x14ac:dyDescent="0.2">
      <c r="A474" s="122">
        <v>290</v>
      </c>
      <c r="B474" s="123">
        <v>1050</v>
      </c>
      <c r="C474" s="124" t="s">
        <v>293</v>
      </c>
      <c r="D474" s="125" t="s">
        <v>224</v>
      </c>
    </row>
    <row r="475" spans="1:4" x14ac:dyDescent="0.2">
      <c r="A475" s="122">
        <v>291</v>
      </c>
      <c r="B475" s="123">
        <v>1051</v>
      </c>
      <c r="C475" s="124" t="s">
        <v>293</v>
      </c>
      <c r="D475" s="125" t="s">
        <v>224</v>
      </c>
    </row>
    <row r="476" spans="1:4" x14ac:dyDescent="0.2">
      <c r="A476" s="122">
        <v>292</v>
      </c>
      <c r="B476" s="123">
        <v>1052</v>
      </c>
      <c r="C476" s="124" t="s">
        <v>293</v>
      </c>
      <c r="D476" s="125" t="s">
        <v>224</v>
      </c>
    </row>
    <row r="477" spans="1:4" x14ac:dyDescent="0.2">
      <c r="A477" s="122">
        <v>297</v>
      </c>
      <c r="B477" s="123">
        <v>1367</v>
      </c>
      <c r="C477" s="124" t="s">
        <v>293</v>
      </c>
      <c r="D477" s="125" t="s">
        <v>224</v>
      </c>
    </row>
    <row r="478" spans="1:4" x14ac:dyDescent="0.2">
      <c r="A478" s="122">
        <v>298</v>
      </c>
      <c r="B478" s="123">
        <v>1368</v>
      </c>
      <c r="C478" s="124" t="s">
        <v>293</v>
      </c>
      <c r="D478" s="125" t="s">
        <v>224</v>
      </c>
    </row>
    <row r="479" spans="1:4" x14ac:dyDescent="0.2">
      <c r="A479" s="122">
        <v>299</v>
      </c>
      <c r="B479" s="123">
        <v>1053</v>
      </c>
      <c r="C479" s="124" t="s">
        <v>293</v>
      </c>
      <c r="D479" s="125" t="s">
        <v>224</v>
      </c>
    </row>
    <row r="480" spans="1:4" x14ac:dyDescent="0.2">
      <c r="A480" s="122">
        <v>300</v>
      </c>
      <c r="B480" s="123">
        <v>1080</v>
      </c>
      <c r="C480" s="124" t="s">
        <v>294</v>
      </c>
      <c r="D480" s="125">
        <v>1</v>
      </c>
    </row>
    <row r="481" spans="1:4" x14ac:dyDescent="0.2">
      <c r="A481" s="122">
        <v>300</v>
      </c>
      <c r="B481" s="123">
        <v>1081</v>
      </c>
      <c r="C481" s="124" t="s">
        <v>294</v>
      </c>
      <c r="D481" s="125">
        <v>1</v>
      </c>
    </row>
    <row r="482" spans="1:4" x14ac:dyDescent="0.2">
      <c r="A482" s="122">
        <v>301</v>
      </c>
      <c r="B482" s="123">
        <v>1095</v>
      </c>
      <c r="C482" s="124" t="s">
        <v>295</v>
      </c>
      <c r="D482" s="125">
        <v>1</v>
      </c>
    </row>
    <row r="483" spans="1:4" x14ac:dyDescent="0.2">
      <c r="A483" s="122">
        <v>301</v>
      </c>
      <c r="B483" s="123">
        <v>1096</v>
      </c>
      <c r="C483" s="124" t="s">
        <v>295</v>
      </c>
      <c r="D483" s="125">
        <v>1</v>
      </c>
    </row>
    <row r="484" spans="1:4" x14ac:dyDescent="0.2">
      <c r="A484" s="122">
        <v>302</v>
      </c>
      <c r="B484" s="123">
        <v>1101</v>
      </c>
      <c r="C484" s="124" t="s">
        <v>296</v>
      </c>
      <c r="D484" s="125">
        <v>1</v>
      </c>
    </row>
    <row r="485" spans="1:4" x14ac:dyDescent="0.2">
      <c r="A485" s="122">
        <v>302</v>
      </c>
      <c r="B485" s="123">
        <v>1102</v>
      </c>
      <c r="C485" s="124" t="s">
        <v>296</v>
      </c>
      <c r="D485" s="125">
        <v>1</v>
      </c>
    </row>
    <row r="486" spans="1:4" x14ac:dyDescent="0.2">
      <c r="A486" s="122">
        <v>303</v>
      </c>
      <c r="B486" s="123">
        <v>1054</v>
      </c>
      <c r="C486" s="124" t="s">
        <v>293</v>
      </c>
      <c r="D486" s="125" t="s">
        <v>224</v>
      </c>
    </row>
    <row r="487" spans="1:4" x14ac:dyDescent="0.2">
      <c r="A487" s="122">
        <v>304</v>
      </c>
      <c r="B487" s="123">
        <v>1083</v>
      </c>
      <c r="C487" s="124" t="s">
        <v>293</v>
      </c>
      <c r="D487" s="125" t="s">
        <v>224</v>
      </c>
    </row>
    <row r="488" spans="1:4" x14ac:dyDescent="0.2">
      <c r="A488" s="122">
        <v>305</v>
      </c>
      <c r="B488" s="123">
        <v>1084</v>
      </c>
      <c r="C488" s="124" t="s">
        <v>297</v>
      </c>
      <c r="D488" s="125">
        <v>1</v>
      </c>
    </row>
    <row r="489" spans="1:4" x14ac:dyDescent="0.2">
      <c r="A489" s="122">
        <v>305</v>
      </c>
      <c r="B489" s="123">
        <v>1085</v>
      </c>
      <c r="C489" s="124" t="s">
        <v>297</v>
      </c>
      <c r="D489" s="125">
        <v>2</v>
      </c>
    </row>
    <row r="490" spans="1:4" x14ac:dyDescent="0.2">
      <c r="A490" s="122">
        <v>306</v>
      </c>
      <c r="B490" s="123">
        <v>1086</v>
      </c>
      <c r="C490" s="124" t="s">
        <v>297</v>
      </c>
      <c r="D490" s="125">
        <v>1</v>
      </c>
    </row>
    <row r="491" spans="1:4" x14ac:dyDescent="0.2">
      <c r="A491" s="122">
        <v>306</v>
      </c>
      <c r="B491" s="123">
        <v>1087</v>
      </c>
      <c r="C491" s="124" t="s">
        <v>297</v>
      </c>
      <c r="D491" s="125">
        <v>2</v>
      </c>
    </row>
    <row r="492" spans="1:4" x14ac:dyDescent="0.2">
      <c r="A492" s="122">
        <v>307</v>
      </c>
      <c r="B492" s="123">
        <v>1091</v>
      </c>
      <c r="C492" s="124" t="s">
        <v>297</v>
      </c>
      <c r="D492" s="125">
        <v>1</v>
      </c>
    </row>
    <row r="493" spans="1:4" x14ac:dyDescent="0.2">
      <c r="A493" s="122">
        <v>307</v>
      </c>
      <c r="B493" s="123">
        <v>1092</v>
      </c>
      <c r="C493" s="124" t="s">
        <v>297</v>
      </c>
      <c r="D493" s="125">
        <v>2</v>
      </c>
    </row>
    <row r="494" spans="1:4" x14ac:dyDescent="0.2">
      <c r="A494" s="122">
        <v>308</v>
      </c>
      <c r="B494" s="123">
        <v>1093</v>
      </c>
      <c r="C494" s="124" t="s">
        <v>297</v>
      </c>
      <c r="D494" s="125">
        <v>1</v>
      </c>
    </row>
    <row r="495" spans="1:4" x14ac:dyDescent="0.2">
      <c r="A495" s="122">
        <v>308</v>
      </c>
      <c r="B495" s="123">
        <v>1094</v>
      </c>
      <c r="C495" s="124" t="s">
        <v>297</v>
      </c>
      <c r="D495" s="125">
        <v>2</v>
      </c>
    </row>
    <row r="496" spans="1:4" x14ac:dyDescent="0.2">
      <c r="A496" s="122">
        <v>309</v>
      </c>
      <c r="B496" s="123">
        <v>1098</v>
      </c>
      <c r="C496" s="124" t="s">
        <v>298</v>
      </c>
      <c r="D496" s="125">
        <v>1</v>
      </c>
    </row>
    <row r="497" spans="1:4" x14ac:dyDescent="0.2">
      <c r="A497" s="122">
        <v>309</v>
      </c>
      <c r="B497" s="123">
        <v>1099</v>
      </c>
      <c r="C497" s="124" t="s">
        <v>298</v>
      </c>
      <c r="D497" s="125">
        <v>1</v>
      </c>
    </row>
    <row r="498" spans="1:4" x14ac:dyDescent="0.2">
      <c r="A498" s="122">
        <v>310</v>
      </c>
      <c r="B498" s="123">
        <v>1155</v>
      </c>
      <c r="C498" s="124" t="s">
        <v>299</v>
      </c>
      <c r="D498" s="125">
        <v>2</v>
      </c>
    </row>
    <row r="499" spans="1:4" x14ac:dyDescent="0.2">
      <c r="A499" s="122">
        <v>310</v>
      </c>
      <c r="B499" s="123">
        <v>1156</v>
      </c>
      <c r="C499" s="124" t="s">
        <v>299</v>
      </c>
      <c r="D499" s="125">
        <v>1</v>
      </c>
    </row>
    <row r="500" spans="1:4" x14ac:dyDescent="0.2">
      <c r="A500" s="122">
        <v>312</v>
      </c>
      <c r="B500" s="123">
        <v>1154</v>
      </c>
      <c r="C500" s="124" t="s">
        <v>300</v>
      </c>
      <c r="D500" s="125">
        <v>2</v>
      </c>
    </row>
    <row r="501" spans="1:4" x14ac:dyDescent="0.2">
      <c r="A501" s="122">
        <v>313</v>
      </c>
      <c r="B501" s="123">
        <v>1006</v>
      </c>
      <c r="C501" s="124" t="s">
        <v>301</v>
      </c>
      <c r="D501" s="125" t="s">
        <v>224</v>
      </c>
    </row>
    <row r="502" spans="1:4" x14ac:dyDescent="0.2">
      <c r="A502" s="122">
        <v>314</v>
      </c>
      <c r="B502" s="123">
        <v>104</v>
      </c>
      <c r="C502" s="124" t="s">
        <v>302</v>
      </c>
      <c r="D502" s="125" t="s">
        <v>462</v>
      </c>
    </row>
    <row r="503" spans="1:4" x14ac:dyDescent="0.2">
      <c r="A503" s="122">
        <v>315</v>
      </c>
      <c r="B503" s="123">
        <v>178</v>
      </c>
      <c r="C503" s="124" t="s">
        <v>303</v>
      </c>
      <c r="D503" s="125" t="s">
        <v>462</v>
      </c>
    </row>
    <row r="504" spans="1:4" x14ac:dyDescent="0.2">
      <c r="A504" s="122">
        <v>315</v>
      </c>
      <c r="B504" s="123">
        <v>227</v>
      </c>
      <c r="C504" s="124" t="s">
        <v>303</v>
      </c>
      <c r="D504" s="125" t="s">
        <v>462</v>
      </c>
    </row>
    <row r="505" spans="1:4" x14ac:dyDescent="0.2">
      <c r="A505" s="122">
        <v>316</v>
      </c>
      <c r="B505" s="123">
        <v>53</v>
      </c>
      <c r="C505" s="124" t="s">
        <v>304</v>
      </c>
      <c r="D505" s="125">
        <v>2</v>
      </c>
    </row>
    <row r="506" spans="1:4" x14ac:dyDescent="0.2">
      <c r="A506" s="122">
        <v>316</v>
      </c>
      <c r="B506" s="123">
        <v>198</v>
      </c>
      <c r="C506" s="124" t="s">
        <v>304</v>
      </c>
      <c r="D506" s="125">
        <v>1</v>
      </c>
    </row>
    <row r="507" spans="1:4" x14ac:dyDescent="0.2">
      <c r="A507" s="122">
        <v>317</v>
      </c>
      <c r="B507" s="123">
        <v>70</v>
      </c>
      <c r="C507" s="124" t="s">
        <v>304</v>
      </c>
      <c r="D507" s="125" t="s">
        <v>467</v>
      </c>
    </row>
    <row r="508" spans="1:4" x14ac:dyDescent="0.2">
      <c r="A508" s="122">
        <v>317</v>
      </c>
      <c r="B508" s="123">
        <v>183</v>
      </c>
      <c r="C508" s="124" t="s">
        <v>304</v>
      </c>
      <c r="D508" s="125" t="s">
        <v>468</v>
      </c>
    </row>
    <row r="509" spans="1:4" x14ac:dyDescent="0.2">
      <c r="A509" s="122">
        <v>318</v>
      </c>
      <c r="B509" s="123">
        <v>74</v>
      </c>
      <c r="C509" s="124" t="s">
        <v>304</v>
      </c>
      <c r="D509" s="125">
        <v>1</v>
      </c>
    </row>
    <row r="510" spans="1:4" x14ac:dyDescent="0.2">
      <c r="A510" s="122">
        <v>318</v>
      </c>
      <c r="B510" s="123">
        <v>180</v>
      </c>
      <c r="C510" s="124" t="s">
        <v>304</v>
      </c>
      <c r="D510" s="125">
        <v>1</v>
      </c>
    </row>
    <row r="511" spans="1:4" x14ac:dyDescent="0.2">
      <c r="A511" s="122">
        <v>319</v>
      </c>
      <c r="B511" s="123">
        <v>71</v>
      </c>
      <c r="C511" s="124" t="s">
        <v>305</v>
      </c>
      <c r="D511" s="125" t="s">
        <v>471</v>
      </c>
    </row>
    <row r="512" spans="1:4" x14ac:dyDescent="0.2">
      <c r="A512" s="122">
        <v>319</v>
      </c>
      <c r="B512" s="123">
        <v>183</v>
      </c>
      <c r="C512" s="124" t="s">
        <v>305</v>
      </c>
      <c r="D512" s="125" t="s">
        <v>469</v>
      </c>
    </row>
    <row r="513" spans="1:4" x14ac:dyDescent="0.2">
      <c r="A513" s="122">
        <v>320</v>
      </c>
      <c r="B513" s="123">
        <v>72</v>
      </c>
      <c r="C513" s="124" t="s">
        <v>304</v>
      </c>
      <c r="D513" s="125">
        <v>2</v>
      </c>
    </row>
    <row r="514" spans="1:4" x14ac:dyDescent="0.2">
      <c r="A514" s="122">
        <v>320</v>
      </c>
      <c r="B514" s="123">
        <v>184</v>
      </c>
      <c r="C514" s="124" t="s">
        <v>304</v>
      </c>
      <c r="D514" s="125">
        <v>1</v>
      </c>
    </row>
    <row r="515" spans="1:4" x14ac:dyDescent="0.2">
      <c r="A515" s="122">
        <v>321</v>
      </c>
      <c r="B515" s="123">
        <v>1004</v>
      </c>
      <c r="C515" s="124" t="s">
        <v>304</v>
      </c>
      <c r="D515" s="125">
        <v>1</v>
      </c>
    </row>
    <row r="516" spans="1:4" x14ac:dyDescent="0.2">
      <c r="A516" s="122">
        <v>321</v>
      </c>
      <c r="B516" s="123">
        <v>1005</v>
      </c>
      <c r="C516" s="124" t="s">
        <v>304</v>
      </c>
      <c r="D516" s="125">
        <v>1</v>
      </c>
    </row>
    <row r="517" spans="1:4" x14ac:dyDescent="0.2">
      <c r="A517" s="122">
        <v>322</v>
      </c>
      <c r="B517" s="123">
        <v>1073</v>
      </c>
      <c r="C517" s="124" t="s">
        <v>304</v>
      </c>
      <c r="D517" s="125">
        <v>1</v>
      </c>
    </row>
    <row r="518" spans="1:4" x14ac:dyDescent="0.2">
      <c r="A518" s="122">
        <v>322</v>
      </c>
      <c r="B518" s="123">
        <v>1074</v>
      </c>
      <c r="C518" s="124" t="s">
        <v>304</v>
      </c>
      <c r="D518" s="125">
        <v>1</v>
      </c>
    </row>
    <row r="519" spans="1:4" x14ac:dyDescent="0.2">
      <c r="A519" s="122">
        <v>323</v>
      </c>
      <c r="B519" s="123">
        <v>1284</v>
      </c>
      <c r="C519" s="124" t="s">
        <v>304</v>
      </c>
      <c r="D519" s="125">
        <v>1</v>
      </c>
    </row>
    <row r="520" spans="1:4" x14ac:dyDescent="0.2">
      <c r="A520" s="122">
        <v>323</v>
      </c>
      <c r="B520" s="123">
        <v>1285</v>
      </c>
      <c r="C520" s="124" t="s">
        <v>304</v>
      </c>
      <c r="D520" s="125" t="s">
        <v>470</v>
      </c>
    </row>
    <row r="521" spans="1:4" x14ac:dyDescent="0.2">
      <c r="A521" s="122">
        <v>324</v>
      </c>
      <c r="B521" s="123">
        <v>1007</v>
      </c>
      <c r="C521" s="124" t="s">
        <v>306</v>
      </c>
      <c r="D521" s="125">
        <v>1</v>
      </c>
    </row>
    <row r="522" spans="1:4" x14ac:dyDescent="0.2">
      <c r="A522" s="122">
        <v>325</v>
      </c>
      <c r="B522" s="123">
        <v>183</v>
      </c>
      <c r="C522" s="124" t="s">
        <v>307</v>
      </c>
      <c r="D522" s="125">
        <v>1</v>
      </c>
    </row>
    <row r="523" spans="1:4" x14ac:dyDescent="0.2">
      <c r="A523" s="122">
        <v>325</v>
      </c>
      <c r="B523" s="123">
        <v>186</v>
      </c>
      <c r="C523" s="124" t="s">
        <v>307</v>
      </c>
      <c r="D523" s="125">
        <v>1</v>
      </c>
    </row>
    <row r="524" spans="1:4" x14ac:dyDescent="0.2">
      <c r="A524" s="122">
        <v>325</v>
      </c>
      <c r="B524" s="123">
        <v>206</v>
      </c>
      <c r="C524" s="124" t="s">
        <v>307</v>
      </c>
      <c r="D524" s="125">
        <v>2</v>
      </c>
    </row>
    <row r="525" spans="1:4" x14ac:dyDescent="0.2">
      <c r="A525" s="122">
        <v>326</v>
      </c>
      <c r="B525" s="123">
        <v>184</v>
      </c>
      <c r="C525" s="124" t="s">
        <v>307</v>
      </c>
      <c r="D525" s="125">
        <v>1</v>
      </c>
    </row>
    <row r="526" spans="1:4" x14ac:dyDescent="0.2">
      <c r="A526" s="122">
        <v>326</v>
      </c>
      <c r="B526" s="123">
        <v>187</v>
      </c>
      <c r="C526" s="124" t="s">
        <v>307</v>
      </c>
      <c r="D526" s="125" t="s">
        <v>467</v>
      </c>
    </row>
    <row r="527" spans="1:4" x14ac:dyDescent="0.2">
      <c r="A527" s="122">
        <v>326</v>
      </c>
      <c r="B527" s="123">
        <v>210</v>
      </c>
      <c r="C527" s="124" t="s">
        <v>307</v>
      </c>
      <c r="D527" s="125" t="s">
        <v>467</v>
      </c>
    </row>
    <row r="528" spans="1:4" x14ac:dyDescent="0.2">
      <c r="A528" s="122">
        <v>327</v>
      </c>
      <c r="B528" s="123">
        <v>135</v>
      </c>
      <c r="C528" s="124" t="s">
        <v>307</v>
      </c>
      <c r="D528" s="125">
        <v>1</v>
      </c>
    </row>
    <row r="529" spans="1:4" x14ac:dyDescent="0.2">
      <c r="A529" s="122">
        <v>327</v>
      </c>
      <c r="B529" s="123">
        <v>198</v>
      </c>
      <c r="C529" s="124" t="s">
        <v>307</v>
      </c>
      <c r="D529" s="125">
        <v>1</v>
      </c>
    </row>
    <row r="530" spans="1:4" x14ac:dyDescent="0.2">
      <c r="A530" s="122">
        <v>327</v>
      </c>
      <c r="B530" s="123">
        <v>222</v>
      </c>
      <c r="C530" s="124" t="s">
        <v>307</v>
      </c>
      <c r="D530" s="125">
        <v>2</v>
      </c>
    </row>
    <row r="531" spans="1:4" x14ac:dyDescent="0.2">
      <c r="A531" s="122">
        <v>328</v>
      </c>
      <c r="B531" s="123">
        <v>1022</v>
      </c>
      <c r="C531" s="124" t="s">
        <v>307</v>
      </c>
      <c r="D531" s="125">
        <v>1</v>
      </c>
    </row>
    <row r="532" spans="1:4" x14ac:dyDescent="0.2">
      <c r="A532" s="122">
        <v>328</v>
      </c>
      <c r="B532" s="123">
        <v>1023</v>
      </c>
      <c r="C532" s="124" t="s">
        <v>307</v>
      </c>
      <c r="D532" s="125">
        <v>2</v>
      </c>
    </row>
    <row r="533" spans="1:4" x14ac:dyDescent="0.2">
      <c r="A533" s="122">
        <v>328</v>
      </c>
      <c r="B533" s="123">
        <v>1024</v>
      </c>
      <c r="C533" s="124" t="s">
        <v>307</v>
      </c>
      <c r="D533" s="125">
        <v>1</v>
      </c>
    </row>
    <row r="534" spans="1:4" x14ac:dyDescent="0.2">
      <c r="A534" s="122">
        <v>329</v>
      </c>
      <c r="B534" s="123">
        <v>1027</v>
      </c>
      <c r="C534" s="124" t="s">
        <v>307</v>
      </c>
      <c r="D534" s="125">
        <v>1</v>
      </c>
    </row>
    <row r="535" spans="1:4" x14ac:dyDescent="0.2">
      <c r="A535" s="122">
        <v>329</v>
      </c>
      <c r="B535" s="123">
        <v>1028</v>
      </c>
      <c r="C535" s="124" t="s">
        <v>307</v>
      </c>
      <c r="D535" s="125">
        <v>2</v>
      </c>
    </row>
    <row r="536" spans="1:4" x14ac:dyDescent="0.2">
      <c r="A536" s="122">
        <v>329</v>
      </c>
      <c r="B536" s="123">
        <v>1029</v>
      </c>
      <c r="C536" s="124" t="s">
        <v>307</v>
      </c>
      <c r="D536" s="125">
        <v>1</v>
      </c>
    </row>
    <row r="537" spans="1:4" x14ac:dyDescent="0.2">
      <c r="A537" s="122">
        <v>330</v>
      </c>
      <c r="B537" s="123">
        <v>1075</v>
      </c>
      <c r="C537" s="124" t="s">
        <v>307</v>
      </c>
      <c r="D537" s="125">
        <v>2</v>
      </c>
    </row>
    <row r="538" spans="1:4" x14ac:dyDescent="0.2">
      <c r="A538" s="122">
        <v>330</v>
      </c>
      <c r="B538" s="123">
        <v>1076</v>
      </c>
      <c r="C538" s="124" t="s">
        <v>307</v>
      </c>
      <c r="D538" s="125">
        <v>1</v>
      </c>
    </row>
    <row r="539" spans="1:4" x14ac:dyDescent="0.2">
      <c r="A539" s="122">
        <v>330</v>
      </c>
      <c r="B539" s="123">
        <v>1077</v>
      </c>
      <c r="C539" s="124" t="s">
        <v>307</v>
      </c>
      <c r="D539" s="125">
        <v>2</v>
      </c>
    </row>
    <row r="540" spans="1:4" x14ac:dyDescent="0.2">
      <c r="A540" s="122">
        <v>331</v>
      </c>
      <c r="B540" s="123">
        <v>1167</v>
      </c>
      <c r="C540" s="124" t="s">
        <v>307</v>
      </c>
      <c r="D540" s="125">
        <v>1</v>
      </c>
    </row>
    <row r="541" spans="1:4" x14ac:dyDescent="0.2">
      <c r="A541" s="122">
        <v>331</v>
      </c>
      <c r="B541" s="123">
        <v>1168</v>
      </c>
      <c r="C541" s="124" t="s">
        <v>307</v>
      </c>
      <c r="D541" s="125">
        <v>1</v>
      </c>
    </row>
    <row r="542" spans="1:4" x14ac:dyDescent="0.2">
      <c r="A542" s="122">
        <v>331</v>
      </c>
      <c r="B542" s="123">
        <v>1169</v>
      </c>
      <c r="C542" s="124" t="s">
        <v>307</v>
      </c>
      <c r="D542" s="125">
        <v>2</v>
      </c>
    </row>
    <row r="543" spans="1:4" x14ac:dyDescent="0.2">
      <c r="A543" s="122">
        <v>332</v>
      </c>
      <c r="B543" s="123">
        <v>1235</v>
      </c>
      <c r="C543" s="124" t="s">
        <v>307</v>
      </c>
      <c r="D543" s="125" t="s">
        <v>462</v>
      </c>
    </row>
    <row r="544" spans="1:4" x14ac:dyDescent="0.2">
      <c r="A544" s="122">
        <v>332</v>
      </c>
      <c r="B544" s="123">
        <v>1236</v>
      </c>
      <c r="C544" s="124" t="s">
        <v>307</v>
      </c>
      <c r="D544" s="125" t="s">
        <v>462</v>
      </c>
    </row>
    <row r="545" spans="1:4" x14ac:dyDescent="0.2">
      <c r="A545" s="122">
        <v>332</v>
      </c>
      <c r="B545" s="123">
        <v>1237</v>
      </c>
      <c r="C545" s="124" t="s">
        <v>307</v>
      </c>
      <c r="D545" s="125" t="s">
        <v>462</v>
      </c>
    </row>
    <row r="546" spans="1:4" x14ac:dyDescent="0.2">
      <c r="A546" s="122">
        <v>334</v>
      </c>
      <c r="B546" s="123">
        <v>1131</v>
      </c>
      <c r="C546" s="124" t="s">
        <v>308</v>
      </c>
      <c r="D546" s="125">
        <v>1</v>
      </c>
    </row>
    <row r="547" spans="1:4" x14ac:dyDescent="0.2">
      <c r="A547" s="122">
        <v>334</v>
      </c>
      <c r="B547" s="123">
        <v>1132</v>
      </c>
      <c r="C547" s="124" t="s">
        <v>308</v>
      </c>
      <c r="D547" s="125">
        <v>1</v>
      </c>
    </row>
    <row r="548" spans="1:4" x14ac:dyDescent="0.2">
      <c r="A548" s="122">
        <v>334</v>
      </c>
      <c r="B548" s="123">
        <v>1133</v>
      </c>
      <c r="C548" s="124" t="s">
        <v>308</v>
      </c>
      <c r="D548" s="125">
        <v>2</v>
      </c>
    </row>
    <row r="549" spans="1:4" x14ac:dyDescent="0.2">
      <c r="A549" s="122">
        <v>335</v>
      </c>
      <c r="B549" s="123">
        <v>18</v>
      </c>
      <c r="C549" s="124" t="s">
        <v>309</v>
      </c>
      <c r="D549" s="125">
        <v>1</v>
      </c>
    </row>
    <row r="550" spans="1:4" x14ac:dyDescent="0.2">
      <c r="A550" s="122">
        <v>336</v>
      </c>
      <c r="B550" s="123">
        <v>20</v>
      </c>
      <c r="C550" s="124" t="s">
        <v>310</v>
      </c>
      <c r="D550" s="125" t="s">
        <v>224</v>
      </c>
    </row>
    <row r="551" spans="1:4" x14ac:dyDescent="0.2">
      <c r="A551" s="122">
        <v>337</v>
      </c>
      <c r="B551" s="123">
        <v>82</v>
      </c>
      <c r="C551" s="124" t="s">
        <v>310</v>
      </c>
      <c r="D551" s="125" t="s">
        <v>224</v>
      </c>
    </row>
    <row r="552" spans="1:4" x14ac:dyDescent="0.2">
      <c r="A552" s="122">
        <v>338</v>
      </c>
      <c r="B552" s="123">
        <v>1365</v>
      </c>
      <c r="C552" s="124" t="s">
        <v>311</v>
      </c>
      <c r="D552" s="125">
        <v>2</v>
      </c>
    </row>
    <row r="553" spans="1:4" x14ac:dyDescent="0.2">
      <c r="A553" s="122">
        <v>338</v>
      </c>
      <c r="B553" s="123">
        <v>1366</v>
      </c>
      <c r="C553" s="124" t="s">
        <v>311</v>
      </c>
      <c r="D553" s="125">
        <v>1</v>
      </c>
    </row>
    <row r="554" spans="1:4" x14ac:dyDescent="0.2">
      <c r="A554" s="122">
        <v>339</v>
      </c>
      <c r="B554" s="123">
        <v>1025</v>
      </c>
      <c r="C554" s="124" t="s">
        <v>312</v>
      </c>
      <c r="D554" s="125" t="s">
        <v>224</v>
      </c>
    </row>
    <row r="555" spans="1:4" x14ac:dyDescent="0.2">
      <c r="A555" s="122">
        <v>340</v>
      </c>
      <c r="B555" s="123">
        <v>1030</v>
      </c>
      <c r="C555" s="124" t="s">
        <v>312</v>
      </c>
      <c r="D555" s="125" t="s">
        <v>224</v>
      </c>
    </row>
    <row r="556" spans="1:4" x14ac:dyDescent="0.2">
      <c r="A556" s="122">
        <v>341</v>
      </c>
      <c r="B556" s="123">
        <v>1032</v>
      </c>
      <c r="C556" s="124" t="s">
        <v>312</v>
      </c>
      <c r="D556" s="125" t="s">
        <v>224</v>
      </c>
    </row>
    <row r="557" spans="1:4" x14ac:dyDescent="0.2">
      <c r="A557" s="122">
        <v>342</v>
      </c>
      <c r="B557" s="123">
        <v>1123</v>
      </c>
      <c r="C557" s="124" t="s">
        <v>313</v>
      </c>
      <c r="D557" s="125">
        <v>2</v>
      </c>
    </row>
    <row r="558" spans="1:4" x14ac:dyDescent="0.2">
      <c r="A558" s="122">
        <v>343</v>
      </c>
      <c r="B558" s="123">
        <v>1134</v>
      </c>
      <c r="C558" s="124" t="s">
        <v>314</v>
      </c>
      <c r="D558" s="125">
        <v>2</v>
      </c>
    </row>
    <row r="559" spans="1:4" x14ac:dyDescent="0.2">
      <c r="A559" s="122">
        <v>344</v>
      </c>
      <c r="B559" s="123">
        <v>1135</v>
      </c>
      <c r="C559" s="124" t="s">
        <v>315</v>
      </c>
      <c r="D559" s="125">
        <v>1</v>
      </c>
    </row>
    <row r="560" spans="1:4" x14ac:dyDescent="0.2">
      <c r="A560" s="122">
        <v>344</v>
      </c>
      <c r="B560" s="123">
        <v>1136</v>
      </c>
      <c r="C560" s="124" t="s">
        <v>315</v>
      </c>
      <c r="D560" s="125" t="s">
        <v>224</v>
      </c>
    </row>
    <row r="561" spans="1:4" x14ac:dyDescent="0.2">
      <c r="A561" s="122">
        <v>344</v>
      </c>
      <c r="B561" s="123">
        <v>1137</v>
      </c>
      <c r="C561" s="124" t="s">
        <v>315</v>
      </c>
      <c r="D561" s="125">
        <v>2</v>
      </c>
    </row>
    <row r="562" spans="1:4" x14ac:dyDescent="0.2">
      <c r="A562" s="122">
        <v>345</v>
      </c>
      <c r="B562" s="123">
        <v>1138</v>
      </c>
      <c r="C562" s="124" t="s">
        <v>316</v>
      </c>
      <c r="D562" s="125">
        <v>2</v>
      </c>
    </row>
    <row r="563" spans="1:4" x14ac:dyDescent="0.2">
      <c r="A563" s="122">
        <v>346</v>
      </c>
      <c r="B563" s="123">
        <v>1130</v>
      </c>
      <c r="C563" s="124" t="s">
        <v>317</v>
      </c>
      <c r="D563" s="125" t="s">
        <v>464</v>
      </c>
    </row>
    <row r="564" spans="1:4" x14ac:dyDescent="0.2">
      <c r="A564" s="122">
        <v>347</v>
      </c>
      <c r="B564" s="123">
        <v>48</v>
      </c>
      <c r="C564" s="124" t="s">
        <v>318</v>
      </c>
      <c r="D564" s="125" t="s">
        <v>224</v>
      </c>
    </row>
    <row r="565" spans="1:4" x14ac:dyDescent="0.2">
      <c r="A565" s="122">
        <v>348</v>
      </c>
      <c r="B565" s="123">
        <v>49</v>
      </c>
      <c r="C565" s="124" t="s">
        <v>318</v>
      </c>
      <c r="D565" s="125" t="s">
        <v>224</v>
      </c>
    </row>
    <row r="566" spans="1:4" x14ac:dyDescent="0.2">
      <c r="A566" s="122">
        <v>349</v>
      </c>
      <c r="B566" s="123">
        <v>50</v>
      </c>
      <c r="C566" s="124" t="s">
        <v>262</v>
      </c>
      <c r="D566" s="125">
        <v>1</v>
      </c>
    </row>
    <row r="567" spans="1:4" x14ac:dyDescent="0.2">
      <c r="A567" s="122">
        <v>349</v>
      </c>
      <c r="B567" s="123">
        <v>222</v>
      </c>
      <c r="C567" s="124" t="s">
        <v>262</v>
      </c>
      <c r="D567" s="125">
        <v>2</v>
      </c>
    </row>
    <row r="568" spans="1:4" x14ac:dyDescent="0.2">
      <c r="A568" s="122">
        <v>350</v>
      </c>
      <c r="B568" s="123">
        <v>1047</v>
      </c>
      <c r="C568" s="124" t="s">
        <v>319</v>
      </c>
      <c r="D568" s="125" t="s">
        <v>224</v>
      </c>
    </row>
    <row r="569" spans="1:4" x14ac:dyDescent="0.2">
      <c r="A569" s="122">
        <v>351</v>
      </c>
      <c r="B569" s="123">
        <v>1082</v>
      </c>
      <c r="C569" s="124" t="s">
        <v>320</v>
      </c>
      <c r="D569" s="125">
        <v>1</v>
      </c>
    </row>
    <row r="570" spans="1:4" x14ac:dyDescent="0.2">
      <c r="A570" s="122">
        <v>352</v>
      </c>
      <c r="B570" s="123">
        <v>1097</v>
      </c>
      <c r="C570" s="124" t="s">
        <v>321</v>
      </c>
      <c r="D570" s="125">
        <v>1</v>
      </c>
    </row>
    <row r="571" spans="1:4" x14ac:dyDescent="0.2">
      <c r="A571" s="122">
        <v>353</v>
      </c>
      <c r="B571" s="123">
        <v>1103</v>
      </c>
      <c r="C571" s="124" t="s">
        <v>322</v>
      </c>
      <c r="D571" s="125">
        <v>1</v>
      </c>
    </row>
    <row r="572" spans="1:4" x14ac:dyDescent="0.2">
      <c r="A572" s="122">
        <v>354</v>
      </c>
      <c r="B572" s="123">
        <v>64</v>
      </c>
      <c r="C572" s="124" t="s">
        <v>238</v>
      </c>
      <c r="D572" s="125" t="s">
        <v>462</v>
      </c>
    </row>
    <row r="573" spans="1:4" x14ac:dyDescent="0.2">
      <c r="A573" s="122">
        <v>355</v>
      </c>
      <c r="B573" s="123">
        <v>1392</v>
      </c>
      <c r="C573" s="124" t="s">
        <v>323</v>
      </c>
      <c r="D573" s="125">
        <v>1</v>
      </c>
    </row>
    <row r="574" spans="1:4" x14ac:dyDescent="0.2">
      <c r="A574" s="122">
        <v>355</v>
      </c>
      <c r="B574" s="123">
        <v>1393</v>
      </c>
      <c r="C574" s="124" t="s">
        <v>323</v>
      </c>
      <c r="D574" s="125">
        <v>1</v>
      </c>
    </row>
    <row r="575" spans="1:4" x14ac:dyDescent="0.2">
      <c r="A575" s="122">
        <v>357</v>
      </c>
      <c r="B575" s="123">
        <v>1200</v>
      </c>
      <c r="C575" s="124" t="s">
        <v>324</v>
      </c>
      <c r="D575" s="125" t="s">
        <v>462</v>
      </c>
    </row>
    <row r="576" spans="1:4" x14ac:dyDescent="0.2">
      <c r="A576" s="122">
        <v>357</v>
      </c>
      <c r="B576" s="123">
        <v>1201</v>
      </c>
      <c r="C576" s="124" t="s">
        <v>324</v>
      </c>
      <c r="D576" s="125" t="s">
        <v>462</v>
      </c>
    </row>
    <row r="577" spans="1:4" x14ac:dyDescent="0.2">
      <c r="A577" s="122">
        <v>358</v>
      </c>
      <c r="B577" s="123">
        <v>1202</v>
      </c>
      <c r="C577" s="124" t="s">
        <v>324</v>
      </c>
      <c r="D577" s="125" t="s">
        <v>462</v>
      </c>
    </row>
    <row r="578" spans="1:4" x14ac:dyDescent="0.2">
      <c r="A578" s="122">
        <v>358</v>
      </c>
      <c r="B578" s="123">
        <v>1203</v>
      </c>
      <c r="C578" s="124" t="s">
        <v>324</v>
      </c>
      <c r="D578" s="125" t="s">
        <v>462</v>
      </c>
    </row>
    <row r="579" spans="1:4" x14ac:dyDescent="0.2">
      <c r="A579" s="122">
        <v>359</v>
      </c>
      <c r="B579" s="123">
        <v>1204</v>
      </c>
      <c r="C579" s="124" t="s">
        <v>324</v>
      </c>
      <c r="D579" s="125" t="s">
        <v>462</v>
      </c>
    </row>
    <row r="580" spans="1:4" x14ac:dyDescent="0.2">
      <c r="A580" s="122">
        <v>359</v>
      </c>
      <c r="B580" s="123">
        <v>1205</v>
      </c>
      <c r="C580" s="124" t="s">
        <v>324</v>
      </c>
      <c r="D580" s="125" t="s">
        <v>462</v>
      </c>
    </row>
    <row r="581" spans="1:4" x14ac:dyDescent="0.2">
      <c r="A581" s="122">
        <v>360</v>
      </c>
      <c r="B581" s="123">
        <v>1206</v>
      </c>
      <c r="C581" s="124" t="s">
        <v>324</v>
      </c>
      <c r="D581" s="125" t="s">
        <v>462</v>
      </c>
    </row>
    <row r="582" spans="1:4" x14ac:dyDescent="0.2">
      <c r="A582" s="122">
        <v>360</v>
      </c>
      <c r="B582" s="123">
        <v>1207</v>
      </c>
      <c r="C582" s="124" t="s">
        <v>324</v>
      </c>
      <c r="D582" s="125" t="s">
        <v>462</v>
      </c>
    </row>
    <row r="583" spans="1:4" x14ac:dyDescent="0.2">
      <c r="A583" s="122">
        <v>361</v>
      </c>
      <c r="B583" s="123">
        <v>1208</v>
      </c>
      <c r="C583" s="124" t="s">
        <v>324</v>
      </c>
      <c r="D583" s="125" t="s">
        <v>462</v>
      </c>
    </row>
    <row r="584" spans="1:4" x14ac:dyDescent="0.2">
      <c r="A584" s="122">
        <v>361</v>
      </c>
      <c r="B584" s="123">
        <v>1209</v>
      </c>
      <c r="C584" s="124" t="s">
        <v>324</v>
      </c>
      <c r="D584" s="125" t="s">
        <v>462</v>
      </c>
    </row>
    <row r="585" spans="1:4" x14ac:dyDescent="0.2">
      <c r="A585" s="122">
        <v>362</v>
      </c>
      <c r="B585" s="123">
        <v>1210</v>
      </c>
      <c r="C585" s="124" t="s">
        <v>324</v>
      </c>
      <c r="D585" s="125" t="s">
        <v>462</v>
      </c>
    </row>
    <row r="586" spans="1:4" x14ac:dyDescent="0.2">
      <c r="A586" s="122">
        <v>362</v>
      </c>
      <c r="B586" s="123">
        <v>1211</v>
      </c>
      <c r="C586" s="124" t="s">
        <v>324</v>
      </c>
      <c r="D586" s="125" t="s">
        <v>462</v>
      </c>
    </row>
    <row r="587" spans="1:4" x14ac:dyDescent="0.2">
      <c r="A587" s="122">
        <v>363</v>
      </c>
      <c r="B587" s="123">
        <v>1212</v>
      </c>
      <c r="C587" s="124" t="s">
        <v>324</v>
      </c>
      <c r="D587" s="125" t="s">
        <v>462</v>
      </c>
    </row>
    <row r="588" spans="1:4" x14ac:dyDescent="0.2">
      <c r="A588" s="122">
        <v>363</v>
      </c>
      <c r="B588" s="123">
        <v>1213</v>
      </c>
      <c r="C588" s="124" t="s">
        <v>324</v>
      </c>
      <c r="D588" s="125" t="s">
        <v>462</v>
      </c>
    </row>
    <row r="589" spans="1:4" x14ac:dyDescent="0.2">
      <c r="A589" s="122">
        <v>364</v>
      </c>
      <c r="B589" s="123">
        <v>1214</v>
      </c>
      <c r="C589" s="124" t="s">
        <v>324</v>
      </c>
      <c r="D589" s="125" t="s">
        <v>462</v>
      </c>
    </row>
    <row r="590" spans="1:4" x14ac:dyDescent="0.2">
      <c r="A590" s="122">
        <v>364</v>
      </c>
      <c r="B590" s="123">
        <v>1215</v>
      </c>
      <c r="C590" s="124" t="s">
        <v>324</v>
      </c>
      <c r="D590" s="125" t="s">
        <v>462</v>
      </c>
    </row>
    <row r="591" spans="1:4" x14ac:dyDescent="0.2">
      <c r="A591" s="122">
        <v>365</v>
      </c>
      <c r="B591" s="123">
        <v>1216</v>
      </c>
      <c r="C591" s="124" t="s">
        <v>324</v>
      </c>
      <c r="D591" s="125" t="s">
        <v>462</v>
      </c>
    </row>
    <row r="592" spans="1:4" x14ac:dyDescent="0.2">
      <c r="A592" s="122">
        <v>365</v>
      </c>
      <c r="B592" s="123">
        <v>1217</v>
      </c>
      <c r="C592" s="124" t="s">
        <v>324</v>
      </c>
      <c r="D592" s="125" t="s">
        <v>462</v>
      </c>
    </row>
    <row r="593" spans="1:4" x14ac:dyDescent="0.2">
      <c r="A593" s="122">
        <v>366</v>
      </c>
      <c r="B593" s="123">
        <v>1218</v>
      </c>
      <c r="C593" s="124" t="s">
        <v>324</v>
      </c>
      <c r="D593" s="125" t="s">
        <v>462</v>
      </c>
    </row>
    <row r="594" spans="1:4" x14ac:dyDescent="0.2">
      <c r="A594" s="122">
        <v>366</v>
      </c>
      <c r="B594" s="123">
        <v>1219</v>
      </c>
      <c r="C594" s="124" t="s">
        <v>324</v>
      </c>
      <c r="D594" s="125" t="s">
        <v>462</v>
      </c>
    </row>
    <row r="595" spans="1:4" x14ac:dyDescent="0.2">
      <c r="A595" s="122">
        <v>367</v>
      </c>
      <c r="B595" s="123">
        <v>1220</v>
      </c>
      <c r="C595" s="124" t="s">
        <v>324</v>
      </c>
      <c r="D595" s="125" t="s">
        <v>462</v>
      </c>
    </row>
    <row r="596" spans="1:4" x14ac:dyDescent="0.2">
      <c r="A596" s="122">
        <v>367</v>
      </c>
      <c r="B596" s="123">
        <v>1221</v>
      </c>
      <c r="C596" s="124" t="s">
        <v>324</v>
      </c>
      <c r="D596" s="125" t="s">
        <v>462</v>
      </c>
    </row>
    <row r="597" spans="1:4" x14ac:dyDescent="0.2">
      <c r="A597" s="122">
        <v>368</v>
      </c>
      <c r="B597" s="123">
        <v>1222</v>
      </c>
      <c r="C597" s="124" t="s">
        <v>324</v>
      </c>
      <c r="D597" s="125" t="s">
        <v>462</v>
      </c>
    </row>
    <row r="598" spans="1:4" x14ac:dyDescent="0.2">
      <c r="A598" s="122">
        <v>368</v>
      </c>
      <c r="B598" s="123">
        <v>1223</v>
      </c>
      <c r="C598" s="124" t="s">
        <v>324</v>
      </c>
      <c r="D598" s="125" t="s">
        <v>462</v>
      </c>
    </row>
    <row r="599" spans="1:4" x14ac:dyDescent="0.2">
      <c r="A599" s="122">
        <v>369</v>
      </c>
      <c r="B599" s="123">
        <v>1224</v>
      </c>
      <c r="C599" s="124" t="s">
        <v>324</v>
      </c>
      <c r="D599" s="125" t="s">
        <v>462</v>
      </c>
    </row>
    <row r="600" spans="1:4" x14ac:dyDescent="0.2">
      <c r="A600" s="122">
        <v>369</v>
      </c>
      <c r="B600" s="123">
        <v>1225</v>
      </c>
      <c r="C600" s="124" t="s">
        <v>324</v>
      </c>
      <c r="D600" s="125" t="s">
        <v>462</v>
      </c>
    </row>
    <row r="601" spans="1:4" x14ac:dyDescent="0.2">
      <c r="A601" s="122">
        <v>370</v>
      </c>
      <c r="B601" s="123">
        <v>1226</v>
      </c>
      <c r="C601" s="124" t="s">
        <v>324</v>
      </c>
      <c r="D601" s="125" t="s">
        <v>462</v>
      </c>
    </row>
    <row r="602" spans="1:4" x14ac:dyDescent="0.2">
      <c r="A602" s="122">
        <v>370</v>
      </c>
      <c r="B602" s="123">
        <v>1227</v>
      </c>
      <c r="C602" s="124" t="s">
        <v>324</v>
      </c>
      <c r="D602" s="125" t="s">
        <v>462</v>
      </c>
    </row>
    <row r="603" spans="1:4" x14ac:dyDescent="0.2">
      <c r="A603" s="122">
        <v>371</v>
      </c>
      <c r="B603" s="123">
        <v>1228</v>
      </c>
      <c r="C603" s="124" t="s">
        <v>324</v>
      </c>
      <c r="D603" s="125" t="s">
        <v>462</v>
      </c>
    </row>
    <row r="604" spans="1:4" x14ac:dyDescent="0.2">
      <c r="A604" s="122">
        <v>371</v>
      </c>
      <c r="B604" s="123">
        <v>1229</v>
      </c>
      <c r="C604" s="124" t="s">
        <v>324</v>
      </c>
      <c r="D604" s="125" t="s">
        <v>462</v>
      </c>
    </row>
    <row r="605" spans="1:4" x14ac:dyDescent="0.2">
      <c r="A605" s="122">
        <v>372</v>
      </c>
      <c r="B605" s="123">
        <v>1180</v>
      </c>
      <c r="C605" s="124" t="s">
        <v>304</v>
      </c>
      <c r="D605" s="125">
        <v>1</v>
      </c>
    </row>
    <row r="606" spans="1:4" x14ac:dyDescent="0.2">
      <c r="A606" s="122">
        <v>372</v>
      </c>
      <c r="B606" s="123">
        <v>1181</v>
      </c>
      <c r="C606" s="124" t="s">
        <v>304</v>
      </c>
      <c r="D606" s="125">
        <v>1</v>
      </c>
    </row>
    <row r="607" spans="1:4" x14ac:dyDescent="0.2">
      <c r="A607" s="122">
        <v>373</v>
      </c>
      <c r="B607" s="123">
        <v>31</v>
      </c>
      <c r="C607" s="124" t="s">
        <v>250</v>
      </c>
      <c r="D607" s="125">
        <v>1</v>
      </c>
    </row>
    <row r="608" spans="1:4" x14ac:dyDescent="0.2">
      <c r="A608" s="122">
        <v>373</v>
      </c>
      <c r="B608" s="123">
        <v>213</v>
      </c>
      <c r="C608" s="124" t="s">
        <v>250</v>
      </c>
      <c r="D608" s="125">
        <v>2</v>
      </c>
    </row>
    <row r="609" spans="1:4" x14ac:dyDescent="0.2">
      <c r="A609" s="122">
        <v>374</v>
      </c>
      <c r="B609" s="123">
        <v>30</v>
      </c>
      <c r="C609" s="124" t="s">
        <v>250</v>
      </c>
      <c r="D609" s="125">
        <v>1</v>
      </c>
    </row>
    <row r="610" spans="1:4" x14ac:dyDescent="0.2">
      <c r="A610" s="122">
        <v>374</v>
      </c>
      <c r="B610" s="123">
        <v>214</v>
      </c>
      <c r="C610" s="124" t="s">
        <v>250</v>
      </c>
      <c r="D610" s="125">
        <v>2</v>
      </c>
    </row>
    <row r="611" spans="1:4" x14ac:dyDescent="0.2">
      <c r="A611" s="122">
        <v>375</v>
      </c>
      <c r="B611" s="123">
        <v>32</v>
      </c>
      <c r="C611" s="124" t="s">
        <v>250</v>
      </c>
      <c r="D611" s="125">
        <v>1</v>
      </c>
    </row>
    <row r="612" spans="1:4" x14ac:dyDescent="0.2">
      <c r="A612" s="122">
        <v>375</v>
      </c>
      <c r="B612" s="123">
        <v>215</v>
      </c>
      <c r="C612" s="124" t="s">
        <v>250</v>
      </c>
      <c r="D612" s="125">
        <v>2</v>
      </c>
    </row>
    <row r="613" spans="1:4" x14ac:dyDescent="0.2">
      <c r="A613" s="122">
        <v>376</v>
      </c>
      <c r="B613" s="123">
        <v>34</v>
      </c>
      <c r="C613" s="124" t="s">
        <v>250</v>
      </c>
      <c r="D613" s="125">
        <v>1</v>
      </c>
    </row>
    <row r="614" spans="1:4" x14ac:dyDescent="0.2">
      <c r="A614" s="122">
        <v>376</v>
      </c>
      <c r="B614" s="123">
        <v>216</v>
      </c>
      <c r="C614" s="124" t="s">
        <v>250</v>
      </c>
      <c r="D614" s="125">
        <v>2</v>
      </c>
    </row>
    <row r="615" spans="1:4" x14ac:dyDescent="0.2">
      <c r="A615" s="122">
        <v>377</v>
      </c>
      <c r="B615" s="123">
        <v>35</v>
      </c>
      <c r="C615" s="124" t="s">
        <v>250</v>
      </c>
      <c r="D615" s="125">
        <v>1</v>
      </c>
    </row>
    <row r="616" spans="1:4" x14ac:dyDescent="0.2">
      <c r="A616" s="122">
        <v>377</v>
      </c>
      <c r="B616" s="123">
        <v>217</v>
      </c>
      <c r="C616" s="124" t="s">
        <v>250</v>
      </c>
      <c r="D616" s="125">
        <v>2</v>
      </c>
    </row>
    <row r="617" spans="1:4" x14ac:dyDescent="0.2">
      <c r="A617" s="122">
        <v>378</v>
      </c>
      <c r="B617" s="123">
        <v>36</v>
      </c>
      <c r="C617" s="124" t="s">
        <v>250</v>
      </c>
      <c r="D617" s="125">
        <v>1</v>
      </c>
    </row>
    <row r="618" spans="1:4" x14ac:dyDescent="0.2">
      <c r="A618" s="122">
        <v>378</v>
      </c>
      <c r="B618" s="123">
        <v>218</v>
      </c>
      <c r="C618" s="124" t="s">
        <v>250</v>
      </c>
      <c r="D618" s="125">
        <v>2</v>
      </c>
    </row>
    <row r="619" spans="1:4" x14ac:dyDescent="0.2">
      <c r="A619" s="122">
        <v>380</v>
      </c>
      <c r="B619" s="123">
        <v>37</v>
      </c>
      <c r="C619" s="124" t="s">
        <v>250</v>
      </c>
      <c r="D619" s="125">
        <v>1</v>
      </c>
    </row>
    <row r="620" spans="1:4" x14ac:dyDescent="0.2">
      <c r="A620" s="122">
        <v>380</v>
      </c>
      <c r="B620" s="123">
        <v>220</v>
      </c>
      <c r="C620" s="124" t="s">
        <v>250</v>
      </c>
      <c r="D620" s="125">
        <v>2</v>
      </c>
    </row>
    <row r="621" spans="1:4" x14ac:dyDescent="0.2">
      <c r="A621" s="122">
        <v>381</v>
      </c>
      <c r="B621" s="123">
        <v>1170</v>
      </c>
      <c r="C621" s="124" t="s">
        <v>250</v>
      </c>
      <c r="D621" s="125">
        <v>2</v>
      </c>
    </row>
    <row r="622" spans="1:4" x14ac:dyDescent="0.2">
      <c r="A622" s="122">
        <v>381</v>
      </c>
      <c r="B622" s="123">
        <v>1171</v>
      </c>
      <c r="C622" s="124" t="s">
        <v>250</v>
      </c>
      <c r="D622" s="125">
        <v>1</v>
      </c>
    </row>
    <row r="623" spans="1:4" x14ac:dyDescent="0.2">
      <c r="A623" s="122">
        <v>382</v>
      </c>
      <c r="B623" s="123">
        <v>1172</v>
      </c>
      <c r="C623" s="124" t="s">
        <v>250</v>
      </c>
      <c r="D623" s="125">
        <v>2</v>
      </c>
    </row>
    <row r="624" spans="1:4" x14ac:dyDescent="0.2">
      <c r="A624" s="122">
        <v>382</v>
      </c>
      <c r="B624" s="123">
        <v>1173</v>
      </c>
      <c r="C624" s="124" t="s">
        <v>250</v>
      </c>
      <c r="D624" s="125">
        <v>1</v>
      </c>
    </row>
    <row r="625" spans="1:4" x14ac:dyDescent="0.2">
      <c r="A625" s="122">
        <v>384</v>
      </c>
      <c r="B625" s="123">
        <v>1185</v>
      </c>
      <c r="C625" s="124" t="s">
        <v>262</v>
      </c>
      <c r="D625" s="125">
        <v>1</v>
      </c>
    </row>
    <row r="626" spans="1:4" x14ac:dyDescent="0.2">
      <c r="A626" s="122">
        <v>384</v>
      </c>
      <c r="B626" s="123">
        <v>1186</v>
      </c>
      <c r="C626" s="124" t="s">
        <v>262</v>
      </c>
      <c r="D626" s="125">
        <v>2</v>
      </c>
    </row>
    <row r="627" spans="1:4" x14ac:dyDescent="0.2">
      <c r="A627" s="122">
        <v>385</v>
      </c>
      <c r="B627" s="123">
        <v>1260</v>
      </c>
      <c r="C627" s="124" t="s">
        <v>250</v>
      </c>
      <c r="D627" s="125" t="s">
        <v>462</v>
      </c>
    </row>
    <row r="628" spans="1:4" x14ac:dyDescent="0.2">
      <c r="A628" s="122">
        <v>385</v>
      </c>
      <c r="B628" s="123">
        <v>1261</v>
      </c>
      <c r="C628" s="124" t="s">
        <v>250</v>
      </c>
      <c r="D628" s="125" t="s">
        <v>462</v>
      </c>
    </row>
    <row r="629" spans="1:4" x14ac:dyDescent="0.2">
      <c r="A629" s="122">
        <v>386</v>
      </c>
      <c r="B629" s="123">
        <v>1184</v>
      </c>
      <c r="C629" s="124" t="s">
        <v>231</v>
      </c>
      <c r="D629" s="125" t="s">
        <v>224</v>
      </c>
    </row>
    <row r="630" spans="1:4" x14ac:dyDescent="0.2">
      <c r="A630" s="122">
        <v>387</v>
      </c>
      <c r="B630" s="123">
        <v>1183</v>
      </c>
      <c r="C630" s="124" t="s">
        <v>255</v>
      </c>
      <c r="D630" s="125" t="s">
        <v>224</v>
      </c>
    </row>
    <row r="631" spans="1:4" x14ac:dyDescent="0.2">
      <c r="A631" s="122">
        <v>388</v>
      </c>
      <c r="B631" s="123">
        <v>1262</v>
      </c>
      <c r="C631" s="124" t="s">
        <v>250</v>
      </c>
      <c r="D631" s="125" t="s">
        <v>462</v>
      </c>
    </row>
    <row r="632" spans="1:4" x14ac:dyDescent="0.2">
      <c r="A632" s="122">
        <v>388</v>
      </c>
      <c r="B632" s="123">
        <v>1263</v>
      </c>
      <c r="C632" s="124" t="s">
        <v>250</v>
      </c>
      <c r="D632" s="125" t="s">
        <v>462</v>
      </c>
    </row>
    <row r="633" spans="1:4" x14ac:dyDescent="0.2">
      <c r="A633" s="122">
        <v>389</v>
      </c>
      <c r="B633" s="123">
        <v>1182</v>
      </c>
      <c r="C633" s="124" t="s">
        <v>241</v>
      </c>
      <c r="D633" s="125" t="s">
        <v>224</v>
      </c>
    </row>
    <row r="634" spans="1:4" x14ac:dyDescent="0.2">
      <c r="A634" s="122">
        <v>390</v>
      </c>
      <c r="B634" s="123">
        <v>1291</v>
      </c>
      <c r="C634" s="124" t="s">
        <v>250</v>
      </c>
      <c r="D634" s="125">
        <v>2</v>
      </c>
    </row>
    <row r="635" spans="1:4" x14ac:dyDescent="0.2">
      <c r="A635" s="122">
        <v>390</v>
      </c>
      <c r="B635" s="123">
        <v>1292</v>
      </c>
      <c r="C635" s="124" t="s">
        <v>250</v>
      </c>
      <c r="D635" s="125">
        <v>1</v>
      </c>
    </row>
    <row r="636" spans="1:4" x14ac:dyDescent="0.2">
      <c r="A636" s="122">
        <v>391</v>
      </c>
      <c r="B636" s="123">
        <v>29</v>
      </c>
      <c r="C636" s="124" t="s">
        <v>325</v>
      </c>
      <c r="D636" s="125" t="s">
        <v>224</v>
      </c>
    </row>
    <row r="637" spans="1:4" x14ac:dyDescent="0.2">
      <c r="A637" s="122">
        <v>392</v>
      </c>
      <c r="B637" s="123">
        <v>90</v>
      </c>
      <c r="C637" s="124" t="s">
        <v>326</v>
      </c>
      <c r="D637" s="125">
        <v>1</v>
      </c>
    </row>
    <row r="638" spans="1:4" x14ac:dyDescent="0.2">
      <c r="A638" s="122">
        <v>393</v>
      </c>
      <c r="B638" s="123">
        <v>1</v>
      </c>
      <c r="C638" s="124" t="s">
        <v>327</v>
      </c>
      <c r="D638" s="125">
        <v>1</v>
      </c>
    </row>
    <row r="639" spans="1:4" x14ac:dyDescent="0.2">
      <c r="A639" s="122">
        <v>394</v>
      </c>
      <c r="B639" s="123">
        <v>1176</v>
      </c>
      <c r="C639" s="124" t="s">
        <v>283</v>
      </c>
      <c r="D639" s="125">
        <v>1</v>
      </c>
    </row>
    <row r="640" spans="1:4" x14ac:dyDescent="0.2">
      <c r="A640" s="122">
        <v>394</v>
      </c>
      <c r="B640" s="123">
        <v>1177</v>
      </c>
      <c r="C640" s="124" t="s">
        <v>283</v>
      </c>
      <c r="D640" s="125">
        <v>2</v>
      </c>
    </row>
    <row r="641" spans="1:4" x14ac:dyDescent="0.2">
      <c r="A641" s="122">
        <v>395</v>
      </c>
      <c r="B641" s="123">
        <v>1044</v>
      </c>
      <c r="C641" s="124" t="s">
        <v>328</v>
      </c>
      <c r="D641" s="125">
        <v>2</v>
      </c>
    </row>
    <row r="642" spans="1:4" x14ac:dyDescent="0.2">
      <c r="A642" s="122">
        <v>395</v>
      </c>
      <c r="B642" s="123">
        <v>1045</v>
      </c>
      <c r="C642" s="124" t="s">
        <v>328</v>
      </c>
      <c r="D642" s="125">
        <v>1</v>
      </c>
    </row>
    <row r="643" spans="1:4" x14ac:dyDescent="0.2">
      <c r="A643" s="122">
        <v>395</v>
      </c>
      <c r="B643" s="123">
        <v>1046</v>
      </c>
      <c r="C643" s="124" t="s">
        <v>328</v>
      </c>
      <c r="D643" s="125">
        <v>1</v>
      </c>
    </row>
    <row r="644" spans="1:4" x14ac:dyDescent="0.2">
      <c r="A644" s="122">
        <v>396</v>
      </c>
      <c r="B644" s="123">
        <v>1323</v>
      </c>
      <c r="C644" s="124" t="s">
        <v>260</v>
      </c>
      <c r="D644" s="125">
        <v>1</v>
      </c>
    </row>
    <row r="645" spans="1:4" x14ac:dyDescent="0.2">
      <c r="A645" s="122">
        <v>397</v>
      </c>
      <c r="B645" s="123">
        <v>1346</v>
      </c>
      <c r="C645" s="124" t="s">
        <v>329</v>
      </c>
      <c r="D645" s="125">
        <v>1</v>
      </c>
    </row>
    <row r="646" spans="1:4" x14ac:dyDescent="0.2">
      <c r="A646" s="122">
        <v>398</v>
      </c>
      <c r="B646" s="123">
        <v>72</v>
      </c>
      <c r="C646" s="124" t="s">
        <v>330</v>
      </c>
      <c r="D646" s="125">
        <v>2</v>
      </c>
    </row>
    <row r="647" spans="1:4" x14ac:dyDescent="0.2">
      <c r="A647" s="122">
        <v>399</v>
      </c>
      <c r="B647" s="123">
        <v>27</v>
      </c>
      <c r="C647" s="124" t="s">
        <v>331</v>
      </c>
      <c r="D647" s="125" t="s">
        <v>470</v>
      </c>
    </row>
    <row r="648" spans="1:4" x14ac:dyDescent="0.2">
      <c r="A648" s="122">
        <v>400</v>
      </c>
      <c r="B648" s="123">
        <v>58</v>
      </c>
      <c r="C648" s="124" t="s">
        <v>282</v>
      </c>
      <c r="D648" s="125">
        <v>1</v>
      </c>
    </row>
    <row r="649" spans="1:4" x14ac:dyDescent="0.2">
      <c r="A649" s="122">
        <v>400</v>
      </c>
      <c r="B649" s="123">
        <v>190</v>
      </c>
      <c r="C649" s="124" t="s">
        <v>282</v>
      </c>
      <c r="D649" s="125" t="s">
        <v>467</v>
      </c>
    </row>
    <row r="650" spans="1:4" x14ac:dyDescent="0.2">
      <c r="A650" s="122">
        <v>401</v>
      </c>
      <c r="B650" s="123">
        <v>1157</v>
      </c>
      <c r="C650" s="124" t="s">
        <v>332</v>
      </c>
      <c r="D650" s="125" t="s">
        <v>224</v>
      </c>
    </row>
    <row r="651" spans="1:4" x14ac:dyDescent="0.2">
      <c r="A651" s="122">
        <v>403</v>
      </c>
      <c r="B651" s="123">
        <v>1178</v>
      </c>
      <c r="C651" s="124" t="s">
        <v>237</v>
      </c>
      <c r="D651" s="125">
        <v>1</v>
      </c>
    </row>
    <row r="652" spans="1:4" x14ac:dyDescent="0.2">
      <c r="A652" s="122">
        <v>403</v>
      </c>
      <c r="B652" s="123">
        <v>1179</v>
      </c>
      <c r="C652" s="124" t="s">
        <v>237</v>
      </c>
      <c r="D652" s="125">
        <v>2</v>
      </c>
    </row>
    <row r="653" spans="1:4" x14ac:dyDescent="0.2">
      <c r="A653" s="122">
        <v>404</v>
      </c>
      <c r="B653" s="123">
        <v>1161</v>
      </c>
      <c r="C653" s="124" t="s">
        <v>333</v>
      </c>
      <c r="D653" s="125">
        <v>2</v>
      </c>
    </row>
    <row r="654" spans="1:4" x14ac:dyDescent="0.2">
      <c r="A654" s="122">
        <v>404</v>
      </c>
      <c r="B654" s="123">
        <v>1162</v>
      </c>
      <c r="C654" s="124" t="s">
        <v>333</v>
      </c>
      <c r="D654" s="125">
        <v>1</v>
      </c>
    </row>
    <row r="655" spans="1:4" x14ac:dyDescent="0.2">
      <c r="A655" s="122">
        <v>405</v>
      </c>
      <c r="B655" s="123">
        <v>1163</v>
      </c>
      <c r="C655" s="124" t="s">
        <v>334</v>
      </c>
      <c r="D655" s="125" t="s">
        <v>224</v>
      </c>
    </row>
    <row r="656" spans="1:4" x14ac:dyDescent="0.2">
      <c r="A656" s="122">
        <v>406</v>
      </c>
      <c r="B656" s="123">
        <v>77</v>
      </c>
      <c r="C656" s="124" t="s">
        <v>335</v>
      </c>
      <c r="D656" s="125" t="s">
        <v>224</v>
      </c>
    </row>
    <row r="657" spans="1:4" x14ac:dyDescent="0.2">
      <c r="A657" s="122">
        <v>407</v>
      </c>
      <c r="B657" s="123">
        <v>81</v>
      </c>
      <c r="C657" s="124" t="s">
        <v>336</v>
      </c>
      <c r="D657" s="125" t="s">
        <v>224</v>
      </c>
    </row>
    <row r="658" spans="1:4" x14ac:dyDescent="0.2">
      <c r="A658" s="122">
        <v>408</v>
      </c>
      <c r="B658" s="123">
        <v>87</v>
      </c>
      <c r="C658" s="124" t="s">
        <v>337</v>
      </c>
      <c r="D658" s="125" t="s">
        <v>224</v>
      </c>
    </row>
    <row r="659" spans="1:4" x14ac:dyDescent="0.2">
      <c r="A659" s="122">
        <v>409</v>
      </c>
      <c r="B659" s="123">
        <v>89</v>
      </c>
      <c r="C659" s="124" t="s">
        <v>338</v>
      </c>
      <c r="D659" s="125" t="s">
        <v>224</v>
      </c>
    </row>
    <row r="660" spans="1:4" x14ac:dyDescent="0.2">
      <c r="A660" s="122">
        <v>410</v>
      </c>
      <c r="B660" s="123">
        <v>98</v>
      </c>
      <c r="C660" s="124" t="s">
        <v>339</v>
      </c>
      <c r="D660" s="125" t="s">
        <v>224</v>
      </c>
    </row>
    <row r="661" spans="1:4" x14ac:dyDescent="0.2">
      <c r="A661" s="122">
        <v>411</v>
      </c>
      <c r="B661" s="123">
        <v>106</v>
      </c>
      <c r="C661" s="124" t="s">
        <v>340</v>
      </c>
      <c r="D661" s="125" t="s">
        <v>224</v>
      </c>
    </row>
    <row r="662" spans="1:4" x14ac:dyDescent="0.2">
      <c r="A662" s="122">
        <v>412</v>
      </c>
      <c r="B662" s="123">
        <v>107</v>
      </c>
      <c r="C662" s="124" t="s">
        <v>341</v>
      </c>
      <c r="D662" s="125" t="s">
        <v>224</v>
      </c>
    </row>
    <row r="663" spans="1:4" x14ac:dyDescent="0.2">
      <c r="A663" s="122">
        <v>413</v>
      </c>
      <c r="B663" s="123">
        <v>108</v>
      </c>
      <c r="C663" s="124" t="s">
        <v>342</v>
      </c>
      <c r="D663" s="125" t="s">
        <v>224</v>
      </c>
    </row>
    <row r="664" spans="1:4" x14ac:dyDescent="0.2">
      <c r="A664" s="122">
        <v>414</v>
      </c>
      <c r="B664" s="123">
        <v>110</v>
      </c>
      <c r="C664" s="124" t="s">
        <v>343</v>
      </c>
      <c r="D664" s="125" t="s">
        <v>224</v>
      </c>
    </row>
    <row r="665" spans="1:4" x14ac:dyDescent="0.2">
      <c r="A665" s="122">
        <v>415</v>
      </c>
      <c r="B665" s="123">
        <v>165</v>
      </c>
      <c r="C665" s="124" t="s">
        <v>344</v>
      </c>
      <c r="D665" s="125" t="s">
        <v>224</v>
      </c>
    </row>
    <row r="666" spans="1:4" x14ac:dyDescent="0.2">
      <c r="A666" s="122">
        <v>416</v>
      </c>
      <c r="B666" s="123">
        <v>179</v>
      </c>
      <c r="C666" s="124" t="s">
        <v>345</v>
      </c>
      <c r="D666" s="125" t="s">
        <v>224</v>
      </c>
    </row>
    <row r="667" spans="1:4" x14ac:dyDescent="0.2">
      <c r="A667" s="122">
        <v>417</v>
      </c>
      <c r="B667" s="123">
        <v>209</v>
      </c>
      <c r="C667" s="124" t="s">
        <v>346</v>
      </c>
      <c r="D667" s="125" t="s">
        <v>224</v>
      </c>
    </row>
    <row r="668" spans="1:4" x14ac:dyDescent="0.2">
      <c r="A668" s="122">
        <v>418</v>
      </c>
      <c r="B668" s="123">
        <v>188</v>
      </c>
      <c r="C668" s="124" t="s">
        <v>347</v>
      </c>
      <c r="D668" s="125" t="s">
        <v>224</v>
      </c>
    </row>
    <row r="669" spans="1:4" x14ac:dyDescent="0.2">
      <c r="A669" s="122">
        <v>419</v>
      </c>
      <c r="B669" s="123">
        <v>176</v>
      </c>
      <c r="C669" s="124" t="s">
        <v>348</v>
      </c>
      <c r="D669" s="125" t="s">
        <v>224</v>
      </c>
    </row>
    <row r="670" spans="1:4" x14ac:dyDescent="0.2">
      <c r="A670" s="122">
        <v>420</v>
      </c>
      <c r="B670" s="123">
        <v>253</v>
      </c>
      <c r="C670" s="124" t="s">
        <v>349</v>
      </c>
      <c r="D670" s="125" t="s">
        <v>224</v>
      </c>
    </row>
    <row r="671" spans="1:4" x14ac:dyDescent="0.2">
      <c r="A671" s="122">
        <v>421</v>
      </c>
      <c r="B671" s="123">
        <v>222</v>
      </c>
      <c r="C671" s="124" t="s">
        <v>350</v>
      </c>
      <c r="D671" s="125" t="s">
        <v>224</v>
      </c>
    </row>
    <row r="672" spans="1:4" x14ac:dyDescent="0.2">
      <c r="A672" s="122">
        <v>422</v>
      </c>
      <c r="B672" s="123">
        <v>254</v>
      </c>
      <c r="C672" s="124" t="s">
        <v>351</v>
      </c>
      <c r="D672" s="125" t="s">
        <v>224</v>
      </c>
    </row>
    <row r="673" spans="1:4" x14ac:dyDescent="0.2">
      <c r="A673" s="122">
        <v>423</v>
      </c>
      <c r="B673" s="123">
        <v>255</v>
      </c>
      <c r="C673" s="124" t="s">
        <v>352</v>
      </c>
      <c r="D673" s="125" t="s">
        <v>224</v>
      </c>
    </row>
    <row r="674" spans="1:4" x14ac:dyDescent="0.2">
      <c r="A674" s="122">
        <v>424</v>
      </c>
      <c r="B674" s="123">
        <v>256</v>
      </c>
      <c r="C674" s="124" t="s">
        <v>353</v>
      </c>
      <c r="D674" s="125" t="s">
        <v>224</v>
      </c>
    </row>
    <row r="675" spans="1:4" x14ac:dyDescent="0.2">
      <c r="A675" s="122">
        <v>425</v>
      </c>
      <c r="B675" s="123">
        <v>1100</v>
      </c>
      <c r="C675" s="124" t="s">
        <v>354</v>
      </c>
      <c r="D675" s="125">
        <v>2</v>
      </c>
    </row>
    <row r="676" spans="1:4" x14ac:dyDescent="0.2">
      <c r="A676" s="122">
        <v>426</v>
      </c>
      <c r="B676" s="123">
        <v>1189</v>
      </c>
      <c r="C676" s="124" t="s">
        <v>262</v>
      </c>
      <c r="D676" s="125">
        <v>1</v>
      </c>
    </row>
    <row r="677" spans="1:4" x14ac:dyDescent="0.2">
      <c r="A677" s="122">
        <v>426</v>
      </c>
      <c r="B677" s="123">
        <v>1190</v>
      </c>
      <c r="C677" s="124" t="s">
        <v>262</v>
      </c>
      <c r="D677" s="125">
        <v>2</v>
      </c>
    </row>
    <row r="678" spans="1:4" x14ac:dyDescent="0.2">
      <c r="A678" s="122">
        <v>427</v>
      </c>
      <c r="B678" s="123">
        <v>1118</v>
      </c>
      <c r="C678" s="124" t="s">
        <v>355</v>
      </c>
      <c r="D678" s="125">
        <v>1</v>
      </c>
    </row>
    <row r="679" spans="1:4" x14ac:dyDescent="0.2">
      <c r="A679" s="122">
        <v>427</v>
      </c>
      <c r="B679" s="123">
        <v>1119</v>
      </c>
      <c r="C679" s="124" t="s">
        <v>355</v>
      </c>
      <c r="D679" s="125" t="s">
        <v>465</v>
      </c>
    </row>
    <row r="680" spans="1:4" x14ac:dyDescent="0.2">
      <c r="A680" s="122">
        <v>428</v>
      </c>
      <c r="B680" s="123">
        <v>258</v>
      </c>
      <c r="C680" s="124" t="s">
        <v>356</v>
      </c>
      <c r="D680" s="125" t="s">
        <v>357</v>
      </c>
    </row>
    <row r="681" spans="1:4" x14ac:dyDescent="0.2">
      <c r="A681" s="122">
        <v>428</v>
      </c>
      <c r="B681" s="123">
        <v>259</v>
      </c>
      <c r="C681" s="124" t="s">
        <v>356</v>
      </c>
      <c r="D681" s="125" t="s">
        <v>357</v>
      </c>
    </row>
    <row r="682" spans="1:4" x14ac:dyDescent="0.2">
      <c r="A682" s="122">
        <v>429</v>
      </c>
      <c r="B682" s="123">
        <v>260</v>
      </c>
      <c r="C682" s="124" t="s">
        <v>358</v>
      </c>
      <c r="D682" s="125" t="s">
        <v>357</v>
      </c>
    </row>
    <row r="683" spans="1:4" x14ac:dyDescent="0.2">
      <c r="A683" s="122">
        <v>429</v>
      </c>
      <c r="B683" s="123">
        <v>261</v>
      </c>
      <c r="C683" s="124" t="s">
        <v>358</v>
      </c>
      <c r="D683" s="125" t="s">
        <v>357</v>
      </c>
    </row>
    <row r="684" spans="1:4" x14ac:dyDescent="0.2">
      <c r="A684" s="122">
        <v>430</v>
      </c>
      <c r="B684" s="123">
        <v>264</v>
      </c>
      <c r="C684" s="124" t="s">
        <v>359</v>
      </c>
      <c r="D684" s="125" t="s">
        <v>357</v>
      </c>
    </row>
    <row r="685" spans="1:4" x14ac:dyDescent="0.2">
      <c r="A685" s="122">
        <v>430</v>
      </c>
      <c r="B685" s="123">
        <v>265</v>
      </c>
      <c r="C685" s="124" t="s">
        <v>359</v>
      </c>
      <c r="D685" s="125" t="s">
        <v>357</v>
      </c>
    </row>
    <row r="686" spans="1:4" x14ac:dyDescent="0.2">
      <c r="A686" s="122">
        <v>431</v>
      </c>
      <c r="B686" s="123">
        <v>262</v>
      </c>
      <c r="C686" s="124" t="s">
        <v>360</v>
      </c>
      <c r="D686" s="125" t="s">
        <v>357</v>
      </c>
    </row>
    <row r="687" spans="1:4" x14ac:dyDescent="0.2">
      <c r="A687" s="122">
        <v>431</v>
      </c>
      <c r="B687" s="123">
        <v>263</v>
      </c>
      <c r="C687" s="124" t="s">
        <v>360</v>
      </c>
      <c r="D687" s="125" t="s">
        <v>357</v>
      </c>
    </row>
    <row r="688" spans="1:4" x14ac:dyDescent="0.2">
      <c r="A688" s="122">
        <v>432</v>
      </c>
      <c r="B688" s="123">
        <v>1397</v>
      </c>
      <c r="C688" s="124" t="s">
        <v>262</v>
      </c>
      <c r="D688" s="125">
        <v>1</v>
      </c>
    </row>
    <row r="689" spans="1:4" x14ac:dyDescent="0.2">
      <c r="A689" s="122">
        <v>432</v>
      </c>
      <c r="B689" s="123">
        <v>1398</v>
      </c>
      <c r="C689" s="124" t="s">
        <v>262</v>
      </c>
      <c r="D689" s="125">
        <v>2</v>
      </c>
    </row>
    <row r="690" spans="1:4" x14ac:dyDescent="0.2">
      <c r="A690" s="122">
        <v>434</v>
      </c>
      <c r="B690" s="123">
        <v>269</v>
      </c>
      <c r="C690" s="124" t="s">
        <v>361</v>
      </c>
      <c r="D690" s="125" t="s">
        <v>462</v>
      </c>
    </row>
    <row r="691" spans="1:4" x14ac:dyDescent="0.2">
      <c r="A691" s="122">
        <v>435</v>
      </c>
      <c r="B691" s="123">
        <v>270</v>
      </c>
      <c r="C691" s="124" t="s">
        <v>362</v>
      </c>
      <c r="D691" s="125">
        <v>1</v>
      </c>
    </row>
    <row r="692" spans="1:4" x14ac:dyDescent="0.2">
      <c r="A692" s="122">
        <v>435</v>
      </c>
      <c r="B692" s="123">
        <v>271</v>
      </c>
      <c r="C692" s="124" t="s">
        <v>362</v>
      </c>
      <c r="D692" s="125">
        <v>1</v>
      </c>
    </row>
    <row r="693" spans="1:4" x14ac:dyDescent="0.2">
      <c r="A693" s="122">
        <v>435</v>
      </c>
      <c r="B693" s="123">
        <v>272</v>
      </c>
      <c r="C693" s="124" t="s">
        <v>362</v>
      </c>
      <c r="D693" s="125">
        <v>2</v>
      </c>
    </row>
    <row r="694" spans="1:4" x14ac:dyDescent="0.2">
      <c r="A694" s="122">
        <v>436</v>
      </c>
      <c r="B694" s="123">
        <v>273</v>
      </c>
      <c r="C694" s="124" t="s">
        <v>363</v>
      </c>
      <c r="D694" s="125">
        <v>1</v>
      </c>
    </row>
    <row r="695" spans="1:4" x14ac:dyDescent="0.2">
      <c r="A695" s="122">
        <v>436</v>
      </c>
      <c r="B695" s="123">
        <v>274</v>
      </c>
      <c r="C695" s="124" t="s">
        <v>363</v>
      </c>
      <c r="D695" s="125">
        <v>1</v>
      </c>
    </row>
    <row r="696" spans="1:4" x14ac:dyDescent="0.2">
      <c r="A696" s="122">
        <v>436</v>
      </c>
      <c r="B696" s="123">
        <v>275</v>
      </c>
      <c r="C696" s="124" t="s">
        <v>363</v>
      </c>
      <c r="D696" s="125">
        <v>2</v>
      </c>
    </row>
    <row r="697" spans="1:4" x14ac:dyDescent="0.2">
      <c r="A697" s="122">
        <v>437</v>
      </c>
      <c r="B697" s="123">
        <v>1403</v>
      </c>
      <c r="C697" s="124" t="s">
        <v>364</v>
      </c>
      <c r="D697" s="125">
        <v>2</v>
      </c>
    </row>
    <row r="698" spans="1:4" x14ac:dyDescent="0.2">
      <c r="A698" s="122">
        <v>437</v>
      </c>
      <c r="B698" s="123">
        <v>1404</v>
      </c>
      <c r="C698" s="124" t="s">
        <v>364</v>
      </c>
      <c r="D698" s="125">
        <v>1</v>
      </c>
    </row>
    <row r="699" spans="1:4" x14ac:dyDescent="0.2">
      <c r="A699" s="122">
        <v>437</v>
      </c>
      <c r="B699" s="123">
        <v>1405</v>
      </c>
      <c r="C699" s="124" t="s">
        <v>364</v>
      </c>
      <c r="D699" s="125">
        <v>1</v>
      </c>
    </row>
    <row r="700" spans="1:4" x14ac:dyDescent="0.2">
      <c r="A700" s="122">
        <v>439</v>
      </c>
      <c r="B700" s="123">
        <v>346</v>
      </c>
      <c r="C700" s="124" t="s">
        <v>365</v>
      </c>
      <c r="D700" s="125">
        <v>2</v>
      </c>
    </row>
    <row r="701" spans="1:4" x14ac:dyDescent="0.2">
      <c r="A701" s="122">
        <v>439</v>
      </c>
      <c r="B701" s="123">
        <v>349</v>
      </c>
      <c r="C701" s="124" t="s">
        <v>365</v>
      </c>
      <c r="D701" s="125">
        <v>1</v>
      </c>
    </row>
    <row r="702" spans="1:4" x14ac:dyDescent="0.2">
      <c r="A702" s="122">
        <v>440</v>
      </c>
      <c r="B702" s="123">
        <v>210</v>
      </c>
      <c r="C702" s="124" t="s">
        <v>366</v>
      </c>
      <c r="D702" s="125">
        <v>2</v>
      </c>
    </row>
    <row r="703" spans="1:4" x14ac:dyDescent="0.2">
      <c r="A703" s="122">
        <v>440</v>
      </c>
      <c r="B703" s="123">
        <v>347</v>
      </c>
      <c r="C703" s="124" t="s">
        <v>366</v>
      </c>
      <c r="D703" s="125" t="s">
        <v>462</v>
      </c>
    </row>
    <row r="704" spans="1:4" x14ac:dyDescent="0.2">
      <c r="A704" s="122">
        <v>440</v>
      </c>
      <c r="B704" s="123">
        <v>348</v>
      </c>
      <c r="C704" s="124" t="s">
        <v>366</v>
      </c>
      <c r="D704" s="125" t="s">
        <v>462</v>
      </c>
    </row>
    <row r="705" spans="1:4" x14ac:dyDescent="0.2">
      <c r="A705" s="122">
        <v>441</v>
      </c>
      <c r="B705" s="123">
        <v>206</v>
      </c>
      <c r="C705" s="124" t="s">
        <v>266</v>
      </c>
      <c r="D705" s="125">
        <v>2</v>
      </c>
    </row>
    <row r="706" spans="1:4" x14ac:dyDescent="0.2">
      <c r="A706" s="122">
        <v>441</v>
      </c>
      <c r="B706" s="123">
        <v>350</v>
      </c>
      <c r="C706" s="124" t="s">
        <v>266</v>
      </c>
      <c r="D706" s="125">
        <v>1</v>
      </c>
    </row>
    <row r="707" spans="1:4" x14ac:dyDescent="0.2">
      <c r="A707" s="122">
        <v>441</v>
      </c>
      <c r="B707" s="123">
        <v>351</v>
      </c>
      <c r="C707" s="124" t="s">
        <v>266</v>
      </c>
      <c r="D707" s="125">
        <v>1</v>
      </c>
    </row>
    <row r="708" spans="1:4" x14ac:dyDescent="0.2">
      <c r="A708" s="122">
        <v>441</v>
      </c>
      <c r="B708" s="123">
        <v>352</v>
      </c>
      <c r="C708" s="124" t="s">
        <v>266</v>
      </c>
      <c r="D708" s="125">
        <v>1</v>
      </c>
    </row>
    <row r="709" spans="1:4" x14ac:dyDescent="0.2">
      <c r="A709" s="122">
        <v>442</v>
      </c>
      <c r="B709" s="123">
        <v>356</v>
      </c>
      <c r="C709" s="124" t="s">
        <v>262</v>
      </c>
      <c r="D709" s="125" t="s">
        <v>462</v>
      </c>
    </row>
    <row r="710" spans="1:4" x14ac:dyDescent="0.2">
      <c r="A710" s="122">
        <v>442</v>
      </c>
      <c r="B710" s="123">
        <v>357</v>
      </c>
      <c r="C710" s="124" t="s">
        <v>262</v>
      </c>
      <c r="D710" s="125" t="s">
        <v>462</v>
      </c>
    </row>
    <row r="711" spans="1:4" x14ac:dyDescent="0.2">
      <c r="A711" s="122">
        <v>443</v>
      </c>
      <c r="B711" s="123">
        <v>358</v>
      </c>
      <c r="C711" s="124" t="s">
        <v>304</v>
      </c>
      <c r="D711" s="125">
        <v>1</v>
      </c>
    </row>
    <row r="712" spans="1:4" x14ac:dyDescent="0.2">
      <c r="A712" s="122">
        <v>443</v>
      </c>
      <c r="B712" s="123">
        <v>359</v>
      </c>
      <c r="C712" s="124" t="s">
        <v>304</v>
      </c>
      <c r="D712" s="125" t="s">
        <v>467</v>
      </c>
    </row>
    <row r="713" spans="1:4" x14ac:dyDescent="0.2">
      <c r="A713" s="122">
        <v>444</v>
      </c>
      <c r="B713" s="123">
        <v>208</v>
      </c>
      <c r="C713" s="124" t="s">
        <v>307</v>
      </c>
      <c r="D713" s="125">
        <v>2</v>
      </c>
    </row>
    <row r="714" spans="1:4" x14ac:dyDescent="0.2">
      <c r="A714" s="122">
        <v>444</v>
      </c>
      <c r="B714" s="123">
        <v>358</v>
      </c>
      <c r="C714" s="124" t="s">
        <v>307</v>
      </c>
      <c r="D714" s="125" t="s">
        <v>470</v>
      </c>
    </row>
    <row r="715" spans="1:4" x14ac:dyDescent="0.2">
      <c r="A715" s="122">
        <v>444</v>
      </c>
      <c r="B715" s="123">
        <v>360</v>
      </c>
      <c r="C715" s="124" t="s">
        <v>307</v>
      </c>
      <c r="D715" s="125" t="s">
        <v>470</v>
      </c>
    </row>
    <row r="716" spans="1:4" x14ac:dyDescent="0.2">
      <c r="A716" s="122">
        <v>445</v>
      </c>
      <c r="B716" s="123">
        <v>1406</v>
      </c>
      <c r="C716" s="124" t="s">
        <v>367</v>
      </c>
      <c r="D716" s="125">
        <v>1</v>
      </c>
    </row>
    <row r="717" spans="1:4" x14ac:dyDescent="0.2">
      <c r="A717" s="122">
        <v>445</v>
      </c>
      <c r="B717" s="123">
        <v>1407</v>
      </c>
      <c r="C717" s="124" t="s">
        <v>367</v>
      </c>
      <c r="D717" s="125">
        <v>2</v>
      </c>
    </row>
    <row r="718" spans="1:4" x14ac:dyDescent="0.2">
      <c r="A718" s="122">
        <v>446</v>
      </c>
      <c r="B718" s="123">
        <v>1408</v>
      </c>
      <c r="C718" s="124" t="s">
        <v>367</v>
      </c>
      <c r="D718" s="125">
        <v>1</v>
      </c>
    </row>
    <row r="719" spans="1:4" x14ac:dyDescent="0.2">
      <c r="A719" s="122">
        <v>446</v>
      </c>
      <c r="B719" s="123">
        <v>1409</v>
      </c>
      <c r="C719" s="124" t="s">
        <v>367</v>
      </c>
      <c r="D719" s="125">
        <v>2</v>
      </c>
    </row>
    <row r="720" spans="1:4" x14ac:dyDescent="0.2">
      <c r="A720" s="122">
        <v>447</v>
      </c>
      <c r="B720" s="123">
        <v>206</v>
      </c>
      <c r="C720" s="124" t="s">
        <v>278</v>
      </c>
      <c r="D720" s="125">
        <v>2</v>
      </c>
    </row>
    <row r="721" spans="1:4" x14ac:dyDescent="0.2">
      <c r="A721" s="122">
        <v>448</v>
      </c>
      <c r="B721" s="123">
        <v>1125</v>
      </c>
      <c r="C721" s="124" t="s">
        <v>278</v>
      </c>
      <c r="D721" s="125">
        <v>2</v>
      </c>
    </row>
    <row r="722" spans="1:4" x14ac:dyDescent="0.2">
      <c r="A722" s="122">
        <v>449</v>
      </c>
      <c r="B722" s="123">
        <v>1127</v>
      </c>
      <c r="C722" s="124" t="s">
        <v>278</v>
      </c>
      <c r="D722" s="125">
        <v>2</v>
      </c>
    </row>
    <row r="723" spans="1:4" x14ac:dyDescent="0.2">
      <c r="A723" s="122">
        <v>450</v>
      </c>
      <c r="B723" s="123">
        <v>1129</v>
      </c>
      <c r="C723" s="124" t="s">
        <v>278</v>
      </c>
      <c r="D723" s="125">
        <v>2</v>
      </c>
    </row>
    <row r="724" spans="1:4" x14ac:dyDescent="0.2">
      <c r="A724" s="122">
        <v>451</v>
      </c>
      <c r="B724" s="123">
        <v>1140</v>
      </c>
      <c r="C724" s="124" t="s">
        <v>278</v>
      </c>
      <c r="D724" s="125">
        <v>2</v>
      </c>
    </row>
    <row r="725" spans="1:4" x14ac:dyDescent="0.2">
      <c r="A725" s="122">
        <v>452</v>
      </c>
      <c r="B725" s="123">
        <v>1142</v>
      </c>
      <c r="C725" s="124" t="s">
        <v>278</v>
      </c>
      <c r="D725" s="125">
        <v>2</v>
      </c>
    </row>
    <row r="726" spans="1:4" x14ac:dyDescent="0.2">
      <c r="A726" s="122">
        <v>453</v>
      </c>
      <c r="B726" s="123">
        <v>1144</v>
      </c>
      <c r="C726" s="124" t="s">
        <v>278</v>
      </c>
      <c r="D726" s="125">
        <v>2</v>
      </c>
    </row>
    <row r="727" spans="1:4" x14ac:dyDescent="0.2">
      <c r="A727" s="122">
        <v>454</v>
      </c>
      <c r="B727" s="123">
        <v>1146</v>
      </c>
      <c r="C727" s="124" t="s">
        <v>278</v>
      </c>
      <c r="D727" s="125">
        <v>2</v>
      </c>
    </row>
    <row r="728" spans="1:4" x14ac:dyDescent="0.2">
      <c r="A728" s="122">
        <v>455</v>
      </c>
      <c r="B728" s="123">
        <v>1148</v>
      </c>
      <c r="C728" s="124" t="s">
        <v>278</v>
      </c>
      <c r="D728" s="125">
        <v>2</v>
      </c>
    </row>
    <row r="729" spans="1:4" x14ac:dyDescent="0.2">
      <c r="A729" s="122">
        <v>456</v>
      </c>
      <c r="B729" s="123">
        <v>1150</v>
      </c>
      <c r="C729" s="124" t="s">
        <v>278</v>
      </c>
      <c r="D729" s="125">
        <v>2</v>
      </c>
    </row>
    <row r="730" spans="1:4" x14ac:dyDescent="0.2">
      <c r="A730" s="122">
        <v>459</v>
      </c>
      <c r="B730" s="123">
        <v>1398</v>
      </c>
      <c r="C730" s="124" t="s">
        <v>278</v>
      </c>
      <c r="D730" s="125">
        <v>2</v>
      </c>
    </row>
    <row r="731" spans="1:4" x14ac:dyDescent="0.2">
      <c r="A731" s="122">
        <v>460</v>
      </c>
      <c r="B731" s="123">
        <v>361</v>
      </c>
      <c r="C731" s="124" t="s">
        <v>368</v>
      </c>
      <c r="D731" s="125" t="s">
        <v>224</v>
      </c>
    </row>
    <row r="732" spans="1:4" x14ac:dyDescent="0.2">
      <c r="A732" s="122">
        <v>461</v>
      </c>
      <c r="B732" s="123">
        <v>361</v>
      </c>
      <c r="C732" s="124" t="s">
        <v>368</v>
      </c>
      <c r="D732" s="125" t="s">
        <v>224</v>
      </c>
    </row>
    <row r="733" spans="1:4" x14ac:dyDescent="0.2">
      <c r="A733" s="122">
        <v>462</v>
      </c>
      <c r="B733" s="123">
        <v>362</v>
      </c>
      <c r="C733" s="124" t="s">
        <v>369</v>
      </c>
      <c r="D733" s="125" t="s">
        <v>224</v>
      </c>
    </row>
    <row r="734" spans="1:4" x14ac:dyDescent="0.2">
      <c r="A734" s="122">
        <v>463</v>
      </c>
      <c r="B734" s="123">
        <v>363</v>
      </c>
      <c r="C734" s="124" t="s">
        <v>370</v>
      </c>
      <c r="D734" s="125" t="s">
        <v>224</v>
      </c>
    </row>
    <row r="735" spans="1:4" x14ac:dyDescent="0.2">
      <c r="A735" s="122">
        <v>464</v>
      </c>
      <c r="B735" s="123">
        <v>364</v>
      </c>
      <c r="C735" s="124" t="s">
        <v>371</v>
      </c>
      <c r="D735" s="125">
        <v>1</v>
      </c>
    </row>
    <row r="736" spans="1:4" x14ac:dyDescent="0.2">
      <c r="A736" s="122">
        <v>464</v>
      </c>
      <c r="B736" s="123">
        <v>365</v>
      </c>
      <c r="C736" s="124" t="s">
        <v>371</v>
      </c>
      <c r="D736" s="125">
        <v>1</v>
      </c>
    </row>
    <row r="737" spans="1:4" x14ac:dyDescent="0.2">
      <c r="A737" s="122">
        <v>465</v>
      </c>
      <c r="B737" s="123">
        <v>1410</v>
      </c>
      <c r="C737" s="124" t="s">
        <v>372</v>
      </c>
      <c r="D737" s="125">
        <v>1</v>
      </c>
    </row>
    <row r="738" spans="1:4" x14ac:dyDescent="0.2">
      <c r="A738" s="122">
        <v>465</v>
      </c>
      <c r="B738" s="123">
        <v>1411</v>
      </c>
      <c r="C738" s="124" t="s">
        <v>372</v>
      </c>
      <c r="D738" s="125">
        <v>1</v>
      </c>
    </row>
    <row r="739" spans="1:4" x14ac:dyDescent="0.2">
      <c r="A739" s="122">
        <v>466</v>
      </c>
      <c r="B739" s="123">
        <v>366</v>
      </c>
      <c r="C739" s="124" t="s">
        <v>373</v>
      </c>
      <c r="D739" s="125" t="s">
        <v>462</v>
      </c>
    </row>
    <row r="740" spans="1:4" x14ac:dyDescent="0.2">
      <c r="A740" s="122">
        <v>467</v>
      </c>
      <c r="B740" s="123">
        <v>367</v>
      </c>
      <c r="C740" s="124" t="s">
        <v>373</v>
      </c>
      <c r="D740" s="125" t="s">
        <v>462</v>
      </c>
    </row>
    <row r="741" spans="1:4" x14ac:dyDescent="0.2">
      <c r="A741" s="122">
        <v>468</v>
      </c>
      <c r="B741" s="123">
        <v>368</v>
      </c>
      <c r="C741" s="124" t="s">
        <v>373</v>
      </c>
      <c r="D741" s="125" t="s">
        <v>462</v>
      </c>
    </row>
    <row r="742" spans="1:4" x14ac:dyDescent="0.2">
      <c r="A742" s="122">
        <v>469</v>
      </c>
      <c r="B742" s="123">
        <v>369</v>
      </c>
      <c r="C742" s="124" t="s">
        <v>373</v>
      </c>
      <c r="D742" s="125" t="s">
        <v>462</v>
      </c>
    </row>
    <row r="743" spans="1:4" x14ac:dyDescent="0.2">
      <c r="A743" s="122">
        <v>470</v>
      </c>
      <c r="B743" s="123">
        <v>370</v>
      </c>
      <c r="C743" s="124" t="s">
        <v>373</v>
      </c>
      <c r="D743" s="125" t="s">
        <v>462</v>
      </c>
    </row>
    <row r="744" spans="1:4" x14ac:dyDescent="0.2">
      <c r="A744" s="122">
        <v>473</v>
      </c>
      <c r="B744" s="123">
        <v>1412</v>
      </c>
      <c r="C744" s="124" t="s">
        <v>374</v>
      </c>
      <c r="D744" s="125">
        <v>1</v>
      </c>
    </row>
    <row r="745" spans="1:4" x14ac:dyDescent="0.2">
      <c r="A745" s="122">
        <v>473</v>
      </c>
      <c r="B745" s="123">
        <v>1413</v>
      </c>
      <c r="C745" s="124" t="s">
        <v>374</v>
      </c>
      <c r="D745" s="125">
        <v>2</v>
      </c>
    </row>
    <row r="746" spans="1:4" x14ac:dyDescent="0.2">
      <c r="A746" s="122">
        <v>474</v>
      </c>
      <c r="B746" s="123">
        <v>1414</v>
      </c>
      <c r="C746" s="124" t="s">
        <v>375</v>
      </c>
      <c r="D746" s="125" t="s">
        <v>224</v>
      </c>
    </row>
    <row r="747" spans="1:4" x14ac:dyDescent="0.2">
      <c r="A747" s="122">
        <v>475</v>
      </c>
      <c r="B747" s="123">
        <v>1415</v>
      </c>
      <c r="C747" s="124" t="s">
        <v>376</v>
      </c>
      <c r="D747" s="125">
        <v>1</v>
      </c>
    </row>
    <row r="748" spans="1:4" x14ac:dyDescent="0.2">
      <c r="A748" s="122">
        <v>475</v>
      </c>
      <c r="B748" s="123">
        <v>1416</v>
      </c>
      <c r="C748" s="124" t="s">
        <v>376</v>
      </c>
      <c r="D748" s="125">
        <v>2</v>
      </c>
    </row>
    <row r="749" spans="1:4" x14ac:dyDescent="0.2">
      <c r="A749" s="122">
        <v>476</v>
      </c>
      <c r="B749" s="123">
        <v>1417</v>
      </c>
      <c r="C749" s="124" t="s">
        <v>377</v>
      </c>
      <c r="D749" s="125" t="s">
        <v>224</v>
      </c>
    </row>
    <row r="750" spans="1:4" x14ac:dyDescent="0.2">
      <c r="A750" s="122">
        <v>477</v>
      </c>
      <c r="B750" s="123">
        <v>1418</v>
      </c>
      <c r="C750" s="124" t="s">
        <v>377</v>
      </c>
      <c r="D750" s="125" t="s">
        <v>224</v>
      </c>
    </row>
    <row r="751" spans="1:4" x14ac:dyDescent="0.2">
      <c r="A751" s="122">
        <v>478</v>
      </c>
      <c r="B751" s="123">
        <v>1419</v>
      </c>
      <c r="C751" s="124" t="s">
        <v>307</v>
      </c>
      <c r="D751" s="125">
        <v>1</v>
      </c>
    </row>
    <row r="752" spans="1:4" x14ac:dyDescent="0.2">
      <c r="A752" s="122">
        <v>478</v>
      </c>
      <c r="B752" s="123">
        <v>1420</v>
      </c>
      <c r="C752" s="124" t="s">
        <v>307</v>
      </c>
      <c r="D752" s="125">
        <v>1</v>
      </c>
    </row>
    <row r="753" spans="1:4" x14ac:dyDescent="0.2">
      <c r="A753" s="122">
        <v>478</v>
      </c>
      <c r="B753" s="123">
        <v>1421</v>
      </c>
      <c r="C753" s="124" t="s">
        <v>307</v>
      </c>
      <c r="D753" s="125">
        <v>2</v>
      </c>
    </row>
    <row r="754" spans="1:4" x14ac:dyDescent="0.2">
      <c r="A754" s="122">
        <v>479</v>
      </c>
      <c r="B754" s="123">
        <v>1424</v>
      </c>
      <c r="C754" s="124" t="s">
        <v>365</v>
      </c>
      <c r="D754" s="125">
        <v>2</v>
      </c>
    </row>
    <row r="755" spans="1:4" x14ac:dyDescent="0.2">
      <c r="A755" s="122">
        <v>479</v>
      </c>
      <c r="B755" s="123">
        <v>1425</v>
      </c>
      <c r="C755" s="124" t="s">
        <v>365</v>
      </c>
      <c r="D755" s="125">
        <v>1</v>
      </c>
    </row>
    <row r="756" spans="1:4" x14ac:dyDescent="0.2">
      <c r="A756" s="122">
        <v>480</v>
      </c>
      <c r="B756" s="123">
        <v>1426</v>
      </c>
      <c r="C756" s="124" t="s">
        <v>365</v>
      </c>
      <c r="D756" s="125">
        <v>2</v>
      </c>
    </row>
    <row r="757" spans="1:4" x14ac:dyDescent="0.2">
      <c r="A757" s="122">
        <v>480</v>
      </c>
      <c r="B757" s="123">
        <v>1427</v>
      </c>
      <c r="C757" s="124" t="s">
        <v>365</v>
      </c>
      <c r="D757" s="125">
        <v>1</v>
      </c>
    </row>
    <row r="758" spans="1:4" x14ac:dyDescent="0.2">
      <c r="A758" s="122">
        <v>481</v>
      </c>
      <c r="B758" s="123">
        <v>1428</v>
      </c>
      <c r="C758" s="124" t="s">
        <v>365</v>
      </c>
      <c r="D758" s="125">
        <v>2</v>
      </c>
    </row>
    <row r="759" spans="1:4" x14ac:dyDescent="0.2">
      <c r="A759" s="122">
        <v>481</v>
      </c>
      <c r="B759" s="123">
        <v>1429</v>
      </c>
      <c r="C759" s="124" t="s">
        <v>365</v>
      </c>
      <c r="D759" s="125">
        <v>1</v>
      </c>
    </row>
    <row r="760" spans="1:4" x14ac:dyDescent="0.2">
      <c r="A760" s="122">
        <v>482</v>
      </c>
      <c r="B760" s="123">
        <v>378</v>
      </c>
      <c r="C760" s="124" t="s">
        <v>378</v>
      </c>
      <c r="D760" s="125" t="s">
        <v>379</v>
      </c>
    </row>
    <row r="761" spans="1:4" x14ac:dyDescent="0.2">
      <c r="A761" s="122">
        <v>483</v>
      </c>
      <c r="B761" s="123">
        <v>379</v>
      </c>
      <c r="C761" s="124" t="s">
        <v>380</v>
      </c>
      <c r="D761" s="125" t="s">
        <v>379</v>
      </c>
    </row>
    <row r="762" spans="1:4" x14ac:dyDescent="0.2">
      <c r="A762" s="122">
        <v>484</v>
      </c>
      <c r="B762" s="123">
        <v>380</v>
      </c>
      <c r="C762" s="124" t="s">
        <v>381</v>
      </c>
      <c r="D762" s="125" t="s">
        <v>379</v>
      </c>
    </row>
    <row r="763" spans="1:4" x14ac:dyDescent="0.2">
      <c r="A763" s="122">
        <v>485</v>
      </c>
      <c r="B763" s="123">
        <v>381</v>
      </c>
      <c r="C763" s="124" t="s">
        <v>382</v>
      </c>
      <c r="D763" s="125" t="s">
        <v>379</v>
      </c>
    </row>
    <row r="764" spans="1:4" x14ac:dyDescent="0.2">
      <c r="A764" s="122">
        <v>486</v>
      </c>
      <c r="B764" s="123">
        <v>382</v>
      </c>
      <c r="C764" s="124" t="s">
        <v>383</v>
      </c>
      <c r="D764" s="125" t="s">
        <v>379</v>
      </c>
    </row>
    <row r="765" spans="1:4" x14ac:dyDescent="0.2">
      <c r="A765" s="122">
        <v>487</v>
      </c>
      <c r="B765" s="123">
        <v>383</v>
      </c>
      <c r="C765" s="124" t="s">
        <v>384</v>
      </c>
      <c r="D765" s="125" t="s">
        <v>379</v>
      </c>
    </row>
    <row r="766" spans="1:4" x14ac:dyDescent="0.2">
      <c r="A766" s="122">
        <v>488</v>
      </c>
      <c r="B766" s="123">
        <v>384</v>
      </c>
      <c r="C766" s="124" t="s">
        <v>385</v>
      </c>
      <c r="D766" s="125" t="s">
        <v>379</v>
      </c>
    </row>
    <row r="767" spans="1:4" x14ac:dyDescent="0.2">
      <c r="A767" s="122">
        <v>489</v>
      </c>
      <c r="B767" s="123">
        <v>385</v>
      </c>
      <c r="C767" s="124" t="s">
        <v>386</v>
      </c>
      <c r="D767" s="125" t="s">
        <v>379</v>
      </c>
    </row>
    <row r="768" spans="1:4" x14ac:dyDescent="0.2">
      <c r="A768" s="122">
        <v>490</v>
      </c>
      <c r="B768" s="123">
        <v>386</v>
      </c>
      <c r="C768" s="124" t="s">
        <v>387</v>
      </c>
      <c r="D768" s="125" t="s">
        <v>379</v>
      </c>
    </row>
    <row r="769" spans="1:4" x14ac:dyDescent="0.2">
      <c r="A769" s="122">
        <v>491</v>
      </c>
      <c r="B769" s="123">
        <v>387</v>
      </c>
      <c r="C769" s="124" t="s">
        <v>388</v>
      </c>
      <c r="D769" s="125" t="s">
        <v>379</v>
      </c>
    </row>
    <row r="770" spans="1:4" x14ac:dyDescent="0.2">
      <c r="A770" s="122">
        <v>492</v>
      </c>
      <c r="B770" s="123">
        <v>388</v>
      </c>
      <c r="C770" s="124" t="s">
        <v>389</v>
      </c>
      <c r="D770" s="125" t="s">
        <v>379</v>
      </c>
    </row>
    <row r="771" spans="1:4" x14ac:dyDescent="0.2">
      <c r="A771" s="122">
        <v>493</v>
      </c>
      <c r="B771" s="123">
        <v>389</v>
      </c>
      <c r="C771" s="124" t="s">
        <v>390</v>
      </c>
      <c r="D771" s="125" t="s">
        <v>379</v>
      </c>
    </row>
    <row r="772" spans="1:4" x14ac:dyDescent="0.2">
      <c r="A772" s="122">
        <v>494</v>
      </c>
      <c r="B772" s="123">
        <v>390</v>
      </c>
      <c r="C772" s="124" t="s">
        <v>391</v>
      </c>
      <c r="D772" s="125" t="s">
        <v>379</v>
      </c>
    </row>
    <row r="773" spans="1:4" x14ac:dyDescent="0.2">
      <c r="A773" s="122">
        <v>495</v>
      </c>
      <c r="B773" s="123">
        <v>391</v>
      </c>
      <c r="C773" s="124" t="s">
        <v>392</v>
      </c>
      <c r="D773" s="125" t="s">
        <v>379</v>
      </c>
    </row>
    <row r="774" spans="1:4" x14ac:dyDescent="0.2">
      <c r="A774" s="122">
        <v>496</v>
      </c>
      <c r="B774" s="123">
        <v>392</v>
      </c>
      <c r="C774" s="124" t="s">
        <v>393</v>
      </c>
      <c r="D774" s="125" t="s">
        <v>379</v>
      </c>
    </row>
    <row r="775" spans="1:4" x14ac:dyDescent="0.2">
      <c r="A775" s="122">
        <v>497</v>
      </c>
      <c r="B775" s="123">
        <v>393</v>
      </c>
      <c r="C775" s="124" t="s">
        <v>394</v>
      </c>
      <c r="D775" s="125" t="s">
        <v>379</v>
      </c>
    </row>
    <row r="776" spans="1:4" x14ac:dyDescent="0.2">
      <c r="A776" s="122">
        <v>498</v>
      </c>
      <c r="B776" s="123">
        <v>394</v>
      </c>
      <c r="C776" s="124" t="s">
        <v>395</v>
      </c>
      <c r="D776" s="125" t="s">
        <v>379</v>
      </c>
    </row>
    <row r="777" spans="1:4" x14ac:dyDescent="0.2">
      <c r="A777" s="122">
        <v>701</v>
      </c>
      <c r="B777" s="123">
        <v>343</v>
      </c>
      <c r="C777" s="124" t="s">
        <v>396</v>
      </c>
      <c r="D777" s="125" t="s">
        <v>224</v>
      </c>
    </row>
    <row r="778" spans="1:4" x14ac:dyDescent="0.2">
      <c r="A778" s="122">
        <v>702</v>
      </c>
      <c r="B778" s="123">
        <v>344</v>
      </c>
      <c r="C778" s="124" t="s">
        <v>396</v>
      </c>
      <c r="D778" s="125" t="s">
        <v>224</v>
      </c>
    </row>
    <row r="779" spans="1:4" x14ac:dyDescent="0.2">
      <c r="A779" s="122">
        <v>703</v>
      </c>
      <c r="B779" s="123">
        <v>317</v>
      </c>
      <c r="C779" s="124" t="s">
        <v>330</v>
      </c>
      <c r="D779" s="125" t="s">
        <v>224</v>
      </c>
    </row>
    <row r="780" spans="1:4" x14ac:dyDescent="0.2">
      <c r="A780" s="122">
        <v>704</v>
      </c>
      <c r="B780" s="123">
        <v>318</v>
      </c>
      <c r="C780" s="124" t="s">
        <v>330</v>
      </c>
      <c r="D780" s="125" t="s">
        <v>224</v>
      </c>
    </row>
    <row r="781" spans="1:4" x14ac:dyDescent="0.2">
      <c r="A781" s="122">
        <v>705</v>
      </c>
      <c r="B781" s="123">
        <v>319</v>
      </c>
      <c r="C781" s="124" t="s">
        <v>330</v>
      </c>
      <c r="D781" s="125" t="s">
        <v>224</v>
      </c>
    </row>
    <row r="782" spans="1:4" x14ac:dyDescent="0.2">
      <c r="A782" s="122">
        <v>706</v>
      </c>
      <c r="B782" s="123">
        <v>320</v>
      </c>
      <c r="C782" s="124" t="s">
        <v>330</v>
      </c>
      <c r="D782" s="125" t="s">
        <v>224</v>
      </c>
    </row>
    <row r="783" spans="1:4" x14ac:dyDescent="0.2">
      <c r="A783" s="122">
        <v>707</v>
      </c>
      <c r="B783" s="123">
        <v>321</v>
      </c>
      <c r="C783" s="124" t="s">
        <v>330</v>
      </c>
      <c r="D783" s="125" t="s">
        <v>224</v>
      </c>
    </row>
    <row r="784" spans="1:4" x14ac:dyDescent="0.2">
      <c r="A784" s="122">
        <v>708</v>
      </c>
      <c r="B784" s="123">
        <v>322</v>
      </c>
      <c r="C784" s="124" t="s">
        <v>330</v>
      </c>
      <c r="D784" s="125" t="s">
        <v>224</v>
      </c>
    </row>
    <row r="785" spans="1:4" x14ac:dyDescent="0.2">
      <c r="A785" s="122">
        <v>709</v>
      </c>
      <c r="B785" s="123">
        <v>323</v>
      </c>
      <c r="C785" s="124" t="s">
        <v>330</v>
      </c>
      <c r="D785" s="125" t="s">
        <v>224</v>
      </c>
    </row>
    <row r="786" spans="1:4" x14ac:dyDescent="0.2">
      <c r="A786" s="122">
        <v>710</v>
      </c>
      <c r="B786" s="123">
        <v>324</v>
      </c>
      <c r="C786" s="124" t="s">
        <v>330</v>
      </c>
      <c r="D786" s="125" t="s">
        <v>224</v>
      </c>
    </row>
    <row r="787" spans="1:4" x14ac:dyDescent="0.2">
      <c r="A787" s="122">
        <v>711</v>
      </c>
      <c r="B787" s="123">
        <v>325</v>
      </c>
      <c r="C787" s="124" t="s">
        <v>330</v>
      </c>
      <c r="D787" s="125" t="s">
        <v>224</v>
      </c>
    </row>
    <row r="788" spans="1:4" x14ac:dyDescent="0.2">
      <c r="A788" s="122">
        <v>712</v>
      </c>
      <c r="B788" s="123">
        <v>326</v>
      </c>
      <c r="C788" s="124" t="s">
        <v>397</v>
      </c>
      <c r="D788" s="125" t="s">
        <v>224</v>
      </c>
    </row>
    <row r="789" spans="1:4" x14ac:dyDescent="0.2">
      <c r="A789" s="122">
        <v>713</v>
      </c>
      <c r="B789" s="123">
        <v>328</v>
      </c>
      <c r="C789" s="124" t="s">
        <v>397</v>
      </c>
      <c r="D789" s="125" t="s">
        <v>224</v>
      </c>
    </row>
    <row r="790" spans="1:4" x14ac:dyDescent="0.2">
      <c r="A790" s="122">
        <v>714</v>
      </c>
      <c r="B790" s="123">
        <v>329</v>
      </c>
      <c r="C790" s="124" t="s">
        <v>397</v>
      </c>
      <c r="D790" s="125" t="s">
        <v>224</v>
      </c>
    </row>
    <row r="791" spans="1:4" x14ac:dyDescent="0.2">
      <c r="A791" s="122">
        <v>715</v>
      </c>
      <c r="B791" s="123">
        <v>330</v>
      </c>
      <c r="C791" s="124" t="s">
        <v>397</v>
      </c>
      <c r="D791" s="125" t="s">
        <v>224</v>
      </c>
    </row>
    <row r="792" spans="1:4" x14ac:dyDescent="0.2">
      <c r="A792" s="122">
        <v>716</v>
      </c>
      <c r="B792" s="123">
        <v>339</v>
      </c>
      <c r="C792" s="124" t="s">
        <v>398</v>
      </c>
      <c r="D792" s="125" t="s">
        <v>224</v>
      </c>
    </row>
    <row r="793" spans="1:4" x14ac:dyDescent="0.2">
      <c r="A793" s="122">
        <v>717</v>
      </c>
      <c r="B793" s="123">
        <v>340</v>
      </c>
      <c r="C793" s="124" t="s">
        <v>398</v>
      </c>
      <c r="D793" s="125" t="s">
        <v>224</v>
      </c>
    </row>
    <row r="794" spans="1:4" x14ac:dyDescent="0.2">
      <c r="A794" s="122">
        <v>718</v>
      </c>
      <c r="B794" s="123">
        <v>341</v>
      </c>
      <c r="C794" s="124" t="s">
        <v>399</v>
      </c>
      <c r="D794" s="125" t="s">
        <v>224</v>
      </c>
    </row>
    <row r="795" spans="1:4" x14ac:dyDescent="0.2">
      <c r="A795" s="122">
        <v>719</v>
      </c>
      <c r="B795" s="123">
        <v>342</v>
      </c>
      <c r="C795" s="124" t="s">
        <v>399</v>
      </c>
      <c r="D795" s="125" t="s">
        <v>224</v>
      </c>
    </row>
    <row r="796" spans="1:4" x14ac:dyDescent="0.2">
      <c r="A796" s="122">
        <v>720</v>
      </c>
      <c r="B796" s="123">
        <v>331</v>
      </c>
      <c r="C796" s="124" t="s">
        <v>263</v>
      </c>
      <c r="D796" s="125">
        <v>1</v>
      </c>
    </row>
    <row r="797" spans="1:4" x14ac:dyDescent="0.2">
      <c r="A797" s="122">
        <v>720</v>
      </c>
      <c r="B797" s="123">
        <v>332</v>
      </c>
      <c r="C797" s="124" t="s">
        <v>263</v>
      </c>
      <c r="D797" s="125">
        <v>1</v>
      </c>
    </row>
    <row r="798" spans="1:4" x14ac:dyDescent="0.2">
      <c r="A798" s="122">
        <v>720</v>
      </c>
      <c r="B798" s="123">
        <v>333</v>
      </c>
      <c r="C798" s="124" t="s">
        <v>263</v>
      </c>
      <c r="D798" s="125">
        <v>2</v>
      </c>
    </row>
    <row r="799" spans="1:4" x14ac:dyDescent="0.2">
      <c r="A799" s="122">
        <v>721</v>
      </c>
      <c r="B799" s="123">
        <v>327</v>
      </c>
      <c r="C799" s="124" t="s">
        <v>400</v>
      </c>
      <c r="D799" s="125">
        <v>2</v>
      </c>
    </row>
    <row r="800" spans="1:4" x14ac:dyDescent="0.2">
      <c r="A800" s="122">
        <v>721</v>
      </c>
      <c r="B800" s="123">
        <v>336</v>
      </c>
      <c r="C800" s="124" t="s">
        <v>400</v>
      </c>
      <c r="D800" s="125">
        <v>1</v>
      </c>
    </row>
    <row r="801" spans="1:4" x14ac:dyDescent="0.2">
      <c r="A801" s="122">
        <v>722</v>
      </c>
      <c r="B801" s="123">
        <v>13067</v>
      </c>
      <c r="C801" s="124" t="s">
        <v>400</v>
      </c>
      <c r="D801" s="125">
        <v>2</v>
      </c>
    </row>
    <row r="802" spans="1:4" x14ac:dyDescent="0.2">
      <c r="A802" s="122">
        <v>722</v>
      </c>
      <c r="B802" s="123">
        <v>13068</v>
      </c>
      <c r="C802" s="124" t="s">
        <v>400</v>
      </c>
      <c r="D802" s="125">
        <v>1</v>
      </c>
    </row>
    <row r="803" spans="1:4" x14ac:dyDescent="0.2">
      <c r="A803" s="122">
        <v>723</v>
      </c>
      <c r="B803" s="123">
        <v>13070</v>
      </c>
      <c r="C803" s="124" t="s">
        <v>400</v>
      </c>
      <c r="D803" s="125">
        <v>2</v>
      </c>
    </row>
    <row r="804" spans="1:4" x14ac:dyDescent="0.2">
      <c r="A804" s="122">
        <v>723</v>
      </c>
      <c r="B804" s="123">
        <v>13071</v>
      </c>
      <c r="C804" s="124" t="s">
        <v>400</v>
      </c>
      <c r="D804" s="125">
        <v>1</v>
      </c>
    </row>
    <row r="805" spans="1:4" x14ac:dyDescent="0.2">
      <c r="A805" s="122">
        <v>724</v>
      </c>
      <c r="B805" s="123">
        <v>13073</v>
      </c>
      <c r="C805" s="124" t="s">
        <v>400</v>
      </c>
      <c r="D805" s="125">
        <v>2</v>
      </c>
    </row>
    <row r="806" spans="1:4" x14ac:dyDescent="0.2">
      <c r="A806" s="122">
        <v>724</v>
      </c>
      <c r="B806" s="123">
        <v>13074</v>
      </c>
      <c r="C806" s="124" t="s">
        <v>400</v>
      </c>
      <c r="D806" s="125">
        <v>1</v>
      </c>
    </row>
    <row r="807" spans="1:4" x14ac:dyDescent="0.2">
      <c r="A807" s="122">
        <v>725</v>
      </c>
      <c r="B807" s="123">
        <v>13076</v>
      </c>
      <c r="C807" s="124" t="s">
        <v>400</v>
      </c>
      <c r="D807" s="125">
        <v>2</v>
      </c>
    </row>
    <row r="808" spans="1:4" x14ac:dyDescent="0.2">
      <c r="A808" s="122">
        <v>725</v>
      </c>
      <c r="B808" s="123">
        <v>13077</v>
      </c>
      <c r="C808" s="124" t="s">
        <v>400</v>
      </c>
      <c r="D808" s="125">
        <v>1</v>
      </c>
    </row>
    <row r="809" spans="1:4" x14ac:dyDescent="0.2">
      <c r="A809" s="122">
        <v>726</v>
      </c>
      <c r="B809" s="123">
        <v>13079</v>
      </c>
      <c r="C809" s="124" t="s">
        <v>400</v>
      </c>
      <c r="D809" s="125">
        <v>2</v>
      </c>
    </row>
    <row r="810" spans="1:4" x14ac:dyDescent="0.2">
      <c r="A810" s="122">
        <v>726</v>
      </c>
      <c r="B810" s="123">
        <v>13080</v>
      </c>
      <c r="C810" s="124" t="s">
        <v>400</v>
      </c>
      <c r="D810" s="125">
        <v>1</v>
      </c>
    </row>
    <row r="811" spans="1:4" x14ac:dyDescent="0.2">
      <c r="A811" s="122">
        <v>727</v>
      </c>
      <c r="B811" s="123">
        <v>13032</v>
      </c>
      <c r="C811" s="124" t="s">
        <v>400</v>
      </c>
      <c r="D811" s="125">
        <v>2</v>
      </c>
    </row>
    <row r="812" spans="1:4" x14ac:dyDescent="0.2">
      <c r="A812" s="122">
        <v>727</v>
      </c>
      <c r="B812" s="123">
        <v>13033</v>
      </c>
      <c r="C812" s="124" t="s">
        <v>400</v>
      </c>
      <c r="D812" s="125">
        <v>1</v>
      </c>
    </row>
    <row r="813" spans="1:4" x14ac:dyDescent="0.2">
      <c r="A813" s="122">
        <v>728</v>
      </c>
      <c r="B813" s="123">
        <v>13034</v>
      </c>
      <c r="C813" s="124" t="s">
        <v>401</v>
      </c>
      <c r="D813" s="125">
        <v>2</v>
      </c>
    </row>
    <row r="814" spans="1:4" x14ac:dyDescent="0.2">
      <c r="A814" s="122">
        <v>729</v>
      </c>
      <c r="B814" s="123">
        <v>13035</v>
      </c>
      <c r="C814" s="124" t="s">
        <v>400</v>
      </c>
      <c r="D814" s="125">
        <v>2</v>
      </c>
    </row>
    <row r="815" spans="1:4" x14ac:dyDescent="0.2">
      <c r="A815" s="122">
        <v>729</v>
      </c>
      <c r="B815" s="123">
        <v>13036</v>
      </c>
      <c r="C815" s="124" t="s">
        <v>400</v>
      </c>
      <c r="D815" s="125">
        <v>1</v>
      </c>
    </row>
    <row r="816" spans="1:4" x14ac:dyDescent="0.2">
      <c r="A816" s="122">
        <v>730</v>
      </c>
      <c r="B816" s="123">
        <v>13037</v>
      </c>
      <c r="C816" s="124" t="s">
        <v>401</v>
      </c>
      <c r="D816" s="125">
        <v>2</v>
      </c>
    </row>
    <row r="817" spans="1:4" x14ac:dyDescent="0.2">
      <c r="A817" s="122">
        <v>731</v>
      </c>
      <c r="B817" s="123">
        <v>13038</v>
      </c>
      <c r="C817" s="124" t="s">
        <v>400</v>
      </c>
      <c r="D817" s="125">
        <v>2</v>
      </c>
    </row>
    <row r="818" spans="1:4" x14ac:dyDescent="0.2">
      <c r="A818" s="122">
        <v>731</v>
      </c>
      <c r="B818" s="123">
        <v>13039</v>
      </c>
      <c r="C818" s="124" t="s">
        <v>400</v>
      </c>
      <c r="D818" s="125">
        <v>1</v>
      </c>
    </row>
    <row r="819" spans="1:4" x14ac:dyDescent="0.2">
      <c r="A819" s="122">
        <v>732</v>
      </c>
      <c r="B819" s="123">
        <v>13040</v>
      </c>
      <c r="C819" s="124" t="s">
        <v>401</v>
      </c>
      <c r="D819" s="125">
        <v>2</v>
      </c>
    </row>
    <row r="820" spans="1:4" x14ac:dyDescent="0.2">
      <c r="A820" s="122">
        <v>733</v>
      </c>
      <c r="B820" s="123">
        <v>13041</v>
      </c>
      <c r="C820" s="124" t="s">
        <v>400</v>
      </c>
      <c r="D820" s="125">
        <v>2</v>
      </c>
    </row>
    <row r="821" spans="1:4" x14ac:dyDescent="0.2">
      <c r="A821" s="122">
        <v>733</v>
      </c>
      <c r="B821" s="123">
        <v>13042</v>
      </c>
      <c r="C821" s="124" t="s">
        <v>400</v>
      </c>
      <c r="D821" s="125">
        <v>1</v>
      </c>
    </row>
    <row r="822" spans="1:4" x14ac:dyDescent="0.2">
      <c r="A822" s="122">
        <v>734</v>
      </c>
      <c r="B822" s="123">
        <v>13043</v>
      </c>
      <c r="C822" s="124" t="s">
        <v>401</v>
      </c>
      <c r="D822" s="125">
        <v>2</v>
      </c>
    </row>
    <row r="823" spans="1:4" x14ac:dyDescent="0.2">
      <c r="A823" s="122">
        <v>735</v>
      </c>
      <c r="B823" s="123">
        <v>13044</v>
      </c>
      <c r="C823" s="124" t="s">
        <v>400</v>
      </c>
      <c r="D823" s="125">
        <v>2</v>
      </c>
    </row>
    <row r="824" spans="1:4" x14ac:dyDescent="0.2">
      <c r="A824" s="122">
        <v>735</v>
      </c>
      <c r="B824" s="123">
        <v>13045</v>
      </c>
      <c r="C824" s="124" t="s">
        <v>400</v>
      </c>
      <c r="D824" s="125">
        <v>1</v>
      </c>
    </row>
    <row r="825" spans="1:4" x14ac:dyDescent="0.2">
      <c r="A825" s="122">
        <v>736</v>
      </c>
      <c r="B825" s="123">
        <v>13046</v>
      </c>
      <c r="C825" s="124" t="s">
        <v>401</v>
      </c>
      <c r="D825" s="125">
        <v>2</v>
      </c>
    </row>
    <row r="826" spans="1:4" x14ac:dyDescent="0.2">
      <c r="A826" s="122">
        <v>737</v>
      </c>
      <c r="B826" s="123">
        <v>13047</v>
      </c>
      <c r="C826" s="124" t="s">
        <v>400</v>
      </c>
      <c r="D826" s="125">
        <v>2</v>
      </c>
    </row>
    <row r="827" spans="1:4" x14ac:dyDescent="0.2">
      <c r="A827" s="122">
        <v>737</v>
      </c>
      <c r="B827" s="123">
        <v>13048</v>
      </c>
      <c r="C827" s="124" t="s">
        <v>400</v>
      </c>
      <c r="D827" s="125">
        <v>1</v>
      </c>
    </row>
    <row r="828" spans="1:4" x14ac:dyDescent="0.2">
      <c r="A828" s="122">
        <v>738</v>
      </c>
      <c r="B828" s="123">
        <v>13049</v>
      </c>
      <c r="C828" s="124" t="s">
        <v>401</v>
      </c>
      <c r="D828" s="125">
        <v>2</v>
      </c>
    </row>
    <row r="829" spans="1:4" x14ac:dyDescent="0.2">
      <c r="A829" s="122">
        <v>739</v>
      </c>
      <c r="B829" s="123">
        <v>13050</v>
      </c>
      <c r="C829" s="124" t="s">
        <v>400</v>
      </c>
      <c r="D829" s="125">
        <v>2</v>
      </c>
    </row>
    <row r="830" spans="1:4" x14ac:dyDescent="0.2">
      <c r="A830" s="122">
        <v>739</v>
      </c>
      <c r="B830" s="123">
        <v>13051</v>
      </c>
      <c r="C830" s="124" t="s">
        <v>400</v>
      </c>
      <c r="D830" s="125">
        <v>1</v>
      </c>
    </row>
    <row r="831" spans="1:4" x14ac:dyDescent="0.2">
      <c r="A831" s="122">
        <v>740</v>
      </c>
      <c r="B831" s="123">
        <v>13052</v>
      </c>
      <c r="C831" s="124" t="s">
        <v>401</v>
      </c>
      <c r="D831" s="125">
        <v>2</v>
      </c>
    </row>
    <row r="832" spans="1:4" x14ac:dyDescent="0.2">
      <c r="A832" s="122">
        <v>741</v>
      </c>
      <c r="B832" s="123">
        <v>13053</v>
      </c>
      <c r="C832" s="124" t="s">
        <v>400</v>
      </c>
      <c r="D832" s="125">
        <v>2</v>
      </c>
    </row>
    <row r="833" spans="1:4" x14ac:dyDescent="0.2">
      <c r="A833" s="122">
        <v>741</v>
      </c>
      <c r="B833" s="123">
        <v>13054</v>
      </c>
      <c r="C833" s="124" t="s">
        <v>400</v>
      </c>
      <c r="D833" s="125">
        <v>1</v>
      </c>
    </row>
    <row r="834" spans="1:4" x14ac:dyDescent="0.2">
      <c r="A834" s="122">
        <v>742</v>
      </c>
      <c r="B834" s="123">
        <v>13055</v>
      </c>
      <c r="C834" s="124" t="s">
        <v>401</v>
      </c>
      <c r="D834" s="125">
        <v>2</v>
      </c>
    </row>
    <row r="835" spans="1:4" x14ac:dyDescent="0.2">
      <c r="A835" s="122">
        <v>743</v>
      </c>
      <c r="B835" s="123">
        <v>13056</v>
      </c>
      <c r="C835" s="124" t="s">
        <v>400</v>
      </c>
      <c r="D835" s="125">
        <v>2</v>
      </c>
    </row>
    <row r="836" spans="1:4" x14ac:dyDescent="0.2">
      <c r="A836" s="122">
        <v>743</v>
      </c>
      <c r="B836" s="123">
        <v>13057</v>
      </c>
      <c r="C836" s="124" t="s">
        <v>400</v>
      </c>
      <c r="D836" s="125">
        <v>1</v>
      </c>
    </row>
    <row r="837" spans="1:4" x14ac:dyDescent="0.2">
      <c r="A837" s="122">
        <v>744</v>
      </c>
      <c r="B837" s="123">
        <v>13058</v>
      </c>
      <c r="C837" s="124" t="s">
        <v>401</v>
      </c>
      <c r="D837" s="125">
        <v>2</v>
      </c>
    </row>
    <row r="838" spans="1:4" x14ac:dyDescent="0.2">
      <c r="A838" s="122">
        <v>745</v>
      </c>
      <c r="B838" s="123">
        <v>13059</v>
      </c>
      <c r="C838" s="124" t="s">
        <v>400</v>
      </c>
      <c r="D838" s="125">
        <v>2</v>
      </c>
    </row>
    <row r="839" spans="1:4" x14ac:dyDescent="0.2">
      <c r="A839" s="122">
        <v>745</v>
      </c>
      <c r="B839" s="123">
        <v>13060</v>
      </c>
      <c r="C839" s="124" t="s">
        <v>400</v>
      </c>
      <c r="D839" s="125">
        <v>1</v>
      </c>
    </row>
    <row r="840" spans="1:4" x14ac:dyDescent="0.2">
      <c r="A840" s="122">
        <v>746</v>
      </c>
      <c r="B840" s="123">
        <v>13061</v>
      </c>
      <c r="C840" s="124" t="s">
        <v>401</v>
      </c>
      <c r="D840" s="125">
        <v>2</v>
      </c>
    </row>
    <row r="841" spans="1:4" x14ac:dyDescent="0.2">
      <c r="A841" s="122">
        <v>747</v>
      </c>
      <c r="B841" s="123">
        <v>13062</v>
      </c>
      <c r="C841" s="124" t="s">
        <v>400</v>
      </c>
      <c r="D841" s="125">
        <v>2</v>
      </c>
    </row>
    <row r="842" spans="1:4" x14ac:dyDescent="0.2">
      <c r="A842" s="122">
        <v>747</v>
      </c>
      <c r="B842" s="123">
        <v>13063</v>
      </c>
      <c r="C842" s="124" t="s">
        <v>400</v>
      </c>
      <c r="D842" s="125">
        <v>1</v>
      </c>
    </row>
    <row r="843" spans="1:4" x14ac:dyDescent="0.2">
      <c r="A843" s="122">
        <v>748</v>
      </c>
      <c r="B843" s="123">
        <v>13064</v>
      </c>
      <c r="C843" s="124" t="s">
        <v>400</v>
      </c>
      <c r="D843" s="125">
        <v>2</v>
      </c>
    </row>
    <row r="844" spans="1:4" x14ac:dyDescent="0.2">
      <c r="A844" s="122">
        <v>748</v>
      </c>
      <c r="B844" s="123">
        <v>13065</v>
      </c>
      <c r="C844" s="124" t="s">
        <v>400</v>
      </c>
      <c r="D844" s="125">
        <v>1</v>
      </c>
    </row>
    <row r="845" spans="1:4" x14ac:dyDescent="0.2">
      <c r="A845" s="122">
        <v>749</v>
      </c>
      <c r="B845" s="123">
        <v>13066</v>
      </c>
      <c r="C845" s="124" t="s">
        <v>401</v>
      </c>
      <c r="D845" s="125">
        <v>2</v>
      </c>
    </row>
    <row r="846" spans="1:4" x14ac:dyDescent="0.2">
      <c r="A846" s="122">
        <v>752</v>
      </c>
      <c r="B846" s="123">
        <v>13011</v>
      </c>
      <c r="C846" s="124" t="s">
        <v>400</v>
      </c>
      <c r="D846" s="125">
        <v>2</v>
      </c>
    </row>
    <row r="847" spans="1:4" x14ac:dyDescent="0.2">
      <c r="A847" s="122">
        <v>752</v>
      </c>
      <c r="B847" s="123">
        <v>13012</v>
      </c>
      <c r="C847" s="124" t="s">
        <v>400</v>
      </c>
      <c r="D847" s="125">
        <v>1</v>
      </c>
    </row>
    <row r="848" spans="1:4" x14ac:dyDescent="0.2">
      <c r="A848" s="122">
        <v>753</v>
      </c>
      <c r="B848" s="123">
        <v>13013</v>
      </c>
      <c r="C848" s="124" t="s">
        <v>402</v>
      </c>
      <c r="D848" s="125">
        <v>2</v>
      </c>
    </row>
    <row r="849" spans="1:4" x14ac:dyDescent="0.2">
      <c r="A849" s="122">
        <v>754</v>
      </c>
      <c r="B849" s="123">
        <v>13014</v>
      </c>
      <c r="C849" s="124" t="s">
        <v>400</v>
      </c>
      <c r="D849" s="125">
        <v>2</v>
      </c>
    </row>
    <row r="850" spans="1:4" x14ac:dyDescent="0.2">
      <c r="A850" s="122">
        <v>754</v>
      </c>
      <c r="B850" s="123">
        <v>13015</v>
      </c>
      <c r="C850" s="124" t="s">
        <v>400</v>
      </c>
      <c r="D850" s="125">
        <v>1</v>
      </c>
    </row>
    <row r="851" spans="1:4" x14ac:dyDescent="0.2">
      <c r="A851" s="122">
        <v>755</v>
      </c>
      <c r="B851" s="123">
        <v>13016</v>
      </c>
      <c r="C851" s="124" t="s">
        <v>402</v>
      </c>
      <c r="D851" s="125">
        <v>2</v>
      </c>
    </row>
    <row r="852" spans="1:4" x14ac:dyDescent="0.2">
      <c r="A852" s="122">
        <v>756</v>
      </c>
      <c r="B852" s="123">
        <v>13017</v>
      </c>
      <c r="C852" s="124" t="s">
        <v>400</v>
      </c>
      <c r="D852" s="125">
        <v>2</v>
      </c>
    </row>
    <row r="853" spans="1:4" x14ac:dyDescent="0.2">
      <c r="A853" s="122">
        <v>756</v>
      </c>
      <c r="B853" s="123">
        <v>13018</v>
      </c>
      <c r="C853" s="124" t="s">
        <v>400</v>
      </c>
      <c r="D853" s="125">
        <v>1</v>
      </c>
    </row>
    <row r="854" spans="1:4" x14ac:dyDescent="0.2">
      <c r="A854" s="122">
        <v>757</v>
      </c>
      <c r="B854" s="123">
        <v>13019</v>
      </c>
      <c r="C854" s="124" t="s">
        <v>402</v>
      </c>
      <c r="D854" s="125">
        <v>2</v>
      </c>
    </row>
    <row r="855" spans="1:4" x14ac:dyDescent="0.2">
      <c r="A855" s="122">
        <v>758</v>
      </c>
      <c r="B855" s="123">
        <v>13020</v>
      </c>
      <c r="C855" s="124" t="s">
        <v>400</v>
      </c>
      <c r="D855" s="125">
        <v>2</v>
      </c>
    </row>
    <row r="856" spans="1:4" x14ac:dyDescent="0.2">
      <c r="A856" s="122">
        <v>758</v>
      </c>
      <c r="B856" s="123">
        <v>13021</v>
      </c>
      <c r="C856" s="124" t="s">
        <v>400</v>
      </c>
      <c r="D856" s="125">
        <v>1</v>
      </c>
    </row>
    <row r="857" spans="1:4" x14ac:dyDescent="0.2">
      <c r="A857" s="122">
        <v>759</v>
      </c>
      <c r="B857" s="123">
        <v>13022</v>
      </c>
      <c r="C857" s="124" t="s">
        <v>402</v>
      </c>
      <c r="D857" s="125">
        <v>2</v>
      </c>
    </row>
    <row r="858" spans="1:4" x14ac:dyDescent="0.2">
      <c r="A858" s="122">
        <v>760</v>
      </c>
      <c r="B858" s="123">
        <v>13023</v>
      </c>
      <c r="C858" s="124" t="s">
        <v>400</v>
      </c>
      <c r="D858" s="125">
        <v>2</v>
      </c>
    </row>
    <row r="859" spans="1:4" x14ac:dyDescent="0.2">
      <c r="A859" s="122">
        <v>760</v>
      </c>
      <c r="B859" s="123">
        <v>13024</v>
      </c>
      <c r="C859" s="124" t="s">
        <v>400</v>
      </c>
      <c r="D859" s="125">
        <v>1</v>
      </c>
    </row>
    <row r="860" spans="1:4" x14ac:dyDescent="0.2">
      <c r="A860" s="122">
        <v>761</v>
      </c>
      <c r="B860" s="123">
        <v>13025</v>
      </c>
      <c r="C860" s="124" t="s">
        <v>402</v>
      </c>
      <c r="D860" s="125">
        <v>2</v>
      </c>
    </row>
    <row r="861" spans="1:4" x14ac:dyDescent="0.2">
      <c r="A861" s="122">
        <v>762</v>
      </c>
      <c r="B861" s="123">
        <v>13026</v>
      </c>
      <c r="C861" s="124" t="s">
        <v>400</v>
      </c>
      <c r="D861" s="125">
        <v>2</v>
      </c>
    </row>
    <row r="862" spans="1:4" x14ac:dyDescent="0.2">
      <c r="A862" s="122">
        <v>762</v>
      </c>
      <c r="B862" s="123">
        <v>13027</v>
      </c>
      <c r="C862" s="124" t="s">
        <v>400</v>
      </c>
      <c r="D862" s="125">
        <v>1</v>
      </c>
    </row>
    <row r="863" spans="1:4" x14ac:dyDescent="0.2">
      <c r="A863" s="122">
        <v>763</v>
      </c>
      <c r="B863" s="123">
        <v>13028</v>
      </c>
      <c r="C863" s="124" t="s">
        <v>402</v>
      </c>
      <c r="D863" s="125">
        <v>2</v>
      </c>
    </row>
    <row r="864" spans="1:4" x14ac:dyDescent="0.2">
      <c r="A864" s="122">
        <v>764</v>
      </c>
      <c r="B864" s="123">
        <v>13002</v>
      </c>
      <c r="C864" s="124" t="s">
        <v>400</v>
      </c>
      <c r="D864" s="125">
        <v>2</v>
      </c>
    </row>
    <row r="865" spans="1:4" x14ac:dyDescent="0.2">
      <c r="A865" s="122">
        <v>764</v>
      </c>
      <c r="B865" s="123">
        <v>13003</v>
      </c>
      <c r="C865" s="124" t="s">
        <v>400</v>
      </c>
      <c r="D865" s="125">
        <v>1</v>
      </c>
    </row>
    <row r="866" spans="1:4" x14ac:dyDescent="0.2">
      <c r="A866" s="122">
        <v>765</v>
      </c>
      <c r="B866" s="123">
        <v>13004</v>
      </c>
      <c r="C866" s="124" t="s">
        <v>402</v>
      </c>
      <c r="D866" s="125">
        <v>2</v>
      </c>
    </row>
    <row r="867" spans="1:4" x14ac:dyDescent="0.2">
      <c r="A867" s="122">
        <v>766</v>
      </c>
      <c r="B867" s="123">
        <v>13005</v>
      </c>
      <c r="C867" s="124" t="s">
        <v>400</v>
      </c>
      <c r="D867" s="125">
        <v>2</v>
      </c>
    </row>
    <row r="868" spans="1:4" x14ac:dyDescent="0.2">
      <c r="A868" s="122">
        <v>766</v>
      </c>
      <c r="B868" s="123">
        <v>13006</v>
      </c>
      <c r="C868" s="124" t="s">
        <v>400</v>
      </c>
      <c r="D868" s="125">
        <v>1</v>
      </c>
    </row>
    <row r="869" spans="1:4" x14ac:dyDescent="0.2">
      <c r="A869" s="122">
        <v>767</v>
      </c>
      <c r="B869" s="123">
        <v>13007</v>
      </c>
      <c r="C869" s="124" t="s">
        <v>402</v>
      </c>
      <c r="D869" s="125">
        <v>2</v>
      </c>
    </row>
    <row r="870" spans="1:4" x14ac:dyDescent="0.2">
      <c r="A870" s="122">
        <v>768</v>
      </c>
      <c r="B870" s="123">
        <v>13008</v>
      </c>
      <c r="C870" s="124" t="s">
        <v>400</v>
      </c>
      <c r="D870" s="125">
        <v>2</v>
      </c>
    </row>
    <row r="871" spans="1:4" x14ac:dyDescent="0.2">
      <c r="A871" s="122">
        <v>768</v>
      </c>
      <c r="B871" s="123">
        <v>13009</v>
      </c>
      <c r="C871" s="124" t="s">
        <v>400</v>
      </c>
      <c r="D871" s="125">
        <v>1</v>
      </c>
    </row>
    <row r="872" spans="1:4" x14ac:dyDescent="0.2">
      <c r="A872" s="122">
        <v>769</v>
      </c>
      <c r="B872" s="123">
        <v>13010</v>
      </c>
      <c r="C872" s="124" t="s">
        <v>402</v>
      </c>
      <c r="D872" s="125">
        <v>2</v>
      </c>
    </row>
    <row r="873" spans="1:4" x14ac:dyDescent="0.2">
      <c r="A873" s="122">
        <v>770</v>
      </c>
      <c r="B873" s="123">
        <v>13001</v>
      </c>
      <c r="C873" s="124" t="s">
        <v>403</v>
      </c>
      <c r="D873" s="125">
        <v>2</v>
      </c>
    </row>
    <row r="874" spans="1:4" x14ac:dyDescent="0.2">
      <c r="A874" s="122">
        <v>775</v>
      </c>
      <c r="B874" s="123">
        <v>334</v>
      </c>
      <c r="C874" s="124" t="s">
        <v>404</v>
      </c>
      <c r="D874" s="125" t="s">
        <v>224</v>
      </c>
    </row>
    <row r="875" spans="1:4" x14ac:dyDescent="0.2">
      <c r="A875" s="122">
        <v>776</v>
      </c>
      <c r="B875" s="123">
        <v>335</v>
      </c>
      <c r="C875" s="124" t="s">
        <v>404</v>
      </c>
      <c r="D875" s="125" t="s">
        <v>224</v>
      </c>
    </row>
    <row r="876" spans="1:4" x14ac:dyDescent="0.2">
      <c r="A876" s="122">
        <v>781</v>
      </c>
      <c r="B876" s="123">
        <v>327</v>
      </c>
      <c r="C876" s="124" t="s">
        <v>400</v>
      </c>
      <c r="D876" s="125" t="s">
        <v>224</v>
      </c>
    </row>
    <row r="877" spans="1:4" x14ac:dyDescent="0.2">
      <c r="A877" s="122">
        <v>782</v>
      </c>
      <c r="B877" s="123">
        <v>13069</v>
      </c>
      <c r="C877" s="124" t="s">
        <v>400</v>
      </c>
      <c r="D877" s="125">
        <v>1</v>
      </c>
    </row>
    <row r="878" spans="1:4" x14ac:dyDescent="0.2">
      <c r="A878" s="122">
        <v>783</v>
      </c>
      <c r="B878" s="123">
        <v>13072</v>
      </c>
      <c r="C878" s="124" t="s">
        <v>400</v>
      </c>
      <c r="D878" s="125">
        <v>1</v>
      </c>
    </row>
    <row r="879" spans="1:4" x14ac:dyDescent="0.2">
      <c r="A879" s="122">
        <v>784</v>
      </c>
      <c r="B879" s="123">
        <v>13075</v>
      </c>
      <c r="C879" s="124" t="s">
        <v>400</v>
      </c>
      <c r="D879" s="125">
        <v>1</v>
      </c>
    </row>
    <row r="880" spans="1:4" x14ac:dyDescent="0.2">
      <c r="A880" s="122">
        <v>785</v>
      </c>
      <c r="B880" s="123">
        <v>13078</v>
      </c>
      <c r="C880" s="124" t="s">
        <v>400</v>
      </c>
      <c r="D880" s="125">
        <v>1</v>
      </c>
    </row>
    <row r="881" spans="1:4" x14ac:dyDescent="0.2">
      <c r="A881" s="122">
        <v>786</v>
      </c>
      <c r="B881" s="123">
        <v>13081</v>
      </c>
      <c r="C881" s="124" t="s">
        <v>400</v>
      </c>
      <c r="D881" s="125">
        <v>1</v>
      </c>
    </row>
    <row r="882" spans="1:4" x14ac:dyDescent="0.2">
      <c r="A882" s="122">
        <v>787</v>
      </c>
      <c r="B882" s="123">
        <v>13082</v>
      </c>
      <c r="C882" s="124" t="s">
        <v>405</v>
      </c>
      <c r="D882" s="125">
        <v>2</v>
      </c>
    </row>
    <row r="883" spans="1:4" x14ac:dyDescent="0.2">
      <c r="A883" s="122">
        <v>787</v>
      </c>
      <c r="B883" s="123">
        <v>13083</v>
      </c>
      <c r="C883" s="124" t="s">
        <v>405</v>
      </c>
      <c r="D883" s="125">
        <v>1</v>
      </c>
    </row>
    <row r="884" spans="1:4" x14ac:dyDescent="0.2">
      <c r="A884" s="122">
        <v>788</v>
      </c>
      <c r="B884" s="123">
        <v>13084</v>
      </c>
      <c r="C884" s="124" t="s">
        <v>406</v>
      </c>
      <c r="D884" s="125">
        <v>1</v>
      </c>
    </row>
    <row r="885" spans="1:4" x14ac:dyDescent="0.2">
      <c r="A885" s="122">
        <v>789</v>
      </c>
      <c r="B885" s="123">
        <v>13085</v>
      </c>
      <c r="C885" s="124" t="s">
        <v>407</v>
      </c>
      <c r="D885" s="125">
        <v>2</v>
      </c>
    </row>
    <row r="886" spans="1:4" x14ac:dyDescent="0.2">
      <c r="A886" s="122">
        <v>789</v>
      </c>
      <c r="B886" s="123">
        <v>13086</v>
      </c>
      <c r="C886" s="124" t="s">
        <v>407</v>
      </c>
      <c r="D886" s="125">
        <v>1</v>
      </c>
    </row>
    <row r="887" spans="1:4" x14ac:dyDescent="0.2">
      <c r="A887" s="122">
        <v>790</v>
      </c>
      <c r="B887" s="123">
        <v>13087</v>
      </c>
      <c r="C887" s="124" t="s">
        <v>408</v>
      </c>
      <c r="D887" s="125">
        <v>1</v>
      </c>
    </row>
    <row r="888" spans="1:4" x14ac:dyDescent="0.2">
      <c r="A888" s="122">
        <v>791</v>
      </c>
      <c r="B888" s="123">
        <v>13088</v>
      </c>
      <c r="C888" s="124" t="s">
        <v>409</v>
      </c>
      <c r="D888" s="125">
        <v>2</v>
      </c>
    </row>
    <row r="889" spans="1:4" x14ac:dyDescent="0.2">
      <c r="A889" s="122">
        <v>791</v>
      </c>
      <c r="B889" s="123">
        <v>13089</v>
      </c>
      <c r="C889" s="124" t="s">
        <v>409</v>
      </c>
      <c r="D889" s="125">
        <v>1</v>
      </c>
    </row>
    <row r="890" spans="1:4" x14ac:dyDescent="0.2">
      <c r="A890" s="122">
        <v>792</v>
      </c>
      <c r="B890" s="123">
        <v>13090</v>
      </c>
      <c r="C890" s="124" t="s">
        <v>410</v>
      </c>
      <c r="D890" s="125">
        <v>1</v>
      </c>
    </row>
    <row r="891" spans="1:4" x14ac:dyDescent="0.2">
      <c r="A891" s="122">
        <v>793</v>
      </c>
      <c r="B891" s="123">
        <v>13091</v>
      </c>
      <c r="C891" s="124" t="s">
        <v>400</v>
      </c>
      <c r="D891" s="125">
        <v>2</v>
      </c>
    </row>
    <row r="892" spans="1:4" x14ac:dyDescent="0.2">
      <c r="A892" s="122">
        <v>793</v>
      </c>
      <c r="B892" s="123">
        <v>13092</v>
      </c>
      <c r="C892" s="124" t="s">
        <v>400</v>
      </c>
      <c r="D892" s="125">
        <v>1</v>
      </c>
    </row>
    <row r="893" spans="1:4" x14ac:dyDescent="0.2">
      <c r="A893" s="122">
        <v>794</v>
      </c>
      <c r="B893" s="123">
        <v>13093</v>
      </c>
      <c r="C893" s="124" t="s">
        <v>401</v>
      </c>
      <c r="D893" s="125">
        <v>2</v>
      </c>
    </row>
    <row r="894" spans="1:4" x14ac:dyDescent="0.2">
      <c r="A894" s="122">
        <v>801</v>
      </c>
      <c r="B894" s="123">
        <v>306</v>
      </c>
      <c r="C894" s="124" t="s">
        <v>327</v>
      </c>
      <c r="D894" s="125">
        <v>1</v>
      </c>
    </row>
    <row r="895" spans="1:4" x14ac:dyDescent="0.2">
      <c r="A895" s="122">
        <v>802</v>
      </c>
      <c r="B895" s="123">
        <v>14005</v>
      </c>
      <c r="C895" s="124" t="s">
        <v>411</v>
      </c>
      <c r="D895" s="125">
        <v>2</v>
      </c>
    </row>
    <row r="896" spans="1:4" x14ac:dyDescent="0.2">
      <c r="A896" s="122">
        <v>802</v>
      </c>
      <c r="B896" s="123">
        <v>14006</v>
      </c>
      <c r="C896" s="124" t="s">
        <v>411</v>
      </c>
      <c r="D896" s="125">
        <v>1</v>
      </c>
    </row>
    <row r="897" spans="1:4" x14ac:dyDescent="0.2">
      <c r="A897" s="122">
        <v>803</v>
      </c>
      <c r="B897" s="123">
        <v>14007</v>
      </c>
      <c r="C897" s="124" t="s">
        <v>412</v>
      </c>
      <c r="D897" s="125" t="s">
        <v>224</v>
      </c>
    </row>
    <row r="898" spans="1:4" x14ac:dyDescent="0.2">
      <c r="A898" s="122">
        <v>804</v>
      </c>
      <c r="B898" s="123">
        <v>14008</v>
      </c>
      <c r="C898" s="124" t="s">
        <v>411</v>
      </c>
      <c r="D898" s="125">
        <v>2</v>
      </c>
    </row>
    <row r="899" spans="1:4" x14ac:dyDescent="0.2">
      <c r="A899" s="122">
        <v>804</v>
      </c>
      <c r="B899" s="123">
        <v>14009</v>
      </c>
      <c r="C899" s="124" t="s">
        <v>411</v>
      </c>
      <c r="D899" s="125">
        <v>1</v>
      </c>
    </row>
    <row r="900" spans="1:4" x14ac:dyDescent="0.2">
      <c r="A900" s="122">
        <v>805</v>
      </c>
      <c r="B900" s="123">
        <v>14010</v>
      </c>
      <c r="C900" s="124" t="s">
        <v>412</v>
      </c>
      <c r="D900" s="125" t="s">
        <v>224</v>
      </c>
    </row>
    <row r="901" spans="1:4" x14ac:dyDescent="0.2">
      <c r="A901" s="122">
        <v>806</v>
      </c>
      <c r="B901" s="123">
        <v>14011</v>
      </c>
      <c r="C901" s="124" t="s">
        <v>411</v>
      </c>
      <c r="D901" s="125">
        <v>2</v>
      </c>
    </row>
    <row r="902" spans="1:4" x14ac:dyDescent="0.2">
      <c r="A902" s="122">
        <v>806</v>
      </c>
      <c r="B902" s="123">
        <v>14012</v>
      </c>
      <c r="C902" s="124" t="s">
        <v>411</v>
      </c>
      <c r="D902" s="125">
        <v>1</v>
      </c>
    </row>
    <row r="903" spans="1:4" x14ac:dyDescent="0.2">
      <c r="A903" s="122">
        <v>807</v>
      </c>
      <c r="B903" s="123">
        <v>14013</v>
      </c>
      <c r="C903" s="124" t="s">
        <v>412</v>
      </c>
      <c r="D903" s="125" t="s">
        <v>224</v>
      </c>
    </row>
    <row r="904" spans="1:4" x14ac:dyDescent="0.2">
      <c r="A904" s="122">
        <v>808</v>
      </c>
      <c r="B904" s="123">
        <v>14017</v>
      </c>
      <c r="C904" s="124" t="s">
        <v>411</v>
      </c>
      <c r="D904" s="125">
        <v>2</v>
      </c>
    </row>
    <row r="905" spans="1:4" x14ac:dyDescent="0.2">
      <c r="A905" s="122">
        <v>808</v>
      </c>
      <c r="B905" s="123">
        <v>14018</v>
      </c>
      <c r="C905" s="124" t="s">
        <v>411</v>
      </c>
      <c r="D905" s="125">
        <v>1</v>
      </c>
    </row>
    <row r="906" spans="1:4" x14ac:dyDescent="0.2">
      <c r="A906" s="122">
        <v>809</v>
      </c>
      <c r="B906" s="123">
        <v>14019</v>
      </c>
      <c r="C906" s="124" t="s">
        <v>412</v>
      </c>
      <c r="D906" s="125" t="s">
        <v>224</v>
      </c>
    </row>
    <row r="907" spans="1:4" x14ac:dyDescent="0.2">
      <c r="A907" s="122">
        <v>810</v>
      </c>
      <c r="B907" s="123">
        <v>14020</v>
      </c>
      <c r="C907" s="124" t="s">
        <v>411</v>
      </c>
      <c r="D907" s="125">
        <v>2</v>
      </c>
    </row>
    <row r="908" spans="1:4" x14ac:dyDescent="0.2">
      <c r="A908" s="122">
        <v>810</v>
      </c>
      <c r="B908" s="123">
        <v>14021</v>
      </c>
      <c r="C908" s="124" t="s">
        <v>411</v>
      </c>
      <c r="D908" s="125">
        <v>1</v>
      </c>
    </row>
    <row r="909" spans="1:4" x14ac:dyDescent="0.2">
      <c r="A909" s="122">
        <v>811</v>
      </c>
      <c r="B909" s="123">
        <v>14022</v>
      </c>
      <c r="C909" s="124" t="s">
        <v>412</v>
      </c>
      <c r="D909" s="125" t="s">
        <v>224</v>
      </c>
    </row>
    <row r="910" spans="1:4" x14ac:dyDescent="0.2">
      <c r="A910" s="122">
        <v>812</v>
      </c>
      <c r="B910" s="123">
        <v>14023</v>
      </c>
      <c r="C910" s="124" t="s">
        <v>411</v>
      </c>
      <c r="D910" s="125">
        <v>2</v>
      </c>
    </row>
    <row r="911" spans="1:4" x14ac:dyDescent="0.2">
      <c r="A911" s="122">
        <v>812</v>
      </c>
      <c r="B911" s="123">
        <v>14024</v>
      </c>
      <c r="C911" s="124" t="s">
        <v>411</v>
      </c>
      <c r="D911" s="125">
        <v>1</v>
      </c>
    </row>
    <row r="912" spans="1:4" x14ac:dyDescent="0.2">
      <c r="A912" s="122">
        <v>813</v>
      </c>
      <c r="B912" s="123">
        <v>14025</v>
      </c>
      <c r="C912" s="124" t="s">
        <v>412</v>
      </c>
      <c r="D912" s="125" t="s">
        <v>224</v>
      </c>
    </row>
    <row r="913" spans="1:4" x14ac:dyDescent="0.2">
      <c r="A913" s="122">
        <v>814</v>
      </c>
      <c r="B913" s="123">
        <v>14029</v>
      </c>
      <c r="C913" s="124" t="s">
        <v>411</v>
      </c>
      <c r="D913" s="125">
        <v>2</v>
      </c>
    </row>
    <row r="914" spans="1:4" x14ac:dyDescent="0.2">
      <c r="A914" s="122">
        <v>814</v>
      </c>
      <c r="B914" s="123">
        <v>14030</v>
      </c>
      <c r="C914" s="124" t="s">
        <v>411</v>
      </c>
      <c r="D914" s="125">
        <v>1</v>
      </c>
    </row>
    <row r="915" spans="1:4" x14ac:dyDescent="0.2">
      <c r="A915" s="122">
        <v>815</v>
      </c>
      <c r="B915" s="123">
        <v>14031</v>
      </c>
      <c r="C915" s="124" t="s">
        <v>412</v>
      </c>
      <c r="D915" s="125" t="s">
        <v>224</v>
      </c>
    </row>
    <row r="916" spans="1:4" x14ac:dyDescent="0.2">
      <c r="A916" s="122">
        <v>816</v>
      </c>
      <c r="B916" s="123">
        <v>14032</v>
      </c>
      <c r="C916" s="124" t="s">
        <v>411</v>
      </c>
      <c r="D916" s="125">
        <v>2</v>
      </c>
    </row>
    <row r="917" spans="1:4" x14ac:dyDescent="0.2">
      <c r="A917" s="122">
        <v>816</v>
      </c>
      <c r="B917" s="123">
        <v>14033</v>
      </c>
      <c r="C917" s="124" t="s">
        <v>411</v>
      </c>
      <c r="D917" s="125">
        <v>1</v>
      </c>
    </row>
    <row r="918" spans="1:4" x14ac:dyDescent="0.2">
      <c r="A918" s="122">
        <v>817</v>
      </c>
      <c r="B918" s="123">
        <v>14034</v>
      </c>
      <c r="C918" s="124" t="s">
        <v>412</v>
      </c>
      <c r="D918" s="125" t="s">
        <v>224</v>
      </c>
    </row>
    <row r="919" spans="1:4" x14ac:dyDescent="0.2">
      <c r="A919" s="122">
        <v>818</v>
      </c>
      <c r="B919" s="123">
        <v>14035</v>
      </c>
      <c r="C919" s="124" t="s">
        <v>411</v>
      </c>
      <c r="D919" s="125">
        <v>2</v>
      </c>
    </row>
    <row r="920" spans="1:4" x14ac:dyDescent="0.2">
      <c r="A920" s="122">
        <v>818</v>
      </c>
      <c r="B920" s="123">
        <v>14036</v>
      </c>
      <c r="C920" s="124" t="s">
        <v>411</v>
      </c>
      <c r="D920" s="125">
        <v>1</v>
      </c>
    </row>
    <row r="921" spans="1:4" x14ac:dyDescent="0.2">
      <c r="A921" s="122">
        <v>819</v>
      </c>
      <c r="B921" s="123">
        <v>14037</v>
      </c>
      <c r="C921" s="124" t="s">
        <v>412</v>
      </c>
      <c r="D921" s="125" t="s">
        <v>224</v>
      </c>
    </row>
    <row r="922" spans="1:4" x14ac:dyDescent="0.2">
      <c r="A922" s="122">
        <v>820</v>
      </c>
      <c r="B922" s="123">
        <v>14042</v>
      </c>
      <c r="C922" s="124" t="s">
        <v>411</v>
      </c>
      <c r="D922" s="125">
        <v>2</v>
      </c>
    </row>
    <row r="923" spans="1:4" x14ac:dyDescent="0.2">
      <c r="A923" s="122">
        <v>820</v>
      </c>
      <c r="B923" s="123">
        <v>14043</v>
      </c>
      <c r="C923" s="124" t="s">
        <v>411</v>
      </c>
      <c r="D923" s="125">
        <v>1</v>
      </c>
    </row>
    <row r="924" spans="1:4" x14ac:dyDescent="0.2">
      <c r="A924" s="122">
        <v>821</v>
      </c>
      <c r="B924" s="123">
        <v>14044</v>
      </c>
      <c r="C924" s="124" t="s">
        <v>412</v>
      </c>
      <c r="D924" s="125" t="s">
        <v>224</v>
      </c>
    </row>
    <row r="925" spans="1:4" x14ac:dyDescent="0.2">
      <c r="A925" s="122">
        <v>822</v>
      </c>
      <c r="B925" s="123">
        <v>14045</v>
      </c>
      <c r="C925" s="124" t="s">
        <v>411</v>
      </c>
      <c r="D925" s="125">
        <v>2</v>
      </c>
    </row>
    <row r="926" spans="1:4" x14ac:dyDescent="0.2">
      <c r="A926" s="122">
        <v>822</v>
      </c>
      <c r="B926" s="123">
        <v>14046</v>
      </c>
      <c r="C926" s="124" t="s">
        <v>411</v>
      </c>
      <c r="D926" s="125">
        <v>1</v>
      </c>
    </row>
    <row r="927" spans="1:4" x14ac:dyDescent="0.2">
      <c r="A927" s="122">
        <v>823</v>
      </c>
      <c r="B927" s="123">
        <v>14047</v>
      </c>
      <c r="C927" s="124" t="s">
        <v>412</v>
      </c>
      <c r="D927" s="125" t="s">
        <v>224</v>
      </c>
    </row>
    <row r="928" spans="1:4" x14ac:dyDescent="0.2">
      <c r="A928" s="122">
        <v>824</v>
      </c>
      <c r="B928" s="123">
        <v>14048</v>
      </c>
      <c r="C928" s="124" t="s">
        <v>411</v>
      </c>
      <c r="D928" s="125">
        <v>2</v>
      </c>
    </row>
    <row r="929" spans="1:4" x14ac:dyDescent="0.2">
      <c r="A929" s="122">
        <v>824</v>
      </c>
      <c r="B929" s="123">
        <v>14049</v>
      </c>
      <c r="C929" s="124" t="s">
        <v>411</v>
      </c>
      <c r="D929" s="125">
        <v>1</v>
      </c>
    </row>
    <row r="930" spans="1:4" x14ac:dyDescent="0.2">
      <c r="A930" s="122">
        <v>825</v>
      </c>
      <c r="B930" s="123">
        <v>14050</v>
      </c>
      <c r="C930" s="124" t="s">
        <v>412</v>
      </c>
      <c r="D930" s="125" t="s">
        <v>224</v>
      </c>
    </row>
    <row r="931" spans="1:4" x14ac:dyDescent="0.2">
      <c r="A931" s="122">
        <v>826</v>
      </c>
      <c r="B931" s="123">
        <v>14069</v>
      </c>
      <c r="C931" s="124" t="s">
        <v>411</v>
      </c>
      <c r="D931" s="125">
        <v>2</v>
      </c>
    </row>
    <row r="932" spans="1:4" x14ac:dyDescent="0.2">
      <c r="A932" s="122">
        <v>826</v>
      </c>
      <c r="B932" s="123">
        <v>14070</v>
      </c>
      <c r="C932" s="124" t="s">
        <v>411</v>
      </c>
      <c r="D932" s="125">
        <v>1</v>
      </c>
    </row>
    <row r="933" spans="1:4" x14ac:dyDescent="0.2">
      <c r="A933" s="122">
        <v>827</v>
      </c>
      <c r="B933" s="123">
        <v>14071</v>
      </c>
      <c r="C933" s="124" t="s">
        <v>412</v>
      </c>
      <c r="D933" s="125" t="s">
        <v>224</v>
      </c>
    </row>
    <row r="934" spans="1:4" x14ac:dyDescent="0.2">
      <c r="A934" s="122">
        <v>828</v>
      </c>
      <c r="B934" s="123">
        <v>14072</v>
      </c>
      <c r="C934" s="124" t="s">
        <v>411</v>
      </c>
      <c r="D934" s="125">
        <v>2</v>
      </c>
    </row>
    <row r="935" spans="1:4" x14ac:dyDescent="0.2">
      <c r="A935" s="122">
        <v>828</v>
      </c>
      <c r="B935" s="123">
        <v>14073</v>
      </c>
      <c r="C935" s="124" t="s">
        <v>411</v>
      </c>
      <c r="D935" s="125">
        <v>1</v>
      </c>
    </row>
    <row r="936" spans="1:4" x14ac:dyDescent="0.2">
      <c r="A936" s="122">
        <v>829</v>
      </c>
      <c r="B936" s="123">
        <v>14074</v>
      </c>
      <c r="C936" s="124" t="s">
        <v>412</v>
      </c>
      <c r="D936" s="125" t="s">
        <v>224</v>
      </c>
    </row>
    <row r="937" spans="1:4" x14ac:dyDescent="0.2">
      <c r="A937" s="122">
        <v>830</v>
      </c>
      <c r="B937" s="123">
        <v>14075</v>
      </c>
      <c r="C937" s="124" t="s">
        <v>411</v>
      </c>
      <c r="D937" s="125">
        <v>2</v>
      </c>
    </row>
    <row r="938" spans="1:4" x14ac:dyDescent="0.2">
      <c r="A938" s="122">
        <v>830</v>
      </c>
      <c r="B938" s="123">
        <v>14076</v>
      </c>
      <c r="C938" s="124" t="s">
        <v>411</v>
      </c>
      <c r="D938" s="125">
        <v>1</v>
      </c>
    </row>
    <row r="939" spans="1:4" x14ac:dyDescent="0.2">
      <c r="A939" s="122">
        <v>831</v>
      </c>
      <c r="B939" s="123">
        <v>14077</v>
      </c>
      <c r="C939" s="124" t="s">
        <v>412</v>
      </c>
      <c r="D939" s="125" t="s">
        <v>224</v>
      </c>
    </row>
    <row r="940" spans="1:4" x14ac:dyDescent="0.2">
      <c r="A940" s="122">
        <v>832</v>
      </c>
      <c r="B940" s="123">
        <v>14085</v>
      </c>
      <c r="C940" s="124" t="s">
        <v>411</v>
      </c>
      <c r="D940" s="125">
        <v>2</v>
      </c>
    </row>
    <row r="941" spans="1:4" x14ac:dyDescent="0.2">
      <c r="A941" s="122">
        <v>832</v>
      </c>
      <c r="B941" s="123">
        <v>14086</v>
      </c>
      <c r="C941" s="124" t="s">
        <v>411</v>
      </c>
      <c r="D941" s="125">
        <v>1</v>
      </c>
    </row>
    <row r="942" spans="1:4" x14ac:dyDescent="0.2">
      <c r="A942" s="122">
        <v>833</v>
      </c>
      <c r="B942" s="123">
        <v>14087</v>
      </c>
      <c r="C942" s="124" t="s">
        <v>412</v>
      </c>
      <c r="D942" s="125" t="s">
        <v>224</v>
      </c>
    </row>
    <row r="943" spans="1:4" x14ac:dyDescent="0.2">
      <c r="A943" s="122">
        <v>834</v>
      </c>
      <c r="B943" s="123">
        <v>14088</v>
      </c>
      <c r="C943" s="124" t="s">
        <v>411</v>
      </c>
      <c r="D943" s="125">
        <v>2</v>
      </c>
    </row>
    <row r="944" spans="1:4" x14ac:dyDescent="0.2">
      <c r="A944" s="122">
        <v>834</v>
      </c>
      <c r="B944" s="123">
        <v>14089</v>
      </c>
      <c r="C944" s="124" t="s">
        <v>411</v>
      </c>
      <c r="D944" s="125">
        <v>1</v>
      </c>
    </row>
    <row r="945" spans="1:4" x14ac:dyDescent="0.2">
      <c r="A945" s="122">
        <v>835</v>
      </c>
      <c r="B945" s="123">
        <v>14090</v>
      </c>
      <c r="C945" s="124" t="s">
        <v>412</v>
      </c>
      <c r="D945" s="125" t="s">
        <v>224</v>
      </c>
    </row>
    <row r="946" spans="1:4" x14ac:dyDescent="0.2">
      <c r="A946" s="122">
        <v>836</v>
      </c>
      <c r="B946" s="123">
        <v>14091</v>
      </c>
      <c r="C946" s="124" t="s">
        <v>411</v>
      </c>
      <c r="D946" s="125">
        <v>2</v>
      </c>
    </row>
    <row r="947" spans="1:4" x14ac:dyDescent="0.2">
      <c r="A947" s="122">
        <v>836</v>
      </c>
      <c r="B947" s="123">
        <v>14092</v>
      </c>
      <c r="C947" s="124" t="s">
        <v>411</v>
      </c>
      <c r="D947" s="125">
        <v>1</v>
      </c>
    </row>
    <row r="948" spans="1:4" x14ac:dyDescent="0.2">
      <c r="A948" s="122">
        <v>837</v>
      </c>
      <c r="B948" s="123">
        <v>14093</v>
      </c>
      <c r="C948" s="124" t="s">
        <v>412</v>
      </c>
      <c r="D948" s="125" t="s">
        <v>224</v>
      </c>
    </row>
    <row r="949" spans="1:4" x14ac:dyDescent="0.2">
      <c r="A949" s="122">
        <v>838</v>
      </c>
      <c r="B949" s="123">
        <v>14094</v>
      </c>
      <c r="C949" s="124" t="s">
        <v>411</v>
      </c>
      <c r="D949" s="125">
        <v>2</v>
      </c>
    </row>
    <row r="950" spans="1:4" x14ac:dyDescent="0.2">
      <c r="A950" s="122">
        <v>838</v>
      </c>
      <c r="B950" s="123">
        <v>14095</v>
      </c>
      <c r="C950" s="124" t="s">
        <v>411</v>
      </c>
      <c r="D950" s="125">
        <v>1</v>
      </c>
    </row>
    <row r="951" spans="1:4" x14ac:dyDescent="0.2">
      <c r="A951" s="122">
        <v>839</v>
      </c>
      <c r="B951" s="123">
        <v>14096</v>
      </c>
      <c r="C951" s="124" t="s">
        <v>412</v>
      </c>
      <c r="D951" s="125" t="s">
        <v>224</v>
      </c>
    </row>
    <row r="952" spans="1:4" x14ac:dyDescent="0.2">
      <c r="A952" s="122">
        <v>840</v>
      </c>
      <c r="B952" s="123">
        <v>14110</v>
      </c>
      <c r="C952" s="124" t="s">
        <v>411</v>
      </c>
      <c r="D952" s="125">
        <v>2</v>
      </c>
    </row>
    <row r="953" spans="1:4" x14ac:dyDescent="0.2">
      <c r="A953" s="122">
        <v>840</v>
      </c>
      <c r="B953" s="123">
        <v>14111</v>
      </c>
      <c r="C953" s="124" t="s">
        <v>411</v>
      </c>
      <c r="D953" s="125">
        <v>1</v>
      </c>
    </row>
    <row r="954" spans="1:4" x14ac:dyDescent="0.2">
      <c r="A954" s="122">
        <v>841</v>
      </c>
      <c r="B954" s="123">
        <v>14112</v>
      </c>
      <c r="C954" s="124" t="s">
        <v>412</v>
      </c>
      <c r="D954" s="125" t="s">
        <v>224</v>
      </c>
    </row>
    <row r="955" spans="1:4" x14ac:dyDescent="0.2">
      <c r="A955" s="122">
        <v>842</v>
      </c>
      <c r="B955" s="123">
        <v>14113</v>
      </c>
      <c r="C955" s="124" t="s">
        <v>411</v>
      </c>
      <c r="D955" s="125">
        <v>2</v>
      </c>
    </row>
    <row r="956" spans="1:4" x14ac:dyDescent="0.2">
      <c r="A956" s="122">
        <v>842</v>
      </c>
      <c r="B956" s="123">
        <v>14114</v>
      </c>
      <c r="C956" s="124" t="s">
        <v>411</v>
      </c>
      <c r="D956" s="125">
        <v>1</v>
      </c>
    </row>
    <row r="957" spans="1:4" x14ac:dyDescent="0.2">
      <c r="A957" s="122">
        <v>843</v>
      </c>
      <c r="B957" s="123">
        <v>14115</v>
      </c>
      <c r="C957" s="124" t="s">
        <v>412</v>
      </c>
      <c r="D957" s="125" t="s">
        <v>224</v>
      </c>
    </row>
    <row r="958" spans="1:4" x14ac:dyDescent="0.2">
      <c r="A958" s="122">
        <v>844</v>
      </c>
      <c r="B958" s="123">
        <v>14116</v>
      </c>
      <c r="C958" s="124" t="s">
        <v>411</v>
      </c>
      <c r="D958" s="125">
        <v>2</v>
      </c>
    </row>
    <row r="959" spans="1:4" x14ac:dyDescent="0.2">
      <c r="A959" s="122">
        <v>844</v>
      </c>
      <c r="B959" s="123">
        <v>14117</v>
      </c>
      <c r="C959" s="124" t="s">
        <v>411</v>
      </c>
      <c r="D959" s="125">
        <v>1</v>
      </c>
    </row>
    <row r="960" spans="1:4" x14ac:dyDescent="0.2">
      <c r="A960" s="122">
        <v>845</v>
      </c>
      <c r="B960" s="123">
        <v>14118</v>
      </c>
      <c r="C960" s="124" t="s">
        <v>412</v>
      </c>
      <c r="D960" s="125" t="s">
        <v>224</v>
      </c>
    </row>
    <row r="961" spans="1:4" x14ac:dyDescent="0.2">
      <c r="A961" s="122">
        <v>846</v>
      </c>
      <c r="B961" s="123">
        <v>14138</v>
      </c>
      <c r="C961" s="124" t="s">
        <v>411</v>
      </c>
      <c r="D961" s="125">
        <v>2</v>
      </c>
    </row>
    <row r="962" spans="1:4" x14ac:dyDescent="0.2">
      <c r="A962" s="122">
        <v>846</v>
      </c>
      <c r="B962" s="123">
        <v>14139</v>
      </c>
      <c r="C962" s="124" t="s">
        <v>411</v>
      </c>
      <c r="D962" s="125">
        <v>1</v>
      </c>
    </row>
    <row r="963" spans="1:4" x14ac:dyDescent="0.2">
      <c r="A963" s="122">
        <v>847</v>
      </c>
      <c r="B963" s="123">
        <v>14140</v>
      </c>
      <c r="C963" s="124" t="s">
        <v>412</v>
      </c>
      <c r="D963" s="125" t="s">
        <v>224</v>
      </c>
    </row>
    <row r="964" spans="1:4" x14ac:dyDescent="0.2">
      <c r="A964" s="122">
        <v>848</v>
      </c>
      <c r="B964" s="123">
        <v>14141</v>
      </c>
      <c r="C964" s="124" t="s">
        <v>411</v>
      </c>
      <c r="D964" s="125">
        <v>2</v>
      </c>
    </row>
    <row r="965" spans="1:4" x14ac:dyDescent="0.2">
      <c r="A965" s="122">
        <v>848</v>
      </c>
      <c r="B965" s="123">
        <v>14142</v>
      </c>
      <c r="C965" s="124" t="s">
        <v>411</v>
      </c>
      <c r="D965" s="125">
        <v>1</v>
      </c>
    </row>
    <row r="966" spans="1:4" x14ac:dyDescent="0.2">
      <c r="A966" s="122">
        <v>849</v>
      </c>
      <c r="B966" s="123">
        <v>14143</v>
      </c>
      <c r="C966" s="124" t="s">
        <v>412</v>
      </c>
      <c r="D966" s="125" t="s">
        <v>224</v>
      </c>
    </row>
    <row r="967" spans="1:4" x14ac:dyDescent="0.2">
      <c r="A967" s="122">
        <v>850</v>
      </c>
      <c r="B967" s="123">
        <v>14014</v>
      </c>
      <c r="C967" s="124" t="s">
        <v>412</v>
      </c>
      <c r="D967" s="125" t="s">
        <v>224</v>
      </c>
    </row>
    <row r="968" spans="1:4" x14ac:dyDescent="0.2">
      <c r="A968" s="122">
        <v>851</v>
      </c>
      <c r="B968" s="123">
        <v>14038</v>
      </c>
      <c r="C968" s="124" t="s">
        <v>412</v>
      </c>
      <c r="D968" s="125" t="s">
        <v>224</v>
      </c>
    </row>
    <row r="969" spans="1:4" x14ac:dyDescent="0.2">
      <c r="A969" s="122">
        <v>852</v>
      </c>
      <c r="B969" s="123">
        <v>14001</v>
      </c>
      <c r="C969" s="124" t="s">
        <v>411</v>
      </c>
      <c r="D969" s="125">
        <v>2</v>
      </c>
    </row>
    <row r="970" spans="1:4" x14ac:dyDescent="0.2">
      <c r="A970" s="122">
        <v>852</v>
      </c>
      <c r="B970" s="123">
        <v>14002</v>
      </c>
      <c r="C970" s="124" t="s">
        <v>411</v>
      </c>
      <c r="D970" s="125">
        <v>1</v>
      </c>
    </row>
    <row r="971" spans="1:4" x14ac:dyDescent="0.2">
      <c r="A971" s="122">
        <v>853</v>
      </c>
      <c r="B971" s="123">
        <v>14081</v>
      </c>
      <c r="C971" s="124" t="s">
        <v>411</v>
      </c>
      <c r="D971" s="125">
        <v>2</v>
      </c>
    </row>
    <row r="972" spans="1:4" x14ac:dyDescent="0.2">
      <c r="A972" s="122">
        <v>853</v>
      </c>
      <c r="B972" s="123">
        <v>14082</v>
      </c>
      <c r="C972" s="124" t="s">
        <v>411</v>
      </c>
      <c r="D972" s="125">
        <v>1</v>
      </c>
    </row>
    <row r="973" spans="1:4" x14ac:dyDescent="0.2">
      <c r="A973" s="122">
        <v>854</v>
      </c>
      <c r="B973" s="123">
        <v>14083</v>
      </c>
      <c r="C973" s="124" t="s">
        <v>411</v>
      </c>
      <c r="D973" s="125">
        <v>2</v>
      </c>
    </row>
    <row r="974" spans="1:4" x14ac:dyDescent="0.2">
      <c r="A974" s="122">
        <v>854</v>
      </c>
      <c r="B974" s="123">
        <v>14084</v>
      </c>
      <c r="C974" s="124" t="s">
        <v>411</v>
      </c>
      <c r="D974" s="125">
        <v>1</v>
      </c>
    </row>
    <row r="975" spans="1:4" x14ac:dyDescent="0.2">
      <c r="A975" s="122">
        <v>855</v>
      </c>
      <c r="B975" s="123">
        <v>14103</v>
      </c>
      <c r="C975" s="124" t="s">
        <v>411</v>
      </c>
      <c r="D975" s="125">
        <v>2</v>
      </c>
    </row>
    <row r="976" spans="1:4" x14ac:dyDescent="0.2">
      <c r="A976" s="122">
        <v>855</v>
      </c>
      <c r="B976" s="123">
        <v>14104</v>
      </c>
      <c r="C976" s="124" t="s">
        <v>411</v>
      </c>
      <c r="D976" s="125">
        <v>1</v>
      </c>
    </row>
    <row r="977" spans="1:4" x14ac:dyDescent="0.2">
      <c r="A977" s="122">
        <v>856</v>
      </c>
      <c r="B977" s="123">
        <v>14105</v>
      </c>
      <c r="C977" s="124" t="s">
        <v>411</v>
      </c>
      <c r="D977" s="125">
        <v>2</v>
      </c>
    </row>
    <row r="978" spans="1:4" x14ac:dyDescent="0.2">
      <c r="A978" s="122">
        <v>856</v>
      </c>
      <c r="B978" s="123">
        <v>14106</v>
      </c>
      <c r="C978" s="124" t="s">
        <v>411</v>
      </c>
      <c r="D978" s="125">
        <v>1</v>
      </c>
    </row>
    <row r="979" spans="1:4" x14ac:dyDescent="0.2">
      <c r="A979" s="122">
        <v>857</v>
      </c>
      <c r="B979" s="123">
        <v>14015</v>
      </c>
      <c r="C979" s="124" t="s">
        <v>411</v>
      </c>
      <c r="D979" s="125">
        <v>2</v>
      </c>
    </row>
    <row r="980" spans="1:4" x14ac:dyDescent="0.2">
      <c r="A980" s="122">
        <v>857</v>
      </c>
      <c r="B980" s="123">
        <v>14016</v>
      </c>
      <c r="C980" s="124" t="s">
        <v>411</v>
      </c>
      <c r="D980" s="125">
        <v>1</v>
      </c>
    </row>
    <row r="981" spans="1:4" x14ac:dyDescent="0.2">
      <c r="A981" s="122">
        <v>858</v>
      </c>
      <c r="B981" s="123">
        <v>14039</v>
      </c>
      <c r="C981" s="124" t="s">
        <v>411</v>
      </c>
      <c r="D981" s="125">
        <v>2</v>
      </c>
    </row>
    <row r="982" spans="1:4" x14ac:dyDescent="0.2">
      <c r="A982" s="122">
        <v>858</v>
      </c>
      <c r="B982" s="123">
        <v>14040</v>
      </c>
      <c r="C982" s="124" t="s">
        <v>411</v>
      </c>
      <c r="D982" s="125">
        <v>1</v>
      </c>
    </row>
    <row r="983" spans="1:4" x14ac:dyDescent="0.2">
      <c r="A983" s="122">
        <v>859</v>
      </c>
      <c r="B983" s="123">
        <v>14003</v>
      </c>
      <c r="C983" s="124" t="s">
        <v>411</v>
      </c>
      <c r="D983" s="125">
        <v>2</v>
      </c>
    </row>
    <row r="984" spans="1:4" x14ac:dyDescent="0.2">
      <c r="A984" s="122">
        <v>859</v>
      </c>
      <c r="B984" s="123">
        <v>14004</v>
      </c>
      <c r="C984" s="124" t="s">
        <v>411</v>
      </c>
      <c r="D984" s="125">
        <v>1</v>
      </c>
    </row>
    <row r="985" spans="1:4" x14ac:dyDescent="0.2">
      <c r="A985" s="122">
        <v>860</v>
      </c>
      <c r="B985" s="123">
        <v>14026</v>
      </c>
      <c r="C985" s="124" t="s">
        <v>411</v>
      </c>
      <c r="D985" s="125">
        <v>2</v>
      </c>
    </row>
    <row r="986" spans="1:4" x14ac:dyDescent="0.2">
      <c r="A986" s="122">
        <v>860</v>
      </c>
      <c r="B986" s="123">
        <v>14027</v>
      </c>
      <c r="C986" s="124" t="s">
        <v>411</v>
      </c>
      <c r="D986" s="125">
        <v>1</v>
      </c>
    </row>
    <row r="987" spans="1:4" x14ac:dyDescent="0.2">
      <c r="A987" s="122">
        <v>861</v>
      </c>
      <c r="B987" s="123">
        <v>14051</v>
      </c>
      <c r="C987" s="124" t="s">
        <v>411</v>
      </c>
      <c r="D987" s="125">
        <v>2</v>
      </c>
    </row>
    <row r="988" spans="1:4" x14ac:dyDescent="0.2">
      <c r="A988" s="122">
        <v>861</v>
      </c>
      <c r="B988" s="123">
        <v>14052</v>
      </c>
      <c r="C988" s="124" t="s">
        <v>411</v>
      </c>
      <c r="D988" s="125">
        <v>1</v>
      </c>
    </row>
    <row r="989" spans="1:4" x14ac:dyDescent="0.2">
      <c r="A989" s="122">
        <v>862</v>
      </c>
      <c r="B989" s="123">
        <v>14107</v>
      </c>
      <c r="C989" s="124" t="s">
        <v>411</v>
      </c>
      <c r="D989" s="125">
        <v>2</v>
      </c>
    </row>
    <row r="990" spans="1:4" x14ac:dyDescent="0.2">
      <c r="A990" s="122">
        <v>862</v>
      </c>
      <c r="B990" s="123">
        <v>14108</v>
      </c>
      <c r="C990" s="124" t="s">
        <v>411</v>
      </c>
      <c r="D990" s="125">
        <v>1</v>
      </c>
    </row>
    <row r="991" spans="1:4" x14ac:dyDescent="0.2">
      <c r="A991" s="122">
        <v>863</v>
      </c>
      <c r="B991" s="123">
        <v>14054</v>
      </c>
      <c r="C991" s="124" t="s">
        <v>411</v>
      </c>
      <c r="D991" s="125">
        <v>2</v>
      </c>
    </row>
    <row r="992" spans="1:4" x14ac:dyDescent="0.2">
      <c r="A992" s="122">
        <v>863</v>
      </c>
      <c r="B992" s="123">
        <v>14055</v>
      </c>
      <c r="C992" s="124" t="s">
        <v>411</v>
      </c>
      <c r="D992" s="125">
        <v>1</v>
      </c>
    </row>
    <row r="993" spans="1:4" x14ac:dyDescent="0.2">
      <c r="A993" s="122">
        <v>864</v>
      </c>
      <c r="B993" s="123">
        <v>14121</v>
      </c>
      <c r="C993" s="124" t="s">
        <v>411</v>
      </c>
      <c r="D993" s="125">
        <v>2</v>
      </c>
    </row>
    <row r="994" spans="1:4" x14ac:dyDescent="0.2">
      <c r="A994" s="122">
        <v>864</v>
      </c>
      <c r="B994" s="123">
        <v>14122</v>
      </c>
      <c r="C994" s="124" t="s">
        <v>411</v>
      </c>
      <c r="D994" s="125">
        <v>1</v>
      </c>
    </row>
    <row r="995" spans="1:4" x14ac:dyDescent="0.2">
      <c r="A995" s="122">
        <v>865</v>
      </c>
      <c r="B995" s="123">
        <v>14057</v>
      </c>
      <c r="C995" s="124" t="s">
        <v>411</v>
      </c>
      <c r="D995" s="125">
        <v>2</v>
      </c>
    </row>
    <row r="996" spans="1:4" x14ac:dyDescent="0.2">
      <c r="A996" s="122">
        <v>865</v>
      </c>
      <c r="B996" s="123">
        <v>14058</v>
      </c>
      <c r="C996" s="124" t="s">
        <v>411</v>
      </c>
      <c r="D996" s="125">
        <v>1</v>
      </c>
    </row>
    <row r="997" spans="1:4" x14ac:dyDescent="0.2">
      <c r="A997" s="122">
        <v>866</v>
      </c>
      <c r="B997" s="123">
        <v>14059</v>
      </c>
      <c r="C997" s="124" t="s">
        <v>412</v>
      </c>
      <c r="D997" s="125" t="s">
        <v>224</v>
      </c>
    </row>
    <row r="998" spans="1:4" x14ac:dyDescent="0.2">
      <c r="A998" s="122">
        <v>867</v>
      </c>
      <c r="B998" s="123">
        <v>14060</v>
      </c>
      <c r="C998" s="124" t="s">
        <v>411</v>
      </c>
      <c r="D998" s="125">
        <v>2</v>
      </c>
    </row>
    <row r="999" spans="1:4" x14ac:dyDescent="0.2">
      <c r="A999" s="122">
        <v>867</v>
      </c>
      <c r="B999" s="123">
        <v>14061</v>
      </c>
      <c r="C999" s="124" t="s">
        <v>411</v>
      </c>
      <c r="D999" s="125">
        <v>1</v>
      </c>
    </row>
    <row r="1000" spans="1:4" x14ac:dyDescent="0.2">
      <c r="A1000" s="122">
        <v>868</v>
      </c>
      <c r="B1000" s="123">
        <v>14062</v>
      </c>
      <c r="C1000" s="124" t="s">
        <v>412</v>
      </c>
      <c r="D1000" s="125" t="s">
        <v>224</v>
      </c>
    </row>
    <row r="1001" spans="1:4" x14ac:dyDescent="0.2">
      <c r="A1001" s="122">
        <v>869</v>
      </c>
      <c r="B1001" s="123">
        <v>14063</v>
      </c>
      <c r="C1001" s="124" t="s">
        <v>411</v>
      </c>
      <c r="D1001" s="125">
        <v>2</v>
      </c>
    </row>
    <row r="1002" spans="1:4" x14ac:dyDescent="0.2">
      <c r="A1002" s="122">
        <v>869</v>
      </c>
      <c r="B1002" s="123">
        <v>14064</v>
      </c>
      <c r="C1002" s="124" t="s">
        <v>411</v>
      </c>
      <c r="D1002" s="125">
        <v>1</v>
      </c>
    </row>
    <row r="1003" spans="1:4" x14ac:dyDescent="0.2">
      <c r="A1003" s="122">
        <v>870</v>
      </c>
      <c r="B1003" s="123">
        <v>14065</v>
      </c>
      <c r="C1003" s="124" t="s">
        <v>412</v>
      </c>
      <c r="D1003" s="125" t="s">
        <v>224</v>
      </c>
    </row>
    <row r="1004" spans="1:4" x14ac:dyDescent="0.2">
      <c r="A1004" s="122">
        <v>871</v>
      </c>
      <c r="B1004" s="123">
        <v>14066</v>
      </c>
      <c r="C1004" s="124" t="s">
        <v>411</v>
      </c>
      <c r="D1004" s="125">
        <v>2</v>
      </c>
    </row>
    <row r="1005" spans="1:4" x14ac:dyDescent="0.2">
      <c r="A1005" s="122">
        <v>871</v>
      </c>
      <c r="B1005" s="123">
        <v>14067</v>
      </c>
      <c r="C1005" s="124" t="s">
        <v>411</v>
      </c>
      <c r="D1005" s="125">
        <v>1</v>
      </c>
    </row>
    <row r="1006" spans="1:4" x14ac:dyDescent="0.2">
      <c r="A1006" s="122">
        <v>872</v>
      </c>
      <c r="B1006" s="123">
        <v>14068</v>
      </c>
      <c r="C1006" s="124" t="s">
        <v>412</v>
      </c>
      <c r="D1006" s="125" t="s">
        <v>224</v>
      </c>
    </row>
    <row r="1007" spans="1:4" x14ac:dyDescent="0.2">
      <c r="A1007" s="122">
        <v>873</v>
      </c>
      <c r="B1007" s="123">
        <v>14078</v>
      </c>
      <c r="C1007" s="124" t="s">
        <v>411</v>
      </c>
      <c r="D1007" s="125">
        <v>2</v>
      </c>
    </row>
    <row r="1008" spans="1:4" x14ac:dyDescent="0.2">
      <c r="A1008" s="122">
        <v>873</v>
      </c>
      <c r="B1008" s="123">
        <v>14079</v>
      </c>
      <c r="C1008" s="124" t="s">
        <v>411</v>
      </c>
      <c r="D1008" s="125">
        <v>1</v>
      </c>
    </row>
    <row r="1009" spans="1:4" x14ac:dyDescent="0.2">
      <c r="A1009" s="122">
        <v>874</v>
      </c>
      <c r="B1009" s="123">
        <v>14080</v>
      </c>
      <c r="C1009" s="124" t="s">
        <v>412</v>
      </c>
      <c r="D1009" s="125" t="s">
        <v>224</v>
      </c>
    </row>
    <row r="1010" spans="1:4" x14ac:dyDescent="0.2">
      <c r="A1010" s="122">
        <v>875</v>
      </c>
      <c r="B1010" s="123">
        <v>14100</v>
      </c>
      <c r="C1010" s="124" t="s">
        <v>411</v>
      </c>
      <c r="D1010" s="125">
        <v>2</v>
      </c>
    </row>
    <row r="1011" spans="1:4" x14ac:dyDescent="0.2">
      <c r="A1011" s="122">
        <v>875</v>
      </c>
      <c r="B1011" s="123">
        <v>14101</v>
      </c>
      <c r="C1011" s="124" t="s">
        <v>411</v>
      </c>
      <c r="D1011" s="125">
        <v>1</v>
      </c>
    </row>
    <row r="1012" spans="1:4" x14ac:dyDescent="0.2">
      <c r="A1012" s="122">
        <v>876</v>
      </c>
      <c r="B1012" s="123">
        <v>14102</v>
      </c>
      <c r="C1012" s="124" t="s">
        <v>412</v>
      </c>
      <c r="D1012" s="125" t="s">
        <v>224</v>
      </c>
    </row>
    <row r="1013" spans="1:4" x14ac:dyDescent="0.2">
      <c r="A1013" s="122">
        <v>877</v>
      </c>
      <c r="B1013" s="123">
        <v>14123</v>
      </c>
      <c r="C1013" s="124" t="s">
        <v>411</v>
      </c>
      <c r="D1013" s="125">
        <v>2</v>
      </c>
    </row>
    <row r="1014" spans="1:4" x14ac:dyDescent="0.2">
      <c r="A1014" s="122">
        <v>877</v>
      </c>
      <c r="B1014" s="123">
        <v>14124</v>
      </c>
      <c r="C1014" s="124" t="s">
        <v>411</v>
      </c>
      <c r="D1014" s="125">
        <v>1</v>
      </c>
    </row>
    <row r="1015" spans="1:4" x14ac:dyDescent="0.2">
      <c r="A1015" s="122">
        <v>878</v>
      </c>
      <c r="B1015" s="123">
        <v>14125</v>
      </c>
      <c r="C1015" s="124" t="s">
        <v>412</v>
      </c>
      <c r="D1015" s="125" t="s">
        <v>224</v>
      </c>
    </row>
    <row r="1016" spans="1:4" x14ac:dyDescent="0.2">
      <c r="A1016" s="122">
        <v>879</v>
      </c>
      <c r="B1016" s="123">
        <v>14126</v>
      </c>
      <c r="C1016" s="124" t="s">
        <v>411</v>
      </c>
      <c r="D1016" s="125">
        <v>2</v>
      </c>
    </row>
    <row r="1017" spans="1:4" x14ac:dyDescent="0.2">
      <c r="A1017" s="122">
        <v>879</v>
      </c>
      <c r="B1017" s="123">
        <v>14127</v>
      </c>
      <c r="C1017" s="124" t="s">
        <v>411</v>
      </c>
      <c r="D1017" s="125">
        <v>1</v>
      </c>
    </row>
    <row r="1018" spans="1:4" x14ac:dyDescent="0.2">
      <c r="A1018" s="122">
        <v>880</v>
      </c>
      <c r="B1018" s="123">
        <v>14128</v>
      </c>
      <c r="C1018" s="124" t="s">
        <v>412</v>
      </c>
      <c r="D1018" s="125" t="s">
        <v>224</v>
      </c>
    </row>
    <row r="1019" spans="1:4" x14ac:dyDescent="0.2">
      <c r="A1019" s="122">
        <v>881</v>
      </c>
      <c r="B1019" s="123">
        <v>14129</v>
      </c>
      <c r="C1019" s="124" t="s">
        <v>411</v>
      </c>
      <c r="D1019" s="125">
        <v>2</v>
      </c>
    </row>
    <row r="1020" spans="1:4" x14ac:dyDescent="0.2">
      <c r="A1020" s="122">
        <v>881</v>
      </c>
      <c r="B1020" s="123">
        <v>14130</v>
      </c>
      <c r="C1020" s="124" t="s">
        <v>411</v>
      </c>
      <c r="D1020" s="125">
        <v>1</v>
      </c>
    </row>
    <row r="1021" spans="1:4" x14ac:dyDescent="0.2">
      <c r="A1021" s="122">
        <v>882</v>
      </c>
      <c r="B1021" s="123">
        <v>14131</v>
      </c>
      <c r="C1021" s="124" t="s">
        <v>412</v>
      </c>
      <c r="D1021" s="125" t="s">
        <v>224</v>
      </c>
    </row>
    <row r="1022" spans="1:4" x14ac:dyDescent="0.2">
      <c r="A1022" s="122">
        <v>883</v>
      </c>
      <c r="B1022" s="123">
        <v>14132</v>
      </c>
      <c r="C1022" s="124" t="s">
        <v>411</v>
      </c>
      <c r="D1022" s="125">
        <v>2</v>
      </c>
    </row>
    <row r="1023" spans="1:4" x14ac:dyDescent="0.2">
      <c r="A1023" s="122">
        <v>883</v>
      </c>
      <c r="B1023" s="123">
        <v>14133</v>
      </c>
      <c r="C1023" s="124" t="s">
        <v>411</v>
      </c>
      <c r="D1023" s="125">
        <v>1</v>
      </c>
    </row>
    <row r="1024" spans="1:4" x14ac:dyDescent="0.2">
      <c r="A1024" s="122">
        <v>884</v>
      </c>
      <c r="B1024" s="123">
        <v>14134</v>
      </c>
      <c r="C1024" s="124" t="s">
        <v>412</v>
      </c>
      <c r="D1024" s="125" t="s">
        <v>224</v>
      </c>
    </row>
    <row r="1025" spans="1:4" x14ac:dyDescent="0.2">
      <c r="A1025" s="122">
        <v>885</v>
      </c>
      <c r="B1025" s="123">
        <v>14135</v>
      </c>
      <c r="C1025" s="124" t="s">
        <v>411</v>
      </c>
      <c r="D1025" s="125">
        <v>2</v>
      </c>
    </row>
    <row r="1026" spans="1:4" x14ac:dyDescent="0.2">
      <c r="A1026" s="122">
        <v>885</v>
      </c>
      <c r="B1026" s="123">
        <v>14136</v>
      </c>
      <c r="C1026" s="124" t="s">
        <v>411</v>
      </c>
      <c r="D1026" s="125">
        <v>1</v>
      </c>
    </row>
    <row r="1027" spans="1:4" x14ac:dyDescent="0.2">
      <c r="A1027" s="122">
        <v>886</v>
      </c>
      <c r="B1027" s="123">
        <v>14137</v>
      </c>
      <c r="C1027" s="124" t="s">
        <v>412</v>
      </c>
      <c r="D1027" s="125" t="s">
        <v>224</v>
      </c>
    </row>
    <row r="1028" spans="1:4" x14ac:dyDescent="0.2">
      <c r="A1028" s="122">
        <v>887</v>
      </c>
      <c r="B1028" s="123">
        <v>14144</v>
      </c>
      <c r="C1028" s="124" t="s">
        <v>411</v>
      </c>
      <c r="D1028" s="125">
        <v>2</v>
      </c>
    </row>
    <row r="1029" spans="1:4" x14ac:dyDescent="0.2">
      <c r="A1029" s="122">
        <v>887</v>
      </c>
      <c r="B1029" s="123">
        <v>14145</v>
      </c>
      <c r="C1029" s="124" t="s">
        <v>411</v>
      </c>
      <c r="D1029" s="125">
        <v>1</v>
      </c>
    </row>
    <row r="1030" spans="1:4" x14ac:dyDescent="0.2">
      <c r="A1030" s="122">
        <v>888</v>
      </c>
      <c r="B1030" s="123">
        <v>14146</v>
      </c>
      <c r="C1030" s="124" t="s">
        <v>412</v>
      </c>
      <c r="D1030" s="125" t="s">
        <v>224</v>
      </c>
    </row>
    <row r="1031" spans="1:4" x14ac:dyDescent="0.2">
      <c r="A1031" s="122">
        <v>889</v>
      </c>
      <c r="B1031" s="123">
        <v>278</v>
      </c>
      <c r="C1031" s="124" t="s">
        <v>411</v>
      </c>
      <c r="D1031" s="125">
        <v>2</v>
      </c>
    </row>
    <row r="1032" spans="1:4" x14ac:dyDescent="0.2">
      <c r="A1032" s="122">
        <v>889</v>
      </c>
      <c r="B1032" s="123">
        <v>289</v>
      </c>
      <c r="C1032" s="124" t="s">
        <v>411</v>
      </c>
      <c r="D1032" s="125">
        <v>1</v>
      </c>
    </row>
    <row r="1033" spans="1:4" x14ac:dyDescent="0.2">
      <c r="A1033" s="122">
        <v>890</v>
      </c>
      <c r="B1033" s="123">
        <v>14028</v>
      </c>
      <c r="C1033" s="124" t="s">
        <v>412</v>
      </c>
      <c r="D1033" s="125" t="s">
        <v>224</v>
      </c>
    </row>
    <row r="1034" spans="1:4" x14ac:dyDescent="0.2">
      <c r="A1034" s="122">
        <v>891</v>
      </c>
      <c r="B1034" s="123">
        <v>14099</v>
      </c>
      <c r="C1034" s="124" t="s">
        <v>412</v>
      </c>
      <c r="D1034" s="125" t="s">
        <v>224</v>
      </c>
    </row>
    <row r="1035" spans="1:4" x14ac:dyDescent="0.2">
      <c r="A1035" s="122">
        <v>892</v>
      </c>
      <c r="B1035" s="123">
        <v>14119</v>
      </c>
      <c r="C1035" s="124" t="s">
        <v>412</v>
      </c>
      <c r="D1035" s="125" t="s">
        <v>224</v>
      </c>
    </row>
    <row r="1036" spans="1:4" x14ac:dyDescent="0.2">
      <c r="A1036" s="122">
        <v>893</v>
      </c>
      <c r="B1036" s="123">
        <v>14120</v>
      </c>
      <c r="C1036" s="124" t="s">
        <v>412</v>
      </c>
      <c r="D1036" s="125" t="s">
        <v>224</v>
      </c>
    </row>
    <row r="1037" spans="1:4" x14ac:dyDescent="0.2">
      <c r="A1037" s="122">
        <v>894</v>
      </c>
      <c r="B1037" s="123">
        <v>300</v>
      </c>
      <c r="C1037" s="124" t="s">
        <v>369</v>
      </c>
      <c r="D1037" s="125" t="s">
        <v>224</v>
      </c>
    </row>
    <row r="1038" spans="1:4" x14ac:dyDescent="0.2">
      <c r="A1038" s="122">
        <v>895</v>
      </c>
      <c r="B1038" s="123">
        <v>311</v>
      </c>
      <c r="C1038" s="124" t="s">
        <v>369</v>
      </c>
      <c r="D1038" s="125" t="s">
        <v>224</v>
      </c>
    </row>
    <row r="1039" spans="1:4" x14ac:dyDescent="0.2">
      <c r="A1039" s="122">
        <v>896</v>
      </c>
      <c r="B1039" s="123">
        <v>312</v>
      </c>
      <c r="C1039" s="124" t="s">
        <v>369</v>
      </c>
      <c r="D1039" s="125" t="s">
        <v>224</v>
      </c>
    </row>
    <row r="1040" spans="1:4" x14ac:dyDescent="0.2">
      <c r="A1040" s="122">
        <v>897</v>
      </c>
      <c r="B1040" s="123">
        <v>14097</v>
      </c>
      <c r="C1040" s="124" t="s">
        <v>412</v>
      </c>
      <c r="D1040" s="125" t="s">
        <v>224</v>
      </c>
    </row>
    <row r="1041" spans="1:4" x14ac:dyDescent="0.2">
      <c r="A1041" s="122">
        <v>898</v>
      </c>
      <c r="B1041" s="123">
        <v>14098</v>
      </c>
      <c r="C1041" s="124" t="s">
        <v>412</v>
      </c>
      <c r="D1041" s="125" t="s">
        <v>224</v>
      </c>
    </row>
    <row r="1042" spans="1:4" x14ac:dyDescent="0.2">
      <c r="A1042" s="122">
        <v>899</v>
      </c>
      <c r="B1042" s="123">
        <v>281</v>
      </c>
      <c r="C1042" s="124" t="s">
        <v>413</v>
      </c>
      <c r="D1042" s="125" t="s">
        <v>224</v>
      </c>
    </row>
    <row r="1043" spans="1:4" x14ac:dyDescent="0.2">
      <c r="A1043" s="122">
        <v>900</v>
      </c>
      <c r="B1043" s="123">
        <v>282</v>
      </c>
      <c r="C1043" s="124" t="s">
        <v>413</v>
      </c>
      <c r="D1043" s="125" t="s">
        <v>224</v>
      </c>
    </row>
    <row r="1044" spans="1:4" x14ac:dyDescent="0.2">
      <c r="A1044" s="122">
        <v>901</v>
      </c>
      <c r="B1044" s="123">
        <v>283</v>
      </c>
      <c r="C1044" s="124" t="s">
        <v>413</v>
      </c>
      <c r="D1044" s="125" t="s">
        <v>224</v>
      </c>
    </row>
    <row r="1045" spans="1:4" x14ac:dyDescent="0.2">
      <c r="A1045" s="122">
        <v>902</v>
      </c>
      <c r="B1045" s="123">
        <v>284</v>
      </c>
      <c r="C1045" s="124" t="s">
        <v>413</v>
      </c>
      <c r="D1045" s="125" t="s">
        <v>224</v>
      </c>
    </row>
    <row r="1046" spans="1:4" x14ac:dyDescent="0.2">
      <c r="A1046" s="122">
        <v>903</v>
      </c>
      <c r="B1046" s="123">
        <v>285</v>
      </c>
      <c r="C1046" s="124" t="s">
        <v>413</v>
      </c>
      <c r="D1046" s="125" t="s">
        <v>224</v>
      </c>
    </row>
    <row r="1047" spans="1:4" x14ac:dyDescent="0.2">
      <c r="A1047" s="122">
        <v>904</v>
      </c>
      <c r="B1047" s="123">
        <v>286</v>
      </c>
      <c r="C1047" s="124" t="s">
        <v>414</v>
      </c>
      <c r="D1047" s="125" t="s">
        <v>224</v>
      </c>
    </row>
    <row r="1048" spans="1:4" x14ac:dyDescent="0.2">
      <c r="A1048" s="122">
        <v>905</v>
      </c>
      <c r="B1048" s="123">
        <v>287</v>
      </c>
      <c r="C1048" s="124" t="s">
        <v>414</v>
      </c>
      <c r="D1048" s="125" t="s">
        <v>224</v>
      </c>
    </row>
    <row r="1049" spans="1:4" x14ac:dyDescent="0.2">
      <c r="A1049" s="122">
        <v>906</v>
      </c>
      <c r="B1049" s="123">
        <v>288</v>
      </c>
      <c r="C1049" s="124" t="s">
        <v>414</v>
      </c>
      <c r="D1049" s="125" t="s">
        <v>224</v>
      </c>
    </row>
    <row r="1050" spans="1:4" x14ac:dyDescent="0.2">
      <c r="A1050" s="122">
        <v>907</v>
      </c>
      <c r="B1050" s="123">
        <v>292</v>
      </c>
      <c r="C1050" s="124" t="s">
        <v>415</v>
      </c>
      <c r="D1050" s="125" t="s">
        <v>224</v>
      </c>
    </row>
    <row r="1051" spans="1:4" x14ac:dyDescent="0.2">
      <c r="A1051" s="122">
        <v>908</v>
      </c>
      <c r="B1051" s="123">
        <v>293</v>
      </c>
      <c r="C1051" s="124" t="s">
        <v>415</v>
      </c>
      <c r="D1051" s="125" t="s">
        <v>224</v>
      </c>
    </row>
    <row r="1052" spans="1:4" x14ac:dyDescent="0.2">
      <c r="A1052" s="122">
        <v>909</v>
      </c>
      <c r="B1052" s="123">
        <v>294</v>
      </c>
      <c r="C1052" s="124" t="s">
        <v>415</v>
      </c>
      <c r="D1052" s="125" t="s">
        <v>224</v>
      </c>
    </row>
    <row r="1053" spans="1:4" x14ac:dyDescent="0.2">
      <c r="A1053" s="122">
        <v>910</v>
      </c>
      <c r="B1053" s="123">
        <v>295</v>
      </c>
      <c r="C1053" s="124" t="s">
        <v>415</v>
      </c>
      <c r="D1053" s="125" t="s">
        <v>224</v>
      </c>
    </row>
    <row r="1054" spans="1:4" x14ac:dyDescent="0.2">
      <c r="A1054" s="122">
        <v>911</v>
      </c>
      <c r="B1054" s="123">
        <v>296</v>
      </c>
      <c r="C1054" s="124" t="s">
        <v>415</v>
      </c>
      <c r="D1054" s="125" t="s">
        <v>224</v>
      </c>
    </row>
    <row r="1055" spans="1:4" x14ac:dyDescent="0.2">
      <c r="A1055" s="122">
        <v>912</v>
      </c>
      <c r="B1055" s="123">
        <v>297</v>
      </c>
      <c r="C1055" s="124" t="s">
        <v>415</v>
      </c>
      <c r="D1055" s="125" t="s">
        <v>224</v>
      </c>
    </row>
    <row r="1056" spans="1:4" x14ac:dyDescent="0.2">
      <c r="A1056" s="122">
        <v>913</v>
      </c>
      <c r="B1056" s="123">
        <v>298</v>
      </c>
      <c r="C1056" s="124" t="s">
        <v>415</v>
      </c>
      <c r="D1056" s="125" t="s">
        <v>224</v>
      </c>
    </row>
    <row r="1057" spans="1:4" x14ac:dyDescent="0.2">
      <c r="A1057" s="122">
        <v>914</v>
      </c>
      <c r="B1057" s="123">
        <v>299</v>
      </c>
      <c r="C1057" s="124" t="s">
        <v>416</v>
      </c>
      <c r="D1057" s="125">
        <v>1</v>
      </c>
    </row>
    <row r="1058" spans="1:4" x14ac:dyDescent="0.2">
      <c r="A1058" s="122">
        <v>915</v>
      </c>
      <c r="B1058" s="123">
        <v>313</v>
      </c>
      <c r="C1058" s="124" t="s">
        <v>369</v>
      </c>
      <c r="D1058" s="125">
        <v>2</v>
      </c>
    </row>
    <row r="1059" spans="1:4" x14ac:dyDescent="0.2">
      <c r="A1059" s="122">
        <v>915</v>
      </c>
      <c r="B1059" s="123">
        <v>314</v>
      </c>
      <c r="C1059" s="124" t="s">
        <v>369</v>
      </c>
      <c r="D1059" s="125">
        <v>1</v>
      </c>
    </row>
    <row r="1060" spans="1:4" x14ac:dyDescent="0.2">
      <c r="A1060" s="122">
        <v>916</v>
      </c>
      <c r="B1060" s="123">
        <v>315</v>
      </c>
      <c r="C1060" s="124" t="s">
        <v>369</v>
      </c>
      <c r="D1060" s="125">
        <v>2</v>
      </c>
    </row>
    <row r="1061" spans="1:4" x14ac:dyDescent="0.2">
      <c r="A1061" s="122">
        <v>916</v>
      </c>
      <c r="B1061" s="123">
        <v>316</v>
      </c>
      <c r="C1061" s="124" t="s">
        <v>369</v>
      </c>
      <c r="D1061" s="125">
        <v>1</v>
      </c>
    </row>
    <row r="1062" spans="1:4" x14ac:dyDescent="0.2">
      <c r="A1062" s="122">
        <v>917</v>
      </c>
      <c r="B1062" s="123">
        <v>279</v>
      </c>
      <c r="C1062" s="124" t="s">
        <v>369</v>
      </c>
      <c r="D1062" s="125">
        <v>2</v>
      </c>
    </row>
    <row r="1063" spans="1:4" x14ac:dyDescent="0.2">
      <c r="A1063" s="122">
        <v>917</v>
      </c>
      <c r="B1063" s="123">
        <v>280</v>
      </c>
      <c r="C1063" s="124" t="s">
        <v>369</v>
      </c>
      <c r="D1063" s="125">
        <v>1</v>
      </c>
    </row>
    <row r="1064" spans="1:4" x14ac:dyDescent="0.2">
      <c r="A1064" s="122">
        <v>918</v>
      </c>
      <c r="B1064" s="123">
        <v>290</v>
      </c>
      <c r="C1064" s="124" t="s">
        <v>304</v>
      </c>
      <c r="D1064" s="125">
        <v>1</v>
      </c>
    </row>
    <row r="1065" spans="1:4" x14ac:dyDescent="0.2">
      <c r="A1065" s="122">
        <v>918</v>
      </c>
      <c r="B1065" s="123">
        <v>291</v>
      </c>
      <c r="C1065" s="124" t="s">
        <v>304</v>
      </c>
      <c r="D1065" s="125">
        <v>1</v>
      </c>
    </row>
    <row r="1066" spans="1:4" x14ac:dyDescent="0.2">
      <c r="A1066" s="122">
        <v>919</v>
      </c>
      <c r="B1066" s="123">
        <v>57</v>
      </c>
      <c r="C1066" s="124" t="s">
        <v>417</v>
      </c>
      <c r="D1066" s="125">
        <v>1</v>
      </c>
    </row>
    <row r="1067" spans="1:4" x14ac:dyDescent="0.2">
      <c r="A1067" s="122">
        <v>919</v>
      </c>
      <c r="B1067" s="123">
        <v>278</v>
      </c>
      <c r="C1067" s="124" t="s">
        <v>417</v>
      </c>
      <c r="D1067" s="125">
        <v>2</v>
      </c>
    </row>
    <row r="1068" spans="1:4" x14ac:dyDescent="0.2">
      <c r="A1068" s="122">
        <v>920</v>
      </c>
      <c r="B1068" s="123">
        <v>57</v>
      </c>
      <c r="C1068" s="124" t="s">
        <v>417</v>
      </c>
      <c r="D1068" s="125">
        <v>1</v>
      </c>
    </row>
    <row r="1069" spans="1:4" x14ac:dyDescent="0.2">
      <c r="A1069" s="122">
        <v>920</v>
      </c>
      <c r="B1069" s="123">
        <v>278</v>
      </c>
      <c r="C1069" s="124" t="s">
        <v>417</v>
      </c>
      <c r="D1069" s="125">
        <v>2</v>
      </c>
    </row>
    <row r="1070" spans="1:4" x14ac:dyDescent="0.2">
      <c r="A1070" s="122">
        <v>922</v>
      </c>
      <c r="B1070" s="123">
        <v>301</v>
      </c>
      <c r="C1070" s="124" t="s">
        <v>327</v>
      </c>
      <c r="D1070" s="125">
        <v>1</v>
      </c>
    </row>
    <row r="1071" spans="1:4" x14ac:dyDescent="0.2">
      <c r="A1071" s="122">
        <v>923</v>
      </c>
      <c r="B1071" s="123">
        <v>302</v>
      </c>
      <c r="C1071" s="124" t="s">
        <v>327</v>
      </c>
      <c r="D1071" s="125">
        <v>1</v>
      </c>
    </row>
    <row r="1072" spans="1:4" x14ac:dyDescent="0.2">
      <c r="A1072" s="122">
        <v>924</v>
      </c>
      <c r="B1072" s="123">
        <v>303</v>
      </c>
      <c r="C1072" s="124" t="s">
        <v>327</v>
      </c>
      <c r="D1072" s="125">
        <v>1</v>
      </c>
    </row>
    <row r="1073" spans="1:4" x14ac:dyDescent="0.2">
      <c r="A1073" s="122">
        <v>925</v>
      </c>
      <c r="B1073" s="123">
        <v>259</v>
      </c>
      <c r="C1073" s="124" t="s">
        <v>418</v>
      </c>
      <c r="D1073" s="125" t="s">
        <v>357</v>
      </c>
    </row>
    <row r="1074" spans="1:4" x14ac:dyDescent="0.2">
      <c r="A1074" s="122">
        <v>925</v>
      </c>
      <c r="B1074" s="123">
        <v>307</v>
      </c>
      <c r="C1074" s="124" t="s">
        <v>418</v>
      </c>
      <c r="D1074" s="125" t="s">
        <v>357</v>
      </c>
    </row>
    <row r="1075" spans="1:4" x14ac:dyDescent="0.2">
      <c r="A1075" s="122">
        <v>926</v>
      </c>
      <c r="B1075" s="123">
        <v>261</v>
      </c>
      <c r="C1075" s="124" t="s">
        <v>358</v>
      </c>
      <c r="D1075" s="125" t="s">
        <v>357</v>
      </c>
    </row>
    <row r="1076" spans="1:4" x14ac:dyDescent="0.2">
      <c r="A1076" s="122">
        <v>926</v>
      </c>
      <c r="B1076" s="123">
        <v>308</v>
      </c>
      <c r="C1076" s="124" t="s">
        <v>358</v>
      </c>
      <c r="D1076" s="125" t="s">
        <v>357</v>
      </c>
    </row>
    <row r="1077" spans="1:4" x14ac:dyDescent="0.2">
      <c r="A1077" s="122">
        <v>927</v>
      </c>
      <c r="B1077" s="123">
        <v>263</v>
      </c>
      <c r="C1077" s="124" t="s">
        <v>360</v>
      </c>
      <c r="D1077" s="125" t="s">
        <v>357</v>
      </c>
    </row>
    <row r="1078" spans="1:4" x14ac:dyDescent="0.2">
      <c r="A1078" s="122">
        <v>927</v>
      </c>
      <c r="B1078" s="123">
        <v>309</v>
      </c>
      <c r="C1078" s="124" t="s">
        <v>360</v>
      </c>
      <c r="D1078" s="125" t="s">
        <v>357</v>
      </c>
    </row>
    <row r="1079" spans="1:4" x14ac:dyDescent="0.2">
      <c r="A1079" s="122">
        <v>928</v>
      </c>
      <c r="B1079" s="123">
        <v>265</v>
      </c>
      <c r="C1079" s="124" t="s">
        <v>359</v>
      </c>
      <c r="D1079" s="125" t="s">
        <v>357</v>
      </c>
    </row>
    <row r="1080" spans="1:4" x14ac:dyDescent="0.2">
      <c r="A1080" s="122">
        <v>928</v>
      </c>
      <c r="B1080" s="123">
        <v>310</v>
      </c>
      <c r="C1080" s="124" t="s">
        <v>359</v>
      </c>
      <c r="D1080" s="125" t="s">
        <v>357</v>
      </c>
    </row>
    <row r="1081" spans="1:4" x14ac:dyDescent="0.2">
      <c r="A1081" s="122">
        <v>929</v>
      </c>
      <c r="B1081" s="123">
        <v>14041</v>
      </c>
      <c r="C1081" s="124" t="s">
        <v>413</v>
      </c>
      <c r="D1081" s="125" t="s">
        <v>224</v>
      </c>
    </row>
    <row r="1082" spans="1:4" x14ac:dyDescent="0.2">
      <c r="A1082" s="122">
        <v>930</v>
      </c>
      <c r="B1082" s="123">
        <v>14053</v>
      </c>
      <c r="C1082" s="124" t="s">
        <v>413</v>
      </c>
      <c r="D1082" s="125" t="s">
        <v>224</v>
      </c>
    </row>
    <row r="1083" spans="1:4" x14ac:dyDescent="0.2">
      <c r="A1083" s="122">
        <v>931</v>
      </c>
      <c r="B1083" s="123">
        <v>14056</v>
      </c>
      <c r="C1083" s="124" t="s">
        <v>413</v>
      </c>
      <c r="D1083" s="125" t="s">
        <v>224</v>
      </c>
    </row>
    <row r="1084" spans="1:4" x14ac:dyDescent="0.2">
      <c r="A1084" s="122">
        <v>932</v>
      </c>
      <c r="B1084" s="123">
        <v>191</v>
      </c>
      <c r="C1084" s="124" t="s">
        <v>419</v>
      </c>
      <c r="D1084" s="125">
        <v>2</v>
      </c>
    </row>
    <row r="1085" spans="1:4" x14ac:dyDescent="0.2">
      <c r="A1085" s="122">
        <v>932</v>
      </c>
      <c r="B1085" s="123">
        <v>353</v>
      </c>
      <c r="C1085" s="124" t="s">
        <v>419</v>
      </c>
      <c r="D1085" s="125">
        <v>1</v>
      </c>
    </row>
    <row r="1086" spans="1:4" x14ac:dyDescent="0.2">
      <c r="A1086" s="122">
        <v>932</v>
      </c>
      <c r="B1086" s="123">
        <v>354</v>
      </c>
      <c r="C1086" s="124" t="s">
        <v>419</v>
      </c>
      <c r="D1086" s="125">
        <v>1</v>
      </c>
    </row>
    <row r="1087" spans="1:4" x14ac:dyDescent="0.2">
      <c r="A1087" s="122">
        <v>932</v>
      </c>
      <c r="B1087" s="123">
        <v>355</v>
      </c>
      <c r="C1087" s="124" t="s">
        <v>419</v>
      </c>
      <c r="D1087" s="125">
        <v>1</v>
      </c>
    </row>
    <row r="1088" spans="1:4" x14ac:dyDescent="0.2">
      <c r="A1088" s="122">
        <v>933</v>
      </c>
      <c r="B1088" s="123">
        <v>14147</v>
      </c>
      <c r="C1088" s="124" t="s">
        <v>411</v>
      </c>
      <c r="D1088" s="125">
        <v>2</v>
      </c>
    </row>
    <row r="1089" spans="1:4" x14ac:dyDescent="0.2">
      <c r="A1089" s="122">
        <v>933</v>
      </c>
      <c r="B1089" s="123">
        <v>14148</v>
      </c>
      <c r="C1089" s="124" t="s">
        <v>411</v>
      </c>
      <c r="D1089" s="125">
        <v>1</v>
      </c>
    </row>
    <row r="1090" spans="1:4" x14ac:dyDescent="0.2">
      <c r="A1090" s="122">
        <v>934</v>
      </c>
      <c r="B1090" s="123">
        <v>14149</v>
      </c>
      <c r="C1090" s="124" t="s">
        <v>412</v>
      </c>
      <c r="D1090" s="125" t="s">
        <v>224</v>
      </c>
    </row>
    <row r="1091" spans="1:4" x14ac:dyDescent="0.2">
      <c r="A1091" s="122">
        <v>935</v>
      </c>
      <c r="B1091" s="123">
        <v>374</v>
      </c>
      <c r="C1091" s="124" t="s">
        <v>420</v>
      </c>
      <c r="D1091" s="125" t="s">
        <v>471</v>
      </c>
    </row>
    <row r="1092" spans="1:4" x14ac:dyDescent="0.2">
      <c r="A1092" s="122">
        <v>935</v>
      </c>
      <c r="B1092" s="123">
        <v>375</v>
      </c>
      <c r="C1092" s="124" t="s">
        <v>420</v>
      </c>
      <c r="D1092" s="125" t="s">
        <v>469</v>
      </c>
    </row>
    <row r="1093" spans="1:4" x14ac:dyDescent="0.2">
      <c r="A1093" s="122">
        <v>936</v>
      </c>
      <c r="B1093" s="123">
        <v>1422</v>
      </c>
      <c r="C1093" s="124" t="s">
        <v>420</v>
      </c>
      <c r="D1093" s="125">
        <v>1</v>
      </c>
    </row>
    <row r="1094" spans="1:4" x14ac:dyDescent="0.2">
      <c r="A1094" s="122">
        <v>936</v>
      </c>
      <c r="B1094" s="123">
        <v>1423</v>
      </c>
      <c r="C1094" s="124" t="s">
        <v>420</v>
      </c>
      <c r="D1094" s="125">
        <v>2</v>
      </c>
    </row>
    <row r="1095" spans="1:4" x14ac:dyDescent="0.2">
      <c r="A1095" s="122">
        <v>937</v>
      </c>
      <c r="B1095" s="123">
        <v>14150</v>
      </c>
      <c r="C1095" s="124" t="s">
        <v>420</v>
      </c>
      <c r="D1095" s="125">
        <v>2</v>
      </c>
    </row>
    <row r="1096" spans="1:4" x14ac:dyDescent="0.2">
      <c r="A1096" s="122">
        <v>937</v>
      </c>
      <c r="B1096" s="123">
        <v>14151</v>
      </c>
      <c r="C1096" s="124" t="s">
        <v>420</v>
      </c>
      <c r="D1096" s="125">
        <v>1</v>
      </c>
    </row>
    <row r="1097" spans="1:4" x14ac:dyDescent="0.2">
      <c r="A1097" s="122">
        <v>938</v>
      </c>
      <c r="B1097" s="123">
        <v>376</v>
      </c>
      <c r="C1097" s="124" t="s">
        <v>420</v>
      </c>
      <c r="D1097" s="125">
        <v>2</v>
      </c>
    </row>
    <row r="1098" spans="1:4" x14ac:dyDescent="0.2">
      <c r="A1098" s="122">
        <v>938</v>
      </c>
      <c r="B1098" s="123">
        <v>377</v>
      </c>
      <c r="C1098" s="124" t="s">
        <v>420</v>
      </c>
      <c r="D1098" s="125">
        <v>1</v>
      </c>
    </row>
    <row r="1099" spans="1:4" x14ac:dyDescent="0.2">
      <c r="A1099" s="122">
        <v>939</v>
      </c>
      <c r="B1099" s="123">
        <v>395</v>
      </c>
      <c r="C1099" s="124" t="s">
        <v>420</v>
      </c>
      <c r="D1099" s="125">
        <v>2</v>
      </c>
    </row>
    <row r="1100" spans="1:4" x14ac:dyDescent="0.2">
      <c r="A1100" s="122">
        <v>939</v>
      </c>
      <c r="B1100" s="123">
        <v>396</v>
      </c>
      <c r="C1100" s="124" t="s">
        <v>420</v>
      </c>
      <c r="D1100" s="125">
        <v>1</v>
      </c>
    </row>
    <row r="1101" spans="1:4" x14ac:dyDescent="0.2">
      <c r="A1101" s="122">
        <v>940</v>
      </c>
      <c r="B1101" s="123">
        <v>397</v>
      </c>
      <c r="C1101" s="124" t="s">
        <v>421</v>
      </c>
      <c r="D1101" s="125" t="s">
        <v>379</v>
      </c>
    </row>
    <row r="1102" spans="1:4" x14ac:dyDescent="0.2">
      <c r="A1102" s="122">
        <v>941</v>
      </c>
      <c r="B1102" s="123">
        <v>398</v>
      </c>
      <c r="C1102" s="124" t="s">
        <v>422</v>
      </c>
      <c r="D1102" s="125" t="s">
        <v>379</v>
      </c>
    </row>
    <row r="1103" spans="1:4" x14ac:dyDescent="0.2">
      <c r="A1103" s="122">
        <v>942</v>
      </c>
      <c r="B1103" s="123">
        <v>400</v>
      </c>
      <c r="C1103" s="124" t="s">
        <v>272</v>
      </c>
      <c r="D1103" s="125">
        <v>1</v>
      </c>
    </row>
    <row r="1104" spans="1:4" x14ac:dyDescent="0.2">
      <c r="A1104" s="122">
        <v>942</v>
      </c>
      <c r="B1104" s="123">
        <v>401</v>
      </c>
      <c r="C1104" s="124" t="s">
        <v>272</v>
      </c>
      <c r="D1104" s="125">
        <v>2</v>
      </c>
    </row>
    <row r="1105" spans="1:4" x14ac:dyDescent="0.2">
      <c r="A1105" s="122">
        <v>943</v>
      </c>
      <c r="B1105" s="123">
        <v>404</v>
      </c>
      <c r="C1105" s="124" t="s">
        <v>262</v>
      </c>
      <c r="D1105" s="125">
        <v>1</v>
      </c>
    </row>
    <row r="1106" spans="1:4" x14ac:dyDescent="0.2">
      <c r="A1106" s="122">
        <v>943</v>
      </c>
      <c r="B1106" s="123">
        <v>405</v>
      </c>
      <c r="C1106" s="124" t="s">
        <v>262</v>
      </c>
      <c r="D1106" s="125">
        <v>2</v>
      </c>
    </row>
    <row r="1107" spans="1:4" x14ac:dyDescent="0.2">
      <c r="A1107" s="122">
        <v>944</v>
      </c>
      <c r="B1107" s="123">
        <v>406</v>
      </c>
      <c r="C1107" s="124" t="s">
        <v>262</v>
      </c>
      <c r="D1107" s="125">
        <v>1</v>
      </c>
    </row>
    <row r="1108" spans="1:4" x14ac:dyDescent="0.2">
      <c r="A1108" s="122">
        <v>944</v>
      </c>
      <c r="B1108" s="123">
        <v>407</v>
      </c>
      <c r="C1108" s="124" t="s">
        <v>262</v>
      </c>
      <c r="D1108" s="125">
        <v>2</v>
      </c>
    </row>
    <row r="1109" spans="1:4" x14ac:dyDescent="0.2">
      <c r="A1109" s="122">
        <v>945</v>
      </c>
      <c r="B1109" s="123">
        <v>408</v>
      </c>
      <c r="C1109" s="124" t="s">
        <v>262</v>
      </c>
      <c r="D1109" s="125">
        <v>1</v>
      </c>
    </row>
    <row r="1110" spans="1:4" x14ac:dyDescent="0.2">
      <c r="A1110" s="122">
        <v>945</v>
      </c>
      <c r="B1110" s="123">
        <v>409</v>
      </c>
      <c r="C1110" s="124" t="s">
        <v>262</v>
      </c>
      <c r="D1110" s="125">
        <v>2</v>
      </c>
    </row>
    <row r="1111" spans="1:4" x14ac:dyDescent="0.2">
      <c r="A1111" s="122">
        <v>946</v>
      </c>
      <c r="B1111" s="123">
        <v>410</v>
      </c>
      <c r="C1111" s="124" t="s">
        <v>262</v>
      </c>
      <c r="D1111" s="125">
        <v>1</v>
      </c>
    </row>
    <row r="1112" spans="1:4" x14ac:dyDescent="0.2">
      <c r="A1112" s="122">
        <v>946</v>
      </c>
      <c r="B1112" s="123">
        <v>411</v>
      </c>
      <c r="C1112" s="124" t="s">
        <v>262</v>
      </c>
      <c r="D1112" s="125">
        <v>2</v>
      </c>
    </row>
    <row r="1113" spans="1:4" x14ac:dyDescent="0.2">
      <c r="A1113" s="122">
        <v>947</v>
      </c>
      <c r="B1113" s="123">
        <v>412</v>
      </c>
      <c r="C1113" s="124" t="s">
        <v>423</v>
      </c>
      <c r="D1113" s="125">
        <v>2</v>
      </c>
    </row>
    <row r="1114" spans="1:4" x14ac:dyDescent="0.2">
      <c r="A1114" s="122">
        <v>947</v>
      </c>
      <c r="B1114" s="123">
        <v>413</v>
      </c>
      <c r="C1114" s="124" t="s">
        <v>423</v>
      </c>
      <c r="D1114" s="125">
        <v>1</v>
      </c>
    </row>
    <row r="1115" spans="1:4" x14ac:dyDescent="0.2">
      <c r="A1115" s="122">
        <v>947</v>
      </c>
      <c r="B1115" s="123">
        <v>414</v>
      </c>
      <c r="C1115" s="124" t="s">
        <v>423</v>
      </c>
      <c r="D1115" s="125">
        <v>1</v>
      </c>
    </row>
    <row r="1116" spans="1:4" x14ac:dyDescent="0.2">
      <c r="A1116" s="122">
        <v>948</v>
      </c>
      <c r="B1116" s="123">
        <v>415</v>
      </c>
      <c r="C1116" s="124" t="s">
        <v>424</v>
      </c>
      <c r="D1116" s="125" t="s">
        <v>471</v>
      </c>
    </row>
    <row r="1117" spans="1:4" x14ac:dyDescent="0.2">
      <c r="A1117" s="122">
        <v>948</v>
      </c>
      <c r="B1117" s="123">
        <v>416</v>
      </c>
      <c r="C1117" s="124" t="s">
        <v>424</v>
      </c>
      <c r="D1117" s="125">
        <v>1</v>
      </c>
    </row>
    <row r="1118" spans="1:4" x14ac:dyDescent="0.2">
      <c r="A1118" s="122">
        <v>949</v>
      </c>
      <c r="B1118" s="123">
        <v>417</v>
      </c>
      <c r="C1118" s="124" t="s">
        <v>506</v>
      </c>
      <c r="D1118" s="125">
        <v>1</v>
      </c>
    </row>
    <row r="1119" spans="1:4" x14ac:dyDescent="0.2">
      <c r="A1119" s="122">
        <v>949</v>
      </c>
      <c r="B1119" s="123">
        <v>418</v>
      </c>
      <c r="C1119" s="124" t="s">
        <v>506</v>
      </c>
      <c r="D1119" s="125">
        <v>2</v>
      </c>
    </row>
    <row r="1120" spans="1:4" x14ac:dyDescent="0.2">
      <c r="A1120" s="122">
        <v>950</v>
      </c>
      <c r="B1120" s="123">
        <v>419</v>
      </c>
      <c r="C1120" s="124" t="s">
        <v>507</v>
      </c>
      <c r="D1120" s="125" t="s">
        <v>224</v>
      </c>
    </row>
    <row r="1121" spans="1:4" x14ac:dyDescent="0.2">
      <c r="A1121" s="122">
        <v>951</v>
      </c>
      <c r="B1121" s="123">
        <v>420</v>
      </c>
      <c r="C1121" s="124" t="s">
        <v>508</v>
      </c>
      <c r="D1121" s="125" t="s">
        <v>224</v>
      </c>
    </row>
    <row r="1122" spans="1:4" x14ac:dyDescent="0.2">
      <c r="A1122" s="122">
        <v>952</v>
      </c>
      <c r="B1122" s="123">
        <v>421</v>
      </c>
      <c r="C1122" s="124" t="s">
        <v>509</v>
      </c>
      <c r="D1122" s="125">
        <v>1</v>
      </c>
    </row>
    <row r="1123" spans="1:4" x14ac:dyDescent="0.2">
      <c r="A1123" s="122">
        <v>952</v>
      </c>
      <c r="B1123" s="123">
        <v>422</v>
      </c>
      <c r="C1123" s="124" t="s">
        <v>509</v>
      </c>
      <c r="D1123" s="125">
        <v>2</v>
      </c>
    </row>
    <row r="1124" spans="1:4" x14ac:dyDescent="0.2">
      <c r="A1124" s="122">
        <v>953</v>
      </c>
      <c r="B1124" s="123">
        <v>423</v>
      </c>
      <c r="C1124" s="124" t="s">
        <v>425</v>
      </c>
      <c r="D1124" s="125">
        <v>1</v>
      </c>
    </row>
    <row r="1125" spans="1:4" x14ac:dyDescent="0.2">
      <c r="A1125" s="122">
        <v>953</v>
      </c>
      <c r="B1125" s="123">
        <v>424</v>
      </c>
      <c r="C1125" s="124" t="s">
        <v>425</v>
      </c>
      <c r="D1125" s="125" t="s">
        <v>469</v>
      </c>
    </row>
    <row r="1126" spans="1:4" x14ac:dyDescent="0.2">
      <c r="A1126" s="122">
        <v>954</v>
      </c>
      <c r="B1126" s="123">
        <v>425</v>
      </c>
      <c r="C1126" s="124" t="s">
        <v>426</v>
      </c>
      <c r="D1126" s="125" t="s">
        <v>471</v>
      </c>
    </row>
    <row r="1127" spans="1:4" x14ac:dyDescent="0.2">
      <c r="A1127" s="122">
        <v>954</v>
      </c>
      <c r="B1127" s="123">
        <v>426</v>
      </c>
      <c r="C1127" s="124" t="s">
        <v>426</v>
      </c>
      <c r="D1127" s="125" t="s">
        <v>469</v>
      </c>
    </row>
    <row r="1128" spans="1:4" x14ac:dyDescent="0.2">
      <c r="A1128" s="122">
        <v>954</v>
      </c>
      <c r="B1128" s="123">
        <v>427</v>
      </c>
      <c r="C1128" s="124" t="s">
        <v>426</v>
      </c>
      <c r="D1128" s="125" t="s">
        <v>469</v>
      </c>
    </row>
    <row r="1129" spans="1:4" x14ac:dyDescent="0.2">
      <c r="A1129" s="122">
        <v>955</v>
      </c>
      <c r="B1129" s="123">
        <v>206</v>
      </c>
      <c r="C1129" s="124" t="s">
        <v>427</v>
      </c>
      <c r="D1129" s="125">
        <v>2</v>
      </c>
    </row>
    <row r="1130" spans="1:4" x14ac:dyDescent="0.2">
      <c r="A1130" s="122">
        <v>955</v>
      </c>
      <c r="B1130" s="123">
        <v>428</v>
      </c>
      <c r="C1130" s="124" t="s">
        <v>427</v>
      </c>
      <c r="D1130" s="125">
        <v>1</v>
      </c>
    </row>
    <row r="1131" spans="1:4" x14ac:dyDescent="0.2">
      <c r="A1131" s="122">
        <v>955</v>
      </c>
      <c r="B1131" s="123">
        <v>429</v>
      </c>
      <c r="C1131" s="124" t="s">
        <v>427</v>
      </c>
      <c r="D1131" s="125">
        <v>2</v>
      </c>
    </row>
    <row r="1132" spans="1:4" x14ac:dyDescent="0.2">
      <c r="A1132" s="122">
        <v>955</v>
      </c>
      <c r="B1132" s="123">
        <v>430</v>
      </c>
      <c r="C1132" s="124" t="s">
        <v>427</v>
      </c>
      <c r="D1132" s="125">
        <v>1</v>
      </c>
    </row>
    <row r="1133" spans="1:4" x14ac:dyDescent="0.2">
      <c r="A1133" s="122">
        <v>956</v>
      </c>
      <c r="B1133" s="123">
        <v>160</v>
      </c>
      <c r="C1133" s="124" t="s">
        <v>428</v>
      </c>
      <c r="D1133" s="125">
        <v>2</v>
      </c>
    </row>
    <row r="1134" spans="1:4" x14ac:dyDescent="0.2">
      <c r="A1134" s="122">
        <v>956</v>
      </c>
      <c r="B1134" s="123">
        <v>427</v>
      </c>
      <c r="C1134" s="124" t="s">
        <v>428</v>
      </c>
      <c r="D1134" s="125">
        <v>1</v>
      </c>
    </row>
    <row r="1135" spans="1:4" x14ac:dyDescent="0.2">
      <c r="A1135" s="122">
        <v>956</v>
      </c>
      <c r="B1135" s="123">
        <v>431</v>
      </c>
      <c r="C1135" s="124" t="s">
        <v>428</v>
      </c>
      <c r="D1135" s="125">
        <v>2</v>
      </c>
    </row>
    <row r="1136" spans="1:4" x14ac:dyDescent="0.2">
      <c r="A1136" s="122">
        <v>956</v>
      </c>
      <c r="B1136" s="123">
        <v>432</v>
      </c>
      <c r="C1136" s="124" t="s">
        <v>428</v>
      </c>
      <c r="D1136" s="125">
        <v>1</v>
      </c>
    </row>
    <row r="1137" spans="1:4" x14ac:dyDescent="0.2">
      <c r="A1137" s="122">
        <v>957</v>
      </c>
      <c r="B1137" s="123">
        <v>432</v>
      </c>
      <c r="C1137" s="124" t="s">
        <v>429</v>
      </c>
      <c r="D1137" s="125">
        <v>1</v>
      </c>
    </row>
    <row r="1138" spans="1:4" x14ac:dyDescent="0.2">
      <c r="A1138" s="122">
        <v>957</v>
      </c>
      <c r="B1138" s="123">
        <v>433</v>
      </c>
      <c r="C1138" s="124" t="s">
        <v>429</v>
      </c>
      <c r="D1138" s="125">
        <v>2</v>
      </c>
    </row>
    <row r="1139" spans="1:4" x14ac:dyDescent="0.2">
      <c r="A1139" s="122">
        <v>958</v>
      </c>
      <c r="B1139" s="123">
        <v>434</v>
      </c>
      <c r="C1139" s="124" t="s">
        <v>430</v>
      </c>
      <c r="D1139" s="125">
        <v>2</v>
      </c>
    </row>
    <row r="1140" spans="1:4" x14ac:dyDescent="0.2">
      <c r="A1140" s="122">
        <v>958</v>
      </c>
      <c r="B1140" s="123">
        <v>435</v>
      </c>
      <c r="C1140" s="124" t="s">
        <v>430</v>
      </c>
      <c r="D1140" s="125">
        <v>1</v>
      </c>
    </row>
    <row r="1141" spans="1:4" x14ac:dyDescent="0.2">
      <c r="A1141" s="122">
        <v>959</v>
      </c>
      <c r="B1141" s="123">
        <v>160</v>
      </c>
      <c r="C1141" s="124" t="s">
        <v>431</v>
      </c>
      <c r="D1141" s="125">
        <v>2</v>
      </c>
    </row>
    <row r="1142" spans="1:4" x14ac:dyDescent="0.2">
      <c r="A1142" s="122">
        <v>959</v>
      </c>
      <c r="B1142" s="123">
        <v>432</v>
      </c>
      <c r="C1142" s="124" t="s">
        <v>431</v>
      </c>
      <c r="D1142" s="125">
        <v>1</v>
      </c>
    </row>
    <row r="1143" spans="1:4" x14ac:dyDescent="0.2">
      <c r="A1143" s="122">
        <v>959</v>
      </c>
      <c r="B1143" s="123">
        <v>436</v>
      </c>
      <c r="C1143" s="124" t="s">
        <v>431</v>
      </c>
      <c r="D1143" s="125">
        <v>2</v>
      </c>
    </row>
    <row r="1144" spans="1:4" x14ac:dyDescent="0.2">
      <c r="A1144" s="122">
        <v>960</v>
      </c>
      <c r="B1144" s="123">
        <v>160</v>
      </c>
      <c r="C1144" s="124" t="s">
        <v>432</v>
      </c>
      <c r="D1144" s="125">
        <v>2</v>
      </c>
    </row>
    <row r="1145" spans="1:4" x14ac:dyDescent="0.2">
      <c r="A1145" s="122">
        <v>960</v>
      </c>
      <c r="B1145" s="123">
        <v>435</v>
      </c>
      <c r="C1145" s="124" t="s">
        <v>432</v>
      </c>
      <c r="D1145" s="125">
        <v>1</v>
      </c>
    </row>
    <row r="1146" spans="1:4" x14ac:dyDescent="0.2">
      <c r="A1146" s="122">
        <v>960</v>
      </c>
      <c r="B1146" s="123">
        <v>441</v>
      </c>
      <c r="C1146" s="124" t="s">
        <v>432</v>
      </c>
      <c r="D1146" s="125">
        <v>1</v>
      </c>
    </row>
    <row r="1147" spans="1:4" x14ac:dyDescent="0.2">
      <c r="A1147" s="122">
        <v>961</v>
      </c>
      <c r="B1147" s="123">
        <v>427</v>
      </c>
      <c r="C1147" s="124" t="s">
        <v>433</v>
      </c>
      <c r="D1147" s="125">
        <v>1</v>
      </c>
    </row>
    <row r="1148" spans="1:4" x14ac:dyDescent="0.2">
      <c r="A1148" s="122">
        <v>961</v>
      </c>
      <c r="B1148" s="123">
        <v>432</v>
      </c>
      <c r="C1148" s="124" t="s">
        <v>433</v>
      </c>
      <c r="D1148" s="125">
        <v>1</v>
      </c>
    </row>
    <row r="1149" spans="1:4" x14ac:dyDescent="0.2">
      <c r="A1149" s="122">
        <v>961</v>
      </c>
      <c r="B1149" s="123">
        <v>437</v>
      </c>
      <c r="C1149" s="124" t="s">
        <v>433</v>
      </c>
      <c r="D1149" s="125">
        <v>2</v>
      </c>
    </row>
    <row r="1150" spans="1:4" x14ac:dyDescent="0.2">
      <c r="A1150" s="122">
        <v>962</v>
      </c>
      <c r="B1150" s="123">
        <v>427</v>
      </c>
      <c r="C1150" s="124" t="s">
        <v>434</v>
      </c>
      <c r="D1150" s="125">
        <v>1</v>
      </c>
    </row>
    <row r="1151" spans="1:4" x14ac:dyDescent="0.2">
      <c r="A1151" s="122">
        <v>962</v>
      </c>
      <c r="B1151" s="123">
        <v>435</v>
      </c>
      <c r="C1151" s="124" t="s">
        <v>434</v>
      </c>
      <c r="D1151" s="125">
        <v>1</v>
      </c>
    </row>
    <row r="1152" spans="1:4" x14ac:dyDescent="0.2">
      <c r="A1152" s="122">
        <v>962</v>
      </c>
      <c r="B1152" s="123">
        <v>438</v>
      </c>
      <c r="C1152" s="124" t="s">
        <v>434</v>
      </c>
      <c r="D1152" s="125">
        <v>2</v>
      </c>
    </row>
    <row r="1153" spans="1:4" x14ac:dyDescent="0.2">
      <c r="A1153" s="122">
        <v>963</v>
      </c>
      <c r="B1153" s="123">
        <v>160</v>
      </c>
      <c r="C1153" s="124" t="s">
        <v>435</v>
      </c>
      <c r="D1153" s="125">
        <v>2</v>
      </c>
    </row>
    <row r="1154" spans="1:4" x14ac:dyDescent="0.2">
      <c r="A1154" s="122">
        <v>963</v>
      </c>
      <c r="B1154" s="123">
        <v>427</v>
      </c>
      <c r="C1154" s="124" t="s">
        <v>435</v>
      </c>
      <c r="D1154" s="125">
        <v>1</v>
      </c>
    </row>
    <row r="1155" spans="1:4" x14ac:dyDescent="0.2">
      <c r="A1155" s="122">
        <v>963</v>
      </c>
      <c r="B1155" s="123">
        <v>435</v>
      </c>
      <c r="C1155" s="124" t="s">
        <v>435</v>
      </c>
      <c r="D1155" s="125">
        <v>1</v>
      </c>
    </row>
    <row r="1156" spans="1:4" x14ac:dyDescent="0.2">
      <c r="A1156" s="122">
        <v>963</v>
      </c>
      <c r="B1156" s="123">
        <v>439</v>
      </c>
      <c r="C1156" s="124" t="s">
        <v>435</v>
      </c>
      <c r="D1156" s="125">
        <v>2</v>
      </c>
    </row>
    <row r="1157" spans="1:4" x14ac:dyDescent="0.2">
      <c r="A1157" s="122">
        <v>964</v>
      </c>
      <c r="B1157" s="123">
        <v>160</v>
      </c>
      <c r="C1157" s="124" t="s">
        <v>436</v>
      </c>
      <c r="D1157" s="125">
        <v>2</v>
      </c>
    </row>
    <row r="1158" spans="1:4" x14ac:dyDescent="0.2">
      <c r="A1158" s="122">
        <v>964</v>
      </c>
      <c r="B1158" s="123">
        <v>431</v>
      </c>
      <c r="C1158" s="124" t="s">
        <v>436</v>
      </c>
      <c r="D1158" s="125">
        <v>2</v>
      </c>
    </row>
    <row r="1159" spans="1:4" x14ac:dyDescent="0.2">
      <c r="A1159" s="122">
        <v>964</v>
      </c>
      <c r="B1159" s="123">
        <v>440</v>
      </c>
      <c r="C1159" s="124" t="s">
        <v>436</v>
      </c>
      <c r="D1159" s="125">
        <v>1</v>
      </c>
    </row>
    <row r="1160" spans="1:4" x14ac:dyDescent="0.2">
      <c r="A1160" s="122">
        <v>965</v>
      </c>
      <c r="B1160" s="123">
        <v>194</v>
      </c>
      <c r="C1160" s="124" t="s">
        <v>437</v>
      </c>
      <c r="D1160" s="125">
        <v>2</v>
      </c>
    </row>
    <row r="1161" spans="1:4" x14ac:dyDescent="0.2">
      <c r="A1161" s="122">
        <v>965</v>
      </c>
      <c r="B1161" s="123">
        <v>489</v>
      </c>
      <c r="C1161" s="124" t="s">
        <v>437</v>
      </c>
      <c r="D1161" s="125">
        <v>1</v>
      </c>
    </row>
    <row r="1162" spans="1:4" x14ac:dyDescent="0.2">
      <c r="A1162" s="122">
        <v>965</v>
      </c>
      <c r="B1162" s="123">
        <v>500</v>
      </c>
      <c r="C1162" s="124" t="s">
        <v>437</v>
      </c>
      <c r="D1162" s="125">
        <v>2</v>
      </c>
    </row>
    <row r="1163" spans="1:4" x14ac:dyDescent="0.2">
      <c r="A1163" s="122">
        <v>966</v>
      </c>
      <c r="B1163" s="123">
        <v>488</v>
      </c>
      <c r="C1163" s="124" t="s">
        <v>284</v>
      </c>
      <c r="D1163" s="125" t="s">
        <v>224</v>
      </c>
    </row>
    <row r="1164" spans="1:4" x14ac:dyDescent="0.2">
      <c r="A1164" s="122">
        <v>967</v>
      </c>
      <c r="B1164" s="123">
        <v>442</v>
      </c>
      <c r="C1164" s="124" t="s">
        <v>296</v>
      </c>
      <c r="D1164" s="125">
        <v>1</v>
      </c>
    </row>
    <row r="1165" spans="1:4" x14ac:dyDescent="0.2">
      <c r="A1165" s="122">
        <v>967</v>
      </c>
      <c r="B1165" s="123">
        <v>443</v>
      </c>
      <c r="C1165" s="124" t="s">
        <v>296</v>
      </c>
      <c r="D1165" s="125">
        <v>2</v>
      </c>
    </row>
    <row r="1166" spans="1:4" x14ac:dyDescent="0.2">
      <c r="A1166" s="122">
        <v>968</v>
      </c>
      <c r="B1166" s="123">
        <v>444</v>
      </c>
      <c r="C1166" s="124" t="s">
        <v>296</v>
      </c>
      <c r="D1166" s="125">
        <v>1</v>
      </c>
    </row>
    <row r="1167" spans="1:4" x14ac:dyDescent="0.2">
      <c r="A1167" s="122">
        <v>969</v>
      </c>
      <c r="B1167" s="123">
        <v>443</v>
      </c>
      <c r="C1167" s="124" t="s">
        <v>437</v>
      </c>
      <c r="D1167" s="125">
        <v>2</v>
      </c>
    </row>
    <row r="1168" spans="1:4" x14ac:dyDescent="0.2">
      <c r="A1168" s="122">
        <v>969</v>
      </c>
      <c r="B1168" s="123">
        <v>489</v>
      </c>
      <c r="C1168" s="124" t="s">
        <v>437</v>
      </c>
      <c r="D1168" s="125">
        <v>1</v>
      </c>
    </row>
    <row r="1169" spans="1:4" x14ac:dyDescent="0.2">
      <c r="A1169" s="122">
        <v>969</v>
      </c>
      <c r="B1169" s="123">
        <v>501</v>
      </c>
      <c r="C1169" s="124" t="s">
        <v>437</v>
      </c>
      <c r="D1169" s="125">
        <v>1</v>
      </c>
    </row>
    <row r="1170" spans="1:4" x14ac:dyDescent="0.2">
      <c r="A1170" s="122">
        <v>970</v>
      </c>
      <c r="B1170" s="123">
        <v>447</v>
      </c>
      <c r="C1170" s="124" t="s">
        <v>250</v>
      </c>
      <c r="D1170" s="125">
        <v>2</v>
      </c>
    </row>
    <row r="1171" spans="1:4" x14ac:dyDescent="0.2">
      <c r="A1171" s="122">
        <v>970</v>
      </c>
      <c r="B1171" s="123">
        <v>448</v>
      </c>
      <c r="C1171" s="124" t="s">
        <v>250</v>
      </c>
      <c r="D1171" s="125">
        <v>1</v>
      </c>
    </row>
    <row r="1172" spans="1:4" x14ac:dyDescent="0.2">
      <c r="A1172" s="122">
        <v>971</v>
      </c>
      <c r="B1172" s="123">
        <v>492</v>
      </c>
      <c r="C1172" s="124" t="s">
        <v>438</v>
      </c>
      <c r="D1172" s="125">
        <v>2</v>
      </c>
    </row>
    <row r="1173" spans="1:4" x14ac:dyDescent="0.2">
      <c r="A1173" s="122">
        <v>971</v>
      </c>
      <c r="B1173" s="123">
        <v>493</v>
      </c>
      <c r="C1173" s="124" t="s">
        <v>438</v>
      </c>
      <c r="D1173" s="125">
        <v>1</v>
      </c>
    </row>
    <row r="1174" spans="1:4" x14ac:dyDescent="0.2">
      <c r="A1174" s="122">
        <v>971</v>
      </c>
      <c r="B1174" s="123">
        <v>494</v>
      </c>
      <c r="C1174" s="124" t="s">
        <v>438</v>
      </c>
      <c r="D1174" s="125">
        <v>1</v>
      </c>
    </row>
    <row r="1175" spans="1:4" x14ac:dyDescent="0.2">
      <c r="A1175" s="122">
        <v>972</v>
      </c>
      <c r="B1175" s="123">
        <v>502</v>
      </c>
      <c r="C1175" s="124" t="s">
        <v>472</v>
      </c>
      <c r="D1175" s="125">
        <v>1</v>
      </c>
    </row>
    <row r="1176" spans="1:4" x14ac:dyDescent="0.2">
      <c r="A1176" s="122">
        <v>972</v>
      </c>
      <c r="B1176" s="123">
        <v>503</v>
      </c>
      <c r="C1176" s="124" t="s">
        <v>472</v>
      </c>
      <c r="D1176" s="125" t="s">
        <v>471</v>
      </c>
    </row>
    <row r="1177" spans="1:4" x14ac:dyDescent="0.2">
      <c r="A1177" s="122">
        <v>973</v>
      </c>
      <c r="B1177" s="123">
        <v>453</v>
      </c>
      <c r="C1177" s="124" t="s">
        <v>294</v>
      </c>
      <c r="D1177" s="125">
        <v>1</v>
      </c>
    </row>
    <row r="1178" spans="1:4" x14ac:dyDescent="0.2">
      <c r="A1178" s="122">
        <v>973</v>
      </c>
      <c r="B1178" s="123">
        <v>454</v>
      </c>
      <c r="C1178" s="124" t="s">
        <v>294</v>
      </c>
      <c r="D1178" s="125">
        <v>2</v>
      </c>
    </row>
    <row r="1179" spans="1:4" x14ac:dyDescent="0.2">
      <c r="A1179" s="122">
        <v>974</v>
      </c>
      <c r="B1179" s="123">
        <v>455</v>
      </c>
      <c r="C1179" s="124" t="s">
        <v>320</v>
      </c>
      <c r="D1179" s="125">
        <v>2</v>
      </c>
    </row>
    <row r="1180" spans="1:4" x14ac:dyDescent="0.2">
      <c r="A1180" s="122">
        <v>975</v>
      </c>
      <c r="B1180" s="123">
        <v>504</v>
      </c>
      <c r="C1180" s="124" t="s">
        <v>510</v>
      </c>
      <c r="D1180" s="125">
        <v>1</v>
      </c>
    </row>
    <row r="1181" spans="1:4" x14ac:dyDescent="0.2">
      <c r="A1181" s="122">
        <v>975</v>
      </c>
      <c r="B1181" s="123">
        <v>505</v>
      </c>
      <c r="C1181" s="124" t="s">
        <v>510</v>
      </c>
      <c r="D1181" s="125">
        <v>2</v>
      </c>
    </row>
    <row r="1182" spans="1:4" x14ac:dyDescent="0.2">
      <c r="A1182" s="122">
        <v>976</v>
      </c>
      <c r="B1182" s="123">
        <v>506</v>
      </c>
      <c r="C1182" s="124" t="s">
        <v>511</v>
      </c>
      <c r="D1182" s="125">
        <v>1</v>
      </c>
    </row>
    <row r="1183" spans="1:4" x14ac:dyDescent="0.2">
      <c r="A1183" s="122">
        <v>976</v>
      </c>
      <c r="B1183" s="123">
        <v>507</v>
      </c>
      <c r="C1183" s="124" t="s">
        <v>511</v>
      </c>
      <c r="D1183" s="125">
        <v>2</v>
      </c>
    </row>
    <row r="1184" spans="1:4" x14ac:dyDescent="0.2">
      <c r="A1184" s="122">
        <v>978</v>
      </c>
      <c r="B1184" s="123">
        <v>462</v>
      </c>
      <c r="C1184" s="124" t="s">
        <v>278</v>
      </c>
      <c r="D1184" s="125" t="s">
        <v>224</v>
      </c>
    </row>
    <row r="1185" spans="1:4" x14ac:dyDescent="0.2">
      <c r="A1185" s="122">
        <v>979</v>
      </c>
      <c r="B1185" s="123">
        <v>463</v>
      </c>
      <c r="C1185" s="124" t="s">
        <v>317</v>
      </c>
      <c r="D1185" s="125" t="s">
        <v>464</v>
      </c>
    </row>
    <row r="1186" spans="1:4" x14ac:dyDescent="0.2">
      <c r="A1186" s="122">
        <v>980</v>
      </c>
      <c r="B1186" s="123">
        <v>466</v>
      </c>
      <c r="C1186" s="124" t="s">
        <v>439</v>
      </c>
      <c r="D1186" s="125">
        <v>2</v>
      </c>
    </row>
    <row r="1187" spans="1:4" x14ac:dyDescent="0.2">
      <c r="A1187" s="122">
        <v>980</v>
      </c>
      <c r="B1187" s="123">
        <v>467</v>
      </c>
      <c r="C1187" s="124" t="s">
        <v>439</v>
      </c>
      <c r="D1187" s="125">
        <v>1</v>
      </c>
    </row>
    <row r="1188" spans="1:4" x14ac:dyDescent="0.2">
      <c r="A1188" s="122">
        <v>981</v>
      </c>
      <c r="B1188" s="123">
        <v>468</v>
      </c>
      <c r="C1188" s="124" t="s">
        <v>440</v>
      </c>
      <c r="D1188" s="125" t="s">
        <v>224</v>
      </c>
    </row>
    <row r="1189" spans="1:4" x14ac:dyDescent="0.2">
      <c r="A1189" s="122">
        <v>982</v>
      </c>
      <c r="B1189" s="123">
        <v>508</v>
      </c>
      <c r="C1189" s="124" t="s">
        <v>512</v>
      </c>
      <c r="D1189" s="125">
        <v>2</v>
      </c>
    </row>
    <row r="1190" spans="1:4" x14ac:dyDescent="0.2">
      <c r="A1190" s="122">
        <v>982</v>
      </c>
      <c r="B1190" s="123">
        <v>509</v>
      </c>
      <c r="C1190" s="124" t="s">
        <v>512</v>
      </c>
      <c r="D1190" s="125">
        <v>1</v>
      </c>
    </row>
    <row r="1191" spans="1:4" x14ac:dyDescent="0.2">
      <c r="A1191" s="122">
        <v>983</v>
      </c>
      <c r="B1191" s="123">
        <v>510</v>
      </c>
      <c r="C1191" s="124" t="s">
        <v>513</v>
      </c>
      <c r="D1191" s="125">
        <v>2</v>
      </c>
    </row>
    <row r="1192" spans="1:4" x14ac:dyDescent="0.2">
      <c r="A1192" s="122">
        <v>983</v>
      </c>
      <c r="B1192" s="123">
        <v>511</v>
      </c>
      <c r="C1192" s="124" t="s">
        <v>513</v>
      </c>
      <c r="D1192" s="125">
        <v>1</v>
      </c>
    </row>
    <row r="1193" spans="1:4" s="155" customFormat="1" x14ac:dyDescent="0.2">
      <c r="A1193" s="122">
        <v>984</v>
      </c>
      <c r="B1193" s="123">
        <v>512</v>
      </c>
      <c r="C1193" s="124" t="s">
        <v>566</v>
      </c>
      <c r="D1193" s="125">
        <v>1</v>
      </c>
    </row>
    <row r="1194" spans="1:4" s="155" customFormat="1" x14ac:dyDescent="0.2">
      <c r="A1194" s="122">
        <v>984</v>
      </c>
      <c r="B1194" s="123">
        <v>513</v>
      </c>
      <c r="C1194" s="124" t="s">
        <v>566</v>
      </c>
      <c r="D1194" s="125">
        <v>2</v>
      </c>
    </row>
    <row r="1195" spans="1:4" s="155" customFormat="1" x14ac:dyDescent="0.2">
      <c r="A1195" s="122">
        <v>985</v>
      </c>
      <c r="B1195" s="123">
        <v>514</v>
      </c>
      <c r="C1195" s="124" t="s">
        <v>567</v>
      </c>
      <c r="D1195" s="125">
        <v>1</v>
      </c>
    </row>
    <row r="1196" spans="1:4" s="155" customFormat="1" x14ac:dyDescent="0.2">
      <c r="A1196" s="122">
        <v>985</v>
      </c>
      <c r="B1196" s="123">
        <v>515</v>
      </c>
      <c r="C1196" s="124" t="s">
        <v>567</v>
      </c>
      <c r="D1196" s="125">
        <v>2</v>
      </c>
    </row>
    <row r="1197" spans="1:4" x14ac:dyDescent="0.2">
      <c r="A1197" s="122">
        <v>989</v>
      </c>
      <c r="B1197" s="123">
        <v>475</v>
      </c>
      <c r="C1197" s="124" t="s">
        <v>333</v>
      </c>
      <c r="D1197" s="125">
        <v>2</v>
      </c>
    </row>
    <row r="1198" spans="1:4" x14ac:dyDescent="0.2">
      <c r="A1198" s="122">
        <v>989</v>
      </c>
      <c r="B1198" s="123">
        <v>476</v>
      </c>
      <c r="C1198" s="124" t="s">
        <v>333</v>
      </c>
      <c r="D1198" s="125">
        <v>1</v>
      </c>
    </row>
    <row r="1199" spans="1:4" x14ac:dyDescent="0.2">
      <c r="A1199" s="122">
        <v>990</v>
      </c>
      <c r="B1199" s="123">
        <v>477</v>
      </c>
      <c r="C1199" s="124" t="s">
        <v>334</v>
      </c>
      <c r="D1199" s="125" t="s">
        <v>224</v>
      </c>
    </row>
    <row r="1200" spans="1:4" x14ac:dyDescent="0.2">
      <c r="A1200" s="122">
        <v>991</v>
      </c>
      <c r="B1200" s="123">
        <v>478</v>
      </c>
      <c r="C1200" s="124" t="s">
        <v>284</v>
      </c>
      <c r="D1200" s="125" t="s">
        <v>224</v>
      </c>
    </row>
    <row r="1201" spans="1:4" x14ac:dyDescent="0.2">
      <c r="A1201" s="122">
        <v>996</v>
      </c>
      <c r="B1201" s="123">
        <v>485</v>
      </c>
      <c r="C1201" s="124" t="s">
        <v>364</v>
      </c>
      <c r="D1201" s="125">
        <v>2</v>
      </c>
    </row>
    <row r="1202" spans="1:4" x14ac:dyDescent="0.2">
      <c r="A1202" s="122">
        <v>996</v>
      </c>
      <c r="B1202" s="123">
        <v>486</v>
      </c>
      <c r="C1202" s="124" t="s">
        <v>364</v>
      </c>
      <c r="D1202" s="125">
        <v>1</v>
      </c>
    </row>
    <row r="1203" spans="1:4" x14ac:dyDescent="0.2">
      <c r="A1203" s="122">
        <v>996</v>
      </c>
      <c r="B1203" s="123">
        <v>487</v>
      </c>
      <c r="C1203" s="124" t="s">
        <v>364</v>
      </c>
      <c r="D1203" s="125">
        <v>2</v>
      </c>
    </row>
    <row r="1204" spans="1:4" x14ac:dyDescent="0.2">
      <c r="A1204" s="122">
        <v>997</v>
      </c>
      <c r="B1204" s="123">
        <v>490</v>
      </c>
      <c r="C1204" s="124" t="s">
        <v>441</v>
      </c>
      <c r="D1204" s="125" t="s">
        <v>471</v>
      </c>
    </row>
    <row r="1205" spans="1:4" x14ac:dyDescent="0.2">
      <c r="A1205" s="122">
        <v>997</v>
      </c>
      <c r="B1205" s="123">
        <v>491</v>
      </c>
      <c r="C1205" s="124" t="s">
        <v>441</v>
      </c>
      <c r="D1205" s="125">
        <v>1</v>
      </c>
    </row>
  </sheetData>
  <autoFilter ref="A28:D1205" xr:uid="{00000000-0009-0000-0000-00000A000000}"/>
  <mergeCells count="1">
    <mergeCell ref="A1:B1"/>
  </mergeCells>
  <hyperlinks>
    <hyperlink ref="A1" location="Overview!A1" display="Back to Overview" xr:uid="{00000000-0004-0000-0A00-000000000000}"/>
    <hyperlink ref="A1:B1" location="Overview!A1" display="Back to Overview" xr:uid="{00000000-0004-0000-0A00-000001000000}"/>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EZ24"/>
  <sheetViews>
    <sheetView zoomScaleNormal="100" workbookViewId="0">
      <selection activeCell="B1" sqref="B1"/>
    </sheetView>
  </sheetViews>
  <sheetFormatPr defaultRowHeight="12.75" x14ac:dyDescent="0.2"/>
  <cols>
    <col min="1" max="1" width="2.42578125" style="132" customWidth="1"/>
    <col min="2" max="2" width="33.7109375" style="132" customWidth="1"/>
    <col min="3" max="4" width="14.140625" style="132" customWidth="1"/>
    <col min="5" max="9" width="12.140625" style="132" customWidth="1"/>
    <col min="10" max="10" width="5.5703125" style="132" customWidth="1"/>
    <col min="11" max="11" width="5.28515625" style="132" customWidth="1"/>
    <col min="12" max="12" width="35.28515625" style="132" customWidth="1"/>
    <col min="13" max="20" width="11.7109375" style="132" customWidth="1"/>
    <col min="21" max="16384" width="9.140625" style="132"/>
  </cols>
  <sheetData>
    <row r="1" spans="1:156" x14ac:dyDescent="0.2">
      <c r="B1" s="111" t="s">
        <v>91</v>
      </c>
      <c r="J1" s="133"/>
      <c r="K1" s="133"/>
      <c r="L1" s="133"/>
      <c r="M1" s="133"/>
      <c r="N1" s="133"/>
      <c r="O1" s="133"/>
      <c r="P1" s="133"/>
      <c r="Q1" s="133"/>
      <c r="R1" s="133"/>
      <c r="S1" s="133"/>
      <c r="T1" s="133"/>
      <c r="U1" s="133"/>
      <c r="V1" s="133"/>
      <c r="W1" s="133"/>
      <c r="X1" s="133"/>
      <c r="Y1" s="133"/>
      <c r="Z1" s="133"/>
      <c r="AA1" s="133"/>
      <c r="AB1" s="133"/>
      <c r="AC1" s="133"/>
      <c r="AD1" s="133"/>
      <c r="AE1" s="133"/>
      <c r="AF1" s="133"/>
      <c r="AG1" s="133"/>
      <c r="AH1" s="133"/>
      <c r="AI1" s="133"/>
      <c r="AJ1" s="133"/>
      <c r="AK1" s="133"/>
      <c r="AL1" s="133"/>
      <c r="AM1" s="133"/>
      <c r="AN1" s="133"/>
      <c r="AO1" s="133"/>
      <c r="AP1" s="133"/>
      <c r="AQ1" s="133"/>
      <c r="AR1" s="133"/>
      <c r="AS1" s="133"/>
      <c r="AT1" s="133"/>
      <c r="AU1" s="133"/>
      <c r="AV1" s="133"/>
      <c r="AW1" s="133"/>
      <c r="AX1" s="133"/>
      <c r="AY1" s="133"/>
      <c r="AZ1" s="133"/>
      <c r="BA1" s="133"/>
      <c r="BB1" s="133"/>
      <c r="BC1" s="133"/>
      <c r="BD1" s="133"/>
      <c r="BE1" s="133"/>
      <c r="BF1" s="133"/>
      <c r="BG1" s="133"/>
      <c r="BH1" s="133"/>
      <c r="BI1" s="133"/>
      <c r="BJ1" s="133"/>
      <c r="BK1" s="133"/>
      <c r="BL1" s="133"/>
      <c r="BM1" s="133"/>
      <c r="BN1" s="133"/>
      <c r="BO1" s="133"/>
      <c r="BP1" s="133"/>
      <c r="BQ1" s="133"/>
      <c r="BR1" s="133"/>
      <c r="BS1" s="133"/>
      <c r="BT1" s="133"/>
      <c r="BU1" s="133"/>
      <c r="BV1" s="133"/>
      <c r="BW1" s="133"/>
      <c r="BX1" s="133"/>
      <c r="BY1" s="133"/>
      <c r="BZ1" s="133"/>
      <c r="CA1" s="133"/>
      <c r="CB1" s="133"/>
      <c r="CC1" s="133"/>
      <c r="CD1" s="133"/>
      <c r="CE1" s="133"/>
      <c r="CF1" s="133"/>
      <c r="CG1" s="133"/>
      <c r="CH1" s="133"/>
      <c r="CI1" s="133"/>
      <c r="CJ1" s="133"/>
      <c r="CK1" s="133"/>
      <c r="CL1" s="133"/>
      <c r="CM1" s="133"/>
      <c r="CN1" s="133"/>
      <c r="CO1" s="133"/>
      <c r="CP1" s="133"/>
      <c r="CQ1" s="133"/>
      <c r="CR1" s="133"/>
      <c r="CS1" s="133"/>
      <c r="CT1" s="133"/>
      <c r="CU1" s="133"/>
      <c r="CV1" s="133"/>
      <c r="CW1" s="133"/>
      <c r="CX1" s="133"/>
      <c r="CY1" s="133"/>
      <c r="CZ1" s="133"/>
      <c r="DA1" s="133"/>
      <c r="DB1" s="133"/>
      <c r="DC1" s="133"/>
      <c r="DD1" s="133"/>
      <c r="DE1" s="133"/>
      <c r="DF1" s="133"/>
      <c r="DG1" s="133"/>
      <c r="DH1" s="133"/>
      <c r="DI1" s="133"/>
      <c r="DJ1" s="133"/>
      <c r="DK1" s="133"/>
      <c r="DL1" s="133"/>
      <c r="DM1" s="133"/>
      <c r="DN1" s="133"/>
      <c r="DO1" s="133"/>
      <c r="DP1" s="133"/>
      <c r="DQ1" s="133"/>
      <c r="DR1" s="133"/>
      <c r="DS1" s="133"/>
      <c r="DT1" s="133"/>
      <c r="DU1" s="133"/>
      <c r="DV1" s="133"/>
      <c r="DW1" s="133"/>
      <c r="DX1" s="133"/>
      <c r="DY1" s="133"/>
      <c r="DZ1" s="133"/>
      <c r="EA1" s="133"/>
      <c r="EB1" s="133"/>
      <c r="EC1" s="133"/>
      <c r="ED1" s="133"/>
      <c r="EE1" s="133"/>
      <c r="EF1" s="133"/>
      <c r="EG1" s="133"/>
      <c r="EH1" s="133"/>
      <c r="EI1" s="133"/>
      <c r="EJ1" s="133"/>
      <c r="EK1" s="133"/>
      <c r="EL1" s="133"/>
      <c r="EM1" s="133"/>
      <c r="EN1" s="133"/>
      <c r="EO1" s="133"/>
      <c r="EP1" s="133"/>
      <c r="EQ1" s="133"/>
      <c r="ER1" s="133"/>
      <c r="ES1" s="133"/>
      <c r="ET1" s="133"/>
      <c r="EU1" s="133"/>
      <c r="EV1" s="133"/>
      <c r="EW1" s="133"/>
      <c r="EX1" s="133"/>
      <c r="EY1" s="133"/>
      <c r="EZ1" s="133"/>
    </row>
    <row r="2" spans="1:156" s="134" customFormat="1" ht="21.75" customHeight="1" x14ac:dyDescent="0.2">
      <c r="B2" s="293" t="str">
        <f>Overview!B4&amp; " - Effective from "&amp;Overview!D4&amp;" - "&amp;Overview!E4</f>
        <v>SP Manweb - Effective from 1 April 2019 - Final</v>
      </c>
      <c r="C2" s="294"/>
      <c r="D2" s="294"/>
      <c r="E2" s="294"/>
      <c r="F2" s="294"/>
      <c r="G2" s="294"/>
      <c r="H2" s="294"/>
      <c r="I2" s="294"/>
      <c r="J2" s="294"/>
      <c r="K2" s="294"/>
      <c r="L2" s="294"/>
      <c r="M2" s="294"/>
      <c r="N2" s="294"/>
      <c r="O2" s="294"/>
      <c r="P2" s="294"/>
      <c r="Q2" s="294"/>
      <c r="R2" s="294"/>
      <c r="S2" s="294"/>
      <c r="T2" s="295"/>
      <c r="U2" s="133"/>
      <c r="V2" s="133"/>
      <c r="W2" s="133"/>
      <c r="X2" s="133"/>
      <c r="Y2" s="133"/>
      <c r="Z2" s="133"/>
      <c r="AA2" s="133"/>
      <c r="AB2" s="133"/>
      <c r="AC2" s="133"/>
      <c r="AD2" s="133"/>
      <c r="AE2" s="133"/>
      <c r="AF2" s="133"/>
      <c r="AG2" s="133"/>
      <c r="AH2" s="133"/>
      <c r="AI2" s="133"/>
      <c r="AJ2" s="133"/>
      <c r="AK2" s="133"/>
      <c r="AL2" s="133"/>
      <c r="AM2" s="133"/>
      <c r="AN2" s="133"/>
      <c r="AO2" s="133"/>
      <c r="AP2" s="133"/>
      <c r="AQ2" s="133"/>
      <c r="AR2" s="133"/>
      <c r="AS2" s="133"/>
      <c r="AT2" s="133"/>
      <c r="AU2" s="133"/>
      <c r="AV2" s="133"/>
      <c r="AW2" s="133"/>
      <c r="AX2" s="133"/>
      <c r="AY2" s="133"/>
      <c r="AZ2" s="133"/>
      <c r="BA2" s="133"/>
      <c r="BB2" s="133"/>
      <c r="BC2" s="133"/>
      <c r="BD2" s="133"/>
      <c r="BE2" s="133"/>
      <c r="BF2" s="133"/>
      <c r="BG2" s="133"/>
      <c r="BH2" s="133"/>
      <c r="BI2" s="133"/>
      <c r="BJ2" s="133"/>
      <c r="BK2" s="133"/>
      <c r="BL2" s="133"/>
      <c r="BM2" s="133"/>
      <c r="BN2" s="133"/>
      <c r="BO2" s="133"/>
      <c r="BP2" s="133"/>
      <c r="BQ2" s="133"/>
      <c r="BR2" s="133"/>
      <c r="BS2" s="133"/>
      <c r="BT2" s="133"/>
      <c r="BU2" s="133"/>
      <c r="BV2" s="133"/>
      <c r="BW2" s="133"/>
      <c r="BX2" s="133"/>
      <c r="BY2" s="133"/>
      <c r="BZ2" s="133"/>
      <c r="CA2" s="133"/>
      <c r="CB2" s="133"/>
      <c r="CC2" s="133"/>
      <c r="CD2" s="133"/>
      <c r="CE2" s="133"/>
      <c r="CF2" s="133"/>
      <c r="CG2" s="133"/>
      <c r="CH2" s="133"/>
      <c r="CI2" s="133"/>
      <c r="CJ2" s="133"/>
      <c r="CK2" s="133"/>
      <c r="CL2" s="133"/>
      <c r="CM2" s="133"/>
      <c r="CN2" s="133"/>
      <c r="CO2" s="133"/>
      <c r="CP2" s="133"/>
      <c r="CQ2" s="133"/>
      <c r="CR2" s="133"/>
      <c r="CS2" s="133"/>
      <c r="CT2" s="133"/>
      <c r="CU2" s="133"/>
      <c r="CV2" s="133"/>
      <c r="CW2" s="133"/>
      <c r="CX2" s="133"/>
      <c r="CY2" s="133"/>
      <c r="CZ2" s="133"/>
      <c r="DA2" s="133"/>
      <c r="DB2" s="133"/>
      <c r="DC2" s="133"/>
      <c r="DD2" s="133"/>
      <c r="DE2" s="133"/>
      <c r="DF2" s="133"/>
      <c r="DG2" s="133"/>
      <c r="DH2" s="133"/>
      <c r="DI2" s="133"/>
      <c r="DJ2" s="133"/>
      <c r="DK2" s="133"/>
      <c r="DL2" s="133"/>
      <c r="DM2" s="133"/>
      <c r="DN2" s="133"/>
      <c r="DO2" s="133"/>
      <c r="DP2" s="133"/>
      <c r="DQ2" s="133"/>
      <c r="DR2" s="133"/>
      <c r="DS2" s="133"/>
      <c r="DT2" s="133"/>
      <c r="DU2" s="133"/>
      <c r="DV2" s="133"/>
      <c r="DW2" s="133"/>
      <c r="DX2" s="133"/>
      <c r="DY2" s="133"/>
      <c r="DZ2" s="133"/>
      <c r="EA2" s="133"/>
      <c r="EB2" s="133"/>
      <c r="EC2" s="133"/>
      <c r="ED2" s="133"/>
      <c r="EE2" s="133"/>
      <c r="EF2" s="133"/>
      <c r="EG2" s="133"/>
      <c r="EH2" s="133"/>
      <c r="EI2" s="133"/>
      <c r="EJ2" s="133"/>
      <c r="EK2" s="133"/>
      <c r="EL2" s="133"/>
      <c r="EM2" s="133"/>
      <c r="EN2" s="133"/>
      <c r="EO2" s="133"/>
      <c r="EP2" s="133"/>
      <c r="EQ2" s="133"/>
      <c r="ER2" s="133"/>
      <c r="ES2" s="133"/>
      <c r="ET2" s="133"/>
      <c r="EU2" s="133"/>
      <c r="EV2" s="133"/>
      <c r="EW2" s="133"/>
      <c r="EX2" s="133"/>
      <c r="EY2" s="133"/>
      <c r="EZ2" s="133"/>
    </row>
    <row r="3" spans="1:156" s="136" customFormat="1" ht="9" customHeight="1" x14ac:dyDescent="0.2">
      <c r="A3" s="135"/>
      <c r="B3" s="135"/>
      <c r="C3" s="135"/>
      <c r="D3" s="135"/>
      <c r="E3" s="135"/>
      <c r="F3" s="135"/>
      <c r="G3" s="135"/>
      <c r="H3" s="135"/>
      <c r="I3" s="135"/>
      <c r="J3" s="135"/>
      <c r="K3" s="135"/>
      <c r="L3" s="133"/>
      <c r="M3" s="133"/>
      <c r="N3" s="133"/>
      <c r="O3" s="133"/>
      <c r="P3" s="133"/>
      <c r="Q3" s="133"/>
      <c r="R3" s="133"/>
      <c r="S3" s="133"/>
      <c r="T3" s="133"/>
      <c r="U3" s="133"/>
      <c r="V3" s="133"/>
      <c r="W3" s="133"/>
      <c r="X3" s="133"/>
      <c r="Y3" s="133"/>
      <c r="Z3" s="133"/>
      <c r="AA3" s="133"/>
      <c r="AB3" s="133"/>
      <c r="AC3" s="133"/>
      <c r="AD3" s="133"/>
      <c r="AE3" s="133"/>
      <c r="AF3" s="133"/>
      <c r="AG3" s="133"/>
      <c r="AH3" s="133"/>
      <c r="AI3" s="133"/>
      <c r="AJ3" s="133"/>
      <c r="AK3" s="133"/>
      <c r="AL3" s="133"/>
      <c r="AM3" s="133"/>
      <c r="AN3" s="133"/>
      <c r="AO3" s="133"/>
      <c r="AP3" s="133"/>
      <c r="AQ3" s="133"/>
      <c r="AR3" s="133"/>
      <c r="AS3" s="133"/>
      <c r="AT3" s="133"/>
      <c r="AU3" s="133"/>
      <c r="AV3" s="133"/>
      <c r="AW3" s="133"/>
      <c r="AX3" s="133"/>
      <c r="AY3" s="133"/>
      <c r="AZ3" s="133"/>
      <c r="BA3" s="133"/>
      <c r="BB3" s="133"/>
      <c r="BC3" s="133"/>
      <c r="BD3" s="133"/>
      <c r="BE3" s="133"/>
      <c r="BF3" s="133"/>
      <c r="BG3" s="133"/>
      <c r="BH3" s="133"/>
      <c r="BI3" s="133"/>
      <c r="BJ3" s="133"/>
      <c r="BK3" s="133"/>
      <c r="BL3" s="133"/>
      <c r="BM3" s="133"/>
      <c r="BN3" s="133"/>
      <c r="BO3" s="133"/>
      <c r="BP3" s="133"/>
      <c r="BQ3" s="133"/>
      <c r="BR3" s="133"/>
      <c r="BS3" s="133"/>
      <c r="BT3" s="133"/>
      <c r="BU3" s="133"/>
      <c r="BV3" s="133"/>
      <c r="BW3" s="133"/>
      <c r="BX3" s="133"/>
      <c r="BY3" s="133"/>
      <c r="BZ3" s="133"/>
      <c r="CA3" s="133"/>
      <c r="CB3" s="133"/>
      <c r="CC3" s="133"/>
      <c r="CD3" s="133"/>
      <c r="CE3" s="133"/>
      <c r="CF3" s="133"/>
      <c r="CG3" s="133"/>
      <c r="CH3" s="133"/>
      <c r="CI3" s="133"/>
      <c r="CJ3" s="133"/>
      <c r="CK3" s="133"/>
      <c r="CL3" s="133"/>
      <c r="CM3" s="133"/>
      <c r="CN3" s="133"/>
      <c r="CO3" s="133"/>
      <c r="CP3" s="133"/>
      <c r="CQ3" s="133"/>
      <c r="CR3" s="133"/>
      <c r="CS3" s="133"/>
      <c r="CT3" s="133"/>
      <c r="CU3" s="133"/>
      <c r="CV3" s="133"/>
      <c r="CW3" s="133"/>
      <c r="CX3" s="133"/>
      <c r="CY3" s="133"/>
      <c r="CZ3" s="133"/>
      <c r="DA3" s="133"/>
      <c r="DB3" s="133"/>
      <c r="DC3" s="133"/>
      <c r="DD3" s="133"/>
      <c r="DE3" s="133"/>
      <c r="DF3" s="133"/>
      <c r="DG3" s="133"/>
      <c r="DH3" s="133"/>
      <c r="DI3" s="133"/>
      <c r="DJ3" s="133"/>
      <c r="DK3" s="133"/>
      <c r="DL3" s="133"/>
      <c r="DM3" s="133"/>
      <c r="DN3" s="133"/>
      <c r="DO3" s="133"/>
      <c r="DP3" s="133"/>
      <c r="DQ3" s="133"/>
      <c r="DR3" s="133"/>
      <c r="DS3" s="133"/>
      <c r="DT3" s="133"/>
      <c r="DU3" s="133"/>
      <c r="DV3" s="133"/>
      <c r="DW3" s="133"/>
      <c r="DX3" s="133"/>
      <c r="DY3" s="133"/>
      <c r="DZ3" s="133"/>
      <c r="EA3" s="133"/>
      <c r="EB3" s="133"/>
      <c r="EC3" s="133"/>
      <c r="ED3" s="133"/>
      <c r="EE3" s="133"/>
      <c r="EF3" s="133"/>
      <c r="EG3" s="133"/>
      <c r="EH3" s="133"/>
      <c r="EI3" s="133"/>
      <c r="EJ3" s="133"/>
      <c r="EK3" s="133"/>
      <c r="EL3" s="133"/>
      <c r="EM3" s="133"/>
      <c r="EN3" s="133"/>
      <c r="EO3" s="133"/>
      <c r="EP3" s="133"/>
      <c r="EQ3" s="133"/>
      <c r="ER3" s="133"/>
      <c r="ES3" s="133"/>
      <c r="ET3" s="133"/>
      <c r="EU3" s="133"/>
      <c r="EV3" s="133"/>
      <c r="EW3" s="133"/>
      <c r="EX3" s="133"/>
      <c r="EY3" s="133"/>
      <c r="EZ3" s="133"/>
    </row>
    <row r="4" spans="1:156" ht="26.25" customHeight="1" x14ac:dyDescent="0.2">
      <c r="B4" s="299" t="s">
        <v>521</v>
      </c>
      <c r="C4" s="300"/>
      <c r="D4" s="300"/>
      <c r="E4" s="300"/>
      <c r="F4" s="300"/>
      <c r="G4" s="300"/>
      <c r="H4" s="300"/>
      <c r="I4" s="301"/>
      <c r="L4" s="299" t="s">
        <v>537</v>
      </c>
      <c r="M4" s="300"/>
      <c r="N4" s="300"/>
      <c r="O4" s="300"/>
      <c r="P4" s="300"/>
      <c r="Q4" s="300"/>
      <c r="R4" s="300"/>
      <c r="S4" s="300"/>
      <c r="T4" s="301"/>
    </row>
    <row r="5" spans="1:156" ht="18" customHeight="1" x14ac:dyDescent="0.2">
      <c r="B5" s="303" t="s">
        <v>558</v>
      </c>
      <c r="C5" s="303"/>
      <c r="D5" s="303"/>
      <c r="E5" s="303"/>
      <c r="F5" s="303"/>
      <c r="G5" s="303"/>
      <c r="H5" s="303"/>
      <c r="I5" s="303"/>
      <c r="L5" s="303" t="s">
        <v>560</v>
      </c>
      <c r="M5" s="303"/>
      <c r="N5" s="303"/>
      <c r="O5" s="303"/>
      <c r="P5" s="303"/>
      <c r="Q5" s="303"/>
      <c r="R5" s="303"/>
      <c r="S5" s="303"/>
      <c r="T5" s="303"/>
    </row>
    <row r="6" spans="1:156" s="137" customFormat="1" ht="27.75" customHeight="1" x14ac:dyDescent="0.2">
      <c r="B6" s="302" t="s">
        <v>564</v>
      </c>
      <c r="C6" s="302"/>
      <c r="D6" s="302"/>
      <c r="E6" s="302"/>
      <c r="F6" s="302"/>
      <c r="G6" s="302"/>
      <c r="H6" s="302"/>
      <c r="I6" s="302"/>
      <c r="L6" s="302" t="s">
        <v>565</v>
      </c>
      <c r="M6" s="302"/>
      <c r="N6" s="302"/>
      <c r="O6" s="302"/>
      <c r="P6" s="302"/>
      <c r="Q6" s="302"/>
      <c r="R6" s="302"/>
      <c r="S6" s="302"/>
      <c r="T6" s="302"/>
    </row>
    <row r="7" spans="1:156" ht="18" customHeight="1" x14ac:dyDescent="0.2">
      <c r="B7" s="303" t="s">
        <v>559</v>
      </c>
      <c r="C7" s="303"/>
      <c r="D7" s="303"/>
      <c r="E7" s="303"/>
      <c r="F7" s="303"/>
      <c r="G7" s="303"/>
      <c r="H7" s="303"/>
      <c r="I7" s="303"/>
      <c r="L7" s="303" t="s">
        <v>561</v>
      </c>
      <c r="M7" s="303"/>
      <c r="N7" s="303"/>
      <c r="O7" s="303"/>
      <c r="P7" s="303"/>
      <c r="Q7" s="303"/>
      <c r="R7" s="303"/>
      <c r="S7" s="303"/>
      <c r="T7" s="303"/>
    </row>
    <row r="8" spans="1:156" ht="8.25" customHeight="1" x14ac:dyDescent="0.2"/>
    <row r="9" spans="1:156" ht="72" customHeight="1" x14ac:dyDescent="0.2">
      <c r="B9" s="138" t="s">
        <v>562</v>
      </c>
      <c r="C9" s="139" t="str">
        <f>'Annex 1 LV and HV charges'!D13</f>
        <v>Unit charge 1 (NHH)
or red/black charge (HH)
p/kWh</v>
      </c>
      <c r="D9" s="139" t="str">
        <f>'Annex 1 LV and HV charges'!E13</f>
        <v>Unit charge 2 (NHH)
or amber/yellow charge (HH)
p/kWh</v>
      </c>
      <c r="E9" s="139" t="str">
        <f>'Annex 1 LV and HV charges'!F13</f>
        <v>Green charge(HH)
p/kWh</v>
      </c>
      <c r="F9" s="139" t="str">
        <f>'Annex 1 LV and HV charges'!G13</f>
        <v>Fixed charge p/MPAN/day</v>
      </c>
      <c r="G9" s="139" t="str">
        <f>'Annex 1 LV and HV charges'!H13</f>
        <v>Capacity charge p/kVA/day</v>
      </c>
      <c r="H9" s="139" t="str">
        <f>'Annex 1 LV and HV charges'!I13</f>
        <v>Exceeded capacity charge
p/kVA/day</v>
      </c>
      <c r="I9" s="139" t="str">
        <f>'Annex 1 LV and HV charges'!J13</f>
        <v>Reactive power charge
p/kVArh</v>
      </c>
      <c r="L9" s="138" t="s">
        <v>563</v>
      </c>
      <c r="M9" s="158" t="str">
        <f>'Annex 2 EHV charges'!H10</f>
        <v>Import
Super Red
unit charge
(p/kWh)</v>
      </c>
      <c r="N9" s="158" t="str">
        <f>'Annex 2 EHV charges'!I10</f>
        <v>Import
fixed charge
(p/day)</v>
      </c>
      <c r="O9" s="158" t="str">
        <f>'Annex 2 EHV charges'!J10</f>
        <v>Import
capacity charge
(p/kVA/day)</v>
      </c>
      <c r="P9" s="158" t="str">
        <f>'Annex 2 EHV charges'!K10</f>
        <v>Import
exceeded capacity charge
(p/kVA/day)</v>
      </c>
      <c r="Q9" s="159" t="str">
        <f>'Annex 2 EHV charges'!L10</f>
        <v>Export
Super Red
unit charge
(p/kWh)</v>
      </c>
      <c r="R9" s="159" t="str">
        <f>'Annex 2 EHV charges'!M10</f>
        <v>Export
fixed charge
(p/day)</v>
      </c>
      <c r="S9" s="159" t="str">
        <f>'Annex 2 EHV charges'!N10</f>
        <v>Export
capacity charge
(p/kVA/day)</v>
      </c>
      <c r="T9" s="159" t="str">
        <f>'Annex 2 EHV charges'!O10</f>
        <v>Export
exceeded capacity charge
(p/kVA/day)</v>
      </c>
    </row>
    <row r="10" spans="1:156" ht="30" customHeight="1" x14ac:dyDescent="0.2">
      <c r="B10" s="126"/>
      <c r="C10" s="153" t="str">
        <f>IFERROR(VLOOKUP($B$10,'Annex 1 LV and HV charges'!$A:$K,4,FALSE),"")</f>
        <v/>
      </c>
      <c r="D10" s="154" t="str">
        <f>IFERROR(VLOOKUP($B$10,'Annex 1 LV and HV charges'!$A:$K,5,FALSE),"")</f>
        <v/>
      </c>
      <c r="E10" s="154" t="str">
        <f>IFERROR(VLOOKUP($B$10,'Annex 1 LV and HV charges'!$A:$K,6,FALSE),"")</f>
        <v/>
      </c>
      <c r="F10" s="128" t="str">
        <f>IFERROR(VLOOKUP($B$10,'Annex 1 LV and HV charges'!$A:$K,7,FALSE),"")</f>
        <v/>
      </c>
      <c r="G10" s="128" t="str">
        <f>IFERROR(VLOOKUP($B$10,'Annex 1 LV and HV charges'!$A:$K,8,FALSE),"")</f>
        <v/>
      </c>
      <c r="H10" s="128" t="str">
        <f>IFERROR(VLOOKUP($B$10,'Annex 1 LV and HV charges'!$A:$K,9,FALSE),"")</f>
        <v/>
      </c>
      <c r="I10" s="128" t="str">
        <f>IFERROR(VLOOKUP($B$10,'Annex 1 LV and HV charges'!$A:$K,10,FALSE),"")</f>
        <v/>
      </c>
      <c r="L10" s="126"/>
      <c r="M10" s="128" t="str">
        <f>IFERROR(VLOOKUP($L$10,'Annex 2 EHV charges'!$G:$O,2,FALSE),"")</f>
        <v/>
      </c>
      <c r="N10" s="128" t="str">
        <f>IFERROR(VLOOKUP($L$10,'Annex 2 EHV charges'!$G:$O,3,FALSE),"")</f>
        <v/>
      </c>
      <c r="O10" s="128" t="str">
        <f>IFERROR(VLOOKUP($L$10,'Annex 2 EHV charges'!$G:$O,4,FALSE),"")</f>
        <v/>
      </c>
      <c r="P10" s="128" t="str">
        <f>IFERROR(VLOOKUP($L$10,'Annex 2 EHV charges'!$G:$O,5,FALSE),"")</f>
        <v/>
      </c>
      <c r="Q10" s="141" t="str">
        <f>IFERROR(VLOOKUP($L$10,'Annex 2 EHV charges'!$G:$O,6,FALSE),"")</f>
        <v/>
      </c>
      <c r="R10" s="141" t="str">
        <f>IFERROR(VLOOKUP($L$10,'Annex 2 EHV charges'!$G:$O,7,FALSE),"")</f>
        <v/>
      </c>
      <c r="S10" s="141" t="str">
        <f>IFERROR(VLOOKUP($L$10,'Annex 2 EHV charges'!$G:$O,8,FALSE),"")</f>
        <v/>
      </c>
      <c r="T10" s="141" t="str">
        <f>IFERROR(VLOOKUP($L$10,'Annex 2 EHV charges'!$G:$O,9,FALSE),"")</f>
        <v/>
      </c>
    </row>
    <row r="11" spans="1:156" ht="7.5" customHeight="1" x14ac:dyDescent="0.2"/>
    <row r="12" spans="1:156" ht="88.5" customHeight="1" x14ac:dyDescent="0.2">
      <c r="B12" s="142" t="s">
        <v>524</v>
      </c>
      <c r="C12" s="139" t="s">
        <v>538</v>
      </c>
      <c r="D12" s="139" t="s">
        <v>539</v>
      </c>
      <c r="E12" s="139" t="s">
        <v>540</v>
      </c>
      <c r="F12" s="139" t="s">
        <v>525</v>
      </c>
      <c r="G12" s="139" t="s">
        <v>522</v>
      </c>
      <c r="H12" s="139" t="s">
        <v>702</v>
      </c>
      <c r="I12" s="139" t="s">
        <v>523</v>
      </c>
      <c r="L12" s="142" t="s">
        <v>524</v>
      </c>
      <c r="M12" s="139" t="s">
        <v>548</v>
      </c>
      <c r="N12" s="139" t="s">
        <v>525</v>
      </c>
      <c r="O12" s="139" t="s">
        <v>544</v>
      </c>
      <c r="P12" s="139" t="s">
        <v>702</v>
      </c>
      <c r="Q12" s="140" t="s">
        <v>546</v>
      </c>
      <c r="R12" s="140" t="s">
        <v>525</v>
      </c>
      <c r="S12" s="140" t="s">
        <v>545</v>
      </c>
      <c r="T12" s="140" t="s">
        <v>702</v>
      </c>
    </row>
    <row r="13" spans="1:156" ht="30" customHeight="1" x14ac:dyDescent="0.2">
      <c r="B13" s="143" t="s">
        <v>526</v>
      </c>
      <c r="C13" s="148"/>
      <c r="D13" s="148"/>
      <c r="E13" s="148"/>
      <c r="F13" s="148"/>
      <c r="G13" s="148"/>
      <c r="H13" s="148"/>
      <c r="I13" s="148"/>
      <c r="L13" s="143" t="s">
        <v>526</v>
      </c>
      <c r="M13" s="129"/>
      <c r="N13" s="129"/>
      <c r="O13" s="129"/>
      <c r="P13" s="129"/>
      <c r="Q13" s="130"/>
      <c r="R13" s="130">
        <f>N13</f>
        <v>0</v>
      </c>
      <c r="S13" s="130"/>
      <c r="T13" s="130"/>
    </row>
    <row r="14" spans="1:156" ht="30" customHeight="1" x14ac:dyDescent="0.2">
      <c r="B14" s="144" t="s">
        <v>528</v>
      </c>
      <c r="C14" s="127">
        <f>C13</f>
        <v>0</v>
      </c>
      <c r="D14" s="127">
        <f t="shared" ref="D14:G14" si="0">D13</f>
        <v>0</v>
      </c>
      <c r="E14" s="127">
        <f t="shared" si="0"/>
        <v>0</v>
      </c>
      <c r="F14" s="127">
        <f t="shared" si="0"/>
        <v>0</v>
      </c>
      <c r="G14" s="127">
        <f t="shared" si="0"/>
        <v>0</v>
      </c>
      <c r="H14" s="127">
        <f>H13</f>
        <v>0</v>
      </c>
      <c r="I14" s="127">
        <f>I13</f>
        <v>0</v>
      </c>
      <c r="L14" s="144" t="s">
        <v>528</v>
      </c>
      <c r="M14" s="127">
        <f>M13</f>
        <v>0</v>
      </c>
      <c r="N14" s="127">
        <f t="shared" ref="N14:T14" si="1">N13</f>
        <v>0</v>
      </c>
      <c r="O14" s="127">
        <f t="shared" si="1"/>
        <v>0</v>
      </c>
      <c r="P14" s="127">
        <f t="shared" si="1"/>
        <v>0</v>
      </c>
      <c r="Q14" s="131">
        <f t="shared" si="1"/>
        <v>0</v>
      </c>
      <c r="R14" s="131">
        <f t="shared" si="1"/>
        <v>0</v>
      </c>
      <c r="S14" s="131">
        <f t="shared" si="1"/>
        <v>0</v>
      </c>
      <c r="T14" s="131">
        <f t="shared" si="1"/>
        <v>0</v>
      </c>
    </row>
    <row r="15" spans="1:156" ht="7.5" customHeight="1" x14ac:dyDescent="0.2"/>
    <row r="16" spans="1:156" ht="63.75" customHeight="1" x14ac:dyDescent="0.2">
      <c r="B16" s="142" t="s">
        <v>527</v>
      </c>
      <c r="C16" s="139" t="s">
        <v>541</v>
      </c>
      <c r="D16" s="139" t="s">
        <v>542</v>
      </c>
      <c r="E16" s="139" t="s">
        <v>543</v>
      </c>
      <c r="F16" s="139" t="s">
        <v>533</v>
      </c>
      <c r="G16" s="139" t="s">
        <v>532</v>
      </c>
      <c r="H16" s="139" t="s">
        <v>703</v>
      </c>
      <c r="I16" s="139" t="s">
        <v>531</v>
      </c>
      <c r="L16" s="142" t="s">
        <v>527</v>
      </c>
      <c r="M16" s="139" t="s">
        <v>549</v>
      </c>
      <c r="N16" s="139" t="s">
        <v>547</v>
      </c>
      <c r="O16" s="139" t="s">
        <v>552</v>
      </c>
      <c r="P16" s="139" t="s">
        <v>704</v>
      </c>
      <c r="Q16" s="140" t="s">
        <v>550</v>
      </c>
      <c r="R16" s="140" t="s">
        <v>551</v>
      </c>
      <c r="S16" s="140" t="s">
        <v>553</v>
      </c>
      <c r="T16" s="140" t="s">
        <v>705</v>
      </c>
    </row>
    <row r="17" spans="2:20" ht="30" customHeight="1" x14ac:dyDescent="0.2">
      <c r="B17" s="143" t="s">
        <v>529</v>
      </c>
      <c r="C17" s="149" t="str">
        <f>IFERROR(C10*C13/100,"")</f>
        <v/>
      </c>
      <c r="D17" s="149" t="str">
        <f t="shared" ref="D17:I17" si="2">IFERROR(D10*D13/100,"")</f>
        <v/>
      </c>
      <c r="E17" s="149" t="str">
        <f t="shared" si="2"/>
        <v/>
      </c>
      <c r="F17" s="149" t="str">
        <f t="shared" si="2"/>
        <v/>
      </c>
      <c r="G17" s="149" t="str">
        <f>IFERROR(G10*G13*F13/100,"")</f>
        <v/>
      </c>
      <c r="H17" s="149" t="str">
        <f>IFERROR(H10*H13*F13/100,"")</f>
        <v/>
      </c>
      <c r="I17" s="149" t="str">
        <f t="shared" si="2"/>
        <v/>
      </c>
      <c r="L17" s="145" t="s">
        <v>529</v>
      </c>
      <c r="M17" s="149" t="str">
        <f>IFERROR(M10*M13/100,"")</f>
        <v/>
      </c>
      <c r="N17" s="149" t="str">
        <f>IFERROR(N10*N13/100,"")</f>
        <v/>
      </c>
      <c r="O17" s="149" t="str">
        <f>IFERROR(O10*O13*N13/100,"")</f>
        <v/>
      </c>
      <c r="P17" s="149" t="str">
        <f>IFERROR(P10*P13*N13/100,"")</f>
        <v/>
      </c>
      <c r="Q17" s="150" t="str">
        <f>IFERROR(Q10*Q13/100,"")</f>
        <v/>
      </c>
      <c r="R17" s="150" t="str">
        <f>IFERROR(R10*R13/100,"")</f>
        <v/>
      </c>
      <c r="S17" s="150" t="str">
        <f>IFERROR(S10*S13*R13/100,"")</f>
        <v/>
      </c>
      <c r="T17" s="150" t="str">
        <f>IFERROR(T10*T13*R13/100,"")</f>
        <v/>
      </c>
    </row>
    <row r="18" spans="2:20" ht="30" customHeight="1" x14ac:dyDescent="0.2">
      <c r="B18" s="144" t="s">
        <v>530</v>
      </c>
      <c r="C18" s="151" t="str">
        <f>IFERROR(C10*C14/100,"")</f>
        <v/>
      </c>
      <c r="D18" s="151" t="str">
        <f t="shared" ref="D18:I18" si="3">IFERROR(D10*D14/100,"")</f>
        <v/>
      </c>
      <c r="E18" s="151" t="str">
        <f t="shared" si="3"/>
        <v/>
      </c>
      <c r="F18" s="151" t="str">
        <f t="shared" si="3"/>
        <v/>
      </c>
      <c r="G18" s="151" t="str">
        <f>IFERROR(G10*G14*F14/100,"")</f>
        <v/>
      </c>
      <c r="H18" s="151" t="str">
        <f>IFERROR(H10*H14*F14/100,"")</f>
        <v/>
      </c>
      <c r="I18" s="151" t="str">
        <f t="shared" si="3"/>
        <v/>
      </c>
      <c r="L18" s="146" t="s">
        <v>530</v>
      </c>
      <c r="M18" s="151" t="str">
        <f>IFERROR(M10*M14/100,"")</f>
        <v/>
      </c>
      <c r="N18" s="151" t="str">
        <f t="shared" ref="N18" si="4">IFERROR(N10*N14/100,"")</f>
        <v/>
      </c>
      <c r="O18" s="151" t="str">
        <f>IFERROR(O10*O14*N14/100,"")</f>
        <v/>
      </c>
      <c r="P18" s="151" t="str">
        <f>IFERROR(P10*P14*N14/100,"")</f>
        <v/>
      </c>
      <c r="Q18" s="152" t="str">
        <f>IFERROR(Q10*Q14/100,"")</f>
        <v/>
      </c>
      <c r="R18" s="152" t="str">
        <f t="shared" ref="R18" si="5">IFERROR(R10*R14/100,"")</f>
        <v/>
      </c>
      <c r="S18" s="152" t="str">
        <f>IFERROR(S10*S14*R14/100,"")</f>
        <v/>
      </c>
      <c r="T18" s="152" t="str">
        <f>IFERROR(T10*T14*R14/100,"")</f>
        <v/>
      </c>
    </row>
    <row r="19" spans="2:20" ht="7.5" customHeight="1" x14ac:dyDescent="0.2"/>
    <row r="20" spans="2:20" ht="39.75" customHeight="1" x14ac:dyDescent="0.2">
      <c r="C20" s="147" t="s">
        <v>534</v>
      </c>
      <c r="M20" s="139" t="s">
        <v>554</v>
      </c>
      <c r="N20" s="140" t="s">
        <v>555</v>
      </c>
    </row>
    <row r="21" spans="2:20" ht="30" customHeight="1" x14ac:dyDescent="0.2">
      <c r="B21" s="143" t="s">
        <v>529</v>
      </c>
      <c r="C21" s="149">
        <f>SUM(C17:I17)</f>
        <v>0</v>
      </c>
      <c r="L21" s="143" t="s">
        <v>529</v>
      </c>
      <c r="M21" s="149">
        <f>SUM(M17:P17)</f>
        <v>0</v>
      </c>
      <c r="N21" s="150">
        <f>SUM(Q17:T17)</f>
        <v>0</v>
      </c>
    </row>
    <row r="22" spans="2:20" ht="30" customHeight="1" x14ac:dyDescent="0.2">
      <c r="B22" s="144" t="s">
        <v>530</v>
      </c>
      <c r="C22" s="151">
        <f>SUM(C18:I18)</f>
        <v>0</v>
      </c>
      <c r="L22" s="144" t="s">
        <v>530</v>
      </c>
      <c r="M22" s="151">
        <f>SUM(M18:P18)</f>
        <v>0</v>
      </c>
      <c r="N22" s="152">
        <f>SUM(Q18:T18)</f>
        <v>0</v>
      </c>
    </row>
    <row r="24" spans="2:20" ht="30.75" customHeight="1" x14ac:dyDescent="0.2">
      <c r="B24" s="296" t="s">
        <v>556</v>
      </c>
      <c r="C24" s="297"/>
      <c r="D24" s="298"/>
      <c r="L24" s="296" t="s">
        <v>557</v>
      </c>
      <c r="M24" s="297"/>
      <c r="N24" s="298"/>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12:I12">
    <cfRule type="expression" dxfId="8" priority="16">
      <formula>OR(C10="",C10=0)</formula>
    </cfRule>
  </conditionalFormatting>
  <conditionalFormatting sqref="C16:I16">
    <cfRule type="expression" dxfId="7" priority="14">
      <formula>OR(C10="",C10=0)</formula>
    </cfRule>
  </conditionalFormatting>
  <conditionalFormatting sqref="C9:I9">
    <cfRule type="expression" dxfId="6" priority="12">
      <formula>OR(C10="",C10=0)</formula>
    </cfRule>
  </conditionalFormatting>
  <conditionalFormatting sqref="M9:P9">
    <cfRule type="expression" dxfId="5" priority="11">
      <formula>OR(M10="",M10=0)</formula>
    </cfRule>
  </conditionalFormatting>
  <conditionalFormatting sqref="M16:P16">
    <cfRule type="expression" dxfId="4" priority="9">
      <formula>OR(M10="",M10=0)</formula>
    </cfRule>
  </conditionalFormatting>
  <conditionalFormatting sqref="M12:P12">
    <cfRule type="expression" dxfId="3" priority="7">
      <formula>OR(M10="",M10=0)</formula>
    </cfRule>
  </conditionalFormatting>
  <conditionalFormatting sqref="Q9:T9">
    <cfRule type="expression" dxfId="2" priority="3">
      <formula>OR(Q10="",Q10=0)</formula>
    </cfRule>
  </conditionalFormatting>
  <conditionalFormatting sqref="Q12:T12">
    <cfRule type="expression" dxfId="1" priority="2">
      <formula>OR(Q10="",Q10=0)</formula>
    </cfRule>
  </conditionalFormatting>
  <conditionalFormatting sqref="Q16:T16">
    <cfRule type="expression" dxfId="0" priority="1">
      <formula>OR(Q10="",Q10=0)</formula>
    </cfRule>
  </conditionalFormatting>
  <hyperlinks>
    <hyperlink ref="B1" location="Overview!A1" display="Back to Overview" xr:uid="{00000000-0004-0000-0B00-000000000000}"/>
  </hyperlinks>
  <pageMargins left="0.70866141732283472" right="0.70866141732283472" top="0.74803149606299213" bottom="0.74803149606299213" header="0.31496062992125984" footer="0.31496062992125984"/>
  <pageSetup paperSize="9" scale="50"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r:uid="{00000000-0002-0000-0B00-000000000000}">
          <x14:formula1>
            <xm:f>'Annex 1 LV and HV charges'!$A$14:$A$43</xm:f>
          </x14:formula1>
          <xm:sqref>B10</xm:sqref>
        </x14:dataValidation>
        <x14:dataValidation type="list" errorStyle="information" allowBlank="1" showInputMessage="1" showErrorMessage="1" promptTitle="Choose site" prompt="Select the EHV site that you would like to calculate charges." xr:uid="{00000000-0002-0000-0B00-000001000000}">
          <x14:formula1>
            <xm:f>'Annex 2 EHV charges'!$G$11:$G$510</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17</vt:i4>
      </vt:variant>
    </vt:vector>
  </HeadingPairs>
  <TitlesOfParts>
    <vt:vector size="29" baseType="lpstr">
      <vt:lpstr>Overview</vt:lpstr>
      <vt:lpstr>Annex 1 LV and HV charges</vt:lpstr>
      <vt:lpstr>Annex 2 EHV charges</vt:lpstr>
      <vt:lpstr>Annex 2a Import</vt:lpstr>
      <vt:lpstr>Annex 2b Export</vt:lpstr>
      <vt:lpstr>Annex 3 Preserved charges</vt:lpstr>
      <vt:lpstr>Annex 4 LDNO charges</vt:lpstr>
      <vt:lpstr>Annex 5 LLFs</vt:lpstr>
      <vt:lpstr>Annex 6 new or amended EHV</vt:lpstr>
      <vt:lpstr>Nodal prices</vt:lpstr>
      <vt:lpstr>SSC TPR unit rate lookup</vt:lpstr>
      <vt:lpstr>Charge Calculator</vt:lpstr>
      <vt:lpstr>'Annex 1 LV and HV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'Nodal prices'!Print_Area</vt:lpstr>
      <vt:lpstr>'Annex 1 LV and HV charges'!Print_Titles</vt:lpstr>
      <vt:lpstr>'Annex 2 EHV charges'!Print_Titles</vt:lpstr>
      <vt:lpstr>'Annex 2a Import'!Print_Titles</vt:lpstr>
      <vt:lpstr>'Annex 2b Export'!Print_Titles</vt:lpstr>
      <vt:lpstr>'Annex 4 LDNO charges'!Print_Titles</vt:lpstr>
      <vt:lpstr>'Annex 6 new or amended EHV'!Print_Titles</vt:lpstr>
      <vt:lpstr>'Nodal prices'!Print_Titles</vt:lpstr>
      <vt:lpstr>'SSC TPR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2020-10-22T13:29:09Z</dcterms:created>
  <dcterms:modified xsi:type="dcterms:W3CDTF">2020-10-22T13:29:16Z</dcterms:modified>
</cp:coreProperties>
</file>