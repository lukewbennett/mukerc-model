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codeName="ThisWorkbook" defaultThemeVersion="124226"/>
  <mc:AlternateContent xmlns:mc="http://schemas.openxmlformats.org/markup-compatibility/2006">
    <mc:Choice Requires="x15">
      <x15ac:absPath xmlns:x15ac="http://schemas.microsoft.com/office/spreadsheetml/2010/11/ac" url="C:\Users\Matt\OneDrive\Summer Work 2020\Electricity Import Prices\UK Electricity Data Emporium\Code Run Folder\Input\DNO Spreadsheets\2019\"/>
    </mc:Choice>
  </mc:AlternateContent>
  <xr:revisionPtr revIDLastSave="1" documentId="11_9801A401283B040AF44B6EBA35BF97E1F807B9B9" xr6:coauthVersionLast="45" xr6:coauthVersionMax="45" xr10:uidLastSave="{3D27543F-562E-43B3-8EFC-5FA1B479E5C6}"/>
  <bookViews>
    <workbookView xWindow="-120" yWindow="-120" windowWidth="29040" windowHeight="15840" tabRatio="916" activeTab="7" xr2:uid="{00000000-000D-0000-FFFF-FFFF00000000}"/>
  </bookViews>
  <sheets>
    <sheet name="Overview" sheetId="1" r:id="rId1"/>
    <sheet name="Annex 1 LV and HV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Nodal prices" sheetId="7" r:id="rId10"/>
    <sheet name="SSC TPR unit rate lookup" sheetId="16" r:id="rId11"/>
    <sheet name="Charge Calculator" sheetId="15" r:id="rId12"/>
  </sheets>
  <definedNames>
    <definedName name="_xlnm._FilterDatabase" localSheetId="2" hidden="1">'Annex 2 EHV charges'!$A$9:$O$70</definedName>
    <definedName name="_xlnm._FilterDatabase" localSheetId="10" hidden="1">'SSC TPR unit rate lookup'!$A$28:$D$1205</definedName>
    <definedName name="OLE_LINK1" localSheetId="5">'Annex 3 Preserved charges'!#REF!</definedName>
    <definedName name="_xlnm.Print_Area" localSheetId="1">'Annex 1 LV and HV charges'!$A$2:$K$45</definedName>
    <definedName name="_xlnm.Print_Area" localSheetId="2">'Annex 2 EHV charges'!$A$2:$O$70</definedName>
    <definedName name="_xlnm.Print_Area" localSheetId="3">'Annex 2a Import'!$A$2:$H$65</definedName>
    <definedName name="_xlnm.Print_Area" localSheetId="4">'Annex 2b Export'!$A$2:$H$39</definedName>
    <definedName name="_xlnm.Print_Area" localSheetId="5">'Annex 3 Preserved charges'!$A$2:$J$21</definedName>
    <definedName name="_xlnm.Print_Area" localSheetId="6">'Annex 4 LDNO charges'!$A$2:$J$189</definedName>
    <definedName name="_xlnm.Print_Area" localSheetId="7">'Annex 5 LLFs'!$A$2:$F$118</definedName>
    <definedName name="_xlnm.Print_Area" localSheetId="8">'Annex 6 New or Amended EHV'!$A$4:$R$28</definedName>
    <definedName name="_xlnm.Print_Area" localSheetId="9">'Nodal prices'!$A$2:$D$26</definedName>
    <definedName name="_xlnm.Print_Titles" localSheetId="1">'Annex 1 LV and HV charges'!$2:$11</definedName>
    <definedName name="_xlnm.Print_Titles" localSheetId="2">'Annex 2 EHV charges'!$9:$9</definedName>
    <definedName name="_xlnm.Print_Titles" localSheetId="3">'Annex 2a Import'!$2:$4</definedName>
    <definedName name="_xlnm.Print_Titles" localSheetId="4">'Annex 2b Export'!$2:$4</definedName>
    <definedName name="_xlnm.Print_Titles" localSheetId="6">'Annex 4 LDNO charges'!$11:$11</definedName>
    <definedName name="_xlnm.Print_Titles" localSheetId="7">'Annex 5 LLFs'!$15:$15</definedName>
    <definedName name="_xlnm.Print_Titles" localSheetId="8">'Annex 6 New or Amended EHV'!$4:$5</definedName>
    <definedName name="_xlnm.Print_Titles" localSheetId="9">'Nodal prices'!$2:$3</definedName>
    <definedName name="_xlnm.Print_Titles" localSheetId="10">'SSC TPR unit rate lookup'!$28:$28</definedName>
    <definedName name="Z_5032A364_B81A_48DA_88DA_AB3B86B47EE9_.wvu.PrintArea" localSheetId="1" hidden="1">'Annex 1 LV and HV charges'!$A$2:$K$43</definedName>
    <definedName name="Z_5032A364_B81A_48DA_88DA_AB3B86B47EE9_.wvu.PrintArea" localSheetId="2" hidden="1">'Annex 2 EHV charges'!$A$2:$I$19</definedName>
    <definedName name="Z_5032A364_B81A_48DA_88DA_AB3B86B47EE9_.wvu.PrintArea" localSheetId="5" hidden="1">'Annex 3 Preserved charges'!$A$2:$J$21</definedName>
    <definedName name="Z_5032A364_B81A_48DA_88DA_AB3B86B47EE9_.wvu.PrintArea" localSheetId="6" hidden="1">'Annex 4 LDNO charges'!$A$2:$I$189</definedName>
    <definedName name="Z_5032A364_B81A_48DA_88DA_AB3B86B47EE9_.wvu.PrintArea" localSheetId="7" hidden="1">'Annex 5 LLFs'!$A$3:$F$39</definedName>
    <definedName name="Z_5032A364_B81A_48DA_88DA_AB3B86B47EE9_.wvu.PrintArea" localSheetId="8" hidden="1">'Annex 6 New or Amended EHV'!$A$1:$P$28</definedName>
    <definedName name="Z_5032A364_B81A_48DA_88DA_AB3B86B47EE9_.wvu.PrintArea" localSheetId="9" hidden="1">'Nodal prices'!$A$2:$D$26</definedName>
    <definedName name="Z_5032A364_B81A_48DA_88DA_AB3B86B47EE9_.wvu.PrintTitles" localSheetId="1" hidden="1">'Annex 1 LV and HV charges'!$2:$11</definedName>
    <definedName name="Z_5032A364_B81A_48DA_88DA_AB3B86B47EE9_.wvu.PrintTitles" localSheetId="2" hidden="1">'Annex 2 EHV charges'!$2:$9</definedName>
    <definedName name="Z_5032A364_B81A_48DA_88DA_AB3B86B47EE9_.wvu.PrintTitles" localSheetId="6" hidden="1">'Annex 4 LDNO charges'!$2:$11</definedName>
    <definedName name="Z_5032A364_B81A_48DA_88DA_AB3B86B47EE9_.wvu.PrintTitles" localSheetId="8" hidden="1">'Annex 6 New or Amended EHV'!$4:$5</definedName>
    <definedName name="Z_5032A364_B81A_48DA_88DA_AB3B86B47EE9_.wvu.PrintTitles" localSheetId="9" hidden="1">'Nodal prices'!$2:$3</definedName>
  </definedNames>
  <calcPr calcId="191029" concurrentCalc="0"/>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 i="14" l="1" a="1"/>
  <c r="A5" i="14"/>
  <c r="A5" i="13" a="1"/>
  <c r="A5" i="13"/>
  <c r="B13" i="1"/>
  <c r="A6" i="13" a="1"/>
  <c r="A6" i="13"/>
  <c r="A6" i="14" a="1"/>
  <c r="A6" i="14"/>
  <c r="B5" i="14"/>
  <c r="I14" i="15"/>
  <c r="H14" i="15"/>
  <c r="A7" i="14" a="1"/>
  <c r="A7" i="14"/>
  <c r="A7" i="13" a="1"/>
  <c r="A7" i="13"/>
  <c r="B2" i="15"/>
  <c r="A2" i="7"/>
  <c r="A17" i="8"/>
  <c r="A4" i="8"/>
  <c r="A3" i="6"/>
  <c r="A2" i="5"/>
  <c r="A8" i="13" a="1"/>
  <c r="A8" i="13"/>
  <c r="A9" i="13" a="1"/>
  <c r="A9" i="13"/>
  <c r="A8" i="14" a="1"/>
  <c r="A8" i="14"/>
  <c r="A2" i="4"/>
  <c r="A2" i="14"/>
  <c r="A2" i="13"/>
  <c r="A10" i="13" a="1"/>
  <c r="A10" i="13"/>
  <c r="A11" i="13" a="1"/>
  <c r="A11" i="13"/>
  <c r="A9" i="14" a="1"/>
  <c r="A9" i="14"/>
  <c r="A2" i="12"/>
  <c r="A12" i="13" a="1"/>
  <c r="A12" i="13"/>
  <c r="A13" i="13" a="1"/>
  <c r="A13" i="13"/>
  <c r="A14" i="13" a="1"/>
  <c r="A14" i="13"/>
  <c r="A15" i="13" a="1"/>
  <c r="A15" i="13"/>
  <c r="A16" i="13" a="1"/>
  <c r="A16" i="13"/>
  <c r="A17" i="13" a="1"/>
  <c r="A17" i="13"/>
  <c r="A18" i="13" a="1"/>
  <c r="A18" i="13"/>
  <c r="A19" i="13" a="1"/>
  <c r="A19" i="13"/>
  <c r="A20" i="13" a="1"/>
  <c r="A20" i="13"/>
  <c r="A21" i="13" a="1"/>
  <c r="A21" i="13"/>
  <c r="A22" i="13" a="1"/>
  <c r="A22" i="13"/>
  <c r="A23" i="13" a="1"/>
  <c r="A23" i="13"/>
  <c r="A24" i="13" a="1"/>
  <c r="A24" i="13"/>
  <c r="A25" i="13" a="1"/>
  <c r="A25" i="13"/>
  <c r="A26" i="13" a="1"/>
  <c r="A26" i="13"/>
  <c r="A27" i="13" a="1"/>
  <c r="A27" i="13"/>
  <c r="A28" i="13" a="1"/>
  <c r="A28" i="13"/>
  <c r="A29" i="13" a="1"/>
  <c r="A29" i="13"/>
  <c r="A30" i="13" a="1"/>
  <c r="A30" i="13"/>
  <c r="A31" i="13" a="1"/>
  <c r="A31" i="13"/>
  <c r="A32" i="13" a="1"/>
  <c r="A32" i="13"/>
  <c r="A33" i="13" a="1"/>
  <c r="A33" i="13"/>
  <c r="A34" i="13" a="1"/>
  <c r="A34" i="13"/>
  <c r="A35" i="13" a="1"/>
  <c r="A35" i="13"/>
  <c r="A36" i="13" a="1"/>
  <c r="A36" i="13"/>
  <c r="A37" i="13" a="1"/>
  <c r="A37" i="13"/>
  <c r="A38" i="13" a="1"/>
  <c r="A38" i="13"/>
  <c r="A39" i="13" a="1"/>
  <c r="A39" i="13"/>
  <c r="A40" i="13" a="1"/>
  <c r="A40" i="13"/>
  <c r="A41" i="13" a="1"/>
  <c r="A41" i="13"/>
  <c r="A42" i="13" a="1"/>
  <c r="A42" i="13"/>
  <c r="A43" i="13" a="1"/>
  <c r="A43" i="13"/>
  <c r="A44" i="13" a="1"/>
  <c r="A44" i="13"/>
  <c r="A45" i="13" a="1"/>
  <c r="A45" i="13"/>
  <c r="A46" i="13" a="1"/>
  <c r="A46" i="13"/>
  <c r="A47" i="13" a="1"/>
  <c r="A47" i="13"/>
  <c r="A48" i="13" a="1"/>
  <c r="A48" i="13"/>
  <c r="A49" i="13" a="1"/>
  <c r="A49" i="13"/>
  <c r="A50" i="13" a="1"/>
  <c r="A50" i="13"/>
  <c r="A51" i="13" a="1"/>
  <c r="A51" i="13"/>
  <c r="A52" i="13" a="1"/>
  <c r="A52" i="13"/>
  <c r="A53" i="13" a="1"/>
  <c r="A53" i="13"/>
  <c r="A54" i="13" a="1"/>
  <c r="A54" i="13"/>
  <c r="A55" i="13" a="1"/>
  <c r="A55" i="13"/>
  <c r="A56" i="13" a="1"/>
  <c r="A56" i="13"/>
  <c r="A57" i="13" a="1"/>
  <c r="A57" i="13"/>
  <c r="A58" i="13" a="1"/>
  <c r="A58" i="13"/>
  <c r="A59" i="13" a="1"/>
  <c r="A59" i="13"/>
  <c r="A60" i="13" a="1"/>
  <c r="A60" i="13"/>
  <c r="A61" i="13" a="1"/>
  <c r="A61" i="13"/>
  <c r="A62" i="13" a="1"/>
  <c r="A62" i="13"/>
  <c r="A63" i="13" a="1"/>
  <c r="A63" i="13"/>
  <c r="A64" i="13" a="1"/>
  <c r="A64" i="13"/>
  <c r="A65" i="13" a="1"/>
  <c r="A65" i="13"/>
  <c r="A10" i="14" a="1"/>
  <c r="A10" i="14"/>
  <c r="A11" i="14" a="1"/>
  <c r="A11" i="14"/>
  <c r="A12" i="14" a="1"/>
  <c r="A12" i="14"/>
  <c r="A13" i="14" a="1"/>
  <c r="A13" i="14"/>
  <c r="A14" i="14" a="1"/>
  <c r="A14" i="14"/>
  <c r="A15" i="14" a="1"/>
  <c r="A15" i="14"/>
  <c r="A16" i="14" a="1"/>
  <c r="A16" i="14"/>
  <c r="A17" i="14" a="1"/>
  <c r="A17" i="14"/>
  <c r="A18" i="14" a="1"/>
  <c r="A18" i="14"/>
  <c r="A19" i="14" a="1"/>
  <c r="A19" i="14"/>
  <c r="A20" i="14" a="1"/>
  <c r="A20" i="14"/>
  <c r="A21" i="14" a="1"/>
  <c r="A21" i="14"/>
  <c r="A22" i="14" a="1"/>
  <c r="A22" i="14"/>
  <c r="A23" i="14" a="1"/>
  <c r="A23" i="14"/>
  <c r="A24" i="14" a="1"/>
  <c r="A24" i="14"/>
  <c r="A25" i="14" a="1"/>
  <c r="A25" i="14"/>
  <c r="A26" i="14" a="1"/>
  <c r="A26" i="14"/>
  <c r="A27" i="14" a="1"/>
  <c r="A27" i="14"/>
  <c r="A28" i="14" a="1"/>
  <c r="A28" i="14"/>
  <c r="A29" i="14" a="1"/>
  <c r="A29" i="14"/>
  <c r="A30" i="14" a="1"/>
  <c r="A30" i="14"/>
  <c r="A31" i="14" a="1"/>
  <c r="A31" i="14"/>
  <c r="A32" i="14" a="1"/>
  <c r="A32" i="14"/>
  <c r="A33" i="14" a="1"/>
  <c r="A33" i="14"/>
  <c r="A34" i="14" a="1"/>
  <c r="A34" i="14"/>
  <c r="A35" i="14" a="1"/>
  <c r="A35" i="14"/>
  <c r="A36" i="14" a="1"/>
  <c r="A36" i="14"/>
  <c r="A37" i="14" a="1"/>
  <c r="A37" i="14"/>
  <c r="A38" i="14" a="1"/>
  <c r="A38" i="14"/>
  <c r="A39" i="14" a="1"/>
  <c r="A39" i="14"/>
  <c r="A2" i="2"/>
  <c r="I10" i="15"/>
  <c r="H10" i="15"/>
  <c r="B11" i="1"/>
  <c r="B9" i="1"/>
  <c r="H17" i="15"/>
  <c r="F14" i="15"/>
  <c r="H18" i="15"/>
  <c r="R9" i="15"/>
  <c r="S9" i="15"/>
  <c r="T9" i="15"/>
  <c r="Q9" i="15"/>
  <c r="N9" i="15"/>
  <c r="O9" i="15"/>
  <c r="P9" i="15"/>
  <c r="M9" i="15"/>
  <c r="D9" i="15"/>
  <c r="E9" i="15"/>
  <c r="F9" i="15"/>
  <c r="G9" i="15"/>
  <c r="I9" i="15"/>
  <c r="H9" i="15"/>
  <c r="C9" i="15"/>
  <c r="P5" i="8"/>
  <c r="J5" i="8"/>
  <c r="K5" i="8"/>
  <c r="L5" i="8"/>
  <c r="M5" i="8"/>
  <c r="N5" i="8"/>
  <c r="O5" i="8"/>
  <c r="I5" i="8"/>
  <c r="F4" i="14"/>
  <c r="G4" i="14"/>
  <c r="H4" i="14"/>
  <c r="E4" i="14"/>
  <c r="F4" i="13"/>
  <c r="G4" i="13"/>
  <c r="H4" i="13"/>
  <c r="E4" i="13"/>
  <c r="H11" i="5"/>
  <c r="J11" i="5"/>
  <c r="I11" i="5"/>
  <c r="G11" i="5"/>
  <c r="F11" i="5"/>
  <c r="E11" i="5"/>
  <c r="D11" i="5"/>
  <c r="N10" i="15"/>
  <c r="C14" i="15"/>
  <c r="G5" i="14"/>
  <c r="D5" i="14"/>
  <c r="F5" i="14"/>
  <c r="E5" i="14"/>
  <c r="H5" i="14"/>
  <c r="C5" i="14"/>
  <c r="D5" i="13"/>
  <c r="C5" i="13"/>
  <c r="B5" i="13"/>
  <c r="F6" i="14"/>
  <c r="E6" i="14"/>
  <c r="D6" i="14"/>
  <c r="G6" i="14"/>
  <c r="B6" i="14"/>
  <c r="C6" i="14"/>
  <c r="H6" i="14"/>
  <c r="B6" i="13"/>
  <c r="C6" i="13"/>
  <c r="D6" i="13"/>
  <c r="R13" i="15"/>
  <c r="R14" i="15"/>
  <c r="N14" i="15"/>
  <c r="O14" i="15"/>
  <c r="P14" i="15"/>
  <c r="Q14" i="15"/>
  <c r="S14" i="15"/>
  <c r="T14" i="15"/>
  <c r="M14" i="15"/>
  <c r="T10" i="15"/>
  <c r="S10" i="15"/>
  <c r="R10" i="15"/>
  <c r="Q10" i="15"/>
  <c r="Q17" i="15"/>
  <c r="P10" i="15"/>
  <c r="P17" i="15"/>
  <c r="O10" i="15"/>
  <c r="O17" i="15"/>
  <c r="N17" i="15"/>
  <c r="M10" i="15"/>
  <c r="M17" i="15"/>
  <c r="D14" i="15"/>
  <c r="E14" i="15"/>
  <c r="G14" i="15"/>
  <c r="C7" i="14"/>
  <c r="G7" i="14"/>
  <c r="D7" i="14"/>
  <c r="H7" i="14"/>
  <c r="E7" i="14"/>
  <c r="F7" i="14"/>
  <c r="B7" i="14"/>
  <c r="C7" i="13"/>
  <c r="D7" i="13"/>
  <c r="B7" i="13"/>
  <c r="S17" i="15"/>
  <c r="T18" i="15"/>
  <c r="R17" i="15"/>
  <c r="P18" i="15"/>
  <c r="M21" i="15"/>
  <c r="T17" i="15"/>
  <c r="M18" i="15"/>
  <c r="Q18" i="15"/>
  <c r="N18" i="15"/>
  <c r="S18" i="15"/>
  <c r="O18" i="15"/>
  <c r="R18" i="15"/>
  <c r="H7" i="13"/>
  <c r="G7" i="13"/>
  <c r="G5" i="13"/>
  <c r="F5" i="13"/>
  <c r="E5" i="13"/>
  <c r="H5" i="13"/>
  <c r="G6" i="13"/>
  <c r="E6" i="13"/>
  <c r="H6" i="13"/>
  <c r="F6" i="13"/>
  <c r="E7" i="13"/>
  <c r="F7" i="13"/>
  <c r="D8" i="14"/>
  <c r="H8" i="14"/>
  <c r="E8" i="14"/>
  <c r="F8" i="14"/>
  <c r="G8" i="14"/>
  <c r="B8" i="14"/>
  <c r="C8" i="14"/>
  <c r="B8" i="13"/>
  <c r="E8" i="13"/>
  <c r="D8" i="13"/>
  <c r="C8" i="13"/>
  <c r="H8" i="13"/>
  <c r="G8" i="13"/>
  <c r="F8" i="13"/>
  <c r="N21" i="15"/>
  <c r="M22" i="15"/>
  <c r="N22" i="15"/>
  <c r="E10" i="15"/>
  <c r="G10" i="15"/>
  <c r="C10" i="15"/>
  <c r="C17" i="15"/>
  <c r="F10" i="15"/>
  <c r="D10" i="15"/>
  <c r="E9" i="14"/>
  <c r="B9" i="14"/>
  <c r="F9" i="14"/>
  <c r="G9" i="14"/>
  <c r="H9" i="14"/>
  <c r="C9" i="14"/>
  <c r="D9" i="14"/>
  <c r="B9" i="13"/>
  <c r="D9" i="13"/>
  <c r="H9" i="13"/>
  <c r="C9" i="13"/>
  <c r="E9" i="13"/>
  <c r="G9" i="13"/>
  <c r="F9" i="13"/>
  <c r="B10" i="13"/>
  <c r="C18" i="15"/>
  <c r="G17" i="15"/>
  <c r="G18" i="15"/>
  <c r="D17" i="15"/>
  <c r="D18" i="15"/>
  <c r="E18" i="15"/>
  <c r="E17" i="15"/>
  <c r="F17" i="15"/>
  <c r="F18" i="15"/>
  <c r="I17" i="15"/>
  <c r="I18" i="15"/>
  <c r="C21" i="15"/>
  <c r="C22" i="15"/>
  <c r="B10" i="14"/>
  <c r="F10" i="14"/>
  <c r="C10" i="14"/>
  <c r="G10" i="14"/>
  <c r="H10" i="14"/>
  <c r="D10" i="14"/>
  <c r="E10" i="14"/>
  <c r="C10" i="13"/>
  <c r="G10" i="13"/>
  <c r="E10" i="13"/>
  <c r="D10" i="13"/>
  <c r="F10" i="13"/>
  <c r="H10" i="13"/>
  <c r="D12" i="14"/>
  <c r="H12" i="14"/>
  <c r="E12" i="14"/>
  <c r="B12" i="14"/>
  <c r="C12" i="14"/>
  <c r="F12" i="14"/>
  <c r="G12" i="14"/>
  <c r="C11" i="14"/>
  <c r="G11" i="14"/>
  <c r="D11" i="14"/>
  <c r="H11" i="14"/>
  <c r="B11" i="14"/>
  <c r="E11" i="14"/>
  <c r="F11" i="14"/>
  <c r="E12" i="13"/>
  <c r="D12" i="13"/>
  <c r="H12" i="13"/>
  <c r="C12" i="13"/>
  <c r="G12" i="13"/>
  <c r="F12" i="13"/>
  <c r="B11" i="13"/>
  <c r="C11" i="13"/>
  <c r="F11" i="13"/>
  <c r="D11" i="13"/>
  <c r="G11" i="13"/>
  <c r="E11" i="13"/>
  <c r="H11" i="13"/>
  <c r="B12" i="13"/>
  <c r="E13" i="14"/>
  <c r="B13" i="14"/>
  <c r="F13" i="14"/>
  <c r="C13" i="14"/>
  <c r="D13" i="14"/>
  <c r="G13" i="14"/>
  <c r="H13" i="14"/>
  <c r="D13" i="13"/>
  <c r="H13" i="13"/>
  <c r="E13" i="13"/>
  <c r="C13" i="13"/>
  <c r="G13" i="13"/>
  <c r="F13" i="13"/>
  <c r="B13" i="13"/>
  <c r="B14" i="14"/>
  <c r="F14" i="14"/>
  <c r="C14" i="14"/>
  <c r="G14" i="14"/>
  <c r="D14" i="14"/>
  <c r="E14" i="14"/>
  <c r="H14" i="14"/>
  <c r="C14" i="13"/>
  <c r="G14" i="13"/>
  <c r="E14" i="13"/>
  <c r="F14" i="13"/>
  <c r="D14" i="13"/>
  <c r="H14" i="13"/>
  <c r="B14" i="13"/>
  <c r="C15" i="14"/>
  <c r="G15" i="14"/>
  <c r="D15" i="14"/>
  <c r="H15" i="14"/>
  <c r="E15" i="14"/>
  <c r="F15" i="14"/>
  <c r="B15" i="14"/>
  <c r="C15" i="13"/>
  <c r="F15" i="13"/>
  <c r="E15" i="13"/>
  <c r="H15" i="13"/>
  <c r="G15" i="13"/>
  <c r="D15" i="13"/>
  <c r="B15" i="13"/>
  <c r="D16" i="14"/>
  <c r="H16" i="14"/>
  <c r="E16" i="14"/>
  <c r="F16" i="14"/>
  <c r="G16" i="14"/>
  <c r="B16" i="14"/>
  <c r="C16" i="14"/>
  <c r="B16" i="13"/>
  <c r="E16" i="13"/>
  <c r="C16" i="13"/>
  <c r="F16" i="13"/>
  <c r="H16" i="13"/>
  <c r="D16" i="13"/>
  <c r="G16" i="13"/>
  <c r="E17" i="14"/>
  <c r="B17" i="14"/>
  <c r="F17" i="14"/>
  <c r="G17" i="14"/>
  <c r="H17" i="14"/>
  <c r="C17" i="14"/>
  <c r="D17" i="14"/>
  <c r="B17" i="13"/>
  <c r="D17" i="13"/>
  <c r="H17" i="13"/>
  <c r="C17" i="13"/>
  <c r="F17" i="13"/>
  <c r="E17" i="13"/>
  <c r="G17" i="13"/>
  <c r="B18" i="14"/>
  <c r="F18" i="14"/>
  <c r="C18" i="14"/>
  <c r="G18" i="14"/>
  <c r="H18" i="14"/>
  <c r="D18" i="14"/>
  <c r="E18" i="14"/>
  <c r="B18" i="13"/>
  <c r="C18" i="13"/>
  <c r="G18" i="13"/>
  <c r="F18" i="13"/>
  <c r="H18" i="13"/>
  <c r="E18" i="13"/>
  <c r="D18" i="13"/>
  <c r="C19" i="14"/>
  <c r="G19" i="14"/>
  <c r="D19" i="14"/>
  <c r="H19" i="14"/>
  <c r="B19" i="14"/>
  <c r="E19" i="14"/>
  <c r="F19" i="14"/>
  <c r="B19" i="13"/>
  <c r="C19" i="13"/>
  <c r="F19" i="13"/>
  <c r="G19" i="13"/>
  <c r="H19" i="13"/>
  <c r="E19" i="13"/>
  <c r="D19" i="13"/>
  <c r="D20" i="14"/>
  <c r="H20" i="14"/>
  <c r="E20" i="14"/>
  <c r="B20" i="14"/>
  <c r="C20" i="14"/>
  <c r="F20" i="14"/>
  <c r="G20" i="14"/>
  <c r="E20" i="13"/>
  <c r="G20" i="13"/>
  <c r="D20" i="13"/>
  <c r="H20" i="13"/>
  <c r="C20" i="13"/>
  <c r="F20" i="13"/>
  <c r="B20" i="13"/>
  <c r="E21" i="14"/>
  <c r="B21" i="14"/>
  <c r="F21" i="14"/>
  <c r="C21" i="14"/>
  <c r="D21" i="14"/>
  <c r="G21" i="14"/>
  <c r="H21" i="14"/>
  <c r="B21" i="13"/>
  <c r="D21" i="13"/>
  <c r="H21" i="13"/>
  <c r="G21" i="13"/>
  <c r="F21" i="13"/>
  <c r="E21" i="13"/>
  <c r="C21" i="13"/>
  <c r="B22" i="14"/>
  <c r="F22" i="14"/>
  <c r="C22" i="14"/>
  <c r="G22" i="14"/>
  <c r="D22" i="14"/>
  <c r="E22" i="14"/>
  <c r="H22" i="14"/>
  <c r="C22" i="13"/>
  <c r="G22" i="13"/>
  <c r="H22" i="13"/>
  <c r="F22" i="13"/>
  <c r="D22" i="13"/>
  <c r="E22" i="13"/>
  <c r="B22" i="13"/>
  <c r="C23" i="14"/>
  <c r="G23" i="14"/>
  <c r="D23" i="14"/>
  <c r="H23" i="14"/>
  <c r="E23" i="14"/>
  <c r="F23" i="14"/>
  <c r="B23" i="14"/>
  <c r="B23" i="13"/>
  <c r="C23" i="13"/>
  <c r="F23" i="13"/>
  <c r="H23" i="13"/>
  <c r="D23" i="13"/>
  <c r="G23" i="13"/>
  <c r="E23" i="13"/>
  <c r="D24" i="14"/>
  <c r="H24" i="14"/>
  <c r="E24" i="14"/>
  <c r="F24" i="14"/>
  <c r="G24" i="14"/>
  <c r="B24" i="14"/>
  <c r="C24" i="14"/>
  <c r="E26" i="13"/>
  <c r="C25" i="13"/>
  <c r="F25" i="13"/>
  <c r="E25" i="13"/>
  <c r="D25" i="13"/>
  <c r="H25" i="13"/>
  <c r="G25" i="13"/>
  <c r="B25" i="13"/>
  <c r="C24" i="13"/>
  <c r="G24" i="13"/>
  <c r="E24" i="13"/>
  <c r="D24" i="13"/>
  <c r="H24" i="13"/>
  <c r="F24" i="13"/>
  <c r="B24" i="13"/>
  <c r="G26" i="13"/>
  <c r="D26" i="13"/>
  <c r="C26" i="13"/>
  <c r="E25" i="14"/>
  <c r="B25" i="14"/>
  <c r="F25" i="14"/>
  <c r="G25" i="14"/>
  <c r="H25" i="14"/>
  <c r="C25" i="14"/>
  <c r="D25" i="14"/>
  <c r="F27" i="13"/>
  <c r="B26" i="13"/>
  <c r="F26" i="13"/>
  <c r="H26" i="13"/>
  <c r="C27" i="13"/>
  <c r="B26" i="14"/>
  <c r="F26" i="14"/>
  <c r="C26" i="14"/>
  <c r="G26" i="14"/>
  <c r="H26" i="14"/>
  <c r="D26" i="14"/>
  <c r="E26" i="14"/>
  <c r="E27" i="13"/>
  <c r="B27" i="13"/>
  <c r="G27" i="13"/>
  <c r="D27" i="13"/>
  <c r="H27" i="13"/>
  <c r="C27" i="14"/>
  <c r="G27" i="14"/>
  <c r="D27" i="14"/>
  <c r="H27" i="14"/>
  <c r="B27" i="14"/>
  <c r="E27" i="14"/>
  <c r="F27" i="14"/>
  <c r="G28" i="13"/>
  <c r="D28" i="13"/>
  <c r="B28" i="13"/>
  <c r="E28" i="13"/>
  <c r="F28" i="13"/>
  <c r="H28" i="13"/>
  <c r="C28" i="13"/>
  <c r="D28" i="14"/>
  <c r="H28" i="14"/>
  <c r="E28" i="14"/>
  <c r="B28" i="14"/>
  <c r="C28" i="14"/>
  <c r="F28" i="14"/>
  <c r="G28" i="14"/>
  <c r="E29" i="13"/>
  <c r="B29" i="13"/>
  <c r="F29" i="13"/>
  <c r="H29" i="13"/>
  <c r="C29" i="13"/>
  <c r="D29" i="13"/>
  <c r="G29" i="13"/>
  <c r="E29" i="14"/>
  <c r="B29" i="14"/>
  <c r="F29" i="14"/>
  <c r="C29" i="14"/>
  <c r="D29" i="14"/>
  <c r="G29" i="14"/>
  <c r="H29" i="14"/>
  <c r="C30" i="13"/>
  <c r="D30" i="13"/>
  <c r="E30" i="13"/>
  <c r="H30" i="13"/>
  <c r="G30" i="13"/>
  <c r="F30" i="13"/>
  <c r="B30" i="13"/>
  <c r="B30" i="14"/>
  <c r="F30" i="14"/>
  <c r="C30" i="14"/>
  <c r="G30" i="14"/>
  <c r="D30" i="14"/>
  <c r="E30" i="14"/>
  <c r="H30" i="14"/>
  <c r="H31" i="13"/>
  <c r="G31" i="13"/>
  <c r="B31" i="13"/>
  <c r="C31" i="13"/>
  <c r="F31" i="13"/>
  <c r="D31" i="13"/>
  <c r="E31" i="13"/>
  <c r="C31" i="14"/>
  <c r="G31" i="14"/>
  <c r="D31" i="14"/>
  <c r="H31" i="14"/>
  <c r="E31" i="14"/>
  <c r="F31" i="14"/>
  <c r="B31" i="14"/>
  <c r="C32" i="13"/>
  <c r="E32" i="13"/>
  <c r="G32" i="13"/>
  <c r="D32" i="13"/>
  <c r="H32" i="13"/>
  <c r="F32" i="13"/>
  <c r="B32" i="13"/>
  <c r="D32" i="14"/>
  <c r="H32" i="14"/>
  <c r="E32" i="14"/>
  <c r="F32" i="14"/>
  <c r="G32" i="14"/>
  <c r="B32" i="14"/>
  <c r="C32" i="14"/>
  <c r="H33" i="13"/>
  <c r="G33" i="13"/>
  <c r="B33" i="13"/>
  <c r="C33" i="13"/>
  <c r="E33" i="13"/>
  <c r="F33" i="13"/>
  <c r="D33" i="13"/>
  <c r="E33" i="14"/>
  <c r="B33" i="14"/>
  <c r="F33" i="14"/>
  <c r="G33" i="14"/>
  <c r="H33" i="14"/>
  <c r="C33" i="14"/>
  <c r="D33" i="14"/>
  <c r="C34" i="13"/>
  <c r="F34" i="13"/>
  <c r="E34" i="13"/>
  <c r="D34" i="13"/>
  <c r="H34" i="13"/>
  <c r="G34" i="13"/>
  <c r="B34" i="13"/>
  <c r="B34" i="14"/>
  <c r="F34" i="14"/>
  <c r="C34" i="14"/>
  <c r="G34" i="14"/>
  <c r="H34" i="14"/>
  <c r="D34" i="14"/>
  <c r="E34" i="14"/>
  <c r="H35" i="13"/>
  <c r="G35" i="13"/>
  <c r="B35" i="13"/>
  <c r="C35" i="13"/>
  <c r="E35" i="13"/>
  <c r="D35" i="13"/>
  <c r="F35" i="13"/>
  <c r="C35" i="14"/>
  <c r="G35" i="14"/>
  <c r="D35" i="14"/>
  <c r="H35" i="14"/>
  <c r="B35" i="14"/>
  <c r="E35" i="14"/>
  <c r="F35" i="14"/>
  <c r="G36" i="13"/>
  <c r="E36" i="13"/>
  <c r="D36" i="13"/>
  <c r="C36" i="13"/>
  <c r="H36" i="13"/>
  <c r="F36" i="13"/>
  <c r="B36" i="13"/>
  <c r="D36" i="14"/>
  <c r="H36" i="14"/>
  <c r="E36" i="14"/>
  <c r="B36" i="14"/>
  <c r="C36" i="14"/>
  <c r="F36" i="14"/>
  <c r="G36" i="14"/>
  <c r="H38" i="13"/>
  <c r="B38" i="13"/>
  <c r="C38" i="13"/>
  <c r="G38" i="13"/>
  <c r="D38" i="13"/>
  <c r="D39" i="13"/>
  <c r="E38" i="13"/>
  <c r="F38" i="13"/>
  <c r="C37" i="13"/>
  <c r="B37" i="13"/>
  <c r="F37" i="13"/>
  <c r="G37" i="13"/>
  <c r="D37" i="13"/>
  <c r="E37" i="13"/>
  <c r="H37" i="13"/>
  <c r="B39" i="13"/>
  <c r="F39" i="13"/>
  <c r="E39" i="13"/>
  <c r="C39" i="13"/>
  <c r="E37" i="14"/>
  <c r="B37" i="14"/>
  <c r="F37" i="14"/>
  <c r="C37" i="14"/>
  <c r="D37" i="14"/>
  <c r="G37" i="14"/>
  <c r="H37" i="14"/>
  <c r="G40" i="13"/>
  <c r="H39" i="13"/>
  <c r="G39" i="13"/>
  <c r="D40" i="13"/>
  <c r="B40" i="13"/>
  <c r="B38" i="14"/>
  <c r="F38" i="14"/>
  <c r="C38" i="14"/>
  <c r="G38" i="14"/>
  <c r="D38" i="14"/>
  <c r="E38" i="14"/>
  <c r="H38" i="14"/>
  <c r="H40" i="13"/>
  <c r="C40" i="13"/>
  <c r="D41" i="13"/>
  <c r="E40" i="13"/>
  <c r="F40" i="13"/>
  <c r="C39" i="14"/>
  <c r="G39" i="14"/>
  <c r="D39" i="14"/>
  <c r="H39" i="14"/>
  <c r="E39" i="14"/>
  <c r="F39" i="14"/>
  <c r="B39" i="14"/>
  <c r="G41" i="13"/>
  <c r="F41" i="13"/>
  <c r="E42" i="13"/>
  <c r="E41" i="13"/>
  <c r="H41" i="13"/>
  <c r="C41" i="13"/>
  <c r="B41" i="13"/>
  <c r="H42" i="13"/>
  <c r="C42" i="13"/>
  <c r="B42" i="13"/>
  <c r="D42" i="13"/>
  <c r="H43" i="13"/>
  <c r="F42" i="13"/>
  <c r="G42" i="13"/>
  <c r="G43" i="13"/>
  <c r="D43" i="13"/>
  <c r="E43" i="13"/>
  <c r="C43" i="13"/>
  <c r="B43" i="13"/>
  <c r="F43" i="13"/>
  <c r="F44" i="13"/>
  <c r="H44" i="13"/>
  <c r="G44" i="13"/>
  <c r="B44" i="13"/>
  <c r="E44" i="13"/>
  <c r="C45" i="13"/>
  <c r="C44" i="13"/>
  <c r="D44" i="13"/>
  <c r="E45" i="13"/>
  <c r="B45" i="13"/>
  <c r="D45" i="13"/>
  <c r="F45" i="13"/>
  <c r="F46" i="13"/>
  <c r="G45" i="13"/>
  <c r="H45" i="13"/>
  <c r="H46" i="13"/>
  <c r="C46" i="13"/>
  <c r="D47" i="13"/>
  <c r="G46" i="13"/>
  <c r="D46" i="13"/>
  <c r="E46" i="13"/>
  <c r="B46" i="13"/>
  <c r="B47" i="13"/>
  <c r="G47" i="13"/>
  <c r="G48" i="13"/>
  <c r="H47" i="13"/>
  <c r="F47" i="13"/>
  <c r="C47" i="13"/>
  <c r="E47" i="13"/>
  <c r="C48" i="13"/>
  <c r="D48" i="13"/>
  <c r="B48" i="13"/>
  <c r="F48" i="13"/>
  <c r="G49" i="13"/>
  <c r="H48" i="13"/>
  <c r="E48" i="13"/>
  <c r="D49" i="13"/>
  <c r="F49" i="13"/>
  <c r="E50" i="13"/>
  <c r="H49" i="13"/>
  <c r="E49" i="13"/>
  <c r="C49" i="13"/>
  <c r="B49" i="13"/>
  <c r="C50" i="13"/>
  <c r="B50" i="13"/>
  <c r="F50" i="13"/>
  <c r="G50" i="13"/>
  <c r="C51" i="13"/>
  <c r="H50" i="13"/>
  <c r="D50" i="13"/>
  <c r="H52" i="13"/>
  <c r="H51" i="13"/>
  <c r="E51" i="13"/>
  <c r="D51" i="13"/>
  <c r="B51" i="13"/>
  <c r="G51" i="13"/>
  <c r="F51" i="13"/>
  <c r="F52" i="13"/>
  <c r="G52" i="13"/>
  <c r="E52" i="13"/>
  <c r="C52" i="13"/>
  <c r="B52" i="13"/>
  <c r="D52" i="13"/>
  <c r="F53" i="13"/>
  <c r="C53" i="13"/>
  <c r="B53" i="13"/>
  <c r="C54" i="13"/>
  <c r="H53" i="13"/>
  <c r="E53" i="13"/>
  <c r="D53" i="13"/>
  <c r="G53" i="13"/>
  <c r="H54" i="13"/>
  <c r="B54" i="13"/>
  <c r="C55" i="13"/>
  <c r="D54" i="13"/>
  <c r="F54" i="13"/>
  <c r="E54" i="13"/>
  <c r="G54" i="13"/>
  <c r="E55" i="13"/>
  <c r="B55" i="13"/>
  <c r="C56" i="13"/>
  <c r="H55" i="13"/>
  <c r="F55" i="13"/>
  <c r="D55" i="13"/>
  <c r="G55" i="13"/>
  <c r="D56" i="13"/>
  <c r="B56" i="13"/>
  <c r="C57" i="13"/>
  <c r="E56" i="13"/>
  <c r="H56" i="13"/>
  <c r="G56" i="13"/>
  <c r="F56" i="13"/>
  <c r="D57" i="13"/>
  <c r="B57" i="13"/>
  <c r="C58" i="13"/>
  <c r="E57" i="13"/>
  <c r="G57" i="13"/>
  <c r="F57" i="13"/>
  <c r="H57" i="13"/>
  <c r="D58" i="13"/>
  <c r="B58" i="13"/>
  <c r="D59" i="13"/>
  <c r="F58" i="13"/>
  <c r="G58" i="13"/>
  <c r="E58" i="13"/>
  <c r="H58" i="13"/>
  <c r="C59" i="13"/>
  <c r="B59" i="13"/>
  <c r="G60" i="13"/>
  <c r="F59" i="13"/>
  <c r="G59" i="13"/>
  <c r="H59" i="13"/>
  <c r="E59" i="13"/>
  <c r="E60" i="13"/>
  <c r="B60" i="13"/>
  <c r="C61" i="13"/>
  <c r="F60" i="13"/>
  <c r="H60" i="13"/>
  <c r="C60" i="13"/>
  <c r="D60" i="13"/>
  <c r="E61" i="13"/>
  <c r="B61" i="13"/>
  <c r="C62" i="13"/>
  <c r="G61" i="13"/>
  <c r="D61" i="13"/>
  <c r="F61" i="13"/>
  <c r="H61" i="13"/>
  <c r="F62" i="13"/>
  <c r="B62" i="13"/>
  <c r="C63" i="13"/>
  <c r="G62" i="13"/>
  <c r="H62" i="13"/>
  <c r="E62" i="13"/>
  <c r="D62" i="13"/>
  <c r="B63" i="13"/>
  <c r="G63" i="13"/>
  <c r="G64" i="13"/>
  <c r="H63" i="13"/>
  <c r="E63" i="13"/>
  <c r="D63" i="13"/>
  <c r="F63" i="13"/>
  <c r="E64" i="13"/>
  <c r="B64" i="13"/>
  <c r="F65" i="13"/>
  <c r="F64" i="13"/>
  <c r="C64" i="13"/>
  <c r="H64" i="13"/>
  <c r="D64" i="13"/>
  <c r="B65" i="13"/>
  <c r="D65" i="13"/>
  <c r="G65" i="13"/>
  <c r="E65" i="13"/>
  <c r="H65" i="13"/>
  <c r="C65" i="13"/>
</calcChain>
</file>

<file path=xl/sharedStrings.xml><?xml version="1.0" encoding="utf-8"?>
<sst xmlns="http://schemas.openxmlformats.org/spreadsheetml/2006/main" count="2989" uniqueCount="1138">
  <si>
    <t>LV Medium Non-Domestic</t>
  </si>
  <si>
    <t>LV UMS (Pseudo HH Metered)</t>
  </si>
  <si>
    <t>LV Generation Intermittent</t>
  </si>
  <si>
    <t>LV Generation Non-Intermittent</t>
  </si>
  <si>
    <t>LV Sub Generation Intermittent</t>
  </si>
  <si>
    <t>LV Sub Generation Non-Intermittent</t>
  </si>
  <si>
    <t>HV Generation Intermittent</t>
  </si>
  <si>
    <t>HV Generation Non-Intermittent</t>
  </si>
  <si>
    <t>LV Sub Generation NHH</t>
  </si>
  <si>
    <t>Domestic Off Peak (related MPAN)</t>
  </si>
  <si>
    <t>Small Non Domestic Unrestricted</t>
  </si>
  <si>
    <t>Small Non Domestic Two Rate</t>
  </si>
  <si>
    <t>Small Non Domestic Off Peak (related MPAN)</t>
  </si>
  <si>
    <t>LV Sub Medium Non-Domestic</t>
  </si>
  <si>
    <t>HV Medium Non-Domestic</t>
  </si>
  <si>
    <t>LV HH Metered</t>
  </si>
  <si>
    <t>LV Sub HH Metered</t>
  </si>
  <si>
    <t>HV HH Metered</t>
  </si>
  <si>
    <t>5-8</t>
  </si>
  <si>
    <t>LDNO LV: Domestic Unrestricted</t>
  </si>
  <si>
    <t>LDNO LV: Domestic Two Rate</t>
  </si>
  <si>
    <t>LDNO LV: Domestic Off Peak (related MPAN)</t>
  </si>
  <si>
    <t>LDNO LV: Small Non Domestic Unrestricted</t>
  </si>
  <si>
    <t>LDNO LV: Small Non Domestic Two Rate</t>
  </si>
  <si>
    <t>LDNO LV: Small Non Domestic Off Peak (related MPAN)</t>
  </si>
  <si>
    <t>LDNO LV: LV Medium Non-Domestic</t>
  </si>
  <si>
    <t>LDNO LV: LV HH Metered</t>
  </si>
  <si>
    <t>LDNO LV: LV UMS (Pseudo HH Metered)</t>
  </si>
  <si>
    <t>LDNO LV: LV Generation Intermittent</t>
  </si>
  <si>
    <t>LDNO LV: LV Generation Non-Intermittent</t>
  </si>
  <si>
    <t>LDNO HV: Domestic Unrestricted</t>
  </si>
  <si>
    <t>LDNO HV: Domestic Two Rate</t>
  </si>
  <si>
    <t>LDNO HV: Domestic Off Peak (related MPAN)</t>
  </si>
  <si>
    <t>LDNO HV: Small Non Domestic Unrestricted</t>
  </si>
  <si>
    <t>LDNO HV: Small Non Domestic Two Rate</t>
  </si>
  <si>
    <t>LDNO HV: Small Non Domestic Off Peak (related MPAN)</t>
  </si>
  <si>
    <t>LDNO HV: LV Medium Non-Domestic</t>
  </si>
  <si>
    <t>LDNO HV: LV HH Metered</t>
  </si>
  <si>
    <t>LDNO HV: LV Sub HH Metered</t>
  </si>
  <si>
    <t>LDNO HV: HV HH Metered</t>
  </si>
  <si>
    <t>LDNO HV: LV UMS (Pseudo HH Metered)</t>
  </si>
  <si>
    <t>LDNO HV: LV Sub Generation NHH</t>
  </si>
  <si>
    <t>LDNO HV: LV Generation Intermittent</t>
  </si>
  <si>
    <t>LDNO HV: LV Generation Non-Intermittent</t>
  </si>
  <si>
    <t>LDNO HV: LV Sub Generation Intermittent</t>
  </si>
  <si>
    <t>LDNO HV: LV Sub Generation Non-Intermittent</t>
  </si>
  <si>
    <t>LDNO HV: HV Generation Intermittent</t>
  </si>
  <si>
    <t>LDNO HV: HV Generation Non-Intermittent</t>
  </si>
  <si>
    <t>Closed LLFCs</t>
  </si>
  <si>
    <t>Geographical name</t>
  </si>
  <si>
    <t>Notes:</t>
  </si>
  <si>
    <t xml:space="preserve">Unit time periods are as specified in the SSC. </t>
  </si>
  <si>
    <t>All times are UK clock-time.</t>
  </si>
  <si>
    <t>Metered voltage, respective periods and associated LLFCs</t>
  </si>
  <si>
    <t>Period 1</t>
  </si>
  <si>
    <t>Period 2</t>
  </si>
  <si>
    <t>Period 3</t>
  </si>
  <si>
    <t>Period 4</t>
  </si>
  <si>
    <t>Associated LLFC</t>
  </si>
  <si>
    <t>Site</t>
  </si>
  <si>
    <t>Demand</t>
  </si>
  <si>
    <t>Generation</t>
  </si>
  <si>
    <t>LDNO EHV: Domestic Unrestricted</t>
  </si>
  <si>
    <t>LDNO EHV: Domestic Two Rate</t>
  </si>
  <si>
    <t>LDNO EHV: Domestic Off Peak (related MPAN)</t>
  </si>
  <si>
    <t>LDNO EHV: Small Non Domestic Unrestricted</t>
  </si>
  <si>
    <t>LDNO EHV: Small Non Domestic Two Rate</t>
  </si>
  <si>
    <t>LDNO EHV: Small Non Domestic Off Peak (related MPAN)</t>
  </si>
  <si>
    <t>LDNO EHV: LV Medium Non-Domestic</t>
  </si>
  <si>
    <t>LDNO EHV: LV HH Metered</t>
  </si>
  <si>
    <t>LDNO EHV: LV Sub HH Metered</t>
  </si>
  <si>
    <t>LDNO EHV: HV HH Metered</t>
  </si>
  <si>
    <t>LDNO EHV: LV UMS (Pseudo HH Metered)</t>
  </si>
  <si>
    <t>LDNO EHV: LV Sub Generation NHH</t>
  </si>
  <si>
    <t>LDNO EHV: LV Generation Intermittent</t>
  </si>
  <si>
    <t>LDNO EHV: LV Generation Non-Intermittent</t>
  </si>
  <si>
    <t>LDNO EHV: LV Sub Generation Intermittent</t>
  </si>
  <si>
    <t>LDNO EHV: LV Sub Generation Non-Intermittent</t>
  </si>
  <si>
    <t>LDNO EHV: HV Generation Intermittent</t>
  </si>
  <si>
    <t>LDNO EHV: HV Generation Non-Intermittent</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</si>
  <si>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</si>
  <si>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</si>
  <si>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</si>
  <si>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</si>
  <si>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</si>
  <si>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</si>
  <si>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</si>
  <si>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</si>
  <si>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</si>
  <si>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</si>
  <si>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</si>
  <si>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</si>
  <si>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</si>
  <si>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</si>
  <si>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</si>
  <si>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</si>
  <si>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</si>
  <si>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LDNO HVplus: Domestic Unrestricted</t>
  </si>
  <si>
    <t>LDNO HVplus: Domestic Two Rate</t>
  </si>
  <si>
    <t>LDNO HVplus: Domestic Off Peak (related MPAN)</t>
  </si>
  <si>
    <t>LDNO HVplus: Small Non Domestic Unrestricted</t>
  </si>
  <si>
    <t>LDNO HVplus: Small Non Domestic Two Rate</t>
  </si>
  <si>
    <t>LDNO HVplus: Small Non Domestic Off Peak (related MPAN)</t>
  </si>
  <si>
    <t>LDNO HVplus: LV Medium Non-Domestic</t>
  </si>
  <si>
    <t>LDNO HVplus: LV Sub Medium Non-Domestic</t>
  </si>
  <si>
    <t>LDNO HVplus: HV Medium Non-Domestic</t>
  </si>
  <si>
    <t>LDNO HVplus: LV HH Metered</t>
  </si>
  <si>
    <t>LDNO HVplus: LV Sub HH Metered</t>
  </si>
  <si>
    <t>LDNO HVplus: HV HH Metered</t>
  </si>
  <si>
    <t>LDNO HVplus: LV UMS (Pseudo HH Metered)</t>
  </si>
  <si>
    <t>LDNO HVplus: LV Sub Generation NHH</t>
  </si>
  <si>
    <t>LDNO HVplus: LV Generation Intermittent</t>
  </si>
  <si>
    <t>LDNO HVplus: LV Generation Non-Intermittent</t>
  </si>
  <si>
    <t>LDNO HVplus: LV Sub Generation Intermittent</t>
  </si>
  <si>
    <t>LDNO HVplus: LV Sub Generation Non-Intermittent</t>
  </si>
  <si>
    <t>LDNO HVplus: HV Generation Intermittent</t>
  </si>
  <si>
    <t>LDNO HVplus: HV Generation Non-Intermittent</t>
  </si>
  <si>
    <t>LDNO EHV: LV Sub Medium Non-Domestic</t>
  </si>
  <si>
    <t>LDNO EHV: HV Medium Non-Domestic</t>
  </si>
  <si>
    <t>LDNO 132kV/EHV: Domestic Unrestricted</t>
  </si>
  <si>
    <t>LDNO 132kV/EHV: Domestic Two Rate</t>
  </si>
  <si>
    <t>LDNO 132kV/EHV: Domestic Off Peak (related MPAN)</t>
  </si>
  <si>
    <t>LDNO 132kV/EHV: Small Non Domestic Unrestricted</t>
  </si>
  <si>
    <t>LDNO 132kV/EHV: Small Non Domestic Two Rate</t>
  </si>
  <si>
    <t>LDNO 132kV/EHV: Small Non Domestic Off Peak (related MPAN)</t>
  </si>
  <si>
    <t>LDNO 132kV/EHV: LV Medium Non-Domestic</t>
  </si>
  <si>
    <t>LDNO 132kV/EHV: LV Sub Medium Non-Domestic</t>
  </si>
  <si>
    <t>LDNO 132kV/EHV: HV Medium Non-Domestic</t>
  </si>
  <si>
    <t>LDNO 132kV/EHV: LV HH Metered</t>
  </si>
  <si>
    <t>LDNO 132kV/EHV: LV Sub HH Metered</t>
  </si>
  <si>
    <t>LDNO 132kV/EHV: HV HH Metered</t>
  </si>
  <si>
    <t>LDNO 132kV/EHV: LV UMS (Pseudo HH Metered)</t>
  </si>
  <si>
    <t>LDNO 132kV/EHV: LV Sub Generation NHH</t>
  </si>
  <si>
    <t>LDNO 132kV/EHV: LV Generation Intermittent</t>
  </si>
  <si>
    <t>LDNO 132kV/EHV: LV Generation Non-Intermittent</t>
  </si>
  <si>
    <t>LDNO 132kV/EHV: LV Sub Generation Intermittent</t>
  </si>
  <si>
    <t>LDNO 132kV/EHV: LV Sub Generation Non-Intermittent</t>
  </si>
  <si>
    <t>LDNO 132kV/EHV: HV Generation Intermittent</t>
  </si>
  <si>
    <t>LDNO 132kV/EHV: HV Generation Non-Intermittent</t>
  </si>
  <si>
    <t>LDNO 132kV: Domestic Unrestricted</t>
  </si>
  <si>
    <t>LDNO 132kV: Domestic Two Rate</t>
  </si>
  <si>
    <t>LDNO 132kV: Domestic Off Peak (related MPAN)</t>
  </si>
  <si>
    <t>LDNO 132kV: Small Non Domestic Unrestricted</t>
  </si>
  <si>
    <t>LDNO 132kV: Small Non Domestic Two Rate</t>
  </si>
  <si>
    <t>LDNO 132kV: Small Non Domestic Off Peak (related MPAN)</t>
  </si>
  <si>
    <t>LDNO 132kV: LV Medium Non-Domestic</t>
  </si>
  <si>
    <t>LDNO 132kV: LV Sub Medium Non-Domestic</t>
  </si>
  <si>
    <t>LDNO 132kV: HV Medium Non-Domestic</t>
  </si>
  <si>
    <t>LDNO 132kV: LV HH Metered</t>
  </si>
  <si>
    <t>LDNO 132kV: LV Sub HH Metered</t>
  </si>
  <si>
    <t>LDNO 132kV: HV HH Metered</t>
  </si>
  <si>
    <t>LDNO 132kV: LV UMS (Pseudo HH Metered)</t>
  </si>
  <si>
    <t>LDNO 132kV: LV Sub Generation NHH</t>
  </si>
  <si>
    <t>LDNO 132kV: LV Generation Intermittent</t>
  </si>
  <si>
    <t>LDNO 132kV: LV Generation Non-Intermittent</t>
  </si>
  <si>
    <t>LDNO 132kV: LV Sub Generation Intermittent</t>
  </si>
  <si>
    <t>LDNO 132kV: LV Sub Generation Non-Intermittent</t>
  </si>
  <si>
    <t>LDNO 132kV: HV Generation Intermittent</t>
  </si>
  <si>
    <t>LDNO 132kV: HV Generation Non-Intermittent</t>
  </si>
  <si>
    <t>LDNO 0000: Domestic Unrestricted</t>
  </si>
  <si>
    <t>LDNO 0000: Domestic Two Rate</t>
  </si>
  <si>
    <t>LDNO 0000: Domestic Off Peak (related MPAN)</t>
  </si>
  <si>
    <t>LDNO 0000: Small Non Domestic Unrestricted</t>
  </si>
  <si>
    <t>LDNO 0000: Small Non Domestic Two Rate</t>
  </si>
  <si>
    <t>LDNO 0000: Small Non Domestic Off Peak (related MPAN)</t>
  </si>
  <si>
    <t>LDNO 0000: LV Medium Non-Domestic</t>
  </si>
  <si>
    <t>LDNO 0000: LV Sub Medium Non-Domestic</t>
  </si>
  <si>
    <t>LDNO 0000: HV Medium Non-Domestic</t>
  </si>
  <si>
    <t>LDNO 0000: LV HH Metered</t>
  </si>
  <si>
    <t>LDNO 0000: LV Sub HH Metered</t>
  </si>
  <si>
    <t>LDNO 0000: HV HH Metered</t>
  </si>
  <si>
    <t>LDNO 0000: LV UMS (Pseudo HH Metered)</t>
  </si>
  <si>
    <t>LDNO 0000: LV Sub Generation NHH</t>
  </si>
  <si>
    <t>LDNO 0000: LV Generation Intermittent</t>
  </si>
  <si>
    <t>LDNO 0000: LV Generation Non-Intermittent</t>
  </si>
  <si>
    <t>LDNO 0000: LV Sub Generation Intermittent</t>
  </si>
  <si>
    <t>LDNO 0000: LV Sub Generation Non-Intermittent</t>
  </si>
  <si>
    <t>LDNO 0000: HV Generation Intermittent</t>
  </si>
  <si>
    <t>LDNO 0000: HV Generation Non-Intermittent</t>
  </si>
  <si>
    <t>Annex 5 LLFs</t>
  </si>
  <si>
    <t>Name</t>
  </si>
  <si>
    <t>Note: The list of MPANs / MSIDs provided may be incomplete; the DNO reserves the right to apply the listed charges to any other MPANs / MSIDs associated with the site.</t>
  </si>
  <si>
    <t>NHH UMS category A</t>
  </si>
  <si>
    <t>NHH UMS category B</t>
  </si>
  <si>
    <t>NHH UMS category C</t>
  </si>
  <si>
    <t>NHH UMS category D</t>
  </si>
  <si>
    <t>LDNO LV: NHH UMS category A</t>
  </si>
  <si>
    <t>LDNO LV: NHH UMS category B</t>
  </si>
  <si>
    <t>LDNO LV: NHH UMS category C</t>
  </si>
  <si>
    <t>LDNO LV: NHH UMS category D</t>
  </si>
  <si>
    <t>LDNO HV: NHH UMS category A</t>
  </si>
  <si>
    <t>LDNO HV: NHH UMS category B</t>
  </si>
  <si>
    <t>LDNO HV: NHH UMS category C</t>
  </si>
  <si>
    <t>LDNO HV: NHH UMS category D</t>
  </si>
  <si>
    <t>Unique billing identifier</t>
  </si>
  <si>
    <t>LDNO HVplus: NHH UMS category A</t>
  </si>
  <si>
    <t>LDNO HVplus: NHH UMS category B</t>
  </si>
  <si>
    <t>LDNO HVplus: NHH UMS category C</t>
  </si>
  <si>
    <t>LDNO HVplus: NHH UMS category D</t>
  </si>
  <si>
    <t>LDNO EHV: NHH UMS category A</t>
  </si>
  <si>
    <t>LDNO EHV: NHH UMS category B</t>
  </si>
  <si>
    <t>LDNO EHV: NHH UMS category C</t>
  </si>
  <si>
    <t>LDNO EHV: NHH UMS category D</t>
  </si>
  <si>
    <t>LDNO 132kV/EHV: NHH UMS category A</t>
  </si>
  <si>
    <t>LDNO 132kV/EHV: NHH UMS category B</t>
  </si>
  <si>
    <t>LDNO 132kV/EHV: NHH UMS category C</t>
  </si>
  <si>
    <t>LDNO 132kV/EHV: NHH UMS category D</t>
  </si>
  <si>
    <t>LDNO 132kV: NHH UMS category A</t>
  </si>
  <si>
    <t>LDNO 132kV: NHH UMS category B</t>
  </si>
  <si>
    <t>LDNO 132kV: NHH UMS category C</t>
  </si>
  <si>
    <t>LDNO 132kV: NHH UMS category D</t>
  </si>
  <si>
    <t>LDNO 0000: NHH UMS category A</t>
  </si>
  <si>
    <t>LDNO 0000: NHH UMS category B</t>
  </si>
  <si>
    <t>LDNO 0000: NHH UMS category C</t>
  </si>
  <si>
    <t>LDNO 0000: NHH UMS category D</t>
  </si>
  <si>
    <t>Standard Settlement Configuration Id</t>
  </si>
  <si>
    <t>Time Pattern Regime Id</t>
  </si>
  <si>
    <t>Standard Settlement Configuration Desc</t>
  </si>
  <si>
    <t>Common Decode</t>
  </si>
  <si>
    <t>10-hour OP</t>
  </si>
  <si>
    <t>O</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</si>
  <si>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</si>
  <si>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</si>
  <si>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</si>
  <si>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</si>
  <si>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</si>
  <si>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</si>
  <si>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</si>
  <si>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</si>
  <si>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</si>
  <si>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</si>
  <si>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</si>
  <si>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</si>
  <si>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</si>
  <si>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</si>
  <si>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</si>
  <si>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</si>
  <si>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</si>
  <si>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</si>
  <si>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</si>
  <si>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</si>
  <si>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</si>
  <si>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</si>
  <si>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</si>
  <si>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</si>
  <si>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</si>
  <si>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</si>
  <si>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</si>
  <si>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</si>
  <si>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</si>
  <si>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</si>
  <si>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</si>
  <si>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</si>
  <si>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</si>
  <si>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</si>
  <si>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</si>
  <si>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</si>
  <si>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</si>
  <si>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</si>
  <si>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</si>
  <si>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</si>
  <si>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</si>
  <si>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</si>
  <si>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closed - no longer exists - was used SPM only</t>
  </si>
  <si>
    <t>5-rate SToD</t>
  </si>
  <si>
    <t>6-rate SToD</t>
  </si>
  <si>
    <t>7-hour OP (see also SSC 0185)</t>
  </si>
  <si>
    <t>Smart 7, heating</t>
  </si>
  <si>
    <t>7-hour E7 (Cornwall &amp; def reinforcement)</t>
  </si>
  <si>
    <t>Supertariff heating</t>
  </si>
  <si>
    <t>7-hour E7 (differential switching)</t>
  </si>
  <si>
    <t>7-hour night</t>
  </si>
  <si>
    <t>Key Meter pseudo 2-rate</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</si>
  <si>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</si>
  <si>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</si>
  <si>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</si>
  <si>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</si>
  <si>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</si>
  <si>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</si>
  <si>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</si>
  <si>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</si>
  <si>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</si>
  <si>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</si>
  <si>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</si>
  <si>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</si>
  <si>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</si>
  <si>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</si>
  <si>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</si>
  <si>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</si>
  <si>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</si>
  <si>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</si>
  <si>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</si>
  <si>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</si>
  <si>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</si>
  <si>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</si>
  <si>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</si>
  <si>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</si>
  <si>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</si>
  <si>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</si>
  <si>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</si>
  <si>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</si>
  <si>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</si>
  <si>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</si>
  <si>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</si>
  <si>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</si>
  <si>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</si>
  <si>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</si>
  <si>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</si>
  <si>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</si>
  <si>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</si>
  <si>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</si>
  <si>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</si>
  <si>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</si>
  <si>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</si>
  <si>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</si>
  <si>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</si>
  <si>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</si>
  <si>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</si>
  <si>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</si>
  <si>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</si>
  <si>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</si>
  <si>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</si>
  <si>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</si>
  <si>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</si>
  <si>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</si>
  <si>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</si>
  <si>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</si>
  <si>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</si>
  <si>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</si>
  <si>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</si>
  <si>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</si>
  <si>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</si>
  <si>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</si>
  <si>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</si>
  <si>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</si>
  <si>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</si>
  <si>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</si>
  <si>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</si>
  <si>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</si>
  <si>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</si>
  <si>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</si>
  <si>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</si>
  <si>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</si>
  <si>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</si>
  <si>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</si>
  <si>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</si>
  <si>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</si>
  <si>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</si>
  <si>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</si>
  <si>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</si>
  <si>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</si>
  <si>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</si>
  <si>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</si>
  <si>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</si>
  <si>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</si>
  <si>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</si>
  <si>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</si>
  <si>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</si>
  <si>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</si>
  <si>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</si>
  <si>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</si>
  <si>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</si>
  <si>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</si>
  <si>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</si>
  <si>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</si>
  <si>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</si>
  <si>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</si>
  <si>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</si>
  <si>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</si>
  <si>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</si>
  <si>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</si>
  <si>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</si>
  <si>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</si>
  <si>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</si>
  <si>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</si>
  <si>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G</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</si>
  <si>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</si>
  <si>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</si>
  <si>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</si>
  <si>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</si>
  <si>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</si>
  <si>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</si>
  <si>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</si>
  <si>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</si>
  <si>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</si>
  <si>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</si>
  <si>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</si>
  <si>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</si>
  <si>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</si>
  <si>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</si>
  <si>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</si>
  <si>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</si>
  <si>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</si>
  <si>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</si>
  <si>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</si>
  <si>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</si>
  <si>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</si>
  <si>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</si>
  <si>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</si>
  <si>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</si>
  <si>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</si>
  <si>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</si>
  <si>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</si>
  <si>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</si>
  <si>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</si>
  <si>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</si>
  <si>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</si>
  <si>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</si>
  <si>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</si>
  <si>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</si>
  <si>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</si>
  <si>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</si>
  <si>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</si>
  <si>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</si>
  <si>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</si>
  <si>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</si>
  <si>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</si>
  <si>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</si>
  <si>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</si>
  <si>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</si>
  <si>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</si>
  <si>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</si>
  <si>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</si>
  <si>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</si>
  <si>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</si>
  <si>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</si>
  <si>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</si>
  <si>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</si>
  <si>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</si>
  <si>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</si>
  <si>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</si>
  <si>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</si>
  <si>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</si>
  <si>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</si>
  <si>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</si>
  <si>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General Purpose 2 Rate (paired with 0980</t>
  </si>
  <si>
    <t>E10 Heating Single Rate (prd with 0981)</t>
  </si>
  <si>
    <t>Evening/Weekend - BST</t>
  </si>
  <si>
    <t>Change implemented</t>
  </si>
  <si>
    <t>Date</t>
  </si>
  <si>
    <t>Comments</t>
  </si>
  <si>
    <t>First published spreadsheet</t>
  </si>
  <si>
    <t>SSC 0330 charge rates corrected</t>
  </si>
  <si>
    <t>Previous rate 1 corrected to Off Peak O</t>
  </si>
  <si>
    <t>New SSCs added</t>
  </si>
  <si>
    <t>New SSCs from 0953 added.</t>
  </si>
  <si>
    <t>Previous Off-peak rate corrected to charge 2</t>
  </si>
  <si>
    <t>SSC TPR to unit rate lookup table</t>
  </si>
  <si>
    <t>The time periods for the non half hourly metered charge rates in Annex 1 are as specified by the SSC. To determine the appropriate charge rate for each SSC/TPR a lookup table is provided.</t>
  </si>
  <si>
    <t>SSC 0250 charge rate corrected</t>
  </si>
  <si>
    <t>SSC 0134 charge rate corrected</t>
  </si>
  <si>
    <t>TPR 00101 corrected from Off Peak O to Rate 1</t>
  </si>
  <si>
    <t>Nodal prices</t>
  </si>
  <si>
    <t>Reactive power charge
p/kVArh</t>
  </si>
  <si>
    <t>NHH preserved charges/additional LLFCs</t>
  </si>
  <si>
    <t>HH preserved charges/additional LLFCs</t>
  </si>
  <si>
    <t>Local charge 1
£/kVA</t>
  </si>
  <si>
    <t>Remote charge 1
£/kVA</t>
  </si>
  <si>
    <t>EMEB or MIDE only</t>
  </si>
  <si>
    <t>Unsupported (SWEB)</t>
  </si>
  <si>
    <t>O or Unsupported (SWEB)</t>
  </si>
  <si>
    <t>2 or Unsupported (SWEB)</t>
  </si>
  <si>
    <t>1 or Unsupported (SWEB)</t>
  </si>
  <si>
    <t>2 or Unsupported (SWAE)</t>
  </si>
  <si>
    <t>1 or Unsupported (SWAE)</t>
  </si>
  <si>
    <t>1 or Unsupported (SWAE and SWEB)</t>
  </si>
  <si>
    <t>Unsupported (SWAE)</t>
  </si>
  <si>
    <t>2 or Unsupported (SWAE and SWEB)</t>
  </si>
  <si>
    <t>2 Rate Saturday Off Peak</t>
  </si>
  <si>
    <t>LLFC</t>
  </si>
  <si>
    <t>Import MPANs/MSIDs</t>
  </si>
  <si>
    <t>Export MPANs/MSIDs</t>
  </si>
  <si>
    <t>Annex 1 LV and HV charges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</si>
  <si>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</si>
  <si>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</si>
  <si>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</si>
  <si>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</si>
  <si>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Generic demand and generation LLFs</t>
  </si>
  <si>
    <t>Metered voltage</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</si>
  <si>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</si>
  <si>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</si>
  <si>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</si>
  <si>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</si>
  <si>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</si>
  <si>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</si>
  <si>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</si>
  <si>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</si>
  <si>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</si>
  <si>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</si>
  <si>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</si>
  <si>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</si>
  <si>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</si>
  <si>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</si>
  <si>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</si>
  <si>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Bands for Half Hourly Unmetered Properties</t>
  </si>
  <si>
    <t>Time Bands for Half Hourly Metered Properties</t>
  </si>
  <si>
    <t>Time Periods for Designated EHV Properties</t>
  </si>
  <si>
    <t>General Purpose 2 Rate (paired wth 0950)</t>
  </si>
  <si>
    <t>E10 Heating Single Rate (prd wth 0949)</t>
  </si>
  <si>
    <t>E9 Heating</t>
  </si>
  <si>
    <t>General Purpose 2 Rate (paired wth 0951)</t>
  </si>
  <si>
    <t>Saturday Off Peak (9-5)</t>
  </si>
  <si>
    <t>Sunday Off Peak (9-5)</t>
  </si>
  <si>
    <t>Evening Saver</t>
  </si>
  <si>
    <t>Comfort Booster</t>
  </si>
  <si>
    <t xml:space="preserve">Please use this spreadsheet with reference to the LC14 use of system charging statement. </t>
  </si>
  <si>
    <t>Table reviewed and updated</t>
  </si>
  <si>
    <t>New SSCs from 0949 to 0952, 0975 &amp; 0976 and 0982 &amp; 0983 added.</t>
  </si>
  <si>
    <t>SSC 0394 charge rate corrected</t>
  </si>
  <si>
    <t>TPR 01177 corrected to rate 2</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</si>
  <si>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</si>
  <si>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</si>
  <si>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LV and HV tariff calculator</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</si>
  <si>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</si>
  <si>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</si>
  <si>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</si>
  <si>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</si>
  <si>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</si>
  <si>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</si>
  <si>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</si>
  <si>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</si>
  <si>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</si>
  <si>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</si>
  <si>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</si>
  <si>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</si>
  <si>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</si>
  <si>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</si>
  <si>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</si>
  <si>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EHV site calculator</t>
  </si>
  <si>
    <t>Unit 1
kWh
(red/black/day)</t>
  </si>
  <si>
    <t>Unit 2
kWh
(amber/yellow
/night)</t>
  </si>
  <si>
    <t>Unit 3
kWh
(green)</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</si>
  <si>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</si>
  <si>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</si>
  <si>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</si>
  <si>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</si>
  <si>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</si>
  <si>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</si>
  <si>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</si>
  <si>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</si>
  <si>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</si>
  <si>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</si>
  <si>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</si>
  <si>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</si>
  <si>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</si>
  <si>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</si>
  <si>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</si>
  <si>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</si>
  <si>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</si>
  <si>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</si>
  <si>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</si>
  <si>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</si>
  <si>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</si>
  <si>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</si>
  <si>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</si>
  <si>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</si>
  <si>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</si>
  <si>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Saturday Off Peak (24 Hrs)</t>
  </si>
  <si>
    <t>Sunday Off Peak (24 Hrs)</t>
  </si>
  <si>
    <t>New SSCs from 0984 and 0985 added.</t>
  </si>
  <si>
    <t>LV Network Non-Domestic Non-CT</t>
  </si>
  <si>
    <t>LV Generation NHH or Aggregate HH</t>
  </si>
  <si>
    <t>LDNO LV: LV Network Domestic</t>
  </si>
  <si>
    <t>LDNO LV: LV Network Non-Domestic Non-CT</t>
  </si>
  <si>
    <t>LDNO LV: LV Generation NHH or Aggregate HH</t>
  </si>
  <si>
    <t>LDNO HV: LV Network Domestic</t>
  </si>
  <si>
    <t>LDNO HV: LV Network Non-Domestic Non-CT</t>
  </si>
  <si>
    <t>LDNO HV: LV Generation NHH or Aggregate HH</t>
  </si>
  <si>
    <t>LDNO HVplus: LV Network Domestic</t>
  </si>
  <si>
    <t>LDNO HVplus: LV Network Non-Domestic Non-CT</t>
  </si>
  <si>
    <t>LDNO HVplus: LV Generation NHH or Aggregate HH</t>
  </si>
  <si>
    <t>LDNO EHV: LV Network Domestic</t>
  </si>
  <si>
    <t>LDNO EHV: LV Network Non-Domestic Non-CT</t>
  </si>
  <si>
    <t>LDNO EHV: LV Generation NHH or Aggregate HH</t>
  </si>
  <si>
    <t>LDNO 132kV/EHV: LV Network Domestic</t>
  </si>
  <si>
    <t>LDNO 132kV/EHV: LV Network Non-Domestic Non-CT</t>
  </si>
  <si>
    <t>LDNO 132kV/EHV: LV Generation NHH or Aggregate HH</t>
  </si>
  <si>
    <t>LDNO 132kV: LV Network Domestic</t>
  </si>
  <si>
    <t>LDNO 132kV: LV Network Non-Domestic Non-CT</t>
  </si>
  <si>
    <t>LDNO 132kV: LV Generation NHH or Aggregate HH</t>
  </si>
  <si>
    <t>LDNO 0000: LV Network Domestic</t>
  </si>
  <si>
    <t>LDNO 0000: LV Network Non-Domestic Non-CT</t>
  </si>
  <si>
    <t>LDNO 0000: LV Generation NHH or Aggregate HH</t>
  </si>
  <si>
    <t>SSC 0935 charge code corrected</t>
  </si>
  <si>
    <t>SSC 0313 charge code corrected</t>
  </si>
  <si>
    <t>TPR 01006 corrected to code O</t>
  </si>
  <si>
    <t>SSC 0320 charge code corrected</t>
  </si>
  <si>
    <t>TPR 00072 corrected to code 2</t>
  </si>
  <si>
    <t>SSC 0781 charge code corrected</t>
  </si>
  <si>
    <t>SSC 0953 charge code corrected</t>
  </si>
  <si>
    <t>TPR 00424 corrected to code 1 or Unsupported (SWAE and SWEB)</t>
  </si>
  <si>
    <t>SSC 0955 charge code corrected</t>
  </si>
  <si>
    <t>TPR 00206 corrected to code 2</t>
  </si>
  <si>
    <t>TPR 00430 corrected to code 1</t>
  </si>
  <si>
    <t>SSC 0956 charge code corrected</t>
  </si>
  <si>
    <t>TPR 00160 corrected to code 2</t>
  </si>
  <si>
    <t>SSC 0959 charge code corrected</t>
  </si>
  <si>
    <t>TPR 00160 corrected to code 1</t>
  </si>
  <si>
    <t>SSC 0960 charge code corrected</t>
  </si>
  <si>
    <t>TPR 00441 corrected to code 1</t>
  </si>
  <si>
    <t>SSC 0963 charge code corrected</t>
  </si>
  <si>
    <t>SSC 0964 charge code corrected</t>
  </si>
  <si>
    <t>SSC 0965 charge code corrected</t>
  </si>
  <si>
    <t>TPR 00194 corrected to code 2</t>
  </si>
  <si>
    <t>SSC 0969 charge code corrected</t>
  </si>
  <si>
    <t>TPR 00501 corrected to code 1</t>
  </si>
  <si>
    <t>SSC 0984 charge code corrected</t>
  </si>
  <si>
    <t>TPR 00512 corrected to code 1</t>
  </si>
  <si>
    <t>TPR 00513 corrected to code 2</t>
  </si>
  <si>
    <t>SSC 0985 charge code corrected</t>
  </si>
  <si>
    <t>TPR 00514 corrected to code 1</t>
  </si>
  <si>
    <t>TPR 00515 corrected to code 2</t>
  </si>
  <si>
    <t>TPR 00375 corrected to code 1 or Unsupported (SWAE and SWEB)</t>
  </si>
  <si>
    <t>TPR 00327 corrected to code O</t>
  </si>
  <si>
    <t>SSC 0403 charge code corrected</t>
  </si>
  <si>
    <t>TPR 01179 corrected to code 2</t>
  </si>
  <si>
    <t>Import
LLF
period 2</t>
  </si>
  <si>
    <t>Import
LLF
period 1</t>
  </si>
  <si>
    <t>Import
LLF
period 3</t>
  </si>
  <si>
    <t>Import
LLF
period 4</t>
  </si>
  <si>
    <t>Import
LLF
period 5</t>
  </si>
  <si>
    <t>Export
LLF
period 1</t>
  </si>
  <si>
    <t>Export
LLF
period 2</t>
  </si>
  <si>
    <t>Export
LLF
period 3</t>
  </si>
  <si>
    <t>Export
LLF
period 4</t>
  </si>
  <si>
    <t>Export
LLF
period 5</t>
  </si>
  <si>
    <t>Import
capacity charge
(p/kVA/day)</t>
  </si>
  <si>
    <t>Export
capacity charge
(p/kVA/day)</t>
  </si>
  <si>
    <t>Unit charge 1
(NHH)
p/kWh</t>
  </si>
  <si>
    <t>Unit charge 2
(NHH)
p/kWh</t>
  </si>
  <si>
    <t>Import
Super Red
unit charge
(p/kWh)</t>
  </si>
  <si>
    <t>Export
Super Red
unit charge
(p/kWh)</t>
  </si>
  <si>
    <t>Unit charge 1 (NHH)
or red/black charge (HH)
p/kWh</t>
  </si>
  <si>
    <t>Unit charge 2 (NHH)
or amber/yellow charge (HH)
p/kWh</t>
  </si>
  <si>
    <t>Green charge(HH)
p/kWh</t>
  </si>
  <si>
    <t>Red/black charge (HH)
p/kWh</t>
  </si>
  <si>
    <t>Amber/yellow charge (HH)
p/kWh</t>
  </si>
  <si>
    <t>Green charge (HH)
p/kWh</t>
  </si>
  <si>
    <t>The drop down list on the charge calculator can be expanded by unprotecting the charge calculator sheet and selecting 'data', 'data validation...' and then expanding the 'source' data range. The sheet can then be protected.</t>
  </si>
  <si>
    <t>Final</t>
  </si>
  <si>
    <t>Company and Licence name, charging year, effective from, status</t>
  </si>
  <si>
    <t>Company and Licence name</t>
  </si>
  <si>
    <t>SSC 0058 description updated</t>
  </si>
  <si>
    <t>SSC 0126 description updated</t>
  </si>
  <si>
    <t>SSC 0927 description updated</t>
  </si>
  <si>
    <t>SSC 0928 description updated</t>
  </si>
  <si>
    <t>SSC 0252 charge code corrected</t>
  </si>
  <si>
    <t>TPR 00212 corrected to code O</t>
  </si>
  <si>
    <t>SSC 0253 charge code corrected</t>
  </si>
  <si>
    <t>TPR 01290 corrected to code O</t>
  </si>
  <si>
    <t>SSC 0268 charge code corrected</t>
  </si>
  <si>
    <t>TPR 00193 corrected to code O</t>
  </si>
  <si>
    <t>SSC 0316 charge code corrected</t>
  </si>
  <si>
    <t>TPR 00053 corrected to code 2</t>
  </si>
  <si>
    <t>SSC 0319 charge code corrected</t>
  </si>
  <si>
    <t>TPR 00071 corrected to code 2</t>
  </si>
  <si>
    <t>SSC 0775 charge code corrected</t>
  </si>
  <si>
    <t>TPR 00334 corrected to code O</t>
  </si>
  <si>
    <t>SSC 0776 charge code corrected</t>
  </si>
  <si>
    <t>TPR 00335 corrected to code O</t>
  </si>
  <si>
    <t>SSC 0916 charge code corrected</t>
  </si>
  <si>
    <t>TPR 00315 corrected to code 2</t>
  </si>
  <si>
    <t>TPR 00316 corrected to code 1</t>
  </si>
  <si>
    <t>SSC 0917 charge code corrected</t>
  </si>
  <si>
    <t>TPR 00279 corrected to code 2</t>
  </si>
  <si>
    <t>TPR 00280 corrected to code 1</t>
  </si>
  <si>
    <t>SSC 0942 charge code corrected</t>
  </si>
  <si>
    <t>TPR 00400 corrected to code 1</t>
  </si>
  <si>
    <t>SSC 0943 charge code corrected</t>
  </si>
  <si>
    <t>TPR 00404 corrected to code 1</t>
  </si>
  <si>
    <t>SSC 0944 charge code corrected</t>
  </si>
  <si>
    <t>TPR 00406 corrected to code 1</t>
  </si>
  <si>
    <t>SSC 0945 charge code corrected</t>
  </si>
  <si>
    <t>TPR 00408 corrected to code 1</t>
  </si>
  <si>
    <t>SSC 0946 charge code corrected</t>
  </si>
  <si>
    <t>TPR 00410 corrected to code 1</t>
  </si>
  <si>
    <t>SSC 0954 charge code corrected</t>
  </si>
  <si>
    <t>TPR 00426 corrected to code 1</t>
  </si>
  <si>
    <t>SSC 0967 charge code corrected</t>
  </si>
  <si>
    <t>TPR 00442 corrected to code 1</t>
  </si>
  <si>
    <t>SSC 0970 charge code corrected</t>
  </si>
  <si>
    <t>TPR 00447 corrected to code 2</t>
  </si>
  <si>
    <t>TPR 00448 corrected to code 1</t>
  </si>
  <si>
    <t>SSC 0971 charge code corrected</t>
  </si>
  <si>
    <t>TPR 00493 corrected to code 1</t>
  </si>
  <si>
    <t>Year</t>
  </si>
  <si>
    <t>Tariff name</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</si>
  <si>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</si>
  <si>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</si>
  <si>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</si>
  <si>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</si>
  <si>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</si>
  <si>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</si>
  <si>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</si>
  <si>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LV Generation Intermittent no RP charge</t>
  </si>
  <si>
    <t>LV Generation Non-Intermittent no RP charge</t>
  </si>
  <si>
    <t>LV Sub Generation Intermittent no RP charge</t>
  </si>
  <si>
    <t>LV Sub Generation Non-Intermittent no RP charge</t>
  </si>
  <si>
    <t>HV Generation Intermittent no RP charge</t>
  </si>
  <si>
    <t>HV Generation Non-Intermittent no RP charge</t>
  </si>
  <si>
    <t>Note: Where a tariff only has a p/kWh unit rate in Unit Charge 1 then this unit rate applies at all times.</t>
  </si>
  <si>
    <t>Annex 1 contains the charges to LV and HV Designated Properties.</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</si>
  <si>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</si>
  <si>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</si>
  <si>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</si>
  <si>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</si>
  <si>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</si>
  <si>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</si>
  <si>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Monday to Friday 
(Including Bank Holidays)
April to October Inclusive and March</t>
  </si>
  <si>
    <t>2019/20</t>
  </si>
  <si>
    <t>1 April 2019</t>
  </si>
  <si>
    <t>Unit charges in the red time band apply – between 16:00 and 19:30, Monday to Friday including bank holidays.</t>
  </si>
  <si>
    <t>Unit charges in the amber time band apply – between 08:00 and 16:00; and between 19:30 and 22:00, Monday to Friday including bank holidays.</t>
  </si>
  <si>
    <t>Unit charges in the green time band apply – between 00:00 and 08:00; and between 22:00 and 24:00, Monday to Friday including bank holidays, and between 00:00 and 24:00 Saturday and Sunday.</t>
  </si>
  <si>
    <t>Northern Powergrid (Northeast) Ltd</t>
  </si>
  <si>
    <t>Low Voltage Network</t>
  </si>
  <si>
    <t>Low Voltage Substation</t>
  </si>
  <si>
    <t>High Voltage Network</t>
  </si>
  <si>
    <t>High Voltage Substation</t>
  </si>
  <si>
    <t>Greater than 22kV connected - generation</t>
  </si>
  <si>
    <t>Greater than 22kV connected - demand</t>
  </si>
  <si>
    <t>998, 999</t>
  </si>
  <si>
    <t>554 &amp; 555</t>
  </si>
  <si>
    <t>8&amp;0</t>
  </si>
  <si>
    <t>EHV Site Specific - Generation Exempt (LLFC 601 &amp; 701)</t>
  </si>
  <si>
    <t>EHV Site Specific (LLFC 603)</t>
  </si>
  <si>
    <t>EHV Site Specific (LLFC 604 &amp; 727)</t>
  </si>
  <si>
    <t>EHV Site Specific (LLFC 605)</t>
  </si>
  <si>
    <t>EHV Site Specific (LLFC 606)</t>
  </si>
  <si>
    <t>EHV Site Specific (LLFC 607)</t>
  </si>
  <si>
    <t>EHV Site Specific (LLFC 608)</t>
  </si>
  <si>
    <t>EHV Site Specific (LLFC 609)</t>
  </si>
  <si>
    <t>EHV Site Specific (LLFC 611)</t>
  </si>
  <si>
    <t>EHV Site Specific (LLFC 612 &amp; 704)</t>
  </si>
  <si>
    <t>EHV Site Specific (LLFC 613)</t>
  </si>
  <si>
    <t>EHV Site Specific (LLFC 614 &amp; 709)</t>
  </si>
  <si>
    <t>615 &amp; 616</t>
  </si>
  <si>
    <t>EHV Site Specific (LLFC 615 &amp; 616)</t>
  </si>
  <si>
    <t>EHV Site Specific (LLFC 617)</t>
  </si>
  <si>
    <t>EHV Site Specific (LLFC 618)</t>
  </si>
  <si>
    <t>EHV Site Specific - Generation Exempt (LLFC 619 &amp; 710)</t>
  </si>
  <si>
    <t>EHV Site Specific (LLFC 620)</t>
  </si>
  <si>
    <t>EHV Site Specific (LLFC 621)</t>
  </si>
  <si>
    <t>EHV Site Specific - Generation Exempt (LLFC 622 &amp; 711)</t>
  </si>
  <si>
    <t>EHV Site Specific (LLFC 624 &amp; 804)</t>
  </si>
  <si>
    <t>EHV Site Specific - Generation Exempt (LLFC 625 &amp; 748)</t>
  </si>
  <si>
    <t>EHV Site Specific - Generation Exempt (LLFC 627 &amp; 729)</t>
  </si>
  <si>
    <t>EHV Site Specific (LLFC 626)</t>
  </si>
  <si>
    <t>EHV Site Specific (LLFC 628)</t>
  </si>
  <si>
    <t>EHV Site Specific (LLFC 631)</t>
  </si>
  <si>
    <t>EHV Site Specific (LLFC 632)</t>
  </si>
  <si>
    <t>EHV Site Specific (LLFC 633)</t>
  </si>
  <si>
    <t>EHV Site Specific - Generation Exempt (LLFC 637 &amp; 728)</t>
  </si>
  <si>
    <t>EHV Site Specific (LLFC 680 &amp; 759)</t>
  </si>
  <si>
    <t>EHV Site Specific (LLFC 681 &amp; 760)</t>
  </si>
  <si>
    <t>EHV Site Specific - Generation Exempt (LLFC 544 &amp; 761)</t>
  </si>
  <si>
    <t>EHV Site Specific (LLFC 682 &amp; 762)</t>
  </si>
  <si>
    <t>EHV Site Specific (LLFC 691)</t>
  </si>
  <si>
    <t>EHV Site Specific - Generation Exempt (LLFC 683 &amp; 763)</t>
  </si>
  <si>
    <t>EHV Site Specific (LLFC 692)</t>
  </si>
  <si>
    <t>EHV Site Specific (LLFC 693)</t>
  </si>
  <si>
    <t>EHV Site Specific (LLFC 694)</t>
  </si>
  <si>
    <t>EHV Site Specific (LLFC 695)</t>
  </si>
  <si>
    <t>EHV Site Specific (LLFC 684 &amp; 764)</t>
  </si>
  <si>
    <t>EHV Site Specific (LLFC 685 &amp; 765)</t>
  </si>
  <si>
    <t>EHV Site Specific (LLFC 686 &amp; 766)</t>
  </si>
  <si>
    <t>EHV Site Specific (LLFC 687)</t>
  </si>
  <si>
    <t>EHV Site Specific (LLFC 688 &amp; 767)</t>
  </si>
  <si>
    <t>EHV Site Specific (LLFC 689 &amp; 768)</t>
  </si>
  <si>
    <t>EHV Site Specific (LLFC 690 &amp; 782)</t>
  </si>
  <si>
    <t>EHV Site Specific (LLFC 540 &amp; 783)</t>
  </si>
  <si>
    <t>EHV Site Specific (LLFC 541 &amp; 784)</t>
  </si>
  <si>
    <t>EHV Site Specific (LLFC 542 &amp; 785)</t>
  </si>
  <si>
    <t>EHV Site Specific (LLFC 543)</t>
  </si>
  <si>
    <t>EHV Site Specific (LLFC 545)</t>
  </si>
  <si>
    <t>EHV Site Specific (LLFC 547 &amp; 787)</t>
  </si>
  <si>
    <t>EHV Site Specific (LLFC 548 &amp; 788)</t>
  </si>
  <si>
    <t>EHV Site Specific (LLFC 549 &amp; 789)</t>
  </si>
  <si>
    <t>EHV Site Specific (LLFC 560 &amp; 806)</t>
  </si>
  <si>
    <t>EHV Site Specific (LLFC 561 &amp; 807)</t>
  </si>
  <si>
    <t>EHV Site Specific (LLFC 563 &amp; 802)</t>
  </si>
  <si>
    <t>EHV Site Specific (LLFC 562 &amp; 769)</t>
  </si>
  <si>
    <t>EHV Site Specific (LLFC 564 &amp; 803)</t>
  </si>
  <si>
    <t>EHV Site Specific (LLFC 565 &amp; 805)</t>
  </si>
  <si>
    <t>EHV Site Specific (LLFC 567 &amp; 809)</t>
  </si>
  <si>
    <t>EHV Site Specific (LLFC 566 &amp; 808)</t>
  </si>
  <si>
    <t>1592001005770
1592101005776</t>
  </si>
  <si>
    <t>1574000216135
1594001005774</t>
  </si>
  <si>
    <t>MSID_7299</t>
  </si>
  <si>
    <t>MSID_7300</t>
  </si>
  <si>
    <t>TBC</t>
  </si>
  <si>
    <t>1592001055239
1592001055248</t>
  </si>
  <si>
    <t>1580001273940
1580001273950</t>
  </si>
  <si>
    <t>1580000867554
1580000911799</t>
  </si>
  <si>
    <t>1580000918163
1580000918172</t>
  </si>
  <si>
    <t>1580001150566
1580001150575</t>
  </si>
  <si>
    <t>1574000303940
1574000303959</t>
  </si>
  <si>
    <t>MSID_7331</t>
  </si>
  <si>
    <t>MSID_7333</t>
  </si>
  <si>
    <t>Cramlington Biomass</t>
  </si>
  <si>
    <t>Blyth</t>
  </si>
  <si>
    <t>alcan</t>
  </si>
  <si>
    <t>blyth offshore wf</t>
  </si>
  <si>
    <t>lynemouth wf</t>
  </si>
  <si>
    <t>middlemoor wf</t>
  </si>
  <si>
    <t>north steads wf</t>
  </si>
  <si>
    <t>sisters wf</t>
  </si>
  <si>
    <t>wandylaw wf</t>
  </si>
  <si>
    <t>alcan (1001)</t>
  </si>
  <si>
    <t>ashington (1002)</t>
  </si>
  <si>
    <t>benton square (1008)</t>
  </si>
  <si>
    <t>cramlington t1 t3 (1015)</t>
  </si>
  <si>
    <t>cramlington t2 t4 (1016)</t>
  </si>
  <si>
    <t>denwick (1018)</t>
  </si>
  <si>
    <t>fawdon &amp; seaton burn (1021)</t>
  </si>
  <si>
    <t>linton (1023)</t>
  </si>
  <si>
    <t>lynemouth (1027)</t>
  </si>
  <si>
    <t>maddison street (1030)</t>
  </si>
  <si>
    <t>morpeth (1032)</t>
  </si>
  <si>
    <t>reservoir (1037)</t>
  </si>
  <si>
    <t>seghill (1041)</t>
  </si>
  <si>
    <t>stobswood coal 11kV</t>
  </si>
  <si>
    <t>ulgham rail (1045)</t>
  </si>
  <si>
    <t>wansbeck (1046)</t>
  </si>
  <si>
    <t>warkworth (1049)</t>
  </si>
  <si>
    <t>west hartford (1052)</t>
  </si>
  <si>
    <t>ray wind farm</t>
  </si>
  <si>
    <t>Fourstones</t>
  </si>
  <si>
    <t>fourstones 20kV</t>
  </si>
  <si>
    <t>amberton road (1001)</t>
  </si>
  <si>
    <t>Hart Moor</t>
  </si>
  <si>
    <t>brenda trading (1003)</t>
  </si>
  <si>
    <t>hartlepool steel 66 (1006)</t>
  </si>
  <si>
    <t>hartmoor (1007)</t>
  </si>
  <si>
    <t>peterlee west (1009)</t>
  </si>
  <si>
    <t>wynyard (1013)</t>
  </si>
  <si>
    <t>wynyard park</t>
  </si>
  <si>
    <t>hawthorn pit (2002)</t>
  </si>
  <si>
    <t>Hawthorn Pit</t>
  </si>
  <si>
    <t>houghton (2009)</t>
  </si>
  <si>
    <t>peterlee industrial (2012)</t>
  </si>
  <si>
    <t>shotton (2014)</t>
  </si>
  <si>
    <t>stoney cut (2017)</t>
  </si>
  <si>
    <t>tunstall (2020)</t>
  </si>
  <si>
    <t>Allerton Waste</t>
  </si>
  <si>
    <t>Knaresborough</t>
  </si>
  <si>
    <t>knabs ridge wf (1043)</t>
  </si>
  <si>
    <t>boroughbridge (1001)</t>
  </si>
  <si>
    <t>coneythorpe (1005)</t>
  </si>
  <si>
    <t>darley (1008)</t>
  </si>
  <si>
    <t>harrogate (1012)</t>
  </si>
  <si>
    <t>husthwaite (1015)</t>
  </si>
  <si>
    <t>nessfield (1018)</t>
  </si>
  <si>
    <t>oatlands (1021)</t>
  </si>
  <si>
    <t>ripon (1026)</t>
  </si>
  <si>
    <t>sessay bridge (1031)</t>
  </si>
  <si>
    <t>sowerby (1033)</t>
  </si>
  <si>
    <t>starbeck (1035)</t>
  </si>
  <si>
    <t>wormald green (1039)</t>
  </si>
  <si>
    <t>warrenby</t>
  </si>
  <si>
    <t>Lackenby</t>
  </si>
  <si>
    <t>bran sands (1001)</t>
  </si>
  <si>
    <t>carlin how t1 &amp; t2 (1003)</t>
  </si>
  <si>
    <t>carlin how t3 &amp; t4 (1006)</t>
  </si>
  <si>
    <t>cleveland potash (1009)</t>
  </si>
  <si>
    <t>grangetown (1012)</t>
  </si>
  <si>
    <t>guisborough (1014)</t>
  </si>
  <si>
    <t>guisborough t3 (1017)</t>
  </si>
  <si>
    <t>lackenby oxygen (1019)</t>
  </si>
  <si>
    <t>prissick (1020)</t>
  </si>
  <si>
    <t>redcar (1023)</t>
  </si>
  <si>
    <t>spencerbeck (1026)</t>
  </si>
  <si>
    <t>East Appleton Solar Hub</t>
  </si>
  <si>
    <t>Norton</t>
  </si>
  <si>
    <t>Moor House Wind Farm</t>
  </si>
  <si>
    <t>cleveland incinerator (3025)</t>
  </si>
  <si>
    <t>haverton generation</t>
  </si>
  <si>
    <t>seamer wf</t>
  </si>
  <si>
    <t>sita north tees</t>
  </si>
  <si>
    <t>acklam (3001)</t>
  </si>
  <si>
    <t>amazon park</t>
  </si>
  <si>
    <t>aycliffe industrial (3004)</t>
  </si>
  <si>
    <t>barden friar</t>
  </si>
  <si>
    <t>bedale (3007)</t>
  </si>
  <si>
    <t>billingham marsh house (3010)</t>
  </si>
  <si>
    <t>bowesfield 33/11kv (3014)</t>
  </si>
  <si>
    <t>bowesfield 66/11kv (3015)</t>
  </si>
  <si>
    <t>catterick camp (3022)</t>
  </si>
  <si>
    <t>cowton (3026)</t>
  </si>
  <si>
    <t>darlington 11 (3027)</t>
  </si>
  <si>
    <t>darlington 6 (3028)</t>
  </si>
  <si>
    <t>darlington central (3029)</t>
  </si>
  <si>
    <t>darlington east (3033)</t>
  </si>
  <si>
    <t>darlington west (3043)</t>
  </si>
  <si>
    <t>faraday street (3046)</t>
  </si>
  <si>
    <t>haverton incinerator</t>
  </si>
  <si>
    <t>heighington (3056)</t>
  </si>
  <si>
    <t>hipswell 11</t>
  </si>
  <si>
    <t>hutton bonville rail (3059)</t>
  </si>
  <si>
    <t>leeming raf (3067)</t>
  </si>
  <si>
    <t>malleable (3068)</t>
  </si>
  <si>
    <t>millbank lane (3071)</t>
  </si>
  <si>
    <t>mond (3074)</t>
  </si>
  <si>
    <t>new road (3075)</t>
  </si>
  <si>
    <t>newton aycliffe south (3076)</t>
  </si>
  <si>
    <t>north tees t1 &amp; t2 (3086)</t>
  </si>
  <si>
    <t>north tees t3 &amp; t4 (3087)</t>
  </si>
  <si>
    <t>northallerton (3088)</t>
  </si>
  <si>
    <t>norton (3093)</t>
  </si>
  <si>
    <t>richmond (3095)</t>
  </si>
  <si>
    <t>rise carr (3098)</t>
  </si>
  <si>
    <t>romanby (3103)</t>
  </si>
  <si>
    <t>rudby (3105)</t>
  </si>
  <si>
    <t>stokesley (3109)</t>
  </si>
  <si>
    <t>thirsk (3112)</t>
  </si>
  <si>
    <t>urlay nook (3115)</t>
  </si>
  <si>
    <t>wensleydale (3119)</t>
  </si>
  <si>
    <t>knapton (1029)</t>
  </si>
  <si>
    <t>Osbaldwick</t>
  </si>
  <si>
    <t>campleshon road (1001)</t>
  </si>
  <si>
    <t>eastfield (1004)</t>
  </si>
  <si>
    <t>elvington (1007)</t>
  </si>
  <si>
    <t>foss islands (1010)</t>
  </si>
  <si>
    <t>gale lane (1013)</t>
  </si>
  <si>
    <t>haxby road t1/t4 (rowntrees) (1017)</t>
  </si>
  <si>
    <t>haxby road t2 (1019)</t>
  </si>
  <si>
    <t>huntington new lane (1021)</t>
  </si>
  <si>
    <t>kirbymoorside (1024)</t>
  </si>
  <si>
    <t>malton (1030)</t>
  </si>
  <si>
    <t>melrosegate 11</t>
  </si>
  <si>
    <t>moor monkton (1039)</t>
  </si>
  <si>
    <t>newby (1041)</t>
  </si>
  <si>
    <t>north street (1044)</t>
  </si>
  <si>
    <t>ravenscar (1050)</t>
  </si>
  <si>
    <t>rawcliffe lane (1052)</t>
  </si>
  <si>
    <t>scarborough (1055)</t>
  </si>
  <si>
    <t>severus hill (1061)</t>
  </si>
  <si>
    <t>sheriff hutton (1064)</t>
  </si>
  <si>
    <t>skeldergate (1067)</t>
  </si>
  <si>
    <t>thornton dale (1070)</t>
  </si>
  <si>
    <t>whitby t1 11kv (1074)</t>
  </si>
  <si>
    <t>whitby t2 11kv (1076)</t>
  </si>
  <si>
    <t>whitby west t1 11kv (1079)</t>
  </si>
  <si>
    <t>whitby west t2 11kv (1081)</t>
  </si>
  <si>
    <t>yedingham (1082)</t>
  </si>
  <si>
    <t>york university (1084)</t>
  </si>
  <si>
    <t>basf sw</t>
  </si>
  <si>
    <t>Saltholme</t>
  </si>
  <si>
    <t>phillips petroleum</t>
  </si>
  <si>
    <t>port clarence biomass</t>
  </si>
  <si>
    <t>seal sands (1013)</t>
  </si>
  <si>
    <t>teesport biomass</t>
  </si>
  <si>
    <t>basf sw (1001)</t>
  </si>
  <si>
    <t>billingham synthetic (1002)</t>
  </si>
  <si>
    <t>cryogenic oxygen plant</t>
  </si>
  <si>
    <t>greatham (1003)</t>
  </si>
  <si>
    <t>ici north bank (1006)</t>
  </si>
  <si>
    <t>phillips petroleum (1009)</t>
  </si>
  <si>
    <t>tees industrial t1 &amp; t2 (1016)</t>
  </si>
  <si>
    <t>tees industrial t3 &amp; t4 (1019)</t>
  </si>
  <si>
    <t>chilton biomass</t>
  </si>
  <si>
    <t>Spennymoor</t>
  </si>
  <si>
    <t>stonefoot wind farm</t>
  </si>
  <si>
    <t>belmont (1003)</t>
  </si>
  <si>
    <t>brancepeth (1006)</t>
  </si>
  <si>
    <t>durham east (1011)</t>
  </si>
  <si>
    <t>durham rail (1014)</t>
  </si>
  <si>
    <t>eastgate cement (1017)</t>
  </si>
  <si>
    <t>fishburn (1067)</t>
  </si>
  <si>
    <t>fylands bridge (1020)</t>
  </si>
  <si>
    <t>harmire bridge (1025)</t>
  </si>
  <si>
    <t>high flatts (1029)</t>
  </si>
  <si>
    <t>low spennymoor (1032)</t>
  </si>
  <si>
    <t>meadowfield (1036)</t>
  </si>
  <si>
    <t>potter house 66/20kv (1042)</t>
  </si>
  <si>
    <t>skerneside (1047)</t>
  </si>
  <si>
    <t>spennymoor t1 &amp; t2 (1057)</t>
  </si>
  <si>
    <t>toronto 22kv (1060)</t>
  </si>
  <si>
    <t>kielder hydro</t>
  </si>
  <si>
    <t>Stella</t>
  </si>
  <si>
    <t>annfield t1 &amp; t4 (1004)</t>
  </si>
  <si>
    <t>annfield t2 &amp; t3 (1005)</t>
  </si>
  <si>
    <t>bensham (1009)</t>
  </si>
  <si>
    <t>benwell (1012)</t>
  </si>
  <si>
    <t>birtley grove 11kv (1015)</t>
  </si>
  <si>
    <t>birtley grove 20kv (1016)</t>
  </si>
  <si>
    <t>blaydon burn (1019)</t>
  </si>
  <si>
    <t>blucher (1022)</t>
  </si>
  <si>
    <t>close (1026)</t>
  </si>
  <si>
    <t>consett (1035)</t>
  </si>
  <si>
    <t>corporation street (1038)</t>
  </si>
  <si>
    <t>dunston 11kv (1041)</t>
  </si>
  <si>
    <t>dunston 20kv (1042)</t>
  </si>
  <si>
    <t>educational precinct (1046)</t>
  </si>
  <si>
    <t>gateshead central (1049)</t>
  </si>
  <si>
    <t>harraton (1059)</t>
  </si>
  <si>
    <t>hexham (1062)</t>
  </si>
  <si>
    <t>kenton (2034)</t>
  </si>
  <si>
    <t>kielder (1068)</t>
  </si>
  <si>
    <t>newburn haugh (1069)</t>
  </si>
  <si>
    <t>newcastle airport (1072)</t>
  </si>
  <si>
    <t>newcastle great park (1075)</t>
  </si>
  <si>
    <t>pilgrim (1076)</t>
  </si>
  <si>
    <t>prudhoe west (1079)</t>
  </si>
  <si>
    <t>riding mill 11kV</t>
  </si>
  <si>
    <t>spadeadam 20 (1090)</t>
  </si>
  <si>
    <t>tanfield (1097)</t>
  </si>
  <si>
    <t>team valley (1100)</t>
  </si>
  <si>
    <t>university (1103)</t>
  </si>
  <si>
    <t>west wylam (1106)</t>
  </si>
  <si>
    <t>westerhope (1109)</t>
  </si>
  <si>
    <t>Port of Tyne_Battery</t>
  </si>
  <si>
    <t>Tynemouth</t>
  </si>
  <si>
    <t>flatworth stor</t>
  </si>
  <si>
    <t>benton rail (2001)</t>
  </si>
  <si>
    <t>billymill (2003)</t>
  </si>
  <si>
    <t>flatworth central (2010)</t>
  </si>
  <si>
    <t>fossway (2013)</t>
  </si>
  <si>
    <t>garwood street (2016)</t>
  </si>
  <si>
    <t>gosforth (2023)</t>
  </si>
  <si>
    <t>gosforth metro (2027)</t>
  </si>
  <si>
    <t>howdon (2028)</t>
  </si>
  <si>
    <t>jarrow (2031)</t>
  </si>
  <si>
    <t>killingworth (2037)</t>
  </si>
  <si>
    <t>longbenton (2040)</t>
  </si>
  <si>
    <t>monkseaton (2043)</t>
  </si>
  <si>
    <t>simonside (2050)</t>
  </si>
  <si>
    <t>tynemouth central (2056)</t>
  </si>
  <si>
    <t>westoe (2059)</t>
  </si>
  <si>
    <t>willington (2062)</t>
  </si>
  <si>
    <t>boldon downhill (1002)</t>
  </si>
  <si>
    <t>West Boldon</t>
  </si>
  <si>
    <t>breamish</t>
  </si>
  <si>
    <t>carley hill (1005)</t>
  </si>
  <si>
    <t>carr hill (1007)</t>
  </si>
  <si>
    <t>fossway 66 (1016)</t>
  </si>
  <si>
    <t>gateshead east (1017)</t>
  </si>
  <si>
    <t>harlow green (1021)</t>
  </si>
  <si>
    <t>hebburn (1024)</t>
  </si>
  <si>
    <t>hebburn west (1026)</t>
  </si>
  <si>
    <t>hedworth (1028)</t>
  </si>
  <si>
    <t>high barmston (1032)</t>
  </si>
  <si>
    <t>leam central (1035)</t>
  </si>
  <si>
    <t>mount road (1037)</t>
  </si>
  <si>
    <t>nissan (1040)</t>
  </si>
  <si>
    <t>nissan north</t>
  </si>
  <si>
    <t>offerton 11kv (1043)</t>
  </si>
  <si>
    <t>pallion trading (1045)</t>
  </si>
  <si>
    <t>sunderland 11kv (1048)</t>
  </si>
  <si>
    <t>sunderland 11kv (1049)</t>
  </si>
  <si>
    <t>temple park (1052)</t>
  </si>
  <si>
    <t>usworth (1054)</t>
  </si>
  <si>
    <t>walker (1057)</t>
  </si>
  <si>
    <t>wardley (1059)</t>
  </si>
  <si>
    <t>west southwick (1062)</t>
  </si>
  <si>
    <t>16:00 to 19:30</t>
  </si>
  <si>
    <t>08:00 to 16:00
19:30 to 22:00</t>
  </si>
  <si>
    <t>00:00 to 08:00
22:00 to 24:00</t>
  </si>
  <si>
    <t>00:00 to 24:00</t>
  </si>
  <si>
    <t>08:00 to 22:00</t>
  </si>
  <si>
    <t>1600 - 1930</t>
  </si>
  <si>
    <t/>
  </si>
  <si>
    <t xml:space="preserve">Contains the underlying nodal costs used to calculate the current EDCM charges. </t>
  </si>
  <si>
    <t>Monday – Friday  (Apr-Oct)</t>
  </si>
  <si>
    <t>00:30 – 07:30</t>
  </si>
  <si>
    <t>00:00 – 00:30 
07:30 – 24:00</t>
  </si>
  <si>
    <t>Monday – Friday  (Nov)</t>
  </si>
  <si>
    <t>07:30 – 20:00</t>
  </si>
  <si>
    <t>00:00 – 00:30 
20:00 – 24:00</t>
  </si>
  <si>
    <t xml:space="preserve">Monday – Friday  (Dec – Feb) </t>
  </si>
  <si>
    <t>16:30 – 18:30</t>
  </si>
  <si>
    <t>07:30 – 16:30 
18:30 – 20:00</t>
  </si>
  <si>
    <t>Monday – Friday  (Mar)</t>
  </si>
  <si>
    <t>Site 1</t>
  </si>
  <si>
    <t>Site 2</t>
  </si>
  <si>
    <t>Site 3</t>
  </si>
  <si>
    <t>Site 4</t>
  </si>
  <si>
    <t>Site 5</t>
  </si>
  <si>
    <t>Site 6</t>
  </si>
  <si>
    <t>Site 7</t>
  </si>
  <si>
    <t>Site 8</t>
  </si>
  <si>
    <t>Site 9</t>
  </si>
  <si>
    <t>Site 10</t>
  </si>
  <si>
    <t>Site 11</t>
  </si>
  <si>
    <t>Site 12</t>
  </si>
  <si>
    <t>Site 13</t>
  </si>
  <si>
    <t>Site 14</t>
  </si>
  <si>
    <t>Site 15</t>
  </si>
  <si>
    <t>Site 16</t>
  </si>
  <si>
    <t>Site 17</t>
  </si>
  <si>
    <t>Site 18</t>
  </si>
  <si>
    <t>Site 19</t>
  </si>
  <si>
    <t>Site 20</t>
  </si>
  <si>
    <t>Site 21</t>
  </si>
  <si>
    <t>Site 22</t>
  </si>
  <si>
    <t>Site 23</t>
  </si>
  <si>
    <t>Site 24</t>
  </si>
  <si>
    <t>Site 25</t>
  </si>
  <si>
    <t>Site 26</t>
  </si>
  <si>
    <t>Site 27</t>
  </si>
  <si>
    <t>Site 28</t>
  </si>
  <si>
    <t>Site 29</t>
  </si>
  <si>
    <t>Site 30</t>
  </si>
  <si>
    <t>Site 31</t>
  </si>
  <si>
    <t>Site 32</t>
  </si>
  <si>
    <t>Site 33</t>
  </si>
  <si>
    <t>Site 34</t>
  </si>
  <si>
    <t>Site 35</t>
  </si>
  <si>
    <t>Site 36</t>
  </si>
  <si>
    <t>Site 37</t>
  </si>
  <si>
    <t>Site 38</t>
  </si>
  <si>
    <t>Site 39</t>
  </si>
  <si>
    <t>Site 40</t>
  </si>
  <si>
    <t>Site 41</t>
  </si>
  <si>
    <t>Site 42</t>
  </si>
  <si>
    <t>Site 43</t>
  </si>
  <si>
    <t>Site 44</t>
  </si>
  <si>
    <t>Site 45</t>
  </si>
  <si>
    <t>Site 46</t>
  </si>
  <si>
    <t>Site 47</t>
  </si>
  <si>
    <t>Site 48</t>
  </si>
  <si>
    <t>Site 49</t>
  </si>
  <si>
    <t>Site 50</t>
  </si>
  <si>
    <t>Site 51</t>
  </si>
  <si>
    <t>Site 52</t>
  </si>
  <si>
    <t>Site 53</t>
  </si>
  <si>
    <t>Site 54</t>
  </si>
  <si>
    <t>Site 55</t>
  </si>
  <si>
    <t>1, 12, 2, 203, 204, 205, 249, 251, 257, 278, 392, 394, 506, 507, 508, 509, 554, 555, 774, 792, 794, 998, 999</t>
  </si>
  <si>
    <t>265, 293, 393, 395, 776, 793, 795</t>
  </si>
  <si>
    <t>301, 304, 396, 398, 796, 798</t>
  </si>
  <si>
    <t>691, 692, 693, 694, 695, 696, 697, 698, 699, 700, 777, 778, 779, 780, 781</t>
  </si>
  <si>
    <t>564, 568, 569, 570, 571, 572, 573, 574, 575, 576, 577, 578, 579, 613</t>
  </si>
  <si>
    <t>803, 810, 811, 812, 813, 814, 815, 816, 817, 818, 819, 820, 821, 822, 823, 824, 825</t>
  </si>
  <si>
    <t>Domestic Unrestricted *</t>
  </si>
  <si>
    <t>Domestic Two Rate *</t>
  </si>
  <si>
    <t>LV Network Domestic *</t>
  </si>
  <si>
    <t>*The fixed charges for these tariffs are inclusive of the Ofgem approved adjustment (0.08p/day) to recover Octopus Energy Limited’s last resort supply payment claim: 
https://www.ofgem.gov.uk/publications-and-updates/decision-grant-all-dnos-derogations-charging-years-201920-and-202021-due-last-resort-supply-payment-claim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</si>
</sst>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
    <numFmt numFmtId="173" formatCode="00000"/>
    <numFmt numFmtId="174" formatCode="0.000_ ;[Red]\-0.000\ "/>
    <numFmt numFmtId="175" formatCode="0.00;[Red]\-0.00;?;"/>
    <numFmt numFmtId="176" formatCode="#,##0;\-#,##0;;"/>
    <numFmt numFmtId="177" formatCode="#,##0;[Red]\-#,##0;;"/>
    <numFmt numFmtId="178" formatCode="0.000;[Red]\-0.000;?;"/>
    <numFmt numFmtId="179" formatCode=";;"/>
    <numFmt numFmtId="180" formatCode="0.000;\(0.000\);"/>
    <numFmt numFmtId="181" formatCode="0.00;\(0.00\);"/>
    <numFmt numFmtId="182" formatCode="0;\(0\);"/>
    <numFmt numFmtId="183" formatCode="0;;"/>
    <numFmt numFmtId="184" formatCode="_(???,??0.000_);\(???,??0.000\);"/>
    <numFmt numFmtId="185" formatCode="_(???,??0.00_);\(???,??0.00\);"/>
    <numFmt numFmtId="186" formatCode="\ _(???,???,??0.000_);[Red]\ \(???,???,??0.000\);;@"/>
  </numFmts>
  <fonts count="31" x14ac:knownFonts="1">
    <font>
      <sz val="10"/>
      <name val="Arial"/>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1"/>
      <color indexed="8"/>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0"/>
      <name val="Calibri"/>
      <family val="2"/>
      <scheme val="minor"/>
    </font>
    <font>
      <sz val="11"/>
      <color theme="1"/>
      <name val="Calibri"/>
      <family val="2"/>
      <scheme val="minor"/>
    </font>
    <font>
      <sz val="10"/>
      <color rgb="FFCCFFCC"/>
      <name val="Arial"/>
      <family val="2"/>
    </font>
  </fonts>
  <fills count="37">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theme="4" tint="0.79998168889431442"/>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theme="0"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right/>
      <top style="thin">
        <color indexed="64"/>
      </top>
      <bottom/>
      <diagonal/>
    </border>
  </borders>
  <cellStyleXfs count="16">
    <xf numFmtId="0" fontId="0" fillId="0" borderId="0"/>
    <xf numFmtId="0" fontId="3" fillId="0" borderId="0"/>
    <xf numFmtId="0" fontId="10" fillId="0" borderId="0" applyNumberFormat="0" applyFill="0" applyBorder="0" applyAlignment="0" applyProtection="0"/>
    <xf numFmtId="0" fontId="11" fillId="5" borderId="6" applyNumberFormat="0" applyAlignment="0" applyProtection="0"/>
    <xf numFmtId="0" fontId="12" fillId="0" borderId="0" applyNumberFormat="0" applyFill="0" applyBorder="0" applyAlignment="0" applyProtection="0">
      <alignment vertical="top"/>
      <protection locked="0"/>
    </xf>
    <xf numFmtId="0" fontId="18" fillId="0" borderId="8" applyNumberFormat="0" applyFill="0" applyAlignment="0" applyProtection="0"/>
    <xf numFmtId="0" fontId="10" fillId="0" borderId="9" applyNumberFormat="0" applyFill="0" applyAlignment="0" applyProtection="0"/>
    <xf numFmtId="0" fontId="5" fillId="0" borderId="0"/>
    <xf numFmtId="43" fontId="5" fillId="0" borderId="0" applyFont="0" applyFill="0" applyBorder="0" applyAlignment="0" applyProtection="0"/>
    <xf numFmtId="0" fontId="24" fillId="24" borderId="0" applyNumberFormat="0" applyBorder="0" applyAlignment="0" applyProtection="0"/>
    <xf numFmtId="0" fontId="2" fillId="6"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2" fillId="27" borderId="0" applyNumberFormat="0" applyBorder="0" applyAlignment="0" applyProtection="0"/>
    <xf numFmtId="0" fontId="24" fillId="28" borderId="0" applyNumberFormat="0" applyBorder="0" applyAlignment="0" applyProtection="0"/>
    <xf numFmtId="0" fontId="29" fillId="0" borderId="0"/>
  </cellStyleXfs>
  <cellXfs count="268">
    <xf numFmtId="0" fontId="0" fillId="0" borderId="0" xfId="0"/>
    <xf numFmtId="0" fontId="5"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7" fillId="2" borderId="0" xfId="0" applyFont="1" applyFill="1" applyAlignment="1">
      <alignment vertical="center"/>
    </xf>
    <xf numFmtId="0" fontId="5" fillId="0" borderId="0" xfId="0" applyFont="1" applyBorder="1" applyAlignment="1">
      <alignment wrapText="1"/>
    </xf>
    <xf numFmtId="0" fontId="6" fillId="0" borderId="0" xfId="0" applyFont="1" applyBorder="1" applyAlignment="1">
      <alignment vertical="top" wrapText="1"/>
    </xf>
    <xf numFmtId="0" fontId="0" fillId="0" borderId="0" xfId="0" applyBorder="1"/>
    <xf numFmtId="0" fontId="13" fillId="2" borderId="0" xfId="4" applyFont="1" applyFill="1" applyAlignment="1" applyProtection="1">
      <alignment vertical="center"/>
    </xf>
    <xf numFmtId="0" fontId="6" fillId="7" borderId="1" xfId="0" applyFont="1" applyFill="1" applyBorder="1" applyAlignment="1">
      <alignment horizontal="center" vertical="center" wrapText="1"/>
    </xf>
    <xf numFmtId="0" fontId="5" fillId="0" borderId="1" xfId="0" quotePrefix="1" applyFont="1" applyBorder="1" applyAlignment="1">
      <alignment horizontal="left" vertical="top" wrapText="1"/>
    </xf>
    <xf numFmtId="0" fontId="6" fillId="7" borderId="1" xfId="0" applyFont="1" applyFill="1" applyBorder="1" applyAlignment="1" applyProtection="1">
      <alignment vertical="center" wrapText="1"/>
      <protection locked="0"/>
    </xf>
    <xf numFmtId="0" fontId="14"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6" fillId="7" borderId="1" xfId="0" applyFont="1" applyFill="1" applyBorder="1" applyAlignment="1" applyProtection="1">
      <alignment horizontal="center" vertical="center" wrapText="1"/>
      <protection locked="0"/>
    </xf>
    <xf numFmtId="0" fontId="5" fillId="4" borderId="1" xfId="0" applyFont="1" applyFill="1" applyBorder="1" applyAlignment="1">
      <alignment horizontal="center" vertical="center" wrapText="1"/>
    </xf>
    <xf numFmtId="0" fontId="5" fillId="0" borderId="5" xfId="0" applyFont="1" applyBorder="1" applyAlignment="1">
      <alignment horizontal="center" vertical="center" wrapText="1"/>
    </xf>
    <xf numFmtId="0" fontId="5" fillId="2" borderId="0" xfId="0" applyFont="1" applyFill="1" applyAlignment="1">
      <alignment vertical="center"/>
    </xf>
    <xf numFmtId="0" fontId="0" fillId="0" borderId="0" xfId="0" applyProtection="1">
      <protection locked="0"/>
    </xf>
    <xf numFmtId="0" fontId="6" fillId="7" borderId="1" xfId="0" applyFont="1" applyFill="1" applyBorder="1" applyAlignment="1" applyProtection="1">
      <alignment horizontal="center" vertical="center" wrapText="1"/>
    </xf>
    <xf numFmtId="0" fontId="6" fillId="7" borderId="1" xfId="0" applyFont="1" applyFill="1" applyBorder="1" applyAlignment="1" applyProtection="1">
      <alignment vertical="center" wrapText="1"/>
    </xf>
    <xf numFmtId="169" fontId="5" fillId="3" borderId="1" xfId="0" applyNumberFormat="1" applyFont="1" applyFill="1" applyBorder="1" applyAlignment="1" applyProtection="1">
      <alignment horizontal="center" vertical="center"/>
      <protection locked="0"/>
    </xf>
    <xf numFmtId="49" fontId="14" fillId="8" borderId="1" xfId="0" applyNumberFormat="1" applyFont="1" applyFill="1" applyBorder="1" applyAlignment="1" applyProtection="1">
      <alignment horizontal="center" vertical="center" wrapText="1"/>
      <protection locked="0"/>
    </xf>
    <xf numFmtId="0" fontId="6" fillId="7" borderId="1" xfId="0" quotePrefix="1" applyFont="1" applyFill="1" applyBorder="1" applyAlignment="1">
      <alignment horizontal="center" vertical="center" wrapText="1"/>
    </xf>
    <xf numFmtId="49" fontId="15" fillId="5" borderId="6" xfId="3" applyNumberFormat="1" applyFont="1" applyAlignment="1" applyProtection="1">
      <alignment horizontal="center" vertical="center" wrapText="1"/>
      <protection locked="0"/>
    </xf>
    <xf numFmtId="170" fontId="17" fillId="12" borderId="1" xfId="0" applyNumberFormat="1" applyFont="1" applyFill="1" applyBorder="1" applyAlignment="1" applyProtection="1">
      <alignment horizontal="center" vertical="center"/>
      <protection locked="0"/>
    </xf>
    <xf numFmtId="171" fontId="17" fillId="12" borderId="1" xfId="0" applyNumberFormat="1" applyFont="1" applyFill="1" applyBorder="1" applyAlignment="1" applyProtection="1">
      <alignment horizontal="center" vertical="center"/>
      <protection locked="0"/>
    </xf>
    <xf numFmtId="170" fontId="17" fillId="14" borderId="1" xfId="0" applyNumberFormat="1" applyFont="1" applyFill="1" applyBorder="1" applyAlignment="1" applyProtection="1">
      <alignment horizontal="center" vertical="center"/>
      <protection locked="0"/>
    </xf>
    <xf numFmtId="171" fontId="17" fillId="14" borderId="1" xfId="0" applyNumberFormat="1" applyFont="1" applyFill="1" applyBorder="1" applyAlignment="1" applyProtection="1">
      <alignment horizontal="center" vertical="center"/>
      <protection locked="0"/>
    </xf>
    <xf numFmtId="0" fontId="6" fillId="13" borderId="1" xfId="0" quotePrefix="1" applyFont="1" applyFill="1" applyBorder="1" applyAlignment="1">
      <alignment horizontal="center" vertical="center" wrapText="1"/>
    </xf>
    <xf numFmtId="171" fontId="17" fillId="15" borderId="1" xfId="0" applyNumberFormat="1" applyFont="1" applyFill="1" applyBorder="1" applyAlignment="1" applyProtection="1">
      <alignment horizontal="center" vertical="center"/>
      <protection locked="0"/>
    </xf>
    <xf numFmtId="0" fontId="6" fillId="16" borderId="1" xfId="0" quotePrefix="1" applyFont="1" applyFill="1" applyBorder="1" applyAlignment="1">
      <alignment horizontal="center" vertical="center" wrapText="1"/>
    </xf>
    <xf numFmtId="49" fontId="5"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70" fontId="17" fillId="9" borderId="1" xfId="0" applyNumberFormat="1" applyFont="1" applyFill="1" applyBorder="1" applyAlignment="1" applyProtection="1">
      <alignment horizontal="center" vertical="center"/>
      <protection locked="0"/>
    </xf>
    <xf numFmtId="171" fontId="17" fillId="9" borderId="1" xfId="0" applyNumberFormat="1" applyFont="1" applyFill="1" applyBorder="1" applyAlignment="1" applyProtection="1">
      <alignment horizontal="center" vertical="center"/>
      <protection locked="0"/>
    </xf>
    <xf numFmtId="49" fontId="0" fillId="14" borderId="1" xfId="0" applyNumberFormat="1" applyFill="1" applyBorder="1" applyAlignment="1" applyProtection="1">
      <alignment horizontal="left" vertical="top" wrapText="1"/>
      <protection locked="0"/>
    </xf>
    <xf numFmtId="0" fontId="6" fillId="7" borderId="1" xfId="0" quotePrefix="1" applyFont="1" applyFill="1" applyBorder="1" applyAlignment="1" applyProtection="1">
      <alignment horizontal="center" vertical="center" wrapText="1"/>
    </xf>
    <xf numFmtId="0" fontId="5" fillId="0" borderId="0" xfId="7" applyAlignment="1">
      <alignment horizontal="center" vertical="top" wrapText="1"/>
    </xf>
    <xf numFmtId="0" fontId="5" fillId="0" borderId="0" xfId="7"/>
    <xf numFmtId="0" fontId="5" fillId="0" borderId="0" xfId="7" applyAlignment="1">
      <alignment horizontal="left"/>
    </xf>
    <xf numFmtId="0" fontId="5" fillId="0" borderId="0" xfId="7" applyAlignment="1">
      <alignment horizontal="center" vertical="center" wrapText="1"/>
    </xf>
    <xf numFmtId="2" fontId="20" fillId="10" borderId="1" xfId="0" applyNumberFormat="1" applyFont="1" applyFill="1" applyBorder="1" applyAlignment="1" applyProtection="1">
      <alignment horizontal="center" vertical="center"/>
      <protection locked="0"/>
    </xf>
    <xf numFmtId="0" fontId="22" fillId="0" borderId="1" xfId="1" applyFont="1" applyFill="1" applyBorder="1" applyAlignment="1" applyProtection="1">
      <alignment horizontal="center" vertical="center" wrapText="1"/>
    </xf>
    <xf numFmtId="0" fontId="20" fillId="0" borderId="1" xfId="0" applyFont="1" applyBorder="1" applyAlignment="1" applyProtection="1">
      <alignment horizontal="center" vertical="center" wrapText="1"/>
    </xf>
    <xf numFmtId="49" fontId="5" fillId="9" borderId="1" xfId="0" quotePrefix="1" applyNumberFormat="1" applyFont="1" applyFill="1" applyBorder="1" applyAlignment="1" applyProtection="1">
      <alignment horizontal="left" vertical="center" wrapText="1"/>
      <protection locked="0"/>
    </xf>
    <xf numFmtId="49" fontId="5"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2" fillId="2" borderId="0" xfId="4" applyFont="1" applyFill="1" applyAlignment="1" applyProtection="1">
      <alignment vertical="center"/>
    </xf>
    <xf numFmtId="0" fontId="5" fillId="2" borderId="7" xfId="7" quotePrefix="1" applyFont="1" applyFill="1" applyBorder="1" applyAlignment="1">
      <alignment vertical="center" wrapText="1"/>
    </xf>
    <xf numFmtId="0" fontId="5" fillId="2" borderId="0" xfId="7" applyFont="1" applyFill="1" applyAlignment="1">
      <alignment vertical="center"/>
    </xf>
    <xf numFmtId="0" fontId="7" fillId="2" borderId="0" xfId="7" applyFont="1" applyFill="1" applyAlignment="1">
      <alignment vertical="center"/>
    </xf>
    <xf numFmtId="0" fontId="6" fillId="7" borderId="1" xfId="7" quotePrefix="1" applyFont="1" applyFill="1" applyBorder="1" applyAlignment="1">
      <alignment horizontal="center" vertical="center" wrapText="1"/>
    </xf>
    <xf numFmtId="0" fontId="6" fillId="7" borderId="1" xfId="7" applyFont="1" applyFill="1" applyBorder="1" applyAlignment="1">
      <alignment horizontal="center" vertical="center" wrapText="1"/>
    </xf>
    <xf numFmtId="49" fontId="23" fillId="7" borderId="1" xfId="7" applyNumberFormat="1" applyFont="1" applyFill="1" applyBorder="1" applyAlignment="1">
      <alignment horizontal="center" vertical="center" wrapText="1"/>
    </xf>
    <xf numFmtId="49" fontId="6" fillId="7" borderId="1" xfId="7" applyNumberFormat="1" applyFont="1" applyFill="1" applyBorder="1" applyAlignment="1">
      <alignment horizontal="center" vertical="center" wrapText="1"/>
    </xf>
    <xf numFmtId="0" fontId="5" fillId="9" borderId="1" xfId="7" applyNumberFormat="1" applyFont="1" applyFill="1" applyBorder="1" applyAlignment="1" applyProtection="1">
      <alignment horizontal="left" vertical="center" wrapText="1"/>
      <protection locked="0"/>
    </xf>
    <xf numFmtId="0" fontId="5" fillId="2" borderId="0" xfId="7" applyFont="1" applyFill="1" applyAlignment="1">
      <alignment horizontal="center" vertical="center"/>
    </xf>
    <xf numFmtId="166" fontId="5" fillId="2" borderId="0" xfId="7" applyNumberFormat="1" applyFont="1" applyFill="1" applyAlignment="1">
      <alignment horizontal="center" vertical="center"/>
    </xf>
    <xf numFmtId="0" fontId="5" fillId="2" borderId="0" xfId="7" applyFont="1" applyFill="1"/>
    <xf numFmtId="0" fontId="20" fillId="17" borderId="1" xfId="0" applyNumberFormat="1" applyFont="1" applyFill="1" applyBorder="1" applyAlignment="1" applyProtection="1">
      <alignment horizontal="center" vertical="center" wrapText="1"/>
      <protection locked="0"/>
    </xf>
    <xf numFmtId="0" fontId="5" fillId="0" borderId="0" xfId="0" applyFont="1" applyProtection="1">
      <protection locked="0"/>
    </xf>
    <xf numFmtId="49" fontId="10" fillId="6" borderId="0" xfId="2" quotePrefix="1" applyNumberFormat="1" applyFont="1" applyFill="1" applyAlignment="1" applyProtection="1">
      <alignment horizontal="left" vertical="center" wrapText="1"/>
      <protection locked="0"/>
    </xf>
    <xf numFmtId="49" fontId="10" fillId="6" borderId="0" xfId="2" applyNumberFormat="1" applyFont="1" applyFill="1" applyAlignment="1" applyProtection="1">
      <alignment vertical="center" wrapText="1"/>
      <protection locked="0"/>
    </xf>
    <xf numFmtId="49" fontId="18" fillId="0" borderId="0" xfId="5" applyNumberFormat="1" applyFont="1" applyBorder="1" applyAlignment="1" applyProtection="1">
      <alignment vertical="center"/>
      <protection locked="0"/>
    </xf>
    <xf numFmtId="0" fontId="5" fillId="0" borderId="0" xfId="0" applyFont="1" applyBorder="1" applyProtection="1">
      <protection locked="0"/>
    </xf>
    <xf numFmtId="49" fontId="10" fillId="6" borderId="0" xfId="2" applyNumberFormat="1" applyFont="1" applyFill="1" applyBorder="1" applyAlignment="1" applyProtection="1">
      <alignment vertical="center" wrapText="1"/>
      <protection locked="0"/>
    </xf>
    <xf numFmtId="49" fontId="10" fillId="0" borderId="0" xfId="6" applyNumberFormat="1" applyFont="1" applyBorder="1" applyAlignment="1" applyProtection="1">
      <alignment vertical="center"/>
      <protection locked="0"/>
    </xf>
    <xf numFmtId="49" fontId="10" fillId="0" borderId="0" xfId="6" quotePrefix="1" applyNumberFormat="1" applyFont="1" applyBorder="1" applyAlignment="1" applyProtection="1">
      <alignment horizontal="left" vertical="center"/>
      <protection locked="0"/>
    </xf>
    <xf numFmtId="49" fontId="23" fillId="7"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12" fillId="0" borderId="0" xfId="4" applyAlignment="1" applyProtection="1">
      <alignment horizontal="left" vertical="top"/>
    </xf>
    <xf numFmtId="0" fontId="6" fillId="7" borderId="5" xfId="0" applyFont="1" applyFill="1" applyBorder="1" applyAlignment="1" applyProtection="1">
      <alignment vertical="center" wrapText="1"/>
      <protection locked="0"/>
    </xf>
    <xf numFmtId="0" fontId="25" fillId="20" borderId="1" xfId="0" applyFont="1" applyFill="1" applyBorder="1" applyAlignment="1" applyProtection="1">
      <alignment horizontal="center" vertical="center" wrapText="1"/>
      <protection locked="0"/>
    </xf>
    <xf numFmtId="0" fontId="6" fillId="0" borderId="5" xfId="0" applyFont="1" applyBorder="1" applyAlignment="1">
      <alignment vertical="center" wrapText="1"/>
    </xf>
    <xf numFmtId="0" fontId="6" fillId="0" borderId="1" xfId="0" applyFont="1" applyBorder="1" applyAlignment="1">
      <alignment vertical="center" wrapText="1"/>
    </xf>
    <xf numFmtId="0" fontId="25" fillId="18" borderId="1" xfId="0" applyFont="1" applyFill="1" applyBorder="1" applyAlignment="1" applyProtection="1">
      <alignment horizontal="center" vertical="center" wrapText="1"/>
      <protection locked="0"/>
    </xf>
    <xf numFmtId="0" fontId="25" fillId="21" borderId="1" xfId="0" applyFont="1" applyFill="1" applyBorder="1" applyAlignment="1" applyProtection="1">
      <alignment horizontal="center" vertical="center" wrapText="1"/>
      <protection locked="0"/>
    </xf>
    <xf numFmtId="0" fontId="6" fillId="22" borderId="1" xfId="0" applyFont="1" applyFill="1" applyBorder="1" applyAlignment="1" applyProtection="1">
      <alignment horizontal="center" vertical="center" wrapText="1"/>
      <protection locked="0"/>
    </xf>
    <xf numFmtId="0" fontId="5" fillId="0" borderId="1" xfId="0" applyFont="1" applyFill="1" applyBorder="1" applyAlignment="1">
      <alignment horizontal="center" vertical="center" wrapText="1"/>
    </xf>
    <xf numFmtId="0" fontId="16" fillId="17" borderId="0" xfId="2" applyNumberFormat="1" applyFont="1" applyFill="1" applyBorder="1" applyAlignment="1">
      <alignment horizontal="center" vertical="center" wrapText="1"/>
    </xf>
    <xf numFmtId="0" fontId="0" fillId="17" borderId="0" xfId="0" applyFill="1" applyBorder="1"/>
    <xf numFmtId="0" fontId="0" fillId="17" borderId="0" xfId="0" applyFill="1" applyBorder="1" applyAlignment="1">
      <alignment vertical="center"/>
    </xf>
    <xf numFmtId="0" fontId="7" fillId="17" borderId="0" xfId="7" applyFont="1" applyFill="1" applyBorder="1" applyAlignment="1">
      <alignment vertical="center"/>
    </xf>
    <xf numFmtId="0" fontId="16" fillId="17" borderId="0" xfId="2" applyNumberFormat="1" applyFont="1" applyFill="1" applyBorder="1" applyAlignment="1" applyProtection="1">
      <alignment horizontal="center" vertical="center" wrapText="1"/>
    </xf>
    <xf numFmtId="0" fontId="5" fillId="4" borderId="2" xfId="0" applyFont="1" applyFill="1" applyBorder="1" applyAlignment="1">
      <alignment vertical="center" wrapText="1"/>
    </xf>
    <xf numFmtId="0" fontId="16" fillId="17" borderId="11" xfId="2" applyNumberFormat="1" applyFont="1" applyFill="1" applyBorder="1" applyAlignment="1">
      <alignment horizontal="center" vertical="center" wrapText="1"/>
    </xf>
    <xf numFmtId="0" fontId="6" fillId="17" borderId="0" xfId="0" applyFont="1" applyFill="1" applyBorder="1" applyAlignment="1">
      <alignment horizontal="left" vertical="center" wrapText="1"/>
    </xf>
    <xf numFmtId="0" fontId="5" fillId="17" borderId="0" xfId="0" applyFont="1" applyFill="1" applyBorder="1" applyAlignment="1">
      <alignment horizontal="left" vertical="center" wrapText="1"/>
    </xf>
    <xf numFmtId="0" fontId="16" fillId="17" borderId="0" xfId="2" applyNumberFormat="1" applyFont="1" applyFill="1" applyBorder="1" applyAlignment="1">
      <alignment vertical="center" wrapText="1"/>
    </xf>
    <xf numFmtId="0" fontId="6" fillId="17" borderId="3" xfId="0" applyFont="1" applyFill="1" applyBorder="1" applyAlignment="1">
      <alignment horizontal="left" vertical="center" wrapText="1"/>
    </xf>
    <xf numFmtId="0" fontId="5" fillId="17" borderId="3" xfId="0" applyFont="1" applyFill="1" applyBorder="1" applyAlignment="1">
      <alignment horizontal="center" vertical="center" wrapText="1"/>
    </xf>
    <xf numFmtId="0" fontId="5" fillId="17" borderId="7" xfId="0" applyFont="1" applyFill="1" applyBorder="1" applyAlignment="1">
      <alignment horizontal="center" vertical="center" wrapText="1"/>
    </xf>
    <xf numFmtId="0" fontId="16" fillId="17" borderId="7" xfId="2" applyNumberFormat="1" applyFont="1" applyFill="1" applyBorder="1" applyAlignment="1">
      <alignment horizontal="center" vertical="center" wrapText="1"/>
    </xf>
    <xf numFmtId="14" fontId="5" fillId="0" borderId="0" xfId="7" applyNumberFormat="1"/>
    <xf numFmtId="0" fontId="5" fillId="0" borderId="0" xfId="7" quotePrefix="1" applyAlignment="1">
      <alignment horizontal="left"/>
    </xf>
    <xf numFmtId="174" fontId="20" fillId="19" borderId="2" xfId="0" applyNumberFormat="1" applyFont="1" applyFill="1" applyBorder="1" applyAlignment="1" applyProtection="1">
      <alignment horizontal="center" vertical="center" wrapText="1"/>
      <protection locked="0"/>
    </xf>
    <xf numFmtId="0" fontId="12" fillId="0" borderId="0" xfId="4" applyAlignment="1" applyProtection="1"/>
    <xf numFmtId="0" fontId="12" fillId="2" borderId="0" xfId="4" applyFont="1" applyFill="1" applyAlignment="1" applyProtection="1">
      <alignment vertical="center"/>
      <protection hidden="1"/>
    </xf>
    <xf numFmtId="0" fontId="5" fillId="9" borderId="1" xfId="7" applyNumberFormat="1" applyFont="1" applyFill="1" applyBorder="1" applyAlignment="1" applyProtection="1">
      <alignment horizontal="left" vertical="center" wrapText="1"/>
    </xf>
    <xf numFmtId="172" fontId="5" fillId="30" borderId="0" xfId="7" applyNumberFormat="1" applyFill="1"/>
    <xf numFmtId="173" fontId="5" fillId="30" borderId="0" xfId="7" applyNumberFormat="1" applyFill="1"/>
    <xf numFmtId="0" fontId="5" fillId="30" borderId="0" xfId="7" applyFill="1"/>
    <xf numFmtId="0" fontId="5" fillId="30" borderId="0" xfId="7" applyFill="1" applyAlignment="1">
      <alignment horizontal="left"/>
    </xf>
    <xf numFmtId="0" fontId="5" fillId="11" borderId="1" xfId="14" applyFont="1" applyFill="1" applyBorder="1" applyAlignment="1" applyProtection="1">
      <alignment vertical="center"/>
      <protection locked="0"/>
    </xf>
    <xf numFmtId="176" fontId="5" fillId="32" borderId="1" xfId="11" applyNumberFormat="1" applyFont="1" applyFill="1" applyBorder="1" applyAlignment="1" applyProtection="1">
      <alignment vertical="center"/>
      <protection locked="0"/>
    </xf>
    <xf numFmtId="175" fontId="2" fillId="31" borderId="1" xfId="10" applyNumberFormat="1" applyFill="1" applyBorder="1" applyAlignment="1" applyProtection="1">
      <alignment vertical="center"/>
    </xf>
    <xf numFmtId="176" fontId="5" fillId="31" borderId="1" xfId="10" applyNumberFormat="1" applyFont="1" applyFill="1" applyBorder="1" applyAlignment="1" applyProtection="1">
      <alignment vertical="center"/>
      <protection locked="0"/>
    </xf>
    <xf numFmtId="176" fontId="5" fillId="34" borderId="1" xfId="10" applyNumberFormat="1" applyFont="1" applyFill="1" applyBorder="1" applyAlignment="1" applyProtection="1">
      <alignment vertical="center"/>
      <protection locked="0"/>
    </xf>
    <xf numFmtId="176" fontId="5" fillId="35" borderId="1" xfId="11" applyNumberFormat="1" applyFont="1" applyFill="1" applyBorder="1" applyAlignment="1" applyProtection="1">
      <alignment vertical="center"/>
      <protection locked="0"/>
    </xf>
    <xf numFmtId="0" fontId="0" fillId="0" borderId="0" xfId="0" applyProtection="1"/>
    <xf numFmtId="0" fontId="0" fillId="0" borderId="0" xfId="0" applyFill="1" applyBorder="1" applyProtection="1"/>
    <xf numFmtId="0" fontId="0" fillId="2" borderId="0" xfId="0" applyFill="1" applyAlignment="1" applyProtection="1">
      <alignment vertical="center"/>
    </xf>
    <xf numFmtId="0" fontId="16" fillId="0" borderId="0" xfId="2" applyNumberFormat="1" applyFont="1" applyFill="1" applyBorder="1" applyAlignment="1" applyProtection="1">
      <alignment horizontal="center" vertical="center" wrapText="1"/>
    </xf>
    <xf numFmtId="0" fontId="0" fillId="0" borderId="0" xfId="0" applyFill="1" applyAlignment="1" applyProtection="1">
      <alignment vertical="center"/>
    </xf>
    <xf numFmtId="0" fontId="0" fillId="0" borderId="0" xfId="0" applyAlignment="1" applyProtection="1">
      <alignment wrapText="1"/>
    </xf>
    <xf numFmtId="0" fontId="6" fillId="7" borderId="5" xfId="0" applyFont="1" applyFill="1" applyBorder="1" applyAlignment="1" applyProtection="1">
      <alignment horizontal="left" vertical="center" wrapText="1"/>
    </xf>
    <xf numFmtId="0" fontId="5" fillId="11" borderId="1" xfId="9" quotePrefix="1" applyFont="1" applyFill="1" applyBorder="1" applyAlignment="1" applyProtection="1">
      <alignment horizontal="center" vertical="center" wrapText="1"/>
    </xf>
    <xf numFmtId="0" fontId="5" fillId="33" borderId="1" xfId="12" quotePrefix="1" applyFont="1" applyFill="1" applyBorder="1" applyAlignment="1" applyProtection="1">
      <alignment horizontal="center" vertical="center" wrapText="1"/>
    </xf>
    <xf numFmtId="175" fontId="2" fillId="34" borderId="1" xfId="13" applyNumberFormat="1" applyFill="1" applyBorder="1" applyAlignment="1" applyProtection="1">
      <alignment vertical="center"/>
    </xf>
    <xf numFmtId="0" fontId="6" fillId="7" borderId="1" xfId="0" applyFont="1" applyFill="1" applyBorder="1" applyAlignment="1" applyProtection="1">
      <alignment horizontal="left" vertical="center" wrapText="1"/>
    </xf>
    <xf numFmtId="0" fontId="5" fillId="11" borderId="1" xfId="14" applyFont="1" applyFill="1" applyBorder="1" applyAlignment="1" applyProtection="1">
      <alignment vertical="center" wrapText="1"/>
    </xf>
    <xf numFmtId="0" fontId="5" fillId="29" borderId="1" xfId="14" applyFont="1" applyFill="1" applyBorder="1" applyAlignment="1" applyProtection="1">
      <alignment vertical="center" wrapText="1"/>
    </xf>
    <xf numFmtId="0" fontId="1" fillId="11" borderId="1" xfId="14" applyFont="1" applyFill="1" applyBorder="1" applyAlignment="1" applyProtection="1">
      <alignment vertical="center" wrapText="1"/>
    </xf>
    <xf numFmtId="0" fontId="1" fillId="29" borderId="1" xfId="14" applyFont="1" applyFill="1" applyBorder="1" applyAlignment="1" applyProtection="1">
      <alignment vertical="center" wrapText="1"/>
    </xf>
    <xf numFmtId="0" fontId="5" fillId="7" borderId="1" xfId="0" applyFont="1" applyFill="1" applyBorder="1" applyAlignment="1" applyProtection="1">
      <alignment horizontal="center" vertical="center" wrapText="1"/>
    </xf>
    <xf numFmtId="176" fontId="2" fillId="31" borderId="1" xfId="10" applyNumberFormat="1" applyFill="1" applyBorder="1" applyAlignment="1" applyProtection="1">
      <alignment vertical="center"/>
      <protection locked="0"/>
    </xf>
    <xf numFmtId="177" fontId="2" fillId="31" borderId="1" xfId="10" applyNumberFormat="1" applyFill="1" applyBorder="1" applyAlignment="1" applyProtection="1">
      <alignment vertical="center"/>
    </xf>
    <xf numFmtId="177" fontId="2" fillId="34" borderId="1" xfId="10" applyNumberFormat="1" applyFill="1" applyBorder="1" applyAlignment="1" applyProtection="1">
      <alignment vertical="center"/>
    </xf>
    <xf numFmtId="177" fontId="5" fillId="32" borderId="1" xfId="11" applyNumberFormat="1" applyFont="1" applyFill="1" applyBorder="1" applyAlignment="1" applyProtection="1">
      <alignment vertical="center"/>
    </xf>
    <xf numFmtId="177" fontId="5" fillId="35" borderId="1" xfId="11" applyNumberFormat="1" applyFont="1" applyFill="1" applyBorder="1" applyAlignment="1" applyProtection="1">
      <alignment vertical="center"/>
    </xf>
    <xf numFmtId="178" fontId="2" fillId="31" borderId="4" xfId="10" applyNumberFormat="1" applyFill="1" applyBorder="1" applyAlignment="1" applyProtection="1">
      <alignment vertical="center"/>
    </xf>
    <xf numFmtId="178" fontId="2" fillId="31" borderId="1" xfId="10" applyNumberFormat="1" applyFill="1" applyBorder="1" applyAlignment="1" applyProtection="1">
      <alignment vertical="center"/>
    </xf>
    <xf numFmtId="0" fontId="28" fillId="0" borderId="0" xfId="7" applyFont="1"/>
    <xf numFmtId="0" fontId="6" fillId="7" borderId="1" xfId="0" applyFont="1" applyFill="1" applyBorder="1" applyAlignment="1">
      <alignment horizontal="center" vertical="center" wrapText="1"/>
    </xf>
    <xf numFmtId="2" fontId="6" fillId="7" borderId="1" xfId="7" applyNumberFormat="1" applyFont="1" applyFill="1" applyBorder="1" applyAlignment="1">
      <alignment horizontal="center" vertical="center" wrapText="1"/>
    </xf>
    <xf numFmtId="49" fontId="5" fillId="11" borderId="1" xfId="9" quotePrefix="1" applyNumberFormat="1" applyFont="1" applyFill="1" applyBorder="1" applyAlignment="1" applyProtection="1">
      <alignment horizontal="center" vertical="center" wrapText="1"/>
    </xf>
    <xf numFmtId="49" fontId="5" fillId="33" borderId="1" xfId="12" quotePrefix="1" applyNumberFormat="1" applyFont="1" applyFill="1" applyBorder="1" applyAlignment="1" applyProtection="1">
      <alignment horizontal="center" vertical="center" wrapText="1"/>
    </xf>
    <xf numFmtId="0" fontId="5" fillId="4" borderId="1" xfId="0" applyFont="1" applyFill="1" applyBorder="1" applyAlignment="1">
      <alignment horizontal="center" vertical="center" wrapText="1"/>
    </xf>
    <xf numFmtId="49" fontId="10" fillId="6" borderId="0" xfId="2" applyNumberFormat="1" applyFont="1" applyFill="1" applyAlignment="1" applyProtection="1">
      <alignment horizontal="center" vertical="center" wrapText="1"/>
      <protection locked="0"/>
    </xf>
    <xf numFmtId="49" fontId="10" fillId="6" borderId="0" xfId="2" quotePrefix="1" applyNumberFormat="1" applyFont="1" applyFill="1" applyAlignment="1" applyProtection="1">
      <alignment horizontal="center" vertical="center" wrapText="1"/>
      <protection locked="0"/>
    </xf>
    <xf numFmtId="49" fontId="23" fillId="7" borderId="1" xfId="7" quotePrefix="1" applyNumberFormat="1" applyFont="1" applyFill="1" applyBorder="1" applyAlignment="1">
      <alignment horizontal="center" vertical="center" wrapText="1"/>
    </xf>
    <xf numFmtId="0" fontId="0" fillId="0" borderId="0" xfId="0" applyFill="1"/>
    <xf numFmtId="0" fontId="13" fillId="0" borderId="0" xfId="4" applyFont="1" applyFill="1" applyBorder="1" applyAlignment="1" applyProtection="1">
      <alignment vertical="center"/>
    </xf>
    <xf numFmtId="0" fontId="12" fillId="0" borderId="0" xfId="4" applyFont="1" applyFill="1" applyAlignment="1" applyProtection="1">
      <alignment horizontal="left" vertical="center"/>
    </xf>
    <xf numFmtId="0" fontId="5" fillId="0" borderId="0" xfId="7" quotePrefix="1" applyFont="1" applyAlignment="1">
      <alignment horizontal="left"/>
    </xf>
    <xf numFmtId="0" fontId="5" fillId="0" borderId="0" xfId="7" applyFont="1"/>
    <xf numFmtId="49" fontId="18" fillId="0" borderId="0" xfId="5" quotePrefix="1" applyNumberFormat="1" applyFont="1" applyBorder="1" applyAlignment="1" applyProtection="1">
      <alignment horizontal="left" vertical="center"/>
      <protection locked="0"/>
    </xf>
    <xf numFmtId="179" fontId="5" fillId="4" borderId="1" xfId="0" applyNumberFormat="1" applyFont="1" applyFill="1" applyBorder="1" applyAlignment="1">
      <alignment horizontal="center" vertical="center" wrapText="1"/>
    </xf>
    <xf numFmtId="0" fontId="20" fillId="8" borderId="1" xfId="0" applyNumberFormat="1" applyFont="1" applyFill="1" applyBorder="1" applyAlignment="1" applyProtection="1">
      <alignment horizontal="center" vertical="center" wrapText="1"/>
      <protection locked="0"/>
    </xf>
    <xf numFmtId="180" fontId="20" fillId="9" borderId="1" xfId="0" applyNumberFormat="1" applyFont="1" applyFill="1" applyBorder="1" applyAlignment="1" applyProtection="1">
      <alignment horizontal="center" vertical="center"/>
      <protection locked="0"/>
    </xf>
    <xf numFmtId="180" fontId="20" fillId="3" borderId="1" xfId="0" applyNumberFormat="1" applyFont="1" applyFill="1" applyBorder="1" applyAlignment="1" applyProtection="1">
      <alignment horizontal="center" vertical="center"/>
      <protection locked="0"/>
    </xf>
    <xf numFmtId="181" fontId="20" fillId="10" borderId="1" xfId="0" applyNumberFormat="1" applyFont="1" applyFill="1" applyBorder="1" applyAlignment="1" applyProtection="1">
      <alignment horizontal="center" vertical="center"/>
      <protection locked="0"/>
    </xf>
    <xf numFmtId="181" fontId="20" fillId="3" borderId="1" xfId="0" applyNumberFormat="1" applyFont="1" applyFill="1" applyBorder="1" applyAlignment="1" applyProtection="1">
      <alignment horizontal="center" vertical="center"/>
      <protection locked="0"/>
    </xf>
    <xf numFmtId="182" fontId="20" fillId="8" borderId="1" xfId="0" applyNumberFormat="1" applyFont="1" applyFill="1" applyBorder="1" applyAlignment="1" applyProtection="1">
      <alignment horizontal="center" vertical="center" wrapText="1"/>
      <protection locked="0"/>
    </xf>
    <xf numFmtId="180" fontId="21" fillId="18" borderId="1" xfId="0" applyNumberFormat="1" applyFont="1" applyFill="1" applyBorder="1" applyAlignment="1" applyProtection="1">
      <alignment horizontal="center" vertical="center"/>
      <protection locked="0"/>
    </xf>
    <xf numFmtId="180" fontId="20" fillId="19" borderId="1" xfId="0" applyNumberFormat="1" applyFont="1" applyFill="1" applyBorder="1" applyAlignment="1" applyProtection="1">
      <alignment horizontal="center" vertical="center"/>
      <protection locked="0"/>
    </xf>
    <xf numFmtId="180" fontId="21" fillId="20" borderId="1" xfId="0" applyNumberFormat="1" applyFont="1" applyFill="1" applyBorder="1" applyAlignment="1" applyProtection="1">
      <alignment horizontal="center" vertical="center"/>
      <protection locked="0"/>
    </xf>
    <xf numFmtId="181" fontId="20" fillId="10" borderId="1" xfId="0" applyNumberFormat="1" applyFont="1" applyFill="1" applyBorder="1" applyAlignment="1" applyProtection="1">
      <alignment horizontal="center" vertical="center"/>
    </xf>
    <xf numFmtId="180" fontId="21" fillId="21" borderId="1" xfId="0" applyNumberFormat="1" applyFont="1" applyFill="1" applyBorder="1" applyAlignment="1" applyProtection="1">
      <alignment horizontal="center" vertical="center"/>
      <protection locked="0"/>
    </xf>
    <xf numFmtId="180" fontId="20" fillId="22" borderId="1" xfId="0" applyNumberFormat="1" applyFont="1" applyFill="1" applyBorder="1" applyAlignment="1" applyProtection="1">
      <alignment horizontal="center" vertical="center"/>
      <protection locked="0"/>
    </xf>
    <xf numFmtId="181" fontId="20" fillId="36" borderId="1" xfId="0" applyNumberFormat="1" applyFont="1" applyFill="1" applyBorder="1" applyAlignment="1" applyProtection="1">
      <alignment horizontal="center" vertical="center"/>
      <protection locked="0"/>
    </xf>
    <xf numFmtId="0" fontId="30" fillId="9" borderId="1" xfId="0" quotePrefix="1" applyNumberFormat="1" applyFont="1" applyFill="1" applyBorder="1" applyAlignment="1" applyProtection="1">
      <alignment horizontal="left" vertical="center" wrapText="1"/>
      <protection locked="0"/>
    </xf>
    <xf numFmtId="0" fontId="5" fillId="9" borderId="1" xfId="7" applyNumberFormat="1" applyFont="1" applyFill="1" applyBorder="1" applyAlignment="1">
      <alignment horizontal="center" vertical="center" wrapText="1"/>
    </xf>
    <xf numFmtId="1" fontId="5" fillId="9" borderId="1" xfId="7" applyNumberFormat="1" applyFont="1" applyFill="1" applyBorder="1" applyAlignment="1" applyProtection="1">
      <alignment horizontal="center" vertical="center" wrapText="1"/>
      <protection locked="0"/>
    </xf>
    <xf numFmtId="0" fontId="30" fillId="9" borderId="1" xfId="0" applyNumberFormat="1" applyFont="1" applyFill="1" applyBorder="1" applyAlignment="1" applyProtection="1">
      <alignment horizontal="left" vertical="center" wrapText="1"/>
      <protection locked="0"/>
    </xf>
    <xf numFmtId="183" fontId="5" fillId="9" borderId="1" xfId="7" applyNumberFormat="1" applyFont="1" applyFill="1" applyBorder="1" applyAlignment="1">
      <alignment horizontal="center" vertical="center" wrapText="1"/>
    </xf>
    <xf numFmtId="183" fontId="5" fillId="9" borderId="1" xfId="7" applyNumberFormat="1" applyFont="1" applyFill="1" applyBorder="1" applyAlignment="1" applyProtection="1">
      <alignment horizontal="center" vertical="center" wrapText="1"/>
      <protection locked="0"/>
    </xf>
    <xf numFmtId="184" fontId="3" fillId="12" borderId="1" xfId="7" applyNumberFormat="1" applyFont="1" applyFill="1" applyBorder="1" applyAlignment="1" applyProtection="1">
      <alignment horizontal="center" vertical="center"/>
      <protection locked="0"/>
    </xf>
    <xf numFmtId="185" fontId="3" fillId="12" borderId="1" xfId="7" applyNumberFormat="1" applyFont="1" applyFill="1" applyBorder="1" applyAlignment="1" applyProtection="1">
      <alignment horizontal="center" vertical="center"/>
      <protection locked="0"/>
    </xf>
    <xf numFmtId="184" fontId="3" fillId="9" borderId="1" xfId="7" applyNumberFormat="1" applyFont="1" applyFill="1" applyBorder="1" applyAlignment="1" applyProtection="1">
      <alignment horizontal="center" vertical="center"/>
      <protection locked="0"/>
    </xf>
    <xf numFmtId="185" fontId="3" fillId="9" borderId="1" xfId="7" applyNumberFormat="1" applyFont="1" applyFill="1" applyBorder="1" applyAlignment="1" applyProtection="1">
      <alignment horizontal="center" vertical="center"/>
      <protection locked="0"/>
    </xf>
    <xf numFmtId="0" fontId="6" fillId="7" borderId="5" xfId="0" applyFont="1" applyFill="1" applyBorder="1" applyAlignment="1" applyProtection="1">
      <alignment horizontal="center" vertical="center" wrapText="1"/>
      <protection locked="0"/>
    </xf>
    <xf numFmtId="0" fontId="30" fillId="9" borderId="1" xfId="7" applyNumberFormat="1" applyFont="1" applyFill="1" applyBorder="1" applyAlignment="1" applyProtection="1">
      <alignment horizontal="left" vertical="center" wrapText="1"/>
    </xf>
    <xf numFmtId="0" fontId="5" fillId="9" borderId="1" xfId="7" applyNumberFormat="1" applyFont="1" applyFill="1" applyBorder="1" applyAlignment="1" applyProtection="1">
      <alignment horizontal="center" vertical="center" wrapText="1"/>
    </xf>
    <xf numFmtId="1" fontId="5" fillId="9" borderId="1" xfId="7" applyNumberFormat="1" applyFont="1" applyFill="1" applyBorder="1" applyAlignment="1" applyProtection="1">
      <alignment horizontal="center" vertical="center" wrapText="1"/>
    </xf>
    <xf numFmtId="184" fontId="3" fillId="12" borderId="1" xfId="7" applyNumberFormat="1" applyFont="1" applyFill="1" applyBorder="1" applyAlignment="1" applyProtection="1">
      <alignment horizontal="center" vertical="center"/>
    </xf>
    <xf numFmtId="185" fontId="3" fillId="12" borderId="1" xfId="8" applyNumberFormat="1" applyFont="1" applyFill="1" applyBorder="1" applyAlignment="1" applyProtection="1">
      <alignment horizontal="center" vertical="center"/>
    </xf>
    <xf numFmtId="185" fontId="3" fillId="12" borderId="1" xfId="7" applyNumberFormat="1" applyFont="1" applyFill="1" applyBorder="1" applyAlignment="1" applyProtection="1">
      <alignment horizontal="center" vertical="center"/>
    </xf>
    <xf numFmtId="1" fontId="30" fillId="9" borderId="1" xfId="7" applyNumberFormat="1" applyFont="1" applyFill="1" applyBorder="1" applyAlignment="1" applyProtection="1">
      <alignment horizontal="left" vertical="center" wrapText="1"/>
    </xf>
    <xf numFmtId="184" fontId="3" fillId="23" borderId="1" xfId="7" applyNumberFormat="1" applyFont="1" applyFill="1" applyBorder="1" applyAlignment="1" applyProtection="1">
      <alignment horizontal="center" vertical="center"/>
    </xf>
    <xf numFmtId="185" fontId="3" fillId="23" borderId="1" xfId="8" applyNumberFormat="1" applyFont="1" applyFill="1" applyBorder="1" applyAlignment="1" applyProtection="1">
      <alignment horizontal="center" vertical="center"/>
    </xf>
    <xf numFmtId="185" fontId="3" fillId="23" borderId="1" xfId="7" applyNumberFormat="1" applyFont="1" applyFill="1" applyBorder="1" applyAlignment="1" applyProtection="1">
      <alignment horizontal="center" vertical="center"/>
    </xf>
    <xf numFmtId="181" fontId="20" fillId="3" borderId="1" xfId="0" applyNumberFormat="1" applyFont="1" applyFill="1" applyBorder="1" applyAlignment="1" applyProtection="1">
      <alignment horizontal="center" vertical="center"/>
    </xf>
    <xf numFmtId="181" fontId="20" fillId="4" borderId="1" xfId="0" applyNumberFormat="1" applyFont="1" applyFill="1" applyBorder="1" applyAlignment="1" applyProtection="1">
      <alignment horizontal="center" vertical="center"/>
    </xf>
    <xf numFmtId="186" fontId="0" fillId="2" borderId="1" xfId="0" applyNumberFormat="1" applyFill="1" applyBorder="1" applyAlignment="1">
      <alignment horizontal="center" vertical="center"/>
    </xf>
    <xf numFmtId="0" fontId="6" fillId="7" borderId="1" xfId="0" applyFont="1" applyFill="1" applyBorder="1" applyAlignment="1">
      <alignment horizontal="center" vertical="center" wrapText="1"/>
    </xf>
    <xf numFmtId="49" fontId="20" fillId="8" borderId="1" xfId="0" applyNumberFormat="1" applyFont="1" applyFill="1" applyBorder="1" applyAlignment="1" applyProtection="1">
      <alignment horizontal="center" vertical="center" wrapText="1"/>
      <protection locked="0"/>
    </xf>
    <xf numFmtId="0" fontId="20" fillId="4" borderId="1" xfId="0" applyFont="1" applyFill="1" applyBorder="1" applyAlignment="1" applyProtection="1">
      <alignment horizontal="center" vertical="center" wrapText="1"/>
      <protection locked="0"/>
    </xf>
    <xf numFmtId="169" fontId="6" fillId="3" borderId="1" xfId="0" applyNumberFormat="1" applyFont="1" applyFill="1" applyBorder="1" applyAlignment="1" applyProtection="1">
      <alignment horizontal="center" vertical="center"/>
      <protection locked="0"/>
    </xf>
    <xf numFmtId="0" fontId="5" fillId="4" borderId="1" xfId="0" applyFont="1" applyFill="1" applyBorder="1" applyAlignment="1">
      <alignment horizontal="center" vertical="center" wrapText="1"/>
    </xf>
    <xf numFmtId="0" fontId="0" fillId="17" borderId="0" xfId="0" applyFill="1" applyAlignment="1">
      <alignment vertical="center"/>
    </xf>
    <xf numFmtId="0" fontId="6" fillId="0" borderId="1" xfId="0" applyFont="1" applyBorder="1" applyAlignment="1">
      <alignment horizontal="left" vertical="center" wrapText="1"/>
    </xf>
    <xf numFmtId="0" fontId="20" fillId="0" borderId="5" xfId="0" applyFont="1" applyBorder="1" applyAlignment="1">
      <alignment vertical="center" wrapText="1"/>
    </xf>
    <xf numFmtId="169" fontId="14" fillId="4" borderId="1" xfId="0" applyNumberFormat="1" applyFont="1" applyFill="1" applyBorder="1" applyAlignment="1">
      <alignment horizontal="center" vertical="center" wrapText="1"/>
    </xf>
    <xf numFmtId="0" fontId="14" fillId="0" borderId="5" xfId="0" applyFont="1" applyBorder="1" applyAlignment="1">
      <alignment horizontal="center" vertical="center" wrapText="1"/>
    </xf>
    <xf numFmtId="165" fontId="0" fillId="0" borderId="1" xfId="0" applyNumberForma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14" fillId="0" borderId="0" xfId="0" quotePrefix="1" applyNumberFormat="1" applyFont="1" applyAlignment="1" applyProtection="1">
      <alignment horizontal="left" vertical="top" wrapText="1"/>
    </xf>
    <xf numFmtId="49" fontId="10" fillId="6" borderId="0" xfId="2" applyNumberFormat="1" applyFont="1" applyFill="1" applyAlignment="1" applyProtection="1">
      <alignment horizontal="left" vertical="center" wrapText="1"/>
      <protection locked="0"/>
    </xf>
    <xf numFmtId="0" fontId="5" fillId="0" borderId="0" xfId="0" quotePrefix="1" applyFont="1" applyAlignment="1">
      <alignment horizontal="left" wrapText="1"/>
    </xf>
    <xf numFmtId="0" fontId="19" fillId="0" borderId="0" xfId="0" quotePrefix="1" applyNumberFormat="1" applyFont="1" applyAlignment="1" applyProtection="1">
      <alignment horizontal="left" vertical="top" wrapText="1"/>
    </xf>
    <xf numFmtId="0" fontId="5" fillId="0" borderId="0" xfId="0" quotePrefix="1" applyFont="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14" fillId="0" borderId="0" xfId="0" quotePrefix="1" applyNumberFormat="1" applyFont="1" applyFill="1" applyAlignment="1" applyProtection="1">
      <alignment horizontal="left" vertical="top" wrapText="1"/>
    </xf>
    <xf numFmtId="49" fontId="10" fillId="6" borderId="0" xfId="2" applyNumberFormat="1" applyFont="1" applyFill="1" applyAlignment="1" applyProtection="1">
      <alignment horizontal="center" vertical="center" wrapText="1"/>
      <protection locked="0"/>
    </xf>
    <xf numFmtId="0" fontId="0" fillId="2" borderId="12" xfId="0" applyFill="1" applyBorder="1" applyAlignment="1">
      <alignment horizontal="left" vertical="center" wrapText="1"/>
    </xf>
    <xf numFmtId="0" fontId="6" fillId="0" borderId="1" xfId="0" applyFont="1" applyBorder="1" applyAlignment="1">
      <alignment horizontal="left" vertical="center" wrapText="1" indent="1"/>
    </xf>
    <xf numFmtId="0" fontId="5" fillId="2" borderId="7" xfId="7" quotePrefix="1" applyFont="1" applyFill="1" applyBorder="1" applyAlignment="1">
      <alignment horizontal="center"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6" fillId="0" borderId="1" xfId="0" applyFont="1" applyBorder="1" applyAlignment="1">
      <alignment horizontal="left" vertical="center" wrapText="1"/>
    </xf>
    <xf numFmtId="0" fontId="16" fillId="6" borderId="1" xfId="2" applyNumberFormat="1" applyFont="1" applyFill="1" applyBorder="1" applyAlignment="1">
      <alignment horizontal="center" vertical="center" wrapText="1"/>
    </xf>
    <xf numFmtId="174" fontId="20" fillId="19" borderId="2" xfId="0" applyNumberFormat="1" applyFont="1" applyFill="1" applyBorder="1" applyAlignment="1" applyProtection="1">
      <alignment horizontal="center" vertical="center"/>
      <protection locked="0"/>
    </xf>
    <xf numFmtId="174" fontId="20" fillId="19" borderId="4" xfId="0" applyNumberFormat="1"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6" fillId="7" borderId="2" xfId="0" applyFont="1" applyFill="1" applyBorder="1" applyAlignment="1" applyProtection="1">
      <alignment horizontal="center" vertical="center" wrapText="1"/>
      <protection locked="0"/>
    </xf>
    <xf numFmtId="0" fontId="6" fillId="7" borderId="4" xfId="0" applyFont="1" applyFill="1" applyBorder="1" applyAlignment="1" applyProtection="1">
      <alignment horizontal="center" vertical="center" wrapText="1"/>
      <protection locked="0"/>
    </xf>
    <xf numFmtId="0" fontId="5" fillId="4" borderId="1" xfId="0" applyFont="1" applyFill="1" applyBorder="1" applyAlignment="1">
      <alignment horizontal="center" vertical="center" wrapText="1"/>
    </xf>
    <xf numFmtId="0" fontId="6" fillId="7" borderId="10" xfId="0" applyFont="1" applyFill="1" applyBorder="1" applyAlignment="1" applyProtection="1">
      <alignment horizontal="center" vertical="center" wrapText="1"/>
      <protection locked="0"/>
    </xf>
    <xf numFmtId="0" fontId="6" fillId="7" borderId="0" xfId="0" applyFont="1" applyFill="1" applyBorder="1" applyAlignment="1" applyProtection="1">
      <alignment horizontal="center" vertical="center" wrapText="1"/>
      <protection locked="0"/>
    </xf>
    <xf numFmtId="0" fontId="25" fillId="18" borderId="1" xfId="0" applyFont="1" applyFill="1" applyBorder="1" applyAlignment="1" applyProtection="1">
      <alignment horizontal="center" vertical="center" wrapText="1"/>
      <protection locked="0"/>
    </xf>
    <xf numFmtId="0" fontId="5" fillId="2" borderId="7" xfId="7" quotePrefix="1" applyFont="1" applyFill="1" applyBorder="1" applyAlignment="1">
      <alignment horizontal="left" vertical="center" wrapText="1"/>
    </xf>
    <xf numFmtId="0" fontId="5" fillId="2" borderId="7" xfId="0" quotePrefix="1" applyFont="1" applyFill="1" applyBorder="1" applyAlignment="1">
      <alignment horizontal="left" vertical="center" wrapText="1"/>
    </xf>
    <xf numFmtId="0" fontId="16" fillId="6" borderId="2" xfId="2" applyNumberFormat="1" applyFont="1" applyFill="1" applyBorder="1" applyAlignment="1">
      <alignment horizontal="center" vertical="center" wrapText="1"/>
    </xf>
    <xf numFmtId="0" fontId="16" fillId="6" borderId="3" xfId="2" applyNumberFormat="1" applyFont="1" applyFill="1" applyBorder="1" applyAlignment="1">
      <alignment horizontal="center" vertical="center" wrapText="1"/>
    </xf>
    <xf numFmtId="0" fontId="16" fillId="6" borderId="4" xfId="2" applyNumberFormat="1" applyFont="1" applyFill="1" applyBorder="1" applyAlignment="1">
      <alignment horizontal="center" vertical="center" wrapText="1"/>
    </xf>
    <xf numFmtId="0" fontId="4" fillId="0" borderId="1" xfId="0" applyFont="1" applyBorder="1" applyAlignment="1">
      <alignment wrapText="1"/>
    </xf>
    <xf numFmtId="0" fontId="0" fillId="0" borderId="1" xfId="0" applyBorder="1" applyAlignment="1"/>
    <xf numFmtId="0" fontId="6" fillId="7" borderId="1" xfId="0" applyFont="1" applyFill="1" applyBorder="1" applyAlignment="1">
      <alignment horizontal="center" vertical="center" wrapText="1"/>
    </xf>
    <xf numFmtId="0" fontId="8" fillId="0" borderId="1" xfId="0" applyFont="1" applyBorder="1" applyAlignment="1">
      <alignment vertical="top" wrapText="1"/>
    </xf>
    <xf numFmtId="0" fontId="8" fillId="0" borderId="1" xfId="0" applyFont="1" applyBorder="1" applyAlignment="1">
      <alignment wrapText="1"/>
    </xf>
    <xf numFmtId="0" fontId="6" fillId="0" borderId="1" xfId="0" applyFont="1" applyBorder="1" applyAlignment="1"/>
    <xf numFmtId="0" fontId="0" fillId="0" borderId="1" xfId="0" applyBorder="1" applyAlignment="1">
      <alignment vertical="top" wrapText="1"/>
    </xf>
    <xf numFmtId="0" fontId="16" fillId="6" borderId="1" xfId="2" applyNumberFormat="1" applyFont="1" applyFill="1" applyBorder="1" applyAlignment="1" applyProtection="1">
      <alignment horizontal="center" vertical="center" wrapText="1"/>
    </xf>
    <xf numFmtId="0" fontId="5" fillId="0" borderId="1" xfId="0" applyFont="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6" fillId="0" borderId="1" xfId="0" applyFont="1" applyBorder="1" applyAlignment="1">
      <alignment vertical="center" wrapText="1"/>
    </xf>
    <xf numFmtId="0" fontId="6" fillId="7" borderId="3" xfId="0" applyFont="1" applyFill="1" applyBorder="1" applyAlignment="1" applyProtection="1">
      <alignment horizontal="center" vertical="center" wrapText="1"/>
      <protection locked="0"/>
    </xf>
    <xf numFmtId="0" fontId="5" fillId="0" borderId="7" xfId="0" applyFont="1" applyBorder="1" applyAlignment="1">
      <alignment horizontal="left" vertical="center" wrapText="1"/>
    </xf>
    <xf numFmtId="0" fontId="0" fillId="0" borderId="7" xfId="0" applyBorder="1" applyAlignment="1">
      <alignment horizontal="left" vertical="center" wrapText="1"/>
    </xf>
    <xf numFmtId="0" fontId="5" fillId="2" borderId="0" xfId="0" quotePrefix="1" applyFont="1" applyFill="1" applyBorder="1" applyAlignment="1">
      <alignment horizontal="center" vertical="center" wrapText="1"/>
    </xf>
    <xf numFmtId="0" fontId="0" fillId="2" borderId="0" xfId="0" quotePrefix="1" applyFill="1" applyBorder="1" applyAlignment="1">
      <alignment horizontal="center" vertical="center" wrapText="1"/>
    </xf>
    <xf numFmtId="0" fontId="12" fillId="0" borderId="0" xfId="4" applyFill="1" applyAlignment="1" applyProtection="1">
      <alignment horizontal="left" vertical="center"/>
    </xf>
    <xf numFmtId="0" fontId="26" fillId="6" borderId="2" xfId="2" applyNumberFormat="1" applyFont="1" applyFill="1" applyBorder="1" applyAlignment="1" applyProtection="1">
      <alignment horizontal="center" vertical="center" wrapText="1"/>
    </xf>
    <xf numFmtId="0" fontId="26" fillId="6" borderId="3" xfId="2" applyNumberFormat="1" applyFont="1" applyFill="1" applyBorder="1" applyAlignment="1" applyProtection="1">
      <alignment horizontal="center" vertical="center" wrapText="1"/>
    </xf>
    <xf numFmtId="0" fontId="26" fillId="6" borderId="4" xfId="2" applyNumberFormat="1" applyFont="1" applyFill="1" applyBorder="1" applyAlignment="1" applyProtection="1">
      <alignment horizontal="center" vertical="center" wrapText="1"/>
    </xf>
    <xf numFmtId="0" fontId="6" fillId="7" borderId="2" xfId="0" applyFont="1" applyFill="1" applyBorder="1" applyAlignment="1" applyProtection="1">
      <alignment horizontal="left" vertical="center" wrapText="1"/>
    </xf>
    <xf numFmtId="0" fontId="6" fillId="7" borderId="3" xfId="0" applyFont="1" applyFill="1" applyBorder="1" applyAlignment="1" applyProtection="1">
      <alignment horizontal="left" vertical="center" wrapText="1"/>
    </xf>
    <xf numFmtId="0" fontId="6" fillId="7" borderId="4" xfId="0" applyFont="1" applyFill="1" applyBorder="1" applyAlignment="1" applyProtection="1">
      <alignment horizontal="left" vertical="center" wrapText="1"/>
    </xf>
    <xf numFmtId="0" fontId="26" fillId="6" borderId="2" xfId="2" applyNumberFormat="1" applyFont="1" applyFill="1" applyBorder="1" applyAlignment="1" applyProtection="1">
      <alignment horizontal="left" vertical="center" wrapText="1"/>
    </xf>
    <xf numFmtId="0" fontId="26" fillId="6" borderId="3" xfId="2" applyNumberFormat="1" applyFont="1" applyFill="1" applyBorder="1" applyAlignment="1" applyProtection="1">
      <alignment horizontal="left" vertical="center" wrapText="1"/>
    </xf>
    <xf numFmtId="0" fontId="26" fillId="6" borderId="4" xfId="2" applyNumberFormat="1" applyFont="1" applyFill="1" applyBorder="1" applyAlignment="1" applyProtection="1">
      <alignment horizontal="left" vertical="center" wrapText="1"/>
    </xf>
    <xf numFmtId="0" fontId="5" fillId="0" borderId="0" xfId="0" quotePrefix="1" applyFont="1" applyAlignment="1" applyProtection="1">
      <alignment horizontal="left" vertical="top" wrapText="1"/>
    </xf>
    <xf numFmtId="0" fontId="5" fillId="0" borderId="0" xfId="0" quotePrefix="1" applyFont="1" applyAlignment="1" applyProtection="1">
      <alignment horizontal="left"/>
    </xf>
  </cellXfs>
  <cellStyles count="16">
    <cellStyle name="40% - Accent1" xfId="10" builtinId="31"/>
    <cellStyle name="40% - Accent4" xfId="13" builtinId="43"/>
    <cellStyle name="60% - Accent2" xfId="11" builtinId="36"/>
    <cellStyle name="Accent1" xfId="9" builtinId="29"/>
    <cellStyle name="Accent4" xfId="12" builtinId="41"/>
    <cellStyle name="Accent6" xfId="14" builtinId="49"/>
    <cellStyle name="Comma 2" xfId="8" xr:uid="{00000000-0005-0000-0000-000006000000}"/>
    <cellStyle name="Heading 2" xfId="5" builtinId="17"/>
    <cellStyle name="Heading 3" xfId="6" builtinId="18"/>
    <cellStyle name="Heading 4" xfId="2" builtinId="19"/>
    <cellStyle name="Hyperlink" xfId="4" builtinId="8"/>
    <cellStyle name="Input" xfId="3" builtinId="20"/>
    <cellStyle name="Normal" xfId="0" builtinId="0"/>
    <cellStyle name="Normal 2" xfId="7" xr:uid="{00000000-0005-0000-0000-00000D000000}"/>
    <cellStyle name="Normal 3" xfId="15" xr:uid="{00000000-0005-0000-0000-00000E000000}"/>
    <cellStyle name="Normal_Sheet1" xfId="1" xr:uid="{00000000-0005-0000-0000-00000F000000}"/>
  </cellStyles>
  <dxfs count="13">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bgColor rgb="FFFFBE82"/>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ont>
        <color theme="0" tint="-0.14996795556505021"/>
      </font>
      <fill>
        <patternFill patternType="solid">
          <bgColor rgb="FFFFCC99"/>
        </patternFill>
      </fill>
    </dxf>
    <dxf>
      <fill>
        <patternFill>
          <bgColor theme="3" tint="0.59996337778862885"/>
        </patternFill>
      </fill>
    </dxf>
    <dxf>
      <fill>
        <patternFill>
          <bgColor theme="3" tint="0.59996337778862885"/>
        </patternFill>
      </fill>
    </dxf>
    <dxf>
      <fill>
        <patternFill>
          <bgColor theme="3" tint="0.59996337778862885"/>
        </patternFill>
      </fill>
    </dxf>
    <dxf>
      <fill>
        <patternFill>
          <bgColor theme="3" tint="0.59996337778862885"/>
        </patternFill>
      </fill>
    </dxf>
  </dxfs>
  <tableStyles count="0" defaultTableStyle="TableStyleMedium9" defaultPivotStyle="PivotStyleLight16"/>
  <colors>
    <mruColors>
      <color rgb="FFFFBE82"/>
      <color rgb="FFFFCC99"/>
      <color rgb="FFB4FFCC"/>
      <color rgb="FFB8D2BB"/>
      <color rgb="FF91FFCC"/>
      <color rgb="FF8CFFCC"/>
      <color rgb="FFC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9524</xdr:rowOff>
    </xdr:from>
    <xdr:to>
      <xdr:col>6</xdr:col>
      <xdr:colOff>9525</xdr:colOff>
      <xdr:row>26</xdr:row>
      <xdr:rowOff>66674</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0" y="342899"/>
          <a:ext cx="7534275" cy="4105275"/>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to WPD areas:</a:t>
          </a:r>
        </a:p>
        <a:p>
          <a:pPr lvl="1"/>
          <a:r>
            <a:rPr lang="en-GB" sz="900">
              <a:solidFill>
                <a:sysClr val="windowText" lastClr="000000"/>
              </a:solidFill>
              <a:effectLst/>
              <a:latin typeface="+mn-lt"/>
              <a:ea typeface="+mn-ea"/>
              <a:cs typeface="+mn-cs"/>
            </a:rPr>
            <a:t>WPD East Midlands (EMEB) and WPD West Midlands (MIDE) tariffs are all delinked and set time bands are applied in place of the TPR’s timebands.</a:t>
          </a:r>
        </a:p>
        <a:p>
          <a:pPr lvl="1"/>
          <a:r>
            <a:rPr lang="en-GB" sz="900">
              <a:solidFill>
                <a:sysClr val="windowText" lastClr="000000"/>
              </a:solidFill>
              <a:effectLst/>
              <a:latin typeface="+mn-lt"/>
              <a:ea typeface="+mn-ea"/>
              <a:cs typeface="+mn-cs"/>
            </a:rPr>
            <a:t>WPD South West (SWEB) and South Wales (SWAE) do not support all SSC combinations and where indicated with ‘Unsupported’ then set time bands are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Otherwise the following rules apply to the remaining DNO areas.</a:t>
          </a:r>
        </a:p>
        <a:p>
          <a:pPr lvl="1"/>
          <a:r>
            <a:rPr lang="en-GB" sz="900">
              <a:solidFill>
                <a:sysClr val="windowText" lastClr="000000"/>
              </a:solidFill>
              <a:effectLst/>
              <a:latin typeface="+mn-lt"/>
              <a:ea typeface="+mn-ea"/>
              <a:cs typeface="+mn-cs"/>
            </a:rPr>
            <a:t>1, G and U should be applied straight to the appropriate SSC/TPRs, to identify generation and UMS tariffs.</a:t>
          </a:r>
        </a:p>
        <a:p>
          <a:pPr lvl="1"/>
          <a:r>
            <a:rPr lang="en-GB" sz="900">
              <a:solidFill>
                <a:sysClr val="windowText" lastClr="000000"/>
              </a:solidFill>
              <a:effectLst/>
              <a:latin typeface="+mn-lt"/>
              <a:ea typeface="+mn-ea"/>
              <a:cs typeface="+mn-cs"/>
            </a:rPr>
            <a:t>Then considering the SSC/TPRs alongside the PC.</a:t>
          </a:r>
        </a:p>
        <a:p>
          <a:pPr lvl="1"/>
          <a:r>
            <a:rPr lang="en-GB" sz="900">
              <a:solidFill>
                <a:sysClr val="windowText" lastClr="000000"/>
              </a:solidFill>
              <a:effectLst/>
              <a:latin typeface="+mn-lt"/>
              <a:ea typeface="+mn-ea"/>
              <a:cs typeface="+mn-cs"/>
            </a:rPr>
            <a:t>2, PC1s should be labelled Domestic Unrestricted.</a:t>
          </a:r>
        </a:p>
        <a:p>
          <a:pPr lvl="1"/>
          <a:r>
            <a:rPr lang="en-GB" sz="900">
              <a:solidFill>
                <a:sysClr val="windowText" lastClr="000000"/>
              </a:solidFill>
              <a:effectLst/>
              <a:latin typeface="+mn-lt"/>
              <a:ea typeface="+mn-ea"/>
              <a:cs typeface="+mn-cs"/>
            </a:rPr>
            <a:t>3, PC2s with a SSCs with O should be labelled Domestic Off Peak.</a:t>
          </a:r>
        </a:p>
        <a:p>
          <a:pPr lvl="1"/>
          <a:r>
            <a:rPr lang="en-GB" sz="900">
              <a:solidFill>
                <a:sysClr val="windowText" lastClr="000000"/>
              </a:solidFill>
              <a:effectLst/>
              <a:latin typeface="+mn-lt"/>
              <a:ea typeface="+mn-ea"/>
              <a:cs typeface="+mn-cs"/>
            </a:rPr>
            <a:t>4, Remaining PC2s should be labelled Domestic Two Rate with the unit as 1 or 2 as detailed.</a:t>
          </a:r>
        </a:p>
        <a:p>
          <a:pPr lvl="1"/>
          <a:r>
            <a:rPr lang="en-GB" sz="900">
              <a:solidFill>
                <a:sysClr val="windowText" lastClr="000000"/>
              </a:solidFill>
              <a:effectLst/>
              <a:latin typeface="+mn-lt"/>
              <a:ea typeface="+mn-ea"/>
              <a:cs typeface="+mn-cs"/>
            </a:rPr>
            <a:t>5, PC3s should be labelled Small Non Domestic Unrestricted.</a:t>
          </a:r>
        </a:p>
        <a:p>
          <a:pPr lvl="1"/>
          <a:r>
            <a:rPr lang="en-GB" sz="900">
              <a:solidFill>
                <a:sysClr val="windowText" lastClr="000000"/>
              </a:solidFill>
              <a:effectLst/>
              <a:latin typeface="+mn-lt"/>
              <a:ea typeface="+mn-ea"/>
              <a:cs typeface="+mn-cs"/>
            </a:rPr>
            <a:t>6, PC4s with a SSCs with O should be labelled Small Non Domestic Off Peak.</a:t>
          </a:r>
        </a:p>
        <a:p>
          <a:pPr lvl="1"/>
          <a:r>
            <a:rPr lang="en-GB" sz="900">
              <a:solidFill>
                <a:sysClr val="windowText" lastClr="000000"/>
              </a:solidFill>
              <a:effectLst/>
              <a:latin typeface="+mn-lt"/>
              <a:ea typeface="+mn-ea"/>
              <a:cs typeface="+mn-cs"/>
            </a:rPr>
            <a:t>7, Remaining PC4s should be labelled Small Non Domestic Two Rate with the unit as 1 or 2 as detailed.</a:t>
          </a:r>
        </a:p>
        <a:p>
          <a:pPr lvl="1"/>
          <a:r>
            <a:rPr lang="en-GB" sz="900">
              <a:solidFill>
                <a:sysClr val="windowText" lastClr="000000"/>
              </a:solidFill>
              <a:effectLst/>
              <a:latin typeface="+mn-lt"/>
              <a:ea typeface="+mn-ea"/>
              <a:cs typeface="+mn-cs"/>
            </a:rPr>
            <a:t>8, PC5 – 8s, depending on the voltage of connection, they should be labelled; LV Medium Non Domestic, LV Sub Medium Non Domestic or HV Medium Non Domestic with the unit as 1 or 2 as detailed.</a:t>
          </a:r>
        </a:p>
        <a:p>
          <a:r>
            <a:rPr lang="en-GB" sz="900">
              <a:solidFill>
                <a:sysClr val="windowText" lastClr="000000"/>
              </a:solidFill>
              <a:effectLst/>
              <a:latin typeface="+mn-lt"/>
              <a:ea typeface="+mn-ea"/>
              <a:cs typeface="+mn-cs"/>
            </a:rPr>
            <a:t> </a:t>
          </a: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1: Unit 1 (Day)</a:t>
          </a:r>
        </a:p>
        <a:p>
          <a:pPr lvl="1"/>
          <a:r>
            <a:rPr lang="en-GB" sz="900">
              <a:solidFill>
                <a:sysClr val="windowText" lastClr="000000"/>
              </a:solidFill>
              <a:effectLst/>
              <a:latin typeface="+mn-lt"/>
              <a:ea typeface="+mn-ea"/>
              <a:cs typeface="+mn-cs"/>
            </a:rPr>
            <a:t>2: Unit 2 (Night)</a:t>
          </a:r>
        </a:p>
        <a:p>
          <a:pPr lvl="1"/>
          <a:r>
            <a:rPr lang="en-GB" sz="900">
              <a:solidFill>
                <a:sysClr val="windowText" lastClr="000000"/>
              </a:solidFill>
              <a:effectLst/>
              <a:latin typeface="+mn-lt"/>
              <a:ea typeface="+mn-ea"/>
              <a:cs typeface="+mn-cs"/>
            </a:rPr>
            <a:t>O: Off Peak</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UMS</a:t>
          </a:r>
        </a:p>
        <a:p>
          <a:pPr lvl="1"/>
          <a:r>
            <a:rPr lang="en-GB" sz="900">
              <a:solidFill>
                <a:sysClr val="windowText" lastClr="000000"/>
              </a:solidFill>
              <a:effectLst/>
              <a:latin typeface="+mn-lt"/>
              <a:ea typeface="+mn-ea"/>
              <a:cs typeface="+mn-cs"/>
            </a:rPr>
            <a:t>Unsupported: WPD South West (SWEB) or South Wales (SWAE) default TPRs applied</a:t>
          </a:r>
        </a:p>
        <a:p>
          <a:pPr lvl="1"/>
          <a:r>
            <a:rPr lang="en-GB" sz="900">
              <a:solidFill>
                <a:sysClr val="windowText" lastClr="000000"/>
              </a:solidFill>
              <a:effectLst/>
              <a:latin typeface="+mn-lt"/>
              <a:ea typeface="+mn-ea"/>
              <a:cs typeface="+mn-cs"/>
            </a:rPr>
            <a:t>EMEB or MIDE only: only exists in those areas (either or both) as delinked.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5"/>
  <sheetViews>
    <sheetView showGridLines="0" zoomScale="90" zoomScaleNormal="90" zoomScaleSheetLayoutView="100" workbookViewId="0"/>
  </sheetViews>
  <sheetFormatPr defaultRowHeight="12.75" x14ac:dyDescent="0.2"/>
  <cols>
    <col min="1" max="1" width="70.28515625" customWidth="1"/>
    <col min="2" max="2" width="42.140625" customWidth="1"/>
    <col min="3" max="3" width="28" customWidth="1"/>
    <col min="4" max="4" width="18.140625" customWidth="1"/>
    <col min="5" max="5" width="21.5703125" customWidth="1"/>
  </cols>
  <sheetData>
    <row r="1" spans="1:8" x14ac:dyDescent="0.2">
      <c r="A1" s="26"/>
      <c r="B1" s="26"/>
      <c r="C1" s="26"/>
      <c r="D1" s="26"/>
      <c r="E1" s="26"/>
    </row>
    <row r="2" spans="1:8" ht="16.5" x14ac:dyDescent="0.2">
      <c r="A2" s="156" t="s">
        <v>640</v>
      </c>
      <c r="B2" s="70"/>
      <c r="C2" s="70"/>
      <c r="D2" s="70"/>
      <c r="E2" s="70"/>
    </row>
    <row r="3" spans="1:8" ht="15" x14ac:dyDescent="0.2">
      <c r="A3" s="74"/>
      <c r="B3" s="149" t="s">
        <v>641</v>
      </c>
      <c r="C3" s="148" t="s">
        <v>685</v>
      </c>
      <c r="D3" s="148" t="s">
        <v>90</v>
      </c>
      <c r="E3" s="148" t="s">
        <v>89</v>
      </c>
    </row>
    <row r="4" spans="1:8" ht="15" x14ac:dyDescent="0.2">
      <c r="A4" s="71" t="s">
        <v>640</v>
      </c>
      <c r="B4" s="32" t="s">
        <v>714</v>
      </c>
      <c r="C4" s="32" t="s">
        <v>709</v>
      </c>
      <c r="D4" s="32" t="s">
        <v>710</v>
      </c>
      <c r="E4" s="32" t="s">
        <v>639</v>
      </c>
    </row>
    <row r="5" spans="1:8" x14ac:dyDescent="0.2">
      <c r="A5" s="70"/>
      <c r="B5" s="70"/>
      <c r="C5" s="70"/>
      <c r="D5" s="70"/>
      <c r="E5" s="70"/>
    </row>
    <row r="6" spans="1:8" ht="16.5" x14ac:dyDescent="0.2">
      <c r="A6" s="73" t="s">
        <v>84</v>
      </c>
      <c r="B6" s="70"/>
      <c r="C6" s="70"/>
      <c r="D6" s="70"/>
      <c r="E6" s="70"/>
    </row>
    <row r="7" spans="1:8" ht="15" x14ac:dyDescent="0.2">
      <c r="A7" s="75" t="s">
        <v>85</v>
      </c>
      <c r="B7" s="209" t="s">
        <v>86</v>
      </c>
      <c r="C7" s="209"/>
      <c r="D7" s="209"/>
      <c r="E7" s="209"/>
    </row>
    <row r="8" spans="1:8" ht="30" customHeight="1" x14ac:dyDescent="0.2">
      <c r="A8" s="80" t="s">
        <v>472</v>
      </c>
      <c r="B8" s="208" t="s">
        <v>701</v>
      </c>
      <c r="C8" s="208"/>
      <c r="D8" s="208"/>
      <c r="E8" s="208"/>
    </row>
    <row r="9" spans="1:8" ht="30" customHeight="1" x14ac:dyDescent="0.2">
      <c r="A9" s="80" t="s">
        <v>473</v>
      </c>
      <c r="B9" s="208"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Northern Powergrid (Northeast) Ltd Licence area.</v>
      </c>
      <c r="C9" s="208"/>
      <c r="D9" s="208"/>
      <c r="E9" s="208"/>
    </row>
    <row r="10" spans="1:8" ht="30" customHeight="1" x14ac:dyDescent="0.2">
      <c r="A10" s="80" t="s">
        <v>474</v>
      </c>
      <c r="B10" s="208" t="s">
        <v>88</v>
      </c>
      <c r="C10" s="208"/>
      <c r="D10" s="208"/>
      <c r="E10" s="208"/>
    </row>
    <row r="11" spans="1:8" ht="61.5" customHeight="1" x14ac:dyDescent="0.2">
      <c r="A11" s="80" t="s">
        <v>475</v>
      </c>
      <c r="B11" s="208"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Northern Powergrid (Northeast) Ltd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08"/>
      <c r="D11" s="208"/>
      <c r="E11" s="208"/>
      <c r="F11" s="211"/>
      <c r="G11" s="211"/>
      <c r="H11" s="211"/>
    </row>
    <row r="12" spans="1:8" ht="86.25" customHeight="1" x14ac:dyDescent="0.2">
      <c r="A12" s="80" t="s">
        <v>179</v>
      </c>
      <c r="B12" s="214" t="s">
        <v>705</v>
      </c>
      <c r="C12" s="214"/>
      <c r="D12" s="214"/>
      <c r="E12" s="214"/>
    </row>
    <row r="13" spans="1:8" ht="41.25" customHeight="1" x14ac:dyDescent="0.2">
      <c r="A13" s="80" t="s">
        <v>706</v>
      </c>
      <c r="B13" s="208"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Northern Powergrid (Northeast) Ltd Licence area.</v>
      </c>
      <c r="C13" s="208"/>
      <c r="D13" s="208"/>
      <c r="E13" s="208"/>
    </row>
    <row r="14" spans="1:8" ht="29.25" customHeight="1" x14ac:dyDescent="0.2">
      <c r="A14" s="80" t="s">
        <v>452</v>
      </c>
      <c r="B14" s="208" t="s">
        <v>1062</v>
      </c>
      <c r="C14" s="208"/>
      <c r="D14" s="208"/>
      <c r="E14" s="208"/>
    </row>
    <row r="15" spans="1:8" ht="30" customHeight="1" x14ac:dyDescent="0.2">
      <c r="A15" s="80" t="s">
        <v>447</v>
      </c>
      <c r="B15" s="208" t="s">
        <v>448</v>
      </c>
      <c r="C15" s="208"/>
      <c r="D15" s="208"/>
      <c r="E15" s="208"/>
    </row>
    <row r="16" spans="1:8" ht="30" customHeight="1" x14ac:dyDescent="0.2">
      <c r="A16" s="80" t="s">
        <v>527</v>
      </c>
      <c r="B16" s="208" t="s">
        <v>526</v>
      </c>
      <c r="C16" s="208"/>
      <c r="D16" s="208"/>
      <c r="E16" s="208"/>
    </row>
    <row r="17" spans="1:5" x14ac:dyDescent="0.2">
      <c r="A17" s="70"/>
      <c r="B17" s="70"/>
      <c r="C17" s="70"/>
      <c r="D17" s="70"/>
      <c r="E17" s="70"/>
    </row>
    <row r="18" spans="1:5" ht="15" x14ac:dyDescent="0.2">
      <c r="A18" s="76" t="s">
        <v>95</v>
      </c>
      <c r="B18" s="70"/>
      <c r="C18" s="70"/>
      <c r="D18" s="70"/>
      <c r="E18" s="70"/>
    </row>
    <row r="19" spans="1:5" ht="15" x14ac:dyDescent="0.2">
      <c r="A19" s="75"/>
      <c r="B19" s="215"/>
      <c r="C19" s="215"/>
      <c r="D19" s="215"/>
      <c r="E19" s="215"/>
    </row>
    <row r="20" spans="1:5" ht="32.25" customHeight="1" x14ac:dyDescent="0.2">
      <c r="A20" s="212" t="s">
        <v>505</v>
      </c>
      <c r="B20" s="213"/>
      <c r="C20" s="213"/>
      <c r="D20" s="213"/>
      <c r="E20" s="213"/>
    </row>
    <row r="21" spans="1:5" x14ac:dyDescent="0.2">
      <c r="A21" s="70"/>
      <c r="B21" s="70"/>
      <c r="C21" s="70"/>
      <c r="D21" s="70"/>
      <c r="E21" s="70"/>
    </row>
    <row r="22" spans="1:5" ht="15" x14ac:dyDescent="0.2">
      <c r="A22" s="77" t="s">
        <v>96</v>
      </c>
      <c r="B22" s="70"/>
      <c r="C22" s="70"/>
      <c r="D22" s="70"/>
      <c r="E22" s="70"/>
    </row>
    <row r="23" spans="1:5" ht="15" x14ac:dyDescent="0.2">
      <c r="A23" s="72"/>
      <c r="B23" s="215"/>
      <c r="C23" s="215"/>
      <c r="D23" s="215"/>
      <c r="E23" s="215"/>
    </row>
    <row r="24" spans="1:5" ht="28.5" customHeight="1" x14ac:dyDescent="0.2">
      <c r="A24" s="212" t="s">
        <v>476</v>
      </c>
      <c r="B24" s="213"/>
      <c r="C24" s="213"/>
      <c r="D24" s="213"/>
      <c r="E24" s="213"/>
    </row>
    <row r="25" spans="1:5" ht="28.5" customHeight="1" x14ac:dyDescent="0.2">
      <c r="A25" s="210" t="s">
        <v>638</v>
      </c>
      <c r="B25" s="210"/>
      <c r="C25" s="210"/>
      <c r="D25" s="210"/>
      <c r="E25" s="210"/>
    </row>
  </sheetData>
  <customSheetViews>
    <customSheetView guid="{5032A364-B81A-48DA-88DA-AB3B86B47EE9}">
      <selection activeCell="A12" sqref="A12"/>
      <pageMargins left="0.7" right="0.7" top="0.75" bottom="0.75" header="0.3" footer="0.3"/>
    </customSheetView>
  </customSheetViews>
  <mergeCells count="16">
    <mergeCell ref="A25:E25"/>
    <mergeCell ref="F11:H11"/>
    <mergeCell ref="B15:E15"/>
    <mergeCell ref="A20:E20"/>
    <mergeCell ref="A24:E24"/>
    <mergeCell ref="B12:E12"/>
    <mergeCell ref="B14:E14"/>
    <mergeCell ref="B13:E13"/>
    <mergeCell ref="B16:E16"/>
    <mergeCell ref="B19:E19"/>
    <mergeCell ref="B23:E23"/>
    <mergeCell ref="B8:E8"/>
    <mergeCell ref="B9:E9"/>
    <mergeCell ref="B10:E10"/>
    <mergeCell ref="B11:E11"/>
    <mergeCell ref="B7:E7"/>
  </mergeCells>
  <hyperlinks>
    <hyperlink ref="A8" location="'Annex 1 LV and HV charges'!A1" display="Annex 1 LV and HV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4" location="'Nodal prices'!A1" display="Nodal prices" xr:uid="{00000000-0004-0000-0000-000005000000}"/>
    <hyperlink ref="A13" location="'Annex 6 new or amended EHV'!Print_Area" display="Annex 6  Charges for New or Amended Designated EHV Properties" xr:uid="{00000000-0004-0000-0000-000006000000}"/>
    <hyperlink ref="A15" location="'SSC TPR unit rate lookup'!A1" display="SSC TPR to unit rate lookup table" xr:uid="{00000000-0004-0000-0000-000007000000}"/>
    <hyperlink ref="A16" location="'Charge Calculator'!B10" display="Charge calculator" xr:uid="{00000000-0004-0000-0000-000008000000}"/>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L45"/>
  <sheetViews>
    <sheetView zoomScaleNormal="100" zoomScaleSheetLayoutView="100" workbookViewId="0">
      <selection activeCell="J11" sqref="J11"/>
    </sheetView>
  </sheetViews>
  <sheetFormatPr defaultRowHeight="27.75" customHeight="1" x14ac:dyDescent="0.2"/>
  <cols>
    <col min="1" max="1" width="49" style="2" bestFit="1" customWidth="1"/>
    <col min="2" max="2" width="17.5703125" style="3" customWidth="1"/>
    <col min="3" max="3" width="6.85546875" style="2" customWidth="1"/>
    <col min="4" max="4" width="17.5703125" style="2" customWidth="1"/>
    <col min="5" max="7" width="17.5703125" style="3" customWidth="1"/>
    <col min="8" max="9" width="17.5703125" style="9" customWidth="1"/>
    <col min="10" max="10" width="17.5703125" style="5" customWidth="1"/>
    <col min="11" max="11" width="17.5703125" style="6" customWidth="1"/>
    <col min="12" max="12" width="1.42578125" style="4" customWidth="1"/>
    <col min="13" max="16384" width="9.140625" style="2"/>
  </cols>
  <sheetData>
    <row r="1" spans="1:12" ht="27.75" customHeight="1" x14ac:dyDescent="0.2">
      <c r="A1" s="107" t="s">
        <v>87</v>
      </c>
      <c r="B1" s="218"/>
      <c r="C1" s="218"/>
      <c r="D1" s="218"/>
      <c r="E1" s="218" t="s">
        <v>700</v>
      </c>
      <c r="F1" s="218"/>
      <c r="G1" s="218"/>
      <c r="H1" s="218"/>
      <c r="I1" s="218"/>
      <c r="J1" s="218"/>
      <c r="K1" s="218"/>
      <c r="L1" s="58"/>
    </row>
    <row r="2" spans="1:12" ht="27" customHeight="1" x14ac:dyDescent="0.2">
      <c r="A2" s="223" t="str">
        <f>Overview!B4&amp; " - Effective from "&amp;Overview!D4&amp;" - "&amp;Overview!E4&amp;" LV and HV charges"</f>
        <v>Northern Powergrid (Northeast) Ltd - Effective from 1 April 2019 - Final LV and HV charges</v>
      </c>
      <c r="B2" s="223"/>
      <c r="C2" s="223"/>
      <c r="D2" s="223"/>
      <c r="E2" s="223"/>
      <c r="F2" s="223"/>
      <c r="G2" s="223"/>
      <c r="H2" s="223"/>
      <c r="I2" s="223"/>
      <c r="J2" s="223"/>
      <c r="K2" s="223"/>
    </row>
    <row r="3" spans="1:12" s="91" customFormat="1" ht="15" customHeight="1" x14ac:dyDescent="0.2">
      <c r="A3" s="89"/>
      <c r="B3" s="89"/>
      <c r="C3" s="89"/>
      <c r="D3" s="89"/>
      <c r="E3" s="89"/>
      <c r="F3" s="89"/>
      <c r="G3" s="89"/>
      <c r="H3" s="89"/>
      <c r="I3" s="89"/>
      <c r="J3" s="89"/>
      <c r="K3" s="89"/>
      <c r="L3" s="90"/>
    </row>
    <row r="4" spans="1:12" ht="27" customHeight="1" x14ac:dyDescent="0.2">
      <c r="A4" s="223" t="s">
        <v>495</v>
      </c>
      <c r="B4" s="223"/>
      <c r="C4" s="223"/>
      <c r="D4" s="223"/>
      <c r="E4" s="223"/>
      <c r="F4" s="89"/>
      <c r="G4" s="223" t="s">
        <v>494</v>
      </c>
      <c r="H4" s="223"/>
      <c r="I4" s="223"/>
      <c r="J4" s="223"/>
      <c r="K4" s="223"/>
    </row>
    <row r="5" spans="1:12" ht="28.5" customHeight="1" x14ac:dyDescent="0.2">
      <c r="A5" s="81" t="s">
        <v>80</v>
      </c>
      <c r="B5" s="85" t="s">
        <v>486</v>
      </c>
      <c r="C5" s="224" t="s">
        <v>487</v>
      </c>
      <c r="D5" s="225"/>
      <c r="E5" s="82" t="s">
        <v>488</v>
      </c>
      <c r="F5" s="89"/>
      <c r="G5" s="227"/>
      <c r="H5" s="228"/>
      <c r="I5" s="86" t="s">
        <v>492</v>
      </c>
      <c r="J5" s="87" t="s">
        <v>493</v>
      </c>
      <c r="K5" s="82" t="s">
        <v>488</v>
      </c>
      <c r="L5" s="89"/>
    </row>
    <row r="6" spans="1:12" ht="65.25" customHeight="1" x14ac:dyDescent="0.2">
      <c r="A6" s="83" t="s">
        <v>489</v>
      </c>
      <c r="B6" s="24" t="s">
        <v>1055</v>
      </c>
      <c r="C6" s="226" t="s">
        <v>1056</v>
      </c>
      <c r="D6" s="226"/>
      <c r="E6" s="24" t="s">
        <v>1057</v>
      </c>
      <c r="F6" s="89"/>
      <c r="G6" s="217" t="s">
        <v>490</v>
      </c>
      <c r="H6" s="217"/>
      <c r="I6" s="24" t="s">
        <v>1055</v>
      </c>
      <c r="J6" s="88" t="s">
        <v>1056</v>
      </c>
      <c r="K6" s="88" t="s">
        <v>1057</v>
      </c>
      <c r="L6" s="89"/>
    </row>
    <row r="7" spans="1:12" ht="65.25" customHeight="1" x14ac:dyDescent="0.2">
      <c r="A7" s="83" t="s">
        <v>83</v>
      </c>
      <c r="B7" s="23"/>
      <c r="C7" s="229"/>
      <c r="D7" s="229"/>
      <c r="E7" s="24" t="s">
        <v>1058</v>
      </c>
      <c r="F7" s="89"/>
      <c r="G7" s="217" t="s">
        <v>708</v>
      </c>
      <c r="H7" s="217"/>
      <c r="I7" s="157"/>
      <c r="J7" s="88" t="s">
        <v>1059</v>
      </c>
      <c r="K7" s="88" t="s">
        <v>1057</v>
      </c>
      <c r="L7" s="89"/>
    </row>
    <row r="8" spans="1:12" ht="65.25" customHeight="1" x14ac:dyDescent="0.2">
      <c r="A8" s="84" t="s">
        <v>81</v>
      </c>
      <c r="B8" s="219" t="s">
        <v>82</v>
      </c>
      <c r="C8" s="220"/>
      <c r="D8" s="220"/>
      <c r="E8" s="221"/>
      <c r="F8" s="89"/>
      <c r="G8" s="217" t="s">
        <v>510</v>
      </c>
      <c r="H8" s="217"/>
      <c r="I8" s="157"/>
      <c r="J8" s="157"/>
      <c r="K8" s="88" t="s">
        <v>1058</v>
      </c>
      <c r="L8" s="89"/>
    </row>
    <row r="9" spans="1:12" s="91" customFormat="1" ht="27" customHeight="1" x14ac:dyDescent="0.2">
      <c r="A9" s="89"/>
      <c r="B9" s="89"/>
      <c r="C9" s="89"/>
      <c r="D9" s="89"/>
      <c r="E9" s="89"/>
      <c r="F9" s="89"/>
      <c r="G9" s="222" t="s">
        <v>81</v>
      </c>
      <c r="H9" s="222"/>
      <c r="I9" s="219" t="s">
        <v>82</v>
      </c>
      <c r="J9" s="220"/>
      <c r="K9" s="221"/>
      <c r="L9" s="90"/>
    </row>
    <row r="10" spans="1:12" s="91" customFormat="1" ht="12.75" customHeight="1" x14ac:dyDescent="0.2">
      <c r="A10" s="89"/>
      <c r="B10" s="89"/>
      <c r="C10" s="89"/>
      <c r="D10" s="89"/>
      <c r="E10" s="89"/>
      <c r="F10" s="89"/>
      <c r="G10" s="89"/>
      <c r="H10" s="89"/>
      <c r="I10" s="89"/>
      <c r="J10" s="89"/>
      <c r="K10" s="89"/>
      <c r="L10" s="90"/>
    </row>
    <row r="11" spans="1:12" ht="78.75" customHeight="1" x14ac:dyDescent="0.2">
      <c r="A11" s="31" t="s">
        <v>686</v>
      </c>
      <c r="B11" s="79" t="s">
        <v>91</v>
      </c>
      <c r="C11" s="79" t="s">
        <v>92</v>
      </c>
      <c r="D11" s="31" t="s">
        <v>632</v>
      </c>
      <c r="E11" s="31" t="s">
        <v>633</v>
      </c>
      <c r="F11" s="31" t="s">
        <v>634</v>
      </c>
      <c r="G11" s="79" t="s">
        <v>93</v>
      </c>
      <c r="H11" s="79" t="s">
        <v>94</v>
      </c>
      <c r="I11" s="31" t="s">
        <v>687</v>
      </c>
      <c r="J11" s="79" t="s">
        <v>453</v>
      </c>
      <c r="K11" s="79" t="s">
        <v>48</v>
      </c>
    </row>
    <row r="12" spans="1:12" ht="32.25" customHeight="1" x14ac:dyDescent="0.2">
      <c r="A12" s="18" t="s">
        <v>1134</v>
      </c>
      <c r="B12" s="158">
        <v>1</v>
      </c>
      <c r="C12" s="69">
        <v>1</v>
      </c>
      <c r="D12" s="159">
        <v>2.355</v>
      </c>
      <c r="E12" s="160">
        <v>0</v>
      </c>
      <c r="F12" s="160">
        <v>0</v>
      </c>
      <c r="G12" s="161">
        <v>5.57</v>
      </c>
      <c r="H12" s="162">
        <v>0</v>
      </c>
      <c r="I12" s="162">
        <v>0</v>
      </c>
      <c r="J12" s="160">
        <v>0</v>
      </c>
      <c r="K12" s="163" t="s">
        <v>721</v>
      </c>
    </row>
    <row r="13" spans="1:12" ht="32.25" customHeight="1" x14ac:dyDescent="0.2">
      <c r="A13" s="18" t="s">
        <v>1135</v>
      </c>
      <c r="B13" s="158">
        <v>2</v>
      </c>
      <c r="C13" s="69">
        <v>2</v>
      </c>
      <c r="D13" s="159">
        <v>2.6739999999999999</v>
      </c>
      <c r="E13" s="159">
        <v>1.131</v>
      </c>
      <c r="F13" s="160">
        <v>0</v>
      </c>
      <c r="G13" s="161">
        <v>5.57</v>
      </c>
      <c r="H13" s="162">
        <v>0</v>
      </c>
      <c r="I13" s="162">
        <v>0</v>
      </c>
      <c r="J13" s="160">
        <v>0</v>
      </c>
      <c r="K13" s="163">
        <v>0</v>
      </c>
    </row>
    <row r="14" spans="1:12" ht="32.25" customHeight="1" x14ac:dyDescent="0.2">
      <c r="A14" s="18" t="s">
        <v>9</v>
      </c>
      <c r="B14" s="158">
        <v>12</v>
      </c>
      <c r="C14" s="69">
        <v>2</v>
      </c>
      <c r="D14" s="159">
        <v>1.25</v>
      </c>
      <c r="E14" s="160">
        <v>0</v>
      </c>
      <c r="F14" s="160">
        <v>0</v>
      </c>
      <c r="G14" s="162">
        <v>0</v>
      </c>
      <c r="H14" s="162">
        <v>0</v>
      </c>
      <c r="I14" s="162">
        <v>0</v>
      </c>
      <c r="J14" s="160">
        <v>0</v>
      </c>
      <c r="K14" s="163">
        <v>0</v>
      </c>
    </row>
    <row r="15" spans="1:12" ht="32.25" customHeight="1" x14ac:dyDescent="0.2">
      <c r="A15" s="18" t="s">
        <v>10</v>
      </c>
      <c r="B15" s="158">
        <v>203</v>
      </c>
      <c r="C15" s="69">
        <v>3</v>
      </c>
      <c r="D15" s="159">
        <v>2.379</v>
      </c>
      <c r="E15" s="160">
        <v>0</v>
      </c>
      <c r="F15" s="160">
        <v>0</v>
      </c>
      <c r="G15" s="161">
        <v>5.84</v>
      </c>
      <c r="H15" s="162">
        <v>0</v>
      </c>
      <c r="I15" s="162">
        <v>0</v>
      </c>
      <c r="J15" s="160">
        <v>0</v>
      </c>
      <c r="K15" s="163">
        <v>0</v>
      </c>
    </row>
    <row r="16" spans="1:12" ht="32.25" customHeight="1" x14ac:dyDescent="0.2">
      <c r="A16" s="18" t="s">
        <v>11</v>
      </c>
      <c r="B16" s="158">
        <v>204</v>
      </c>
      <c r="C16" s="69">
        <v>4</v>
      </c>
      <c r="D16" s="159">
        <v>2.6</v>
      </c>
      <c r="E16" s="159">
        <v>1.1659999999999999</v>
      </c>
      <c r="F16" s="160">
        <v>0</v>
      </c>
      <c r="G16" s="161">
        <v>5.84</v>
      </c>
      <c r="H16" s="162">
        <v>0</v>
      </c>
      <c r="I16" s="162">
        <v>0</v>
      </c>
      <c r="J16" s="160">
        <v>0</v>
      </c>
      <c r="K16" s="163">
        <v>0</v>
      </c>
    </row>
    <row r="17" spans="1:11" ht="32.25" customHeight="1" x14ac:dyDescent="0.2">
      <c r="A17" s="18" t="s">
        <v>12</v>
      </c>
      <c r="B17" s="158">
        <v>205</v>
      </c>
      <c r="C17" s="69">
        <v>4</v>
      </c>
      <c r="D17" s="159">
        <v>1.3109999999999999</v>
      </c>
      <c r="E17" s="160">
        <v>0</v>
      </c>
      <c r="F17" s="160">
        <v>0</v>
      </c>
      <c r="G17" s="162">
        <v>0</v>
      </c>
      <c r="H17" s="162">
        <v>0</v>
      </c>
      <c r="I17" s="162">
        <v>0</v>
      </c>
      <c r="J17" s="160">
        <v>0</v>
      </c>
      <c r="K17" s="163">
        <v>0</v>
      </c>
    </row>
    <row r="18" spans="1:11" ht="32.25" customHeight="1" x14ac:dyDescent="0.2">
      <c r="A18" s="18" t="s">
        <v>0</v>
      </c>
      <c r="B18" s="158">
        <v>257</v>
      </c>
      <c r="C18" s="69" t="s">
        <v>18</v>
      </c>
      <c r="D18" s="159">
        <v>2.29</v>
      </c>
      <c r="E18" s="159">
        <v>1.1200000000000001</v>
      </c>
      <c r="F18" s="160">
        <v>0</v>
      </c>
      <c r="G18" s="161">
        <v>30.49</v>
      </c>
      <c r="H18" s="162">
        <v>0</v>
      </c>
      <c r="I18" s="162">
        <v>0</v>
      </c>
      <c r="J18" s="160">
        <v>0</v>
      </c>
      <c r="K18" s="163">
        <v>0</v>
      </c>
    </row>
    <row r="19" spans="1:11" ht="32.25" customHeight="1" x14ac:dyDescent="0.2">
      <c r="A19" s="18" t="s">
        <v>13</v>
      </c>
      <c r="B19" s="158">
        <v>265</v>
      </c>
      <c r="C19" s="69" t="s">
        <v>18</v>
      </c>
      <c r="D19" s="159">
        <v>2.343</v>
      </c>
      <c r="E19" s="159">
        <v>1.1519999999999999</v>
      </c>
      <c r="F19" s="160">
        <v>0</v>
      </c>
      <c r="G19" s="161">
        <v>30.5</v>
      </c>
      <c r="H19" s="162">
        <v>0</v>
      </c>
      <c r="I19" s="162">
        <v>0</v>
      </c>
      <c r="J19" s="160">
        <v>0</v>
      </c>
      <c r="K19" s="163">
        <v>0</v>
      </c>
    </row>
    <row r="20" spans="1:11" ht="32.25" customHeight="1" x14ac:dyDescent="0.2">
      <c r="A20" s="18" t="s">
        <v>14</v>
      </c>
      <c r="B20" s="158">
        <v>304</v>
      </c>
      <c r="C20" s="69" t="s">
        <v>18</v>
      </c>
      <c r="D20" s="159">
        <v>1.653</v>
      </c>
      <c r="E20" s="159">
        <v>1.103</v>
      </c>
      <c r="F20" s="160">
        <v>0</v>
      </c>
      <c r="G20" s="161">
        <v>284.23</v>
      </c>
      <c r="H20" s="162">
        <v>0</v>
      </c>
      <c r="I20" s="162">
        <v>0</v>
      </c>
      <c r="J20" s="160">
        <v>0</v>
      </c>
      <c r="K20" s="163">
        <v>0</v>
      </c>
    </row>
    <row r="21" spans="1:11" ht="32.25" customHeight="1" x14ac:dyDescent="0.2">
      <c r="A21" s="18" t="s">
        <v>1136</v>
      </c>
      <c r="B21" s="158">
        <v>249</v>
      </c>
      <c r="C21" s="69">
        <v>0</v>
      </c>
      <c r="D21" s="164">
        <v>7.5670000000000002</v>
      </c>
      <c r="E21" s="165">
        <v>1.91</v>
      </c>
      <c r="F21" s="166">
        <v>1.117</v>
      </c>
      <c r="G21" s="161">
        <v>5.57</v>
      </c>
      <c r="H21" s="162">
        <v>0</v>
      </c>
      <c r="I21" s="162">
        <v>0</v>
      </c>
      <c r="J21" s="160">
        <v>0</v>
      </c>
      <c r="K21" s="163">
        <v>0</v>
      </c>
    </row>
    <row r="22" spans="1:11" ht="32.25" customHeight="1" x14ac:dyDescent="0.2">
      <c r="A22" s="18" t="s">
        <v>560</v>
      </c>
      <c r="B22" s="158">
        <v>278</v>
      </c>
      <c r="C22" s="69">
        <v>0</v>
      </c>
      <c r="D22" s="164">
        <v>7.9340000000000002</v>
      </c>
      <c r="E22" s="165">
        <v>1.958</v>
      </c>
      <c r="F22" s="166">
        <v>1.1200000000000001</v>
      </c>
      <c r="G22" s="161">
        <v>5.84</v>
      </c>
      <c r="H22" s="162">
        <v>0</v>
      </c>
      <c r="I22" s="162">
        <v>0</v>
      </c>
      <c r="J22" s="160">
        <v>0</v>
      </c>
      <c r="K22" s="163">
        <v>0</v>
      </c>
    </row>
    <row r="23" spans="1:11" ht="32.25" customHeight="1" x14ac:dyDescent="0.2">
      <c r="A23" s="18" t="s">
        <v>15</v>
      </c>
      <c r="B23" s="158">
        <v>251</v>
      </c>
      <c r="C23" s="69">
        <v>0</v>
      </c>
      <c r="D23" s="164">
        <v>5.5890000000000004</v>
      </c>
      <c r="E23" s="165">
        <v>1.641</v>
      </c>
      <c r="F23" s="166">
        <v>1.099</v>
      </c>
      <c r="G23" s="161">
        <v>15.9</v>
      </c>
      <c r="H23" s="161">
        <v>1.77</v>
      </c>
      <c r="I23" s="167">
        <v>4.1399999999999997</v>
      </c>
      <c r="J23" s="159">
        <v>0.16600000000000001</v>
      </c>
      <c r="K23" s="163">
        <v>0</v>
      </c>
    </row>
    <row r="24" spans="1:11" ht="32.25" customHeight="1" x14ac:dyDescent="0.2">
      <c r="A24" s="18" t="s">
        <v>16</v>
      </c>
      <c r="B24" s="158">
        <v>293</v>
      </c>
      <c r="C24" s="69">
        <v>0</v>
      </c>
      <c r="D24" s="164">
        <v>4.01</v>
      </c>
      <c r="E24" s="165">
        <v>1.419</v>
      </c>
      <c r="F24" s="166">
        <v>1.0860000000000001</v>
      </c>
      <c r="G24" s="161">
        <v>15.9</v>
      </c>
      <c r="H24" s="161">
        <v>2.4900000000000002</v>
      </c>
      <c r="I24" s="167">
        <v>4.1100000000000003</v>
      </c>
      <c r="J24" s="159">
        <v>9.7000000000000003E-2</v>
      </c>
      <c r="K24" s="163">
        <v>0</v>
      </c>
    </row>
    <row r="25" spans="1:11" ht="32.25" customHeight="1" x14ac:dyDescent="0.2">
      <c r="A25" s="18" t="s">
        <v>17</v>
      </c>
      <c r="B25" s="158">
        <v>301</v>
      </c>
      <c r="C25" s="69">
        <v>0</v>
      </c>
      <c r="D25" s="164">
        <v>3.266</v>
      </c>
      <c r="E25" s="165">
        <v>1.3140000000000001</v>
      </c>
      <c r="F25" s="166">
        <v>1.08</v>
      </c>
      <c r="G25" s="161">
        <v>151.06</v>
      </c>
      <c r="H25" s="161">
        <v>2.39</v>
      </c>
      <c r="I25" s="167">
        <v>4.32</v>
      </c>
      <c r="J25" s="159">
        <v>6.7000000000000004E-2</v>
      </c>
      <c r="K25" s="163">
        <v>0</v>
      </c>
    </row>
    <row r="26" spans="1:11" ht="32.25" customHeight="1" x14ac:dyDescent="0.2">
      <c r="A26" s="18" t="s">
        <v>182</v>
      </c>
      <c r="B26" s="158">
        <v>506</v>
      </c>
      <c r="C26" s="69">
        <v>8</v>
      </c>
      <c r="D26" s="159">
        <v>1.972</v>
      </c>
      <c r="E26" s="160">
        <v>0</v>
      </c>
      <c r="F26" s="160">
        <v>0</v>
      </c>
      <c r="G26" s="162">
        <v>0</v>
      </c>
      <c r="H26" s="162">
        <v>0</v>
      </c>
      <c r="I26" s="162">
        <v>0</v>
      </c>
      <c r="J26" s="160">
        <v>0</v>
      </c>
      <c r="K26" s="163">
        <v>0</v>
      </c>
    </row>
    <row r="27" spans="1:11" ht="32.25" customHeight="1" x14ac:dyDescent="0.2">
      <c r="A27" s="18" t="s">
        <v>183</v>
      </c>
      <c r="B27" s="158">
        <v>507</v>
      </c>
      <c r="C27" s="69">
        <v>1</v>
      </c>
      <c r="D27" s="159">
        <v>2.2829999999999999</v>
      </c>
      <c r="E27" s="160">
        <v>0</v>
      </c>
      <c r="F27" s="160">
        <v>0</v>
      </c>
      <c r="G27" s="162">
        <v>0</v>
      </c>
      <c r="H27" s="162">
        <v>0</v>
      </c>
      <c r="I27" s="162">
        <v>0</v>
      </c>
      <c r="J27" s="160">
        <v>0</v>
      </c>
      <c r="K27" s="163">
        <v>0</v>
      </c>
    </row>
    <row r="28" spans="1:11" ht="32.25" customHeight="1" x14ac:dyDescent="0.2">
      <c r="A28" s="18" t="s">
        <v>184</v>
      </c>
      <c r="B28" s="158">
        <v>508</v>
      </c>
      <c r="C28" s="69">
        <v>1</v>
      </c>
      <c r="D28" s="159">
        <v>3.3170000000000002</v>
      </c>
      <c r="E28" s="160">
        <v>0</v>
      </c>
      <c r="F28" s="160">
        <v>0</v>
      </c>
      <c r="G28" s="162">
        <v>0</v>
      </c>
      <c r="H28" s="162">
        <v>0</v>
      </c>
      <c r="I28" s="162">
        <v>0</v>
      </c>
      <c r="J28" s="160">
        <v>0</v>
      </c>
      <c r="K28" s="163">
        <v>0</v>
      </c>
    </row>
    <row r="29" spans="1:11" ht="32.25" customHeight="1" x14ac:dyDescent="0.2">
      <c r="A29" s="18" t="s">
        <v>185</v>
      </c>
      <c r="B29" s="158">
        <v>509</v>
      </c>
      <c r="C29" s="69">
        <v>1</v>
      </c>
      <c r="D29" s="159">
        <v>1.762</v>
      </c>
      <c r="E29" s="160">
        <v>0</v>
      </c>
      <c r="F29" s="160">
        <v>0</v>
      </c>
      <c r="G29" s="162">
        <v>0</v>
      </c>
      <c r="H29" s="162">
        <v>0</v>
      </c>
      <c r="I29" s="162">
        <v>0</v>
      </c>
      <c r="J29" s="160">
        <v>0</v>
      </c>
      <c r="K29" s="163">
        <v>0</v>
      </c>
    </row>
    <row r="30" spans="1:11" ht="32.25" customHeight="1" x14ac:dyDescent="0.2">
      <c r="A30" s="18" t="s">
        <v>1</v>
      </c>
      <c r="B30" s="158" t="s">
        <v>722</v>
      </c>
      <c r="C30" s="69">
        <v>0</v>
      </c>
      <c r="D30" s="168">
        <v>18.384</v>
      </c>
      <c r="E30" s="169">
        <v>1.8149999999999999</v>
      </c>
      <c r="F30" s="166">
        <v>1.1120000000000001</v>
      </c>
      <c r="G30" s="162">
        <v>0</v>
      </c>
      <c r="H30" s="162">
        <v>0</v>
      </c>
      <c r="I30" s="162">
        <v>0</v>
      </c>
      <c r="J30" s="160">
        <v>0</v>
      </c>
      <c r="K30" s="163">
        <v>0</v>
      </c>
    </row>
    <row r="31" spans="1:11" ht="32.25" customHeight="1" x14ac:dyDescent="0.2">
      <c r="A31" s="18" t="s">
        <v>561</v>
      </c>
      <c r="B31" s="158">
        <v>774</v>
      </c>
      <c r="C31" s="69" t="s">
        <v>723</v>
      </c>
      <c r="D31" s="159">
        <v>-0.67100000000000004</v>
      </c>
      <c r="E31" s="160">
        <v>0</v>
      </c>
      <c r="F31" s="160">
        <v>0</v>
      </c>
      <c r="G31" s="170">
        <v>0</v>
      </c>
      <c r="H31" s="162">
        <v>0</v>
      </c>
      <c r="I31" s="162">
        <v>0</v>
      </c>
      <c r="J31" s="160">
        <v>0</v>
      </c>
      <c r="K31" s="163">
        <v>0</v>
      </c>
    </row>
    <row r="32" spans="1:11" ht="32.25" customHeight="1" x14ac:dyDescent="0.2">
      <c r="A32" s="18" t="s">
        <v>8</v>
      </c>
      <c r="B32" s="158">
        <v>776</v>
      </c>
      <c r="C32" s="69">
        <v>8</v>
      </c>
      <c r="D32" s="159">
        <v>-0.59499999999999997</v>
      </c>
      <c r="E32" s="160">
        <v>0</v>
      </c>
      <c r="F32" s="160">
        <v>0</v>
      </c>
      <c r="G32" s="170">
        <v>0</v>
      </c>
      <c r="H32" s="162">
        <v>0</v>
      </c>
      <c r="I32" s="162">
        <v>0</v>
      </c>
      <c r="J32" s="160">
        <v>0</v>
      </c>
      <c r="K32" s="163">
        <v>0</v>
      </c>
    </row>
    <row r="33" spans="1:11" ht="32.25" customHeight="1" x14ac:dyDescent="0.2">
      <c r="A33" s="18" t="s">
        <v>2</v>
      </c>
      <c r="B33" s="158">
        <v>792</v>
      </c>
      <c r="C33" s="69">
        <v>0</v>
      </c>
      <c r="D33" s="159">
        <v>-0.67100000000000004</v>
      </c>
      <c r="E33" s="160">
        <v>0</v>
      </c>
      <c r="F33" s="160">
        <v>0</v>
      </c>
      <c r="G33" s="170">
        <v>0</v>
      </c>
      <c r="H33" s="162">
        <v>0</v>
      </c>
      <c r="I33" s="162">
        <v>0</v>
      </c>
      <c r="J33" s="159">
        <v>0.14099999999999999</v>
      </c>
      <c r="K33" s="163">
        <v>0</v>
      </c>
    </row>
    <row r="34" spans="1:11" ht="32.25" customHeight="1" x14ac:dyDescent="0.2">
      <c r="A34" s="18" t="s">
        <v>694</v>
      </c>
      <c r="B34" s="158">
        <v>392</v>
      </c>
      <c r="C34" s="69">
        <v>0</v>
      </c>
      <c r="D34" s="159">
        <v>-0.67100000000000004</v>
      </c>
      <c r="E34" s="160">
        <v>0</v>
      </c>
      <c r="F34" s="160">
        <v>0</v>
      </c>
      <c r="G34" s="170">
        <v>0</v>
      </c>
      <c r="H34" s="162">
        <v>0</v>
      </c>
      <c r="I34" s="162">
        <v>0</v>
      </c>
      <c r="J34" s="160">
        <v>0</v>
      </c>
      <c r="K34" s="163">
        <v>0</v>
      </c>
    </row>
    <row r="35" spans="1:11" ht="32.25" customHeight="1" x14ac:dyDescent="0.2">
      <c r="A35" s="18" t="s">
        <v>3</v>
      </c>
      <c r="B35" s="158">
        <v>794</v>
      </c>
      <c r="C35" s="69">
        <v>0</v>
      </c>
      <c r="D35" s="164">
        <v>-4.4450000000000003</v>
      </c>
      <c r="E35" s="165">
        <v>-0.58299999999999996</v>
      </c>
      <c r="F35" s="166">
        <v>-4.2000000000000003E-2</v>
      </c>
      <c r="G35" s="170">
        <v>0</v>
      </c>
      <c r="H35" s="162">
        <v>0</v>
      </c>
      <c r="I35" s="162">
        <v>0</v>
      </c>
      <c r="J35" s="159">
        <v>0.14099999999999999</v>
      </c>
      <c r="K35" s="163">
        <v>0</v>
      </c>
    </row>
    <row r="36" spans="1:11" ht="32.25" customHeight="1" x14ac:dyDescent="0.2">
      <c r="A36" s="18" t="s">
        <v>695</v>
      </c>
      <c r="B36" s="158">
        <v>394</v>
      </c>
      <c r="C36" s="69">
        <v>0</v>
      </c>
      <c r="D36" s="164">
        <v>-4.4450000000000003</v>
      </c>
      <c r="E36" s="165">
        <v>-0.58299999999999996</v>
      </c>
      <c r="F36" s="166">
        <v>-4.2000000000000003E-2</v>
      </c>
      <c r="G36" s="170">
        <v>0</v>
      </c>
      <c r="H36" s="162">
        <v>0</v>
      </c>
      <c r="I36" s="162">
        <v>0</v>
      </c>
      <c r="J36" s="160">
        <v>0</v>
      </c>
      <c r="K36" s="163">
        <v>0</v>
      </c>
    </row>
    <row r="37" spans="1:11" ht="32.25" customHeight="1" x14ac:dyDescent="0.2">
      <c r="A37" s="18" t="s">
        <v>4</v>
      </c>
      <c r="B37" s="158">
        <v>793</v>
      </c>
      <c r="C37" s="69">
        <v>0</v>
      </c>
      <c r="D37" s="159">
        <v>-0.59499999999999997</v>
      </c>
      <c r="E37" s="160">
        <v>0</v>
      </c>
      <c r="F37" s="160">
        <v>0</v>
      </c>
      <c r="G37" s="170">
        <v>0</v>
      </c>
      <c r="H37" s="162">
        <v>0</v>
      </c>
      <c r="I37" s="162">
        <v>0</v>
      </c>
      <c r="J37" s="159">
        <v>0.13400000000000001</v>
      </c>
      <c r="K37" s="163">
        <v>0</v>
      </c>
    </row>
    <row r="38" spans="1:11" ht="32.25" customHeight="1" x14ac:dyDescent="0.2">
      <c r="A38" s="18" t="s">
        <v>696</v>
      </c>
      <c r="B38" s="158">
        <v>393</v>
      </c>
      <c r="C38" s="69">
        <v>0</v>
      </c>
      <c r="D38" s="159">
        <v>-0.59499999999999997</v>
      </c>
      <c r="E38" s="160">
        <v>0</v>
      </c>
      <c r="F38" s="160">
        <v>0</v>
      </c>
      <c r="G38" s="170">
        <v>0</v>
      </c>
      <c r="H38" s="162">
        <v>0</v>
      </c>
      <c r="I38" s="162">
        <v>0</v>
      </c>
      <c r="J38" s="160">
        <v>0</v>
      </c>
      <c r="K38" s="163">
        <v>0</v>
      </c>
    </row>
    <row r="39" spans="1:11" ht="32.25" customHeight="1" x14ac:dyDescent="0.2">
      <c r="A39" s="18" t="s">
        <v>5</v>
      </c>
      <c r="B39" s="158">
        <v>795</v>
      </c>
      <c r="C39" s="69">
        <v>0</v>
      </c>
      <c r="D39" s="164">
        <v>-3.9470000000000001</v>
      </c>
      <c r="E39" s="165">
        <v>-0.51400000000000001</v>
      </c>
      <c r="F39" s="166">
        <v>-3.7999999999999999E-2</v>
      </c>
      <c r="G39" s="170">
        <v>0</v>
      </c>
      <c r="H39" s="162">
        <v>0</v>
      </c>
      <c r="I39" s="162">
        <v>0</v>
      </c>
      <c r="J39" s="159">
        <v>0.13400000000000001</v>
      </c>
      <c r="K39" s="163">
        <v>0</v>
      </c>
    </row>
    <row r="40" spans="1:11" ht="32.25" customHeight="1" x14ac:dyDescent="0.2">
      <c r="A40" s="18" t="s">
        <v>697</v>
      </c>
      <c r="B40" s="158">
        <v>395</v>
      </c>
      <c r="C40" s="69">
        <v>0</v>
      </c>
      <c r="D40" s="164">
        <v>-3.9470000000000001</v>
      </c>
      <c r="E40" s="165">
        <v>-0.51400000000000001</v>
      </c>
      <c r="F40" s="166">
        <v>-3.7999999999999999E-2</v>
      </c>
      <c r="G40" s="170">
        <v>0</v>
      </c>
      <c r="H40" s="162">
        <v>0</v>
      </c>
      <c r="I40" s="162">
        <v>0</v>
      </c>
      <c r="J40" s="160">
        <v>0</v>
      </c>
      <c r="K40" s="163">
        <v>0</v>
      </c>
    </row>
    <row r="41" spans="1:11" ht="32.25" customHeight="1" x14ac:dyDescent="0.2">
      <c r="A41" s="18" t="s">
        <v>6</v>
      </c>
      <c r="B41" s="158">
        <v>796</v>
      </c>
      <c r="C41" s="69">
        <v>0</v>
      </c>
      <c r="D41" s="159">
        <v>-0.379</v>
      </c>
      <c r="E41" s="160">
        <v>0</v>
      </c>
      <c r="F41" s="160">
        <v>0</v>
      </c>
      <c r="G41" s="161">
        <v>84.92</v>
      </c>
      <c r="H41" s="162">
        <v>0</v>
      </c>
      <c r="I41" s="162">
        <v>0</v>
      </c>
      <c r="J41" s="159">
        <v>0.104</v>
      </c>
      <c r="K41" s="163">
        <v>0</v>
      </c>
    </row>
    <row r="42" spans="1:11" ht="32.25" customHeight="1" x14ac:dyDescent="0.2">
      <c r="A42" s="18" t="s">
        <v>698</v>
      </c>
      <c r="B42" s="158">
        <v>396</v>
      </c>
      <c r="C42" s="69">
        <v>0</v>
      </c>
      <c r="D42" s="159">
        <v>-0.379</v>
      </c>
      <c r="E42" s="160">
        <v>0</v>
      </c>
      <c r="F42" s="160">
        <v>0</v>
      </c>
      <c r="G42" s="161">
        <v>84.92</v>
      </c>
      <c r="H42" s="162">
        <v>0</v>
      </c>
      <c r="I42" s="162">
        <v>0</v>
      </c>
      <c r="J42" s="160">
        <v>0</v>
      </c>
      <c r="K42" s="163">
        <v>0</v>
      </c>
    </row>
    <row r="43" spans="1:11" ht="32.25" customHeight="1" x14ac:dyDescent="0.2">
      <c r="A43" s="18" t="s">
        <v>7</v>
      </c>
      <c r="B43" s="158">
        <v>798</v>
      </c>
      <c r="C43" s="69">
        <v>0</v>
      </c>
      <c r="D43" s="164">
        <v>-2.548</v>
      </c>
      <c r="E43" s="165">
        <v>-0.311</v>
      </c>
      <c r="F43" s="166">
        <v>-2.7E-2</v>
      </c>
      <c r="G43" s="161">
        <v>84.92</v>
      </c>
      <c r="H43" s="162">
        <v>0</v>
      </c>
      <c r="I43" s="162">
        <v>0</v>
      </c>
      <c r="J43" s="159">
        <v>0.104</v>
      </c>
      <c r="K43" s="163">
        <v>0</v>
      </c>
    </row>
    <row r="44" spans="1:11" ht="32.25" customHeight="1" x14ac:dyDescent="0.2">
      <c r="A44" s="18" t="s">
        <v>699</v>
      </c>
      <c r="B44" s="158">
        <v>398</v>
      </c>
      <c r="C44" s="69">
        <v>0</v>
      </c>
      <c r="D44" s="164">
        <v>-2.548</v>
      </c>
      <c r="E44" s="165">
        <v>-0.311</v>
      </c>
      <c r="F44" s="166">
        <v>-2.7E-2</v>
      </c>
      <c r="G44" s="161">
        <v>84.92</v>
      </c>
      <c r="H44" s="162">
        <v>0</v>
      </c>
      <c r="I44" s="162">
        <v>0</v>
      </c>
      <c r="J44" s="160">
        <v>0</v>
      </c>
      <c r="K44" s="163">
        <v>0</v>
      </c>
    </row>
    <row r="45" spans="1:11" ht="27.75" customHeight="1" x14ac:dyDescent="0.2">
      <c r="A45" s="216" t="s">
        <v>1137</v>
      </c>
      <c r="B45" s="216"/>
      <c r="C45" s="216"/>
      <c r="D45" s="216"/>
      <c r="E45" s="216"/>
      <c r="F45" s="216"/>
      <c r="G45" s="216"/>
      <c r="H45" s="216"/>
      <c r="I45" s="216"/>
      <c r="J45" s="216"/>
      <c r="K45" s="216"/>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6">
    <mergeCell ref="A45:K45"/>
    <mergeCell ref="G8:H8"/>
    <mergeCell ref="E1:K1"/>
    <mergeCell ref="B1:D1"/>
    <mergeCell ref="I9:K9"/>
    <mergeCell ref="G9:H9"/>
    <mergeCell ref="A2:K2"/>
    <mergeCell ref="C5:D5"/>
    <mergeCell ref="C6:D6"/>
    <mergeCell ref="G5:H5"/>
    <mergeCell ref="G6:H6"/>
    <mergeCell ref="G4:K4"/>
    <mergeCell ref="A4:E4"/>
    <mergeCell ref="C7:D7"/>
    <mergeCell ref="B8:E8"/>
    <mergeCell ref="G7:H7"/>
  </mergeCells>
  <phoneticPr fontId="4" type="noConversion"/>
  <hyperlinks>
    <hyperlink ref="A1" location="Overview!A1" display="Back to Overview" xr:uid="{00000000-0004-0000-0100-000000000000}"/>
  </hyperlinks>
  <pageMargins left="0.39370078740157483" right="0.39370078740157483" top="0.9055118110236221" bottom="0.74803149606299213" header="0.51181102362204722" footer="0.51181102362204722"/>
  <pageSetup paperSize="9" scale="45" fitToHeight="0" orientation="portrait" r:id="rId2"/>
  <headerFooter scaleWithDoc="0">
    <oddHeader>&amp;L&amp;"Trebuchet MS,Bold"
Annex 1&amp;"Trebuchet MS,Regular" - Schedule of Charges for use of the Distribution System by LV and HV Designated Properties</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O70"/>
  <sheetViews>
    <sheetView zoomScaleNormal="100" zoomScaleSheetLayoutView="100" workbookViewId="0">
      <selection activeCell="C1" sqref="C1:D1"/>
    </sheetView>
  </sheetViews>
  <sheetFormatPr defaultRowHeight="12.75" x14ac:dyDescent="0.2"/>
  <cols>
    <col min="1" max="1" width="14.5703125" style="59" customWidth="1"/>
    <col min="2" max="2" width="7.28515625" style="59" customWidth="1"/>
    <col min="3" max="3" width="17.140625" style="59" customWidth="1"/>
    <col min="4" max="4" width="14.7109375" style="66" customWidth="1"/>
    <col min="5" max="5" width="7.140625" style="66" customWidth="1"/>
    <col min="6" max="6" width="17.28515625" style="66" customWidth="1"/>
    <col min="7" max="7" width="50.7109375" style="66" customWidth="1"/>
    <col min="8" max="8" width="14.7109375" style="66" customWidth="1"/>
    <col min="9" max="9" width="14.7109375" style="67" customWidth="1"/>
    <col min="10" max="11" width="14.7109375" style="68" customWidth="1"/>
    <col min="12" max="15" width="14.7109375" style="59" customWidth="1"/>
    <col min="16" max="16384" width="9.140625" style="59"/>
  </cols>
  <sheetData>
    <row r="1" spans="1:15" x14ac:dyDescent="0.2">
      <c r="A1" s="57" t="s">
        <v>87</v>
      </c>
      <c r="B1" s="57"/>
      <c r="C1" s="234"/>
      <c r="D1" s="234"/>
      <c r="E1" s="58"/>
      <c r="F1" s="233" t="s">
        <v>181</v>
      </c>
      <c r="G1" s="233"/>
      <c r="H1" s="233"/>
      <c r="I1" s="233"/>
      <c r="J1" s="233"/>
      <c r="K1" s="233"/>
      <c r="L1" s="233"/>
      <c r="M1" s="233"/>
      <c r="N1" s="233"/>
      <c r="O1" s="233"/>
    </row>
    <row r="2" spans="1:15" s="60" customFormat="1" ht="18" x14ac:dyDescent="0.2">
      <c r="A2" s="223" t="str">
        <f>Overview!B4&amp; " - Effective from "&amp;Overview!D4&amp;" - "&amp;Overview!E4&amp;" EDCM charges"</f>
        <v>Northern Powergrid (Northeast) Ltd - Effective from 1 April 2019 - Final EDCM charges</v>
      </c>
      <c r="B2" s="223"/>
      <c r="C2" s="223"/>
      <c r="D2" s="223"/>
      <c r="E2" s="223"/>
      <c r="F2" s="223"/>
      <c r="G2" s="223"/>
      <c r="H2" s="223"/>
      <c r="I2" s="223"/>
      <c r="J2" s="223"/>
      <c r="K2" s="223"/>
      <c r="L2" s="223"/>
      <c r="M2" s="223"/>
      <c r="N2" s="223"/>
      <c r="O2" s="223"/>
    </row>
    <row r="3" spans="1:15" s="92" customFormat="1" ht="18" x14ac:dyDescent="0.2">
      <c r="A3" s="89"/>
      <c r="B3" s="89"/>
      <c r="C3" s="89"/>
      <c r="D3" s="89"/>
      <c r="E3" s="89"/>
      <c r="F3" s="89"/>
      <c r="G3" s="89"/>
      <c r="H3" s="89"/>
      <c r="I3" s="89"/>
      <c r="J3" s="89"/>
      <c r="K3" s="89"/>
      <c r="L3" s="89"/>
      <c r="M3" s="89"/>
      <c r="N3" s="89"/>
      <c r="O3" s="89"/>
    </row>
    <row r="4" spans="1:15" s="92" customFormat="1" ht="18" x14ac:dyDescent="0.2">
      <c r="A4" s="223" t="s">
        <v>496</v>
      </c>
      <c r="B4" s="223"/>
      <c r="C4" s="223"/>
      <c r="D4" s="223"/>
      <c r="E4" s="223"/>
      <c r="F4" s="223"/>
      <c r="G4" s="89"/>
      <c r="H4" s="89"/>
      <c r="I4" s="89"/>
      <c r="J4" s="89"/>
      <c r="K4" s="89"/>
      <c r="L4" s="89"/>
      <c r="M4" s="89"/>
      <c r="N4" s="89"/>
      <c r="O4" s="89"/>
    </row>
    <row r="5" spans="1:15" s="92" customFormat="1" ht="18" x14ac:dyDescent="0.2">
      <c r="A5" s="230" t="s">
        <v>80</v>
      </c>
      <c r="B5" s="231"/>
      <c r="C5" s="231"/>
      <c r="D5" s="232" t="s">
        <v>491</v>
      </c>
      <c r="E5" s="232"/>
      <c r="F5" s="232"/>
      <c r="G5" s="89"/>
      <c r="H5" s="89"/>
      <c r="I5" s="89"/>
      <c r="J5" s="89"/>
      <c r="K5" s="89"/>
      <c r="L5" s="89"/>
      <c r="M5" s="89"/>
      <c r="N5" s="89"/>
      <c r="O5" s="89"/>
    </row>
    <row r="6" spans="1:15" s="92" customFormat="1" ht="64.5" customHeight="1" x14ac:dyDescent="0.2">
      <c r="A6" s="222" t="s">
        <v>490</v>
      </c>
      <c r="B6" s="222"/>
      <c r="C6" s="222"/>
      <c r="D6" s="226" t="s">
        <v>1060</v>
      </c>
      <c r="E6" s="226"/>
      <c r="F6" s="226"/>
      <c r="G6" s="89"/>
      <c r="H6" s="89"/>
      <c r="I6" s="89"/>
      <c r="J6" s="89"/>
      <c r="K6" s="89"/>
      <c r="L6" s="89"/>
      <c r="M6" s="89"/>
      <c r="N6" s="89"/>
      <c r="O6" s="89"/>
    </row>
    <row r="7" spans="1:15" s="92" customFormat="1" ht="18" x14ac:dyDescent="0.2">
      <c r="A7" s="222" t="s">
        <v>81</v>
      </c>
      <c r="B7" s="222"/>
      <c r="C7" s="222"/>
      <c r="D7" s="226" t="s">
        <v>82</v>
      </c>
      <c r="E7" s="226"/>
      <c r="F7" s="226"/>
      <c r="G7" s="89"/>
      <c r="H7" s="89"/>
      <c r="I7" s="89"/>
      <c r="J7" s="89"/>
      <c r="K7" s="89"/>
      <c r="L7" s="89"/>
      <c r="M7" s="89"/>
      <c r="N7" s="89"/>
      <c r="O7" s="89"/>
    </row>
    <row r="8" spans="1:15" s="92" customFormat="1" ht="18" x14ac:dyDescent="0.2">
      <c r="A8" s="89"/>
      <c r="B8" s="89"/>
      <c r="C8" s="89"/>
      <c r="D8" s="89"/>
      <c r="E8" s="89"/>
      <c r="F8" s="89"/>
      <c r="G8" s="89"/>
      <c r="H8" s="89"/>
      <c r="I8" s="89"/>
      <c r="J8" s="89"/>
      <c r="K8" s="89"/>
      <c r="L8" s="89"/>
      <c r="M8" s="89"/>
      <c r="N8" s="89"/>
      <c r="O8" s="89"/>
    </row>
    <row r="9" spans="1:15" ht="63.75" x14ac:dyDescent="0.2">
      <c r="A9" s="61" t="s">
        <v>481</v>
      </c>
      <c r="B9" s="62" t="s">
        <v>469</v>
      </c>
      <c r="C9" s="61" t="s">
        <v>470</v>
      </c>
      <c r="D9" s="61" t="s">
        <v>483</v>
      </c>
      <c r="E9" s="62" t="s">
        <v>469</v>
      </c>
      <c r="F9" s="61" t="s">
        <v>471</v>
      </c>
      <c r="G9" s="63" t="s">
        <v>180</v>
      </c>
      <c r="H9" s="64" t="s">
        <v>630</v>
      </c>
      <c r="I9" s="63" t="s">
        <v>484</v>
      </c>
      <c r="J9" s="63" t="s">
        <v>626</v>
      </c>
      <c r="K9" s="150" t="s">
        <v>688</v>
      </c>
      <c r="L9" s="64" t="s">
        <v>631</v>
      </c>
      <c r="M9" s="63" t="s">
        <v>485</v>
      </c>
      <c r="N9" s="63" t="s">
        <v>627</v>
      </c>
      <c r="O9" s="150" t="s">
        <v>689</v>
      </c>
    </row>
    <row r="10" spans="1:15" ht="25.5" x14ac:dyDescent="0.2">
      <c r="A10" s="171">
        <v>601</v>
      </c>
      <c r="B10" s="172">
        <v>601</v>
      </c>
      <c r="C10" s="173" t="s">
        <v>786</v>
      </c>
      <c r="D10" s="174">
        <v>701</v>
      </c>
      <c r="E10" s="175">
        <v>701</v>
      </c>
      <c r="F10" s="176" t="s">
        <v>787</v>
      </c>
      <c r="G10" s="65" t="s">
        <v>724</v>
      </c>
      <c r="H10" s="177">
        <v>0</v>
      </c>
      <c r="I10" s="178">
        <v>715.82</v>
      </c>
      <c r="J10" s="178">
        <v>0.72</v>
      </c>
      <c r="K10" s="178">
        <v>0.72</v>
      </c>
      <c r="L10" s="179">
        <v>0</v>
      </c>
      <c r="M10" s="180">
        <v>0</v>
      </c>
      <c r="N10" s="180">
        <v>0</v>
      </c>
      <c r="O10" s="180">
        <v>0</v>
      </c>
    </row>
    <row r="11" spans="1:15" x14ac:dyDescent="0.2">
      <c r="A11" s="171">
        <v>603</v>
      </c>
      <c r="B11" s="172">
        <v>603</v>
      </c>
      <c r="C11" s="173">
        <v>1592001051182</v>
      </c>
      <c r="D11" s="174" t="s">
        <v>1061</v>
      </c>
      <c r="E11" s="175">
        <v>0</v>
      </c>
      <c r="F11" s="176">
        <v>0</v>
      </c>
      <c r="G11" s="65" t="s">
        <v>725</v>
      </c>
      <c r="H11" s="177">
        <v>0</v>
      </c>
      <c r="I11" s="178">
        <v>8053.96</v>
      </c>
      <c r="J11" s="178">
        <v>1.92</v>
      </c>
      <c r="K11" s="178">
        <v>1.92</v>
      </c>
      <c r="L11" s="179">
        <v>0</v>
      </c>
      <c r="M11" s="180">
        <v>0</v>
      </c>
      <c r="N11" s="180">
        <v>0</v>
      </c>
      <c r="O11" s="180">
        <v>0</v>
      </c>
    </row>
    <row r="12" spans="1:15" x14ac:dyDescent="0.2">
      <c r="A12" s="171">
        <v>604</v>
      </c>
      <c r="B12" s="172">
        <v>604</v>
      </c>
      <c r="C12" s="173" t="s">
        <v>788</v>
      </c>
      <c r="D12" s="174">
        <v>727</v>
      </c>
      <c r="E12" s="175">
        <v>727</v>
      </c>
      <c r="F12" s="176" t="s">
        <v>789</v>
      </c>
      <c r="G12" s="65" t="s">
        <v>726</v>
      </c>
      <c r="H12" s="177">
        <v>0</v>
      </c>
      <c r="I12" s="178">
        <v>52.97</v>
      </c>
      <c r="J12" s="178">
        <v>0.77</v>
      </c>
      <c r="K12" s="178">
        <v>0.77</v>
      </c>
      <c r="L12" s="179">
        <v>0</v>
      </c>
      <c r="M12" s="180">
        <v>1059.3699999999999</v>
      </c>
      <c r="N12" s="180">
        <v>0.05</v>
      </c>
      <c r="O12" s="180">
        <v>0.05</v>
      </c>
    </row>
    <row r="13" spans="1:15" x14ac:dyDescent="0.2">
      <c r="A13" s="171">
        <v>605</v>
      </c>
      <c r="B13" s="172">
        <v>605</v>
      </c>
      <c r="C13" s="173">
        <v>1592001092676</v>
      </c>
      <c r="D13" s="174" t="s">
        <v>1061</v>
      </c>
      <c r="E13" s="175">
        <v>0</v>
      </c>
      <c r="F13" s="176">
        <v>0</v>
      </c>
      <c r="G13" s="65" t="s">
        <v>727</v>
      </c>
      <c r="H13" s="177">
        <v>0.372</v>
      </c>
      <c r="I13" s="178">
        <v>1997.93</v>
      </c>
      <c r="J13" s="178">
        <v>1.75</v>
      </c>
      <c r="K13" s="178">
        <v>1.75</v>
      </c>
      <c r="L13" s="179">
        <v>0</v>
      </c>
      <c r="M13" s="180">
        <v>0</v>
      </c>
      <c r="N13" s="180">
        <v>0</v>
      </c>
      <c r="O13" s="180">
        <v>0</v>
      </c>
    </row>
    <row r="14" spans="1:15" x14ac:dyDescent="0.2">
      <c r="A14" s="171">
        <v>606</v>
      </c>
      <c r="B14" s="172">
        <v>606</v>
      </c>
      <c r="C14" s="173">
        <v>1592001092719</v>
      </c>
      <c r="D14" s="174" t="s">
        <v>1061</v>
      </c>
      <c r="E14" s="175">
        <v>0</v>
      </c>
      <c r="F14" s="176">
        <v>0</v>
      </c>
      <c r="G14" s="65" t="s">
        <v>728</v>
      </c>
      <c r="H14" s="177">
        <v>0.40799999999999997</v>
      </c>
      <c r="I14" s="178">
        <v>3995.86</v>
      </c>
      <c r="J14" s="178">
        <v>2</v>
      </c>
      <c r="K14" s="178">
        <v>2</v>
      </c>
      <c r="L14" s="179">
        <v>0</v>
      </c>
      <c r="M14" s="180">
        <v>0</v>
      </c>
      <c r="N14" s="180">
        <v>0</v>
      </c>
      <c r="O14" s="180">
        <v>0</v>
      </c>
    </row>
    <row r="15" spans="1:15" x14ac:dyDescent="0.2">
      <c r="A15" s="171">
        <v>607</v>
      </c>
      <c r="B15" s="172">
        <v>607</v>
      </c>
      <c r="C15" s="173">
        <v>1592001092728</v>
      </c>
      <c r="D15" s="174" t="s">
        <v>1061</v>
      </c>
      <c r="E15" s="175">
        <v>0</v>
      </c>
      <c r="F15" s="176">
        <v>0</v>
      </c>
      <c r="G15" s="65" t="s">
        <v>729</v>
      </c>
      <c r="H15" s="177">
        <v>1.1819999999999999</v>
      </c>
      <c r="I15" s="178">
        <v>3995.86</v>
      </c>
      <c r="J15" s="178">
        <v>2.91</v>
      </c>
      <c r="K15" s="178">
        <v>2.91</v>
      </c>
      <c r="L15" s="179">
        <v>0</v>
      </c>
      <c r="M15" s="180">
        <v>0</v>
      </c>
      <c r="N15" s="180">
        <v>0</v>
      </c>
      <c r="O15" s="180">
        <v>0</v>
      </c>
    </row>
    <row r="16" spans="1:15" x14ac:dyDescent="0.2">
      <c r="A16" s="171">
        <v>608</v>
      </c>
      <c r="B16" s="172">
        <v>608</v>
      </c>
      <c r="C16" s="173">
        <v>1592001092737</v>
      </c>
      <c r="D16" s="174" t="s">
        <v>1061</v>
      </c>
      <c r="E16" s="175">
        <v>0</v>
      </c>
      <c r="F16" s="176">
        <v>0</v>
      </c>
      <c r="G16" s="65" t="s">
        <v>730</v>
      </c>
      <c r="H16" s="177">
        <v>3.6999999999999998E-2</v>
      </c>
      <c r="I16" s="178">
        <v>3995.86</v>
      </c>
      <c r="J16" s="178">
        <v>2.7</v>
      </c>
      <c r="K16" s="178">
        <v>2.7</v>
      </c>
      <c r="L16" s="179">
        <v>0</v>
      </c>
      <c r="M16" s="180">
        <v>0</v>
      </c>
      <c r="N16" s="180">
        <v>0</v>
      </c>
      <c r="O16" s="180">
        <v>0</v>
      </c>
    </row>
    <row r="17" spans="1:15" x14ac:dyDescent="0.2">
      <c r="A17" s="171">
        <v>609</v>
      </c>
      <c r="B17" s="172">
        <v>609</v>
      </c>
      <c r="C17" s="173">
        <v>1592001046085</v>
      </c>
      <c r="D17" s="174" t="s">
        <v>1061</v>
      </c>
      <c r="E17" s="175">
        <v>0</v>
      </c>
      <c r="F17" s="176">
        <v>0</v>
      </c>
      <c r="G17" s="65" t="s">
        <v>731</v>
      </c>
      <c r="H17" s="177">
        <v>0</v>
      </c>
      <c r="I17" s="178">
        <v>703.73</v>
      </c>
      <c r="J17" s="178">
        <v>3.05</v>
      </c>
      <c r="K17" s="178">
        <v>3.05</v>
      </c>
      <c r="L17" s="179">
        <v>0</v>
      </c>
      <c r="M17" s="180">
        <v>0</v>
      </c>
      <c r="N17" s="180">
        <v>0</v>
      </c>
      <c r="O17" s="180">
        <v>0</v>
      </c>
    </row>
    <row r="18" spans="1:15" x14ac:dyDescent="0.2">
      <c r="A18" s="171">
        <v>611</v>
      </c>
      <c r="B18" s="172">
        <v>611</v>
      </c>
      <c r="C18" s="173">
        <v>1592001111628</v>
      </c>
      <c r="D18" s="174" t="s">
        <v>1061</v>
      </c>
      <c r="E18" s="175">
        <v>0</v>
      </c>
      <c r="F18" s="176">
        <v>0</v>
      </c>
      <c r="G18" s="65" t="s">
        <v>732</v>
      </c>
      <c r="H18" s="177">
        <v>0</v>
      </c>
      <c r="I18" s="178">
        <v>3493.87</v>
      </c>
      <c r="J18" s="178">
        <v>4.97</v>
      </c>
      <c r="K18" s="178">
        <v>4.97</v>
      </c>
      <c r="L18" s="179">
        <v>0</v>
      </c>
      <c r="M18" s="180">
        <v>0</v>
      </c>
      <c r="N18" s="180">
        <v>0</v>
      </c>
      <c r="O18" s="180">
        <v>0</v>
      </c>
    </row>
    <row r="19" spans="1:15" x14ac:dyDescent="0.2">
      <c r="A19" s="171">
        <v>612</v>
      </c>
      <c r="B19" s="172">
        <v>612</v>
      </c>
      <c r="C19" s="173">
        <v>1592001073112</v>
      </c>
      <c r="D19" s="174">
        <v>704</v>
      </c>
      <c r="E19" s="175">
        <v>704</v>
      </c>
      <c r="F19" s="176">
        <v>1594001073116</v>
      </c>
      <c r="G19" s="65" t="s">
        <v>733</v>
      </c>
      <c r="H19" s="177">
        <v>0.44800000000000001</v>
      </c>
      <c r="I19" s="178">
        <v>184.47</v>
      </c>
      <c r="J19" s="178">
        <v>1.18</v>
      </c>
      <c r="K19" s="178">
        <v>1.18</v>
      </c>
      <c r="L19" s="179">
        <v>-0.56499999999999995</v>
      </c>
      <c r="M19" s="180">
        <v>1844.66</v>
      </c>
      <c r="N19" s="180">
        <v>0.05</v>
      </c>
      <c r="O19" s="180">
        <v>0.05</v>
      </c>
    </row>
    <row r="20" spans="1:15" x14ac:dyDescent="0.2">
      <c r="A20" s="171">
        <v>613</v>
      </c>
      <c r="B20" s="172">
        <v>613</v>
      </c>
      <c r="C20" s="173" t="s">
        <v>790</v>
      </c>
      <c r="D20" s="174" t="s">
        <v>1061</v>
      </c>
      <c r="E20" s="175">
        <v>0</v>
      </c>
      <c r="F20" s="176">
        <v>0</v>
      </c>
      <c r="G20" s="65" t="s">
        <v>734</v>
      </c>
      <c r="H20" s="177">
        <v>0.98199999999999998</v>
      </c>
      <c r="I20" s="178">
        <v>65.849999999999994</v>
      </c>
      <c r="J20" s="178">
        <v>1.1599999999999999</v>
      </c>
      <c r="K20" s="178">
        <v>1.1599999999999999</v>
      </c>
      <c r="L20" s="179">
        <v>0</v>
      </c>
      <c r="M20" s="180">
        <v>0</v>
      </c>
      <c r="N20" s="180">
        <v>0</v>
      </c>
      <c r="O20" s="180">
        <v>0</v>
      </c>
    </row>
    <row r="21" spans="1:15" x14ac:dyDescent="0.2">
      <c r="A21" s="171">
        <v>614</v>
      </c>
      <c r="B21" s="172">
        <v>614</v>
      </c>
      <c r="C21" s="173">
        <v>1592001055257</v>
      </c>
      <c r="D21" s="174">
        <v>709</v>
      </c>
      <c r="E21" s="175">
        <v>709</v>
      </c>
      <c r="F21" s="176">
        <v>1594001055250</v>
      </c>
      <c r="G21" s="65" t="s">
        <v>735</v>
      </c>
      <c r="H21" s="177">
        <v>0</v>
      </c>
      <c r="I21" s="178">
        <v>6364.26</v>
      </c>
      <c r="J21" s="178">
        <v>0.53</v>
      </c>
      <c r="K21" s="178">
        <v>0.53</v>
      </c>
      <c r="L21" s="179">
        <v>0</v>
      </c>
      <c r="M21" s="180">
        <v>1272.8499999999999</v>
      </c>
      <c r="N21" s="180">
        <v>0.05</v>
      </c>
      <c r="O21" s="180">
        <v>0.05</v>
      </c>
    </row>
    <row r="22" spans="1:15" ht="25.5" x14ac:dyDescent="0.2">
      <c r="A22" s="171" t="s">
        <v>736</v>
      </c>
      <c r="B22" s="172" t="s">
        <v>736</v>
      </c>
      <c r="C22" s="173" t="s">
        <v>791</v>
      </c>
      <c r="D22" s="174" t="s">
        <v>1061</v>
      </c>
      <c r="E22" s="175">
        <v>0</v>
      </c>
      <c r="F22" s="176">
        <v>0</v>
      </c>
      <c r="G22" s="65" t="s">
        <v>737</v>
      </c>
      <c r="H22" s="177">
        <v>0.309</v>
      </c>
      <c r="I22" s="178">
        <v>3313.77</v>
      </c>
      <c r="J22" s="178">
        <v>2.63</v>
      </c>
      <c r="K22" s="178">
        <v>2.63</v>
      </c>
      <c r="L22" s="179">
        <v>0</v>
      </c>
      <c r="M22" s="180">
        <v>0</v>
      </c>
      <c r="N22" s="180">
        <v>0</v>
      </c>
      <c r="O22" s="180">
        <v>0</v>
      </c>
    </row>
    <row r="23" spans="1:15" x14ac:dyDescent="0.2">
      <c r="A23" s="171">
        <v>617</v>
      </c>
      <c r="B23" s="172">
        <v>617</v>
      </c>
      <c r="C23" s="173">
        <v>1592001110572</v>
      </c>
      <c r="D23" s="174" t="s">
        <v>1061</v>
      </c>
      <c r="E23" s="175">
        <v>0</v>
      </c>
      <c r="F23" s="176">
        <v>0</v>
      </c>
      <c r="G23" s="65" t="s">
        <v>738</v>
      </c>
      <c r="H23" s="177">
        <v>0</v>
      </c>
      <c r="I23" s="178">
        <v>9368.64</v>
      </c>
      <c r="J23" s="178">
        <v>1.8</v>
      </c>
      <c r="K23" s="178">
        <v>1.8</v>
      </c>
      <c r="L23" s="179">
        <v>0</v>
      </c>
      <c r="M23" s="180">
        <v>0</v>
      </c>
      <c r="N23" s="180">
        <v>0</v>
      </c>
      <c r="O23" s="180">
        <v>0</v>
      </c>
    </row>
    <row r="24" spans="1:15" x14ac:dyDescent="0.2">
      <c r="A24" s="171">
        <v>618</v>
      </c>
      <c r="B24" s="172">
        <v>618</v>
      </c>
      <c r="C24" s="173">
        <v>1592001094308</v>
      </c>
      <c r="D24" s="174" t="s">
        <v>1061</v>
      </c>
      <c r="E24" s="175">
        <v>0</v>
      </c>
      <c r="F24" s="176">
        <v>0</v>
      </c>
      <c r="G24" s="65" t="s">
        <v>739</v>
      </c>
      <c r="H24" s="177">
        <v>0.23899999999999999</v>
      </c>
      <c r="I24" s="178">
        <v>3342.48</v>
      </c>
      <c r="J24" s="178">
        <v>5.17</v>
      </c>
      <c r="K24" s="178">
        <v>5.17</v>
      </c>
      <c r="L24" s="179">
        <v>0</v>
      </c>
      <c r="M24" s="180">
        <v>0</v>
      </c>
      <c r="N24" s="180">
        <v>0</v>
      </c>
      <c r="O24" s="180">
        <v>0</v>
      </c>
    </row>
    <row r="25" spans="1:15" x14ac:dyDescent="0.2">
      <c r="A25" s="171">
        <v>619</v>
      </c>
      <c r="B25" s="172">
        <v>619</v>
      </c>
      <c r="C25" s="173">
        <v>1570000150382</v>
      </c>
      <c r="D25" s="174">
        <v>710</v>
      </c>
      <c r="E25" s="175">
        <v>710</v>
      </c>
      <c r="F25" s="176">
        <v>1594000000038</v>
      </c>
      <c r="G25" s="65" t="s">
        <v>740</v>
      </c>
      <c r="H25" s="177">
        <v>2.7E-2</v>
      </c>
      <c r="I25" s="178">
        <v>24</v>
      </c>
      <c r="J25" s="178">
        <v>1.33</v>
      </c>
      <c r="K25" s="178">
        <v>1.33</v>
      </c>
      <c r="L25" s="179">
        <v>0</v>
      </c>
      <c r="M25" s="180">
        <v>0</v>
      </c>
      <c r="N25" s="180">
        <v>0</v>
      </c>
      <c r="O25" s="180">
        <v>0</v>
      </c>
    </row>
    <row r="26" spans="1:15" x14ac:dyDescent="0.2">
      <c r="A26" s="171">
        <v>620</v>
      </c>
      <c r="B26" s="172">
        <v>620</v>
      </c>
      <c r="C26" s="173">
        <v>1592001007476</v>
      </c>
      <c r="D26" s="174" t="s">
        <v>1061</v>
      </c>
      <c r="E26" s="175">
        <v>0</v>
      </c>
      <c r="F26" s="176">
        <v>0</v>
      </c>
      <c r="G26" s="65" t="s">
        <v>741</v>
      </c>
      <c r="H26" s="177">
        <v>0</v>
      </c>
      <c r="I26" s="178">
        <v>1407.46</v>
      </c>
      <c r="J26" s="178">
        <v>5.0199999999999996</v>
      </c>
      <c r="K26" s="178">
        <v>5.0199999999999996</v>
      </c>
      <c r="L26" s="179">
        <v>0</v>
      </c>
      <c r="M26" s="180">
        <v>0</v>
      </c>
      <c r="N26" s="180">
        <v>0</v>
      </c>
      <c r="O26" s="180">
        <v>0</v>
      </c>
    </row>
    <row r="27" spans="1:15" x14ac:dyDescent="0.2">
      <c r="A27" s="171">
        <v>621</v>
      </c>
      <c r="B27" s="172">
        <v>621</v>
      </c>
      <c r="C27" s="173">
        <v>1592001007494</v>
      </c>
      <c r="D27" s="174" t="s">
        <v>1061</v>
      </c>
      <c r="E27" s="175">
        <v>0</v>
      </c>
      <c r="F27" s="176">
        <v>0</v>
      </c>
      <c r="G27" s="65" t="s">
        <v>742</v>
      </c>
      <c r="H27" s="177">
        <v>9.0999999999999998E-2</v>
      </c>
      <c r="I27" s="178">
        <v>65.849999999999994</v>
      </c>
      <c r="J27" s="178">
        <v>2.21</v>
      </c>
      <c r="K27" s="178">
        <v>2.21</v>
      </c>
      <c r="L27" s="179">
        <v>0</v>
      </c>
      <c r="M27" s="180">
        <v>0</v>
      </c>
      <c r="N27" s="180">
        <v>0</v>
      </c>
      <c r="O27" s="180">
        <v>0</v>
      </c>
    </row>
    <row r="28" spans="1:15" x14ac:dyDescent="0.2">
      <c r="A28" s="171">
        <v>622</v>
      </c>
      <c r="B28" s="172">
        <v>622</v>
      </c>
      <c r="C28" s="173">
        <v>1592001036574</v>
      </c>
      <c r="D28" s="174">
        <v>711</v>
      </c>
      <c r="E28" s="175">
        <v>711</v>
      </c>
      <c r="F28" s="176">
        <v>1594001036578</v>
      </c>
      <c r="G28" s="65" t="s">
        <v>743</v>
      </c>
      <c r="H28" s="177">
        <v>0.16300000000000001</v>
      </c>
      <c r="I28" s="178">
        <v>465.53</v>
      </c>
      <c r="J28" s="178">
        <v>1.5</v>
      </c>
      <c r="K28" s="178">
        <v>1.5</v>
      </c>
      <c r="L28" s="179">
        <v>0</v>
      </c>
      <c r="M28" s="180">
        <v>0</v>
      </c>
      <c r="N28" s="180">
        <v>0</v>
      </c>
      <c r="O28" s="180">
        <v>0</v>
      </c>
    </row>
    <row r="29" spans="1:15" x14ac:dyDescent="0.2">
      <c r="A29" s="171">
        <v>624</v>
      </c>
      <c r="B29" s="172">
        <v>624</v>
      </c>
      <c r="C29" s="173">
        <v>1592001063540</v>
      </c>
      <c r="D29" s="174">
        <v>804</v>
      </c>
      <c r="E29" s="175">
        <v>804</v>
      </c>
      <c r="F29" s="176">
        <v>1574000324772</v>
      </c>
      <c r="G29" s="65" t="s">
        <v>744</v>
      </c>
      <c r="H29" s="177">
        <v>8.9999999999999993E-3</v>
      </c>
      <c r="I29" s="178">
        <v>3063.56</v>
      </c>
      <c r="J29" s="178">
        <v>2.46</v>
      </c>
      <c r="K29" s="178">
        <v>2.46</v>
      </c>
      <c r="L29" s="179">
        <v>0</v>
      </c>
      <c r="M29" s="180">
        <v>958.73</v>
      </c>
      <c r="N29" s="180">
        <v>0.05</v>
      </c>
      <c r="O29" s="180">
        <v>0.05</v>
      </c>
    </row>
    <row r="30" spans="1:15" x14ac:dyDescent="0.2">
      <c r="A30" s="171">
        <v>625</v>
      </c>
      <c r="B30" s="172">
        <v>625</v>
      </c>
      <c r="C30" s="173">
        <v>1592001006890</v>
      </c>
      <c r="D30" s="174">
        <v>748</v>
      </c>
      <c r="E30" s="175">
        <v>748</v>
      </c>
      <c r="F30" s="176">
        <v>1594001006893</v>
      </c>
      <c r="G30" s="65" t="s">
        <v>745</v>
      </c>
      <c r="H30" s="177">
        <v>1.1579999999999999</v>
      </c>
      <c r="I30" s="178">
        <v>25.46</v>
      </c>
      <c r="J30" s="178">
        <v>2.3199999999999998</v>
      </c>
      <c r="K30" s="178">
        <v>2.3199999999999998</v>
      </c>
      <c r="L30" s="179">
        <v>0</v>
      </c>
      <c r="M30" s="180">
        <v>0</v>
      </c>
      <c r="N30" s="180">
        <v>0</v>
      </c>
      <c r="O30" s="180">
        <v>0</v>
      </c>
    </row>
    <row r="31" spans="1:15" x14ac:dyDescent="0.2">
      <c r="A31" s="171">
        <v>627</v>
      </c>
      <c r="B31" s="172">
        <v>627</v>
      </c>
      <c r="C31" s="173">
        <v>1570000199077</v>
      </c>
      <c r="D31" s="174">
        <v>729</v>
      </c>
      <c r="E31" s="175">
        <v>729</v>
      </c>
      <c r="F31" s="176">
        <v>1574000199083</v>
      </c>
      <c r="G31" s="65" t="s">
        <v>746</v>
      </c>
      <c r="H31" s="177">
        <v>0</v>
      </c>
      <c r="I31" s="178">
        <v>1104.1600000000001</v>
      </c>
      <c r="J31" s="178">
        <v>1.49</v>
      </c>
      <c r="K31" s="178">
        <v>1.49</v>
      </c>
      <c r="L31" s="179">
        <v>0</v>
      </c>
      <c r="M31" s="180">
        <v>0</v>
      </c>
      <c r="N31" s="180">
        <v>0</v>
      </c>
      <c r="O31" s="180">
        <v>0</v>
      </c>
    </row>
    <row r="32" spans="1:15" x14ac:dyDescent="0.2">
      <c r="A32" s="171">
        <v>626</v>
      </c>
      <c r="B32" s="172">
        <v>626</v>
      </c>
      <c r="C32" s="173">
        <v>1592001005637</v>
      </c>
      <c r="D32" s="174" t="s">
        <v>1061</v>
      </c>
      <c r="E32" s="175">
        <v>0</v>
      </c>
      <c r="F32" s="176">
        <v>0</v>
      </c>
      <c r="G32" s="65" t="s">
        <v>747</v>
      </c>
      <c r="H32" s="177">
        <v>0.23699999999999999</v>
      </c>
      <c r="I32" s="178">
        <v>3132.37</v>
      </c>
      <c r="J32" s="178">
        <v>3.99</v>
      </c>
      <c r="K32" s="178">
        <v>3.99</v>
      </c>
      <c r="L32" s="179">
        <v>0</v>
      </c>
      <c r="M32" s="180">
        <v>0</v>
      </c>
      <c r="N32" s="180">
        <v>0</v>
      </c>
      <c r="O32" s="180">
        <v>0</v>
      </c>
    </row>
    <row r="33" spans="1:15" x14ac:dyDescent="0.2">
      <c r="A33" s="171">
        <v>628</v>
      </c>
      <c r="B33" s="172">
        <v>628</v>
      </c>
      <c r="C33" s="173">
        <v>1592001111405</v>
      </c>
      <c r="D33" s="174" t="s">
        <v>1061</v>
      </c>
      <c r="E33" s="175">
        <v>0</v>
      </c>
      <c r="F33" s="176">
        <v>0</v>
      </c>
      <c r="G33" s="65" t="s">
        <v>748</v>
      </c>
      <c r="H33" s="177">
        <v>1.081</v>
      </c>
      <c r="I33" s="178">
        <v>601.63</v>
      </c>
      <c r="J33" s="178">
        <v>4.0599999999999996</v>
      </c>
      <c r="K33" s="178">
        <v>4.0599999999999996</v>
      </c>
      <c r="L33" s="179">
        <v>0</v>
      </c>
      <c r="M33" s="180">
        <v>0</v>
      </c>
      <c r="N33" s="180">
        <v>0</v>
      </c>
      <c r="O33" s="180">
        <v>0</v>
      </c>
    </row>
    <row r="34" spans="1:15" x14ac:dyDescent="0.2">
      <c r="A34" s="171">
        <v>631</v>
      </c>
      <c r="B34" s="172">
        <v>631</v>
      </c>
      <c r="C34" s="173">
        <v>1592001110216</v>
      </c>
      <c r="D34" s="174" t="s">
        <v>1061</v>
      </c>
      <c r="E34" s="175">
        <v>0</v>
      </c>
      <c r="F34" s="176">
        <v>0</v>
      </c>
      <c r="G34" s="65" t="s">
        <v>749</v>
      </c>
      <c r="H34" s="177">
        <v>0</v>
      </c>
      <c r="I34" s="178">
        <v>65.849999999999994</v>
      </c>
      <c r="J34" s="178">
        <v>3.38</v>
      </c>
      <c r="K34" s="178">
        <v>3.38</v>
      </c>
      <c r="L34" s="179">
        <v>0</v>
      </c>
      <c r="M34" s="180">
        <v>0</v>
      </c>
      <c r="N34" s="180">
        <v>0</v>
      </c>
      <c r="O34" s="180">
        <v>0</v>
      </c>
    </row>
    <row r="35" spans="1:15" x14ac:dyDescent="0.2">
      <c r="A35" s="171">
        <v>632</v>
      </c>
      <c r="B35" s="172">
        <v>632</v>
      </c>
      <c r="C35" s="173">
        <v>1592001007467</v>
      </c>
      <c r="D35" s="174" t="s">
        <v>1061</v>
      </c>
      <c r="E35" s="175">
        <v>0</v>
      </c>
      <c r="F35" s="176">
        <v>0</v>
      </c>
      <c r="G35" s="65" t="s">
        <v>750</v>
      </c>
      <c r="H35" s="177">
        <v>0.28599999999999998</v>
      </c>
      <c r="I35" s="178">
        <v>256.45</v>
      </c>
      <c r="J35" s="178">
        <v>4.18</v>
      </c>
      <c r="K35" s="178">
        <v>4.18</v>
      </c>
      <c r="L35" s="179">
        <v>0</v>
      </c>
      <c r="M35" s="180">
        <v>0</v>
      </c>
      <c r="N35" s="180">
        <v>0</v>
      </c>
      <c r="O35" s="180">
        <v>0</v>
      </c>
    </row>
    <row r="36" spans="1:15" ht="25.5" x14ac:dyDescent="0.2">
      <c r="A36" s="171">
        <v>633</v>
      </c>
      <c r="B36" s="172">
        <v>633</v>
      </c>
      <c r="C36" s="173" t="s">
        <v>792</v>
      </c>
      <c r="D36" s="174" t="s">
        <v>1061</v>
      </c>
      <c r="E36" s="175">
        <v>0</v>
      </c>
      <c r="F36" s="176">
        <v>0</v>
      </c>
      <c r="G36" s="65" t="s">
        <v>751</v>
      </c>
      <c r="H36" s="177">
        <v>0.18</v>
      </c>
      <c r="I36" s="178">
        <v>3439.26</v>
      </c>
      <c r="J36" s="178">
        <v>2.71</v>
      </c>
      <c r="K36" s="178">
        <v>2.71</v>
      </c>
      <c r="L36" s="179">
        <v>0</v>
      </c>
      <c r="M36" s="180">
        <v>0</v>
      </c>
      <c r="N36" s="180">
        <v>0</v>
      </c>
      <c r="O36" s="180">
        <v>0</v>
      </c>
    </row>
    <row r="37" spans="1:15" x14ac:dyDescent="0.2">
      <c r="A37" s="171">
        <v>637</v>
      </c>
      <c r="B37" s="172">
        <v>637</v>
      </c>
      <c r="C37" s="173">
        <v>1592001141543</v>
      </c>
      <c r="D37" s="174">
        <v>728</v>
      </c>
      <c r="E37" s="175">
        <v>728</v>
      </c>
      <c r="F37" s="176">
        <v>1594001141547</v>
      </c>
      <c r="G37" s="65" t="s">
        <v>752</v>
      </c>
      <c r="H37" s="177">
        <v>5.2999999999999999E-2</v>
      </c>
      <c r="I37" s="178">
        <v>1299.31</v>
      </c>
      <c r="J37" s="178">
        <v>1.52</v>
      </c>
      <c r="K37" s="178">
        <v>1.52</v>
      </c>
      <c r="L37" s="179">
        <v>0</v>
      </c>
      <c r="M37" s="180">
        <v>0</v>
      </c>
      <c r="N37" s="180">
        <v>0</v>
      </c>
      <c r="O37" s="180">
        <v>0</v>
      </c>
    </row>
    <row r="38" spans="1:15" x14ac:dyDescent="0.2">
      <c r="A38" s="171">
        <v>680</v>
      </c>
      <c r="B38" s="172">
        <v>680</v>
      </c>
      <c r="C38" s="173">
        <v>1580000675845</v>
      </c>
      <c r="D38" s="174">
        <v>759</v>
      </c>
      <c r="E38" s="175">
        <v>759</v>
      </c>
      <c r="F38" s="176">
        <v>1574000275033</v>
      </c>
      <c r="G38" s="65" t="s">
        <v>753</v>
      </c>
      <c r="H38" s="177">
        <v>0.25</v>
      </c>
      <c r="I38" s="178">
        <v>2.96</v>
      </c>
      <c r="J38" s="178">
        <v>1.17</v>
      </c>
      <c r="K38" s="178">
        <v>1.17</v>
      </c>
      <c r="L38" s="179">
        <v>0</v>
      </c>
      <c r="M38" s="180">
        <v>125.26</v>
      </c>
      <c r="N38" s="180">
        <v>0.05</v>
      </c>
      <c r="O38" s="180">
        <v>0.05</v>
      </c>
    </row>
    <row r="39" spans="1:15" x14ac:dyDescent="0.2">
      <c r="A39" s="171">
        <v>681</v>
      </c>
      <c r="B39" s="172">
        <v>681</v>
      </c>
      <c r="C39" s="173">
        <v>1580000872387</v>
      </c>
      <c r="D39" s="174">
        <v>760</v>
      </c>
      <c r="E39" s="175">
        <v>760</v>
      </c>
      <c r="F39" s="176">
        <v>1574000283735</v>
      </c>
      <c r="G39" s="65" t="s">
        <v>754</v>
      </c>
      <c r="H39" s="177">
        <v>0.28499999999999998</v>
      </c>
      <c r="I39" s="178">
        <v>106.93</v>
      </c>
      <c r="J39" s="178">
        <v>1.27</v>
      </c>
      <c r="K39" s="178">
        <v>1.27</v>
      </c>
      <c r="L39" s="179">
        <v>0</v>
      </c>
      <c r="M39" s="180">
        <v>4277.3</v>
      </c>
      <c r="N39" s="180">
        <v>0.05</v>
      </c>
      <c r="O39" s="180">
        <v>0.05</v>
      </c>
    </row>
    <row r="40" spans="1:15" x14ac:dyDescent="0.2">
      <c r="A40" s="171">
        <v>544</v>
      </c>
      <c r="B40" s="172">
        <v>544</v>
      </c>
      <c r="C40" s="173">
        <v>1570000124531</v>
      </c>
      <c r="D40" s="174">
        <v>761</v>
      </c>
      <c r="E40" s="175">
        <v>761</v>
      </c>
      <c r="F40" s="176">
        <v>1594000000047</v>
      </c>
      <c r="G40" s="65" t="s">
        <v>755</v>
      </c>
      <c r="H40" s="177">
        <v>0</v>
      </c>
      <c r="I40" s="178">
        <v>11.25</v>
      </c>
      <c r="J40" s="178">
        <v>0.81</v>
      </c>
      <c r="K40" s="178">
        <v>0.81</v>
      </c>
      <c r="L40" s="179">
        <v>0</v>
      </c>
      <c r="M40" s="180">
        <v>0</v>
      </c>
      <c r="N40" s="180">
        <v>0</v>
      </c>
      <c r="O40" s="180">
        <v>0</v>
      </c>
    </row>
    <row r="41" spans="1:15" x14ac:dyDescent="0.2">
      <c r="A41" s="171">
        <v>682</v>
      </c>
      <c r="B41" s="172">
        <v>682</v>
      </c>
      <c r="C41" s="173">
        <v>1580000909309</v>
      </c>
      <c r="D41" s="174">
        <v>762</v>
      </c>
      <c r="E41" s="175">
        <v>762</v>
      </c>
      <c r="F41" s="176">
        <v>1574000285644</v>
      </c>
      <c r="G41" s="65" t="s">
        <v>756</v>
      </c>
      <c r="H41" s="177">
        <v>0.44800000000000001</v>
      </c>
      <c r="I41" s="178">
        <v>805.14</v>
      </c>
      <c r="J41" s="178">
        <v>0.84</v>
      </c>
      <c r="K41" s="178">
        <v>0.84</v>
      </c>
      <c r="L41" s="179">
        <v>-0.56499999999999995</v>
      </c>
      <c r="M41" s="180">
        <v>4391.6499999999996</v>
      </c>
      <c r="N41" s="180">
        <v>0.05</v>
      </c>
      <c r="O41" s="180">
        <v>0.05</v>
      </c>
    </row>
    <row r="42" spans="1:15" x14ac:dyDescent="0.2">
      <c r="A42" s="171">
        <v>691</v>
      </c>
      <c r="B42" s="172">
        <v>691</v>
      </c>
      <c r="C42" s="173">
        <v>1592101007746</v>
      </c>
      <c r="D42" s="174" t="s">
        <v>1061</v>
      </c>
      <c r="E42" s="175">
        <v>0</v>
      </c>
      <c r="F42" s="176">
        <v>0</v>
      </c>
      <c r="G42" s="65" t="s">
        <v>757</v>
      </c>
      <c r="H42" s="177">
        <v>6.2E-2</v>
      </c>
      <c r="I42" s="178">
        <v>32.92</v>
      </c>
      <c r="J42" s="178">
        <v>4.59</v>
      </c>
      <c r="K42" s="178">
        <v>4.59</v>
      </c>
      <c r="L42" s="179">
        <v>0</v>
      </c>
      <c r="M42" s="180">
        <v>0</v>
      </c>
      <c r="N42" s="180">
        <v>0</v>
      </c>
      <c r="O42" s="180">
        <v>0</v>
      </c>
    </row>
    <row r="43" spans="1:15" x14ac:dyDescent="0.2">
      <c r="A43" s="171">
        <v>683</v>
      </c>
      <c r="B43" s="172">
        <v>683</v>
      </c>
      <c r="C43" s="173">
        <v>1570000166434</v>
      </c>
      <c r="D43" s="174">
        <v>763</v>
      </c>
      <c r="E43" s="175">
        <v>763</v>
      </c>
      <c r="F43" s="176">
        <v>1594000000029</v>
      </c>
      <c r="G43" s="65" t="s">
        <v>758</v>
      </c>
      <c r="H43" s="177">
        <v>0</v>
      </c>
      <c r="I43" s="178">
        <v>6.44</v>
      </c>
      <c r="J43" s="178">
        <v>1.05</v>
      </c>
      <c r="K43" s="178">
        <v>1.05</v>
      </c>
      <c r="L43" s="179">
        <v>0</v>
      </c>
      <c r="M43" s="180">
        <v>0</v>
      </c>
      <c r="N43" s="180">
        <v>0</v>
      </c>
      <c r="O43" s="180">
        <v>0</v>
      </c>
    </row>
    <row r="44" spans="1:15" ht="25.5" x14ac:dyDescent="0.2">
      <c r="A44" s="171">
        <v>692</v>
      </c>
      <c r="B44" s="172">
        <v>692</v>
      </c>
      <c r="C44" s="173" t="s">
        <v>793</v>
      </c>
      <c r="D44" s="174" t="s">
        <v>1061</v>
      </c>
      <c r="E44" s="175">
        <v>0</v>
      </c>
      <c r="F44" s="176">
        <v>0</v>
      </c>
      <c r="G44" s="65" t="s">
        <v>759</v>
      </c>
      <c r="H44" s="177">
        <v>1.218</v>
      </c>
      <c r="I44" s="178">
        <v>65.849999999999994</v>
      </c>
      <c r="J44" s="178">
        <v>2.7</v>
      </c>
      <c r="K44" s="178">
        <v>2.7</v>
      </c>
      <c r="L44" s="179">
        <v>0</v>
      </c>
      <c r="M44" s="180">
        <v>0</v>
      </c>
      <c r="N44" s="180">
        <v>0</v>
      </c>
      <c r="O44" s="180">
        <v>0</v>
      </c>
    </row>
    <row r="45" spans="1:15" x14ac:dyDescent="0.2">
      <c r="A45" s="171">
        <v>693</v>
      </c>
      <c r="B45" s="172">
        <v>693</v>
      </c>
      <c r="C45" s="173">
        <v>1592001074941</v>
      </c>
      <c r="D45" s="174" t="s">
        <v>1061</v>
      </c>
      <c r="E45" s="175">
        <v>0</v>
      </c>
      <c r="F45" s="176">
        <v>0</v>
      </c>
      <c r="G45" s="65" t="s">
        <v>760</v>
      </c>
      <c r="H45" s="177">
        <v>0.81299999999999994</v>
      </c>
      <c r="I45" s="178">
        <v>32.92</v>
      </c>
      <c r="J45" s="178">
        <v>3.71</v>
      </c>
      <c r="K45" s="178">
        <v>3.71</v>
      </c>
      <c r="L45" s="179">
        <v>0</v>
      </c>
      <c r="M45" s="180">
        <v>0</v>
      </c>
      <c r="N45" s="180">
        <v>0</v>
      </c>
      <c r="O45" s="180">
        <v>0</v>
      </c>
    </row>
    <row r="46" spans="1:15" x14ac:dyDescent="0.2">
      <c r="A46" s="171">
        <v>694</v>
      </c>
      <c r="B46" s="172">
        <v>694</v>
      </c>
      <c r="C46" s="173">
        <v>1570000190631</v>
      </c>
      <c r="D46" s="174" t="s">
        <v>1061</v>
      </c>
      <c r="E46" s="175">
        <v>0</v>
      </c>
      <c r="F46" s="176">
        <v>0</v>
      </c>
      <c r="G46" s="65" t="s">
        <v>761</v>
      </c>
      <c r="H46" s="177">
        <v>0.35299999999999998</v>
      </c>
      <c r="I46" s="178">
        <v>65.849999999999994</v>
      </c>
      <c r="J46" s="178">
        <v>5.29</v>
      </c>
      <c r="K46" s="178">
        <v>5.29</v>
      </c>
      <c r="L46" s="179">
        <v>0</v>
      </c>
      <c r="M46" s="180">
        <v>0</v>
      </c>
      <c r="N46" s="180">
        <v>0</v>
      </c>
      <c r="O46" s="180">
        <v>0</v>
      </c>
    </row>
    <row r="47" spans="1:15" ht="25.5" x14ac:dyDescent="0.2">
      <c r="A47" s="171">
        <v>695</v>
      </c>
      <c r="B47" s="172">
        <v>695</v>
      </c>
      <c r="C47" s="173" t="s">
        <v>794</v>
      </c>
      <c r="D47" s="174" t="s">
        <v>1061</v>
      </c>
      <c r="E47" s="175">
        <v>0</v>
      </c>
      <c r="F47" s="176">
        <v>0</v>
      </c>
      <c r="G47" s="65" t="s">
        <v>762</v>
      </c>
      <c r="H47" s="177">
        <v>3.0000000000000001E-3</v>
      </c>
      <c r="I47" s="178">
        <v>65.849999999999994</v>
      </c>
      <c r="J47" s="178">
        <v>2.92</v>
      </c>
      <c r="K47" s="178">
        <v>2.92</v>
      </c>
      <c r="L47" s="179">
        <v>0</v>
      </c>
      <c r="M47" s="180">
        <v>0</v>
      </c>
      <c r="N47" s="180">
        <v>0</v>
      </c>
      <c r="O47" s="180">
        <v>0</v>
      </c>
    </row>
    <row r="48" spans="1:15" x14ac:dyDescent="0.2">
      <c r="A48" s="171">
        <v>684</v>
      </c>
      <c r="B48" s="172">
        <v>684</v>
      </c>
      <c r="C48" s="173">
        <v>1580001085400</v>
      </c>
      <c r="D48" s="174">
        <v>764</v>
      </c>
      <c r="E48" s="175">
        <v>764</v>
      </c>
      <c r="F48" s="176">
        <v>1574000298500</v>
      </c>
      <c r="G48" s="65" t="s">
        <v>763</v>
      </c>
      <c r="H48" s="177">
        <v>6.0000000000000001E-3</v>
      </c>
      <c r="I48" s="178">
        <v>589.61</v>
      </c>
      <c r="J48" s="178">
        <v>1.33</v>
      </c>
      <c r="K48" s="178">
        <v>1.33</v>
      </c>
      <c r="L48" s="179">
        <v>-0.14799999999999999</v>
      </c>
      <c r="M48" s="180">
        <v>3931.23</v>
      </c>
      <c r="N48" s="180">
        <v>0.05</v>
      </c>
      <c r="O48" s="180">
        <v>0.05</v>
      </c>
    </row>
    <row r="49" spans="1:15" x14ac:dyDescent="0.2">
      <c r="A49" s="171">
        <v>685</v>
      </c>
      <c r="B49" s="172">
        <v>685</v>
      </c>
      <c r="C49" s="173">
        <v>1580001132432</v>
      </c>
      <c r="D49" s="174">
        <v>765</v>
      </c>
      <c r="E49" s="175">
        <v>765</v>
      </c>
      <c r="F49" s="176">
        <v>1574000302403</v>
      </c>
      <c r="G49" s="65" t="s">
        <v>764</v>
      </c>
      <c r="H49" s="177">
        <v>0</v>
      </c>
      <c r="I49" s="178">
        <v>31.91</v>
      </c>
      <c r="J49" s="178">
        <v>0.66</v>
      </c>
      <c r="K49" s="178">
        <v>0.66</v>
      </c>
      <c r="L49" s="179">
        <v>0</v>
      </c>
      <c r="M49" s="180">
        <v>874.38</v>
      </c>
      <c r="N49" s="180">
        <v>0.05</v>
      </c>
      <c r="O49" s="180">
        <v>0.05</v>
      </c>
    </row>
    <row r="50" spans="1:15" ht="25.5" x14ac:dyDescent="0.2">
      <c r="A50" s="171">
        <v>686</v>
      </c>
      <c r="B50" s="172">
        <v>686</v>
      </c>
      <c r="C50" s="173" t="s">
        <v>795</v>
      </c>
      <c r="D50" s="174">
        <v>766</v>
      </c>
      <c r="E50" s="175">
        <v>766</v>
      </c>
      <c r="F50" s="176" t="s">
        <v>796</v>
      </c>
      <c r="G50" s="65" t="s">
        <v>765</v>
      </c>
      <c r="H50" s="177">
        <v>0</v>
      </c>
      <c r="I50" s="178">
        <v>311.52999999999997</v>
      </c>
      <c r="J50" s="178">
        <v>0.53</v>
      </c>
      <c r="K50" s="178">
        <v>0.53</v>
      </c>
      <c r="L50" s="179">
        <v>0</v>
      </c>
      <c r="M50" s="180">
        <v>19339.22</v>
      </c>
      <c r="N50" s="180">
        <v>0.05</v>
      </c>
      <c r="O50" s="180">
        <v>0.05</v>
      </c>
    </row>
    <row r="51" spans="1:15" x14ac:dyDescent="0.2">
      <c r="A51" s="171">
        <v>687</v>
      </c>
      <c r="B51" s="172">
        <v>687</v>
      </c>
      <c r="C51" s="173" t="s">
        <v>790</v>
      </c>
      <c r="D51" s="174" t="s">
        <v>1061</v>
      </c>
      <c r="E51" s="175">
        <v>0</v>
      </c>
      <c r="F51" s="176">
        <v>0</v>
      </c>
      <c r="G51" s="65" t="s">
        <v>766</v>
      </c>
      <c r="H51" s="177">
        <v>0</v>
      </c>
      <c r="I51" s="178">
        <v>2017.98</v>
      </c>
      <c r="J51" s="178">
        <v>1.24</v>
      </c>
      <c r="K51" s="178">
        <v>1.24</v>
      </c>
      <c r="L51" s="179">
        <v>0</v>
      </c>
      <c r="M51" s="180">
        <v>0</v>
      </c>
      <c r="N51" s="180">
        <v>0</v>
      </c>
      <c r="O51" s="180">
        <v>0</v>
      </c>
    </row>
    <row r="52" spans="1:15" x14ac:dyDescent="0.2">
      <c r="A52" s="171">
        <v>688</v>
      </c>
      <c r="B52" s="172">
        <v>688</v>
      </c>
      <c r="C52" s="173">
        <v>1580001208659</v>
      </c>
      <c r="D52" s="174">
        <v>767</v>
      </c>
      <c r="E52" s="175">
        <v>767</v>
      </c>
      <c r="F52" s="176">
        <v>1574000309384</v>
      </c>
      <c r="G52" s="65" t="s">
        <v>767</v>
      </c>
      <c r="H52" s="177">
        <v>0</v>
      </c>
      <c r="I52" s="178">
        <v>17.36</v>
      </c>
      <c r="J52" s="178">
        <v>1.89</v>
      </c>
      <c r="K52" s="178">
        <v>1.89</v>
      </c>
      <c r="L52" s="179">
        <v>0</v>
      </c>
      <c r="M52" s="180">
        <v>1978.85</v>
      </c>
      <c r="N52" s="180">
        <v>0.05</v>
      </c>
      <c r="O52" s="180">
        <v>0.05</v>
      </c>
    </row>
    <row r="53" spans="1:15" x14ac:dyDescent="0.2">
      <c r="A53" s="171">
        <v>689</v>
      </c>
      <c r="B53" s="172">
        <v>689</v>
      </c>
      <c r="C53" s="173">
        <v>1580001208668</v>
      </c>
      <c r="D53" s="174">
        <v>768</v>
      </c>
      <c r="E53" s="175">
        <v>768</v>
      </c>
      <c r="F53" s="176">
        <v>1574000309375</v>
      </c>
      <c r="G53" s="65" t="s">
        <v>768</v>
      </c>
      <c r="H53" s="177">
        <v>0</v>
      </c>
      <c r="I53" s="178">
        <v>90.78</v>
      </c>
      <c r="J53" s="178">
        <v>1.73</v>
      </c>
      <c r="K53" s="178">
        <v>1.73</v>
      </c>
      <c r="L53" s="179">
        <v>0</v>
      </c>
      <c r="M53" s="180">
        <v>3918</v>
      </c>
      <c r="N53" s="180">
        <v>0.05</v>
      </c>
      <c r="O53" s="180">
        <v>0.05</v>
      </c>
    </row>
    <row r="54" spans="1:15" x14ac:dyDescent="0.2">
      <c r="A54" s="171">
        <v>690</v>
      </c>
      <c r="B54" s="172">
        <v>690</v>
      </c>
      <c r="C54" s="173">
        <v>1580001174414</v>
      </c>
      <c r="D54" s="174">
        <v>782</v>
      </c>
      <c r="E54" s="175">
        <v>782</v>
      </c>
      <c r="F54" s="176">
        <v>1574000306374</v>
      </c>
      <c r="G54" s="65" t="s">
        <v>769</v>
      </c>
      <c r="H54" s="177">
        <v>0.24099999999999999</v>
      </c>
      <c r="I54" s="178">
        <v>36.799999999999997</v>
      </c>
      <c r="J54" s="178">
        <v>2.71</v>
      </c>
      <c r="K54" s="178">
        <v>2.71</v>
      </c>
      <c r="L54" s="179">
        <v>0</v>
      </c>
      <c r="M54" s="180">
        <v>1324.71</v>
      </c>
      <c r="N54" s="180">
        <v>0.05</v>
      </c>
      <c r="O54" s="180">
        <v>0.05</v>
      </c>
    </row>
    <row r="55" spans="1:15" x14ac:dyDescent="0.2">
      <c r="A55" s="171">
        <v>540</v>
      </c>
      <c r="B55" s="172">
        <v>540</v>
      </c>
      <c r="C55" s="173">
        <v>1580001190763</v>
      </c>
      <c r="D55" s="174">
        <v>783</v>
      </c>
      <c r="E55" s="175">
        <v>783</v>
      </c>
      <c r="F55" s="176">
        <v>1574000307917</v>
      </c>
      <c r="G55" s="65" t="s">
        <v>770</v>
      </c>
      <c r="H55" s="177">
        <v>1E-3</v>
      </c>
      <c r="I55" s="178">
        <v>2.12</v>
      </c>
      <c r="J55" s="178">
        <v>1.25</v>
      </c>
      <c r="K55" s="178">
        <v>1.25</v>
      </c>
      <c r="L55" s="179">
        <v>-3.5000000000000003E-2</v>
      </c>
      <c r="M55" s="180">
        <v>511.47</v>
      </c>
      <c r="N55" s="180">
        <v>0.05</v>
      </c>
      <c r="O55" s="180">
        <v>0.05</v>
      </c>
    </row>
    <row r="56" spans="1:15" x14ac:dyDescent="0.2">
      <c r="A56" s="171">
        <v>541</v>
      </c>
      <c r="B56" s="172">
        <v>541</v>
      </c>
      <c r="C56" s="173">
        <v>1580001197945</v>
      </c>
      <c r="D56" s="174">
        <v>784</v>
      </c>
      <c r="E56" s="175">
        <v>784</v>
      </c>
      <c r="F56" s="176">
        <v>1574000308405</v>
      </c>
      <c r="G56" s="65" t="s">
        <v>771</v>
      </c>
      <c r="H56" s="177">
        <v>0.52400000000000002</v>
      </c>
      <c r="I56" s="178">
        <v>315.86</v>
      </c>
      <c r="J56" s="178">
        <v>3.9</v>
      </c>
      <c r="K56" s="178">
        <v>3.9</v>
      </c>
      <c r="L56" s="179">
        <v>-0.63700000000000001</v>
      </c>
      <c r="M56" s="180">
        <v>4667.0200000000004</v>
      </c>
      <c r="N56" s="180">
        <v>0.05</v>
      </c>
      <c r="O56" s="180">
        <v>0.05</v>
      </c>
    </row>
    <row r="57" spans="1:15" x14ac:dyDescent="0.2">
      <c r="A57" s="171">
        <v>542</v>
      </c>
      <c r="B57" s="172">
        <v>542</v>
      </c>
      <c r="C57" s="173">
        <v>1580001278406</v>
      </c>
      <c r="D57" s="174">
        <v>785</v>
      </c>
      <c r="E57" s="175">
        <v>785</v>
      </c>
      <c r="F57" s="176">
        <v>1574000315040</v>
      </c>
      <c r="G57" s="65" t="s">
        <v>772</v>
      </c>
      <c r="H57" s="177">
        <v>0</v>
      </c>
      <c r="I57" s="178">
        <v>169.3</v>
      </c>
      <c r="J57" s="178">
        <v>0.81</v>
      </c>
      <c r="K57" s="178">
        <v>0.81</v>
      </c>
      <c r="L57" s="179">
        <v>0</v>
      </c>
      <c r="M57" s="180">
        <v>313.2</v>
      </c>
      <c r="N57" s="180">
        <v>0.05</v>
      </c>
      <c r="O57" s="180">
        <v>0.05</v>
      </c>
    </row>
    <row r="58" spans="1:15" x14ac:dyDescent="0.2">
      <c r="A58" s="171">
        <v>543</v>
      </c>
      <c r="B58" s="172">
        <v>543</v>
      </c>
      <c r="C58" s="173">
        <v>1580001278415</v>
      </c>
      <c r="D58" s="174" t="s">
        <v>1061</v>
      </c>
      <c r="E58" s="175">
        <v>0</v>
      </c>
      <c r="F58" s="176">
        <v>0</v>
      </c>
      <c r="G58" s="65" t="s">
        <v>773</v>
      </c>
      <c r="H58" s="177">
        <v>0</v>
      </c>
      <c r="I58" s="178">
        <v>3992.41</v>
      </c>
      <c r="J58" s="178">
        <v>0.98</v>
      </c>
      <c r="K58" s="178">
        <v>0.98</v>
      </c>
      <c r="L58" s="179">
        <v>0</v>
      </c>
      <c r="M58" s="180">
        <v>0</v>
      </c>
      <c r="N58" s="180">
        <v>0</v>
      </c>
      <c r="O58" s="180">
        <v>0</v>
      </c>
    </row>
    <row r="59" spans="1:15" x14ac:dyDescent="0.2">
      <c r="A59" s="171">
        <v>545</v>
      </c>
      <c r="B59" s="172">
        <v>545</v>
      </c>
      <c r="C59" s="173">
        <v>1580001417656</v>
      </c>
      <c r="D59" s="174" t="s">
        <v>1061</v>
      </c>
      <c r="E59" s="175">
        <v>0</v>
      </c>
      <c r="F59" s="176">
        <v>0</v>
      </c>
      <c r="G59" s="65" t="s">
        <v>774</v>
      </c>
      <c r="H59" s="177">
        <v>6.4000000000000001E-2</v>
      </c>
      <c r="I59" s="178">
        <v>17393.39</v>
      </c>
      <c r="J59" s="178">
        <v>1.31</v>
      </c>
      <c r="K59" s="178">
        <v>1.31</v>
      </c>
      <c r="L59" s="179">
        <v>0</v>
      </c>
      <c r="M59" s="180">
        <v>0</v>
      </c>
      <c r="N59" s="180">
        <v>0</v>
      </c>
      <c r="O59" s="180">
        <v>0</v>
      </c>
    </row>
    <row r="60" spans="1:15" x14ac:dyDescent="0.2">
      <c r="A60" s="171">
        <v>547</v>
      </c>
      <c r="B60" s="172">
        <v>547</v>
      </c>
      <c r="C60" s="173">
        <v>1580001440530</v>
      </c>
      <c r="D60" s="174">
        <v>787</v>
      </c>
      <c r="E60" s="175">
        <v>787</v>
      </c>
      <c r="F60" s="176">
        <v>1574000324470</v>
      </c>
      <c r="G60" s="65" t="s">
        <v>775</v>
      </c>
      <c r="H60" s="177">
        <v>0</v>
      </c>
      <c r="I60" s="178">
        <v>32.26</v>
      </c>
      <c r="J60" s="178">
        <v>1.77</v>
      </c>
      <c r="K60" s="178">
        <v>1.77</v>
      </c>
      <c r="L60" s="179">
        <v>0</v>
      </c>
      <c r="M60" s="180">
        <v>2228.06</v>
      </c>
      <c r="N60" s="180">
        <v>0.05</v>
      </c>
      <c r="O60" s="180">
        <v>0.05</v>
      </c>
    </row>
    <row r="61" spans="1:15" x14ac:dyDescent="0.2">
      <c r="A61" s="171">
        <v>548</v>
      </c>
      <c r="B61" s="172">
        <v>548</v>
      </c>
      <c r="C61" s="173">
        <v>1580001440520</v>
      </c>
      <c r="D61" s="174">
        <v>788</v>
      </c>
      <c r="E61" s="175">
        <v>788</v>
      </c>
      <c r="F61" s="176">
        <v>1574000324461</v>
      </c>
      <c r="G61" s="65" t="s">
        <v>776</v>
      </c>
      <c r="H61" s="177">
        <v>0</v>
      </c>
      <c r="I61" s="178">
        <v>64.28</v>
      </c>
      <c r="J61" s="178">
        <v>1.76</v>
      </c>
      <c r="K61" s="178">
        <v>1.76</v>
      </c>
      <c r="L61" s="179">
        <v>0</v>
      </c>
      <c r="M61" s="180">
        <v>5563.62</v>
      </c>
      <c r="N61" s="180">
        <v>0.05</v>
      </c>
      <c r="O61" s="180">
        <v>0.05</v>
      </c>
    </row>
    <row r="62" spans="1:15" x14ac:dyDescent="0.2">
      <c r="A62" s="171">
        <v>549</v>
      </c>
      <c r="B62" s="172">
        <v>549</v>
      </c>
      <c r="C62" s="173">
        <v>1580001487955</v>
      </c>
      <c r="D62" s="174">
        <v>789</v>
      </c>
      <c r="E62" s="175">
        <v>789</v>
      </c>
      <c r="F62" s="176">
        <v>1574000327286</v>
      </c>
      <c r="G62" s="65" t="s">
        <v>777</v>
      </c>
      <c r="H62" s="177">
        <v>0</v>
      </c>
      <c r="I62" s="178">
        <v>258.77999999999997</v>
      </c>
      <c r="J62" s="178">
        <v>2.12</v>
      </c>
      <c r="K62" s="178">
        <v>2.12</v>
      </c>
      <c r="L62" s="179">
        <v>0</v>
      </c>
      <c r="M62" s="180">
        <v>18287.13</v>
      </c>
      <c r="N62" s="180">
        <v>0.05</v>
      </c>
      <c r="O62" s="180">
        <v>0.05</v>
      </c>
    </row>
    <row r="63" spans="1:15" x14ac:dyDescent="0.2">
      <c r="A63" s="171">
        <v>560</v>
      </c>
      <c r="B63" s="172">
        <v>560</v>
      </c>
      <c r="C63" s="173" t="s">
        <v>797</v>
      </c>
      <c r="D63" s="174">
        <v>806</v>
      </c>
      <c r="E63" s="175">
        <v>806</v>
      </c>
      <c r="F63" s="176" t="s">
        <v>798</v>
      </c>
      <c r="G63" s="65" t="s">
        <v>778</v>
      </c>
      <c r="H63" s="177">
        <v>0</v>
      </c>
      <c r="I63" s="178">
        <v>32.409999999999997</v>
      </c>
      <c r="J63" s="178">
        <v>1.91</v>
      </c>
      <c r="K63" s="178">
        <v>1.91</v>
      </c>
      <c r="L63" s="179">
        <v>0</v>
      </c>
      <c r="M63" s="180">
        <v>2690.13</v>
      </c>
      <c r="N63" s="180">
        <v>0.05</v>
      </c>
      <c r="O63" s="180">
        <v>0.05</v>
      </c>
    </row>
    <row r="64" spans="1:15" x14ac:dyDescent="0.2">
      <c r="A64" s="171">
        <v>561</v>
      </c>
      <c r="B64" s="172">
        <v>561</v>
      </c>
      <c r="C64" s="173">
        <v>1580001519739</v>
      </c>
      <c r="D64" s="174">
        <v>807</v>
      </c>
      <c r="E64" s="175">
        <v>807</v>
      </c>
      <c r="F64" s="176">
        <v>1574000328420</v>
      </c>
      <c r="G64" s="65" t="s">
        <v>779</v>
      </c>
      <c r="H64" s="177">
        <v>0</v>
      </c>
      <c r="I64" s="178">
        <v>51.34</v>
      </c>
      <c r="J64" s="178">
        <v>1.7</v>
      </c>
      <c r="K64" s="178">
        <v>1.7</v>
      </c>
      <c r="L64" s="179">
        <v>0</v>
      </c>
      <c r="M64" s="180">
        <v>8899.6</v>
      </c>
      <c r="N64" s="180">
        <v>0.05</v>
      </c>
      <c r="O64" s="180">
        <v>0.05</v>
      </c>
    </row>
    <row r="65" spans="1:15" x14ac:dyDescent="0.2">
      <c r="A65" s="171">
        <v>563</v>
      </c>
      <c r="B65" s="172">
        <v>563</v>
      </c>
      <c r="C65" s="173">
        <v>1580001448895</v>
      </c>
      <c r="D65" s="174">
        <v>802</v>
      </c>
      <c r="E65" s="175">
        <v>802</v>
      </c>
      <c r="F65" s="176">
        <v>1574000324790</v>
      </c>
      <c r="G65" s="65" t="s">
        <v>780</v>
      </c>
      <c r="H65" s="177">
        <v>0.72299999999999998</v>
      </c>
      <c r="I65" s="178">
        <v>1.34</v>
      </c>
      <c r="J65" s="178">
        <v>1.93</v>
      </c>
      <c r="K65" s="178">
        <v>1.93</v>
      </c>
      <c r="L65" s="179">
        <v>0</v>
      </c>
      <c r="M65" s="180">
        <v>126.88</v>
      </c>
      <c r="N65" s="180">
        <v>0.05</v>
      </c>
      <c r="O65" s="180">
        <v>0.05</v>
      </c>
    </row>
    <row r="66" spans="1:15" x14ac:dyDescent="0.2">
      <c r="A66" s="171">
        <v>562</v>
      </c>
      <c r="B66" s="172">
        <v>562</v>
      </c>
      <c r="C66" s="173">
        <v>1580001448900</v>
      </c>
      <c r="D66" s="174">
        <v>769</v>
      </c>
      <c r="E66" s="175">
        <v>769</v>
      </c>
      <c r="F66" s="176">
        <v>1574000324781</v>
      </c>
      <c r="G66" s="65" t="s">
        <v>781</v>
      </c>
      <c r="H66" s="177">
        <v>0.72299999999999998</v>
      </c>
      <c r="I66" s="178">
        <v>1.34</v>
      </c>
      <c r="J66" s="178">
        <v>1.84</v>
      </c>
      <c r="K66" s="178">
        <v>1.84</v>
      </c>
      <c r="L66" s="179">
        <v>0</v>
      </c>
      <c r="M66" s="180">
        <v>126.88</v>
      </c>
      <c r="N66" s="180">
        <v>0.05</v>
      </c>
      <c r="O66" s="180">
        <v>0.05</v>
      </c>
    </row>
    <row r="67" spans="1:15" x14ac:dyDescent="0.2">
      <c r="A67" s="171">
        <v>564</v>
      </c>
      <c r="B67" s="172">
        <v>564</v>
      </c>
      <c r="C67" s="173">
        <v>1580001527952</v>
      </c>
      <c r="D67" s="174">
        <v>803</v>
      </c>
      <c r="E67" s="175">
        <v>803</v>
      </c>
      <c r="F67" s="176">
        <v>1574000328703</v>
      </c>
      <c r="G67" s="65" t="s">
        <v>782</v>
      </c>
      <c r="H67" s="177">
        <v>0</v>
      </c>
      <c r="I67" s="178">
        <v>248.29</v>
      </c>
      <c r="J67" s="178">
        <v>1.91</v>
      </c>
      <c r="K67" s="178">
        <v>1.91</v>
      </c>
      <c r="L67" s="179">
        <v>0</v>
      </c>
      <c r="M67" s="180">
        <v>248.29</v>
      </c>
      <c r="N67" s="180">
        <v>0.05</v>
      </c>
      <c r="O67" s="180">
        <v>0.05</v>
      </c>
    </row>
    <row r="68" spans="1:15" x14ac:dyDescent="0.2">
      <c r="A68" s="171">
        <v>565</v>
      </c>
      <c r="B68" s="172">
        <v>565</v>
      </c>
      <c r="C68" s="173">
        <v>1580001498380</v>
      </c>
      <c r="D68" s="174">
        <v>805</v>
      </c>
      <c r="E68" s="175">
        <v>805</v>
      </c>
      <c r="F68" s="176">
        <v>1574000327505</v>
      </c>
      <c r="G68" s="65" t="s">
        <v>783</v>
      </c>
      <c r="H68" s="177">
        <v>0.183</v>
      </c>
      <c r="I68" s="178">
        <v>130.51</v>
      </c>
      <c r="J68" s="178">
        <v>2.52</v>
      </c>
      <c r="K68" s="178">
        <v>2.52</v>
      </c>
      <c r="L68" s="179">
        <v>-0.28499999999999998</v>
      </c>
      <c r="M68" s="180">
        <v>511.05</v>
      </c>
      <c r="N68" s="180">
        <v>0.05</v>
      </c>
      <c r="O68" s="180">
        <v>0.05</v>
      </c>
    </row>
    <row r="69" spans="1:15" x14ac:dyDescent="0.2">
      <c r="A69" s="171">
        <v>567</v>
      </c>
      <c r="B69" s="172">
        <v>567</v>
      </c>
      <c r="C69" s="173">
        <v>1580001531639</v>
      </c>
      <c r="D69" s="174">
        <v>809</v>
      </c>
      <c r="E69" s="175">
        <v>809</v>
      </c>
      <c r="F69" s="176">
        <v>1574000328810</v>
      </c>
      <c r="G69" s="65" t="s">
        <v>784</v>
      </c>
      <c r="H69" s="177">
        <v>0.36099999999999999</v>
      </c>
      <c r="I69" s="178">
        <v>7.03</v>
      </c>
      <c r="J69" s="178">
        <v>3.36</v>
      </c>
      <c r="K69" s="178">
        <v>3.36</v>
      </c>
      <c r="L69" s="179">
        <v>0</v>
      </c>
      <c r="M69" s="180">
        <v>606.91</v>
      </c>
      <c r="N69" s="180">
        <v>0.05</v>
      </c>
      <c r="O69" s="180">
        <v>0.05</v>
      </c>
    </row>
    <row r="70" spans="1:15" x14ac:dyDescent="0.2">
      <c r="A70" s="171">
        <v>566</v>
      </c>
      <c r="B70" s="172">
        <v>566</v>
      </c>
      <c r="C70" s="173">
        <v>1580001511800</v>
      </c>
      <c r="D70" s="174">
        <v>808</v>
      </c>
      <c r="E70" s="175">
        <v>808</v>
      </c>
      <c r="F70" s="176">
        <v>1574000328094</v>
      </c>
      <c r="G70" s="65" t="s">
        <v>785</v>
      </c>
      <c r="H70" s="177">
        <v>1E-3</v>
      </c>
      <c r="I70" s="178">
        <v>495.72</v>
      </c>
      <c r="J70" s="178">
        <v>2.4500000000000002</v>
      </c>
      <c r="K70" s="178">
        <v>2.4500000000000002</v>
      </c>
      <c r="L70" s="179">
        <v>-1.4E-2</v>
      </c>
      <c r="M70" s="180">
        <v>1990.84</v>
      </c>
      <c r="N70" s="180">
        <v>0.05</v>
      </c>
      <c r="O70" s="180">
        <v>0.05</v>
      </c>
    </row>
  </sheetData>
  <mergeCells count="10">
    <mergeCell ref="A4:F4"/>
    <mergeCell ref="D5:F5"/>
    <mergeCell ref="F1:O1"/>
    <mergeCell ref="A2:O2"/>
    <mergeCell ref="C1:D1"/>
    <mergeCell ref="D6:F6"/>
    <mergeCell ref="D7:F7"/>
    <mergeCell ref="A5:C5"/>
    <mergeCell ref="A6:C6"/>
    <mergeCell ref="A7:C7"/>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6" fitToHeight="0" orientation="landscape" r:id="rId1"/>
  <headerFooter differentFirst="1" scaleWithDoc="0">
    <oddHeader>&amp;L&amp;"Trebuchet MS,Bold"
Annex 2 &amp;"Trebuchet MS,Regular"- Schedule of Charges for use of the Distribution System by Designated EHV Properties (including LDNOs with Designated EHV Properties/end-users).</oddHeader>
    <firstHeader>&amp;L&amp;"Trebuchet MS,Bold"
Annex 2&amp;"Trebuchet MS,Regular" - Schedule of Charges for use of the Distribution System by Designated EHV Properties (including LDNOs with Designated EHV Properties/end-users).</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H65"/>
  <sheetViews>
    <sheetView topLeftCell="A25" zoomScaleNormal="100" zoomScaleSheetLayoutView="100" workbookViewId="0">
      <selection activeCell="A2" sqref="A2:H2"/>
    </sheetView>
  </sheetViews>
  <sheetFormatPr defaultRowHeight="12.75" x14ac:dyDescent="0.2"/>
  <cols>
    <col min="1" max="1" width="14.7109375" style="59" customWidth="1"/>
    <col min="2" max="2" width="8.7109375" style="59" customWidth="1"/>
    <col min="3" max="3" width="15.7109375" style="66" bestFit="1" customWidth="1"/>
    <col min="4" max="4" width="50.7109375" style="66" customWidth="1"/>
    <col min="5" max="5" width="14.7109375" style="67" customWidth="1"/>
    <col min="6" max="7" width="14.7109375" style="68" customWidth="1"/>
    <col min="8" max="8" width="14.7109375" style="59" customWidth="1"/>
    <col min="9" max="16384" width="9.140625" style="59"/>
  </cols>
  <sheetData>
    <row r="1" spans="1:8" x14ac:dyDescent="0.2">
      <c r="A1" s="233" t="s">
        <v>511</v>
      </c>
      <c r="B1" s="233"/>
      <c r="C1" s="233"/>
      <c r="D1" s="233"/>
      <c r="E1" s="233"/>
      <c r="F1" s="233"/>
      <c r="G1" s="233"/>
      <c r="H1" s="233"/>
    </row>
    <row r="2" spans="1:8" s="60" customFormat="1" ht="18" x14ac:dyDescent="0.2">
      <c r="A2" s="235" t="str">
        <f>Overview!B4&amp; " - Effective from "&amp;Overview!D4&amp;" - "&amp;Overview!E4&amp;" EDCM import charges"</f>
        <v>Northern Powergrid (Northeast) Ltd - Effective from 1 April 2019 - Final EDCM import charges</v>
      </c>
      <c r="B2" s="236"/>
      <c r="C2" s="236"/>
      <c r="D2" s="236"/>
      <c r="E2" s="236"/>
      <c r="F2" s="236"/>
      <c r="G2" s="236"/>
      <c r="H2" s="237"/>
    </row>
    <row r="3" spans="1:8" s="92" customFormat="1" ht="18" x14ac:dyDescent="0.2">
      <c r="A3" s="99"/>
      <c r="B3" s="99"/>
      <c r="C3" s="99"/>
      <c r="D3" s="100"/>
      <c r="E3" s="101"/>
      <c r="F3" s="101"/>
      <c r="G3" s="102"/>
      <c r="H3" s="102"/>
    </row>
    <row r="4" spans="1:8" ht="63.75" x14ac:dyDescent="0.2">
      <c r="A4" s="61" t="s">
        <v>481</v>
      </c>
      <c r="B4" s="62" t="s">
        <v>469</v>
      </c>
      <c r="C4" s="61" t="s">
        <v>470</v>
      </c>
      <c r="D4" s="63" t="s">
        <v>180</v>
      </c>
      <c r="E4" s="144" t="str">
        <f>'Annex 2 EHV charges'!H9</f>
        <v>Import
Super Red
unit charge
(p/kWh)</v>
      </c>
      <c r="F4" s="144" t="str">
        <f>'Annex 2 EHV charges'!I9</f>
        <v>Import
fixed charge
(p/day)</v>
      </c>
      <c r="G4" s="144" t="str">
        <f>'Annex 2 EHV charges'!J9</f>
        <v>Import
capacity charge
(p/kVA/day)</v>
      </c>
      <c r="H4" s="144" t="str">
        <f>'Annex 2 EHV charges'!K9</f>
        <v>Import
exceeded capacity charge
(p/kVA/day)</v>
      </c>
    </row>
    <row r="5" spans="1:8" ht="25.5" x14ac:dyDescent="0.2">
      <c r="A5" s="182">
        <f t="array" ref="A5">IFERROR(INDEX('Annex 2 EHV charges'!$A$10:$A$150, MATCH(0, IF(('Annex 2 EHV charges'!$A$10:$A$150=""),1, COUNTIF(A$4:$A4, 'Annex 2 EHV charges'!$A$10:$A$150)), 0)),"")</f>
        <v>601</v>
      </c>
      <c r="B5" s="183">
        <f>IF($A5="","",VLOOKUP($A5,'Annex 2 EHV charges'!$A:$O,2,0))</f>
        <v>601</v>
      </c>
      <c r="C5" s="184" t="str">
        <f>IF($A5="","",VLOOKUP($A5,'Annex 2 EHV charges'!$A:$O,3,0))</f>
        <v>1592001005770
1592101005776</v>
      </c>
      <c r="D5" s="108" t="str">
        <f>IF($A5="","",VLOOKUP($A5,'Annex 2 EHV charges'!$A:$O,7,0))</f>
        <v>EHV Site Specific - Generation Exempt (LLFC 601 &amp; 701)</v>
      </c>
      <c r="E5" s="185" t="str">
        <f>IFERROR(IF(VLOOKUP($A5,'Annex 2 EHV charges'!$A:$O,8,FALSE)=0,"",VLOOKUP($A5,'Annex 2 EHV charges'!$A:$O,8,FALSE)),"")</f>
        <v/>
      </c>
      <c r="F5" s="186">
        <f>IFERROR(IF(VLOOKUP($A5,'Annex 2 EHV charges'!$A:$O,9,FALSE)=0,"",VLOOKUP($A5,'Annex 2 EHV charges'!$A:$O,9,FALSE)),"")</f>
        <v>715.82</v>
      </c>
      <c r="G5" s="187">
        <f>IFERROR(IF(VLOOKUP($A5,'Annex 2 EHV charges'!$A:$O,10,FALSE)=0,"",VLOOKUP($A5,'Annex 2 EHV charges'!$A:$O,10,FALSE)),"")</f>
        <v>0.72</v>
      </c>
      <c r="H5" s="187">
        <f>IFERROR(IF(VLOOKUP($A5,'Annex 2 EHV charges'!$A:$O,11,FALSE)=0,"",VLOOKUP($A5,'Annex 2 EHV charges'!$A:$O,11,FALSE)),"")</f>
        <v>0.72</v>
      </c>
    </row>
    <row r="6" spans="1:8" x14ac:dyDescent="0.2">
      <c r="A6" s="182">
        <f t="array" ref="A6">IFERROR(INDEX('Annex 2 EHV charges'!$A$10:$A$150, MATCH(0, IF(('Annex 2 EHV charges'!$A$10:$A$150=""),1, COUNTIF(A$4:$A5, 'Annex 2 EHV charges'!$A$10:$A$150)), 0)),"")</f>
        <v>603</v>
      </c>
      <c r="B6" s="183">
        <f>IF($A6="","",VLOOKUP($A6,'Annex 2 EHV charges'!$A:$O,2,0))</f>
        <v>603</v>
      </c>
      <c r="C6" s="184">
        <f>IF($A6="","",VLOOKUP($A6,'Annex 2 EHV charges'!$A:$O,3,0))</f>
        <v>1592001051182</v>
      </c>
      <c r="D6" s="108" t="str">
        <f>IF($A6="","",VLOOKUP($A6,'Annex 2 EHV charges'!$A:$O,7,0))</f>
        <v>EHV Site Specific (LLFC 603)</v>
      </c>
      <c r="E6" s="185" t="str">
        <f>IFERROR(IF(VLOOKUP($A6,'Annex 2 EHV charges'!$A:$O,8,FALSE)=0,"",VLOOKUP($A6,'Annex 2 EHV charges'!$A:$O,8,FALSE)),"")</f>
        <v/>
      </c>
      <c r="F6" s="186">
        <f>IFERROR(IF(VLOOKUP($A6,'Annex 2 EHV charges'!$A:$O,9,FALSE)=0,"",VLOOKUP($A6,'Annex 2 EHV charges'!$A:$O,9,FALSE)),"")</f>
        <v>8053.96</v>
      </c>
      <c r="G6" s="187">
        <f>IFERROR(IF(VLOOKUP($A6,'Annex 2 EHV charges'!$A:$O,10,FALSE)=0,"",VLOOKUP($A6,'Annex 2 EHV charges'!$A:$O,10,FALSE)),"")</f>
        <v>1.92</v>
      </c>
      <c r="H6" s="187">
        <f>IFERROR(IF(VLOOKUP($A6,'Annex 2 EHV charges'!$A:$O,11,FALSE)=0,"",VLOOKUP($A6,'Annex 2 EHV charges'!$A:$O,11,FALSE)),"")</f>
        <v>1.92</v>
      </c>
    </row>
    <row r="7" spans="1:8" x14ac:dyDescent="0.2">
      <c r="A7" s="182">
        <f t="array" ref="A7">IFERROR(INDEX('Annex 2 EHV charges'!$A$10:$A$150, MATCH(0, IF(('Annex 2 EHV charges'!$A$10:$A$150=""),1, COUNTIF(A$4:$A6, 'Annex 2 EHV charges'!$A$10:$A$150)), 0)),"")</f>
        <v>604</v>
      </c>
      <c r="B7" s="183">
        <f>IF($A7="","",VLOOKUP($A7,'Annex 2 EHV charges'!$A:$O,2,0))</f>
        <v>604</v>
      </c>
      <c r="C7" s="184" t="str">
        <f>IF($A7="","",VLOOKUP($A7,'Annex 2 EHV charges'!$A:$O,3,0))</f>
        <v>MSID_7299</v>
      </c>
      <c r="D7" s="108" t="str">
        <f>IF($A7="","",VLOOKUP($A7,'Annex 2 EHV charges'!$A:$O,7,0))</f>
        <v>EHV Site Specific (LLFC 604 &amp; 727)</v>
      </c>
      <c r="E7" s="185" t="str">
        <f>IFERROR(IF(VLOOKUP($A7,'Annex 2 EHV charges'!$A:$O,8,FALSE)=0,"",VLOOKUP($A7,'Annex 2 EHV charges'!$A:$O,8,FALSE)),"")</f>
        <v/>
      </c>
      <c r="F7" s="186">
        <f>IFERROR(IF(VLOOKUP($A7,'Annex 2 EHV charges'!$A:$O,9,FALSE)=0,"",VLOOKUP($A7,'Annex 2 EHV charges'!$A:$O,9,FALSE)),"")</f>
        <v>52.97</v>
      </c>
      <c r="G7" s="187">
        <f>IFERROR(IF(VLOOKUP($A7,'Annex 2 EHV charges'!$A:$O,10,FALSE)=0,"",VLOOKUP($A7,'Annex 2 EHV charges'!$A:$O,10,FALSE)),"")</f>
        <v>0.77</v>
      </c>
      <c r="H7" s="187">
        <f>IFERROR(IF(VLOOKUP($A7,'Annex 2 EHV charges'!$A:$O,11,FALSE)=0,"",VLOOKUP($A7,'Annex 2 EHV charges'!$A:$O,11,FALSE)),"")</f>
        <v>0.77</v>
      </c>
    </row>
    <row r="8" spans="1:8" x14ac:dyDescent="0.2">
      <c r="A8" s="182">
        <f t="array" ref="A8">IFERROR(INDEX('Annex 2 EHV charges'!$A$10:$A$150, MATCH(0, IF(('Annex 2 EHV charges'!$A$10:$A$150=""),1, COUNTIF(A$4:$A7, 'Annex 2 EHV charges'!$A$10:$A$150)), 0)),"")</f>
        <v>605</v>
      </c>
      <c r="B8" s="183">
        <f>IF($A8="","",VLOOKUP($A8,'Annex 2 EHV charges'!$A:$O,2,0))</f>
        <v>605</v>
      </c>
      <c r="C8" s="184">
        <f>IF($A8="","",VLOOKUP($A8,'Annex 2 EHV charges'!$A:$O,3,0))</f>
        <v>1592001092676</v>
      </c>
      <c r="D8" s="108" t="str">
        <f>IF($A8="","",VLOOKUP($A8,'Annex 2 EHV charges'!$A:$O,7,0))</f>
        <v>EHV Site Specific (LLFC 605)</v>
      </c>
      <c r="E8" s="185">
        <f>IFERROR(IF(VLOOKUP($A8,'Annex 2 EHV charges'!$A:$O,8,FALSE)=0,"",VLOOKUP($A8,'Annex 2 EHV charges'!$A:$O,8,FALSE)),"")</f>
        <v>0.372</v>
      </c>
      <c r="F8" s="186">
        <f>IFERROR(IF(VLOOKUP($A8,'Annex 2 EHV charges'!$A:$O,9,FALSE)=0,"",VLOOKUP($A8,'Annex 2 EHV charges'!$A:$O,9,FALSE)),"")</f>
        <v>1997.93</v>
      </c>
      <c r="G8" s="187">
        <f>IFERROR(IF(VLOOKUP($A8,'Annex 2 EHV charges'!$A:$O,10,FALSE)=0,"",VLOOKUP($A8,'Annex 2 EHV charges'!$A:$O,10,FALSE)),"")</f>
        <v>1.75</v>
      </c>
      <c r="H8" s="187">
        <f>IFERROR(IF(VLOOKUP($A8,'Annex 2 EHV charges'!$A:$O,11,FALSE)=0,"",VLOOKUP($A8,'Annex 2 EHV charges'!$A:$O,11,FALSE)),"")</f>
        <v>1.75</v>
      </c>
    </row>
    <row r="9" spans="1:8" x14ac:dyDescent="0.2">
      <c r="A9" s="182">
        <f t="array" ref="A9">IFERROR(INDEX('Annex 2 EHV charges'!$A$10:$A$150, MATCH(0, IF(('Annex 2 EHV charges'!$A$10:$A$150=""),1, COUNTIF(A$4:$A8, 'Annex 2 EHV charges'!$A$10:$A$150)), 0)),"")</f>
        <v>606</v>
      </c>
      <c r="B9" s="183">
        <f>IF($A9="","",VLOOKUP($A9,'Annex 2 EHV charges'!$A:$O,2,0))</f>
        <v>606</v>
      </c>
      <c r="C9" s="184">
        <f>IF($A9="","",VLOOKUP($A9,'Annex 2 EHV charges'!$A:$O,3,0))</f>
        <v>1592001092719</v>
      </c>
      <c r="D9" s="108" t="str">
        <f>IF($A9="","",VLOOKUP($A9,'Annex 2 EHV charges'!$A:$O,7,0))</f>
        <v>EHV Site Specific (LLFC 606)</v>
      </c>
      <c r="E9" s="185">
        <f>IFERROR(IF(VLOOKUP($A9,'Annex 2 EHV charges'!$A:$O,8,FALSE)=0,"",VLOOKUP($A9,'Annex 2 EHV charges'!$A:$O,8,FALSE)),"")</f>
        <v>0.40799999999999997</v>
      </c>
      <c r="F9" s="186">
        <f>IFERROR(IF(VLOOKUP($A9,'Annex 2 EHV charges'!$A:$O,9,FALSE)=0,"",VLOOKUP($A9,'Annex 2 EHV charges'!$A:$O,9,FALSE)),"")</f>
        <v>3995.86</v>
      </c>
      <c r="G9" s="187">
        <f>IFERROR(IF(VLOOKUP($A9,'Annex 2 EHV charges'!$A:$O,10,FALSE)=0,"",VLOOKUP($A9,'Annex 2 EHV charges'!$A:$O,10,FALSE)),"")</f>
        <v>2</v>
      </c>
      <c r="H9" s="187">
        <f>IFERROR(IF(VLOOKUP($A9,'Annex 2 EHV charges'!$A:$O,11,FALSE)=0,"",VLOOKUP($A9,'Annex 2 EHV charges'!$A:$O,11,FALSE)),"")</f>
        <v>2</v>
      </c>
    </row>
    <row r="10" spans="1:8" x14ac:dyDescent="0.2">
      <c r="A10" s="182">
        <f t="array" ref="A10">IFERROR(INDEX('Annex 2 EHV charges'!$A$10:$A$150, MATCH(0, IF(('Annex 2 EHV charges'!$A$10:$A$150=""),1, COUNTIF(A$4:$A9, 'Annex 2 EHV charges'!$A$10:$A$150)), 0)),"")</f>
        <v>607</v>
      </c>
      <c r="B10" s="183">
        <f>IF($A10="","",VLOOKUP($A10,'Annex 2 EHV charges'!$A:$O,2,0))</f>
        <v>607</v>
      </c>
      <c r="C10" s="184">
        <f>IF($A10="","",VLOOKUP($A10,'Annex 2 EHV charges'!$A:$O,3,0))</f>
        <v>1592001092728</v>
      </c>
      <c r="D10" s="108" t="str">
        <f>IF($A10="","",VLOOKUP($A10,'Annex 2 EHV charges'!$A:$O,7,0))</f>
        <v>EHV Site Specific (LLFC 607)</v>
      </c>
      <c r="E10" s="185">
        <f>IFERROR(IF(VLOOKUP($A10,'Annex 2 EHV charges'!$A:$O,8,FALSE)=0,"",VLOOKUP($A10,'Annex 2 EHV charges'!$A:$O,8,FALSE)),"")</f>
        <v>1.1819999999999999</v>
      </c>
      <c r="F10" s="186">
        <f>IFERROR(IF(VLOOKUP($A10,'Annex 2 EHV charges'!$A:$O,9,FALSE)=0,"",VLOOKUP($A10,'Annex 2 EHV charges'!$A:$O,9,FALSE)),"")</f>
        <v>3995.86</v>
      </c>
      <c r="G10" s="187">
        <f>IFERROR(IF(VLOOKUP($A10,'Annex 2 EHV charges'!$A:$O,10,FALSE)=0,"",VLOOKUP($A10,'Annex 2 EHV charges'!$A:$O,10,FALSE)),"")</f>
        <v>2.91</v>
      </c>
      <c r="H10" s="187">
        <f>IFERROR(IF(VLOOKUP($A10,'Annex 2 EHV charges'!$A:$O,11,FALSE)=0,"",VLOOKUP($A10,'Annex 2 EHV charges'!$A:$O,11,FALSE)),"")</f>
        <v>2.91</v>
      </c>
    </row>
    <row r="11" spans="1:8" x14ac:dyDescent="0.2">
      <c r="A11" s="182">
        <f t="array" ref="A11">IFERROR(INDEX('Annex 2 EHV charges'!$A$10:$A$150, MATCH(0, IF(('Annex 2 EHV charges'!$A$10:$A$150=""),1, COUNTIF(A$4:$A10, 'Annex 2 EHV charges'!$A$10:$A$150)), 0)),"")</f>
        <v>608</v>
      </c>
      <c r="B11" s="183">
        <f>IF($A11="","",VLOOKUP($A11,'Annex 2 EHV charges'!$A:$O,2,0))</f>
        <v>608</v>
      </c>
      <c r="C11" s="184">
        <f>IF($A11="","",VLOOKUP($A11,'Annex 2 EHV charges'!$A:$O,3,0))</f>
        <v>1592001092737</v>
      </c>
      <c r="D11" s="108" t="str">
        <f>IF($A11="","",VLOOKUP($A11,'Annex 2 EHV charges'!$A:$O,7,0))</f>
        <v>EHV Site Specific (LLFC 608)</v>
      </c>
      <c r="E11" s="185">
        <f>IFERROR(IF(VLOOKUP($A11,'Annex 2 EHV charges'!$A:$O,8,FALSE)=0,"",VLOOKUP($A11,'Annex 2 EHV charges'!$A:$O,8,FALSE)),"")</f>
        <v>3.6999999999999998E-2</v>
      </c>
      <c r="F11" s="186">
        <f>IFERROR(IF(VLOOKUP($A11,'Annex 2 EHV charges'!$A:$O,9,FALSE)=0,"",VLOOKUP($A11,'Annex 2 EHV charges'!$A:$O,9,FALSE)),"")</f>
        <v>3995.86</v>
      </c>
      <c r="G11" s="187">
        <f>IFERROR(IF(VLOOKUP($A11,'Annex 2 EHV charges'!$A:$O,10,FALSE)=0,"",VLOOKUP($A11,'Annex 2 EHV charges'!$A:$O,10,FALSE)),"")</f>
        <v>2.7</v>
      </c>
      <c r="H11" s="187">
        <f>IFERROR(IF(VLOOKUP($A11,'Annex 2 EHV charges'!$A:$O,11,FALSE)=0,"",VLOOKUP($A11,'Annex 2 EHV charges'!$A:$O,11,FALSE)),"")</f>
        <v>2.7</v>
      </c>
    </row>
    <row r="12" spans="1:8" x14ac:dyDescent="0.2">
      <c r="A12" s="182">
        <f t="array" ref="A12">IFERROR(INDEX('Annex 2 EHV charges'!$A$10:$A$150, MATCH(0, IF(('Annex 2 EHV charges'!$A$10:$A$150=""),1, COUNTIF(A$4:$A11, 'Annex 2 EHV charges'!$A$10:$A$150)), 0)),"")</f>
        <v>609</v>
      </c>
      <c r="B12" s="183">
        <f>IF($A12="","",VLOOKUP($A12,'Annex 2 EHV charges'!$A:$O,2,0))</f>
        <v>609</v>
      </c>
      <c r="C12" s="184">
        <f>IF($A12="","",VLOOKUP($A12,'Annex 2 EHV charges'!$A:$O,3,0))</f>
        <v>1592001046085</v>
      </c>
      <c r="D12" s="108" t="str">
        <f>IF($A12="","",VLOOKUP($A12,'Annex 2 EHV charges'!$A:$O,7,0))</f>
        <v>EHV Site Specific (LLFC 609)</v>
      </c>
      <c r="E12" s="185" t="str">
        <f>IFERROR(IF(VLOOKUP($A12,'Annex 2 EHV charges'!$A:$O,8,FALSE)=0,"",VLOOKUP($A12,'Annex 2 EHV charges'!$A:$O,8,FALSE)),"")</f>
        <v/>
      </c>
      <c r="F12" s="186">
        <f>IFERROR(IF(VLOOKUP($A12,'Annex 2 EHV charges'!$A:$O,9,FALSE)=0,"",VLOOKUP($A12,'Annex 2 EHV charges'!$A:$O,9,FALSE)),"")</f>
        <v>703.73</v>
      </c>
      <c r="G12" s="187">
        <f>IFERROR(IF(VLOOKUP($A12,'Annex 2 EHV charges'!$A:$O,10,FALSE)=0,"",VLOOKUP($A12,'Annex 2 EHV charges'!$A:$O,10,FALSE)),"")</f>
        <v>3.05</v>
      </c>
      <c r="H12" s="187">
        <f>IFERROR(IF(VLOOKUP($A12,'Annex 2 EHV charges'!$A:$O,11,FALSE)=0,"",VLOOKUP($A12,'Annex 2 EHV charges'!$A:$O,11,FALSE)),"")</f>
        <v>3.05</v>
      </c>
    </row>
    <row r="13" spans="1:8" x14ac:dyDescent="0.2">
      <c r="A13" s="182">
        <f t="array" ref="A13">IFERROR(INDEX('Annex 2 EHV charges'!$A$10:$A$150, MATCH(0, IF(('Annex 2 EHV charges'!$A$10:$A$150=""),1, COUNTIF(A$4:$A12, 'Annex 2 EHV charges'!$A$10:$A$150)), 0)),"")</f>
        <v>611</v>
      </c>
      <c r="B13" s="183">
        <f>IF($A13="","",VLOOKUP($A13,'Annex 2 EHV charges'!$A:$O,2,0))</f>
        <v>611</v>
      </c>
      <c r="C13" s="184">
        <f>IF($A13="","",VLOOKUP($A13,'Annex 2 EHV charges'!$A:$O,3,0))</f>
        <v>1592001111628</v>
      </c>
      <c r="D13" s="108" t="str">
        <f>IF($A13="","",VLOOKUP($A13,'Annex 2 EHV charges'!$A:$O,7,0))</f>
        <v>EHV Site Specific (LLFC 611)</v>
      </c>
      <c r="E13" s="185" t="str">
        <f>IFERROR(IF(VLOOKUP($A13,'Annex 2 EHV charges'!$A:$O,8,FALSE)=0,"",VLOOKUP($A13,'Annex 2 EHV charges'!$A:$O,8,FALSE)),"")</f>
        <v/>
      </c>
      <c r="F13" s="186">
        <f>IFERROR(IF(VLOOKUP($A13,'Annex 2 EHV charges'!$A:$O,9,FALSE)=0,"",VLOOKUP($A13,'Annex 2 EHV charges'!$A:$O,9,FALSE)),"")</f>
        <v>3493.87</v>
      </c>
      <c r="G13" s="187">
        <f>IFERROR(IF(VLOOKUP($A13,'Annex 2 EHV charges'!$A:$O,10,FALSE)=0,"",VLOOKUP($A13,'Annex 2 EHV charges'!$A:$O,10,FALSE)),"")</f>
        <v>4.97</v>
      </c>
      <c r="H13" s="187">
        <f>IFERROR(IF(VLOOKUP($A13,'Annex 2 EHV charges'!$A:$O,11,FALSE)=0,"",VLOOKUP($A13,'Annex 2 EHV charges'!$A:$O,11,FALSE)),"")</f>
        <v>4.97</v>
      </c>
    </row>
    <row r="14" spans="1:8" x14ac:dyDescent="0.2">
      <c r="A14" s="182">
        <f t="array" ref="A14">IFERROR(INDEX('Annex 2 EHV charges'!$A$10:$A$150, MATCH(0, IF(('Annex 2 EHV charges'!$A$10:$A$150=""),1, COUNTIF(A$4:$A13, 'Annex 2 EHV charges'!$A$10:$A$150)), 0)),"")</f>
        <v>612</v>
      </c>
      <c r="B14" s="183">
        <f>IF($A14="","",VLOOKUP($A14,'Annex 2 EHV charges'!$A:$O,2,0))</f>
        <v>612</v>
      </c>
      <c r="C14" s="184">
        <f>IF($A14="","",VLOOKUP($A14,'Annex 2 EHV charges'!$A:$O,3,0))</f>
        <v>1592001073112</v>
      </c>
      <c r="D14" s="108" t="str">
        <f>IF($A14="","",VLOOKUP($A14,'Annex 2 EHV charges'!$A:$O,7,0))</f>
        <v>EHV Site Specific (LLFC 612 &amp; 704)</v>
      </c>
      <c r="E14" s="185">
        <f>IFERROR(IF(VLOOKUP($A14,'Annex 2 EHV charges'!$A:$O,8,FALSE)=0,"",VLOOKUP($A14,'Annex 2 EHV charges'!$A:$O,8,FALSE)),"")</f>
        <v>0.44800000000000001</v>
      </c>
      <c r="F14" s="186">
        <f>IFERROR(IF(VLOOKUP($A14,'Annex 2 EHV charges'!$A:$O,9,FALSE)=0,"",VLOOKUP($A14,'Annex 2 EHV charges'!$A:$O,9,FALSE)),"")</f>
        <v>184.47</v>
      </c>
      <c r="G14" s="187">
        <f>IFERROR(IF(VLOOKUP($A14,'Annex 2 EHV charges'!$A:$O,10,FALSE)=0,"",VLOOKUP($A14,'Annex 2 EHV charges'!$A:$O,10,FALSE)),"")</f>
        <v>1.18</v>
      </c>
      <c r="H14" s="187">
        <f>IFERROR(IF(VLOOKUP($A14,'Annex 2 EHV charges'!$A:$O,11,FALSE)=0,"",VLOOKUP($A14,'Annex 2 EHV charges'!$A:$O,11,FALSE)),"")</f>
        <v>1.18</v>
      </c>
    </row>
    <row r="15" spans="1:8" x14ac:dyDescent="0.2">
      <c r="A15" s="182">
        <f t="array" ref="A15">IFERROR(INDEX('Annex 2 EHV charges'!$A$10:$A$150, MATCH(0, IF(('Annex 2 EHV charges'!$A$10:$A$150=""),1, COUNTIF(A$4:$A14, 'Annex 2 EHV charges'!$A$10:$A$150)), 0)),"")</f>
        <v>613</v>
      </c>
      <c r="B15" s="183">
        <f>IF($A15="","",VLOOKUP($A15,'Annex 2 EHV charges'!$A:$O,2,0))</f>
        <v>613</v>
      </c>
      <c r="C15" s="184" t="str">
        <f>IF($A15="","",VLOOKUP($A15,'Annex 2 EHV charges'!$A:$O,3,0))</f>
        <v>TBC</v>
      </c>
      <c r="D15" s="108" t="str">
        <f>IF($A15="","",VLOOKUP($A15,'Annex 2 EHV charges'!$A:$O,7,0))</f>
        <v>EHV Site Specific (LLFC 613)</v>
      </c>
      <c r="E15" s="185">
        <f>IFERROR(IF(VLOOKUP($A15,'Annex 2 EHV charges'!$A:$O,8,FALSE)=0,"",VLOOKUP($A15,'Annex 2 EHV charges'!$A:$O,8,FALSE)),"")</f>
        <v>0.98199999999999998</v>
      </c>
      <c r="F15" s="186">
        <f>IFERROR(IF(VLOOKUP($A15,'Annex 2 EHV charges'!$A:$O,9,FALSE)=0,"",VLOOKUP($A15,'Annex 2 EHV charges'!$A:$O,9,FALSE)),"")</f>
        <v>65.849999999999994</v>
      </c>
      <c r="G15" s="187">
        <f>IFERROR(IF(VLOOKUP($A15,'Annex 2 EHV charges'!$A:$O,10,FALSE)=0,"",VLOOKUP($A15,'Annex 2 EHV charges'!$A:$O,10,FALSE)),"")</f>
        <v>1.1599999999999999</v>
      </c>
      <c r="H15" s="187">
        <f>IFERROR(IF(VLOOKUP($A15,'Annex 2 EHV charges'!$A:$O,11,FALSE)=0,"",VLOOKUP($A15,'Annex 2 EHV charges'!$A:$O,11,FALSE)),"")</f>
        <v>1.1599999999999999</v>
      </c>
    </row>
    <row r="16" spans="1:8" x14ac:dyDescent="0.2">
      <c r="A16" s="182">
        <f t="array" ref="A16">IFERROR(INDEX('Annex 2 EHV charges'!$A$10:$A$150, MATCH(0, IF(('Annex 2 EHV charges'!$A$10:$A$150=""),1, COUNTIF(A$4:$A15, 'Annex 2 EHV charges'!$A$10:$A$150)), 0)),"")</f>
        <v>614</v>
      </c>
      <c r="B16" s="183">
        <f>IF($A16="","",VLOOKUP($A16,'Annex 2 EHV charges'!$A:$O,2,0))</f>
        <v>614</v>
      </c>
      <c r="C16" s="184">
        <f>IF($A16="","",VLOOKUP($A16,'Annex 2 EHV charges'!$A:$O,3,0))</f>
        <v>1592001055257</v>
      </c>
      <c r="D16" s="108" t="str">
        <f>IF($A16="","",VLOOKUP($A16,'Annex 2 EHV charges'!$A:$O,7,0))</f>
        <v>EHV Site Specific (LLFC 614 &amp; 709)</v>
      </c>
      <c r="E16" s="185" t="str">
        <f>IFERROR(IF(VLOOKUP($A16,'Annex 2 EHV charges'!$A:$O,8,FALSE)=0,"",VLOOKUP($A16,'Annex 2 EHV charges'!$A:$O,8,FALSE)),"")</f>
        <v/>
      </c>
      <c r="F16" s="186">
        <f>IFERROR(IF(VLOOKUP($A16,'Annex 2 EHV charges'!$A:$O,9,FALSE)=0,"",VLOOKUP($A16,'Annex 2 EHV charges'!$A:$O,9,FALSE)),"")</f>
        <v>6364.26</v>
      </c>
      <c r="G16" s="187">
        <f>IFERROR(IF(VLOOKUP($A16,'Annex 2 EHV charges'!$A:$O,10,FALSE)=0,"",VLOOKUP($A16,'Annex 2 EHV charges'!$A:$O,10,FALSE)),"")</f>
        <v>0.53</v>
      </c>
      <c r="H16" s="187">
        <f>IFERROR(IF(VLOOKUP($A16,'Annex 2 EHV charges'!$A:$O,11,FALSE)=0,"",VLOOKUP($A16,'Annex 2 EHV charges'!$A:$O,11,FALSE)),"")</f>
        <v>0.53</v>
      </c>
    </row>
    <row r="17" spans="1:8" ht="25.5" x14ac:dyDescent="0.2">
      <c r="A17" s="182" t="str">
        <f t="array" ref="A17">IFERROR(INDEX('Annex 2 EHV charges'!$A$10:$A$150, MATCH(0, IF(('Annex 2 EHV charges'!$A$10:$A$150=""),1, COUNTIF(A$4:$A16, 'Annex 2 EHV charges'!$A$10:$A$150)), 0)),"")</f>
        <v>615 &amp; 616</v>
      </c>
      <c r="B17" s="183" t="str">
        <f>IF($A17="","",VLOOKUP($A17,'Annex 2 EHV charges'!$A:$O,2,0))</f>
        <v>615 &amp; 616</v>
      </c>
      <c r="C17" s="184" t="str">
        <f>IF($A17="","",VLOOKUP($A17,'Annex 2 EHV charges'!$A:$O,3,0))</f>
        <v>1592001055239
1592001055248</v>
      </c>
      <c r="D17" s="108" t="str">
        <f>IF($A17="","",VLOOKUP($A17,'Annex 2 EHV charges'!$A:$O,7,0))</f>
        <v>EHV Site Specific (LLFC 615 &amp; 616)</v>
      </c>
      <c r="E17" s="185">
        <f>IFERROR(IF(VLOOKUP($A17,'Annex 2 EHV charges'!$A:$O,8,FALSE)=0,"",VLOOKUP($A17,'Annex 2 EHV charges'!$A:$O,8,FALSE)),"")</f>
        <v>0.309</v>
      </c>
      <c r="F17" s="186">
        <f>IFERROR(IF(VLOOKUP($A17,'Annex 2 EHV charges'!$A:$O,9,FALSE)=0,"",VLOOKUP($A17,'Annex 2 EHV charges'!$A:$O,9,FALSE)),"")</f>
        <v>3313.77</v>
      </c>
      <c r="G17" s="187">
        <f>IFERROR(IF(VLOOKUP($A17,'Annex 2 EHV charges'!$A:$O,10,FALSE)=0,"",VLOOKUP($A17,'Annex 2 EHV charges'!$A:$O,10,FALSE)),"")</f>
        <v>2.63</v>
      </c>
      <c r="H17" s="187">
        <f>IFERROR(IF(VLOOKUP($A17,'Annex 2 EHV charges'!$A:$O,11,FALSE)=0,"",VLOOKUP($A17,'Annex 2 EHV charges'!$A:$O,11,FALSE)),"")</f>
        <v>2.63</v>
      </c>
    </row>
    <row r="18" spans="1:8" x14ac:dyDescent="0.2">
      <c r="A18" s="182">
        <f t="array" ref="A18">IFERROR(INDEX('Annex 2 EHV charges'!$A$10:$A$150, MATCH(0, IF(('Annex 2 EHV charges'!$A$10:$A$150=""),1, COUNTIF(A$4:$A17, 'Annex 2 EHV charges'!$A$10:$A$150)), 0)),"")</f>
        <v>617</v>
      </c>
      <c r="B18" s="183">
        <f>IF($A18="","",VLOOKUP($A18,'Annex 2 EHV charges'!$A:$O,2,0))</f>
        <v>617</v>
      </c>
      <c r="C18" s="184">
        <f>IF($A18="","",VLOOKUP($A18,'Annex 2 EHV charges'!$A:$O,3,0))</f>
        <v>1592001110572</v>
      </c>
      <c r="D18" s="108" t="str">
        <f>IF($A18="","",VLOOKUP($A18,'Annex 2 EHV charges'!$A:$O,7,0))</f>
        <v>EHV Site Specific (LLFC 617)</v>
      </c>
      <c r="E18" s="185" t="str">
        <f>IFERROR(IF(VLOOKUP($A18,'Annex 2 EHV charges'!$A:$O,8,FALSE)=0,"",VLOOKUP($A18,'Annex 2 EHV charges'!$A:$O,8,FALSE)),"")</f>
        <v/>
      </c>
      <c r="F18" s="186">
        <f>IFERROR(IF(VLOOKUP($A18,'Annex 2 EHV charges'!$A:$O,9,FALSE)=0,"",VLOOKUP($A18,'Annex 2 EHV charges'!$A:$O,9,FALSE)),"")</f>
        <v>9368.64</v>
      </c>
      <c r="G18" s="187">
        <f>IFERROR(IF(VLOOKUP($A18,'Annex 2 EHV charges'!$A:$O,10,FALSE)=0,"",VLOOKUP($A18,'Annex 2 EHV charges'!$A:$O,10,FALSE)),"")</f>
        <v>1.8</v>
      </c>
      <c r="H18" s="187">
        <f>IFERROR(IF(VLOOKUP($A18,'Annex 2 EHV charges'!$A:$O,11,FALSE)=0,"",VLOOKUP($A18,'Annex 2 EHV charges'!$A:$O,11,FALSE)),"")</f>
        <v>1.8</v>
      </c>
    </row>
    <row r="19" spans="1:8" x14ac:dyDescent="0.2">
      <c r="A19" s="182">
        <f t="array" ref="A19">IFERROR(INDEX('Annex 2 EHV charges'!$A$10:$A$150, MATCH(0, IF(('Annex 2 EHV charges'!$A$10:$A$150=""),1, COUNTIF(A$4:$A18, 'Annex 2 EHV charges'!$A$10:$A$150)), 0)),"")</f>
        <v>618</v>
      </c>
      <c r="B19" s="183">
        <f>IF($A19="","",VLOOKUP($A19,'Annex 2 EHV charges'!$A:$O,2,0))</f>
        <v>618</v>
      </c>
      <c r="C19" s="184">
        <f>IF($A19="","",VLOOKUP($A19,'Annex 2 EHV charges'!$A:$O,3,0))</f>
        <v>1592001094308</v>
      </c>
      <c r="D19" s="108" t="str">
        <f>IF($A19="","",VLOOKUP($A19,'Annex 2 EHV charges'!$A:$O,7,0))</f>
        <v>EHV Site Specific (LLFC 618)</v>
      </c>
      <c r="E19" s="185">
        <f>IFERROR(IF(VLOOKUP($A19,'Annex 2 EHV charges'!$A:$O,8,FALSE)=0,"",VLOOKUP($A19,'Annex 2 EHV charges'!$A:$O,8,FALSE)),"")</f>
        <v>0.23899999999999999</v>
      </c>
      <c r="F19" s="186">
        <f>IFERROR(IF(VLOOKUP($A19,'Annex 2 EHV charges'!$A:$O,9,FALSE)=0,"",VLOOKUP($A19,'Annex 2 EHV charges'!$A:$O,9,FALSE)),"")</f>
        <v>3342.48</v>
      </c>
      <c r="G19" s="187">
        <f>IFERROR(IF(VLOOKUP($A19,'Annex 2 EHV charges'!$A:$O,10,FALSE)=0,"",VLOOKUP($A19,'Annex 2 EHV charges'!$A:$O,10,FALSE)),"")</f>
        <v>5.17</v>
      </c>
      <c r="H19" s="187">
        <f>IFERROR(IF(VLOOKUP($A19,'Annex 2 EHV charges'!$A:$O,11,FALSE)=0,"",VLOOKUP($A19,'Annex 2 EHV charges'!$A:$O,11,FALSE)),"")</f>
        <v>5.17</v>
      </c>
    </row>
    <row r="20" spans="1:8" x14ac:dyDescent="0.2">
      <c r="A20" s="182">
        <f t="array" ref="A20">IFERROR(INDEX('Annex 2 EHV charges'!$A$10:$A$150, MATCH(0, IF(('Annex 2 EHV charges'!$A$10:$A$150=""),1, COUNTIF(A$4:$A19, 'Annex 2 EHV charges'!$A$10:$A$150)), 0)),"")</f>
        <v>619</v>
      </c>
      <c r="B20" s="183">
        <f>IF($A20="","",VLOOKUP($A20,'Annex 2 EHV charges'!$A:$O,2,0))</f>
        <v>619</v>
      </c>
      <c r="C20" s="184">
        <f>IF($A20="","",VLOOKUP($A20,'Annex 2 EHV charges'!$A:$O,3,0))</f>
        <v>1570000150382</v>
      </c>
      <c r="D20" s="108" t="str">
        <f>IF($A20="","",VLOOKUP($A20,'Annex 2 EHV charges'!$A:$O,7,0))</f>
        <v>EHV Site Specific - Generation Exempt (LLFC 619 &amp; 710)</v>
      </c>
      <c r="E20" s="185">
        <f>IFERROR(IF(VLOOKUP($A20,'Annex 2 EHV charges'!$A:$O,8,FALSE)=0,"",VLOOKUP($A20,'Annex 2 EHV charges'!$A:$O,8,FALSE)),"")</f>
        <v>2.7E-2</v>
      </c>
      <c r="F20" s="186">
        <f>IFERROR(IF(VLOOKUP($A20,'Annex 2 EHV charges'!$A:$O,9,FALSE)=0,"",VLOOKUP($A20,'Annex 2 EHV charges'!$A:$O,9,FALSE)),"")</f>
        <v>24</v>
      </c>
      <c r="G20" s="187">
        <f>IFERROR(IF(VLOOKUP($A20,'Annex 2 EHV charges'!$A:$O,10,FALSE)=0,"",VLOOKUP($A20,'Annex 2 EHV charges'!$A:$O,10,FALSE)),"")</f>
        <v>1.33</v>
      </c>
      <c r="H20" s="187">
        <f>IFERROR(IF(VLOOKUP($A20,'Annex 2 EHV charges'!$A:$O,11,FALSE)=0,"",VLOOKUP($A20,'Annex 2 EHV charges'!$A:$O,11,FALSE)),"")</f>
        <v>1.33</v>
      </c>
    </row>
    <row r="21" spans="1:8" x14ac:dyDescent="0.2">
      <c r="A21" s="182">
        <f t="array" ref="A21">IFERROR(INDEX('Annex 2 EHV charges'!$A$10:$A$150, MATCH(0, IF(('Annex 2 EHV charges'!$A$10:$A$150=""),1, COUNTIF(A$4:$A20, 'Annex 2 EHV charges'!$A$10:$A$150)), 0)),"")</f>
        <v>620</v>
      </c>
      <c r="B21" s="183">
        <f>IF($A21="","",VLOOKUP($A21,'Annex 2 EHV charges'!$A:$O,2,0))</f>
        <v>620</v>
      </c>
      <c r="C21" s="184">
        <f>IF($A21="","",VLOOKUP($A21,'Annex 2 EHV charges'!$A:$O,3,0))</f>
        <v>1592001007476</v>
      </c>
      <c r="D21" s="108" t="str">
        <f>IF($A21="","",VLOOKUP($A21,'Annex 2 EHV charges'!$A:$O,7,0))</f>
        <v>EHV Site Specific (LLFC 620)</v>
      </c>
      <c r="E21" s="185" t="str">
        <f>IFERROR(IF(VLOOKUP($A21,'Annex 2 EHV charges'!$A:$O,8,FALSE)=0,"",VLOOKUP($A21,'Annex 2 EHV charges'!$A:$O,8,FALSE)),"")</f>
        <v/>
      </c>
      <c r="F21" s="186">
        <f>IFERROR(IF(VLOOKUP($A21,'Annex 2 EHV charges'!$A:$O,9,FALSE)=0,"",VLOOKUP($A21,'Annex 2 EHV charges'!$A:$O,9,FALSE)),"")</f>
        <v>1407.46</v>
      </c>
      <c r="G21" s="187">
        <f>IFERROR(IF(VLOOKUP($A21,'Annex 2 EHV charges'!$A:$O,10,FALSE)=0,"",VLOOKUP($A21,'Annex 2 EHV charges'!$A:$O,10,FALSE)),"")</f>
        <v>5.0199999999999996</v>
      </c>
      <c r="H21" s="187">
        <f>IFERROR(IF(VLOOKUP($A21,'Annex 2 EHV charges'!$A:$O,11,FALSE)=0,"",VLOOKUP($A21,'Annex 2 EHV charges'!$A:$O,11,FALSE)),"")</f>
        <v>5.0199999999999996</v>
      </c>
    </row>
    <row r="22" spans="1:8" x14ac:dyDescent="0.2">
      <c r="A22" s="182">
        <f t="array" ref="A22">IFERROR(INDEX('Annex 2 EHV charges'!$A$10:$A$150, MATCH(0, IF(('Annex 2 EHV charges'!$A$10:$A$150=""),1, COUNTIF(A$4:$A21, 'Annex 2 EHV charges'!$A$10:$A$150)), 0)),"")</f>
        <v>621</v>
      </c>
      <c r="B22" s="183">
        <f>IF($A22="","",VLOOKUP($A22,'Annex 2 EHV charges'!$A:$O,2,0))</f>
        <v>621</v>
      </c>
      <c r="C22" s="184">
        <f>IF($A22="","",VLOOKUP($A22,'Annex 2 EHV charges'!$A:$O,3,0))</f>
        <v>1592001007494</v>
      </c>
      <c r="D22" s="108" t="str">
        <f>IF($A22="","",VLOOKUP($A22,'Annex 2 EHV charges'!$A:$O,7,0))</f>
        <v>EHV Site Specific (LLFC 621)</v>
      </c>
      <c r="E22" s="185">
        <f>IFERROR(IF(VLOOKUP($A22,'Annex 2 EHV charges'!$A:$O,8,FALSE)=0,"",VLOOKUP($A22,'Annex 2 EHV charges'!$A:$O,8,FALSE)),"")</f>
        <v>9.0999999999999998E-2</v>
      </c>
      <c r="F22" s="186">
        <f>IFERROR(IF(VLOOKUP($A22,'Annex 2 EHV charges'!$A:$O,9,FALSE)=0,"",VLOOKUP($A22,'Annex 2 EHV charges'!$A:$O,9,FALSE)),"")</f>
        <v>65.849999999999994</v>
      </c>
      <c r="G22" s="187">
        <f>IFERROR(IF(VLOOKUP($A22,'Annex 2 EHV charges'!$A:$O,10,FALSE)=0,"",VLOOKUP($A22,'Annex 2 EHV charges'!$A:$O,10,FALSE)),"")</f>
        <v>2.21</v>
      </c>
      <c r="H22" s="187">
        <f>IFERROR(IF(VLOOKUP($A22,'Annex 2 EHV charges'!$A:$O,11,FALSE)=0,"",VLOOKUP($A22,'Annex 2 EHV charges'!$A:$O,11,FALSE)),"")</f>
        <v>2.21</v>
      </c>
    </row>
    <row r="23" spans="1:8" x14ac:dyDescent="0.2">
      <c r="A23" s="182">
        <f t="array" ref="A23">IFERROR(INDEX('Annex 2 EHV charges'!$A$10:$A$150, MATCH(0, IF(('Annex 2 EHV charges'!$A$10:$A$150=""),1, COUNTIF(A$4:$A22, 'Annex 2 EHV charges'!$A$10:$A$150)), 0)),"")</f>
        <v>622</v>
      </c>
      <c r="B23" s="183">
        <f>IF($A23="","",VLOOKUP($A23,'Annex 2 EHV charges'!$A:$O,2,0))</f>
        <v>622</v>
      </c>
      <c r="C23" s="184">
        <f>IF($A23="","",VLOOKUP($A23,'Annex 2 EHV charges'!$A:$O,3,0))</f>
        <v>1592001036574</v>
      </c>
      <c r="D23" s="108" t="str">
        <f>IF($A23="","",VLOOKUP($A23,'Annex 2 EHV charges'!$A:$O,7,0))</f>
        <v>EHV Site Specific - Generation Exempt (LLFC 622 &amp; 711)</v>
      </c>
      <c r="E23" s="185">
        <f>IFERROR(IF(VLOOKUP($A23,'Annex 2 EHV charges'!$A:$O,8,FALSE)=0,"",VLOOKUP($A23,'Annex 2 EHV charges'!$A:$O,8,FALSE)),"")</f>
        <v>0.16300000000000001</v>
      </c>
      <c r="F23" s="186">
        <f>IFERROR(IF(VLOOKUP($A23,'Annex 2 EHV charges'!$A:$O,9,FALSE)=0,"",VLOOKUP($A23,'Annex 2 EHV charges'!$A:$O,9,FALSE)),"")</f>
        <v>465.53</v>
      </c>
      <c r="G23" s="187">
        <f>IFERROR(IF(VLOOKUP($A23,'Annex 2 EHV charges'!$A:$O,10,FALSE)=0,"",VLOOKUP($A23,'Annex 2 EHV charges'!$A:$O,10,FALSE)),"")</f>
        <v>1.5</v>
      </c>
      <c r="H23" s="187">
        <f>IFERROR(IF(VLOOKUP($A23,'Annex 2 EHV charges'!$A:$O,11,FALSE)=0,"",VLOOKUP($A23,'Annex 2 EHV charges'!$A:$O,11,FALSE)),"")</f>
        <v>1.5</v>
      </c>
    </row>
    <row r="24" spans="1:8" x14ac:dyDescent="0.2">
      <c r="A24" s="182">
        <f t="array" ref="A24">IFERROR(INDEX('Annex 2 EHV charges'!$A$10:$A$150, MATCH(0, IF(('Annex 2 EHV charges'!$A$10:$A$150=""),1, COUNTIF(A$4:$A23, 'Annex 2 EHV charges'!$A$10:$A$150)), 0)),"")</f>
        <v>624</v>
      </c>
      <c r="B24" s="183">
        <f>IF($A24="","",VLOOKUP($A24,'Annex 2 EHV charges'!$A:$O,2,0))</f>
        <v>624</v>
      </c>
      <c r="C24" s="184">
        <f>IF($A24="","",VLOOKUP($A24,'Annex 2 EHV charges'!$A:$O,3,0))</f>
        <v>1592001063540</v>
      </c>
      <c r="D24" s="108" t="str">
        <f>IF($A24="","",VLOOKUP($A24,'Annex 2 EHV charges'!$A:$O,7,0))</f>
        <v>EHV Site Specific (LLFC 624 &amp; 804)</v>
      </c>
      <c r="E24" s="185">
        <f>IFERROR(IF(VLOOKUP($A24,'Annex 2 EHV charges'!$A:$O,8,FALSE)=0,"",VLOOKUP($A24,'Annex 2 EHV charges'!$A:$O,8,FALSE)),"")</f>
        <v>8.9999999999999993E-3</v>
      </c>
      <c r="F24" s="186">
        <f>IFERROR(IF(VLOOKUP($A24,'Annex 2 EHV charges'!$A:$O,9,FALSE)=0,"",VLOOKUP($A24,'Annex 2 EHV charges'!$A:$O,9,FALSE)),"")</f>
        <v>3063.56</v>
      </c>
      <c r="G24" s="187">
        <f>IFERROR(IF(VLOOKUP($A24,'Annex 2 EHV charges'!$A:$O,10,FALSE)=0,"",VLOOKUP($A24,'Annex 2 EHV charges'!$A:$O,10,FALSE)),"")</f>
        <v>2.46</v>
      </c>
      <c r="H24" s="187">
        <f>IFERROR(IF(VLOOKUP($A24,'Annex 2 EHV charges'!$A:$O,11,FALSE)=0,"",VLOOKUP($A24,'Annex 2 EHV charges'!$A:$O,11,FALSE)),"")</f>
        <v>2.46</v>
      </c>
    </row>
    <row r="25" spans="1:8" x14ac:dyDescent="0.2">
      <c r="A25" s="182">
        <f t="array" ref="A25">IFERROR(INDEX('Annex 2 EHV charges'!$A$10:$A$150, MATCH(0, IF(('Annex 2 EHV charges'!$A$10:$A$150=""),1, COUNTIF(A$4:$A24, 'Annex 2 EHV charges'!$A$10:$A$150)), 0)),"")</f>
        <v>625</v>
      </c>
      <c r="B25" s="183">
        <f>IF($A25="","",VLOOKUP($A25,'Annex 2 EHV charges'!$A:$O,2,0))</f>
        <v>625</v>
      </c>
      <c r="C25" s="184">
        <f>IF($A25="","",VLOOKUP($A25,'Annex 2 EHV charges'!$A:$O,3,0))</f>
        <v>1592001006890</v>
      </c>
      <c r="D25" s="108" t="str">
        <f>IF($A25="","",VLOOKUP($A25,'Annex 2 EHV charges'!$A:$O,7,0))</f>
        <v>EHV Site Specific - Generation Exempt (LLFC 625 &amp; 748)</v>
      </c>
      <c r="E25" s="185">
        <f>IFERROR(IF(VLOOKUP($A25,'Annex 2 EHV charges'!$A:$O,8,FALSE)=0,"",VLOOKUP($A25,'Annex 2 EHV charges'!$A:$O,8,FALSE)),"")</f>
        <v>1.1579999999999999</v>
      </c>
      <c r="F25" s="186">
        <f>IFERROR(IF(VLOOKUP($A25,'Annex 2 EHV charges'!$A:$O,9,FALSE)=0,"",VLOOKUP($A25,'Annex 2 EHV charges'!$A:$O,9,FALSE)),"")</f>
        <v>25.46</v>
      </c>
      <c r="G25" s="187">
        <f>IFERROR(IF(VLOOKUP($A25,'Annex 2 EHV charges'!$A:$O,10,FALSE)=0,"",VLOOKUP($A25,'Annex 2 EHV charges'!$A:$O,10,FALSE)),"")</f>
        <v>2.3199999999999998</v>
      </c>
      <c r="H25" s="187">
        <f>IFERROR(IF(VLOOKUP($A25,'Annex 2 EHV charges'!$A:$O,11,FALSE)=0,"",VLOOKUP($A25,'Annex 2 EHV charges'!$A:$O,11,FALSE)),"")</f>
        <v>2.3199999999999998</v>
      </c>
    </row>
    <row r="26" spans="1:8" x14ac:dyDescent="0.2">
      <c r="A26" s="182">
        <f t="array" ref="A26">IFERROR(INDEX('Annex 2 EHV charges'!$A$10:$A$150, MATCH(0, IF(('Annex 2 EHV charges'!$A$10:$A$150=""),1, COUNTIF(A$4:$A25, 'Annex 2 EHV charges'!$A$10:$A$150)), 0)),"")</f>
        <v>627</v>
      </c>
      <c r="B26" s="183">
        <f>IF($A26="","",VLOOKUP($A26,'Annex 2 EHV charges'!$A:$O,2,0))</f>
        <v>627</v>
      </c>
      <c r="C26" s="184">
        <f>IF($A26="","",VLOOKUP($A26,'Annex 2 EHV charges'!$A:$O,3,0))</f>
        <v>1570000199077</v>
      </c>
      <c r="D26" s="108" t="str">
        <f>IF($A26="","",VLOOKUP($A26,'Annex 2 EHV charges'!$A:$O,7,0))</f>
        <v>EHV Site Specific - Generation Exempt (LLFC 627 &amp; 729)</v>
      </c>
      <c r="E26" s="185" t="str">
        <f>IFERROR(IF(VLOOKUP($A26,'Annex 2 EHV charges'!$A:$O,8,FALSE)=0,"",VLOOKUP($A26,'Annex 2 EHV charges'!$A:$O,8,FALSE)),"")</f>
        <v/>
      </c>
      <c r="F26" s="186">
        <f>IFERROR(IF(VLOOKUP($A26,'Annex 2 EHV charges'!$A:$O,9,FALSE)=0,"",VLOOKUP($A26,'Annex 2 EHV charges'!$A:$O,9,FALSE)),"")</f>
        <v>1104.1600000000001</v>
      </c>
      <c r="G26" s="187">
        <f>IFERROR(IF(VLOOKUP($A26,'Annex 2 EHV charges'!$A:$O,10,FALSE)=0,"",VLOOKUP($A26,'Annex 2 EHV charges'!$A:$O,10,FALSE)),"")</f>
        <v>1.49</v>
      </c>
      <c r="H26" s="187">
        <f>IFERROR(IF(VLOOKUP($A26,'Annex 2 EHV charges'!$A:$O,11,FALSE)=0,"",VLOOKUP($A26,'Annex 2 EHV charges'!$A:$O,11,FALSE)),"")</f>
        <v>1.49</v>
      </c>
    </row>
    <row r="27" spans="1:8" x14ac:dyDescent="0.2">
      <c r="A27" s="182">
        <f t="array" ref="A27">IFERROR(INDEX('Annex 2 EHV charges'!$A$10:$A$150, MATCH(0, IF(('Annex 2 EHV charges'!$A$10:$A$150=""),1, COUNTIF(A$4:$A26, 'Annex 2 EHV charges'!$A$10:$A$150)), 0)),"")</f>
        <v>626</v>
      </c>
      <c r="B27" s="183">
        <f>IF($A27="","",VLOOKUP($A27,'Annex 2 EHV charges'!$A:$O,2,0))</f>
        <v>626</v>
      </c>
      <c r="C27" s="184">
        <f>IF($A27="","",VLOOKUP($A27,'Annex 2 EHV charges'!$A:$O,3,0))</f>
        <v>1592001005637</v>
      </c>
      <c r="D27" s="108" t="str">
        <f>IF($A27="","",VLOOKUP($A27,'Annex 2 EHV charges'!$A:$O,7,0))</f>
        <v>EHV Site Specific (LLFC 626)</v>
      </c>
      <c r="E27" s="185">
        <f>IFERROR(IF(VLOOKUP($A27,'Annex 2 EHV charges'!$A:$O,8,FALSE)=0,"",VLOOKUP($A27,'Annex 2 EHV charges'!$A:$O,8,FALSE)),"")</f>
        <v>0.23699999999999999</v>
      </c>
      <c r="F27" s="186">
        <f>IFERROR(IF(VLOOKUP($A27,'Annex 2 EHV charges'!$A:$O,9,FALSE)=0,"",VLOOKUP($A27,'Annex 2 EHV charges'!$A:$O,9,FALSE)),"")</f>
        <v>3132.37</v>
      </c>
      <c r="G27" s="187">
        <f>IFERROR(IF(VLOOKUP($A27,'Annex 2 EHV charges'!$A:$O,10,FALSE)=0,"",VLOOKUP($A27,'Annex 2 EHV charges'!$A:$O,10,FALSE)),"")</f>
        <v>3.99</v>
      </c>
      <c r="H27" s="187">
        <f>IFERROR(IF(VLOOKUP($A27,'Annex 2 EHV charges'!$A:$O,11,FALSE)=0,"",VLOOKUP($A27,'Annex 2 EHV charges'!$A:$O,11,FALSE)),"")</f>
        <v>3.99</v>
      </c>
    </row>
    <row r="28" spans="1:8" x14ac:dyDescent="0.2">
      <c r="A28" s="182">
        <f t="array" ref="A28">IFERROR(INDEX('Annex 2 EHV charges'!$A$10:$A$150, MATCH(0, IF(('Annex 2 EHV charges'!$A$10:$A$150=""),1, COUNTIF(A$4:$A27, 'Annex 2 EHV charges'!$A$10:$A$150)), 0)),"")</f>
        <v>628</v>
      </c>
      <c r="B28" s="183">
        <f>IF($A28="","",VLOOKUP($A28,'Annex 2 EHV charges'!$A:$O,2,0))</f>
        <v>628</v>
      </c>
      <c r="C28" s="184">
        <f>IF($A28="","",VLOOKUP($A28,'Annex 2 EHV charges'!$A:$O,3,0))</f>
        <v>1592001111405</v>
      </c>
      <c r="D28" s="108" t="str">
        <f>IF($A28="","",VLOOKUP($A28,'Annex 2 EHV charges'!$A:$O,7,0))</f>
        <v>EHV Site Specific (LLFC 628)</v>
      </c>
      <c r="E28" s="185">
        <f>IFERROR(IF(VLOOKUP($A28,'Annex 2 EHV charges'!$A:$O,8,FALSE)=0,"",VLOOKUP($A28,'Annex 2 EHV charges'!$A:$O,8,FALSE)),"")</f>
        <v>1.081</v>
      </c>
      <c r="F28" s="186">
        <f>IFERROR(IF(VLOOKUP($A28,'Annex 2 EHV charges'!$A:$O,9,FALSE)=0,"",VLOOKUP($A28,'Annex 2 EHV charges'!$A:$O,9,FALSE)),"")</f>
        <v>601.63</v>
      </c>
      <c r="G28" s="187">
        <f>IFERROR(IF(VLOOKUP($A28,'Annex 2 EHV charges'!$A:$O,10,FALSE)=0,"",VLOOKUP($A28,'Annex 2 EHV charges'!$A:$O,10,FALSE)),"")</f>
        <v>4.0599999999999996</v>
      </c>
      <c r="H28" s="187">
        <f>IFERROR(IF(VLOOKUP($A28,'Annex 2 EHV charges'!$A:$O,11,FALSE)=0,"",VLOOKUP($A28,'Annex 2 EHV charges'!$A:$O,11,FALSE)),"")</f>
        <v>4.0599999999999996</v>
      </c>
    </row>
    <row r="29" spans="1:8" x14ac:dyDescent="0.2">
      <c r="A29" s="182">
        <f t="array" ref="A29">IFERROR(INDEX('Annex 2 EHV charges'!$A$10:$A$150, MATCH(0, IF(('Annex 2 EHV charges'!$A$10:$A$150=""),1, COUNTIF(A$4:$A28, 'Annex 2 EHV charges'!$A$10:$A$150)), 0)),"")</f>
        <v>631</v>
      </c>
      <c r="B29" s="183">
        <f>IF($A29="","",VLOOKUP($A29,'Annex 2 EHV charges'!$A:$O,2,0))</f>
        <v>631</v>
      </c>
      <c r="C29" s="184">
        <f>IF($A29="","",VLOOKUP($A29,'Annex 2 EHV charges'!$A:$O,3,0))</f>
        <v>1592001110216</v>
      </c>
      <c r="D29" s="108" t="str">
        <f>IF($A29="","",VLOOKUP($A29,'Annex 2 EHV charges'!$A:$O,7,0))</f>
        <v>EHV Site Specific (LLFC 631)</v>
      </c>
      <c r="E29" s="185" t="str">
        <f>IFERROR(IF(VLOOKUP($A29,'Annex 2 EHV charges'!$A:$O,8,FALSE)=0,"",VLOOKUP($A29,'Annex 2 EHV charges'!$A:$O,8,FALSE)),"")</f>
        <v/>
      </c>
      <c r="F29" s="186">
        <f>IFERROR(IF(VLOOKUP($A29,'Annex 2 EHV charges'!$A:$O,9,FALSE)=0,"",VLOOKUP($A29,'Annex 2 EHV charges'!$A:$O,9,FALSE)),"")</f>
        <v>65.849999999999994</v>
      </c>
      <c r="G29" s="187">
        <f>IFERROR(IF(VLOOKUP($A29,'Annex 2 EHV charges'!$A:$O,10,FALSE)=0,"",VLOOKUP($A29,'Annex 2 EHV charges'!$A:$O,10,FALSE)),"")</f>
        <v>3.38</v>
      </c>
      <c r="H29" s="187">
        <f>IFERROR(IF(VLOOKUP($A29,'Annex 2 EHV charges'!$A:$O,11,FALSE)=0,"",VLOOKUP($A29,'Annex 2 EHV charges'!$A:$O,11,FALSE)),"")</f>
        <v>3.38</v>
      </c>
    </row>
    <row r="30" spans="1:8" x14ac:dyDescent="0.2">
      <c r="A30" s="182">
        <f t="array" ref="A30">IFERROR(INDEX('Annex 2 EHV charges'!$A$10:$A$150, MATCH(0, IF(('Annex 2 EHV charges'!$A$10:$A$150=""),1, COUNTIF(A$4:$A29, 'Annex 2 EHV charges'!$A$10:$A$150)), 0)),"")</f>
        <v>632</v>
      </c>
      <c r="B30" s="183">
        <f>IF($A30="","",VLOOKUP($A30,'Annex 2 EHV charges'!$A:$O,2,0))</f>
        <v>632</v>
      </c>
      <c r="C30" s="184">
        <f>IF($A30="","",VLOOKUP($A30,'Annex 2 EHV charges'!$A:$O,3,0))</f>
        <v>1592001007467</v>
      </c>
      <c r="D30" s="108" t="str">
        <f>IF($A30="","",VLOOKUP($A30,'Annex 2 EHV charges'!$A:$O,7,0))</f>
        <v>EHV Site Specific (LLFC 632)</v>
      </c>
      <c r="E30" s="185">
        <f>IFERROR(IF(VLOOKUP($A30,'Annex 2 EHV charges'!$A:$O,8,FALSE)=0,"",VLOOKUP($A30,'Annex 2 EHV charges'!$A:$O,8,FALSE)),"")</f>
        <v>0.28599999999999998</v>
      </c>
      <c r="F30" s="186">
        <f>IFERROR(IF(VLOOKUP($A30,'Annex 2 EHV charges'!$A:$O,9,FALSE)=0,"",VLOOKUP($A30,'Annex 2 EHV charges'!$A:$O,9,FALSE)),"")</f>
        <v>256.45</v>
      </c>
      <c r="G30" s="187">
        <f>IFERROR(IF(VLOOKUP($A30,'Annex 2 EHV charges'!$A:$O,10,FALSE)=0,"",VLOOKUP($A30,'Annex 2 EHV charges'!$A:$O,10,FALSE)),"")</f>
        <v>4.18</v>
      </c>
      <c r="H30" s="187">
        <f>IFERROR(IF(VLOOKUP($A30,'Annex 2 EHV charges'!$A:$O,11,FALSE)=0,"",VLOOKUP($A30,'Annex 2 EHV charges'!$A:$O,11,FALSE)),"")</f>
        <v>4.18</v>
      </c>
    </row>
    <row r="31" spans="1:8" ht="25.5" x14ac:dyDescent="0.2">
      <c r="A31" s="182">
        <f t="array" ref="A31">IFERROR(INDEX('Annex 2 EHV charges'!$A$10:$A$150, MATCH(0, IF(('Annex 2 EHV charges'!$A$10:$A$150=""),1, COUNTIF(A$4:$A30, 'Annex 2 EHV charges'!$A$10:$A$150)), 0)),"")</f>
        <v>633</v>
      </c>
      <c r="B31" s="183">
        <f>IF($A31="","",VLOOKUP($A31,'Annex 2 EHV charges'!$A:$O,2,0))</f>
        <v>633</v>
      </c>
      <c r="C31" s="184" t="str">
        <f>IF($A31="","",VLOOKUP($A31,'Annex 2 EHV charges'!$A:$O,3,0))</f>
        <v>1580001273940
1580001273950</v>
      </c>
      <c r="D31" s="108" t="str">
        <f>IF($A31="","",VLOOKUP($A31,'Annex 2 EHV charges'!$A:$O,7,0))</f>
        <v>EHV Site Specific (LLFC 633)</v>
      </c>
      <c r="E31" s="185">
        <f>IFERROR(IF(VLOOKUP($A31,'Annex 2 EHV charges'!$A:$O,8,FALSE)=0,"",VLOOKUP($A31,'Annex 2 EHV charges'!$A:$O,8,FALSE)),"")</f>
        <v>0.18</v>
      </c>
      <c r="F31" s="186">
        <f>IFERROR(IF(VLOOKUP($A31,'Annex 2 EHV charges'!$A:$O,9,FALSE)=0,"",VLOOKUP($A31,'Annex 2 EHV charges'!$A:$O,9,FALSE)),"")</f>
        <v>3439.26</v>
      </c>
      <c r="G31" s="187">
        <f>IFERROR(IF(VLOOKUP($A31,'Annex 2 EHV charges'!$A:$O,10,FALSE)=0,"",VLOOKUP($A31,'Annex 2 EHV charges'!$A:$O,10,FALSE)),"")</f>
        <v>2.71</v>
      </c>
      <c r="H31" s="187">
        <f>IFERROR(IF(VLOOKUP($A31,'Annex 2 EHV charges'!$A:$O,11,FALSE)=0,"",VLOOKUP($A31,'Annex 2 EHV charges'!$A:$O,11,FALSE)),"")</f>
        <v>2.71</v>
      </c>
    </row>
    <row r="32" spans="1:8" x14ac:dyDescent="0.2">
      <c r="A32" s="182">
        <f t="array" ref="A32">IFERROR(INDEX('Annex 2 EHV charges'!$A$10:$A$150, MATCH(0, IF(('Annex 2 EHV charges'!$A$10:$A$150=""),1, COUNTIF(A$4:$A31, 'Annex 2 EHV charges'!$A$10:$A$150)), 0)),"")</f>
        <v>637</v>
      </c>
      <c r="B32" s="183">
        <f>IF($A32="","",VLOOKUP($A32,'Annex 2 EHV charges'!$A:$O,2,0))</f>
        <v>637</v>
      </c>
      <c r="C32" s="184">
        <f>IF($A32="","",VLOOKUP($A32,'Annex 2 EHV charges'!$A:$O,3,0))</f>
        <v>1592001141543</v>
      </c>
      <c r="D32" s="108" t="str">
        <f>IF($A32="","",VLOOKUP($A32,'Annex 2 EHV charges'!$A:$O,7,0))</f>
        <v>EHV Site Specific - Generation Exempt (LLFC 637 &amp; 728)</v>
      </c>
      <c r="E32" s="185">
        <f>IFERROR(IF(VLOOKUP($A32,'Annex 2 EHV charges'!$A:$O,8,FALSE)=0,"",VLOOKUP($A32,'Annex 2 EHV charges'!$A:$O,8,FALSE)),"")</f>
        <v>5.2999999999999999E-2</v>
      </c>
      <c r="F32" s="186">
        <f>IFERROR(IF(VLOOKUP($A32,'Annex 2 EHV charges'!$A:$O,9,FALSE)=0,"",VLOOKUP($A32,'Annex 2 EHV charges'!$A:$O,9,FALSE)),"")</f>
        <v>1299.31</v>
      </c>
      <c r="G32" s="187">
        <f>IFERROR(IF(VLOOKUP($A32,'Annex 2 EHV charges'!$A:$O,10,FALSE)=0,"",VLOOKUP($A32,'Annex 2 EHV charges'!$A:$O,10,FALSE)),"")</f>
        <v>1.52</v>
      </c>
      <c r="H32" s="187">
        <f>IFERROR(IF(VLOOKUP($A32,'Annex 2 EHV charges'!$A:$O,11,FALSE)=0,"",VLOOKUP($A32,'Annex 2 EHV charges'!$A:$O,11,FALSE)),"")</f>
        <v>1.52</v>
      </c>
    </row>
    <row r="33" spans="1:8" x14ac:dyDescent="0.2">
      <c r="A33" s="182">
        <f t="array" ref="A33">IFERROR(INDEX('Annex 2 EHV charges'!$A$10:$A$150, MATCH(0, IF(('Annex 2 EHV charges'!$A$10:$A$150=""),1, COUNTIF(A$4:$A32, 'Annex 2 EHV charges'!$A$10:$A$150)), 0)),"")</f>
        <v>680</v>
      </c>
      <c r="B33" s="183">
        <f>IF($A33="","",VLOOKUP($A33,'Annex 2 EHV charges'!$A:$O,2,0))</f>
        <v>680</v>
      </c>
      <c r="C33" s="184">
        <f>IF($A33="","",VLOOKUP($A33,'Annex 2 EHV charges'!$A:$O,3,0))</f>
        <v>1580000675845</v>
      </c>
      <c r="D33" s="108" t="str">
        <f>IF($A33="","",VLOOKUP($A33,'Annex 2 EHV charges'!$A:$O,7,0))</f>
        <v>EHV Site Specific (LLFC 680 &amp; 759)</v>
      </c>
      <c r="E33" s="185">
        <f>IFERROR(IF(VLOOKUP($A33,'Annex 2 EHV charges'!$A:$O,8,FALSE)=0,"",VLOOKUP($A33,'Annex 2 EHV charges'!$A:$O,8,FALSE)),"")</f>
        <v>0.25</v>
      </c>
      <c r="F33" s="186">
        <f>IFERROR(IF(VLOOKUP($A33,'Annex 2 EHV charges'!$A:$O,9,FALSE)=0,"",VLOOKUP($A33,'Annex 2 EHV charges'!$A:$O,9,FALSE)),"")</f>
        <v>2.96</v>
      </c>
      <c r="G33" s="187">
        <f>IFERROR(IF(VLOOKUP($A33,'Annex 2 EHV charges'!$A:$O,10,FALSE)=0,"",VLOOKUP($A33,'Annex 2 EHV charges'!$A:$O,10,FALSE)),"")</f>
        <v>1.17</v>
      </c>
      <c r="H33" s="187">
        <f>IFERROR(IF(VLOOKUP($A33,'Annex 2 EHV charges'!$A:$O,11,FALSE)=0,"",VLOOKUP($A33,'Annex 2 EHV charges'!$A:$O,11,FALSE)),"")</f>
        <v>1.17</v>
      </c>
    </row>
    <row r="34" spans="1:8" x14ac:dyDescent="0.2">
      <c r="A34" s="182">
        <f t="array" ref="A34">IFERROR(INDEX('Annex 2 EHV charges'!$A$10:$A$150, MATCH(0, IF(('Annex 2 EHV charges'!$A$10:$A$150=""),1, COUNTIF(A$4:$A33, 'Annex 2 EHV charges'!$A$10:$A$150)), 0)),"")</f>
        <v>681</v>
      </c>
      <c r="B34" s="183">
        <f>IF($A34="","",VLOOKUP($A34,'Annex 2 EHV charges'!$A:$O,2,0))</f>
        <v>681</v>
      </c>
      <c r="C34" s="184">
        <f>IF($A34="","",VLOOKUP($A34,'Annex 2 EHV charges'!$A:$O,3,0))</f>
        <v>1580000872387</v>
      </c>
      <c r="D34" s="108" t="str">
        <f>IF($A34="","",VLOOKUP($A34,'Annex 2 EHV charges'!$A:$O,7,0))</f>
        <v>EHV Site Specific (LLFC 681 &amp; 760)</v>
      </c>
      <c r="E34" s="185">
        <f>IFERROR(IF(VLOOKUP($A34,'Annex 2 EHV charges'!$A:$O,8,FALSE)=0,"",VLOOKUP($A34,'Annex 2 EHV charges'!$A:$O,8,FALSE)),"")</f>
        <v>0.28499999999999998</v>
      </c>
      <c r="F34" s="186">
        <f>IFERROR(IF(VLOOKUP($A34,'Annex 2 EHV charges'!$A:$O,9,FALSE)=0,"",VLOOKUP($A34,'Annex 2 EHV charges'!$A:$O,9,FALSE)),"")</f>
        <v>106.93</v>
      </c>
      <c r="G34" s="187">
        <f>IFERROR(IF(VLOOKUP($A34,'Annex 2 EHV charges'!$A:$O,10,FALSE)=0,"",VLOOKUP($A34,'Annex 2 EHV charges'!$A:$O,10,FALSE)),"")</f>
        <v>1.27</v>
      </c>
      <c r="H34" s="187">
        <f>IFERROR(IF(VLOOKUP($A34,'Annex 2 EHV charges'!$A:$O,11,FALSE)=0,"",VLOOKUP($A34,'Annex 2 EHV charges'!$A:$O,11,FALSE)),"")</f>
        <v>1.27</v>
      </c>
    </row>
    <row r="35" spans="1:8" x14ac:dyDescent="0.2">
      <c r="A35" s="182">
        <f t="array" ref="A35">IFERROR(INDEX('Annex 2 EHV charges'!$A$10:$A$150, MATCH(0, IF(('Annex 2 EHV charges'!$A$10:$A$150=""),1, COUNTIF(A$4:$A34, 'Annex 2 EHV charges'!$A$10:$A$150)), 0)),"")</f>
        <v>544</v>
      </c>
      <c r="B35" s="183">
        <f>IF($A35="","",VLOOKUP($A35,'Annex 2 EHV charges'!$A:$O,2,0))</f>
        <v>544</v>
      </c>
      <c r="C35" s="184">
        <f>IF($A35="","",VLOOKUP($A35,'Annex 2 EHV charges'!$A:$O,3,0))</f>
        <v>1570000124531</v>
      </c>
      <c r="D35" s="108" t="str">
        <f>IF($A35="","",VLOOKUP($A35,'Annex 2 EHV charges'!$A:$O,7,0))</f>
        <v>EHV Site Specific - Generation Exempt (LLFC 544 &amp; 761)</v>
      </c>
      <c r="E35" s="185" t="str">
        <f>IFERROR(IF(VLOOKUP($A35,'Annex 2 EHV charges'!$A:$O,8,FALSE)=0,"",VLOOKUP($A35,'Annex 2 EHV charges'!$A:$O,8,FALSE)),"")</f>
        <v/>
      </c>
      <c r="F35" s="186">
        <f>IFERROR(IF(VLOOKUP($A35,'Annex 2 EHV charges'!$A:$O,9,FALSE)=0,"",VLOOKUP($A35,'Annex 2 EHV charges'!$A:$O,9,FALSE)),"")</f>
        <v>11.25</v>
      </c>
      <c r="G35" s="187">
        <f>IFERROR(IF(VLOOKUP($A35,'Annex 2 EHV charges'!$A:$O,10,FALSE)=0,"",VLOOKUP($A35,'Annex 2 EHV charges'!$A:$O,10,FALSE)),"")</f>
        <v>0.81</v>
      </c>
      <c r="H35" s="187">
        <f>IFERROR(IF(VLOOKUP($A35,'Annex 2 EHV charges'!$A:$O,11,FALSE)=0,"",VLOOKUP($A35,'Annex 2 EHV charges'!$A:$O,11,FALSE)),"")</f>
        <v>0.81</v>
      </c>
    </row>
    <row r="36" spans="1:8" x14ac:dyDescent="0.2">
      <c r="A36" s="182">
        <f t="array" ref="A36">IFERROR(INDEX('Annex 2 EHV charges'!$A$10:$A$150, MATCH(0, IF(('Annex 2 EHV charges'!$A$10:$A$150=""),1, COUNTIF(A$4:$A35, 'Annex 2 EHV charges'!$A$10:$A$150)), 0)),"")</f>
        <v>682</v>
      </c>
      <c r="B36" s="183">
        <f>IF($A36="","",VLOOKUP($A36,'Annex 2 EHV charges'!$A:$O,2,0))</f>
        <v>682</v>
      </c>
      <c r="C36" s="184">
        <f>IF($A36="","",VLOOKUP($A36,'Annex 2 EHV charges'!$A:$O,3,0))</f>
        <v>1580000909309</v>
      </c>
      <c r="D36" s="108" t="str">
        <f>IF($A36="","",VLOOKUP($A36,'Annex 2 EHV charges'!$A:$O,7,0))</f>
        <v>EHV Site Specific (LLFC 682 &amp; 762)</v>
      </c>
      <c r="E36" s="185">
        <f>IFERROR(IF(VLOOKUP($A36,'Annex 2 EHV charges'!$A:$O,8,FALSE)=0,"",VLOOKUP($A36,'Annex 2 EHV charges'!$A:$O,8,FALSE)),"")</f>
        <v>0.44800000000000001</v>
      </c>
      <c r="F36" s="186">
        <f>IFERROR(IF(VLOOKUP($A36,'Annex 2 EHV charges'!$A:$O,9,FALSE)=0,"",VLOOKUP($A36,'Annex 2 EHV charges'!$A:$O,9,FALSE)),"")</f>
        <v>805.14</v>
      </c>
      <c r="G36" s="187">
        <f>IFERROR(IF(VLOOKUP($A36,'Annex 2 EHV charges'!$A:$O,10,FALSE)=0,"",VLOOKUP($A36,'Annex 2 EHV charges'!$A:$O,10,FALSE)),"")</f>
        <v>0.84</v>
      </c>
      <c r="H36" s="187">
        <f>IFERROR(IF(VLOOKUP($A36,'Annex 2 EHV charges'!$A:$O,11,FALSE)=0,"",VLOOKUP($A36,'Annex 2 EHV charges'!$A:$O,11,FALSE)),"")</f>
        <v>0.84</v>
      </c>
    </row>
    <row r="37" spans="1:8" x14ac:dyDescent="0.2">
      <c r="A37" s="182">
        <f t="array" ref="A37">IFERROR(INDEX('Annex 2 EHV charges'!$A$10:$A$150, MATCH(0, IF(('Annex 2 EHV charges'!$A$10:$A$150=""),1, COUNTIF(A$4:$A36, 'Annex 2 EHV charges'!$A$10:$A$150)), 0)),"")</f>
        <v>691</v>
      </c>
      <c r="B37" s="183">
        <f>IF($A37="","",VLOOKUP($A37,'Annex 2 EHV charges'!$A:$O,2,0))</f>
        <v>691</v>
      </c>
      <c r="C37" s="184">
        <f>IF($A37="","",VLOOKUP($A37,'Annex 2 EHV charges'!$A:$O,3,0))</f>
        <v>1592101007746</v>
      </c>
      <c r="D37" s="108" t="str">
        <f>IF($A37="","",VLOOKUP($A37,'Annex 2 EHV charges'!$A:$O,7,0))</f>
        <v>EHV Site Specific (LLFC 691)</v>
      </c>
      <c r="E37" s="185">
        <f>IFERROR(IF(VLOOKUP($A37,'Annex 2 EHV charges'!$A:$O,8,FALSE)=0,"",VLOOKUP($A37,'Annex 2 EHV charges'!$A:$O,8,FALSE)),"")</f>
        <v>6.2E-2</v>
      </c>
      <c r="F37" s="186">
        <f>IFERROR(IF(VLOOKUP($A37,'Annex 2 EHV charges'!$A:$O,9,FALSE)=0,"",VLOOKUP($A37,'Annex 2 EHV charges'!$A:$O,9,FALSE)),"")</f>
        <v>32.92</v>
      </c>
      <c r="G37" s="187">
        <f>IFERROR(IF(VLOOKUP($A37,'Annex 2 EHV charges'!$A:$O,10,FALSE)=0,"",VLOOKUP($A37,'Annex 2 EHV charges'!$A:$O,10,FALSE)),"")</f>
        <v>4.59</v>
      </c>
      <c r="H37" s="187">
        <f>IFERROR(IF(VLOOKUP($A37,'Annex 2 EHV charges'!$A:$O,11,FALSE)=0,"",VLOOKUP($A37,'Annex 2 EHV charges'!$A:$O,11,FALSE)),"")</f>
        <v>4.59</v>
      </c>
    </row>
    <row r="38" spans="1:8" x14ac:dyDescent="0.2">
      <c r="A38" s="182">
        <f t="array" ref="A38">IFERROR(INDEX('Annex 2 EHV charges'!$A$10:$A$150, MATCH(0, IF(('Annex 2 EHV charges'!$A$10:$A$150=""),1, COUNTIF(A$4:$A37, 'Annex 2 EHV charges'!$A$10:$A$150)), 0)),"")</f>
        <v>683</v>
      </c>
      <c r="B38" s="183">
        <f>IF($A38="","",VLOOKUP($A38,'Annex 2 EHV charges'!$A:$O,2,0))</f>
        <v>683</v>
      </c>
      <c r="C38" s="184">
        <f>IF($A38="","",VLOOKUP($A38,'Annex 2 EHV charges'!$A:$O,3,0))</f>
        <v>1570000166434</v>
      </c>
      <c r="D38" s="108" t="str">
        <f>IF($A38="","",VLOOKUP($A38,'Annex 2 EHV charges'!$A:$O,7,0))</f>
        <v>EHV Site Specific - Generation Exempt (LLFC 683 &amp; 763)</v>
      </c>
      <c r="E38" s="185" t="str">
        <f>IFERROR(IF(VLOOKUP($A38,'Annex 2 EHV charges'!$A:$O,8,FALSE)=0,"",VLOOKUP($A38,'Annex 2 EHV charges'!$A:$O,8,FALSE)),"")</f>
        <v/>
      </c>
      <c r="F38" s="186">
        <f>IFERROR(IF(VLOOKUP($A38,'Annex 2 EHV charges'!$A:$O,9,FALSE)=0,"",VLOOKUP($A38,'Annex 2 EHV charges'!$A:$O,9,FALSE)),"")</f>
        <v>6.44</v>
      </c>
      <c r="G38" s="187">
        <f>IFERROR(IF(VLOOKUP($A38,'Annex 2 EHV charges'!$A:$O,10,FALSE)=0,"",VLOOKUP($A38,'Annex 2 EHV charges'!$A:$O,10,FALSE)),"")</f>
        <v>1.05</v>
      </c>
      <c r="H38" s="187">
        <f>IFERROR(IF(VLOOKUP($A38,'Annex 2 EHV charges'!$A:$O,11,FALSE)=0,"",VLOOKUP($A38,'Annex 2 EHV charges'!$A:$O,11,FALSE)),"")</f>
        <v>1.05</v>
      </c>
    </row>
    <row r="39" spans="1:8" ht="25.5" x14ac:dyDescent="0.2">
      <c r="A39" s="182">
        <f t="array" ref="A39">IFERROR(INDEX('Annex 2 EHV charges'!$A$10:$A$150, MATCH(0, IF(('Annex 2 EHV charges'!$A$10:$A$150=""),1, COUNTIF(A$4:$A38, 'Annex 2 EHV charges'!$A$10:$A$150)), 0)),"")</f>
        <v>692</v>
      </c>
      <c r="B39" s="183">
        <f>IF($A39="","",VLOOKUP($A39,'Annex 2 EHV charges'!$A:$O,2,0))</f>
        <v>692</v>
      </c>
      <c r="C39" s="184" t="str">
        <f>IF($A39="","",VLOOKUP($A39,'Annex 2 EHV charges'!$A:$O,3,0))</f>
        <v>1580000867554
1580000911799</v>
      </c>
      <c r="D39" s="108" t="str">
        <f>IF($A39="","",VLOOKUP($A39,'Annex 2 EHV charges'!$A:$O,7,0))</f>
        <v>EHV Site Specific (LLFC 692)</v>
      </c>
      <c r="E39" s="185">
        <f>IFERROR(IF(VLOOKUP($A39,'Annex 2 EHV charges'!$A:$O,8,FALSE)=0,"",VLOOKUP($A39,'Annex 2 EHV charges'!$A:$O,8,FALSE)),"")</f>
        <v>1.218</v>
      </c>
      <c r="F39" s="186">
        <f>IFERROR(IF(VLOOKUP($A39,'Annex 2 EHV charges'!$A:$O,9,FALSE)=0,"",VLOOKUP($A39,'Annex 2 EHV charges'!$A:$O,9,FALSE)),"")</f>
        <v>65.849999999999994</v>
      </c>
      <c r="G39" s="187">
        <f>IFERROR(IF(VLOOKUP($A39,'Annex 2 EHV charges'!$A:$O,10,FALSE)=0,"",VLOOKUP($A39,'Annex 2 EHV charges'!$A:$O,10,FALSE)),"")</f>
        <v>2.7</v>
      </c>
      <c r="H39" s="187">
        <f>IFERROR(IF(VLOOKUP($A39,'Annex 2 EHV charges'!$A:$O,11,FALSE)=0,"",VLOOKUP($A39,'Annex 2 EHV charges'!$A:$O,11,FALSE)),"")</f>
        <v>2.7</v>
      </c>
    </row>
    <row r="40" spans="1:8" x14ac:dyDescent="0.2">
      <c r="A40" s="182">
        <f t="array" ref="A40">IFERROR(INDEX('Annex 2 EHV charges'!$A$10:$A$150, MATCH(0, IF(('Annex 2 EHV charges'!$A$10:$A$150=""),1, COUNTIF(A$4:$A39, 'Annex 2 EHV charges'!$A$10:$A$150)), 0)),"")</f>
        <v>693</v>
      </c>
      <c r="B40" s="183">
        <f>IF($A40="","",VLOOKUP($A40,'Annex 2 EHV charges'!$A:$O,2,0))</f>
        <v>693</v>
      </c>
      <c r="C40" s="184">
        <f>IF($A40="","",VLOOKUP($A40,'Annex 2 EHV charges'!$A:$O,3,0))</f>
        <v>1592001074941</v>
      </c>
      <c r="D40" s="108" t="str">
        <f>IF($A40="","",VLOOKUP($A40,'Annex 2 EHV charges'!$A:$O,7,0))</f>
        <v>EHV Site Specific (LLFC 693)</v>
      </c>
      <c r="E40" s="185">
        <f>IFERROR(IF(VLOOKUP($A40,'Annex 2 EHV charges'!$A:$O,8,FALSE)=0,"",VLOOKUP($A40,'Annex 2 EHV charges'!$A:$O,8,FALSE)),"")</f>
        <v>0.81299999999999994</v>
      </c>
      <c r="F40" s="186">
        <f>IFERROR(IF(VLOOKUP($A40,'Annex 2 EHV charges'!$A:$O,9,FALSE)=0,"",VLOOKUP($A40,'Annex 2 EHV charges'!$A:$O,9,FALSE)),"")</f>
        <v>32.92</v>
      </c>
      <c r="G40" s="187">
        <f>IFERROR(IF(VLOOKUP($A40,'Annex 2 EHV charges'!$A:$O,10,FALSE)=0,"",VLOOKUP($A40,'Annex 2 EHV charges'!$A:$O,10,FALSE)),"")</f>
        <v>3.71</v>
      </c>
      <c r="H40" s="187">
        <f>IFERROR(IF(VLOOKUP($A40,'Annex 2 EHV charges'!$A:$O,11,FALSE)=0,"",VLOOKUP($A40,'Annex 2 EHV charges'!$A:$O,11,FALSE)),"")</f>
        <v>3.71</v>
      </c>
    </row>
    <row r="41" spans="1:8" x14ac:dyDescent="0.2">
      <c r="A41" s="182">
        <f t="array" ref="A41">IFERROR(INDEX('Annex 2 EHV charges'!$A$10:$A$150, MATCH(0, IF(('Annex 2 EHV charges'!$A$10:$A$150=""),1, COUNTIF(A$4:$A40, 'Annex 2 EHV charges'!$A$10:$A$150)), 0)),"")</f>
        <v>694</v>
      </c>
      <c r="B41" s="183">
        <f>IF($A41="","",VLOOKUP($A41,'Annex 2 EHV charges'!$A:$O,2,0))</f>
        <v>694</v>
      </c>
      <c r="C41" s="184">
        <f>IF($A41="","",VLOOKUP($A41,'Annex 2 EHV charges'!$A:$O,3,0))</f>
        <v>1570000190631</v>
      </c>
      <c r="D41" s="108" t="str">
        <f>IF($A41="","",VLOOKUP($A41,'Annex 2 EHV charges'!$A:$O,7,0))</f>
        <v>EHV Site Specific (LLFC 694)</v>
      </c>
      <c r="E41" s="185">
        <f>IFERROR(IF(VLOOKUP($A41,'Annex 2 EHV charges'!$A:$O,8,FALSE)=0,"",VLOOKUP($A41,'Annex 2 EHV charges'!$A:$O,8,FALSE)),"")</f>
        <v>0.35299999999999998</v>
      </c>
      <c r="F41" s="186">
        <f>IFERROR(IF(VLOOKUP($A41,'Annex 2 EHV charges'!$A:$O,9,FALSE)=0,"",VLOOKUP($A41,'Annex 2 EHV charges'!$A:$O,9,FALSE)),"")</f>
        <v>65.849999999999994</v>
      </c>
      <c r="G41" s="187">
        <f>IFERROR(IF(VLOOKUP($A41,'Annex 2 EHV charges'!$A:$O,10,FALSE)=0,"",VLOOKUP($A41,'Annex 2 EHV charges'!$A:$O,10,FALSE)),"")</f>
        <v>5.29</v>
      </c>
      <c r="H41" s="187">
        <f>IFERROR(IF(VLOOKUP($A41,'Annex 2 EHV charges'!$A:$O,11,FALSE)=0,"",VLOOKUP($A41,'Annex 2 EHV charges'!$A:$O,11,FALSE)),"")</f>
        <v>5.29</v>
      </c>
    </row>
    <row r="42" spans="1:8" ht="25.5" x14ac:dyDescent="0.2">
      <c r="A42" s="182">
        <f t="array" ref="A42">IFERROR(INDEX('Annex 2 EHV charges'!$A$10:$A$150, MATCH(0, IF(('Annex 2 EHV charges'!$A$10:$A$150=""),1, COUNTIF(A$4:$A41, 'Annex 2 EHV charges'!$A$10:$A$150)), 0)),"")</f>
        <v>695</v>
      </c>
      <c r="B42" s="183">
        <f>IF($A42="","",VLOOKUP($A42,'Annex 2 EHV charges'!$A:$O,2,0))</f>
        <v>695</v>
      </c>
      <c r="C42" s="184" t="str">
        <f>IF($A42="","",VLOOKUP($A42,'Annex 2 EHV charges'!$A:$O,3,0))</f>
        <v>1580000918163
1580000918172</v>
      </c>
      <c r="D42" s="108" t="str">
        <f>IF($A42="","",VLOOKUP($A42,'Annex 2 EHV charges'!$A:$O,7,0))</f>
        <v>EHV Site Specific (LLFC 695)</v>
      </c>
      <c r="E42" s="185">
        <f>IFERROR(IF(VLOOKUP($A42,'Annex 2 EHV charges'!$A:$O,8,FALSE)=0,"",VLOOKUP($A42,'Annex 2 EHV charges'!$A:$O,8,FALSE)),"")</f>
        <v>3.0000000000000001E-3</v>
      </c>
      <c r="F42" s="186">
        <f>IFERROR(IF(VLOOKUP($A42,'Annex 2 EHV charges'!$A:$O,9,FALSE)=0,"",VLOOKUP($A42,'Annex 2 EHV charges'!$A:$O,9,FALSE)),"")</f>
        <v>65.849999999999994</v>
      </c>
      <c r="G42" s="187">
        <f>IFERROR(IF(VLOOKUP($A42,'Annex 2 EHV charges'!$A:$O,10,FALSE)=0,"",VLOOKUP($A42,'Annex 2 EHV charges'!$A:$O,10,FALSE)),"")</f>
        <v>2.92</v>
      </c>
      <c r="H42" s="187">
        <f>IFERROR(IF(VLOOKUP($A42,'Annex 2 EHV charges'!$A:$O,11,FALSE)=0,"",VLOOKUP($A42,'Annex 2 EHV charges'!$A:$O,11,FALSE)),"")</f>
        <v>2.92</v>
      </c>
    </row>
    <row r="43" spans="1:8" x14ac:dyDescent="0.2">
      <c r="A43" s="182">
        <f t="array" ref="A43">IFERROR(INDEX('Annex 2 EHV charges'!$A$10:$A$150, MATCH(0, IF(('Annex 2 EHV charges'!$A$10:$A$150=""),1, COUNTIF(A$4:$A42, 'Annex 2 EHV charges'!$A$10:$A$150)), 0)),"")</f>
        <v>684</v>
      </c>
      <c r="B43" s="183">
        <f>IF($A43="","",VLOOKUP($A43,'Annex 2 EHV charges'!$A:$O,2,0))</f>
        <v>684</v>
      </c>
      <c r="C43" s="184">
        <f>IF($A43="","",VLOOKUP($A43,'Annex 2 EHV charges'!$A:$O,3,0))</f>
        <v>1580001085400</v>
      </c>
      <c r="D43" s="108" t="str">
        <f>IF($A43="","",VLOOKUP($A43,'Annex 2 EHV charges'!$A:$O,7,0))</f>
        <v>EHV Site Specific (LLFC 684 &amp; 764)</v>
      </c>
      <c r="E43" s="185">
        <f>IFERROR(IF(VLOOKUP($A43,'Annex 2 EHV charges'!$A:$O,8,FALSE)=0,"",VLOOKUP($A43,'Annex 2 EHV charges'!$A:$O,8,FALSE)),"")</f>
        <v>6.0000000000000001E-3</v>
      </c>
      <c r="F43" s="186">
        <f>IFERROR(IF(VLOOKUP($A43,'Annex 2 EHV charges'!$A:$O,9,FALSE)=0,"",VLOOKUP($A43,'Annex 2 EHV charges'!$A:$O,9,FALSE)),"")</f>
        <v>589.61</v>
      </c>
      <c r="G43" s="187">
        <f>IFERROR(IF(VLOOKUP($A43,'Annex 2 EHV charges'!$A:$O,10,FALSE)=0,"",VLOOKUP($A43,'Annex 2 EHV charges'!$A:$O,10,FALSE)),"")</f>
        <v>1.33</v>
      </c>
      <c r="H43" s="187">
        <f>IFERROR(IF(VLOOKUP($A43,'Annex 2 EHV charges'!$A:$O,11,FALSE)=0,"",VLOOKUP($A43,'Annex 2 EHV charges'!$A:$O,11,FALSE)),"")</f>
        <v>1.33</v>
      </c>
    </row>
    <row r="44" spans="1:8" x14ac:dyDescent="0.2">
      <c r="A44" s="182">
        <f t="array" ref="A44">IFERROR(INDEX('Annex 2 EHV charges'!$A$10:$A$150, MATCH(0, IF(('Annex 2 EHV charges'!$A$10:$A$150=""),1, COUNTIF(A$4:$A43, 'Annex 2 EHV charges'!$A$10:$A$150)), 0)),"")</f>
        <v>685</v>
      </c>
      <c r="B44" s="183">
        <f>IF($A44="","",VLOOKUP($A44,'Annex 2 EHV charges'!$A:$O,2,0))</f>
        <v>685</v>
      </c>
      <c r="C44" s="184">
        <f>IF($A44="","",VLOOKUP($A44,'Annex 2 EHV charges'!$A:$O,3,0))</f>
        <v>1580001132432</v>
      </c>
      <c r="D44" s="108" t="str">
        <f>IF($A44="","",VLOOKUP($A44,'Annex 2 EHV charges'!$A:$O,7,0))</f>
        <v>EHV Site Specific (LLFC 685 &amp; 765)</v>
      </c>
      <c r="E44" s="185" t="str">
        <f>IFERROR(IF(VLOOKUP($A44,'Annex 2 EHV charges'!$A:$O,8,FALSE)=0,"",VLOOKUP($A44,'Annex 2 EHV charges'!$A:$O,8,FALSE)),"")</f>
        <v/>
      </c>
      <c r="F44" s="186">
        <f>IFERROR(IF(VLOOKUP($A44,'Annex 2 EHV charges'!$A:$O,9,FALSE)=0,"",VLOOKUP($A44,'Annex 2 EHV charges'!$A:$O,9,FALSE)),"")</f>
        <v>31.91</v>
      </c>
      <c r="G44" s="187">
        <f>IFERROR(IF(VLOOKUP($A44,'Annex 2 EHV charges'!$A:$O,10,FALSE)=0,"",VLOOKUP($A44,'Annex 2 EHV charges'!$A:$O,10,FALSE)),"")</f>
        <v>0.66</v>
      </c>
      <c r="H44" s="187">
        <f>IFERROR(IF(VLOOKUP($A44,'Annex 2 EHV charges'!$A:$O,11,FALSE)=0,"",VLOOKUP($A44,'Annex 2 EHV charges'!$A:$O,11,FALSE)),"")</f>
        <v>0.66</v>
      </c>
    </row>
    <row r="45" spans="1:8" ht="25.5" x14ac:dyDescent="0.2">
      <c r="A45" s="182">
        <f t="array" ref="A45">IFERROR(INDEX('Annex 2 EHV charges'!$A$10:$A$150, MATCH(0, IF(('Annex 2 EHV charges'!$A$10:$A$150=""),1, COUNTIF(A$4:$A44, 'Annex 2 EHV charges'!$A$10:$A$150)), 0)),"")</f>
        <v>686</v>
      </c>
      <c r="B45" s="183">
        <f>IF($A45="","",VLOOKUP($A45,'Annex 2 EHV charges'!$A:$O,2,0))</f>
        <v>686</v>
      </c>
      <c r="C45" s="184" t="str">
        <f>IF($A45="","",VLOOKUP($A45,'Annex 2 EHV charges'!$A:$O,3,0))</f>
        <v>1580001150566
1580001150575</v>
      </c>
      <c r="D45" s="108" t="str">
        <f>IF($A45="","",VLOOKUP($A45,'Annex 2 EHV charges'!$A:$O,7,0))</f>
        <v>EHV Site Specific (LLFC 686 &amp; 766)</v>
      </c>
      <c r="E45" s="185" t="str">
        <f>IFERROR(IF(VLOOKUP($A45,'Annex 2 EHV charges'!$A:$O,8,FALSE)=0,"",VLOOKUP($A45,'Annex 2 EHV charges'!$A:$O,8,FALSE)),"")</f>
        <v/>
      </c>
      <c r="F45" s="186">
        <f>IFERROR(IF(VLOOKUP($A45,'Annex 2 EHV charges'!$A:$O,9,FALSE)=0,"",VLOOKUP($A45,'Annex 2 EHV charges'!$A:$O,9,FALSE)),"")</f>
        <v>311.52999999999997</v>
      </c>
      <c r="G45" s="187">
        <f>IFERROR(IF(VLOOKUP($A45,'Annex 2 EHV charges'!$A:$O,10,FALSE)=0,"",VLOOKUP($A45,'Annex 2 EHV charges'!$A:$O,10,FALSE)),"")</f>
        <v>0.53</v>
      </c>
      <c r="H45" s="187">
        <f>IFERROR(IF(VLOOKUP($A45,'Annex 2 EHV charges'!$A:$O,11,FALSE)=0,"",VLOOKUP($A45,'Annex 2 EHV charges'!$A:$O,11,FALSE)),"")</f>
        <v>0.53</v>
      </c>
    </row>
    <row r="46" spans="1:8" x14ac:dyDescent="0.2">
      <c r="A46" s="182">
        <f t="array" ref="A46">IFERROR(INDEX('Annex 2 EHV charges'!$A$10:$A$150, MATCH(0, IF(('Annex 2 EHV charges'!$A$10:$A$150=""),1, COUNTIF(A$4:$A45, 'Annex 2 EHV charges'!$A$10:$A$150)), 0)),"")</f>
        <v>687</v>
      </c>
      <c r="B46" s="183">
        <f>IF($A46="","",VLOOKUP($A46,'Annex 2 EHV charges'!$A:$O,2,0))</f>
        <v>687</v>
      </c>
      <c r="C46" s="184" t="str">
        <f>IF($A46="","",VLOOKUP($A46,'Annex 2 EHV charges'!$A:$O,3,0))</f>
        <v>TBC</v>
      </c>
      <c r="D46" s="108" t="str">
        <f>IF($A46="","",VLOOKUP($A46,'Annex 2 EHV charges'!$A:$O,7,0))</f>
        <v>EHV Site Specific (LLFC 687)</v>
      </c>
      <c r="E46" s="185" t="str">
        <f>IFERROR(IF(VLOOKUP($A46,'Annex 2 EHV charges'!$A:$O,8,FALSE)=0,"",VLOOKUP($A46,'Annex 2 EHV charges'!$A:$O,8,FALSE)),"")</f>
        <v/>
      </c>
      <c r="F46" s="186">
        <f>IFERROR(IF(VLOOKUP($A46,'Annex 2 EHV charges'!$A:$O,9,FALSE)=0,"",VLOOKUP($A46,'Annex 2 EHV charges'!$A:$O,9,FALSE)),"")</f>
        <v>2017.98</v>
      </c>
      <c r="G46" s="187">
        <f>IFERROR(IF(VLOOKUP($A46,'Annex 2 EHV charges'!$A:$O,10,FALSE)=0,"",VLOOKUP($A46,'Annex 2 EHV charges'!$A:$O,10,FALSE)),"")</f>
        <v>1.24</v>
      </c>
      <c r="H46" s="187">
        <f>IFERROR(IF(VLOOKUP($A46,'Annex 2 EHV charges'!$A:$O,11,FALSE)=0,"",VLOOKUP($A46,'Annex 2 EHV charges'!$A:$O,11,FALSE)),"")</f>
        <v>1.24</v>
      </c>
    </row>
    <row r="47" spans="1:8" x14ac:dyDescent="0.2">
      <c r="A47" s="182">
        <f t="array" ref="A47">IFERROR(INDEX('Annex 2 EHV charges'!$A$10:$A$150, MATCH(0, IF(('Annex 2 EHV charges'!$A$10:$A$150=""),1, COUNTIF(A$4:$A46, 'Annex 2 EHV charges'!$A$10:$A$150)), 0)),"")</f>
        <v>688</v>
      </c>
      <c r="B47" s="183">
        <f>IF($A47="","",VLOOKUP($A47,'Annex 2 EHV charges'!$A:$O,2,0))</f>
        <v>688</v>
      </c>
      <c r="C47" s="184">
        <f>IF($A47="","",VLOOKUP($A47,'Annex 2 EHV charges'!$A:$O,3,0))</f>
        <v>1580001208659</v>
      </c>
      <c r="D47" s="108" t="str">
        <f>IF($A47="","",VLOOKUP($A47,'Annex 2 EHV charges'!$A:$O,7,0))</f>
        <v>EHV Site Specific (LLFC 688 &amp; 767)</v>
      </c>
      <c r="E47" s="185" t="str">
        <f>IFERROR(IF(VLOOKUP($A47,'Annex 2 EHV charges'!$A:$O,8,FALSE)=0,"",VLOOKUP($A47,'Annex 2 EHV charges'!$A:$O,8,FALSE)),"")</f>
        <v/>
      </c>
      <c r="F47" s="186">
        <f>IFERROR(IF(VLOOKUP($A47,'Annex 2 EHV charges'!$A:$O,9,FALSE)=0,"",VLOOKUP($A47,'Annex 2 EHV charges'!$A:$O,9,FALSE)),"")</f>
        <v>17.36</v>
      </c>
      <c r="G47" s="187">
        <f>IFERROR(IF(VLOOKUP($A47,'Annex 2 EHV charges'!$A:$O,10,FALSE)=0,"",VLOOKUP($A47,'Annex 2 EHV charges'!$A:$O,10,FALSE)),"")</f>
        <v>1.89</v>
      </c>
      <c r="H47" s="187">
        <f>IFERROR(IF(VLOOKUP($A47,'Annex 2 EHV charges'!$A:$O,11,FALSE)=0,"",VLOOKUP($A47,'Annex 2 EHV charges'!$A:$O,11,FALSE)),"")</f>
        <v>1.89</v>
      </c>
    </row>
    <row r="48" spans="1:8" x14ac:dyDescent="0.2">
      <c r="A48" s="182">
        <f t="array" ref="A48">IFERROR(INDEX('Annex 2 EHV charges'!$A$10:$A$150, MATCH(0, IF(('Annex 2 EHV charges'!$A$10:$A$150=""),1, COUNTIF(A$4:$A47, 'Annex 2 EHV charges'!$A$10:$A$150)), 0)),"")</f>
        <v>689</v>
      </c>
      <c r="B48" s="183">
        <f>IF($A48="","",VLOOKUP($A48,'Annex 2 EHV charges'!$A:$O,2,0))</f>
        <v>689</v>
      </c>
      <c r="C48" s="184">
        <f>IF($A48="","",VLOOKUP($A48,'Annex 2 EHV charges'!$A:$O,3,0))</f>
        <v>1580001208668</v>
      </c>
      <c r="D48" s="108" t="str">
        <f>IF($A48="","",VLOOKUP($A48,'Annex 2 EHV charges'!$A:$O,7,0))</f>
        <v>EHV Site Specific (LLFC 689 &amp; 768)</v>
      </c>
      <c r="E48" s="185" t="str">
        <f>IFERROR(IF(VLOOKUP($A48,'Annex 2 EHV charges'!$A:$O,8,FALSE)=0,"",VLOOKUP($A48,'Annex 2 EHV charges'!$A:$O,8,FALSE)),"")</f>
        <v/>
      </c>
      <c r="F48" s="186">
        <f>IFERROR(IF(VLOOKUP($A48,'Annex 2 EHV charges'!$A:$O,9,FALSE)=0,"",VLOOKUP($A48,'Annex 2 EHV charges'!$A:$O,9,FALSE)),"")</f>
        <v>90.78</v>
      </c>
      <c r="G48" s="187">
        <f>IFERROR(IF(VLOOKUP($A48,'Annex 2 EHV charges'!$A:$O,10,FALSE)=0,"",VLOOKUP($A48,'Annex 2 EHV charges'!$A:$O,10,FALSE)),"")</f>
        <v>1.73</v>
      </c>
      <c r="H48" s="187">
        <f>IFERROR(IF(VLOOKUP($A48,'Annex 2 EHV charges'!$A:$O,11,FALSE)=0,"",VLOOKUP($A48,'Annex 2 EHV charges'!$A:$O,11,FALSE)),"")</f>
        <v>1.73</v>
      </c>
    </row>
    <row r="49" spans="1:8" x14ac:dyDescent="0.2">
      <c r="A49" s="182">
        <f t="array" ref="A49">IFERROR(INDEX('Annex 2 EHV charges'!$A$10:$A$150, MATCH(0, IF(('Annex 2 EHV charges'!$A$10:$A$150=""),1, COUNTIF(A$4:$A48, 'Annex 2 EHV charges'!$A$10:$A$150)), 0)),"")</f>
        <v>690</v>
      </c>
      <c r="B49" s="183">
        <f>IF($A49="","",VLOOKUP($A49,'Annex 2 EHV charges'!$A:$O,2,0))</f>
        <v>690</v>
      </c>
      <c r="C49" s="184">
        <f>IF($A49="","",VLOOKUP($A49,'Annex 2 EHV charges'!$A:$O,3,0))</f>
        <v>1580001174414</v>
      </c>
      <c r="D49" s="108" t="str">
        <f>IF($A49="","",VLOOKUP($A49,'Annex 2 EHV charges'!$A:$O,7,0))</f>
        <v>EHV Site Specific (LLFC 690 &amp; 782)</v>
      </c>
      <c r="E49" s="185">
        <f>IFERROR(IF(VLOOKUP($A49,'Annex 2 EHV charges'!$A:$O,8,FALSE)=0,"",VLOOKUP($A49,'Annex 2 EHV charges'!$A:$O,8,FALSE)),"")</f>
        <v>0.24099999999999999</v>
      </c>
      <c r="F49" s="186">
        <f>IFERROR(IF(VLOOKUP($A49,'Annex 2 EHV charges'!$A:$O,9,FALSE)=0,"",VLOOKUP($A49,'Annex 2 EHV charges'!$A:$O,9,FALSE)),"")</f>
        <v>36.799999999999997</v>
      </c>
      <c r="G49" s="187">
        <f>IFERROR(IF(VLOOKUP($A49,'Annex 2 EHV charges'!$A:$O,10,FALSE)=0,"",VLOOKUP($A49,'Annex 2 EHV charges'!$A:$O,10,FALSE)),"")</f>
        <v>2.71</v>
      </c>
      <c r="H49" s="187">
        <f>IFERROR(IF(VLOOKUP($A49,'Annex 2 EHV charges'!$A:$O,11,FALSE)=0,"",VLOOKUP($A49,'Annex 2 EHV charges'!$A:$O,11,FALSE)),"")</f>
        <v>2.71</v>
      </c>
    </row>
    <row r="50" spans="1:8" x14ac:dyDescent="0.2">
      <c r="A50" s="182">
        <f t="array" ref="A50">IFERROR(INDEX('Annex 2 EHV charges'!$A$10:$A$150, MATCH(0, IF(('Annex 2 EHV charges'!$A$10:$A$150=""),1, COUNTIF(A$4:$A49, 'Annex 2 EHV charges'!$A$10:$A$150)), 0)),"")</f>
        <v>540</v>
      </c>
      <c r="B50" s="183">
        <f>IF($A50="","",VLOOKUP($A50,'Annex 2 EHV charges'!$A:$O,2,0))</f>
        <v>540</v>
      </c>
      <c r="C50" s="184">
        <f>IF($A50="","",VLOOKUP($A50,'Annex 2 EHV charges'!$A:$O,3,0))</f>
        <v>1580001190763</v>
      </c>
      <c r="D50" s="108" t="str">
        <f>IF($A50="","",VLOOKUP($A50,'Annex 2 EHV charges'!$A:$O,7,0))</f>
        <v>EHV Site Specific (LLFC 540 &amp; 783)</v>
      </c>
      <c r="E50" s="185">
        <f>IFERROR(IF(VLOOKUP($A50,'Annex 2 EHV charges'!$A:$O,8,FALSE)=0,"",VLOOKUP($A50,'Annex 2 EHV charges'!$A:$O,8,FALSE)),"")</f>
        <v>1E-3</v>
      </c>
      <c r="F50" s="186">
        <f>IFERROR(IF(VLOOKUP($A50,'Annex 2 EHV charges'!$A:$O,9,FALSE)=0,"",VLOOKUP($A50,'Annex 2 EHV charges'!$A:$O,9,FALSE)),"")</f>
        <v>2.12</v>
      </c>
      <c r="G50" s="187">
        <f>IFERROR(IF(VLOOKUP($A50,'Annex 2 EHV charges'!$A:$O,10,FALSE)=0,"",VLOOKUP($A50,'Annex 2 EHV charges'!$A:$O,10,FALSE)),"")</f>
        <v>1.25</v>
      </c>
      <c r="H50" s="187">
        <f>IFERROR(IF(VLOOKUP($A50,'Annex 2 EHV charges'!$A:$O,11,FALSE)=0,"",VLOOKUP($A50,'Annex 2 EHV charges'!$A:$O,11,FALSE)),"")</f>
        <v>1.25</v>
      </c>
    </row>
    <row r="51" spans="1:8" x14ac:dyDescent="0.2">
      <c r="A51" s="182">
        <f t="array" ref="A51">IFERROR(INDEX('Annex 2 EHV charges'!$A$10:$A$150, MATCH(0, IF(('Annex 2 EHV charges'!$A$10:$A$150=""),1, COUNTIF(A$4:$A50, 'Annex 2 EHV charges'!$A$10:$A$150)), 0)),"")</f>
        <v>541</v>
      </c>
      <c r="B51" s="183">
        <f>IF($A51="","",VLOOKUP($A51,'Annex 2 EHV charges'!$A:$O,2,0))</f>
        <v>541</v>
      </c>
      <c r="C51" s="184">
        <f>IF($A51="","",VLOOKUP($A51,'Annex 2 EHV charges'!$A:$O,3,0))</f>
        <v>1580001197945</v>
      </c>
      <c r="D51" s="108" t="str">
        <f>IF($A51="","",VLOOKUP($A51,'Annex 2 EHV charges'!$A:$O,7,0))</f>
        <v>EHV Site Specific (LLFC 541 &amp; 784)</v>
      </c>
      <c r="E51" s="185">
        <f>IFERROR(IF(VLOOKUP($A51,'Annex 2 EHV charges'!$A:$O,8,FALSE)=0,"",VLOOKUP($A51,'Annex 2 EHV charges'!$A:$O,8,FALSE)),"")</f>
        <v>0.52400000000000002</v>
      </c>
      <c r="F51" s="186">
        <f>IFERROR(IF(VLOOKUP($A51,'Annex 2 EHV charges'!$A:$O,9,FALSE)=0,"",VLOOKUP($A51,'Annex 2 EHV charges'!$A:$O,9,FALSE)),"")</f>
        <v>315.86</v>
      </c>
      <c r="G51" s="187">
        <f>IFERROR(IF(VLOOKUP($A51,'Annex 2 EHV charges'!$A:$O,10,FALSE)=0,"",VLOOKUP($A51,'Annex 2 EHV charges'!$A:$O,10,FALSE)),"")</f>
        <v>3.9</v>
      </c>
      <c r="H51" s="187">
        <f>IFERROR(IF(VLOOKUP($A51,'Annex 2 EHV charges'!$A:$O,11,FALSE)=0,"",VLOOKUP($A51,'Annex 2 EHV charges'!$A:$O,11,FALSE)),"")</f>
        <v>3.9</v>
      </c>
    </row>
    <row r="52" spans="1:8" x14ac:dyDescent="0.2">
      <c r="A52" s="182">
        <f t="array" ref="A52">IFERROR(INDEX('Annex 2 EHV charges'!$A$10:$A$150, MATCH(0, IF(('Annex 2 EHV charges'!$A$10:$A$150=""),1, COUNTIF(A$4:$A51, 'Annex 2 EHV charges'!$A$10:$A$150)), 0)),"")</f>
        <v>542</v>
      </c>
      <c r="B52" s="183">
        <f>IF($A52="","",VLOOKUP($A52,'Annex 2 EHV charges'!$A:$O,2,0))</f>
        <v>542</v>
      </c>
      <c r="C52" s="184">
        <f>IF($A52="","",VLOOKUP($A52,'Annex 2 EHV charges'!$A:$O,3,0))</f>
        <v>1580001278406</v>
      </c>
      <c r="D52" s="108" t="str">
        <f>IF($A52="","",VLOOKUP($A52,'Annex 2 EHV charges'!$A:$O,7,0))</f>
        <v>EHV Site Specific (LLFC 542 &amp; 785)</v>
      </c>
      <c r="E52" s="185" t="str">
        <f>IFERROR(IF(VLOOKUP($A52,'Annex 2 EHV charges'!$A:$O,8,FALSE)=0,"",VLOOKUP($A52,'Annex 2 EHV charges'!$A:$O,8,FALSE)),"")</f>
        <v/>
      </c>
      <c r="F52" s="186">
        <f>IFERROR(IF(VLOOKUP($A52,'Annex 2 EHV charges'!$A:$O,9,FALSE)=0,"",VLOOKUP($A52,'Annex 2 EHV charges'!$A:$O,9,FALSE)),"")</f>
        <v>169.3</v>
      </c>
      <c r="G52" s="187">
        <f>IFERROR(IF(VLOOKUP($A52,'Annex 2 EHV charges'!$A:$O,10,FALSE)=0,"",VLOOKUP($A52,'Annex 2 EHV charges'!$A:$O,10,FALSE)),"")</f>
        <v>0.81</v>
      </c>
      <c r="H52" s="187">
        <f>IFERROR(IF(VLOOKUP($A52,'Annex 2 EHV charges'!$A:$O,11,FALSE)=0,"",VLOOKUP($A52,'Annex 2 EHV charges'!$A:$O,11,FALSE)),"")</f>
        <v>0.81</v>
      </c>
    </row>
    <row r="53" spans="1:8" x14ac:dyDescent="0.2">
      <c r="A53" s="182">
        <f t="array" ref="A53">IFERROR(INDEX('Annex 2 EHV charges'!$A$10:$A$150, MATCH(0, IF(('Annex 2 EHV charges'!$A$10:$A$150=""),1, COUNTIF(A$4:$A52, 'Annex 2 EHV charges'!$A$10:$A$150)), 0)),"")</f>
        <v>543</v>
      </c>
      <c r="B53" s="183">
        <f>IF($A53="","",VLOOKUP($A53,'Annex 2 EHV charges'!$A:$O,2,0))</f>
        <v>543</v>
      </c>
      <c r="C53" s="184">
        <f>IF($A53="","",VLOOKUP($A53,'Annex 2 EHV charges'!$A:$O,3,0))</f>
        <v>1580001278415</v>
      </c>
      <c r="D53" s="108" t="str">
        <f>IF($A53="","",VLOOKUP($A53,'Annex 2 EHV charges'!$A:$O,7,0))</f>
        <v>EHV Site Specific (LLFC 543)</v>
      </c>
      <c r="E53" s="185" t="str">
        <f>IFERROR(IF(VLOOKUP($A53,'Annex 2 EHV charges'!$A:$O,8,FALSE)=0,"",VLOOKUP($A53,'Annex 2 EHV charges'!$A:$O,8,FALSE)),"")</f>
        <v/>
      </c>
      <c r="F53" s="186">
        <f>IFERROR(IF(VLOOKUP($A53,'Annex 2 EHV charges'!$A:$O,9,FALSE)=0,"",VLOOKUP($A53,'Annex 2 EHV charges'!$A:$O,9,FALSE)),"")</f>
        <v>3992.41</v>
      </c>
      <c r="G53" s="187">
        <f>IFERROR(IF(VLOOKUP($A53,'Annex 2 EHV charges'!$A:$O,10,FALSE)=0,"",VLOOKUP($A53,'Annex 2 EHV charges'!$A:$O,10,FALSE)),"")</f>
        <v>0.98</v>
      </c>
      <c r="H53" s="187">
        <f>IFERROR(IF(VLOOKUP($A53,'Annex 2 EHV charges'!$A:$O,11,FALSE)=0,"",VLOOKUP($A53,'Annex 2 EHV charges'!$A:$O,11,FALSE)),"")</f>
        <v>0.98</v>
      </c>
    </row>
    <row r="54" spans="1:8" x14ac:dyDescent="0.2">
      <c r="A54" s="182">
        <f t="array" ref="A54">IFERROR(INDEX('Annex 2 EHV charges'!$A$10:$A$150, MATCH(0, IF(('Annex 2 EHV charges'!$A$10:$A$150=""),1, COUNTIF(A$4:$A53, 'Annex 2 EHV charges'!$A$10:$A$150)), 0)),"")</f>
        <v>545</v>
      </c>
      <c r="B54" s="183">
        <f>IF($A54="","",VLOOKUP($A54,'Annex 2 EHV charges'!$A:$O,2,0))</f>
        <v>545</v>
      </c>
      <c r="C54" s="184">
        <f>IF($A54="","",VLOOKUP($A54,'Annex 2 EHV charges'!$A:$O,3,0))</f>
        <v>1580001417656</v>
      </c>
      <c r="D54" s="108" t="str">
        <f>IF($A54="","",VLOOKUP($A54,'Annex 2 EHV charges'!$A:$O,7,0))</f>
        <v>EHV Site Specific (LLFC 545)</v>
      </c>
      <c r="E54" s="185">
        <f>IFERROR(IF(VLOOKUP($A54,'Annex 2 EHV charges'!$A:$O,8,FALSE)=0,"",VLOOKUP($A54,'Annex 2 EHV charges'!$A:$O,8,FALSE)),"")</f>
        <v>6.4000000000000001E-2</v>
      </c>
      <c r="F54" s="186">
        <f>IFERROR(IF(VLOOKUP($A54,'Annex 2 EHV charges'!$A:$O,9,FALSE)=0,"",VLOOKUP($A54,'Annex 2 EHV charges'!$A:$O,9,FALSE)),"")</f>
        <v>17393.39</v>
      </c>
      <c r="G54" s="187">
        <f>IFERROR(IF(VLOOKUP($A54,'Annex 2 EHV charges'!$A:$O,10,FALSE)=0,"",VLOOKUP($A54,'Annex 2 EHV charges'!$A:$O,10,FALSE)),"")</f>
        <v>1.31</v>
      </c>
      <c r="H54" s="187">
        <f>IFERROR(IF(VLOOKUP($A54,'Annex 2 EHV charges'!$A:$O,11,FALSE)=0,"",VLOOKUP($A54,'Annex 2 EHV charges'!$A:$O,11,FALSE)),"")</f>
        <v>1.31</v>
      </c>
    </row>
    <row r="55" spans="1:8" x14ac:dyDescent="0.2">
      <c r="A55" s="182">
        <f t="array" ref="A55">IFERROR(INDEX('Annex 2 EHV charges'!$A$10:$A$150, MATCH(0, IF(('Annex 2 EHV charges'!$A$10:$A$150=""),1, COUNTIF(A$4:$A54, 'Annex 2 EHV charges'!$A$10:$A$150)), 0)),"")</f>
        <v>547</v>
      </c>
      <c r="B55" s="183">
        <f>IF($A55="","",VLOOKUP($A55,'Annex 2 EHV charges'!$A:$O,2,0))</f>
        <v>547</v>
      </c>
      <c r="C55" s="184">
        <f>IF($A55="","",VLOOKUP($A55,'Annex 2 EHV charges'!$A:$O,3,0))</f>
        <v>1580001440530</v>
      </c>
      <c r="D55" s="108" t="str">
        <f>IF($A55="","",VLOOKUP($A55,'Annex 2 EHV charges'!$A:$O,7,0))</f>
        <v>EHV Site Specific (LLFC 547 &amp; 787)</v>
      </c>
      <c r="E55" s="185" t="str">
        <f>IFERROR(IF(VLOOKUP($A55,'Annex 2 EHV charges'!$A:$O,8,FALSE)=0,"",VLOOKUP($A55,'Annex 2 EHV charges'!$A:$O,8,FALSE)),"")</f>
        <v/>
      </c>
      <c r="F55" s="186">
        <f>IFERROR(IF(VLOOKUP($A55,'Annex 2 EHV charges'!$A:$O,9,FALSE)=0,"",VLOOKUP($A55,'Annex 2 EHV charges'!$A:$O,9,FALSE)),"")</f>
        <v>32.26</v>
      </c>
      <c r="G55" s="187">
        <f>IFERROR(IF(VLOOKUP($A55,'Annex 2 EHV charges'!$A:$O,10,FALSE)=0,"",VLOOKUP($A55,'Annex 2 EHV charges'!$A:$O,10,FALSE)),"")</f>
        <v>1.77</v>
      </c>
      <c r="H55" s="187">
        <f>IFERROR(IF(VLOOKUP($A55,'Annex 2 EHV charges'!$A:$O,11,FALSE)=0,"",VLOOKUP($A55,'Annex 2 EHV charges'!$A:$O,11,FALSE)),"")</f>
        <v>1.77</v>
      </c>
    </row>
    <row r="56" spans="1:8" x14ac:dyDescent="0.2">
      <c r="A56" s="182">
        <f t="array" ref="A56">IFERROR(INDEX('Annex 2 EHV charges'!$A$10:$A$150, MATCH(0, IF(('Annex 2 EHV charges'!$A$10:$A$150=""),1, COUNTIF(A$4:$A55, 'Annex 2 EHV charges'!$A$10:$A$150)), 0)),"")</f>
        <v>548</v>
      </c>
      <c r="B56" s="183">
        <f>IF($A56="","",VLOOKUP($A56,'Annex 2 EHV charges'!$A:$O,2,0))</f>
        <v>548</v>
      </c>
      <c r="C56" s="184">
        <f>IF($A56="","",VLOOKUP($A56,'Annex 2 EHV charges'!$A:$O,3,0))</f>
        <v>1580001440520</v>
      </c>
      <c r="D56" s="108" t="str">
        <f>IF($A56="","",VLOOKUP($A56,'Annex 2 EHV charges'!$A:$O,7,0))</f>
        <v>EHV Site Specific (LLFC 548 &amp; 788)</v>
      </c>
      <c r="E56" s="185" t="str">
        <f>IFERROR(IF(VLOOKUP($A56,'Annex 2 EHV charges'!$A:$O,8,FALSE)=0,"",VLOOKUP($A56,'Annex 2 EHV charges'!$A:$O,8,FALSE)),"")</f>
        <v/>
      </c>
      <c r="F56" s="186">
        <f>IFERROR(IF(VLOOKUP($A56,'Annex 2 EHV charges'!$A:$O,9,FALSE)=0,"",VLOOKUP($A56,'Annex 2 EHV charges'!$A:$O,9,FALSE)),"")</f>
        <v>64.28</v>
      </c>
      <c r="G56" s="187">
        <f>IFERROR(IF(VLOOKUP($A56,'Annex 2 EHV charges'!$A:$O,10,FALSE)=0,"",VLOOKUP($A56,'Annex 2 EHV charges'!$A:$O,10,FALSE)),"")</f>
        <v>1.76</v>
      </c>
      <c r="H56" s="187">
        <f>IFERROR(IF(VLOOKUP($A56,'Annex 2 EHV charges'!$A:$O,11,FALSE)=0,"",VLOOKUP($A56,'Annex 2 EHV charges'!$A:$O,11,FALSE)),"")</f>
        <v>1.76</v>
      </c>
    </row>
    <row r="57" spans="1:8" x14ac:dyDescent="0.2">
      <c r="A57" s="182">
        <f t="array" ref="A57">IFERROR(INDEX('Annex 2 EHV charges'!$A$10:$A$150, MATCH(0, IF(('Annex 2 EHV charges'!$A$10:$A$150=""),1, COUNTIF(A$4:$A56, 'Annex 2 EHV charges'!$A$10:$A$150)), 0)),"")</f>
        <v>549</v>
      </c>
      <c r="B57" s="183">
        <f>IF($A57="","",VLOOKUP($A57,'Annex 2 EHV charges'!$A:$O,2,0))</f>
        <v>549</v>
      </c>
      <c r="C57" s="184">
        <f>IF($A57="","",VLOOKUP($A57,'Annex 2 EHV charges'!$A:$O,3,0))</f>
        <v>1580001487955</v>
      </c>
      <c r="D57" s="108" t="str">
        <f>IF($A57="","",VLOOKUP($A57,'Annex 2 EHV charges'!$A:$O,7,0))</f>
        <v>EHV Site Specific (LLFC 549 &amp; 789)</v>
      </c>
      <c r="E57" s="185" t="str">
        <f>IFERROR(IF(VLOOKUP($A57,'Annex 2 EHV charges'!$A:$O,8,FALSE)=0,"",VLOOKUP($A57,'Annex 2 EHV charges'!$A:$O,8,FALSE)),"")</f>
        <v/>
      </c>
      <c r="F57" s="186">
        <f>IFERROR(IF(VLOOKUP($A57,'Annex 2 EHV charges'!$A:$O,9,FALSE)=0,"",VLOOKUP($A57,'Annex 2 EHV charges'!$A:$O,9,FALSE)),"")</f>
        <v>258.77999999999997</v>
      </c>
      <c r="G57" s="187">
        <f>IFERROR(IF(VLOOKUP($A57,'Annex 2 EHV charges'!$A:$O,10,FALSE)=0,"",VLOOKUP($A57,'Annex 2 EHV charges'!$A:$O,10,FALSE)),"")</f>
        <v>2.12</v>
      </c>
      <c r="H57" s="187">
        <f>IFERROR(IF(VLOOKUP($A57,'Annex 2 EHV charges'!$A:$O,11,FALSE)=0,"",VLOOKUP($A57,'Annex 2 EHV charges'!$A:$O,11,FALSE)),"")</f>
        <v>2.12</v>
      </c>
    </row>
    <row r="58" spans="1:8" x14ac:dyDescent="0.2">
      <c r="A58" s="182">
        <f t="array" ref="A58">IFERROR(INDEX('Annex 2 EHV charges'!$A$10:$A$150, MATCH(0, IF(('Annex 2 EHV charges'!$A$10:$A$150=""),1, COUNTIF(A$4:$A57, 'Annex 2 EHV charges'!$A$10:$A$150)), 0)),"")</f>
        <v>560</v>
      </c>
      <c r="B58" s="183">
        <f>IF($A58="","",VLOOKUP($A58,'Annex 2 EHV charges'!$A:$O,2,0))</f>
        <v>560</v>
      </c>
      <c r="C58" s="184" t="str">
        <f>IF($A58="","",VLOOKUP($A58,'Annex 2 EHV charges'!$A:$O,3,0))</f>
        <v>MSID_7331</v>
      </c>
      <c r="D58" s="108" t="str">
        <f>IF($A58="","",VLOOKUP($A58,'Annex 2 EHV charges'!$A:$O,7,0))</f>
        <v>EHV Site Specific (LLFC 560 &amp; 806)</v>
      </c>
      <c r="E58" s="185" t="str">
        <f>IFERROR(IF(VLOOKUP($A58,'Annex 2 EHV charges'!$A:$O,8,FALSE)=0,"",VLOOKUP($A58,'Annex 2 EHV charges'!$A:$O,8,FALSE)),"")</f>
        <v/>
      </c>
      <c r="F58" s="186">
        <f>IFERROR(IF(VLOOKUP($A58,'Annex 2 EHV charges'!$A:$O,9,FALSE)=0,"",VLOOKUP($A58,'Annex 2 EHV charges'!$A:$O,9,FALSE)),"")</f>
        <v>32.409999999999997</v>
      </c>
      <c r="G58" s="187">
        <f>IFERROR(IF(VLOOKUP($A58,'Annex 2 EHV charges'!$A:$O,10,FALSE)=0,"",VLOOKUP($A58,'Annex 2 EHV charges'!$A:$O,10,FALSE)),"")</f>
        <v>1.91</v>
      </c>
      <c r="H58" s="187">
        <f>IFERROR(IF(VLOOKUP($A58,'Annex 2 EHV charges'!$A:$O,11,FALSE)=0,"",VLOOKUP($A58,'Annex 2 EHV charges'!$A:$O,11,FALSE)),"")</f>
        <v>1.91</v>
      </c>
    </row>
    <row r="59" spans="1:8" x14ac:dyDescent="0.2">
      <c r="A59" s="182">
        <f t="array" ref="A59">IFERROR(INDEX('Annex 2 EHV charges'!$A$10:$A$150, MATCH(0, IF(('Annex 2 EHV charges'!$A$10:$A$150=""),1, COUNTIF(A$4:$A58, 'Annex 2 EHV charges'!$A$10:$A$150)), 0)),"")</f>
        <v>561</v>
      </c>
      <c r="B59" s="183">
        <f>IF($A59="","",VLOOKUP($A59,'Annex 2 EHV charges'!$A:$O,2,0))</f>
        <v>561</v>
      </c>
      <c r="C59" s="184">
        <f>IF($A59="","",VLOOKUP($A59,'Annex 2 EHV charges'!$A:$O,3,0))</f>
        <v>1580001519739</v>
      </c>
      <c r="D59" s="108" t="str">
        <f>IF($A59="","",VLOOKUP($A59,'Annex 2 EHV charges'!$A:$O,7,0))</f>
        <v>EHV Site Specific (LLFC 561 &amp; 807)</v>
      </c>
      <c r="E59" s="185" t="str">
        <f>IFERROR(IF(VLOOKUP($A59,'Annex 2 EHV charges'!$A:$O,8,FALSE)=0,"",VLOOKUP($A59,'Annex 2 EHV charges'!$A:$O,8,FALSE)),"")</f>
        <v/>
      </c>
      <c r="F59" s="186">
        <f>IFERROR(IF(VLOOKUP($A59,'Annex 2 EHV charges'!$A:$O,9,FALSE)=0,"",VLOOKUP($A59,'Annex 2 EHV charges'!$A:$O,9,FALSE)),"")</f>
        <v>51.34</v>
      </c>
      <c r="G59" s="187">
        <f>IFERROR(IF(VLOOKUP($A59,'Annex 2 EHV charges'!$A:$O,10,FALSE)=0,"",VLOOKUP($A59,'Annex 2 EHV charges'!$A:$O,10,FALSE)),"")</f>
        <v>1.7</v>
      </c>
      <c r="H59" s="187">
        <f>IFERROR(IF(VLOOKUP($A59,'Annex 2 EHV charges'!$A:$O,11,FALSE)=0,"",VLOOKUP($A59,'Annex 2 EHV charges'!$A:$O,11,FALSE)),"")</f>
        <v>1.7</v>
      </c>
    </row>
    <row r="60" spans="1:8" x14ac:dyDescent="0.2">
      <c r="A60" s="182">
        <f t="array" ref="A60">IFERROR(INDEX('Annex 2 EHV charges'!$A$10:$A$150, MATCH(0, IF(('Annex 2 EHV charges'!$A$10:$A$150=""),1, COUNTIF(A$4:$A59, 'Annex 2 EHV charges'!$A$10:$A$150)), 0)),"")</f>
        <v>563</v>
      </c>
      <c r="B60" s="183">
        <f>IF($A60="","",VLOOKUP($A60,'Annex 2 EHV charges'!$A:$O,2,0))</f>
        <v>563</v>
      </c>
      <c r="C60" s="184">
        <f>IF($A60="","",VLOOKUP($A60,'Annex 2 EHV charges'!$A:$O,3,0))</f>
        <v>1580001448895</v>
      </c>
      <c r="D60" s="108" t="str">
        <f>IF($A60="","",VLOOKUP($A60,'Annex 2 EHV charges'!$A:$O,7,0))</f>
        <v>EHV Site Specific (LLFC 563 &amp; 802)</v>
      </c>
      <c r="E60" s="185">
        <f>IFERROR(IF(VLOOKUP($A60,'Annex 2 EHV charges'!$A:$O,8,FALSE)=0,"",VLOOKUP($A60,'Annex 2 EHV charges'!$A:$O,8,FALSE)),"")</f>
        <v>0.72299999999999998</v>
      </c>
      <c r="F60" s="186">
        <f>IFERROR(IF(VLOOKUP($A60,'Annex 2 EHV charges'!$A:$O,9,FALSE)=0,"",VLOOKUP($A60,'Annex 2 EHV charges'!$A:$O,9,FALSE)),"")</f>
        <v>1.34</v>
      </c>
      <c r="G60" s="187">
        <f>IFERROR(IF(VLOOKUP($A60,'Annex 2 EHV charges'!$A:$O,10,FALSE)=0,"",VLOOKUP($A60,'Annex 2 EHV charges'!$A:$O,10,FALSE)),"")</f>
        <v>1.93</v>
      </c>
      <c r="H60" s="187">
        <f>IFERROR(IF(VLOOKUP($A60,'Annex 2 EHV charges'!$A:$O,11,FALSE)=0,"",VLOOKUP($A60,'Annex 2 EHV charges'!$A:$O,11,FALSE)),"")</f>
        <v>1.93</v>
      </c>
    </row>
    <row r="61" spans="1:8" x14ac:dyDescent="0.2">
      <c r="A61" s="182">
        <f t="array" ref="A61">IFERROR(INDEX('Annex 2 EHV charges'!$A$10:$A$150, MATCH(0, IF(('Annex 2 EHV charges'!$A$10:$A$150=""),1, COUNTIF(A$4:$A60, 'Annex 2 EHV charges'!$A$10:$A$150)), 0)),"")</f>
        <v>562</v>
      </c>
      <c r="B61" s="183">
        <f>IF($A61="","",VLOOKUP($A61,'Annex 2 EHV charges'!$A:$O,2,0))</f>
        <v>562</v>
      </c>
      <c r="C61" s="184">
        <f>IF($A61="","",VLOOKUP($A61,'Annex 2 EHV charges'!$A:$O,3,0))</f>
        <v>1580001448900</v>
      </c>
      <c r="D61" s="108" t="str">
        <f>IF($A61="","",VLOOKUP($A61,'Annex 2 EHV charges'!$A:$O,7,0))</f>
        <v>EHV Site Specific (LLFC 562 &amp; 769)</v>
      </c>
      <c r="E61" s="185">
        <f>IFERROR(IF(VLOOKUP($A61,'Annex 2 EHV charges'!$A:$O,8,FALSE)=0,"",VLOOKUP($A61,'Annex 2 EHV charges'!$A:$O,8,FALSE)),"")</f>
        <v>0.72299999999999998</v>
      </c>
      <c r="F61" s="186">
        <f>IFERROR(IF(VLOOKUP($A61,'Annex 2 EHV charges'!$A:$O,9,FALSE)=0,"",VLOOKUP($A61,'Annex 2 EHV charges'!$A:$O,9,FALSE)),"")</f>
        <v>1.34</v>
      </c>
      <c r="G61" s="187">
        <f>IFERROR(IF(VLOOKUP($A61,'Annex 2 EHV charges'!$A:$O,10,FALSE)=0,"",VLOOKUP($A61,'Annex 2 EHV charges'!$A:$O,10,FALSE)),"")</f>
        <v>1.84</v>
      </c>
      <c r="H61" s="187">
        <f>IFERROR(IF(VLOOKUP($A61,'Annex 2 EHV charges'!$A:$O,11,FALSE)=0,"",VLOOKUP($A61,'Annex 2 EHV charges'!$A:$O,11,FALSE)),"")</f>
        <v>1.84</v>
      </c>
    </row>
    <row r="62" spans="1:8" x14ac:dyDescent="0.2">
      <c r="A62" s="182">
        <f t="array" ref="A62">IFERROR(INDEX('Annex 2 EHV charges'!$A$10:$A$150, MATCH(0, IF(('Annex 2 EHV charges'!$A$10:$A$150=""),1, COUNTIF(A$4:$A61, 'Annex 2 EHV charges'!$A$10:$A$150)), 0)),"")</f>
        <v>564</v>
      </c>
      <c r="B62" s="183">
        <f>IF($A62="","",VLOOKUP($A62,'Annex 2 EHV charges'!$A:$O,2,0))</f>
        <v>564</v>
      </c>
      <c r="C62" s="184">
        <f>IF($A62="","",VLOOKUP($A62,'Annex 2 EHV charges'!$A:$O,3,0))</f>
        <v>1580001527952</v>
      </c>
      <c r="D62" s="108" t="str">
        <f>IF($A62="","",VLOOKUP($A62,'Annex 2 EHV charges'!$A:$O,7,0))</f>
        <v>EHV Site Specific (LLFC 564 &amp; 803)</v>
      </c>
      <c r="E62" s="185" t="str">
        <f>IFERROR(IF(VLOOKUP($A62,'Annex 2 EHV charges'!$A:$O,8,FALSE)=0,"",VLOOKUP($A62,'Annex 2 EHV charges'!$A:$O,8,FALSE)),"")</f>
        <v/>
      </c>
      <c r="F62" s="186">
        <f>IFERROR(IF(VLOOKUP($A62,'Annex 2 EHV charges'!$A:$O,9,FALSE)=0,"",VLOOKUP($A62,'Annex 2 EHV charges'!$A:$O,9,FALSE)),"")</f>
        <v>248.29</v>
      </c>
      <c r="G62" s="187">
        <f>IFERROR(IF(VLOOKUP($A62,'Annex 2 EHV charges'!$A:$O,10,FALSE)=0,"",VLOOKUP($A62,'Annex 2 EHV charges'!$A:$O,10,FALSE)),"")</f>
        <v>1.91</v>
      </c>
      <c r="H62" s="187">
        <f>IFERROR(IF(VLOOKUP($A62,'Annex 2 EHV charges'!$A:$O,11,FALSE)=0,"",VLOOKUP($A62,'Annex 2 EHV charges'!$A:$O,11,FALSE)),"")</f>
        <v>1.91</v>
      </c>
    </row>
    <row r="63" spans="1:8" x14ac:dyDescent="0.2">
      <c r="A63" s="182">
        <f t="array" ref="A63">IFERROR(INDEX('Annex 2 EHV charges'!$A$10:$A$150, MATCH(0, IF(('Annex 2 EHV charges'!$A$10:$A$150=""),1, COUNTIF(A$4:$A62, 'Annex 2 EHV charges'!$A$10:$A$150)), 0)),"")</f>
        <v>565</v>
      </c>
      <c r="B63" s="183">
        <f>IF($A63="","",VLOOKUP($A63,'Annex 2 EHV charges'!$A:$O,2,0))</f>
        <v>565</v>
      </c>
      <c r="C63" s="184">
        <f>IF($A63="","",VLOOKUP($A63,'Annex 2 EHV charges'!$A:$O,3,0))</f>
        <v>1580001498380</v>
      </c>
      <c r="D63" s="108" t="str">
        <f>IF($A63="","",VLOOKUP($A63,'Annex 2 EHV charges'!$A:$O,7,0))</f>
        <v>EHV Site Specific (LLFC 565 &amp; 805)</v>
      </c>
      <c r="E63" s="185">
        <f>IFERROR(IF(VLOOKUP($A63,'Annex 2 EHV charges'!$A:$O,8,FALSE)=0,"",VLOOKUP($A63,'Annex 2 EHV charges'!$A:$O,8,FALSE)),"")</f>
        <v>0.183</v>
      </c>
      <c r="F63" s="186">
        <f>IFERROR(IF(VLOOKUP($A63,'Annex 2 EHV charges'!$A:$O,9,FALSE)=0,"",VLOOKUP($A63,'Annex 2 EHV charges'!$A:$O,9,FALSE)),"")</f>
        <v>130.51</v>
      </c>
      <c r="G63" s="187">
        <f>IFERROR(IF(VLOOKUP($A63,'Annex 2 EHV charges'!$A:$O,10,FALSE)=0,"",VLOOKUP($A63,'Annex 2 EHV charges'!$A:$O,10,FALSE)),"")</f>
        <v>2.52</v>
      </c>
      <c r="H63" s="187">
        <f>IFERROR(IF(VLOOKUP($A63,'Annex 2 EHV charges'!$A:$O,11,FALSE)=0,"",VLOOKUP($A63,'Annex 2 EHV charges'!$A:$O,11,FALSE)),"")</f>
        <v>2.52</v>
      </c>
    </row>
    <row r="64" spans="1:8" x14ac:dyDescent="0.2">
      <c r="A64" s="182">
        <f t="array" ref="A64">IFERROR(INDEX('Annex 2 EHV charges'!$A$10:$A$150, MATCH(0, IF(('Annex 2 EHV charges'!$A$10:$A$150=""),1, COUNTIF(A$4:$A63, 'Annex 2 EHV charges'!$A$10:$A$150)), 0)),"")</f>
        <v>567</v>
      </c>
      <c r="B64" s="183">
        <f>IF($A64="","",VLOOKUP($A64,'Annex 2 EHV charges'!$A:$O,2,0))</f>
        <v>567</v>
      </c>
      <c r="C64" s="184">
        <f>IF($A64="","",VLOOKUP($A64,'Annex 2 EHV charges'!$A:$O,3,0))</f>
        <v>1580001531639</v>
      </c>
      <c r="D64" s="108" t="str">
        <f>IF($A64="","",VLOOKUP($A64,'Annex 2 EHV charges'!$A:$O,7,0))</f>
        <v>EHV Site Specific (LLFC 567 &amp; 809)</v>
      </c>
      <c r="E64" s="185">
        <f>IFERROR(IF(VLOOKUP($A64,'Annex 2 EHV charges'!$A:$O,8,FALSE)=0,"",VLOOKUP($A64,'Annex 2 EHV charges'!$A:$O,8,FALSE)),"")</f>
        <v>0.36099999999999999</v>
      </c>
      <c r="F64" s="186">
        <f>IFERROR(IF(VLOOKUP($A64,'Annex 2 EHV charges'!$A:$O,9,FALSE)=0,"",VLOOKUP($A64,'Annex 2 EHV charges'!$A:$O,9,FALSE)),"")</f>
        <v>7.03</v>
      </c>
      <c r="G64" s="187">
        <f>IFERROR(IF(VLOOKUP($A64,'Annex 2 EHV charges'!$A:$O,10,FALSE)=0,"",VLOOKUP($A64,'Annex 2 EHV charges'!$A:$O,10,FALSE)),"")</f>
        <v>3.36</v>
      </c>
      <c r="H64" s="187">
        <f>IFERROR(IF(VLOOKUP($A64,'Annex 2 EHV charges'!$A:$O,11,FALSE)=0,"",VLOOKUP($A64,'Annex 2 EHV charges'!$A:$O,11,FALSE)),"")</f>
        <v>3.36</v>
      </c>
    </row>
    <row r="65" spans="1:8" x14ac:dyDescent="0.2">
      <c r="A65" s="182">
        <f t="array" ref="A65">IFERROR(INDEX('Annex 2 EHV charges'!$A$10:$A$150, MATCH(0, IF(('Annex 2 EHV charges'!$A$10:$A$150=""),1, COUNTIF(A$4:$A64, 'Annex 2 EHV charges'!$A$10:$A$150)), 0)),"")</f>
        <v>566</v>
      </c>
      <c r="B65" s="183">
        <f>IF($A65="","",VLOOKUP($A65,'Annex 2 EHV charges'!$A:$O,2,0))</f>
        <v>566</v>
      </c>
      <c r="C65" s="184">
        <f>IF($A65="","",VLOOKUP($A65,'Annex 2 EHV charges'!$A:$O,3,0))</f>
        <v>1580001511800</v>
      </c>
      <c r="D65" s="108" t="str">
        <f>IF($A65="","",VLOOKUP($A65,'Annex 2 EHV charges'!$A:$O,7,0))</f>
        <v>EHV Site Specific (LLFC 566 &amp; 808)</v>
      </c>
      <c r="E65" s="185">
        <f>IFERROR(IF(VLOOKUP($A65,'Annex 2 EHV charges'!$A:$O,8,FALSE)=0,"",VLOOKUP($A65,'Annex 2 EHV charges'!$A:$O,8,FALSE)),"")</f>
        <v>1E-3</v>
      </c>
      <c r="F65" s="186">
        <f>IFERROR(IF(VLOOKUP($A65,'Annex 2 EHV charges'!$A:$O,9,FALSE)=0,"",VLOOKUP($A65,'Annex 2 EHV charges'!$A:$O,9,FALSE)),"")</f>
        <v>495.72</v>
      </c>
      <c r="G65" s="187">
        <f>IFERROR(IF(VLOOKUP($A65,'Annex 2 EHV charges'!$A:$O,10,FALSE)=0,"",VLOOKUP($A65,'Annex 2 EHV charges'!$A:$O,10,FALSE)),"")</f>
        <v>2.4500000000000002</v>
      </c>
      <c r="H65" s="187">
        <f>IFERROR(IF(VLOOKUP($A65,'Annex 2 EHV charges'!$A:$O,11,FALSE)=0,"",VLOOKUP($A65,'Annex 2 EHV charges'!$A:$O,11,FALSE)),"")</f>
        <v>2.4500000000000002</v>
      </c>
    </row>
  </sheetData>
  <mergeCells count="2">
    <mergeCell ref="A2:H2"/>
    <mergeCell ref="A1:H1"/>
  </mergeCells>
  <pageMargins left="0.39370078740157483" right="0.39370078740157483" top="0.9055118110236221" bottom="0.74803149606299213" header="0.31496062992125984" footer="0.51181102362204722"/>
  <pageSetup paperSize="9" scale="65" fitToHeight="0" orientation="portrait" r:id="rId1"/>
  <headerFooter differentFirst="1" scaleWithDoc="0">
    <oddHeader>&amp;L&amp;"Trebuchet MS,Regular"
&amp;"Trebuchet MS,Bold"Annex 2a&amp;"Trebuchet MS,Regular" - Schedule of Import Charges for use of the Distribution System by Designated EHV Properties (including LDNOs with Designated EHV Properties/end-users).</oddHeader>
    <firstHeader>&amp;L&amp;"Trebuchet MS,Regular"
&amp;"Trebuchet MS,Bold"Annex 2a &amp;"Trebuchet MS,Regular"- Schedule of Import Charges for use of the Distribution System by Designated EHV Properties (including LDNOs with Designated EHV Properties/end-users).</first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H39"/>
  <sheetViews>
    <sheetView zoomScaleNormal="100" zoomScaleSheetLayoutView="100" workbookViewId="0">
      <selection activeCell="A4" sqref="A4"/>
    </sheetView>
  </sheetViews>
  <sheetFormatPr defaultRowHeight="12.75" x14ac:dyDescent="0.2"/>
  <cols>
    <col min="1" max="1" width="14.7109375" style="59" customWidth="1"/>
    <col min="2" max="2" width="8.7109375" style="59" customWidth="1"/>
    <col min="3" max="3" width="15.7109375" style="66" bestFit="1" customWidth="1"/>
    <col min="4" max="4" width="50.7109375" style="66" customWidth="1"/>
    <col min="5" max="5" width="14.7109375" style="67" customWidth="1"/>
    <col min="6" max="7" width="14.7109375" style="68" customWidth="1"/>
    <col min="8" max="8" width="14.7109375" style="59" customWidth="1"/>
    <col min="9" max="16384" width="9.140625" style="59"/>
  </cols>
  <sheetData>
    <row r="1" spans="1:8" x14ac:dyDescent="0.2">
      <c r="A1" s="233" t="s">
        <v>511</v>
      </c>
      <c r="B1" s="233"/>
      <c r="C1" s="233"/>
      <c r="D1" s="233"/>
      <c r="E1" s="233"/>
      <c r="F1" s="233"/>
      <c r="G1" s="233"/>
      <c r="H1" s="233"/>
    </row>
    <row r="2" spans="1:8" s="60" customFormat="1" ht="18" x14ac:dyDescent="0.2">
      <c r="A2" s="235" t="str">
        <f>Overview!B4&amp; " - Effective from "&amp;Overview!D4&amp;" - "&amp;Overview!E4&amp;" EDCM export charges"</f>
        <v>Northern Powergrid (Northeast) Ltd - Effective from 1 April 2019 - Final EDCM export charges</v>
      </c>
      <c r="B2" s="236"/>
      <c r="C2" s="236"/>
      <c r="D2" s="236"/>
      <c r="E2" s="236"/>
      <c r="F2" s="236"/>
      <c r="G2" s="236"/>
      <c r="H2" s="237"/>
    </row>
    <row r="3" spans="1:8" s="92" customFormat="1" ht="18" x14ac:dyDescent="0.2">
      <c r="A3" s="99"/>
      <c r="B3" s="99"/>
      <c r="C3" s="99"/>
      <c r="D3" s="100"/>
      <c r="E3" s="101"/>
      <c r="F3" s="101"/>
      <c r="G3" s="102"/>
      <c r="H3" s="102"/>
    </row>
    <row r="4" spans="1:8" ht="63.75" x14ac:dyDescent="0.2">
      <c r="A4" s="61" t="s">
        <v>482</v>
      </c>
      <c r="B4" s="62" t="s">
        <v>469</v>
      </c>
      <c r="C4" s="61" t="s">
        <v>471</v>
      </c>
      <c r="D4" s="63" t="s">
        <v>180</v>
      </c>
      <c r="E4" s="63" t="str">
        <f>'Annex 2 EHV charges'!L9</f>
        <v>Export
Super Red
unit charge
(p/kWh)</v>
      </c>
      <c r="F4" s="63" t="str">
        <f>'Annex 2 EHV charges'!M9</f>
        <v>Export
fixed charge
(p/day)</v>
      </c>
      <c r="G4" s="63" t="str">
        <f>'Annex 2 EHV charges'!N9</f>
        <v>Export
capacity charge
(p/kVA/day)</v>
      </c>
      <c r="H4" s="63" t="str">
        <f>'Annex 2 EHV charges'!O9</f>
        <v>Export
exceeded capacity charge
(p/kVA/day)</v>
      </c>
    </row>
    <row r="5" spans="1:8" ht="25.5" x14ac:dyDescent="0.2">
      <c r="A5" s="188">
        <f t="array" ref="A5">IFERROR(INDEX('Annex 2 EHV charges'!$D$10:$D$150, MATCH(0, IF(('Annex 2 EHV charges'!$D$10:$D$150=""),1, COUNTIF(A$4:$A4, 'Annex 2 EHV charges'!$D$10:$D$150)), 0)),"")</f>
        <v>701</v>
      </c>
      <c r="B5" s="183">
        <f>IF($A5="","",VLOOKUP($A5,'Annex 2 EHV charges'!$D:$O,2,0))</f>
        <v>701</v>
      </c>
      <c r="C5" s="184" t="str">
        <f>IF($A5="","",VLOOKUP($A5,'Annex 2 EHV charges'!$D:$O,3,0))</f>
        <v>1574000216135
1594001005774</v>
      </c>
      <c r="D5" s="108" t="str">
        <f>IF($A5="","",VLOOKUP($A5,'Annex 2 EHV charges'!$D:$O,4,0))</f>
        <v>EHV Site Specific - Generation Exempt (LLFC 601 &amp; 701)</v>
      </c>
      <c r="E5" s="189" t="str">
        <f>IFERROR(IF(VLOOKUP($A5,'Annex 2 EHV charges'!$D:$O,9,FALSE)=0,"",VLOOKUP($A5,'Annex 2 EHV charges'!$D:$O,9,FALSE)),"")</f>
        <v/>
      </c>
      <c r="F5" s="190" t="str">
        <f>IFERROR(IF(VLOOKUP($A5,'Annex 2 EHV charges'!$D:$O,10,FALSE)=0,"",VLOOKUP($A5,'Annex 2 EHV charges'!$D:$O,10,FALSE)),"")</f>
        <v/>
      </c>
      <c r="G5" s="191" t="str">
        <f>IFERROR(IF(VLOOKUP($A5,'Annex 2 EHV charges'!$D:$O,11,FALSE)=0,"",VLOOKUP($A5,'Annex 2 EHV charges'!$D:$O,11,FALSE)),"")</f>
        <v/>
      </c>
      <c r="H5" s="191" t="str">
        <f>IFERROR(IF(VLOOKUP($A5,'Annex 2 EHV charges'!$D:$O,12,FALSE)=0,"",VLOOKUP($A5,'Annex 2 EHV charges'!$D:$O,12,FALSE)),"")</f>
        <v/>
      </c>
    </row>
    <row r="6" spans="1:8" x14ac:dyDescent="0.2">
      <c r="A6" s="188">
        <f t="array" ref="A6">IFERROR(INDEX('Annex 2 EHV charges'!$D$10:$D$150, MATCH(0, IF(('Annex 2 EHV charges'!$D$10:$D$150=""),1, COUNTIF(A$4:$A5, 'Annex 2 EHV charges'!$D$10:$D$150)), 0)),"")</f>
        <v>727</v>
      </c>
      <c r="B6" s="183">
        <f>IF($A6="","",VLOOKUP($A6,'Annex 2 EHV charges'!$D:$O,2,0))</f>
        <v>727</v>
      </c>
      <c r="C6" s="184" t="str">
        <f>IF($A6="","",VLOOKUP($A6,'Annex 2 EHV charges'!$D:$O,3,0))</f>
        <v>MSID_7300</v>
      </c>
      <c r="D6" s="108" t="str">
        <f>IF($A6="","",VLOOKUP($A6,'Annex 2 EHV charges'!$D:$O,4,0))</f>
        <v>EHV Site Specific (LLFC 604 &amp; 727)</v>
      </c>
      <c r="E6" s="189" t="str">
        <f>IFERROR(IF(VLOOKUP($A6,'Annex 2 EHV charges'!$D:$O,9,FALSE)=0,"",VLOOKUP($A6,'Annex 2 EHV charges'!$D:$O,9,FALSE)),"")</f>
        <v/>
      </c>
      <c r="F6" s="190">
        <f>IFERROR(IF(VLOOKUP($A6,'Annex 2 EHV charges'!$D:$O,10,FALSE)=0,"",VLOOKUP($A6,'Annex 2 EHV charges'!$D:$O,10,FALSE)),"")</f>
        <v>1059.3699999999999</v>
      </c>
      <c r="G6" s="191">
        <f>IFERROR(IF(VLOOKUP($A6,'Annex 2 EHV charges'!$D:$O,11,FALSE)=0,"",VLOOKUP($A6,'Annex 2 EHV charges'!$D:$O,11,FALSE)),"")</f>
        <v>0.05</v>
      </c>
      <c r="H6" s="191">
        <f>IFERROR(IF(VLOOKUP($A6,'Annex 2 EHV charges'!$D:$O,12,FALSE)=0,"",VLOOKUP($A6,'Annex 2 EHV charges'!$D:$O,12,FALSE)),"")</f>
        <v>0.05</v>
      </c>
    </row>
    <row r="7" spans="1:8" x14ac:dyDescent="0.2">
      <c r="A7" s="188">
        <f t="array" ref="A7">IFERROR(INDEX('Annex 2 EHV charges'!$D$10:$D$150, MATCH(0, IF(('Annex 2 EHV charges'!$D$10:$D$150=""),1, COUNTIF(A$4:$A6, 'Annex 2 EHV charges'!$D$10:$D$150)), 0)),"")</f>
        <v>704</v>
      </c>
      <c r="B7" s="183">
        <f>IF($A7="","",VLOOKUP($A7,'Annex 2 EHV charges'!$D:$O,2,0))</f>
        <v>704</v>
      </c>
      <c r="C7" s="184">
        <f>IF($A7="","",VLOOKUP($A7,'Annex 2 EHV charges'!$D:$O,3,0))</f>
        <v>1594001073116</v>
      </c>
      <c r="D7" s="108" t="str">
        <f>IF($A7="","",VLOOKUP($A7,'Annex 2 EHV charges'!$D:$O,4,0))</f>
        <v>EHV Site Specific (LLFC 612 &amp; 704)</v>
      </c>
      <c r="E7" s="189">
        <f>IFERROR(IF(VLOOKUP($A7,'Annex 2 EHV charges'!$D:$O,9,FALSE)=0,"",VLOOKUP($A7,'Annex 2 EHV charges'!$D:$O,9,FALSE)),"")</f>
        <v>-0.56499999999999995</v>
      </c>
      <c r="F7" s="190">
        <f>IFERROR(IF(VLOOKUP($A7,'Annex 2 EHV charges'!$D:$O,10,FALSE)=0,"",VLOOKUP($A7,'Annex 2 EHV charges'!$D:$O,10,FALSE)),"")</f>
        <v>1844.66</v>
      </c>
      <c r="G7" s="191">
        <f>IFERROR(IF(VLOOKUP($A7,'Annex 2 EHV charges'!$D:$O,11,FALSE)=0,"",VLOOKUP($A7,'Annex 2 EHV charges'!$D:$O,11,FALSE)),"")</f>
        <v>0.05</v>
      </c>
      <c r="H7" s="191">
        <f>IFERROR(IF(VLOOKUP($A7,'Annex 2 EHV charges'!$D:$O,12,FALSE)=0,"",VLOOKUP($A7,'Annex 2 EHV charges'!$D:$O,12,FALSE)),"")</f>
        <v>0.05</v>
      </c>
    </row>
    <row r="8" spans="1:8" x14ac:dyDescent="0.2">
      <c r="A8" s="188">
        <f t="array" ref="A8">IFERROR(INDEX('Annex 2 EHV charges'!$D$10:$D$150, MATCH(0, IF(('Annex 2 EHV charges'!$D$10:$D$150=""),1, COUNTIF(A$4:$A7, 'Annex 2 EHV charges'!$D$10:$D$150)), 0)),"")</f>
        <v>709</v>
      </c>
      <c r="B8" s="183">
        <f>IF($A8="","",VLOOKUP($A8,'Annex 2 EHV charges'!$D:$O,2,0))</f>
        <v>709</v>
      </c>
      <c r="C8" s="184">
        <f>IF($A8="","",VLOOKUP($A8,'Annex 2 EHV charges'!$D:$O,3,0))</f>
        <v>1594001055250</v>
      </c>
      <c r="D8" s="108" t="str">
        <f>IF($A8="","",VLOOKUP($A8,'Annex 2 EHV charges'!$D:$O,4,0))</f>
        <v>EHV Site Specific (LLFC 614 &amp; 709)</v>
      </c>
      <c r="E8" s="189" t="str">
        <f>IFERROR(IF(VLOOKUP($A8,'Annex 2 EHV charges'!$D:$O,9,FALSE)=0,"",VLOOKUP($A8,'Annex 2 EHV charges'!$D:$O,9,FALSE)),"")</f>
        <v/>
      </c>
      <c r="F8" s="190">
        <f>IFERROR(IF(VLOOKUP($A8,'Annex 2 EHV charges'!$D:$O,10,FALSE)=0,"",VLOOKUP($A8,'Annex 2 EHV charges'!$D:$O,10,FALSE)),"")</f>
        <v>1272.8499999999999</v>
      </c>
      <c r="G8" s="191">
        <f>IFERROR(IF(VLOOKUP($A8,'Annex 2 EHV charges'!$D:$O,11,FALSE)=0,"",VLOOKUP($A8,'Annex 2 EHV charges'!$D:$O,11,FALSE)),"")</f>
        <v>0.05</v>
      </c>
      <c r="H8" s="191">
        <f>IFERROR(IF(VLOOKUP($A8,'Annex 2 EHV charges'!$D:$O,12,FALSE)=0,"",VLOOKUP($A8,'Annex 2 EHV charges'!$D:$O,12,FALSE)),"")</f>
        <v>0.05</v>
      </c>
    </row>
    <row r="9" spans="1:8" x14ac:dyDescent="0.2">
      <c r="A9" s="188">
        <f t="array" ref="A9">IFERROR(INDEX('Annex 2 EHV charges'!$D$10:$D$150, MATCH(0, IF(('Annex 2 EHV charges'!$D$10:$D$150=""),1, COUNTIF(A$4:$A8, 'Annex 2 EHV charges'!$D$10:$D$150)), 0)),"")</f>
        <v>710</v>
      </c>
      <c r="B9" s="183">
        <f>IF($A9="","",VLOOKUP($A9,'Annex 2 EHV charges'!$D:$O,2,0))</f>
        <v>710</v>
      </c>
      <c r="C9" s="184">
        <f>IF($A9="","",VLOOKUP($A9,'Annex 2 EHV charges'!$D:$O,3,0))</f>
        <v>1594000000038</v>
      </c>
      <c r="D9" s="108" t="str">
        <f>IF($A9="","",VLOOKUP($A9,'Annex 2 EHV charges'!$D:$O,4,0))</f>
        <v>EHV Site Specific - Generation Exempt (LLFC 619 &amp; 710)</v>
      </c>
      <c r="E9" s="189" t="str">
        <f>IFERROR(IF(VLOOKUP($A9,'Annex 2 EHV charges'!$D:$O,9,FALSE)=0,"",VLOOKUP($A9,'Annex 2 EHV charges'!$D:$O,9,FALSE)),"")</f>
        <v/>
      </c>
      <c r="F9" s="190" t="str">
        <f>IFERROR(IF(VLOOKUP($A9,'Annex 2 EHV charges'!$D:$O,10,FALSE)=0,"",VLOOKUP($A9,'Annex 2 EHV charges'!$D:$O,10,FALSE)),"")</f>
        <v/>
      </c>
      <c r="G9" s="191" t="str">
        <f>IFERROR(IF(VLOOKUP($A9,'Annex 2 EHV charges'!$D:$O,11,FALSE)=0,"",VLOOKUP($A9,'Annex 2 EHV charges'!$D:$O,11,FALSE)),"")</f>
        <v/>
      </c>
      <c r="H9" s="191" t="str">
        <f>IFERROR(IF(VLOOKUP($A9,'Annex 2 EHV charges'!$D:$O,12,FALSE)=0,"",VLOOKUP($A9,'Annex 2 EHV charges'!$D:$O,12,FALSE)),"")</f>
        <v/>
      </c>
    </row>
    <row r="10" spans="1:8" x14ac:dyDescent="0.2">
      <c r="A10" s="188">
        <f t="array" ref="A10">IFERROR(INDEX('Annex 2 EHV charges'!$D$10:$D$150, MATCH(0, IF(('Annex 2 EHV charges'!$D$10:$D$150=""),1, COUNTIF(A$4:$A9, 'Annex 2 EHV charges'!$D$10:$D$150)), 0)),"")</f>
        <v>711</v>
      </c>
      <c r="B10" s="183">
        <f>IF($A10="","",VLOOKUP($A10,'Annex 2 EHV charges'!$D:$O,2,0))</f>
        <v>711</v>
      </c>
      <c r="C10" s="184">
        <f>IF($A10="","",VLOOKUP($A10,'Annex 2 EHV charges'!$D:$O,3,0))</f>
        <v>1594001036578</v>
      </c>
      <c r="D10" s="108" t="str">
        <f>IF($A10="","",VLOOKUP($A10,'Annex 2 EHV charges'!$D:$O,4,0))</f>
        <v>EHV Site Specific - Generation Exempt (LLFC 622 &amp; 711)</v>
      </c>
      <c r="E10" s="189" t="str">
        <f>IFERROR(IF(VLOOKUP($A10,'Annex 2 EHV charges'!$D:$O,9,FALSE)=0,"",VLOOKUP($A10,'Annex 2 EHV charges'!$D:$O,9,FALSE)),"")</f>
        <v/>
      </c>
      <c r="F10" s="190" t="str">
        <f>IFERROR(IF(VLOOKUP($A10,'Annex 2 EHV charges'!$D:$O,10,FALSE)=0,"",VLOOKUP($A10,'Annex 2 EHV charges'!$D:$O,10,FALSE)),"")</f>
        <v/>
      </c>
      <c r="G10" s="191" t="str">
        <f>IFERROR(IF(VLOOKUP($A10,'Annex 2 EHV charges'!$D:$O,11,FALSE)=0,"",VLOOKUP($A10,'Annex 2 EHV charges'!$D:$O,11,FALSE)),"")</f>
        <v/>
      </c>
      <c r="H10" s="191" t="str">
        <f>IFERROR(IF(VLOOKUP($A10,'Annex 2 EHV charges'!$D:$O,12,FALSE)=0,"",VLOOKUP($A10,'Annex 2 EHV charges'!$D:$O,12,FALSE)),"")</f>
        <v/>
      </c>
    </row>
    <row r="11" spans="1:8" x14ac:dyDescent="0.2">
      <c r="A11" s="188">
        <f t="array" ref="A11">IFERROR(INDEX('Annex 2 EHV charges'!$D$10:$D$150, MATCH(0, IF(('Annex 2 EHV charges'!$D$10:$D$150=""),1, COUNTIF(A$4:$A10, 'Annex 2 EHV charges'!$D$10:$D$150)), 0)),"")</f>
        <v>804</v>
      </c>
      <c r="B11" s="183">
        <f>IF($A11="","",VLOOKUP($A11,'Annex 2 EHV charges'!$D:$O,2,0))</f>
        <v>804</v>
      </c>
      <c r="C11" s="184">
        <f>IF($A11="","",VLOOKUP($A11,'Annex 2 EHV charges'!$D:$O,3,0))</f>
        <v>1574000324772</v>
      </c>
      <c r="D11" s="108" t="str">
        <f>IF($A11="","",VLOOKUP($A11,'Annex 2 EHV charges'!$D:$O,4,0))</f>
        <v>EHV Site Specific (LLFC 624 &amp; 804)</v>
      </c>
      <c r="E11" s="189" t="str">
        <f>IFERROR(IF(VLOOKUP($A11,'Annex 2 EHV charges'!$D:$O,9,FALSE)=0,"",VLOOKUP($A11,'Annex 2 EHV charges'!$D:$O,9,FALSE)),"")</f>
        <v/>
      </c>
      <c r="F11" s="190">
        <f>IFERROR(IF(VLOOKUP($A11,'Annex 2 EHV charges'!$D:$O,10,FALSE)=0,"",VLOOKUP($A11,'Annex 2 EHV charges'!$D:$O,10,FALSE)),"")</f>
        <v>958.73</v>
      </c>
      <c r="G11" s="191">
        <f>IFERROR(IF(VLOOKUP($A11,'Annex 2 EHV charges'!$D:$O,11,FALSE)=0,"",VLOOKUP($A11,'Annex 2 EHV charges'!$D:$O,11,FALSE)),"")</f>
        <v>0.05</v>
      </c>
      <c r="H11" s="191">
        <f>IFERROR(IF(VLOOKUP($A11,'Annex 2 EHV charges'!$D:$O,12,FALSE)=0,"",VLOOKUP($A11,'Annex 2 EHV charges'!$D:$O,12,FALSE)),"")</f>
        <v>0.05</v>
      </c>
    </row>
    <row r="12" spans="1:8" x14ac:dyDescent="0.2">
      <c r="A12" s="188">
        <f t="array" ref="A12">IFERROR(INDEX('Annex 2 EHV charges'!$D$10:$D$150, MATCH(0, IF(('Annex 2 EHV charges'!$D$10:$D$150=""),1, COUNTIF(A$4:$A11, 'Annex 2 EHV charges'!$D$10:$D$150)), 0)),"")</f>
        <v>748</v>
      </c>
      <c r="B12" s="183">
        <f>IF($A12="","",VLOOKUP($A12,'Annex 2 EHV charges'!$D:$O,2,0))</f>
        <v>748</v>
      </c>
      <c r="C12" s="184">
        <f>IF($A12="","",VLOOKUP($A12,'Annex 2 EHV charges'!$D:$O,3,0))</f>
        <v>1594001006893</v>
      </c>
      <c r="D12" s="108" t="str">
        <f>IF($A12="","",VLOOKUP($A12,'Annex 2 EHV charges'!$D:$O,4,0))</f>
        <v>EHV Site Specific - Generation Exempt (LLFC 625 &amp; 748)</v>
      </c>
      <c r="E12" s="189" t="str">
        <f>IFERROR(IF(VLOOKUP($A12,'Annex 2 EHV charges'!$D:$O,9,FALSE)=0,"",VLOOKUP($A12,'Annex 2 EHV charges'!$D:$O,9,FALSE)),"")</f>
        <v/>
      </c>
      <c r="F12" s="190" t="str">
        <f>IFERROR(IF(VLOOKUP($A12,'Annex 2 EHV charges'!$D:$O,10,FALSE)=0,"",VLOOKUP($A12,'Annex 2 EHV charges'!$D:$O,10,FALSE)),"")</f>
        <v/>
      </c>
      <c r="G12" s="191" t="str">
        <f>IFERROR(IF(VLOOKUP($A12,'Annex 2 EHV charges'!$D:$O,11,FALSE)=0,"",VLOOKUP($A12,'Annex 2 EHV charges'!$D:$O,11,FALSE)),"")</f>
        <v/>
      </c>
      <c r="H12" s="191" t="str">
        <f>IFERROR(IF(VLOOKUP($A12,'Annex 2 EHV charges'!$D:$O,12,FALSE)=0,"",VLOOKUP($A12,'Annex 2 EHV charges'!$D:$O,12,FALSE)),"")</f>
        <v/>
      </c>
    </row>
    <row r="13" spans="1:8" x14ac:dyDescent="0.2">
      <c r="A13" s="188">
        <f t="array" ref="A13">IFERROR(INDEX('Annex 2 EHV charges'!$D$10:$D$150, MATCH(0, IF(('Annex 2 EHV charges'!$D$10:$D$150=""),1, COUNTIF(A$4:$A12, 'Annex 2 EHV charges'!$D$10:$D$150)), 0)),"")</f>
        <v>729</v>
      </c>
      <c r="B13" s="183">
        <f>IF($A13="","",VLOOKUP($A13,'Annex 2 EHV charges'!$D:$O,2,0))</f>
        <v>729</v>
      </c>
      <c r="C13" s="184">
        <f>IF($A13="","",VLOOKUP($A13,'Annex 2 EHV charges'!$D:$O,3,0))</f>
        <v>1574000199083</v>
      </c>
      <c r="D13" s="108" t="str">
        <f>IF($A13="","",VLOOKUP($A13,'Annex 2 EHV charges'!$D:$O,4,0))</f>
        <v>EHV Site Specific - Generation Exempt (LLFC 627 &amp; 729)</v>
      </c>
      <c r="E13" s="189" t="str">
        <f>IFERROR(IF(VLOOKUP($A13,'Annex 2 EHV charges'!$D:$O,9,FALSE)=0,"",VLOOKUP($A13,'Annex 2 EHV charges'!$D:$O,9,FALSE)),"")</f>
        <v/>
      </c>
      <c r="F13" s="190" t="str">
        <f>IFERROR(IF(VLOOKUP($A13,'Annex 2 EHV charges'!$D:$O,10,FALSE)=0,"",VLOOKUP($A13,'Annex 2 EHV charges'!$D:$O,10,FALSE)),"")</f>
        <v/>
      </c>
      <c r="G13" s="191" t="str">
        <f>IFERROR(IF(VLOOKUP($A13,'Annex 2 EHV charges'!$D:$O,11,FALSE)=0,"",VLOOKUP($A13,'Annex 2 EHV charges'!$D:$O,11,FALSE)),"")</f>
        <v/>
      </c>
      <c r="H13" s="191" t="str">
        <f>IFERROR(IF(VLOOKUP($A13,'Annex 2 EHV charges'!$D:$O,12,FALSE)=0,"",VLOOKUP($A13,'Annex 2 EHV charges'!$D:$O,12,FALSE)),"")</f>
        <v/>
      </c>
    </row>
    <row r="14" spans="1:8" x14ac:dyDescent="0.2">
      <c r="A14" s="188">
        <f t="array" ref="A14">IFERROR(INDEX('Annex 2 EHV charges'!$D$10:$D$150, MATCH(0, IF(('Annex 2 EHV charges'!$D$10:$D$150=""),1, COUNTIF(A$4:$A13, 'Annex 2 EHV charges'!$D$10:$D$150)), 0)),"")</f>
        <v>728</v>
      </c>
      <c r="B14" s="183">
        <f>IF($A14="","",VLOOKUP($A14,'Annex 2 EHV charges'!$D:$O,2,0))</f>
        <v>728</v>
      </c>
      <c r="C14" s="184">
        <f>IF($A14="","",VLOOKUP($A14,'Annex 2 EHV charges'!$D:$O,3,0))</f>
        <v>1594001141547</v>
      </c>
      <c r="D14" s="108" t="str">
        <f>IF($A14="","",VLOOKUP($A14,'Annex 2 EHV charges'!$D:$O,4,0))</f>
        <v>EHV Site Specific - Generation Exempt (LLFC 637 &amp; 728)</v>
      </c>
      <c r="E14" s="189" t="str">
        <f>IFERROR(IF(VLOOKUP($A14,'Annex 2 EHV charges'!$D:$O,9,FALSE)=0,"",VLOOKUP($A14,'Annex 2 EHV charges'!$D:$O,9,FALSE)),"")</f>
        <v/>
      </c>
      <c r="F14" s="190" t="str">
        <f>IFERROR(IF(VLOOKUP($A14,'Annex 2 EHV charges'!$D:$O,10,FALSE)=0,"",VLOOKUP($A14,'Annex 2 EHV charges'!$D:$O,10,FALSE)),"")</f>
        <v/>
      </c>
      <c r="G14" s="191" t="str">
        <f>IFERROR(IF(VLOOKUP($A14,'Annex 2 EHV charges'!$D:$O,11,FALSE)=0,"",VLOOKUP($A14,'Annex 2 EHV charges'!$D:$O,11,FALSE)),"")</f>
        <v/>
      </c>
      <c r="H14" s="191" t="str">
        <f>IFERROR(IF(VLOOKUP($A14,'Annex 2 EHV charges'!$D:$O,12,FALSE)=0,"",VLOOKUP($A14,'Annex 2 EHV charges'!$D:$O,12,FALSE)),"")</f>
        <v/>
      </c>
    </row>
    <row r="15" spans="1:8" x14ac:dyDescent="0.2">
      <c r="A15" s="188">
        <f t="array" ref="A15">IFERROR(INDEX('Annex 2 EHV charges'!$D$10:$D$150, MATCH(0, IF(('Annex 2 EHV charges'!$D$10:$D$150=""),1, COUNTIF(A$4:$A14, 'Annex 2 EHV charges'!$D$10:$D$150)), 0)),"")</f>
        <v>759</v>
      </c>
      <c r="B15" s="183">
        <f>IF($A15="","",VLOOKUP($A15,'Annex 2 EHV charges'!$D:$O,2,0))</f>
        <v>759</v>
      </c>
      <c r="C15" s="184">
        <f>IF($A15="","",VLOOKUP($A15,'Annex 2 EHV charges'!$D:$O,3,0))</f>
        <v>1574000275033</v>
      </c>
      <c r="D15" s="108" t="str">
        <f>IF($A15="","",VLOOKUP($A15,'Annex 2 EHV charges'!$D:$O,4,0))</f>
        <v>EHV Site Specific (LLFC 680 &amp; 759)</v>
      </c>
      <c r="E15" s="189" t="str">
        <f>IFERROR(IF(VLOOKUP($A15,'Annex 2 EHV charges'!$D:$O,9,FALSE)=0,"",VLOOKUP($A15,'Annex 2 EHV charges'!$D:$O,9,FALSE)),"")</f>
        <v/>
      </c>
      <c r="F15" s="190">
        <f>IFERROR(IF(VLOOKUP($A15,'Annex 2 EHV charges'!$D:$O,10,FALSE)=0,"",VLOOKUP($A15,'Annex 2 EHV charges'!$D:$O,10,FALSE)),"")</f>
        <v>125.26</v>
      </c>
      <c r="G15" s="191">
        <f>IFERROR(IF(VLOOKUP($A15,'Annex 2 EHV charges'!$D:$O,11,FALSE)=0,"",VLOOKUP($A15,'Annex 2 EHV charges'!$D:$O,11,FALSE)),"")</f>
        <v>0.05</v>
      </c>
      <c r="H15" s="191">
        <f>IFERROR(IF(VLOOKUP($A15,'Annex 2 EHV charges'!$D:$O,12,FALSE)=0,"",VLOOKUP($A15,'Annex 2 EHV charges'!$D:$O,12,FALSE)),"")</f>
        <v>0.05</v>
      </c>
    </row>
    <row r="16" spans="1:8" x14ac:dyDescent="0.2">
      <c r="A16" s="188">
        <f t="array" ref="A16">IFERROR(INDEX('Annex 2 EHV charges'!$D$10:$D$150, MATCH(0, IF(('Annex 2 EHV charges'!$D$10:$D$150=""),1, COUNTIF(A$4:$A15, 'Annex 2 EHV charges'!$D$10:$D$150)), 0)),"")</f>
        <v>760</v>
      </c>
      <c r="B16" s="183">
        <f>IF($A16="","",VLOOKUP($A16,'Annex 2 EHV charges'!$D:$O,2,0))</f>
        <v>760</v>
      </c>
      <c r="C16" s="184">
        <f>IF($A16="","",VLOOKUP($A16,'Annex 2 EHV charges'!$D:$O,3,0))</f>
        <v>1574000283735</v>
      </c>
      <c r="D16" s="108" t="str">
        <f>IF($A16="","",VLOOKUP($A16,'Annex 2 EHV charges'!$D:$O,4,0))</f>
        <v>EHV Site Specific (LLFC 681 &amp; 760)</v>
      </c>
      <c r="E16" s="189" t="str">
        <f>IFERROR(IF(VLOOKUP($A16,'Annex 2 EHV charges'!$D:$O,9,FALSE)=0,"",VLOOKUP($A16,'Annex 2 EHV charges'!$D:$O,9,FALSE)),"")</f>
        <v/>
      </c>
      <c r="F16" s="190">
        <f>IFERROR(IF(VLOOKUP($A16,'Annex 2 EHV charges'!$D:$O,10,FALSE)=0,"",VLOOKUP($A16,'Annex 2 EHV charges'!$D:$O,10,FALSE)),"")</f>
        <v>4277.3</v>
      </c>
      <c r="G16" s="191">
        <f>IFERROR(IF(VLOOKUP($A16,'Annex 2 EHV charges'!$D:$O,11,FALSE)=0,"",VLOOKUP($A16,'Annex 2 EHV charges'!$D:$O,11,FALSE)),"")</f>
        <v>0.05</v>
      </c>
      <c r="H16" s="191">
        <f>IFERROR(IF(VLOOKUP($A16,'Annex 2 EHV charges'!$D:$O,12,FALSE)=0,"",VLOOKUP($A16,'Annex 2 EHV charges'!$D:$O,12,FALSE)),"")</f>
        <v>0.05</v>
      </c>
    </row>
    <row r="17" spans="1:8" x14ac:dyDescent="0.2">
      <c r="A17" s="188">
        <f t="array" ref="A17">IFERROR(INDEX('Annex 2 EHV charges'!$D$10:$D$150, MATCH(0, IF(('Annex 2 EHV charges'!$D$10:$D$150=""),1, COUNTIF(A$4:$A16, 'Annex 2 EHV charges'!$D$10:$D$150)), 0)),"")</f>
        <v>761</v>
      </c>
      <c r="B17" s="183">
        <f>IF($A17="","",VLOOKUP($A17,'Annex 2 EHV charges'!$D:$O,2,0))</f>
        <v>761</v>
      </c>
      <c r="C17" s="184">
        <f>IF($A17="","",VLOOKUP($A17,'Annex 2 EHV charges'!$D:$O,3,0))</f>
        <v>1594000000047</v>
      </c>
      <c r="D17" s="108" t="str">
        <f>IF($A17="","",VLOOKUP($A17,'Annex 2 EHV charges'!$D:$O,4,0))</f>
        <v>EHV Site Specific - Generation Exempt (LLFC 544 &amp; 761)</v>
      </c>
      <c r="E17" s="189" t="str">
        <f>IFERROR(IF(VLOOKUP($A17,'Annex 2 EHV charges'!$D:$O,9,FALSE)=0,"",VLOOKUP($A17,'Annex 2 EHV charges'!$D:$O,9,FALSE)),"")</f>
        <v/>
      </c>
      <c r="F17" s="190" t="str">
        <f>IFERROR(IF(VLOOKUP($A17,'Annex 2 EHV charges'!$D:$O,10,FALSE)=0,"",VLOOKUP($A17,'Annex 2 EHV charges'!$D:$O,10,FALSE)),"")</f>
        <v/>
      </c>
      <c r="G17" s="191" t="str">
        <f>IFERROR(IF(VLOOKUP($A17,'Annex 2 EHV charges'!$D:$O,11,FALSE)=0,"",VLOOKUP($A17,'Annex 2 EHV charges'!$D:$O,11,FALSE)),"")</f>
        <v/>
      </c>
      <c r="H17" s="191" t="str">
        <f>IFERROR(IF(VLOOKUP($A17,'Annex 2 EHV charges'!$D:$O,12,FALSE)=0,"",VLOOKUP($A17,'Annex 2 EHV charges'!$D:$O,12,FALSE)),"")</f>
        <v/>
      </c>
    </row>
    <row r="18" spans="1:8" x14ac:dyDescent="0.2">
      <c r="A18" s="188">
        <f t="array" ref="A18">IFERROR(INDEX('Annex 2 EHV charges'!$D$10:$D$150, MATCH(0, IF(('Annex 2 EHV charges'!$D$10:$D$150=""),1, COUNTIF(A$4:$A17, 'Annex 2 EHV charges'!$D$10:$D$150)), 0)),"")</f>
        <v>762</v>
      </c>
      <c r="B18" s="183">
        <f>IF($A18="","",VLOOKUP($A18,'Annex 2 EHV charges'!$D:$O,2,0))</f>
        <v>762</v>
      </c>
      <c r="C18" s="184">
        <f>IF($A18="","",VLOOKUP($A18,'Annex 2 EHV charges'!$D:$O,3,0))</f>
        <v>1574000285644</v>
      </c>
      <c r="D18" s="108" t="str">
        <f>IF($A18="","",VLOOKUP($A18,'Annex 2 EHV charges'!$D:$O,4,0))</f>
        <v>EHV Site Specific (LLFC 682 &amp; 762)</v>
      </c>
      <c r="E18" s="189">
        <f>IFERROR(IF(VLOOKUP($A18,'Annex 2 EHV charges'!$D:$O,9,FALSE)=0,"",VLOOKUP($A18,'Annex 2 EHV charges'!$D:$O,9,FALSE)),"")</f>
        <v>-0.56499999999999995</v>
      </c>
      <c r="F18" s="190">
        <f>IFERROR(IF(VLOOKUP($A18,'Annex 2 EHV charges'!$D:$O,10,FALSE)=0,"",VLOOKUP($A18,'Annex 2 EHV charges'!$D:$O,10,FALSE)),"")</f>
        <v>4391.6499999999996</v>
      </c>
      <c r="G18" s="191">
        <f>IFERROR(IF(VLOOKUP($A18,'Annex 2 EHV charges'!$D:$O,11,FALSE)=0,"",VLOOKUP($A18,'Annex 2 EHV charges'!$D:$O,11,FALSE)),"")</f>
        <v>0.05</v>
      </c>
      <c r="H18" s="191">
        <f>IFERROR(IF(VLOOKUP($A18,'Annex 2 EHV charges'!$D:$O,12,FALSE)=0,"",VLOOKUP($A18,'Annex 2 EHV charges'!$D:$O,12,FALSE)),"")</f>
        <v>0.05</v>
      </c>
    </row>
    <row r="19" spans="1:8" x14ac:dyDescent="0.2">
      <c r="A19" s="188">
        <f t="array" ref="A19">IFERROR(INDEX('Annex 2 EHV charges'!$D$10:$D$150, MATCH(0, IF(('Annex 2 EHV charges'!$D$10:$D$150=""),1, COUNTIF(A$4:$A18, 'Annex 2 EHV charges'!$D$10:$D$150)), 0)),"")</f>
        <v>763</v>
      </c>
      <c r="B19" s="183">
        <f>IF($A19="","",VLOOKUP($A19,'Annex 2 EHV charges'!$D:$O,2,0))</f>
        <v>763</v>
      </c>
      <c r="C19" s="184">
        <f>IF($A19="","",VLOOKUP($A19,'Annex 2 EHV charges'!$D:$O,3,0))</f>
        <v>1594000000029</v>
      </c>
      <c r="D19" s="108" t="str">
        <f>IF($A19="","",VLOOKUP($A19,'Annex 2 EHV charges'!$D:$O,4,0))</f>
        <v>EHV Site Specific - Generation Exempt (LLFC 683 &amp; 763)</v>
      </c>
      <c r="E19" s="189" t="str">
        <f>IFERROR(IF(VLOOKUP($A19,'Annex 2 EHV charges'!$D:$O,9,FALSE)=0,"",VLOOKUP($A19,'Annex 2 EHV charges'!$D:$O,9,FALSE)),"")</f>
        <v/>
      </c>
      <c r="F19" s="190" t="str">
        <f>IFERROR(IF(VLOOKUP($A19,'Annex 2 EHV charges'!$D:$O,10,FALSE)=0,"",VLOOKUP($A19,'Annex 2 EHV charges'!$D:$O,10,FALSE)),"")</f>
        <v/>
      </c>
      <c r="G19" s="191" t="str">
        <f>IFERROR(IF(VLOOKUP($A19,'Annex 2 EHV charges'!$D:$O,11,FALSE)=0,"",VLOOKUP($A19,'Annex 2 EHV charges'!$D:$O,11,FALSE)),"")</f>
        <v/>
      </c>
      <c r="H19" s="191" t="str">
        <f>IFERROR(IF(VLOOKUP($A19,'Annex 2 EHV charges'!$D:$O,12,FALSE)=0,"",VLOOKUP($A19,'Annex 2 EHV charges'!$D:$O,12,FALSE)),"")</f>
        <v/>
      </c>
    </row>
    <row r="20" spans="1:8" x14ac:dyDescent="0.2">
      <c r="A20" s="188">
        <f t="array" ref="A20">IFERROR(INDEX('Annex 2 EHV charges'!$D$10:$D$150, MATCH(0, IF(('Annex 2 EHV charges'!$D$10:$D$150=""),1, COUNTIF(A$4:$A19, 'Annex 2 EHV charges'!$D$10:$D$150)), 0)),"")</f>
        <v>764</v>
      </c>
      <c r="B20" s="183">
        <f>IF($A20="","",VLOOKUP($A20,'Annex 2 EHV charges'!$D:$O,2,0))</f>
        <v>764</v>
      </c>
      <c r="C20" s="184">
        <f>IF($A20="","",VLOOKUP($A20,'Annex 2 EHV charges'!$D:$O,3,0))</f>
        <v>1574000298500</v>
      </c>
      <c r="D20" s="108" t="str">
        <f>IF($A20="","",VLOOKUP($A20,'Annex 2 EHV charges'!$D:$O,4,0))</f>
        <v>EHV Site Specific (LLFC 684 &amp; 764)</v>
      </c>
      <c r="E20" s="189">
        <f>IFERROR(IF(VLOOKUP($A20,'Annex 2 EHV charges'!$D:$O,9,FALSE)=0,"",VLOOKUP($A20,'Annex 2 EHV charges'!$D:$O,9,FALSE)),"")</f>
        <v>-0.14799999999999999</v>
      </c>
      <c r="F20" s="190">
        <f>IFERROR(IF(VLOOKUP($A20,'Annex 2 EHV charges'!$D:$O,10,FALSE)=0,"",VLOOKUP($A20,'Annex 2 EHV charges'!$D:$O,10,FALSE)),"")</f>
        <v>3931.23</v>
      </c>
      <c r="G20" s="191">
        <f>IFERROR(IF(VLOOKUP($A20,'Annex 2 EHV charges'!$D:$O,11,FALSE)=0,"",VLOOKUP($A20,'Annex 2 EHV charges'!$D:$O,11,FALSE)),"")</f>
        <v>0.05</v>
      </c>
      <c r="H20" s="191">
        <f>IFERROR(IF(VLOOKUP($A20,'Annex 2 EHV charges'!$D:$O,12,FALSE)=0,"",VLOOKUP($A20,'Annex 2 EHV charges'!$D:$O,12,FALSE)),"")</f>
        <v>0.05</v>
      </c>
    </row>
    <row r="21" spans="1:8" x14ac:dyDescent="0.2">
      <c r="A21" s="188">
        <f t="array" ref="A21">IFERROR(INDEX('Annex 2 EHV charges'!$D$10:$D$150, MATCH(0, IF(('Annex 2 EHV charges'!$D$10:$D$150=""),1, COUNTIF(A$4:$A20, 'Annex 2 EHV charges'!$D$10:$D$150)), 0)),"")</f>
        <v>765</v>
      </c>
      <c r="B21" s="183">
        <f>IF($A21="","",VLOOKUP($A21,'Annex 2 EHV charges'!$D:$O,2,0))</f>
        <v>765</v>
      </c>
      <c r="C21" s="184">
        <f>IF($A21="","",VLOOKUP($A21,'Annex 2 EHV charges'!$D:$O,3,0))</f>
        <v>1574000302403</v>
      </c>
      <c r="D21" s="108" t="str">
        <f>IF($A21="","",VLOOKUP($A21,'Annex 2 EHV charges'!$D:$O,4,0))</f>
        <v>EHV Site Specific (LLFC 685 &amp; 765)</v>
      </c>
      <c r="E21" s="189" t="str">
        <f>IFERROR(IF(VLOOKUP($A21,'Annex 2 EHV charges'!$D:$O,9,FALSE)=0,"",VLOOKUP($A21,'Annex 2 EHV charges'!$D:$O,9,FALSE)),"")</f>
        <v/>
      </c>
      <c r="F21" s="190">
        <f>IFERROR(IF(VLOOKUP($A21,'Annex 2 EHV charges'!$D:$O,10,FALSE)=0,"",VLOOKUP($A21,'Annex 2 EHV charges'!$D:$O,10,FALSE)),"")</f>
        <v>874.38</v>
      </c>
      <c r="G21" s="191">
        <f>IFERROR(IF(VLOOKUP($A21,'Annex 2 EHV charges'!$D:$O,11,FALSE)=0,"",VLOOKUP($A21,'Annex 2 EHV charges'!$D:$O,11,FALSE)),"")</f>
        <v>0.05</v>
      </c>
      <c r="H21" s="191">
        <f>IFERROR(IF(VLOOKUP($A21,'Annex 2 EHV charges'!$D:$O,12,FALSE)=0,"",VLOOKUP($A21,'Annex 2 EHV charges'!$D:$O,12,FALSE)),"")</f>
        <v>0.05</v>
      </c>
    </row>
    <row r="22" spans="1:8" ht="25.5" x14ac:dyDescent="0.2">
      <c r="A22" s="188">
        <f t="array" ref="A22">IFERROR(INDEX('Annex 2 EHV charges'!$D$10:$D$150, MATCH(0, IF(('Annex 2 EHV charges'!$D$10:$D$150=""),1, COUNTIF(A$4:$A21, 'Annex 2 EHV charges'!$D$10:$D$150)), 0)),"")</f>
        <v>766</v>
      </c>
      <c r="B22" s="183">
        <f>IF($A22="","",VLOOKUP($A22,'Annex 2 EHV charges'!$D:$O,2,0))</f>
        <v>766</v>
      </c>
      <c r="C22" s="184" t="str">
        <f>IF($A22="","",VLOOKUP($A22,'Annex 2 EHV charges'!$D:$O,3,0))</f>
        <v>1574000303940
1574000303959</v>
      </c>
      <c r="D22" s="108" t="str">
        <f>IF($A22="","",VLOOKUP($A22,'Annex 2 EHV charges'!$D:$O,4,0))</f>
        <v>EHV Site Specific (LLFC 686 &amp; 766)</v>
      </c>
      <c r="E22" s="189" t="str">
        <f>IFERROR(IF(VLOOKUP($A22,'Annex 2 EHV charges'!$D:$O,9,FALSE)=0,"",VLOOKUP($A22,'Annex 2 EHV charges'!$D:$O,9,FALSE)),"")</f>
        <v/>
      </c>
      <c r="F22" s="190">
        <f>IFERROR(IF(VLOOKUP($A22,'Annex 2 EHV charges'!$D:$O,10,FALSE)=0,"",VLOOKUP($A22,'Annex 2 EHV charges'!$D:$O,10,FALSE)),"")</f>
        <v>19339.22</v>
      </c>
      <c r="G22" s="191">
        <f>IFERROR(IF(VLOOKUP($A22,'Annex 2 EHV charges'!$D:$O,11,FALSE)=0,"",VLOOKUP($A22,'Annex 2 EHV charges'!$D:$O,11,FALSE)),"")</f>
        <v>0.05</v>
      </c>
      <c r="H22" s="191">
        <f>IFERROR(IF(VLOOKUP($A22,'Annex 2 EHV charges'!$D:$O,12,FALSE)=0,"",VLOOKUP($A22,'Annex 2 EHV charges'!$D:$O,12,FALSE)),"")</f>
        <v>0.05</v>
      </c>
    </row>
    <row r="23" spans="1:8" x14ac:dyDescent="0.2">
      <c r="A23" s="188">
        <f t="array" ref="A23">IFERROR(INDEX('Annex 2 EHV charges'!$D$10:$D$150, MATCH(0, IF(('Annex 2 EHV charges'!$D$10:$D$150=""),1, COUNTIF(A$4:$A22, 'Annex 2 EHV charges'!$D$10:$D$150)), 0)),"")</f>
        <v>767</v>
      </c>
      <c r="B23" s="183">
        <f>IF($A23="","",VLOOKUP($A23,'Annex 2 EHV charges'!$D:$O,2,0))</f>
        <v>767</v>
      </c>
      <c r="C23" s="184">
        <f>IF($A23="","",VLOOKUP($A23,'Annex 2 EHV charges'!$D:$O,3,0))</f>
        <v>1574000309384</v>
      </c>
      <c r="D23" s="108" t="str">
        <f>IF($A23="","",VLOOKUP($A23,'Annex 2 EHV charges'!$D:$O,4,0))</f>
        <v>EHV Site Specific (LLFC 688 &amp; 767)</v>
      </c>
      <c r="E23" s="189" t="str">
        <f>IFERROR(IF(VLOOKUP($A23,'Annex 2 EHV charges'!$D:$O,9,FALSE)=0,"",VLOOKUP($A23,'Annex 2 EHV charges'!$D:$O,9,FALSE)),"")</f>
        <v/>
      </c>
      <c r="F23" s="190">
        <f>IFERROR(IF(VLOOKUP($A23,'Annex 2 EHV charges'!$D:$O,10,FALSE)=0,"",VLOOKUP($A23,'Annex 2 EHV charges'!$D:$O,10,FALSE)),"")</f>
        <v>1978.85</v>
      </c>
      <c r="G23" s="191">
        <f>IFERROR(IF(VLOOKUP($A23,'Annex 2 EHV charges'!$D:$O,11,FALSE)=0,"",VLOOKUP($A23,'Annex 2 EHV charges'!$D:$O,11,FALSE)),"")</f>
        <v>0.05</v>
      </c>
      <c r="H23" s="191">
        <f>IFERROR(IF(VLOOKUP($A23,'Annex 2 EHV charges'!$D:$O,12,FALSE)=0,"",VLOOKUP($A23,'Annex 2 EHV charges'!$D:$O,12,FALSE)),"")</f>
        <v>0.05</v>
      </c>
    </row>
    <row r="24" spans="1:8" x14ac:dyDescent="0.2">
      <c r="A24" s="188">
        <f t="array" ref="A24">IFERROR(INDEX('Annex 2 EHV charges'!$D$10:$D$150, MATCH(0, IF(('Annex 2 EHV charges'!$D$10:$D$150=""),1, COUNTIF(A$4:$A23, 'Annex 2 EHV charges'!$D$10:$D$150)), 0)),"")</f>
        <v>768</v>
      </c>
      <c r="B24" s="183">
        <f>IF($A24="","",VLOOKUP($A24,'Annex 2 EHV charges'!$D:$O,2,0))</f>
        <v>768</v>
      </c>
      <c r="C24" s="184">
        <f>IF($A24="","",VLOOKUP($A24,'Annex 2 EHV charges'!$D:$O,3,0))</f>
        <v>1574000309375</v>
      </c>
      <c r="D24" s="108" t="str">
        <f>IF($A24="","",VLOOKUP($A24,'Annex 2 EHV charges'!$D:$O,4,0))</f>
        <v>EHV Site Specific (LLFC 689 &amp; 768)</v>
      </c>
      <c r="E24" s="189" t="str">
        <f>IFERROR(IF(VLOOKUP($A24,'Annex 2 EHV charges'!$D:$O,9,FALSE)=0,"",VLOOKUP($A24,'Annex 2 EHV charges'!$D:$O,9,FALSE)),"")</f>
        <v/>
      </c>
      <c r="F24" s="190">
        <f>IFERROR(IF(VLOOKUP($A24,'Annex 2 EHV charges'!$D:$O,10,FALSE)=0,"",VLOOKUP($A24,'Annex 2 EHV charges'!$D:$O,10,FALSE)),"")</f>
        <v>3918</v>
      </c>
      <c r="G24" s="191">
        <f>IFERROR(IF(VLOOKUP($A24,'Annex 2 EHV charges'!$D:$O,11,FALSE)=0,"",VLOOKUP($A24,'Annex 2 EHV charges'!$D:$O,11,FALSE)),"")</f>
        <v>0.05</v>
      </c>
      <c r="H24" s="191">
        <f>IFERROR(IF(VLOOKUP($A24,'Annex 2 EHV charges'!$D:$O,12,FALSE)=0,"",VLOOKUP($A24,'Annex 2 EHV charges'!$D:$O,12,FALSE)),"")</f>
        <v>0.05</v>
      </c>
    </row>
    <row r="25" spans="1:8" x14ac:dyDescent="0.2">
      <c r="A25" s="188">
        <f t="array" ref="A25">IFERROR(INDEX('Annex 2 EHV charges'!$D$10:$D$150, MATCH(0, IF(('Annex 2 EHV charges'!$D$10:$D$150=""),1, COUNTIF(A$4:$A24, 'Annex 2 EHV charges'!$D$10:$D$150)), 0)),"")</f>
        <v>782</v>
      </c>
      <c r="B25" s="183">
        <f>IF($A25="","",VLOOKUP($A25,'Annex 2 EHV charges'!$D:$O,2,0))</f>
        <v>782</v>
      </c>
      <c r="C25" s="184">
        <f>IF($A25="","",VLOOKUP($A25,'Annex 2 EHV charges'!$D:$O,3,0))</f>
        <v>1574000306374</v>
      </c>
      <c r="D25" s="108" t="str">
        <f>IF($A25="","",VLOOKUP($A25,'Annex 2 EHV charges'!$D:$O,4,0))</f>
        <v>EHV Site Specific (LLFC 690 &amp; 782)</v>
      </c>
      <c r="E25" s="189" t="str">
        <f>IFERROR(IF(VLOOKUP($A25,'Annex 2 EHV charges'!$D:$O,9,FALSE)=0,"",VLOOKUP($A25,'Annex 2 EHV charges'!$D:$O,9,FALSE)),"")</f>
        <v/>
      </c>
      <c r="F25" s="190">
        <f>IFERROR(IF(VLOOKUP($A25,'Annex 2 EHV charges'!$D:$O,10,FALSE)=0,"",VLOOKUP($A25,'Annex 2 EHV charges'!$D:$O,10,FALSE)),"")</f>
        <v>1324.71</v>
      </c>
      <c r="G25" s="191">
        <f>IFERROR(IF(VLOOKUP($A25,'Annex 2 EHV charges'!$D:$O,11,FALSE)=0,"",VLOOKUP($A25,'Annex 2 EHV charges'!$D:$O,11,FALSE)),"")</f>
        <v>0.05</v>
      </c>
      <c r="H25" s="191">
        <f>IFERROR(IF(VLOOKUP($A25,'Annex 2 EHV charges'!$D:$O,12,FALSE)=0,"",VLOOKUP($A25,'Annex 2 EHV charges'!$D:$O,12,FALSE)),"")</f>
        <v>0.05</v>
      </c>
    </row>
    <row r="26" spans="1:8" x14ac:dyDescent="0.2">
      <c r="A26" s="188">
        <f t="array" ref="A26">IFERROR(INDEX('Annex 2 EHV charges'!$D$10:$D$150, MATCH(0, IF(('Annex 2 EHV charges'!$D$10:$D$150=""),1, COUNTIF(A$4:$A25, 'Annex 2 EHV charges'!$D$10:$D$150)), 0)),"")</f>
        <v>783</v>
      </c>
      <c r="B26" s="183">
        <f>IF($A26="","",VLOOKUP($A26,'Annex 2 EHV charges'!$D:$O,2,0))</f>
        <v>783</v>
      </c>
      <c r="C26" s="184">
        <f>IF($A26="","",VLOOKUP($A26,'Annex 2 EHV charges'!$D:$O,3,0))</f>
        <v>1574000307917</v>
      </c>
      <c r="D26" s="108" t="str">
        <f>IF($A26="","",VLOOKUP($A26,'Annex 2 EHV charges'!$D:$O,4,0))</f>
        <v>EHV Site Specific (LLFC 540 &amp; 783)</v>
      </c>
      <c r="E26" s="189">
        <f>IFERROR(IF(VLOOKUP($A26,'Annex 2 EHV charges'!$D:$O,9,FALSE)=0,"",VLOOKUP($A26,'Annex 2 EHV charges'!$D:$O,9,FALSE)),"")</f>
        <v>-3.5000000000000003E-2</v>
      </c>
      <c r="F26" s="190">
        <f>IFERROR(IF(VLOOKUP($A26,'Annex 2 EHV charges'!$D:$O,10,FALSE)=0,"",VLOOKUP($A26,'Annex 2 EHV charges'!$D:$O,10,FALSE)),"")</f>
        <v>511.47</v>
      </c>
      <c r="G26" s="191">
        <f>IFERROR(IF(VLOOKUP($A26,'Annex 2 EHV charges'!$D:$O,11,FALSE)=0,"",VLOOKUP($A26,'Annex 2 EHV charges'!$D:$O,11,FALSE)),"")</f>
        <v>0.05</v>
      </c>
      <c r="H26" s="191">
        <f>IFERROR(IF(VLOOKUP($A26,'Annex 2 EHV charges'!$D:$O,12,FALSE)=0,"",VLOOKUP($A26,'Annex 2 EHV charges'!$D:$O,12,FALSE)),"")</f>
        <v>0.05</v>
      </c>
    </row>
    <row r="27" spans="1:8" x14ac:dyDescent="0.2">
      <c r="A27" s="188">
        <f t="array" ref="A27">IFERROR(INDEX('Annex 2 EHV charges'!$D$10:$D$150, MATCH(0, IF(('Annex 2 EHV charges'!$D$10:$D$150=""),1, COUNTIF(A$4:$A26, 'Annex 2 EHV charges'!$D$10:$D$150)), 0)),"")</f>
        <v>784</v>
      </c>
      <c r="B27" s="183">
        <f>IF($A27="","",VLOOKUP($A27,'Annex 2 EHV charges'!$D:$O,2,0))</f>
        <v>784</v>
      </c>
      <c r="C27" s="184">
        <f>IF($A27="","",VLOOKUP($A27,'Annex 2 EHV charges'!$D:$O,3,0))</f>
        <v>1574000308405</v>
      </c>
      <c r="D27" s="108" t="str">
        <f>IF($A27="","",VLOOKUP($A27,'Annex 2 EHV charges'!$D:$O,4,0))</f>
        <v>EHV Site Specific (LLFC 541 &amp; 784)</v>
      </c>
      <c r="E27" s="189">
        <f>IFERROR(IF(VLOOKUP($A27,'Annex 2 EHV charges'!$D:$O,9,FALSE)=0,"",VLOOKUP($A27,'Annex 2 EHV charges'!$D:$O,9,FALSE)),"")</f>
        <v>-0.63700000000000001</v>
      </c>
      <c r="F27" s="190">
        <f>IFERROR(IF(VLOOKUP($A27,'Annex 2 EHV charges'!$D:$O,10,FALSE)=0,"",VLOOKUP($A27,'Annex 2 EHV charges'!$D:$O,10,FALSE)),"")</f>
        <v>4667.0200000000004</v>
      </c>
      <c r="G27" s="191">
        <f>IFERROR(IF(VLOOKUP($A27,'Annex 2 EHV charges'!$D:$O,11,FALSE)=0,"",VLOOKUP($A27,'Annex 2 EHV charges'!$D:$O,11,FALSE)),"")</f>
        <v>0.05</v>
      </c>
      <c r="H27" s="191">
        <f>IFERROR(IF(VLOOKUP($A27,'Annex 2 EHV charges'!$D:$O,12,FALSE)=0,"",VLOOKUP($A27,'Annex 2 EHV charges'!$D:$O,12,FALSE)),"")</f>
        <v>0.05</v>
      </c>
    </row>
    <row r="28" spans="1:8" x14ac:dyDescent="0.2">
      <c r="A28" s="188">
        <f t="array" ref="A28">IFERROR(INDEX('Annex 2 EHV charges'!$D$10:$D$150, MATCH(0, IF(('Annex 2 EHV charges'!$D$10:$D$150=""),1, COUNTIF(A$4:$A27, 'Annex 2 EHV charges'!$D$10:$D$150)), 0)),"")</f>
        <v>785</v>
      </c>
      <c r="B28" s="183">
        <f>IF($A28="","",VLOOKUP($A28,'Annex 2 EHV charges'!$D:$O,2,0))</f>
        <v>785</v>
      </c>
      <c r="C28" s="184">
        <f>IF($A28="","",VLOOKUP($A28,'Annex 2 EHV charges'!$D:$O,3,0))</f>
        <v>1574000315040</v>
      </c>
      <c r="D28" s="108" t="str">
        <f>IF($A28="","",VLOOKUP($A28,'Annex 2 EHV charges'!$D:$O,4,0))</f>
        <v>EHV Site Specific (LLFC 542 &amp; 785)</v>
      </c>
      <c r="E28" s="189" t="str">
        <f>IFERROR(IF(VLOOKUP($A28,'Annex 2 EHV charges'!$D:$O,9,FALSE)=0,"",VLOOKUP($A28,'Annex 2 EHV charges'!$D:$O,9,FALSE)),"")</f>
        <v/>
      </c>
      <c r="F28" s="190">
        <f>IFERROR(IF(VLOOKUP($A28,'Annex 2 EHV charges'!$D:$O,10,FALSE)=0,"",VLOOKUP($A28,'Annex 2 EHV charges'!$D:$O,10,FALSE)),"")</f>
        <v>313.2</v>
      </c>
      <c r="G28" s="191">
        <f>IFERROR(IF(VLOOKUP($A28,'Annex 2 EHV charges'!$D:$O,11,FALSE)=0,"",VLOOKUP($A28,'Annex 2 EHV charges'!$D:$O,11,FALSE)),"")</f>
        <v>0.05</v>
      </c>
      <c r="H28" s="191">
        <f>IFERROR(IF(VLOOKUP($A28,'Annex 2 EHV charges'!$D:$O,12,FALSE)=0,"",VLOOKUP($A28,'Annex 2 EHV charges'!$D:$O,12,FALSE)),"")</f>
        <v>0.05</v>
      </c>
    </row>
    <row r="29" spans="1:8" x14ac:dyDescent="0.2">
      <c r="A29" s="188">
        <f t="array" ref="A29">IFERROR(INDEX('Annex 2 EHV charges'!$D$10:$D$150, MATCH(0, IF(('Annex 2 EHV charges'!$D$10:$D$150=""),1, COUNTIF(A$4:$A28, 'Annex 2 EHV charges'!$D$10:$D$150)), 0)),"")</f>
        <v>787</v>
      </c>
      <c r="B29" s="183">
        <f>IF($A29="","",VLOOKUP($A29,'Annex 2 EHV charges'!$D:$O,2,0))</f>
        <v>787</v>
      </c>
      <c r="C29" s="184">
        <f>IF($A29="","",VLOOKUP($A29,'Annex 2 EHV charges'!$D:$O,3,0))</f>
        <v>1574000324470</v>
      </c>
      <c r="D29" s="108" t="str">
        <f>IF($A29="","",VLOOKUP($A29,'Annex 2 EHV charges'!$D:$O,4,0))</f>
        <v>EHV Site Specific (LLFC 547 &amp; 787)</v>
      </c>
      <c r="E29" s="189" t="str">
        <f>IFERROR(IF(VLOOKUP($A29,'Annex 2 EHV charges'!$D:$O,9,FALSE)=0,"",VLOOKUP($A29,'Annex 2 EHV charges'!$D:$O,9,FALSE)),"")</f>
        <v/>
      </c>
      <c r="F29" s="190">
        <f>IFERROR(IF(VLOOKUP($A29,'Annex 2 EHV charges'!$D:$O,10,FALSE)=0,"",VLOOKUP($A29,'Annex 2 EHV charges'!$D:$O,10,FALSE)),"")</f>
        <v>2228.06</v>
      </c>
      <c r="G29" s="191">
        <f>IFERROR(IF(VLOOKUP($A29,'Annex 2 EHV charges'!$D:$O,11,FALSE)=0,"",VLOOKUP($A29,'Annex 2 EHV charges'!$D:$O,11,FALSE)),"")</f>
        <v>0.05</v>
      </c>
      <c r="H29" s="191">
        <f>IFERROR(IF(VLOOKUP($A29,'Annex 2 EHV charges'!$D:$O,12,FALSE)=0,"",VLOOKUP($A29,'Annex 2 EHV charges'!$D:$O,12,FALSE)),"")</f>
        <v>0.05</v>
      </c>
    </row>
    <row r="30" spans="1:8" x14ac:dyDescent="0.2">
      <c r="A30" s="188">
        <f t="array" ref="A30">IFERROR(INDEX('Annex 2 EHV charges'!$D$10:$D$150, MATCH(0, IF(('Annex 2 EHV charges'!$D$10:$D$150=""),1, COUNTIF(A$4:$A29, 'Annex 2 EHV charges'!$D$10:$D$150)), 0)),"")</f>
        <v>788</v>
      </c>
      <c r="B30" s="183">
        <f>IF($A30="","",VLOOKUP($A30,'Annex 2 EHV charges'!$D:$O,2,0))</f>
        <v>788</v>
      </c>
      <c r="C30" s="184">
        <f>IF($A30="","",VLOOKUP($A30,'Annex 2 EHV charges'!$D:$O,3,0))</f>
        <v>1574000324461</v>
      </c>
      <c r="D30" s="108" t="str">
        <f>IF($A30="","",VLOOKUP($A30,'Annex 2 EHV charges'!$D:$O,4,0))</f>
        <v>EHV Site Specific (LLFC 548 &amp; 788)</v>
      </c>
      <c r="E30" s="189" t="str">
        <f>IFERROR(IF(VLOOKUP($A30,'Annex 2 EHV charges'!$D:$O,9,FALSE)=0,"",VLOOKUP($A30,'Annex 2 EHV charges'!$D:$O,9,FALSE)),"")</f>
        <v/>
      </c>
      <c r="F30" s="190">
        <f>IFERROR(IF(VLOOKUP($A30,'Annex 2 EHV charges'!$D:$O,10,FALSE)=0,"",VLOOKUP($A30,'Annex 2 EHV charges'!$D:$O,10,FALSE)),"")</f>
        <v>5563.62</v>
      </c>
      <c r="G30" s="191">
        <f>IFERROR(IF(VLOOKUP($A30,'Annex 2 EHV charges'!$D:$O,11,FALSE)=0,"",VLOOKUP($A30,'Annex 2 EHV charges'!$D:$O,11,FALSE)),"")</f>
        <v>0.05</v>
      </c>
      <c r="H30" s="191">
        <f>IFERROR(IF(VLOOKUP($A30,'Annex 2 EHV charges'!$D:$O,12,FALSE)=0,"",VLOOKUP($A30,'Annex 2 EHV charges'!$D:$O,12,FALSE)),"")</f>
        <v>0.05</v>
      </c>
    </row>
    <row r="31" spans="1:8" x14ac:dyDescent="0.2">
      <c r="A31" s="188">
        <f t="array" ref="A31">IFERROR(INDEX('Annex 2 EHV charges'!$D$10:$D$150, MATCH(0, IF(('Annex 2 EHV charges'!$D$10:$D$150=""),1, COUNTIF(A$4:$A30, 'Annex 2 EHV charges'!$D$10:$D$150)), 0)),"")</f>
        <v>789</v>
      </c>
      <c r="B31" s="183">
        <f>IF($A31="","",VLOOKUP($A31,'Annex 2 EHV charges'!$D:$O,2,0))</f>
        <v>789</v>
      </c>
      <c r="C31" s="184">
        <f>IF($A31="","",VLOOKUP($A31,'Annex 2 EHV charges'!$D:$O,3,0))</f>
        <v>1574000327286</v>
      </c>
      <c r="D31" s="108" t="str">
        <f>IF($A31="","",VLOOKUP($A31,'Annex 2 EHV charges'!$D:$O,4,0))</f>
        <v>EHV Site Specific (LLFC 549 &amp; 789)</v>
      </c>
      <c r="E31" s="189" t="str">
        <f>IFERROR(IF(VLOOKUP($A31,'Annex 2 EHV charges'!$D:$O,9,FALSE)=0,"",VLOOKUP($A31,'Annex 2 EHV charges'!$D:$O,9,FALSE)),"")</f>
        <v/>
      </c>
      <c r="F31" s="190">
        <f>IFERROR(IF(VLOOKUP($A31,'Annex 2 EHV charges'!$D:$O,10,FALSE)=0,"",VLOOKUP($A31,'Annex 2 EHV charges'!$D:$O,10,FALSE)),"")</f>
        <v>18287.13</v>
      </c>
      <c r="G31" s="191">
        <f>IFERROR(IF(VLOOKUP($A31,'Annex 2 EHV charges'!$D:$O,11,FALSE)=0,"",VLOOKUP($A31,'Annex 2 EHV charges'!$D:$O,11,FALSE)),"")</f>
        <v>0.05</v>
      </c>
      <c r="H31" s="191">
        <f>IFERROR(IF(VLOOKUP($A31,'Annex 2 EHV charges'!$D:$O,12,FALSE)=0,"",VLOOKUP($A31,'Annex 2 EHV charges'!$D:$O,12,FALSE)),"")</f>
        <v>0.05</v>
      </c>
    </row>
    <row r="32" spans="1:8" x14ac:dyDescent="0.2">
      <c r="A32" s="188">
        <f t="array" ref="A32">IFERROR(INDEX('Annex 2 EHV charges'!$D$10:$D$150, MATCH(0, IF(('Annex 2 EHV charges'!$D$10:$D$150=""),1, COUNTIF(A$4:$A31, 'Annex 2 EHV charges'!$D$10:$D$150)), 0)),"")</f>
        <v>806</v>
      </c>
      <c r="B32" s="183">
        <f>IF($A32="","",VLOOKUP($A32,'Annex 2 EHV charges'!$D:$O,2,0))</f>
        <v>806</v>
      </c>
      <c r="C32" s="184" t="str">
        <f>IF($A32="","",VLOOKUP($A32,'Annex 2 EHV charges'!$D:$O,3,0))</f>
        <v>MSID_7333</v>
      </c>
      <c r="D32" s="108" t="str">
        <f>IF($A32="","",VLOOKUP($A32,'Annex 2 EHV charges'!$D:$O,4,0))</f>
        <v>EHV Site Specific (LLFC 560 &amp; 806)</v>
      </c>
      <c r="E32" s="189" t="str">
        <f>IFERROR(IF(VLOOKUP($A32,'Annex 2 EHV charges'!$D:$O,9,FALSE)=0,"",VLOOKUP($A32,'Annex 2 EHV charges'!$D:$O,9,FALSE)),"")</f>
        <v/>
      </c>
      <c r="F32" s="190">
        <f>IFERROR(IF(VLOOKUP($A32,'Annex 2 EHV charges'!$D:$O,10,FALSE)=0,"",VLOOKUP($A32,'Annex 2 EHV charges'!$D:$O,10,FALSE)),"")</f>
        <v>2690.13</v>
      </c>
      <c r="G32" s="191">
        <f>IFERROR(IF(VLOOKUP($A32,'Annex 2 EHV charges'!$D:$O,11,FALSE)=0,"",VLOOKUP($A32,'Annex 2 EHV charges'!$D:$O,11,FALSE)),"")</f>
        <v>0.05</v>
      </c>
      <c r="H32" s="191">
        <f>IFERROR(IF(VLOOKUP($A32,'Annex 2 EHV charges'!$D:$O,12,FALSE)=0,"",VLOOKUP($A32,'Annex 2 EHV charges'!$D:$O,12,FALSE)),"")</f>
        <v>0.05</v>
      </c>
    </row>
    <row r="33" spans="1:8" x14ac:dyDescent="0.2">
      <c r="A33" s="188">
        <f t="array" ref="A33">IFERROR(INDEX('Annex 2 EHV charges'!$D$10:$D$150, MATCH(0, IF(('Annex 2 EHV charges'!$D$10:$D$150=""),1, COUNTIF(A$4:$A32, 'Annex 2 EHV charges'!$D$10:$D$150)), 0)),"")</f>
        <v>807</v>
      </c>
      <c r="B33" s="183">
        <f>IF($A33="","",VLOOKUP($A33,'Annex 2 EHV charges'!$D:$O,2,0))</f>
        <v>807</v>
      </c>
      <c r="C33" s="184">
        <f>IF($A33="","",VLOOKUP($A33,'Annex 2 EHV charges'!$D:$O,3,0))</f>
        <v>1574000328420</v>
      </c>
      <c r="D33" s="108" t="str">
        <f>IF($A33="","",VLOOKUP($A33,'Annex 2 EHV charges'!$D:$O,4,0))</f>
        <v>EHV Site Specific (LLFC 561 &amp; 807)</v>
      </c>
      <c r="E33" s="189" t="str">
        <f>IFERROR(IF(VLOOKUP($A33,'Annex 2 EHV charges'!$D:$O,9,FALSE)=0,"",VLOOKUP($A33,'Annex 2 EHV charges'!$D:$O,9,FALSE)),"")</f>
        <v/>
      </c>
      <c r="F33" s="190">
        <f>IFERROR(IF(VLOOKUP($A33,'Annex 2 EHV charges'!$D:$O,10,FALSE)=0,"",VLOOKUP($A33,'Annex 2 EHV charges'!$D:$O,10,FALSE)),"")</f>
        <v>8899.6</v>
      </c>
      <c r="G33" s="191">
        <f>IFERROR(IF(VLOOKUP($A33,'Annex 2 EHV charges'!$D:$O,11,FALSE)=0,"",VLOOKUP($A33,'Annex 2 EHV charges'!$D:$O,11,FALSE)),"")</f>
        <v>0.05</v>
      </c>
      <c r="H33" s="191">
        <f>IFERROR(IF(VLOOKUP($A33,'Annex 2 EHV charges'!$D:$O,12,FALSE)=0,"",VLOOKUP($A33,'Annex 2 EHV charges'!$D:$O,12,FALSE)),"")</f>
        <v>0.05</v>
      </c>
    </row>
    <row r="34" spans="1:8" x14ac:dyDescent="0.2">
      <c r="A34" s="188">
        <f t="array" ref="A34">IFERROR(INDEX('Annex 2 EHV charges'!$D$10:$D$150, MATCH(0, IF(('Annex 2 EHV charges'!$D$10:$D$150=""),1, COUNTIF(A$4:$A33, 'Annex 2 EHV charges'!$D$10:$D$150)), 0)),"")</f>
        <v>802</v>
      </c>
      <c r="B34" s="183">
        <f>IF($A34="","",VLOOKUP($A34,'Annex 2 EHV charges'!$D:$O,2,0))</f>
        <v>802</v>
      </c>
      <c r="C34" s="184">
        <f>IF($A34="","",VLOOKUP($A34,'Annex 2 EHV charges'!$D:$O,3,0))</f>
        <v>1574000324790</v>
      </c>
      <c r="D34" s="108" t="str">
        <f>IF($A34="","",VLOOKUP($A34,'Annex 2 EHV charges'!$D:$O,4,0))</f>
        <v>EHV Site Specific (LLFC 563 &amp; 802)</v>
      </c>
      <c r="E34" s="189" t="str">
        <f>IFERROR(IF(VLOOKUP($A34,'Annex 2 EHV charges'!$D:$O,9,FALSE)=0,"",VLOOKUP($A34,'Annex 2 EHV charges'!$D:$O,9,FALSE)),"")</f>
        <v/>
      </c>
      <c r="F34" s="190">
        <f>IFERROR(IF(VLOOKUP($A34,'Annex 2 EHV charges'!$D:$O,10,FALSE)=0,"",VLOOKUP($A34,'Annex 2 EHV charges'!$D:$O,10,FALSE)),"")</f>
        <v>126.88</v>
      </c>
      <c r="G34" s="191">
        <f>IFERROR(IF(VLOOKUP($A34,'Annex 2 EHV charges'!$D:$O,11,FALSE)=0,"",VLOOKUP($A34,'Annex 2 EHV charges'!$D:$O,11,FALSE)),"")</f>
        <v>0.05</v>
      </c>
      <c r="H34" s="191">
        <f>IFERROR(IF(VLOOKUP($A34,'Annex 2 EHV charges'!$D:$O,12,FALSE)=0,"",VLOOKUP($A34,'Annex 2 EHV charges'!$D:$O,12,FALSE)),"")</f>
        <v>0.05</v>
      </c>
    </row>
    <row r="35" spans="1:8" x14ac:dyDescent="0.2">
      <c r="A35" s="188">
        <f t="array" ref="A35">IFERROR(INDEX('Annex 2 EHV charges'!$D$10:$D$150, MATCH(0, IF(('Annex 2 EHV charges'!$D$10:$D$150=""),1, COUNTIF(A$4:$A34, 'Annex 2 EHV charges'!$D$10:$D$150)), 0)),"")</f>
        <v>769</v>
      </c>
      <c r="B35" s="183">
        <f>IF($A35="","",VLOOKUP($A35,'Annex 2 EHV charges'!$D:$O,2,0))</f>
        <v>769</v>
      </c>
      <c r="C35" s="184">
        <f>IF($A35="","",VLOOKUP($A35,'Annex 2 EHV charges'!$D:$O,3,0))</f>
        <v>1574000324781</v>
      </c>
      <c r="D35" s="108" t="str">
        <f>IF($A35="","",VLOOKUP($A35,'Annex 2 EHV charges'!$D:$O,4,0))</f>
        <v>EHV Site Specific (LLFC 562 &amp; 769)</v>
      </c>
      <c r="E35" s="189" t="str">
        <f>IFERROR(IF(VLOOKUP($A35,'Annex 2 EHV charges'!$D:$O,9,FALSE)=0,"",VLOOKUP($A35,'Annex 2 EHV charges'!$D:$O,9,FALSE)),"")</f>
        <v/>
      </c>
      <c r="F35" s="190">
        <f>IFERROR(IF(VLOOKUP($A35,'Annex 2 EHV charges'!$D:$O,10,FALSE)=0,"",VLOOKUP($A35,'Annex 2 EHV charges'!$D:$O,10,FALSE)),"")</f>
        <v>126.88</v>
      </c>
      <c r="G35" s="191">
        <f>IFERROR(IF(VLOOKUP($A35,'Annex 2 EHV charges'!$D:$O,11,FALSE)=0,"",VLOOKUP($A35,'Annex 2 EHV charges'!$D:$O,11,FALSE)),"")</f>
        <v>0.05</v>
      </c>
      <c r="H35" s="191">
        <f>IFERROR(IF(VLOOKUP($A35,'Annex 2 EHV charges'!$D:$O,12,FALSE)=0,"",VLOOKUP($A35,'Annex 2 EHV charges'!$D:$O,12,FALSE)),"")</f>
        <v>0.05</v>
      </c>
    </row>
    <row r="36" spans="1:8" x14ac:dyDescent="0.2">
      <c r="A36" s="188">
        <f t="array" ref="A36">IFERROR(INDEX('Annex 2 EHV charges'!$D$10:$D$150, MATCH(0, IF(('Annex 2 EHV charges'!$D$10:$D$150=""),1, COUNTIF(A$4:$A35, 'Annex 2 EHV charges'!$D$10:$D$150)), 0)),"")</f>
        <v>803</v>
      </c>
      <c r="B36" s="183">
        <f>IF($A36="","",VLOOKUP($A36,'Annex 2 EHV charges'!$D:$O,2,0))</f>
        <v>803</v>
      </c>
      <c r="C36" s="184">
        <f>IF($A36="","",VLOOKUP($A36,'Annex 2 EHV charges'!$D:$O,3,0))</f>
        <v>1574000328703</v>
      </c>
      <c r="D36" s="108" t="str">
        <f>IF($A36="","",VLOOKUP($A36,'Annex 2 EHV charges'!$D:$O,4,0))</f>
        <v>EHV Site Specific (LLFC 564 &amp; 803)</v>
      </c>
      <c r="E36" s="189" t="str">
        <f>IFERROR(IF(VLOOKUP($A36,'Annex 2 EHV charges'!$D:$O,9,FALSE)=0,"",VLOOKUP($A36,'Annex 2 EHV charges'!$D:$O,9,FALSE)),"")</f>
        <v/>
      </c>
      <c r="F36" s="190">
        <f>IFERROR(IF(VLOOKUP($A36,'Annex 2 EHV charges'!$D:$O,10,FALSE)=0,"",VLOOKUP($A36,'Annex 2 EHV charges'!$D:$O,10,FALSE)),"")</f>
        <v>248.29</v>
      </c>
      <c r="G36" s="191">
        <f>IFERROR(IF(VLOOKUP($A36,'Annex 2 EHV charges'!$D:$O,11,FALSE)=0,"",VLOOKUP($A36,'Annex 2 EHV charges'!$D:$O,11,FALSE)),"")</f>
        <v>0.05</v>
      </c>
      <c r="H36" s="191">
        <f>IFERROR(IF(VLOOKUP($A36,'Annex 2 EHV charges'!$D:$O,12,FALSE)=0,"",VLOOKUP($A36,'Annex 2 EHV charges'!$D:$O,12,FALSE)),"")</f>
        <v>0.05</v>
      </c>
    </row>
    <row r="37" spans="1:8" x14ac:dyDescent="0.2">
      <c r="A37" s="188">
        <f t="array" ref="A37">IFERROR(INDEX('Annex 2 EHV charges'!$D$10:$D$150, MATCH(0, IF(('Annex 2 EHV charges'!$D$10:$D$150=""),1, COUNTIF(A$4:$A36, 'Annex 2 EHV charges'!$D$10:$D$150)), 0)),"")</f>
        <v>805</v>
      </c>
      <c r="B37" s="183">
        <f>IF($A37="","",VLOOKUP($A37,'Annex 2 EHV charges'!$D:$O,2,0))</f>
        <v>805</v>
      </c>
      <c r="C37" s="184">
        <f>IF($A37="","",VLOOKUP($A37,'Annex 2 EHV charges'!$D:$O,3,0))</f>
        <v>1574000327505</v>
      </c>
      <c r="D37" s="108" t="str">
        <f>IF($A37="","",VLOOKUP($A37,'Annex 2 EHV charges'!$D:$O,4,0))</f>
        <v>EHV Site Specific (LLFC 565 &amp; 805)</v>
      </c>
      <c r="E37" s="189">
        <f>IFERROR(IF(VLOOKUP($A37,'Annex 2 EHV charges'!$D:$O,9,FALSE)=0,"",VLOOKUP($A37,'Annex 2 EHV charges'!$D:$O,9,FALSE)),"")</f>
        <v>-0.28499999999999998</v>
      </c>
      <c r="F37" s="190">
        <f>IFERROR(IF(VLOOKUP($A37,'Annex 2 EHV charges'!$D:$O,10,FALSE)=0,"",VLOOKUP($A37,'Annex 2 EHV charges'!$D:$O,10,FALSE)),"")</f>
        <v>511.05</v>
      </c>
      <c r="G37" s="191">
        <f>IFERROR(IF(VLOOKUP($A37,'Annex 2 EHV charges'!$D:$O,11,FALSE)=0,"",VLOOKUP($A37,'Annex 2 EHV charges'!$D:$O,11,FALSE)),"")</f>
        <v>0.05</v>
      </c>
      <c r="H37" s="191">
        <f>IFERROR(IF(VLOOKUP($A37,'Annex 2 EHV charges'!$D:$O,12,FALSE)=0,"",VLOOKUP($A37,'Annex 2 EHV charges'!$D:$O,12,FALSE)),"")</f>
        <v>0.05</v>
      </c>
    </row>
    <row r="38" spans="1:8" x14ac:dyDescent="0.2">
      <c r="A38" s="188">
        <f t="array" ref="A38">IFERROR(INDEX('Annex 2 EHV charges'!$D$10:$D$150, MATCH(0, IF(('Annex 2 EHV charges'!$D$10:$D$150=""),1, COUNTIF(A$4:$A37, 'Annex 2 EHV charges'!$D$10:$D$150)), 0)),"")</f>
        <v>809</v>
      </c>
      <c r="B38" s="183">
        <f>IF($A38="","",VLOOKUP($A38,'Annex 2 EHV charges'!$D:$O,2,0))</f>
        <v>809</v>
      </c>
      <c r="C38" s="184">
        <f>IF($A38="","",VLOOKUP($A38,'Annex 2 EHV charges'!$D:$O,3,0))</f>
        <v>1574000328810</v>
      </c>
      <c r="D38" s="108" t="str">
        <f>IF($A38="","",VLOOKUP($A38,'Annex 2 EHV charges'!$D:$O,4,0))</f>
        <v>EHV Site Specific (LLFC 567 &amp; 809)</v>
      </c>
      <c r="E38" s="189" t="str">
        <f>IFERROR(IF(VLOOKUP($A38,'Annex 2 EHV charges'!$D:$O,9,FALSE)=0,"",VLOOKUP($A38,'Annex 2 EHV charges'!$D:$O,9,FALSE)),"")</f>
        <v/>
      </c>
      <c r="F38" s="190">
        <f>IFERROR(IF(VLOOKUP($A38,'Annex 2 EHV charges'!$D:$O,10,FALSE)=0,"",VLOOKUP($A38,'Annex 2 EHV charges'!$D:$O,10,FALSE)),"")</f>
        <v>606.91</v>
      </c>
      <c r="G38" s="191">
        <f>IFERROR(IF(VLOOKUP($A38,'Annex 2 EHV charges'!$D:$O,11,FALSE)=0,"",VLOOKUP($A38,'Annex 2 EHV charges'!$D:$O,11,FALSE)),"")</f>
        <v>0.05</v>
      </c>
      <c r="H38" s="191">
        <f>IFERROR(IF(VLOOKUP($A38,'Annex 2 EHV charges'!$D:$O,12,FALSE)=0,"",VLOOKUP($A38,'Annex 2 EHV charges'!$D:$O,12,FALSE)),"")</f>
        <v>0.05</v>
      </c>
    </row>
    <row r="39" spans="1:8" x14ac:dyDescent="0.2">
      <c r="A39" s="188">
        <f t="array" ref="A39">IFERROR(INDEX('Annex 2 EHV charges'!$D$10:$D$150, MATCH(0, IF(('Annex 2 EHV charges'!$D$10:$D$150=""),1, COUNTIF(A$4:$A38, 'Annex 2 EHV charges'!$D$10:$D$150)), 0)),"")</f>
        <v>808</v>
      </c>
      <c r="B39" s="183">
        <f>IF($A39="","",VLOOKUP($A39,'Annex 2 EHV charges'!$D:$O,2,0))</f>
        <v>808</v>
      </c>
      <c r="C39" s="184">
        <f>IF($A39="","",VLOOKUP($A39,'Annex 2 EHV charges'!$D:$O,3,0))</f>
        <v>1574000328094</v>
      </c>
      <c r="D39" s="108" t="str">
        <f>IF($A39="","",VLOOKUP($A39,'Annex 2 EHV charges'!$D:$O,4,0))</f>
        <v>EHV Site Specific (LLFC 566 &amp; 808)</v>
      </c>
      <c r="E39" s="189">
        <f>IFERROR(IF(VLOOKUP($A39,'Annex 2 EHV charges'!$D:$O,9,FALSE)=0,"",VLOOKUP($A39,'Annex 2 EHV charges'!$D:$O,9,FALSE)),"")</f>
        <v>-1.4E-2</v>
      </c>
      <c r="F39" s="190">
        <f>IFERROR(IF(VLOOKUP($A39,'Annex 2 EHV charges'!$D:$O,10,FALSE)=0,"",VLOOKUP($A39,'Annex 2 EHV charges'!$D:$O,10,FALSE)),"")</f>
        <v>1990.84</v>
      </c>
      <c r="G39" s="191">
        <f>IFERROR(IF(VLOOKUP($A39,'Annex 2 EHV charges'!$D:$O,11,FALSE)=0,"",VLOOKUP($A39,'Annex 2 EHV charges'!$D:$O,11,FALSE)),"")</f>
        <v>0.05</v>
      </c>
      <c r="H39" s="191">
        <f>IFERROR(IF(VLOOKUP($A39,'Annex 2 EHV charges'!$D:$O,12,FALSE)=0,"",VLOOKUP($A39,'Annex 2 EHV charges'!$D:$O,12,FALSE)),"")</f>
        <v>0.05</v>
      </c>
    </row>
  </sheetData>
  <mergeCells count="2">
    <mergeCell ref="A2:H2"/>
    <mergeCell ref="A1:H1"/>
  </mergeCells>
  <pageMargins left="0.39370078740157483" right="0.39370078740157483" top="0.9055118110236221" bottom="0.74803149606299213" header="0.31496062992125984" footer="0.51181102362204722"/>
  <pageSetup paperSize="9" scale="65" fitToHeight="0" orientation="portrait" r:id="rId1"/>
  <headerFooter differentFirst="1" scaleWithDoc="0">
    <oddHeader>&amp;L&amp;"Trebuchet MS,Regular"
&amp;"Trebuchet MS,Bold"Annex 2b&amp;"Trebuchet MS,Regular" - Schedule of Export Charges for use of the Distribution System by Designated EHV Properties (including LDNOs with Designated EHV Properties/end-users).</oddHeader>
    <firstHeader>&amp;L&amp;"Trebuchet MS,Regular"
&amp;"Trebuchet MS,Bold"Annex 2b&amp;"Trebuchet MS,Regular" - Schedule of Export Charges for use of the Distribution System by Designated EHV Properties (including LDNOs with Designated EHV Properties/end-users).</first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J21"/>
  <sheetViews>
    <sheetView zoomScaleNormal="100" zoomScaleSheetLayoutView="100" workbookViewId="0">
      <selection activeCell="A2" sqref="A2:J2"/>
    </sheetView>
  </sheetViews>
  <sheetFormatPr defaultRowHeight="12.75" x14ac:dyDescent="0.2"/>
  <cols>
    <col min="1" max="1" width="27.42578125" customWidth="1"/>
    <col min="2" max="2" width="11" customWidth="1"/>
    <col min="4" max="10" width="16.5703125" customWidth="1"/>
  </cols>
  <sheetData>
    <row r="1" spans="1:10" s="2" customFormat="1" ht="12" customHeight="1" x14ac:dyDescent="0.2">
      <c r="A1" s="15" t="s">
        <v>87</v>
      </c>
      <c r="B1" s="3"/>
      <c r="D1" s="3"/>
      <c r="E1" s="3"/>
      <c r="F1" s="3"/>
      <c r="G1" s="10"/>
      <c r="H1" s="4"/>
      <c r="I1" s="4"/>
    </row>
    <row r="2" spans="1:10" s="2" customFormat="1" ht="27" customHeight="1" x14ac:dyDescent="0.2">
      <c r="A2" s="223" t="str">
        <f>Overview!B4&amp; " - Effective from "&amp;Overview!D4&amp;" - "&amp;Overview!E4&amp;" LV and HV tariffs"</f>
        <v>Northern Powergrid (Northeast) Ltd - Effective from 1 April 2019 - Final LV and HV tariffs</v>
      </c>
      <c r="B2" s="223"/>
      <c r="C2" s="223"/>
      <c r="D2" s="223"/>
      <c r="E2" s="223"/>
      <c r="F2" s="223"/>
      <c r="G2" s="223"/>
      <c r="H2" s="223"/>
      <c r="I2" s="223"/>
      <c r="J2" s="223"/>
    </row>
    <row r="3" spans="1:10" s="2" customFormat="1" ht="27" customHeight="1" x14ac:dyDescent="0.2">
      <c r="A3" s="240" t="s">
        <v>454</v>
      </c>
      <c r="B3" s="240"/>
      <c r="C3" s="240"/>
      <c r="D3" s="240"/>
      <c r="E3" s="240"/>
      <c r="F3" s="240"/>
      <c r="G3" s="240"/>
      <c r="H3" s="240"/>
      <c r="I3" s="240"/>
      <c r="J3" s="240"/>
    </row>
    <row r="4" spans="1:10" s="2" customFormat="1" ht="71.25" customHeight="1" x14ac:dyDescent="0.2">
      <c r="A4" s="17"/>
      <c r="B4" s="31" t="s">
        <v>48</v>
      </c>
      <c r="C4" s="195" t="s">
        <v>92</v>
      </c>
      <c r="D4" s="195" t="s">
        <v>628</v>
      </c>
      <c r="E4" s="195" t="s">
        <v>629</v>
      </c>
      <c r="F4" s="195" t="s">
        <v>93</v>
      </c>
      <c r="G4" s="16"/>
      <c r="H4" s="16"/>
      <c r="I4" s="16"/>
      <c r="J4" s="16"/>
    </row>
    <row r="5" spans="1:10" s="2" customFormat="1" ht="32.25" customHeight="1" x14ac:dyDescent="0.2">
      <c r="A5" s="18"/>
      <c r="B5" s="196"/>
      <c r="C5" s="197"/>
      <c r="D5" s="159"/>
      <c r="E5" s="198"/>
      <c r="F5" s="161"/>
      <c r="G5" s="29"/>
      <c r="H5" s="29"/>
      <c r="I5" s="29"/>
      <c r="J5" s="29"/>
    </row>
    <row r="6" spans="1:10" x14ac:dyDescent="0.2">
      <c r="A6" s="241" t="s">
        <v>50</v>
      </c>
      <c r="B6" s="238" t="s">
        <v>51</v>
      </c>
      <c r="C6" s="238"/>
      <c r="D6" s="238"/>
      <c r="E6" s="238"/>
      <c r="F6" s="238"/>
      <c r="G6" s="238"/>
      <c r="H6" s="239"/>
      <c r="I6" s="239"/>
      <c r="J6" s="239"/>
    </row>
    <row r="7" spans="1:10" x14ac:dyDescent="0.2">
      <c r="A7" s="241"/>
      <c r="B7" s="238"/>
      <c r="C7" s="238"/>
      <c r="D7" s="238"/>
      <c r="E7" s="238"/>
      <c r="F7" s="238"/>
      <c r="G7" s="238"/>
      <c r="H7" s="239"/>
      <c r="I7" s="239"/>
      <c r="J7" s="239"/>
    </row>
    <row r="8" spans="1:10" x14ac:dyDescent="0.2">
      <c r="A8" s="241"/>
      <c r="B8" s="238"/>
      <c r="C8" s="238"/>
      <c r="D8" s="238"/>
      <c r="E8" s="238"/>
      <c r="F8" s="238"/>
      <c r="G8" s="238"/>
      <c r="H8" s="239"/>
      <c r="I8" s="239"/>
      <c r="J8" s="239"/>
    </row>
    <row r="9" spans="1:10" x14ac:dyDescent="0.2">
      <c r="A9" s="56"/>
      <c r="B9" s="56"/>
      <c r="C9" s="56"/>
      <c r="D9" s="56"/>
      <c r="E9" s="56"/>
      <c r="F9" s="56"/>
      <c r="G9" s="56"/>
      <c r="H9" s="56"/>
      <c r="I9" s="56"/>
      <c r="J9" s="56"/>
    </row>
    <row r="10" spans="1:10" x14ac:dyDescent="0.2">
      <c r="A10" s="56"/>
      <c r="B10" s="56"/>
      <c r="C10" s="56"/>
      <c r="D10" s="56"/>
      <c r="E10" s="56"/>
      <c r="F10" s="56"/>
      <c r="G10" s="56"/>
      <c r="H10" s="56"/>
      <c r="I10" s="56"/>
      <c r="J10" s="56"/>
    </row>
    <row r="11" spans="1:10" s="2" customFormat="1" ht="27" customHeight="1" x14ac:dyDescent="0.2">
      <c r="A11" s="240" t="s">
        <v>455</v>
      </c>
      <c r="B11" s="240"/>
      <c r="C11" s="240"/>
      <c r="D11" s="240"/>
      <c r="E11" s="240"/>
      <c r="F11" s="240"/>
      <c r="G11" s="240"/>
      <c r="H11" s="240"/>
      <c r="I11" s="240"/>
      <c r="J11" s="240"/>
    </row>
    <row r="12" spans="1:10" s="2" customFormat="1" ht="58.5" customHeight="1" x14ac:dyDescent="0.2">
      <c r="A12" s="17"/>
      <c r="B12" s="31" t="s">
        <v>48</v>
      </c>
      <c r="C12" s="16" t="s">
        <v>92</v>
      </c>
      <c r="D12" s="31" t="s">
        <v>635</v>
      </c>
      <c r="E12" s="31" t="s">
        <v>636</v>
      </c>
      <c r="F12" s="31" t="s">
        <v>637</v>
      </c>
      <c r="G12" s="143" t="s">
        <v>93</v>
      </c>
      <c r="H12" s="143" t="s">
        <v>94</v>
      </c>
      <c r="I12" s="31" t="s">
        <v>687</v>
      </c>
      <c r="J12" s="143" t="s">
        <v>453</v>
      </c>
    </row>
    <row r="13" spans="1:10" s="2" customFormat="1" ht="32.25" customHeight="1" x14ac:dyDescent="0.2">
      <c r="A13" s="18"/>
      <c r="B13" s="30"/>
      <c r="C13" s="19"/>
      <c r="D13" s="20"/>
      <c r="E13" s="20"/>
      <c r="F13" s="20"/>
      <c r="G13" s="21"/>
      <c r="H13" s="21"/>
      <c r="I13" s="21"/>
      <c r="J13" s="20"/>
    </row>
    <row r="14" spans="1:10" x14ac:dyDescent="0.2">
      <c r="A14" s="241" t="s">
        <v>50</v>
      </c>
      <c r="B14" s="242" t="s">
        <v>80</v>
      </c>
      <c r="C14" s="242"/>
      <c r="D14" s="242"/>
      <c r="E14" s="242"/>
      <c r="F14" s="242"/>
      <c r="G14" s="242"/>
      <c r="H14" s="243"/>
      <c r="I14" s="243"/>
      <c r="J14" s="243"/>
    </row>
    <row r="15" spans="1:10" x14ac:dyDescent="0.2">
      <c r="A15" s="241"/>
      <c r="B15" s="238" t="s">
        <v>711</v>
      </c>
      <c r="C15" s="238"/>
      <c r="D15" s="238"/>
      <c r="E15" s="238"/>
      <c r="F15" s="238"/>
      <c r="G15" s="238"/>
      <c r="H15" s="239"/>
      <c r="I15" s="239"/>
      <c r="J15" s="239"/>
    </row>
    <row r="16" spans="1:10" x14ac:dyDescent="0.2">
      <c r="A16" s="241"/>
      <c r="B16" s="238" t="s">
        <v>712</v>
      </c>
      <c r="C16" s="238"/>
      <c r="D16" s="238"/>
      <c r="E16" s="238"/>
      <c r="F16" s="238"/>
      <c r="G16" s="238"/>
      <c r="H16" s="239"/>
      <c r="I16" s="239"/>
      <c r="J16" s="239"/>
    </row>
    <row r="17" spans="1:10" ht="24" customHeight="1" x14ac:dyDescent="0.2">
      <c r="A17" s="244"/>
      <c r="B17" s="238" t="s">
        <v>713</v>
      </c>
      <c r="C17" s="238"/>
      <c r="D17" s="238"/>
      <c r="E17" s="238"/>
      <c r="F17" s="238"/>
      <c r="G17" s="238"/>
      <c r="H17" s="239"/>
      <c r="I17" s="239"/>
      <c r="J17" s="239"/>
    </row>
    <row r="18" spans="1:10" x14ac:dyDescent="0.2">
      <c r="A18" s="244"/>
      <c r="B18" s="238" t="s">
        <v>52</v>
      </c>
      <c r="C18" s="238"/>
      <c r="D18" s="238"/>
      <c r="E18" s="238"/>
      <c r="F18" s="238"/>
      <c r="G18" s="238"/>
      <c r="H18" s="239"/>
      <c r="I18" s="239"/>
      <c r="J18" s="239"/>
    </row>
    <row r="19" spans="1:10" x14ac:dyDescent="0.2">
      <c r="A19" s="244"/>
      <c r="B19" s="238"/>
      <c r="C19" s="238"/>
      <c r="D19" s="238"/>
      <c r="E19" s="238"/>
      <c r="F19" s="238"/>
      <c r="G19" s="238"/>
      <c r="H19" s="239"/>
      <c r="I19" s="239"/>
      <c r="J19" s="239"/>
    </row>
    <row r="20" spans="1:10" x14ac:dyDescent="0.2">
      <c r="A20" s="244"/>
      <c r="B20" s="238"/>
      <c r="C20" s="238"/>
      <c r="D20" s="238"/>
      <c r="E20" s="238"/>
      <c r="F20" s="238"/>
      <c r="G20" s="238"/>
      <c r="H20" s="239"/>
      <c r="I20" s="239"/>
      <c r="J20" s="239"/>
    </row>
    <row r="21" spans="1:10" x14ac:dyDescent="0.2">
      <c r="A21" s="244"/>
      <c r="B21" s="238"/>
      <c r="C21" s="238"/>
      <c r="D21" s="238"/>
      <c r="E21" s="238"/>
      <c r="F21" s="238"/>
      <c r="G21" s="238"/>
      <c r="H21" s="239"/>
      <c r="I21" s="239"/>
      <c r="J21" s="239"/>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16">
    <mergeCell ref="B19:J19"/>
    <mergeCell ref="B20:J20"/>
    <mergeCell ref="B21:J21"/>
    <mergeCell ref="B18:J18"/>
    <mergeCell ref="A2:J2"/>
    <mergeCell ref="A3:J3"/>
    <mergeCell ref="B6:J6"/>
    <mergeCell ref="B7:J7"/>
    <mergeCell ref="B17:J17"/>
    <mergeCell ref="B8:J8"/>
    <mergeCell ref="A6:A8"/>
    <mergeCell ref="A11:J11"/>
    <mergeCell ref="B14:J14"/>
    <mergeCell ref="B15:J15"/>
    <mergeCell ref="B16:J16"/>
    <mergeCell ref="A14:A21"/>
  </mergeCells>
  <phoneticPr fontId="9" type="noConversion"/>
  <hyperlinks>
    <hyperlink ref="A1" location="Overview!A1" display="Back to Overview" xr:uid="{00000000-0004-0000-0500-000000000000}"/>
  </hyperlinks>
  <pageMargins left="0.39370078740157483" right="0.39370078740157483" top="0.9055118110236221" bottom="0.74803149606299213" header="0.51181102362204722" footer="0.51181102362204722"/>
  <pageSetup paperSize="9" scale="59" fitToHeight="0" orientation="portrait" r:id="rId2"/>
  <headerFooter scaleWithDoc="0">
    <oddHeader>&amp;L&amp;"Trebuchet MS,Regular"
&amp;"Trebuchet MS,Bold"Annex 3&amp;"Trebuchet MS,Regular" - Schedule of Charges for use of the Distribution System to Preserved/Additional LLFC Classes</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L189"/>
  <sheetViews>
    <sheetView zoomScaleNormal="100" zoomScaleSheetLayoutView="100" workbookViewId="0">
      <selection activeCell="F8" sqref="F8:G8"/>
    </sheetView>
  </sheetViews>
  <sheetFormatPr defaultRowHeight="27.75" customHeight="1" x14ac:dyDescent="0.2"/>
  <cols>
    <col min="1" max="1" width="58" style="2" bestFit="1" customWidth="1"/>
    <col min="2" max="2" width="17.7109375" style="3" customWidth="1"/>
    <col min="3" max="4" width="17.7109375" style="2" customWidth="1"/>
    <col min="5" max="7" width="17.7109375" style="3" customWidth="1"/>
    <col min="8" max="9" width="17.7109375" style="9" customWidth="1"/>
    <col min="10" max="10" width="17.7109375" style="4" customWidth="1"/>
    <col min="11" max="12" width="9.140625" style="200"/>
    <col min="13" max="16384" width="9.140625" style="2"/>
  </cols>
  <sheetData>
    <row r="1" spans="1:10" ht="27.75" customHeight="1" x14ac:dyDescent="0.2">
      <c r="A1" s="15" t="s">
        <v>87</v>
      </c>
      <c r="C1" s="3"/>
      <c r="D1" s="3"/>
      <c r="H1" s="3"/>
      <c r="I1" s="4"/>
      <c r="J1" s="2"/>
    </row>
    <row r="2" spans="1:10" ht="31.5" customHeight="1" x14ac:dyDescent="0.2">
      <c r="A2" s="245" t="str">
        <f>Overview!B4&amp; " - Effective from "&amp;Overview!D4&amp;" - "&amp;Overview!E4&amp;" LDNO tariffs"</f>
        <v>Northern Powergrid (Northeast) Ltd - Effective from 1 April 2019 - Final LDNO tariffs</v>
      </c>
      <c r="B2" s="245"/>
      <c r="C2" s="245"/>
      <c r="D2" s="245"/>
      <c r="E2" s="245"/>
      <c r="F2" s="245"/>
      <c r="G2" s="245"/>
      <c r="H2" s="245"/>
      <c r="I2" s="245"/>
      <c r="J2" s="245"/>
    </row>
    <row r="3" spans="1:10" ht="8.25" customHeight="1" x14ac:dyDescent="0.2">
      <c r="A3" s="93"/>
      <c r="B3" s="93"/>
      <c r="C3" s="93"/>
      <c r="D3" s="93"/>
      <c r="E3" s="93"/>
      <c r="F3" s="93"/>
      <c r="G3" s="93"/>
      <c r="H3" s="93"/>
      <c r="I3" s="93"/>
      <c r="J3" s="93"/>
    </row>
    <row r="4" spans="1:10" ht="27" customHeight="1" x14ac:dyDescent="0.2">
      <c r="A4" s="223" t="s">
        <v>495</v>
      </c>
      <c r="B4" s="223"/>
      <c r="C4" s="223"/>
      <c r="D4" s="223"/>
      <c r="E4" s="98"/>
      <c r="F4" s="223" t="s">
        <v>494</v>
      </c>
      <c r="G4" s="223"/>
      <c r="H4" s="223"/>
      <c r="I4" s="223"/>
      <c r="J4" s="223"/>
    </row>
    <row r="5" spans="1:10" ht="32.25" customHeight="1" x14ac:dyDescent="0.2">
      <c r="A5" s="81" t="s">
        <v>80</v>
      </c>
      <c r="B5" s="85" t="s">
        <v>486</v>
      </c>
      <c r="C5" s="105" t="s">
        <v>487</v>
      </c>
      <c r="D5" s="82" t="s">
        <v>488</v>
      </c>
      <c r="E5" s="89"/>
      <c r="F5" s="227"/>
      <c r="G5" s="228"/>
      <c r="H5" s="86" t="s">
        <v>492</v>
      </c>
      <c r="I5" s="87" t="s">
        <v>493</v>
      </c>
      <c r="J5" s="82" t="s">
        <v>488</v>
      </c>
    </row>
    <row r="6" spans="1:10" ht="56.25" customHeight="1" x14ac:dyDescent="0.2">
      <c r="A6" s="83" t="s">
        <v>489</v>
      </c>
      <c r="B6" s="88" t="s">
        <v>1055</v>
      </c>
      <c r="C6" s="88" t="s">
        <v>1056</v>
      </c>
      <c r="D6" s="88" t="s">
        <v>1057</v>
      </c>
      <c r="E6" s="89"/>
      <c r="F6" s="250" t="s">
        <v>490</v>
      </c>
      <c r="G6" s="250"/>
      <c r="H6" s="24" t="s">
        <v>1055</v>
      </c>
      <c r="I6" s="88" t="s">
        <v>1056</v>
      </c>
      <c r="J6" s="88" t="s">
        <v>1057</v>
      </c>
    </row>
    <row r="7" spans="1:10" ht="56.25" customHeight="1" x14ac:dyDescent="0.2">
      <c r="A7" s="83" t="s">
        <v>83</v>
      </c>
      <c r="B7" s="147"/>
      <c r="C7" s="94"/>
      <c r="D7" s="88" t="s">
        <v>1058</v>
      </c>
      <c r="E7" s="89"/>
      <c r="F7" s="250" t="s">
        <v>708</v>
      </c>
      <c r="G7" s="250"/>
      <c r="H7" s="199"/>
      <c r="I7" s="88" t="s">
        <v>1059</v>
      </c>
      <c r="J7" s="88" t="s">
        <v>1057</v>
      </c>
    </row>
    <row r="8" spans="1:10" ht="55.5" customHeight="1" x14ac:dyDescent="0.2">
      <c r="A8" s="84" t="s">
        <v>81</v>
      </c>
      <c r="B8" s="247" t="s">
        <v>82</v>
      </c>
      <c r="C8" s="248"/>
      <c r="D8" s="249"/>
      <c r="E8" s="89"/>
      <c r="F8" s="250" t="s">
        <v>510</v>
      </c>
      <c r="G8" s="250"/>
      <c r="H8" s="147"/>
      <c r="I8" s="199"/>
      <c r="J8" s="88" t="s">
        <v>1058</v>
      </c>
    </row>
    <row r="9" spans="1:10" s="91" customFormat="1" ht="21" customHeight="1" x14ac:dyDescent="0.2">
      <c r="B9" s="89"/>
      <c r="C9" s="89"/>
      <c r="D9" s="89"/>
      <c r="E9" s="95"/>
      <c r="F9" s="222" t="s">
        <v>81</v>
      </c>
      <c r="G9" s="222"/>
      <c r="H9" s="246" t="s">
        <v>82</v>
      </c>
      <c r="I9" s="246"/>
      <c r="J9" s="246"/>
    </row>
    <row r="10" spans="1:10" s="91" customFormat="1" ht="12" customHeight="1" x14ac:dyDescent="0.2">
      <c r="A10" s="89"/>
      <c r="B10" s="89"/>
      <c r="C10" s="89"/>
      <c r="D10" s="89"/>
      <c r="E10" s="89"/>
      <c r="F10" s="96"/>
      <c r="G10" s="96"/>
      <c r="H10" s="97"/>
      <c r="I10" s="97"/>
      <c r="J10" s="97"/>
    </row>
    <row r="11" spans="1:10" ht="66" customHeight="1" x14ac:dyDescent="0.2">
      <c r="A11" s="45" t="s">
        <v>686</v>
      </c>
      <c r="B11" s="45" t="s">
        <v>194</v>
      </c>
      <c r="C11" s="27" t="s">
        <v>92</v>
      </c>
      <c r="D11" s="79" t="str">
        <f>'Annex 1 LV and HV charges'!D11</f>
        <v>Unit charge 1 (NHH)
or red/black charge (HH)
p/kWh</v>
      </c>
      <c r="E11" s="79" t="str">
        <f>'Annex 1 LV and HV charges'!E11</f>
        <v>Unit charge 2 (NHH)
or amber/yellow charge (HH)
p/kWh</v>
      </c>
      <c r="F11" s="79" t="str">
        <f>'Annex 1 LV and HV charges'!F11</f>
        <v>Green charge(HH)
p/kWh</v>
      </c>
      <c r="G11" s="27" t="str">
        <f>'Annex 1 LV and HV charges'!G11</f>
        <v>Fixed charge p/MPAN/day</v>
      </c>
      <c r="H11" s="27" t="str">
        <f>'Annex 1 LV and HV charges'!H11</f>
        <v>Capacity charge p/kVA/day</v>
      </c>
      <c r="I11" s="27" t="str">
        <f>'Annex 1 LV and HV charges'!I11</f>
        <v>Exceeded capacity charge
p/kVA/day</v>
      </c>
      <c r="J11" s="27" t="str">
        <f>'Annex 1 LV and HV charges'!J11</f>
        <v>Reactive power charge
p/kVArh</v>
      </c>
    </row>
    <row r="12" spans="1:10" ht="27" customHeight="1" x14ac:dyDescent="0.2">
      <c r="A12" s="28" t="s">
        <v>19</v>
      </c>
      <c r="B12" s="158">
        <v>150</v>
      </c>
      <c r="C12" s="51">
        <v>1</v>
      </c>
      <c r="D12" s="159">
        <v>1.4119999999999999</v>
      </c>
      <c r="E12" s="160">
        <v>0</v>
      </c>
      <c r="F12" s="160">
        <v>0</v>
      </c>
      <c r="G12" s="161">
        <v>3.29</v>
      </c>
      <c r="H12" s="162">
        <v>0</v>
      </c>
      <c r="I12" s="192">
        <v>0</v>
      </c>
      <c r="J12" s="160">
        <v>0</v>
      </c>
    </row>
    <row r="13" spans="1:10" ht="27" customHeight="1" x14ac:dyDescent="0.2">
      <c r="A13" s="28" t="s">
        <v>20</v>
      </c>
      <c r="B13" s="158">
        <v>151</v>
      </c>
      <c r="C13" s="51">
        <v>2</v>
      </c>
      <c r="D13" s="159">
        <v>1.603</v>
      </c>
      <c r="E13" s="159">
        <v>0.67800000000000005</v>
      </c>
      <c r="F13" s="160">
        <v>0</v>
      </c>
      <c r="G13" s="161">
        <v>3.29</v>
      </c>
      <c r="H13" s="162">
        <v>0</v>
      </c>
      <c r="I13" s="192">
        <v>0</v>
      </c>
      <c r="J13" s="160">
        <v>0</v>
      </c>
    </row>
    <row r="14" spans="1:10" ht="27" customHeight="1" x14ac:dyDescent="0.2">
      <c r="A14" s="28" t="s">
        <v>21</v>
      </c>
      <c r="B14" s="158">
        <v>152</v>
      </c>
      <c r="C14" s="51">
        <v>2</v>
      </c>
      <c r="D14" s="159">
        <v>0.749</v>
      </c>
      <c r="E14" s="160">
        <v>0</v>
      </c>
      <c r="F14" s="160">
        <v>0</v>
      </c>
      <c r="G14" s="162">
        <v>0</v>
      </c>
      <c r="H14" s="162">
        <v>0</v>
      </c>
      <c r="I14" s="192">
        <v>0</v>
      </c>
      <c r="J14" s="160">
        <v>0</v>
      </c>
    </row>
    <row r="15" spans="1:10" ht="27" customHeight="1" x14ac:dyDescent="0.2">
      <c r="A15" s="28" t="s">
        <v>22</v>
      </c>
      <c r="B15" s="158">
        <v>153</v>
      </c>
      <c r="C15" s="51">
        <v>3</v>
      </c>
      <c r="D15" s="159">
        <v>1.4259999999999999</v>
      </c>
      <c r="E15" s="160">
        <v>0</v>
      </c>
      <c r="F15" s="160">
        <v>0</v>
      </c>
      <c r="G15" s="161">
        <v>3.5</v>
      </c>
      <c r="H15" s="162">
        <v>0</v>
      </c>
      <c r="I15" s="192">
        <v>0</v>
      </c>
      <c r="J15" s="160">
        <v>0</v>
      </c>
    </row>
    <row r="16" spans="1:10" ht="27" customHeight="1" x14ac:dyDescent="0.2">
      <c r="A16" s="28" t="s">
        <v>23</v>
      </c>
      <c r="B16" s="158">
        <v>154</v>
      </c>
      <c r="C16" s="51">
        <v>4</v>
      </c>
      <c r="D16" s="159">
        <v>1.5589999999999999</v>
      </c>
      <c r="E16" s="159">
        <v>0.69899999999999995</v>
      </c>
      <c r="F16" s="160">
        <v>0</v>
      </c>
      <c r="G16" s="161">
        <v>3.5</v>
      </c>
      <c r="H16" s="162">
        <v>0</v>
      </c>
      <c r="I16" s="192">
        <v>0</v>
      </c>
      <c r="J16" s="160">
        <v>0</v>
      </c>
    </row>
    <row r="17" spans="1:10" ht="27" customHeight="1" x14ac:dyDescent="0.2">
      <c r="A17" s="28" t="s">
        <v>24</v>
      </c>
      <c r="B17" s="158">
        <v>155</v>
      </c>
      <c r="C17" s="51">
        <v>4</v>
      </c>
      <c r="D17" s="159">
        <v>0.78600000000000003</v>
      </c>
      <c r="E17" s="160">
        <v>0</v>
      </c>
      <c r="F17" s="160">
        <v>0</v>
      </c>
      <c r="G17" s="162">
        <v>0</v>
      </c>
      <c r="H17" s="162">
        <v>0</v>
      </c>
      <c r="I17" s="192">
        <v>0</v>
      </c>
      <c r="J17" s="160">
        <v>0</v>
      </c>
    </row>
    <row r="18" spans="1:10" ht="27" customHeight="1" x14ac:dyDescent="0.2">
      <c r="A18" s="28" t="s">
        <v>25</v>
      </c>
      <c r="B18" s="158">
        <v>156</v>
      </c>
      <c r="C18" s="51" t="s">
        <v>18</v>
      </c>
      <c r="D18" s="159">
        <v>1.373</v>
      </c>
      <c r="E18" s="159">
        <v>0.67100000000000004</v>
      </c>
      <c r="F18" s="160">
        <v>0</v>
      </c>
      <c r="G18" s="161">
        <v>18.28</v>
      </c>
      <c r="H18" s="162">
        <v>0</v>
      </c>
      <c r="I18" s="192">
        <v>0</v>
      </c>
      <c r="J18" s="160">
        <v>0</v>
      </c>
    </row>
    <row r="19" spans="1:10" ht="27" customHeight="1" x14ac:dyDescent="0.2">
      <c r="A19" s="28" t="s">
        <v>562</v>
      </c>
      <c r="B19" s="158">
        <v>199</v>
      </c>
      <c r="C19" s="51">
        <v>0</v>
      </c>
      <c r="D19" s="164">
        <v>4.5359999999999996</v>
      </c>
      <c r="E19" s="165">
        <v>1.145</v>
      </c>
      <c r="F19" s="166">
        <v>0.67</v>
      </c>
      <c r="G19" s="161">
        <v>3.29</v>
      </c>
      <c r="H19" s="162">
        <v>0</v>
      </c>
      <c r="I19" s="192">
        <v>0</v>
      </c>
      <c r="J19" s="160">
        <v>0</v>
      </c>
    </row>
    <row r="20" spans="1:10" ht="27" customHeight="1" x14ac:dyDescent="0.2">
      <c r="A20" s="28" t="s">
        <v>563</v>
      </c>
      <c r="B20" s="158">
        <v>206</v>
      </c>
      <c r="C20" s="51">
        <v>0</v>
      </c>
      <c r="D20" s="164">
        <v>4.7560000000000002</v>
      </c>
      <c r="E20" s="165">
        <v>1.1739999999999999</v>
      </c>
      <c r="F20" s="166">
        <v>0.67100000000000004</v>
      </c>
      <c r="G20" s="161">
        <v>3.5</v>
      </c>
      <c r="H20" s="162">
        <v>0</v>
      </c>
      <c r="I20" s="192">
        <v>0</v>
      </c>
      <c r="J20" s="160">
        <v>0</v>
      </c>
    </row>
    <row r="21" spans="1:10" ht="27" customHeight="1" x14ac:dyDescent="0.2">
      <c r="A21" s="28" t="s">
        <v>26</v>
      </c>
      <c r="B21" s="158">
        <v>157</v>
      </c>
      <c r="C21" s="51">
        <v>0</v>
      </c>
      <c r="D21" s="164">
        <v>3.351</v>
      </c>
      <c r="E21" s="165">
        <v>0.98399999999999999</v>
      </c>
      <c r="F21" s="166">
        <v>0.65900000000000003</v>
      </c>
      <c r="G21" s="161">
        <v>9.5299999999999994</v>
      </c>
      <c r="H21" s="161">
        <v>1.06</v>
      </c>
      <c r="I21" s="167">
        <v>2.48</v>
      </c>
      <c r="J21" s="159">
        <v>0.1</v>
      </c>
    </row>
    <row r="22" spans="1:10" ht="27" customHeight="1" x14ac:dyDescent="0.2">
      <c r="A22" s="28" t="s">
        <v>186</v>
      </c>
      <c r="B22" s="158">
        <v>37</v>
      </c>
      <c r="C22" s="51">
        <v>8</v>
      </c>
      <c r="D22" s="159">
        <v>1.1819999999999999</v>
      </c>
      <c r="E22" s="160">
        <v>0</v>
      </c>
      <c r="F22" s="160">
        <v>0</v>
      </c>
      <c r="G22" s="162">
        <v>0</v>
      </c>
      <c r="H22" s="162">
        <v>0</v>
      </c>
      <c r="I22" s="192">
        <v>0</v>
      </c>
      <c r="J22" s="160">
        <v>0</v>
      </c>
    </row>
    <row r="23" spans="1:10" ht="27" customHeight="1" x14ac:dyDescent="0.2">
      <c r="A23" s="28" t="s">
        <v>187</v>
      </c>
      <c r="B23" s="158">
        <v>38</v>
      </c>
      <c r="C23" s="51">
        <v>1</v>
      </c>
      <c r="D23" s="159">
        <v>1.369</v>
      </c>
      <c r="E23" s="160">
        <v>0</v>
      </c>
      <c r="F23" s="160">
        <v>0</v>
      </c>
      <c r="G23" s="162">
        <v>0</v>
      </c>
      <c r="H23" s="162">
        <v>0</v>
      </c>
      <c r="I23" s="192">
        <v>0</v>
      </c>
      <c r="J23" s="160">
        <v>0</v>
      </c>
    </row>
    <row r="24" spans="1:10" ht="27" customHeight="1" x14ac:dyDescent="0.2">
      <c r="A24" s="28" t="s">
        <v>188</v>
      </c>
      <c r="B24" s="158">
        <v>39</v>
      </c>
      <c r="C24" s="51">
        <v>1</v>
      </c>
      <c r="D24" s="159">
        <v>1.9890000000000001</v>
      </c>
      <c r="E24" s="160">
        <v>0</v>
      </c>
      <c r="F24" s="160">
        <v>0</v>
      </c>
      <c r="G24" s="162">
        <v>0</v>
      </c>
      <c r="H24" s="162">
        <v>0</v>
      </c>
      <c r="I24" s="192">
        <v>0</v>
      </c>
      <c r="J24" s="160">
        <v>0</v>
      </c>
    </row>
    <row r="25" spans="1:10" ht="27" customHeight="1" x14ac:dyDescent="0.2">
      <c r="A25" s="28" t="s">
        <v>189</v>
      </c>
      <c r="B25" s="158">
        <v>40</v>
      </c>
      <c r="C25" s="51">
        <v>1</v>
      </c>
      <c r="D25" s="159">
        <v>1.056</v>
      </c>
      <c r="E25" s="160">
        <v>0</v>
      </c>
      <c r="F25" s="160">
        <v>0</v>
      </c>
      <c r="G25" s="162">
        <v>0</v>
      </c>
      <c r="H25" s="162">
        <v>0</v>
      </c>
      <c r="I25" s="192">
        <v>0</v>
      </c>
      <c r="J25" s="160">
        <v>0</v>
      </c>
    </row>
    <row r="26" spans="1:10" ht="27" customHeight="1" x14ac:dyDescent="0.2">
      <c r="A26" s="28" t="s">
        <v>27</v>
      </c>
      <c r="B26" s="158">
        <v>170</v>
      </c>
      <c r="C26" s="52">
        <v>0</v>
      </c>
      <c r="D26" s="168">
        <v>11.021000000000001</v>
      </c>
      <c r="E26" s="169">
        <v>1.0880000000000001</v>
      </c>
      <c r="F26" s="166">
        <v>0.66700000000000004</v>
      </c>
      <c r="G26" s="162">
        <v>0</v>
      </c>
      <c r="H26" s="162">
        <v>0</v>
      </c>
      <c r="I26" s="192">
        <v>0</v>
      </c>
      <c r="J26" s="160">
        <v>0</v>
      </c>
    </row>
    <row r="27" spans="1:10" ht="27" customHeight="1" x14ac:dyDescent="0.2">
      <c r="A27" s="28" t="s">
        <v>564</v>
      </c>
      <c r="B27" s="158">
        <v>172</v>
      </c>
      <c r="C27" s="52" t="s">
        <v>723</v>
      </c>
      <c r="D27" s="159">
        <v>-0.67100000000000004</v>
      </c>
      <c r="E27" s="160">
        <v>0</v>
      </c>
      <c r="F27" s="160">
        <v>0</v>
      </c>
      <c r="G27" s="170">
        <v>0</v>
      </c>
      <c r="H27" s="162">
        <v>0</v>
      </c>
      <c r="I27" s="192">
        <v>0</v>
      </c>
      <c r="J27" s="160">
        <v>0</v>
      </c>
    </row>
    <row r="28" spans="1:10" ht="27" customHeight="1" x14ac:dyDescent="0.2">
      <c r="A28" s="28" t="s">
        <v>28</v>
      </c>
      <c r="B28" s="158">
        <v>173</v>
      </c>
      <c r="C28" s="52">
        <v>0</v>
      </c>
      <c r="D28" s="159">
        <v>-0.67100000000000004</v>
      </c>
      <c r="E28" s="160">
        <v>0</v>
      </c>
      <c r="F28" s="160">
        <v>0</v>
      </c>
      <c r="G28" s="170">
        <v>0</v>
      </c>
      <c r="H28" s="162">
        <v>0</v>
      </c>
      <c r="I28" s="192">
        <v>0</v>
      </c>
      <c r="J28" s="159">
        <v>0.14099999999999999</v>
      </c>
    </row>
    <row r="29" spans="1:10" ht="27" customHeight="1" x14ac:dyDescent="0.2">
      <c r="A29" s="28" t="s">
        <v>29</v>
      </c>
      <c r="B29" s="158">
        <v>174</v>
      </c>
      <c r="C29" s="52">
        <v>0</v>
      </c>
      <c r="D29" s="164">
        <v>-4.4450000000000003</v>
      </c>
      <c r="E29" s="165">
        <v>-0.58299999999999996</v>
      </c>
      <c r="F29" s="166">
        <v>-4.2000000000000003E-2</v>
      </c>
      <c r="G29" s="170">
        <v>0</v>
      </c>
      <c r="H29" s="162">
        <v>0</v>
      </c>
      <c r="I29" s="192">
        <v>0</v>
      </c>
      <c r="J29" s="159">
        <v>0.14099999999999999</v>
      </c>
    </row>
    <row r="30" spans="1:10" ht="27" customHeight="1" x14ac:dyDescent="0.2">
      <c r="A30" s="28" t="s">
        <v>30</v>
      </c>
      <c r="B30" s="158">
        <v>158</v>
      </c>
      <c r="C30" s="52">
        <v>1</v>
      </c>
      <c r="D30" s="159">
        <v>0.85799999999999998</v>
      </c>
      <c r="E30" s="160">
        <v>0</v>
      </c>
      <c r="F30" s="160">
        <v>0</v>
      </c>
      <c r="G30" s="161">
        <v>2</v>
      </c>
      <c r="H30" s="162">
        <v>0</v>
      </c>
      <c r="I30" s="192">
        <v>0</v>
      </c>
      <c r="J30" s="160">
        <v>0</v>
      </c>
    </row>
    <row r="31" spans="1:10" ht="27" customHeight="1" x14ac:dyDescent="0.2">
      <c r="A31" s="28" t="s">
        <v>31</v>
      </c>
      <c r="B31" s="158">
        <v>159</v>
      </c>
      <c r="C31" s="52">
        <v>2</v>
      </c>
      <c r="D31" s="159">
        <v>0.97499999999999998</v>
      </c>
      <c r="E31" s="159">
        <v>0.41199999999999998</v>
      </c>
      <c r="F31" s="160">
        <v>0</v>
      </c>
      <c r="G31" s="161">
        <v>2</v>
      </c>
      <c r="H31" s="162">
        <v>0</v>
      </c>
      <c r="I31" s="192">
        <v>0</v>
      </c>
      <c r="J31" s="160">
        <v>0</v>
      </c>
    </row>
    <row r="32" spans="1:10" ht="27" customHeight="1" x14ac:dyDescent="0.2">
      <c r="A32" s="28" t="s">
        <v>32</v>
      </c>
      <c r="B32" s="158">
        <v>160</v>
      </c>
      <c r="C32" s="52">
        <v>2</v>
      </c>
      <c r="D32" s="159">
        <v>0.45600000000000002</v>
      </c>
      <c r="E32" s="160">
        <v>0</v>
      </c>
      <c r="F32" s="160">
        <v>0</v>
      </c>
      <c r="G32" s="162">
        <v>0</v>
      </c>
      <c r="H32" s="162">
        <v>0</v>
      </c>
      <c r="I32" s="192">
        <v>0</v>
      </c>
      <c r="J32" s="160">
        <v>0</v>
      </c>
    </row>
    <row r="33" spans="1:10" ht="27" customHeight="1" x14ac:dyDescent="0.2">
      <c r="A33" s="28" t="s">
        <v>33</v>
      </c>
      <c r="B33" s="158">
        <v>161</v>
      </c>
      <c r="C33" s="52">
        <v>3</v>
      </c>
      <c r="D33" s="159">
        <v>0.86699999999999999</v>
      </c>
      <c r="E33" s="160">
        <v>0</v>
      </c>
      <c r="F33" s="160">
        <v>0</v>
      </c>
      <c r="G33" s="161">
        <v>2.13</v>
      </c>
      <c r="H33" s="162">
        <v>0</v>
      </c>
      <c r="I33" s="192">
        <v>0</v>
      </c>
      <c r="J33" s="160">
        <v>0</v>
      </c>
    </row>
    <row r="34" spans="1:10" ht="27" customHeight="1" x14ac:dyDescent="0.2">
      <c r="A34" s="28" t="s">
        <v>34</v>
      </c>
      <c r="B34" s="158">
        <v>162</v>
      </c>
      <c r="C34" s="52">
        <v>4</v>
      </c>
      <c r="D34" s="159">
        <v>0.94799999999999995</v>
      </c>
      <c r="E34" s="159">
        <v>0.42499999999999999</v>
      </c>
      <c r="F34" s="160">
        <v>0</v>
      </c>
      <c r="G34" s="161">
        <v>2.13</v>
      </c>
      <c r="H34" s="162">
        <v>0</v>
      </c>
      <c r="I34" s="192">
        <v>0</v>
      </c>
      <c r="J34" s="160">
        <v>0</v>
      </c>
    </row>
    <row r="35" spans="1:10" ht="27" customHeight="1" x14ac:dyDescent="0.2">
      <c r="A35" s="28" t="s">
        <v>35</v>
      </c>
      <c r="B35" s="158">
        <v>163</v>
      </c>
      <c r="C35" s="52">
        <v>4</v>
      </c>
      <c r="D35" s="159">
        <v>0.47799999999999998</v>
      </c>
      <c r="E35" s="160">
        <v>0</v>
      </c>
      <c r="F35" s="160">
        <v>0</v>
      </c>
      <c r="G35" s="162">
        <v>0</v>
      </c>
      <c r="H35" s="162">
        <v>0</v>
      </c>
      <c r="I35" s="192">
        <v>0</v>
      </c>
      <c r="J35" s="160">
        <v>0</v>
      </c>
    </row>
    <row r="36" spans="1:10" ht="27" customHeight="1" x14ac:dyDescent="0.2">
      <c r="A36" s="28" t="s">
        <v>36</v>
      </c>
      <c r="B36" s="158">
        <v>164</v>
      </c>
      <c r="C36" s="52" t="s">
        <v>18</v>
      </c>
      <c r="D36" s="159">
        <v>0.83499999999999996</v>
      </c>
      <c r="E36" s="159">
        <v>0.40799999999999997</v>
      </c>
      <c r="F36" s="160">
        <v>0</v>
      </c>
      <c r="G36" s="161">
        <v>11.11</v>
      </c>
      <c r="H36" s="162">
        <v>0</v>
      </c>
      <c r="I36" s="192">
        <v>0</v>
      </c>
      <c r="J36" s="160">
        <v>0</v>
      </c>
    </row>
    <row r="37" spans="1:10" ht="27" customHeight="1" x14ac:dyDescent="0.2">
      <c r="A37" s="28" t="s">
        <v>565</v>
      </c>
      <c r="B37" s="158">
        <v>207</v>
      </c>
      <c r="C37" s="52">
        <v>0</v>
      </c>
      <c r="D37" s="164">
        <v>2.758</v>
      </c>
      <c r="E37" s="165">
        <v>0.69599999999999995</v>
      </c>
      <c r="F37" s="166">
        <v>0.40699999999999997</v>
      </c>
      <c r="G37" s="161">
        <v>2</v>
      </c>
      <c r="H37" s="162">
        <v>0</v>
      </c>
      <c r="I37" s="192">
        <v>0</v>
      </c>
      <c r="J37" s="160">
        <v>0</v>
      </c>
    </row>
    <row r="38" spans="1:10" ht="27" customHeight="1" x14ac:dyDescent="0.2">
      <c r="A38" s="28" t="s">
        <v>566</v>
      </c>
      <c r="B38" s="158">
        <v>208</v>
      </c>
      <c r="C38" s="52">
        <v>0</v>
      </c>
      <c r="D38" s="164">
        <v>2.8919999999999999</v>
      </c>
      <c r="E38" s="165">
        <v>0.71399999999999997</v>
      </c>
      <c r="F38" s="166">
        <v>0.40799999999999997</v>
      </c>
      <c r="G38" s="161">
        <v>2.13</v>
      </c>
      <c r="H38" s="162">
        <v>0</v>
      </c>
      <c r="I38" s="192">
        <v>0</v>
      </c>
      <c r="J38" s="160">
        <v>0</v>
      </c>
    </row>
    <row r="39" spans="1:10" ht="27" customHeight="1" x14ac:dyDescent="0.2">
      <c r="A39" s="28" t="s">
        <v>37</v>
      </c>
      <c r="B39" s="158">
        <v>165</v>
      </c>
      <c r="C39" s="52">
        <v>0</v>
      </c>
      <c r="D39" s="164">
        <v>2.0369999999999999</v>
      </c>
      <c r="E39" s="165">
        <v>0.59799999999999998</v>
      </c>
      <c r="F39" s="166">
        <v>0.40100000000000002</v>
      </c>
      <c r="G39" s="161">
        <v>5.8</v>
      </c>
      <c r="H39" s="161">
        <v>0.65</v>
      </c>
      <c r="I39" s="167">
        <v>1.51</v>
      </c>
      <c r="J39" s="159">
        <v>6.0999999999999999E-2</v>
      </c>
    </row>
    <row r="40" spans="1:10" ht="27" customHeight="1" x14ac:dyDescent="0.2">
      <c r="A40" s="28" t="s">
        <v>38</v>
      </c>
      <c r="B40" s="158">
        <v>166</v>
      </c>
      <c r="C40" s="52">
        <v>0</v>
      </c>
      <c r="D40" s="164">
        <v>2.4569999999999999</v>
      </c>
      <c r="E40" s="165">
        <v>0.86899999999999999</v>
      </c>
      <c r="F40" s="166">
        <v>0.66500000000000004</v>
      </c>
      <c r="G40" s="161">
        <v>9.74</v>
      </c>
      <c r="H40" s="161">
        <v>1.53</v>
      </c>
      <c r="I40" s="167">
        <v>2.52</v>
      </c>
      <c r="J40" s="159">
        <v>5.8999999999999997E-2</v>
      </c>
    </row>
    <row r="41" spans="1:10" ht="27" customHeight="1" x14ac:dyDescent="0.2">
      <c r="A41" s="28" t="s">
        <v>39</v>
      </c>
      <c r="B41" s="158">
        <v>167</v>
      </c>
      <c r="C41" s="52">
        <v>0</v>
      </c>
      <c r="D41" s="164">
        <v>2.46</v>
      </c>
      <c r="E41" s="165">
        <v>0.99</v>
      </c>
      <c r="F41" s="166">
        <v>0.81399999999999995</v>
      </c>
      <c r="G41" s="161">
        <v>113.79</v>
      </c>
      <c r="H41" s="161">
        <v>1.8</v>
      </c>
      <c r="I41" s="167">
        <v>3.25</v>
      </c>
      <c r="J41" s="159">
        <v>0.05</v>
      </c>
    </row>
    <row r="42" spans="1:10" ht="27" customHeight="1" x14ac:dyDescent="0.2">
      <c r="A42" s="28" t="s">
        <v>190</v>
      </c>
      <c r="B42" s="158">
        <v>41</v>
      </c>
      <c r="C42" s="52">
        <v>8</v>
      </c>
      <c r="D42" s="159">
        <v>0.71899999999999997</v>
      </c>
      <c r="E42" s="160">
        <v>0</v>
      </c>
      <c r="F42" s="160">
        <v>0</v>
      </c>
      <c r="G42" s="162">
        <v>0</v>
      </c>
      <c r="H42" s="162">
        <v>0</v>
      </c>
      <c r="I42" s="192">
        <v>0</v>
      </c>
      <c r="J42" s="160">
        <v>0</v>
      </c>
    </row>
    <row r="43" spans="1:10" ht="27" customHeight="1" x14ac:dyDescent="0.2">
      <c r="A43" s="28" t="s">
        <v>191</v>
      </c>
      <c r="B43" s="158">
        <v>42</v>
      </c>
      <c r="C43" s="52">
        <v>1</v>
      </c>
      <c r="D43" s="159">
        <v>0.83199999999999996</v>
      </c>
      <c r="E43" s="160">
        <v>0</v>
      </c>
      <c r="F43" s="160">
        <v>0</v>
      </c>
      <c r="G43" s="162">
        <v>0</v>
      </c>
      <c r="H43" s="162">
        <v>0</v>
      </c>
      <c r="I43" s="192">
        <v>0</v>
      </c>
      <c r="J43" s="160">
        <v>0</v>
      </c>
    </row>
    <row r="44" spans="1:10" ht="27" customHeight="1" x14ac:dyDescent="0.2">
      <c r="A44" s="28" t="s">
        <v>192</v>
      </c>
      <c r="B44" s="158">
        <v>43</v>
      </c>
      <c r="C44" s="52">
        <v>1</v>
      </c>
      <c r="D44" s="159">
        <v>1.2090000000000001</v>
      </c>
      <c r="E44" s="160">
        <v>0</v>
      </c>
      <c r="F44" s="160">
        <v>0</v>
      </c>
      <c r="G44" s="162">
        <v>0</v>
      </c>
      <c r="H44" s="162">
        <v>0</v>
      </c>
      <c r="I44" s="192">
        <v>0</v>
      </c>
      <c r="J44" s="160">
        <v>0</v>
      </c>
    </row>
    <row r="45" spans="1:10" ht="27" customHeight="1" x14ac:dyDescent="0.2">
      <c r="A45" s="28" t="s">
        <v>193</v>
      </c>
      <c r="B45" s="158">
        <v>44</v>
      </c>
      <c r="C45" s="52">
        <v>1</v>
      </c>
      <c r="D45" s="159">
        <v>0.64200000000000002</v>
      </c>
      <c r="E45" s="160">
        <v>0</v>
      </c>
      <c r="F45" s="160">
        <v>0</v>
      </c>
      <c r="G45" s="162">
        <v>0</v>
      </c>
      <c r="H45" s="162">
        <v>0</v>
      </c>
      <c r="I45" s="192">
        <v>0</v>
      </c>
      <c r="J45" s="160">
        <v>0</v>
      </c>
    </row>
    <row r="46" spans="1:10" ht="27" customHeight="1" x14ac:dyDescent="0.2">
      <c r="A46" s="28" t="s">
        <v>40</v>
      </c>
      <c r="B46" s="158">
        <v>171</v>
      </c>
      <c r="C46" s="52">
        <v>0</v>
      </c>
      <c r="D46" s="168">
        <v>6.702</v>
      </c>
      <c r="E46" s="169">
        <v>0.66200000000000003</v>
      </c>
      <c r="F46" s="166">
        <v>0.40500000000000003</v>
      </c>
      <c r="G46" s="162">
        <v>0</v>
      </c>
      <c r="H46" s="162">
        <v>0</v>
      </c>
      <c r="I46" s="192">
        <v>0</v>
      </c>
      <c r="J46" s="160">
        <v>0</v>
      </c>
    </row>
    <row r="47" spans="1:10" ht="27" customHeight="1" x14ac:dyDescent="0.2">
      <c r="A47" s="28" t="s">
        <v>567</v>
      </c>
      <c r="B47" s="158">
        <v>175</v>
      </c>
      <c r="C47" s="52" t="s">
        <v>723</v>
      </c>
      <c r="D47" s="159">
        <v>-0.67100000000000004</v>
      </c>
      <c r="E47" s="160">
        <v>0</v>
      </c>
      <c r="F47" s="160">
        <v>0</v>
      </c>
      <c r="G47" s="170">
        <v>0</v>
      </c>
      <c r="H47" s="162">
        <v>0</v>
      </c>
      <c r="I47" s="192">
        <v>0</v>
      </c>
      <c r="J47" s="160">
        <v>0</v>
      </c>
    </row>
    <row r="48" spans="1:10" ht="27" customHeight="1" x14ac:dyDescent="0.2">
      <c r="A48" s="28" t="s">
        <v>41</v>
      </c>
      <c r="B48" s="158">
        <v>176</v>
      </c>
      <c r="C48" s="52">
        <v>8</v>
      </c>
      <c r="D48" s="159">
        <v>-0.59499999999999997</v>
      </c>
      <c r="E48" s="160">
        <v>0</v>
      </c>
      <c r="F48" s="160">
        <v>0</v>
      </c>
      <c r="G48" s="170">
        <v>0</v>
      </c>
      <c r="H48" s="162">
        <v>0</v>
      </c>
      <c r="I48" s="192">
        <v>0</v>
      </c>
      <c r="J48" s="160">
        <v>0</v>
      </c>
    </row>
    <row r="49" spans="1:10" ht="27" customHeight="1" x14ac:dyDescent="0.2">
      <c r="A49" s="28" t="s">
        <v>42</v>
      </c>
      <c r="B49" s="158">
        <v>177</v>
      </c>
      <c r="C49" s="52">
        <v>0</v>
      </c>
      <c r="D49" s="159">
        <v>-0.67100000000000004</v>
      </c>
      <c r="E49" s="160">
        <v>0</v>
      </c>
      <c r="F49" s="160">
        <v>0</v>
      </c>
      <c r="G49" s="170">
        <v>0</v>
      </c>
      <c r="H49" s="162">
        <v>0</v>
      </c>
      <c r="I49" s="192">
        <v>0</v>
      </c>
      <c r="J49" s="159">
        <v>0.14099999999999999</v>
      </c>
    </row>
    <row r="50" spans="1:10" ht="27" customHeight="1" x14ac:dyDescent="0.2">
      <c r="A50" s="28" t="s">
        <v>43</v>
      </c>
      <c r="B50" s="158">
        <v>178</v>
      </c>
      <c r="C50" s="52">
        <v>0</v>
      </c>
      <c r="D50" s="164">
        <v>-4.4450000000000003</v>
      </c>
      <c r="E50" s="165">
        <v>-0.58299999999999996</v>
      </c>
      <c r="F50" s="166">
        <v>-4.2000000000000003E-2</v>
      </c>
      <c r="G50" s="170">
        <v>0</v>
      </c>
      <c r="H50" s="162">
        <v>0</v>
      </c>
      <c r="I50" s="192">
        <v>0</v>
      </c>
      <c r="J50" s="159">
        <v>0.14099999999999999</v>
      </c>
    </row>
    <row r="51" spans="1:10" ht="39.75" customHeight="1" x14ac:dyDescent="0.2">
      <c r="A51" s="28" t="s">
        <v>44</v>
      </c>
      <c r="B51" s="158">
        <v>179</v>
      </c>
      <c r="C51" s="52">
        <v>0</v>
      </c>
      <c r="D51" s="159">
        <v>-0.59499999999999997</v>
      </c>
      <c r="E51" s="160">
        <v>0</v>
      </c>
      <c r="F51" s="160">
        <v>0</v>
      </c>
      <c r="G51" s="170">
        <v>0</v>
      </c>
      <c r="H51" s="162">
        <v>0</v>
      </c>
      <c r="I51" s="192">
        <v>0</v>
      </c>
      <c r="J51" s="159">
        <v>0.13400000000000001</v>
      </c>
    </row>
    <row r="52" spans="1:10" ht="27" customHeight="1" x14ac:dyDescent="0.2">
      <c r="A52" s="28" t="s">
        <v>45</v>
      </c>
      <c r="B52" s="158">
        <v>180</v>
      </c>
      <c r="C52" s="52">
        <v>0</v>
      </c>
      <c r="D52" s="164">
        <v>-3.9470000000000001</v>
      </c>
      <c r="E52" s="165">
        <v>-0.51400000000000001</v>
      </c>
      <c r="F52" s="166">
        <v>-3.7999999999999999E-2</v>
      </c>
      <c r="G52" s="170">
        <v>0</v>
      </c>
      <c r="H52" s="162">
        <v>0</v>
      </c>
      <c r="I52" s="192">
        <v>0</v>
      </c>
      <c r="J52" s="159">
        <v>0.13400000000000001</v>
      </c>
    </row>
    <row r="53" spans="1:10" ht="27" customHeight="1" x14ac:dyDescent="0.2">
      <c r="A53" s="28" t="s">
        <v>46</v>
      </c>
      <c r="B53" s="158">
        <v>181</v>
      </c>
      <c r="C53" s="52">
        <v>0</v>
      </c>
      <c r="D53" s="159">
        <v>-0.379</v>
      </c>
      <c r="E53" s="160">
        <v>0</v>
      </c>
      <c r="F53" s="160">
        <v>0</v>
      </c>
      <c r="G53" s="50">
        <v>0</v>
      </c>
      <c r="H53" s="162">
        <v>0</v>
      </c>
      <c r="I53" s="192">
        <v>0</v>
      </c>
      <c r="J53" s="159">
        <v>0.104</v>
      </c>
    </row>
    <row r="54" spans="1:10" ht="27" customHeight="1" x14ac:dyDescent="0.2">
      <c r="A54" s="28" t="s">
        <v>47</v>
      </c>
      <c r="B54" s="158">
        <v>182</v>
      </c>
      <c r="C54" s="52">
        <v>0</v>
      </c>
      <c r="D54" s="164">
        <v>-2.548</v>
      </c>
      <c r="E54" s="165">
        <v>-0.311</v>
      </c>
      <c r="F54" s="166">
        <v>-2.7E-2</v>
      </c>
      <c r="G54" s="50">
        <v>0</v>
      </c>
      <c r="H54" s="162">
        <v>0</v>
      </c>
      <c r="I54" s="192">
        <v>0</v>
      </c>
      <c r="J54" s="159">
        <v>0.104</v>
      </c>
    </row>
    <row r="55" spans="1:10" ht="27" customHeight="1" x14ac:dyDescent="0.2">
      <c r="A55" s="28" t="s">
        <v>97</v>
      </c>
      <c r="B55" s="158">
        <v>50</v>
      </c>
      <c r="C55" s="52">
        <v>1</v>
      </c>
      <c r="D55" s="159">
        <v>0.65300000000000002</v>
      </c>
      <c r="E55" s="160">
        <v>0</v>
      </c>
      <c r="F55" s="160">
        <v>0</v>
      </c>
      <c r="G55" s="161">
        <v>1.52</v>
      </c>
      <c r="H55" s="162">
        <v>0</v>
      </c>
      <c r="I55" s="192">
        <v>0</v>
      </c>
      <c r="J55" s="160">
        <v>0</v>
      </c>
    </row>
    <row r="56" spans="1:10" ht="27" customHeight="1" x14ac:dyDescent="0.2">
      <c r="A56" s="28" t="s">
        <v>98</v>
      </c>
      <c r="B56" s="158">
        <v>51</v>
      </c>
      <c r="C56" s="52">
        <v>2</v>
      </c>
      <c r="D56" s="159">
        <v>0.74099999999999999</v>
      </c>
      <c r="E56" s="159">
        <v>0.314</v>
      </c>
      <c r="F56" s="160">
        <v>0</v>
      </c>
      <c r="G56" s="161">
        <v>1.52</v>
      </c>
      <c r="H56" s="162">
        <v>0</v>
      </c>
      <c r="I56" s="192">
        <v>0</v>
      </c>
      <c r="J56" s="160">
        <v>0</v>
      </c>
    </row>
    <row r="57" spans="1:10" ht="27" customHeight="1" x14ac:dyDescent="0.2">
      <c r="A57" s="28" t="s">
        <v>99</v>
      </c>
      <c r="B57" s="158">
        <v>52</v>
      </c>
      <c r="C57" s="52">
        <v>2</v>
      </c>
      <c r="D57" s="159">
        <v>0.34699999999999998</v>
      </c>
      <c r="E57" s="160">
        <v>0</v>
      </c>
      <c r="F57" s="160">
        <v>0</v>
      </c>
      <c r="G57" s="162">
        <v>0</v>
      </c>
      <c r="H57" s="162">
        <v>0</v>
      </c>
      <c r="I57" s="192">
        <v>0</v>
      </c>
      <c r="J57" s="160">
        <v>0</v>
      </c>
    </row>
    <row r="58" spans="1:10" ht="27" customHeight="1" x14ac:dyDescent="0.2">
      <c r="A58" s="28" t="s">
        <v>100</v>
      </c>
      <c r="B58" s="158">
        <v>53</v>
      </c>
      <c r="C58" s="52">
        <v>3</v>
      </c>
      <c r="D58" s="159">
        <v>0.66</v>
      </c>
      <c r="E58" s="160">
        <v>0</v>
      </c>
      <c r="F58" s="160">
        <v>0</v>
      </c>
      <c r="G58" s="161">
        <v>1.62</v>
      </c>
      <c r="H58" s="162">
        <v>0</v>
      </c>
      <c r="I58" s="192">
        <v>0</v>
      </c>
      <c r="J58" s="160">
        <v>0</v>
      </c>
    </row>
    <row r="59" spans="1:10" ht="27" customHeight="1" x14ac:dyDescent="0.2">
      <c r="A59" s="28" t="s">
        <v>101</v>
      </c>
      <c r="B59" s="158">
        <v>54</v>
      </c>
      <c r="C59" s="52">
        <v>4</v>
      </c>
      <c r="D59" s="159">
        <v>0.72099999999999997</v>
      </c>
      <c r="E59" s="159">
        <v>0.32300000000000001</v>
      </c>
      <c r="F59" s="160">
        <v>0</v>
      </c>
      <c r="G59" s="161">
        <v>1.62</v>
      </c>
      <c r="H59" s="162">
        <v>0</v>
      </c>
      <c r="I59" s="192">
        <v>0</v>
      </c>
      <c r="J59" s="160">
        <v>0</v>
      </c>
    </row>
    <row r="60" spans="1:10" ht="27" customHeight="1" x14ac:dyDescent="0.2">
      <c r="A60" s="28" t="s">
        <v>102</v>
      </c>
      <c r="B60" s="158">
        <v>55</v>
      </c>
      <c r="C60" s="52">
        <v>4</v>
      </c>
      <c r="D60" s="159">
        <v>0.36299999999999999</v>
      </c>
      <c r="E60" s="160">
        <v>0</v>
      </c>
      <c r="F60" s="160">
        <v>0</v>
      </c>
      <c r="G60" s="162">
        <v>0</v>
      </c>
      <c r="H60" s="162">
        <v>0</v>
      </c>
      <c r="I60" s="192">
        <v>0</v>
      </c>
      <c r="J60" s="160">
        <v>0</v>
      </c>
    </row>
    <row r="61" spans="1:10" ht="27" customHeight="1" x14ac:dyDescent="0.2">
      <c r="A61" s="28" t="s">
        <v>103</v>
      </c>
      <c r="B61" s="158">
        <v>56</v>
      </c>
      <c r="C61" s="52" t="s">
        <v>18</v>
      </c>
      <c r="D61" s="159">
        <v>0.63500000000000001</v>
      </c>
      <c r="E61" s="159">
        <v>0.31</v>
      </c>
      <c r="F61" s="160">
        <v>0</v>
      </c>
      <c r="G61" s="161">
        <v>8.4499999999999993</v>
      </c>
      <c r="H61" s="162">
        <v>0</v>
      </c>
      <c r="I61" s="192">
        <v>0</v>
      </c>
      <c r="J61" s="160">
        <v>0</v>
      </c>
    </row>
    <row r="62" spans="1:10" ht="27" customHeight="1" x14ac:dyDescent="0.2">
      <c r="A62" s="28" t="s">
        <v>104</v>
      </c>
      <c r="B62" s="158">
        <v>0</v>
      </c>
      <c r="C62" s="52" t="s">
        <v>18</v>
      </c>
      <c r="D62" s="159">
        <v>1.077</v>
      </c>
      <c r="E62" s="159">
        <v>0.53</v>
      </c>
      <c r="F62" s="160">
        <v>0</v>
      </c>
      <c r="G62" s="161">
        <v>14.02</v>
      </c>
      <c r="H62" s="162">
        <v>0</v>
      </c>
      <c r="I62" s="192">
        <v>0</v>
      </c>
      <c r="J62" s="160">
        <v>0</v>
      </c>
    </row>
    <row r="63" spans="1:10" ht="27" customHeight="1" x14ac:dyDescent="0.2">
      <c r="A63" s="28" t="s">
        <v>105</v>
      </c>
      <c r="B63" s="158">
        <v>0</v>
      </c>
      <c r="C63" s="52" t="s">
        <v>18</v>
      </c>
      <c r="D63" s="159">
        <v>0.92500000000000004</v>
      </c>
      <c r="E63" s="159">
        <v>0.61699999999999999</v>
      </c>
      <c r="F63" s="160">
        <v>0</v>
      </c>
      <c r="G63" s="161">
        <v>159.03</v>
      </c>
      <c r="H63" s="162">
        <v>0</v>
      </c>
      <c r="I63" s="192">
        <v>0</v>
      </c>
      <c r="J63" s="160">
        <v>0</v>
      </c>
    </row>
    <row r="64" spans="1:10" ht="27" customHeight="1" x14ac:dyDescent="0.2">
      <c r="A64" s="28" t="s">
        <v>568</v>
      </c>
      <c r="B64" s="158">
        <v>209</v>
      </c>
      <c r="C64" s="52">
        <v>0</v>
      </c>
      <c r="D64" s="164">
        <v>2.0979999999999999</v>
      </c>
      <c r="E64" s="165">
        <v>0.52900000000000003</v>
      </c>
      <c r="F64" s="166">
        <v>0.31</v>
      </c>
      <c r="G64" s="161">
        <v>1.52</v>
      </c>
      <c r="H64" s="162">
        <v>0</v>
      </c>
      <c r="I64" s="192">
        <v>0</v>
      </c>
      <c r="J64" s="160">
        <v>0</v>
      </c>
    </row>
    <row r="65" spans="1:10" ht="27" customHeight="1" x14ac:dyDescent="0.2">
      <c r="A65" s="28" t="s">
        <v>569</v>
      </c>
      <c r="B65" s="158">
        <v>210</v>
      </c>
      <c r="C65" s="52">
        <v>0</v>
      </c>
      <c r="D65" s="164">
        <v>2.1989999999999998</v>
      </c>
      <c r="E65" s="165">
        <v>0.54300000000000004</v>
      </c>
      <c r="F65" s="166">
        <v>0.31</v>
      </c>
      <c r="G65" s="161">
        <v>1.62</v>
      </c>
      <c r="H65" s="162">
        <v>0</v>
      </c>
      <c r="I65" s="192">
        <v>0</v>
      </c>
      <c r="J65" s="160">
        <v>0</v>
      </c>
    </row>
    <row r="66" spans="1:10" ht="27" customHeight="1" x14ac:dyDescent="0.2">
      <c r="A66" s="28" t="s">
        <v>106</v>
      </c>
      <c r="B66" s="158">
        <v>57</v>
      </c>
      <c r="C66" s="52">
        <v>0</v>
      </c>
      <c r="D66" s="164">
        <v>1.5489999999999999</v>
      </c>
      <c r="E66" s="165">
        <v>0.45500000000000002</v>
      </c>
      <c r="F66" s="166">
        <v>0.30499999999999999</v>
      </c>
      <c r="G66" s="161">
        <v>4.41</v>
      </c>
      <c r="H66" s="161">
        <v>0.49</v>
      </c>
      <c r="I66" s="167">
        <v>1.1499999999999999</v>
      </c>
      <c r="J66" s="159">
        <v>4.5999999999999999E-2</v>
      </c>
    </row>
    <row r="67" spans="1:10" ht="27" customHeight="1" x14ac:dyDescent="0.2">
      <c r="A67" s="28" t="s">
        <v>107</v>
      </c>
      <c r="B67" s="158">
        <v>58</v>
      </c>
      <c r="C67" s="52">
        <v>0</v>
      </c>
      <c r="D67" s="164">
        <v>1.8440000000000001</v>
      </c>
      <c r="E67" s="165">
        <v>0.65200000000000002</v>
      </c>
      <c r="F67" s="166">
        <v>0.499</v>
      </c>
      <c r="G67" s="161">
        <v>7.31</v>
      </c>
      <c r="H67" s="161">
        <v>1.1399999999999999</v>
      </c>
      <c r="I67" s="167">
        <v>1.89</v>
      </c>
      <c r="J67" s="159">
        <v>4.4999999999999998E-2</v>
      </c>
    </row>
    <row r="68" spans="1:10" ht="27" customHeight="1" x14ac:dyDescent="0.2">
      <c r="A68" s="28" t="s">
        <v>108</v>
      </c>
      <c r="B68" s="158">
        <v>59</v>
      </c>
      <c r="C68" s="52">
        <v>0</v>
      </c>
      <c r="D68" s="164">
        <v>1.827</v>
      </c>
      <c r="E68" s="165">
        <v>0.73499999999999999</v>
      </c>
      <c r="F68" s="166">
        <v>0.60399999999999998</v>
      </c>
      <c r="G68" s="161">
        <v>84.52</v>
      </c>
      <c r="H68" s="161">
        <v>1.34</v>
      </c>
      <c r="I68" s="167">
        <v>2.42</v>
      </c>
      <c r="J68" s="159">
        <v>3.6999999999999998E-2</v>
      </c>
    </row>
    <row r="69" spans="1:10" ht="27" customHeight="1" x14ac:dyDescent="0.2">
      <c r="A69" s="28" t="s">
        <v>195</v>
      </c>
      <c r="B69" s="158">
        <v>45</v>
      </c>
      <c r="C69" s="52">
        <v>8</v>
      </c>
      <c r="D69" s="159">
        <v>0.54700000000000004</v>
      </c>
      <c r="E69" s="160">
        <v>0</v>
      </c>
      <c r="F69" s="160">
        <v>0</v>
      </c>
      <c r="G69" s="162">
        <v>0</v>
      </c>
      <c r="H69" s="162">
        <v>0</v>
      </c>
      <c r="I69" s="193">
        <v>0</v>
      </c>
      <c r="J69" s="160">
        <v>0</v>
      </c>
    </row>
    <row r="70" spans="1:10" ht="27" customHeight="1" x14ac:dyDescent="0.2">
      <c r="A70" s="28" t="s">
        <v>196</v>
      </c>
      <c r="B70" s="158">
        <v>46</v>
      </c>
      <c r="C70" s="52">
        <v>1</v>
      </c>
      <c r="D70" s="159">
        <v>0.63300000000000001</v>
      </c>
      <c r="E70" s="160">
        <v>0</v>
      </c>
      <c r="F70" s="160">
        <v>0</v>
      </c>
      <c r="G70" s="162">
        <v>0</v>
      </c>
      <c r="H70" s="162">
        <v>0</v>
      </c>
      <c r="I70" s="193">
        <v>0</v>
      </c>
      <c r="J70" s="160">
        <v>0</v>
      </c>
    </row>
    <row r="71" spans="1:10" ht="27" customHeight="1" x14ac:dyDescent="0.2">
      <c r="A71" s="28" t="s">
        <v>197</v>
      </c>
      <c r="B71" s="158">
        <v>47</v>
      </c>
      <c r="C71" s="52">
        <v>1</v>
      </c>
      <c r="D71" s="159">
        <v>0.92</v>
      </c>
      <c r="E71" s="160">
        <v>0</v>
      </c>
      <c r="F71" s="160">
        <v>0</v>
      </c>
      <c r="G71" s="162">
        <v>0</v>
      </c>
      <c r="H71" s="162">
        <v>0</v>
      </c>
      <c r="I71" s="193">
        <v>0</v>
      </c>
      <c r="J71" s="160">
        <v>0</v>
      </c>
    </row>
    <row r="72" spans="1:10" ht="27" customHeight="1" x14ac:dyDescent="0.2">
      <c r="A72" s="28" t="s">
        <v>198</v>
      </c>
      <c r="B72" s="158">
        <v>48</v>
      </c>
      <c r="C72" s="52">
        <v>1</v>
      </c>
      <c r="D72" s="159">
        <v>0.48799999999999999</v>
      </c>
      <c r="E72" s="160">
        <v>0</v>
      </c>
      <c r="F72" s="160">
        <v>0</v>
      </c>
      <c r="G72" s="162">
        <v>0</v>
      </c>
      <c r="H72" s="162">
        <v>0</v>
      </c>
      <c r="I72" s="193">
        <v>0</v>
      </c>
      <c r="J72" s="160">
        <v>0</v>
      </c>
    </row>
    <row r="73" spans="1:10" ht="27" customHeight="1" x14ac:dyDescent="0.2">
      <c r="A73" s="28" t="s">
        <v>109</v>
      </c>
      <c r="B73" s="158">
        <v>61</v>
      </c>
      <c r="C73" s="52">
        <v>0</v>
      </c>
      <c r="D73" s="168">
        <v>5.0960000000000001</v>
      </c>
      <c r="E73" s="169">
        <v>0.503</v>
      </c>
      <c r="F73" s="166">
        <v>0.308</v>
      </c>
      <c r="G73" s="162">
        <v>0</v>
      </c>
      <c r="H73" s="162">
        <v>0</v>
      </c>
      <c r="I73" s="192">
        <v>0</v>
      </c>
      <c r="J73" s="160">
        <v>0</v>
      </c>
    </row>
    <row r="74" spans="1:10" ht="27" customHeight="1" x14ac:dyDescent="0.2">
      <c r="A74" s="28" t="s">
        <v>570</v>
      </c>
      <c r="B74" s="158">
        <v>62</v>
      </c>
      <c r="C74" s="52">
        <v>8</v>
      </c>
      <c r="D74" s="159">
        <v>-0.309</v>
      </c>
      <c r="E74" s="160">
        <v>0</v>
      </c>
      <c r="F74" s="160">
        <v>0</v>
      </c>
      <c r="G74" s="170">
        <v>0</v>
      </c>
      <c r="H74" s="162">
        <v>0</v>
      </c>
      <c r="I74" s="192">
        <v>0</v>
      </c>
      <c r="J74" s="160">
        <v>0</v>
      </c>
    </row>
    <row r="75" spans="1:10" ht="27" customHeight="1" x14ac:dyDescent="0.2">
      <c r="A75" s="28" t="s">
        <v>110</v>
      </c>
      <c r="B75" s="158">
        <v>63</v>
      </c>
      <c r="C75" s="52">
        <v>8</v>
      </c>
      <c r="D75" s="159">
        <v>-0.33300000000000002</v>
      </c>
      <c r="E75" s="160">
        <v>0</v>
      </c>
      <c r="F75" s="160">
        <v>0</v>
      </c>
      <c r="G75" s="170">
        <v>0</v>
      </c>
      <c r="H75" s="162">
        <v>0</v>
      </c>
      <c r="I75" s="192">
        <v>0</v>
      </c>
      <c r="J75" s="160">
        <v>0</v>
      </c>
    </row>
    <row r="76" spans="1:10" ht="27" customHeight="1" x14ac:dyDescent="0.2">
      <c r="A76" s="28" t="s">
        <v>111</v>
      </c>
      <c r="B76" s="158">
        <v>64</v>
      </c>
      <c r="C76" s="52">
        <v>0</v>
      </c>
      <c r="D76" s="159">
        <v>-0.309</v>
      </c>
      <c r="E76" s="160">
        <v>0</v>
      </c>
      <c r="F76" s="160">
        <v>0</v>
      </c>
      <c r="G76" s="170">
        <v>0</v>
      </c>
      <c r="H76" s="162">
        <v>0</v>
      </c>
      <c r="I76" s="192">
        <v>0</v>
      </c>
      <c r="J76" s="159">
        <v>6.5000000000000002E-2</v>
      </c>
    </row>
    <row r="77" spans="1:10" ht="27" customHeight="1" x14ac:dyDescent="0.2">
      <c r="A77" s="28" t="s">
        <v>112</v>
      </c>
      <c r="B77" s="158">
        <v>65</v>
      </c>
      <c r="C77" s="52">
        <v>0</v>
      </c>
      <c r="D77" s="164">
        <v>-2.044</v>
      </c>
      <c r="E77" s="165">
        <v>-0.26800000000000002</v>
      </c>
      <c r="F77" s="166">
        <v>-1.9E-2</v>
      </c>
      <c r="G77" s="170">
        <v>0</v>
      </c>
      <c r="H77" s="162">
        <v>0</v>
      </c>
      <c r="I77" s="192">
        <v>0</v>
      </c>
      <c r="J77" s="159">
        <v>6.5000000000000002E-2</v>
      </c>
    </row>
    <row r="78" spans="1:10" ht="27" customHeight="1" x14ac:dyDescent="0.2">
      <c r="A78" s="28" t="s">
        <v>113</v>
      </c>
      <c r="B78" s="158">
        <v>66</v>
      </c>
      <c r="C78" s="52">
        <v>0</v>
      </c>
      <c r="D78" s="159">
        <v>-0.33300000000000002</v>
      </c>
      <c r="E78" s="160">
        <v>0</v>
      </c>
      <c r="F78" s="160">
        <v>0</v>
      </c>
      <c r="G78" s="170">
        <v>0</v>
      </c>
      <c r="H78" s="162">
        <v>0</v>
      </c>
      <c r="I78" s="192">
        <v>0</v>
      </c>
      <c r="J78" s="159">
        <v>7.4999999999999997E-2</v>
      </c>
    </row>
    <row r="79" spans="1:10" ht="27" customHeight="1" x14ac:dyDescent="0.2">
      <c r="A79" s="28" t="s">
        <v>114</v>
      </c>
      <c r="B79" s="158">
        <v>67</v>
      </c>
      <c r="C79" s="52">
        <v>0</v>
      </c>
      <c r="D79" s="164">
        <v>-2.2080000000000002</v>
      </c>
      <c r="E79" s="165">
        <v>-0.28799999999999998</v>
      </c>
      <c r="F79" s="166">
        <v>-2.1000000000000001E-2</v>
      </c>
      <c r="G79" s="170">
        <v>0</v>
      </c>
      <c r="H79" s="162">
        <v>0</v>
      </c>
      <c r="I79" s="192">
        <v>0</v>
      </c>
      <c r="J79" s="159">
        <v>7.4999999999999997E-2</v>
      </c>
    </row>
    <row r="80" spans="1:10" ht="27" customHeight="1" x14ac:dyDescent="0.2">
      <c r="A80" s="28" t="s">
        <v>115</v>
      </c>
      <c r="B80" s="158">
        <v>68</v>
      </c>
      <c r="C80" s="52">
        <v>0</v>
      </c>
      <c r="D80" s="159">
        <v>-0.379</v>
      </c>
      <c r="E80" s="160">
        <v>0</v>
      </c>
      <c r="F80" s="160">
        <v>0</v>
      </c>
      <c r="G80" s="161">
        <v>84.92</v>
      </c>
      <c r="H80" s="162">
        <v>0</v>
      </c>
      <c r="I80" s="192">
        <v>0</v>
      </c>
      <c r="J80" s="159">
        <v>0.104</v>
      </c>
    </row>
    <row r="81" spans="1:10" ht="27" customHeight="1" x14ac:dyDescent="0.2">
      <c r="A81" s="28" t="s">
        <v>116</v>
      </c>
      <c r="B81" s="158">
        <v>69</v>
      </c>
      <c r="C81" s="52">
        <v>0</v>
      </c>
      <c r="D81" s="164">
        <v>-2.548</v>
      </c>
      <c r="E81" s="165">
        <v>-0.311</v>
      </c>
      <c r="F81" s="166">
        <v>-2.7E-2</v>
      </c>
      <c r="G81" s="161">
        <v>84.92</v>
      </c>
      <c r="H81" s="162">
        <v>0</v>
      </c>
      <c r="I81" s="192">
        <v>0</v>
      </c>
      <c r="J81" s="159">
        <v>0.104</v>
      </c>
    </row>
    <row r="82" spans="1:10" ht="27" customHeight="1" x14ac:dyDescent="0.2">
      <c r="A82" s="28" t="s">
        <v>62</v>
      </c>
      <c r="B82" s="158">
        <v>70</v>
      </c>
      <c r="C82" s="52">
        <v>1</v>
      </c>
      <c r="D82" s="159">
        <v>0.45400000000000001</v>
      </c>
      <c r="E82" s="160">
        <v>0</v>
      </c>
      <c r="F82" s="160">
        <v>0</v>
      </c>
      <c r="G82" s="161">
        <v>1.06</v>
      </c>
      <c r="H82" s="162">
        <v>0</v>
      </c>
      <c r="I82" s="192">
        <v>0</v>
      </c>
      <c r="J82" s="160">
        <v>0</v>
      </c>
    </row>
    <row r="83" spans="1:10" ht="27" customHeight="1" x14ac:dyDescent="0.2">
      <c r="A83" s="28" t="s">
        <v>63</v>
      </c>
      <c r="B83" s="158">
        <v>71</v>
      </c>
      <c r="C83" s="52">
        <v>2</v>
      </c>
      <c r="D83" s="159">
        <v>0.51500000000000001</v>
      </c>
      <c r="E83" s="159">
        <v>0.218</v>
      </c>
      <c r="F83" s="160">
        <v>0</v>
      </c>
      <c r="G83" s="161">
        <v>1.06</v>
      </c>
      <c r="H83" s="162">
        <v>0</v>
      </c>
      <c r="I83" s="192">
        <v>0</v>
      </c>
      <c r="J83" s="160">
        <v>0</v>
      </c>
    </row>
    <row r="84" spans="1:10" ht="27" customHeight="1" x14ac:dyDescent="0.2">
      <c r="A84" s="28" t="s">
        <v>64</v>
      </c>
      <c r="B84" s="158">
        <v>72</v>
      </c>
      <c r="C84" s="52">
        <v>2</v>
      </c>
      <c r="D84" s="159">
        <v>0.24099999999999999</v>
      </c>
      <c r="E84" s="160">
        <v>0</v>
      </c>
      <c r="F84" s="160">
        <v>0</v>
      </c>
      <c r="G84" s="162">
        <v>0</v>
      </c>
      <c r="H84" s="162">
        <v>0</v>
      </c>
      <c r="I84" s="192">
        <v>0</v>
      </c>
      <c r="J84" s="160">
        <v>0</v>
      </c>
    </row>
    <row r="85" spans="1:10" ht="27" customHeight="1" x14ac:dyDescent="0.2">
      <c r="A85" s="28" t="s">
        <v>65</v>
      </c>
      <c r="B85" s="158">
        <v>73</v>
      </c>
      <c r="C85" s="52">
        <v>3</v>
      </c>
      <c r="D85" s="159">
        <v>0.45800000000000002</v>
      </c>
      <c r="E85" s="160">
        <v>0</v>
      </c>
      <c r="F85" s="160">
        <v>0</v>
      </c>
      <c r="G85" s="161">
        <v>1.1299999999999999</v>
      </c>
      <c r="H85" s="162">
        <v>0</v>
      </c>
      <c r="I85" s="192">
        <v>0</v>
      </c>
      <c r="J85" s="160">
        <v>0</v>
      </c>
    </row>
    <row r="86" spans="1:10" ht="27" customHeight="1" x14ac:dyDescent="0.2">
      <c r="A86" s="28" t="s">
        <v>66</v>
      </c>
      <c r="B86" s="158">
        <v>74</v>
      </c>
      <c r="C86" s="52">
        <v>4</v>
      </c>
      <c r="D86" s="159">
        <v>0.501</v>
      </c>
      <c r="E86" s="159">
        <v>0.22500000000000001</v>
      </c>
      <c r="F86" s="160">
        <v>0</v>
      </c>
      <c r="G86" s="161">
        <v>1.1299999999999999</v>
      </c>
      <c r="H86" s="162">
        <v>0</v>
      </c>
      <c r="I86" s="192">
        <v>0</v>
      </c>
      <c r="J86" s="160">
        <v>0</v>
      </c>
    </row>
    <row r="87" spans="1:10" ht="27" customHeight="1" x14ac:dyDescent="0.2">
      <c r="A87" s="28" t="s">
        <v>67</v>
      </c>
      <c r="B87" s="158">
        <v>75</v>
      </c>
      <c r="C87" s="52">
        <v>4</v>
      </c>
      <c r="D87" s="159">
        <v>0.253</v>
      </c>
      <c r="E87" s="160">
        <v>0</v>
      </c>
      <c r="F87" s="160">
        <v>0</v>
      </c>
      <c r="G87" s="162">
        <v>0</v>
      </c>
      <c r="H87" s="162">
        <v>0</v>
      </c>
      <c r="I87" s="192">
        <v>0</v>
      </c>
      <c r="J87" s="160">
        <v>0</v>
      </c>
    </row>
    <row r="88" spans="1:10" ht="27" customHeight="1" x14ac:dyDescent="0.2">
      <c r="A88" s="28" t="s">
        <v>68</v>
      </c>
      <c r="B88" s="158">
        <v>76</v>
      </c>
      <c r="C88" s="52" t="s">
        <v>18</v>
      </c>
      <c r="D88" s="159">
        <v>0.441</v>
      </c>
      <c r="E88" s="159">
        <v>0.216</v>
      </c>
      <c r="F88" s="160">
        <v>0</v>
      </c>
      <c r="G88" s="161">
        <v>5.88</v>
      </c>
      <c r="H88" s="162">
        <v>0</v>
      </c>
      <c r="I88" s="192">
        <v>0</v>
      </c>
      <c r="J88" s="160">
        <v>0</v>
      </c>
    </row>
    <row r="89" spans="1:10" ht="27" customHeight="1" x14ac:dyDescent="0.2">
      <c r="A89" s="28" t="s">
        <v>117</v>
      </c>
      <c r="B89" s="158">
        <v>0</v>
      </c>
      <c r="C89" s="52" t="s">
        <v>18</v>
      </c>
      <c r="D89" s="159">
        <v>0.749</v>
      </c>
      <c r="E89" s="159">
        <v>0.36799999999999999</v>
      </c>
      <c r="F89" s="160">
        <v>0</v>
      </c>
      <c r="G89" s="161">
        <v>9.75</v>
      </c>
      <c r="H89" s="162">
        <v>0</v>
      </c>
      <c r="I89" s="192">
        <v>0</v>
      </c>
      <c r="J89" s="160">
        <v>0</v>
      </c>
    </row>
    <row r="90" spans="1:10" ht="27" customHeight="1" x14ac:dyDescent="0.2">
      <c r="A90" s="28" t="s">
        <v>118</v>
      </c>
      <c r="B90" s="158">
        <v>0</v>
      </c>
      <c r="C90" s="52" t="s">
        <v>18</v>
      </c>
      <c r="D90" s="159">
        <v>0.64300000000000002</v>
      </c>
      <c r="E90" s="159">
        <v>0.42899999999999999</v>
      </c>
      <c r="F90" s="160">
        <v>0</v>
      </c>
      <c r="G90" s="161">
        <v>110.55</v>
      </c>
      <c r="H90" s="162">
        <v>0</v>
      </c>
      <c r="I90" s="192">
        <v>0</v>
      </c>
      <c r="J90" s="160">
        <v>0</v>
      </c>
    </row>
    <row r="91" spans="1:10" ht="27" customHeight="1" x14ac:dyDescent="0.2">
      <c r="A91" s="28" t="s">
        <v>571</v>
      </c>
      <c r="B91" s="158">
        <v>211</v>
      </c>
      <c r="C91" s="52">
        <v>0</v>
      </c>
      <c r="D91" s="164">
        <v>1.458</v>
      </c>
      <c r="E91" s="165">
        <v>0.36799999999999999</v>
      </c>
      <c r="F91" s="166">
        <v>0.215</v>
      </c>
      <c r="G91" s="161">
        <v>1.06</v>
      </c>
      <c r="H91" s="162">
        <v>0</v>
      </c>
      <c r="I91" s="192">
        <v>0</v>
      </c>
      <c r="J91" s="160">
        <v>0</v>
      </c>
    </row>
    <row r="92" spans="1:10" ht="27" customHeight="1" x14ac:dyDescent="0.2">
      <c r="A92" s="28" t="s">
        <v>572</v>
      </c>
      <c r="B92" s="158">
        <v>212</v>
      </c>
      <c r="C92" s="52">
        <v>0</v>
      </c>
      <c r="D92" s="164">
        <v>1.5289999999999999</v>
      </c>
      <c r="E92" s="165">
        <v>0.377</v>
      </c>
      <c r="F92" s="166">
        <v>0.216</v>
      </c>
      <c r="G92" s="161">
        <v>1.1299999999999999</v>
      </c>
      <c r="H92" s="162">
        <v>0</v>
      </c>
      <c r="I92" s="192">
        <v>0</v>
      </c>
      <c r="J92" s="160">
        <v>0</v>
      </c>
    </row>
    <row r="93" spans="1:10" ht="27" customHeight="1" x14ac:dyDescent="0.2">
      <c r="A93" s="28" t="s">
        <v>69</v>
      </c>
      <c r="B93" s="158">
        <v>77</v>
      </c>
      <c r="C93" s="52">
        <v>0</v>
      </c>
      <c r="D93" s="164">
        <v>1.077</v>
      </c>
      <c r="E93" s="165">
        <v>0.316</v>
      </c>
      <c r="F93" s="166">
        <v>0.21199999999999999</v>
      </c>
      <c r="G93" s="161">
        <v>3.06</v>
      </c>
      <c r="H93" s="161">
        <v>0.34</v>
      </c>
      <c r="I93" s="167">
        <v>0.8</v>
      </c>
      <c r="J93" s="159">
        <v>3.2000000000000001E-2</v>
      </c>
    </row>
    <row r="94" spans="1:10" ht="27" customHeight="1" x14ac:dyDescent="0.2">
      <c r="A94" s="28" t="s">
        <v>70</v>
      </c>
      <c r="B94" s="158">
        <v>78</v>
      </c>
      <c r="C94" s="52">
        <v>0</v>
      </c>
      <c r="D94" s="164">
        <v>1.282</v>
      </c>
      <c r="E94" s="165">
        <v>0.45400000000000001</v>
      </c>
      <c r="F94" s="166">
        <v>0.34699999999999998</v>
      </c>
      <c r="G94" s="161">
        <v>5.08</v>
      </c>
      <c r="H94" s="161">
        <v>0.8</v>
      </c>
      <c r="I94" s="167">
        <v>1.31</v>
      </c>
      <c r="J94" s="159">
        <v>3.1E-2</v>
      </c>
    </row>
    <row r="95" spans="1:10" ht="27" customHeight="1" x14ac:dyDescent="0.2">
      <c r="A95" s="28" t="s">
        <v>71</v>
      </c>
      <c r="B95" s="158">
        <v>79</v>
      </c>
      <c r="C95" s="52">
        <v>0</v>
      </c>
      <c r="D95" s="164">
        <v>1.27</v>
      </c>
      <c r="E95" s="165">
        <v>0.51100000000000001</v>
      </c>
      <c r="F95" s="166">
        <v>0.42</v>
      </c>
      <c r="G95" s="161">
        <v>58.75</v>
      </c>
      <c r="H95" s="161">
        <v>0.93</v>
      </c>
      <c r="I95" s="167">
        <v>1.68</v>
      </c>
      <c r="J95" s="159">
        <v>2.5999999999999999E-2</v>
      </c>
    </row>
    <row r="96" spans="1:10" ht="27" customHeight="1" x14ac:dyDescent="0.2">
      <c r="A96" s="28" t="s">
        <v>199</v>
      </c>
      <c r="B96" s="158">
        <v>183</v>
      </c>
      <c r="C96" s="52">
        <v>8</v>
      </c>
      <c r="D96" s="159">
        <v>0.38</v>
      </c>
      <c r="E96" s="160">
        <v>0</v>
      </c>
      <c r="F96" s="160">
        <v>0</v>
      </c>
      <c r="G96" s="162">
        <v>0</v>
      </c>
      <c r="H96" s="162">
        <v>0</v>
      </c>
      <c r="I96" s="193">
        <v>0</v>
      </c>
      <c r="J96" s="160">
        <v>0</v>
      </c>
    </row>
    <row r="97" spans="1:10" ht="27" customHeight="1" x14ac:dyDescent="0.2">
      <c r="A97" s="28" t="s">
        <v>200</v>
      </c>
      <c r="B97" s="158">
        <v>184</v>
      </c>
      <c r="C97" s="52">
        <v>1</v>
      </c>
      <c r="D97" s="159">
        <v>0.44</v>
      </c>
      <c r="E97" s="160">
        <v>0</v>
      </c>
      <c r="F97" s="160">
        <v>0</v>
      </c>
      <c r="G97" s="162">
        <v>0</v>
      </c>
      <c r="H97" s="162">
        <v>0</v>
      </c>
      <c r="I97" s="193">
        <v>0</v>
      </c>
      <c r="J97" s="160">
        <v>0</v>
      </c>
    </row>
    <row r="98" spans="1:10" ht="27" customHeight="1" x14ac:dyDescent="0.2">
      <c r="A98" s="28" t="s">
        <v>201</v>
      </c>
      <c r="B98" s="158">
        <v>185</v>
      </c>
      <c r="C98" s="52">
        <v>1</v>
      </c>
      <c r="D98" s="159">
        <v>0.63900000000000001</v>
      </c>
      <c r="E98" s="160">
        <v>0</v>
      </c>
      <c r="F98" s="160">
        <v>0</v>
      </c>
      <c r="G98" s="162">
        <v>0</v>
      </c>
      <c r="H98" s="162">
        <v>0</v>
      </c>
      <c r="I98" s="193">
        <v>0</v>
      </c>
      <c r="J98" s="160">
        <v>0</v>
      </c>
    </row>
    <row r="99" spans="1:10" ht="27" customHeight="1" x14ac:dyDescent="0.2">
      <c r="A99" s="28" t="s">
        <v>202</v>
      </c>
      <c r="B99" s="158">
        <v>186</v>
      </c>
      <c r="C99" s="52">
        <v>1</v>
      </c>
      <c r="D99" s="159">
        <v>0.34</v>
      </c>
      <c r="E99" s="160">
        <v>0</v>
      </c>
      <c r="F99" s="160">
        <v>0</v>
      </c>
      <c r="G99" s="162">
        <v>0</v>
      </c>
      <c r="H99" s="162">
        <v>0</v>
      </c>
      <c r="I99" s="193">
        <v>0</v>
      </c>
      <c r="J99" s="160">
        <v>0</v>
      </c>
    </row>
    <row r="100" spans="1:10" ht="27" customHeight="1" x14ac:dyDescent="0.2">
      <c r="A100" s="28" t="s">
        <v>72</v>
      </c>
      <c r="B100" s="158">
        <v>81</v>
      </c>
      <c r="C100" s="52">
        <v>0</v>
      </c>
      <c r="D100" s="168">
        <v>3.5430000000000001</v>
      </c>
      <c r="E100" s="169">
        <v>0.35</v>
      </c>
      <c r="F100" s="166">
        <v>0.214</v>
      </c>
      <c r="G100" s="162">
        <v>0</v>
      </c>
      <c r="H100" s="162">
        <v>0</v>
      </c>
      <c r="I100" s="192">
        <v>0</v>
      </c>
      <c r="J100" s="160">
        <v>0</v>
      </c>
    </row>
    <row r="101" spans="1:10" ht="27" customHeight="1" x14ac:dyDescent="0.2">
      <c r="A101" s="28" t="s">
        <v>573</v>
      </c>
      <c r="B101" s="158">
        <v>82</v>
      </c>
      <c r="C101" s="52">
        <v>8</v>
      </c>
      <c r="D101" s="159">
        <v>-0.214</v>
      </c>
      <c r="E101" s="160">
        <v>0</v>
      </c>
      <c r="F101" s="160">
        <v>0</v>
      </c>
      <c r="G101" s="170">
        <v>0</v>
      </c>
      <c r="H101" s="162">
        <v>0</v>
      </c>
      <c r="I101" s="192">
        <v>0</v>
      </c>
      <c r="J101" s="160">
        <v>0</v>
      </c>
    </row>
    <row r="102" spans="1:10" ht="27" customHeight="1" x14ac:dyDescent="0.2">
      <c r="A102" s="28" t="s">
        <v>73</v>
      </c>
      <c r="B102" s="158">
        <v>83</v>
      </c>
      <c r="C102" s="52">
        <v>8</v>
      </c>
      <c r="D102" s="159">
        <v>-0.23100000000000001</v>
      </c>
      <c r="E102" s="160">
        <v>0</v>
      </c>
      <c r="F102" s="160">
        <v>0</v>
      </c>
      <c r="G102" s="170">
        <v>0</v>
      </c>
      <c r="H102" s="162">
        <v>0</v>
      </c>
      <c r="I102" s="192">
        <v>0</v>
      </c>
      <c r="J102" s="160">
        <v>0</v>
      </c>
    </row>
    <row r="103" spans="1:10" ht="27" customHeight="1" x14ac:dyDescent="0.2">
      <c r="A103" s="28" t="s">
        <v>74</v>
      </c>
      <c r="B103" s="158">
        <v>84</v>
      </c>
      <c r="C103" s="52">
        <v>0</v>
      </c>
      <c r="D103" s="159">
        <v>-0.214</v>
      </c>
      <c r="E103" s="160">
        <v>0</v>
      </c>
      <c r="F103" s="160">
        <v>0</v>
      </c>
      <c r="G103" s="170">
        <v>0</v>
      </c>
      <c r="H103" s="162">
        <v>0</v>
      </c>
      <c r="I103" s="192">
        <v>0</v>
      </c>
      <c r="J103" s="159">
        <v>4.4999999999999998E-2</v>
      </c>
    </row>
    <row r="104" spans="1:10" ht="27" customHeight="1" x14ac:dyDescent="0.2">
      <c r="A104" s="28" t="s">
        <v>75</v>
      </c>
      <c r="B104" s="158">
        <v>85</v>
      </c>
      <c r="C104" s="52">
        <v>0</v>
      </c>
      <c r="D104" s="164">
        <v>-1.421</v>
      </c>
      <c r="E104" s="165">
        <v>-0.186</v>
      </c>
      <c r="F104" s="166">
        <v>-1.2999999999999999E-2</v>
      </c>
      <c r="G104" s="170">
        <v>0</v>
      </c>
      <c r="H104" s="162">
        <v>0</v>
      </c>
      <c r="I104" s="192">
        <v>0</v>
      </c>
      <c r="J104" s="159">
        <v>4.4999999999999998E-2</v>
      </c>
    </row>
    <row r="105" spans="1:10" ht="27" customHeight="1" x14ac:dyDescent="0.2">
      <c r="A105" s="28" t="s">
        <v>76</v>
      </c>
      <c r="B105" s="158">
        <v>86</v>
      </c>
      <c r="C105" s="52">
        <v>0</v>
      </c>
      <c r="D105" s="159">
        <v>-0.23100000000000001</v>
      </c>
      <c r="E105" s="160">
        <v>0</v>
      </c>
      <c r="F105" s="160">
        <v>0</v>
      </c>
      <c r="G105" s="170">
        <v>0</v>
      </c>
      <c r="H105" s="162">
        <v>0</v>
      </c>
      <c r="I105" s="192">
        <v>0</v>
      </c>
      <c r="J105" s="159">
        <v>5.1999999999999998E-2</v>
      </c>
    </row>
    <row r="106" spans="1:10" ht="27" customHeight="1" x14ac:dyDescent="0.2">
      <c r="A106" s="28" t="s">
        <v>77</v>
      </c>
      <c r="B106" s="158">
        <v>87</v>
      </c>
      <c r="C106" s="52">
        <v>0</v>
      </c>
      <c r="D106" s="164">
        <v>-1.5349999999999999</v>
      </c>
      <c r="E106" s="165">
        <v>-0.2</v>
      </c>
      <c r="F106" s="166">
        <v>-1.4999999999999999E-2</v>
      </c>
      <c r="G106" s="170">
        <v>0</v>
      </c>
      <c r="H106" s="162">
        <v>0</v>
      </c>
      <c r="I106" s="192">
        <v>0</v>
      </c>
      <c r="J106" s="159">
        <v>5.1999999999999998E-2</v>
      </c>
    </row>
    <row r="107" spans="1:10" ht="27" customHeight="1" x14ac:dyDescent="0.2">
      <c r="A107" s="28" t="s">
        <v>78</v>
      </c>
      <c r="B107" s="158">
        <v>88</v>
      </c>
      <c r="C107" s="52">
        <v>0</v>
      </c>
      <c r="D107" s="159">
        <v>-0.26300000000000001</v>
      </c>
      <c r="E107" s="160">
        <v>0</v>
      </c>
      <c r="F107" s="160">
        <v>0</v>
      </c>
      <c r="G107" s="161">
        <v>59.03</v>
      </c>
      <c r="H107" s="162">
        <v>0</v>
      </c>
      <c r="I107" s="192">
        <v>0</v>
      </c>
      <c r="J107" s="159">
        <v>7.1999999999999995E-2</v>
      </c>
    </row>
    <row r="108" spans="1:10" ht="27" customHeight="1" x14ac:dyDescent="0.2">
      <c r="A108" s="28" t="s">
        <v>79</v>
      </c>
      <c r="B108" s="158">
        <v>89</v>
      </c>
      <c r="C108" s="52">
        <v>0</v>
      </c>
      <c r="D108" s="164">
        <v>-1.7709999999999999</v>
      </c>
      <c r="E108" s="165">
        <v>-0.216</v>
      </c>
      <c r="F108" s="166">
        <v>-1.9E-2</v>
      </c>
      <c r="G108" s="161">
        <v>59.03</v>
      </c>
      <c r="H108" s="162">
        <v>0</v>
      </c>
      <c r="I108" s="192">
        <v>0</v>
      </c>
      <c r="J108" s="159">
        <v>7.1999999999999995E-2</v>
      </c>
    </row>
    <row r="109" spans="1:10" ht="27" customHeight="1" x14ac:dyDescent="0.2">
      <c r="A109" s="28" t="s">
        <v>119</v>
      </c>
      <c r="B109" s="158">
        <v>90</v>
      </c>
      <c r="C109" s="52">
        <v>1</v>
      </c>
      <c r="D109" s="159">
        <v>0.30099999999999999</v>
      </c>
      <c r="E109" s="160">
        <v>0</v>
      </c>
      <c r="F109" s="160">
        <v>0</v>
      </c>
      <c r="G109" s="161">
        <v>0.7</v>
      </c>
      <c r="H109" s="162">
        <v>0</v>
      </c>
      <c r="I109" s="192">
        <v>0</v>
      </c>
      <c r="J109" s="160">
        <v>0</v>
      </c>
    </row>
    <row r="110" spans="1:10" ht="27" customHeight="1" x14ac:dyDescent="0.2">
      <c r="A110" s="28" t="s">
        <v>120</v>
      </c>
      <c r="B110" s="158">
        <v>91</v>
      </c>
      <c r="C110" s="52">
        <v>2</v>
      </c>
      <c r="D110" s="159">
        <v>0.34100000000000003</v>
      </c>
      <c r="E110" s="159">
        <v>0.14399999999999999</v>
      </c>
      <c r="F110" s="160">
        <v>0</v>
      </c>
      <c r="G110" s="161">
        <v>0.7</v>
      </c>
      <c r="H110" s="162">
        <v>0</v>
      </c>
      <c r="I110" s="192">
        <v>0</v>
      </c>
      <c r="J110" s="160">
        <v>0</v>
      </c>
    </row>
    <row r="111" spans="1:10" ht="27" customHeight="1" x14ac:dyDescent="0.2">
      <c r="A111" s="28" t="s">
        <v>121</v>
      </c>
      <c r="B111" s="158">
        <v>92</v>
      </c>
      <c r="C111" s="52">
        <v>2</v>
      </c>
      <c r="D111" s="159">
        <v>0.16</v>
      </c>
      <c r="E111" s="160">
        <v>0</v>
      </c>
      <c r="F111" s="160">
        <v>0</v>
      </c>
      <c r="G111" s="162">
        <v>0</v>
      </c>
      <c r="H111" s="162">
        <v>0</v>
      </c>
      <c r="I111" s="192">
        <v>0</v>
      </c>
      <c r="J111" s="160">
        <v>0</v>
      </c>
    </row>
    <row r="112" spans="1:10" ht="27" customHeight="1" x14ac:dyDescent="0.2">
      <c r="A112" s="28" t="s">
        <v>122</v>
      </c>
      <c r="B112" s="158">
        <v>93</v>
      </c>
      <c r="C112" s="52">
        <v>3</v>
      </c>
      <c r="D112" s="159">
        <v>0.30399999999999999</v>
      </c>
      <c r="E112" s="160">
        <v>0</v>
      </c>
      <c r="F112" s="160">
        <v>0</v>
      </c>
      <c r="G112" s="161">
        <v>0.75</v>
      </c>
      <c r="H112" s="162">
        <v>0</v>
      </c>
      <c r="I112" s="192">
        <v>0</v>
      </c>
      <c r="J112" s="160">
        <v>0</v>
      </c>
    </row>
    <row r="113" spans="1:10" ht="27" customHeight="1" x14ac:dyDescent="0.2">
      <c r="A113" s="28" t="s">
        <v>123</v>
      </c>
      <c r="B113" s="158">
        <v>94</v>
      </c>
      <c r="C113" s="52">
        <v>4</v>
      </c>
      <c r="D113" s="159">
        <v>0.33200000000000002</v>
      </c>
      <c r="E113" s="159">
        <v>0.14899999999999999</v>
      </c>
      <c r="F113" s="160">
        <v>0</v>
      </c>
      <c r="G113" s="161">
        <v>0.75</v>
      </c>
      <c r="H113" s="162">
        <v>0</v>
      </c>
      <c r="I113" s="192">
        <v>0</v>
      </c>
      <c r="J113" s="160">
        <v>0</v>
      </c>
    </row>
    <row r="114" spans="1:10" ht="27" customHeight="1" x14ac:dyDescent="0.2">
      <c r="A114" s="28" t="s">
        <v>124</v>
      </c>
      <c r="B114" s="158">
        <v>95</v>
      </c>
      <c r="C114" s="52">
        <v>4</v>
      </c>
      <c r="D114" s="159">
        <v>0.16700000000000001</v>
      </c>
      <c r="E114" s="160">
        <v>0</v>
      </c>
      <c r="F114" s="160">
        <v>0</v>
      </c>
      <c r="G114" s="162">
        <v>0</v>
      </c>
      <c r="H114" s="162">
        <v>0</v>
      </c>
      <c r="I114" s="192">
        <v>0</v>
      </c>
      <c r="J114" s="160">
        <v>0</v>
      </c>
    </row>
    <row r="115" spans="1:10" ht="27" customHeight="1" x14ac:dyDescent="0.2">
      <c r="A115" s="28" t="s">
        <v>125</v>
      </c>
      <c r="B115" s="158">
        <v>96</v>
      </c>
      <c r="C115" s="52" t="s">
        <v>18</v>
      </c>
      <c r="D115" s="159">
        <v>0.29199999999999998</v>
      </c>
      <c r="E115" s="159">
        <v>0.14299999999999999</v>
      </c>
      <c r="F115" s="160">
        <v>0</v>
      </c>
      <c r="G115" s="161">
        <v>3.89</v>
      </c>
      <c r="H115" s="162">
        <v>0</v>
      </c>
      <c r="I115" s="192">
        <v>0</v>
      </c>
      <c r="J115" s="160">
        <v>0</v>
      </c>
    </row>
    <row r="116" spans="1:10" ht="27" customHeight="1" x14ac:dyDescent="0.2">
      <c r="A116" s="28" t="s">
        <v>126</v>
      </c>
      <c r="B116" s="158">
        <v>0</v>
      </c>
      <c r="C116" s="52" t="s">
        <v>18</v>
      </c>
      <c r="D116" s="159">
        <v>0.496</v>
      </c>
      <c r="E116" s="159">
        <v>0.24399999999999999</v>
      </c>
      <c r="F116" s="160">
        <v>0</v>
      </c>
      <c r="G116" s="161">
        <v>6.46</v>
      </c>
      <c r="H116" s="162">
        <v>0</v>
      </c>
      <c r="I116" s="192">
        <v>0</v>
      </c>
      <c r="J116" s="160">
        <v>0</v>
      </c>
    </row>
    <row r="117" spans="1:10" ht="27" customHeight="1" x14ac:dyDescent="0.2">
      <c r="A117" s="28" t="s">
        <v>127</v>
      </c>
      <c r="B117" s="158">
        <v>0</v>
      </c>
      <c r="C117" s="52" t="s">
        <v>18</v>
      </c>
      <c r="D117" s="159">
        <v>0.42599999999999999</v>
      </c>
      <c r="E117" s="159">
        <v>0.28399999999999997</v>
      </c>
      <c r="F117" s="160">
        <v>0</v>
      </c>
      <c r="G117" s="161">
        <v>73.22</v>
      </c>
      <c r="H117" s="162">
        <v>0</v>
      </c>
      <c r="I117" s="192">
        <v>0</v>
      </c>
      <c r="J117" s="160">
        <v>0</v>
      </c>
    </row>
    <row r="118" spans="1:10" ht="27" customHeight="1" x14ac:dyDescent="0.2">
      <c r="A118" s="28" t="s">
        <v>574</v>
      </c>
      <c r="B118" s="158">
        <v>213</v>
      </c>
      <c r="C118" s="52">
        <v>0</v>
      </c>
      <c r="D118" s="164">
        <v>0.96599999999999997</v>
      </c>
      <c r="E118" s="165">
        <v>0.24399999999999999</v>
      </c>
      <c r="F118" s="166">
        <v>0.14299999999999999</v>
      </c>
      <c r="G118" s="161">
        <v>0.7</v>
      </c>
      <c r="H118" s="162">
        <v>0</v>
      </c>
      <c r="I118" s="192">
        <v>0</v>
      </c>
      <c r="J118" s="160">
        <v>0</v>
      </c>
    </row>
    <row r="119" spans="1:10" ht="27" customHeight="1" x14ac:dyDescent="0.2">
      <c r="A119" s="28" t="s">
        <v>575</v>
      </c>
      <c r="B119" s="158">
        <v>214</v>
      </c>
      <c r="C119" s="52">
        <v>0</v>
      </c>
      <c r="D119" s="164">
        <v>1.0129999999999999</v>
      </c>
      <c r="E119" s="165">
        <v>0.25</v>
      </c>
      <c r="F119" s="166">
        <v>0.14299999999999999</v>
      </c>
      <c r="G119" s="161">
        <v>0.75</v>
      </c>
      <c r="H119" s="162">
        <v>0</v>
      </c>
      <c r="I119" s="192">
        <v>0</v>
      </c>
      <c r="J119" s="160">
        <v>0</v>
      </c>
    </row>
    <row r="120" spans="1:10" ht="27" customHeight="1" x14ac:dyDescent="0.2">
      <c r="A120" s="28" t="s">
        <v>128</v>
      </c>
      <c r="B120" s="158">
        <v>97</v>
      </c>
      <c r="C120" s="52">
        <v>0</v>
      </c>
      <c r="D120" s="164">
        <v>0.71299999999999997</v>
      </c>
      <c r="E120" s="165">
        <v>0.20899999999999999</v>
      </c>
      <c r="F120" s="166">
        <v>0.14000000000000001</v>
      </c>
      <c r="G120" s="161">
        <v>2.0299999999999998</v>
      </c>
      <c r="H120" s="161">
        <v>0.23</v>
      </c>
      <c r="I120" s="167">
        <v>0.53</v>
      </c>
      <c r="J120" s="159">
        <v>2.1000000000000001E-2</v>
      </c>
    </row>
    <row r="121" spans="1:10" ht="27" customHeight="1" x14ac:dyDescent="0.2">
      <c r="A121" s="28" t="s">
        <v>129</v>
      </c>
      <c r="B121" s="158">
        <v>98</v>
      </c>
      <c r="C121" s="52">
        <v>0</v>
      </c>
      <c r="D121" s="164">
        <v>0.84899999999999998</v>
      </c>
      <c r="E121" s="165">
        <v>0.3</v>
      </c>
      <c r="F121" s="166">
        <v>0.23</v>
      </c>
      <c r="G121" s="161">
        <v>3.37</v>
      </c>
      <c r="H121" s="161">
        <v>0.53</v>
      </c>
      <c r="I121" s="167">
        <v>0.87</v>
      </c>
      <c r="J121" s="159">
        <v>2.1000000000000001E-2</v>
      </c>
    </row>
    <row r="122" spans="1:10" ht="27" customHeight="1" x14ac:dyDescent="0.2">
      <c r="A122" s="28" t="s">
        <v>130</v>
      </c>
      <c r="B122" s="158">
        <v>99</v>
      </c>
      <c r="C122" s="52">
        <v>0</v>
      </c>
      <c r="D122" s="164">
        <v>0.84099999999999997</v>
      </c>
      <c r="E122" s="165">
        <v>0.33800000000000002</v>
      </c>
      <c r="F122" s="166">
        <v>0.27800000000000002</v>
      </c>
      <c r="G122" s="161">
        <v>38.909999999999997</v>
      </c>
      <c r="H122" s="161">
        <v>0.62</v>
      </c>
      <c r="I122" s="167">
        <v>1.1100000000000001</v>
      </c>
      <c r="J122" s="159">
        <v>1.7000000000000001E-2</v>
      </c>
    </row>
    <row r="123" spans="1:10" ht="27" customHeight="1" x14ac:dyDescent="0.2">
      <c r="A123" s="28" t="s">
        <v>203</v>
      </c>
      <c r="B123" s="158">
        <v>187</v>
      </c>
      <c r="C123" s="52">
        <v>8</v>
      </c>
      <c r="D123" s="159">
        <v>0.252</v>
      </c>
      <c r="E123" s="160">
        <v>0</v>
      </c>
      <c r="F123" s="160">
        <v>0</v>
      </c>
      <c r="G123" s="162">
        <v>0</v>
      </c>
      <c r="H123" s="162">
        <v>0</v>
      </c>
      <c r="I123" s="193">
        <v>0</v>
      </c>
      <c r="J123" s="160">
        <v>0</v>
      </c>
    </row>
    <row r="124" spans="1:10" ht="27" customHeight="1" x14ac:dyDescent="0.2">
      <c r="A124" s="28" t="s">
        <v>204</v>
      </c>
      <c r="B124" s="158">
        <v>188</v>
      </c>
      <c r="C124" s="52">
        <v>1</v>
      </c>
      <c r="D124" s="159">
        <v>0.29099999999999998</v>
      </c>
      <c r="E124" s="160">
        <v>0</v>
      </c>
      <c r="F124" s="160">
        <v>0</v>
      </c>
      <c r="G124" s="162">
        <v>0</v>
      </c>
      <c r="H124" s="162">
        <v>0</v>
      </c>
      <c r="I124" s="193">
        <v>0</v>
      </c>
      <c r="J124" s="160">
        <v>0</v>
      </c>
    </row>
    <row r="125" spans="1:10" ht="27" customHeight="1" x14ac:dyDescent="0.2">
      <c r="A125" s="28" t="s">
        <v>205</v>
      </c>
      <c r="B125" s="158">
        <v>189</v>
      </c>
      <c r="C125" s="52">
        <v>1</v>
      </c>
      <c r="D125" s="159">
        <v>0.42299999999999999</v>
      </c>
      <c r="E125" s="160">
        <v>0</v>
      </c>
      <c r="F125" s="160">
        <v>0</v>
      </c>
      <c r="G125" s="162">
        <v>0</v>
      </c>
      <c r="H125" s="162">
        <v>0</v>
      </c>
      <c r="I125" s="193">
        <v>0</v>
      </c>
      <c r="J125" s="160">
        <v>0</v>
      </c>
    </row>
    <row r="126" spans="1:10" ht="27" customHeight="1" x14ac:dyDescent="0.2">
      <c r="A126" s="28" t="s">
        <v>206</v>
      </c>
      <c r="B126" s="158">
        <v>190</v>
      </c>
      <c r="C126" s="52">
        <v>1</v>
      </c>
      <c r="D126" s="159">
        <v>0.22500000000000001</v>
      </c>
      <c r="E126" s="160">
        <v>0</v>
      </c>
      <c r="F126" s="160">
        <v>0</v>
      </c>
      <c r="G126" s="162">
        <v>0</v>
      </c>
      <c r="H126" s="162">
        <v>0</v>
      </c>
      <c r="I126" s="193">
        <v>0</v>
      </c>
      <c r="J126" s="160">
        <v>0</v>
      </c>
    </row>
    <row r="127" spans="1:10" ht="27" customHeight="1" x14ac:dyDescent="0.2">
      <c r="A127" s="28" t="s">
        <v>131</v>
      </c>
      <c r="B127" s="158">
        <v>101</v>
      </c>
      <c r="C127" s="52">
        <v>0</v>
      </c>
      <c r="D127" s="168">
        <v>2.3460000000000001</v>
      </c>
      <c r="E127" s="169">
        <v>0.23200000000000001</v>
      </c>
      <c r="F127" s="166">
        <v>0.14199999999999999</v>
      </c>
      <c r="G127" s="162">
        <v>0</v>
      </c>
      <c r="H127" s="162">
        <v>0</v>
      </c>
      <c r="I127" s="192">
        <v>0</v>
      </c>
      <c r="J127" s="160">
        <v>0</v>
      </c>
    </row>
    <row r="128" spans="1:10" ht="27" customHeight="1" x14ac:dyDescent="0.2">
      <c r="A128" s="28" t="s">
        <v>576</v>
      </c>
      <c r="B128" s="158">
        <v>102</v>
      </c>
      <c r="C128" s="52">
        <v>8</v>
      </c>
      <c r="D128" s="159">
        <v>-0.14199999999999999</v>
      </c>
      <c r="E128" s="160">
        <v>0</v>
      </c>
      <c r="F128" s="160">
        <v>0</v>
      </c>
      <c r="G128" s="170">
        <v>0</v>
      </c>
      <c r="H128" s="162">
        <v>0</v>
      </c>
      <c r="I128" s="192">
        <v>0</v>
      </c>
      <c r="J128" s="160">
        <v>0</v>
      </c>
    </row>
    <row r="129" spans="1:10" ht="27" customHeight="1" x14ac:dyDescent="0.2">
      <c r="A129" s="28" t="s">
        <v>132</v>
      </c>
      <c r="B129" s="158">
        <v>103</v>
      </c>
      <c r="C129" s="52">
        <v>8</v>
      </c>
      <c r="D129" s="159">
        <v>-0.153</v>
      </c>
      <c r="E129" s="160">
        <v>0</v>
      </c>
      <c r="F129" s="160">
        <v>0</v>
      </c>
      <c r="G129" s="170">
        <v>0</v>
      </c>
      <c r="H129" s="162">
        <v>0</v>
      </c>
      <c r="I129" s="192">
        <v>0</v>
      </c>
      <c r="J129" s="160">
        <v>0</v>
      </c>
    </row>
    <row r="130" spans="1:10" ht="27" customHeight="1" x14ac:dyDescent="0.2">
      <c r="A130" s="28" t="s">
        <v>133</v>
      </c>
      <c r="B130" s="158">
        <v>104</v>
      </c>
      <c r="C130" s="52">
        <v>0</v>
      </c>
      <c r="D130" s="159">
        <v>-0.14199999999999999</v>
      </c>
      <c r="E130" s="160">
        <v>0</v>
      </c>
      <c r="F130" s="160">
        <v>0</v>
      </c>
      <c r="G130" s="170">
        <v>0</v>
      </c>
      <c r="H130" s="162">
        <v>0</v>
      </c>
      <c r="I130" s="192">
        <v>0</v>
      </c>
      <c r="J130" s="159">
        <v>0.03</v>
      </c>
    </row>
    <row r="131" spans="1:10" ht="27" customHeight="1" x14ac:dyDescent="0.2">
      <c r="A131" s="28" t="s">
        <v>134</v>
      </c>
      <c r="B131" s="158">
        <v>105</v>
      </c>
      <c r="C131" s="52">
        <v>0</v>
      </c>
      <c r="D131" s="164">
        <v>-0.94099999999999995</v>
      </c>
      <c r="E131" s="165">
        <v>-0.123</v>
      </c>
      <c r="F131" s="166">
        <v>-8.9999999999999993E-3</v>
      </c>
      <c r="G131" s="170">
        <v>0</v>
      </c>
      <c r="H131" s="162">
        <v>0</v>
      </c>
      <c r="I131" s="192">
        <v>0</v>
      </c>
      <c r="J131" s="159">
        <v>0.03</v>
      </c>
    </row>
    <row r="132" spans="1:10" ht="27" customHeight="1" x14ac:dyDescent="0.2">
      <c r="A132" s="28" t="s">
        <v>135</v>
      </c>
      <c r="B132" s="158">
        <v>106</v>
      </c>
      <c r="C132" s="52">
        <v>0</v>
      </c>
      <c r="D132" s="159">
        <v>-0.153</v>
      </c>
      <c r="E132" s="160">
        <v>0</v>
      </c>
      <c r="F132" s="160">
        <v>0</v>
      </c>
      <c r="G132" s="170">
        <v>0</v>
      </c>
      <c r="H132" s="162">
        <v>0</v>
      </c>
      <c r="I132" s="192">
        <v>0</v>
      </c>
      <c r="J132" s="159">
        <v>3.5000000000000003E-2</v>
      </c>
    </row>
    <row r="133" spans="1:10" ht="27" customHeight="1" x14ac:dyDescent="0.2">
      <c r="A133" s="28" t="s">
        <v>136</v>
      </c>
      <c r="B133" s="158">
        <v>107</v>
      </c>
      <c r="C133" s="52">
        <v>0</v>
      </c>
      <c r="D133" s="164">
        <v>-1.0169999999999999</v>
      </c>
      <c r="E133" s="165">
        <v>-0.13200000000000001</v>
      </c>
      <c r="F133" s="166">
        <v>-0.01</v>
      </c>
      <c r="G133" s="170">
        <v>0</v>
      </c>
      <c r="H133" s="162">
        <v>0</v>
      </c>
      <c r="I133" s="192">
        <v>0</v>
      </c>
      <c r="J133" s="159">
        <v>3.5000000000000003E-2</v>
      </c>
    </row>
    <row r="134" spans="1:10" ht="27" customHeight="1" x14ac:dyDescent="0.2">
      <c r="A134" s="28" t="s">
        <v>137</v>
      </c>
      <c r="B134" s="158">
        <v>108</v>
      </c>
      <c r="C134" s="52">
        <v>0</v>
      </c>
      <c r="D134" s="159">
        <v>-0.17399999999999999</v>
      </c>
      <c r="E134" s="160">
        <v>0</v>
      </c>
      <c r="F134" s="160">
        <v>0</v>
      </c>
      <c r="G134" s="161">
        <v>39.1</v>
      </c>
      <c r="H134" s="162">
        <v>0</v>
      </c>
      <c r="I134" s="192">
        <v>0</v>
      </c>
      <c r="J134" s="159">
        <v>4.8000000000000001E-2</v>
      </c>
    </row>
    <row r="135" spans="1:10" ht="27" customHeight="1" x14ac:dyDescent="0.2">
      <c r="A135" s="28" t="s">
        <v>138</v>
      </c>
      <c r="B135" s="158">
        <v>109</v>
      </c>
      <c r="C135" s="52">
        <v>0</v>
      </c>
      <c r="D135" s="164">
        <v>-1.173</v>
      </c>
      <c r="E135" s="165">
        <v>-0.14299999999999999</v>
      </c>
      <c r="F135" s="166">
        <v>-1.2E-2</v>
      </c>
      <c r="G135" s="161">
        <v>39.1</v>
      </c>
      <c r="H135" s="162">
        <v>0</v>
      </c>
      <c r="I135" s="192">
        <v>0</v>
      </c>
      <c r="J135" s="159">
        <v>4.8000000000000001E-2</v>
      </c>
    </row>
    <row r="136" spans="1:10" ht="27" customHeight="1" x14ac:dyDescent="0.2">
      <c r="A136" s="28" t="s">
        <v>139</v>
      </c>
      <c r="B136" s="158">
        <v>110</v>
      </c>
      <c r="C136" s="52">
        <v>1</v>
      </c>
      <c r="D136" s="159">
        <v>0.153</v>
      </c>
      <c r="E136" s="160">
        <v>0</v>
      </c>
      <c r="F136" s="160">
        <v>0</v>
      </c>
      <c r="G136" s="161">
        <v>0.36</v>
      </c>
      <c r="H136" s="162">
        <v>0</v>
      </c>
      <c r="I136" s="192">
        <v>0</v>
      </c>
      <c r="J136" s="160">
        <v>0</v>
      </c>
    </row>
    <row r="137" spans="1:10" ht="27" customHeight="1" x14ac:dyDescent="0.2">
      <c r="A137" s="28" t="s">
        <v>140</v>
      </c>
      <c r="B137" s="158">
        <v>111</v>
      </c>
      <c r="C137" s="52">
        <v>2</v>
      </c>
      <c r="D137" s="159">
        <v>0.17299999999999999</v>
      </c>
      <c r="E137" s="159">
        <v>7.2999999999999995E-2</v>
      </c>
      <c r="F137" s="160">
        <v>0</v>
      </c>
      <c r="G137" s="161">
        <v>0.36</v>
      </c>
      <c r="H137" s="162">
        <v>0</v>
      </c>
      <c r="I137" s="192">
        <v>0</v>
      </c>
      <c r="J137" s="160">
        <v>0</v>
      </c>
    </row>
    <row r="138" spans="1:10" ht="27" customHeight="1" x14ac:dyDescent="0.2">
      <c r="A138" s="28" t="s">
        <v>141</v>
      </c>
      <c r="B138" s="158">
        <v>112</v>
      </c>
      <c r="C138" s="52">
        <v>2</v>
      </c>
      <c r="D138" s="159">
        <v>8.1000000000000003E-2</v>
      </c>
      <c r="E138" s="160">
        <v>0</v>
      </c>
      <c r="F138" s="160">
        <v>0</v>
      </c>
      <c r="G138" s="162">
        <v>0</v>
      </c>
      <c r="H138" s="162">
        <v>0</v>
      </c>
      <c r="I138" s="192">
        <v>0</v>
      </c>
      <c r="J138" s="160">
        <v>0</v>
      </c>
    </row>
    <row r="139" spans="1:10" ht="27" customHeight="1" x14ac:dyDescent="0.2">
      <c r="A139" s="28" t="s">
        <v>142</v>
      </c>
      <c r="B139" s="158">
        <v>113</v>
      </c>
      <c r="C139" s="52">
        <v>3</v>
      </c>
      <c r="D139" s="159">
        <v>0.154</v>
      </c>
      <c r="E139" s="160">
        <v>0</v>
      </c>
      <c r="F139" s="160">
        <v>0</v>
      </c>
      <c r="G139" s="161">
        <v>0.38</v>
      </c>
      <c r="H139" s="162">
        <v>0</v>
      </c>
      <c r="I139" s="192">
        <v>0</v>
      </c>
      <c r="J139" s="160">
        <v>0</v>
      </c>
    </row>
    <row r="140" spans="1:10" ht="27" customHeight="1" x14ac:dyDescent="0.2">
      <c r="A140" s="28" t="s">
        <v>143</v>
      </c>
      <c r="B140" s="158">
        <v>114</v>
      </c>
      <c r="C140" s="52">
        <v>4</v>
      </c>
      <c r="D140" s="159">
        <v>0.16900000000000001</v>
      </c>
      <c r="E140" s="159">
        <v>7.5999999999999998E-2</v>
      </c>
      <c r="F140" s="160">
        <v>0</v>
      </c>
      <c r="G140" s="161">
        <v>0.38</v>
      </c>
      <c r="H140" s="162">
        <v>0</v>
      </c>
      <c r="I140" s="192">
        <v>0</v>
      </c>
      <c r="J140" s="160">
        <v>0</v>
      </c>
    </row>
    <row r="141" spans="1:10" ht="27" customHeight="1" x14ac:dyDescent="0.2">
      <c r="A141" s="28" t="s">
        <v>144</v>
      </c>
      <c r="B141" s="158">
        <v>115</v>
      </c>
      <c r="C141" s="52">
        <v>4</v>
      </c>
      <c r="D141" s="159">
        <v>8.5000000000000006E-2</v>
      </c>
      <c r="E141" s="160">
        <v>0</v>
      </c>
      <c r="F141" s="160">
        <v>0</v>
      </c>
      <c r="G141" s="162">
        <v>0</v>
      </c>
      <c r="H141" s="162">
        <v>0</v>
      </c>
      <c r="I141" s="192">
        <v>0</v>
      </c>
      <c r="J141" s="160">
        <v>0</v>
      </c>
    </row>
    <row r="142" spans="1:10" ht="27" customHeight="1" x14ac:dyDescent="0.2">
      <c r="A142" s="28" t="s">
        <v>145</v>
      </c>
      <c r="B142" s="158">
        <v>116</v>
      </c>
      <c r="C142" s="52" t="s">
        <v>18</v>
      </c>
      <c r="D142" s="159">
        <v>0.14799999999999999</v>
      </c>
      <c r="E142" s="159">
        <v>7.2999999999999995E-2</v>
      </c>
      <c r="F142" s="160">
        <v>0</v>
      </c>
      <c r="G142" s="161">
        <v>1.98</v>
      </c>
      <c r="H142" s="162">
        <v>0</v>
      </c>
      <c r="I142" s="192">
        <v>0</v>
      </c>
      <c r="J142" s="160">
        <v>0</v>
      </c>
    </row>
    <row r="143" spans="1:10" ht="27" customHeight="1" x14ac:dyDescent="0.2">
      <c r="A143" s="28" t="s">
        <v>146</v>
      </c>
      <c r="B143" s="158">
        <v>0</v>
      </c>
      <c r="C143" s="52" t="s">
        <v>18</v>
      </c>
      <c r="D143" s="159">
        <v>0.252</v>
      </c>
      <c r="E143" s="159">
        <v>0.124</v>
      </c>
      <c r="F143" s="160">
        <v>0</v>
      </c>
      <c r="G143" s="161">
        <v>3.28</v>
      </c>
      <c r="H143" s="162">
        <v>0</v>
      </c>
      <c r="I143" s="192">
        <v>0</v>
      </c>
      <c r="J143" s="160">
        <v>0</v>
      </c>
    </row>
    <row r="144" spans="1:10" ht="27" customHeight="1" x14ac:dyDescent="0.2">
      <c r="A144" s="28" t="s">
        <v>147</v>
      </c>
      <c r="B144" s="158">
        <v>0</v>
      </c>
      <c r="C144" s="52" t="s">
        <v>18</v>
      </c>
      <c r="D144" s="159">
        <v>0.216</v>
      </c>
      <c r="E144" s="159">
        <v>0.14399999999999999</v>
      </c>
      <c r="F144" s="160">
        <v>0</v>
      </c>
      <c r="G144" s="161">
        <v>37.18</v>
      </c>
      <c r="H144" s="162">
        <v>0</v>
      </c>
      <c r="I144" s="192">
        <v>0</v>
      </c>
      <c r="J144" s="160">
        <v>0</v>
      </c>
    </row>
    <row r="145" spans="1:10" ht="27" customHeight="1" x14ac:dyDescent="0.2">
      <c r="A145" s="28" t="s">
        <v>577</v>
      </c>
      <c r="B145" s="158">
        <v>215</v>
      </c>
      <c r="C145" s="52">
        <v>0</v>
      </c>
      <c r="D145" s="164">
        <v>0.49</v>
      </c>
      <c r="E145" s="165">
        <v>0.124</v>
      </c>
      <c r="F145" s="166">
        <v>7.1999999999999995E-2</v>
      </c>
      <c r="G145" s="161">
        <v>0.36</v>
      </c>
      <c r="H145" s="162">
        <v>0</v>
      </c>
      <c r="I145" s="192">
        <v>0</v>
      </c>
      <c r="J145" s="160">
        <v>0</v>
      </c>
    </row>
    <row r="146" spans="1:10" ht="27" customHeight="1" x14ac:dyDescent="0.2">
      <c r="A146" s="28" t="s">
        <v>578</v>
      </c>
      <c r="B146" s="158">
        <v>216</v>
      </c>
      <c r="C146" s="52">
        <v>0</v>
      </c>
      <c r="D146" s="164">
        <v>0.51400000000000001</v>
      </c>
      <c r="E146" s="165">
        <v>0.127</v>
      </c>
      <c r="F146" s="166">
        <v>7.2999999999999995E-2</v>
      </c>
      <c r="G146" s="161">
        <v>0.38</v>
      </c>
      <c r="H146" s="162">
        <v>0</v>
      </c>
      <c r="I146" s="192">
        <v>0</v>
      </c>
      <c r="J146" s="160">
        <v>0</v>
      </c>
    </row>
    <row r="147" spans="1:10" ht="27" customHeight="1" x14ac:dyDescent="0.2">
      <c r="A147" s="28" t="s">
        <v>148</v>
      </c>
      <c r="B147" s="158">
        <v>117</v>
      </c>
      <c r="C147" s="52">
        <v>0</v>
      </c>
      <c r="D147" s="164">
        <v>0.36199999999999999</v>
      </c>
      <c r="E147" s="165">
        <v>0.106</v>
      </c>
      <c r="F147" s="166">
        <v>7.0999999999999994E-2</v>
      </c>
      <c r="G147" s="161">
        <v>1.03</v>
      </c>
      <c r="H147" s="161">
        <v>0.11</v>
      </c>
      <c r="I147" s="167">
        <v>0.27</v>
      </c>
      <c r="J147" s="159">
        <v>1.0999999999999999E-2</v>
      </c>
    </row>
    <row r="148" spans="1:10" ht="27" customHeight="1" x14ac:dyDescent="0.2">
      <c r="A148" s="28" t="s">
        <v>149</v>
      </c>
      <c r="B148" s="158">
        <v>118</v>
      </c>
      <c r="C148" s="52">
        <v>0</v>
      </c>
      <c r="D148" s="164">
        <v>0.43099999999999999</v>
      </c>
      <c r="E148" s="165">
        <v>0.153</v>
      </c>
      <c r="F148" s="166">
        <v>0.11700000000000001</v>
      </c>
      <c r="G148" s="161">
        <v>1.71</v>
      </c>
      <c r="H148" s="161">
        <v>0.27</v>
      </c>
      <c r="I148" s="167">
        <v>0.44</v>
      </c>
      <c r="J148" s="159">
        <v>0.01</v>
      </c>
    </row>
    <row r="149" spans="1:10" ht="27" customHeight="1" x14ac:dyDescent="0.2">
      <c r="A149" s="28" t="s">
        <v>150</v>
      </c>
      <c r="B149" s="158">
        <v>119</v>
      </c>
      <c r="C149" s="52">
        <v>0</v>
      </c>
      <c r="D149" s="164">
        <v>0.42699999999999999</v>
      </c>
      <c r="E149" s="165">
        <v>0.17199999999999999</v>
      </c>
      <c r="F149" s="166">
        <v>0.14099999999999999</v>
      </c>
      <c r="G149" s="161">
        <v>19.760000000000002</v>
      </c>
      <c r="H149" s="161">
        <v>0.31</v>
      </c>
      <c r="I149" s="167">
        <v>0.56999999999999995</v>
      </c>
      <c r="J149" s="159">
        <v>8.9999999999999993E-3</v>
      </c>
    </row>
    <row r="150" spans="1:10" ht="27" customHeight="1" x14ac:dyDescent="0.2">
      <c r="A150" s="28" t="s">
        <v>207</v>
      </c>
      <c r="B150" s="158">
        <v>191</v>
      </c>
      <c r="C150" s="52">
        <v>8</v>
      </c>
      <c r="D150" s="159">
        <v>0.128</v>
      </c>
      <c r="E150" s="160">
        <v>0</v>
      </c>
      <c r="F150" s="160">
        <v>0</v>
      </c>
      <c r="G150" s="162">
        <v>0</v>
      </c>
      <c r="H150" s="162">
        <v>0</v>
      </c>
      <c r="I150" s="193">
        <v>0</v>
      </c>
      <c r="J150" s="160">
        <v>0</v>
      </c>
    </row>
    <row r="151" spans="1:10" ht="27" customHeight="1" x14ac:dyDescent="0.2">
      <c r="A151" s="28" t="s">
        <v>208</v>
      </c>
      <c r="B151" s="158">
        <v>192</v>
      </c>
      <c r="C151" s="52">
        <v>1</v>
      </c>
      <c r="D151" s="159">
        <v>0.14799999999999999</v>
      </c>
      <c r="E151" s="160">
        <v>0</v>
      </c>
      <c r="F151" s="160">
        <v>0</v>
      </c>
      <c r="G151" s="162">
        <v>0</v>
      </c>
      <c r="H151" s="162">
        <v>0</v>
      </c>
      <c r="I151" s="193">
        <v>0</v>
      </c>
      <c r="J151" s="160">
        <v>0</v>
      </c>
    </row>
    <row r="152" spans="1:10" ht="27" customHeight="1" x14ac:dyDescent="0.2">
      <c r="A152" s="28" t="s">
        <v>209</v>
      </c>
      <c r="B152" s="158">
        <v>193</v>
      </c>
      <c r="C152" s="52">
        <v>1</v>
      </c>
      <c r="D152" s="159">
        <v>0.215</v>
      </c>
      <c r="E152" s="160">
        <v>0</v>
      </c>
      <c r="F152" s="160">
        <v>0</v>
      </c>
      <c r="G152" s="162">
        <v>0</v>
      </c>
      <c r="H152" s="162">
        <v>0</v>
      </c>
      <c r="I152" s="192">
        <v>0</v>
      </c>
      <c r="J152" s="160">
        <v>0</v>
      </c>
    </row>
    <row r="153" spans="1:10" ht="27" customHeight="1" x14ac:dyDescent="0.2">
      <c r="A153" s="28" t="s">
        <v>210</v>
      </c>
      <c r="B153" s="158">
        <v>194</v>
      </c>
      <c r="C153" s="52">
        <v>1</v>
      </c>
      <c r="D153" s="159">
        <v>0.114</v>
      </c>
      <c r="E153" s="160">
        <v>0</v>
      </c>
      <c r="F153" s="160">
        <v>0</v>
      </c>
      <c r="G153" s="162">
        <v>0</v>
      </c>
      <c r="H153" s="162">
        <v>0</v>
      </c>
      <c r="I153" s="192">
        <v>0</v>
      </c>
      <c r="J153" s="160">
        <v>0</v>
      </c>
    </row>
    <row r="154" spans="1:10" ht="27" customHeight="1" x14ac:dyDescent="0.2">
      <c r="A154" s="28" t="s">
        <v>151</v>
      </c>
      <c r="B154" s="158">
        <v>121</v>
      </c>
      <c r="C154" s="52">
        <v>0</v>
      </c>
      <c r="D154" s="168">
        <v>1.1919999999999999</v>
      </c>
      <c r="E154" s="169">
        <v>0.11799999999999999</v>
      </c>
      <c r="F154" s="166">
        <v>7.1999999999999995E-2</v>
      </c>
      <c r="G154" s="162">
        <v>0</v>
      </c>
      <c r="H154" s="162">
        <v>0</v>
      </c>
      <c r="I154" s="192">
        <v>0</v>
      </c>
      <c r="J154" s="160">
        <v>0</v>
      </c>
    </row>
    <row r="155" spans="1:10" ht="27" customHeight="1" x14ac:dyDescent="0.2">
      <c r="A155" s="28" t="s">
        <v>579</v>
      </c>
      <c r="B155" s="158">
        <v>122</v>
      </c>
      <c r="C155" s="52">
        <v>8</v>
      </c>
      <c r="D155" s="159">
        <v>-7.1999999999999995E-2</v>
      </c>
      <c r="E155" s="160">
        <v>0</v>
      </c>
      <c r="F155" s="160">
        <v>0</v>
      </c>
      <c r="G155" s="170">
        <v>0</v>
      </c>
      <c r="H155" s="162">
        <v>0</v>
      </c>
      <c r="I155" s="192">
        <v>0</v>
      </c>
      <c r="J155" s="160">
        <v>0</v>
      </c>
    </row>
    <row r="156" spans="1:10" ht="27" customHeight="1" x14ac:dyDescent="0.2">
      <c r="A156" s="28" t="s">
        <v>152</v>
      </c>
      <c r="B156" s="158">
        <v>123</v>
      </c>
      <c r="C156" s="52">
        <v>8</v>
      </c>
      <c r="D156" s="159">
        <v>-7.8E-2</v>
      </c>
      <c r="E156" s="160">
        <v>0</v>
      </c>
      <c r="F156" s="160">
        <v>0</v>
      </c>
      <c r="G156" s="170">
        <v>0</v>
      </c>
      <c r="H156" s="162">
        <v>0</v>
      </c>
      <c r="I156" s="192">
        <v>0</v>
      </c>
      <c r="J156" s="160">
        <v>0</v>
      </c>
    </row>
    <row r="157" spans="1:10" ht="27" customHeight="1" x14ac:dyDescent="0.2">
      <c r="A157" s="28" t="s">
        <v>153</v>
      </c>
      <c r="B157" s="158">
        <v>124</v>
      </c>
      <c r="C157" s="52">
        <v>0</v>
      </c>
      <c r="D157" s="159">
        <v>-7.1999999999999995E-2</v>
      </c>
      <c r="E157" s="160">
        <v>0</v>
      </c>
      <c r="F157" s="160">
        <v>0</v>
      </c>
      <c r="G157" s="170">
        <v>0</v>
      </c>
      <c r="H157" s="162">
        <v>0</v>
      </c>
      <c r="I157" s="192">
        <v>0</v>
      </c>
      <c r="J157" s="159">
        <v>1.4999999999999999E-2</v>
      </c>
    </row>
    <row r="158" spans="1:10" ht="27" customHeight="1" x14ac:dyDescent="0.2">
      <c r="A158" s="28" t="s">
        <v>154</v>
      </c>
      <c r="B158" s="158">
        <v>125</v>
      </c>
      <c r="C158" s="52">
        <v>0</v>
      </c>
      <c r="D158" s="164">
        <v>-0.47799999999999998</v>
      </c>
      <c r="E158" s="165">
        <v>-6.3E-2</v>
      </c>
      <c r="F158" s="166">
        <v>-5.0000000000000001E-3</v>
      </c>
      <c r="G158" s="170">
        <v>0</v>
      </c>
      <c r="H158" s="162">
        <v>0</v>
      </c>
      <c r="I158" s="192">
        <v>0</v>
      </c>
      <c r="J158" s="159">
        <v>1.4999999999999999E-2</v>
      </c>
    </row>
    <row r="159" spans="1:10" ht="27" customHeight="1" x14ac:dyDescent="0.2">
      <c r="A159" s="28" t="s">
        <v>155</v>
      </c>
      <c r="B159" s="158">
        <v>126</v>
      </c>
      <c r="C159" s="52">
        <v>0</v>
      </c>
      <c r="D159" s="159">
        <v>-7.8E-2</v>
      </c>
      <c r="E159" s="160">
        <v>0</v>
      </c>
      <c r="F159" s="160">
        <v>0</v>
      </c>
      <c r="G159" s="170">
        <v>0</v>
      </c>
      <c r="H159" s="162">
        <v>0</v>
      </c>
      <c r="I159" s="192">
        <v>0</v>
      </c>
      <c r="J159" s="159">
        <v>1.7999999999999999E-2</v>
      </c>
    </row>
    <row r="160" spans="1:10" ht="27" customHeight="1" x14ac:dyDescent="0.2">
      <c r="A160" s="28" t="s">
        <v>156</v>
      </c>
      <c r="B160" s="158">
        <v>127</v>
      </c>
      <c r="C160" s="52">
        <v>0</v>
      </c>
      <c r="D160" s="164">
        <v>-0.51600000000000001</v>
      </c>
      <c r="E160" s="165">
        <v>-6.7000000000000004E-2</v>
      </c>
      <c r="F160" s="166">
        <v>-5.0000000000000001E-3</v>
      </c>
      <c r="G160" s="170">
        <v>0</v>
      </c>
      <c r="H160" s="162">
        <v>0</v>
      </c>
      <c r="I160" s="192">
        <v>0</v>
      </c>
      <c r="J160" s="159">
        <v>1.7999999999999999E-2</v>
      </c>
    </row>
    <row r="161" spans="1:10" ht="27" customHeight="1" x14ac:dyDescent="0.2">
      <c r="A161" s="28" t="s">
        <v>157</v>
      </c>
      <c r="B161" s="158">
        <v>128</v>
      </c>
      <c r="C161" s="52">
        <v>0</v>
      </c>
      <c r="D161" s="159">
        <v>-8.8999999999999996E-2</v>
      </c>
      <c r="E161" s="160">
        <v>0</v>
      </c>
      <c r="F161" s="160">
        <v>0</v>
      </c>
      <c r="G161" s="161">
        <v>19.850000000000001</v>
      </c>
      <c r="H161" s="162">
        <v>0</v>
      </c>
      <c r="I161" s="192">
        <v>0</v>
      </c>
      <c r="J161" s="159">
        <v>2.4E-2</v>
      </c>
    </row>
    <row r="162" spans="1:10" ht="27" customHeight="1" x14ac:dyDescent="0.2">
      <c r="A162" s="28" t="s">
        <v>158</v>
      </c>
      <c r="B162" s="158">
        <v>129</v>
      </c>
      <c r="C162" s="52">
        <v>0</v>
      </c>
      <c r="D162" s="164">
        <v>-0.59599999999999997</v>
      </c>
      <c r="E162" s="165">
        <v>-7.2999999999999995E-2</v>
      </c>
      <c r="F162" s="166">
        <v>-6.0000000000000001E-3</v>
      </c>
      <c r="G162" s="161">
        <v>19.850000000000001</v>
      </c>
      <c r="H162" s="162">
        <v>0</v>
      </c>
      <c r="I162" s="192">
        <v>0</v>
      </c>
      <c r="J162" s="159">
        <v>2.4E-2</v>
      </c>
    </row>
    <row r="163" spans="1:10" ht="27" customHeight="1" x14ac:dyDescent="0.2">
      <c r="A163" s="28" t="s">
        <v>159</v>
      </c>
      <c r="B163" s="158">
        <v>130</v>
      </c>
      <c r="C163" s="52">
        <v>1</v>
      </c>
      <c r="D163" s="159">
        <v>4.8000000000000001E-2</v>
      </c>
      <c r="E163" s="160">
        <v>0</v>
      </c>
      <c r="F163" s="160">
        <v>0</v>
      </c>
      <c r="G163" s="161">
        <v>0.11</v>
      </c>
      <c r="H163" s="162">
        <v>0</v>
      </c>
      <c r="I163" s="192">
        <v>0</v>
      </c>
      <c r="J163" s="160">
        <v>0</v>
      </c>
    </row>
    <row r="164" spans="1:10" ht="27" customHeight="1" x14ac:dyDescent="0.2">
      <c r="A164" s="28" t="s">
        <v>160</v>
      </c>
      <c r="B164" s="158">
        <v>131</v>
      </c>
      <c r="C164" s="52">
        <v>2</v>
      </c>
      <c r="D164" s="159">
        <v>5.3999999999999999E-2</v>
      </c>
      <c r="E164" s="159">
        <v>2.3E-2</v>
      </c>
      <c r="F164" s="160">
        <v>0</v>
      </c>
      <c r="G164" s="161">
        <v>0.11</v>
      </c>
      <c r="H164" s="162">
        <v>0</v>
      </c>
      <c r="I164" s="192">
        <v>0</v>
      </c>
      <c r="J164" s="160">
        <v>0</v>
      </c>
    </row>
    <row r="165" spans="1:10" ht="27" customHeight="1" x14ac:dyDescent="0.2">
      <c r="A165" s="28" t="s">
        <v>161</v>
      </c>
      <c r="B165" s="158">
        <v>132</v>
      </c>
      <c r="C165" s="52">
        <v>2</v>
      </c>
      <c r="D165" s="159">
        <v>2.5000000000000001E-2</v>
      </c>
      <c r="E165" s="160">
        <v>0</v>
      </c>
      <c r="F165" s="160">
        <v>0</v>
      </c>
      <c r="G165" s="162">
        <v>0</v>
      </c>
      <c r="H165" s="162">
        <v>0</v>
      </c>
      <c r="I165" s="192">
        <v>0</v>
      </c>
      <c r="J165" s="160">
        <v>0</v>
      </c>
    </row>
    <row r="166" spans="1:10" ht="27" customHeight="1" x14ac:dyDescent="0.2">
      <c r="A166" s="28" t="s">
        <v>162</v>
      </c>
      <c r="B166" s="158">
        <v>133</v>
      </c>
      <c r="C166" s="52">
        <v>3</v>
      </c>
      <c r="D166" s="159">
        <v>4.8000000000000001E-2</v>
      </c>
      <c r="E166" s="160">
        <v>0</v>
      </c>
      <c r="F166" s="160">
        <v>0</v>
      </c>
      <c r="G166" s="161">
        <v>0.12</v>
      </c>
      <c r="H166" s="162">
        <v>0</v>
      </c>
      <c r="I166" s="192">
        <v>0</v>
      </c>
      <c r="J166" s="160">
        <v>0</v>
      </c>
    </row>
    <row r="167" spans="1:10" ht="27" customHeight="1" x14ac:dyDescent="0.2">
      <c r="A167" s="28" t="s">
        <v>163</v>
      </c>
      <c r="B167" s="158">
        <v>134</v>
      </c>
      <c r="C167" s="52">
        <v>4</v>
      </c>
      <c r="D167" s="159">
        <v>5.2999999999999999E-2</v>
      </c>
      <c r="E167" s="159">
        <v>2.4E-2</v>
      </c>
      <c r="F167" s="160">
        <v>0</v>
      </c>
      <c r="G167" s="161">
        <v>0.12</v>
      </c>
      <c r="H167" s="162">
        <v>0</v>
      </c>
      <c r="I167" s="192">
        <v>0</v>
      </c>
      <c r="J167" s="160">
        <v>0</v>
      </c>
    </row>
    <row r="168" spans="1:10" ht="27" customHeight="1" x14ac:dyDescent="0.2">
      <c r="A168" s="28" t="s">
        <v>164</v>
      </c>
      <c r="B168" s="158">
        <v>135</v>
      </c>
      <c r="C168" s="52">
        <v>4</v>
      </c>
      <c r="D168" s="159">
        <v>2.7E-2</v>
      </c>
      <c r="E168" s="160">
        <v>0</v>
      </c>
      <c r="F168" s="160">
        <v>0</v>
      </c>
      <c r="G168" s="162">
        <v>0</v>
      </c>
      <c r="H168" s="162">
        <v>0</v>
      </c>
      <c r="I168" s="192">
        <v>0</v>
      </c>
      <c r="J168" s="160">
        <v>0</v>
      </c>
    </row>
    <row r="169" spans="1:10" ht="27" customHeight="1" x14ac:dyDescent="0.2">
      <c r="A169" s="28" t="s">
        <v>165</v>
      </c>
      <c r="B169" s="158">
        <v>136</v>
      </c>
      <c r="C169" s="52" t="s">
        <v>18</v>
      </c>
      <c r="D169" s="159">
        <v>4.5999999999999999E-2</v>
      </c>
      <c r="E169" s="159">
        <v>2.3E-2</v>
      </c>
      <c r="F169" s="160">
        <v>0</v>
      </c>
      <c r="G169" s="161">
        <v>0.62</v>
      </c>
      <c r="H169" s="162">
        <v>0</v>
      </c>
      <c r="I169" s="192">
        <v>0</v>
      </c>
      <c r="J169" s="160">
        <v>0</v>
      </c>
    </row>
    <row r="170" spans="1:10" ht="27" customHeight="1" x14ac:dyDescent="0.2">
      <c r="A170" s="28" t="s">
        <v>166</v>
      </c>
      <c r="B170" s="158">
        <v>0</v>
      </c>
      <c r="C170" s="52" t="s">
        <v>18</v>
      </c>
      <c r="D170" s="159">
        <v>7.9000000000000001E-2</v>
      </c>
      <c r="E170" s="159">
        <v>3.9E-2</v>
      </c>
      <c r="F170" s="160">
        <v>0</v>
      </c>
      <c r="G170" s="161">
        <v>1.03</v>
      </c>
      <c r="H170" s="162">
        <v>0</v>
      </c>
      <c r="I170" s="192">
        <v>0</v>
      </c>
      <c r="J170" s="160">
        <v>0</v>
      </c>
    </row>
    <row r="171" spans="1:10" ht="27" customHeight="1" x14ac:dyDescent="0.2">
      <c r="A171" s="28" t="s">
        <v>167</v>
      </c>
      <c r="B171" s="158">
        <v>0</v>
      </c>
      <c r="C171" s="52" t="s">
        <v>18</v>
      </c>
      <c r="D171" s="159">
        <v>6.8000000000000005E-2</v>
      </c>
      <c r="E171" s="159">
        <v>4.4999999999999998E-2</v>
      </c>
      <c r="F171" s="160">
        <v>0</v>
      </c>
      <c r="G171" s="161">
        <v>11.64</v>
      </c>
      <c r="H171" s="162">
        <v>0</v>
      </c>
      <c r="I171" s="192">
        <v>0</v>
      </c>
      <c r="J171" s="160">
        <v>0</v>
      </c>
    </row>
    <row r="172" spans="1:10" ht="27" customHeight="1" x14ac:dyDescent="0.2">
      <c r="A172" s="28" t="s">
        <v>580</v>
      </c>
      <c r="B172" s="158">
        <v>217</v>
      </c>
      <c r="C172" s="52">
        <v>0</v>
      </c>
      <c r="D172" s="164">
        <v>0.154</v>
      </c>
      <c r="E172" s="165">
        <v>3.9E-2</v>
      </c>
      <c r="F172" s="166">
        <v>2.3E-2</v>
      </c>
      <c r="G172" s="161">
        <v>0.11</v>
      </c>
      <c r="H172" s="162">
        <v>0</v>
      </c>
      <c r="I172" s="192">
        <v>0</v>
      </c>
      <c r="J172" s="160">
        <v>0</v>
      </c>
    </row>
    <row r="173" spans="1:10" ht="27" customHeight="1" x14ac:dyDescent="0.2">
      <c r="A173" s="28" t="s">
        <v>581</v>
      </c>
      <c r="B173" s="158">
        <v>218</v>
      </c>
      <c r="C173" s="52">
        <v>0</v>
      </c>
      <c r="D173" s="164">
        <v>0.161</v>
      </c>
      <c r="E173" s="165">
        <v>0.04</v>
      </c>
      <c r="F173" s="166">
        <v>2.3E-2</v>
      </c>
      <c r="G173" s="161">
        <v>0.12</v>
      </c>
      <c r="H173" s="162">
        <v>0</v>
      </c>
      <c r="I173" s="192">
        <v>0</v>
      </c>
      <c r="J173" s="160">
        <v>0</v>
      </c>
    </row>
    <row r="174" spans="1:10" ht="27" customHeight="1" x14ac:dyDescent="0.2">
      <c r="A174" s="28" t="s">
        <v>168</v>
      </c>
      <c r="B174" s="158">
        <v>137</v>
      </c>
      <c r="C174" s="52">
        <v>0</v>
      </c>
      <c r="D174" s="164">
        <v>0.113</v>
      </c>
      <c r="E174" s="165">
        <v>3.3000000000000002E-2</v>
      </c>
      <c r="F174" s="166">
        <v>2.1999999999999999E-2</v>
      </c>
      <c r="G174" s="161">
        <v>0.32</v>
      </c>
      <c r="H174" s="161">
        <v>0.04</v>
      </c>
      <c r="I174" s="167">
        <v>0.08</v>
      </c>
      <c r="J174" s="159">
        <v>3.0000000000000001E-3</v>
      </c>
    </row>
    <row r="175" spans="1:10" ht="27" customHeight="1" x14ac:dyDescent="0.2">
      <c r="A175" s="28" t="s">
        <v>169</v>
      </c>
      <c r="B175" s="158">
        <v>138</v>
      </c>
      <c r="C175" s="52">
        <v>0</v>
      </c>
      <c r="D175" s="164">
        <v>0.13500000000000001</v>
      </c>
      <c r="E175" s="165">
        <v>4.8000000000000001E-2</v>
      </c>
      <c r="F175" s="166">
        <v>3.6999999999999998E-2</v>
      </c>
      <c r="G175" s="161">
        <v>0.54</v>
      </c>
      <c r="H175" s="161">
        <v>0.08</v>
      </c>
      <c r="I175" s="167">
        <v>0.14000000000000001</v>
      </c>
      <c r="J175" s="159">
        <v>3.0000000000000001E-3</v>
      </c>
    </row>
    <row r="176" spans="1:10" ht="27.75" customHeight="1" x14ac:dyDescent="0.2">
      <c r="A176" s="28" t="s">
        <v>170</v>
      </c>
      <c r="B176" s="158">
        <v>139</v>
      </c>
      <c r="C176" s="52">
        <v>0</v>
      </c>
      <c r="D176" s="164">
        <v>0.13400000000000001</v>
      </c>
      <c r="E176" s="165">
        <v>5.3999999999999999E-2</v>
      </c>
      <c r="F176" s="166">
        <v>4.3999999999999997E-2</v>
      </c>
      <c r="G176" s="161">
        <v>6.19</v>
      </c>
      <c r="H176" s="161">
        <v>0.1</v>
      </c>
      <c r="I176" s="167">
        <v>0.18</v>
      </c>
      <c r="J176" s="159">
        <v>3.0000000000000001E-3</v>
      </c>
    </row>
    <row r="177" spans="1:10" ht="27.75" customHeight="1" x14ac:dyDescent="0.2">
      <c r="A177" s="28" t="s">
        <v>211</v>
      </c>
      <c r="B177" s="158">
        <v>195</v>
      </c>
      <c r="C177" s="52">
        <v>8</v>
      </c>
      <c r="D177" s="159">
        <v>0.04</v>
      </c>
      <c r="E177" s="160">
        <v>0</v>
      </c>
      <c r="F177" s="160">
        <v>0</v>
      </c>
      <c r="G177" s="162">
        <v>0</v>
      </c>
      <c r="H177" s="162">
        <v>0</v>
      </c>
      <c r="I177" s="193">
        <v>0</v>
      </c>
      <c r="J177" s="160">
        <v>0</v>
      </c>
    </row>
    <row r="178" spans="1:10" ht="27.75" customHeight="1" x14ac:dyDescent="0.2">
      <c r="A178" s="28" t="s">
        <v>212</v>
      </c>
      <c r="B178" s="158">
        <v>196</v>
      </c>
      <c r="C178" s="52">
        <v>1</v>
      </c>
      <c r="D178" s="159">
        <v>4.5999999999999999E-2</v>
      </c>
      <c r="E178" s="160">
        <v>0</v>
      </c>
      <c r="F178" s="160">
        <v>0</v>
      </c>
      <c r="G178" s="162">
        <v>0</v>
      </c>
      <c r="H178" s="162">
        <v>0</v>
      </c>
      <c r="I178" s="193">
        <v>0</v>
      </c>
      <c r="J178" s="160">
        <v>0</v>
      </c>
    </row>
    <row r="179" spans="1:10" ht="27.75" customHeight="1" x14ac:dyDescent="0.2">
      <c r="A179" s="28" t="s">
        <v>213</v>
      </c>
      <c r="B179" s="158">
        <v>197</v>
      </c>
      <c r="C179" s="52">
        <v>1</v>
      </c>
      <c r="D179" s="159">
        <v>6.7000000000000004E-2</v>
      </c>
      <c r="E179" s="160">
        <v>0</v>
      </c>
      <c r="F179" s="160">
        <v>0</v>
      </c>
      <c r="G179" s="162">
        <v>0</v>
      </c>
      <c r="H179" s="162">
        <v>0</v>
      </c>
      <c r="I179" s="192">
        <v>0</v>
      </c>
      <c r="J179" s="160">
        <v>0</v>
      </c>
    </row>
    <row r="180" spans="1:10" ht="27.75" customHeight="1" x14ac:dyDescent="0.2">
      <c r="A180" s="28" t="s">
        <v>214</v>
      </c>
      <c r="B180" s="158">
        <v>198</v>
      </c>
      <c r="C180" s="52">
        <v>1</v>
      </c>
      <c r="D180" s="159">
        <v>3.5999999999999997E-2</v>
      </c>
      <c r="E180" s="160">
        <v>0</v>
      </c>
      <c r="F180" s="160">
        <v>0</v>
      </c>
      <c r="G180" s="162">
        <v>0</v>
      </c>
      <c r="H180" s="162">
        <v>0</v>
      </c>
      <c r="I180" s="192">
        <v>0</v>
      </c>
      <c r="J180" s="160">
        <v>0</v>
      </c>
    </row>
    <row r="181" spans="1:10" ht="27.75" customHeight="1" x14ac:dyDescent="0.2">
      <c r="A181" s="28" t="s">
        <v>171</v>
      </c>
      <c r="B181" s="158">
        <v>141</v>
      </c>
      <c r="C181" s="52">
        <v>0</v>
      </c>
      <c r="D181" s="168">
        <v>0.373</v>
      </c>
      <c r="E181" s="169">
        <v>3.6999999999999998E-2</v>
      </c>
      <c r="F181" s="166">
        <v>2.3E-2</v>
      </c>
      <c r="G181" s="162">
        <v>0</v>
      </c>
      <c r="H181" s="162">
        <v>0</v>
      </c>
      <c r="I181" s="192">
        <v>0</v>
      </c>
      <c r="J181" s="160">
        <v>0</v>
      </c>
    </row>
    <row r="182" spans="1:10" ht="27.75" customHeight="1" x14ac:dyDescent="0.2">
      <c r="A182" s="28" t="s">
        <v>582</v>
      </c>
      <c r="B182" s="158">
        <v>142</v>
      </c>
      <c r="C182" s="52">
        <v>8</v>
      </c>
      <c r="D182" s="159">
        <v>-2.3E-2</v>
      </c>
      <c r="E182" s="160">
        <v>0</v>
      </c>
      <c r="F182" s="160">
        <v>0</v>
      </c>
      <c r="G182" s="170">
        <v>0</v>
      </c>
      <c r="H182" s="162">
        <v>0</v>
      </c>
      <c r="I182" s="192">
        <v>0</v>
      </c>
      <c r="J182" s="160">
        <v>0</v>
      </c>
    </row>
    <row r="183" spans="1:10" ht="27.75" customHeight="1" x14ac:dyDescent="0.2">
      <c r="A183" s="28" t="s">
        <v>172</v>
      </c>
      <c r="B183" s="158">
        <v>143</v>
      </c>
      <c r="C183" s="52">
        <v>8</v>
      </c>
      <c r="D183" s="159">
        <v>-2.4E-2</v>
      </c>
      <c r="E183" s="160">
        <v>0</v>
      </c>
      <c r="F183" s="160">
        <v>0</v>
      </c>
      <c r="G183" s="170">
        <v>0</v>
      </c>
      <c r="H183" s="162">
        <v>0</v>
      </c>
      <c r="I183" s="192">
        <v>0</v>
      </c>
      <c r="J183" s="160">
        <v>0</v>
      </c>
    </row>
    <row r="184" spans="1:10" ht="27.75" customHeight="1" x14ac:dyDescent="0.2">
      <c r="A184" s="28" t="s">
        <v>173</v>
      </c>
      <c r="B184" s="158">
        <v>144</v>
      </c>
      <c r="C184" s="52">
        <v>0</v>
      </c>
      <c r="D184" s="159">
        <v>-2.3E-2</v>
      </c>
      <c r="E184" s="160">
        <v>0</v>
      </c>
      <c r="F184" s="160">
        <v>0</v>
      </c>
      <c r="G184" s="170">
        <v>0</v>
      </c>
      <c r="H184" s="162">
        <v>0</v>
      </c>
      <c r="I184" s="192">
        <v>0</v>
      </c>
      <c r="J184" s="159">
        <v>5.0000000000000001E-3</v>
      </c>
    </row>
    <row r="185" spans="1:10" ht="27.75" customHeight="1" x14ac:dyDescent="0.2">
      <c r="A185" s="28" t="s">
        <v>174</v>
      </c>
      <c r="B185" s="158">
        <v>145</v>
      </c>
      <c r="C185" s="52">
        <v>0</v>
      </c>
      <c r="D185" s="164">
        <v>-0.15</v>
      </c>
      <c r="E185" s="165">
        <v>-0.02</v>
      </c>
      <c r="F185" s="166">
        <v>-1E-3</v>
      </c>
      <c r="G185" s="170">
        <v>0</v>
      </c>
      <c r="H185" s="162">
        <v>0</v>
      </c>
      <c r="I185" s="192">
        <v>0</v>
      </c>
      <c r="J185" s="159">
        <v>5.0000000000000001E-3</v>
      </c>
    </row>
    <row r="186" spans="1:10" ht="27.75" customHeight="1" x14ac:dyDescent="0.2">
      <c r="A186" s="28" t="s">
        <v>175</v>
      </c>
      <c r="B186" s="158">
        <v>146</v>
      </c>
      <c r="C186" s="52">
        <v>0</v>
      </c>
      <c r="D186" s="159">
        <v>-2.4E-2</v>
      </c>
      <c r="E186" s="160">
        <v>0</v>
      </c>
      <c r="F186" s="160">
        <v>0</v>
      </c>
      <c r="G186" s="170">
        <v>0</v>
      </c>
      <c r="H186" s="162">
        <v>0</v>
      </c>
      <c r="I186" s="192">
        <v>0</v>
      </c>
      <c r="J186" s="159">
        <v>5.0000000000000001E-3</v>
      </c>
    </row>
    <row r="187" spans="1:10" ht="27.75" customHeight="1" x14ac:dyDescent="0.2">
      <c r="A187" s="28" t="s">
        <v>176</v>
      </c>
      <c r="B187" s="158">
        <v>147</v>
      </c>
      <c r="C187" s="52">
        <v>0</v>
      </c>
      <c r="D187" s="164">
        <v>-0.16200000000000001</v>
      </c>
      <c r="E187" s="165">
        <v>-2.1000000000000001E-2</v>
      </c>
      <c r="F187" s="166">
        <v>-2E-3</v>
      </c>
      <c r="G187" s="170">
        <v>0</v>
      </c>
      <c r="H187" s="162">
        <v>0</v>
      </c>
      <c r="I187" s="192">
        <v>0</v>
      </c>
      <c r="J187" s="159">
        <v>5.0000000000000001E-3</v>
      </c>
    </row>
    <row r="188" spans="1:10" ht="27.75" customHeight="1" x14ac:dyDescent="0.2">
      <c r="A188" s="28" t="s">
        <v>177</v>
      </c>
      <c r="B188" s="158">
        <v>148</v>
      </c>
      <c r="C188" s="52">
        <v>0</v>
      </c>
      <c r="D188" s="159">
        <v>-2.8000000000000001E-2</v>
      </c>
      <c r="E188" s="160">
        <v>0</v>
      </c>
      <c r="F188" s="160">
        <v>0</v>
      </c>
      <c r="G188" s="161">
        <v>6.22</v>
      </c>
      <c r="H188" s="162">
        <v>0</v>
      </c>
      <c r="I188" s="192">
        <v>0</v>
      </c>
      <c r="J188" s="159">
        <v>8.0000000000000002E-3</v>
      </c>
    </row>
    <row r="189" spans="1:10" ht="27.75" customHeight="1" x14ac:dyDescent="0.2">
      <c r="A189" s="28" t="s">
        <v>178</v>
      </c>
      <c r="B189" s="158">
        <v>149</v>
      </c>
      <c r="C189" s="52">
        <v>0</v>
      </c>
      <c r="D189" s="164">
        <v>-0.187</v>
      </c>
      <c r="E189" s="165">
        <v>-2.3E-2</v>
      </c>
      <c r="F189" s="166">
        <v>-2E-3</v>
      </c>
      <c r="G189" s="161">
        <v>6.22</v>
      </c>
      <c r="H189" s="162">
        <v>0</v>
      </c>
      <c r="I189" s="192">
        <v>0</v>
      </c>
      <c r="J189" s="159">
        <v>8.0000000000000002E-3</v>
      </c>
    </row>
  </sheetData>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0">
    <mergeCell ref="A2:J2"/>
    <mergeCell ref="F4:J4"/>
    <mergeCell ref="F5:G5"/>
    <mergeCell ref="F9:G9"/>
    <mergeCell ref="H9:J9"/>
    <mergeCell ref="B8:D8"/>
    <mergeCell ref="A4:D4"/>
    <mergeCell ref="F6:G6"/>
    <mergeCell ref="F7:G7"/>
    <mergeCell ref="F8:G8"/>
  </mergeCells>
  <phoneticPr fontId="4" type="noConversion"/>
  <hyperlinks>
    <hyperlink ref="A1" location="Overview!A1" display="Back to Overview" xr:uid="{00000000-0004-0000-0600-000000000000}"/>
  </hyperlinks>
  <pageMargins left="0.39370078740157483" right="0.39370078740157483" top="0.9055118110236221" bottom="0.74803149606299213" header="0.51181102362204722" footer="0.51181102362204722"/>
  <pageSetup paperSize="9" scale="44" fitToHeight="0" orientation="portrait" r:id="rId2"/>
  <headerFooter differentFirst="1" scaleWithDoc="0">
    <oddHeader>&amp;L&amp;"Trebuchet MS,Regular"
&amp;"Trebuchet MS,Bold"Annex 4&amp;"Trebuchet MS,Regular" - Charges applied to LDNOs with HV/LV end users</oddHeader>
    <firstHeader>&amp;L&amp;"Trebuchet MS,Bold"
Annex 4&amp;"Trebuchet MS,Regular" - Charges applied to LDNOs with HV/LV end users</first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F118"/>
  <sheetViews>
    <sheetView tabSelected="1" zoomScale="80" zoomScaleNormal="80" zoomScaleSheetLayoutView="100" workbookViewId="0">
      <selection activeCell="A4" sqref="A4:E4"/>
    </sheetView>
  </sheetViews>
  <sheetFormatPr defaultRowHeight="12.75" x14ac:dyDescent="0.2"/>
  <cols>
    <col min="1" max="1" width="32.7109375" customWidth="1"/>
    <col min="2" max="6" width="24" customWidth="1"/>
  </cols>
  <sheetData>
    <row r="1" spans="1:6" s="2" customFormat="1" ht="27.75" customHeight="1" x14ac:dyDescent="0.2">
      <c r="A1" s="152" t="s">
        <v>87</v>
      </c>
      <c r="B1"/>
      <c r="C1" s="151"/>
      <c r="D1"/>
      <c r="E1"/>
      <c r="F1"/>
    </row>
    <row r="2" spans="1:6" s="2" customFormat="1" ht="44.25" customHeight="1" x14ac:dyDescent="0.2">
      <c r="A2" s="252" t="s">
        <v>702</v>
      </c>
      <c r="B2" s="253"/>
      <c r="C2" s="253"/>
      <c r="D2" s="253"/>
      <c r="E2" s="253"/>
      <c r="F2"/>
    </row>
    <row r="3" spans="1:6" ht="47.25" customHeight="1" x14ac:dyDescent="0.2">
      <c r="A3" s="223" t="str">
        <f>Overview!B4&amp; " - Illustrative LLFs for year beginning "&amp;Overview!D4</f>
        <v>Northern Powergrid (Northeast) Ltd - Illustrative LLFs for year beginning 1 April 2019</v>
      </c>
      <c r="B3" s="223"/>
      <c r="C3" s="223"/>
      <c r="D3" s="223"/>
      <c r="E3" s="223"/>
    </row>
    <row r="4" spans="1:6" ht="19.5" customHeight="1" x14ac:dyDescent="0.2">
      <c r="A4" s="181" t="s">
        <v>80</v>
      </c>
      <c r="B4" s="22" t="s">
        <v>54</v>
      </c>
      <c r="C4" s="22" t="s">
        <v>55</v>
      </c>
      <c r="D4" s="22" t="s">
        <v>56</v>
      </c>
      <c r="E4" s="22" t="s">
        <v>57</v>
      </c>
    </row>
    <row r="5" spans="1:6" ht="45" customHeight="1" x14ac:dyDescent="0.2">
      <c r="A5" s="202" t="s">
        <v>1063</v>
      </c>
      <c r="B5" s="203">
        <v>0</v>
      </c>
      <c r="C5" s="203">
        <v>0</v>
      </c>
      <c r="D5" s="204" t="s">
        <v>1064</v>
      </c>
      <c r="E5" s="204" t="s">
        <v>1065</v>
      </c>
    </row>
    <row r="6" spans="1:6" ht="45" customHeight="1" x14ac:dyDescent="0.2">
      <c r="A6" s="202" t="s">
        <v>1066</v>
      </c>
      <c r="B6" s="203">
        <v>0</v>
      </c>
      <c r="C6" s="204" t="s">
        <v>1067</v>
      </c>
      <c r="D6" s="204" t="s">
        <v>1064</v>
      </c>
      <c r="E6" s="204" t="s">
        <v>1068</v>
      </c>
    </row>
    <row r="7" spans="1:6" ht="45" customHeight="1" x14ac:dyDescent="0.2">
      <c r="A7" s="202" t="s">
        <v>1069</v>
      </c>
      <c r="B7" s="204" t="s">
        <v>1070</v>
      </c>
      <c r="C7" s="204" t="s">
        <v>1071</v>
      </c>
      <c r="D7" s="204" t="s">
        <v>1064</v>
      </c>
      <c r="E7" s="204" t="s">
        <v>1068</v>
      </c>
    </row>
    <row r="8" spans="1:6" ht="45" customHeight="1" x14ac:dyDescent="0.2">
      <c r="A8" s="202" t="s">
        <v>1072</v>
      </c>
      <c r="B8" s="203">
        <v>0</v>
      </c>
      <c r="C8" s="203">
        <v>0</v>
      </c>
      <c r="D8" s="204" t="s">
        <v>1064</v>
      </c>
      <c r="E8" s="204" t="s">
        <v>1065</v>
      </c>
    </row>
    <row r="9" spans="1:6" ht="45" customHeight="1" x14ac:dyDescent="0.2">
      <c r="A9" s="202" t="s">
        <v>83</v>
      </c>
      <c r="B9" s="203">
        <v>0</v>
      </c>
      <c r="C9" s="203">
        <v>0</v>
      </c>
      <c r="D9" s="204" t="s">
        <v>1064</v>
      </c>
      <c r="E9" s="204" t="s">
        <v>1065</v>
      </c>
    </row>
    <row r="10" spans="1:6" ht="25.5" customHeight="1" x14ac:dyDescent="0.2">
      <c r="A10" s="201" t="s">
        <v>81</v>
      </c>
      <c r="B10" s="219" t="s">
        <v>82</v>
      </c>
      <c r="C10" s="220"/>
      <c r="D10" s="220"/>
      <c r="E10" s="221"/>
    </row>
    <row r="11" spans="1:6" s="14" customFormat="1" x14ac:dyDescent="0.2">
      <c r="A11" s="13"/>
      <c r="B11" s="12"/>
      <c r="C11" s="12"/>
      <c r="D11" s="12"/>
      <c r="E11" s="12"/>
    </row>
    <row r="12" spans="1:6" x14ac:dyDescent="0.2">
      <c r="B12" s="12"/>
      <c r="C12" s="12"/>
      <c r="D12" s="12"/>
      <c r="E12" s="12"/>
    </row>
    <row r="13" spans="1:6" ht="22.5" customHeight="1" x14ac:dyDescent="0.2">
      <c r="A13" s="227" t="s">
        <v>477</v>
      </c>
      <c r="B13" s="251"/>
      <c r="C13" s="251"/>
      <c r="D13" s="251"/>
      <c r="E13" s="251"/>
      <c r="F13" s="228"/>
    </row>
    <row r="14" spans="1:6" ht="22.5" customHeight="1" x14ac:dyDescent="0.2">
      <c r="A14" s="227" t="s">
        <v>53</v>
      </c>
      <c r="B14" s="251"/>
      <c r="C14" s="251"/>
      <c r="D14" s="251"/>
      <c r="E14" s="251"/>
      <c r="F14" s="228"/>
    </row>
    <row r="15" spans="1:6" ht="22.5" customHeight="1" x14ac:dyDescent="0.2">
      <c r="A15" s="22" t="s">
        <v>478</v>
      </c>
      <c r="B15" s="22" t="s">
        <v>54</v>
      </c>
      <c r="C15" s="22" t="s">
        <v>55</v>
      </c>
      <c r="D15" s="22" t="s">
        <v>56</v>
      </c>
      <c r="E15" s="22" t="s">
        <v>57</v>
      </c>
      <c r="F15" s="22" t="s">
        <v>58</v>
      </c>
    </row>
    <row r="16" spans="1:6" ht="63.75" x14ac:dyDescent="0.2">
      <c r="A16" s="1" t="s">
        <v>715</v>
      </c>
      <c r="B16" s="205">
        <v>1.0860000000000001</v>
      </c>
      <c r="C16" s="205">
        <v>1.079</v>
      </c>
      <c r="D16" s="205">
        <v>1.0660000000000001</v>
      </c>
      <c r="E16" s="205">
        <v>1.07</v>
      </c>
      <c r="F16" s="206" t="s">
        <v>1128</v>
      </c>
    </row>
    <row r="17" spans="1:6" ht="25.5" x14ac:dyDescent="0.2">
      <c r="A17" s="1" t="s">
        <v>716</v>
      </c>
      <c r="B17" s="205">
        <v>1.04</v>
      </c>
      <c r="C17" s="205">
        <v>1.0389999999999999</v>
      </c>
      <c r="D17" s="205">
        <v>1.042</v>
      </c>
      <c r="E17" s="205">
        <v>1.0389999999999999</v>
      </c>
      <c r="F17" s="206" t="s">
        <v>1129</v>
      </c>
    </row>
    <row r="18" spans="1:6" ht="25.5" x14ac:dyDescent="0.2">
      <c r="A18" s="1" t="s">
        <v>717</v>
      </c>
      <c r="B18" s="205">
        <v>1.0249999999999999</v>
      </c>
      <c r="C18" s="205">
        <v>1.0229999999999999</v>
      </c>
      <c r="D18" s="205">
        <v>1.0189999999999999</v>
      </c>
      <c r="E18" s="205">
        <v>1.0209999999999999</v>
      </c>
      <c r="F18" s="206" t="s">
        <v>1130</v>
      </c>
    </row>
    <row r="19" spans="1:6" ht="38.25" x14ac:dyDescent="0.2">
      <c r="A19" s="1" t="s">
        <v>718</v>
      </c>
      <c r="B19" s="205">
        <v>1.0149999999999999</v>
      </c>
      <c r="C19" s="205">
        <v>1.0149999999999999</v>
      </c>
      <c r="D19" s="205">
        <v>1.014</v>
      </c>
      <c r="E19" s="205">
        <v>1.014</v>
      </c>
      <c r="F19" s="206" t="s">
        <v>1131</v>
      </c>
    </row>
    <row r="20" spans="1:6" ht="38.25" x14ac:dyDescent="0.2">
      <c r="A20" s="1" t="s">
        <v>719</v>
      </c>
      <c r="B20" s="205">
        <v>1.01</v>
      </c>
      <c r="C20" s="205">
        <v>1.01</v>
      </c>
      <c r="D20" s="205">
        <v>1.008</v>
      </c>
      <c r="E20" s="205">
        <v>1.0089999999999999</v>
      </c>
      <c r="F20" s="206" t="s">
        <v>1132</v>
      </c>
    </row>
    <row r="21" spans="1:6" ht="51" x14ac:dyDescent="0.2">
      <c r="A21" s="1" t="s">
        <v>720</v>
      </c>
      <c r="B21" s="205">
        <v>1.01</v>
      </c>
      <c r="C21" s="205">
        <v>1.01</v>
      </c>
      <c r="D21" s="205">
        <v>1.008</v>
      </c>
      <c r="E21" s="205">
        <v>1.0089999999999999</v>
      </c>
      <c r="F21" s="206" t="s">
        <v>1133</v>
      </c>
    </row>
    <row r="22" spans="1:6" ht="22.5" customHeight="1" x14ac:dyDescent="0.2"/>
    <row r="23" spans="1:6" ht="22.5" customHeight="1" x14ac:dyDescent="0.2">
      <c r="A23" s="227" t="s">
        <v>479</v>
      </c>
      <c r="B23" s="251"/>
      <c r="C23" s="251"/>
      <c r="D23" s="251"/>
      <c r="E23" s="251"/>
      <c r="F23" s="228"/>
    </row>
    <row r="24" spans="1:6" ht="22.5" customHeight="1" x14ac:dyDescent="0.2">
      <c r="A24" s="227" t="s">
        <v>60</v>
      </c>
      <c r="B24" s="251"/>
      <c r="C24" s="251"/>
      <c r="D24" s="251"/>
      <c r="E24" s="251"/>
      <c r="F24" s="228"/>
    </row>
    <row r="25" spans="1:6" ht="22.5" customHeight="1" x14ac:dyDescent="0.2">
      <c r="A25" s="22" t="s">
        <v>59</v>
      </c>
      <c r="B25" s="22" t="s">
        <v>54</v>
      </c>
      <c r="C25" s="22" t="s">
        <v>55</v>
      </c>
      <c r="D25" s="22" t="s">
        <v>56</v>
      </c>
      <c r="E25" s="22" t="s">
        <v>57</v>
      </c>
      <c r="F25" s="22" t="s">
        <v>58</v>
      </c>
    </row>
    <row r="26" spans="1:6" ht="22.5" customHeight="1" x14ac:dyDescent="0.2">
      <c r="A26" s="1" t="s">
        <v>1073</v>
      </c>
      <c r="B26" s="205">
        <v>1.0129999999999999</v>
      </c>
      <c r="C26" s="205">
        <v>1.0089999999999999</v>
      </c>
      <c r="D26" s="205">
        <v>1.006</v>
      </c>
      <c r="E26" s="205">
        <v>1.006</v>
      </c>
      <c r="F26" s="207">
        <v>601</v>
      </c>
    </row>
    <row r="27" spans="1:6" ht="22.5" customHeight="1" x14ac:dyDescent="0.2">
      <c r="A27" s="1" t="s">
        <v>1074</v>
      </c>
      <c r="B27" s="205">
        <v>1.002</v>
      </c>
      <c r="C27" s="205">
        <v>1.002</v>
      </c>
      <c r="D27" s="205">
        <v>1.002</v>
      </c>
      <c r="E27" s="205">
        <v>1.002</v>
      </c>
      <c r="F27" s="207">
        <v>603</v>
      </c>
    </row>
    <row r="28" spans="1:6" ht="22.5" customHeight="1" x14ac:dyDescent="0.2">
      <c r="A28" s="1" t="s">
        <v>1075</v>
      </c>
      <c r="B28" s="205">
        <v>1.0029999999999999</v>
      </c>
      <c r="C28" s="205">
        <v>1.0029999999999999</v>
      </c>
      <c r="D28" s="205">
        <v>1.0029999999999999</v>
      </c>
      <c r="E28" s="205">
        <v>1.0029999999999999</v>
      </c>
      <c r="F28" s="207">
        <v>604</v>
      </c>
    </row>
    <row r="29" spans="1:6" ht="22.5" customHeight="1" x14ac:dyDescent="0.2">
      <c r="A29" s="1" t="s">
        <v>1076</v>
      </c>
      <c r="B29" s="205">
        <v>1.0129999999999999</v>
      </c>
      <c r="C29" s="205">
        <v>1.0129999999999999</v>
      </c>
      <c r="D29" s="205">
        <v>1.018</v>
      </c>
      <c r="E29" s="205">
        <v>1.0129999999999999</v>
      </c>
      <c r="F29" s="207">
        <v>605</v>
      </c>
    </row>
    <row r="30" spans="1:6" ht="22.5" customHeight="1" x14ac:dyDescent="0.2">
      <c r="A30" s="1" t="s">
        <v>1077</v>
      </c>
      <c r="B30" s="205">
        <v>1.0209999999999999</v>
      </c>
      <c r="C30" s="205">
        <v>1.022</v>
      </c>
      <c r="D30" s="205">
        <v>1.0549999999999999</v>
      </c>
      <c r="E30" s="205">
        <v>1.0229999999999999</v>
      </c>
      <c r="F30" s="207">
        <v>606</v>
      </c>
    </row>
    <row r="31" spans="1:6" ht="22.5" customHeight="1" x14ac:dyDescent="0.2">
      <c r="A31" s="1" t="s">
        <v>1078</v>
      </c>
      <c r="B31" s="205">
        <v>1.022</v>
      </c>
      <c r="C31" s="205">
        <v>1.022</v>
      </c>
      <c r="D31" s="205">
        <v>1.044</v>
      </c>
      <c r="E31" s="205">
        <v>1.022</v>
      </c>
      <c r="F31" s="207">
        <v>607</v>
      </c>
    </row>
    <row r="32" spans="1:6" ht="22.5" customHeight="1" x14ac:dyDescent="0.2">
      <c r="A32" s="1" t="s">
        <v>1079</v>
      </c>
      <c r="B32" s="205">
        <v>1.0369999999999999</v>
      </c>
      <c r="C32" s="205">
        <v>1.0489999999999999</v>
      </c>
      <c r="D32" s="205">
        <v>1.157</v>
      </c>
      <c r="E32" s="205">
        <v>1.0549999999999999</v>
      </c>
      <c r="F32" s="207">
        <v>608</v>
      </c>
    </row>
    <row r="33" spans="1:6" ht="22.5" customHeight="1" x14ac:dyDescent="0.2">
      <c r="A33" s="1" t="s">
        <v>1080</v>
      </c>
      <c r="B33" s="205">
        <v>1.006</v>
      </c>
      <c r="C33" s="205">
        <v>1.0049999999999999</v>
      </c>
      <c r="D33" s="205">
        <v>1.006</v>
      </c>
      <c r="E33" s="205">
        <v>1.006</v>
      </c>
      <c r="F33" s="207">
        <v>609</v>
      </c>
    </row>
    <row r="34" spans="1:6" ht="22.5" customHeight="1" x14ac:dyDescent="0.2">
      <c r="A34" s="1" t="s">
        <v>1081</v>
      </c>
      <c r="B34" s="205">
        <v>1.014</v>
      </c>
      <c r="C34" s="205">
        <v>1.0129999999999999</v>
      </c>
      <c r="D34" s="205">
        <v>1.0129999999999999</v>
      </c>
      <c r="E34" s="205">
        <v>1.014</v>
      </c>
      <c r="F34" s="207">
        <v>611</v>
      </c>
    </row>
    <row r="35" spans="1:6" ht="22.5" customHeight="1" x14ac:dyDescent="0.2">
      <c r="A35" s="1" t="s">
        <v>1082</v>
      </c>
      <c r="B35" s="205">
        <v>1.006</v>
      </c>
      <c r="C35" s="205">
        <v>1.006</v>
      </c>
      <c r="D35" s="205">
        <v>1.004</v>
      </c>
      <c r="E35" s="205">
        <v>1.0049999999999999</v>
      </c>
      <c r="F35" s="207">
        <v>612</v>
      </c>
    </row>
    <row r="36" spans="1:6" ht="22.5" customHeight="1" x14ac:dyDescent="0.2">
      <c r="A36" s="1" t="s">
        <v>1083</v>
      </c>
      <c r="B36" s="205">
        <v>1.0069999999999999</v>
      </c>
      <c r="C36" s="205">
        <v>1.0069999999999999</v>
      </c>
      <c r="D36" s="205">
        <v>1.008</v>
      </c>
      <c r="E36" s="205">
        <v>1.0089999999999999</v>
      </c>
      <c r="F36" s="207">
        <v>614</v>
      </c>
    </row>
    <row r="37" spans="1:6" ht="22.5" customHeight="1" x14ac:dyDescent="0.2">
      <c r="A37" s="1" t="s">
        <v>1084</v>
      </c>
      <c r="B37" s="205">
        <v>1.0049999999999999</v>
      </c>
      <c r="C37" s="205">
        <v>1.0049999999999999</v>
      </c>
      <c r="D37" s="205">
        <v>1.004</v>
      </c>
      <c r="E37" s="205">
        <v>1.0049999999999999</v>
      </c>
      <c r="F37" s="207">
        <v>615</v>
      </c>
    </row>
    <row r="38" spans="1:6" ht="22.5" customHeight="1" x14ac:dyDescent="0.2">
      <c r="A38" s="1" t="s">
        <v>1085</v>
      </c>
      <c r="B38" s="205">
        <v>1.006</v>
      </c>
      <c r="C38" s="205">
        <v>1.006</v>
      </c>
      <c r="D38" s="205">
        <v>1.004</v>
      </c>
      <c r="E38" s="205">
        <v>1.0049999999999999</v>
      </c>
      <c r="F38" s="207">
        <v>616</v>
      </c>
    </row>
    <row r="39" spans="1:6" ht="22.5" customHeight="1" x14ac:dyDescent="0.2">
      <c r="A39" s="1" t="s">
        <v>1086</v>
      </c>
      <c r="B39" s="205">
        <v>1.0069999999999999</v>
      </c>
      <c r="C39" s="205">
        <v>1.0069999999999999</v>
      </c>
      <c r="D39" s="205">
        <v>1.0069999999999999</v>
      </c>
      <c r="E39" s="205">
        <v>1.0069999999999999</v>
      </c>
      <c r="F39" s="207">
        <v>617</v>
      </c>
    </row>
    <row r="40" spans="1:6" ht="22.5" customHeight="1" x14ac:dyDescent="0.2">
      <c r="A40" s="1" t="s">
        <v>1087</v>
      </c>
      <c r="B40" s="205">
        <v>1.0129999999999999</v>
      </c>
      <c r="C40" s="205">
        <v>1.0129999999999999</v>
      </c>
      <c r="D40" s="205">
        <v>1.012</v>
      </c>
      <c r="E40" s="205">
        <v>1.012</v>
      </c>
      <c r="F40" s="207">
        <v>618</v>
      </c>
    </row>
    <row r="41" spans="1:6" ht="22.5" customHeight="1" x14ac:dyDescent="0.2">
      <c r="A41" s="1" t="s">
        <v>1088</v>
      </c>
      <c r="B41" s="205">
        <v>1.016</v>
      </c>
      <c r="C41" s="205">
        <v>1.014</v>
      </c>
      <c r="D41" s="205">
        <v>1.0109999999999999</v>
      </c>
      <c r="E41" s="205">
        <v>1.0129999999999999</v>
      </c>
      <c r="F41" s="207">
        <v>619</v>
      </c>
    </row>
    <row r="42" spans="1:6" ht="22.5" customHeight="1" x14ac:dyDescent="0.2">
      <c r="A42" s="1" t="s">
        <v>1089</v>
      </c>
      <c r="B42" s="205">
        <v>1</v>
      </c>
      <c r="C42" s="205">
        <v>1</v>
      </c>
      <c r="D42" s="205">
        <v>1</v>
      </c>
      <c r="E42" s="205">
        <v>1</v>
      </c>
      <c r="F42" s="207">
        <v>620</v>
      </c>
    </row>
    <row r="43" spans="1:6" ht="22.5" customHeight="1" x14ac:dyDescent="0.2">
      <c r="A43" s="1" t="s">
        <v>1090</v>
      </c>
      <c r="B43" s="205">
        <v>1.02</v>
      </c>
      <c r="C43" s="205">
        <v>1.02</v>
      </c>
      <c r="D43" s="205">
        <v>1.044</v>
      </c>
      <c r="E43" s="205">
        <v>1.028</v>
      </c>
      <c r="F43" s="207">
        <v>621</v>
      </c>
    </row>
    <row r="44" spans="1:6" ht="22.5" customHeight="1" x14ac:dyDescent="0.2">
      <c r="A44" s="1" t="s">
        <v>1091</v>
      </c>
      <c r="B44" s="205">
        <v>1.0209999999999999</v>
      </c>
      <c r="C44" s="205">
        <v>1.0189999999999999</v>
      </c>
      <c r="D44" s="205">
        <v>1.024</v>
      </c>
      <c r="E44" s="205">
        <v>1.02</v>
      </c>
      <c r="F44" s="207">
        <v>622</v>
      </c>
    </row>
    <row r="45" spans="1:6" ht="22.5" customHeight="1" x14ac:dyDescent="0.2">
      <c r="A45" s="1" t="s">
        <v>1092</v>
      </c>
      <c r="B45" s="205">
        <v>1.0069999999999999</v>
      </c>
      <c r="C45" s="205">
        <v>1.0069999999999999</v>
      </c>
      <c r="D45" s="205">
        <v>1.006</v>
      </c>
      <c r="E45" s="205">
        <v>1.0069999999999999</v>
      </c>
      <c r="F45" s="207">
        <v>624</v>
      </c>
    </row>
    <row r="46" spans="1:6" ht="22.5" customHeight="1" x14ac:dyDescent="0.2">
      <c r="A46" s="1" t="s">
        <v>1093</v>
      </c>
      <c r="B46" s="205">
        <v>1.016</v>
      </c>
      <c r="C46" s="205">
        <v>1.0149999999999999</v>
      </c>
      <c r="D46" s="205">
        <v>1.0149999999999999</v>
      </c>
      <c r="E46" s="205">
        <v>1.0149999999999999</v>
      </c>
      <c r="F46" s="207">
        <v>625</v>
      </c>
    </row>
    <row r="47" spans="1:6" ht="22.5" customHeight="1" x14ac:dyDescent="0.2">
      <c r="A47" s="1" t="s">
        <v>1094</v>
      </c>
      <c r="B47" s="205">
        <v>1.0129999999999999</v>
      </c>
      <c r="C47" s="205">
        <v>1.01</v>
      </c>
      <c r="D47" s="205">
        <v>1.008</v>
      </c>
      <c r="E47" s="205">
        <v>1.008</v>
      </c>
      <c r="F47" s="207">
        <v>627</v>
      </c>
    </row>
    <row r="48" spans="1:6" ht="22.5" customHeight="1" x14ac:dyDescent="0.2">
      <c r="A48" s="1" t="s">
        <v>1095</v>
      </c>
      <c r="B48" s="205">
        <v>1.046</v>
      </c>
      <c r="C48" s="205">
        <v>1.024</v>
      </c>
      <c r="D48" s="205">
        <v>1.02</v>
      </c>
      <c r="E48" s="205">
        <v>1.0209999999999999</v>
      </c>
      <c r="F48" s="207">
        <v>626</v>
      </c>
    </row>
    <row r="49" spans="1:6" ht="22.5" customHeight="1" x14ac:dyDescent="0.2">
      <c r="A49" s="1" t="s">
        <v>1096</v>
      </c>
      <c r="B49" s="205">
        <v>1.0169999999999999</v>
      </c>
      <c r="C49" s="205">
        <v>1.0169999999999999</v>
      </c>
      <c r="D49" s="205">
        <v>1.0129999999999999</v>
      </c>
      <c r="E49" s="205">
        <v>1.014</v>
      </c>
      <c r="F49" s="207">
        <v>628</v>
      </c>
    </row>
    <row r="50" spans="1:6" ht="22.5" customHeight="1" x14ac:dyDescent="0.2">
      <c r="A50" s="1" t="s">
        <v>1097</v>
      </c>
      <c r="B50" s="205">
        <v>1.008</v>
      </c>
      <c r="C50" s="205">
        <v>1.008</v>
      </c>
      <c r="D50" s="205">
        <v>1.008</v>
      </c>
      <c r="E50" s="205">
        <v>1.008</v>
      </c>
      <c r="F50" s="207">
        <v>631</v>
      </c>
    </row>
    <row r="51" spans="1:6" ht="22.5" customHeight="1" x14ac:dyDescent="0.2">
      <c r="A51" s="1" t="s">
        <v>1098</v>
      </c>
      <c r="B51" s="205">
        <v>1.0049999999999999</v>
      </c>
      <c r="C51" s="205">
        <v>1.0049999999999999</v>
      </c>
      <c r="D51" s="205">
        <v>1.0049999999999999</v>
      </c>
      <c r="E51" s="205">
        <v>1.0049999999999999</v>
      </c>
      <c r="F51" s="207">
        <v>632</v>
      </c>
    </row>
    <row r="52" spans="1:6" ht="22.5" customHeight="1" x14ac:dyDescent="0.2">
      <c r="A52" s="1" t="s">
        <v>1099</v>
      </c>
      <c r="B52" s="205">
        <v>1.0149999999999999</v>
      </c>
      <c r="C52" s="205">
        <v>1.016</v>
      </c>
      <c r="D52" s="205">
        <v>1.016</v>
      </c>
      <c r="E52" s="205">
        <v>1.0149999999999999</v>
      </c>
      <c r="F52" s="207">
        <v>633</v>
      </c>
    </row>
    <row r="53" spans="1:6" ht="22.5" customHeight="1" x14ac:dyDescent="0.2">
      <c r="A53" s="1" t="s">
        <v>1100</v>
      </c>
      <c r="B53" s="205">
        <v>1.012</v>
      </c>
      <c r="C53" s="205">
        <v>1.0109999999999999</v>
      </c>
      <c r="D53" s="205">
        <v>1.014</v>
      </c>
      <c r="E53" s="205">
        <v>1.014</v>
      </c>
      <c r="F53" s="207">
        <v>637</v>
      </c>
    </row>
    <row r="54" spans="1:6" ht="22.5" customHeight="1" x14ac:dyDescent="0.2">
      <c r="A54" s="1" t="s">
        <v>1101</v>
      </c>
      <c r="B54" s="205">
        <v>1.0860000000000001</v>
      </c>
      <c r="C54" s="205">
        <v>1.093</v>
      </c>
      <c r="D54" s="205">
        <v>1.089</v>
      </c>
      <c r="E54" s="205">
        <v>1.087</v>
      </c>
      <c r="F54" s="207">
        <v>680</v>
      </c>
    </row>
    <row r="55" spans="1:6" ht="22.5" customHeight="1" x14ac:dyDescent="0.2">
      <c r="A55" s="1" t="s">
        <v>1102</v>
      </c>
      <c r="B55" s="205">
        <v>1.046</v>
      </c>
      <c r="C55" s="205">
        <v>1.0489999999999999</v>
      </c>
      <c r="D55" s="205">
        <v>1.042</v>
      </c>
      <c r="E55" s="205">
        <v>1.0429999999999999</v>
      </c>
      <c r="F55" s="207">
        <v>681</v>
      </c>
    </row>
    <row r="56" spans="1:6" ht="22.5" customHeight="1" x14ac:dyDescent="0.2">
      <c r="A56" s="1" t="s">
        <v>1103</v>
      </c>
      <c r="B56" s="205">
        <v>1.0149999999999999</v>
      </c>
      <c r="C56" s="205">
        <v>1.0089999999999999</v>
      </c>
      <c r="D56" s="205">
        <v>1.0069999999999999</v>
      </c>
      <c r="E56" s="205">
        <v>1.0069999999999999</v>
      </c>
      <c r="F56" s="207">
        <v>544</v>
      </c>
    </row>
    <row r="57" spans="1:6" ht="22.5" customHeight="1" x14ac:dyDescent="0.2">
      <c r="A57" s="1" t="s">
        <v>1104</v>
      </c>
      <c r="B57" s="205">
        <v>1.0049999999999999</v>
      </c>
      <c r="C57" s="205">
        <v>1.0049999999999999</v>
      </c>
      <c r="D57" s="205">
        <v>1.004</v>
      </c>
      <c r="E57" s="205">
        <v>1.004</v>
      </c>
      <c r="F57" s="207">
        <v>682</v>
      </c>
    </row>
    <row r="58" spans="1:6" ht="22.5" customHeight="1" x14ac:dyDescent="0.2">
      <c r="A58" s="1" t="s">
        <v>1105</v>
      </c>
      <c r="B58" s="205">
        <v>1.014</v>
      </c>
      <c r="C58" s="205">
        <v>1.0149999999999999</v>
      </c>
      <c r="D58" s="205">
        <v>1.016</v>
      </c>
      <c r="E58" s="205">
        <v>1.0169999999999999</v>
      </c>
      <c r="F58" s="207">
        <v>683</v>
      </c>
    </row>
    <row r="59" spans="1:6" ht="22.5" customHeight="1" x14ac:dyDescent="0.2">
      <c r="A59" s="1" t="s">
        <v>1106</v>
      </c>
      <c r="B59" s="205">
        <v>1.006</v>
      </c>
      <c r="C59" s="205">
        <v>1.006</v>
      </c>
      <c r="D59" s="205">
        <v>1.0049999999999999</v>
      </c>
      <c r="E59" s="205">
        <v>1.006</v>
      </c>
      <c r="F59" s="207">
        <v>684</v>
      </c>
    </row>
    <row r="60" spans="1:6" ht="22.5" customHeight="1" x14ac:dyDescent="0.2">
      <c r="A60" s="1" t="s">
        <v>1107</v>
      </c>
      <c r="B60" s="205">
        <v>1.0109999999999999</v>
      </c>
      <c r="C60" s="205">
        <v>1.012</v>
      </c>
      <c r="D60" s="205">
        <v>1.012</v>
      </c>
      <c r="E60" s="205">
        <v>1.0109999999999999</v>
      </c>
      <c r="F60" s="207">
        <v>685</v>
      </c>
    </row>
    <row r="61" spans="1:6" ht="22.5" customHeight="1" x14ac:dyDescent="0.2">
      <c r="A61" s="1" t="s">
        <v>1108</v>
      </c>
      <c r="B61" s="205">
        <v>1.0009999999999999</v>
      </c>
      <c r="C61" s="205">
        <v>1.0009999999999999</v>
      </c>
      <c r="D61" s="205">
        <v>1.0049999999999999</v>
      </c>
      <c r="E61" s="205">
        <v>1.006</v>
      </c>
      <c r="F61" s="207">
        <v>686</v>
      </c>
    </row>
    <row r="62" spans="1:6" ht="22.5" customHeight="1" x14ac:dyDescent="0.2">
      <c r="A62" s="1" t="s">
        <v>1109</v>
      </c>
      <c r="B62" s="205">
        <v>1.0149999999999999</v>
      </c>
      <c r="C62" s="205">
        <v>1.0149999999999999</v>
      </c>
      <c r="D62" s="205">
        <v>1.014</v>
      </c>
      <c r="E62" s="205">
        <v>1.014</v>
      </c>
      <c r="F62" s="207">
        <v>687</v>
      </c>
    </row>
    <row r="63" spans="1:6" ht="22.5" customHeight="1" x14ac:dyDescent="0.2">
      <c r="A63" s="1" t="s">
        <v>1110</v>
      </c>
      <c r="B63" s="205">
        <v>1.083</v>
      </c>
      <c r="C63" s="205">
        <v>1.0900000000000001</v>
      </c>
      <c r="D63" s="205">
        <v>1.071</v>
      </c>
      <c r="E63" s="205">
        <v>1.0740000000000001</v>
      </c>
      <c r="F63" s="207">
        <v>688</v>
      </c>
    </row>
    <row r="64" spans="1:6" ht="22.5" customHeight="1" x14ac:dyDescent="0.2">
      <c r="A64" s="1" t="s">
        <v>1111</v>
      </c>
      <c r="B64" s="205">
        <v>1.19</v>
      </c>
      <c r="C64" s="205">
        <v>1.1779999999999999</v>
      </c>
      <c r="D64" s="205">
        <v>1.1579999999999999</v>
      </c>
      <c r="E64" s="205">
        <v>1.1639999999999999</v>
      </c>
      <c r="F64" s="207">
        <v>689</v>
      </c>
    </row>
    <row r="65" spans="1:6" ht="22.5" customHeight="1" x14ac:dyDescent="0.2">
      <c r="A65" s="1" t="s">
        <v>1112</v>
      </c>
      <c r="B65" s="205">
        <v>1.093</v>
      </c>
      <c r="C65" s="205">
        <v>1.1080000000000001</v>
      </c>
      <c r="D65" s="205">
        <v>1.109</v>
      </c>
      <c r="E65" s="205">
        <v>1.1000000000000001</v>
      </c>
      <c r="F65" s="207">
        <v>690</v>
      </c>
    </row>
    <row r="66" spans="1:6" ht="22.5" customHeight="1" x14ac:dyDescent="0.2">
      <c r="A66" s="1" t="s">
        <v>1113</v>
      </c>
      <c r="B66" s="205">
        <v>1.0129999999999999</v>
      </c>
      <c r="C66" s="205">
        <v>1.0149999999999999</v>
      </c>
      <c r="D66" s="205">
        <v>1.02</v>
      </c>
      <c r="E66" s="205">
        <v>1.0169999999999999</v>
      </c>
      <c r="F66" s="207">
        <v>540</v>
      </c>
    </row>
    <row r="67" spans="1:6" ht="22.5" customHeight="1" x14ac:dyDescent="0.2">
      <c r="A67" s="1" t="s">
        <v>1114</v>
      </c>
      <c r="B67" s="205">
        <v>1.0049999999999999</v>
      </c>
      <c r="C67" s="205">
        <v>1.0049999999999999</v>
      </c>
      <c r="D67" s="205">
        <v>1.004</v>
      </c>
      <c r="E67" s="205">
        <v>1.004</v>
      </c>
      <c r="F67" s="207">
        <v>541</v>
      </c>
    </row>
    <row r="68" spans="1:6" ht="22.5" customHeight="1" x14ac:dyDescent="0.2">
      <c r="A68" s="1" t="s">
        <v>1115</v>
      </c>
      <c r="B68" s="205">
        <v>1.002</v>
      </c>
      <c r="C68" s="205">
        <v>1.0029999999999999</v>
      </c>
      <c r="D68" s="205">
        <v>1.002</v>
      </c>
      <c r="E68" s="205">
        <v>1.002</v>
      </c>
      <c r="F68" s="207">
        <v>542</v>
      </c>
    </row>
    <row r="69" spans="1:6" ht="22.5" customHeight="1" x14ac:dyDescent="0.2">
      <c r="A69" s="1" t="s">
        <v>1116</v>
      </c>
      <c r="B69" s="205">
        <v>1.1100000000000001</v>
      </c>
      <c r="C69" s="205">
        <v>1.109</v>
      </c>
      <c r="D69" s="205">
        <v>1.101</v>
      </c>
      <c r="E69" s="205">
        <v>1.107</v>
      </c>
      <c r="F69" s="207">
        <v>543</v>
      </c>
    </row>
    <row r="70" spans="1:6" ht="22.5" customHeight="1" x14ac:dyDescent="0.2">
      <c r="A70" s="1" t="s">
        <v>1117</v>
      </c>
      <c r="B70" s="205">
        <v>1.042</v>
      </c>
      <c r="C70" s="205">
        <v>1.0389999999999999</v>
      </c>
      <c r="D70" s="205">
        <v>1.7410000000000001</v>
      </c>
      <c r="E70" s="205">
        <v>1.149</v>
      </c>
      <c r="F70" s="207">
        <v>545</v>
      </c>
    </row>
    <row r="71" spans="1:6" ht="22.5" customHeight="1" x14ac:dyDescent="0.2">
      <c r="A71" s="1" t="s">
        <v>1118</v>
      </c>
      <c r="B71" s="205">
        <v>1.0249999999999999</v>
      </c>
      <c r="C71" s="205">
        <v>1.0209999999999999</v>
      </c>
      <c r="D71" s="205">
        <v>1.0149999999999999</v>
      </c>
      <c r="E71" s="205">
        <v>1.0189999999999999</v>
      </c>
      <c r="F71" s="207">
        <v>547</v>
      </c>
    </row>
    <row r="72" spans="1:6" ht="22.5" customHeight="1" x14ac:dyDescent="0.2">
      <c r="A72" s="1" t="s">
        <v>1119</v>
      </c>
      <c r="B72" s="205">
        <v>1.042</v>
      </c>
      <c r="C72" s="205">
        <v>1.0389999999999999</v>
      </c>
      <c r="D72" s="205">
        <v>1.032</v>
      </c>
      <c r="E72" s="205">
        <v>1.0389999999999999</v>
      </c>
      <c r="F72" s="207">
        <v>548</v>
      </c>
    </row>
    <row r="73" spans="1:6" ht="22.5" customHeight="1" x14ac:dyDescent="0.2">
      <c r="A73" s="1" t="s">
        <v>1120</v>
      </c>
      <c r="B73" s="205">
        <v>1.194</v>
      </c>
      <c r="C73" s="205">
        <v>1.1859999999999999</v>
      </c>
      <c r="D73" s="205">
        <v>1.1850000000000001</v>
      </c>
      <c r="E73" s="205">
        <v>1.1990000000000001</v>
      </c>
      <c r="F73" s="207">
        <v>549</v>
      </c>
    </row>
    <row r="74" spans="1:6" ht="22.5" customHeight="1" x14ac:dyDescent="0.2">
      <c r="A74" s="1" t="s">
        <v>1121</v>
      </c>
      <c r="B74" s="205">
        <v>1.01</v>
      </c>
      <c r="C74" s="205">
        <v>1.01</v>
      </c>
      <c r="D74" s="205">
        <v>1.008</v>
      </c>
      <c r="E74" s="205">
        <v>1.0089999999999999</v>
      </c>
      <c r="F74" s="207">
        <v>560</v>
      </c>
    </row>
    <row r="75" spans="1:6" ht="22.5" customHeight="1" x14ac:dyDescent="0.2">
      <c r="A75" s="1" t="s">
        <v>1122</v>
      </c>
      <c r="B75" s="205">
        <v>1.01</v>
      </c>
      <c r="C75" s="205">
        <v>1.01</v>
      </c>
      <c r="D75" s="205">
        <v>1.008</v>
      </c>
      <c r="E75" s="205">
        <v>1.0089999999999999</v>
      </c>
      <c r="F75" s="207">
        <v>561</v>
      </c>
    </row>
    <row r="76" spans="1:6" ht="22.5" customHeight="1" x14ac:dyDescent="0.2">
      <c r="A76" s="1" t="s">
        <v>1123</v>
      </c>
      <c r="B76" s="205">
        <v>1.05</v>
      </c>
      <c r="C76" s="205">
        <v>1.046</v>
      </c>
      <c r="D76" s="205">
        <v>1.042</v>
      </c>
      <c r="E76" s="205">
        <v>1.0409999999999999</v>
      </c>
      <c r="F76" s="207">
        <v>563</v>
      </c>
    </row>
    <row r="77" spans="1:6" ht="22.5" customHeight="1" x14ac:dyDescent="0.2">
      <c r="A77" s="1" t="s">
        <v>1124</v>
      </c>
      <c r="B77" s="205">
        <v>1.1479999999999999</v>
      </c>
      <c r="C77" s="205">
        <v>1.1339999999999999</v>
      </c>
      <c r="D77" s="205">
        <v>1.111</v>
      </c>
      <c r="E77" s="205">
        <v>1.109</v>
      </c>
      <c r="F77" s="207">
        <v>562</v>
      </c>
    </row>
    <row r="78" spans="1:6" ht="22.5" customHeight="1" x14ac:dyDescent="0.2">
      <c r="A78" s="1" t="s">
        <v>1125</v>
      </c>
      <c r="B78" s="205">
        <v>1.024</v>
      </c>
      <c r="C78" s="205">
        <v>1.022</v>
      </c>
      <c r="D78" s="205">
        <v>1.016</v>
      </c>
      <c r="E78" s="205">
        <v>1.0189999999999999</v>
      </c>
      <c r="F78" s="207">
        <v>565</v>
      </c>
    </row>
    <row r="79" spans="1:6" ht="22.5" customHeight="1" x14ac:dyDescent="0.2">
      <c r="A79" s="1" t="s">
        <v>1126</v>
      </c>
      <c r="B79" s="205">
        <v>1.01</v>
      </c>
      <c r="C79" s="205">
        <v>1.01</v>
      </c>
      <c r="D79" s="205">
        <v>1.008</v>
      </c>
      <c r="E79" s="205">
        <v>1.0089999999999999</v>
      </c>
      <c r="F79" s="207">
        <v>567</v>
      </c>
    </row>
    <row r="80" spans="1:6" ht="22.5" customHeight="1" x14ac:dyDescent="0.2">
      <c r="A80" s="1" t="s">
        <v>1127</v>
      </c>
      <c r="B80" s="205">
        <v>1.01</v>
      </c>
      <c r="C80" s="205">
        <v>1.01</v>
      </c>
      <c r="D80" s="205">
        <v>1.008</v>
      </c>
      <c r="E80" s="205">
        <v>1.0089999999999999</v>
      </c>
      <c r="F80" s="207">
        <v>566</v>
      </c>
    </row>
    <row r="81" spans="1:6" ht="22.5" customHeight="1" x14ac:dyDescent="0.2"/>
    <row r="82" spans="1:6" ht="22.5" customHeight="1" x14ac:dyDescent="0.2">
      <c r="A82" s="227" t="s">
        <v>479</v>
      </c>
      <c r="B82" s="251"/>
      <c r="C82" s="251"/>
      <c r="D82" s="251"/>
      <c r="E82" s="251"/>
      <c r="F82" s="228"/>
    </row>
    <row r="83" spans="1:6" ht="22.5" customHeight="1" x14ac:dyDescent="0.2">
      <c r="A83" s="227" t="s">
        <v>61</v>
      </c>
      <c r="B83" s="251"/>
      <c r="C83" s="251"/>
      <c r="D83" s="251"/>
      <c r="E83" s="251"/>
      <c r="F83" s="228"/>
    </row>
    <row r="84" spans="1:6" ht="22.5" customHeight="1" x14ac:dyDescent="0.2">
      <c r="A84" s="22" t="s">
        <v>59</v>
      </c>
      <c r="B84" s="22" t="s">
        <v>54</v>
      </c>
      <c r="C84" s="22" t="s">
        <v>55</v>
      </c>
      <c r="D84" s="22" t="s">
        <v>56</v>
      </c>
      <c r="E84" s="22" t="s">
        <v>57</v>
      </c>
      <c r="F84" s="22" t="s">
        <v>58</v>
      </c>
    </row>
    <row r="85" spans="1:6" ht="22.5" customHeight="1" x14ac:dyDescent="0.2">
      <c r="A85" s="1" t="s">
        <v>1073</v>
      </c>
      <c r="B85" s="205">
        <v>1.0129999999999999</v>
      </c>
      <c r="C85" s="205">
        <v>1.0069999999999999</v>
      </c>
      <c r="D85" s="205">
        <v>1.004</v>
      </c>
      <c r="E85" s="205">
        <v>1.004</v>
      </c>
      <c r="F85" s="207">
        <v>701</v>
      </c>
    </row>
    <row r="86" spans="1:6" ht="22.5" customHeight="1" x14ac:dyDescent="0.2">
      <c r="A86" s="1" t="s">
        <v>1074</v>
      </c>
      <c r="B86" s="205">
        <v>0.999</v>
      </c>
      <c r="C86" s="205">
        <v>0.998</v>
      </c>
      <c r="D86" s="205">
        <v>0.997</v>
      </c>
      <c r="E86" s="205">
        <v>0.998</v>
      </c>
      <c r="F86" s="207">
        <v>727</v>
      </c>
    </row>
    <row r="87" spans="1:6" ht="22.5" customHeight="1" x14ac:dyDescent="0.2">
      <c r="A87" s="1" t="s">
        <v>1075</v>
      </c>
      <c r="B87" s="205">
        <v>1.0069999999999999</v>
      </c>
      <c r="C87" s="205">
        <v>1.006</v>
      </c>
      <c r="D87" s="205">
        <v>1.0029999999999999</v>
      </c>
      <c r="E87" s="205">
        <v>1.004</v>
      </c>
      <c r="F87" s="207">
        <v>704</v>
      </c>
    </row>
    <row r="88" spans="1:6" ht="22.5" customHeight="1" x14ac:dyDescent="0.2">
      <c r="A88" s="1" t="s">
        <v>1076</v>
      </c>
      <c r="B88" s="205">
        <v>0.996</v>
      </c>
      <c r="C88" s="205">
        <v>0.997</v>
      </c>
      <c r="D88" s="205">
        <v>0.995</v>
      </c>
      <c r="E88" s="205">
        <v>0.995</v>
      </c>
      <c r="F88" s="207">
        <v>709</v>
      </c>
    </row>
    <row r="89" spans="1:6" ht="22.5" customHeight="1" x14ac:dyDescent="0.2">
      <c r="A89" s="1" t="s">
        <v>1077</v>
      </c>
      <c r="B89" s="205">
        <v>1.02</v>
      </c>
      <c r="C89" s="205">
        <v>1.0189999999999999</v>
      </c>
      <c r="D89" s="205">
        <v>1.0149999999999999</v>
      </c>
      <c r="E89" s="205">
        <v>1.016</v>
      </c>
      <c r="F89" s="207">
        <v>710</v>
      </c>
    </row>
    <row r="90" spans="1:6" ht="22.5" customHeight="1" x14ac:dyDescent="0.2">
      <c r="A90" s="1" t="s">
        <v>1078</v>
      </c>
      <c r="B90" s="205">
        <v>0.98899999999999999</v>
      </c>
      <c r="C90" s="205">
        <v>0.99</v>
      </c>
      <c r="D90" s="205">
        <v>0.98</v>
      </c>
      <c r="E90" s="205">
        <v>0.98499999999999999</v>
      </c>
      <c r="F90" s="207">
        <v>711</v>
      </c>
    </row>
    <row r="91" spans="1:6" ht="22.5" customHeight="1" x14ac:dyDescent="0.2">
      <c r="A91" s="1" t="s">
        <v>1079</v>
      </c>
      <c r="B91" s="205">
        <v>1.01</v>
      </c>
      <c r="C91" s="205">
        <v>1.01</v>
      </c>
      <c r="D91" s="205">
        <v>1.008</v>
      </c>
      <c r="E91" s="205">
        <v>1.0089999999999999</v>
      </c>
      <c r="F91" s="207">
        <v>804</v>
      </c>
    </row>
    <row r="92" spans="1:6" ht="22.5" customHeight="1" x14ac:dyDescent="0.2">
      <c r="A92" s="1" t="s">
        <v>1080</v>
      </c>
      <c r="B92" s="205">
        <v>1.01</v>
      </c>
      <c r="C92" s="205">
        <v>1.01</v>
      </c>
      <c r="D92" s="205">
        <v>1.002</v>
      </c>
      <c r="E92" s="205">
        <v>1.006</v>
      </c>
      <c r="F92" s="207">
        <v>748</v>
      </c>
    </row>
    <row r="93" spans="1:6" ht="22.5" customHeight="1" x14ac:dyDescent="0.2">
      <c r="A93" s="1" t="s">
        <v>1081</v>
      </c>
      <c r="B93" s="205">
        <v>1.0129999999999999</v>
      </c>
      <c r="C93" s="205">
        <v>1.006</v>
      </c>
      <c r="D93" s="205">
        <v>1.0029999999999999</v>
      </c>
      <c r="E93" s="205">
        <v>1.002</v>
      </c>
      <c r="F93" s="207">
        <v>729</v>
      </c>
    </row>
    <row r="94" spans="1:6" ht="22.5" customHeight="1" x14ac:dyDescent="0.2">
      <c r="A94" s="1" t="s">
        <v>1082</v>
      </c>
      <c r="B94" s="205">
        <v>1</v>
      </c>
      <c r="C94" s="205">
        <v>1</v>
      </c>
      <c r="D94" s="205">
        <v>0.99199999999999999</v>
      </c>
      <c r="E94" s="205">
        <v>0.99199999999999999</v>
      </c>
      <c r="F94" s="207">
        <v>728</v>
      </c>
    </row>
    <row r="95" spans="1:6" ht="22.5" customHeight="1" x14ac:dyDescent="0.2">
      <c r="A95" s="1" t="s">
        <v>1083</v>
      </c>
      <c r="B95" s="205">
        <v>1.0049999999999999</v>
      </c>
      <c r="C95" s="205">
        <v>1.0029999999999999</v>
      </c>
      <c r="D95" s="205">
        <v>1.0009999999999999</v>
      </c>
      <c r="E95" s="205">
        <v>1.0029999999999999</v>
      </c>
      <c r="F95" s="207">
        <v>759</v>
      </c>
    </row>
    <row r="96" spans="1:6" ht="22.5" customHeight="1" x14ac:dyDescent="0.2">
      <c r="A96" s="1" t="s">
        <v>1084</v>
      </c>
      <c r="B96" s="205">
        <v>0.998</v>
      </c>
      <c r="C96" s="205">
        <v>0.998</v>
      </c>
      <c r="D96" s="205">
        <v>0.99399999999999999</v>
      </c>
      <c r="E96" s="205">
        <v>0.995</v>
      </c>
      <c r="F96" s="207">
        <v>760</v>
      </c>
    </row>
    <row r="97" spans="1:6" ht="22.5" customHeight="1" x14ac:dyDescent="0.2">
      <c r="A97" s="1" t="s">
        <v>1085</v>
      </c>
      <c r="B97" s="205">
        <v>1.014</v>
      </c>
      <c r="C97" s="205">
        <v>1.008</v>
      </c>
      <c r="D97" s="205">
        <v>1</v>
      </c>
      <c r="E97" s="205">
        <v>1.0049999999999999</v>
      </c>
      <c r="F97" s="207">
        <v>761</v>
      </c>
    </row>
    <row r="98" spans="1:6" ht="22.5" customHeight="1" x14ac:dyDescent="0.2">
      <c r="A98" s="1" t="s">
        <v>1086</v>
      </c>
      <c r="B98" s="205">
        <v>1.0069999999999999</v>
      </c>
      <c r="C98" s="205">
        <v>1.0069999999999999</v>
      </c>
      <c r="D98" s="205">
        <v>1.0029999999999999</v>
      </c>
      <c r="E98" s="205">
        <v>1.0049999999999999</v>
      </c>
      <c r="F98" s="207">
        <v>762</v>
      </c>
    </row>
    <row r="99" spans="1:6" ht="22.5" customHeight="1" x14ac:dyDescent="0.2">
      <c r="A99" s="1" t="s">
        <v>1087</v>
      </c>
      <c r="B99" s="205">
        <v>0.98199999999999998</v>
      </c>
      <c r="C99" s="205">
        <v>0.98299999999999998</v>
      </c>
      <c r="D99" s="205">
        <v>0.98599999999999999</v>
      </c>
      <c r="E99" s="205">
        <v>0.99099999999999999</v>
      </c>
      <c r="F99" s="207">
        <v>763</v>
      </c>
    </row>
    <row r="100" spans="1:6" ht="22.5" customHeight="1" x14ac:dyDescent="0.2">
      <c r="A100" s="1" t="s">
        <v>1088</v>
      </c>
      <c r="B100" s="205">
        <v>1.002</v>
      </c>
      <c r="C100" s="205">
        <v>1.0009999999999999</v>
      </c>
      <c r="D100" s="205">
        <v>0.998</v>
      </c>
      <c r="E100" s="205">
        <v>0.999</v>
      </c>
      <c r="F100" s="207">
        <v>764</v>
      </c>
    </row>
    <row r="101" spans="1:6" ht="22.5" customHeight="1" x14ac:dyDescent="0.2">
      <c r="A101" s="1" t="s">
        <v>1089</v>
      </c>
      <c r="B101" s="205">
        <v>1.0009999999999999</v>
      </c>
      <c r="C101" s="205">
        <v>1.0009999999999999</v>
      </c>
      <c r="D101" s="205">
        <v>1.0009999999999999</v>
      </c>
      <c r="E101" s="205">
        <v>1.0009999999999999</v>
      </c>
      <c r="F101" s="207">
        <v>765</v>
      </c>
    </row>
    <row r="102" spans="1:6" ht="22.5" customHeight="1" x14ac:dyDescent="0.2">
      <c r="A102" s="1" t="s">
        <v>1090</v>
      </c>
      <c r="B102" s="205">
        <v>0.998</v>
      </c>
      <c r="C102" s="205">
        <v>0.998</v>
      </c>
      <c r="D102" s="205">
        <v>0.998</v>
      </c>
      <c r="E102" s="205">
        <v>0.998</v>
      </c>
      <c r="F102" s="207">
        <v>766</v>
      </c>
    </row>
    <row r="103" spans="1:6" ht="22.5" customHeight="1" x14ac:dyDescent="0.2">
      <c r="A103" s="1" t="s">
        <v>1091</v>
      </c>
      <c r="B103" s="205">
        <v>1.0509999999999999</v>
      </c>
      <c r="C103" s="205">
        <v>1.05</v>
      </c>
      <c r="D103" s="205">
        <v>1.044</v>
      </c>
      <c r="E103" s="205">
        <v>1.044</v>
      </c>
      <c r="F103" s="207">
        <v>767</v>
      </c>
    </row>
    <row r="104" spans="1:6" ht="22.5" customHeight="1" x14ac:dyDescent="0.2">
      <c r="A104" s="1" t="s">
        <v>1092</v>
      </c>
      <c r="B104" s="205">
        <v>1.0489999999999999</v>
      </c>
      <c r="C104" s="205">
        <v>1.0469999999999999</v>
      </c>
      <c r="D104" s="205">
        <v>1.04</v>
      </c>
      <c r="E104" s="205">
        <v>1.04</v>
      </c>
      <c r="F104" s="207">
        <v>768</v>
      </c>
    </row>
    <row r="105" spans="1:6" ht="22.5" customHeight="1" x14ac:dyDescent="0.2">
      <c r="A105" s="1" t="s">
        <v>1093</v>
      </c>
      <c r="B105" s="205">
        <v>1</v>
      </c>
      <c r="C105" s="205">
        <v>1.002</v>
      </c>
      <c r="D105" s="205">
        <v>0.996</v>
      </c>
      <c r="E105" s="205">
        <v>0.999</v>
      </c>
      <c r="F105" s="207">
        <v>782</v>
      </c>
    </row>
    <row r="106" spans="1:6" ht="22.5" customHeight="1" x14ac:dyDescent="0.2">
      <c r="A106" s="1" t="s">
        <v>1094</v>
      </c>
      <c r="B106" s="205">
        <v>1</v>
      </c>
      <c r="C106" s="205">
        <v>1</v>
      </c>
      <c r="D106" s="205">
        <v>1</v>
      </c>
      <c r="E106" s="205">
        <v>0.998</v>
      </c>
      <c r="F106" s="207">
        <v>783</v>
      </c>
    </row>
    <row r="107" spans="1:6" ht="22.5" customHeight="1" x14ac:dyDescent="0.2">
      <c r="A107" s="1" t="s">
        <v>1095</v>
      </c>
      <c r="B107" s="205">
        <v>1.0069999999999999</v>
      </c>
      <c r="C107" s="205">
        <v>1.0069999999999999</v>
      </c>
      <c r="D107" s="205">
        <v>1.0029999999999999</v>
      </c>
      <c r="E107" s="205">
        <v>1.0049999999999999</v>
      </c>
      <c r="F107" s="207">
        <v>784</v>
      </c>
    </row>
    <row r="108" spans="1:6" ht="22.5" customHeight="1" x14ac:dyDescent="0.2">
      <c r="A108" s="1" t="s">
        <v>1096</v>
      </c>
      <c r="B108" s="205">
        <v>1</v>
      </c>
      <c r="C108" s="205">
        <v>1</v>
      </c>
      <c r="D108" s="205">
        <v>0.92300000000000004</v>
      </c>
      <c r="E108" s="205">
        <v>0.92600000000000005</v>
      </c>
      <c r="F108" s="207">
        <v>785</v>
      </c>
    </row>
    <row r="109" spans="1:6" ht="22.5" customHeight="1" x14ac:dyDescent="0.2">
      <c r="A109" s="1" t="s">
        <v>1097</v>
      </c>
      <c r="B109" s="205">
        <v>1</v>
      </c>
      <c r="C109" s="205">
        <v>0.998</v>
      </c>
      <c r="D109" s="205">
        <v>0.99299999999999999</v>
      </c>
      <c r="E109" s="205">
        <v>0.996</v>
      </c>
      <c r="F109" s="207">
        <v>787</v>
      </c>
    </row>
    <row r="110" spans="1:6" ht="22.5" customHeight="1" x14ac:dyDescent="0.2">
      <c r="A110" s="1" t="s">
        <v>1098</v>
      </c>
      <c r="B110" s="205">
        <v>0.999</v>
      </c>
      <c r="C110" s="205">
        <v>0.997</v>
      </c>
      <c r="D110" s="205">
        <v>0.99299999999999999</v>
      </c>
      <c r="E110" s="205">
        <v>0.996</v>
      </c>
      <c r="F110" s="207">
        <v>788</v>
      </c>
    </row>
    <row r="111" spans="1:6" ht="22.5" customHeight="1" x14ac:dyDescent="0.2">
      <c r="A111" s="1" t="s">
        <v>1099</v>
      </c>
      <c r="B111" s="205">
        <v>0.99299999999999999</v>
      </c>
      <c r="C111" s="205">
        <v>0.99299999999999999</v>
      </c>
      <c r="D111" s="205">
        <v>0.99199999999999999</v>
      </c>
      <c r="E111" s="205">
        <v>0.99199999999999999</v>
      </c>
      <c r="F111" s="207">
        <v>789</v>
      </c>
    </row>
    <row r="112" spans="1:6" ht="22.5" customHeight="1" x14ac:dyDescent="0.2">
      <c r="A112" s="1" t="s">
        <v>1100</v>
      </c>
      <c r="B112" s="205">
        <v>1.01</v>
      </c>
      <c r="C112" s="205">
        <v>1.01</v>
      </c>
      <c r="D112" s="205">
        <v>1.008</v>
      </c>
      <c r="E112" s="205">
        <v>1.0089999999999999</v>
      </c>
      <c r="F112" s="207">
        <v>806</v>
      </c>
    </row>
    <row r="113" spans="1:6" ht="22.5" customHeight="1" x14ac:dyDescent="0.2">
      <c r="A113" s="1" t="s">
        <v>1101</v>
      </c>
      <c r="B113" s="205">
        <v>1.01</v>
      </c>
      <c r="C113" s="205">
        <v>1.01</v>
      </c>
      <c r="D113" s="205">
        <v>1.008</v>
      </c>
      <c r="E113" s="205">
        <v>1.0089999999999999</v>
      </c>
      <c r="F113" s="207">
        <v>807</v>
      </c>
    </row>
    <row r="114" spans="1:6" ht="22.5" customHeight="1" x14ac:dyDescent="0.2">
      <c r="A114" s="1" t="s">
        <v>1102</v>
      </c>
      <c r="B114" s="205">
        <v>1.02</v>
      </c>
      <c r="C114" s="205">
        <v>1.014</v>
      </c>
      <c r="D114" s="205">
        <v>1.0069999999999999</v>
      </c>
      <c r="E114" s="205">
        <v>1.0049999999999999</v>
      </c>
      <c r="F114" s="207">
        <v>802</v>
      </c>
    </row>
    <row r="115" spans="1:6" ht="22.5" customHeight="1" x14ac:dyDescent="0.2">
      <c r="A115" s="1" t="s">
        <v>1103</v>
      </c>
      <c r="B115" s="205">
        <v>1.0249999999999999</v>
      </c>
      <c r="C115" s="205">
        <v>1.014</v>
      </c>
      <c r="D115" s="205">
        <v>1.008</v>
      </c>
      <c r="E115" s="205">
        <v>1.0049999999999999</v>
      </c>
      <c r="F115" s="207">
        <v>769</v>
      </c>
    </row>
    <row r="116" spans="1:6" ht="22.5" customHeight="1" x14ac:dyDescent="0.2">
      <c r="A116" s="1" t="s">
        <v>1104</v>
      </c>
      <c r="B116" s="205">
        <v>1.01</v>
      </c>
      <c r="C116" s="205">
        <v>1.01</v>
      </c>
      <c r="D116" s="205">
        <v>1.008</v>
      </c>
      <c r="E116" s="205">
        <v>1.0089999999999999</v>
      </c>
      <c r="F116" s="207">
        <v>805</v>
      </c>
    </row>
    <row r="117" spans="1:6" ht="22.5" customHeight="1" x14ac:dyDescent="0.2">
      <c r="A117" s="1" t="s">
        <v>1105</v>
      </c>
      <c r="B117" s="205">
        <v>1.01</v>
      </c>
      <c r="C117" s="205">
        <v>1.01</v>
      </c>
      <c r="D117" s="205">
        <v>1.008</v>
      </c>
      <c r="E117" s="205">
        <v>1.0089999999999999</v>
      </c>
      <c r="F117" s="207">
        <v>809</v>
      </c>
    </row>
    <row r="118" spans="1:6" ht="22.5" customHeight="1" x14ac:dyDescent="0.2">
      <c r="A118" s="1" t="s">
        <v>1106</v>
      </c>
      <c r="B118" s="205">
        <v>1.01</v>
      </c>
      <c r="C118" s="205">
        <v>1.01</v>
      </c>
      <c r="D118" s="205">
        <v>1.008</v>
      </c>
      <c r="E118" s="205">
        <v>1.0089999999999999</v>
      </c>
      <c r="F118" s="207">
        <v>808</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9">
    <mergeCell ref="A82:F82"/>
    <mergeCell ref="A83:F83"/>
    <mergeCell ref="A2:E2"/>
    <mergeCell ref="B10:E10"/>
    <mergeCell ref="A3:E3"/>
    <mergeCell ref="A13:F13"/>
    <mergeCell ref="A14:F14"/>
    <mergeCell ref="A23:F23"/>
    <mergeCell ref="A24:F24"/>
  </mergeCells>
  <phoneticPr fontId="9" type="noConversion"/>
  <hyperlinks>
    <hyperlink ref="A1" location="Overview!A1" display="Back to Overview" xr:uid="{00000000-0004-0000-0700-000000000000}"/>
  </hyperlinks>
  <pageMargins left="0.39370078740157483" right="0.39370078740157483" top="0.9055118110236221" bottom="0.74803149606299213" header="0.51181102362204722" footer="0.51181102362204722"/>
  <pageSetup paperSize="9" scale="67" fitToHeight="0" orientation="portrait" r:id="rId2"/>
  <headerFooter differentFirst="1" scaleWithDoc="0">
    <oddHeader>&amp;L&amp;"Trebuchet MS,Bold"
Annex 5&amp;"Trebuchet MS,Regular" – Schedule of Line Loss Factors</oddHeader>
    <firstHeader>&amp;L&amp;"Trebuchet MS,Bold"
Annex 5&amp;"Trebuchet MS,Regular" – Schedule of Line Loss Factors</first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R28"/>
  <sheetViews>
    <sheetView zoomScale="80" zoomScaleNormal="80" zoomScaleSheetLayoutView="100" workbookViewId="0">
      <selection activeCell="E11" sqref="E11"/>
    </sheetView>
  </sheetViews>
  <sheetFormatPr defaultRowHeight="27.75" customHeight="1" x14ac:dyDescent="0.2"/>
  <cols>
    <col min="1" max="2" width="16" style="2" customWidth="1"/>
    <col min="3" max="3" width="6.28515625" style="2" bestFit="1" customWidth="1"/>
    <col min="4" max="4" width="20.7109375" style="2" customWidth="1"/>
    <col min="5" max="5" width="16.42578125" style="3" customWidth="1"/>
    <col min="6" max="6" width="6.28515625" style="3" bestFit="1" customWidth="1"/>
    <col min="7" max="7" width="20.7109375" style="2" customWidth="1"/>
    <col min="8" max="8" width="50.5703125" style="3" customWidth="1"/>
    <col min="9" max="10" width="15.5703125" style="3" customWidth="1"/>
    <col min="11" max="11" width="15.5703125" style="10" customWidth="1"/>
    <col min="12" max="13" width="15.5703125" style="4" customWidth="1"/>
    <col min="14" max="16" width="15.5703125" style="2" customWidth="1"/>
    <col min="17" max="18" width="13.7109375" style="2" customWidth="1"/>
    <col min="19" max="19" width="15.5703125" style="2" customWidth="1"/>
    <col min="20" max="16384" width="9.140625" style="2"/>
  </cols>
  <sheetData>
    <row r="1" spans="1:16" ht="100.5" customHeight="1" x14ac:dyDescent="0.2">
      <c r="A1" s="15" t="s">
        <v>87</v>
      </c>
      <c r="B1" s="15"/>
      <c r="C1" s="15"/>
      <c r="D1" s="15"/>
      <c r="G1" s="25"/>
      <c r="H1" s="254" t="s">
        <v>704</v>
      </c>
      <c r="I1" s="255"/>
    </row>
    <row r="2" spans="1:16" ht="27.75" customHeight="1" x14ac:dyDescent="0.2">
      <c r="A2" s="235" t="s">
        <v>703</v>
      </c>
      <c r="B2" s="236"/>
      <c r="C2" s="236"/>
      <c r="D2" s="236"/>
      <c r="E2" s="236"/>
      <c r="F2" s="236"/>
      <c r="G2" s="236"/>
      <c r="H2" s="236"/>
      <c r="I2" s="236"/>
      <c r="J2" s="236"/>
      <c r="K2" s="236"/>
      <c r="L2" s="236"/>
      <c r="M2" s="236"/>
      <c r="N2" s="236"/>
      <c r="O2" s="236"/>
      <c r="P2" s="237"/>
    </row>
    <row r="3" spans="1:16" ht="17.25" customHeight="1" x14ac:dyDescent="0.2">
      <c r="A3" s="15"/>
      <c r="B3" s="15"/>
      <c r="C3" s="15"/>
      <c r="D3" s="15"/>
      <c r="G3" s="25"/>
    </row>
    <row r="4" spans="1:16" s="11" customFormat="1" ht="25.5" customHeight="1" x14ac:dyDescent="0.2">
      <c r="A4" s="235" t="str">
        <f>Overview!B4&amp; " - Effective from "&amp;Overview!D4&amp;" - "&amp;Overview!E4&amp;" new designated EHV charges"</f>
        <v>Northern Powergrid (Northeast) Ltd - Effective from 1 April 2019 - Final new designated EHV charges</v>
      </c>
      <c r="B4" s="236"/>
      <c r="C4" s="236"/>
      <c r="D4" s="236"/>
      <c r="E4" s="236"/>
      <c r="F4" s="236"/>
      <c r="G4" s="236"/>
      <c r="H4" s="236"/>
      <c r="I4" s="236"/>
      <c r="J4" s="236"/>
      <c r="K4" s="236"/>
      <c r="L4" s="236"/>
      <c r="M4" s="236"/>
      <c r="N4" s="236"/>
      <c r="O4" s="236"/>
      <c r="P4" s="237"/>
    </row>
    <row r="5" spans="1:16" ht="69.75" customHeight="1" x14ac:dyDescent="0.2">
      <c r="A5" s="31" t="s">
        <v>707</v>
      </c>
      <c r="B5" s="31" t="s">
        <v>481</v>
      </c>
      <c r="C5" s="31" t="s">
        <v>469</v>
      </c>
      <c r="D5" s="31" t="s">
        <v>470</v>
      </c>
      <c r="E5" s="31" t="s">
        <v>482</v>
      </c>
      <c r="F5" s="31" t="s">
        <v>469</v>
      </c>
      <c r="G5" s="31" t="s">
        <v>471</v>
      </c>
      <c r="H5" s="78" t="s">
        <v>180</v>
      </c>
      <c r="I5" s="78" t="str">
        <f>'Annex 2 EHV charges'!H9</f>
        <v>Import
Super Red
unit charge
(p/kWh)</v>
      </c>
      <c r="J5" s="78" t="str">
        <f>'Annex 2 EHV charges'!I9</f>
        <v>Import
fixed charge
(p/day)</v>
      </c>
      <c r="K5" s="78" t="str">
        <f>'Annex 2 EHV charges'!J9</f>
        <v>Import
capacity charge
(p/kVA/day)</v>
      </c>
      <c r="L5" s="78" t="str">
        <f>'Annex 2 EHV charges'!K9</f>
        <v>Import
exceeded capacity charge
(p/kVA/day)</v>
      </c>
      <c r="M5" s="78" t="str">
        <f>'Annex 2 EHV charges'!L9</f>
        <v>Export
Super Red
unit charge
(p/kWh)</v>
      </c>
      <c r="N5" s="78" t="str">
        <f>'Annex 2 EHV charges'!M9</f>
        <v>Export
fixed charge
(p/day)</v>
      </c>
      <c r="O5" s="78" t="str">
        <f>'Annex 2 EHV charges'!N9</f>
        <v>Export
capacity charge
(p/kVA/day)</v>
      </c>
      <c r="P5" s="78" t="str">
        <f>'Annex 2 EHV charges'!O9</f>
        <v>Export
exceeded capacity charge
(p/kVA/day)</v>
      </c>
    </row>
    <row r="6" spans="1:16" ht="22.5" customHeight="1" x14ac:dyDescent="0.2">
      <c r="A6" s="53"/>
      <c r="B6" s="53"/>
      <c r="C6" s="53"/>
      <c r="D6" s="53"/>
      <c r="E6" s="54"/>
      <c r="F6" s="54"/>
      <c r="G6" s="54"/>
      <c r="H6" s="55"/>
      <c r="I6" s="33"/>
      <c r="J6" s="34"/>
      <c r="K6" s="34"/>
      <c r="L6" s="34"/>
      <c r="M6" s="42"/>
      <c r="N6" s="43"/>
      <c r="O6" s="43"/>
      <c r="P6" s="43"/>
    </row>
    <row r="7" spans="1:16" ht="22.5" customHeight="1" x14ac:dyDescent="0.2">
      <c r="A7" s="53"/>
      <c r="B7" s="53"/>
      <c r="C7" s="53"/>
      <c r="D7" s="53"/>
      <c r="E7" s="54"/>
      <c r="F7" s="54"/>
      <c r="G7" s="54"/>
      <c r="H7" s="55"/>
      <c r="I7" s="33"/>
      <c r="J7" s="34"/>
      <c r="K7" s="34"/>
      <c r="L7" s="34"/>
      <c r="M7" s="42"/>
      <c r="N7" s="43"/>
      <c r="O7" s="43"/>
      <c r="P7" s="43"/>
    </row>
    <row r="8" spans="1:16" ht="22.5" customHeight="1" x14ac:dyDescent="0.2">
      <c r="A8" s="53"/>
      <c r="B8" s="53"/>
      <c r="C8" s="53"/>
      <c r="D8" s="53"/>
      <c r="E8" s="54"/>
      <c r="F8" s="54"/>
      <c r="G8" s="54"/>
      <c r="H8" s="55"/>
      <c r="I8" s="33"/>
      <c r="J8" s="34"/>
      <c r="K8" s="34"/>
      <c r="L8" s="34"/>
      <c r="M8" s="42"/>
      <c r="N8" s="43"/>
      <c r="O8" s="43"/>
      <c r="P8" s="43"/>
    </row>
    <row r="9" spans="1:16" ht="22.5" customHeight="1" x14ac:dyDescent="0.2">
      <c r="A9" s="53"/>
      <c r="B9" s="53"/>
      <c r="C9" s="53"/>
      <c r="D9" s="53"/>
      <c r="E9" s="54"/>
      <c r="F9" s="54"/>
      <c r="G9" s="54"/>
      <c r="H9" s="55"/>
      <c r="I9" s="33"/>
      <c r="J9" s="34"/>
      <c r="K9" s="34"/>
      <c r="L9" s="34"/>
      <c r="M9" s="42"/>
      <c r="N9" s="43"/>
      <c r="O9" s="43"/>
      <c r="P9" s="43"/>
    </row>
    <row r="10" spans="1:16" ht="22.5" customHeight="1" x14ac:dyDescent="0.2">
      <c r="A10" s="53"/>
      <c r="B10" s="53"/>
      <c r="C10" s="53"/>
      <c r="D10" s="53"/>
      <c r="E10" s="54"/>
      <c r="F10" s="54"/>
      <c r="G10" s="54"/>
      <c r="H10" s="55"/>
      <c r="I10" s="33"/>
      <c r="J10" s="34"/>
      <c r="K10" s="34"/>
      <c r="L10" s="34"/>
      <c r="M10" s="42"/>
      <c r="N10" s="43"/>
      <c r="O10" s="43"/>
      <c r="P10" s="43"/>
    </row>
    <row r="11" spans="1:16" ht="22.5" customHeight="1" x14ac:dyDescent="0.2">
      <c r="A11" s="53"/>
      <c r="B11" s="53"/>
      <c r="C11" s="53"/>
      <c r="D11" s="53"/>
      <c r="E11" s="54"/>
      <c r="F11" s="54"/>
      <c r="G11" s="54"/>
      <c r="H11" s="55"/>
      <c r="I11" s="33"/>
      <c r="J11" s="34"/>
      <c r="K11" s="34"/>
      <c r="L11" s="34"/>
      <c r="M11" s="42"/>
      <c r="N11" s="43"/>
      <c r="O11" s="43"/>
      <c r="P11" s="43"/>
    </row>
    <row r="12" spans="1:16" ht="22.5" customHeight="1" x14ac:dyDescent="0.2">
      <c r="A12" s="53"/>
      <c r="B12" s="53"/>
      <c r="C12" s="53"/>
      <c r="D12" s="53"/>
      <c r="E12" s="54"/>
      <c r="F12" s="54"/>
      <c r="G12" s="54"/>
      <c r="H12" s="55"/>
      <c r="I12" s="33"/>
      <c r="J12" s="34"/>
      <c r="K12" s="34"/>
      <c r="L12" s="34"/>
      <c r="M12" s="42"/>
      <c r="N12" s="43"/>
      <c r="O12" s="43"/>
      <c r="P12" s="43"/>
    </row>
    <row r="13" spans="1:16" ht="22.5" customHeight="1" x14ac:dyDescent="0.2">
      <c r="A13" s="53"/>
      <c r="B13" s="53"/>
      <c r="C13" s="53"/>
      <c r="D13" s="53"/>
      <c r="E13" s="54"/>
      <c r="F13" s="54"/>
      <c r="G13" s="54"/>
      <c r="H13" s="55"/>
      <c r="I13" s="33"/>
      <c r="J13" s="34"/>
      <c r="K13" s="34"/>
      <c r="L13" s="34"/>
      <c r="M13" s="42"/>
      <c r="N13" s="43"/>
      <c r="O13" s="43"/>
      <c r="P13" s="43"/>
    </row>
    <row r="14" spans="1:16" ht="22.5" customHeight="1" x14ac:dyDescent="0.2">
      <c r="A14" s="53"/>
      <c r="B14" s="53"/>
      <c r="C14" s="53"/>
      <c r="D14" s="53"/>
      <c r="E14" s="54"/>
      <c r="F14" s="54"/>
      <c r="G14" s="54"/>
      <c r="H14" s="55"/>
      <c r="I14" s="33"/>
      <c r="J14" s="34"/>
      <c r="K14" s="34"/>
      <c r="L14" s="34"/>
      <c r="M14" s="42"/>
      <c r="N14" s="43"/>
      <c r="O14" s="43"/>
      <c r="P14" s="43"/>
    </row>
    <row r="15" spans="1:16" ht="22.5" customHeight="1" x14ac:dyDescent="0.2">
      <c r="A15" s="53"/>
      <c r="B15" s="53"/>
      <c r="C15" s="53"/>
      <c r="D15" s="53"/>
      <c r="E15" s="54"/>
      <c r="F15" s="54"/>
      <c r="G15" s="54"/>
      <c r="H15" s="55"/>
      <c r="I15" s="33"/>
      <c r="J15" s="34"/>
      <c r="K15" s="34"/>
      <c r="L15" s="34"/>
      <c r="M15" s="42"/>
      <c r="N15" s="43"/>
      <c r="O15" s="43"/>
      <c r="P15" s="43"/>
    </row>
    <row r="17" spans="1:18" ht="27.75" customHeight="1" x14ac:dyDescent="0.2">
      <c r="A17" s="235" t="str">
        <f>Overview!B4&amp; " - Effective from "&amp;Overview!D4&amp;" - "&amp;Overview!E4&amp;" new designated EHV line loss factors"</f>
        <v>Northern Powergrid (Northeast) Ltd - Effective from 1 April 2019 - Final new designated EHV line loss factors</v>
      </c>
      <c r="B17" s="236"/>
      <c r="C17" s="236"/>
      <c r="D17" s="236"/>
      <c r="E17" s="236"/>
      <c r="F17" s="236"/>
      <c r="G17" s="236"/>
      <c r="H17" s="236"/>
      <c r="I17" s="236"/>
      <c r="J17" s="236"/>
      <c r="K17" s="236"/>
      <c r="L17" s="236"/>
      <c r="M17" s="236"/>
      <c r="N17" s="236"/>
      <c r="O17" s="236"/>
      <c r="P17" s="236"/>
      <c r="Q17" s="236"/>
      <c r="R17" s="237"/>
    </row>
    <row r="18" spans="1:18" ht="62.25" customHeight="1" x14ac:dyDescent="0.2">
      <c r="A18" s="31" t="s">
        <v>707</v>
      </c>
      <c r="B18" s="31" t="s">
        <v>481</v>
      </c>
      <c r="C18" s="31" t="s">
        <v>469</v>
      </c>
      <c r="D18" s="31" t="s">
        <v>470</v>
      </c>
      <c r="E18" s="31" t="s">
        <v>482</v>
      </c>
      <c r="F18" s="31" t="s">
        <v>469</v>
      </c>
      <c r="G18" s="31" t="s">
        <v>471</v>
      </c>
      <c r="H18" s="78" t="s">
        <v>180</v>
      </c>
      <c r="I18" s="37" t="s">
        <v>617</v>
      </c>
      <c r="J18" s="37" t="s">
        <v>616</v>
      </c>
      <c r="K18" s="37" t="s">
        <v>618</v>
      </c>
      <c r="L18" s="37" t="s">
        <v>619</v>
      </c>
      <c r="M18" s="37" t="s">
        <v>620</v>
      </c>
      <c r="N18" s="39" t="s">
        <v>621</v>
      </c>
      <c r="O18" s="39" t="s">
        <v>622</v>
      </c>
      <c r="P18" s="39" t="s">
        <v>623</v>
      </c>
      <c r="Q18" s="39" t="s">
        <v>624</v>
      </c>
      <c r="R18" s="39" t="s">
        <v>625</v>
      </c>
    </row>
    <row r="19" spans="1:18" ht="22.5" customHeight="1" x14ac:dyDescent="0.2">
      <c r="A19" s="53"/>
      <c r="B19" s="53"/>
      <c r="C19" s="53"/>
      <c r="D19" s="53"/>
      <c r="E19" s="54"/>
      <c r="F19" s="40"/>
      <c r="G19" s="40"/>
      <c r="H19" s="41"/>
      <c r="I19" s="44"/>
      <c r="J19" s="44"/>
      <c r="K19" s="35"/>
      <c r="L19" s="36"/>
      <c r="M19" s="36"/>
      <c r="N19" s="38"/>
      <c r="O19" s="38"/>
      <c r="P19" s="38"/>
      <c r="Q19" s="38"/>
      <c r="R19" s="38"/>
    </row>
    <row r="20" spans="1:18" ht="22.5" customHeight="1" x14ac:dyDescent="0.2">
      <c r="A20" s="53"/>
      <c r="B20" s="53"/>
      <c r="C20" s="53"/>
      <c r="D20" s="53"/>
      <c r="E20" s="54"/>
      <c r="F20" s="40"/>
      <c r="G20" s="40"/>
      <c r="H20" s="41"/>
      <c r="I20" s="44"/>
      <c r="J20" s="44"/>
      <c r="K20" s="35"/>
      <c r="L20" s="36"/>
      <c r="M20" s="36"/>
      <c r="N20" s="38"/>
      <c r="O20" s="38"/>
      <c r="P20" s="38"/>
      <c r="Q20" s="38"/>
      <c r="R20" s="38"/>
    </row>
    <row r="21" spans="1:18" ht="22.5" customHeight="1" x14ac:dyDescent="0.2">
      <c r="A21" s="53"/>
      <c r="B21" s="53"/>
      <c r="C21" s="53"/>
      <c r="D21" s="53"/>
      <c r="E21" s="54"/>
      <c r="F21" s="40"/>
      <c r="G21" s="40"/>
      <c r="H21" s="41"/>
      <c r="I21" s="44"/>
      <c r="J21" s="44"/>
      <c r="K21" s="35"/>
      <c r="L21" s="36"/>
      <c r="M21" s="36"/>
      <c r="N21" s="38"/>
      <c r="O21" s="38"/>
      <c r="P21" s="38"/>
      <c r="Q21" s="38"/>
      <c r="R21" s="38"/>
    </row>
    <row r="22" spans="1:18" ht="22.5" customHeight="1" x14ac:dyDescent="0.2">
      <c r="A22" s="53"/>
      <c r="B22" s="53"/>
      <c r="C22" s="53"/>
      <c r="D22" s="53"/>
      <c r="E22" s="54"/>
      <c r="F22" s="40"/>
      <c r="G22" s="40"/>
      <c r="H22" s="41"/>
      <c r="I22" s="44"/>
      <c r="J22" s="44"/>
      <c r="K22" s="35"/>
      <c r="L22" s="36"/>
      <c r="M22" s="36"/>
      <c r="N22" s="38"/>
      <c r="O22" s="38"/>
      <c r="P22" s="38"/>
      <c r="Q22" s="38"/>
      <c r="R22" s="38"/>
    </row>
    <row r="23" spans="1:18" ht="22.5" customHeight="1" x14ac:dyDescent="0.2">
      <c r="A23" s="53"/>
      <c r="B23" s="53"/>
      <c r="C23" s="53"/>
      <c r="D23" s="53"/>
      <c r="E23" s="54"/>
      <c r="F23" s="40"/>
      <c r="G23" s="40"/>
      <c r="H23" s="41"/>
      <c r="I23" s="44"/>
      <c r="J23" s="44"/>
      <c r="K23" s="35"/>
      <c r="L23" s="36"/>
      <c r="M23" s="36"/>
      <c r="N23" s="38"/>
      <c r="O23" s="38"/>
      <c r="P23" s="38"/>
      <c r="Q23" s="38"/>
      <c r="R23" s="38"/>
    </row>
    <row r="24" spans="1:18" ht="22.5" customHeight="1" x14ac:dyDescent="0.2">
      <c r="A24" s="53"/>
      <c r="B24" s="53"/>
      <c r="C24" s="53"/>
      <c r="D24" s="53"/>
      <c r="E24" s="54"/>
      <c r="F24" s="40"/>
      <c r="G24" s="40"/>
      <c r="H24" s="41"/>
      <c r="I24" s="44"/>
      <c r="J24" s="44"/>
      <c r="K24" s="35"/>
      <c r="L24" s="36"/>
      <c r="M24" s="36"/>
      <c r="N24" s="38"/>
      <c r="O24" s="38"/>
      <c r="P24" s="38"/>
      <c r="Q24" s="38"/>
      <c r="R24" s="38"/>
    </row>
    <row r="25" spans="1:18" ht="22.5" customHeight="1" x14ac:dyDescent="0.2">
      <c r="A25" s="53"/>
      <c r="B25" s="53"/>
      <c r="C25" s="53"/>
      <c r="D25" s="53"/>
      <c r="E25" s="54"/>
      <c r="F25" s="40"/>
      <c r="G25" s="40"/>
      <c r="H25" s="41"/>
      <c r="I25" s="44"/>
      <c r="J25" s="44"/>
      <c r="K25" s="35"/>
      <c r="L25" s="36"/>
      <c r="M25" s="36"/>
      <c r="N25" s="38"/>
      <c r="O25" s="38"/>
      <c r="P25" s="38"/>
      <c r="Q25" s="38"/>
      <c r="R25" s="38"/>
    </row>
    <row r="26" spans="1:18" ht="22.5" customHeight="1" x14ac:dyDescent="0.2">
      <c r="A26" s="53"/>
      <c r="B26" s="53"/>
      <c r="C26" s="53"/>
      <c r="D26" s="53"/>
      <c r="E26" s="54"/>
      <c r="F26" s="40"/>
      <c r="G26" s="40"/>
      <c r="H26" s="41"/>
      <c r="I26" s="44"/>
      <c r="J26" s="44"/>
      <c r="K26" s="35"/>
      <c r="L26" s="36"/>
      <c r="M26" s="36"/>
      <c r="N26" s="38"/>
      <c r="O26" s="38"/>
      <c r="P26" s="38"/>
      <c r="Q26" s="38"/>
      <c r="R26" s="38"/>
    </row>
    <row r="27" spans="1:18" ht="22.5" customHeight="1" x14ac:dyDescent="0.2">
      <c r="A27" s="53"/>
      <c r="B27" s="53"/>
      <c r="C27" s="53"/>
      <c r="D27" s="53"/>
      <c r="E27" s="54"/>
      <c r="F27" s="40"/>
      <c r="G27" s="40"/>
      <c r="H27" s="41"/>
      <c r="I27" s="44"/>
      <c r="J27" s="44"/>
      <c r="K27" s="35"/>
      <c r="L27" s="36"/>
      <c r="M27" s="36"/>
      <c r="N27" s="38"/>
      <c r="O27" s="38"/>
      <c r="P27" s="38"/>
      <c r="Q27" s="38"/>
      <c r="R27" s="38"/>
    </row>
    <row r="28" spans="1:18" ht="22.5" customHeight="1" x14ac:dyDescent="0.2">
      <c r="A28" s="53"/>
      <c r="B28" s="53"/>
      <c r="C28" s="53"/>
      <c r="D28" s="53"/>
      <c r="E28" s="54"/>
      <c r="F28" s="40"/>
      <c r="G28" s="40"/>
      <c r="H28" s="41"/>
      <c r="I28" s="44"/>
      <c r="J28" s="44"/>
      <c r="K28" s="35"/>
      <c r="L28" s="36"/>
      <c r="M28" s="36"/>
      <c r="N28" s="38"/>
      <c r="O28" s="38"/>
      <c r="P28" s="38"/>
      <c r="Q28" s="38"/>
      <c r="R28" s="38"/>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P4"/>
    <mergeCell ref="A2:P2"/>
    <mergeCell ref="A17:R17"/>
    <mergeCell ref="H1:I1"/>
  </mergeCells>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32" fitToHeight="0" orientation="portrait" r:id="rId2"/>
  <headerFooter differentFirst="1" scaleWithDoc="0">
    <firstHeader>&amp;L&amp;"Trebuchet MS,Regular"
Annex 6 - New Designated EHV Properties. Addendum to Schedule of Charges for use of the Distribution System by Designated EHV Properties (including LDNOs with Designated EHV Properties/end-users).</first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G246"/>
  <sheetViews>
    <sheetView zoomScale="85" zoomScaleNormal="85" zoomScaleSheetLayoutView="100" workbookViewId="0">
      <selection activeCell="A2" sqref="A2:D2"/>
    </sheetView>
  </sheetViews>
  <sheetFormatPr defaultRowHeight="27.75" customHeight="1" x14ac:dyDescent="0.2"/>
  <cols>
    <col min="1" max="1" width="29.85546875" style="2" customWidth="1"/>
    <col min="2" max="2" width="48.5703125" style="2" customWidth="1"/>
    <col min="3" max="4" width="23.7109375" style="3" customWidth="1"/>
    <col min="5" max="5" width="15.5703125" style="2" customWidth="1"/>
    <col min="6" max="16384" width="9.140625" style="2"/>
  </cols>
  <sheetData>
    <row r="1" spans="1:7" ht="27.75" customHeight="1" x14ac:dyDescent="0.2">
      <c r="A1" s="15" t="s">
        <v>87</v>
      </c>
      <c r="B1" s="3"/>
      <c r="C1" s="2"/>
      <c r="E1" s="10"/>
      <c r="F1" s="4"/>
      <c r="G1" s="4"/>
    </row>
    <row r="2" spans="1:7" s="11" customFormat="1" ht="22.5" customHeight="1" x14ac:dyDescent="0.2">
      <c r="A2" s="235" t="str">
        <f>Overview!B4&amp; " - Effective from "&amp;Overview!D4&amp;" - "&amp;Overview!E4&amp;" Nodal/Zonal charges"</f>
        <v>Northern Powergrid (Northeast) Ltd - Effective from 1 April 2019 - Final Nodal/Zonal charges</v>
      </c>
      <c r="B2" s="236"/>
      <c r="C2" s="236"/>
      <c r="D2" s="237"/>
    </row>
    <row r="3" spans="1:7" ht="60.75" customHeight="1" x14ac:dyDescent="0.2">
      <c r="A3" s="22" t="s">
        <v>480</v>
      </c>
      <c r="B3" s="22" t="s">
        <v>49</v>
      </c>
      <c r="C3" s="22" t="s">
        <v>456</v>
      </c>
      <c r="D3" s="22" t="s">
        <v>457</v>
      </c>
    </row>
    <row r="4" spans="1:7" ht="21.75" customHeight="1" x14ac:dyDescent="0.2">
      <c r="A4" s="7" t="s">
        <v>799</v>
      </c>
      <c r="B4" s="8" t="s">
        <v>800</v>
      </c>
      <c r="C4" s="194">
        <v>3.9508917723500001E-2</v>
      </c>
      <c r="D4" s="194">
        <v>3.4016663239299998E-3</v>
      </c>
    </row>
    <row r="5" spans="1:7" ht="21.75" customHeight="1" x14ac:dyDescent="0.2">
      <c r="A5" s="7" t="s">
        <v>801</v>
      </c>
      <c r="B5" s="8" t="s">
        <v>800</v>
      </c>
      <c r="C5" s="194">
        <v>0</v>
      </c>
      <c r="D5" s="194">
        <v>0</v>
      </c>
    </row>
    <row r="6" spans="1:7" ht="21.75" customHeight="1" x14ac:dyDescent="0.2">
      <c r="A6" s="7" t="s">
        <v>802</v>
      </c>
      <c r="B6" s="8" t="s">
        <v>800</v>
      </c>
      <c r="C6" s="194">
        <v>0</v>
      </c>
      <c r="D6" s="194">
        <v>0</v>
      </c>
    </row>
    <row r="7" spans="1:7" ht="21.75" customHeight="1" x14ac:dyDescent="0.2">
      <c r="A7" s="7" t="s">
        <v>803</v>
      </c>
      <c r="B7" s="8" t="s">
        <v>800</v>
      </c>
      <c r="C7" s="194">
        <v>0</v>
      </c>
      <c r="D7" s="194">
        <v>0</v>
      </c>
    </row>
    <row r="8" spans="1:7" ht="21.75" customHeight="1" x14ac:dyDescent="0.2">
      <c r="A8" s="7" t="s">
        <v>804</v>
      </c>
      <c r="B8" s="8" t="s">
        <v>800</v>
      </c>
      <c r="C8" s="194">
        <v>2.38565569918</v>
      </c>
      <c r="D8" s="194">
        <v>-1.21334537875E-2</v>
      </c>
    </row>
    <row r="9" spans="1:7" ht="21.75" customHeight="1" x14ac:dyDescent="0.2">
      <c r="A9" s="7" t="s">
        <v>805</v>
      </c>
      <c r="B9" s="8" t="s">
        <v>800</v>
      </c>
      <c r="C9" s="194">
        <v>2.3210546888299999</v>
      </c>
      <c r="D9" s="194">
        <v>-1.1859351274999999E-2</v>
      </c>
    </row>
    <row r="10" spans="1:7" ht="21.75" customHeight="1" x14ac:dyDescent="0.2">
      <c r="A10" s="7" t="s">
        <v>806</v>
      </c>
      <c r="B10" s="8" t="s">
        <v>800</v>
      </c>
      <c r="C10" s="194">
        <v>2.3210546888299999</v>
      </c>
      <c r="D10" s="194">
        <v>-1.1859351274999999E-2</v>
      </c>
    </row>
    <row r="11" spans="1:7" ht="21.75" customHeight="1" x14ac:dyDescent="0.2">
      <c r="A11" s="7" t="s">
        <v>807</v>
      </c>
      <c r="B11" s="8" t="s">
        <v>800</v>
      </c>
      <c r="C11" s="194">
        <v>2.38567063629</v>
      </c>
      <c r="D11" s="194">
        <v>-1.2133519268100001E-2</v>
      </c>
    </row>
    <row r="12" spans="1:7" ht="21.75" customHeight="1" x14ac:dyDescent="0.2">
      <c r="A12" s="7" t="s">
        <v>808</v>
      </c>
      <c r="B12" s="8" t="s">
        <v>800</v>
      </c>
      <c r="C12" s="194">
        <v>0</v>
      </c>
      <c r="D12" s="194">
        <v>1.4408679000299999E-3</v>
      </c>
    </row>
    <row r="13" spans="1:7" ht="21.75" customHeight="1" x14ac:dyDescent="0.2">
      <c r="A13" s="7" t="s">
        <v>809</v>
      </c>
      <c r="B13" s="8" t="s">
        <v>800</v>
      </c>
      <c r="C13" s="194">
        <v>2.23231505018</v>
      </c>
      <c r="D13" s="194">
        <v>1.7890227028199999</v>
      </c>
    </row>
    <row r="14" spans="1:7" ht="21.75" customHeight="1" x14ac:dyDescent="0.2">
      <c r="A14" s="7" t="s">
        <v>810</v>
      </c>
      <c r="B14" s="8" t="s">
        <v>800</v>
      </c>
      <c r="C14" s="194">
        <v>1.7271970051300001</v>
      </c>
      <c r="D14" s="194">
        <v>3.1196441135199997</v>
      </c>
    </row>
    <row r="15" spans="1:7" ht="21.75" customHeight="1" x14ac:dyDescent="0.2">
      <c r="A15" s="7" t="s">
        <v>811</v>
      </c>
      <c r="B15" s="8" t="s">
        <v>800</v>
      </c>
      <c r="C15" s="194">
        <v>0.65691511326399998</v>
      </c>
      <c r="D15" s="194">
        <v>4.6241661727599997E-2</v>
      </c>
    </row>
    <row r="16" spans="1:7" ht="21.75" customHeight="1" x14ac:dyDescent="0.2">
      <c r="A16" s="7" t="s">
        <v>812</v>
      </c>
      <c r="B16" s="8" t="s">
        <v>800</v>
      </c>
      <c r="C16" s="194">
        <v>0.69789026356100003</v>
      </c>
      <c r="D16" s="194">
        <v>1.5540637435000002</v>
      </c>
    </row>
    <row r="17" spans="1:4" ht="21.75" customHeight="1" x14ac:dyDescent="0.2">
      <c r="A17" s="7" t="s">
        <v>813</v>
      </c>
      <c r="B17" s="8" t="s">
        <v>800</v>
      </c>
      <c r="C17" s="194">
        <v>0.217639362423</v>
      </c>
      <c r="D17" s="194">
        <v>0.77196026351399993</v>
      </c>
    </row>
    <row r="18" spans="1:4" ht="21.75" customHeight="1" x14ac:dyDescent="0.2">
      <c r="A18" s="7" t="s">
        <v>814</v>
      </c>
      <c r="B18" s="8" t="s">
        <v>800</v>
      </c>
      <c r="C18" s="194">
        <v>2.5103888912000003</v>
      </c>
      <c r="D18" s="194">
        <v>4.0200727916199996</v>
      </c>
    </row>
    <row r="19" spans="1:4" ht="21.75" customHeight="1" x14ac:dyDescent="0.2">
      <c r="A19" s="7" t="s">
        <v>815</v>
      </c>
      <c r="B19" s="8" t="s">
        <v>800</v>
      </c>
      <c r="C19" s="194">
        <v>8.6961308885299994E-3</v>
      </c>
      <c r="D19" s="194">
        <v>0.739572238524</v>
      </c>
    </row>
    <row r="20" spans="1:4" ht="21.75" customHeight="1" x14ac:dyDescent="0.2">
      <c r="A20" s="7" t="s">
        <v>816</v>
      </c>
      <c r="B20" s="8" t="s">
        <v>800</v>
      </c>
      <c r="C20" s="194">
        <v>-9.7995308205199999E-3</v>
      </c>
      <c r="D20" s="194">
        <v>0.73497553059300003</v>
      </c>
    </row>
    <row r="21" spans="1:4" ht="21.75" customHeight="1" x14ac:dyDescent="0.2">
      <c r="A21" s="7" t="s">
        <v>817</v>
      </c>
      <c r="B21" s="8" t="s">
        <v>800</v>
      </c>
      <c r="C21" s="194">
        <v>1.90644174776</v>
      </c>
      <c r="D21" s="194">
        <v>0.34085099553600001</v>
      </c>
    </row>
    <row r="22" spans="1:4" ht="21.75" customHeight="1" x14ac:dyDescent="0.2">
      <c r="A22" s="7" t="s">
        <v>818</v>
      </c>
      <c r="B22" s="8" t="s">
        <v>800</v>
      </c>
      <c r="C22" s="194">
        <v>0.57440021789900009</v>
      </c>
      <c r="D22" s="194">
        <v>1.50025015433</v>
      </c>
    </row>
    <row r="23" spans="1:4" ht="21.75" customHeight="1" x14ac:dyDescent="0.2">
      <c r="A23" s="7" t="s">
        <v>819</v>
      </c>
      <c r="B23" s="8" t="s">
        <v>800</v>
      </c>
      <c r="C23" s="194">
        <v>2.0703272606400001</v>
      </c>
      <c r="D23" s="194">
        <v>0.38529687631299997</v>
      </c>
    </row>
    <row r="24" spans="1:4" ht="21.75" customHeight="1" x14ac:dyDescent="0.2">
      <c r="A24" s="7" t="s">
        <v>820</v>
      </c>
      <c r="B24" s="8" t="s">
        <v>800</v>
      </c>
      <c r="C24" s="194">
        <v>0.16491478286</v>
      </c>
      <c r="D24" s="194">
        <v>2.6305223572899998</v>
      </c>
    </row>
    <row r="25" spans="1:4" ht="21.75" customHeight="1" x14ac:dyDescent="0.2">
      <c r="A25" s="7" t="s">
        <v>821</v>
      </c>
      <c r="B25" s="8" t="s">
        <v>800</v>
      </c>
      <c r="C25" s="194">
        <v>-1.4350055328699999E-3</v>
      </c>
      <c r="D25" s="194">
        <v>0.725718435642</v>
      </c>
    </row>
    <row r="26" spans="1:4" ht="21.75" customHeight="1" x14ac:dyDescent="0.2">
      <c r="A26" s="7" t="s">
        <v>822</v>
      </c>
      <c r="B26" s="8" t="s">
        <v>800</v>
      </c>
      <c r="C26" s="194">
        <v>0</v>
      </c>
      <c r="D26" s="194">
        <v>4.0788771182500003E-2</v>
      </c>
    </row>
    <row r="27" spans="1:4" ht="27.75" customHeight="1" x14ac:dyDescent="0.2">
      <c r="A27" s="7" t="s">
        <v>823</v>
      </c>
      <c r="B27" s="8" t="s">
        <v>800</v>
      </c>
      <c r="C27" s="194">
        <v>1.8754942789099999E-4</v>
      </c>
      <c r="D27" s="194">
        <v>2.40206939271E-4</v>
      </c>
    </row>
    <row r="28" spans="1:4" ht="27.75" customHeight="1" x14ac:dyDescent="0.2">
      <c r="A28" s="7" t="s">
        <v>824</v>
      </c>
      <c r="B28" s="8" t="s">
        <v>800</v>
      </c>
      <c r="C28" s="194">
        <v>0.52569767312299998</v>
      </c>
      <c r="D28" s="194">
        <v>0.76119270293700003</v>
      </c>
    </row>
    <row r="29" spans="1:4" ht="27.75" customHeight="1" x14ac:dyDescent="0.2">
      <c r="A29" s="7" t="s">
        <v>825</v>
      </c>
      <c r="B29" s="8" t="s">
        <v>800</v>
      </c>
      <c r="C29" s="194">
        <v>2.3957602616199999E-2</v>
      </c>
      <c r="D29" s="194">
        <v>4.1121317760599997E-2</v>
      </c>
    </row>
    <row r="30" spans="1:4" ht="27.75" customHeight="1" x14ac:dyDescent="0.2">
      <c r="A30" s="7" t="s">
        <v>826</v>
      </c>
      <c r="B30" s="8" t="s">
        <v>827</v>
      </c>
      <c r="C30" s="194">
        <v>0</v>
      </c>
      <c r="D30" s="194">
        <v>0</v>
      </c>
    </row>
    <row r="31" spans="1:4" ht="27.75" customHeight="1" x14ac:dyDescent="0.2">
      <c r="A31" s="7" t="s">
        <v>828</v>
      </c>
      <c r="B31" s="8" t="s">
        <v>827</v>
      </c>
      <c r="C31" s="194">
        <v>0</v>
      </c>
      <c r="D31" s="194">
        <v>1.328E-2</v>
      </c>
    </row>
    <row r="32" spans="1:4" ht="27.75" customHeight="1" x14ac:dyDescent="0.2">
      <c r="A32" s="7" t="s">
        <v>829</v>
      </c>
      <c r="B32" s="8" t="s">
        <v>830</v>
      </c>
      <c r="C32" s="194">
        <v>0.16929890096700001</v>
      </c>
      <c r="D32" s="194">
        <v>0.21670858099899998</v>
      </c>
    </row>
    <row r="33" spans="1:4" ht="27.75" customHeight="1" x14ac:dyDescent="0.2">
      <c r="A33" s="7" t="s">
        <v>831</v>
      </c>
      <c r="B33" s="8" t="s">
        <v>830</v>
      </c>
      <c r="C33" s="194">
        <v>0.37790926710299999</v>
      </c>
      <c r="D33" s="194">
        <v>0.9328770535480001</v>
      </c>
    </row>
    <row r="34" spans="1:4" ht="27.75" customHeight="1" x14ac:dyDescent="0.2">
      <c r="A34" s="7" t="s">
        <v>832</v>
      </c>
      <c r="B34" s="8" t="s">
        <v>830</v>
      </c>
      <c r="C34" s="194">
        <v>1.3293037130000001</v>
      </c>
      <c r="D34" s="194">
        <v>0</v>
      </c>
    </row>
    <row r="35" spans="1:4" ht="27.75" customHeight="1" x14ac:dyDescent="0.2">
      <c r="A35" s="7" t="s">
        <v>833</v>
      </c>
      <c r="B35" s="8" t="s">
        <v>830</v>
      </c>
      <c r="C35" s="194">
        <v>1.18252450529</v>
      </c>
      <c r="D35" s="194">
        <v>0</v>
      </c>
    </row>
    <row r="36" spans="1:4" ht="27.75" customHeight="1" x14ac:dyDescent="0.2">
      <c r="A36" s="7" t="s">
        <v>834</v>
      </c>
      <c r="B36" s="8" t="s">
        <v>830</v>
      </c>
      <c r="C36" s="194">
        <v>4.8816279728399997E-2</v>
      </c>
      <c r="D36" s="194">
        <v>0.112452369444</v>
      </c>
    </row>
    <row r="37" spans="1:4" ht="27.75" customHeight="1" x14ac:dyDescent="0.2">
      <c r="A37" s="7" t="s">
        <v>835</v>
      </c>
      <c r="B37" s="8" t="s">
        <v>830</v>
      </c>
      <c r="C37" s="194">
        <v>7.5073612547500003E-3</v>
      </c>
      <c r="D37" s="194">
        <v>8.6116232231200004E-3</v>
      </c>
    </row>
    <row r="38" spans="1:4" ht="27.75" customHeight="1" x14ac:dyDescent="0.2">
      <c r="A38" s="7" t="s">
        <v>836</v>
      </c>
      <c r="B38" s="8" t="s">
        <v>830</v>
      </c>
      <c r="C38" s="194">
        <v>1.4307008097E-3</v>
      </c>
      <c r="D38" s="194">
        <v>8.4105398665699996E-3</v>
      </c>
    </row>
    <row r="39" spans="1:4" ht="27.75" customHeight="1" x14ac:dyDescent="0.2">
      <c r="A39" s="7" t="s">
        <v>837</v>
      </c>
      <c r="B39" s="8" t="s">
        <v>838</v>
      </c>
      <c r="C39" s="194">
        <v>0.92239001698500001</v>
      </c>
      <c r="D39" s="194">
        <v>0</v>
      </c>
    </row>
    <row r="40" spans="1:4" ht="27.75" customHeight="1" x14ac:dyDescent="0.2">
      <c r="A40" s="7" t="s">
        <v>839</v>
      </c>
      <c r="B40" s="8" t="s">
        <v>838</v>
      </c>
      <c r="C40" s="194">
        <v>0.77032252040499993</v>
      </c>
      <c r="D40" s="194">
        <v>1.0680848126400002</v>
      </c>
    </row>
    <row r="41" spans="1:4" ht="27.75" customHeight="1" x14ac:dyDescent="0.2">
      <c r="A41" s="7" t="s">
        <v>840</v>
      </c>
      <c r="B41" s="8" t="s">
        <v>838</v>
      </c>
      <c r="C41" s="194">
        <v>0.29585879726100001</v>
      </c>
      <c r="D41" s="194">
        <v>0.40012303872999999</v>
      </c>
    </row>
    <row r="42" spans="1:4" ht="27.75" customHeight="1" x14ac:dyDescent="0.2">
      <c r="A42" s="7" t="s">
        <v>841</v>
      </c>
      <c r="B42" s="8" t="s">
        <v>838</v>
      </c>
      <c r="C42" s="194">
        <v>1.5330710830200001</v>
      </c>
      <c r="D42" s="194">
        <v>0.421769993304</v>
      </c>
    </row>
    <row r="43" spans="1:4" ht="27.75" customHeight="1" x14ac:dyDescent="0.2">
      <c r="A43" s="7" t="s">
        <v>842</v>
      </c>
      <c r="B43" s="8" t="s">
        <v>838</v>
      </c>
      <c r="C43" s="194">
        <v>1.4544797651100001</v>
      </c>
      <c r="D43" s="194">
        <v>0.45097760575099999</v>
      </c>
    </row>
    <row r="44" spans="1:4" ht="27.75" customHeight="1" x14ac:dyDescent="0.2">
      <c r="A44" s="7" t="s">
        <v>843</v>
      </c>
      <c r="B44" s="8" t="s">
        <v>838</v>
      </c>
      <c r="C44" s="194">
        <v>1.2590239268800001</v>
      </c>
      <c r="D44" s="194">
        <v>1.4064951167900002</v>
      </c>
    </row>
    <row r="45" spans="1:4" ht="27.75" customHeight="1" x14ac:dyDescent="0.2">
      <c r="A45" s="7" t="s">
        <v>844</v>
      </c>
      <c r="B45" s="8" t="s">
        <v>845</v>
      </c>
      <c r="C45" s="194">
        <v>0.30812782106499997</v>
      </c>
      <c r="D45" s="194">
        <v>0.54981464503900002</v>
      </c>
    </row>
    <row r="46" spans="1:4" ht="27.75" customHeight="1" x14ac:dyDescent="0.2">
      <c r="A46" s="7" t="s">
        <v>846</v>
      </c>
      <c r="B46" s="8" t="s">
        <v>845</v>
      </c>
      <c r="C46" s="194">
        <v>0.20716760707099999</v>
      </c>
      <c r="D46" s="194">
        <v>0.75176666075699994</v>
      </c>
    </row>
    <row r="47" spans="1:4" ht="27.75" customHeight="1" x14ac:dyDescent="0.2">
      <c r="A47" s="7" t="s">
        <v>847</v>
      </c>
      <c r="B47" s="8" t="s">
        <v>845</v>
      </c>
      <c r="C47" s="194">
        <v>0.398886531574</v>
      </c>
      <c r="D47" s="194">
        <v>3.1979222750600003</v>
      </c>
    </row>
    <row r="48" spans="1:4" ht="27.75" customHeight="1" x14ac:dyDescent="0.2">
      <c r="A48" s="7" t="s">
        <v>848</v>
      </c>
      <c r="B48" s="8" t="s">
        <v>845</v>
      </c>
      <c r="C48" s="194">
        <v>0.171748049402</v>
      </c>
      <c r="D48" s="194">
        <v>4.6933546054300006</v>
      </c>
    </row>
    <row r="49" spans="1:4" ht="27.75" customHeight="1" x14ac:dyDescent="0.2">
      <c r="A49" s="7" t="s">
        <v>849</v>
      </c>
      <c r="B49" s="8" t="s">
        <v>845</v>
      </c>
      <c r="C49" s="194">
        <v>0.92698061082000005</v>
      </c>
      <c r="D49" s="194">
        <v>0.80815198486400008</v>
      </c>
    </row>
    <row r="50" spans="1:4" ht="27.75" customHeight="1" x14ac:dyDescent="0.2">
      <c r="A50" s="7" t="s">
        <v>850</v>
      </c>
      <c r="B50" s="8" t="s">
        <v>845</v>
      </c>
      <c r="C50" s="194">
        <v>3.5414154982199997</v>
      </c>
      <c r="D50" s="194">
        <v>0.43673979386200001</v>
      </c>
    </row>
    <row r="51" spans="1:4" ht="27.75" customHeight="1" x14ac:dyDescent="0.2">
      <c r="A51" s="7" t="s">
        <v>851</v>
      </c>
      <c r="B51" s="8" t="s">
        <v>845</v>
      </c>
      <c r="C51" s="194">
        <v>2.7452507167300002</v>
      </c>
      <c r="D51" s="194">
        <v>1.64151701722</v>
      </c>
    </row>
    <row r="52" spans="1:4" ht="27.75" customHeight="1" x14ac:dyDescent="0.2">
      <c r="A52" s="7" t="s">
        <v>852</v>
      </c>
      <c r="B52" s="8" t="s">
        <v>845</v>
      </c>
      <c r="C52" s="194">
        <v>0.25640535008400001</v>
      </c>
      <c r="D52" s="194">
        <v>0.45857988338299999</v>
      </c>
    </row>
    <row r="53" spans="1:4" ht="27.75" customHeight="1" x14ac:dyDescent="0.2">
      <c r="A53" s="7" t="s">
        <v>853</v>
      </c>
      <c r="B53" s="8" t="s">
        <v>845</v>
      </c>
      <c r="C53" s="194">
        <v>2.2995024131599999</v>
      </c>
      <c r="D53" s="194">
        <v>3.2220539058300002</v>
      </c>
    </row>
    <row r="54" spans="1:4" ht="27.75" customHeight="1" x14ac:dyDescent="0.2">
      <c r="A54" s="7" t="s">
        <v>854</v>
      </c>
      <c r="B54" s="8" t="s">
        <v>845</v>
      </c>
      <c r="C54" s="194">
        <v>1.1732241677100002</v>
      </c>
      <c r="D54" s="194">
        <v>5.6440690201799999</v>
      </c>
    </row>
    <row r="55" spans="1:4" ht="27.75" customHeight="1" x14ac:dyDescent="0.2">
      <c r="A55" s="7" t="s">
        <v>855</v>
      </c>
      <c r="B55" s="8" t="s">
        <v>845</v>
      </c>
      <c r="C55" s="194">
        <v>0.69977631714799993</v>
      </c>
      <c r="D55" s="194">
        <v>9.8081978921800008</v>
      </c>
    </row>
    <row r="56" spans="1:4" ht="27.75" customHeight="1" x14ac:dyDescent="0.2">
      <c r="A56" s="7" t="s">
        <v>856</v>
      </c>
      <c r="B56" s="8" t="s">
        <v>845</v>
      </c>
      <c r="C56" s="194">
        <v>0.61923636287600003</v>
      </c>
      <c r="D56" s="194">
        <v>8.9076957706199984</v>
      </c>
    </row>
    <row r="57" spans="1:4" ht="27.75" customHeight="1" x14ac:dyDescent="0.2">
      <c r="A57" s="7" t="s">
        <v>857</v>
      </c>
      <c r="B57" s="8" t="s">
        <v>845</v>
      </c>
      <c r="C57" s="194">
        <v>2.3103643681700001</v>
      </c>
      <c r="D57" s="194">
        <v>3.2946702884899999</v>
      </c>
    </row>
    <row r="58" spans="1:4" ht="27.75" customHeight="1" x14ac:dyDescent="0.2">
      <c r="A58" s="7" t="s">
        <v>858</v>
      </c>
      <c r="B58" s="8" t="s">
        <v>845</v>
      </c>
      <c r="C58" s="194">
        <v>0.22909850205000001</v>
      </c>
      <c r="D58" s="194">
        <v>0.59063802992399994</v>
      </c>
    </row>
    <row r="59" spans="1:4" ht="27.75" customHeight="1" x14ac:dyDescent="0.2">
      <c r="A59" s="7" t="s">
        <v>859</v>
      </c>
      <c r="B59" s="8" t="s">
        <v>860</v>
      </c>
      <c r="C59" s="194">
        <v>0</v>
      </c>
      <c r="D59" s="194">
        <v>0</v>
      </c>
    </row>
    <row r="60" spans="1:4" ht="27.75" customHeight="1" x14ac:dyDescent="0.2">
      <c r="A60" s="7" t="s">
        <v>861</v>
      </c>
      <c r="B60" s="8" t="s">
        <v>860</v>
      </c>
      <c r="C60" s="194">
        <v>0</v>
      </c>
      <c r="D60" s="194">
        <v>0.126420547868</v>
      </c>
    </row>
    <row r="61" spans="1:4" ht="27.75" customHeight="1" x14ac:dyDescent="0.2">
      <c r="A61" s="7" t="s">
        <v>862</v>
      </c>
      <c r="B61" s="8" t="s">
        <v>860</v>
      </c>
      <c r="C61" s="194">
        <v>0.15550804385100001</v>
      </c>
      <c r="D61" s="194">
        <v>3.4847454477699999</v>
      </c>
    </row>
    <row r="62" spans="1:4" ht="27.75" customHeight="1" x14ac:dyDescent="0.2">
      <c r="A62" s="7" t="s">
        <v>863</v>
      </c>
      <c r="B62" s="8" t="s">
        <v>860</v>
      </c>
      <c r="C62" s="194">
        <v>0.19957335118200001</v>
      </c>
      <c r="D62" s="194">
        <v>3.5463983165099999</v>
      </c>
    </row>
    <row r="63" spans="1:4" ht="27.75" customHeight="1" x14ac:dyDescent="0.2">
      <c r="A63" s="7" t="s">
        <v>864</v>
      </c>
      <c r="B63" s="8" t="s">
        <v>860</v>
      </c>
      <c r="C63" s="194">
        <v>3.40941849281</v>
      </c>
      <c r="D63" s="194">
        <v>0</v>
      </c>
    </row>
    <row r="64" spans="1:4" ht="27.75" customHeight="1" x14ac:dyDescent="0.2">
      <c r="A64" s="7" t="s">
        <v>865</v>
      </c>
      <c r="B64" s="8" t="s">
        <v>860</v>
      </c>
      <c r="C64" s="194">
        <v>0.72959858343899997</v>
      </c>
      <c r="D64" s="194">
        <v>0.127164403023</v>
      </c>
    </row>
    <row r="65" spans="1:4" ht="27.75" customHeight="1" x14ac:dyDescent="0.2">
      <c r="A65" s="7" t="s">
        <v>866</v>
      </c>
      <c r="B65" s="8" t="s">
        <v>860</v>
      </c>
      <c r="C65" s="194">
        <v>0.13060040093200001</v>
      </c>
      <c r="D65" s="194">
        <v>0.75221319042300006</v>
      </c>
    </row>
    <row r="66" spans="1:4" ht="27.75" customHeight="1" x14ac:dyDescent="0.2">
      <c r="A66" s="7" t="s">
        <v>867</v>
      </c>
      <c r="B66" s="8" t="s">
        <v>860</v>
      </c>
      <c r="C66" s="194">
        <v>-2.5667600453300001E-3</v>
      </c>
      <c r="D66" s="194">
        <v>0.37591771843999999</v>
      </c>
    </row>
    <row r="67" spans="1:4" ht="27.75" customHeight="1" x14ac:dyDescent="0.2">
      <c r="A67" s="7" t="s">
        <v>868</v>
      </c>
      <c r="B67" s="8" t="s">
        <v>860</v>
      </c>
      <c r="C67" s="194">
        <v>9.9918812957000003E-2</v>
      </c>
      <c r="D67" s="194">
        <v>0</v>
      </c>
    </row>
    <row r="68" spans="1:4" ht="27.75" customHeight="1" x14ac:dyDescent="0.2">
      <c r="A68" s="7" t="s">
        <v>869</v>
      </c>
      <c r="B68" s="8" t="s">
        <v>860</v>
      </c>
      <c r="C68" s="194">
        <v>2.88020105399</v>
      </c>
      <c r="D68" s="194">
        <v>8.5330926440600002E-2</v>
      </c>
    </row>
    <row r="69" spans="1:4" ht="27.75" customHeight="1" x14ac:dyDescent="0.2">
      <c r="A69" s="7" t="s">
        <v>870</v>
      </c>
      <c r="B69" s="8" t="s">
        <v>860</v>
      </c>
      <c r="C69" s="194">
        <v>0.47561869384200001</v>
      </c>
      <c r="D69" s="194">
        <v>4.0436487157599998</v>
      </c>
    </row>
    <row r="70" spans="1:4" ht="27.75" customHeight="1" x14ac:dyDescent="0.2">
      <c r="A70" s="7" t="s">
        <v>871</v>
      </c>
      <c r="B70" s="8" t="s">
        <v>860</v>
      </c>
      <c r="C70" s="194">
        <v>2.4091981552099999</v>
      </c>
      <c r="D70" s="194">
        <v>0.59303925218800002</v>
      </c>
    </row>
    <row r="71" spans="1:4" ht="27.75" customHeight="1" x14ac:dyDescent="0.2">
      <c r="A71" s="7" t="s">
        <v>872</v>
      </c>
      <c r="B71" s="8" t="s">
        <v>873</v>
      </c>
      <c r="C71" s="194">
        <v>1.78962387778</v>
      </c>
      <c r="D71" s="194">
        <v>2.1763859830999999</v>
      </c>
    </row>
    <row r="72" spans="1:4" ht="27.75" customHeight="1" x14ac:dyDescent="0.2">
      <c r="A72" s="7" t="s">
        <v>874</v>
      </c>
      <c r="B72" s="8" t="s">
        <v>873</v>
      </c>
      <c r="C72" s="194">
        <v>3.3728311834199998</v>
      </c>
      <c r="D72" s="194">
        <v>1.08792412489</v>
      </c>
    </row>
    <row r="73" spans="1:4" ht="27.75" customHeight="1" x14ac:dyDescent="0.2">
      <c r="A73" s="7" t="s">
        <v>875</v>
      </c>
      <c r="B73" s="8" t="s">
        <v>873</v>
      </c>
      <c r="C73" s="194">
        <v>0.351002395189</v>
      </c>
      <c r="D73" s="194">
        <v>1.3487589052</v>
      </c>
    </row>
    <row r="74" spans="1:4" ht="27.75" customHeight="1" x14ac:dyDescent="0.2">
      <c r="A74" s="7" t="s">
        <v>876</v>
      </c>
      <c r="B74" s="8" t="s">
        <v>873</v>
      </c>
      <c r="C74" s="194">
        <v>0.35130693659099999</v>
      </c>
      <c r="D74" s="194">
        <v>1.3499279261900001</v>
      </c>
    </row>
    <row r="75" spans="1:4" ht="27.75" customHeight="1" x14ac:dyDescent="0.2">
      <c r="A75" s="7" t="s">
        <v>877</v>
      </c>
      <c r="B75" s="8" t="s">
        <v>873</v>
      </c>
      <c r="C75" s="194">
        <v>5.7561894473900006</v>
      </c>
      <c r="D75" s="194">
        <v>0.72519308714399999</v>
      </c>
    </row>
    <row r="76" spans="1:4" ht="27.75" customHeight="1" x14ac:dyDescent="0.2">
      <c r="A76" s="7" t="s">
        <v>878</v>
      </c>
      <c r="B76" s="8" t="s">
        <v>873</v>
      </c>
      <c r="C76" s="194">
        <v>0.34092903787000001</v>
      </c>
      <c r="D76" s="194">
        <v>1.5775172394100001</v>
      </c>
    </row>
    <row r="77" spans="1:4" ht="27.75" customHeight="1" x14ac:dyDescent="0.2">
      <c r="A77" s="7" t="s">
        <v>879</v>
      </c>
      <c r="B77" s="8" t="s">
        <v>873</v>
      </c>
      <c r="C77" s="194">
        <v>1.10887584231</v>
      </c>
      <c r="D77" s="194">
        <v>1.9043461199599998</v>
      </c>
    </row>
    <row r="78" spans="1:4" ht="27.75" customHeight="1" x14ac:dyDescent="0.2">
      <c r="A78" s="7" t="s">
        <v>880</v>
      </c>
      <c r="B78" s="8" t="s">
        <v>873</v>
      </c>
      <c r="C78" s="194">
        <v>0.63029767885599997</v>
      </c>
      <c r="D78" s="194">
        <v>9.5233316448499999E-2</v>
      </c>
    </row>
    <row r="79" spans="1:4" ht="27.75" customHeight="1" x14ac:dyDescent="0.2">
      <c r="A79" s="7" t="s">
        <v>881</v>
      </c>
      <c r="B79" s="8" t="s">
        <v>873</v>
      </c>
      <c r="C79" s="194">
        <v>0.53517254003999992</v>
      </c>
      <c r="D79" s="194">
        <v>6.93573329096</v>
      </c>
    </row>
    <row r="80" spans="1:4" ht="27.75" customHeight="1" x14ac:dyDescent="0.2">
      <c r="A80" s="7" t="s">
        <v>882</v>
      </c>
      <c r="B80" s="8" t="s">
        <v>873</v>
      </c>
      <c r="C80" s="194">
        <v>1.0768221835000001E-2</v>
      </c>
      <c r="D80" s="194">
        <v>4.6924204993699998</v>
      </c>
    </row>
    <row r="81" spans="1:4" ht="27.75" customHeight="1" x14ac:dyDescent="0.2">
      <c r="A81" s="7" t="s">
        <v>883</v>
      </c>
      <c r="B81" s="8" t="s">
        <v>873</v>
      </c>
      <c r="C81" s="194">
        <v>0.33977151274900003</v>
      </c>
      <c r="D81" s="194">
        <v>5.1672026307200003</v>
      </c>
    </row>
    <row r="82" spans="1:4" ht="27.75" customHeight="1" x14ac:dyDescent="0.2">
      <c r="A82" s="7" t="s">
        <v>884</v>
      </c>
      <c r="B82" s="8" t="s">
        <v>873</v>
      </c>
      <c r="C82" s="194">
        <v>1.17838378981</v>
      </c>
      <c r="D82" s="194">
        <v>3.8066693816199999</v>
      </c>
    </row>
    <row r="83" spans="1:4" ht="27.75" customHeight="1" x14ac:dyDescent="0.2">
      <c r="A83" s="7" t="s">
        <v>885</v>
      </c>
      <c r="B83" s="8" t="s">
        <v>873</v>
      </c>
      <c r="C83" s="194">
        <v>0.133882078884</v>
      </c>
      <c r="D83" s="194">
        <v>1.2165924323900001</v>
      </c>
    </row>
    <row r="84" spans="1:4" ht="27.75" customHeight="1" x14ac:dyDescent="0.2">
      <c r="A84" s="7" t="s">
        <v>886</v>
      </c>
      <c r="B84" s="8" t="s">
        <v>873</v>
      </c>
      <c r="C84" s="194">
        <v>0.107245080273</v>
      </c>
      <c r="D84" s="194">
        <v>1.1615884010100002</v>
      </c>
    </row>
    <row r="85" spans="1:4" ht="27.75" customHeight="1" x14ac:dyDescent="0.2">
      <c r="A85" s="7" t="s">
        <v>887</v>
      </c>
      <c r="B85" s="8" t="s">
        <v>873</v>
      </c>
      <c r="C85" s="194">
        <v>2.24953427233</v>
      </c>
      <c r="D85" s="194">
        <v>5.5443121668900002</v>
      </c>
    </row>
    <row r="86" spans="1:4" ht="27.75" customHeight="1" x14ac:dyDescent="0.2">
      <c r="A86" s="7" t="s">
        <v>888</v>
      </c>
      <c r="B86" s="8" t="s">
        <v>873</v>
      </c>
      <c r="C86" s="194">
        <v>0.24546543560799999</v>
      </c>
      <c r="D86" s="194">
        <v>2.42076349357</v>
      </c>
    </row>
    <row r="87" spans="1:4" ht="27.75" customHeight="1" x14ac:dyDescent="0.2">
      <c r="A87" s="7" t="s">
        <v>889</v>
      </c>
      <c r="B87" s="8" t="s">
        <v>873</v>
      </c>
      <c r="C87" s="194">
        <v>1.2103197256399998</v>
      </c>
      <c r="D87" s="194">
        <v>1.35341711728</v>
      </c>
    </row>
    <row r="88" spans="1:4" ht="27.75" customHeight="1" x14ac:dyDescent="0.2">
      <c r="A88" s="7" t="s">
        <v>890</v>
      </c>
      <c r="B88" s="8" t="s">
        <v>873</v>
      </c>
      <c r="C88" s="194">
        <v>7.2354908362499998E-2</v>
      </c>
      <c r="D88" s="194">
        <v>0.30610135925800003</v>
      </c>
    </row>
    <row r="89" spans="1:4" ht="27.75" customHeight="1" x14ac:dyDescent="0.2">
      <c r="A89" s="7" t="s">
        <v>891</v>
      </c>
      <c r="B89" s="8" t="s">
        <v>873</v>
      </c>
      <c r="C89" s="194">
        <v>2.1831420471899999E-2</v>
      </c>
      <c r="D89" s="194">
        <v>0.83145437591999993</v>
      </c>
    </row>
    <row r="90" spans="1:4" ht="27.75" customHeight="1" x14ac:dyDescent="0.2">
      <c r="A90" s="7" t="s">
        <v>892</v>
      </c>
      <c r="B90" s="8" t="s">
        <v>873</v>
      </c>
      <c r="C90" s="194">
        <v>0.49607087135799999</v>
      </c>
      <c r="D90" s="194">
        <v>1.6621000876700001</v>
      </c>
    </row>
    <row r="91" spans="1:4" ht="27.75" customHeight="1" x14ac:dyDescent="0.2">
      <c r="A91" s="7" t="s">
        <v>893</v>
      </c>
      <c r="B91" s="8" t="s">
        <v>873</v>
      </c>
      <c r="C91" s="194">
        <v>0.69573342628000001</v>
      </c>
      <c r="D91" s="194">
        <v>3.87971006694</v>
      </c>
    </row>
    <row r="92" spans="1:4" ht="27.75" customHeight="1" x14ac:dyDescent="0.2">
      <c r="A92" s="7" t="s">
        <v>894</v>
      </c>
      <c r="B92" s="8" t="s">
        <v>873</v>
      </c>
      <c r="C92" s="194">
        <v>3.2108910075600003</v>
      </c>
      <c r="D92" s="194">
        <v>2.13265857736</v>
      </c>
    </row>
    <row r="93" spans="1:4" ht="27.75" customHeight="1" x14ac:dyDescent="0.2">
      <c r="A93" s="7" t="s">
        <v>895</v>
      </c>
      <c r="B93" s="8" t="s">
        <v>873</v>
      </c>
      <c r="C93" s="194">
        <v>0.407608877423</v>
      </c>
      <c r="D93" s="194">
        <v>1.5662761838100001</v>
      </c>
    </row>
    <row r="94" spans="1:4" ht="27.75" customHeight="1" x14ac:dyDescent="0.2">
      <c r="A94" s="7" t="s">
        <v>896</v>
      </c>
      <c r="B94" s="8" t="s">
        <v>873</v>
      </c>
      <c r="C94" s="194">
        <v>0.179319634718</v>
      </c>
      <c r="D94" s="194">
        <v>2.2555969040300003</v>
      </c>
    </row>
    <row r="95" spans="1:4" ht="27.75" customHeight="1" x14ac:dyDescent="0.2">
      <c r="A95" s="7" t="s">
        <v>897</v>
      </c>
      <c r="B95" s="8" t="s">
        <v>873</v>
      </c>
      <c r="C95" s="194">
        <v>4.7311352152600003E-2</v>
      </c>
      <c r="D95" s="194">
        <v>3.5575001466399998</v>
      </c>
    </row>
    <row r="96" spans="1:4" ht="27.75" customHeight="1" x14ac:dyDescent="0.2">
      <c r="A96" s="7" t="s">
        <v>898</v>
      </c>
      <c r="B96" s="8" t="s">
        <v>873</v>
      </c>
      <c r="C96" s="194">
        <v>0</v>
      </c>
      <c r="D96" s="194">
        <v>2.51303558027</v>
      </c>
    </row>
    <row r="97" spans="1:4" ht="27.75" customHeight="1" x14ac:dyDescent="0.2">
      <c r="A97" s="7" t="s">
        <v>899</v>
      </c>
      <c r="B97" s="8" t="s">
        <v>873</v>
      </c>
      <c r="C97" s="194">
        <v>0.93320550895300003</v>
      </c>
      <c r="D97" s="194">
        <v>3.2065148701399999</v>
      </c>
    </row>
    <row r="98" spans="1:4" ht="27.75" customHeight="1" x14ac:dyDescent="0.2">
      <c r="A98" s="7" t="s">
        <v>900</v>
      </c>
      <c r="B98" s="8" t="s">
        <v>873</v>
      </c>
      <c r="C98" s="194">
        <v>0.16755241424</v>
      </c>
      <c r="D98" s="194">
        <v>1.13706117874</v>
      </c>
    </row>
    <row r="99" spans="1:4" ht="27.75" customHeight="1" x14ac:dyDescent="0.2">
      <c r="A99" s="7" t="s">
        <v>901</v>
      </c>
      <c r="B99" s="8" t="s">
        <v>873</v>
      </c>
      <c r="C99" s="194">
        <v>0.99389908982999997</v>
      </c>
      <c r="D99" s="194">
        <v>1.40007740208</v>
      </c>
    </row>
    <row r="100" spans="1:4" ht="27.75" customHeight="1" x14ac:dyDescent="0.2">
      <c r="A100" s="7" t="s">
        <v>902</v>
      </c>
      <c r="B100" s="8" t="s">
        <v>873</v>
      </c>
      <c r="C100" s="194">
        <v>0.19937738520500001</v>
      </c>
      <c r="D100" s="194">
        <v>0.76612834097300009</v>
      </c>
    </row>
    <row r="101" spans="1:4" ht="27.75" customHeight="1" x14ac:dyDescent="0.2">
      <c r="A101" s="7" t="s">
        <v>903</v>
      </c>
      <c r="B101" s="8" t="s">
        <v>873</v>
      </c>
      <c r="C101" s="194">
        <v>0.199353822067</v>
      </c>
      <c r="D101" s="194">
        <v>0.76603775155999998</v>
      </c>
    </row>
    <row r="102" spans="1:4" ht="27.75" customHeight="1" x14ac:dyDescent="0.2">
      <c r="A102" s="7" t="s">
        <v>904</v>
      </c>
      <c r="B102" s="8" t="s">
        <v>873</v>
      </c>
      <c r="C102" s="194">
        <v>0.61868306364100001</v>
      </c>
      <c r="D102" s="194">
        <v>3.2083737490499997</v>
      </c>
    </row>
    <row r="103" spans="1:4" ht="27.75" customHeight="1" x14ac:dyDescent="0.2">
      <c r="A103" s="7" t="s">
        <v>905</v>
      </c>
      <c r="B103" s="8" t="s">
        <v>873</v>
      </c>
      <c r="C103" s="194">
        <v>0.215716513641</v>
      </c>
      <c r="D103" s="194">
        <v>1.0222185080899999</v>
      </c>
    </row>
    <row r="104" spans="1:4" ht="27.75" customHeight="1" x14ac:dyDescent="0.2">
      <c r="A104" s="7" t="s">
        <v>906</v>
      </c>
      <c r="B104" s="8" t="s">
        <v>873</v>
      </c>
      <c r="C104" s="194">
        <v>0.28961031742099996</v>
      </c>
      <c r="D104" s="194">
        <v>1.0269019637599999</v>
      </c>
    </row>
    <row r="105" spans="1:4" ht="27.75" customHeight="1" x14ac:dyDescent="0.2">
      <c r="A105" s="7" t="s">
        <v>907</v>
      </c>
      <c r="B105" s="8" t="s">
        <v>873</v>
      </c>
      <c r="C105" s="194">
        <v>1.65703740134</v>
      </c>
      <c r="D105" s="194">
        <v>6.1308423541700003</v>
      </c>
    </row>
    <row r="106" spans="1:4" ht="27.75" customHeight="1" x14ac:dyDescent="0.2">
      <c r="A106" s="7" t="s">
        <v>908</v>
      </c>
      <c r="B106" s="8" t="s">
        <v>873</v>
      </c>
      <c r="C106" s="194">
        <v>3.8145106931999999</v>
      </c>
      <c r="D106" s="194">
        <v>4.2562733202800002E-4</v>
      </c>
    </row>
    <row r="107" spans="1:4" ht="27.75" customHeight="1" x14ac:dyDescent="0.2">
      <c r="A107" s="7" t="s">
        <v>909</v>
      </c>
      <c r="B107" s="8" t="s">
        <v>873</v>
      </c>
      <c r="C107" s="194">
        <v>0.25244722496200001</v>
      </c>
      <c r="D107" s="194">
        <v>6.34914109274</v>
      </c>
    </row>
    <row r="108" spans="1:4" ht="27.75" customHeight="1" x14ac:dyDescent="0.2">
      <c r="A108" s="7" t="s">
        <v>910</v>
      </c>
      <c r="B108" s="8" t="s">
        <v>873</v>
      </c>
      <c r="C108" s="194">
        <v>0.587152753197</v>
      </c>
      <c r="D108" s="194">
        <v>2.0284561004200001</v>
      </c>
    </row>
    <row r="109" spans="1:4" ht="27.75" customHeight="1" x14ac:dyDescent="0.2">
      <c r="A109" s="7" t="s">
        <v>911</v>
      </c>
      <c r="B109" s="8" t="s">
        <v>873</v>
      </c>
      <c r="C109" s="194">
        <v>0.22152348059900001</v>
      </c>
      <c r="D109" s="194">
        <v>3.9410584446500003</v>
      </c>
    </row>
    <row r="110" spans="1:4" ht="27.75" customHeight="1" x14ac:dyDescent="0.2">
      <c r="A110" s="7" t="s">
        <v>912</v>
      </c>
      <c r="B110" s="8" t="s">
        <v>873</v>
      </c>
      <c r="C110" s="194">
        <v>0.11602095362999999</v>
      </c>
      <c r="D110" s="194">
        <v>6.6348973619000002</v>
      </c>
    </row>
    <row r="111" spans="1:4" ht="27.75" customHeight="1" x14ac:dyDescent="0.2">
      <c r="A111" s="7" t="s">
        <v>913</v>
      </c>
      <c r="B111" s="8" t="s">
        <v>873</v>
      </c>
      <c r="C111" s="194">
        <v>0.107289927533</v>
      </c>
      <c r="D111" s="194">
        <v>7.0303312775000002</v>
      </c>
    </row>
    <row r="112" spans="1:4" ht="27.75" customHeight="1" x14ac:dyDescent="0.2">
      <c r="A112" s="7" t="s">
        <v>914</v>
      </c>
      <c r="B112" s="8" t="s">
        <v>873</v>
      </c>
      <c r="C112" s="194">
        <v>1.53710075257</v>
      </c>
      <c r="D112" s="194">
        <v>5.4850360300799998</v>
      </c>
    </row>
    <row r="113" spans="1:4" ht="27.75" customHeight="1" x14ac:dyDescent="0.2">
      <c r="A113" s="7" t="s">
        <v>915</v>
      </c>
      <c r="B113" s="8" t="s">
        <v>873</v>
      </c>
      <c r="C113" s="194">
        <v>0.11029113133100001</v>
      </c>
      <c r="D113" s="194">
        <v>1.9634148627400001</v>
      </c>
    </row>
    <row r="114" spans="1:4" ht="27.75" customHeight="1" x14ac:dyDescent="0.2">
      <c r="A114" s="7" t="s">
        <v>916</v>
      </c>
      <c r="B114" s="8" t="s">
        <v>873</v>
      </c>
      <c r="C114" s="194">
        <v>0.7517327815999999</v>
      </c>
      <c r="D114" s="194">
        <v>5.6737926344999998</v>
      </c>
    </row>
    <row r="115" spans="1:4" ht="27.75" customHeight="1" x14ac:dyDescent="0.2">
      <c r="A115" s="7" t="s">
        <v>917</v>
      </c>
      <c r="B115" s="8" t="s">
        <v>918</v>
      </c>
      <c r="C115" s="194">
        <v>1.87223347752</v>
      </c>
      <c r="D115" s="194">
        <v>8.1821152036599995E-2</v>
      </c>
    </row>
    <row r="116" spans="1:4" ht="27.75" customHeight="1" x14ac:dyDescent="0.2">
      <c r="A116" s="7" t="s">
        <v>919</v>
      </c>
      <c r="B116" s="8" t="s">
        <v>918</v>
      </c>
      <c r="C116" s="194">
        <v>1.2714114344</v>
      </c>
      <c r="D116" s="194">
        <v>3.06848070716</v>
      </c>
    </row>
    <row r="117" spans="1:4" ht="27.75" customHeight="1" x14ac:dyDescent="0.2">
      <c r="A117" s="7" t="s">
        <v>920</v>
      </c>
      <c r="B117" s="8" t="s">
        <v>918</v>
      </c>
      <c r="C117" s="194">
        <v>1.3331973099899999</v>
      </c>
      <c r="D117" s="194">
        <v>6.5209947960600001</v>
      </c>
    </row>
    <row r="118" spans="1:4" ht="27.75" customHeight="1" x14ac:dyDescent="0.2">
      <c r="A118" s="7" t="s">
        <v>921</v>
      </c>
      <c r="B118" s="8" t="s">
        <v>918</v>
      </c>
      <c r="C118" s="194">
        <v>0.20742998915300001</v>
      </c>
      <c r="D118" s="194">
        <v>4.4262020505500006</v>
      </c>
    </row>
    <row r="119" spans="1:4" ht="27.75" customHeight="1" x14ac:dyDescent="0.2">
      <c r="A119" s="7" t="s">
        <v>922</v>
      </c>
      <c r="B119" s="8" t="s">
        <v>918</v>
      </c>
      <c r="C119" s="194">
        <v>0.68573828991000008</v>
      </c>
      <c r="D119" s="194">
        <v>1.66971433658</v>
      </c>
    </row>
    <row r="120" spans="1:4" ht="27.75" customHeight="1" x14ac:dyDescent="0.2">
      <c r="A120" s="7" t="s">
        <v>923</v>
      </c>
      <c r="B120" s="8" t="s">
        <v>918</v>
      </c>
      <c r="C120" s="194">
        <v>0.195944148816</v>
      </c>
      <c r="D120" s="194">
        <v>0.40918827226600002</v>
      </c>
    </row>
    <row r="121" spans="1:4" ht="27.75" customHeight="1" x14ac:dyDescent="0.2">
      <c r="A121" s="7" t="s">
        <v>924</v>
      </c>
      <c r="B121" s="8" t="s">
        <v>918</v>
      </c>
      <c r="C121" s="194">
        <v>0.96143294854899997</v>
      </c>
      <c r="D121" s="194">
        <v>0.380391981509</v>
      </c>
    </row>
    <row r="122" spans="1:4" ht="27.75" customHeight="1" x14ac:dyDescent="0.2">
      <c r="A122" s="7" t="s">
        <v>925</v>
      </c>
      <c r="B122" s="8" t="s">
        <v>918</v>
      </c>
      <c r="C122" s="194">
        <v>0.68475218798699999</v>
      </c>
      <c r="D122" s="194">
        <v>1.85073768049</v>
      </c>
    </row>
    <row r="123" spans="1:4" ht="27.75" customHeight="1" x14ac:dyDescent="0.2">
      <c r="A123" s="7" t="s">
        <v>926</v>
      </c>
      <c r="B123" s="8" t="s">
        <v>918</v>
      </c>
      <c r="C123" s="194">
        <v>0.67205340976299999</v>
      </c>
      <c r="D123" s="194">
        <v>2.3790336543200001</v>
      </c>
    </row>
    <row r="124" spans="1:4" ht="27.75" customHeight="1" x14ac:dyDescent="0.2">
      <c r="A124" s="7" t="s">
        <v>927</v>
      </c>
      <c r="B124" s="8" t="s">
        <v>918</v>
      </c>
      <c r="C124" s="194">
        <v>0.14981391867299998</v>
      </c>
      <c r="D124" s="194">
        <v>3.3082918476200001</v>
      </c>
    </row>
    <row r="125" spans="1:4" ht="27.75" customHeight="1" x14ac:dyDescent="0.2">
      <c r="A125" s="7" t="s">
        <v>928</v>
      </c>
      <c r="B125" s="8" t="s">
        <v>918</v>
      </c>
      <c r="C125" s="194">
        <v>0.466838757361</v>
      </c>
      <c r="D125" s="194">
        <v>3.6812325581599996</v>
      </c>
    </row>
    <row r="126" spans="1:4" ht="27.75" customHeight="1" x14ac:dyDescent="0.2">
      <c r="A126" s="7" t="s">
        <v>929</v>
      </c>
      <c r="B126" s="8" t="s">
        <v>918</v>
      </c>
      <c r="C126" s="194">
        <v>3.26392259835E-3</v>
      </c>
      <c r="D126" s="194">
        <v>1.29056533623</v>
      </c>
    </row>
    <row r="127" spans="1:4" ht="27.75" customHeight="1" x14ac:dyDescent="0.2">
      <c r="A127" s="7" t="s">
        <v>930</v>
      </c>
      <c r="B127" s="8" t="s">
        <v>918</v>
      </c>
      <c r="C127" s="194">
        <v>1.8257939831299998E-2</v>
      </c>
      <c r="D127" s="194">
        <v>0.18767165936000002</v>
      </c>
    </row>
    <row r="128" spans="1:4" ht="27.75" customHeight="1" x14ac:dyDescent="0.2">
      <c r="A128" s="7" t="s">
        <v>931</v>
      </c>
      <c r="B128" s="8" t="s">
        <v>918</v>
      </c>
      <c r="C128" s="194">
        <v>0.46205842383500001</v>
      </c>
      <c r="D128" s="194">
        <v>5.6852624565500003</v>
      </c>
    </row>
    <row r="129" spans="1:4" ht="27.75" customHeight="1" x14ac:dyDescent="0.2">
      <c r="A129" s="7" t="s">
        <v>932</v>
      </c>
      <c r="B129" s="8" t="s">
        <v>918</v>
      </c>
      <c r="C129" s="194">
        <v>0.48964905715399998</v>
      </c>
      <c r="D129" s="194">
        <v>5.48577461049</v>
      </c>
    </row>
    <row r="130" spans="1:4" ht="27.75" customHeight="1" x14ac:dyDescent="0.2">
      <c r="A130" s="7" t="s">
        <v>933</v>
      </c>
      <c r="B130" s="8" t="s">
        <v>918</v>
      </c>
      <c r="C130" s="194">
        <v>0.210160302528</v>
      </c>
      <c r="D130" s="194">
        <v>8.7078387351399993</v>
      </c>
    </row>
    <row r="131" spans="1:4" ht="27.75" customHeight="1" x14ac:dyDescent="0.2">
      <c r="A131" s="7" t="s">
        <v>934</v>
      </c>
      <c r="B131" s="8" t="s">
        <v>918</v>
      </c>
      <c r="C131" s="194">
        <v>1.47103126336</v>
      </c>
      <c r="D131" s="194">
        <v>3.8957785739099999</v>
      </c>
    </row>
    <row r="132" spans="1:4" ht="27.75" customHeight="1" x14ac:dyDescent="0.2">
      <c r="A132" s="7" t="s">
        <v>935</v>
      </c>
      <c r="B132" s="8" t="s">
        <v>918</v>
      </c>
      <c r="C132" s="194">
        <v>0.65934474141999999</v>
      </c>
      <c r="D132" s="194">
        <v>5.0695176586500006</v>
      </c>
    </row>
    <row r="133" spans="1:4" ht="27.75" customHeight="1" x14ac:dyDescent="0.2">
      <c r="A133" s="7" t="s">
        <v>936</v>
      </c>
      <c r="B133" s="8" t="s">
        <v>918</v>
      </c>
      <c r="C133" s="194">
        <v>0.68509037953999996</v>
      </c>
      <c r="D133" s="194">
        <v>1.07119053831</v>
      </c>
    </row>
    <row r="134" spans="1:4" ht="27.75" customHeight="1" x14ac:dyDescent="0.2">
      <c r="A134" s="7" t="s">
        <v>937</v>
      </c>
      <c r="B134" s="8" t="s">
        <v>918</v>
      </c>
      <c r="C134" s="194">
        <v>0.30006600960399998</v>
      </c>
      <c r="D134" s="194">
        <v>3.8237096685400003</v>
      </c>
    </row>
    <row r="135" spans="1:4" ht="27.75" customHeight="1" x14ac:dyDescent="0.2">
      <c r="A135" s="7" t="s">
        <v>938</v>
      </c>
      <c r="B135" s="8" t="s">
        <v>918</v>
      </c>
      <c r="C135" s="194">
        <v>0.35012918596800002</v>
      </c>
      <c r="D135" s="194">
        <v>0.715726907079</v>
      </c>
    </row>
    <row r="136" spans="1:4" ht="27.75" customHeight="1" x14ac:dyDescent="0.2">
      <c r="A136" s="7" t="s">
        <v>939</v>
      </c>
      <c r="B136" s="8" t="s">
        <v>918</v>
      </c>
      <c r="C136" s="194">
        <v>0.435182537466</v>
      </c>
      <c r="D136" s="194">
        <v>4.3174092154299997</v>
      </c>
    </row>
    <row r="137" spans="1:4" ht="27.75" customHeight="1" x14ac:dyDescent="0.2">
      <c r="A137" s="7" t="s">
        <v>940</v>
      </c>
      <c r="B137" s="8" t="s">
        <v>918</v>
      </c>
      <c r="C137" s="194">
        <v>0.28456612952299998</v>
      </c>
      <c r="D137" s="194">
        <v>6.5150936487199997</v>
      </c>
    </row>
    <row r="138" spans="1:4" ht="27.75" customHeight="1" x14ac:dyDescent="0.2">
      <c r="A138" s="7" t="s">
        <v>941</v>
      </c>
      <c r="B138" s="8" t="s">
        <v>918</v>
      </c>
      <c r="C138" s="194">
        <v>0.28456612952299998</v>
      </c>
      <c r="D138" s="194">
        <v>6.5150936487199997</v>
      </c>
    </row>
    <row r="139" spans="1:4" ht="27.75" customHeight="1" x14ac:dyDescent="0.2">
      <c r="A139" s="7" t="s">
        <v>942</v>
      </c>
      <c r="B139" s="8" t="s">
        <v>918</v>
      </c>
      <c r="C139" s="194">
        <v>1.27959907911</v>
      </c>
      <c r="D139" s="194">
        <v>6.8438368493599997</v>
      </c>
    </row>
    <row r="140" spans="1:4" ht="27.75" customHeight="1" x14ac:dyDescent="0.2">
      <c r="A140" s="7" t="s">
        <v>943</v>
      </c>
      <c r="B140" s="8" t="s">
        <v>918</v>
      </c>
      <c r="C140" s="194">
        <v>1.2795996418300002</v>
      </c>
      <c r="D140" s="194">
        <v>6.8438410494699999</v>
      </c>
    </row>
    <row r="141" spans="1:4" ht="27.75" customHeight="1" x14ac:dyDescent="0.2">
      <c r="A141" s="7" t="s">
        <v>944</v>
      </c>
      <c r="B141" s="8" t="s">
        <v>918</v>
      </c>
      <c r="C141" s="194">
        <v>-7.3905023383499996E-2</v>
      </c>
      <c r="D141" s="194">
        <v>5.2007588932699997</v>
      </c>
    </row>
    <row r="142" spans="1:4" ht="27.75" customHeight="1" x14ac:dyDescent="0.2">
      <c r="A142" s="7" t="s">
        <v>945</v>
      </c>
      <c r="B142" s="8" t="s">
        <v>918</v>
      </c>
      <c r="C142" s="194">
        <v>0.62016704423299995</v>
      </c>
      <c r="D142" s="194">
        <v>1.6230591966400001</v>
      </c>
    </row>
    <row r="143" spans="1:4" ht="27.75" customHeight="1" x14ac:dyDescent="0.2">
      <c r="A143" s="7" t="s">
        <v>946</v>
      </c>
      <c r="B143" s="8" t="s">
        <v>947</v>
      </c>
      <c r="C143" s="194">
        <v>0</v>
      </c>
      <c r="D143" s="194">
        <v>0</v>
      </c>
    </row>
    <row r="144" spans="1:4" ht="27.75" customHeight="1" x14ac:dyDescent="0.2">
      <c r="A144" s="7" t="s">
        <v>948</v>
      </c>
      <c r="B144" s="8" t="s">
        <v>947</v>
      </c>
      <c r="C144" s="194">
        <v>0</v>
      </c>
      <c r="D144" s="194">
        <v>0</v>
      </c>
    </row>
    <row r="145" spans="1:4" ht="27.75" customHeight="1" x14ac:dyDescent="0.2">
      <c r="A145" s="7" t="s">
        <v>949</v>
      </c>
      <c r="B145" s="8" t="s">
        <v>947</v>
      </c>
      <c r="C145" s="194">
        <v>0</v>
      </c>
      <c r="D145" s="194">
        <v>0</v>
      </c>
    </row>
    <row r="146" spans="1:4" ht="27.75" customHeight="1" x14ac:dyDescent="0.2">
      <c r="A146" s="7" t="s">
        <v>950</v>
      </c>
      <c r="B146" s="8" t="s">
        <v>947</v>
      </c>
      <c r="C146" s="194">
        <v>0</v>
      </c>
      <c r="D146" s="194">
        <v>0</v>
      </c>
    </row>
    <row r="147" spans="1:4" ht="27.75" customHeight="1" x14ac:dyDescent="0.2">
      <c r="A147" s="7" t="s">
        <v>951</v>
      </c>
      <c r="B147" s="8" t="s">
        <v>947</v>
      </c>
      <c r="C147" s="194">
        <v>0</v>
      </c>
      <c r="D147" s="194">
        <v>0</v>
      </c>
    </row>
    <row r="148" spans="1:4" ht="27.75" customHeight="1" x14ac:dyDescent="0.2">
      <c r="A148" s="7" t="s">
        <v>952</v>
      </c>
      <c r="B148" s="8" t="s">
        <v>947</v>
      </c>
      <c r="C148" s="194">
        <v>0</v>
      </c>
      <c r="D148" s="194">
        <v>0</v>
      </c>
    </row>
    <row r="149" spans="1:4" ht="27.75" customHeight="1" x14ac:dyDescent="0.2">
      <c r="A149" s="7" t="s">
        <v>953</v>
      </c>
      <c r="B149" s="8" t="s">
        <v>947</v>
      </c>
      <c r="C149" s="194">
        <v>0</v>
      </c>
      <c r="D149" s="194">
        <v>0</v>
      </c>
    </row>
    <row r="150" spans="1:4" ht="27.75" customHeight="1" x14ac:dyDescent="0.2">
      <c r="A150" s="7" t="s">
        <v>954</v>
      </c>
      <c r="B150" s="8" t="s">
        <v>947</v>
      </c>
      <c r="C150" s="194">
        <v>0</v>
      </c>
      <c r="D150" s="194">
        <v>0</v>
      </c>
    </row>
    <row r="151" spans="1:4" ht="27.75" customHeight="1" x14ac:dyDescent="0.2">
      <c r="A151" s="7" t="s">
        <v>955</v>
      </c>
      <c r="B151" s="8" t="s">
        <v>947</v>
      </c>
      <c r="C151" s="194">
        <v>0</v>
      </c>
      <c r="D151" s="194">
        <v>0</v>
      </c>
    </row>
    <row r="152" spans="1:4" ht="27.75" customHeight="1" x14ac:dyDescent="0.2">
      <c r="A152" s="7" t="s">
        <v>956</v>
      </c>
      <c r="B152" s="8" t="s">
        <v>947</v>
      </c>
      <c r="C152" s="194">
        <v>0</v>
      </c>
      <c r="D152" s="194">
        <v>0</v>
      </c>
    </row>
    <row r="153" spans="1:4" ht="27.75" customHeight="1" x14ac:dyDescent="0.2">
      <c r="A153" s="7" t="s">
        <v>957</v>
      </c>
      <c r="B153" s="8" t="s">
        <v>947</v>
      </c>
      <c r="C153" s="194">
        <v>0</v>
      </c>
      <c r="D153" s="194">
        <v>0</v>
      </c>
    </row>
    <row r="154" spans="1:4" ht="27.75" customHeight="1" x14ac:dyDescent="0.2">
      <c r="A154" s="7" t="s">
        <v>958</v>
      </c>
      <c r="B154" s="8" t="s">
        <v>947</v>
      </c>
      <c r="C154" s="194">
        <v>0</v>
      </c>
      <c r="D154" s="194">
        <v>0</v>
      </c>
    </row>
    <row r="155" spans="1:4" ht="27.75" customHeight="1" x14ac:dyDescent="0.2">
      <c r="A155" s="7" t="s">
        <v>959</v>
      </c>
      <c r="B155" s="8" t="s">
        <v>947</v>
      </c>
      <c r="C155" s="194">
        <v>0</v>
      </c>
      <c r="D155" s="194">
        <v>0</v>
      </c>
    </row>
    <row r="156" spans="1:4" ht="27.75" customHeight="1" x14ac:dyDescent="0.2">
      <c r="A156" s="7" t="s">
        <v>960</v>
      </c>
      <c r="B156" s="8" t="s">
        <v>961</v>
      </c>
      <c r="C156" s="194">
        <v>0.42514012491699998</v>
      </c>
      <c r="D156" s="194">
        <v>1.9396334449800001E-2</v>
      </c>
    </row>
    <row r="157" spans="1:4" ht="27.75" customHeight="1" x14ac:dyDescent="0.2">
      <c r="A157" s="7" t="s">
        <v>962</v>
      </c>
      <c r="B157" s="8" t="s">
        <v>961</v>
      </c>
      <c r="C157" s="194">
        <v>0.63661464981299998</v>
      </c>
      <c r="D157" s="194">
        <v>0.859023530737</v>
      </c>
    </row>
    <row r="158" spans="1:4" ht="27.75" customHeight="1" x14ac:dyDescent="0.2">
      <c r="A158" s="7" t="s">
        <v>963</v>
      </c>
      <c r="B158" s="8" t="s">
        <v>961</v>
      </c>
      <c r="C158" s="194">
        <v>0.49308658143399997</v>
      </c>
      <c r="D158" s="194">
        <v>3.4971975296800002</v>
      </c>
    </row>
    <row r="159" spans="1:4" ht="27.75" customHeight="1" x14ac:dyDescent="0.2">
      <c r="A159" s="7" t="s">
        <v>964</v>
      </c>
      <c r="B159" s="8" t="s">
        <v>961</v>
      </c>
      <c r="C159" s="194">
        <v>0.15240297532700001</v>
      </c>
      <c r="D159" s="194">
        <v>2.13154419439</v>
      </c>
    </row>
    <row r="160" spans="1:4" ht="27.75" customHeight="1" x14ac:dyDescent="0.2">
      <c r="A160" s="7" t="s">
        <v>965</v>
      </c>
      <c r="B160" s="8" t="s">
        <v>961</v>
      </c>
      <c r="C160" s="194">
        <v>2.4427420621999998</v>
      </c>
      <c r="D160" s="194">
        <v>3.22065063845</v>
      </c>
    </row>
    <row r="161" spans="1:4" ht="27.75" customHeight="1" x14ac:dyDescent="0.2">
      <c r="A161" s="7" t="s">
        <v>966</v>
      </c>
      <c r="B161" s="8" t="s">
        <v>961</v>
      </c>
      <c r="C161" s="194">
        <v>0</v>
      </c>
      <c r="D161" s="194">
        <v>0.86556261623600006</v>
      </c>
    </row>
    <row r="162" spans="1:4" ht="27.75" customHeight="1" x14ac:dyDescent="0.2">
      <c r="A162" s="7" t="s">
        <v>967</v>
      </c>
      <c r="B162" s="8" t="s">
        <v>961</v>
      </c>
      <c r="C162" s="194">
        <v>0.16108321452000002</v>
      </c>
      <c r="D162" s="194">
        <v>1.0514216452799998</v>
      </c>
    </row>
    <row r="163" spans="1:4" ht="27.75" customHeight="1" x14ac:dyDescent="0.2">
      <c r="A163" s="7" t="s">
        <v>968</v>
      </c>
      <c r="B163" s="8" t="s">
        <v>961</v>
      </c>
      <c r="C163" s="194">
        <v>0.83432576241599998</v>
      </c>
      <c r="D163" s="194">
        <v>0.58479346982299996</v>
      </c>
    </row>
    <row r="164" spans="1:4" ht="27.75" customHeight="1" x14ac:dyDescent="0.2">
      <c r="A164" s="7" t="s">
        <v>969</v>
      </c>
      <c r="B164" s="8" t="s">
        <v>961</v>
      </c>
      <c r="C164" s="194">
        <v>2.7069944438500002</v>
      </c>
      <c r="D164" s="194">
        <v>1.15032713036</v>
      </c>
    </row>
    <row r="165" spans="1:4" ht="27.75" customHeight="1" x14ac:dyDescent="0.2">
      <c r="A165" s="7" t="s">
        <v>970</v>
      </c>
      <c r="B165" s="8" t="s">
        <v>961</v>
      </c>
      <c r="C165" s="194">
        <v>6.6318579041399997E-2</v>
      </c>
      <c r="D165" s="194">
        <v>1.6626923317</v>
      </c>
    </row>
    <row r="166" spans="1:4" ht="27.75" customHeight="1" x14ac:dyDescent="0.2">
      <c r="A166" s="7" t="s">
        <v>971</v>
      </c>
      <c r="B166" s="8" t="s">
        <v>961</v>
      </c>
      <c r="C166" s="194">
        <v>3.1126098332400001</v>
      </c>
      <c r="D166" s="194">
        <v>3.7088724824499999</v>
      </c>
    </row>
    <row r="167" spans="1:4" ht="27.75" customHeight="1" x14ac:dyDescent="0.2">
      <c r="A167" s="7" t="s">
        <v>972</v>
      </c>
      <c r="B167" s="8" t="s">
        <v>961</v>
      </c>
      <c r="C167" s="194">
        <v>0.10687124617</v>
      </c>
      <c r="D167" s="194">
        <v>0.41237042365100002</v>
      </c>
    </row>
    <row r="168" spans="1:4" ht="27.75" customHeight="1" x14ac:dyDescent="0.2">
      <c r="A168" s="7" t="s">
        <v>973</v>
      </c>
      <c r="B168" s="8" t="s">
        <v>961</v>
      </c>
      <c r="C168" s="194">
        <v>0.183003120666</v>
      </c>
      <c r="D168" s="194">
        <v>1.3325589844000001</v>
      </c>
    </row>
    <row r="169" spans="1:4" ht="27.75" customHeight="1" x14ac:dyDescent="0.2">
      <c r="A169" s="7" t="s">
        <v>974</v>
      </c>
      <c r="B169" s="8" t="s">
        <v>961</v>
      </c>
      <c r="C169" s="194">
        <v>0.13591144953500001</v>
      </c>
      <c r="D169" s="194">
        <v>2.4860462376900001</v>
      </c>
    </row>
    <row r="170" spans="1:4" ht="27.75" customHeight="1" x14ac:dyDescent="0.2">
      <c r="A170" s="7" t="s">
        <v>975</v>
      </c>
      <c r="B170" s="8" t="s">
        <v>961</v>
      </c>
      <c r="C170" s="194">
        <v>0.41291411078000001</v>
      </c>
      <c r="D170" s="194">
        <v>1.17767304088</v>
      </c>
    </row>
    <row r="171" spans="1:4" ht="27.75" customHeight="1" x14ac:dyDescent="0.2">
      <c r="A171" s="7" t="s">
        <v>976</v>
      </c>
      <c r="B171" s="8" t="s">
        <v>961</v>
      </c>
      <c r="C171" s="194">
        <v>7.5430260826999995E-2</v>
      </c>
      <c r="D171" s="194">
        <v>0.40433251587299995</v>
      </c>
    </row>
    <row r="172" spans="1:4" ht="27.75" customHeight="1" x14ac:dyDescent="0.2">
      <c r="A172" s="7" t="s">
        <v>977</v>
      </c>
      <c r="B172" s="8" t="s">
        <v>961</v>
      </c>
      <c r="C172" s="194">
        <v>0.14297158752000003</v>
      </c>
      <c r="D172" s="194">
        <v>0.77294663156199994</v>
      </c>
    </row>
    <row r="173" spans="1:4" ht="27.75" customHeight="1" x14ac:dyDescent="0.2">
      <c r="A173" s="7" t="s">
        <v>978</v>
      </c>
      <c r="B173" s="8" t="s">
        <v>979</v>
      </c>
      <c r="C173" s="194">
        <v>0</v>
      </c>
      <c r="D173" s="194">
        <v>0</v>
      </c>
    </row>
    <row r="174" spans="1:4" ht="27.75" customHeight="1" x14ac:dyDescent="0.2">
      <c r="A174" s="7" t="s">
        <v>980</v>
      </c>
      <c r="B174" s="8" t="s">
        <v>979</v>
      </c>
      <c r="C174" s="194">
        <v>9.7831468217300002E-2</v>
      </c>
      <c r="D174" s="194">
        <v>2.8103672627699998</v>
      </c>
    </row>
    <row r="175" spans="1:4" ht="27.75" customHeight="1" x14ac:dyDescent="0.2">
      <c r="A175" s="7" t="s">
        <v>981</v>
      </c>
      <c r="B175" s="8" t="s">
        <v>979</v>
      </c>
      <c r="C175" s="194">
        <v>9.780408707850001E-2</v>
      </c>
      <c r="D175" s="194">
        <v>2.8100581679299999</v>
      </c>
    </row>
    <row r="176" spans="1:4" ht="27.75" customHeight="1" x14ac:dyDescent="0.2">
      <c r="A176" s="7" t="s">
        <v>982</v>
      </c>
      <c r="B176" s="8" t="s">
        <v>979</v>
      </c>
      <c r="C176" s="194">
        <v>0.20511660831799999</v>
      </c>
      <c r="D176" s="194">
        <v>1.0950777191699999</v>
      </c>
    </row>
    <row r="177" spans="1:4" ht="27.75" customHeight="1" x14ac:dyDescent="0.2">
      <c r="A177" s="7" t="s">
        <v>983</v>
      </c>
      <c r="B177" s="8" t="s">
        <v>979</v>
      </c>
      <c r="C177" s="194">
        <v>8.5775086576000012E-2</v>
      </c>
      <c r="D177" s="194">
        <v>0.97064325165499998</v>
      </c>
    </row>
    <row r="178" spans="1:4" ht="27.75" customHeight="1" x14ac:dyDescent="0.2">
      <c r="A178" s="7" t="s">
        <v>984</v>
      </c>
      <c r="B178" s="8" t="s">
        <v>979</v>
      </c>
      <c r="C178" s="194">
        <v>0.37649448082199999</v>
      </c>
      <c r="D178" s="194">
        <v>3.8618950298999999</v>
      </c>
    </row>
    <row r="179" spans="1:4" ht="27.75" customHeight="1" x14ac:dyDescent="0.2">
      <c r="A179" s="7" t="s">
        <v>985</v>
      </c>
      <c r="B179" s="8" t="s">
        <v>979</v>
      </c>
      <c r="C179" s="194">
        <v>8.89714607913E-2</v>
      </c>
      <c r="D179" s="194">
        <v>3.4588713877999999</v>
      </c>
    </row>
    <row r="180" spans="1:4" ht="27.75" customHeight="1" x14ac:dyDescent="0.2">
      <c r="A180" s="7" t="s">
        <v>986</v>
      </c>
      <c r="B180" s="8" t="s">
        <v>979</v>
      </c>
      <c r="C180" s="194">
        <v>0.16186088908900001</v>
      </c>
      <c r="D180" s="194">
        <v>1.2655990427799999</v>
      </c>
    </row>
    <row r="181" spans="1:4" ht="27.75" customHeight="1" x14ac:dyDescent="0.2">
      <c r="A181" s="7" t="s">
        <v>987</v>
      </c>
      <c r="B181" s="8" t="s">
        <v>979</v>
      </c>
      <c r="C181" s="194">
        <v>0.32207195205099998</v>
      </c>
      <c r="D181" s="194">
        <v>0.45583247611200001</v>
      </c>
    </row>
    <row r="182" spans="1:4" ht="27.75" customHeight="1" x14ac:dyDescent="0.2">
      <c r="A182" s="7" t="s">
        <v>988</v>
      </c>
      <c r="B182" s="8" t="s">
        <v>979</v>
      </c>
      <c r="C182" s="194">
        <v>0.52133192299100006</v>
      </c>
      <c r="D182" s="194">
        <v>1.1095477301500001</v>
      </c>
    </row>
    <row r="183" spans="1:4" ht="27.75" customHeight="1" x14ac:dyDescent="0.2">
      <c r="A183" s="7" t="s">
        <v>989</v>
      </c>
      <c r="B183" s="8" t="s">
        <v>979</v>
      </c>
      <c r="C183" s="194">
        <v>0.40800767892000001</v>
      </c>
      <c r="D183" s="194">
        <v>3.1934778579600001</v>
      </c>
    </row>
    <row r="184" spans="1:4" ht="27.75" customHeight="1" x14ac:dyDescent="0.2">
      <c r="A184" s="7" t="s">
        <v>990</v>
      </c>
      <c r="B184" s="8" t="s">
        <v>979</v>
      </c>
      <c r="C184" s="194">
        <v>0.22122023331400001</v>
      </c>
      <c r="D184" s="194">
        <v>1.8217779052400001</v>
      </c>
    </row>
    <row r="185" spans="1:4" ht="27.75" customHeight="1" x14ac:dyDescent="0.2">
      <c r="A185" s="7" t="s">
        <v>991</v>
      </c>
      <c r="B185" s="8" t="s">
        <v>979</v>
      </c>
      <c r="C185" s="194">
        <v>0.41712898604499998</v>
      </c>
      <c r="D185" s="194">
        <v>0.81985840879499994</v>
      </c>
    </row>
    <row r="186" spans="1:4" ht="27.75" customHeight="1" x14ac:dyDescent="0.2">
      <c r="A186" s="7" t="s">
        <v>992</v>
      </c>
      <c r="B186" s="8" t="s">
        <v>979</v>
      </c>
      <c r="C186" s="194">
        <v>0.209985660071</v>
      </c>
      <c r="D186" s="194">
        <v>0.81204273738100008</v>
      </c>
    </row>
    <row r="187" spans="1:4" ht="27.75" customHeight="1" x14ac:dyDescent="0.2">
      <c r="A187" s="7" t="s">
        <v>993</v>
      </c>
      <c r="B187" s="8" t="s">
        <v>979</v>
      </c>
      <c r="C187" s="194">
        <v>0.76159432275999994</v>
      </c>
      <c r="D187" s="194">
        <v>2.4129702285299999</v>
      </c>
    </row>
    <row r="188" spans="1:4" ht="27.75" customHeight="1" x14ac:dyDescent="0.2">
      <c r="A188" s="7" t="s">
        <v>994</v>
      </c>
      <c r="B188" s="8" t="s">
        <v>979</v>
      </c>
      <c r="C188" s="194">
        <v>1.7183098831800001</v>
      </c>
      <c r="D188" s="194">
        <v>4.80377349855</v>
      </c>
    </row>
    <row r="189" spans="1:4" ht="27.75" customHeight="1" x14ac:dyDescent="0.2">
      <c r="A189" s="7" t="s">
        <v>995</v>
      </c>
      <c r="B189" s="8" t="s">
        <v>979</v>
      </c>
      <c r="C189" s="194">
        <v>2.7546098296599997</v>
      </c>
      <c r="D189" s="194">
        <v>2.1493685409599999</v>
      </c>
    </row>
    <row r="190" spans="1:4" ht="27.75" customHeight="1" x14ac:dyDescent="0.2">
      <c r="A190" s="7" t="s">
        <v>996</v>
      </c>
      <c r="B190" s="8" t="s">
        <v>979</v>
      </c>
      <c r="C190" s="194">
        <v>0.26442457840100003</v>
      </c>
      <c r="D190" s="194">
        <v>4.1977528205899999</v>
      </c>
    </row>
    <row r="191" spans="1:4" ht="27.75" customHeight="1" x14ac:dyDescent="0.2">
      <c r="A191" s="7" t="s">
        <v>997</v>
      </c>
      <c r="B191" s="8" t="s">
        <v>979</v>
      </c>
      <c r="C191" s="194">
        <v>0.49043898067899999</v>
      </c>
      <c r="D191" s="194">
        <v>0.62160405627299997</v>
      </c>
    </row>
    <row r="192" spans="1:4" ht="27.75" customHeight="1" x14ac:dyDescent="0.2">
      <c r="A192" s="7" t="s">
        <v>998</v>
      </c>
      <c r="B192" s="8" t="s">
        <v>979</v>
      </c>
      <c r="C192" s="194">
        <v>5.2239473624900006</v>
      </c>
      <c r="D192" s="194">
        <v>1.8168626780299998E-2</v>
      </c>
    </row>
    <row r="193" spans="1:4" ht="27.75" customHeight="1" x14ac:dyDescent="0.2">
      <c r="A193" s="7" t="s">
        <v>999</v>
      </c>
      <c r="B193" s="8" t="s">
        <v>979</v>
      </c>
      <c r="C193" s="194">
        <v>3.4396242336700002E-2</v>
      </c>
      <c r="D193" s="194">
        <v>7.7631598954000007E-5</v>
      </c>
    </row>
    <row r="194" spans="1:4" ht="27.75" customHeight="1" x14ac:dyDescent="0.2">
      <c r="A194" s="7" t="s">
        <v>1000</v>
      </c>
      <c r="B194" s="8" t="s">
        <v>979</v>
      </c>
      <c r="C194" s="194">
        <v>0.36374431016699998</v>
      </c>
      <c r="D194" s="194">
        <v>1.0640150383</v>
      </c>
    </row>
    <row r="195" spans="1:4" ht="27.75" customHeight="1" x14ac:dyDescent="0.2">
      <c r="A195" s="7" t="s">
        <v>1001</v>
      </c>
      <c r="B195" s="8" t="s">
        <v>979</v>
      </c>
      <c r="C195" s="194">
        <v>0.30011337988000003</v>
      </c>
      <c r="D195" s="194">
        <v>0.140835708542</v>
      </c>
    </row>
    <row r="196" spans="1:4" ht="27.75" customHeight="1" x14ac:dyDescent="0.2">
      <c r="A196" s="7" t="s">
        <v>1002</v>
      </c>
      <c r="B196" s="8" t="s">
        <v>979</v>
      </c>
      <c r="C196" s="194">
        <v>0.41325759084700003</v>
      </c>
      <c r="D196" s="194">
        <v>2.22988061578</v>
      </c>
    </row>
    <row r="197" spans="1:4" ht="27.75" customHeight="1" x14ac:dyDescent="0.2">
      <c r="A197" s="7" t="s">
        <v>1003</v>
      </c>
      <c r="B197" s="8" t="s">
        <v>979</v>
      </c>
      <c r="C197" s="194">
        <v>1.56178244523</v>
      </c>
      <c r="D197" s="194">
        <v>0.68574436182299991</v>
      </c>
    </row>
    <row r="198" spans="1:4" ht="27.75" customHeight="1" x14ac:dyDescent="0.2">
      <c r="A198" s="7" t="s">
        <v>1004</v>
      </c>
      <c r="B198" s="8" t="s">
        <v>979</v>
      </c>
      <c r="C198" s="194">
        <v>1.24365616522</v>
      </c>
      <c r="D198" s="194">
        <v>0.69887539435799995</v>
      </c>
    </row>
    <row r="199" spans="1:4" ht="27.75" customHeight="1" x14ac:dyDescent="0.2">
      <c r="A199" s="7" t="s">
        <v>1005</v>
      </c>
      <c r="B199" s="8" t="s">
        <v>979</v>
      </c>
      <c r="C199" s="194">
        <v>0</v>
      </c>
      <c r="D199" s="194">
        <v>0.36093919569600003</v>
      </c>
    </row>
    <row r="200" spans="1:4" ht="27.75" customHeight="1" x14ac:dyDescent="0.2">
      <c r="A200" s="7" t="s">
        <v>1006</v>
      </c>
      <c r="B200" s="8" t="s">
        <v>979</v>
      </c>
      <c r="C200" s="194">
        <v>0.23974065712600001</v>
      </c>
      <c r="D200" s="194">
        <v>2.8896224431999999</v>
      </c>
    </row>
    <row r="201" spans="1:4" ht="27.75" customHeight="1" x14ac:dyDescent="0.2">
      <c r="A201" s="7" t="s">
        <v>1007</v>
      </c>
      <c r="B201" s="8" t="s">
        <v>979</v>
      </c>
      <c r="C201" s="194">
        <v>0.72022615543799995</v>
      </c>
      <c r="D201" s="194">
        <v>3.7260105488999997</v>
      </c>
    </row>
    <row r="202" spans="1:4" ht="27.75" customHeight="1" x14ac:dyDescent="0.2">
      <c r="A202" s="7" t="s">
        <v>1008</v>
      </c>
      <c r="B202" s="8" t="s">
        <v>979</v>
      </c>
      <c r="C202" s="194">
        <v>0.494651201722</v>
      </c>
      <c r="D202" s="194">
        <v>2.41316509341</v>
      </c>
    </row>
    <row r="203" spans="1:4" ht="27.75" customHeight="1" x14ac:dyDescent="0.2">
      <c r="A203" s="7" t="s">
        <v>1009</v>
      </c>
      <c r="B203" s="8" t="s">
        <v>979</v>
      </c>
      <c r="C203" s="194">
        <v>1.66669536974</v>
      </c>
      <c r="D203" s="194">
        <v>2.8160849932900001</v>
      </c>
    </row>
    <row r="204" spans="1:4" ht="27.75" customHeight="1" x14ac:dyDescent="0.2">
      <c r="A204" s="7" t="s">
        <v>1010</v>
      </c>
      <c r="B204" s="8" t="s">
        <v>979</v>
      </c>
      <c r="C204" s="194">
        <v>0.41559601563600002</v>
      </c>
      <c r="D204" s="194">
        <v>0.90695218148400003</v>
      </c>
    </row>
    <row r="205" spans="1:4" ht="27.75" customHeight="1" x14ac:dyDescent="0.2">
      <c r="A205" s="7" t="s">
        <v>1011</v>
      </c>
      <c r="B205" s="8" t="s">
        <v>1012</v>
      </c>
      <c r="C205" s="194">
        <v>2.5824662750600002E-4</v>
      </c>
      <c r="D205" s="194">
        <v>0</v>
      </c>
    </row>
    <row r="206" spans="1:4" ht="27.75" customHeight="1" x14ac:dyDescent="0.2">
      <c r="A206" s="7" t="s">
        <v>1013</v>
      </c>
      <c r="B206" s="8" t="s">
        <v>1012</v>
      </c>
      <c r="C206" s="194">
        <v>0.102711053659</v>
      </c>
      <c r="D206" s="194">
        <v>2.7981566348600001E-3</v>
      </c>
    </row>
    <row r="207" spans="1:4" ht="27.75" customHeight="1" x14ac:dyDescent="0.2">
      <c r="A207" s="7" t="s">
        <v>1014</v>
      </c>
      <c r="B207" s="8" t="s">
        <v>1012</v>
      </c>
      <c r="C207" s="194">
        <v>0</v>
      </c>
      <c r="D207" s="194">
        <v>0.48304528310400002</v>
      </c>
    </row>
    <row r="208" spans="1:4" ht="27.75" customHeight="1" x14ac:dyDescent="0.2">
      <c r="A208" s="7" t="s">
        <v>1015</v>
      </c>
      <c r="B208" s="8" t="s">
        <v>1012</v>
      </c>
      <c r="C208" s="194">
        <v>0.733928733359</v>
      </c>
      <c r="D208" s="194">
        <v>2.3102351426999999</v>
      </c>
    </row>
    <row r="209" spans="1:4" ht="27.75" customHeight="1" x14ac:dyDescent="0.2">
      <c r="A209" s="7" t="s">
        <v>1016</v>
      </c>
      <c r="B209" s="8" t="s">
        <v>1012</v>
      </c>
      <c r="C209" s="194">
        <v>0.22201355461899999</v>
      </c>
      <c r="D209" s="194">
        <v>6.6280643795299993E-2</v>
      </c>
    </row>
    <row r="210" spans="1:4" ht="27.75" customHeight="1" x14ac:dyDescent="0.2">
      <c r="A210" s="7" t="s">
        <v>1017</v>
      </c>
      <c r="B210" s="8" t="s">
        <v>1012</v>
      </c>
      <c r="C210" s="194">
        <v>1.19346658365</v>
      </c>
      <c r="D210" s="194">
        <v>6.2925789321499996</v>
      </c>
    </row>
    <row r="211" spans="1:4" ht="27.75" customHeight="1" x14ac:dyDescent="0.2">
      <c r="A211" s="7" t="s">
        <v>1018</v>
      </c>
      <c r="B211" s="8" t="s">
        <v>1012</v>
      </c>
      <c r="C211" s="194">
        <v>1.19348143134</v>
      </c>
      <c r="D211" s="194">
        <v>1.19647242965</v>
      </c>
    </row>
    <row r="212" spans="1:4" ht="27.75" customHeight="1" x14ac:dyDescent="0.2">
      <c r="A212" s="7" t="s">
        <v>1019</v>
      </c>
      <c r="B212" s="8" t="s">
        <v>1012</v>
      </c>
      <c r="C212" s="194">
        <v>0.406217699333</v>
      </c>
      <c r="D212" s="194">
        <v>1.7130787523900002</v>
      </c>
    </row>
    <row r="213" spans="1:4" ht="27.75" customHeight="1" x14ac:dyDescent="0.2">
      <c r="A213" s="7" t="s">
        <v>1020</v>
      </c>
      <c r="B213" s="8" t="s">
        <v>1012</v>
      </c>
      <c r="C213" s="194">
        <v>0.78771812651000006</v>
      </c>
      <c r="D213" s="194">
        <v>0.854146553345</v>
      </c>
    </row>
    <row r="214" spans="1:4" ht="27.75" customHeight="1" x14ac:dyDescent="0.2">
      <c r="A214" s="7" t="s">
        <v>1021</v>
      </c>
      <c r="B214" s="8" t="s">
        <v>1012</v>
      </c>
      <c r="C214" s="194">
        <v>6.0645267927299996E-2</v>
      </c>
      <c r="D214" s="194">
        <v>0.13005282683</v>
      </c>
    </row>
    <row r="215" spans="1:4" ht="27.75" customHeight="1" x14ac:dyDescent="0.2">
      <c r="A215" s="7" t="s">
        <v>1022</v>
      </c>
      <c r="B215" s="8" t="s">
        <v>1012</v>
      </c>
      <c r="C215" s="194">
        <v>4.3496712339699997E-2</v>
      </c>
      <c r="D215" s="194">
        <v>6.6797888402100006E-2</v>
      </c>
    </row>
    <row r="216" spans="1:4" ht="27.75" customHeight="1" x14ac:dyDescent="0.2">
      <c r="A216" s="7" t="s">
        <v>1023</v>
      </c>
      <c r="B216" s="8" t="s">
        <v>1012</v>
      </c>
      <c r="C216" s="194">
        <v>1.06940562311</v>
      </c>
      <c r="D216" s="194">
        <v>3.7096265065799998</v>
      </c>
    </row>
    <row r="217" spans="1:4" ht="27.75" customHeight="1" x14ac:dyDescent="0.2">
      <c r="A217" s="7" t="s">
        <v>1024</v>
      </c>
      <c r="B217" s="8" t="s">
        <v>1012</v>
      </c>
      <c r="C217" s="194">
        <v>1.26701108946</v>
      </c>
      <c r="D217" s="194">
        <v>2.5787537624299999</v>
      </c>
    </row>
    <row r="218" spans="1:4" ht="27.75" customHeight="1" x14ac:dyDescent="0.2">
      <c r="A218" s="7" t="s">
        <v>1025</v>
      </c>
      <c r="B218" s="8" t="s">
        <v>1012</v>
      </c>
      <c r="C218" s="194">
        <v>1.58263696133</v>
      </c>
      <c r="D218" s="194">
        <v>3.4485401390000003</v>
      </c>
    </row>
    <row r="219" spans="1:4" ht="27.75" customHeight="1" x14ac:dyDescent="0.2">
      <c r="A219" s="7" t="s">
        <v>1026</v>
      </c>
      <c r="B219" s="8" t="s">
        <v>1012</v>
      </c>
      <c r="C219" s="194">
        <v>0.48632733061</v>
      </c>
      <c r="D219" s="194">
        <v>0.40560116417799996</v>
      </c>
    </row>
    <row r="220" spans="1:4" ht="27.75" customHeight="1" x14ac:dyDescent="0.2">
      <c r="A220" s="7" t="s">
        <v>1027</v>
      </c>
      <c r="B220" s="8" t="s">
        <v>1012</v>
      </c>
      <c r="C220" s="194">
        <v>0.84910645491900005</v>
      </c>
      <c r="D220" s="194">
        <v>4.3389666694400004</v>
      </c>
    </row>
    <row r="221" spans="1:4" ht="27.75" customHeight="1" x14ac:dyDescent="0.2">
      <c r="A221" s="7" t="s">
        <v>1028</v>
      </c>
      <c r="B221" s="8" t="s">
        <v>1012</v>
      </c>
      <c r="C221" s="194">
        <v>0.39403083660599997</v>
      </c>
      <c r="D221" s="194">
        <v>0.26326049343900004</v>
      </c>
    </row>
    <row r="222" spans="1:4" ht="27.75" customHeight="1" x14ac:dyDescent="0.2">
      <c r="A222" s="7" t="s">
        <v>1029</v>
      </c>
      <c r="B222" s="8" t="s">
        <v>1012</v>
      </c>
      <c r="C222" s="194">
        <v>0.32436360024200001</v>
      </c>
      <c r="D222" s="194">
        <v>0.77830410420700002</v>
      </c>
    </row>
    <row r="223" spans="1:4" ht="27.75" customHeight="1" x14ac:dyDescent="0.2">
      <c r="A223" s="7" t="s">
        <v>1030</v>
      </c>
      <c r="B223" s="8" t="s">
        <v>1031</v>
      </c>
      <c r="C223" s="194">
        <v>7.90219349642E-2</v>
      </c>
      <c r="D223" s="194">
        <v>4.6366444561299999E-2</v>
      </c>
    </row>
    <row r="224" spans="1:4" ht="27.75" customHeight="1" x14ac:dyDescent="0.2">
      <c r="A224" s="7" t="s">
        <v>1032</v>
      </c>
      <c r="B224" s="8" t="s">
        <v>1031</v>
      </c>
      <c r="C224" s="194">
        <v>5.7033333575599997E-2</v>
      </c>
      <c r="D224" s="194">
        <v>3.5678952344099999</v>
      </c>
    </row>
    <row r="225" spans="1:4" ht="27.75" customHeight="1" x14ac:dyDescent="0.2">
      <c r="A225" s="7" t="s">
        <v>1033</v>
      </c>
      <c r="B225" s="8" t="s">
        <v>1031</v>
      </c>
      <c r="C225" s="194">
        <v>1.82672780264</v>
      </c>
      <c r="D225" s="194">
        <v>0.83492157931199995</v>
      </c>
    </row>
    <row r="226" spans="1:4" ht="27.75" customHeight="1" x14ac:dyDescent="0.2">
      <c r="A226" s="7" t="s">
        <v>1034</v>
      </c>
      <c r="B226" s="8" t="s">
        <v>1031</v>
      </c>
      <c r="C226" s="194">
        <v>0.97463436953500004</v>
      </c>
      <c r="D226" s="194">
        <v>2.3987485192099998</v>
      </c>
    </row>
    <row r="227" spans="1:4" ht="27.75" customHeight="1" x14ac:dyDescent="0.2">
      <c r="A227" s="7" t="s">
        <v>1035</v>
      </c>
      <c r="B227" s="8" t="s">
        <v>1031</v>
      </c>
      <c r="C227" s="194">
        <v>3.4676604282500003</v>
      </c>
      <c r="D227" s="194">
        <v>0</v>
      </c>
    </row>
    <row r="228" spans="1:4" ht="27.75" customHeight="1" x14ac:dyDescent="0.2">
      <c r="A228" s="7" t="s">
        <v>1036</v>
      </c>
      <c r="B228" s="8" t="s">
        <v>1031</v>
      </c>
      <c r="C228" s="194">
        <v>6.1586608493099999E-2</v>
      </c>
      <c r="D228" s="194">
        <v>0.5139725731</v>
      </c>
    </row>
    <row r="229" spans="1:4" ht="27.75" customHeight="1" x14ac:dyDescent="0.2">
      <c r="A229" s="7" t="s">
        <v>1037</v>
      </c>
      <c r="B229" s="8" t="s">
        <v>1031</v>
      </c>
      <c r="C229" s="194">
        <v>0.41606116270100002</v>
      </c>
      <c r="D229" s="194">
        <v>2.4047536306799997</v>
      </c>
    </row>
    <row r="230" spans="1:4" ht="27.75" customHeight="1" x14ac:dyDescent="0.2">
      <c r="A230" s="7" t="s">
        <v>1038</v>
      </c>
      <c r="B230" s="8" t="s">
        <v>1031</v>
      </c>
      <c r="C230" s="194">
        <v>0.39797460256400002</v>
      </c>
      <c r="D230" s="194">
        <v>0.65751633778500007</v>
      </c>
    </row>
    <row r="231" spans="1:4" ht="27.75" customHeight="1" x14ac:dyDescent="0.2">
      <c r="A231" s="7" t="s">
        <v>1039</v>
      </c>
      <c r="B231" s="8" t="s">
        <v>1031</v>
      </c>
      <c r="C231" s="194">
        <v>4.7331863652199995E-3</v>
      </c>
      <c r="D231" s="194">
        <v>0.247480967937</v>
      </c>
    </row>
    <row r="232" spans="1:4" ht="27.75" customHeight="1" x14ac:dyDescent="0.2">
      <c r="A232" s="7" t="s">
        <v>1040</v>
      </c>
      <c r="B232" s="8" t="s">
        <v>1031</v>
      </c>
      <c r="C232" s="194">
        <v>0.102722349287</v>
      </c>
      <c r="D232" s="194">
        <v>0.56115623183100005</v>
      </c>
    </row>
    <row r="233" spans="1:4" ht="27.75" customHeight="1" x14ac:dyDescent="0.2">
      <c r="A233" s="7" t="s">
        <v>1041</v>
      </c>
      <c r="B233" s="8" t="s">
        <v>1031</v>
      </c>
      <c r="C233" s="194">
        <v>2.7066119797099999</v>
      </c>
      <c r="D233" s="194">
        <v>0.63207030157700006</v>
      </c>
    </row>
    <row r="234" spans="1:4" ht="27.75" customHeight="1" x14ac:dyDescent="0.2">
      <c r="A234" s="7" t="s">
        <v>1042</v>
      </c>
      <c r="B234" s="8" t="s">
        <v>1031</v>
      </c>
      <c r="C234" s="194">
        <v>-3.82284401276E-7</v>
      </c>
      <c r="D234" s="194">
        <v>0.37768783980100001</v>
      </c>
    </row>
    <row r="235" spans="1:4" ht="27.75" customHeight="1" x14ac:dyDescent="0.2">
      <c r="A235" s="7" t="s">
        <v>1043</v>
      </c>
      <c r="B235" s="8" t="s">
        <v>1031</v>
      </c>
      <c r="C235" s="194">
        <v>2.1754846996900001</v>
      </c>
      <c r="D235" s="194">
        <v>2.70975121653</v>
      </c>
    </row>
    <row r="236" spans="1:4" ht="27.75" customHeight="1" x14ac:dyDescent="0.2">
      <c r="A236" s="7" t="s">
        <v>1044</v>
      </c>
      <c r="B236" s="8" t="s">
        <v>1031</v>
      </c>
      <c r="C236" s="194">
        <v>0</v>
      </c>
      <c r="D236" s="194">
        <v>2.3386546327300001E-2</v>
      </c>
    </row>
    <row r="237" spans="1:4" ht="27.75" customHeight="1" x14ac:dyDescent="0.2">
      <c r="A237" s="7" t="s">
        <v>1045</v>
      </c>
      <c r="B237" s="8" t="s">
        <v>1031</v>
      </c>
      <c r="C237" s="194">
        <v>0</v>
      </c>
      <c r="D237" s="194">
        <v>0</v>
      </c>
    </row>
    <row r="238" spans="1:4" ht="27.75" customHeight="1" x14ac:dyDescent="0.2">
      <c r="A238" s="7" t="s">
        <v>1046</v>
      </c>
      <c r="B238" s="8" t="s">
        <v>1031</v>
      </c>
      <c r="C238" s="194">
        <v>0.95853402786300002</v>
      </c>
      <c r="D238" s="194">
        <v>0</v>
      </c>
    </row>
    <row r="239" spans="1:4" ht="27.75" customHeight="1" x14ac:dyDescent="0.2">
      <c r="A239" s="7" t="s">
        <v>1047</v>
      </c>
      <c r="B239" s="8" t="s">
        <v>1031</v>
      </c>
      <c r="C239" s="194">
        <v>1.4579432187100001</v>
      </c>
      <c r="D239" s="194">
        <v>3.1004437788899999</v>
      </c>
    </row>
    <row r="240" spans="1:4" ht="27.75" customHeight="1" x14ac:dyDescent="0.2">
      <c r="A240" s="7" t="s">
        <v>1048</v>
      </c>
      <c r="B240" s="8" t="s">
        <v>1031</v>
      </c>
      <c r="C240" s="194">
        <v>0.91435302946100006</v>
      </c>
      <c r="D240" s="194">
        <v>0.379340855132</v>
      </c>
    </row>
    <row r="241" spans="1:4" ht="27.75" customHeight="1" x14ac:dyDescent="0.2">
      <c r="A241" s="7" t="s">
        <v>1049</v>
      </c>
      <c r="B241" s="8" t="s">
        <v>1031</v>
      </c>
      <c r="C241" s="194">
        <v>1.01307065577E-4</v>
      </c>
      <c r="D241" s="194">
        <v>0.36479735116199996</v>
      </c>
    </row>
    <row r="242" spans="1:4" ht="27.75" customHeight="1" x14ac:dyDescent="0.2">
      <c r="A242" s="7" t="s">
        <v>1050</v>
      </c>
      <c r="B242" s="8" t="s">
        <v>1031</v>
      </c>
      <c r="C242" s="194">
        <v>3.05106252641</v>
      </c>
      <c r="D242" s="194">
        <v>0.53249416708300001</v>
      </c>
    </row>
    <row r="243" spans="1:4" ht="27.75" customHeight="1" x14ac:dyDescent="0.2">
      <c r="A243" s="7" t="s">
        <v>1051</v>
      </c>
      <c r="B243" s="8" t="s">
        <v>1031</v>
      </c>
      <c r="C243" s="194">
        <v>0.78336603497800006</v>
      </c>
      <c r="D243" s="194">
        <v>0.57067985511100006</v>
      </c>
    </row>
    <row r="244" spans="1:4" ht="27.75" customHeight="1" x14ac:dyDescent="0.2">
      <c r="A244" s="7" t="s">
        <v>1052</v>
      </c>
      <c r="B244" s="8" t="s">
        <v>1031</v>
      </c>
      <c r="C244" s="194">
        <v>0.53690020885500001</v>
      </c>
      <c r="D244" s="194">
        <v>3.7167281441700002</v>
      </c>
    </row>
    <row r="245" spans="1:4" ht="27.75" customHeight="1" x14ac:dyDescent="0.2">
      <c r="A245" s="7" t="s">
        <v>1053</v>
      </c>
      <c r="B245" s="8" t="s">
        <v>1031</v>
      </c>
      <c r="C245" s="194">
        <v>7.6659470993099998E-2</v>
      </c>
      <c r="D245" s="194">
        <v>0.57723154657800002</v>
      </c>
    </row>
    <row r="246" spans="1:4" ht="27.75" customHeight="1" x14ac:dyDescent="0.2">
      <c r="A246" s="7" t="s">
        <v>1054</v>
      </c>
      <c r="B246" s="8" t="s">
        <v>1031</v>
      </c>
      <c r="C246" s="194">
        <v>8.6365219584399994E-2</v>
      </c>
      <c r="D246" s="194">
        <v>0.77185292358900004</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4" type="noConversion"/>
  <conditionalFormatting sqref="C4:D237">
    <cfRule type="expression" dxfId="12" priority="8">
      <formula>AND(OR(#REF!=2,#REF!=3),#REF!&lt;&gt;#REF!)</formula>
    </cfRule>
  </conditionalFormatting>
  <conditionalFormatting sqref="C238:D241">
    <cfRule type="expression" dxfId="11" priority="7">
      <formula>AND(OR(#REF!=2,#REF!=3),#REF!&lt;&gt;#REF!)</formula>
    </cfRule>
  </conditionalFormatting>
  <conditionalFormatting sqref="C242:D245">
    <cfRule type="expression" dxfId="10" priority="6">
      <formula>AND(OR(#REF!=2,#REF!=3),#REF!&lt;&gt;#REF!)</formula>
    </cfRule>
  </conditionalFormatting>
  <conditionalFormatting sqref="C246:D246">
    <cfRule type="expression" dxfId="9" priority="5">
      <formula>AND(OR(#REF!=2,#REF!=3),#REF!&lt;&gt;#REF!)</formula>
    </cfRule>
  </conditionalFormatting>
  <hyperlinks>
    <hyperlink ref="A1" location="Overview!A1" display="Back to Overview" xr:uid="{00000000-0004-0000-09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firstHeader>&amp;L&amp;"Trebuchet MS,Regular"Un-scaled [nodal /network group] costs</first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I1205"/>
  <sheetViews>
    <sheetView zoomScale="90" zoomScaleNormal="90" zoomScaleSheetLayoutView="100" workbookViewId="0">
      <selection sqref="A1:B1"/>
    </sheetView>
  </sheetViews>
  <sheetFormatPr defaultColWidth="11.5703125" defaultRowHeight="12.75" x14ac:dyDescent="0.2"/>
  <cols>
    <col min="1" max="1" width="13.85546875" style="47" customWidth="1"/>
    <col min="2" max="2" width="11.5703125" style="47" customWidth="1"/>
    <col min="3" max="3" width="37.42578125" style="47" bestFit="1" customWidth="1"/>
    <col min="4" max="4" width="40.5703125" style="48" bestFit="1" customWidth="1"/>
    <col min="5" max="6" width="4.7109375" style="47" customWidth="1"/>
    <col min="7" max="7" width="29.140625" style="47" bestFit="1" customWidth="1"/>
    <col min="8" max="8" width="11.5703125" style="47"/>
    <col min="9" max="9" width="60.28515625" style="47" customWidth="1"/>
    <col min="10" max="16384" width="11.5703125" style="47"/>
  </cols>
  <sheetData>
    <row r="1" spans="1:2" ht="26.25" customHeight="1" x14ac:dyDescent="0.2">
      <c r="A1" s="256" t="s">
        <v>87</v>
      </c>
      <c r="B1" s="256"/>
    </row>
    <row r="2" spans="1:2" ht="12.75" customHeight="1" x14ac:dyDescent="0.2">
      <c r="A2" s="153"/>
      <c r="B2" s="153"/>
    </row>
    <row r="3" spans="1:2" ht="12.75" customHeight="1" x14ac:dyDescent="0.2">
      <c r="A3" s="153"/>
      <c r="B3" s="153"/>
    </row>
    <row r="4" spans="1:2" ht="12.75" customHeight="1" x14ac:dyDescent="0.2">
      <c r="A4" s="153"/>
      <c r="B4" s="153"/>
    </row>
    <row r="5" spans="1:2" ht="12.75" customHeight="1" x14ac:dyDescent="0.2">
      <c r="A5" s="153"/>
      <c r="B5" s="153"/>
    </row>
    <row r="6" spans="1:2" ht="12.75" customHeight="1" x14ac:dyDescent="0.2">
      <c r="A6" s="153"/>
      <c r="B6" s="153"/>
    </row>
    <row r="7" spans="1:2" ht="12.75" customHeight="1" x14ac:dyDescent="0.2">
      <c r="A7" s="153"/>
      <c r="B7" s="153"/>
    </row>
    <row r="8" spans="1:2" ht="12.75" customHeight="1" x14ac:dyDescent="0.2">
      <c r="A8" s="153"/>
      <c r="B8" s="153"/>
    </row>
    <row r="9" spans="1:2" ht="12.75" customHeight="1" x14ac:dyDescent="0.2">
      <c r="A9" s="153"/>
      <c r="B9" s="153"/>
    </row>
    <row r="10" spans="1:2" ht="12.75" customHeight="1" x14ac:dyDescent="0.2">
      <c r="A10" s="153"/>
      <c r="B10" s="153"/>
    </row>
    <row r="11" spans="1:2" ht="12.75" customHeight="1" x14ac:dyDescent="0.2">
      <c r="A11" s="153"/>
      <c r="B11" s="153"/>
    </row>
    <row r="12" spans="1:2" ht="12.75" customHeight="1" x14ac:dyDescent="0.2">
      <c r="A12" s="153"/>
      <c r="B12" s="153"/>
    </row>
    <row r="13" spans="1:2" ht="12.75" customHeight="1" x14ac:dyDescent="0.2">
      <c r="A13" s="153"/>
      <c r="B13" s="153"/>
    </row>
    <row r="14" spans="1:2" ht="12.75" customHeight="1" x14ac:dyDescent="0.2">
      <c r="A14" s="153"/>
      <c r="B14" s="153"/>
    </row>
    <row r="15" spans="1:2" ht="12.75" customHeight="1" x14ac:dyDescent="0.2">
      <c r="A15" s="153"/>
      <c r="B15" s="153"/>
    </row>
    <row r="16" spans="1:2" ht="12.75" customHeight="1" x14ac:dyDescent="0.2">
      <c r="A16" s="153"/>
      <c r="B16" s="153"/>
    </row>
    <row r="17" spans="1:9" ht="12.75" customHeight="1" x14ac:dyDescent="0.2">
      <c r="A17" s="153"/>
      <c r="B17" s="153"/>
    </row>
    <row r="18" spans="1:9" ht="12.75" customHeight="1" x14ac:dyDescent="0.2">
      <c r="A18" s="153"/>
      <c r="B18" s="153"/>
    </row>
    <row r="19" spans="1:9" ht="12.75" customHeight="1" x14ac:dyDescent="0.2">
      <c r="A19" s="153"/>
      <c r="B19" s="153"/>
    </row>
    <row r="20" spans="1:9" ht="12.75" customHeight="1" x14ac:dyDescent="0.2">
      <c r="A20" s="153"/>
      <c r="B20" s="153"/>
    </row>
    <row r="21" spans="1:9" ht="12.75" customHeight="1" x14ac:dyDescent="0.2">
      <c r="A21" s="153"/>
      <c r="B21" s="153"/>
    </row>
    <row r="22" spans="1:9" ht="12.75" customHeight="1" x14ac:dyDescent="0.2">
      <c r="A22" s="153"/>
      <c r="B22" s="153"/>
    </row>
    <row r="23" spans="1:9" ht="12.75" customHeight="1" x14ac:dyDescent="0.2">
      <c r="A23" s="153"/>
      <c r="B23" s="153"/>
    </row>
    <row r="24" spans="1:9" ht="12.75" customHeight="1" x14ac:dyDescent="0.2">
      <c r="A24" s="153"/>
      <c r="B24" s="153"/>
    </row>
    <row r="25" spans="1:9" ht="12.75" customHeight="1" x14ac:dyDescent="0.2">
      <c r="A25" s="153"/>
      <c r="B25" s="153"/>
    </row>
    <row r="26" spans="1:9" ht="12.75" customHeight="1" x14ac:dyDescent="0.2">
      <c r="A26" s="153"/>
      <c r="B26" s="153"/>
    </row>
    <row r="27" spans="1:9" ht="12.75" customHeight="1" x14ac:dyDescent="0.2">
      <c r="A27" s="153"/>
      <c r="B27" s="153"/>
    </row>
    <row r="28" spans="1:9" s="46" customFormat="1" ht="51" x14ac:dyDescent="0.2">
      <c r="A28" s="62" t="s">
        <v>215</v>
      </c>
      <c r="B28" s="62" t="s">
        <v>216</v>
      </c>
      <c r="C28" s="62" t="s">
        <v>217</v>
      </c>
      <c r="D28" s="62" t="s">
        <v>218</v>
      </c>
      <c r="E28" s="49"/>
      <c r="F28" s="49"/>
      <c r="G28" s="62" t="s">
        <v>438</v>
      </c>
      <c r="H28" s="62" t="s">
        <v>439</v>
      </c>
      <c r="I28" s="62" t="s">
        <v>440</v>
      </c>
    </row>
    <row r="29" spans="1:9" x14ac:dyDescent="0.2">
      <c r="A29" s="109">
        <v>3</v>
      </c>
      <c r="B29" s="110">
        <v>166</v>
      </c>
      <c r="C29" s="111" t="s">
        <v>219</v>
      </c>
      <c r="D29" s="112" t="s">
        <v>220</v>
      </c>
      <c r="H29" s="103">
        <v>40057</v>
      </c>
      <c r="I29" s="104" t="s">
        <v>441</v>
      </c>
    </row>
    <row r="30" spans="1:9" x14ac:dyDescent="0.2">
      <c r="A30" s="109">
        <v>4</v>
      </c>
      <c r="B30" s="110">
        <v>168</v>
      </c>
      <c r="C30" s="111" t="s">
        <v>219</v>
      </c>
      <c r="D30" s="112" t="s">
        <v>220</v>
      </c>
      <c r="G30" s="104" t="s">
        <v>442</v>
      </c>
      <c r="H30" s="103">
        <v>40275</v>
      </c>
      <c r="I30" s="154" t="s">
        <v>446</v>
      </c>
    </row>
    <row r="31" spans="1:9" x14ac:dyDescent="0.2">
      <c r="A31" s="109">
        <v>5</v>
      </c>
      <c r="B31" s="110">
        <v>100</v>
      </c>
      <c r="C31" s="111" t="s">
        <v>221</v>
      </c>
      <c r="D31" s="112" t="s">
        <v>220</v>
      </c>
      <c r="G31" s="155" t="s">
        <v>449</v>
      </c>
      <c r="H31" s="103">
        <v>40347</v>
      </c>
      <c r="I31" s="47" t="s">
        <v>443</v>
      </c>
    </row>
    <row r="32" spans="1:9" x14ac:dyDescent="0.2">
      <c r="A32" s="109">
        <v>6</v>
      </c>
      <c r="B32" s="110">
        <v>257</v>
      </c>
      <c r="C32" s="111" t="s">
        <v>222</v>
      </c>
      <c r="D32" s="112" t="s">
        <v>220</v>
      </c>
      <c r="G32" s="154" t="s">
        <v>450</v>
      </c>
      <c r="H32" s="103">
        <v>41166</v>
      </c>
      <c r="I32" s="154" t="s">
        <v>451</v>
      </c>
    </row>
    <row r="33" spans="1:9" x14ac:dyDescent="0.2">
      <c r="A33" s="109">
        <v>7</v>
      </c>
      <c r="B33" s="110">
        <v>158</v>
      </c>
      <c r="C33" s="111" t="s">
        <v>222</v>
      </c>
      <c r="D33" s="112" t="s">
        <v>220</v>
      </c>
      <c r="G33" s="155" t="s">
        <v>444</v>
      </c>
      <c r="H33" s="103">
        <v>41178</v>
      </c>
      <c r="I33" s="154" t="s">
        <v>445</v>
      </c>
    </row>
    <row r="34" spans="1:9" x14ac:dyDescent="0.2">
      <c r="A34" s="109">
        <v>8</v>
      </c>
      <c r="B34" s="110">
        <v>159</v>
      </c>
      <c r="C34" s="111" t="s">
        <v>222</v>
      </c>
      <c r="D34" s="112" t="s">
        <v>220</v>
      </c>
      <c r="G34" s="104" t="s">
        <v>508</v>
      </c>
      <c r="H34" s="103">
        <v>41758</v>
      </c>
      <c r="I34" s="47" t="s">
        <v>509</v>
      </c>
    </row>
    <row r="35" spans="1:9" x14ac:dyDescent="0.2">
      <c r="A35" s="109">
        <v>9</v>
      </c>
      <c r="B35" s="110">
        <v>1111</v>
      </c>
      <c r="C35" s="111" t="s">
        <v>222</v>
      </c>
      <c r="D35" s="112" t="s">
        <v>220</v>
      </c>
      <c r="G35" s="47" t="s">
        <v>506</v>
      </c>
      <c r="H35" s="103">
        <v>41758</v>
      </c>
      <c r="I35" s="104" t="s">
        <v>507</v>
      </c>
    </row>
    <row r="36" spans="1:9" x14ac:dyDescent="0.2">
      <c r="A36" s="109">
        <v>10</v>
      </c>
      <c r="B36" s="110">
        <v>1104</v>
      </c>
      <c r="C36" s="111" t="s">
        <v>222</v>
      </c>
      <c r="D36" s="112" t="s">
        <v>220</v>
      </c>
      <c r="G36" s="47" t="s">
        <v>506</v>
      </c>
      <c r="H36" s="103">
        <v>41944</v>
      </c>
      <c r="I36" s="104" t="s">
        <v>559</v>
      </c>
    </row>
    <row r="37" spans="1:9" x14ac:dyDescent="0.2">
      <c r="A37" s="109">
        <v>11</v>
      </c>
      <c r="B37" s="110">
        <v>1112</v>
      </c>
      <c r="C37" s="111" t="s">
        <v>222</v>
      </c>
      <c r="D37" s="112" t="s">
        <v>220</v>
      </c>
      <c r="G37" s="47" t="s">
        <v>584</v>
      </c>
      <c r="H37" s="103">
        <v>42081</v>
      </c>
      <c r="I37" s="47" t="s">
        <v>585</v>
      </c>
    </row>
    <row r="38" spans="1:9" x14ac:dyDescent="0.2">
      <c r="A38" s="109">
        <v>12</v>
      </c>
      <c r="B38" s="110">
        <v>1116</v>
      </c>
      <c r="C38" s="111" t="s">
        <v>222</v>
      </c>
      <c r="D38" s="112" t="s">
        <v>220</v>
      </c>
      <c r="G38" s="47" t="s">
        <v>586</v>
      </c>
      <c r="H38" s="103">
        <v>42081</v>
      </c>
      <c r="I38" s="47" t="s">
        <v>587</v>
      </c>
    </row>
    <row r="39" spans="1:9" x14ac:dyDescent="0.2">
      <c r="A39" s="109">
        <v>13</v>
      </c>
      <c r="B39" s="110">
        <v>139</v>
      </c>
      <c r="C39" s="111" t="s">
        <v>223</v>
      </c>
      <c r="D39" s="112" t="s">
        <v>458</v>
      </c>
      <c r="G39" s="47" t="s">
        <v>588</v>
      </c>
      <c r="H39" s="103">
        <v>42081</v>
      </c>
      <c r="I39" s="47" t="s">
        <v>613</v>
      </c>
    </row>
    <row r="40" spans="1:9" x14ac:dyDescent="0.2">
      <c r="A40" s="109">
        <v>15</v>
      </c>
      <c r="B40" s="110">
        <v>152</v>
      </c>
      <c r="C40" s="111" t="s">
        <v>223</v>
      </c>
      <c r="D40" s="112" t="s">
        <v>458</v>
      </c>
      <c r="G40" s="104" t="s">
        <v>583</v>
      </c>
      <c r="H40" s="103">
        <v>42081</v>
      </c>
      <c r="I40" s="104" t="s">
        <v>612</v>
      </c>
    </row>
    <row r="41" spans="1:9" x14ac:dyDescent="0.2">
      <c r="A41" s="109">
        <v>16</v>
      </c>
      <c r="B41" s="110">
        <v>113</v>
      </c>
      <c r="C41" s="111" t="s">
        <v>224</v>
      </c>
      <c r="D41" s="112" t="s">
        <v>459</v>
      </c>
      <c r="G41" s="47" t="s">
        <v>589</v>
      </c>
      <c r="H41" s="103">
        <v>42081</v>
      </c>
      <c r="I41" s="104" t="s">
        <v>590</v>
      </c>
    </row>
    <row r="42" spans="1:9" x14ac:dyDescent="0.2">
      <c r="A42" s="109">
        <v>17</v>
      </c>
      <c r="B42" s="110">
        <v>125</v>
      </c>
      <c r="C42" s="111" t="s">
        <v>224</v>
      </c>
      <c r="D42" s="112" t="s">
        <v>459</v>
      </c>
      <c r="G42" s="47" t="s">
        <v>591</v>
      </c>
      <c r="H42" s="103">
        <v>42081</v>
      </c>
      <c r="I42" s="47" t="s">
        <v>592</v>
      </c>
    </row>
    <row r="43" spans="1:9" x14ac:dyDescent="0.2">
      <c r="A43" s="109">
        <v>18</v>
      </c>
      <c r="B43" s="110">
        <v>126</v>
      </c>
      <c r="C43" s="111" t="s">
        <v>224</v>
      </c>
      <c r="D43" s="112" t="s">
        <v>459</v>
      </c>
      <c r="G43" s="47" t="s">
        <v>591</v>
      </c>
      <c r="H43" s="103">
        <v>42081</v>
      </c>
      <c r="I43" s="47" t="s">
        <v>593</v>
      </c>
    </row>
    <row r="44" spans="1:9" x14ac:dyDescent="0.2">
      <c r="A44" s="109">
        <v>19</v>
      </c>
      <c r="B44" s="110">
        <v>127</v>
      </c>
      <c r="C44" s="111" t="s">
        <v>224</v>
      </c>
      <c r="D44" s="112" t="s">
        <v>459</v>
      </c>
      <c r="G44" s="47" t="s">
        <v>594</v>
      </c>
      <c r="H44" s="103">
        <v>42081</v>
      </c>
      <c r="I44" s="47" t="s">
        <v>595</v>
      </c>
    </row>
    <row r="45" spans="1:9" x14ac:dyDescent="0.2">
      <c r="A45" s="109">
        <v>20</v>
      </c>
      <c r="B45" s="110">
        <v>129</v>
      </c>
      <c r="C45" s="111" t="s">
        <v>224</v>
      </c>
      <c r="D45" s="112" t="s">
        <v>459</v>
      </c>
      <c r="G45" s="47" t="s">
        <v>596</v>
      </c>
      <c r="H45" s="103">
        <v>42081</v>
      </c>
      <c r="I45" s="47" t="s">
        <v>597</v>
      </c>
    </row>
    <row r="46" spans="1:9" x14ac:dyDescent="0.2">
      <c r="A46" s="109">
        <v>21</v>
      </c>
      <c r="B46" s="110">
        <v>130</v>
      </c>
      <c r="C46" s="111" t="s">
        <v>224</v>
      </c>
      <c r="D46" s="112" t="s">
        <v>459</v>
      </c>
      <c r="G46" s="47" t="s">
        <v>598</v>
      </c>
      <c r="H46" s="103">
        <v>42081</v>
      </c>
      <c r="I46" s="47" t="s">
        <v>595</v>
      </c>
    </row>
    <row r="47" spans="1:9" x14ac:dyDescent="0.2">
      <c r="A47" s="109">
        <v>22</v>
      </c>
      <c r="B47" s="110">
        <v>131</v>
      </c>
      <c r="C47" s="111" t="s">
        <v>224</v>
      </c>
      <c r="D47" s="112" t="s">
        <v>459</v>
      </c>
      <c r="G47" s="47" t="s">
        <v>598</v>
      </c>
      <c r="H47" s="103">
        <v>42081</v>
      </c>
      <c r="I47" s="47" t="s">
        <v>599</v>
      </c>
    </row>
    <row r="48" spans="1:9" x14ac:dyDescent="0.2">
      <c r="A48" s="109">
        <v>23</v>
      </c>
      <c r="B48" s="110">
        <v>136</v>
      </c>
      <c r="C48" s="111" t="s">
        <v>225</v>
      </c>
      <c r="D48" s="112" t="s">
        <v>460</v>
      </c>
      <c r="G48" s="47" t="s">
        <v>600</v>
      </c>
      <c r="H48" s="103">
        <v>42081</v>
      </c>
      <c r="I48" s="47" t="s">
        <v>597</v>
      </c>
    </row>
    <row r="49" spans="1:9" x14ac:dyDescent="0.2">
      <c r="A49" s="109">
        <v>24</v>
      </c>
      <c r="B49" s="110">
        <v>137</v>
      </c>
      <c r="C49" s="111" t="s">
        <v>225</v>
      </c>
      <c r="D49" s="112" t="s">
        <v>459</v>
      </c>
      <c r="G49" s="47" t="s">
        <v>601</v>
      </c>
      <c r="H49" s="103">
        <v>42081</v>
      </c>
      <c r="I49" s="47" t="s">
        <v>595</v>
      </c>
    </row>
    <row r="50" spans="1:9" x14ac:dyDescent="0.2">
      <c r="A50" s="109">
        <v>25</v>
      </c>
      <c r="B50" s="110">
        <v>138</v>
      </c>
      <c r="C50" s="111" t="s">
        <v>225</v>
      </c>
      <c r="D50" s="112" t="s">
        <v>459</v>
      </c>
      <c r="G50" s="47" t="s">
        <v>602</v>
      </c>
      <c r="H50" s="103">
        <v>42081</v>
      </c>
      <c r="I50" s="47" t="s">
        <v>603</v>
      </c>
    </row>
    <row r="51" spans="1:9" x14ac:dyDescent="0.2">
      <c r="A51" s="109">
        <v>26</v>
      </c>
      <c r="B51" s="110">
        <v>141</v>
      </c>
      <c r="C51" s="111" t="s">
        <v>225</v>
      </c>
      <c r="D51" s="112" t="s">
        <v>220</v>
      </c>
      <c r="G51" s="47" t="s">
        <v>604</v>
      </c>
      <c r="H51" s="103">
        <v>42081</v>
      </c>
      <c r="I51" s="47" t="s">
        <v>605</v>
      </c>
    </row>
    <row r="52" spans="1:9" x14ac:dyDescent="0.2">
      <c r="A52" s="109">
        <v>28</v>
      </c>
      <c r="B52" s="110">
        <v>143</v>
      </c>
      <c r="C52" s="111" t="s">
        <v>225</v>
      </c>
      <c r="D52" s="112" t="s">
        <v>220</v>
      </c>
      <c r="G52" s="47" t="s">
        <v>606</v>
      </c>
      <c r="H52" s="103">
        <v>42081</v>
      </c>
      <c r="I52" s="47" t="s">
        <v>607</v>
      </c>
    </row>
    <row r="53" spans="1:9" x14ac:dyDescent="0.2">
      <c r="A53" s="109">
        <v>29</v>
      </c>
      <c r="B53" s="110">
        <v>144</v>
      </c>
      <c r="C53" s="111" t="s">
        <v>225</v>
      </c>
      <c r="D53" s="112" t="s">
        <v>458</v>
      </c>
      <c r="G53" s="47" t="s">
        <v>606</v>
      </c>
      <c r="H53" s="103">
        <v>42081</v>
      </c>
      <c r="I53" s="47" t="s">
        <v>608</v>
      </c>
    </row>
    <row r="54" spans="1:9" x14ac:dyDescent="0.2">
      <c r="A54" s="109">
        <v>30</v>
      </c>
      <c r="B54" s="110">
        <v>145</v>
      </c>
      <c r="C54" s="111" t="s">
        <v>225</v>
      </c>
      <c r="D54" s="112" t="s">
        <v>220</v>
      </c>
      <c r="G54" s="47" t="s">
        <v>609</v>
      </c>
      <c r="H54" s="103">
        <v>42081</v>
      </c>
      <c r="I54" s="47" t="s">
        <v>610</v>
      </c>
    </row>
    <row r="55" spans="1:9" x14ac:dyDescent="0.2">
      <c r="A55" s="109">
        <v>31</v>
      </c>
      <c r="B55" s="110">
        <v>146</v>
      </c>
      <c r="C55" s="111" t="s">
        <v>225</v>
      </c>
      <c r="D55" s="112" t="s">
        <v>220</v>
      </c>
      <c r="G55" s="47" t="s">
        <v>609</v>
      </c>
      <c r="H55" s="103">
        <v>42081</v>
      </c>
      <c r="I55" s="47" t="s">
        <v>611</v>
      </c>
    </row>
    <row r="56" spans="1:9" x14ac:dyDescent="0.2">
      <c r="A56" s="109">
        <v>32</v>
      </c>
      <c r="B56" s="110">
        <v>147</v>
      </c>
      <c r="C56" s="111" t="s">
        <v>225</v>
      </c>
      <c r="D56" s="112" t="s">
        <v>220</v>
      </c>
      <c r="G56" s="104" t="s">
        <v>614</v>
      </c>
      <c r="H56" s="103">
        <v>42089</v>
      </c>
      <c r="I56" s="104" t="s">
        <v>615</v>
      </c>
    </row>
    <row r="57" spans="1:9" x14ac:dyDescent="0.2">
      <c r="A57" s="109">
        <v>33</v>
      </c>
      <c r="B57" s="110">
        <v>228</v>
      </c>
      <c r="C57" s="111" t="s">
        <v>225</v>
      </c>
      <c r="D57" s="112" t="s">
        <v>460</v>
      </c>
      <c r="G57" s="104" t="s">
        <v>596</v>
      </c>
      <c r="H57" s="103">
        <v>42166</v>
      </c>
      <c r="I57" s="104" t="s">
        <v>595</v>
      </c>
    </row>
    <row r="58" spans="1:9" x14ac:dyDescent="0.2">
      <c r="A58" s="109">
        <v>34</v>
      </c>
      <c r="B58" s="110">
        <v>149</v>
      </c>
      <c r="C58" s="111" t="s">
        <v>225</v>
      </c>
      <c r="D58" s="112" t="s">
        <v>460</v>
      </c>
      <c r="G58" s="104" t="s">
        <v>600</v>
      </c>
      <c r="H58" s="103">
        <v>42166</v>
      </c>
      <c r="I58" s="104" t="s">
        <v>595</v>
      </c>
    </row>
    <row r="59" spans="1:9" x14ac:dyDescent="0.2">
      <c r="A59" s="109">
        <v>35</v>
      </c>
      <c r="B59" s="110">
        <v>150</v>
      </c>
      <c r="C59" s="111" t="s">
        <v>225</v>
      </c>
      <c r="D59" s="112" t="s">
        <v>220</v>
      </c>
      <c r="G59" s="104" t="s">
        <v>642</v>
      </c>
      <c r="H59" s="103">
        <v>42166</v>
      </c>
      <c r="I59" s="104" t="s">
        <v>272</v>
      </c>
    </row>
    <row r="60" spans="1:9" x14ac:dyDescent="0.2">
      <c r="A60" s="109">
        <v>36</v>
      </c>
      <c r="B60" s="110">
        <v>151</v>
      </c>
      <c r="C60" s="111" t="s">
        <v>225</v>
      </c>
      <c r="D60" s="112" t="s">
        <v>459</v>
      </c>
      <c r="G60" s="104" t="s">
        <v>643</v>
      </c>
      <c r="H60" s="103">
        <v>42166</v>
      </c>
      <c r="I60" s="104" t="s">
        <v>258</v>
      </c>
    </row>
    <row r="61" spans="1:9" x14ac:dyDescent="0.2">
      <c r="A61" s="109">
        <v>37</v>
      </c>
      <c r="B61" s="110">
        <v>153</v>
      </c>
      <c r="C61" s="111" t="s">
        <v>225</v>
      </c>
      <c r="D61" s="112" t="s">
        <v>459</v>
      </c>
      <c r="G61" s="104" t="s">
        <v>644</v>
      </c>
      <c r="H61" s="103">
        <v>42166</v>
      </c>
      <c r="I61" s="104" t="s">
        <v>356</v>
      </c>
    </row>
    <row r="62" spans="1:9" x14ac:dyDescent="0.2">
      <c r="A62" s="109">
        <v>38</v>
      </c>
      <c r="B62" s="110">
        <v>154</v>
      </c>
      <c r="C62" s="111" t="s">
        <v>225</v>
      </c>
      <c r="D62" s="112" t="s">
        <v>220</v>
      </c>
      <c r="G62" s="104" t="s">
        <v>645</v>
      </c>
      <c r="H62" s="103">
        <v>42166</v>
      </c>
      <c r="I62" s="104" t="s">
        <v>355</v>
      </c>
    </row>
    <row r="63" spans="1:9" x14ac:dyDescent="0.2">
      <c r="A63" s="109">
        <v>39</v>
      </c>
      <c r="B63" s="110">
        <v>155</v>
      </c>
      <c r="C63" s="111" t="s">
        <v>225</v>
      </c>
      <c r="D63" s="112" t="s">
        <v>220</v>
      </c>
      <c r="G63" s="104" t="s">
        <v>646</v>
      </c>
      <c r="H63" s="103">
        <v>42166</v>
      </c>
      <c r="I63" s="104" t="s">
        <v>647</v>
      </c>
    </row>
    <row r="64" spans="1:9" x14ac:dyDescent="0.2">
      <c r="A64" s="109">
        <v>40</v>
      </c>
      <c r="B64" s="110">
        <v>157</v>
      </c>
      <c r="C64" s="111" t="s">
        <v>224</v>
      </c>
      <c r="D64" s="112" t="s">
        <v>459</v>
      </c>
      <c r="G64" s="104" t="s">
        <v>648</v>
      </c>
      <c r="H64" s="103">
        <v>42166</v>
      </c>
      <c r="I64" s="104" t="s">
        <v>649</v>
      </c>
    </row>
    <row r="65" spans="1:9" x14ac:dyDescent="0.2">
      <c r="A65" s="109">
        <v>41</v>
      </c>
      <c r="B65" s="110">
        <v>171</v>
      </c>
      <c r="C65" s="111" t="s">
        <v>226</v>
      </c>
      <c r="D65" s="112" t="s">
        <v>459</v>
      </c>
      <c r="G65" s="104" t="s">
        <v>650</v>
      </c>
      <c r="H65" s="103">
        <v>42166</v>
      </c>
      <c r="I65" s="104" t="s">
        <v>651</v>
      </c>
    </row>
    <row r="66" spans="1:9" x14ac:dyDescent="0.2">
      <c r="A66" s="109">
        <v>42</v>
      </c>
      <c r="B66" s="110">
        <v>173</v>
      </c>
      <c r="C66" s="111" t="s">
        <v>227</v>
      </c>
      <c r="D66" s="112" t="s">
        <v>459</v>
      </c>
      <c r="G66" s="104" t="s">
        <v>652</v>
      </c>
      <c r="H66" s="103">
        <v>42166</v>
      </c>
      <c r="I66" s="104" t="s">
        <v>653</v>
      </c>
    </row>
    <row r="67" spans="1:9" x14ac:dyDescent="0.2">
      <c r="A67" s="109">
        <v>43</v>
      </c>
      <c r="B67" s="110">
        <v>174</v>
      </c>
      <c r="C67" s="111" t="s">
        <v>227</v>
      </c>
      <c r="D67" s="112" t="s">
        <v>459</v>
      </c>
      <c r="G67" s="104" t="s">
        <v>654</v>
      </c>
      <c r="H67" s="103">
        <v>42166</v>
      </c>
      <c r="I67" s="104" t="s">
        <v>655</v>
      </c>
    </row>
    <row r="68" spans="1:9" x14ac:dyDescent="0.2">
      <c r="A68" s="109">
        <v>44</v>
      </c>
      <c r="B68" s="110">
        <v>185</v>
      </c>
      <c r="C68" s="111" t="s">
        <v>226</v>
      </c>
      <c r="D68" s="112" t="s">
        <v>459</v>
      </c>
      <c r="G68" s="104" t="s">
        <v>656</v>
      </c>
      <c r="H68" s="103">
        <v>42166</v>
      </c>
      <c r="I68" s="104" t="s">
        <v>657</v>
      </c>
    </row>
    <row r="69" spans="1:9" x14ac:dyDescent="0.2">
      <c r="A69" s="109">
        <v>45</v>
      </c>
      <c r="B69" s="110">
        <v>19</v>
      </c>
      <c r="C69" s="111" t="s">
        <v>228</v>
      </c>
      <c r="D69" s="112" t="s">
        <v>220</v>
      </c>
      <c r="G69" s="104" t="s">
        <v>658</v>
      </c>
      <c r="H69" s="103">
        <v>42166</v>
      </c>
      <c r="I69" s="104" t="s">
        <v>659</v>
      </c>
    </row>
    <row r="70" spans="1:9" x14ac:dyDescent="0.2">
      <c r="A70" s="109">
        <v>46</v>
      </c>
      <c r="B70" s="110">
        <v>78</v>
      </c>
      <c r="C70" s="111" t="s">
        <v>229</v>
      </c>
      <c r="D70" s="112" t="s">
        <v>220</v>
      </c>
      <c r="G70" s="104" t="s">
        <v>660</v>
      </c>
      <c r="H70" s="103">
        <v>42166</v>
      </c>
      <c r="I70" s="104" t="s">
        <v>661</v>
      </c>
    </row>
    <row r="71" spans="1:9" x14ac:dyDescent="0.2">
      <c r="A71" s="109">
        <v>47</v>
      </c>
      <c r="B71" s="110">
        <v>15</v>
      </c>
      <c r="C71" s="111" t="s">
        <v>230</v>
      </c>
      <c r="D71" s="112" t="s">
        <v>220</v>
      </c>
      <c r="G71" s="104" t="s">
        <v>660</v>
      </c>
      <c r="H71" s="103">
        <v>42166</v>
      </c>
      <c r="I71" s="104" t="s">
        <v>662</v>
      </c>
    </row>
    <row r="72" spans="1:9" x14ac:dyDescent="0.2">
      <c r="A72" s="109">
        <v>48</v>
      </c>
      <c r="B72" s="110">
        <v>79</v>
      </c>
      <c r="C72" s="111" t="s">
        <v>231</v>
      </c>
      <c r="D72" s="112" t="s">
        <v>458</v>
      </c>
      <c r="G72" s="104" t="s">
        <v>663</v>
      </c>
      <c r="H72" s="103">
        <v>42166</v>
      </c>
      <c r="I72" s="104" t="s">
        <v>664</v>
      </c>
    </row>
    <row r="73" spans="1:9" x14ac:dyDescent="0.2">
      <c r="A73" s="109">
        <v>49</v>
      </c>
      <c r="B73" s="110">
        <v>128</v>
      </c>
      <c r="C73" s="111" t="s">
        <v>224</v>
      </c>
      <c r="D73" s="112" t="s">
        <v>220</v>
      </c>
      <c r="G73" s="104" t="s">
        <v>663</v>
      </c>
      <c r="H73" s="103">
        <v>42166</v>
      </c>
      <c r="I73" s="104" t="s">
        <v>665</v>
      </c>
    </row>
    <row r="74" spans="1:9" x14ac:dyDescent="0.2">
      <c r="A74" s="109">
        <v>50</v>
      </c>
      <c r="B74" s="110">
        <v>14</v>
      </c>
      <c r="C74" s="111" t="s">
        <v>232</v>
      </c>
      <c r="D74" s="112" t="s">
        <v>220</v>
      </c>
      <c r="G74" s="104" t="s">
        <v>666</v>
      </c>
      <c r="H74" s="103">
        <v>42166</v>
      </c>
      <c r="I74" s="104" t="s">
        <v>667</v>
      </c>
    </row>
    <row r="75" spans="1:9" x14ac:dyDescent="0.2">
      <c r="A75" s="109">
        <v>51</v>
      </c>
      <c r="B75" s="110">
        <v>112</v>
      </c>
      <c r="C75" s="111" t="s">
        <v>233</v>
      </c>
      <c r="D75" s="112">
        <v>1</v>
      </c>
      <c r="G75" s="104" t="s">
        <v>668</v>
      </c>
      <c r="H75" s="103">
        <v>42166</v>
      </c>
      <c r="I75" s="104" t="s">
        <v>669</v>
      </c>
    </row>
    <row r="76" spans="1:9" x14ac:dyDescent="0.2">
      <c r="A76" s="109">
        <v>51</v>
      </c>
      <c r="B76" s="110">
        <v>120</v>
      </c>
      <c r="C76" s="111" t="s">
        <v>233</v>
      </c>
      <c r="D76" s="112">
        <v>2</v>
      </c>
      <c r="G76" s="104" t="s">
        <v>670</v>
      </c>
      <c r="H76" s="103">
        <v>42166</v>
      </c>
      <c r="I76" s="104" t="s">
        <v>671</v>
      </c>
    </row>
    <row r="77" spans="1:9" x14ac:dyDescent="0.2">
      <c r="A77" s="109">
        <v>52</v>
      </c>
      <c r="B77" s="110">
        <v>114</v>
      </c>
      <c r="C77" s="111" t="s">
        <v>234</v>
      </c>
      <c r="D77" s="112" t="s">
        <v>458</v>
      </c>
      <c r="G77" s="104" t="s">
        <v>672</v>
      </c>
      <c r="H77" s="103">
        <v>42166</v>
      </c>
      <c r="I77" s="104" t="s">
        <v>673</v>
      </c>
    </row>
    <row r="78" spans="1:9" x14ac:dyDescent="0.2">
      <c r="A78" s="109">
        <v>53</v>
      </c>
      <c r="B78" s="110">
        <v>115</v>
      </c>
      <c r="C78" s="111" t="s">
        <v>234</v>
      </c>
      <c r="D78" s="112" t="s">
        <v>458</v>
      </c>
      <c r="G78" s="104" t="s">
        <v>674</v>
      </c>
      <c r="H78" s="103">
        <v>42166</v>
      </c>
      <c r="I78" s="104" t="s">
        <v>675</v>
      </c>
    </row>
    <row r="79" spans="1:9" x14ac:dyDescent="0.2">
      <c r="A79" s="109">
        <v>55</v>
      </c>
      <c r="B79" s="110">
        <v>117</v>
      </c>
      <c r="C79" s="111" t="s">
        <v>234</v>
      </c>
      <c r="D79" s="112" t="s">
        <v>458</v>
      </c>
      <c r="G79" s="104" t="s">
        <v>676</v>
      </c>
      <c r="H79" s="103">
        <v>42166</v>
      </c>
      <c r="I79" s="104" t="s">
        <v>677</v>
      </c>
    </row>
    <row r="80" spans="1:9" x14ac:dyDescent="0.2">
      <c r="A80" s="109">
        <v>56</v>
      </c>
      <c r="B80" s="110">
        <v>118</v>
      </c>
      <c r="C80" s="111" t="s">
        <v>234</v>
      </c>
      <c r="D80" s="112" t="s">
        <v>458</v>
      </c>
      <c r="G80" s="104" t="s">
        <v>678</v>
      </c>
      <c r="H80" s="103">
        <v>42166</v>
      </c>
      <c r="I80" s="104" t="s">
        <v>679</v>
      </c>
    </row>
    <row r="81" spans="1:9" x14ac:dyDescent="0.2">
      <c r="A81" s="109">
        <v>57</v>
      </c>
      <c r="B81" s="110">
        <v>119</v>
      </c>
      <c r="C81" s="111" t="s">
        <v>234</v>
      </c>
      <c r="D81" s="112" t="s">
        <v>220</v>
      </c>
      <c r="G81" s="104" t="s">
        <v>680</v>
      </c>
      <c r="H81" s="103">
        <v>42166</v>
      </c>
      <c r="I81" s="104" t="s">
        <v>681</v>
      </c>
    </row>
    <row r="82" spans="1:9" x14ac:dyDescent="0.2">
      <c r="A82" s="109">
        <v>58</v>
      </c>
      <c r="B82" s="110">
        <v>21</v>
      </c>
      <c r="C82" s="111" t="s">
        <v>272</v>
      </c>
      <c r="D82" s="112">
        <v>1</v>
      </c>
      <c r="G82" s="104" t="s">
        <v>680</v>
      </c>
      <c r="H82" s="103">
        <v>42166</v>
      </c>
      <c r="I82" s="104" t="s">
        <v>682</v>
      </c>
    </row>
    <row r="83" spans="1:9" x14ac:dyDescent="0.2">
      <c r="A83" s="109">
        <v>58</v>
      </c>
      <c r="B83" s="110">
        <v>175</v>
      </c>
      <c r="C83" s="111" t="s">
        <v>272</v>
      </c>
      <c r="D83" s="112">
        <v>1</v>
      </c>
      <c r="G83" s="104" t="s">
        <v>683</v>
      </c>
      <c r="H83" s="103">
        <v>42166</v>
      </c>
      <c r="I83" s="104" t="s">
        <v>684</v>
      </c>
    </row>
    <row r="84" spans="1:9" x14ac:dyDescent="0.2">
      <c r="A84" s="109">
        <v>59</v>
      </c>
      <c r="B84" s="110">
        <v>121</v>
      </c>
      <c r="C84" s="111" t="s">
        <v>234</v>
      </c>
      <c r="D84" s="112" t="s">
        <v>458</v>
      </c>
    </row>
    <row r="85" spans="1:9" x14ac:dyDescent="0.2">
      <c r="A85" s="109">
        <v>60</v>
      </c>
      <c r="B85" s="110">
        <v>122</v>
      </c>
      <c r="C85" s="111" t="s">
        <v>234</v>
      </c>
      <c r="D85" s="112" t="s">
        <v>220</v>
      </c>
    </row>
    <row r="86" spans="1:9" x14ac:dyDescent="0.2">
      <c r="A86" s="109">
        <v>62</v>
      </c>
      <c r="B86" s="110">
        <v>1119</v>
      </c>
      <c r="C86" s="111" t="s">
        <v>235</v>
      </c>
      <c r="D86" s="112" t="s">
        <v>461</v>
      </c>
    </row>
    <row r="87" spans="1:9" x14ac:dyDescent="0.2">
      <c r="A87" s="109">
        <v>63</v>
      </c>
      <c r="B87" s="110">
        <v>172</v>
      </c>
      <c r="C87" s="111" t="s">
        <v>227</v>
      </c>
      <c r="D87" s="112" t="s">
        <v>458</v>
      </c>
    </row>
    <row r="88" spans="1:9" x14ac:dyDescent="0.2">
      <c r="A88" s="109">
        <v>64</v>
      </c>
      <c r="B88" s="110">
        <v>1105</v>
      </c>
      <c r="C88" s="111" t="s">
        <v>234</v>
      </c>
      <c r="D88" s="112" t="s">
        <v>220</v>
      </c>
    </row>
    <row r="89" spans="1:9" x14ac:dyDescent="0.2">
      <c r="A89" s="109">
        <v>65</v>
      </c>
      <c r="B89" s="110">
        <v>10</v>
      </c>
      <c r="C89" s="111" t="s">
        <v>236</v>
      </c>
      <c r="D89" s="112" t="s">
        <v>220</v>
      </c>
    </row>
    <row r="90" spans="1:9" x14ac:dyDescent="0.2">
      <c r="A90" s="109">
        <v>66</v>
      </c>
      <c r="B90" s="110">
        <v>1106</v>
      </c>
      <c r="C90" s="111" t="s">
        <v>236</v>
      </c>
      <c r="D90" s="112" t="s">
        <v>220</v>
      </c>
    </row>
    <row r="91" spans="1:9" x14ac:dyDescent="0.2">
      <c r="A91" s="109">
        <v>67</v>
      </c>
      <c r="B91" s="110">
        <v>102</v>
      </c>
      <c r="C91" s="111" t="s">
        <v>237</v>
      </c>
      <c r="D91" s="112" t="s">
        <v>459</v>
      </c>
    </row>
    <row r="92" spans="1:9" x14ac:dyDescent="0.2">
      <c r="A92" s="109">
        <v>71</v>
      </c>
      <c r="B92" s="110">
        <v>109</v>
      </c>
      <c r="C92" s="111" t="s">
        <v>237</v>
      </c>
      <c r="D92" s="112" t="s">
        <v>220</v>
      </c>
    </row>
    <row r="93" spans="1:9" x14ac:dyDescent="0.2">
      <c r="A93" s="109">
        <v>72</v>
      </c>
      <c r="B93" s="110">
        <v>111</v>
      </c>
      <c r="C93" s="111" t="s">
        <v>237</v>
      </c>
      <c r="D93" s="112" t="s">
        <v>220</v>
      </c>
    </row>
    <row r="94" spans="1:9" x14ac:dyDescent="0.2">
      <c r="A94" s="109">
        <v>73</v>
      </c>
      <c r="B94" s="110">
        <v>156</v>
      </c>
      <c r="C94" s="111" t="s">
        <v>237</v>
      </c>
      <c r="D94" s="112" t="s">
        <v>459</v>
      </c>
    </row>
    <row r="95" spans="1:9" x14ac:dyDescent="0.2">
      <c r="A95" s="109">
        <v>74</v>
      </c>
      <c r="B95" s="110">
        <v>17</v>
      </c>
      <c r="C95" s="111" t="s">
        <v>238</v>
      </c>
      <c r="D95" s="112" t="s">
        <v>220</v>
      </c>
    </row>
    <row r="96" spans="1:9" x14ac:dyDescent="0.2">
      <c r="A96" s="109">
        <v>75</v>
      </c>
      <c r="B96" s="110">
        <v>62</v>
      </c>
      <c r="C96" s="111" t="s">
        <v>239</v>
      </c>
      <c r="D96" s="112" t="s">
        <v>220</v>
      </c>
    </row>
    <row r="97" spans="1:4" x14ac:dyDescent="0.2">
      <c r="A97" s="109">
        <v>76</v>
      </c>
      <c r="B97" s="110">
        <v>63</v>
      </c>
      <c r="C97" s="111" t="s">
        <v>239</v>
      </c>
      <c r="D97" s="112" t="s">
        <v>220</v>
      </c>
    </row>
    <row r="98" spans="1:4" x14ac:dyDescent="0.2">
      <c r="A98" s="109">
        <v>77</v>
      </c>
      <c r="B98" s="110">
        <v>134</v>
      </c>
      <c r="C98" s="111" t="s">
        <v>239</v>
      </c>
      <c r="D98" s="112" t="s">
        <v>220</v>
      </c>
    </row>
    <row r="99" spans="1:4" x14ac:dyDescent="0.2">
      <c r="A99" s="109">
        <v>78</v>
      </c>
      <c r="B99" s="110">
        <v>13</v>
      </c>
      <c r="C99" s="111" t="s">
        <v>240</v>
      </c>
      <c r="D99" s="112" t="s">
        <v>220</v>
      </c>
    </row>
    <row r="100" spans="1:4" x14ac:dyDescent="0.2">
      <c r="A100" s="109">
        <v>79</v>
      </c>
      <c r="B100" s="110">
        <v>97</v>
      </c>
      <c r="C100" s="111" t="s">
        <v>241</v>
      </c>
      <c r="D100" s="112">
        <v>2</v>
      </c>
    </row>
    <row r="101" spans="1:4" x14ac:dyDescent="0.2">
      <c r="A101" s="109">
        <v>79</v>
      </c>
      <c r="B101" s="110">
        <v>164</v>
      </c>
      <c r="C101" s="111" t="s">
        <v>241</v>
      </c>
      <c r="D101" s="112">
        <v>1</v>
      </c>
    </row>
    <row r="102" spans="1:4" x14ac:dyDescent="0.2">
      <c r="A102" s="109">
        <v>80</v>
      </c>
      <c r="B102" s="110">
        <v>96</v>
      </c>
      <c r="C102" s="111" t="s">
        <v>242</v>
      </c>
      <c r="D102" s="112" t="s">
        <v>220</v>
      </c>
    </row>
    <row r="103" spans="1:4" x14ac:dyDescent="0.2">
      <c r="A103" s="109">
        <v>81</v>
      </c>
      <c r="B103" s="110">
        <v>60</v>
      </c>
      <c r="C103" s="111" t="s">
        <v>243</v>
      </c>
      <c r="D103" s="112" t="s">
        <v>220</v>
      </c>
    </row>
    <row r="104" spans="1:4" x14ac:dyDescent="0.2">
      <c r="A104" s="109">
        <v>82</v>
      </c>
      <c r="B104" s="110">
        <v>83</v>
      </c>
      <c r="C104" s="111" t="s">
        <v>244</v>
      </c>
      <c r="D104" s="112" t="s">
        <v>220</v>
      </c>
    </row>
    <row r="105" spans="1:4" x14ac:dyDescent="0.2">
      <c r="A105" s="109">
        <v>83</v>
      </c>
      <c r="B105" s="110">
        <v>84</v>
      </c>
      <c r="C105" s="111" t="s">
        <v>244</v>
      </c>
      <c r="D105" s="112" t="s">
        <v>220</v>
      </c>
    </row>
    <row r="106" spans="1:4" x14ac:dyDescent="0.2">
      <c r="A106" s="109">
        <v>84</v>
      </c>
      <c r="B106" s="110">
        <v>85</v>
      </c>
      <c r="C106" s="111" t="s">
        <v>244</v>
      </c>
      <c r="D106" s="112" t="s">
        <v>220</v>
      </c>
    </row>
    <row r="107" spans="1:4" x14ac:dyDescent="0.2">
      <c r="A107" s="109">
        <v>85</v>
      </c>
      <c r="B107" s="110">
        <v>86</v>
      </c>
      <c r="C107" s="111" t="s">
        <v>244</v>
      </c>
      <c r="D107" s="112" t="s">
        <v>220</v>
      </c>
    </row>
    <row r="108" spans="1:4" x14ac:dyDescent="0.2">
      <c r="A108" s="109">
        <v>86</v>
      </c>
      <c r="B108" s="110">
        <v>1107</v>
      </c>
      <c r="C108" s="111" t="s">
        <v>244</v>
      </c>
      <c r="D108" s="112" t="s">
        <v>220</v>
      </c>
    </row>
    <row r="109" spans="1:4" x14ac:dyDescent="0.2">
      <c r="A109" s="109">
        <v>87</v>
      </c>
      <c r="B109" s="110">
        <v>1109</v>
      </c>
      <c r="C109" s="111" t="s">
        <v>244</v>
      </c>
      <c r="D109" s="112" t="s">
        <v>220</v>
      </c>
    </row>
    <row r="110" spans="1:4" x14ac:dyDescent="0.2">
      <c r="A110" s="109">
        <v>88</v>
      </c>
      <c r="B110" s="110">
        <v>1113</v>
      </c>
      <c r="C110" s="111" t="s">
        <v>244</v>
      </c>
      <c r="D110" s="112" t="s">
        <v>220</v>
      </c>
    </row>
    <row r="111" spans="1:4" x14ac:dyDescent="0.2">
      <c r="A111" s="109">
        <v>91</v>
      </c>
      <c r="B111" s="110">
        <v>3</v>
      </c>
      <c r="C111" s="111" t="s">
        <v>245</v>
      </c>
      <c r="D111" s="112" t="s">
        <v>220</v>
      </c>
    </row>
    <row r="112" spans="1:4" x14ac:dyDescent="0.2">
      <c r="A112" s="109">
        <v>92</v>
      </c>
      <c r="B112" s="110">
        <v>4</v>
      </c>
      <c r="C112" s="111" t="s">
        <v>245</v>
      </c>
      <c r="D112" s="112" t="s">
        <v>220</v>
      </c>
    </row>
    <row r="113" spans="1:4" x14ac:dyDescent="0.2">
      <c r="A113" s="109">
        <v>93</v>
      </c>
      <c r="B113" s="110">
        <v>30</v>
      </c>
      <c r="C113" s="111" t="s">
        <v>246</v>
      </c>
      <c r="D113" s="112">
        <v>1</v>
      </c>
    </row>
    <row r="114" spans="1:4" x14ac:dyDescent="0.2">
      <c r="A114" s="109">
        <v>93</v>
      </c>
      <c r="B114" s="110">
        <v>214</v>
      </c>
      <c r="C114" s="111" t="s">
        <v>246</v>
      </c>
      <c r="D114" s="112">
        <v>2</v>
      </c>
    </row>
    <row r="115" spans="1:4" x14ac:dyDescent="0.2">
      <c r="A115" s="109">
        <v>94</v>
      </c>
      <c r="B115" s="110">
        <v>1108</v>
      </c>
      <c r="C115" s="111" t="s">
        <v>245</v>
      </c>
      <c r="D115" s="112" t="s">
        <v>220</v>
      </c>
    </row>
    <row r="116" spans="1:4" x14ac:dyDescent="0.2">
      <c r="A116" s="109">
        <v>95</v>
      </c>
      <c r="B116" s="110">
        <v>1110</v>
      </c>
      <c r="C116" s="111" t="s">
        <v>245</v>
      </c>
      <c r="D116" s="112" t="s">
        <v>220</v>
      </c>
    </row>
    <row r="117" spans="1:4" x14ac:dyDescent="0.2">
      <c r="A117" s="109">
        <v>96</v>
      </c>
      <c r="B117" s="110">
        <v>1114</v>
      </c>
      <c r="C117" s="111" t="s">
        <v>245</v>
      </c>
      <c r="D117" s="112" t="s">
        <v>220</v>
      </c>
    </row>
    <row r="118" spans="1:4" x14ac:dyDescent="0.2">
      <c r="A118" s="109">
        <v>97</v>
      </c>
      <c r="B118" s="110">
        <v>54</v>
      </c>
      <c r="C118" s="111" t="s">
        <v>247</v>
      </c>
      <c r="D118" s="112" t="s">
        <v>220</v>
      </c>
    </row>
    <row r="119" spans="1:4" x14ac:dyDescent="0.2">
      <c r="A119" s="109">
        <v>98</v>
      </c>
      <c r="B119" s="110">
        <v>12</v>
      </c>
      <c r="C119" s="111" t="s">
        <v>248</v>
      </c>
      <c r="D119" s="112" t="s">
        <v>220</v>
      </c>
    </row>
    <row r="120" spans="1:4" x14ac:dyDescent="0.2">
      <c r="A120" s="109">
        <v>99</v>
      </c>
      <c r="B120" s="110">
        <v>75</v>
      </c>
      <c r="C120" s="111" t="s">
        <v>249</v>
      </c>
      <c r="D120" s="112" t="s">
        <v>458</v>
      </c>
    </row>
    <row r="121" spans="1:4" x14ac:dyDescent="0.2">
      <c r="A121" s="109">
        <v>100</v>
      </c>
      <c r="B121" s="110">
        <v>76</v>
      </c>
      <c r="C121" s="111" t="s">
        <v>249</v>
      </c>
      <c r="D121" s="112" t="s">
        <v>458</v>
      </c>
    </row>
    <row r="122" spans="1:4" x14ac:dyDescent="0.2">
      <c r="A122" s="109">
        <v>101</v>
      </c>
      <c r="B122" s="110">
        <v>7</v>
      </c>
      <c r="C122" s="111" t="s">
        <v>250</v>
      </c>
      <c r="D122" s="112" t="s">
        <v>220</v>
      </c>
    </row>
    <row r="123" spans="1:4" x14ac:dyDescent="0.2">
      <c r="A123" s="109">
        <v>102</v>
      </c>
      <c r="B123" s="110">
        <v>8</v>
      </c>
      <c r="C123" s="111" t="s">
        <v>250</v>
      </c>
      <c r="D123" s="112" t="s">
        <v>220</v>
      </c>
    </row>
    <row r="124" spans="1:4" x14ac:dyDescent="0.2">
      <c r="A124" s="109">
        <v>103</v>
      </c>
      <c r="B124" s="110">
        <v>9</v>
      </c>
      <c r="C124" s="111" t="s">
        <v>250</v>
      </c>
      <c r="D124" s="112" t="s">
        <v>220</v>
      </c>
    </row>
    <row r="125" spans="1:4" x14ac:dyDescent="0.2">
      <c r="A125" s="109">
        <v>104</v>
      </c>
      <c r="B125" s="110">
        <v>61</v>
      </c>
      <c r="C125" s="111" t="s">
        <v>251</v>
      </c>
      <c r="D125" s="112" t="s">
        <v>459</v>
      </c>
    </row>
    <row r="126" spans="1:4" x14ac:dyDescent="0.2">
      <c r="A126" s="109">
        <v>105</v>
      </c>
      <c r="B126" s="110">
        <v>65</v>
      </c>
      <c r="C126" s="111" t="s">
        <v>251</v>
      </c>
      <c r="D126" s="112" t="s">
        <v>220</v>
      </c>
    </row>
    <row r="127" spans="1:4" x14ac:dyDescent="0.2">
      <c r="A127" s="109">
        <v>106</v>
      </c>
      <c r="B127" s="110">
        <v>66</v>
      </c>
      <c r="C127" s="111" t="s">
        <v>251</v>
      </c>
      <c r="D127" s="112" t="s">
        <v>459</v>
      </c>
    </row>
    <row r="128" spans="1:4" x14ac:dyDescent="0.2">
      <c r="A128" s="109">
        <v>107</v>
      </c>
      <c r="B128" s="110">
        <v>67</v>
      </c>
      <c r="C128" s="111" t="s">
        <v>251</v>
      </c>
      <c r="D128" s="112" t="s">
        <v>459</v>
      </c>
    </row>
    <row r="129" spans="1:4" x14ac:dyDescent="0.2">
      <c r="A129" s="109">
        <v>108</v>
      </c>
      <c r="B129" s="110">
        <v>68</v>
      </c>
      <c r="C129" s="111" t="s">
        <v>251</v>
      </c>
      <c r="D129" s="112" t="s">
        <v>459</v>
      </c>
    </row>
    <row r="130" spans="1:4" x14ac:dyDescent="0.2">
      <c r="A130" s="109">
        <v>109</v>
      </c>
      <c r="B130" s="110">
        <v>69</v>
      </c>
      <c r="C130" s="111" t="s">
        <v>251</v>
      </c>
      <c r="D130" s="112" t="s">
        <v>220</v>
      </c>
    </row>
    <row r="131" spans="1:4" x14ac:dyDescent="0.2">
      <c r="A131" s="109">
        <v>110</v>
      </c>
      <c r="B131" s="110">
        <v>1348</v>
      </c>
      <c r="C131" s="111" t="s">
        <v>251</v>
      </c>
      <c r="D131" s="112" t="s">
        <v>220</v>
      </c>
    </row>
    <row r="132" spans="1:4" x14ac:dyDescent="0.2">
      <c r="A132" s="109">
        <v>111</v>
      </c>
      <c r="B132" s="110">
        <v>91</v>
      </c>
      <c r="C132" s="111" t="s">
        <v>252</v>
      </c>
      <c r="D132" s="112" t="s">
        <v>220</v>
      </c>
    </row>
    <row r="133" spans="1:4" x14ac:dyDescent="0.2">
      <c r="A133" s="109">
        <v>112</v>
      </c>
      <c r="B133" s="110">
        <v>22</v>
      </c>
      <c r="C133" s="111" t="s">
        <v>253</v>
      </c>
      <c r="D133" s="112" t="s">
        <v>458</v>
      </c>
    </row>
    <row r="134" spans="1:4" x14ac:dyDescent="0.2">
      <c r="A134" s="109">
        <v>113</v>
      </c>
      <c r="B134" s="110">
        <v>23</v>
      </c>
      <c r="C134" s="111" t="s">
        <v>253</v>
      </c>
      <c r="D134" s="112" t="s">
        <v>458</v>
      </c>
    </row>
    <row r="135" spans="1:4" x14ac:dyDescent="0.2">
      <c r="A135" s="109">
        <v>115</v>
      </c>
      <c r="B135" s="110">
        <v>25</v>
      </c>
      <c r="C135" s="111" t="s">
        <v>253</v>
      </c>
      <c r="D135" s="112" t="s">
        <v>220</v>
      </c>
    </row>
    <row r="136" spans="1:4" x14ac:dyDescent="0.2">
      <c r="A136" s="109">
        <v>116</v>
      </c>
      <c r="B136" s="110">
        <v>26</v>
      </c>
      <c r="C136" s="111" t="s">
        <v>253</v>
      </c>
      <c r="D136" s="112" t="s">
        <v>220</v>
      </c>
    </row>
    <row r="137" spans="1:4" x14ac:dyDescent="0.2">
      <c r="A137" s="109">
        <v>117</v>
      </c>
      <c r="B137" s="110">
        <v>1349</v>
      </c>
      <c r="C137" s="111" t="s">
        <v>253</v>
      </c>
      <c r="D137" s="112" t="s">
        <v>220</v>
      </c>
    </row>
    <row r="138" spans="1:4" x14ac:dyDescent="0.2">
      <c r="A138" s="109">
        <v>118</v>
      </c>
      <c r="B138" s="110">
        <v>6</v>
      </c>
      <c r="C138" s="111" t="s">
        <v>254</v>
      </c>
      <c r="D138" s="112" t="s">
        <v>220</v>
      </c>
    </row>
    <row r="139" spans="1:4" x14ac:dyDescent="0.2">
      <c r="A139" s="109">
        <v>119</v>
      </c>
      <c r="B139" s="110">
        <v>1350</v>
      </c>
      <c r="C139" s="111" t="s">
        <v>254</v>
      </c>
      <c r="D139" s="112" t="s">
        <v>220</v>
      </c>
    </row>
    <row r="140" spans="1:4" x14ac:dyDescent="0.2">
      <c r="A140" s="109">
        <v>120</v>
      </c>
      <c r="B140" s="110">
        <v>11</v>
      </c>
      <c r="C140" s="111" t="s">
        <v>227</v>
      </c>
      <c r="D140" s="112" t="s">
        <v>220</v>
      </c>
    </row>
    <row r="141" spans="1:4" x14ac:dyDescent="0.2">
      <c r="A141" s="109">
        <v>121</v>
      </c>
      <c r="B141" s="110">
        <v>26</v>
      </c>
      <c r="C141" s="111" t="s">
        <v>255</v>
      </c>
      <c r="D141" s="112">
        <v>2</v>
      </c>
    </row>
    <row r="142" spans="1:4" x14ac:dyDescent="0.2">
      <c r="A142" s="109">
        <v>121</v>
      </c>
      <c r="B142" s="110">
        <v>224</v>
      </c>
      <c r="C142" s="111" t="s">
        <v>255</v>
      </c>
      <c r="D142" s="112">
        <v>1</v>
      </c>
    </row>
    <row r="143" spans="1:4" x14ac:dyDescent="0.2">
      <c r="A143" s="109">
        <v>122</v>
      </c>
      <c r="B143" s="110">
        <v>201</v>
      </c>
      <c r="C143" s="111" t="s">
        <v>256</v>
      </c>
      <c r="D143" s="112">
        <v>1</v>
      </c>
    </row>
    <row r="144" spans="1:4" x14ac:dyDescent="0.2">
      <c r="A144" s="109">
        <v>122</v>
      </c>
      <c r="B144" s="110">
        <v>245</v>
      </c>
      <c r="C144" s="111" t="s">
        <v>256</v>
      </c>
      <c r="D144" s="112">
        <v>2</v>
      </c>
    </row>
    <row r="145" spans="1:4" x14ac:dyDescent="0.2">
      <c r="A145" s="109">
        <v>123</v>
      </c>
      <c r="B145" s="110">
        <v>1307</v>
      </c>
      <c r="C145" s="111" t="s">
        <v>257</v>
      </c>
      <c r="D145" s="112">
        <v>1</v>
      </c>
    </row>
    <row r="146" spans="1:4" x14ac:dyDescent="0.2">
      <c r="A146" s="109">
        <v>124</v>
      </c>
      <c r="B146" s="110">
        <v>1319</v>
      </c>
      <c r="C146" s="111" t="s">
        <v>257</v>
      </c>
      <c r="D146" s="112">
        <v>1</v>
      </c>
    </row>
    <row r="147" spans="1:4" x14ac:dyDescent="0.2">
      <c r="A147" s="109">
        <v>125</v>
      </c>
      <c r="B147" s="110">
        <v>1315</v>
      </c>
      <c r="C147" s="111" t="s">
        <v>257</v>
      </c>
      <c r="D147" s="112">
        <v>1</v>
      </c>
    </row>
    <row r="148" spans="1:4" x14ac:dyDescent="0.2">
      <c r="A148" s="109">
        <v>126</v>
      </c>
      <c r="B148" s="110">
        <v>1193</v>
      </c>
      <c r="C148" s="111" t="s">
        <v>258</v>
      </c>
      <c r="D148" s="112">
        <v>1</v>
      </c>
    </row>
    <row r="149" spans="1:4" x14ac:dyDescent="0.2">
      <c r="A149" s="109">
        <v>126</v>
      </c>
      <c r="B149" s="110">
        <v>1194</v>
      </c>
      <c r="C149" s="111" t="s">
        <v>258</v>
      </c>
      <c r="D149" s="112">
        <v>2</v>
      </c>
    </row>
    <row r="150" spans="1:4" x14ac:dyDescent="0.2">
      <c r="A150" s="109">
        <v>127</v>
      </c>
      <c r="B150" s="110">
        <v>80</v>
      </c>
      <c r="C150" s="111" t="s">
        <v>259</v>
      </c>
      <c r="D150" s="112" t="s">
        <v>459</v>
      </c>
    </row>
    <row r="151" spans="1:4" x14ac:dyDescent="0.2">
      <c r="A151" s="109">
        <v>127</v>
      </c>
      <c r="B151" s="110">
        <v>148</v>
      </c>
      <c r="C151" s="111" t="s">
        <v>259</v>
      </c>
      <c r="D151" s="112">
        <v>1</v>
      </c>
    </row>
    <row r="152" spans="1:4" x14ac:dyDescent="0.2">
      <c r="A152" s="109">
        <v>127</v>
      </c>
      <c r="B152" s="110">
        <v>221</v>
      </c>
      <c r="C152" s="111" t="s">
        <v>259</v>
      </c>
      <c r="D152" s="112" t="s">
        <v>461</v>
      </c>
    </row>
    <row r="153" spans="1:4" x14ac:dyDescent="0.2">
      <c r="A153" s="109">
        <v>128</v>
      </c>
      <c r="B153" s="110">
        <v>1120</v>
      </c>
      <c r="C153" s="111" t="s">
        <v>260</v>
      </c>
      <c r="D153" s="112">
        <v>1</v>
      </c>
    </row>
    <row r="154" spans="1:4" x14ac:dyDescent="0.2">
      <c r="A154" s="109">
        <v>128</v>
      </c>
      <c r="B154" s="110">
        <v>1121</v>
      </c>
      <c r="C154" s="111" t="s">
        <v>260</v>
      </c>
      <c r="D154" s="112">
        <v>1</v>
      </c>
    </row>
    <row r="155" spans="1:4" x14ac:dyDescent="0.2">
      <c r="A155" s="109">
        <v>128</v>
      </c>
      <c r="B155" s="110">
        <v>1122</v>
      </c>
      <c r="C155" s="111" t="s">
        <v>260</v>
      </c>
      <c r="D155" s="112">
        <v>2</v>
      </c>
    </row>
    <row r="156" spans="1:4" x14ac:dyDescent="0.2">
      <c r="A156" s="109">
        <v>129</v>
      </c>
      <c r="B156" s="110">
        <v>169</v>
      </c>
      <c r="C156" s="111" t="s">
        <v>259</v>
      </c>
      <c r="D156" s="112">
        <v>1</v>
      </c>
    </row>
    <row r="157" spans="1:4" x14ac:dyDescent="0.2">
      <c r="A157" s="109">
        <v>129</v>
      </c>
      <c r="B157" s="110">
        <v>202</v>
      </c>
      <c r="C157" s="111" t="s">
        <v>259</v>
      </c>
      <c r="D157" s="112">
        <v>1</v>
      </c>
    </row>
    <row r="158" spans="1:4" x14ac:dyDescent="0.2">
      <c r="A158" s="109">
        <v>129</v>
      </c>
      <c r="B158" s="110">
        <v>222</v>
      </c>
      <c r="C158" s="111" t="s">
        <v>259</v>
      </c>
      <c r="D158" s="112">
        <v>2</v>
      </c>
    </row>
    <row r="159" spans="1:4" x14ac:dyDescent="0.2">
      <c r="A159" s="109">
        <v>130</v>
      </c>
      <c r="B159" s="110">
        <v>1308</v>
      </c>
      <c r="C159" s="111" t="s">
        <v>261</v>
      </c>
      <c r="D159" s="112">
        <v>1</v>
      </c>
    </row>
    <row r="160" spans="1:4" x14ac:dyDescent="0.2">
      <c r="A160" s="109">
        <v>130</v>
      </c>
      <c r="B160" s="110">
        <v>1309</v>
      </c>
      <c r="C160" s="111" t="s">
        <v>261</v>
      </c>
      <c r="D160" s="112">
        <v>1</v>
      </c>
    </row>
    <row r="161" spans="1:4" x14ac:dyDescent="0.2">
      <c r="A161" s="109">
        <v>130</v>
      </c>
      <c r="B161" s="110">
        <v>1310</v>
      </c>
      <c r="C161" s="111" t="s">
        <v>261</v>
      </c>
      <c r="D161" s="112">
        <v>2</v>
      </c>
    </row>
    <row r="162" spans="1:4" x14ac:dyDescent="0.2">
      <c r="A162" s="109">
        <v>131</v>
      </c>
      <c r="B162" s="110">
        <v>1311</v>
      </c>
      <c r="C162" s="111" t="s">
        <v>261</v>
      </c>
      <c r="D162" s="112">
        <v>1</v>
      </c>
    </row>
    <row r="163" spans="1:4" x14ac:dyDescent="0.2">
      <c r="A163" s="109">
        <v>131</v>
      </c>
      <c r="B163" s="110">
        <v>1312</v>
      </c>
      <c r="C163" s="111" t="s">
        <v>261</v>
      </c>
      <c r="D163" s="112">
        <v>1</v>
      </c>
    </row>
    <row r="164" spans="1:4" x14ac:dyDescent="0.2">
      <c r="A164" s="109">
        <v>131</v>
      </c>
      <c r="B164" s="110">
        <v>1313</v>
      </c>
      <c r="C164" s="111" t="s">
        <v>261</v>
      </c>
      <c r="D164" s="112">
        <v>2</v>
      </c>
    </row>
    <row r="165" spans="1:4" x14ac:dyDescent="0.2">
      <c r="A165" s="109">
        <v>132</v>
      </c>
      <c r="B165" s="110">
        <v>92</v>
      </c>
      <c r="C165" s="111" t="s">
        <v>262</v>
      </c>
      <c r="D165" s="112" t="s">
        <v>458</v>
      </c>
    </row>
    <row r="166" spans="1:4" x14ac:dyDescent="0.2">
      <c r="A166" s="109">
        <v>132</v>
      </c>
      <c r="B166" s="110">
        <v>210</v>
      </c>
      <c r="C166" s="111" t="s">
        <v>262</v>
      </c>
      <c r="D166" s="112">
        <v>2</v>
      </c>
    </row>
    <row r="167" spans="1:4" x14ac:dyDescent="0.2">
      <c r="A167" s="109">
        <v>132</v>
      </c>
      <c r="B167" s="110">
        <v>234</v>
      </c>
      <c r="C167" s="111" t="s">
        <v>262</v>
      </c>
      <c r="D167" s="112" t="s">
        <v>458</v>
      </c>
    </row>
    <row r="168" spans="1:4" x14ac:dyDescent="0.2">
      <c r="A168" s="109">
        <v>132</v>
      </c>
      <c r="B168" s="110">
        <v>236</v>
      </c>
      <c r="C168" s="111" t="s">
        <v>262</v>
      </c>
      <c r="D168" s="112" t="s">
        <v>458</v>
      </c>
    </row>
    <row r="169" spans="1:4" x14ac:dyDescent="0.2">
      <c r="A169" s="109">
        <v>133</v>
      </c>
      <c r="B169" s="110">
        <v>92</v>
      </c>
      <c r="C169" s="111" t="s">
        <v>262</v>
      </c>
      <c r="D169" s="112">
        <v>1</v>
      </c>
    </row>
    <row r="170" spans="1:4" x14ac:dyDescent="0.2">
      <c r="A170" s="109">
        <v>133</v>
      </c>
      <c r="B170" s="110">
        <v>210</v>
      </c>
      <c r="C170" s="111" t="s">
        <v>262</v>
      </c>
      <c r="D170" s="112">
        <v>2</v>
      </c>
    </row>
    <row r="171" spans="1:4" x14ac:dyDescent="0.2">
      <c r="A171" s="109">
        <v>133</v>
      </c>
      <c r="B171" s="110">
        <v>233</v>
      </c>
      <c r="C171" s="111" t="s">
        <v>262</v>
      </c>
      <c r="D171" s="112">
        <v>1</v>
      </c>
    </row>
    <row r="172" spans="1:4" x14ac:dyDescent="0.2">
      <c r="A172" s="109">
        <v>133</v>
      </c>
      <c r="B172" s="110">
        <v>246</v>
      </c>
      <c r="C172" s="111" t="s">
        <v>262</v>
      </c>
      <c r="D172" s="112">
        <v>1</v>
      </c>
    </row>
    <row r="173" spans="1:4" x14ac:dyDescent="0.2">
      <c r="A173" s="109">
        <v>134</v>
      </c>
      <c r="B173" s="110">
        <v>101</v>
      </c>
      <c r="C173" s="111" t="s">
        <v>262</v>
      </c>
      <c r="D173" s="112">
        <v>1</v>
      </c>
    </row>
    <row r="174" spans="1:4" x14ac:dyDescent="0.2">
      <c r="A174" s="109">
        <v>134</v>
      </c>
      <c r="B174" s="110">
        <v>210</v>
      </c>
      <c r="C174" s="111" t="s">
        <v>262</v>
      </c>
      <c r="D174" s="112">
        <v>2</v>
      </c>
    </row>
    <row r="175" spans="1:4" x14ac:dyDescent="0.2">
      <c r="A175" s="109">
        <v>134</v>
      </c>
      <c r="B175" s="110">
        <v>232</v>
      </c>
      <c r="C175" s="111" t="s">
        <v>262</v>
      </c>
      <c r="D175" s="112">
        <v>1</v>
      </c>
    </row>
    <row r="176" spans="1:4" x14ac:dyDescent="0.2">
      <c r="A176" s="109">
        <v>134</v>
      </c>
      <c r="B176" s="110">
        <v>250</v>
      </c>
      <c r="C176" s="111" t="s">
        <v>262</v>
      </c>
      <c r="D176" s="112">
        <v>1</v>
      </c>
    </row>
    <row r="177" spans="1:4" x14ac:dyDescent="0.2">
      <c r="A177" s="109">
        <v>135</v>
      </c>
      <c r="B177" s="110">
        <v>38</v>
      </c>
      <c r="C177" s="111" t="s">
        <v>262</v>
      </c>
      <c r="D177" s="112">
        <v>1</v>
      </c>
    </row>
    <row r="178" spans="1:4" x14ac:dyDescent="0.2">
      <c r="A178" s="109">
        <v>135</v>
      </c>
      <c r="B178" s="110">
        <v>80</v>
      </c>
      <c r="C178" s="111" t="s">
        <v>262</v>
      </c>
      <c r="D178" s="112">
        <v>1</v>
      </c>
    </row>
    <row r="179" spans="1:4" x14ac:dyDescent="0.2">
      <c r="A179" s="109">
        <v>135</v>
      </c>
      <c r="B179" s="110">
        <v>221</v>
      </c>
      <c r="C179" s="111" t="s">
        <v>262</v>
      </c>
      <c r="D179" s="112" t="s">
        <v>461</v>
      </c>
    </row>
    <row r="180" spans="1:4" x14ac:dyDescent="0.2">
      <c r="A180" s="109">
        <v>135</v>
      </c>
      <c r="B180" s="110">
        <v>247</v>
      </c>
      <c r="C180" s="111" t="s">
        <v>262</v>
      </c>
      <c r="D180" s="112">
        <v>1</v>
      </c>
    </row>
    <row r="181" spans="1:4" x14ac:dyDescent="0.2">
      <c r="A181" s="109">
        <v>136</v>
      </c>
      <c r="B181" s="110">
        <v>124</v>
      </c>
      <c r="C181" s="111" t="s">
        <v>262</v>
      </c>
      <c r="D181" s="112">
        <v>1</v>
      </c>
    </row>
    <row r="182" spans="1:4" x14ac:dyDescent="0.2">
      <c r="A182" s="109">
        <v>136</v>
      </c>
      <c r="B182" s="110">
        <v>202</v>
      </c>
      <c r="C182" s="111" t="s">
        <v>262</v>
      </c>
      <c r="D182" s="112">
        <v>1</v>
      </c>
    </row>
    <row r="183" spans="1:4" x14ac:dyDescent="0.2">
      <c r="A183" s="109">
        <v>136</v>
      </c>
      <c r="B183" s="110">
        <v>222</v>
      </c>
      <c r="C183" s="111" t="s">
        <v>262</v>
      </c>
      <c r="D183" s="112">
        <v>2</v>
      </c>
    </row>
    <row r="184" spans="1:4" x14ac:dyDescent="0.2">
      <c r="A184" s="109">
        <v>136</v>
      </c>
      <c r="B184" s="110">
        <v>246</v>
      </c>
      <c r="C184" s="111" t="s">
        <v>262</v>
      </c>
      <c r="D184" s="112">
        <v>1</v>
      </c>
    </row>
    <row r="185" spans="1:4" x14ac:dyDescent="0.2">
      <c r="A185" s="109">
        <v>137</v>
      </c>
      <c r="B185" s="110">
        <v>203</v>
      </c>
      <c r="C185" s="111" t="s">
        <v>262</v>
      </c>
      <c r="D185" s="112" t="s">
        <v>263</v>
      </c>
    </row>
    <row r="186" spans="1:4" x14ac:dyDescent="0.2">
      <c r="A186" s="109">
        <v>137</v>
      </c>
      <c r="B186" s="110">
        <v>222</v>
      </c>
      <c r="C186" s="111" t="s">
        <v>262</v>
      </c>
      <c r="D186" s="112" t="s">
        <v>263</v>
      </c>
    </row>
    <row r="187" spans="1:4" x14ac:dyDescent="0.2">
      <c r="A187" s="109">
        <v>137</v>
      </c>
      <c r="B187" s="110">
        <v>223</v>
      </c>
      <c r="C187" s="111" t="s">
        <v>262</v>
      </c>
      <c r="D187" s="112" t="s">
        <v>263</v>
      </c>
    </row>
    <row r="188" spans="1:4" x14ac:dyDescent="0.2">
      <c r="A188" s="109">
        <v>137</v>
      </c>
      <c r="B188" s="110">
        <v>229</v>
      </c>
      <c r="C188" s="111" t="s">
        <v>262</v>
      </c>
      <c r="D188" s="112" t="s">
        <v>263</v>
      </c>
    </row>
    <row r="189" spans="1:4" x14ac:dyDescent="0.2">
      <c r="A189" s="109">
        <v>138</v>
      </c>
      <c r="B189" s="110">
        <v>5</v>
      </c>
      <c r="C189" s="111" t="s">
        <v>262</v>
      </c>
      <c r="D189" s="112" t="s">
        <v>458</v>
      </c>
    </row>
    <row r="190" spans="1:4" x14ac:dyDescent="0.2">
      <c r="A190" s="109">
        <v>138</v>
      </c>
      <c r="B190" s="110">
        <v>88</v>
      </c>
      <c r="C190" s="111" t="s">
        <v>262</v>
      </c>
      <c r="D190" s="112" t="s">
        <v>458</v>
      </c>
    </row>
    <row r="191" spans="1:4" x14ac:dyDescent="0.2">
      <c r="A191" s="109">
        <v>138</v>
      </c>
      <c r="B191" s="110">
        <v>208</v>
      </c>
      <c r="C191" s="111" t="s">
        <v>262</v>
      </c>
      <c r="D191" s="112">
        <v>2</v>
      </c>
    </row>
    <row r="192" spans="1:4" x14ac:dyDescent="0.2">
      <c r="A192" s="109">
        <v>138</v>
      </c>
      <c r="B192" s="110">
        <v>235</v>
      </c>
      <c r="C192" s="111" t="s">
        <v>262</v>
      </c>
      <c r="D192" s="112" t="s">
        <v>458</v>
      </c>
    </row>
    <row r="193" spans="1:4" x14ac:dyDescent="0.2">
      <c r="A193" s="109">
        <v>140</v>
      </c>
      <c r="B193" s="110">
        <v>1395</v>
      </c>
      <c r="C193" s="111" t="s">
        <v>246</v>
      </c>
      <c r="D193" s="112">
        <v>2</v>
      </c>
    </row>
    <row r="194" spans="1:4" x14ac:dyDescent="0.2">
      <c r="A194" s="109">
        <v>140</v>
      </c>
      <c r="B194" s="110">
        <v>1396</v>
      </c>
      <c r="C194" s="111" t="s">
        <v>246</v>
      </c>
      <c r="D194" s="112">
        <v>1</v>
      </c>
    </row>
    <row r="195" spans="1:4" x14ac:dyDescent="0.2">
      <c r="A195" s="109">
        <v>141</v>
      </c>
      <c r="B195" s="110">
        <v>189</v>
      </c>
      <c r="C195" s="111" t="s">
        <v>264</v>
      </c>
      <c r="D195" s="112">
        <v>1</v>
      </c>
    </row>
    <row r="196" spans="1:4" x14ac:dyDescent="0.2">
      <c r="A196" s="109">
        <v>141</v>
      </c>
      <c r="B196" s="110">
        <v>210</v>
      </c>
      <c r="C196" s="111" t="s">
        <v>264</v>
      </c>
      <c r="D196" s="112">
        <v>2</v>
      </c>
    </row>
    <row r="197" spans="1:4" x14ac:dyDescent="0.2">
      <c r="A197" s="109">
        <v>141</v>
      </c>
      <c r="B197" s="110">
        <v>233</v>
      </c>
      <c r="C197" s="111" t="s">
        <v>264</v>
      </c>
      <c r="D197" s="112">
        <v>1</v>
      </c>
    </row>
    <row r="198" spans="1:4" x14ac:dyDescent="0.2">
      <c r="A198" s="109">
        <v>141</v>
      </c>
      <c r="B198" s="110">
        <v>249</v>
      </c>
      <c r="C198" s="111" t="s">
        <v>264</v>
      </c>
      <c r="D198" s="112">
        <v>1</v>
      </c>
    </row>
    <row r="199" spans="1:4" x14ac:dyDescent="0.2">
      <c r="A199" s="109">
        <v>141</v>
      </c>
      <c r="B199" s="110">
        <v>252</v>
      </c>
      <c r="C199" s="111" t="s">
        <v>264</v>
      </c>
      <c r="D199" s="112">
        <v>1</v>
      </c>
    </row>
    <row r="200" spans="1:4" x14ac:dyDescent="0.2">
      <c r="A200" s="109">
        <v>142</v>
      </c>
      <c r="B200" s="110">
        <v>132</v>
      </c>
      <c r="C200" s="111" t="s">
        <v>264</v>
      </c>
      <c r="D200" s="112">
        <v>1</v>
      </c>
    </row>
    <row r="201" spans="1:4" x14ac:dyDescent="0.2">
      <c r="A201" s="109">
        <v>142</v>
      </c>
      <c r="B201" s="110">
        <v>206</v>
      </c>
      <c r="C201" s="111" t="s">
        <v>264</v>
      </c>
      <c r="D201" s="112">
        <v>2</v>
      </c>
    </row>
    <row r="202" spans="1:4" x14ac:dyDescent="0.2">
      <c r="A202" s="109">
        <v>142</v>
      </c>
      <c r="B202" s="110">
        <v>230</v>
      </c>
      <c r="C202" s="111" t="s">
        <v>264</v>
      </c>
      <c r="D202" s="112">
        <v>1</v>
      </c>
    </row>
    <row r="203" spans="1:4" x14ac:dyDescent="0.2">
      <c r="A203" s="109">
        <v>142</v>
      </c>
      <c r="B203" s="110">
        <v>249</v>
      </c>
      <c r="C203" s="111" t="s">
        <v>264</v>
      </c>
      <c r="D203" s="112">
        <v>1</v>
      </c>
    </row>
    <row r="204" spans="1:4" x14ac:dyDescent="0.2">
      <c r="A204" s="109">
        <v>142</v>
      </c>
      <c r="B204" s="110">
        <v>252</v>
      </c>
      <c r="C204" s="111" t="s">
        <v>264</v>
      </c>
      <c r="D204" s="112">
        <v>1</v>
      </c>
    </row>
    <row r="205" spans="1:4" x14ac:dyDescent="0.2">
      <c r="A205" s="109">
        <v>143</v>
      </c>
      <c r="B205" s="110">
        <v>47</v>
      </c>
      <c r="C205" s="111" t="s">
        <v>249</v>
      </c>
      <c r="D205" s="112" t="s">
        <v>220</v>
      </c>
    </row>
    <row r="206" spans="1:4" x14ac:dyDescent="0.2">
      <c r="A206" s="109">
        <v>144</v>
      </c>
      <c r="B206" s="110">
        <v>93</v>
      </c>
      <c r="C206" s="111" t="s">
        <v>265</v>
      </c>
      <c r="D206" s="112">
        <v>1</v>
      </c>
    </row>
    <row r="207" spans="1:4" x14ac:dyDescent="0.2">
      <c r="A207" s="109">
        <v>144</v>
      </c>
      <c r="B207" s="110">
        <v>208</v>
      </c>
      <c r="C207" s="111" t="s">
        <v>265</v>
      </c>
      <c r="D207" s="112">
        <v>2</v>
      </c>
    </row>
    <row r="208" spans="1:4" x14ac:dyDescent="0.2">
      <c r="A208" s="109">
        <v>144</v>
      </c>
      <c r="B208" s="110">
        <v>239</v>
      </c>
      <c r="C208" s="111" t="s">
        <v>265</v>
      </c>
      <c r="D208" s="112">
        <v>1</v>
      </c>
    </row>
    <row r="209" spans="1:4" x14ac:dyDescent="0.2">
      <c r="A209" s="109">
        <v>144</v>
      </c>
      <c r="B209" s="110">
        <v>243</v>
      </c>
      <c r="C209" s="111" t="s">
        <v>265</v>
      </c>
      <c r="D209" s="112">
        <v>1</v>
      </c>
    </row>
    <row r="210" spans="1:4" x14ac:dyDescent="0.2">
      <c r="A210" s="109">
        <v>144</v>
      </c>
      <c r="B210" s="110">
        <v>248</v>
      </c>
      <c r="C210" s="111" t="s">
        <v>265</v>
      </c>
      <c r="D210" s="112">
        <v>1</v>
      </c>
    </row>
    <row r="211" spans="1:4" x14ac:dyDescent="0.2">
      <c r="A211" s="109">
        <v>144</v>
      </c>
      <c r="B211" s="110">
        <v>251</v>
      </c>
      <c r="C211" s="111" t="s">
        <v>265</v>
      </c>
      <c r="D211" s="112">
        <v>1</v>
      </c>
    </row>
    <row r="212" spans="1:4" x14ac:dyDescent="0.2">
      <c r="A212" s="109">
        <v>145</v>
      </c>
      <c r="B212" s="110">
        <v>210</v>
      </c>
      <c r="C212" s="111" t="s">
        <v>265</v>
      </c>
      <c r="D212" s="112">
        <v>2</v>
      </c>
    </row>
    <row r="213" spans="1:4" x14ac:dyDescent="0.2">
      <c r="A213" s="109">
        <v>145</v>
      </c>
      <c r="B213" s="110">
        <v>249</v>
      </c>
      <c r="C213" s="111" t="s">
        <v>265</v>
      </c>
      <c r="D213" s="112">
        <v>1</v>
      </c>
    </row>
    <row r="214" spans="1:4" x14ac:dyDescent="0.2">
      <c r="A214" s="109">
        <v>145</v>
      </c>
      <c r="B214" s="110">
        <v>92</v>
      </c>
      <c r="C214" s="111" t="s">
        <v>265</v>
      </c>
      <c r="D214" s="112" t="s">
        <v>458</v>
      </c>
    </row>
    <row r="215" spans="1:4" x14ac:dyDescent="0.2">
      <c r="A215" s="109">
        <v>145</v>
      </c>
      <c r="B215" s="110">
        <v>240</v>
      </c>
      <c r="C215" s="111" t="s">
        <v>265</v>
      </c>
      <c r="D215" s="112" t="s">
        <v>458</v>
      </c>
    </row>
    <row r="216" spans="1:4" x14ac:dyDescent="0.2">
      <c r="A216" s="109">
        <v>145</v>
      </c>
      <c r="B216" s="110">
        <v>244</v>
      </c>
      <c r="C216" s="111" t="s">
        <v>265</v>
      </c>
      <c r="D216" s="112" t="s">
        <v>458</v>
      </c>
    </row>
    <row r="217" spans="1:4" x14ac:dyDescent="0.2">
      <c r="A217" s="109">
        <v>145</v>
      </c>
      <c r="B217" s="110">
        <v>252</v>
      </c>
      <c r="C217" s="111" t="s">
        <v>265</v>
      </c>
      <c r="D217" s="112">
        <v>1</v>
      </c>
    </row>
    <row r="218" spans="1:4" x14ac:dyDescent="0.2">
      <c r="A218" s="109">
        <v>146</v>
      </c>
      <c r="B218" s="110">
        <v>73</v>
      </c>
      <c r="C218" s="111" t="s">
        <v>265</v>
      </c>
      <c r="D218" s="112">
        <v>1</v>
      </c>
    </row>
    <row r="219" spans="1:4" x14ac:dyDescent="0.2">
      <c r="A219" s="109">
        <v>146</v>
      </c>
      <c r="B219" s="110">
        <v>93</v>
      </c>
      <c r="C219" s="111" t="s">
        <v>265</v>
      </c>
      <c r="D219" s="112">
        <v>1</v>
      </c>
    </row>
    <row r="220" spans="1:4" x14ac:dyDescent="0.2">
      <c r="A220" s="109">
        <v>146</v>
      </c>
      <c r="B220" s="110">
        <v>208</v>
      </c>
      <c r="C220" s="111" t="s">
        <v>265</v>
      </c>
      <c r="D220" s="112">
        <v>2</v>
      </c>
    </row>
    <row r="221" spans="1:4" x14ac:dyDescent="0.2">
      <c r="A221" s="109">
        <v>146</v>
      </c>
      <c r="B221" s="110">
        <v>239</v>
      </c>
      <c r="C221" s="111" t="s">
        <v>265</v>
      </c>
      <c r="D221" s="112">
        <v>1</v>
      </c>
    </row>
    <row r="222" spans="1:4" x14ac:dyDescent="0.2">
      <c r="A222" s="109">
        <v>146</v>
      </c>
      <c r="B222" s="110">
        <v>248</v>
      </c>
      <c r="C222" s="111" t="s">
        <v>265</v>
      </c>
      <c r="D222" s="112">
        <v>1</v>
      </c>
    </row>
    <row r="223" spans="1:4" x14ac:dyDescent="0.2">
      <c r="A223" s="109">
        <v>146</v>
      </c>
      <c r="B223" s="110">
        <v>251</v>
      </c>
      <c r="C223" s="111" t="s">
        <v>265</v>
      </c>
      <c r="D223" s="112">
        <v>1</v>
      </c>
    </row>
    <row r="224" spans="1:4" x14ac:dyDescent="0.2">
      <c r="A224" s="109">
        <v>147</v>
      </c>
      <c r="B224" s="110">
        <v>99</v>
      </c>
      <c r="C224" s="111" t="s">
        <v>265</v>
      </c>
      <c r="D224" s="112">
        <v>1</v>
      </c>
    </row>
    <row r="225" spans="1:4" x14ac:dyDescent="0.2">
      <c r="A225" s="109">
        <v>147</v>
      </c>
      <c r="B225" s="110">
        <v>206</v>
      </c>
      <c r="C225" s="111" t="s">
        <v>265</v>
      </c>
      <c r="D225" s="112">
        <v>2</v>
      </c>
    </row>
    <row r="226" spans="1:4" x14ac:dyDescent="0.2">
      <c r="A226" s="109">
        <v>147</v>
      </c>
      <c r="B226" s="110">
        <v>238</v>
      </c>
      <c r="C226" s="111" t="s">
        <v>265</v>
      </c>
      <c r="D226" s="112">
        <v>1</v>
      </c>
    </row>
    <row r="227" spans="1:4" x14ac:dyDescent="0.2">
      <c r="A227" s="109">
        <v>147</v>
      </c>
      <c r="B227" s="110">
        <v>242</v>
      </c>
      <c r="C227" s="111" t="s">
        <v>265</v>
      </c>
      <c r="D227" s="112">
        <v>1</v>
      </c>
    </row>
    <row r="228" spans="1:4" x14ac:dyDescent="0.2">
      <c r="A228" s="109">
        <v>147</v>
      </c>
      <c r="B228" s="110">
        <v>249</v>
      </c>
      <c r="C228" s="111" t="s">
        <v>265</v>
      </c>
      <c r="D228" s="112">
        <v>1</v>
      </c>
    </row>
    <row r="229" spans="1:4" x14ac:dyDescent="0.2">
      <c r="A229" s="109">
        <v>147</v>
      </c>
      <c r="B229" s="110">
        <v>252</v>
      </c>
      <c r="C229" s="111" t="s">
        <v>265</v>
      </c>
      <c r="D229" s="112">
        <v>1</v>
      </c>
    </row>
    <row r="230" spans="1:4" x14ac:dyDescent="0.2">
      <c r="A230" s="109">
        <v>148</v>
      </c>
      <c r="B230" s="110">
        <v>1152</v>
      </c>
      <c r="C230" s="111" t="s">
        <v>266</v>
      </c>
      <c r="D230" s="112" t="s">
        <v>461</v>
      </c>
    </row>
    <row r="231" spans="1:4" x14ac:dyDescent="0.2">
      <c r="A231" s="109">
        <v>149</v>
      </c>
      <c r="B231" s="110">
        <v>1394</v>
      </c>
      <c r="C231" s="111" t="s">
        <v>267</v>
      </c>
      <c r="D231" s="112">
        <v>2</v>
      </c>
    </row>
    <row r="232" spans="1:4" x14ac:dyDescent="0.2">
      <c r="A232" s="109">
        <v>150</v>
      </c>
      <c r="B232" s="110">
        <v>42</v>
      </c>
      <c r="C232" s="111" t="s">
        <v>258</v>
      </c>
      <c r="D232" s="112">
        <v>1</v>
      </c>
    </row>
    <row r="233" spans="1:4" x14ac:dyDescent="0.2">
      <c r="A233" s="109">
        <v>150</v>
      </c>
      <c r="B233" s="110">
        <v>207</v>
      </c>
      <c r="C233" s="111" t="s">
        <v>258</v>
      </c>
      <c r="D233" s="112">
        <v>2</v>
      </c>
    </row>
    <row r="234" spans="1:4" x14ac:dyDescent="0.2">
      <c r="A234" s="109">
        <v>151</v>
      </c>
      <c r="B234" s="110">
        <v>43</v>
      </c>
      <c r="C234" s="111" t="s">
        <v>258</v>
      </c>
      <c r="D234" s="112">
        <v>1</v>
      </c>
    </row>
    <row r="235" spans="1:4" x14ac:dyDescent="0.2">
      <c r="A235" s="109">
        <v>151</v>
      </c>
      <c r="B235" s="110">
        <v>210</v>
      </c>
      <c r="C235" s="111" t="s">
        <v>258</v>
      </c>
      <c r="D235" s="112" t="s">
        <v>461</v>
      </c>
    </row>
    <row r="236" spans="1:4" x14ac:dyDescent="0.2">
      <c r="A236" s="109">
        <v>152</v>
      </c>
      <c r="B236" s="110">
        <v>45</v>
      </c>
      <c r="C236" s="111" t="s">
        <v>258</v>
      </c>
      <c r="D236" s="112">
        <v>1</v>
      </c>
    </row>
    <row r="237" spans="1:4" x14ac:dyDescent="0.2">
      <c r="A237" s="109">
        <v>152</v>
      </c>
      <c r="B237" s="110">
        <v>211</v>
      </c>
      <c r="C237" s="111" t="s">
        <v>258</v>
      </c>
      <c r="D237" s="112">
        <v>2</v>
      </c>
    </row>
    <row r="238" spans="1:4" x14ac:dyDescent="0.2">
      <c r="A238" s="109">
        <v>153</v>
      </c>
      <c r="B238" s="110">
        <v>46</v>
      </c>
      <c r="C238" s="111" t="s">
        <v>258</v>
      </c>
      <c r="D238" s="112">
        <v>1</v>
      </c>
    </row>
    <row r="239" spans="1:4" x14ac:dyDescent="0.2">
      <c r="A239" s="109">
        <v>153</v>
      </c>
      <c r="B239" s="110">
        <v>212</v>
      </c>
      <c r="C239" s="111" t="s">
        <v>258</v>
      </c>
      <c r="D239" s="112">
        <v>2</v>
      </c>
    </row>
    <row r="240" spans="1:4" x14ac:dyDescent="0.2">
      <c r="A240" s="109">
        <v>154</v>
      </c>
      <c r="B240" s="110">
        <v>39</v>
      </c>
      <c r="C240" s="111" t="s">
        <v>258</v>
      </c>
      <c r="D240" s="112">
        <v>1</v>
      </c>
    </row>
    <row r="241" spans="1:4" x14ac:dyDescent="0.2">
      <c r="A241" s="109">
        <v>154</v>
      </c>
      <c r="B241" s="110">
        <v>221</v>
      </c>
      <c r="C241" s="111" t="s">
        <v>258</v>
      </c>
      <c r="D241" s="112">
        <v>2</v>
      </c>
    </row>
    <row r="242" spans="1:4" x14ac:dyDescent="0.2">
      <c r="A242" s="109">
        <v>155</v>
      </c>
      <c r="B242" s="110">
        <v>51</v>
      </c>
      <c r="C242" s="111" t="s">
        <v>246</v>
      </c>
      <c r="D242" s="112" t="s">
        <v>458</v>
      </c>
    </row>
    <row r="243" spans="1:4" x14ac:dyDescent="0.2">
      <c r="A243" s="109">
        <v>155</v>
      </c>
      <c r="B243" s="110">
        <v>200</v>
      </c>
      <c r="C243" s="111" t="s">
        <v>246</v>
      </c>
      <c r="D243" s="112" t="s">
        <v>458</v>
      </c>
    </row>
    <row r="244" spans="1:4" x14ac:dyDescent="0.2">
      <c r="A244" s="109">
        <v>156</v>
      </c>
      <c r="B244" s="110">
        <v>1000</v>
      </c>
      <c r="C244" s="111" t="s">
        <v>258</v>
      </c>
      <c r="D244" s="112">
        <v>2</v>
      </c>
    </row>
    <row r="245" spans="1:4" x14ac:dyDescent="0.2">
      <c r="A245" s="109">
        <v>156</v>
      </c>
      <c r="B245" s="110">
        <v>1001</v>
      </c>
      <c r="C245" s="111" t="s">
        <v>258</v>
      </c>
      <c r="D245" s="112">
        <v>1</v>
      </c>
    </row>
    <row r="246" spans="1:4" x14ac:dyDescent="0.2">
      <c r="A246" s="109">
        <v>157</v>
      </c>
      <c r="B246" s="110">
        <v>1002</v>
      </c>
      <c r="C246" s="111" t="s">
        <v>258</v>
      </c>
      <c r="D246" s="112">
        <v>2</v>
      </c>
    </row>
    <row r="247" spans="1:4" x14ac:dyDescent="0.2">
      <c r="A247" s="109">
        <v>157</v>
      </c>
      <c r="B247" s="110">
        <v>1003</v>
      </c>
      <c r="C247" s="111" t="s">
        <v>258</v>
      </c>
      <c r="D247" s="112">
        <v>1</v>
      </c>
    </row>
    <row r="248" spans="1:4" x14ac:dyDescent="0.2">
      <c r="A248" s="109">
        <v>158</v>
      </c>
      <c r="B248" s="110">
        <v>1008</v>
      </c>
      <c r="C248" s="111" t="s">
        <v>258</v>
      </c>
      <c r="D248" s="112">
        <v>2</v>
      </c>
    </row>
    <row r="249" spans="1:4" x14ac:dyDescent="0.2">
      <c r="A249" s="109">
        <v>158</v>
      </c>
      <c r="B249" s="110">
        <v>1009</v>
      </c>
      <c r="C249" s="111" t="s">
        <v>258</v>
      </c>
      <c r="D249" s="112">
        <v>1</v>
      </c>
    </row>
    <row r="250" spans="1:4" x14ac:dyDescent="0.2">
      <c r="A250" s="109">
        <v>159</v>
      </c>
      <c r="B250" s="110">
        <v>28</v>
      </c>
      <c r="C250" s="111" t="s">
        <v>234</v>
      </c>
      <c r="D250" s="112" t="s">
        <v>460</v>
      </c>
    </row>
    <row r="251" spans="1:4" x14ac:dyDescent="0.2">
      <c r="A251" s="109">
        <v>160</v>
      </c>
      <c r="B251" s="110">
        <v>1014</v>
      </c>
      <c r="C251" s="111" t="s">
        <v>258</v>
      </c>
      <c r="D251" s="112">
        <v>2</v>
      </c>
    </row>
    <row r="252" spans="1:4" x14ac:dyDescent="0.2">
      <c r="A252" s="109">
        <v>160</v>
      </c>
      <c r="B252" s="110">
        <v>1015</v>
      </c>
      <c r="C252" s="111" t="s">
        <v>258</v>
      </c>
      <c r="D252" s="112">
        <v>1</v>
      </c>
    </row>
    <row r="253" spans="1:4" x14ac:dyDescent="0.2">
      <c r="A253" s="109">
        <v>161</v>
      </c>
      <c r="B253" s="110">
        <v>1018</v>
      </c>
      <c r="C253" s="111" t="s">
        <v>258</v>
      </c>
      <c r="D253" s="112">
        <v>2</v>
      </c>
    </row>
    <row r="254" spans="1:4" x14ac:dyDescent="0.2">
      <c r="A254" s="109">
        <v>161</v>
      </c>
      <c r="B254" s="110">
        <v>1019</v>
      </c>
      <c r="C254" s="111" t="s">
        <v>258</v>
      </c>
      <c r="D254" s="112">
        <v>1</v>
      </c>
    </row>
    <row r="255" spans="1:4" x14ac:dyDescent="0.2">
      <c r="A255" s="109">
        <v>162</v>
      </c>
      <c r="B255" s="110">
        <v>1020</v>
      </c>
      <c r="C255" s="111" t="s">
        <v>258</v>
      </c>
      <c r="D255" s="112">
        <v>2</v>
      </c>
    </row>
    <row r="256" spans="1:4" x14ac:dyDescent="0.2">
      <c r="A256" s="109">
        <v>162</v>
      </c>
      <c r="B256" s="110">
        <v>1021</v>
      </c>
      <c r="C256" s="111" t="s">
        <v>258</v>
      </c>
      <c r="D256" s="112">
        <v>1</v>
      </c>
    </row>
    <row r="257" spans="1:4" x14ac:dyDescent="0.2">
      <c r="A257" s="109">
        <v>163</v>
      </c>
      <c r="B257" s="110">
        <v>1034</v>
      </c>
      <c r="C257" s="111" t="s">
        <v>258</v>
      </c>
      <c r="D257" s="112">
        <v>2</v>
      </c>
    </row>
    <row r="258" spans="1:4" x14ac:dyDescent="0.2">
      <c r="A258" s="109">
        <v>163</v>
      </c>
      <c r="B258" s="110">
        <v>1035</v>
      </c>
      <c r="C258" s="111" t="s">
        <v>258</v>
      </c>
      <c r="D258" s="112">
        <v>1</v>
      </c>
    </row>
    <row r="259" spans="1:4" x14ac:dyDescent="0.2">
      <c r="A259" s="109">
        <v>164</v>
      </c>
      <c r="B259" s="110">
        <v>1037</v>
      </c>
      <c r="C259" s="111" t="s">
        <v>258</v>
      </c>
      <c r="D259" s="112">
        <v>2</v>
      </c>
    </row>
    <row r="260" spans="1:4" x14ac:dyDescent="0.2">
      <c r="A260" s="109">
        <v>164</v>
      </c>
      <c r="B260" s="110">
        <v>1038</v>
      </c>
      <c r="C260" s="111" t="s">
        <v>258</v>
      </c>
      <c r="D260" s="112">
        <v>1</v>
      </c>
    </row>
    <row r="261" spans="1:4" x14ac:dyDescent="0.2">
      <c r="A261" s="109">
        <v>165</v>
      </c>
      <c r="B261" s="110">
        <v>1039</v>
      </c>
      <c r="C261" s="111" t="s">
        <v>258</v>
      </c>
      <c r="D261" s="112">
        <v>2</v>
      </c>
    </row>
    <row r="262" spans="1:4" x14ac:dyDescent="0.2">
      <c r="A262" s="109">
        <v>165</v>
      </c>
      <c r="B262" s="110">
        <v>1040</v>
      </c>
      <c r="C262" s="111" t="s">
        <v>258</v>
      </c>
      <c r="D262" s="112">
        <v>1</v>
      </c>
    </row>
    <row r="263" spans="1:4" x14ac:dyDescent="0.2">
      <c r="A263" s="109">
        <v>166</v>
      </c>
      <c r="B263" s="110">
        <v>1048</v>
      </c>
      <c r="C263" s="111" t="s">
        <v>258</v>
      </c>
      <c r="D263" s="112">
        <v>2</v>
      </c>
    </row>
    <row r="264" spans="1:4" x14ac:dyDescent="0.2">
      <c r="A264" s="109">
        <v>166</v>
      </c>
      <c r="B264" s="110">
        <v>1049</v>
      </c>
      <c r="C264" s="111" t="s">
        <v>258</v>
      </c>
      <c r="D264" s="112">
        <v>1</v>
      </c>
    </row>
    <row r="265" spans="1:4" x14ac:dyDescent="0.2">
      <c r="A265" s="109">
        <v>167</v>
      </c>
      <c r="B265" s="110">
        <v>1055</v>
      </c>
      <c r="C265" s="111" t="s">
        <v>258</v>
      </c>
      <c r="D265" s="112">
        <v>1</v>
      </c>
    </row>
    <row r="266" spans="1:4" x14ac:dyDescent="0.2">
      <c r="A266" s="109">
        <v>167</v>
      </c>
      <c r="B266" s="110">
        <v>1056</v>
      </c>
      <c r="C266" s="111" t="s">
        <v>258</v>
      </c>
      <c r="D266" s="112">
        <v>2</v>
      </c>
    </row>
    <row r="267" spans="1:4" x14ac:dyDescent="0.2">
      <c r="A267" s="109">
        <v>168</v>
      </c>
      <c r="B267" s="110">
        <v>1057</v>
      </c>
      <c r="C267" s="111" t="s">
        <v>258</v>
      </c>
      <c r="D267" s="112">
        <v>1</v>
      </c>
    </row>
    <row r="268" spans="1:4" x14ac:dyDescent="0.2">
      <c r="A268" s="109">
        <v>168</v>
      </c>
      <c r="B268" s="110">
        <v>1058</v>
      </c>
      <c r="C268" s="111" t="s">
        <v>258</v>
      </c>
      <c r="D268" s="112">
        <v>2</v>
      </c>
    </row>
    <row r="269" spans="1:4" x14ac:dyDescent="0.2">
      <c r="A269" s="109">
        <v>169</v>
      </c>
      <c r="B269" s="110">
        <v>1059</v>
      </c>
      <c r="C269" s="111" t="s">
        <v>258</v>
      </c>
      <c r="D269" s="112">
        <v>1</v>
      </c>
    </row>
    <row r="270" spans="1:4" x14ac:dyDescent="0.2">
      <c r="A270" s="109">
        <v>169</v>
      </c>
      <c r="B270" s="110">
        <v>1060</v>
      </c>
      <c r="C270" s="111" t="s">
        <v>258</v>
      </c>
      <c r="D270" s="112">
        <v>2</v>
      </c>
    </row>
    <row r="271" spans="1:4" x14ac:dyDescent="0.2">
      <c r="A271" s="109">
        <v>170</v>
      </c>
      <c r="B271" s="110">
        <v>1061</v>
      </c>
      <c r="C271" s="111" t="s">
        <v>258</v>
      </c>
      <c r="D271" s="112">
        <v>1</v>
      </c>
    </row>
    <row r="272" spans="1:4" x14ac:dyDescent="0.2">
      <c r="A272" s="109">
        <v>170</v>
      </c>
      <c r="B272" s="110">
        <v>1062</v>
      </c>
      <c r="C272" s="111" t="s">
        <v>258</v>
      </c>
      <c r="D272" s="112">
        <v>2</v>
      </c>
    </row>
    <row r="273" spans="1:4" x14ac:dyDescent="0.2">
      <c r="A273" s="109">
        <v>171</v>
      </c>
      <c r="B273" s="110">
        <v>1063</v>
      </c>
      <c r="C273" s="111" t="s">
        <v>258</v>
      </c>
      <c r="D273" s="112">
        <v>1</v>
      </c>
    </row>
    <row r="274" spans="1:4" x14ac:dyDescent="0.2">
      <c r="A274" s="109">
        <v>171</v>
      </c>
      <c r="B274" s="110">
        <v>1064</v>
      </c>
      <c r="C274" s="111" t="s">
        <v>258</v>
      </c>
      <c r="D274" s="112">
        <v>2</v>
      </c>
    </row>
    <row r="275" spans="1:4" x14ac:dyDescent="0.2">
      <c r="A275" s="109">
        <v>172</v>
      </c>
      <c r="B275" s="110">
        <v>1065</v>
      </c>
      <c r="C275" s="111" t="s">
        <v>258</v>
      </c>
      <c r="D275" s="112">
        <v>1</v>
      </c>
    </row>
    <row r="276" spans="1:4" x14ac:dyDescent="0.2">
      <c r="A276" s="109">
        <v>172</v>
      </c>
      <c r="B276" s="110">
        <v>1066</v>
      </c>
      <c r="C276" s="111" t="s">
        <v>258</v>
      </c>
      <c r="D276" s="112">
        <v>2</v>
      </c>
    </row>
    <row r="277" spans="1:4" x14ac:dyDescent="0.2">
      <c r="A277" s="109">
        <v>173</v>
      </c>
      <c r="B277" s="110">
        <v>1067</v>
      </c>
      <c r="C277" s="111" t="s">
        <v>258</v>
      </c>
      <c r="D277" s="112">
        <v>1</v>
      </c>
    </row>
    <row r="278" spans="1:4" x14ac:dyDescent="0.2">
      <c r="A278" s="109">
        <v>173</v>
      </c>
      <c r="B278" s="110">
        <v>1068</v>
      </c>
      <c r="C278" s="111" t="s">
        <v>258</v>
      </c>
      <c r="D278" s="112">
        <v>2</v>
      </c>
    </row>
    <row r="279" spans="1:4" x14ac:dyDescent="0.2">
      <c r="A279" s="109">
        <v>174</v>
      </c>
      <c r="B279" s="110">
        <v>1071</v>
      </c>
      <c r="C279" s="111" t="s">
        <v>258</v>
      </c>
      <c r="D279" s="112">
        <v>1</v>
      </c>
    </row>
    <row r="280" spans="1:4" x14ac:dyDescent="0.2">
      <c r="A280" s="109">
        <v>174</v>
      </c>
      <c r="B280" s="110">
        <v>1072</v>
      </c>
      <c r="C280" s="111" t="s">
        <v>258</v>
      </c>
      <c r="D280" s="112">
        <v>2</v>
      </c>
    </row>
    <row r="281" spans="1:4" x14ac:dyDescent="0.2">
      <c r="A281" s="109">
        <v>175</v>
      </c>
      <c r="B281" s="110">
        <v>1078</v>
      </c>
      <c r="C281" s="111" t="s">
        <v>258</v>
      </c>
      <c r="D281" s="112">
        <v>1</v>
      </c>
    </row>
    <row r="282" spans="1:4" x14ac:dyDescent="0.2">
      <c r="A282" s="109">
        <v>175</v>
      </c>
      <c r="B282" s="110">
        <v>1079</v>
      </c>
      <c r="C282" s="111" t="s">
        <v>258</v>
      </c>
      <c r="D282" s="112">
        <v>2</v>
      </c>
    </row>
    <row r="283" spans="1:4" x14ac:dyDescent="0.2">
      <c r="A283" s="109">
        <v>176</v>
      </c>
      <c r="B283" s="110">
        <v>1124</v>
      </c>
      <c r="C283" s="111" t="s">
        <v>258</v>
      </c>
      <c r="D283" s="112">
        <v>1</v>
      </c>
    </row>
    <row r="284" spans="1:4" x14ac:dyDescent="0.2">
      <c r="A284" s="109">
        <v>176</v>
      </c>
      <c r="B284" s="110">
        <v>1125</v>
      </c>
      <c r="C284" s="111" t="s">
        <v>258</v>
      </c>
      <c r="D284" s="112">
        <v>2</v>
      </c>
    </row>
    <row r="285" spans="1:4" x14ac:dyDescent="0.2">
      <c r="A285" s="109">
        <v>177</v>
      </c>
      <c r="B285" s="110">
        <v>1126</v>
      </c>
      <c r="C285" s="111" t="s">
        <v>258</v>
      </c>
      <c r="D285" s="112">
        <v>1</v>
      </c>
    </row>
    <row r="286" spans="1:4" x14ac:dyDescent="0.2">
      <c r="A286" s="109">
        <v>177</v>
      </c>
      <c r="B286" s="110">
        <v>1127</v>
      </c>
      <c r="C286" s="111" t="s">
        <v>258</v>
      </c>
      <c r="D286" s="112">
        <v>2</v>
      </c>
    </row>
    <row r="287" spans="1:4" x14ac:dyDescent="0.2">
      <c r="A287" s="109">
        <v>178</v>
      </c>
      <c r="B287" s="110">
        <v>1128</v>
      </c>
      <c r="C287" s="111" t="s">
        <v>268</v>
      </c>
      <c r="D287" s="112">
        <v>1</v>
      </c>
    </row>
    <row r="288" spans="1:4" x14ac:dyDescent="0.2">
      <c r="A288" s="109">
        <v>178</v>
      </c>
      <c r="B288" s="110">
        <v>1129</v>
      </c>
      <c r="C288" s="111" t="s">
        <v>268</v>
      </c>
      <c r="D288" s="112">
        <v>2</v>
      </c>
    </row>
    <row r="289" spans="1:4" x14ac:dyDescent="0.2">
      <c r="A289" s="109">
        <v>179</v>
      </c>
      <c r="B289" s="110">
        <v>1139</v>
      </c>
      <c r="C289" s="111" t="s">
        <v>258</v>
      </c>
      <c r="D289" s="112">
        <v>1</v>
      </c>
    </row>
    <row r="290" spans="1:4" x14ac:dyDescent="0.2">
      <c r="A290" s="109">
        <v>179</v>
      </c>
      <c r="B290" s="110">
        <v>1140</v>
      </c>
      <c r="C290" s="111" t="s">
        <v>258</v>
      </c>
      <c r="D290" s="112">
        <v>2</v>
      </c>
    </row>
    <row r="291" spans="1:4" x14ac:dyDescent="0.2">
      <c r="A291" s="109">
        <v>180</v>
      </c>
      <c r="B291" s="110">
        <v>1141</v>
      </c>
      <c r="C291" s="111" t="s">
        <v>258</v>
      </c>
      <c r="D291" s="112">
        <v>1</v>
      </c>
    </row>
    <row r="292" spans="1:4" x14ac:dyDescent="0.2">
      <c r="A292" s="109">
        <v>180</v>
      </c>
      <c r="B292" s="110">
        <v>1142</v>
      </c>
      <c r="C292" s="111" t="s">
        <v>258</v>
      </c>
      <c r="D292" s="112">
        <v>2</v>
      </c>
    </row>
    <row r="293" spans="1:4" x14ac:dyDescent="0.2">
      <c r="A293" s="109">
        <v>181</v>
      </c>
      <c r="B293" s="110">
        <v>1143</v>
      </c>
      <c r="C293" s="111" t="s">
        <v>258</v>
      </c>
      <c r="D293" s="112">
        <v>1</v>
      </c>
    </row>
    <row r="294" spans="1:4" x14ac:dyDescent="0.2">
      <c r="A294" s="109">
        <v>181</v>
      </c>
      <c r="B294" s="110">
        <v>1144</v>
      </c>
      <c r="C294" s="111" t="s">
        <v>258</v>
      </c>
      <c r="D294" s="112">
        <v>2</v>
      </c>
    </row>
    <row r="295" spans="1:4" x14ac:dyDescent="0.2">
      <c r="A295" s="109">
        <v>182</v>
      </c>
      <c r="B295" s="110">
        <v>1145</v>
      </c>
      <c r="C295" s="111" t="s">
        <v>258</v>
      </c>
      <c r="D295" s="112">
        <v>1</v>
      </c>
    </row>
    <row r="296" spans="1:4" x14ac:dyDescent="0.2">
      <c r="A296" s="109">
        <v>182</v>
      </c>
      <c r="B296" s="110">
        <v>1146</v>
      </c>
      <c r="C296" s="111" t="s">
        <v>258</v>
      </c>
      <c r="D296" s="112">
        <v>2</v>
      </c>
    </row>
    <row r="297" spans="1:4" x14ac:dyDescent="0.2">
      <c r="A297" s="109">
        <v>183</v>
      </c>
      <c r="B297" s="110">
        <v>1147</v>
      </c>
      <c r="C297" s="111" t="s">
        <v>258</v>
      </c>
      <c r="D297" s="112">
        <v>1</v>
      </c>
    </row>
    <row r="298" spans="1:4" x14ac:dyDescent="0.2">
      <c r="A298" s="109">
        <v>183</v>
      </c>
      <c r="B298" s="110">
        <v>1148</v>
      </c>
      <c r="C298" s="111" t="s">
        <v>258</v>
      </c>
      <c r="D298" s="112">
        <v>2</v>
      </c>
    </row>
    <row r="299" spans="1:4" x14ac:dyDescent="0.2">
      <c r="A299" s="109">
        <v>184</v>
      </c>
      <c r="B299" s="110">
        <v>1149</v>
      </c>
      <c r="C299" s="111" t="s">
        <v>258</v>
      </c>
      <c r="D299" s="112">
        <v>1</v>
      </c>
    </row>
    <row r="300" spans="1:4" x14ac:dyDescent="0.2">
      <c r="A300" s="109">
        <v>184</v>
      </c>
      <c r="B300" s="110">
        <v>1150</v>
      </c>
      <c r="C300" s="111" t="s">
        <v>258</v>
      </c>
      <c r="D300" s="112">
        <v>2</v>
      </c>
    </row>
    <row r="301" spans="1:4" x14ac:dyDescent="0.2">
      <c r="A301" s="109">
        <v>185</v>
      </c>
      <c r="B301" s="110">
        <v>1151</v>
      </c>
      <c r="C301" s="111" t="s">
        <v>258</v>
      </c>
      <c r="D301" s="112">
        <v>1</v>
      </c>
    </row>
    <row r="302" spans="1:4" x14ac:dyDescent="0.2">
      <c r="A302" s="109">
        <v>185</v>
      </c>
      <c r="B302" s="110">
        <v>1152</v>
      </c>
      <c r="C302" s="111" t="s">
        <v>258</v>
      </c>
      <c r="D302" s="112">
        <v>2</v>
      </c>
    </row>
    <row r="303" spans="1:4" x14ac:dyDescent="0.2">
      <c r="A303" s="109">
        <v>186</v>
      </c>
      <c r="B303" s="110">
        <v>1153</v>
      </c>
      <c r="C303" s="111" t="s">
        <v>258</v>
      </c>
      <c r="D303" s="112">
        <v>1</v>
      </c>
    </row>
    <row r="304" spans="1:4" x14ac:dyDescent="0.2">
      <c r="A304" s="109">
        <v>186</v>
      </c>
      <c r="B304" s="110">
        <v>1154</v>
      </c>
      <c r="C304" s="111" t="s">
        <v>258</v>
      </c>
      <c r="D304" s="112">
        <v>2</v>
      </c>
    </row>
    <row r="305" spans="1:4" x14ac:dyDescent="0.2">
      <c r="A305" s="109">
        <v>187</v>
      </c>
      <c r="B305" s="110">
        <v>1324</v>
      </c>
      <c r="C305" s="111" t="s">
        <v>258</v>
      </c>
      <c r="D305" s="112">
        <v>2</v>
      </c>
    </row>
    <row r="306" spans="1:4" x14ac:dyDescent="0.2">
      <c r="A306" s="109">
        <v>187</v>
      </c>
      <c r="B306" s="110">
        <v>1325</v>
      </c>
      <c r="C306" s="111" t="s">
        <v>258</v>
      </c>
      <c r="D306" s="112">
        <v>1</v>
      </c>
    </row>
    <row r="307" spans="1:4" x14ac:dyDescent="0.2">
      <c r="A307" s="109">
        <v>188</v>
      </c>
      <c r="B307" s="110">
        <v>1191</v>
      </c>
      <c r="C307" s="111" t="s">
        <v>258</v>
      </c>
      <c r="D307" s="112">
        <v>2</v>
      </c>
    </row>
    <row r="308" spans="1:4" x14ac:dyDescent="0.2">
      <c r="A308" s="109">
        <v>188</v>
      </c>
      <c r="B308" s="110">
        <v>1192</v>
      </c>
      <c r="C308" s="111" t="s">
        <v>258</v>
      </c>
      <c r="D308" s="112">
        <v>1</v>
      </c>
    </row>
    <row r="309" spans="1:4" x14ac:dyDescent="0.2">
      <c r="A309" s="109">
        <v>189</v>
      </c>
      <c r="B309" s="110">
        <v>1233</v>
      </c>
      <c r="C309" s="111" t="s">
        <v>258</v>
      </c>
      <c r="D309" s="112" t="s">
        <v>458</v>
      </c>
    </row>
    <row r="310" spans="1:4" x14ac:dyDescent="0.2">
      <c r="A310" s="109">
        <v>189</v>
      </c>
      <c r="B310" s="110">
        <v>1234</v>
      </c>
      <c r="C310" s="111" t="s">
        <v>258</v>
      </c>
      <c r="D310" s="112" t="s">
        <v>458</v>
      </c>
    </row>
    <row r="311" spans="1:4" x14ac:dyDescent="0.2">
      <c r="A311" s="109">
        <v>190</v>
      </c>
      <c r="B311" s="110">
        <v>1238</v>
      </c>
      <c r="C311" s="111" t="s">
        <v>258</v>
      </c>
      <c r="D311" s="112" t="s">
        <v>458</v>
      </c>
    </row>
    <row r="312" spans="1:4" x14ac:dyDescent="0.2">
      <c r="A312" s="109">
        <v>190</v>
      </c>
      <c r="B312" s="110">
        <v>1239</v>
      </c>
      <c r="C312" s="111" t="s">
        <v>258</v>
      </c>
      <c r="D312" s="112" t="s">
        <v>458</v>
      </c>
    </row>
    <row r="313" spans="1:4" x14ac:dyDescent="0.2">
      <c r="A313" s="109">
        <v>191</v>
      </c>
      <c r="B313" s="110">
        <v>1240</v>
      </c>
      <c r="C313" s="111" t="s">
        <v>258</v>
      </c>
      <c r="D313" s="112" t="s">
        <v>458</v>
      </c>
    </row>
    <row r="314" spans="1:4" x14ac:dyDescent="0.2">
      <c r="A314" s="109">
        <v>191</v>
      </c>
      <c r="B314" s="110">
        <v>1241</v>
      </c>
      <c r="C314" s="111" t="s">
        <v>258</v>
      </c>
      <c r="D314" s="112" t="s">
        <v>458</v>
      </c>
    </row>
    <row r="315" spans="1:4" x14ac:dyDescent="0.2">
      <c r="A315" s="109">
        <v>192</v>
      </c>
      <c r="B315" s="110">
        <v>1242</v>
      </c>
      <c r="C315" s="111" t="s">
        <v>258</v>
      </c>
      <c r="D315" s="112" t="s">
        <v>458</v>
      </c>
    </row>
    <row r="316" spans="1:4" x14ac:dyDescent="0.2">
      <c r="A316" s="109">
        <v>192</v>
      </c>
      <c r="B316" s="110">
        <v>1243</v>
      </c>
      <c r="C316" s="111" t="s">
        <v>258</v>
      </c>
      <c r="D316" s="112" t="s">
        <v>458</v>
      </c>
    </row>
    <row r="317" spans="1:4" x14ac:dyDescent="0.2">
      <c r="A317" s="109">
        <v>193</v>
      </c>
      <c r="B317" s="110">
        <v>1244</v>
      </c>
      <c r="C317" s="111" t="s">
        <v>258</v>
      </c>
      <c r="D317" s="112" t="s">
        <v>458</v>
      </c>
    </row>
    <row r="318" spans="1:4" x14ac:dyDescent="0.2">
      <c r="A318" s="109">
        <v>193</v>
      </c>
      <c r="B318" s="110">
        <v>1245</v>
      </c>
      <c r="C318" s="111" t="s">
        <v>258</v>
      </c>
      <c r="D318" s="112" t="s">
        <v>458</v>
      </c>
    </row>
    <row r="319" spans="1:4" x14ac:dyDescent="0.2">
      <c r="A319" s="109">
        <v>194</v>
      </c>
      <c r="B319" s="110">
        <v>1246</v>
      </c>
      <c r="C319" s="111" t="s">
        <v>258</v>
      </c>
      <c r="D319" s="112" t="s">
        <v>458</v>
      </c>
    </row>
    <row r="320" spans="1:4" x14ac:dyDescent="0.2">
      <c r="A320" s="109">
        <v>194</v>
      </c>
      <c r="B320" s="110">
        <v>1247</v>
      </c>
      <c r="C320" s="111" t="s">
        <v>258</v>
      </c>
      <c r="D320" s="112" t="s">
        <v>458</v>
      </c>
    </row>
    <row r="321" spans="1:4" x14ac:dyDescent="0.2">
      <c r="A321" s="109">
        <v>195</v>
      </c>
      <c r="B321" s="110">
        <v>1248</v>
      </c>
      <c r="C321" s="111" t="s">
        <v>258</v>
      </c>
      <c r="D321" s="112" t="s">
        <v>458</v>
      </c>
    </row>
    <row r="322" spans="1:4" x14ac:dyDescent="0.2">
      <c r="A322" s="109">
        <v>195</v>
      </c>
      <c r="B322" s="110">
        <v>1249</v>
      </c>
      <c r="C322" s="111" t="s">
        <v>258</v>
      </c>
      <c r="D322" s="112" t="s">
        <v>458</v>
      </c>
    </row>
    <row r="323" spans="1:4" x14ac:dyDescent="0.2">
      <c r="A323" s="109">
        <v>196</v>
      </c>
      <c r="B323" s="110">
        <v>1250</v>
      </c>
      <c r="C323" s="111" t="s">
        <v>258</v>
      </c>
      <c r="D323" s="112" t="s">
        <v>458</v>
      </c>
    </row>
    <row r="324" spans="1:4" x14ac:dyDescent="0.2">
      <c r="A324" s="109">
        <v>196</v>
      </c>
      <c r="B324" s="110">
        <v>1251</v>
      </c>
      <c r="C324" s="111" t="s">
        <v>258</v>
      </c>
      <c r="D324" s="112" t="s">
        <v>458</v>
      </c>
    </row>
    <row r="325" spans="1:4" x14ac:dyDescent="0.2">
      <c r="A325" s="109">
        <v>197</v>
      </c>
      <c r="B325" s="110">
        <v>1252</v>
      </c>
      <c r="C325" s="111" t="s">
        <v>258</v>
      </c>
      <c r="D325" s="112" t="s">
        <v>458</v>
      </c>
    </row>
    <row r="326" spans="1:4" x14ac:dyDescent="0.2">
      <c r="A326" s="109">
        <v>197</v>
      </c>
      <c r="B326" s="110">
        <v>1253</v>
      </c>
      <c r="C326" s="111" t="s">
        <v>258</v>
      </c>
      <c r="D326" s="112" t="s">
        <v>458</v>
      </c>
    </row>
    <row r="327" spans="1:4" x14ac:dyDescent="0.2">
      <c r="A327" s="109">
        <v>198</v>
      </c>
      <c r="B327" s="110">
        <v>1254</v>
      </c>
      <c r="C327" s="111" t="s">
        <v>258</v>
      </c>
      <c r="D327" s="112" t="s">
        <v>458</v>
      </c>
    </row>
    <row r="328" spans="1:4" x14ac:dyDescent="0.2">
      <c r="A328" s="109">
        <v>198</v>
      </c>
      <c r="B328" s="110">
        <v>1255</v>
      </c>
      <c r="C328" s="111" t="s">
        <v>258</v>
      </c>
      <c r="D328" s="112" t="s">
        <v>458</v>
      </c>
    </row>
    <row r="329" spans="1:4" x14ac:dyDescent="0.2">
      <c r="A329" s="109">
        <v>199</v>
      </c>
      <c r="B329" s="110">
        <v>1256</v>
      </c>
      <c r="C329" s="111" t="s">
        <v>258</v>
      </c>
      <c r="D329" s="112" t="s">
        <v>458</v>
      </c>
    </row>
    <row r="330" spans="1:4" x14ac:dyDescent="0.2">
      <c r="A330" s="109">
        <v>199</v>
      </c>
      <c r="B330" s="110">
        <v>1257</v>
      </c>
      <c r="C330" s="111" t="s">
        <v>258</v>
      </c>
      <c r="D330" s="112" t="s">
        <v>458</v>
      </c>
    </row>
    <row r="331" spans="1:4" x14ac:dyDescent="0.2">
      <c r="A331" s="109">
        <v>201</v>
      </c>
      <c r="B331" s="110">
        <v>1265</v>
      </c>
      <c r="C331" s="111" t="s">
        <v>258</v>
      </c>
      <c r="D331" s="112" t="s">
        <v>458</v>
      </c>
    </row>
    <row r="332" spans="1:4" x14ac:dyDescent="0.2">
      <c r="A332" s="109">
        <v>201</v>
      </c>
      <c r="B332" s="110">
        <v>1266</v>
      </c>
      <c r="C332" s="111" t="s">
        <v>258</v>
      </c>
      <c r="D332" s="112" t="s">
        <v>458</v>
      </c>
    </row>
    <row r="333" spans="1:4" x14ac:dyDescent="0.2">
      <c r="A333" s="109">
        <v>202</v>
      </c>
      <c r="B333" s="110">
        <v>1267</v>
      </c>
      <c r="C333" s="111" t="s">
        <v>258</v>
      </c>
      <c r="D333" s="112" t="s">
        <v>458</v>
      </c>
    </row>
    <row r="334" spans="1:4" x14ac:dyDescent="0.2">
      <c r="A334" s="109">
        <v>202</v>
      </c>
      <c r="B334" s="110">
        <v>1268</v>
      </c>
      <c r="C334" s="111" t="s">
        <v>258</v>
      </c>
      <c r="D334" s="112" t="s">
        <v>458</v>
      </c>
    </row>
    <row r="335" spans="1:4" x14ac:dyDescent="0.2">
      <c r="A335" s="109">
        <v>203</v>
      </c>
      <c r="B335" s="110">
        <v>1269</v>
      </c>
      <c r="C335" s="111" t="s">
        <v>258</v>
      </c>
      <c r="D335" s="112" t="s">
        <v>458</v>
      </c>
    </row>
    <row r="336" spans="1:4" x14ac:dyDescent="0.2">
      <c r="A336" s="109">
        <v>203</v>
      </c>
      <c r="B336" s="110">
        <v>1270</v>
      </c>
      <c r="C336" s="111" t="s">
        <v>258</v>
      </c>
      <c r="D336" s="112" t="s">
        <v>458</v>
      </c>
    </row>
    <row r="337" spans="1:4" x14ac:dyDescent="0.2">
      <c r="A337" s="109">
        <v>204</v>
      </c>
      <c r="B337" s="110">
        <v>1271</v>
      </c>
      <c r="C337" s="111" t="s">
        <v>258</v>
      </c>
      <c r="D337" s="112" t="s">
        <v>458</v>
      </c>
    </row>
    <row r="338" spans="1:4" x14ac:dyDescent="0.2">
      <c r="A338" s="109">
        <v>204</v>
      </c>
      <c r="B338" s="110">
        <v>1272</v>
      </c>
      <c r="C338" s="111" t="s">
        <v>258</v>
      </c>
      <c r="D338" s="112" t="s">
        <v>458</v>
      </c>
    </row>
    <row r="339" spans="1:4" x14ac:dyDescent="0.2">
      <c r="A339" s="109">
        <v>205</v>
      </c>
      <c r="B339" s="110">
        <v>1273</v>
      </c>
      <c r="C339" s="111" t="s">
        <v>258</v>
      </c>
      <c r="D339" s="112" t="s">
        <v>458</v>
      </c>
    </row>
    <row r="340" spans="1:4" x14ac:dyDescent="0.2">
      <c r="A340" s="109">
        <v>205</v>
      </c>
      <c r="B340" s="110">
        <v>1274</v>
      </c>
      <c r="C340" s="111" t="s">
        <v>258</v>
      </c>
      <c r="D340" s="112" t="s">
        <v>458</v>
      </c>
    </row>
    <row r="341" spans="1:4" x14ac:dyDescent="0.2">
      <c r="A341" s="109">
        <v>206</v>
      </c>
      <c r="B341" s="110">
        <v>1275</v>
      </c>
      <c r="C341" s="111" t="s">
        <v>258</v>
      </c>
      <c r="D341" s="112" t="s">
        <v>458</v>
      </c>
    </row>
    <row r="342" spans="1:4" x14ac:dyDescent="0.2">
      <c r="A342" s="109">
        <v>206</v>
      </c>
      <c r="B342" s="110">
        <v>1276</v>
      </c>
      <c r="C342" s="111" t="s">
        <v>258</v>
      </c>
      <c r="D342" s="112" t="s">
        <v>458</v>
      </c>
    </row>
    <row r="343" spans="1:4" x14ac:dyDescent="0.2">
      <c r="A343" s="109">
        <v>207</v>
      </c>
      <c r="B343" s="110">
        <v>1277</v>
      </c>
      <c r="C343" s="111" t="s">
        <v>258</v>
      </c>
      <c r="D343" s="112" t="s">
        <v>458</v>
      </c>
    </row>
    <row r="344" spans="1:4" x14ac:dyDescent="0.2">
      <c r="A344" s="109">
        <v>207</v>
      </c>
      <c r="B344" s="110">
        <v>1278</v>
      </c>
      <c r="C344" s="111" t="s">
        <v>258</v>
      </c>
      <c r="D344" s="112" t="s">
        <v>458</v>
      </c>
    </row>
    <row r="345" spans="1:4" x14ac:dyDescent="0.2">
      <c r="A345" s="109">
        <v>208</v>
      </c>
      <c r="B345" s="110">
        <v>1279</v>
      </c>
      <c r="C345" s="111" t="s">
        <v>258</v>
      </c>
      <c r="D345" s="112" t="s">
        <v>458</v>
      </c>
    </row>
    <row r="346" spans="1:4" x14ac:dyDescent="0.2">
      <c r="A346" s="109">
        <v>208</v>
      </c>
      <c r="B346" s="110">
        <v>1280</v>
      </c>
      <c r="C346" s="111" t="s">
        <v>258</v>
      </c>
      <c r="D346" s="112" t="s">
        <v>458</v>
      </c>
    </row>
    <row r="347" spans="1:4" x14ac:dyDescent="0.2">
      <c r="A347" s="109">
        <v>209</v>
      </c>
      <c r="B347" s="110">
        <v>1286</v>
      </c>
      <c r="C347" s="111" t="s">
        <v>258</v>
      </c>
      <c r="D347" s="112">
        <v>2</v>
      </c>
    </row>
    <row r="348" spans="1:4" x14ac:dyDescent="0.2">
      <c r="A348" s="109">
        <v>209</v>
      </c>
      <c r="B348" s="110">
        <v>1287</v>
      </c>
      <c r="C348" s="111" t="s">
        <v>258</v>
      </c>
      <c r="D348" s="112">
        <v>1</v>
      </c>
    </row>
    <row r="349" spans="1:4" x14ac:dyDescent="0.2">
      <c r="A349" s="109">
        <v>210</v>
      </c>
      <c r="B349" s="110">
        <v>1293</v>
      </c>
      <c r="C349" s="111" t="s">
        <v>258</v>
      </c>
      <c r="D349" s="112">
        <v>2</v>
      </c>
    </row>
    <row r="350" spans="1:4" x14ac:dyDescent="0.2">
      <c r="A350" s="109">
        <v>210</v>
      </c>
      <c r="B350" s="110">
        <v>1294</v>
      </c>
      <c r="C350" s="111" t="s">
        <v>258</v>
      </c>
      <c r="D350" s="112">
        <v>1</v>
      </c>
    </row>
    <row r="351" spans="1:4" x14ac:dyDescent="0.2">
      <c r="A351" s="109">
        <v>211</v>
      </c>
      <c r="B351" s="110">
        <v>1295</v>
      </c>
      <c r="C351" s="111" t="s">
        <v>258</v>
      </c>
      <c r="D351" s="112">
        <v>2</v>
      </c>
    </row>
    <row r="352" spans="1:4" x14ac:dyDescent="0.2">
      <c r="A352" s="109">
        <v>211</v>
      </c>
      <c r="B352" s="110">
        <v>1296</v>
      </c>
      <c r="C352" s="111" t="s">
        <v>258</v>
      </c>
      <c r="D352" s="112">
        <v>1</v>
      </c>
    </row>
    <row r="353" spans="1:4" x14ac:dyDescent="0.2">
      <c r="A353" s="109">
        <v>212</v>
      </c>
      <c r="B353" s="110">
        <v>1297</v>
      </c>
      <c r="C353" s="111" t="s">
        <v>258</v>
      </c>
      <c r="D353" s="112">
        <v>2</v>
      </c>
    </row>
    <row r="354" spans="1:4" x14ac:dyDescent="0.2">
      <c r="A354" s="109">
        <v>212</v>
      </c>
      <c r="B354" s="110">
        <v>1298</v>
      </c>
      <c r="C354" s="111" t="s">
        <v>258</v>
      </c>
      <c r="D354" s="112">
        <v>1</v>
      </c>
    </row>
    <row r="355" spans="1:4" x14ac:dyDescent="0.2">
      <c r="A355" s="109">
        <v>213</v>
      </c>
      <c r="B355" s="110">
        <v>1299</v>
      </c>
      <c r="C355" s="111" t="s">
        <v>258</v>
      </c>
      <c r="D355" s="112">
        <v>2</v>
      </c>
    </row>
    <row r="356" spans="1:4" x14ac:dyDescent="0.2">
      <c r="A356" s="109">
        <v>213</v>
      </c>
      <c r="B356" s="110">
        <v>1300</v>
      </c>
      <c r="C356" s="111" t="s">
        <v>258</v>
      </c>
      <c r="D356" s="112">
        <v>1</v>
      </c>
    </row>
    <row r="357" spans="1:4" x14ac:dyDescent="0.2">
      <c r="A357" s="109">
        <v>214</v>
      </c>
      <c r="B357" s="110">
        <v>1326</v>
      </c>
      <c r="C357" s="111" t="s">
        <v>258</v>
      </c>
      <c r="D357" s="112">
        <v>2</v>
      </c>
    </row>
    <row r="358" spans="1:4" x14ac:dyDescent="0.2">
      <c r="A358" s="109">
        <v>214</v>
      </c>
      <c r="B358" s="110">
        <v>1327</v>
      </c>
      <c r="C358" s="111" t="s">
        <v>258</v>
      </c>
      <c r="D358" s="112">
        <v>1</v>
      </c>
    </row>
    <row r="359" spans="1:4" x14ac:dyDescent="0.2">
      <c r="A359" s="109">
        <v>215</v>
      </c>
      <c r="B359" s="110">
        <v>1328</v>
      </c>
      <c r="C359" s="111" t="s">
        <v>258</v>
      </c>
      <c r="D359" s="112">
        <v>2</v>
      </c>
    </row>
    <row r="360" spans="1:4" x14ac:dyDescent="0.2">
      <c r="A360" s="109">
        <v>215</v>
      </c>
      <c r="B360" s="110">
        <v>1329</v>
      </c>
      <c r="C360" s="111" t="s">
        <v>258</v>
      </c>
      <c r="D360" s="112">
        <v>1</v>
      </c>
    </row>
    <row r="361" spans="1:4" x14ac:dyDescent="0.2">
      <c r="A361" s="109">
        <v>216</v>
      </c>
      <c r="B361" s="110">
        <v>1330</v>
      </c>
      <c r="C361" s="111" t="s">
        <v>258</v>
      </c>
      <c r="D361" s="112">
        <v>2</v>
      </c>
    </row>
    <row r="362" spans="1:4" x14ac:dyDescent="0.2">
      <c r="A362" s="109">
        <v>216</v>
      </c>
      <c r="B362" s="110">
        <v>1331</v>
      </c>
      <c r="C362" s="111" t="s">
        <v>258</v>
      </c>
      <c r="D362" s="112">
        <v>1</v>
      </c>
    </row>
    <row r="363" spans="1:4" x14ac:dyDescent="0.2">
      <c r="A363" s="109">
        <v>217</v>
      </c>
      <c r="B363" s="110">
        <v>1332</v>
      </c>
      <c r="C363" s="111" t="s">
        <v>258</v>
      </c>
      <c r="D363" s="112">
        <v>2</v>
      </c>
    </row>
    <row r="364" spans="1:4" x14ac:dyDescent="0.2">
      <c r="A364" s="109">
        <v>217</v>
      </c>
      <c r="B364" s="110">
        <v>1333</v>
      </c>
      <c r="C364" s="111" t="s">
        <v>258</v>
      </c>
      <c r="D364" s="112">
        <v>1</v>
      </c>
    </row>
    <row r="365" spans="1:4" x14ac:dyDescent="0.2">
      <c r="A365" s="109">
        <v>218</v>
      </c>
      <c r="B365" s="110">
        <v>1334</v>
      </c>
      <c r="C365" s="111" t="s">
        <v>258</v>
      </c>
      <c r="D365" s="112">
        <v>2</v>
      </c>
    </row>
    <row r="366" spans="1:4" x14ac:dyDescent="0.2">
      <c r="A366" s="109">
        <v>218</v>
      </c>
      <c r="B366" s="110">
        <v>1335</v>
      </c>
      <c r="C366" s="111" t="s">
        <v>258</v>
      </c>
      <c r="D366" s="112">
        <v>1</v>
      </c>
    </row>
    <row r="367" spans="1:4" x14ac:dyDescent="0.2">
      <c r="A367" s="109">
        <v>219</v>
      </c>
      <c r="B367" s="110">
        <v>1336</v>
      </c>
      <c r="C367" s="111" t="s">
        <v>258</v>
      </c>
      <c r="D367" s="112">
        <v>2</v>
      </c>
    </row>
    <row r="368" spans="1:4" x14ac:dyDescent="0.2">
      <c r="A368" s="109">
        <v>219</v>
      </c>
      <c r="B368" s="110">
        <v>1337</v>
      </c>
      <c r="C368" s="111" t="s">
        <v>258</v>
      </c>
      <c r="D368" s="112">
        <v>1</v>
      </c>
    </row>
    <row r="369" spans="1:4" x14ac:dyDescent="0.2">
      <c r="A369" s="109">
        <v>220</v>
      </c>
      <c r="B369" s="110">
        <v>1338</v>
      </c>
      <c r="C369" s="111" t="s">
        <v>258</v>
      </c>
      <c r="D369" s="112">
        <v>2</v>
      </c>
    </row>
    <row r="370" spans="1:4" x14ac:dyDescent="0.2">
      <c r="A370" s="109">
        <v>220</v>
      </c>
      <c r="B370" s="110">
        <v>1339</v>
      </c>
      <c r="C370" s="111" t="s">
        <v>258</v>
      </c>
      <c r="D370" s="112">
        <v>1</v>
      </c>
    </row>
    <row r="371" spans="1:4" x14ac:dyDescent="0.2">
      <c r="A371" s="109">
        <v>221</v>
      </c>
      <c r="B371" s="110">
        <v>1340</v>
      </c>
      <c r="C371" s="111" t="s">
        <v>258</v>
      </c>
      <c r="D371" s="112">
        <v>2</v>
      </c>
    </row>
    <row r="372" spans="1:4" x14ac:dyDescent="0.2">
      <c r="A372" s="109">
        <v>221</v>
      </c>
      <c r="B372" s="110">
        <v>1341</v>
      </c>
      <c r="C372" s="111" t="s">
        <v>258</v>
      </c>
      <c r="D372" s="112">
        <v>1</v>
      </c>
    </row>
    <row r="373" spans="1:4" x14ac:dyDescent="0.2">
      <c r="A373" s="109">
        <v>222</v>
      </c>
      <c r="B373" s="110">
        <v>1342</v>
      </c>
      <c r="C373" s="111" t="s">
        <v>258</v>
      </c>
      <c r="D373" s="112">
        <v>2</v>
      </c>
    </row>
    <row r="374" spans="1:4" x14ac:dyDescent="0.2">
      <c r="A374" s="109">
        <v>222</v>
      </c>
      <c r="B374" s="110">
        <v>1343</v>
      </c>
      <c r="C374" s="111" t="s">
        <v>258</v>
      </c>
      <c r="D374" s="112">
        <v>1</v>
      </c>
    </row>
    <row r="375" spans="1:4" x14ac:dyDescent="0.2">
      <c r="A375" s="109">
        <v>223</v>
      </c>
      <c r="B375" s="110">
        <v>1344</v>
      </c>
      <c r="C375" s="111" t="s">
        <v>258</v>
      </c>
      <c r="D375" s="112">
        <v>2</v>
      </c>
    </row>
    <row r="376" spans="1:4" x14ac:dyDescent="0.2">
      <c r="A376" s="109">
        <v>223</v>
      </c>
      <c r="B376" s="110">
        <v>1345</v>
      </c>
      <c r="C376" s="111" t="s">
        <v>258</v>
      </c>
      <c r="D376" s="112">
        <v>1</v>
      </c>
    </row>
    <row r="377" spans="1:4" x14ac:dyDescent="0.2">
      <c r="A377" s="109">
        <v>224</v>
      </c>
      <c r="B377" s="110">
        <v>1353</v>
      </c>
      <c r="C377" s="111" t="s">
        <v>258</v>
      </c>
      <c r="D377" s="112">
        <v>2</v>
      </c>
    </row>
    <row r="378" spans="1:4" x14ac:dyDescent="0.2">
      <c r="A378" s="109">
        <v>224</v>
      </c>
      <c r="B378" s="110">
        <v>1354</v>
      </c>
      <c r="C378" s="111" t="s">
        <v>258</v>
      </c>
      <c r="D378" s="112">
        <v>1</v>
      </c>
    </row>
    <row r="379" spans="1:4" x14ac:dyDescent="0.2">
      <c r="A379" s="109">
        <v>225</v>
      </c>
      <c r="B379" s="110">
        <v>1355</v>
      </c>
      <c r="C379" s="111" t="s">
        <v>258</v>
      </c>
      <c r="D379" s="112">
        <v>2</v>
      </c>
    </row>
    <row r="380" spans="1:4" x14ac:dyDescent="0.2">
      <c r="A380" s="109">
        <v>225</v>
      </c>
      <c r="B380" s="110">
        <v>1356</v>
      </c>
      <c r="C380" s="111" t="s">
        <v>258</v>
      </c>
      <c r="D380" s="112">
        <v>1</v>
      </c>
    </row>
    <row r="381" spans="1:4" x14ac:dyDescent="0.2">
      <c r="A381" s="109">
        <v>226</v>
      </c>
      <c r="B381" s="110">
        <v>1357</v>
      </c>
      <c r="C381" s="111" t="s">
        <v>258</v>
      </c>
      <c r="D381" s="112">
        <v>2</v>
      </c>
    </row>
    <row r="382" spans="1:4" x14ac:dyDescent="0.2">
      <c r="A382" s="109">
        <v>226</v>
      </c>
      <c r="B382" s="110">
        <v>1358</v>
      </c>
      <c r="C382" s="111" t="s">
        <v>258</v>
      </c>
      <c r="D382" s="112">
        <v>1</v>
      </c>
    </row>
    <row r="383" spans="1:4" x14ac:dyDescent="0.2">
      <c r="A383" s="109">
        <v>227</v>
      </c>
      <c r="B383" s="110">
        <v>1359</v>
      </c>
      <c r="C383" s="111" t="s">
        <v>258</v>
      </c>
      <c r="D383" s="112">
        <v>2</v>
      </c>
    </row>
    <row r="384" spans="1:4" x14ac:dyDescent="0.2">
      <c r="A384" s="109">
        <v>227</v>
      </c>
      <c r="B384" s="110">
        <v>1360</v>
      </c>
      <c r="C384" s="111" t="s">
        <v>258</v>
      </c>
      <c r="D384" s="112">
        <v>1</v>
      </c>
    </row>
    <row r="385" spans="1:4" x14ac:dyDescent="0.2">
      <c r="A385" s="109">
        <v>228</v>
      </c>
      <c r="B385" s="110">
        <v>1361</v>
      </c>
      <c r="C385" s="111" t="s">
        <v>269</v>
      </c>
      <c r="D385" s="112" t="s">
        <v>220</v>
      </c>
    </row>
    <row r="386" spans="1:4" x14ac:dyDescent="0.2">
      <c r="A386" s="109">
        <v>228</v>
      </c>
      <c r="B386" s="110">
        <v>1399</v>
      </c>
      <c r="C386" s="111" t="s">
        <v>269</v>
      </c>
      <c r="D386" s="112" t="s">
        <v>220</v>
      </c>
    </row>
    <row r="387" spans="1:4" x14ac:dyDescent="0.2">
      <c r="A387" s="109">
        <v>229</v>
      </c>
      <c r="B387" s="110">
        <v>1362</v>
      </c>
      <c r="C387" s="111" t="s">
        <v>269</v>
      </c>
      <c r="D387" s="112" t="s">
        <v>220</v>
      </c>
    </row>
    <row r="388" spans="1:4" x14ac:dyDescent="0.2">
      <c r="A388" s="109">
        <v>229</v>
      </c>
      <c r="B388" s="110">
        <v>1400</v>
      </c>
      <c r="C388" s="111" t="s">
        <v>269</v>
      </c>
      <c r="D388" s="112" t="s">
        <v>220</v>
      </c>
    </row>
    <row r="389" spans="1:4" x14ac:dyDescent="0.2">
      <c r="A389" s="109">
        <v>230</v>
      </c>
      <c r="B389" s="110">
        <v>1363</v>
      </c>
      <c r="C389" s="111" t="s">
        <v>258</v>
      </c>
      <c r="D389" s="112" t="s">
        <v>220</v>
      </c>
    </row>
    <row r="390" spans="1:4" x14ac:dyDescent="0.2">
      <c r="A390" s="109">
        <v>230</v>
      </c>
      <c r="B390" s="110">
        <v>1401</v>
      </c>
      <c r="C390" s="111" t="s">
        <v>258</v>
      </c>
      <c r="D390" s="112" t="s">
        <v>220</v>
      </c>
    </row>
    <row r="391" spans="1:4" x14ac:dyDescent="0.2">
      <c r="A391" s="109">
        <v>231</v>
      </c>
      <c r="B391" s="110">
        <v>1371</v>
      </c>
      <c r="C391" s="111" t="s">
        <v>246</v>
      </c>
      <c r="D391" s="112">
        <v>2</v>
      </c>
    </row>
    <row r="392" spans="1:4" x14ac:dyDescent="0.2">
      <c r="A392" s="109">
        <v>231</v>
      </c>
      <c r="B392" s="110">
        <v>1372</v>
      </c>
      <c r="C392" s="111" t="s">
        <v>246</v>
      </c>
      <c r="D392" s="112">
        <v>1</v>
      </c>
    </row>
    <row r="393" spans="1:4" x14ac:dyDescent="0.2">
      <c r="A393" s="109">
        <v>233</v>
      </c>
      <c r="B393" s="110">
        <v>1375</v>
      </c>
      <c r="C393" s="111" t="s">
        <v>246</v>
      </c>
      <c r="D393" s="112">
        <v>2</v>
      </c>
    </row>
    <row r="394" spans="1:4" x14ac:dyDescent="0.2">
      <c r="A394" s="109">
        <v>233</v>
      </c>
      <c r="B394" s="110">
        <v>1376</v>
      </c>
      <c r="C394" s="111" t="s">
        <v>246</v>
      </c>
      <c r="D394" s="112">
        <v>1</v>
      </c>
    </row>
    <row r="395" spans="1:4" x14ac:dyDescent="0.2">
      <c r="A395" s="109">
        <v>234</v>
      </c>
      <c r="B395" s="110">
        <v>1377</v>
      </c>
      <c r="C395" s="111" t="s">
        <v>246</v>
      </c>
      <c r="D395" s="112">
        <v>2</v>
      </c>
    </row>
    <row r="396" spans="1:4" x14ac:dyDescent="0.2">
      <c r="A396" s="109">
        <v>234</v>
      </c>
      <c r="B396" s="110">
        <v>1378</v>
      </c>
      <c r="C396" s="111" t="s">
        <v>246</v>
      </c>
      <c r="D396" s="112">
        <v>1</v>
      </c>
    </row>
    <row r="397" spans="1:4" x14ac:dyDescent="0.2">
      <c r="A397" s="109">
        <v>235</v>
      </c>
      <c r="B397" s="110">
        <v>1379</v>
      </c>
      <c r="C397" s="111" t="s">
        <v>246</v>
      </c>
      <c r="D397" s="112">
        <v>2</v>
      </c>
    </row>
    <row r="398" spans="1:4" x14ac:dyDescent="0.2">
      <c r="A398" s="109">
        <v>235</v>
      </c>
      <c r="B398" s="110">
        <v>1380</v>
      </c>
      <c r="C398" s="111" t="s">
        <v>246</v>
      </c>
      <c r="D398" s="112">
        <v>1</v>
      </c>
    </row>
    <row r="399" spans="1:4" x14ac:dyDescent="0.2">
      <c r="A399" s="109">
        <v>236</v>
      </c>
      <c r="B399" s="110">
        <v>1381</v>
      </c>
      <c r="C399" s="111" t="s">
        <v>246</v>
      </c>
      <c r="D399" s="112">
        <v>2</v>
      </c>
    </row>
    <row r="400" spans="1:4" x14ac:dyDescent="0.2">
      <c r="A400" s="109">
        <v>236</v>
      </c>
      <c r="B400" s="110">
        <v>1382</v>
      </c>
      <c r="C400" s="111" t="s">
        <v>246</v>
      </c>
      <c r="D400" s="112">
        <v>1</v>
      </c>
    </row>
    <row r="401" spans="1:4" x14ac:dyDescent="0.2">
      <c r="A401" s="109">
        <v>237</v>
      </c>
      <c r="B401" s="110">
        <v>1383</v>
      </c>
      <c r="C401" s="111" t="s">
        <v>246</v>
      </c>
      <c r="D401" s="112">
        <v>2</v>
      </c>
    </row>
    <row r="402" spans="1:4" x14ac:dyDescent="0.2">
      <c r="A402" s="109">
        <v>237</v>
      </c>
      <c r="B402" s="110">
        <v>1384</v>
      </c>
      <c r="C402" s="111" t="s">
        <v>246</v>
      </c>
      <c r="D402" s="112">
        <v>1</v>
      </c>
    </row>
    <row r="403" spans="1:4" x14ac:dyDescent="0.2">
      <c r="A403" s="109">
        <v>238</v>
      </c>
      <c r="B403" s="110">
        <v>1385</v>
      </c>
      <c r="C403" s="111" t="s">
        <v>258</v>
      </c>
      <c r="D403" s="112">
        <v>2</v>
      </c>
    </row>
    <row r="404" spans="1:4" x14ac:dyDescent="0.2">
      <c r="A404" s="109">
        <v>238</v>
      </c>
      <c r="B404" s="110">
        <v>1386</v>
      </c>
      <c r="C404" s="111" t="s">
        <v>258</v>
      </c>
      <c r="D404" s="112">
        <v>1</v>
      </c>
    </row>
    <row r="405" spans="1:4" x14ac:dyDescent="0.2">
      <c r="A405" s="109">
        <v>241</v>
      </c>
      <c r="B405" s="110">
        <v>1042</v>
      </c>
      <c r="C405" s="111" t="s">
        <v>270</v>
      </c>
      <c r="D405" s="112">
        <v>2</v>
      </c>
    </row>
    <row r="406" spans="1:4" x14ac:dyDescent="0.2">
      <c r="A406" s="109">
        <v>241</v>
      </c>
      <c r="B406" s="110">
        <v>1043</v>
      </c>
      <c r="C406" s="111" t="s">
        <v>270</v>
      </c>
      <c r="D406" s="112">
        <v>1</v>
      </c>
    </row>
    <row r="407" spans="1:4" x14ac:dyDescent="0.2">
      <c r="A407" s="109">
        <v>242</v>
      </c>
      <c r="B407" s="110">
        <v>44</v>
      </c>
      <c r="C407" s="111" t="s">
        <v>271</v>
      </c>
      <c r="D407" s="112">
        <v>1</v>
      </c>
    </row>
    <row r="408" spans="1:4" x14ac:dyDescent="0.2">
      <c r="A408" s="109">
        <v>242</v>
      </c>
      <c r="B408" s="110">
        <v>208</v>
      </c>
      <c r="C408" s="111" t="s">
        <v>271</v>
      </c>
      <c r="D408" s="112">
        <v>2</v>
      </c>
    </row>
    <row r="409" spans="1:4" x14ac:dyDescent="0.2">
      <c r="A409" s="109">
        <v>243</v>
      </c>
      <c r="B409" s="110">
        <v>21</v>
      </c>
      <c r="C409" s="111" t="s">
        <v>272</v>
      </c>
      <c r="D409" s="112">
        <v>1</v>
      </c>
    </row>
    <row r="410" spans="1:4" x14ac:dyDescent="0.2">
      <c r="A410" s="109">
        <v>243</v>
      </c>
      <c r="B410" s="110">
        <v>231</v>
      </c>
      <c r="C410" s="111" t="s">
        <v>272</v>
      </c>
      <c r="D410" s="112" t="s">
        <v>462</v>
      </c>
    </row>
    <row r="411" spans="1:4" x14ac:dyDescent="0.2">
      <c r="A411" s="109">
        <v>244</v>
      </c>
      <c r="B411" s="110">
        <v>40</v>
      </c>
      <c r="C411" s="111" t="s">
        <v>258</v>
      </c>
      <c r="D411" s="112">
        <v>1</v>
      </c>
    </row>
    <row r="412" spans="1:4" x14ac:dyDescent="0.2">
      <c r="A412" s="109">
        <v>244</v>
      </c>
      <c r="B412" s="110">
        <v>206</v>
      </c>
      <c r="C412" s="111" t="s">
        <v>258</v>
      </c>
      <c r="D412" s="112">
        <v>2</v>
      </c>
    </row>
    <row r="413" spans="1:4" x14ac:dyDescent="0.2">
      <c r="A413" s="109">
        <v>245</v>
      </c>
      <c r="B413" s="110">
        <v>1012</v>
      </c>
      <c r="C413" s="111" t="s">
        <v>271</v>
      </c>
      <c r="D413" s="112">
        <v>2</v>
      </c>
    </row>
    <row r="414" spans="1:4" x14ac:dyDescent="0.2">
      <c r="A414" s="109">
        <v>245</v>
      </c>
      <c r="B414" s="110">
        <v>1013</v>
      </c>
      <c r="C414" s="111" t="s">
        <v>271</v>
      </c>
      <c r="D414" s="112">
        <v>1</v>
      </c>
    </row>
    <row r="415" spans="1:4" x14ac:dyDescent="0.2">
      <c r="A415" s="109">
        <v>246</v>
      </c>
      <c r="B415" s="110">
        <v>160</v>
      </c>
      <c r="C415" s="111" t="s">
        <v>273</v>
      </c>
      <c r="D415" s="112">
        <v>2</v>
      </c>
    </row>
    <row r="416" spans="1:4" x14ac:dyDescent="0.2">
      <c r="A416" s="109">
        <v>246</v>
      </c>
      <c r="B416" s="110">
        <v>276</v>
      </c>
      <c r="C416" s="111" t="s">
        <v>273</v>
      </c>
      <c r="D416" s="112">
        <v>1</v>
      </c>
    </row>
    <row r="417" spans="1:4" x14ac:dyDescent="0.2">
      <c r="A417" s="109">
        <v>246</v>
      </c>
      <c r="B417" s="110">
        <v>277</v>
      </c>
      <c r="C417" s="111" t="s">
        <v>273</v>
      </c>
      <c r="D417" s="112">
        <v>1</v>
      </c>
    </row>
    <row r="418" spans="1:4" x14ac:dyDescent="0.2">
      <c r="A418" s="109">
        <v>247</v>
      </c>
      <c r="B418" s="110">
        <v>1288</v>
      </c>
      <c r="C418" s="111" t="s">
        <v>271</v>
      </c>
      <c r="D418" s="112">
        <v>1</v>
      </c>
    </row>
    <row r="419" spans="1:4" x14ac:dyDescent="0.2">
      <c r="A419" s="109">
        <v>247</v>
      </c>
      <c r="B419" s="110">
        <v>1289</v>
      </c>
      <c r="C419" s="111" t="s">
        <v>271</v>
      </c>
      <c r="D419" s="112">
        <v>2</v>
      </c>
    </row>
    <row r="420" spans="1:4" x14ac:dyDescent="0.2">
      <c r="A420" s="109">
        <v>248</v>
      </c>
      <c r="B420" s="110">
        <v>1174</v>
      </c>
      <c r="C420" s="111" t="s">
        <v>258</v>
      </c>
      <c r="D420" s="112">
        <v>1</v>
      </c>
    </row>
    <row r="421" spans="1:4" x14ac:dyDescent="0.2">
      <c r="A421" s="109">
        <v>248</v>
      </c>
      <c r="B421" s="110">
        <v>1175</v>
      </c>
      <c r="C421" s="111" t="s">
        <v>258</v>
      </c>
      <c r="D421" s="112">
        <v>2</v>
      </c>
    </row>
    <row r="422" spans="1:4" x14ac:dyDescent="0.2">
      <c r="A422" s="109">
        <v>249</v>
      </c>
      <c r="B422" s="110">
        <v>1351</v>
      </c>
      <c r="C422" s="111" t="s">
        <v>271</v>
      </c>
      <c r="D422" s="112">
        <v>2</v>
      </c>
    </row>
    <row r="423" spans="1:4" x14ac:dyDescent="0.2">
      <c r="A423" s="109">
        <v>249</v>
      </c>
      <c r="B423" s="110">
        <v>1352</v>
      </c>
      <c r="C423" s="111" t="s">
        <v>271</v>
      </c>
      <c r="D423" s="112">
        <v>1</v>
      </c>
    </row>
    <row r="424" spans="1:4" x14ac:dyDescent="0.2">
      <c r="A424" s="109">
        <v>250</v>
      </c>
      <c r="B424" s="110">
        <v>206</v>
      </c>
      <c r="C424" s="111" t="s">
        <v>274</v>
      </c>
      <c r="D424" s="112" t="s">
        <v>220</v>
      </c>
    </row>
    <row r="425" spans="1:4" x14ac:dyDescent="0.2">
      <c r="A425" s="109">
        <v>251</v>
      </c>
      <c r="B425" s="110">
        <v>210</v>
      </c>
      <c r="C425" s="111" t="s">
        <v>274</v>
      </c>
      <c r="D425" s="112" t="s">
        <v>220</v>
      </c>
    </row>
    <row r="426" spans="1:4" x14ac:dyDescent="0.2">
      <c r="A426" s="109">
        <v>252</v>
      </c>
      <c r="B426" s="110">
        <v>212</v>
      </c>
      <c r="C426" s="111" t="s">
        <v>274</v>
      </c>
      <c r="D426" s="112" t="s">
        <v>220</v>
      </c>
    </row>
    <row r="427" spans="1:4" x14ac:dyDescent="0.2">
      <c r="A427" s="109">
        <v>253</v>
      </c>
      <c r="B427" s="110">
        <v>1290</v>
      </c>
      <c r="C427" s="111" t="s">
        <v>274</v>
      </c>
      <c r="D427" s="112" t="s">
        <v>220</v>
      </c>
    </row>
    <row r="428" spans="1:4" x14ac:dyDescent="0.2">
      <c r="A428" s="109">
        <v>254</v>
      </c>
      <c r="B428" s="110">
        <v>1316</v>
      </c>
      <c r="C428" s="111" t="s">
        <v>275</v>
      </c>
      <c r="D428" s="112">
        <v>2</v>
      </c>
    </row>
    <row r="429" spans="1:4" x14ac:dyDescent="0.2">
      <c r="A429" s="109">
        <v>254</v>
      </c>
      <c r="B429" s="110">
        <v>1317</v>
      </c>
      <c r="C429" s="111" t="s">
        <v>275</v>
      </c>
      <c r="D429" s="112">
        <v>1</v>
      </c>
    </row>
    <row r="430" spans="1:4" x14ac:dyDescent="0.2">
      <c r="A430" s="109">
        <v>255</v>
      </c>
      <c r="B430" s="110">
        <v>1320</v>
      </c>
      <c r="C430" s="111" t="s">
        <v>276</v>
      </c>
      <c r="D430" s="112">
        <v>2</v>
      </c>
    </row>
    <row r="431" spans="1:4" x14ac:dyDescent="0.2">
      <c r="A431" s="109">
        <v>255</v>
      </c>
      <c r="B431" s="110">
        <v>1321</v>
      </c>
      <c r="C431" s="111" t="s">
        <v>276</v>
      </c>
      <c r="D431" s="112">
        <v>1</v>
      </c>
    </row>
    <row r="432" spans="1:4" x14ac:dyDescent="0.2">
      <c r="A432" s="109">
        <v>257</v>
      </c>
      <c r="B432" s="110">
        <v>57</v>
      </c>
      <c r="C432" s="111" t="s">
        <v>277</v>
      </c>
      <c r="D432" s="112">
        <v>1</v>
      </c>
    </row>
    <row r="433" spans="1:4" x14ac:dyDescent="0.2">
      <c r="A433" s="109">
        <v>257</v>
      </c>
      <c r="B433" s="110">
        <v>196</v>
      </c>
      <c r="C433" s="111" t="s">
        <v>277</v>
      </c>
      <c r="D433" s="112">
        <v>2</v>
      </c>
    </row>
    <row r="434" spans="1:4" x14ac:dyDescent="0.2">
      <c r="A434" s="109">
        <v>258</v>
      </c>
      <c r="B434" s="110">
        <v>56</v>
      </c>
      <c r="C434" s="111" t="s">
        <v>278</v>
      </c>
      <c r="D434" s="112">
        <v>1</v>
      </c>
    </row>
    <row r="435" spans="1:4" x14ac:dyDescent="0.2">
      <c r="A435" s="109">
        <v>258</v>
      </c>
      <c r="B435" s="110">
        <v>195</v>
      </c>
      <c r="C435" s="111" t="s">
        <v>278</v>
      </c>
      <c r="D435" s="112">
        <v>2</v>
      </c>
    </row>
    <row r="436" spans="1:4" x14ac:dyDescent="0.2">
      <c r="A436" s="109">
        <v>259</v>
      </c>
      <c r="B436" s="110">
        <v>94</v>
      </c>
      <c r="C436" s="111" t="s">
        <v>279</v>
      </c>
      <c r="D436" s="112">
        <v>1</v>
      </c>
    </row>
    <row r="437" spans="1:4" x14ac:dyDescent="0.2">
      <c r="A437" s="109">
        <v>259</v>
      </c>
      <c r="B437" s="110">
        <v>167</v>
      </c>
      <c r="C437" s="111" t="s">
        <v>279</v>
      </c>
      <c r="D437" s="112">
        <v>2</v>
      </c>
    </row>
    <row r="438" spans="1:4" x14ac:dyDescent="0.2">
      <c r="A438" s="109">
        <v>260</v>
      </c>
      <c r="B438" s="110">
        <v>59</v>
      </c>
      <c r="C438" s="111" t="s">
        <v>278</v>
      </c>
      <c r="D438" s="112" t="s">
        <v>458</v>
      </c>
    </row>
    <row r="439" spans="1:4" x14ac:dyDescent="0.2">
      <c r="A439" s="109">
        <v>260</v>
      </c>
      <c r="B439" s="110">
        <v>191</v>
      </c>
      <c r="C439" s="111" t="s">
        <v>278</v>
      </c>
      <c r="D439" s="112" t="s">
        <v>458</v>
      </c>
    </row>
    <row r="440" spans="1:4" x14ac:dyDescent="0.2">
      <c r="A440" s="109">
        <v>261</v>
      </c>
      <c r="B440" s="110">
        <v>55</v>
      </c>
      <c r="C440" s="111" t="s">
        <v>278</v>
      </c>
      <c r="D440" s="112">
        <v>1</v>
      </c>
    </row>
    <row r="441" spans="1:4" x14ac:dyDescent="0.2">
      <c r="A441" s="109">
        <v>261</v>
      </c>
      <c r="B441" s="110">
        <v>194</v>
      </c>
      <c r="C441" s="111" t="s">
        <v>278</v>
      </c>
      <c r="D441" s="112" t="s">
        <v>461</v>
      </c>
    </row>
    <row r="442" spans="1:4" x14ac:dyDescent="0.2">
      <c r="A442" s="109">
        <v>262</v>
      </c>
      <c r="B442" s="110">
        <v>57</v>
      </c>
      <c r="C442" s="111" t="s">
        <v>278</v>
      </c>
      <c r="D442" s="112">
        <v>1</v>
      </c>
    </row>
    <row r="443" spans="1:4" x14ac:dyDescent="0.2">
      <c r="A443" s="109">
        <v>262</v>
      </c>
      <c r="B443" s="110">
        <v>196</v>
      </c>
      <c r="C443" s="111" t="s">
        <v>278</v>
      </c>
      <c r="D443" s="112" t="s">
        <v>463</v>
      </c>
    </row>
    <row r="444" spans="1:4" x14ac:dyDescent="0.2">
      <c r="A444" s="109">
        <v>263</v>
      </c>
      <c r="B444" s="110">
        <v>1010</v>
      </c>
      <c r="C444" s="111" t="s">
        <v>278</v>
      </c>
      <c r="D444" s="112">
        <v>2</v>
      </c>
    </row>
    <row r="445" spans="1:4" x14ac:dyDescent="0.2">
      <c r="A445" s="109">
        <v>263</v>
      </c>
      <c r="B445" s="110">
        <v>1011</v>
      </c>
      <c r="C445" s="111" t="s">
        <v>278</v>
      </c>
      <c r="D445" s="112">
        <v>1</v>
      </c>
    </row>
    <row r="446" spans="1:4" x14ac:dyDescent="0.2">
      <c r="A446" s="109">
        <v>264</v>
      </c>
      <c r="B446" s="110">
        <v>1069</v>
      </c>
      <c r="C446" s="111" t="s">
        <v>278</v>
      </c>
      <c r="D446" s="112">
        <v>1</v>
      </c>
    </row>
    <row r="447" spans="1:4" x14ac:dyDescent="0.2">
      <c r="A447" s="109">
        <v>264</v>
      </c>
      <c r="B447" s="110">
        <v>1070</v>
      </c>
      <c r="C447" s="111" t="s">
        <v>278</v>
      </c>
      <c r="D447" s="112">
        <v>2</v>
      </c>
    </row>
    <row r="448" spans="1:4" x14ac:dyDescent="0.2">
      <c r="A448" s="109">
        <v>265</v>
      </c>
      <c r="B448" s="110">
        <v>190</v>
      </c>
      <c r="C448" s="111" t="s">
        <v>280</v>
      </c>
      <c r="D448" s="112" t="s">
        <v>460</v>
      </c>
    </row>
    <row r="449" spans="1:4" x14ac:dyDescent="0.2">
      <c r="A449" s="109">
        <v>266</v>
      </c>
      <c r="B449" s="110">
        <v>191</v>
      </c>
      <c r="C449" s="111" t="s">
        <v>280</v>
      </c>
      <c r="D449" s="112" t="s">
        <v>220</v>
      </c>
    </row>
    <row r="450" spans="1:4" x14ac:dyDescent="0.2">
      <c r="A450" s="109">
        <v>267</v>
      </c>
      <c r="B450" s="110">
        <v>192</v>
      </c>
      <c r="C450" s="111" t="s">
        <v>280</v>
      </c>
      <c r="D450" s="112" t="s">
        <v>220</v>
      </c>
    </row>
    <row r="451" spans="1:4" x14ac:dyDescent="0.2">
      <c r="A451" s="109">
        <v>268</v>
      </c>
      <c r="B451" s="110">
        <v>193</v>
      </c>
      <c r="C451" s="111" t="s">
        <v>280</v>
      </c>
      <c r="D451" s="112" t="s">
        <v>460</v>
      </c>
    </row>
    <row r="452" spans="1:4" x14ac:dyDescent="0.2">
      <c r="A452" s="109">
        <v>269</v>
      </c>
      <c r="B452" s="110">
        <v>194</v>
      </c>
      <c r="C452" s="111" t="s">
        <v>280</v>
      </c>
      <c r="D452" s="112" t="s">
        <v>220</v>
      </c>
    </row>
    <row r="453" spans="1:4" x14ac:dyDescent="0.2">
      <c r="A453" s="109">
        <v>270</v>
      </c>
      <c r="B453" s="110">
        <v>196</v>
      </c>
      <c r="C453" s="111" t="s">
        <v>280</v>
      </c>
      <c r="D453" s="112" t="s">
        <v>460</v>
      </c>
    </row>
    <row r="454" spans="1:4" x14ac:dyDescent="0.2">
      <c r="A454" s="109">
        <v>271</v>
      </c>
      <c r="B454" s="110">
        <v>1088</v>
      </c>
      <c r="C454" s="111" t="s">
        <v>280</v>
      </c>
      <c r="D454" s="112" t="s">
        <v>220</v>
      </c>
    </row>
    <row r="455" spans="1:4" x14ac:dyDescent="0.2">
      <c r="A455" s="109">
        <v>272</v>
      </c>
      <c r="B455" s="110">
        <v>1089</v>
      </c>
      <c r="C455" s="111" t="s">
        <v>280</v>
      </c>
      <c r="D455" s="112" t="s">
        <v>220</v>
      </c>
    </row>
    <row r="456" spans="1:4" x14ac:dyDescent="0.2">
      <c r="A456" s="109">
        <v>273</v>
      </c>
      <c r="B456" s="110">
        <v>1090</v>
      </c>
      <c r="C456" s="111" t="s">
        <v>280</v>
      </c>
      <c r="D456" s="112" t="s">
        <v>220</v>
      </c>
    </row>
    <row r="457" spans="1:4" x14ac:dyDescent="0.2">
      <c r="A457" s="109">
        <v>274</v>
      </c>
      <c r="B457" s="110">
        <v>1115</v>
      </c>
      <c r="C457" s="111" t="s">
        <v>280</v>
      </c>
      <c r="D457" s="112" t="s">
        <v>220</v>
      </c>
    </row>
    <row r="458" spans="1:4" x14ac:dyDescent="0.2">
      <c r="A458" s="109">
        <v>276</v>
      </c>
      <c r="B458" s="110">
        <v>1347</v>
      </c>
      <c r="C458" s="111" t="s">
        <v>280</v>
      </c>
      <c r="D458" s="112" t="s">
        <v>220</v>
      </c>
    </row>
    <row r="459" spans="1:4" x14ac:dyDescent="0.2">
      <c r="A459" s="109">
        <v>277</v>
      </c>
      <c r="B459" s="110">
        <v>52</v>
      </c>
      <c r="C459" s="111" t="s">
        <v>281</v>
      </c>
      <c r="D459" s="112" t="s">
        <v>220</v>
      </c>
    </row>
    <row r="460" spans="1:4" x14ac:dyDescent="0.2">
      <c r="A460" s="109">
        <v>278</v>
      </c>
      <c r="B460" s="110">
        <v>105</v>
      </c>
      <c r="C460" s="111" t="s">
        <v>282</v>
      </c>
      <c r="D460" s="112" t="s">
        <v>220</v>
      </c>
    </row>
    <row r="461" spans="1:4" x14ac:dyDescent="0.2">
      <c r="A461" s="109">
        <v>279</v>
      </c>
      <c r="B461" s="110">
        <v>16</v>
      </c>
      <c r="C461" s="111" t="s">
        <v>283</v>
      </c>
      <c r="D461" s="112" t="s">
        <v>220</v>
      </c>
    </row>
    <row r="462" spans="1:4" x14ac:dyDescent="0.2">
      <c r="A462" s="109">
        <v>280</v>
      </c>
      <c r="B462" s="110">
        <v>170</v>
      </c>
      <c r="C462" s="111" t="s">
        <v>284</v>
      </c>
      <c r="D462" s="112" t="s">
        <v>458</v>
      </c>
    </row>
    <row r="463" spans="1:4" x14ac:dyDescent="0.2">
      <c r="A463" s="109">
        <v>281</v>
      </c>
      <c r="B463" s="110">
        <v>11</v>
      </c>
      <c r="C463" s="111" t="s">
        <v>285</v>
      </c>
      <c r="D463" s="112">
        <v>2</v>
      </c>
    </row>
    <row r="464" spans="1:4" x14ac:dyDescent="0.2">
      <c r="A464" s="109">
        <v>281</v>
      </c>
      <c r="B464" s="110">
        <v>95</v>
      </c>
      <c r="C464" s="111" t="s">
        <v>285</v>
      </c>
      <c r="D464" s="112">
        <v>1</v>
      </c>
    </row>
    <row r="465" spans="1:4" x14ac:dyDescent="0.2">
      <c r="A465" s="109">
        <v>283</v>
      </c>
      <c r="B465" s="110">
        <v>1016</v>
      </c>
      <c r="C465" s="111" t="s">
        <v>286</v>
      </c>
      <c r="D465" s="112">
        <v>1</v>
      </c>
    </row>
    <row r="466" spans="1:4" x14ac:dyDescent="0.2">
      <c r="A466" s="109">
        <v>283</v>
      </c>
      <c r="B466" s="110">
        <v>1017</v>
      </c>
      <c r="C466" s="111" t="s">
        <v>286</v>
      </c>
      <c r="D466" s="112">
        <v>2</v>
      </c>
    </row>
    <row r="467" spans="1:4" x14ac:dyDescent="0.2">
      <c r="A467" s="109">
        <v>284</v>
      </c>
      <c r="B467" s="110">
        <v>177</v>
      </c>
      <c r="C467" s="111" t="s">
        <v>227</v>
      </c>
      <c r="D467" s="112" t="s">
        <v>220</v>
      </c>
    </row>
    <row r="468" spans="1:4" x14ac:dyDescent="0.2">
      <c r="A468" s="109">
        <v>285</v>
      </c>
      <c r="B468" s="110">
        <v>178</v>
      </c>
      <c r="C468" s="111" t="s">
        <v>227</v>
      </c>
      <c r="D468" s="112" t="s">
        <v>458</v>
      </c>
    </row>
    <row r="469" spans="1:4" x14ac:dyDescent="0.2">
      <c r="A469" s="109">
        <v>286</v>
      </c>
      <c r="B469" s="110">
        <v>103</v>
      </c>
      <c r="C469" s="111" t="s">
        <v>287</v>
      </c>
      <c r="D469" s="112" t="s">
        <v>220</v>
      </c>
    </row>
    <row r="470" spans="1:4" x14ac:dyDescent="0.2">
      <c r="A470" s="109">
        <v>287</v>
      </c>
      <c r="B470" s="110">
        <v>1364</v>
      </c>
      <c r="C470" s="111" t="s">
        <v>288</v>
      </c>
      <c r="D470" s="112" t="s">
        <v>220</v>
      </c>
    </row>
    <row r="471" spans="1:4" x14ac:dyDescent="0.2">
      <c r="A471" s="109">
        <v>287</v>
      </c>
      <c r="B471" s="110">
        <v>1402</v>
      </c>
      <c r="C471" s="111" t="s">
        <v>288</v>
      </c>
      <c r="D471" s="112" t="s">
        <v>220</v>
      </c>
    </row>
    <row r="472" spans="1:4" x14ac:dyDescent="0.2">
      <c r="A472" s="109">
        <v>288</v>
      </c>
      <c r="B472" s="110">
        <v>1036</v>
      </c>
      <c r="C472" s="111" t="s">
        <v>289</v>
      </c>
      <c r="D472" s="112" t="s">
        <v>220</v>
      </c>
    </row>
    <row r="473" spans="1:4" x14ac:dyDescent="0.2">
      <c r="A473" s="109">
        <v>289</v>
      </c>
      <c r="B473" s="110">
        <v>1041</v>
      </c>
      <c r="C473" s="111" t="s">
        <v>289</v>
      </c>
      <c r="D473" s="112" t="s">
        <v>220</v>
      </c>
    </row>
    <row r="474" spans="1:4" x14ac:dyDescent="0.2">
      <c r="A474" s="109">
        <v>290</v>
      </c>
      <c r="B474" s="110">
        <v>1050</v>
      </c>
      <c r="C474" s="111" t="s">
        <v>289</v>
      </c>
      <c r="D474" s="112" t="s">
        <v>220</v>
      </c>
    </row>
    <row r="475" spans="1:4" x14ac:dyDescent="0.2">
      <c r="A475" s="109">
        <v>291</v>
      </c>
      <c r="B475" s="110">
        <v>1051</v>
      </c>
      <c r="C475" s="111" t="s">
        <v>289</v>
      </c>
      <c r="D475" s="112" t="s">
        <v>220</v>
      </c>
    </row>
    <row r="476" spans="1:4" x14ac:dyDescent="0.2">
      <c r="A476" s="109">
        <v>292</v>
      </c>
      <c r="B476" s="110">
        <v>1052</v>
      </c>
      <c r="C476" s="111" t="s">
        <v>289</v>
      </c>
      <c r="D476" s="112" t="s">
        <v>220</v>
      </c>
    </row>
    <row r="477" spans="1:4" x14ac:dyDescent="0.2">
      <c r="A477" s="109">
        <v>297</v>
      </c>
      <c r="B477" s="110">
        <v>1367</v>
      </c>
      <c r="C477" s="111" t="s">
        <v>289</v>
      </c>
      <c r="D477" s="112" t="s">
        <v>220</v>
      </c>
    </row>
    <row r="478" spans="1:4" x14ac:dyDescent="0.2">
      <c r="A478" s="109">
        <v>298</v>
      </c>
      <c r="B478" s="110">
        <v>1368</v>
      </c>
      <c r="C478" s="111" t="s">
        <v>289</v>
      </c>
      <c r="D478" s="112" t="s">
        <v>220</v>
      </c>
    </row>
    <row r="479" spans="1:4" x14ac:dyDescent="0.2">
      <c r="A479" s="109">
        <v>299</v>
      </c>
      <c r="B479" s="110">
        <v>1053</v>
      </c>
      <c r="C479" s="111" t="s">
        <v>289</v>
      </c>
      <c r="D479" s="112" t="s">
        <v>220</v>
      </c>
    </row>
    <row r="480" spans="1:4" x14ac:dyDescent="0.2">
      <c r="A480" s="109">
        <v>300</v>
      </c>
      <c r="B480" s="110">
        <v>1080</v>
      </c>
      <c r="C480" s="111" t="s">
        <v>290</v>
      </c>
      <c r="D480" s="112">
        <v>1</v>
      </c>
    </row>
    <row r="481" spans="1:4" x14ac:dyDescent="0.2">
      <c r="A481" s="109">
        <v>300</v>
      </c>
      <c r="B481" s="110">
        <v>1081</v>
      </c>
      <c r="C481" s="111" t="s">
        <v>290</v>
      </c>
      <c r="D481" s="112">
        <v>1</v>
      </c>
    </row>
    <row r="482" spans="1:4" x14ac:dyDescent="0.2">
      <c r="A482" s="109">
        <v>301</v>
      </c>
      <c r="B482" s="110">
        <v>1095</v>
      </c>
      <c r="C482" s="111" t="s">
        <v>291</v>
      </c>
      <c r="D482" s="112">
        <v>1</v>
      </c>
    </row>
    <row r="483" spans="1:4" x14ac:dyDescent="0.2">
      <c r="A483" s="109">
        <v>301</v>
      </c>
      <c r="B483" s="110">
        <v>1096</v>
      </c>
      <c r="C483" s="111" t="s">
        <v>291</v>
      </c>
      <c r="D483" s="112">
        <v>1</v>
      </c>
    </row>
    <row r="484" spans="1:4" x14ac:dyDescent="0.2">
      <c r="A484" s="109">
        <v>302</v>
      </c>
      <c r="B484" s="110">
        <v>1101</v>
      </c>
      <c r="C484" s="111" t="s">
        <v>292</v>
      </c>
      <c r="D484" s="112">
        <v>1</v>
      </c>
    </row>
    <row r="485" spans="1:4" x14ac:dyDescent="0.2">
      <c r="A485" s="109">
        <v>302</v>
      </c>
      <c r="B485" s="110">
        <v>1102</v>
      </c>
      <c r="C485" s="111" t="s">
        <v>292</v>
      </c>
      <c r="D485" s="112">
        <v>1</v>
      </c>
    </row>
    <row r="486" spans="1:4" x14ac:dyDescent="0.2">
      <c r="A486" s="109">
        <v>303</v>
      </c>
      <c r="B486" s="110">
        <v>1054</v>
      </c>
      <c r="C486" s="111" t="s">
        <v>289</v>
      </c>
      <c r="D486" s="112" t="s">
        <v>220</v>
      </c>
    </row>
    <row r="487" spans="1:4" x14ac:dyDescent="0.2">
      <c r="A487" s="109">
        <v>304</v>
      </c>
      <c r="B487" s="110">
        <v>1083</v>
      </c>
      <c r="C487" s="111" t="s">
        <v>289</v>
      </c>
      <c r="D487" s="112" t="s">
        <v>220</v>
      </c>
    </row>
    <row r="488" spans="1:4" x14ac:dyDescent="0.2">
      <c r="A488" s="109">
        <v>305</v>
      </c>
      <c r="B488" s="110">
        <v>1084</v>
      </c>
      <c r="C488" s="111" t="s">
        <v>293</v>
      </c>
      <c r="D488" s="112">
        <v>1</v>
      </c>
    </row>
    <row r="489" spans="1:4" x14ac:dyDescent="0.2">
      <c r="A489" s="109">
        <v>305</v>
      </c>
      <c r="B489" s="110">
        <v>1085</v>
      </c>
      <c r="C489" s="111" t="s">
        <v>293</v>
      </c>
      <c r="D489" s="112">
        <v>2</v>
      </c>
    </row>
    <row r="490" spans="1:4" x14ac:dyDescent="0.2">
      <c r="A490" s="109">
        <v>306</v>
      </c>
      <c r="B490" s="110">
        <v>1086</v>
      </c>
      <c r="C490" s="111" t="s">
        <v>293</v>
      </c>
      <c r="D490" s="112">
        <v>1</v>
      </c>
    </row>
    <row r="491" spans="1:4" x14ac:dyDescent="0.2">
      <c r="A491" s="109">
        <v>306</v>
      </c>
      <c r="B491" s="110">
        <v>1087</v>
      </c>
      <c r="C491" s="111" t="s">
        <v>293</v>
      </c>
      <c r="D491" s="112">
        <v>2</v>
      </c>
    </row>
    <row r="492" spans="1:4" x14ac:dyDescent="0.2">
      <c r="A492" s="109">
        <v>307</v>
      </c>
      <c r="B492" s="110">
        <v>1091</v>
      </c>
      <c r="C492" s="111" t="s">
        <v>293</v>
      </c>
      <c r="D492" s="112">
        <v>1</v>
      </c>
    </row>
    <row r="493" spans="1:4" x14ac:dyDescent="0.2">
      <c r="A493" s="109">
        <v>307</v>
      </c>
      <c r="B493" s="110">
        <v>1092</v>
      </c>
      <c r="C493" s="111" t="s">
        <v>293</v>
      </c>
      <c r="D493" s="112">
        <v>2</v>
      </c>
    </row>
    <row r="494" spans="1:4" x14ac:dyDescent="0.2">
      <c r="A494" s="109">
        <v>308</v>
      </c>
      <c r="B494" s="110">
        <v>1093</v>
      </c>
      <c r="C494" s="111" t="s">
        <v>293</v>
      </c>
      <c r="D494" s="112">
        <v>1</v>
      </c>
    </row>
    <row r="495" spans="1:4" x14ac:dyDescent="0.2">
      <c r="A495" s="109">
        <v>308</v>
      </c>
      <c r="B495" s="110">
        <v>1094</v>
      </c>
      <c r="C495" s="111" t="s">
        <v>293</v>
      </c>
      <c r="D495" s="112">
        <v>2</v>
      </c>
    </row>
    <row r="496" spans="1:4" x14ac:dyDescent="0.2">
      <c r="A496" s="109">
        <v>309</v>
      </c>
      <c r="B496" s="110">
        <v>1098</v>
      </c>
      <c r="C496" s="111" t="s">
        <v>294</v>
      </c>
      <c r="D496" s="112">
        <v>1</v>
      </c>
    </row>
    <row r="497" spans="1:4" x14ac:dyDescent="0.2">
      <c r="A497" s="109">
        <v>309</v>
      </c>
      <c r="B497" s="110">
        <v>1099</v>
      </c>
      <c r="C497" s="111" t="s">
        <v>294</v>
      </c>
      <c r="D497" s="112">
        <v>1</v>
      </c>
    </row>
    <row r="498" spans="1:4" x14ac:dyDescent="0.2">
      <c r="A498" s="109">
        <v>310</v>
      </c>
      <c r="B498" s="110">
        <v>1155</v>
      </c>
      <c r="C498" s="111" t="s">
        <v>295</v>
      </c>
      <c r="D498" s="112">
        <v>2</v>
      </c>
    </row>
    <row r="499" spans="1:4" x14ac:dyDescent="0.2">
      <c r="A499" s="109">
        <v>310</v>
      </c>
      <c r="B499" s="110">
        <v>1156</v>
      </c>
      <c r="C499" s="111" t="s">
        <v>295</v>
      </c>
      <c r="D499" s="112">
        <v>1</v>
      </c>
    </row>
    <row r="500" spans="1:4" x14ac:dyDescent="0.2">
      <c r="A500" s="109">
        <v>312</v>
      </c>
      <c r="B500" s="110">
        <v>1154</v>
      </c>
      <c r="C500" s="111" t="s">
        <v>296</v>
      </c>
      <c r="D500" s="112">
        <v>2</v>
      </c>
    </row>
    <row r="501" spans="1:4" x14ac:dyDescent="0.2">
      <c r="A501" s="109">
        <v>313</v>
      </c>
      <c r="B501" s="110">
        <v>1006</v>
      </c>
      <c r="C501" s="111" t="s">
        <v>297</v>
      </c>
      <c r="D501" s="112" t="s">
        <v>220</v>
      </c>
    </row>
    <row r="502" spans="1:4" x14ac:dyDescent="0.2">
      <c r="A502" s="109">
        <v>314</v>
      </c>
      <c r="B502" s="110">
        <v>104</v>
      </c>
      <c r="C502" s="111" t="s">
        <v>298</v>
      </c>
      <c r="D502" s="112" t="s">
        <v>458</v>
      </c>
    </row>
    <row r="503" spans="1:4" x14ac:dyDescent="0.2">
      <c r="A503" s="109">
        <v>315</v>
      </c>
      <c r="B503" s="110">
        <v>178</v>
      </c>
      <c r="C503" s="111" t="s">
        <v>299</v>
      </c>
      <c r="D503" s="112" t="s">
        <v>458</v>
      </c>
    </row>
    <row r="504" spans="1:4" x14ac:dyDescent="0.2">
      <c r="A504" s="109">
        <v>315</v>
      </c>
      <c r="B504" s="110">
        <v>227</v>
      </c>
      <c r="C504" s="111" t="s">
        <v>299</v>
      </c>
      <c r="D504" s="112" t="s">
        <v>458</v>
      </c>
    </row>
    <row r="505" spans="1:4" x14ac:dyDescent="0.2">
      <c r="A505" s="109">
        <v>316</v>
      </c>
      <c r="B505" s="110">
        <v>53</v>
      </c>
      <c r="C505" s="111" t="s">
        <v>300</v>
      </c>
      <c r="D505" s="112">
        <v>2</v>
      </c>
    </row>
    <row r="506" spans="1:4" x14ac:dyDescent="0.2">
      <c r="A506" s="109">
        <v>316</v>
      </c>
      <c r="B506" s="110">
        <v>198</v>
      </c>
      <c r="C506" s="111" t="s">
        <v>300</v>
      </c>
      <c r="D506" s="112">
        <v>1</v>
      </c>
    </row>
    <row r="507" spans="1:4" x14ac:dyDescent="0.2">
      <c r="A507" s="109">
        <v>317</v>
      </c>
      <c r="B507" s="110">
        <v>70</v>
      </c>
      <c r="C507" s="111" t="s">
        <v>300</v>
      </c>
      <c r="D507" s="112" t="s">
        <v>463</v>
      </c>
    </row>
    <row r="508" spans="1:4" x14ac:dyDescent="0.2">
      <c r="A508" s="109">
        <v>317</v>
      </c>
      <c r="B508" s="110">
        <v>183</v>
      </c>
      <c r="C508" s="111" t="s">
        <v>300</v>
      </c>
      <c r="D508" s="112" t="s">
        <v>464</v>
      </c>
    </row>
    <row r="509" spans="1:4" x14ac:dyDescent="0.2">
      <c r="A509" s="109">
        <v>318</v>
      </c>
      <c r="B509" s="110">
        <v>74</v>
      </c>
      <c r="C509" s="111" t="s">
        <v>300</v>
      </c>
      <c r="D509" s="112">
        <v>1</v>
      </c>
    </row>
    <row r="510" spans="1:4" x14ac:dyDescent="0.2">
      <c r="A510" s="109">
        <v>318</v>
      </c>
      <c r="B510" s="110">
        <v>180</v>
      </c>
      <c r="C510" s="111" t="s">
        <v>300</v>
      </c>
      <c r="D510" s="112">
        <v>1</v>
      </c>
    </row>
    <row r="511" spans="1:4" x14ac:dyDescent="0.2">
      <c r="A511" s="109">
        <v>319</v>
      </c>
      <c r="B511" s="110">
        <v>71</v>
      </c>
      <c r="C511" s="111" t="s">
        <v>301</v>
      </c>
      <c r="D511" s="112" t="s">
        <v>467</v>
      </c>
    </row>
    <row r="512" spans="1:4" x14ac:dyDescent="0.2">
      <c r="A512" s="109">
        <v>319</v>
      </c>
      <c r="B512" s="110">
        <v>183</v>
      </c>
      <c r="C512" s="111" t="s">
        <v>301</v>
      </c>
      <c r="D512" s="112" t="s">
        <v>465</v>
      </c>
    </row>
    <row r="513" spans="1:4" x14ac:dyDescent="0.2">
      <c r="A513" s="109">
        <v>320</v>
      </c>
      <c r="B513" s="110">
        <v>72</v>
      </c>
      <c r="C513" s="111" t="s">
        <v>300</v>
      </c>
      <c r="D513" s="112">
        <v>2</v>
      </c>
    </row>
    <row r="514" spans="1:4" x14ac:dyDescent="0.2">
      <c r="A514" s="109">
        <v>320</v>
      </c>
      <c r="B514" s="110">
        <v>184</v>
      </c>
      <c r="C514" s="111" t="s">
        <v>300</v>
      </c>
      <c r="D514" s="112">
        <v>1</v>
      </c>
    </row>
    <row r="515" spans="1:4" x14ac:dyDescent="0.2">
      <c r="A515" s="109">
        <v>321</v>
      </c>
      <c r="B515" s="110">
        <v>1004</v>
      </c>
      <c r="C515" s="111" t="s">
        <v>300</v>
      </c>
      <c r="D515" s="112">
        <v>1</v>
      </c>
    </row>
    <row r="516" spans="1:4" x14ac:dyDescent="0.2">
      <c r="A516" s="109">
        <v>321</v>
      </c>
      <c r="B516" s="110">
        <v>1005</v>
      </c>
      <c r="C516" s="111" t="s">
        <v>300</v>
      </c>
      <c r="D516" s="112">
        <v>1</v>
      </c>
    </row>
    <row r="517" spans="1:4" x14ac:dyDescent="0.2">
      <c r="A517" s="109">
        <v>322</v>
      </c>
      <c r="B517" s="110">
        <v>1073</v>
      </c>
      <c r="C517" s="111" t="s">
        <v>300</v>
      </c>
      <c r="D517" s="112">
        <v>1</v>
      </c>
    </row>
    <row r="518" spans="1:4" x14ac:dyDescent="0.2">
      <c r="A518" s="109">
        <v>322</v>
      </c>
      <c r="B518" s="110">
        <v>1074</v>
      </c>
      <c r="C518" s="111" t="s">
        <v>300</v>
      </c>
      <c r="D518" s="112">
        <v>1</v>
      </c>
    </row>
    <row r="519" spans="1:4" x14ac:dyDescent="0.2">
      <c r="A519" s="109">
        <v>323</v>
      </c>
      <c r="B519" s="110">
        <v>1284</v>
      </c>
      <c r="C519" s="111" t="s">
        <v>300</v>
      </c>
      <c r="D519" s="112">
        <v>1</v>
      </c>
    </row>
    <row r="520" spans="1:4" x14ac:dyDescent="0.2">
      <c r="A520" s="109">
        <v>323</v>
      </c>
      <c r="B520" s="110">
        <v>1285</v>
      </c>
      <c r="C520" s="111" t="s">
        <v>300</v>
      </c>
      <c r="D520" s="112" t="s">
        <v>466</v>
      </c>
    </row>
    <row r="521" spans="1:4" x14ac:dyDescent="0.2">
      <c r="A521" s="109">
        <v>324</v>
      </c>
      <c r="B521" s="110">
        <v>1007</v>
      </c>
      <c r="C521" s="111" t="s">
        <v>302</v>
      </c>
      <c r="D521" s="112">
        <v>1</v>
      </c>
    </row>
    <row r="522" spans="1:4" x14ac:dyDescent="0.2">
      <c r="A522" s="109">
        <v>325</v>
      </c>
      <c r="B522" s="110">
        <v>183</v>
      </c>
      <c r="C522" s="111" t="s">
        <v>303</v>
      </c>
      <c r="D522" s="112">
        <v>1</v>
      </c>
    </row>
    <row r="523" spans="1:4" x14ac:dyDescent="0.2">
      <c r="A523" s="109">
        <v>325</v>
      </c>
      <c r="B523" s="110">
        <v>186</v>
      </c>
      <c r="C523" s="111" t="s">
        <v>303</v>
      </c>
      <c r="D523" s="112">
        <v>1</v>
      </c>
    </row>
    <row r="524" spans="1:4" x14ac:dyDescent="0.2">
      <c r="A524" s="109">
        <v>325</v>
      </c>
      <c r="B524" s="110">
        <v>206</v>
      </c>
      <c r="C524" s="111" t="s">
        <v>303</v>
      </c>
      <c r="D524" s="112">
        <v>2</v>
      </c>
    </row>
    <row r="525" spans="1:4" x14ac:dyDescent="0.2">
      <c r="A525" s="109">
        <v>326</v>
      </c>
      <c r="B525" s="110">
        <v>184</v>
      </c>
      <c r="C525" s="111" t="s">
        <v>303</v>
      </c>
      <c r="D525" s="112">
        <v>1</v>
      </c>
    </row>
    <row r="526" spans="1:4" x14ac:dyDescent="0.2">
      <c r="A526" s="109">
        <v>326</v>
      </c>
      <c r="B526" s="110">
        <v>187</v>
      </c>
      <c r="C526" s="111" t="s">
        <v>303</v>
      </c>
      <c r="D526" s="112" t="s">
        <v>463</v>
      </c>
    </row>
    <row r="527" spans="1:4" x14ac:dyDescent="0.2">
      <c r="A527" s="109">
        <v>326</v>
      </c>
      <c r="B527" s="110">
        <v>210</v>
      </c>
      <c r="C527" s="111" t="s">
        <v>303</v>
      </c>
      <c r="D527" s="112" t="s">
        <v>463</v>
      </c>
    </row>
    <row r="528" spans="1:4" x14ac:dyDescent="0.2">
      <c r="A528" s="109">
        <v>327</v>
      </c>
      <c r="B528" s="110">
        <v>135</v>
      </c>
      <c r="C528" s="111" t="s">
        <v>303</v>
      </c>
      <c r="D528" s="112">
        <v>1</v>
      </c>
    </row>
    <row r="529" spans="1:4" x14ac:dyDescent="0.2">
      <c r="A529" s="109">
        <v>327</v>
      </c>
      <c r="B529" s="110">
        <v>198</v>
      </c>
      <c r="C529" s="111" t="s">
        <v>303</v>
      </c>
      <c r="D529" s="112">
        <v>1</v>
      </c>
    </row>
    <row r="530" spans="1:4" x14ac:dyDescent="0.2">
      <c r="A530" s="109">
        <v>327</v>
      </c>
      <c r="B530" s="110">
        <v>222</v>
      </c>
      <c r="C530" s="111" t="s">
        <v>303</v>
      </c>
      <c r="D530" s="112">
        <v>2</v>
      </c>
    </row>
    <row r="531" spans="1:4" x14ac:dyDescent="0.2">
      <c r="A531" s="109">
        <v>328</v>
      </c>
      <c r="B531" s="110">
        <v>1022</v>
      </c>
      <c r="C531" s="111" t="s">
        <v>303</v>
      </c>
      <c r="D531" s="112">
        <v>1</v>
      </c>
    </row>
    <row r="532" spans="1:4" x14ac:dyDescent="0.2">
      <c r="A532" s="109">
        <v>328</v>
      </c>
      <c r="B532" s="110">
        <v>1023</v>
      </c>
      <c r="C532" s="111" t="s">
        <v>303</v>
      </c>
      <c r="D532" s="112">
        <v>2</v>
      </c>
    </row>
    <row r="533" spans="1:4" x14ac:dyDescent="0.2">
      <c r="A533" s="109">
        <v>328</v>
      </c>
      <c r="B533" s="110">
        <v>1024</v>
      </c>
      <c r="C533" s="111" t="s">
        <v>303</v>
      </c>
      <c r="D533" s="112">
        <v>1</v>
      </c>
    </row>
    <row r="534" spans="1:4" x14ac:dyDescent="0.2">
      <c r="A534" s="109">
        <v>329</v>
      </c>
      <c r="B534" s="110">
        <v>1027</v>
      </c>
      <c r="C534" s="111" t="s">
        <v>303</v>
      </c>
      <c r="D534" s="112">
        <v>1</v>
      </c>
    </row>
    <row r="535" spans="1:4" x14ac:dyDescent="0.2">
      <c r="A535" s="109">
        <v>329</v>
      </c>
      <c r="B535" s="110">
        <v>1028</v>
      </c>
      <c r="C535" s="111" t="s">
        <v>303</v>
      </c>
      <c r="D535" s="112">
        <v>2</v>
      </c>
    </row>
    <row r="536" spans="1:4" x14ac:dyDescent="0.2">
      <c r="A536" s="109">
        <v>329</v>
      </c>
      <c r="B536" s="110">
        <v>1029</v>
      </c>
      <c r="C536" s="111" t="s">
        <v>303</v>
      </c>
      <c r="D536" s="112">
        <v>1</v>
      </c>
    </row>
    <row r="537" spans="1:4" x14ac:dyDescent="0.2">
      <c r="A537" s="109">
        <v>330</v>
      </c>
      <c r="B537" s="110">
        <v>1075</v>
      </c>
      <c r="C537" s="111" t="s">
        <v>303</v>
      </c>
      <c r="D537" s="112">
        <v>2</v>
      </c>
    </row>
    <row r="538" spans="1:4" x14ac:dyDescent="0.2">
      <c r="A538" s="109">
        <v>330</v>
      </c>
      <c r="B538" s="110">
        <v>1076</v>
      </c>
      <c r="C538" s="111" t="s">
        <v>303</v>
      </c>
      <c r="D538" s="112">
        <v>1</v>
      </c>
    </row>
    <row r="539" spans="1:4" x14ac:dyDescent="0.2">
      <c r="A539" s="109">
        <v>330</v>
      </c>
      <c r="B539" s="110">
        <v>1077</v>
      </c>
      <c r="C539" s="111" t="s">
        <v>303</v>
      </c>
      <c r="D539" s="112">
        <v>2</v>
      </c>
    </row>
    <row r="540" spans="1:4" x14ac:dyDescent="0.2">
      <c r="A540" s="109">
        <v>331</v>
      </c>
      <c r="B540" s="110">
        <v>1167</v>
      </c>
      <c r="C540" s="111" t="s">
        <v>303</v>
      </c>
      <c r="D540" s="112">
        <v>1</v>
      </c>
    </row>
    <row r="541" spans="1:4" x14ac:dyDescent="0.2">
      <c r="A541" s="109">
        <v>331</v>
      </c>
      <c r="B541" s="110">
        <v>1168</v>
      </c>
      <c r="C541" s="111" t="s">
        <v>303</v>
      </c>
      <c r="D541" s="112">
        <v>1</v>
      </c>
    </row>
    <row r="542" spans="1:4" x14ac:dyDescent="0.2">
      <c r="A542" s="109">
        <v>331</v>
      </c>
      <c r="B542" s="110">
        <v>1169</v>
      </c>
      <c r="C542" s="111" t="s">
        <v>303</v>
      </c>
      <c r="D542" s="112">
        <v>2</v>
      </c>
    </row>
    <row r="543" spans="1:4" x14ac:dyDescent="0.2">
      <c r="A543" s="109">
        <v>332</v>
      </c>
      <c r="B543" s="110">
        <v>1235</v>
      </c>
      <c r="C543" s="111" t="s">
        <v>303</v>
      </c>
      <c r="D543" s="112" t="s">
        <v>458</v>
      </c>
    </row>
    <row r="544" spans="1:4" x14ac:dyDescent="0.2">
      <c r="A544" s="109">
        <v>332</v>
      </c>
      <c r="B544" s="110">
        <v>1236</v>
      </c>
      <c r="C544" s="111" t="s">
        <v>303</v>
      </c>
      <c r="D544" s="112" t="s">
        <v>458</v>
      </c>
    </row>
    <row r="545" spans="1:4" x14ac:dyDescent="0.2">
      <c r="A545" s="109">
        <v>332</v>
      </c>
      <c r="B545" s="110">
        <v>1237</v>
      </c>
      <c r="C545" s="111" t="s">
        <v>303</v>
      </c>
      <c r="D545" s="112" t="s">
        <v>458</v>
      </c>
    </row>
    <row r="546" spans="1:4" x14ac:dyDescent="0.2">
      <c r="A546" s="109">
        <v>334</v>
      </c>
      <c r="B546" s="110">
        <v>1131</v>
      </c>
      <c r="C546" s="111" t="s">
        <v>304</v>
      </c>
      <c r="D546" s="112">
        <v>1</v>
      </c>
    </row>
    <row r="547" spans="1:4" x14ac:dyDescent="0.2">
      <c r="A547" s="109">
        <v>334</v>
      </c>
      <c r="B547" s="110">
        <v>1132</v>
      </c>
      <c r="C547" s="111" t="s">
        <v>304</v>
      </c>
      <c r="D547" s="112">
        <v>1</v>
      </c>
    </row>
    <row r="548" spans="1:4" x14ac:dyDescent="0.2">
      <c r="A548" s="109">
        <v>334</v>
      </c>
      <c r="B548" s="110">
        <v>1133</v>
      </c>
      <c r="C548" s="111" t="s">
        <v>304</v>
      </c>
      <c r="D548" s="112">
        <v>2</v>
      </c>
    </row>
    <row r="549" spans="1:4" x14ac:dyDescent="0.2">
      <c r="A549" s="109">
        <v>335</v>
      </c>
      <c r="B549" s="110">
        <v>18</v>
      </c>
      <c r="C549" s="111" t="s">
        <v>305</v>
      </c>
      <c r="D549" s="112">
        <v>1</v>
      </c>
    </row>
    <row r="550" spans="1:4" x14ac:dyDescent="0.2">
      <c r="A550" s="109">
        <v>336</v>
      </c>
      <c r="B550" s="110">
        <v>20</v>
      </c>
      <c r="C550" s="111" t="s">
        <v>306</v>
      </c>
      <c r="D550" s="112" t="s">
        <v>220</v>
      </c>
    </row>
    <row r="551" spans="1:4" x14ac:dyDescent="0.2">
      <c r="A551" s="109">
        <v>337</v>
      </c>
      <c r="B551" s="110">
        <v>82</v>
      </c>
      <c r="C551" s="111" t="s">
        <v>306</v>
      </c>
      <c r="D551" s="112" t="s">
        <v>220</v>
      </c>
    </row>
    <row r="552" spans="1:4" x14ac:dyDescent="0.2">
      <c r="A552" s="109">
        <v>338</v>
      </c>
      <c r="B552" s="110">
        <v>1365</v>
      </c>
      <c r="C552" s="111" t="s">
        <v>307</v>
      </c>
      <c r="D552" s="112">
        <v>2</v>
      </c>
    </row>
    <row r="553" spans="1:4" x14ac:dyDescent="0.2">
      <c r="A553" s="109">
        <v>338</v>
      </c>
      <c r="B553" s="110">
        <v>1366</v>
      </c>
      <c r="C553" s="111" t="s">
        <v>307</v>
      </c>
      <c r="D553" s="112">
        <v>1</v>
      </c>
    </row>
    <row r="554" spans="1:4" x14ac:dyDescent="0.2">
      <c r="A554" s="109">
        <v>339</v>
      </c>
      <c r="B554" s="110">
        <v>1025</v>
      </c>
      <c r="C554" s="111" t="s">
        <v>308</v>
      </c>
      <c r="D554" s="112" t="s">
        <v>220</v>
      </c>
    </row>
    <row r="555" spans="1:4" x14ac:dyDescent="0.2">
      <c r="A555" s="109">
        <v>340</v>
      </c>
      <c r="B555" s="110">
        <v>1030</v>
      </c>
      <c r="C555" s="111" t="s">
        <v>308</v>
      </c>
      <c r="D555" s="112" t="s">
        <v>220</v>
      </c>
    </row>
    <row r="556" spans="1:4" x14ac:dyDescent="0.2">
      <c r="A556" s="109">
        <v>341</v>
      </c>
      <c r="B556" s="110">
        <v>1032</v>
      </c>
      <c r="C556" s="111" t="s">
        <v>308</v>
      </c>
      <c r="D556" s="112" t="s">
        <v>220</v>
      </c>
    </row>
    <row r="557" spans="1:4" x14ac:dyDescent="0.2">
      <c r="A557" s="109">
        <v>342</v>
      </c>
      <c r="B557" s="110">
        <v>1123</v>
      </c>
      <c r="C557" s="111" t="s">
        <v>309</v>
      </c>
      <c r="D557" s="112">
        <v>2</v>
      </c>
    </row>
    <row r="558" spans="1:4" x14ac:dyDescent="0.2">
      <c r="A558" s="109">
        <v>343</v>
      </c>
      <c r="B558" s="110">
        <v>1134</v>
      </c>
      <c r="C558" s="111" t="s">
        <v>310</v>
      </c>
      <c r="D558" s="112">
        <v>2</v>
      </c>
    </row>
    <row r="559" spans="1:4" x14ac:dyDescent="0.2">
      <c r="A559" s="109">
        <v>344</v>
      </c>
      <c r="B559" s="110">
        <v>1135</v>
      </c>
      <c r="C559" s="111" t="s">
        <v>311</v>
      </c>
      <c r="D559" s="112">
        <v>1</v>
      </c>
    </row>
    <row r="560" spans="1:4" x14ac:dyDescent="0.2">
      <c r="A560" s="109">
        <v>344</v>
      </c>
      <c r="B560" s="110">
        <v>1136</v>
      </c>
      <c r="C560" s="111" t="s">
        <v>311</v>
      </c>
      <c r="D560" s="112" t="s">
        <v>220</v>
      </c>
    </row>
    <row r="561" spans="1:4" x14ac:dyDescent="0.2">
      <c r="A561" s="109">
        <v>344</v>
      </c>
      <c r="B561" s="110">
        <v>1137</v>
      </c>
      <c r="C561" s="111" t="s">
        <v>311</v>
      </c>
      <c r="D561" s="112">
        <v>2</v>
      </c>
    </row>
    <row r="562" spans="1:4" x14ac:dyDescent="0.2">
      <c r="A562" s="109">
        <v>345</v>
      </c>
      <c r="B562" s="110">
        <v>1138</v>
      </c>
      <c r="C562" s="111" t="s">
        <v>312</v>
      </c>
      <c r="D562" s="112">
        <v>2</v>
      </c>
    </row>
    <row r="563" spans="1:4" x14ac:dyDescent="0.2">
      <c r="A563" s="109">
        <v>346</v>
      </c>
      <c r="B563" s="110">
        <v>1130</v>
      </c>
      <c r="C563" s="111" t="s">
        <v>313</v>
      </c>
      <c r="D563" s="112" t="s">
        <v>460</v>
      </c>
    </row>
    <row r="564" spans="1:4" x14ac:dyDescent="0.2">
      <c r="A564" s="109">
        <v>347</v>
      </c>
      <c r="B564" s="110">
        <v>48</v>
      </c>
      <c r="C564" s="111" t="s">
        <v>314</v>
      </c>
      <c r="D564" s="112" t="s">
        <v>220</v>
      </c>
    </row>
    <row r="565" spans="1:4" x14ac:dyDescent="0.2">
      <c r="A565" s="109">
        <v>348</v>
      </c>
      <c r="B565" s="110">
        <v>49</v>
      </c>
      <c r="C565" s="111" t="s">
        <v>314</v>
      </c>
      <c r="D565" s="112" t="s">
        <v>220</v>
      </c>
    </row>
    <row r="566" spans="1:4" x14ac:dyDescent="0.2">
      <c r="A566" s="109">
        <v>349</v>
      </c>
      <c r="B566" s="110">
        <v>50</v>
      </c>
      <c r="C566" s="111" t="s">
        <v>258</v>
      </c>
      <c r="D566" s="112">
        <v>1</v>
      </c>
    </row>
    <row r="567" spans="1:4" x14ac:dyDescent="0.2">
      <c r="A567" s="109">
        <v>349</v>
      </c>
      <c r="B567" s="110">
        <v>222</v>
      </c>
      <c r="C567" s="111" t="s">
        <v>258</v>
      </c>
      <c r="D567" s="112">
        <v>2</v>
      </c>
    </row>
    <row r="568" spans="1:4" x14ac:dyDescent="0.2">
      <c r="A568" s="109">
        <v>350</v>
      </c>
      <c r="B568" s="110">
        <v>1047</v>
      </c>
      <c r="C568" s="111" t="s">
        <v>315</v>
      </c>
      <c r="D568" s="112" t="s">
        <v>220</v>
      </c>
    </row>
    <row r="569" spans="1:4" x14ac:dyDescent="0.2">
      <c r="A569" s="109">
        <v>351</v>
      </c>
      <c r="B569" s="110">
        <v>1082</v>
      </c>
      <c r="C569" s="111" t="s">
        <v>316</v>
      </c>
      <c r="D569" s="112">
        <v>1</v>
      </c>
    </row>
    <row r="570" spans="1:4" x14ac:dyDescent="0.2">
      <c r="A570" s="109">
        <v>352</v>
      </c>
      <c r="B570" s="110">
        <v>1097</v>
      </c>
      <c r="C570" s="111" t="s">
        <v>317</v>
      </c>
      <c r="D570" s="112">
        <v>1</v>
      </c>
    </row>
    <row r="571" spans="1:4" x14ac:dyDescent="0.2">
      <c r="A571" s="109">
        <v>353</v>
      </c>
      <c r="B571" s="110">
        <v>1103</v>
      </c>
      <c r="C571" s="111" t="s">
        <v>318</v>
      </c>
      <c r="D571" s="112">
        <v>1</v>
      </c>
    </row>
    <row r="572" spans="1:4" x14ac:dyDescent="0.2">
      <c r="A572" s="109">
        <v>354</v>
      </c>
      <c r="B572" s="110">
        <v>64</v>
      </c>
      <c r="C572" s="111" t="s">
        <v>234</v>
      </c>
      <c r="D572" s="112" t="s">
        <v>458</v>
      </c>
    </row>
    <row r="573" spans="1:4" x14ac:dyDescent="0.2">
      <c r="A573" s="109">
        <v>355</v>
      </c>
      <c r="B573" s="110">
        <v>1392</v>
      </c>
      <c r="C573" s="111" t="s">
        <v>319</v>
      </c>
      <c r="D573" s="112">
        <v>1</v>
      </c>
    </row>
    <row r="574" spans="1:4" x14ac:dyDescent="0.2">
      <c r="A574" s="109">
        <v>355</v>
      </c>
      <c r="B574" s="110">
        <v>1393</v>
      </c>
      <c r="C574" s="111" t="s">
        <v>319</v>
      </c>
      <c r="D574" s="112">
        <v>1</v>
      </c>
    </row>
    <row r="575" spans="1:4" x14ac:dyDescent="0.2">
      <c r="A575" s="109">
        <v>357</v>
      </c>
      <c r="B575" s="110">
        <v>1200</v>
      </c>
      <c r="C575" s="111" t="s">
        <v>320</v>
      </c>
      <c r="D575" s="112" t="s">
        <v>458</v>
      </c>
    </row>
    <row r="576" spans="1:4" x14ac:dyDescent="0.2">
      <c r="A576" s="109">
        <v>357</v>
      </c>
      <c r="B576" s="110">
        <v>1201</v>
      </c>
      <c r="C576" s="111" t="s">
        <v>320</v>
      </c>
      <c r="D576" s="112" t="s">
        <v>458</v>
      </c>
    </row>
    <row r="577" spans="1:4" x14ac:dyDescent="0.2">
      <c r="A577" s="109">
        <v>358</v>
      </c>
      <c r="B577" s="110">
        <v>1202</v>
      </c>
      <c r="C577" s="111" t="s">
        <v>320</v>
      </c>
      <c r="D577" s="112" t="s">
        <v>458</v>
      </c>
    </row>
    <row r="578" spans="1:4" x14ac:dyDescent="0.2">
      <c r="A578" s="109">
        <v>358</v>
      </c>
      <c r="B578" s="110">
        <v>1203</v>
      </c>
      <c r="C578" s="111" t="s">
        <v>320</v>
      </c>
      <c r="D578" s="112" t="s">
        <v>458</v>
      </c>
    </row>
    <row r="579" spans="1:4" x14ac:dyDescent="0.2">
      <c r="A579" s="109">
        <v>359</v>
      </c>
      <c r="B579" s="110">
        <v>1204</v>
      </c>
      <c r="C579" s="111" t="s">
        <v>320</v>
      </c>
      <c r="D579" s="112" t="s">
        <v>458</v>
      </c>
    </row>
    <row r="580" spans="1:4" x14ac:dyDescent="0.2">
      <c r="A580" s="109">
        <v>359</v>
      </c>
      <c r="B580" s="110">
        <v>1205</v>
      </c>
      <c r="C580" s="111" t="s">
        <v>320</v>
      </c>
      <c r="D580" s="112" t="s">
        <v>458</v>
      </c>
    </row>
    <row r="581" spans="1:4" x14ac:dyDescent="0.2">
      <c r="A581" s="109">
        <v>360</v>
      </c>
      <c r="B581" s="110">
        <v>1206</v>
      </c>
      <c r="C581" s="111" t="s">
        <v>320</v>
      </c>
      <c r="D581" s="112" t="s">
        <v>458</v>
      </c>
    </row>
    <row r="582" spans="1:4" x14ac:dyDescent="0.2">
      <c r="A582" s="109">
        <v>360</v>
      </c>
      <c r="B582" s="110">
        <v>1207</v>
      </c>
      <c r="C582" s="111" t="s">
        <v>320</v>
      </c>
      <c r="D582" s="112" t="s">
        <v>458</v>
      </c>
    </row>
    <row r="583" spans="1:4" x14ac:dyDescent="0.2">
      <c r="A583" s="109">
        <v>361</v>
      </c>
      <c r="B583" s="110">
        <v>1208</v>
      </c>
      <c r="C583" s="111" t="s">
        <v>320</v>
      </c>
      <c r="D583" s="112" t="s">
        <v>458</v>
      </c>
    </row>
    <row r="584" spans="1:4" x14ac:dyDescent="0.2">
      <c r="A584" s="109">
        <v>361</v>
      </c>
      <c r="B584" s="110">
        <v>1209</v>
      </c>
      <c r="C584" s="111" t="s">
        <v>320</v>
      </c>
      <c r="D584" s="112" t="s">
        <v>458</v>
      </c>
    </row>
    <row r="585" spans="1:4" x14ac:dyDescent="0.2">
      <c r="A585" s="109">
        <v>362</v>
      </c>
      <c r="B585" s="110">
        <v>1210</v>
      </c>
      <c r="C585" s="111" t="s">
        <v>320</v>
      </c>
      <c r="D585" s="112" t="s">
        <v>458</v>
      </c>
    </row>
    <row r="586" spans="1:4" x14ac:dyDescent="0.2">
      <c r="A586" s="109">
        <v>362</v>
      </c>
      <c r="B586" s="110">
        <v>1211</v>
      </c>
      <c r="C586" s="111" t="s">
        <v>320</v>
      </c>
      <c r="D586" s="112" t="s">
        <v>458</v>
      </c>
    </row>
    <row r="587" spans="1:4" x14ac:dyDescent="0.2">
      <c r="A587" s="109">
        <v>363</v>
      </c>
      <c r="B587" s="110">
        <v>1212</v>
      </c>
      <c r="C587" s="111" t="s">
        <v>320</v>
      </c>
      <c r="D587" s="112" t="s">
        <v>458</v>
      </c>
    </row>
    <row r="588" spans="1:4" x14ac:dyDescent="0.2">
      <c r="A588" s="109">
        <v>363</v>
      </c>
      <c r="B588" s="110">
        <v>1213</v>
      </c>
      <c r="C588" s="111" t="s">
        <v>320</v>
      </c>
      <c r="D588" s="112" t="s">
        <v>458</v>
      </c>
    </row>
    <row r="589" spans="1:4" x14ac:dyDescent="0.2">
      <c r="A589" s="109">
        <v>364</v>
      </c>
      <c r="B589" s="110">
        <v>1214</v>
      </c>
      <c r="C589" s="111" t="s">
        <v>320</v>
      </c>
      <c r="D589" s="112" t="s">
        <v>458</v>
      </c>
    </row>
    <row r="590" spans="1:4" x14ac:dyDescent="0.2">
      <c r="A590" s="109">
        <v>364</v>
      </c>
      <c r="B590" s="110">
        <v>1215</v>
      </c>
      <c r="C590" s="111" t="s">
        <v>320</v>
      </c>
      <c r="D590" s="112" t="s">
        <v>458</v>
      </c>
    </row>
    <row r="591" spans="1:4" x14ac:dyDescent="0.2">
      <c r="A591" s="109">
        <v>365</v>
      </c>
      <c r="B591" s="110">
        <v>1216</v>
      </c>
      <c r="C591" s="111" t="s">
        <v>320</v>
      </c>
      <c r="D591" s="112" t="s">
        <v>458</v>
      </c>
    </row>
    <row r="592" spans="1:4" x14ac:dyDescent="0.2">
      <c r="A592" s="109">
        <v>365</v>
      </c>
      <c r="B592" s="110">
        <v>1217</v>
      </c>
      <c r="C592" s="111" t="s">
        <v>320</v>
      </c>
      <c r="D592" s="112" t="s">
        <v>458</v>
      </c>
    </row>
    <row r="593" spans="1:4" x14ac:dyDescent="0.2">
      <c r="A593" s="109">
        <v>366</v>
      </c>
      <c r="B593" s="110">
        <v>1218</v>
      </c>
      <c r="C593" s="111" t="s">
        <v>320</v>
      </c>
      <c r="D593" s="112" t="s">
        <v>458</v>
      </c>
    </row>
    <row r="594" spans="1:4" x14ac:dyDescent="0.2">
      <c r="A594" s="109">
        <v>366</v>
      </c>
      <c r="B594" s="110">
        <v>1219</v>
      </c>
      <c r="C594" s="111" t="s">
        <v>320</v>
      </c>
      <c r="D594" s="112" t="s">
        <v>458</v>
      </c>
    </row>
    <row r="595" spans="1:4" x14ac:dyDescent="0.2">
      <c r="A595" s="109">
        <v>367</v>
      </c>
      <c r="B595" s="110">
        <v>1220</v>
      </c>
      <c r="C595" s="111" t="s">
        <v>320</v>
      </c>
      <c r="D595" s="112" t="s">
        <v>458</v>
      </c>
    </row>
    <row r="596" spans="1:4" x14ac:dyDescent="0.2">
      <c r="A596" s="109">
        <v>367</v>
      </c>
      <c r="B596" s="110">
        <v>1221</v>
      </c>
      <c r="C596" s="111" t="s">
        <v>320</v>
      </c>
      <c r="D596" s="112" t="s">
        <v>458</v>
      </c>
    </row>
    <row r="597" spans="1:4" x14ac:dyDescent="0.2">
      <c r="A597" s="109">
        <v>368</v>
      </c>
      <c r="B597" s="110">
        <v>1222</v>
      </c>
      <c r="C597" s="111" t="s">
        <v>320</v>
      </c>
      <c r="D597" s="112" t="s">
        <v>458</v>
      </c>
    </row>
    <row r="598" spans="1:4" x14ac:dyDescent="0.2">
      <c r="A598" s="109">
        <v>368</v>
      </c>
      <c r="B598" s="110">
        <v>1223</v>
      </c>
      <c r="C598" s="111" t="s">
        <v>320</v>
      </c>
      <c r="D598" s="112" t="s">
        <v>458</v>
      </c>
    </row>
    <row r="599" spans="1:4" x14ac:dyDescent="0.2">
      <c r="A599" s="109">
        <v>369</v>
      </c>
      <c r="B599" s="110">
        <v>1224</v>
      </c>
      <c r="C599" s="111" t="s">
        <v>320</v>
      </c>
      <c r="D599" s="112" t="s">
        <v>458</v>
      </c>
    </row>
    <row r="600" spans="1:4" x14ac:dyDescent="0.2">
      <c r="A600" s="109">
        <v>369</v>
      </c>
      <c r="B600" s="110">
        <v>1225</v>
      </c>
      <c r="C600" s="111" t="s">
        <v>320</v>
      </c>
      <c r="D600" s="112" t="s">
        <v>458</v>
      </c>
    </row>
    <row r="601" spans="1:4" x14ac:dyDescent="0.2">
      <c r="A601" s="109">
        <v>370</v>
      </c>
      <c r="B601" s="110">
        <v>1226</v>
      </c>
      <c r="C601" s="111" t="s">
        <v>320</v>
      </c>
      <c r="D601" s="112" t="s">
        <v>458</v>
      </c>
    </row>
    <row r="602" spans="1:4" x14ac:dyDescent="0.2">
      <c r="A602" s="109">
        <v>370</v>
      </c>
      <c r="B602" s="110">
        <v>1227</v>
      </c>
      <c r="C602" s="111" t="s">
        <v>320</v>
      </c>
      <c r="D602" s="112" t="s">
        <v>458</v>
      </c>
    </row>
    <row r="603" spans="1:4" x14ac:dyDescent="0.2">
      <c r="A603" s="109">
        <v>371</v>
      </c>
      <c r="B603" s="110">
        <v>1228</v>
      </c>
      <c r="C603" s="111" t="s">
        <v>320</v>
      </c>
      <c r="D603" s="112" t="s">
        <v>458</v>
      </c>
    </row>
    <row r="604" spans="1:4" x14ac:dyDescent="0.2">
      <c r="A604" s="109">
        <v>371</v>
      </c>
      <c r="B604" s="110">
        <v>1229</v>
      </c>
      <c r="C604" s="111" t="s">
        <v>320</v>
      </c>
      <c r="D604" s="112" t="s">
        <v>458</v>
      </c>
    </row>
    <row r="605" spans="1:4" x14ac:dyDescent="0.2">
      <c r="A605" s="109">
        <v>372</v>
      </c>
      <c r="B605" s="110">
        <v>1180</v>
      </c>
      <c r="C605" s="111" t="s">
        <v>300</v>
      </c>
      <c r="D605" s="112">
        <v>1</v>
      </c>
    </row>
    <row r="606" spans="1:4" x14ac:dyDescent="0.2">
      <c r="A606" s="109">
        <v>372</v>
      </c>
      <c r="B606" s="110">
        <v>1181</v>
      </c>
      <c r="C606" s="111" t="s">
        <v>300</v>
      </c>
      <c r="D606" s="112">
        <v>1</v>
      </c>
    </row>
    <row r="607" spans="1:4" x14ac:dyDescent="0.2">
      <c r="A607" s="109">
        <v>373</v>
      </c>
      <c r="B607" s="110">
        <v>31</v>
      </c>
      <c r="C607" s="111" t="s">
        <v>246</v>
      </c>
      <c r="D607" s="112">
        <v>1</v>
      </c>
    </row>
    <row r="608" spans="1:4" x14ac:dyDescent="0.2">
      <c r="A608" s="109">
        <v>373</v>
      </c>
      <c r="B608" s="110">
        <v>213</v>
      </c>
      <c r="C608" s="111" t="s">
        <v>246</v>
      </c>
      <c r="D608" s="112">
        <v>2</v>
      </c>
    </row>
    <row r="609" spans="1:4" x14ac:dyDescent="0.2">
      <c r="A609" s="109">
        <v>374</v>
      </c>
      <c r="B609" s="110">
        <v>30</v>
      </c>
      <c r="C609" s="111" t="s">
        <v>246</v>
      </c>
      <c r="D609" s="112">
        <v>1</v>
      </c>
    </row>
    <row r="610" spans="1:4" x14ac:dyDescent="0.2">
      <c r="A610" s="109">
        <v>374</v>
      </c>
      <c r="B610" s="110">
        <v>214</v>
      </c>
      <c r="C610" s="111" t="s">
        <v>246</v>
      </c>
      <c r="D610" s="112">
        <v>2</v>
      </c>
    </row>
    <row r="611" spans="1:4" x14ac:dyDescent="0.2">
      <c r="A611" s="109">
        <v>375</v>
      </c>
      <c r="B611" s="110">
        <v>32</v>
      </c>
      <c r="C611" s="111" t="s">
        <v>246</v>
      </c>
      <c r="D611" s="112">
        <v>1</v>
      </c>
    </row>
    <row r="612" spans="1:4" x14ac:dyDescent="0.2">
      <c r="A612" s="109">
        <v>375</v>
      </c>
      <c r="B612" s="110">
        <v>215</v>
      </c>
      <c r="C612" s="111" t="s">
        <v>246</v>
      </c>
      <c r="D612" s="112">
        <v>2</v>
      </c>
    </row>
    <row r="613" spans="1:4" x14ac:dyDescent="0.2">
      <c r="A613" s="109">
        <v>376</v>
      </c>
      <c r="B613" s="110">
        <v>34</v>
      </c>
      <c r="C613" s="111" t="s">
        <v>246</v>
      </c>
      <c r="D613" s="112">
        <v>1</v>
      </c>
    </row>
    <row r="614" spans="1:4" x14ac:dyDescent="0.2">
      <c r="A614" s="109">
        <v>376</v>
      </c>
      <c r="B614" s="110">
        <v>216</v>
      </c>
      <c r="C614" s="111" t="s">
        <v>246</v>
      </c>
      <c r="D614" s="112">
        <v>2</v>
      </c>
    </row>
    <row r="615" spans="1:4" x14ac:dyDescent="0.2">
      <c r="A615" s="109">
        <v>377</v>
      </c>
      <c r="B615" s="110">
        <v>35</v>
      </c>
      <c r="C615" s="111" t="s">
        <v>246</v>
      </c>
      <c r="D615" s="112">
        <v>1</v>
      </c>
    </row>
    <row r="616" spans="1:4" x14ac:dyDescent="0.2">
      <c r="A616" s="109">
        <v>377</v>
      </c>
      <c r="B616" s="110">
        <v>217</v>
      </c>
      <c r="C616" s="111" t="s">
        <v>246</v>
      </c>
      <c r="D616" s="112">
        <v>2</v>
      </c>
    </row>
    <row r="617" spans="1:4" x14ac:dyDescent="0.2">
      <c r="A617" s="109">
        <v>378</v>
      </c>
      <c r="B617" s="110">
        <v>36</v>
      </c>
      <c r="C617" s="111" t="s">
        <v>246</v>
      </c>
      <c r="D617" s="112">
        <v>1</v>
      </c>
    </row>
    <row r="618" spans="1:4" x14ac:dyDescent="0.2">
      <c r="A618" s="109">
        <v>378</v>
      </c>
      <c r="B618" s="110">
        <v>218</v>
      </c>
      <c r="C618" s="111" t="s">
        <v>246</v>
      </c>
      <c r="D618" s="112">
        <v>2</v>
      </c>
    </row>
    <row r="619" spans="1:4" x14ac:dyDescent="0.2">
      <c r="A619" s="109">
        <v>380</v>
      </c>
      <c r="B619" s="110">
        <v>37</v>
      </c>
      <c r="C619" s="111" t="s">
        <v>246</v>
      </c>
      <c r="D619" s="112">
        <v>1</v>
      </c>
    </row>
    <row r="620" spans="1:4" x14ac:dyDescent="0.2">
      <c r="A620" s="109">
        <v>380</v>
      </c>
      <c r="B620" s="110">
        <v>220</v>
      </c>
      <c r="C620" s="111" t="s">
        <v>246</v>
      </c>
      <c r="D620" s="112">
        <v>2</v>
      </c>
    </row>
    <row r="621" spans="1:4" x14ac:dyDescent="0.2">
      <c r="A621" s="109">
        <v>381</v>
      </c>
      <c r="B621" s="110">
        <v>1170</v>
      </c>
      <c r="C621" s="111" t="s">
        <v>246</v>
      </c>
      <c r="D621" s="112">
        <v>2</v>
      </c>
    </row>
    <row r="622" spans="1:4" x14ac:dyDescent="0.2">
      <c r="A622" s="109">
        <v>381</v>
      </c>
      <c r="B622" s="110">
        <v>1171</v>
      </c>
      <c r="C622" s="111" t="s">
        <v>246</v>
      </c>
      <c r="D622" s="112">
        <v>1</v>
      </c>
    </row>
    <row r="623" spans="1:4" x14ac:dyDescent="0.2">
      <c r="A623" s="109">
        <v>382</v>
      </c>
      <c r="B623" s="110">
        <v>1172</v>
      </c>
      <c r="C623" s="111" t="s">
        <v>246</v>
      </c>
      <c r="D623" s="112">
        <v>2</v>
      </c>
    </row>
    <row r="624" spans="1:4" x14ac:dyDescent="0.2">
      <c r="A624" s="109">
        <v>382</v>
      </c>
      <c r="B624" s="110">
        <v>1173</v>
      </c>
      <c r="C624" s="111" t="s">
        <v>246</v>
      </c>
      <c r="D624" s="112">
        <v>1</v>
      </c>
    </row>
    <row r="625" spans="1:4" x14ac:dyDescent="0.2">
      <c r="A625" s="109">
        <v>384</v>
      </c>
      <c r="B625" s="110">
        <v>1185</v>
      </c>
      <c r="C625" s="111" t="s">
        <v>258</v>
      </c>
      <c r="D625" s="112">
        <v>1</v>
      </c>
    </row>
    <row r="626" spans="1:4" x14ac:dyDescent="0.2">
      <c r="A626" s="109">
        <v>384</v>
      </c>
      <c r="B626" s="110">
        <v>1186</v>
      </c>
      <c r="C626" s="111" t="s">
        <v>258</v>
      </c>
      <c r="D626" s="112">
        <v>2</v>
      </c>
    </row>
    <row r="627" spans="1:4" x14ac:dyDescent="0.2">
      <c r="A627" s="109">
        <v>385</v>
      </c>
      <c r="B627" s="110">
        <v>1260</v>
      </c>
      <c r="C627" s="111" t="s">
        <v>246</v>
      </c>
      <c r="D627" s="112" t="s">
        <v>458</v>
      </c>
    </row>
    <row r="628" spans="1:4" x14ac:dyDescent="0.2">
      <c r="A628" s="109">
        <v>385</v>
      </c>
      <c r="B628" s="110">
        <v>1261</v>
      </c>
      <c r="C628" s="111" t="s">
        <v>246</v>
      </c>
      <c r="D628" s="112" t="s">
        <v>458</v>
      </c>
    </row>
    <row r="629" spans="1:4" x14ac:dyDescent="0.2">
      <c r="A629" s="109">
        <v>386</v>
      </c>
      <c r="B629" s="110">
        <v>1184</v>
      </c>
      <c r="C629" s="111" t="s">
        <v>227</v>
      </c>
      <c r="D629" s="112" t="s">
        <v>220</v>
      </c>
    </row>
    <row r="630" spans="1:4" x14ac:dyDescent="0.2">
      <c r="A630" s="109">
        <v>387</v>
      </c>
      <c r="B630" s="110">
        <v>1183</v>
      </c>
      <c r="C630" s="111" t="s">
        <v>251</v>
      </c>
      <c r="D630" s="112" t="s">
        <v>220</v>
      </c>
    </row>
    <row r="631" spans="1:4" x14ac:dyDescent="0.2">
      <c r="A631" s="109">
        <v>388</v>
      </c>
      <c r="B631" s="110">
        <v>1262</v>
      </c>
      <c r="C631" s="111" t="s">
        <v>246</v>
      </c>
      <c r="D631" s="112" t="s">
        <v>458</v>
      </c>
    </row>
    <row r="632" spans="1:4" x14ac:dyDescent="0.2">
      <c r="A632" s="109">
        <v>388</v>
      </c>
      <c r="B632" s="110">
        <v>1263</v>
      </c>
      <c r="C632" s="111" t="s">
        <v>246</v>
      </c>
      <c r="D632" s="112" t="s">
        <v>458</v>
      </c>
    </row>
    <row r="633" spans="1:4" x14ac:dyDescent="0.2">
      <c r="A633" s="109">
        <v>389</v>
      </c>
      <c r="B633" s="110">
        <v>1182</v>
      </c>
      <c r="C633" s="111" t="s">
        <v>237</v>
      </c>
      <c r="D633" s="112" t="s">
        <v>220</v>
      </c>
    </row>
    <row r="634" spans="1:4" x14ac:dyDescent="0.2">
      <c r="A634" s="109">
        <v>390</v>
      </c>
      <c r="B634" s="110">
        <v>1291</v>
      </c>
      <c r="C634" s="111" t="s">
        <v>246</v>
      </c>
      <c r="D634" s="112">
        <v>2</v>
      </c>
    </row>
    <row r="635" spans="1:4" x14ac:dyDescent="0.2">
      <c r="A635" s="109">
        <v>390</v>
      </c>
      <c r="B635" s="110">
        <v>1292</v>
      </c>
      <c r="C635" s="111" t="s">
        <v>246</v>
      </c>
      <c r="D635" s="112">
        <v>1</v>
      </c>
    </row>
    <row r="636" spans="1:4" x14ac:dyDescent="0.2">
      <c r="A636" s="109">
        <v>391</v>
      </c>
      <c r="B636" s="110">
        <v>29</v>
      </c>
      <c r="C636" s="111" t="s">
        <v>321</v>
      </c>
      <c r="D636" s="112" t="s">
        <v>220</v>
      </c>
    </row>
    <row r="637" spans="1:4" x14ac:dyDescent="0.2">
      <c r="A637" s="109">
        <v>392</v>
      </c>
      <c r="B637" s="110">
        <v>90</v>
      </c>
      <c r="C637" s="111" t="s">
        <v>322</v>
      </c>
      <c r="D637" s="112">
        <v>1</v>
      </c>
    </row>
    <row r="638" spans="1:4" x14ac:dyDescent="0.2">
      <c r="A638" s="109">
        <v>393</v>
      </c>
      <c r="B638" s="110">
        <v>1</v>
      </c>
      <c r="C638" s="111" t="s">
        <v>323</v>
      </c>
      <c r="D638" s="112">
        <v>1</v>
      </c>
    </row>
    <row r="639" spans="1:4" x14ac:dyDescent="0.2">
      <c r="A639" s="109">
        <v>394</v>
      </c>
      <c r="B639" s="110">
        <v>1176</v>
      </c>
      <c r="C639" s="111" t="s">
        <v>279</v>
      </c>
      <c r="D639" s="112">
        <v>1</v>
      </c>
    </row>
    <row r="640" spans="1:4" x14ac:dyDescent="0.2">
      <c r="A640" s="109">
        <v>394</v>
      </c>
      <c r="B640" s="110">
        <v>1177</v>
      </c>
      <c r="C640" s="111" t="s">
        <v>279</v>
      </c>
      <c r="D640" s="112">
        <v>2</v>
      </c>
    </row>
    <row r="641" spans="1:4" x14ac:dyDescent="0.2">
      <c r="A641" s="109">
        <v>395</v>
      </c>
      <c r="B641" s="110">
        <v>1044</v>
      </c>
      <c r="C641" s="111" t="s">
        <v>324</v>
      </c>
      <c r="D641" s="112">
        <v>2</v>
      </c>
    </row>
    <row r="642" spans="1:4" x14ac:dyDescent="0.2">
      <c r="A642" s="109">
        <v>395</v>
      </c>
      <c r="B642" s="110">
        <v>1045</v>
      </c>
      <c r="C642" s="111" t="s">
        <v>324</v>
      </c>
      <c r="D642" s="112">
        <v>1</v>
      </c>
    </row>
    <row r="643" spans="1:4" x14ac:dyDescent="0.2">
      <c r="A643" s="109">
        <v>395</v>
      </c>
      <c r="B643" s="110">
        <v>1046</v>
      </c>
      <c r="C643" s="111" t="s">
        <v>324</v>
      </c>
      <c r="D643" s="112">
        <v>1</v>
      </c>
    </row>
    <row r="644" spans="1:4" x14ac:dyDescent="0.2">
      <c r="A644" s="109">
        <v>396</v>
      </c>
      <c r="B644" s="110">
        <v>1323</v>
      </c>
      <c r="C644" s="111" t="s">
        <v>256</v>
      </c>
      <c r="D644" s="112">
        <v>1</v>
      </c>
    </row>
    <row r="645" spans="1:4" x14ac:dyDescent="0.2">
      <c r="A645" s="109">
        <v>397</v>
      </c>
      <c r="B645" s="110">
        <v>1346</v>
      </c>
      <c r="C645" s="111" t="s">
        <v>325</v>
      </c>
      <c r="D645" s="112">
        <v>1</v>
      </c>
    </row>
    <row r="646" spans="1:4" x14ac:dyDescent="0.2">
      <c r="A646" s="109">
        <v>398</v>
      </c>
      <c r="B646" s="110">
        <v>72</v>
      </c>
      <c r="C646" s="111" t="s">
        <v>326</v>
      </c>
      <c r="D646" s="112">
        <v>2</v>
      </c>
    </row>
    <row r="647" spans="1:4" x14ac:dyDescent="0.2">
      <c r="A647" s="109">
        <v>399</v>
      </c>
      <c r="B647" s="110">
        <v>27</v>
      </c>
      <c r="C647" s="111" t="s">
        <v>327</v>
      </c>
      <c r="D647" s="112" t="s">
        <v>466</v>
      </c>
    </row>
    <row r="648" spans="1:4" x14ac:dyDescent="0.2">
      <c r="A648" s="109">
        <v>400</v>
      </c>
      <c r="B648" s="110">
        <v>58</v>
      </c>
      <c r="C648" s="111" t="s">
        <v>278</v>
      </c>
      <c r="D648" s="112">
        <v>1</v>
      </c>
    </row>
    <row r="649" spans="1:4" x14ac:dyDescent="0.2">
      <c r="A649" s="109">
        <v>400</v>
      </c>
      <c r="B649" s="110">
        <v>190</v>
      </c>
      <c r="C649" s="111" t="s">
        <v>278</v>
      </c>
      <c r="D649" s="112" t="s">
        <v>463</v>
      </c>
    </row>
    <row r="650" spans="1:4" x14ac:dyDescent="0.2">
      <c r="A650" s="109">
        <v>401</v>
      </c>
      <c r="B650" s="110">
        <v>1157</v>
      </c>
      <c r="C650" s="111" t="s">
        <v>328</v>
      </c>
      <c r="D650" s="112" t="s">
        <v>220</v>
      </c>
    </row>
    <row r="651" spans="1:4" x14ac:dyDescent="0.2">
      <c r="A651" s="109">
        <v>403</v>
      </c>
      <c r="B651" s="110">
        <v>1178</v>
      </c>
      <c r="C651" s="111" t="s">
        <v>233</v>
      </c>
      <c r="D651" s="112">
        <v>1</v>
      </c>
    </row>
    <row r="652" spans="1:4" x14ac:dyDescent="0.2">
      <c r="A652" s="109">
        <v>403</v>
      </c>
      <c r="B652" s="110">
        <v>1179</v>
      </c>
      <c r="C652" s="111" t="s">
        <v>233</v>
      </c>
      <c r="D652" s="112">
        <v>2</v>
      </c>
    </row>
    <row r="653" spans="1:4" x14ac:dyDescent="0.2">
      <c r="A653" s="109">
        <v>404</v>
      </c>
      <c r="B653" s="110">
        <v>1161</v>
      </c>
      <c r="C653" s="111" t="s">
        <v>329</v>
      </c>
      <c r="D653" s="112">
        <v>2</v>
      </c>
    </row>
    <row r="654" spans="1:4" x14ac:dyDescent="0.2">
      <c r="A654" s="109">
        <v>404</v>
      </c>
      <c r="B654" s="110">
        <v>1162</v>
      </c>
      <c r="C654" s="111" t="s">
        <v>329</v>
      </c>
      <c r="D654" s="112">
        <v>1</v>
      </c>
    </row>
    <row r="655" spans="1:4" x14ac:dyDescent="0.2">
      <c r="A655" s="109">
        <v>405</v>
      </c>
      <c r="B655" s="110">
        <v>1163</v>
      </c>
      <c r="C655" s="111" t="s">
        <v>330</v>
      </c>
      <c r="D655" s="112" t="s">
        <v>220</v>
      </c>
    </row>
    <row r="656" spans="1:4" x14ac:dyDescent="0.2">
      <c r="A656" s="109">
        <v>406</v>
      </c>
      <c r="B656" s="110">
        <v>77</v>
      </c>
      <c r="C656" s="111" t="s">
        <v>331</v>
      </c>
      <c r="D656" s="112" t="s">
        <v>220</v>
      </c>
    </row>
    <row r="657" spans="1:4" x14ac:dyDescent="0.2">
      <c r="A657" s="109">
        <v>407</v>
      </c>
      <c r="B657" s="110">
        <v>81</v>
      </c>
      <c r="C657" s="111" t="s">
        <v>332</v>
      </c>
      <c r="D657" s="112" t="s">
        <v>220</v>
      </c>
    </row>
    <row r="658" spans="1:4" x14ac:dyDescent="0.2">
      <c r="A658" s="109">
        <v>408</v>
      </c>
      <c r="B658" s="110">
        <v>87</v>
      </c>
      <c r="C658" s="111" t="s">
        <v>333</v>
      </c>
      <c r="D658" s="112" t="s">
        <v>220</v>
      </c>
    </row>
    <row r="659" spans="1:4" x14ac:dyDescent="0.2">
      <c r="A659" s="109">
        <v>409</v>
      </c>
      <c r="B659" s="110">
        <v>89</v>
      </c>
      <c r="C659" s="111" t="s">
        <v>334</v>
      </c>
      <c r="D659" s="112" t="s">
        <v>220</v>
      </c>
    </row>
    <row r="660" spans="1:4" x14ac:dyDescent="0.2">
      <c r="A660" s="109">
        <v>410</v>
      </c>
      <c r="B660" s="110">
        <v>98</v>
      </c>
      <c r="C660" s="111" t="s">
        <v>335</v>
      </c>
      <c r="D660" s="112" t="s">
        <v>220</v>
      </c>
    </row>
    <row r="661" spans="1:4" x14ac:dyDescent="0.2">
      <c r="A661" s="109">
        <v>411</v>
      </c>
      <c r="B661" s="110">
        <v>106</v>
      </c>
      <c r="C661" s="111" t="s">
        <v>336</v>
      </c>
      <c r="D661" s="112" t="s">
        <v>220</v>
      </c>
    </row>
    <row r="662" spans="1:4" x14ac:dyDescent="0.2">
      <c r="A662" s="109">
        <v>412</v>
      </c>
      <c r="B662" s="110">
        <v>107</v>
      </c>
      <c r="C662" s="111" t="s">
        <v>337</v>
      </c>
      <c r="D662" s="112" t="s">
        <v>220</v>
      </c>
    </row>
    <row r="663" spans="1:4" x14ac:dyDescent="0.2">
      <c r="A663" s="109">
        <v>413</v>
      </c>
      <c r="B663" s="110">
        <v>108</v>
      </c>
      <c r="C663" s="111" t="s">
        <v>338</v>
      </c>
      <c r="D663" s="112" t="s">
        <v>220</v>
      </c>
    </row>
    <row r="664" spans="1:4" x14ac:dyDescent="0.2">
      <c r="A664" s="109">
        <v>414</v>
      </c>
      <c r="B664" s="110">
        <v>110</v>
      </c>
      <c r="C664" s="111" t="s">
        <v>339</v>
      </c>
      <c r="D664" s="112" t="s">
        <v>220</v>
      </c>
    </row>
    <row r="665" spans="1:4" x14ac:dyDescent="0.2">
      <c r="A665" s="109">
        <v>415</v>
      </c>
      <c r="B665" s="110">
        <v>165</v>
      </c>
      <c r="C665" s="111" t="s">
        <v>340</v>
      </c>
      <c r="D665" s="112" t="s">
        <v>220</v>
      </c>
    </row>
    <row r="666" spans="1:4" x14ac:dyDescent="0.2">
      <c r="A666" s="109">
        <v>416</v>
      </c>
      <c r="B666" s="110">
        <v>179</v>
      </c>
      <c r="C666" s="111" t="s">
        <v>341</v>
      </c>
      <c r="D666" s="112" t="s">
        <v>220</v>
      </c>
    </row>
    <row r="667" spans="1:4" x14ac:dyDescent="0.2">
      <c r="A667" s="109">
        <v>417</v>
      </c>
      <c r="B667" s="110">
        <v>209</v>
      </c>
      <c r="C667" s="111" t="s">
        <v>342</v>
      </c>
      <c r="D667" s="112" t="s">
        <v>220</v>
      </c>
    </row>
    <row r="668" spans="1:4" x14ac:dyDescent="0.2">
      <c r="A668" s="109">
        <v>418</v>
      </c>
      <c r="B668" s="110">
        <v>188</v>
      </c>
      <c r="C668" s="111" t="s">
        <v>343</v>
      </c>
      <c r="D668" s="112" t="s">
        <v>220</v>
      </c>
    </row>
    <row r="669" spans="1:4" x14ac:dyDescent="0.2">
      <c r="A669" s="109">
        <v>419</v>
      </c>
      <c r="B669" s="110">
        <v>176</v>
      </c>
      <c r="C669" s="111" t="s">
        <v>344</v>
      </c>
      <c r="D669" s="112" t="s">
        <v>220</v>
      </c>
    </row>
    <row r="670" spans="1:4" x14ac:dyDescent="0.2">
      <c r="A670" s="109">
        <v>420</v>
      </c>
      <c r="B670" s="110">
        <v>253</v>
      </c>
      <c r="C670" s="111" t="s">
        <v>345</v>
      </c>
      <c r="D670" s="112" t="s">
        <v>220</v>
      </c>
    </row>
    <row r="671" spans="1:4" x14ac:dyDescent="0.2">
      <c r="A671" s="109">
        <v>421</v>
      </c>
      <c r="B671" s="110">
        <v>222</v>
      </c>
      <c r="C671" s="111" t="s">
        <v>346</v>
      </c>
      <c r="D671" s="112" t="s">
        <v>220</v>
      </c>
    </row>
    <row r="672" spans="1:4" x14ac:dyDescent="0.2">
      <c r="A672" s="109">
        <v>422</v>
      </c>
      <c r="B672" s="110">
        <v>254</v>
      </c>
      <c r="C672" s="111" t="s">
        <v>347</v>
      </c>
      <c r="D672" s="112" t="s">
        <v>220</v>
      </c>
    </row>
    <row r="673" spans="1:4" x14ac:dyDescent="0.2">
      <c r="A673" s="109">
        <v>423</v>
      </c>
      <c r="B673" s="110">
        <v>255</v>
      </c>
      <c r="C673" s="111" t="s">
        <v>348</v>
      </c>
      <c r="D673" s="112" t="s">
        <v>220</v>
      </c>
    </row>
    <row r="674" spans="1:4" x14ac:dyDescent="0.2">
      <c r="A674" s="109">
        <v>424</v>
      </c>
      <c r="B674" s="110">
        <v>256</v>
      </c>
      <c r="C674" s="111" t="s">
        <v>349</v>
      </c>
      <c r="D674" s="112" t="s">
        <v>220</v>
      </c>
    </row>
    <row r="675" spans="1:4" x14ac:dyDescent="0.2">
      <c r="A675" s="109">
        <v>425</v>
      </c>
      <c r="B675" s="110">
        <v>1100</v>
      </c>
      <c r="C675" s="111" t="s">
        <v>350</v>
      </c>
      <c r="D675" s="112">
        <v>2</v>
      </c>
    </row>
    <row r="676" spans="1:4" x14ac:dyDescent="0.2">
      <c r="A676" s="109">
        <v>426</v>
      </c>
      <c r="B676" s="110">
        <v>1189</v>
      </c>
      <c r="C676" s="111" t="s">
        <v>258</v>
      </c>
      <c r="D676" s="112">
        <v>1</v>
      </c>
    </row>
    <row r="677" spans="1:4" x14ac:dyDescent="0.2">
      <c r="A677" s="109">
        <v>426</v>
      </c>
      <c r="B677" s="110">
        <v>1190</v>
      </c>
      <c r="C677" s="111" t="s">
        <v>258</v>
      </c>
      <c r="D677" s="112">
        <v>2</v>
      </c>
    </row>
    <row r="678" spans="1:4" x14ac:dyDescent="0.2">
      <c r="A678" s="109">
        <v>427</v>
      </c>
      <c r="B678" s="110">
        <v>1118</v>
      </c>
      <c r="C678" s="111" t="s">
        <v>351</v>
      </c>
      <c r="D678" s="112">
        <v>1</v>
      </c>
    </row>
    <row r="679" spans="1:4" x14ac:dyDescent="0.2">
      <c r="A679" s="109">
        <v>427</v>
      </c>
      <c r="B679" s="110">
        <v>1119</v>
      </c>
      <c r="C679" s="111" t="s">
        <v>351</v>
      </c>
      <c r="D679" s="112" t="s">
        <v>461</v>
      </c>
    </row>
    <row r="680" spans="1:4" x14ac:dyDescent="0.2">
      <c r="A680" s="109">
        <v>428</v>
      </c>
      <c r="B680" s="110">
        <v>258</v>
      </c>
      <c r="C680" s="111" t="s">
        <v>352</v>
      </c>
      <c r="D680" s="112" t="s">
        <v>353</v>
      </c>
    </row>
    <row r="681" spans="1:4" x14ac:dyDescent="0.2">
      <c r="A681" s="109">
        <v>428</v>
      </c>
      <c r="B681" s="110">
        <v>259</v>
      </c>
      <c r="C681" s="111" t="s">
        <v>352</v>
      </c>
      <c r="D681" s="112" t="s">
        <v>353</v>
      </c>
    </row>
    <row r="682" spans="1:4" x14ac:dyDescent="0.2">
      <c r="A682" s="109">
        <v>429</v>
      </c>
      <c r="B682" s="110">
        <v>260</v>
      </c>
      <c r="C682" s="111" t="s">
        <v>354</v>
      </c>
      <c r="D682" s="112" t="s">
        <v>353</v>
      </c>
    </row>
    <row r="683" spans="1:4" x14ac:dyDescent="0.2">
      <c r="A683" s="109">
        <v>429</v>
      </c>
      <c r="B683" s="110">
        <v>261</v>
      </c>
      <c r="C683" s="111" t="s">
        <v>354</v>
      </c>
      <c r="D683" s="112" t="s">
        <v>353</v>
      </c>
    </row>
    <row r="684" spans="1:4" x14ac:dyDescent="0.2">
      <c r="A684" s="109">
        <v>430</v>
      </c>
      <c r="B684" s="110">
        <v>264</v>
      </c>
      <c r="C684" s="111" t="s">
        <v>355</v>
      </c>
      <c r="D684" s="112" t="s">
        <v>353</v>
      </c>
    </row>
    <row r="685" spans="1:4" x14ac:dyDescent="0.2">
      <c r="A685" s="109">
        <v>430</v>
      </c>
      <c r="B685" s="110">
        <v>265</v>
      </c>
      <c r="C685" s="111" t="s">
        <v>355</v>
      </c>
      <c r="D685" s="112" t="s">
        <v>353</v>
      </c>
    </row>
    <row r="686" spans="1:4" x14ac:dyDescent="0.2">
      <c r="A686" s="109">
        <v>431</v>
      </c>
      <c r="B686" s="110">
        <v>262</v>
      </c>
      <c r="C686" s="111" t="s">
        <v>356</v>
      </c>
      <c r="D686" s="112" t="s">
        <v>353</v>
      </c>
    </row>
    <row r="687" spans="1:4" x14ac:dyDescent="0.2">
      <c r="A687" s="109">
        <v>431</v>
      </c>
      <c r="B687" s="110">
        <v>263</v>
      </c>
      <c r="C687" s="111" t="s">
        <v>356</v>
      </c>
      <c r="D687" s="112" t="s">
        <v>353</v>
      </c>
    </row>
    <row r="688" spans="1:4" x14ac:dyDescent="0.2">
      <c r="A688" s="109">
        <v>432</v>
      </c>
      <c r="B688" s="110">
        <v>1397</v>
      </c>
      <c r="C688" s="111" t="s">
        <v>258</v>
      </c>
      <c r="D688" s="112">
        <v>1</v>
      </c>
    </row>
    <row r="689" spans="1:4" x14ac:dyDescent="0.2">
      <c r="A689" s="109">
        <v>432</v>
      </c>
      <c r="B689" s="110">
        <v>1398</v>
      </c>
      <c r="C689" s="111" t="s">
        <v>258</v>
      </c>
      <c r="D689" s="112">
        <v>2</v>
      </c>
    </row>
    <row r="690" spans="1:4" x14ac:dyDescent="0.2">
      <c r="A690" s="109">
        <v>434</v>
      </c>
      <c r="B690" s="110">
        <v>269</v>
      </c>
      <c r="C690" s="111" t="s">
        <v>357</v>
      </c>
      <c r="D690" s="112" t="s">
        <v>458</v>
      </c>
    </row>
    <row r="691" spans="1:4" x14ac:dyDescent="0.2">
      <c r="A691" s="109">
        <v>435</v>
      </c>
      <c r="B691" s="110">
        <v>270</v>
      </c>
      <c r="C691" s="111" t="s">
        <v>358</v>
      </c>
      <c r="D691" s="112">
        <v>1</v>
      </c>
    </row>
    <row r="692" spans="1:4" x14ac:dyDescent="0.2">
      <c r="A692" s="109">
        <v>435</v>
      </c>
      <c r="B692" s="110">
        <v>271</v>
      </c>
      <c r="C692" s="111" t="s">
        <v>358</v>
      </c>
      <c r="D692" s="112">
        <v>1</v>
      </c>
    </row>
    <row r="693" spans="1:4" x14ac:dyDescent="0.2">
      <c r="A693" s="109">
        <v>435</v>
      </c>
      <c r="B693" s="110">
        <v>272</v>
      </c>
      <c r="C693" s="111" t="s">
        <v>358</v>
      </c>
      <c r="D693" s="112">
        <v>2</v>
      </c>
    </row>
    <row r="694" spans="1:4" x14ac:dyDescent="0.2">
      <c r="A694" s="109">
        <v>436</v>
      </c>
      <c r="B694" s="110">
        <v>273</v>
      </c>
      <c r="C694" s="111" t="s">
        <v>359</v>
      </c>
      <c r="D694" s="112">
        <v>1</v>
      </c>
    </row>
    <row r="695" spans="1:4" x14ac:dyDescent="0.2">
      <c r="A695" s="109">
        <v>436</v>
      </c>
      <c r="B695" s="110">
        <v>274</v>
      </c>
      <c r="C695" s="111" t="s">
        <v>359</v>
      </c>
      <c r="D695" s="112">
        <v>1</v>
      </c>
    </row>
    <row r="696" spans="1:4" x14ac:dyDescent="0.2">
      <c r="A696" s="109">
        <v>436</v>
      </c>
      <c r="B696" s="110">
        <v>275</v>
      </c>
      <c r="C696" s="111" t="s">
        <v>359</v>
      </c>
      <c r="D696" s="112">
        <v>2</v>
      </c>
    </row>
    <row r="697" spans="1:4" x14ac:dyDescent="0.2">
      <c r="A697" s="109">
        <v>437</v>
      </c>
      <c r="B697" s="110">
        <v>1403</v>
      </c>
      <c r="C697" s="111" t="s">
        <v>360</v>
      </c>
      <c r="D697" s="112">
        <v>2</v>
      </c>
    </row>
    <row r="698" spans="1:4" x14ac:dyDescent="0.2">
      <c r="A698" s="109">
        <v>437</v>
      </c>
      <c r="B698" s="110">
        <v>1404</v>
      </c>
      <c r="C698" s="111" t="s">
        <v>360</v>
      </c>
      <c r="D698" s="112">
        <v>1</v>
      </c>
    </row>
    <row r="699" spans="1:4" x14ac:dyDescent="0.2">
      <c r="A699" s="109">
        <v>437</v>
      </c>
      <c r="B699" s="110">
        <v>1405</v>
      </c>
      <c r="C699" s="111" t="s">
        <v>360</v>
      </c>
      <c r="D699" s="112">
        <v>1</v>
      </c>
    </row>
    <row r="700" spans="1:4" x14ac:dyDescent="0.2">
      <c r="A700" s="109">
        <v>439</v>
      </c>
      <c r="B700" s="110">
        <v>346</v>
      </c>
      <c r="C700" s="111" t="s">
        <v>361</v>
      </c>
      <c r="D700" s="112">
        <v>2</v>
      </c>
    </row>
    <row r="701" spans="1:4" x14ac:dyDescent="0.2">
      <c r="A701" s="109">
        <v>439</v>
      </c>
      <c r="B701" s="110">
        <v>349</v>
      </c>
      <c r="C701" s="111" t="s">
        <v>361</v>
      </c>
      <c r="D701" s="112">
        <v>1</v>
      </c>
    </row>
    <row r="702" spans="1:4" x14ac:dyDescent="0.2">
      <c r="A702" s="109">
        <v>440</v>
      </c>
      <c r="B702" s="110">
        <v>210</v>
      </c>
      <c r="C702" s="111" t="s">
        <v>362</v>
      </c>
      <c r="D702" s="112">
        <v>2</v>
      </c>
    </row>
    <row r="703" spans="1:4" x14ac:dyDescent="0.2">
      <c r="A703" s="109">
        <v>440</v>
      </c>
      <c r="B703" s="110">
        <v>347</v>
      </c>
      <c r="C703" s="111" t="s">
        <v>362</v>
      </c>
      <c r="D703" s="112" t="s">
        <v>458</v>
      </c>
    </row>
    <row r="704" spans="1:4" x14ac:dyDescent="0.2">
      <c r="A704" s="109">
        <v>440</v>
      </c>
      <c r="B704" s="110">
        <v>348</v>
      </c>
      <c r="C704" s="111" t="s">
        <v>362</v>
      </c>
      <c r="D704" s="112" t="s">
        <v>458</v>
      </c>
    </row>
    <row r="705" spans="1:4" x14ac:dyDescent="0.2">
      <c r="A705" s="109">
        <v>441</v>
      </c>
      <c r="B705" s="110">
        <v>206</v>
      </c>
      <c r="C705" s="111" t="s">
        <v>262</v>
      </c>
      <c r="D705" s="112">
        <v>2</v>
      </c>
    </row>
    <row r="706" spans="1:4" x14ac:dyDescent="0.2">
      <c r="A706" s="109">
        <v>441</v>
      </c>
      <c r="B706" s="110">
        <v>350</v>
      </c>
      <c r="C706" s="111" t="s">
        <v>262</v>
      </c>
      <c r="D706" s="112">
        <v>1</v>
      </c>
    </row>
    <row r="707" spans="1:4" x14ac:dyDescent="0.2">
      <c r="A707" s="109">
        <v>441</v>
      </c>
      <c r="B707" s="110">
        <v>351</v>
      </c>
      <c r="C707" s="111" t="s">
        <v>262</v>
      </c>
      <c r="D707" s="112">
        <v>1</v>
      </c>
    </row>
    <row r="708" spans="1:4" x14ac:dyDescent="0.2">
      <c r="A708" s="109">
        <v>441</v>
      </c>
      <c r="B708" s="110">
        <v>352</v>
      </c>
      <c r="C708" s="111" t="s">
        <v>262</v>
      </c>
      <c r="D708" s="112">
        <v>1</v>
      </c>
    </row>
    <row r="709" spans="1:4" x14ac:dyDescent="0.2">
      <c r="A709" s="109">
        <v>442</v>
      </c>
      <c r="B709" s="110">
        <v>356</v>
      </c>
      <c r="C709" s="111" t="s">
        <v>258</v>
      </c>
      <c r="D709" s="112" t="s">
        <v>458</v>
      </c>
    </row>
    <row r="710" spans="1:4" x14ac:dyDescent="0.2">
      <c r="A710" s="109">
        <v>442</v>
      </c>
      <c r="B710" s="110">
        <v>357</v>
      </c>
      <c r="C710" s="111" t="s">
        <v>258</v>
      </c>
      <c r="D710" s="112" t="s">
        <v>458</v>
      </c>
    </row>
    <row r="711" spans="1:4" x14ac:dyDescent="0.2">
      <c r="A711" s="109">
        <v>443</v>
      </c>
      <c r="B711" s="110">
        <v>358</v>
      </c>
      <c r="C711" s="111" t="s">
        <v>300</v>
      </c>
      <c r="D711" s="112">
        <v>1</v>
      </c>
    </row>
    <row r="712" spans="1:4" x14ac:dyDescent="0.2">
      <c r="A712" s="109">
        <v>443</v>
      </c>
      <c r="B712" s="110">
        <v>359</v>
      </c>
      <c r="C712" s="111" t="s">
        <v>300</v>
      </c>
      <c r="D712" s="112" t="s">
        <v>463</v>
      </c>
    </row>
    <row r="713" spans="1:4" x14ac:dyDescent="0.2">
      <c r="A713" s="109">
        <v>444</v>
      </c>
      <c r="B713" s="110">
        <v>208</v>
      </c>
      <c r="C713" s="111" t="s">
        <v>303</v>
      </c>
      <c r="D713" s="112">
        <v>2</v>
      </c>
    </row>
    <row r="714" spans="1:4" x14ac:dyDescent="0.2">
      <c r="A714" s="109">
        <v>444</v>
      </c>
      <c r="B714" s="110">
        <v>358</v>
      </c>
      <c r="C714" s="111" t="s">
        <v>303</v>
      </c>
      <c r="D714" s="112" t="s">
        <v>466</v>
      </c>
    </row>
    <row r="715" spans="1:4" x14ac:dyDescent="0.2">
      <c r="A715" s="109">
        <v>444</v>
      </c>
      <c r="B715" s="110">
        <v>360</v>
      </c>
      <c r="C715" s="111" t="s">
        <v>303</v>
      </c>
      <c r="D715" s="112" t="s">
        <v>466</v>
      </c>
    </row>
    <row r="716" spans="1:4" x14ac:dyDescent="0.2">
      <c r="A716" s="109">
        <v>445</v>
      </c>
      <c r="B716" s="110">
        <v>1406</v>
      </c>
      <c r="C716" s="111" t="s">
        <v>363</v>
      </c>
      <c r="D716" s="112">
        <v>1</v>
      </c>
    </row>
    <row r="717" spans="1:4" x14ac:dyDescent="0.2">
      <c r="A717" s="109">
        <v>445</v>
      </c>
      <c r="B717" s="110">
        <v>1407</v>
      </c>
      <c r="C717" s="111" t="s">
        <v>363</v>
      </c>
      <c r="D717" s="112">
        <v>2</v>
      </c>
    </row>
    <row r="718" spans="1:4" x14ac:dyDescent="0.2">
      <c r="A718" s="109">
        <v>446</v>
      </c>
      <c r="B718" s="110">
        <v>1408</v>
      </c>
      <c r="C718" s="111" t="s">
        <v>363</v>
      </c>
      <c r="D718" s="112">
        <v>1</v>
      </c>
    </row>
    <row r="719" spans="1:4" x14ac:dyDescent="0.2">
      <c r="A719" s="109">
        <v>446</v>
      </c>
      <c r="B719" s="110">
        <v>1409</v>
      </c>
      <c r="C719" s="111" t="s">
        <v>363</v>
      </c>
      <c r="D719" s="112">
        <v>2</v>
      </c>
    </row>
    <row r="720" spans="1:4" x14ac:dyDescent="0.2">
      <c r="A720" s="109">
        <v>447</v>
      </c>
      <c r="B720" s="110">
        <v>206</v>
      </c>
      <c r="C720" s="111" t="s">
        <v>274</v>
      </c>
      <c r="D720" s="112">
        <v>2</v>
      </c>
    </row>
    <row r="721" spans="1:4" x14ac:dyDescent="0.2">
      <c r="A721" s="109">
        <v>448</v>
      </c>
      <c r="B721" s="110">
        <v>1125</v>
      </c>
      <c r="C721" s="111" t="s">
        <v>274</v>
      </c>
      <c r="D721" s="112">
        <v>2</v>
      </c>
    </row>
    <row r="722" spans="1:4" x14ac:dyDescent="0.2">
      <c r="A722" s="109">
        <v>449</v>
      </c>
      <c r="B722" s="110">
        <v>1127</v>
      </c>
      <c r="C722" s="111" t="s">
        <v>274</v>
      </c>
      <c r="D722" s="112">
        <v>2</v>
      </c>
    </row>
    <row r="723" spans="1:4" x14ac:dyDescent="0.2">
      <c r="A723" s="109">
        <v>450</v>
      </c>
      <c r="B723" s="110">
        <v>1129</v>
      </c>
      <c r="C723" s="111" t="s">
        <v>274</v>
      </c>
      <c r="D723" s="112">
        <v>2</v>
      </c>
    </row>
    <row r="724" spans="1:4" x14ac:dyDescent="0.2">
      <c r="A724" s="109">
        <v>451</v>
      </c>
      <c r="B724" s="110">
        <v>1140</v>
      </c>
      <c r="C724" s="111" t="s">
        <v>274</v>
      </c>
      <c r="D724" s="112">
        <v>2</v>
      </c>
    </row>
    <row r="725" spans="1:4" x14ac:dyDescent="0.2">
      <c r="A725" s="109">
        <v>452</v>
      </c>
      <c r="B725" s="110">
        <v>1142</v>
      </c>
      <c r="C725" s="111" t="s">
        <v>274</v>
      </c>
      <c r="D725" s="112">
        <v>2</v>
      </c>
    </row>
    <row r="726" spans="1:4" x14ac:dyDescent="0.2">
      <c r="A726" s="109">
        <v>453</v>
      </c>
      <c r="B726" s="110">
        <v>1144</v>
      </c>
      <c r="C726" s="111" t="s">
        <v>274</v>
      </c>
      <c r="D726" s="112">
        <v>2</v>
      </c>
    </row>
    <row r="727" spans="1:4" x14ac:dyDescent="0.2">
      <c r="A727" s="109">
        <v>454</v>
      </c>
      <c r="B727" s="110">
        <v>1146</v>
      </c>
      <c r="C727" s="111" t="s">
        <v>274</v>
      </c>
      <c r="D727" s="112">
        <v>2</v>
      </c>
    </row>
    <row r="728" spans="1:4" x14ac:dyDescent="0.2">
      <c r="A728" s="109">
        <v>455</v>
      </c>
      <c r="B728" s="110">
        <v>1148</v>
      </c>
      <c r="C728" s="111" t="s">
        <v>274</v>
      </c>
      <c r="D728" s="112">
        <v>2</v>
      </c>
    </row>
    <row r="729" spans="1:4" x14ac:dyDescent="0.2">
      <c r="A729" s="109">
        <v>456</v>
      </c>
      <c r="B729" s="110">
        <v>1150</v>
      </c>
      <c r="C729" s="111" t="s">
        <v>274</v>
      </c>
      <c r="D729" s="112">
        <v>2</v>
      </c>
    </row>
    <row r="730" spans="1:4" x14ac:dyDescent="0.2">
      <c r="A730" s="109">
        <v>459</v>
      </c>
      <c r="B730" s="110">
        <v>1398</v>
      </c>
      <c r="C730" s="111" t="s">
        <v>274</v>
      </c>
      <c r="D730" s="112">
        <v>2</v>
      </c>
    </row>
    <row r="731" spans="1:4" x14ac:dyDescent="0.2">
      <c r="A731" s="109">
        <v>460</v>
      </c>
      <c r="B731" s="110">
        <v>361</v>
      </c>
      <c r="C731" s="111" t="s">
        <v>364</v>
      </c>
      <c r="D731" s="112" t="s">
        <v>220</v>
      </c>
    </row>
    <row r="732" spans="1:4" x14ac:dyDescent="0.2">
      <c r="A732" s="109">
        <v>461</v>
      </c>
      <c r="B732" s="110">
        <v>361</v>
      </c>
      <c r="C732" s="111" t="s">
        <v>364</v>
      </c>
      <c r="D732" s="112" t="s">
        <v>220</v>
      </c>
    </row>
    <row r="733" spans="1:4" x14ac:dyDescent="0.2">
      <c r="A733" s="109">
        <v>462</v>
      </c>
      <c r="B733" s="110">
        <v>362</v>
      </c>
      <c r="C733" s="111" t="s">
        <v>365</v>
      </c>
      <c r="D733" s="112" t="s">
        <v>220</v>
      </c>
    </row>
    <row r="734" spans="1:4" x14ac:dyDescent="0.2">
      <c r="A734" s="109">
        <v>463</v>
      </c>
      <c r="B734" s="110">
        <v>363</v>
      </c>
      <c r="C734" s="111" t="s">
        <v>366</v>
      </c>
      <c r="D734" s="112" t="s">
        <v>220</v>
      </c>
    </row>
    <row r="735" spans="1:4" x14ac:dyDescent="0.2">
      <c r="A735" s="109">
        <v>464</v>
      </c>
      <c r="B735" s="110">
        <v>364</v>
      </c>
      <c r="C735" s="111" t="s">
        <v>367</v>
      </c>
      <c r="D735" s="112">
        <v>1</v>
      </c>
    </row>
    <row r="736" spans="1:4" x14ac:dyDescent="0.2">
      <c r="A736" s="109">
        <v>464</v>
      </c>
      <c r="B736" s="110">
        <v>365</v>
      </c>
      <c r="C736" s="111" t="s">
        <v>367</v>
      </c>
      <c r="D736" s="112">
        <v>1</v>
      </c>
    </row>
    <row r="737" spans="1:4" x14ac:dyDescent="0.2">
      <c r="A737" s="109">
        <v>465</v>
      </c>
      <c r="B737" s="110">
        <v>1410</v>
      </c>
      <c r="C737" s="111" t="s">
        <v>368</v>
      </c>
      <c r="D737" s="112">
        <v>1</v>
      </c>
    </row>
    <row r="738" spans="1:4" x14ac:dyDescent="0.2">
      <c r="A738" s="109">
        <v>465</v>
      </c>
      <c r="B738" s="110">
        <v>1411</v>
      </c>
      <c r="C738" s="111" t="s">
        <v>368</v>
      </c>
      <c r="D738" s="112">
        <v>1</v>
      </c>
    </row>
    <row r="739" spans="1:4" x14ac:dyDescent="0.2">
      <c r="A739" s="109">
        <v>466</v>
      </c>
      <c r="B739" s="110">
        <v>366</v>
      </c>
      <c r="C739" s="111" t="s">
        <v>369</v>
      </c>
      <c r="D739" s="112" t="s">
        <v>458</v>
      </c>
    </row>
    <row r="740" spans="1:4" x14ac:dyDescent="0.2">
      <c r="A740" s="109">
        <v>467</v>
      </c>
      <c r="B740" s="110">
        <v>367</v>
      </c>
      <c r="C740" s="111" t="s">
        <v>369</v>
      </c>
      <c r="D740" s="112" t="s">
        <v>458</v>
      </c>
    </row>
    <row r="741" spans="1:4" x14ac:dyDescent="0.2">
      <c r="A741" s="109">
        <v>468</v>
      </c>
      <c r="B741" s="110">
        <v>368</v>
      </c>
      <c r="C741" s="111" t="s">
        <v>369</v>
      </c>
      <c r="D741" s="112" t="s">
        <v>458</v>
      </c>
    </row>
    <row r="742" spans="1:4" x14ac:dyDescent="0.2">
      <c r="A742" s="109">
        <v>469</v>
      </c>
      <c r="B742" s="110">
        <v>369</v>
      </c>
      <c r="C742" s="111" t="s">
        <v>369</v>
      </c>
      <c r="D742" s="112" t="s">
        <v>458</v>
      </c>
    </row>
    <row r="743" spans="1:4" x14ac:dyDescent="0.2">
      <c r="A743" s="109">
        <v>470</v>
      </c>
      <c r="B743" s="110">
        <v>370</v>
      </c>
      <c r="C743" s="111" t="s">
        <v>369</v>
      </c>
      <c r="D743" s="112" t="s">
        <v>458</v>
      </c>
    </row>
    <row r="744" spans="1:4" x14ac:dyDescent="0.2">
      <c r="A744" s="109">
        <v>473</v>
      </c>
      <c r="B744" s="110">
        <v>1412</v>
      </c>
      <c r="C744" s="111" t="s">
        <v>370</v>
      </c>
      <c r="D744" s="112">
        <v>1</v>
      </c>
    </row>
    <row r="745" spans="1:4" x14ac:dyDescent="0.2">
      <c r="A745" s="109">
        <v>473</v>
      </c>
      <c r="B745" s="110">
        <v>1413</v>
      </c>
      <c r="C745" s="111" t="s">
        <v>370</v>
      </c>
      <c r="D745" s="112">
        <v>2</v>
      </c>
    </row>
    <row r="746" spans="1:4" x14ac:dyDescent="0.2">
      <c r="A746" s="109">
        <v>474</v>
      </c>
      <c r="B746" s="110">
        <v>1414</v>
      </c>
      <c r="C746" s="111" t="s">
        <v>371</v>
      </c>
      <c r="D746" s="112" t="s">
        <v>220</v>
      </c>
    </row>
    <row r="747" spans="1:4" x14ac:dyDescent="0.2">
      <c r="A747" s="109">
        <v>475</v>
      </c>
      <c r="B747" s="110">
        <v>1415</v>
      </c>
      <c r="C747" s="111" t="s">
        <v>372</v>
      </c>
      <c r="D747" s="112">
        <v>1</v>
      </c>
    </row>
    <row r="748" spans="1:4" x14ac:dyDescent="0.2">
      <c r="A748" s="109">
        <v>475</v>
      </c>
      <c r="B748" s="110">
        <v>1416</v>
      </c>
      <c r="C748" s="111" t="s">
        <v>372</v>
      </c>
      <c r="D748" s="112">
        <v>2</v>
      </c>
    </row>
    <row r="749" spans="1:4" x14ac:dyDescent="0.2">
      <c r="A749" s="109">
        <v>476</v>
      </c>
      <c r="B749" s="110">
        <v>1417</v>
      </c>
      <c r="C749" s="111" t="s">
        <v>373</v>
      </c>
      <c r="D749" s="112" t="s">
        <v>220</v>
      </c>
    </row>
    <row r="750" spans="1:4" x14ac:dyDescent="0.2">
      <c r="A750" s="109">
        <v>477</v>
      </c>
      <c r="B750" s="110">
        <v>1418</v>
      </c>
      <c r="C750" s="111" t="s">
        <v>373</v>
      </c>
      <c r="D750" s="112" t="s">
        <v>220</v>
      </c>
    </row>
    <row r="751" spans="1:4" x14ac:dyDescent="0.2">
      <c r="A751" s="109">
        <v>478</v>
      </c>
      <c r="B751" s="110">
        <v>1419</v>
      </c>
      <c r="C751" s="111" t="s">
        <v>303</v>
      </c>
      <c r="D751" s="112">
        <v>1</v>
      </c>
    </row>
    <row r="752" spans="1:4" x14ac:dyDescent="0.2">
      <c r="A752" s="109">
        <v>478</v>
      </c>
      <c r="B752" s="110">
        <v>1420</v>
      </c>
      <c r="C752" s="111" t="s">
        <v>303</v>
      </c>
      <c r="D752" s="112">
        <v>1</v>
      </c>
    </row>
    <row r="753" spans="1:4" x14ac:dyDescent="0.2">
      <c r="A753" s="109">
        <v>478</v>
      </c>
      <c r="B753" s="110">
        <v>1421</v>
      </c>
      <c r="C753" s="111" t="s">
        <v>303</v>
      </c>
      <c r="D753" s="112">
        <v>2</v>
      </c>
    </row>
    <row r="754" spans="1:4" x14ac:dyDescent="0.2">
      <c r="A754" s="109">
        <v>479</v>
      </c>
      <c r="B754" s="110">
        <v>1424</v>
      </c>
      <c r="C754" s="111" t="s">
        <v>361</v>
      </c>
      <c r="D754" s="112">
        <v>2</v>
      </c>
    </row>
    <row r="755" spans="1:4" x14ac:dyDescent="0.2">
      <c r="A755" s="109">
        <v>479</v>
      </c>
      <c r="B755" s="110">
        <v>1425</v>
      </c>
      <c r="C755" s="111" t="s">
        <v>361</v>
      </c>
      <c r="D755" s="112">
        <v>1</v>
      </c>
    </row>
    <row r="756" spans="1:4" x14ac:dyDescent="0.2">
      <c r="A756" s="109">
        <v>480</v>
      </c>
      <c r="B756" s="110">
        <v>1426</v>
      </c>
      <c r="C756" s="111" t="s">
        <v>361</v>
      </c>
      <c r="D756" s="112">
        <v>2</v>
      </c>
    </row>
    <row r="757" spans="1:4" x14ac:dyDescent="0.2">
      <c r="A757" s="109">
        <v>480</v>
      </c>
      <c r="B757" s="110">
        <v>1427</v>
      </c>
      <c r="C757" s="111" t="s">
        <v>361</v>
      </c>
      <c r="D757" s="112">
        <v>1</v>
      </c>
    </row>
    <row r="758" spans="1:4" x14ac:dyDescent="0.2">
      <c r="A758" s="109">
        <v>481</v>
      </c>
      <c r="B758" s="110">
        <v>1428</v>
      </c>
      <c r="C758" s="111" t="s">
        <v>361</v>
      </c>
      <c r="D758" s="112">
        <v>2</v>
      </c>
    </row>
    <row r="759" spans="1:4" x14ac:dyDescent="0.2">
      <c r="A759" s="109">
        <v>481</v>
      </c>
      <c r="B759" s="110">
        <v>1429</v>
      </c>
      <c r="C759" s="111" t="s">
        <v>361</v>
      </c>
      <c r="D759" s="112">
        <v>1</v>
      </c>
    </row>
    <row r="760" spans="1:4" x14ac:dyDescent="0.2">
      <c r="A760" s="109">
        <v>482</v>
      </c>
      <c r="B760" s="110">
        <v>378</v>
      </c>
      <c r="C760" s="111" t="s">
        <v>374</v>
      </c>
      <c r="D760" s="112" t="s">
        <v>375</v>
      </c>
    </row>
    <row r="761" spans="1:4" x14ac:dyDescent="0.2">
      <c r="A761" s="109">
        <v>483</v>
      </c>
      <c r="B761" s="110">
        <v>379</v>
      </c>
      <c r="C761" s="111" t="s">
        <v>376</v>
      </c>
      <c r="D761" s="112" t="s">
        <v>375</v>
      </c>
    </row>
    <row r="762" spans="1:4" x14ac:dyDescent="0.2">
      <c r="A762" s="109">
        <v>484</v>
      </c>
      <c r="B762" s="110">
        <v>380</v>
      </c>
      <c r="C762" s="111" t="s">
        <v>377</v>
      </c>
      <c r="D762" s="112" t="s">
        <v>375</v>
      </c>
    </row>
    <row r="763" spans="1:4" x14ac:dyDescent="0.2">
      <c r="A763" s="109">
        <v>485</v>
      </c>
      <c r="B763" s="110">
        <v>381</v>
      </c>
      <c r="C763" s="111" t="s">
        <v>378</v>
      </c>
      <c r="D763" s="112" t="s">
        <v>375</v>
      </c>
    </row>
    <row r="764" spans="1:4" x14ac:dyDescent="0.2">
      <c r="A764" s="109">
        <v>486</v>
      </c>
      <c r="B764" s="110">
        <v>382</v>
      </c>
      <c r="C764" s="111" t="s">
        <v>379</v>
      </c>
      <c r="D764" s="112" t="s">
        <v>375</v>
      </c>
    </row>
    <row r="765" spans="1:4" x14ac:dyDescent="0.2">
      <c r="A765" s="109">
        <v>487</v>
      </c>
      <c r="B765" s="110">
        <v>383</v>
      </c>
      <c r="C765" s="111" t="s">
        <v>380</v>
      </c>
      <c r="D765" s="112" t="s">
        <v>375</v>
      </c>
    </row>
    <row r="766" spans="1:4" x14ac:dyDescent="0.2">
      <c r="A766" s="109">
        <v>488</v>
      </c>
      <c r="B766" s="110">
        <v>384</v>
      </c>
      <c r="C766" s="111" t="s">
        <v>381</v>
      </c>
      <c r="D766" s="112" t="s">
        <v>375</v>
      </c>
    </row>
    <row r="767" spans="1:4" x14ac:dyDescent="0.2">
      <c r="A767" s="109">
        <v>489</v>
      </c>
      <c r="B767" s="110">
        <v>385</v>
      </c>
      <c r="C767" s="111" t="s">
        <v>382</v>
      </c>
      <c r="D767" s="112" t="s">
        <v>375</v>
      </c>
    </row>
    <row r="768" spans="1:4" x14ac:dyDescent="0.2">
      <c r="A768" s="109">
        <v>490</v>
      </c>
      <c r="B768" s="110">
        <v>386</v>
      </c>
      <c r="C768" s="111" t="s">
        <v>383</v>
      </c>
      <c r="D768" s="112" t="s">
        <v>375</v>
      </c>
    </row>
    <row r="769" spans="1:4" x14ac:dyDescent="0.2">
      <c r="A769" s="109">
        <v>491</v>
      </c>
      <c r="B769" s="110">
        <v>387</v>
      </c>
      <c r="C769" s="111" t="s">
        <v>384</v>
      </c>
      <c r="D769" s="112" t="s">
        <v>375</v>
      </c>
    </row>
    <row r="770" spans="1:4" x14ac:dyDescent="0.2">
      <c r="A770" s="109">
        <v>492</v>
      </c>
      <c r="B770" s="110">
        <v>388</v>
      </c>
      <c r="C770" s="111" t="s">
        <v>385</v>
      </c>
      <c r="D770" s="112" t="s">
        <v>375</v>
      </c>
    </row>
    <row r="771" spans="1:4" x14ac:dyDescent="0.2">
      <c r="A771" s="109">
        <v>493</v>
      </c>
      <c r="B771" s="110">
        <v>389</v>
      </c>
      <c r="C771" s="111" t="s">
        <v>386</v>
      </c>
      <c r="D771" s="112" t="s">
        <v>375</v>
      </c>
    </row>
    <row r="772" spans="1:4" x14ac:dyDescent="0.2">
      <c r="A772" s="109">
        <v>494</v>
      </c>
      <c r="B772" s="110">
        <v>390</v>
      </c>
      <c r="C772" s="111" t="s">
        <v>387</v>
      </c>
      <c r="D772" s="112" t="s">
        <v>375</v>
      </c>
    </row>
    <row r="773" spans="1:4" x14ac:dyDescent="0.2">
      <c r="A773" s="109">
        <v>495</v>
      </c>
      <c r="B773" s="110">
        <v>391</v>
      </c>
      <c r="C773" s="111" t="s">
        <v>388</v>
      </c>
      <c r="D773" s="112" t="s">
        <v>375</v>
      </c>
    </row>
    <row r="774" spans="1:4" x14ac:dyDescent="0.2">
      <c r="A774" s="109">
        <v>496</v>
      </c>
      <c r="B774" s="110">
        <v>392</v>
      </c>
      <c r="C774" s="111" t="s">
        <v>389</v>
      </c>
      <c r="D774" s="112" t="s">
        <v>375</v>
      </c>
    </row>
    <row r="775" spans="1:4" x14ac:dyDescent="0.2">
      <c r="A775" s="109">
        <v>497</v>
      </c>
      <c r="B775" s="110">
        <v>393</v>
      </c>
      <c r="C775" s="111" t="s">
        <v>390</v>
      </c>
      <c r="D775" s="112" t="s">
        <v>375</v>
      </c>
    </row>
    <row r="776" spans="1:4" x14ac:dyDescent="0.2">
      <c r="A776" s="109">
        <v>498</v>
      </c>
      <c r="B776" s="110">
        <v>394</v>
      </c>
      <c r="C776" s="111" t="s">
        <v>391</v>
      </c>
      <c r="D776" s="112" t="s">
        <v>375</v>
      </c>
    </row>
    <row r="777" spans="1:4" x14ac:dyDescent="0.2">
      <c r="A777" s="109">
        <v>701</v>
      </c>
      <c r="B777" s="110">
        <v>343</v>
      </c>
      <c r="C777" s="111" t="s">
        <v>392</v>
      </c>
      <c r="D777" s="112" t="s">
        <v>220</v>
      </c>
    </row>
    <row r="778" spans="1:4" x14ac:dyDescent="0.2">
      <c r="A778" s="109">
        <v>702</v>
      </c>
      <c r="B778" s="110">
        <v>344</v>
      </c>
      <c r="C778" s="111" t="s">
        <v>392</v>
      </c>
      <c r="D778" s="112" t="s">
        <v>220</v>
      </c>
    </row>
    <row r="779" spans="1:4" x14ac:dyDescent="0.2">
      <c r="A779" s="109">
        <v>703</v>
      </c>
      <c r="B779" s="110">
        <v>317</v>
      </c>
      <c r="C779" s="111" t="s">
        <v>326</v>
      </c>
      <c r="D779" s="112" t="s">
        <v>220</v>
      </c>
    </row>
    <row r="780" spans="1:4" x14ac:dyDescent="0.2">
      <c r="A780" s="109">
        <v>704</v>
      </c>
      <c r="B780" s="110">
        <v>318</v>
      </c>
      <c r="C780" s="111" t="s">
        <v>326</v>
      </c>
      <c r="D780" s="112" t="s">
        <v>220</v>
      </c>
    </row>
    <row r="781" spans="1:4" x14ac:dyDescent="0.2">
      <c r="A781" s="109">
        <v>705</v>
      </c>
      <c r="B781" s="110">
        <v>319</v>
      </c>
      <c r="C781" s="111" t="s">
        <v>326</v>
      </c>
      <c r="D781" s="112" t="s">
        <v>220</v>
      </c>
    </row>
    <row r="782" spans="1:4" x14ac:dyDescent="0.2">
      <c r="A782" s="109">
        <v>706</v>
      </c>
      <c r="B782" s="110">
        <v>320</v>
      </c>
      <c r="C782" s="111" t="s">
        <v>326</v>
      </c>
      <c r="D782" s="112" t="s">
        <v>220</v>
      </c>
    </row>
    <row r="783" spans="1:4" x14ac:dyDescent="0.2">
      <c r="A783" s="109">
        <v>707</v>
      </c>
      <c r="B783" s="110">
        <v>321</v>
      </c>
      <c r="C783" s="111" t="s">
        <v>326</v>
      </c>
      <c r="D783" s="112" t="s">
        <v>220</v>
      </c>
    </row>
    <row r="784" spans="1:4" x14ac:dyDescent="0.2">
      <c r="A784" s="109">
        <v>708</v>
      </c>
      <c r="B784" s="110">
        <v>322</v>
      </c>
      <c r="C784" s="111" t="s">
        <v>326</v>
      </c>
      <c r="D784" s="112" t="s">
        <v>220</v>
      </c>
    </row>
    <row r="785" spans="1:4" x14ac:dyDescent="0.2">
      <c r="A785" s="109">
        <v>709</v>
      </c>
      <c r="B785" s="110">
        <v>323</v>
      </c>
      <c r="C785" s="111" t="s">
        <v>326</v>
      </c>
      <c r="D785" s="112" t="s">
        <v>220</v>
      </c>
    </row>
    <row r="786" spans="1:4" x14ac:dyDescent="0.2">
      <c r="A786" s="109">
        <v>710</v>
      </c>
      <c r="B786" s="110">
        <v>324</v>
      </c>
      <c r="C786" s="111" t="s">
        <v>326</v>
      </c>
      <c r="D786" s="112" t="s">
        <v>220</v>
      </c>
    </row>
    <row r="787" spans="1:4" x14ac:dyDescent="0.2">
      <c r="A787" s="109">
        <v>711</v>
      </c>
      <c r="B787" s="110">
        <v>325</v>
      </c>
      <c r="C787" s="111" t="s">
        <v>326</v>
      </c>
      <c r="D787" s="112" t="s">
        <v>220</v>
      </c>
    </row>
    <row r="788" spans="1:4" x14ac:dyDescent="0.2">
      <c r="A788" s="109">
        <v>712</v>
      </c>
      <c r="B788" s="110">
        <v>326</v>
      </c>
      <c r="C788" s="111" t="s">
        <v>393</v>
      </c>
      <c r="D788" s="112" t="s">
        <v>220</v>
      </c>
    </row>
    <row r="789" spans="1:4" x14ac:dyDescent="0.2">
      <c r="A789" s="109">
        <v>713</v>
      </c>
      <c r="B789" s="110">
        <v>328</v>
      </c>
      <c r="C789" s="111" t="s">
        <v>393</v>
      </c>
      <c r="D789" s="112" t="s">
        <v>220</v>
      </c>
    </row>
    <row r="790" spans="1:4" x14ac:dyDescent="0.2">
      <c r="A790" s="109">
        <v>714</v>
      </c>
      <c r="B790" s="110">
        <v>329</v>
      </c>
      <c r="C790" s="111" t="s">
        <v>393</v>
      </c>
      <c r="D790" s="112" t="s">
        <v>220</v>
      </c>
    </row>
    <row r="791" spans="1:4" x14ac:dyDescent="0.2">
      <c r="A791" s="109">
        <v>715</v>
      </c>
      <c r="B791" s="110">
        <v>330</v>
      </c>
      <c r="C791" s="111" t="s">
        <v>393</v>
      </c>
      <c r="D791" s="112" t="s">
        <v>220</v>
      </c>
    </row>
    <row r="792" spans="1:4" x14ac:dyDescent="0.2">
      <c r="A792" s="109">
        <v>716</v>
      </c>
      <c r="B792" s="110">
        <v>339</v>
      </c>
      <c r="C792" s="111" t="s">
        <v>394</v>
      </c>
      <c r="D792" s="112" t="s">
        <v>220</v>
      </c>
    </row>
    <row r="793" spans="1:4" x14ac:dyDescent="0.2">
      <c r="A793" s="109">
        <v>717</v>
      </c>
      <c r="B793" s="110">
        <v>340</v>
      </c>
      <c r="C793" s="111" t="s">
        <v>394</v>
      </c>
      <c r="D793" s="112" t="s">
        <v>220</v>
      </c>
    </row>
    <row r="794" spans="1:4" x14ac:dyDescent="0.2">
      <c r="A794" s="109">
        <v>718</v>
      </c>
      <c r="B794" s="110">
        <v>341</v>
      </c>
      <c r="C794" s="111" t="s">
        <v>395</v>
      </c>
      <c r="D794" s="112" t="s">
        <v>220</v>
      </c>
    </row>
    <row r="795" spans="1:4" x14ac:dyDescent="0.2">
      <c r="A795" s="109">
        <v>719</v>
      </c>
      <c r="B795" s="110">
        <v>342</v>
      </c>
      <c r="C795" s="111" t="s">
        <v>395</v>
      </c>
      <c r="D795" s="112" t="s">
        <v>220</v>
      </c>
    </row>
    <row r="796" spans="1:4" x14ac:dyDescent="0.2">
      <c r="A796" s="109">
        <v>720</v>
      </c>
      <c r="B796" s="110">
        <v>331</v>
      </c>
      <c r="C796" s="111" t="s">
        <v>259</v>
      </c>
      <c r="D796" s="112">
        <v>1</v>
      </c>
    </row>
    <row r="797" spans="1:4" x14ac:dyDescent="0.2">
      <c r="A797" s="109">
        <v>720</v>
      </c>
      <c r="B797" s="110">
        <v>332</v>
      </c>
      <c r="C797" s="111" t="s">
        <v>259</v>
      </c>
      <c r="D797" s="112">
        <v>1</v>
      </c>
    </row>
    <row r="798" spans="1:4" x14ac:dyDescent="0.2">
      <c r="A798" s="109">
        <v>720</v>
      </c>
      <c r="B798" s="110">
        <v>333</v>
      </c>
      <c r="C798" s="111" t="s">
        <v>259</v>
      </c>
      <c r="D798" s="112">
        <v>2</v>
      </c>
    </row>
    <row r="799" spans="1:4" x14ac:dyDescent="0.2">
      <c r="A799" s="109">
        <v>721</v>
      </c>
      <c r="B799" s="110">
        <v>327</v>
      </c>
      <c r="C799" s="111" t="s">
        <v>396</v>
      </c>
      <c r="D799" s="112">
        <v>2</v>
      </c>
    </row>
    <row r="800" spans="1:4" x14ac:dyDescent="0.2">
      <c r="A800" s="109">
        <v>721</v>
      </c>
      <c r="B800" s="110">
        <v>336</v>
      </c>
      <c r="C800" s="111" t="s">
        <v>396</v>
      </c>
      <c r="D800" s="112">
        <v>1</v>
      </c>
    </row>
    <row r="801" spans="1:4" x14ac:dyDescent="0.2">
      <c r="A801" s="109">
        <v>722</v>
      </c>
      <c r="B801" s="110">
        <v>13067</v>
      </c>
      <c r="C801" s="111" t="s">
        <v>396</v>
      </c>
      <c r="D801" s="112">
        <v>2</v>
      </c>
    </row>
    <row r="802" spans="1:4" x14ac:dyDescent="0.2">
      <c r="A802" s="109">
        <v>722</v>
      </c>
      <c r="B802" s="110">
        <v>13068</v>
      </c>
      <c r="C802" s="111" t="s">
        <v>396</v>
      </c>
      <c r="D802" s="112">
        <v>1</v>
      </c>
    </row>
    <row r="803" spans="1:4" x14ac:dyDescent="0.2">
      <c r="A803" s="109">
        <v>723</v>
      </c>
      <c r="B803" s="110">
        <v>13070</v>
      </c>
      <c r="C803" s="111" t="s">
        <v>396</v>
      </c>
      <c r="D803" s="112">
        <v>2</v>
      </c>
    </row>
    <row r="804" spans="1:4" x14ac:dyDescent="0.2">
      <c r="A804" s="109">
        <v>723</v>
      </c>
      <c r="B804" s="110">
        <v>13071</v>
      </c>
      <c r="C804" s="111" t="s">
        <v>396</v>
      </c>
      <c r="D804" s="112">
        <v>1</v>
      </c>
    </row>
    <row r="805" spans="1:4" x14ac:dyDescent="0.2">
      <c r="A805" s="109">
        <v>724</v>
      </c>
      <c r="B805" s="110">
        <v>13073</v>
      </c>
      <c r="C805" s="111" t="s">
        <v>396</v>
      </c>
      <c r="D805" s="112">
        <v>2</v>
      </c>
    </row>
    <row r="806" spans="1:4" x14ac:dyDescent="0.2">
      <c r="A806" s="109">
        <v>724</v>
      </c>
      <c r="B806" s="110">
        <v>13074</v>
      </c>
      <c r="C806" s="111" t="s">
        <v>396</v>
      </c>
      <c r="D806" s="112">
        <v>1</v>
      </c>
    </row>
    <row r="807" spans="1:4" x14ac:dyDescent="0.2">
      <c r="A807" s="109">
        <v>725</v>
      </c>
      <c r="B807" s="110">
        <v>13076</v>
      </c>
      <c r="C807" s="111" t="s">
        <v>396</v>
      </c>
      <c r="D807" s="112">
        <v>2</v>
      </c>
    </row>
    <row r="808" spans="1:4" x14ac:dyDescent="0.2">
      <c r="A808" s="109">
        <v>725</v>
      </c>
      <c r="B808" s="110">
        <v>13077</v>
      </c>
      <c r="C808" s="111" t="s">
        <v>396</v>
      </c>
      <c r="D808" s="112">
        <v>1</v>
      </c>
    </row>
    <row r="809" spans="1:4" x14ac:dyDescent="0.2">
      <c r="A809" s="109">
        <v>726</v>
      </c>
      <c r="B809" s="110">
        <v>13079</v>
      </c>
      <c r="C809" s="111" t="s">
        <v>396</v>
      </c>
      <c r="D809" s="112">
        <v>2</v>
      </c>
    </row>
    <row r="810" spans="1:4" x14ac:dyDescent="0.2">
      <c r="A810" s="109">
        <v>726</v>
      </c>
      <c r="B810" s="110">
        <v>13080</v>
      </c>
      <c r="C810" s="111" t="s">
        <v>396</v>
      </c>
      <c r="D810" s="112">
        <v>1</v>
      </c>
    </row>
    <row r="811" spans="1:4" x14ac:dyDescent="0.2">
      <c r="A811" s="109">
        <v>727</v>
      </c>
      <c r="B811" s="110">
        <v>13032</v>
      </c>
      <c r="C811" s="111" t="s">
        <v>396</v>
      </c>
      <c r="D811" s="112">
        <v>2</v>
      </c>
    </row>
    <row r="812" spans="1:4" x14ac:dyDescent="0.2">
      <c r="A812" s="109">
        <v>727</v>
      </c>
      <c r="B812" s="110">
        <v>13033</v>
      </c>
      <c r="C812" s="111" t="s">
        <v>396</v>
      </c>
      <c r="D812" s="112">
        <v>1</v>
      </c>
    </row>
    <row r="813" spans="1:4" x14ac:dyDescent="0.2">
      <c r="A813" s="109">
        <v>728</v>
      </c>
      <c r="B813" s="110">
        <v>13034</v>
      </c>
      <c r="C813" s="111" t="s">
        <v>397</v>
      </c>
      <c r="D813" s="112">
        <v>2</v>
      </c>
    </row>
    <row r="814" spans="1:4" x14ac:dyDescent="0.2">
      <c r="A814" s="109">
        <v>729</v>
      </c>
      <c r="B814" s="110">
        <v>13035</v>
      </c>
      <c r="C814" s="111" t="s">
        <v>396</v>
      </c>
      <c r="D814" s="112">
        <v>2</v>
      </c>
    </row>
    <row r="815" spans="1:4" x14ac:dyDescent="0.2">
      <c r="A815" s="109">
        <v>729</v>
      </c>
      <c r="B815" s="110">
        <v>13036</v>
      </c>
      <c r="C815" s="111" t="s">
        <v>396</v>
      </c>
      <c r="D815" s="112">
        <v>1</v>
      </c>
    </row>
    <row r="816" spans="1:4" x14ac:dyDescent="0.2">
      <c r="A816" s="109">
        <v>730</v>
      </c>
      <c r="B816" s="110">
        <v>13037</v>
      </c>
      <c r="C816" s="111" t="s">
        <v>397</v>
      </c>
      <c r="D816" s="112">
        <v>2</v>
      </c>
    </row>
    <row r="817" spans="1:4" x14ac:dyDescent="0.2">
      <c r="A817" s="109">
        <v>731</v>
      </c>
      <c r="B817" s="110">
        <v>13038</v>
      </c>
      <c r="C817" s="111" t="s">
        <v>396</v>
      </c>
      <c r="D817" s="112">
        <v>2</v>
      </c>
    </row>
    <row r="818" spans="1:4" x14ac:dyDescent="0.2">
      <c r="A818" s="109">
        <v>731</v>
      </c>
      <c r="B818" s="110">
        <v>13039</v>
      </c>
      <c r="C818" s="111" t="s">
        <v>396</v>
      </c>
      <c r="D818" s="112">
        <v>1</v>
      </c>
    </row>
    <row r="819" spans="1:4" x14ac:dyDescent="0.2">
      <c r="A819" s="109">
        <v>732</v>
      </c>
      <c r="B819" s="110">
        <v>13040</v>
      </c>
      <c r="C819" s="111" t="s">
        <v>397</v>
      </c>
      <c r="D819" s="112">
        <v>2</v>
      </c>
    </row>
    <row r="820" spans="1:4" x14ac:dyDescent="0.2">
      <c r="A820" s="109">
        <v>733</v>
      </c>
      <c r="B820" s="110">
        <v>13041</v>
      </c>
      <c r="C820" s="111" t="s">
        <v>396</v>
      </c>
      <c r="D820" s="112">
        <v>2</v>
      </c>
    </row>
    <row r="821" spans="1:4" x14ac:dyDescent="0.2">
      <c r="A821" s="109">
        <v>733</v>
      </c>
      <c r="B821" s="110">
        <v>13042</v>
      </c>
      <c r="C821" s="111" t="s">
        <v>396</v>
      </c>
      <c r="D821" s="112">
        <v>1</v>
      </c>
    </row>
    <row r="822" spans="1:4" x14ac:dyDescent="0.2">
      <c r="A822" s="109">
        <v>734</v>
      </c>
      <c r="B822" s="110">
        <v>13043</v>
      </c>
      <c r="C822" s="111" t="s">
        <v>397</v>
      </c>
      <c r="D822" s="112">
        <v>2</v>
      </c>
    </row>
    <row r="823" spans="1:4" x14ac:dyDescent="0.2">
      <c r="A823" s="109">
        <v>735</v>
      </c>
      <c r="B823" s="110">
        <v>13044</v>
      </c>
      <c r="C823" s="111" t="s">
        <v>396</v>
      </c>
      <c r="D823" s="112">
        <v>2</v>
      </c>
    </row>
    <row r="824" spans="1:4" x14ac:dyDescent="0.2">
      <c r="A824" s="109">
        <v>735</v>
      </c>
      <c r="B824" s="110">
        <v>13045</v>
      </c>
      <c r="C824" s="111" t="s">
        <v>396</v>
      </c>
      <c r="D824" s="112">
        <v>1</v>
      </c>
    </row>
    <row r="825" spans="1:4" x14ac:dyDescent="0.2">
      <c r="A825" s="109">
        <v>736</v>
      </c>
      <c r="B825" s="110">
        <v>13046</v>
      </c>
      <c r="C825" s="111" t="s">
        <v>397</v>
      </c>
      <c r="D825" s="112">
        <v>2</v>
      </c>
    </row>
    <row r="826" spans="1:4" x14ac:dyDescent="0.2">
      <c r="A826" s="109">
        <v>737</v>
      </c>
      <c r="B826" s="110">
        <v>13047</v>
      </c>
      <c r="C826" s="111" t="s">
        <v>396</v>
      </c>
      <c r="D826" s="112">
        <v>2</v>
      </c>
    </row>
    <row r="827" spans="1:4" x14ac:dyDescent="0.2">
      <c r="A827" s="109">
        <v>737</v>
      </c>
      <c r="B827" s="110">
        <v>13048</v>
      </c>
      <c r="C827" s="111" t="s">
        <v>396</v>
      </c>
      <c r="D827" s="112">
        <v>1</v>
      </c>
    </row>
    <row r="828" spans="1:4" x14ac:dyDescent="0.2">
      <c r="A828" s="109">
        <v>738</v>
      </c>
      <c r="B828" s="110">
        <v>13049</v>
      </c>
      <c r="C828" s="111" t="s">
        <v>397</v>
      </c>
      <c r="D828" s="112">
        <v>2</v>
      </c>
    </row>
    <row r="829" spans="1:4" x14ac:dyDescent="0.2">
      <c r="A829" s="109">
        <v>739</v>
      </c>
      <c r="B829" s="110">
        <v>13050</v>
      </c>
      <c r="C829" s="111" t="s">
        <v>396</v>
      </c>
      <c r="D829" s="112">
        <v>2</v>
      </c>
    </row>
    <row r="830" spans="1:4" x14ac:dyDescent="0.2">
      <c r="A830" s="109">
        <v>739</v>
      </c>
      <c r="B830" s="110">
        <v>13051</v>
      </c>
      <c r="C830" s="111" t="s">
        <v>396</v>
      </c>
      <c r="D830" s="112">
        <v>1</v>
      </c>
    </row>
    <row r="831" spans="1:4" x14ac:dyDescent="0.2">
      <c r="A831" s="109">
        <v>740</v>
      </c>
      <c r="B831" s="110">
        <v>13052</v>
      </c>
      <c r="C831" s="111" t="s">
        <v>397</v>
      </c>
      <c r="D831" s="112">
        <v>2</v>
      </c>
    </row>
    <row r="832" spans="1:4" x14ac:dyDescent="0.2">
      <c r="A832" s="109">
        <v>741</v>
      </c>
      <c r="B832" s="110">
        <v>13053</v>
      </c>
      <c r="C832" s="111" t="s">
        <v>396</v>
      </c>
      <c r="D832" s="112">
        <v>2</v>
      </c>
    </row>
    <row r="833" spans="1:4" x14ac:dyDescent="0.2">
      <c r="A833" s="109">
        <v>741</v>
      </c>
      <c r="B833" s="110">
        <v>13054</v>
      </c>
      <c r="C833" s="111" t="s">
        <v>396</v>
      </c>
      <c r="D833" s="112">
        <v>1</v>
      </c>
    </row>
    <row r="834" spans="1:4" x14ac:dyDescent="0.2">
      <c r="A834" s="109">
        <v>742</v>
      </c>
      <c r="B834" s="110">
        <v>13055</v>
      </c>
      <c r="C834" s="111" t="s">
        <v>397</v>
      </c>
      <c r="D834" s="112">
        <v>2</v>
      </c>
    </row>
    <row r="835" spans="1:4" x14ac:dyDescent="0.2">
      <c r="A835" s="109">
        <v>743</v>
      </c>
      <c r="B835" s="110">
        <v>13056</v>
      </c>
      <c r="C835" s="111" t="s">
        <v>396</v>
      </c>
      <c r="D835" s="112">
        <v>2</v>
      </c>
    </row>
    <row r="836" spans="1:4" x14ac:dyDescent="0.2">
      <c r="A836" s="109">
        <v>743</v>
      </c>
      <c r="B836" s="110">
        <v>13057</v>
      </c>
      <c r="C836" s="111" t="s">
        <v>396</v>
      </c>
      <c r="D836" s="112">
        <v>1</v>
      </c>
    </row>
    <row r="837" spans="1:4" x14ac:dyDescent="0.2">
      <c r="A837" s="109">
        <v>744</v>
      </c>
      <c r="B837" s="110">
        <v>13058</v>
      </c>
      <c r="C837" s="111" t="s">
        <v>397</v>
      </c>
      <c r="D837" s="112">
        <v>2</v>
      </c>
    </row>
    <row r="838" spans="1:4" x14ac:dyDescent="0.2">
      <c r="A838" s="109">
        <v>745</v>
      </c>
      <c r="B838" s="110">
        <v>13059</v>
      </c>
      <c r="C838" s="111" t="s">
        <v>396</v>
      </c>
      <c r="D838" s="112">
        <v>2</v>
      </c>
    </row>
    <row r="839" spans="1:4" x14ac:dyDescent="0.2">
      <c r="A839" s="109">
        <v>745</v>
      </c>
      <c r="B839" s="110">
        <v>13060</v>
      </c>
      <c r="C839" s="111" t="s">
        <v>396</v>
      </c>
      <c r="D839" s="112">
        <v>1</v>
      </c>
    </row>
    <row r="840" spans="1:4" x14ac:dyDescent="0.2">
      <c r="A840" s="109">
        <v>746</v>
      </c>
      <c r="B840" s="110">
        <v>13061</v>
      </c>
      <c r="C840" s="111" t="s">
        <v>397</v>
      </c>
      <c r="D840" s="112">
        <v>2</v>
      </c>
    </row>
    <row r="841" spans="1:4" x14ac:dyDescent="0.2">
      <c r="A841" s="109">
        <v>747</v>
      </c>
      <c r="B841" s="110">
        <v>13062</v>
      </c>
      <c r="C841" s="111" t="s">
        <v>396</v>
      </c>
      <c r="D841" s="112">
        <v>2</v>
      </c>
    </row>
    <row r="842" spans="1:4" x14ac:dyDescent="0.2">
      <c r="A842" s="109">
        <v>747</v>
      </c>
      <c r="B842" s="110">
        <v>13063</v>
      </c>
      <c r="C842" s="111" t="s">
        <v>396</v>
      </c>
      <c r="D842" s="112">
        <v>1</v>
      </c>
    </row>
    <row r="843" spans="1:4" x14ac:dyDescent="0.2">
      <c r="A843" s="109">
        <v>748</v>
      </c>
      <c r="B843" s="110">
        <v>13064</v>
      </c>
      <c r="C843" s="111" t="s">
        <v>396</v>
      </c>
      <c r="D843" s="112">
        <v>2</v>
      </c>
    </row>
    <row r="844" spans="1:4" x14ac:dyDescent="0.2">
      <c r="A844" s="109">
        <v>748</v>
      </c>
      <c r="B844" s="110">
        <v>13065</v>
      </c>
      <c r="C844" s="111" t="s">
        <v>396</v>
      </c>
      <c r="D844" s="112">
        <v>1</v>
      </c>
    </row>
    <row r="845" spans="1:4" x14ac:dyDescent="0.2">
      <c r="A845" s="109">
        <v>749</v>
      </c>
      <c r="B845" s="110">
        <v>13066</v>
      </c>
      <c r="C845" s="111" t="s">
        <v>397</v>
      </c>
      <c r="D845" s="112">
        <v>2</v>
      </c>
    </row>
    <row r="846" spans="1:4" x14ac:dyDescent="0.2">
      <c r="A846" s="109">
        <v>752</v>
      </c>
      <c r="B846" s="110">
        <v>13011</v>
      </c>
      <c r="C846" s="111" t="s">
        <v>396</v>
      </c>
      <c r="D846" s="112">
        <v>2</v>
      </c>
    </row>
    <row r="847" spans="1:4" x14ac:dyDescent="0.2">
      <c r="A847" s="109">
        <v>752</v>
      </c>
      <c r="B847" s="110">
        <v>13012</v>
      </c>
      <c r="C847" s="111" t="s">
        <v>396</v>
      </c>
      <c r="D847" s="112">
        <v>1</v>
      </c>
    </row>
    <row r="848" spans="1:4" x14ac:dyDescent="0.2">
      <c r="A848" s="109">
        <v>753</v>
      </c>
      <c r="B848" s="110">
        <v>13013</v>
      </c>
      <c r="C848" s="111" t="s">
        <v>398</v>
      </c>
      <c r="D848" s="112">
        <v>2</v>
      </c>
    </row>
    <row r="849" spans="1:4" x14ac:dyDescent="0.2">
      <c r="A849" s="109">
        <v>754</v>
      </c>
      <c r="B849" s="110">
        <v>13014</v>
      </c>
      <c r="C849" s="111" t="s">
        <v>396</v>
      </c>
      <c r="D849" s="112">
        <v>2</v>
      </c>
    </row>
    <row r="850" spans="1:4" x14ac:dyDescent="0.2">
      <c r="A850" s="109">
        <v>754</v>
      </c>
      <c r="B850" s="110">
        <v>13015</v>
      </c>
      <c r="C850" s="111" t="s">
        <v>396</v>
      </c>
      <c r="D850" s="112">
        <v>1</v>
      </c>
    </row>
    <row r="851" spans="1:4" x14ac:dyDescent="0.2">
      <c r="A851" s="109">
        <v>755</v>
      </c>
      <c r="B851" s="110">
        <v>13016</v>
      </c>
      <c r="C851" s="111" t="s">
        <v>398</v>
      </c>
      <c r="D851" s="112">
        <v>2</v>
      </c>
    </row>
    <row r="852" spans="1:4" x14ac:dyDescent="0.2">
      <c r="A852" s="109">
        <v>756</v>
      </c>
      <c r="B852" s="110">
        <v>13017</v>
      </c>
      <c r="C852" s="111" t="s">
        <v>396</v>
      </c>
      <c r="D852" s="112">
        <v>2</v>
      </c>
    </row>
    <row r="853" spans="1:4" x14ac:dyDescent="0.2">
      <c r="A853" s="109">
        <v>756</v>
      </c>
      <c r="B853" s="110">
        <v>13018</v>
      </c>
      <c r="C853" s="111" t="s">
        <v>396</v>
      </c>
      <c r="D853" s="112">
        <v>1</v>
      </c>
    </row>
    <row r="854" spans="1:4" x14ac:dyDescent="0.2">
      <c r="A854" s="109">
        <v>757</v>
      </c>
      <c r="B854" s="110">
        <v>13019</v>
      </c>
      <c r="C854" s="111" t="s">
        <v>398</v>
      </c>
      <c r="D854" s="112">
        <v>2</v>
      </c>
    </row>
    <row r="855" spans="1:4" x14ac:dyDescent="0.2">
      <c r="A855" s="109">
        <v>758</v>
      </c>
      <c r="B855" s="110">
        <v>13020</v>
      </c>
      <c r="C855" s="111" t="s">
        <v>396</v>
      </c>
      <c r="D855" s="112">
        <v>2</v>
      </c>
    </row>
    <row r="856" spans="1:4" x14ac:dyDescent="0.2">
      <c r="A856" s="109">
        <v>758</v>
      </c>
      <c r="B856" s="110">
        <v>13021</v>
      </c>
      <c r="C856" s="111" t="s">
        <v>396</v>
      </c>
      <c r="D856" s="112">
        <v>1</v>
      </c>
    </row>
    <row r="857" spans="1:4" x14ac:dyDescent="0.2">
      <c r="A857" s="109">
        <v>759</v>
      </c>
      <c r="B857" s="110">
        <v>13022</v>
      </c>
      <c r="C857" s="111" t="s">
        <v>398</v>
      </c>
      <c r="D857" s="112">
        <v>2</v>
      </c>
    </row>
    <row r="858" spans="1:4" x14ac:dyDescent="0.2">
      <c r="A858" s="109">
        <v>760</v>
      </c>
      <c r="B858" s="110">
        <v>13023</v>
      </c>
      <c r="C858" s="111" t="s">
        <v>396</v>
      </c>
      <c r="D858" s="112">
        <v>2</v>
      </c>
    </row>
    <row r="859" spans="1:4" x14ac:dyDescent="0.2">
      <c r="A859" s="109">
        <v>760</v>
      </c>
      <c r="B859" s="110">
        <v>13024</v>
      </c>
      <c r="C859" s="111" t="s">
        <v>396</v>
      </c>
      <c r="D859" s="112">
        <v>1</v>
      </c>
    </row>
    <row r="860" spans="1:4" x14ac:dyDescent="0.2">
      <c r="A860" s="109">
        <v>761</v>
      </c>
      <c r="B860" s="110">
        <v>13025</v>
      </c>
      <c r="C860" s="111" t="s">
        <v>398</v>
      </c>
      <c r="D860" s="112">
        <v>2</v>
      </c>
    </row>
    <row r="861" spans="1:4" x14ac:dyDescent="0.2">
      <c r="A861" s="109">
        <v>762</v>
      </c>
      <c r="B861" s="110">
        <v>13026</v>
      </c>
      <c r="C861" s="111" t="s">
        <v>396</v>
      </c>
      <c r="D861" s="112">
        <v>2</v>
      </c>
    </row>
    <row r="862" spans="1:4" x14ac:dyDescent="0.2">
      <c r="A862" s="109">
        <v>762</v>
      </c>
      <c r="B862" s="110">
        <v>13027</v>
      </c>
      <c r="C862" s="111" t="s">
        <v>396</v>
      </c>
      <c r="D862" s="112">
        <v>1</v>
      </c>
    </row>
    <row r="863" spans="1:4" x14ac:dyDescent="0.2">
      <c r="A863" s="109">
        <v>763</v>
      </c>
      <c r="B863" s="110">
        <v>13028</v>
      </c>
      <c r="C863" s="111" t="s">
        <v>398</v>
      </c>
      <c r="D863" s="112">
        <v>2</v>
      </c>
    </row>
    <row r="864" spans="1:4" x14ac:dyDescent="0.2">
      <c r="A864" s="109">
        <v>764</v>
      </c>
      <c r="B864" s="110">
        <v>13002</v>
      </c>
      <c r="C864" s="111" t="s">
        <v>396</v>
      </c>
      <c r="D864" s="112">
        <v>2</v>
      </c>
    </row>
    <row r="865" spans="1:4" x14ac:dyDescent="0.2">
      <c r="A865" s="109">
        <v>764</v>
      </c>
      <c r="B865" s="110">
        <v>13003</v>
      </c>
      <c r="C865" s="111" t="s">
        <v>396</v>
      </c>
      <c r="D865" s="112">
        <v>1</v>
      </c>
    </row>
    <row r="866" spans="1:4" x14ac:dyDescent="0.2">
      <c r="A866" s="109">
        <v>765</v>
      </c>
      <c r="B866" s="110">
        <v>13004</v>
      </c>
      <c r="C866" s="111" t="s">
        <v>398</v>
      </c>
      <c r="D866" s="112">
        <v>2</v>
      </c>
    </row>
    <row r="867" spans="1:4" x14ac:dyDescent="0.2">
      <c r="A867" s="109">
        <v>766</v>
      </c>
      <c r="B867" s="110">
        <v>13005</v>
      </c>
      <c r="C867" s="111" t="s">
        <v>396</v>
      </c>
      <c r="D867" s="112">
        <v>2</v>
      </c>
    </row>
    <row r="868" spans="1:4" x14ac:dyDescent="0.2">
      <c r="A868" s="109">
        <v>766</v>
      </c>
      <c r="B868" s="110">
        <v>13006</v>
      </c>
      <c r="C868" s="111" t="s">
        <v>396</v>
      </c>
      <c r="D868" s="112">
        <v>1</v>
      </c>
    </row>
    <row r="869" spans="1:4" x14ac:dyDescent="0.2">
      <c r="A869" s="109">
        <v>767</v>
      </c>
      <c r="B869" s="110">
        <v>13007</v>
      </c>
      <c r="C869" s="111" t="s">
        <v>398</v>
      </c>
      <c r="D869" s="112">
        <v>2</v>
      </c>
    </row>
    <row r="870" spans="1:4" x14ac:dyDescent="0.2">
      <c r="A870" s="109">
        <v>768</v>
      </c>
      <c r="B870" s="110">
        <v>13008</v>
      </c>
      <c r="C870" s="111" t="s">
        <v>396</v>
      </c>
      <c r="D870" s="112">
        <v>2</v>
      </c>
    </row>
    <row r="871" spans="1:4" x14ac:dyDescent="0.2">
      <c r="A871" s="109">
        <v>768</v>
      </c>
      <c r="B871" s="110">
        <v>13009</v>
      </c>
      <c r="C871" s="111" t="s">
        <v>396</v>
      </c>
      <c r="D871" s="112">
        <v>1</v>
      </c>
    </row>
    <row r="872" spans="1:4" x14ac:dyDescent="0.2">
      <c r="A872" s="109">
        <v>769</v>
      </c>
      <c r="B872" s="110">
        <v>13010</v>
      </c>
      <c r="C872" s="111" t="s">
        <v>398</v>
      </c>
      <c r="D872" s="112">
        <v>2</v>
      </c>
    </row>
    <row r="873" spans="1:4" x14ac:dyDescent="0.2">
      <c r="A873" s="109">
        <v>770</v>
      </c>
      <c r="B873" s="110">
        <v>13001</v>
      </c>
      <c r="C873" s="111" t="s">
        <v>399</v>
      </c>
      <c r="D873" s="112">
        <v>2</v>
      </c>
    </row>
    <row r="874" spans="1:4" x14ac:dyDescent="0.2">
      <c r="A874" s="109">
        <v>775</v>
      </c>
      <c r="B874" s="110">
        <v>334</v>
      </c>
      <c r="C874" s="111" t="s">
        <v>400</v>
      </c>
      <c r="D874" s="112" t="s">
        <v>220</v>
      </c>
    </row>
    <row r="875" spans="1:4" x14ac:dyDescent="0.2">
      <c r="A875" s="109">
        <v>776</v>
      </c>
      <c r="B875" s="110">
        <v>335</v>
      </c>
      <c r="C875" s="111" t="s">
        <v>400</v>
      </c>
      <c r="D875" s="112" t="s">
        <v>220</v>
      </c>
    </row>
    <row r="876" spans="1:4" x14ac:dyDescent="0.2">
      <c r="A876" s="109">
        <v>781</v>
      </c>
      <c r="B876" s="110">
        <v>327</v>
      </c>
      <c r="C876" s="111" t="s">
        <v>396</v>
      </c>
      <c r="D876" s="112" t="s">
        <v>220</v>
      </c>
    </row>
    <row r="877" spans="1:4" x14ac:dyDescent="0.2">
      <c r="A877" s="109">
        <v>782</v>
      </c>
      <c r="B877" s="110">
        <v>13069</v>
      </c>
      <c r="C877" s="111" t="s">
        <v>396</v>
      </c>
      <c r="D877" s="112">
        <v>1</v>
      </c>
    </row>
    <row r="878" spans="1:4" x14ac:dyDescent="0.2">
      <c r="A878" s="109">
        <v>783</v>
      </c>
      <c r="B878" s="110">
        <v>13072</v>
      </c>
      <c r="C878" s="111" t="s">
        <v>396</v>
      </c>
      <c r="D878" s="112">
        <v>1</v>
      </c>
    </row>
    <row r="879" spans="1:4" x14ac:dyDescent="0.2">
      <c r="A879" s="109">
        <v>784</v>
      </c>
      <c r="B879" s="110">
        <v>13075</v>
      </c>
      <c r="C879" s="111" t="s">
        <v>396</v>
      </c>
      <c r="D879" s="112">
        <v>1</v>
      </c>
    </row>
    <row r="880" spans="1:4" x14ac:dyDescent="0.2">
      <c r="A880" s="109">
        <v>785</v>
      </c>
      <c r="B880" s="110">
        <v>13078</v>
      </c>
      <c r="C880" s="111" t="s">
        <v>396</v>
      </c>
      <c r="D880" s="112">
        <v>1</v>
      </c>
    </row>
    <row r="881" spans="1:4" x14ac:dyDescent="0.2">
      <c r="A881" s="109">
        <v>786</v>
      </c>
      <c r="B881" s="110">
        <v>13081</v>
      </c>
      <c r="C881" s="111" t="s">
        <v>396</v>
      </c>
      <c r="D881" s="112">
        <v>1</v>
      </c>
    </row>
    <row r="882" spans="1:4" x14ac:dyDescent="0.2">
      <c r="A882" s="109">
        <v>787</v>
      </c>
      <c r="B882" s="110">
        <v>13082</v>
      </c>
      <c r="C882" s="111" t="s">
        <v>401</v>
      </c>
      <c r="D882" s="112">
        <v>2</v>
      </c>
    </row>
    <row r="883" spans="1:4" x14ac:dyDescent="0.2">
      <c r="A883" s="109">
        <v>787</v>
      </c>
      <c r="B883" s="110">
        <v>13083</v>
      </c>
      <c r="C883" s="111" t="s">
        <v>401</v>
      </c>
      <c r="D883" s="112">
        <v>1</v>
      </c>
    </row>
    <row r="884" spans="1:4" x14ac:dyDescent="0.2">
      <c r="A884" s="109">
        <v>788</v>
      </c>
      <c r="B884" s="110">
        <v>13084</v>
      </c>
      <c r="C884" s="111" t="s">
        <v>402</v>
      </c>
      <c r="D884" s="112">
        <v>1</v>
      </c>
    </row>
    <row r="885" spans="1:4" x14ac:dyDescent="0.2">
      <c r="A885" s="109">
        <v>789</v>
      </c>
      <c r="B885" s="110">
        <v>13085</v>
      </c>
      <c r="C885" s="111" t="s">
        <v>403</v>
      </c>
      <c r="D885" s="112">
        <v>2</v>
      </c>
    </row>
    <row r="886" spans="1:4" x14ac:dyDescent="0.2">
      <c r="A886" s="109">
        <v>789</v>
      </c>
      <c r="B886" s="110">
        <v>13086</v>
      </c>
      <c r="C886" s="111" t="s">
        <v>403</v>
      </c>
      <c r="D886" s="112">
        <v>1</v>
      </c>
    </row>
    <row r="887" spans="1:4" x14ac:dyDescent="0.2">
      <c r="A887" s="109">
        <v>790</v>
      </c>
      <c r="B887" s="110">
        <v>13087</v>
      </c>
      <c r="C887" s="111" t="s">
        <v>404</v>
      </c>
      <c r="D887" s="112">
        <v>1</v>
      </c>
    </row>
    <row r="888" spans="1:4" x14ac:dyDescent="0.2">
      <c r="A888" s="109">
        <v>791</v>
      </c>
      <c r="B888" s="110">
        <v>13088</v>
      </c>
      <c r="C888" s="111" t="s">
        <v>405</v>
      </c>
      <c r="D888" s="112">
        <v>2</v>
      </c>
    </row>
    <row r="889" spans="1:4" x14ac:dyDescent="0.2">
      <c r="A889" s="109">
        <v>791</v>
      </c>
      <c r="B889" s="110">
        <v>13089</v>
      </c>
      <c r="C889" s="111" t="s">
        <v>405</v>
      </c>
      <c r="D889" s="112">
        <v>1</v>
      </c>
    </row>
    <row r="890" spans="1:4" x14ac:dyDescent="0.2">
      <c r="A890" s="109">
        <v>792</v>
      </c>
      <c r="B890" s="110">
        <v>13090</v>
      </c>
      <c r="C890" s="111" t="s">
        <v>406</v>
      </c>
      <c r="D890" s="112">
        <v>1</v>
      </c>
    </row>
    <row r="891" spans="1:4" x14ac:dyDescent="0.2">
      <c r="A891" s="109">
        <v>793</v>
      </c>
      <c r="B891" s="110">
        <v>13091</v>
      </c>
      <c r="C891" s="111" t="s">
        <v>396</v>
      </c>
      <c r="D891" s="112">
        <v>2</v>
      </c>
    </row>
    <row r="892" spans="1:4" x14ac:dyDescent="0.2">
      <c r="A892" s="109">
        <v>793</v>
      </c>
      <c r="B892" s="110">
        <v>13092</v>
      </c>
      <c r="C892" s="111" t="s">
        <v>396</v>
      </c>
      <c r="D892" s="112">
        <v>1</v>
      </c>
    </row>
    <row r="893" spans="1:4" x14ac:dyDescent="0.2">
      <c r="A893" s="109">
        <v>794</v>
      </c>
      <c r="B893" s="110">
        <v>13093</v>
      </c>
      <c r="C893" s="111" t="s">
        <v>397</v>
      </c>
      <c r="D893" s="112">
        <v>2</v>
      </c>
    </row>
    <row r="894" spans="1:4" x14ac:dyDescent="0.2">
      <c r="A894" s="109">
        <v>801</v>
      </c>
      <c r="B894" s="110">
        <v>306</v>
      </c>
      <c r="C894" s="111" t="s">
        <v>323</v>
      </c>
      <c r="D894" s="112">
        <v>1</v>
      </c>
    </row>
    <row r="895" spans="1:4" x14ac:dyDescent="0.2">
      <c r="A895" s="109">
        <v>802</v>
      </c>
      <c r="B895" s="110">
        <v>14005</v>
      </c>
      <c r="C895" s="111" t="s">
        <v>407</v>
      </c>
      <c r="D895" s="112">
        <v>2</v>
      </c>
    </row>
    <row r="896" spans="1:4" x14ac:dyDescent="0.2">
      <c r="A896" s="109">
        <v>802</v>
      </c>
      <c r="B896" s="110">
        <v>14006</v>
      </c>
      <c r="C896" s="111" t="s">
        <v>407</v>
      </c>
      <c r="D896" s="112">
        <v>1</v>
      </c>
    </row>
    <row r="897" spans="1:4" x14ac:dyDescent="0.2">
      <c r="A897" s="109">
        <v>803</v>
      </c>
      <c r="B897" s="110">
        <v>14007</v>
      </c>
      <c r="C897" s="111" t="s">
        <v>408</v>
      </c>
      <c r="D897" s="112" t="s">
        <v>220</v>
      </c>
    </row>
    <row r="898" spans="1:4" x14ac:dyDescent="0.2">
      <c r="A898" s="109">
        <v>804</v>
      </c>
      <c r="B898" s="110">
        <v>14008</v>
      </c>
      <c r="C898" s="111" t="s">
        <v>407</v>
      </c>
      <c r="D898" s="112">
        <v>2</v>
      </c>
    </row>
    <row r="899" spans="1:4" x14ac:dyDescent="0.2">
      <c r="A899" s="109">
        <v>804</v>
      </c>
      <c r="B899" s="110">
        <v>14009</v>
      </c>
      <c r="C899" s="111" t="s">
        <v>407</v>
      </c>
      <c r="D899" s="112">
        <v>1</v>
      </c>
    </row>
    <row r="900" spans="1:4" x14ac:dyDescent="0.2">
      <c r="A900" s="109">
        <v>805</v>
      </c>
      <c r="B900" s="110">
        <v>14010</v>
      </c>
      <c r="C900" s="111" t="s">
        <v>408</v>
      </c>
      <c r="D900" s="112" t="s">
        <v>220</v>
      </c>
    </row>
    <row r="901" spans="1:4" x14ac:dyDescent="0.2">
      <c r="A901" s="109">
        <v>806</v>
      </c>
      <c r="B901" s="110">
        <v>14011</v>
      </c>
      <c r="C901" s="111" t="s">
        <v>407</v>
      </c>
      <c r="D901" s="112">
        <v>2</v>
      </c>
    </row>
    <row r="902" spans="1:4" x14ac:dyDescent="0.2">
      <c r="A902" s="109">
        <v>806</v>
      </c>
      <c r="B902" s="110">
        <v>14012</v>
      </c>
      <c r="C902" s="111" t="s">
        <v>407</v>
      </c>
      <c r="D902" s="112">
        <v>1</v>
      </c>
    </row>
    <row r="903" spans="1:4" x14ac:dyDescent="0.2">
      <c r="A903" s="109">
        <v>807</v>
      </c>
      <c r="B903" s="110">
        <v>14013</v>
      </c>
      <c r="C903" s="111" t="s">
        <v>408</v>
      </c>
      <c r="D903" s="112" t="s">
        <v>220</v>
      </c>
    </row>
    <row r="904" spans="1:4" x14ac:dyDescent="0.2">
      <c r="A904" s="109">
        <v>808</v>
      </c>
      <c r="B904" s="110">
        <v>14017</v>
      </c>
      <c r="C904" s="111" t="s">
        <v>407</v>
      </c>
      <c r="D904" s="112">
        <v>2</v>
      </c>
    </row>
    <row r="905" spans="1:4" x14ac:dyDescent="0.2">
      <c r="A905" s="109">
        <v>808</v>
      </c>
      <c r="B905" s="110">
        <v>14018</v>
      </c>
      <c r="C905" s="111" t="s">
        <v>407</v>
      </c>
      <c r="D905" s="112">
        <v>1</v>
      </c>
    </row>
    <row r="906" spans="1:4" x14ac:dyDescent="0.2">
      <c r="A906" s="109">
        <v>809</v>
      </c>
      <c r="B906" s="110">
        <v>14019</v>
      </c>
      <c r="C906" s="111" t="s">
        <v>408</v>
      </c>
      <c r="D906" s="112" t="s">
        <v>220</v>
      </c>
    </row>
    <row r="907" spans="1:4" x14ac:dyDescent="0.2">
      <c r="A907" s="109">
        <v>810</v>
      </c>
      <c r="B907" s="110">
        <v>14020</v>
      </c>
      <c r="C907" s="111" t="s">
        <v>407</v>
      </c>
      <c r="D907" s="112">
        <v>2</v>
      </c>
    </row>
    <row r="908" spans="1:4" x14ac:dyDescent="0.2">
      <c r="A908" s="109">
        <v>810</v>
      </c>
      <c r="B908" s="110">
        <v>14021</v>
      </c>
      <c r="C908" s="111" t="s">
        <v>407</v>
      </c>
      <c r="D908" s="112">
        <v>1</v>
      </c>
    </row>
    <row r="909" spans="1:4" x14ac:dyDescent="0.2">
      <c r="A909" s="109">
        <v>811</v>
      </c>
      <c r="B909" s="110">
        <v>14022</v>
      </c>
      <c r="C909" s="111" t="s">
        <v>408</v>
      </c>
      <c r="D909" s="112" t="s">
        <v>220</v>
      </c>
    </row>
    <row r="910" spans="1:4" x14ac:dyDescent="0.2">
      <c r="A910" s="109">
        <v>812</v>
      </c>
      <c r="B910" s="110">
        <v>14023</v>
      </c>
      <c r="C910" s="111" t="s">
        <v>407</v>
      </c>
      <c r="D910" s="112">
        <v>2</v>
      </c>
    </row>
    <row r="911" spans="1:4" x14ac:dyDescent="0.2">
      <c r="A911" s="109">
        <v>812</v>
      </c>
      <c r="B911" s="110">
        <v>14024</v>
      </c>
      <c r="C911" s="111" t="s">
        <v>407</v>
      </c>
      <c r="D911" s="112">
        <v>1</v>
      </c>
    </row>
    <row r="912" spans="1:4" x14ac:dyDescent="0.2">
      <c r="A912" s="109">
        <v>813</v>
      </c>
      <c r="B912" s="110">
        <v>14025</v>
      </c>
      <c r="C912" s="111" t="s">
        <v>408</v>
      </c>
      <c r="D912" s="112" t="s">
        <v>220</v>
      </c>
    </row>
    <row r="913" spans="1:4" x14ac:dyDescent="0.2">
      <c r="A913" s="109">
        <v>814</v>
      </c>
      <c r="B913" s="110">
        <v>14029</v>
      </c>
      <c r="C913" s="111" t="s">
        <v>407</v>
      </c>
      <c r="D913" s="112">
        <v>2</v>
      </c>
    </row>
    <row r="914" spans="1:4" x14ac:dyDescent="0.2">
      <c r="A914" s="109">
        <v>814</v>
      </c>
      <c r="B914" s="110">
        <v>14030</v>
      </c>
      <c r="C914" s="111" t="s">
        <v>407</v>
      </c>
      <c r="D914" s="112">
        <v>1</v>
      </c>
    </row>
    <row r="915" spans="1:4" x14ac:dyDescent="0.2">
      <c r="A915" s="109">
        <v>815</v>
      </c>
      <c r="B915" s="110">
        <v>14031</v>
      </c>
      <c r="C915" s="111" t="s">
        <v>408</v>
      </c>
      <c r="D915" s="112" t="s">
        <v>220</v>
      </c>
    </row>
    <row r="916" spans="1:4" x14ac:dyDescent="0.2">
      <c r="A916" s="109">
        <v>816</v>
      </c>
      <c r="B916" s="110">
        <v>14032</v>
      </c>
      <c r="C916" s="111" t="s">
        <v>407</v>
      </c>
      <c r="D916" s="112">
        <v>2</v>
      </c>
    </row>
    <row r="917" spans="1:4" x14ac:dyDescent="0.2">
      <c r="A917" s="109">
        <v>816</v>
      </c>
      <c r="B917" s="110">
        <v>14033</v>
      </c>
      <c r="C917" s="111" t="s">
        <v>407</v>
      </c>
      <c r="D917" s="112">
        <v>1</v>
      </c>
    </row>
    <row r="918" spans="1:4" x14ac:dyDescent="0.2">
      <c r="A918" s="109">
        <v>817</v>
      </c>
      <c r="B918" s="110">
        <v>14034</v>
      </c>
      <c r="C918" s="111" t="s">
        <v>408</v>
      </c>
      <c r="D918" s="112" t="s">
        <v>220</v>
      </c>
    </row>
    <row r="919" spans="1:4" x14ac:dyDescent="0.2">
      <c r="A919" s="109">
        <v>818</v>
      </c>
      <c r="B919" s="110">
        <v>14035</v>
      </c>
      <c r="C919" s="111" t="s">
        <v>407</v>
      </c>
      <c r="D919" s="112">
        <v>2</v>
      </c>
    </row>
    <row r="920" spans="1:4" x14ac:dyDescent="0.2">
      <c r="A920" s="109">
        <v>818</v>
      </c>
      <c r="B920" s="110">
        <v>14036</v>
      </c>
      <c r="C920" s="111" t="s">
        <v>407</v>
      </c>
      <c r="D920" s="112">
        <v>1</v>
      </c>
    </row>
    <row r="921" spans="1:4" x14ac:dyDescent="0.2">
      <c r="A921" s="109">
        <v>819</v>
      </c>
      <c r="B921" s="110">
        <v>14037</v>
      </c>
      <c r="C921" s="111" t="s">
        <v>408</v>
      </c>
      <c r="D921" s="112" t="s">
        <v>220</v>
      </c>
    </row>
    <row r="922" spans="1:4" x14ac:dyDescent="0.2">
      <c r="A922" s="109">
        <v>820</v>
      </c>
      <c r="B922" s="110">
        <v>14042</v>
      </c>
      <c r="C922" s="111" t="s">
        <v>407</v>
      </c>
      <c r="D922" s="112">
        <v>2</v>
      </c>
    </row>
    <row r="923" spans="1:4" x14ac:dyDescent="0.2">
      <c r="A923" s="109">
        <v>820</v>
      </c>
      <c r="B923" s="110">
        <v>14043</v>
      </c>
      <c r="C923" s="111" t="s">
        <v>407</v>
      </c>
      <c r="D923" s="112">
        <v>1</v>
      </c>
    </row>
    <row r="924" spans="1:4" x14ac:dyDescent="0.2">
      <c r="A924" s="109">
        <v>821</v>
      </c>
      <c r="B924" s="110">
        <v>14044</v>
      </c>
      <c r="C924" s="111" t="s">
        <v>408</v>
      </c>
      <c r="D924" s="112" t="s">
        <v>220</v>
      </c>
    </row>
    <row r="925" spans="1:4" x14ac:dyDescent="0.2">
      <c r="A925" s="109">
        <v>822</v>
      </c>
      <c r="B925" s="110">
        <v>14045</v>
      </c>
      <c r="C925" s="111" t="s">
        <v>407</v>
      </c>
      <c r="D925" s="112">
        <v>2</v>
      </c>
    </row>
    <row r="926" spans="1:4" x14ac:dyDescent="0.2">
      <c r="A926" s="109">
        <v>822</v>
      </c>
      <c r="B926" s="110">
        <v>14046</v>
      </c>
      <c r="C926" s="111" t="s">
        <v>407</v>
      </c>
      <c r="D926" s="112">
        <v>1</v>
      </c>
    </row>
    <row r="927" spans="1:4" x14ac:dyDescent="0.2">
      <c r="A927" s="109">
        <v>823</v>
      </c>
      <c r="B927" s="110">
        <v>14047</v>
      </c>
      <c r="C927" s="111" t="s">
        <v>408</v>
      </c>
      <c r="D927" s="112" t="s">
        <v>220</v>
      </c>
    </row>
    <row r="928" spans="1:4" x14ac:dyDescent="0.2">
      <c r="A928" s="109">
        <v>824</v>
      </c>
      <c r="B928" s="110">
        <v>14048</v>
      </c>
      <c r="C928" s="111" t="s">
        <v>407</v>
      </c>
      <c r="D928" s="112">
        <v>2</v>
      </c>
    </row>
    <row r="929" spans="1:4" x14ac:dyDescent="0.2">
      <c r="A929" s="109">
        <v>824</v>
      </c>
      <c r="B929" s="110">
        <v>14049</v>
      </c>
      <c r="C929" s="111" t="s">
        <v>407</v>
      </c>
      <c r="D929" s="112">
        <v>1</v>
      </c>
    </row>
    <row r="930" spans="1:4" x14ac:dyDescent="0.2">
      <c r="A930" s="109">
        <v>825</v>
      </c>
      <c r="B930" s="110">
        <v>14050</v>
      </c>
      <c r="C930" s="111" t="s">
        <v>408</v>
      </c>
      <c r="D930" s="112" t="s">
        <v>220</v>
      </c>
    </row>
    <row r="931" spans="1:4" x14ac:dyDescent="0.2">
      <c r="A931" s="109">
        <v>826</v>
      </c>
      <c r="B931" s="110">
        <v>14069</v>
      </c>
      <c r="C931" s="111" t="s">
        <v>407</v>
      </c>
      <c r="D931" s="112">
        <v>2</v>
      </c>
    </row>
    <row r="932" spans="1:4" x14ac:dyDescent="0.2">
      <c r="A932" s="109">
        <v>826</v>
      </c>
      <c r="B932" s="110">
        <v>14070</v>
      </c>
      <c r="C932" s="111" t="s">
        <v>407</v>
      </c>
      <c r="D932" s="112">
        <v>1</v>
      </c>
    </row>
    <row r="933" spans="1:4" x14ac:dyDescent="0.2">
      <c r="A933" s="109">
        <v>827</v>
      </c>
      <c r="B933" s="110">
        <v>14071</v>
      </c>
      <c r="C933" s="111" t="s">
        <v>408</v>
      </c>
      <c r="D933" s="112" t="s">
        <v>220</v>
      </c>
    </row>
    <row r="934" spans="1:4" x14ac:dyDescent="0.2">
      <c r="A934" s="109">
        <v>828</v>
      </c>
      <c r="B934" s="110">
        <v>14072</v>
      </c>
      <c r="C934" s="111" t="s">
        <v>407</v>
      </c>
      <c r="D934" s="112">
        <v>2</v>
      </c>
    </row>
    <row r="935" spans="1:4" x14ac:dyDescent="0.2">
      <c r="A935" s="109">
        <v>828</v>
      </c>
      <c r="B935" s="110">
        <v>14073</v>
      </c>
      <c r="C935" s="111" t="s">
        <v>407</v>
      </c>
      <c r="D935" s="112">
        <v>1</v>
      </c>
    </row>
    <row r="936" spans="1:4" x14ac:dyDescent="0.2">
      <c r="A936" s="109">
        <v>829</v>
      </c>
      <c r="B936" s="110">
        <v>14074</v>
      </c>
      <c r="C936" s="111" t="s">
        <v>408</v>
      </c>
      <c r="D936" s="112" t="s">
        <v>220</v>
      </c>
    </row>
    <row r="937" spans="1:4" x14ac:dyDescent="0.2">
      <c r="A937" s="109">
        <v>830</v>
      </c>
      <c r="B937" s="110">
        <v>14075</v>
      </c>
      <c r="C937" s="111" t="s">
        <v>407</v>
      </c>
      <c r="D937" s="112">
        <v>2</v>
      </c>
    </row>
    <row r="938" spans="1:4" x14ac:dyDescent="0.2">
      <c r="A938" s="109">
        <v>830</v>
      </c>
      <c r="B938" s="110">
        <v>14076</v>
      </c>
      <c r="C938" s="111" t="s">
        <v>407</v>
      </c>
      <c r="D938" s="112">
        <v>1</v>
      </c>
    </row>
    <row r="939" spans="1:4" x14ac:dyDescent="0.2">
      <c r="A939" s="109">
        <v>831</v>
      </c>
      <c r="B939" s="110">
        <v>14077</v>
      </c>
      <c r="C939" s="111" t="s">
        <v>408</v>
      </c>
      <c r="D939" s="112" t="s">
        <v>220</v>
      </c>
    </row>
    <row r="940" spans="1:4" x14ac:dyDescent="0.2">
      <c r="A940" s="109">
        <v>832</v>
      </c>
      <c r="B940" s="110">
        <v>14085</v>
      </c>
      <c r="C940" s="111" t="s">
        <v>407</v>
      </c>
      <c r="D940" s="112">
        <v>2</v>
      </c>
    </row>
    <row r="941" spans="1:4" x14ac:dyDescent="0.2">
      <c r="A941" s="109">
        <v>832</v>
      </c>
      <c r="B941" s="110">
        <v>14086</v>
      </c>
      <c r="C941" s="111" t="s">
        <v>407</v>
      </c>
      <c r="D941" s="112">
        <v>1</v>
      </c>
    </row>
    <row r="942" spans="1:4" x14ac:dyDescent="0.2">
      <c r="A942" s="109">
        <v>833</v>
      </c>
      <c r="B942" s="110">
        <v>14087</v>
      </c>
      <c r="C942" s="111" t="s">
        <v>408</v>
      </c>
      <c r="D942" s="112" t="s">
        <v>220</v>
      </c>
    </row>
    <row r="943" spans="1:4" x14ac:dyDescent="0.2">
      <c r="A943" s="109">
        <v>834</v>
      </c>
      <c r="B943" s="110">
        <v>14088</v>
      </c>
      <c r="C943" s="111" t="s">
        <v>407</v>
      </c>
      <c r="D943" s="112">
        <v>2</v>
      </c>
    </row>
    <row r="944" spans="1:4" x14ac:dyDescent="0.2">
      <c r="A944" s="109">
        <v>834</v>
      </c>
      <c r="B944" s="110">
        <v>14089</v>
      </c>
      <c r="C944" s="111" t="s">
        <v>407</v>
      </c>
      <c r="D944" s="112">
        <v>1</v>
      </c>
    </row>
    <row r="945" spans="1:4" x14ac:dyDescent="0.2">
      <c r="A945" s="109">
        <v>835</v>
      </c>
      <c r="B945" s="110">
        <v>14090</v>
      </c>
      <c r="C945" s="111" t="s">
        <v>408</v>
      </c>
      <c r="D945" s="112" t="s">
        <v>220</v>
      </c>
    </row>
    <row r="946" spans="1:4" x14ac:dyDescent="0.2">
      <c r="A946" s="109">
        <v>836</v>
      </c>
      <c r="B946" s="110">
        <v>14091</v>
      </c>
      <c r="C946" s="111" t="s">
        <v>407</v>
      </c>
      <c r="D946" s="112">
        <v>2</v>
      </c>
    </row>
    <row r="947" spans="1:4" x14ac:dyDescent="0.2">
      <c r="A947" s="109">
        <v>836</v>
      </c>
      <c r="B947" s="110">
        <v>14092</v>
      </c>
      <c r="C947" s="111" t="s">
        <v>407</v>
      </c>
      <c r="D947" s="112">
        <v>1</v>
      </c>
    </row>
    <row r="948" spans="1:4" x14ac:dyDescent="0.2">
      <c r="A948" s="109">
        <v>837</v>
      </c>
      <c r="B948" s="110">
        <v>14093</v>
      </c>
      <c r="C948" s="111" t="s">
        <v>408</v>
      </c>
      <c r="D948" s="112" t="s">
        <v>220</v>
      </c>
    </row>
    <row r="949" spans="1:4" x14ac:dyDescent="0.2">
      <c r="A949" s="109">
        <v>838</v>
      </c>
      <c r="B949" s="110">
        <v>14094</v>
      </c>
      <c r="C949" s="111" t="s">
        <v>407</v>
      </c>
      <c r="D949" s="112">
        <v>2</v>
      </c>
    </row>
    <row r="950" spans="1:4" x14ac:dyDescent="0.2">
      <c r="A950" s="109">
        <v>838</v>
      </c>
      <c r="B950" s="110">
        <v>14095</v>
      </c>
      <c r="C950" s="111" t="s">
        <v>407</v>
      </c>
      <c r="D950" s="112">
        <v>1</v>
      </c>
    </row>
    <row r="951" spans="1:4" x14ac:dyDescent="0.2">
      <c r="A951" s="109">
        <v>839</v>
      </c>
      <c r="B951" s="110">
        <v>14096</v>
      </c>
      <c r="C951" s="111" t="s">
        <v>408</v>
      </c>
      <c r="D951" s="112" t="s">
        <v>220</v>
      </c>
    </row>
    <row r="952" spans="1:4" x14ac:dyDescent="0.2">
      <c r="A952" s="109">
        <v>840</v>
      </c>
      <c r="B952" s="110">
        <v>14110</v>
      </c>
      <c r="C952" s="111" t="s">
        <v>407</v>
      </c>
      <c r="D952" s="112">
        <v>2</v>
      </c>
    </row>
    <row r="953" spans="1:4" x14ac:dyDescent="0.2">
      <c r="A953" s="109">
        <v>840</v>
      </c>
      <c r="B953" s="110">
        <v>14111</v>
      </c>
      <c r="C953" s="111" t="s">
        <v>407</v>
      </c>
      <c r="D953" s="112">
        <v>1</v>
      </c>
    </row>
    <row r="954" spans="1:4" x14ac:dyDescent="0.2">
      <c r="A954" s="109">
        <v>841</v>
      </c>
      <c r="B954" s="110">
        <v>14112</v>
      </c>
      <c r="C954" s="111" t="s">
        <v>408</v>
      </c>
      <c r="D954" s="112" t="s">
        <v>220</v>
      </c>
    </row>
    <row r="955" spans="1:4" x14ac:dyDescent="0.2">
      <c r="A955" s="109">
        <v>842</v>
      </c>
      <c r="B955" s="110">
        <v>14113</v>
      </c>
      <c r="C955" s="111" t="s">
        <v>407</v>
      </c>
      <c r="D955" s="112">
        <v>2</v>
      </c>
    </row>
    <row r="956" spans="1:4" x14ac:dyDescent="0.2">
      <c r="A956" s="109">
        <v>842</v>
      </c>
      <c r="B956" s="110">
        <v>14114</v>
      </c>
      <c r="C956" s="111" t="s">
        <v>407</v>
      </c>
      <c r="D956" s="112">
        <v>1</v>
      </c>
    </row>
    <row r="957" spans="1:4" x14ac:dyDescent="0.2">
      <c r="A957" s="109">
        <v>843</v>
      </c>
      <c r="B957" s="110">
        <v>14115</v>
      </c>
      <c r="C957" s="111" t="s">
        <v>408</v>
      </c>
      <c r="D957" s="112" t="s">
        <v>220</v>
      </c>
    </row>
    <row r="958" spans="1:4" x14ac:dyDescent="0.2">
      <c r="A958" s="109">
        <v>844</v>
      </c>
      <c r="B958" s="110">
        <v>14116</v>
      </c>
      <c r="C958" s="111" t="s">
        <v>407</v>
      </c>
      <c r="D958" s="112">
        <v>2</v>
      </c>
    </row>
    <row r="959" spans="1:4" x14ac:dyDescent="0.2">
      <c r="A959" s="109">
        <v>844</v>
      </c>
      <c r="B959" s="110">
        <v>14117</v>
      </c>
      <c r="C959" s="111" t="s">
        <v>407</v>
      </c>
      <c r="D959" s="112">
        <v>1</v>
      </c>
    </row>
    <row r="960" spans="1:4" x14ac:dyDescent="0.2">
      <c r="A960" s="109">
        <v>845</v>
      </c>
      <c r="B960" s="110">
        <v>14118</v>
      </c>
      <c r="C960" s="111" t="s">
        <v>408</v>
      </c>
      <c r="D960" s="112" t="s">
        <v>220</v>
      </c>
    </row>
    <row r="961" spans="1:4" x14ac:dyDescent="0.2">
      <c r="A961" s="109">
        <v>846</v>
      </c>
      <c r="B961" s="110">
        <v>14138</v>
      </c>
      <c r="C961" s="111" t="s">
        <v>407</v>
      </c>
      <c r="D961" s="112">
        <v>2</v>
      </c>
    </row>
    <row r="962" spans="1:4" x14ac:dyDescent="0.2">
      <c r="A962" s="109">
        <v>846</v>
      </c>
      <c r="B962" s="110">
        <v>14139</v>
      </c>
      <c r="C962" s="111" t="s">
        <v>407</v>
      </c>
      <c r="D962" s="112">
        <v>1</v>
      </c>
    </row>
    <row r="963" spans="1:4" x14ac:dyDescent="0.2">
      <c r="A963" s="109">
        <v>847</v>
      </c>
      <c r="B963" s="110">
        <v>14140</v>
      </c>
      <c r="C963" s="111" t="s">
        <v>408</v>
      </c>
      <c r="D963" s="112" t="s">
        <v>220</v>
      </c>
    </row>
    <row r="964" spans="1:4" x14ac:dyDescent="0.2">
      <c r="A964" s="109">
        <v>848</v>
      </c>
      <c r="B964" s="110">
        <v>14141</v>
      </c>
      <c r="C964" s="111" t="s">
        <v>407</v>
      </c>
      <c r="D964" s="112">
        <v>2</v>
      </c>
    </row>
    <row r="965" spans="1:4" x14ac:dyDescent="0.2">
      <c r="A965" s="109">
        <v>848</v>
      </c>
      <c r="B965" s="110">
        <v>14142</v>
      </c>
      <c r="C965" s="111" t="s">
        <v>407</v>
      </c>
      <c r="D965" s="112">
        <v>1</v>
      </c>
    </row>
    <row r="966" spans="1:4" x14ac:dyDescent="0.2">
      <c r="A966" s="109">
        <v>849</v>
      </c>
      <c r="B966" s="110">
        <v>14143</v>
      </c>
      <c r="C966" s="111" t="s">
        <v>408</v>
      </c>
      <c r="D966" s="112" t="s">
        <v>220</v>
      </c>
    </row>
    <row r="967" spans="1:4" x14ac:dyDescent="0.2">
      <c r="A967" s="109">
        <v>850</v>
      </c>
      <c r="B967" s="110">
        <v>14014</v>
      </c>
      <c r="C967" s="111" t="s">
        <v>408</v>
      </c>
      <c r="D967" s="112" t="s">
        <v>220</v>
      </c>
    </row>
    <row r="968" spans="1:4" x14ac:dyDescent="0.2">
      <c r="A968" s="109">
        <v>851</v>
      </c>
      <c r="B968" s="110">
        <v>14038</v>
      </c>
      <c r="C968" s="111" t="s">
        <v>408</v>
      </c>
      <c r="D968" s="112" t="s">
        <v>220</v>
      </c>
    </row>
    <row r="969" spans="1:4" x14ac:dyDescent="0.2">
      <c r="A969" s="109">
        <v>852</v>
      </c>
      <c r="B969" s="110">
        <v>14001</v>
      </c>
      <c r="C969" s="111" t="s">
        <v>407</v>
      </c>
      <c r="D969" s="112">
        <v>2</v>
      </c>
    </row>
    <row r="970" spans="1:4" x14ac:dyDescent="0.2">
      <c r="A970" s="109">
        <v>852</v>
      </c>
      <c r="B970" s="110">
        <v>14002</v>
      </c>
      <c r="C970" s="111" t="s">
        <v>407</v>
      </c>
      <c r="D970" s="112">
        <v>1</v>
      </c>
    </row>
    <row r="971" spans="1:4" x14ac:dyDescent="0.2">
      <c r="A971" s="109">
        <v>853</v>
      </c>
      <c r="B971" s="110">
        <v>14081</v>
      </c>
      <c r="C971" s="111" t="s">
        <v>407</v>
      </c>
      <c r="D971" s="112">
        <v>2</v>
      </c>
    </row>
    <row r="972" spans="1:4" x14ac:dyDescent="0.2">
      <c r="A972" s="109">
        <v>853</v>
      </c>
      <c r="B972" s="110">
        <v>14082</v>
      </c>
      <c r="C972" s="111" t="s">
        <v>407</v>
      </c>
      <c r="D972" s="112">
        <v>1</v>
      </c>
    </row>
    <row r="973" spans="1:4" x14ac:dyDescent="0.2">
      <c r="A973" s="109">
        <v>854</v>
      </c>
      <c r="B973" s="110">
        <v>14083</v>
      </c>
      <c r="C973" s="111" t="s">
        <v>407</v>
      </c>
      <c r="D973" s="112">
        <v>2</v>
      </c>
    </row>
    <row r="974" spans="1:4" x14ac:dyDescent="0.2">
      <c r="A974" s="109">
        <v>854</v>
      </c>
      <c r="B974" s="110">
        <v>14084</v>
      </c>
      <c r="C974" s="111" t="s">
        <v>407</v>
      </c>
      <c r="D974" s="112">
        <v>1</v>
      </c>
    </row>
    <row r="975" spans="1:4" x14ac:dyDescent="0.2">
      <c r="A975" s="109">
        <v>855</v>
      </c>
      <c r="B975" s="110">
        <v>14103</v>
      </c>
      <c r="C975" s="111" t="s">
        <v>407</v>
      </c>
      <c r="D975" s="112">
        <v>2</v>
      </c>
    </row>
    <row r="976" spans="1:4" x14ac:dyDescent="0.2">
      <c r="A976" s="109">
        <v>855</v>
      </c>
      <c r="B976" s="110">
        <v>14104</v>
      </c>
      <c r="C976" s="111" t="s">
        <v>407</v>
      </c>
      <c r="D976" s="112">
        <v>1</v>
      </c>
    </row>
    <row r="977" spans="1:4" x14ac:dyDescent="0.2">
      <c r="A977" s="109">
        <v>856</v>
      </c>
      <c r="B977" s="110">
        <v>14105</v>
      </c>
      <c r="C977" s="111" t="s">
        <v>407</v>
      </c>
      <c r="D977" s="112">
        <v>2</v>
      </c>
    </row>
    <row r="978" spans="1:4" x14ac:dyDescent="0.2">
      <c r="A978" s="109">
        <v>856</v>
      </c>
      <c r="B978" s="110">
        <v>14106</v>
      </c>
      <c r="C978" s="111" t="s">
        <v>407</v>
      </c>
      <c r="D978" s="112">
        <v>1</v>
      </c>
    </row>
    <row r="979" spans="1:4" x14ac:dyDescent="0.2">
      <c r="A979" s="109">
        <v>857</v>
      </c>
      <c r="B979" s="110">
        <v>14015</v>
      </c>
      <c r="C979" s="111" t="s">
        <v>407</v>
      </c>
      <c r="D979" s="112">
        <v>2</v>
      </c>
    </row>
    <row r="980" spans="1:4" x14ac:dyDescent="0.2">
      <c r="A980" s="109">
        <v>857</v>
      </c>
      <c r="B980" s="110">
        <v>14016</v>
      </c>
      <c r="C980" s="111" t="s">
        <v>407</v>
      </c>
      <c r="D980" s="112">
        <v>1</v>
      </c>
    </row>
    <row r="981" spans="1:4" x14ac:dyDescent="0.2">
      <c r="A981" s="109">
        <v>858</v>
      </c>
      <c r="B981" s="110">
        <v>14039</v>
      </c>
      <c r="C981" s="111" t="s">
        <v>407</v>
      </c>
      <c r="D981" s="112">
        <v>2</v>
      </c>
    </row>
    <row r="982" spans="1:4" x14ac:dyDescent="0.2">
      <c r="A982" s="109">
        <v>858</v>
      </c>
      <c r="B982" s="110">
        <v>14040</v>
      </c>
      <c r="C982" s="111" t="s">
        <v>407</v>
      </c>
      <c r="D982" s="112">
        <v>1</v>
      </c>
    </row>
    <row r="983" spans="1:4" x14ac:dyDescent="0.2">
      <c r="A983" s="109">
        <v>859</v>
      </c>
      <c r="B983" s="110">
        <v>14003</v>
      </c>
      <c r="C983" s="111" t="s">
        <v>407</v>
      </c>
      <c r="D983" s="112">
        <v>2</v>
      </c>
    </row>
    <row r="984" spans="1:4" x14ac:dyDescent="0.2">
      <c r="A984" s="109">
        <v>859</v>
      </c>
      <c r="B984" s="110">
        <v>14004</v>
      </c>
      <c r="C984" s="111" t="s">
        <v>407</v>
      </c>
      <c r="D984" s="112">
        <v>1</v>
      </c>
    </row>
    <row r="985" spans="1:4" x14ac:dyDescent="0.2">
      <c r="A985" s="109">
        <v>860</v>
      </c>
      <c r="B985" s="110">
        <v>14026</v>
      </c>
      <c r="C985" s="111" t="s">
        <v>407</v>
      </c>
      <c r="D985" s="112">
        <v>2</v>
      </c>
    </row>
    <row r="986" spans="1:4" x14ac:dyDescent="0.2">
      <c r="A986" s="109">
        <v>860</v>
      </c>
      <c r="B986" s="110">
        <v>14027</v>
      </c>
      <c r="C986" s="111" t="s">
        <v>407</v>
      </c>
      <c r="D986" s="112">
        <v>1</v>
      </c>
    </row>
    <row r="987" spans="1:4" x14ac:dyDescent="0.2">
      <c r="A987" s="109">
        <v>861</v>
      </c>
      <c r="B987" s="110">
        <v>14051</v>
      </c>
      <c r="C987" s="111" t="s">
        <v>407</v>
      </c>
      <c r="D987" s="112">
        <v>2</v>
      </c>
    </row>
    <row r="988" spans="1:4" x14ac:dyDescent="0.2">
      <c r="A988" s="109">
        <v>861</v>
      </c>
      <c r="B988" s="110">
        <v>14052</v>
      </c>
      <c r="C988" s="111" t="s">
        <v>407</v>
      </c>
      <c r="D988" s="112">
        <v>1</v>
      </c>
    </row>
    <row r="989" spans="1:4" x14ac:dyDescent="0.2">
      <c r="A989" s="109">
        <v>862</v>
      </c>
      <c r="B989" s="110">
        <v>14107</v>
      </c>
      <c r="C989" s="111" t="s">
        <v>407</v>
      </c>
      <c r="D989" s="112">
        <v>2</v>
      </c>
    </row>
    <row r="990" spans="1:4" x14ac:dyDescent="0.2">
      <c r="A990" s="109">
        <v>862</v>
      </c>
      <c r="B990" s="110">
        <v>14108</v>
      </c>
      <c r="C990" s="111" t="s">
        <v>407</v>
      </c>
      <c r="D990" s="112">
        <v>1</v>
      </c>
    </row>
    <row r="991" spans="1:4" x14ac:dyDescent="0.2">
      <c r="A991" s="109">
        <v>863</v>
      </c>
      <c r="B991" s="110">
        <v>14054</v>
      </c>
      <c r="C991" s="111" t="s">
        <v>407</v>
      </c>
      <c r="D991" s="112">
        <v>2</v>
      </c>
    </row>
    <row r="992" spans="1:4" x14ac:dyDescent="0.2">
      <c r="A992" s="109">
        <v>863</v>
      </c>
      <c r="B992" s="110">
        <v>14055</v>
      </c>
      <c r="C992" s="111" t="s">
        <v>407</v>
      </c>
      <c r="D992" s="112">
        <v>1</v>
      </c>
    </row>
    <row r="993" spans="1:4" x14ac:dyDescent="0.2">
      <c r="A993" s="109">
        <v>864</v>
      </c>
      <c r="B993" s="110">
        <v>14121</v>
      </c>
      <c r="C993" s="111" t="s">
        <v>407</v>
      </c>
      <c r="D993" s="112">
        <v>2</v>
      </c>
    </row>
    <row r="994" spans="1:4" x14ac:dyDescent="0.2">
      <c r="A994" s="109">
        <v>864</v>
      </c>
      <c r="B994" s="110">
        <v>14122</v>
      </c>
      <c r="C994" s="111" t="s">
        <v>407</v>
      </c>
      <c r="D994" s="112">
        <v>1</v>
      </c>
    </row>
    <row r="995" spans="1:4" x14ac:dyDescent="0.2">
      <c r="A995" s="109">
        <v>865</v>
      </c>
      <c r="B995" s="110">
        <v>14057</v>
      </c>
      <c r="C995" s="111" t="s">
        <v>407</v>
      </c>
      <c r="D995" s="112">
        <v>2</v>
      </c>
    </row>
    <row r="996" spans="1:4" x14ac:dyDescent="0.2">
      <c r="A996" s="109">
        <v>865</v>
      </c>
      <c r="B996" s="110">
        <v>14058</v>
      </c>
      <c r="C996" s="111" t="s">
        <v>407</v>
      </c>
      <c r="D996" s="112">
        <v>1</v>
      </c>
    </row>
    <row r="997" spans="1:4" x14ac:dyDescent="0.2">
      <c r="A997" s="109">
        <v>866</v>
      </c>
      <c r="B997" s="110">
        <v>14059</v>
      </c>
      <c r="C997" s="111" t="s">
        <v>408</v>
      </c>
      <c r="D997" s="112" t="s">
        <v>220</v>
      </c>
    </row>
    <row r="998" spans="1:4" x14ac:dyDescent="0.2">
      <c r="A998" s="109">
        <v>867</v>
      </c>
      <c r="B998" s="110">
        <v>14060</v>
      </c>
      <c r="C998" s="111" t="s">
        <v>407</v>
      </c>
      <c r="D998" s="112">
        <v>2</v>
      </c>
    </row>
    <row r="999" spans="1:4" x14ac:dyDescent="0.2">
      <c r="A999" s="109">
        <v>867</v>
      </c>
      <c r="B999" s="110">
        <v>14061</v>
      </c>
      <c r="C999" s="111" t="s">
        <v>407</v>
      </c>
      <c r="D999" s="112">
        <v>1</v>
      </c>
    </row>
    <row r="1000" spans="1:4" x14ac:dyDescent="0.2">
      <c r="A1000" s="109">
        <v>868</v>
      </c>
      <c r="B1000" s="110">
        <v>14062</v>
      </c>
      <c r="C1000" s="111" t="s">
        <v>408</v>
      </c>
      <c r="D1000" s="112" t="s">
        <v>220</v>
      </c>
    </row>
    <row r="1001" spans="1:4" x14ac:dyDescent="0.2">
      <c r="A1001" s="109">
        <v>869</v>
      </c>
      <c r="B1001" s="110">
        <v>14063</v>
      </c>
      <c r="C1001" s="111" t="s">
        <v>407</v>
      </c>
      <c r="D1001" s="112">
        <v>2</v>
      </c>
    </row>
    <row r="1002" spans="1:4" x14ac:dyDescent="0.2">
      <c r="A1002" s="109">
        <v>869</v>
      </c>
      <c r="B1002" s="110">
        <v>14064</v>
      </c>
      <c r="C1002" s="111" t="s">
        <v>407</v>
      </c>
      <c r="D1002" s="112">
        <v>1</v>
      </c>
    </row>
    <row r="1003" spans="1:4" x14ac:dyDescent="0.2">
      <c r="A1003" s="109">
        <v>870</v>
      </c>
      <c r="B1003" s="110">
        <v>14065</v>
      </c>
      <c r="C1003" s="111" t="s">
        <v>408</v>
      </c>
      <c r="D1003" s="112" t="s">
        <v>220</v>
      </c>
    </row>
    <row r="1004" spans="1:4" x14ac:dyDescent="0.2">
      <c r="A1004" s="109">
        <v>871</v>
      </c>
      <c r="B1004" s="110">
        <v>14066</v>
      </c>
      <c r="C1004" s="111" t="s">
        <v>407</v>
      </c>
      <c r="D1004" s="112">
        <v>2</v>
      </c>
    </row>
    <row r="1005" spans="1:4" x14ac:dyDescent="0.2">
      <c r="A1005" s="109">
        <v>871</v>
      </c>
      <c r="B1005" s="110">
        <v>14067</v>
      </c>
      <c r="C1005" s="111" t="s">
        <v>407</v>
      </c>
      <c r="D1005" s="112">
        <v>1</v>
      </c>
    </row>
    <row r="1006" spans="1:4" x14ac:dyDescent="0.2">
      <c r="A1006" s="109">
        <v>872</v>
      </c>
      <c r="B1006" s="110">
        <v>14068</v>
      </c>
      <c r="C1006" s="111" t="s">
        <v>408</v>
      </c>
      <c r="D1006" s="112" t="s">
        <v>220</v>
      </c>
    </row>
    <row r="1007" spans="1:4" x14ac:dyDescent="0.2">
      <c r="A1007" s="109">
        <v>873</v>
      </c>
      <c r="B1007" s="110">
        <v>14078</v>
      </c>
      <c r="C1007" s="111" t="s">
        <v>407</v>
      </c>
      <c r="D1007" s="112">
        <v>2</v>
      </c>
    </row>
    <row r="1008" spans="1:4" x14ac:dyDescent="0.2">
      <c r="A1008" s="109">
        <v>873</v>
      </c>
      <c r="B1008" s="110">
        <v>14079</v>
      </c>
      <c r="C1008" s="111" t="s">
        <v>407</v>
      </c>
      <c r="D1008" s="112">
        <v>1</v>
      </c>
    </row>
    <row r="1009" spans="1:4" x14ac:dyDescent="0.2">
      <c r="A1009" s="109">
        <v>874</v>
      </c>
      <c r="B1009" s="110">
        <v>14080</v>
      </c>
      <c r="C1009" s="111" t="s">
        <v>408</v>
      </c>
      <c r="D1009" s="112" t="s">
        <v>220</v>
      </c>
    </row>
    <row r="1010" spans="1:4" x14ac:dyDescent="0.2">
      <c r="A1010" s="109">
        <v>875</v>
      </c>
      <c r="B1010" s="110">
        <v>14100</v>
      </c>
      <c r="C1010" s="111" t="s">
        <v>407</v>
      </c>
      <c r="D1010" s="112">
        <v>2</v>
      </c>
    </row>
    <row r="1011" spans="1:4" x14ac:dyDescent="0.2">
      <c r="A1011" s="109">
        <v>875</v>
      </c>
      <c r="B1011" s="110">
        <v>14101</v>
      </c>
      <c r="C1011" s="111" t="s">
        <v>407</v>
      </c>
      <c r="D1011" s="112">
        <v>1</v>
      </c>
    </row>
    <row r="1012" spans="1:4" x14ac:dyDescent="0.2">
      <c r="A1012" s="109">
        <v>876</v>
      </c>
      <c r="B1012" s="110">
        <v>14102</v>
      </c>
      <c r="C1012" s="111" t="s">
        <v>408</v>
      </c>
      <c r="D1012" s="112" t="s">
        <v>220</v>
      </c>
    </row>
    <row r="1013" spans="1:4" x14ac:dyDescent="0.2">
      <c r="A1013" s="109">
        <v>877</v>
      </c>
      <c r="B1013" s="110">
        <v>14123</v>
      </c>
      <c r="C1013" s="111" t="s">
        <v>407</v>
      </c>
      <c r="D1013" s="112">
        <v>2</v>
      </c>
    </row>
    <row r="1014" spans="1:4" x14ac:dyDescent="0.2">
      <c r="A1014" s="109">
        <v>877</v>
      </c>
      <c r="B1014" s="110">
        <v>14124</v>
      </c>
      <c r="C1014" s="111" t="s">
        <v>407</v>
      </c>
      <c r="D1014" s="112">
        <v>1</v>
      </c>
    </row>
    <row r="1015" spans="1:4" x14ac:dyDescent="0.2">
      <c r="A1015" s="109">
        <v>878</v>
      </c>
      <c r="B1015" s="110">
        <v>14125</v>
      </c>
      <c r="C1015" s="111" t="s">
        <v>408</v>
      </c>
      <c r="D1015" s="112" t="s">
        <v>220</v>
      </c>
    </row>
    <row r="1016" spans="1:4" x14ac:dyDescent="0.2">
      <c r="A1016" s="109">
        <v>879</v>
      </c>
      <c r="B1016" s="110">
        <v>14126</v>
      </c>
      <c r="C1016" s="111" t="s">
        <v>407</v>
      </c>
      <c r="D1016" s="112">
        <v>2</v>
      </c>
    </row>
    <row r="1017" spans="1:4" x14ac:dyDescent="0.2">
      <c r="A1017" s="109">
        <v>879</v>
      </c>
      <c r="B1017" s="110">
        <v>14127</v>
      </c>
      <c r="C1017" s="111" t="s">
        <v>407</v>
      </c>
      <c r="D1017" s="112">
        <v>1</v>
      </c>
    </row>
    <row r="1018" spans="1:4" x14ac:dyDescent="0.2">
      <c r="A1018" s="109">
        <v>880</v>
      </c>
      <c r="B1018" s="110">
        <v>14128</v>
      </c>
      <c r="C1018" s="111" t="s">
        <v>408</v>
      </c>
      <c r="D1018" s="112" t="s">
        <v>220</v>
      </c>
    </row>
    <row r="1019" spans="1:4" x14ac:dyDescent="0.2">
      <c r="A1019" s="109">
        <v>881</v>
      </c>
      <c r="B1019" s="110">
        <v>14129</v>
      </c>
      <c r="C1019" s="111" t="s">
        <v>407</v>
      </c>
      <c r="D1019" s="112">
        <v>2</v>
      </c>
    </row>
    <row r="1020" spans="1:4" x14ac:dyDescent="0.2">
      <c r="A1020" s="109">
        <v>881</v>
      </c>
      <c r="B1020" s="110">
        <v>14130</v>
      </c>
      <c r="C1020" s="111" t="s">
        <v>407</v>
      </c>
      <c r="D1020" s="112">
        <v>1</v>
      </c>
    </row>
    <row r="1021" spans="1:4" x14ac:dyDescent="0.2">
      <c r="A1021" s="109">
        <v>882</v>
      </c>
      <c r="B1021" s="110">
        <v>14131</v>
      </c>
      <c r="C1021" s="111" t="s">
        <v>408</v>
      </c>
      <c r="D1021" s="112" t="s">
        <v>220</v>
      </c>
    </row>
    <row r="1022" spans="1:4" x14ac:dyDescent="0.2">
      <c r="A1022" s="109">
        <v>883</v>
      </c>
      <c r="B1022" s="110">
        <v>14132</v>
      </c>
      <c r="C1022" s="111" t="s">
        <v>407</v>
      </c>
      <c r="D1022" s="112">
        <v>2</v>
      </c>
    </row>
    <row r="1023" spans="1:4" x14ac:dyDescent="0.2">
      <c r="A1023" s="109">
        <v>883</v>
      </c>
      <c r="B1023" s="110">
        <v>14133</v>
      </c>
      <c r="C1023" s="111" t="s">
        <v>407</v>
      </c>
      <c r="D1023" s="112">
        <v>1</v>
      </c>
    </row>
    <row r="1024" spans="1:4" x14ac:dyDescent="0.2">
      <c r="A1024" s="109">
        <v>884</v>
      </c>
      <c r="B1024" s="110">
        <v>14134</v>
      </c>
      <c r="C1024" s="111" t="s">
        <v>408</v>
      </c>
      <c r="D1024" s="112" t="s">
        <v>220</v>
      </c>
    </row>
    <row r="1025" spans="1:4" x14ac:dyDescent="0.2">
      <c r="A1025" s="109">
        <v>885</v>
      </c>
      <c r="B1025" s="110">
        <v>14135</v>
      </c>
      <c r="C1025" s="111" t="s">
        <v>407</v>
      </c>
      <c r="D1025" s="112">
        <v>2</v>
      </c>
    </row>
    <row r="1026" spans="1:4" x14ac:dyDescent="0.2">
      <c r="A1026" s="109">
        <v>885</v>
      </c>
      <c r="B1026" s="110">
        <v>14136</v>
      </c>
      <c r="C1026" s="111" t="s">
        <v>407</v>
      </c>
      <c r="D1026" s="112">
        <v>1</v>
      </c>
    </row>
    <row r="1027" spans="1:4" x14ac:dyDescent="0.2">
      <c r="A1027" s="109">
        <v>886</v>
      </c>
      <c r="B1027" s="110">
        <v>14137</v>
      </c>
      <c r="C1027" s="111" t="s">
        <v>408</v>
      </c>
      <c r="D1027" s="112" t="s">
        <v>220</v>
      </c>
    </row>
    <row r="1028" spans="1:4" x14ac:dyDescent="0.2">
      <c r="A1028" s="109">
        <v>887</v>
      </c>
      <c r="B1028" s="110">
        <v>14144</v>
      </c>
      <c r="C1028" s="111" t="s">
        <v>407</v>
      </c>
      <c r="D1028" s="112">
        <v>2</v>
      </c>
    </row>
    <row r="1029" spans="1:4" x14ac:dyDescent="0.2">
      <c r="A1029" s="109">
        <v>887</v>
      </c>
      <c r="B1029" s="110">
        <v>14145</v>
      </c>
      <c r="C1029" s="111" t="s">
        <v>407</v>
      </c>
      <c r="D1029" s="112">
        <v>1</v>
      </c>
    </row>
    <row r="1030" spans="1:4" x14ac:dyDescent="0.2">
      <c r="A1030" s="109">
        <v>888</v>
      </c>
      <c r="B1030" s="110">
        <v>14146</v>
      </c>
      <c r="C1030" s="111" t="s">
        <v>408</v>
      </c>
      <c r="D1030" s="112" t="s">
        <v>220</v>
      </c>
    </row>
    <row r="1031" spans="1:4" x14ac:dyDescent="0.2">
      <c r="A1031" s="109">
        <v>889</v>
      </c>
      <c r="B1031" s="110">
        <v>278</v>
      </c>
      <c r="C1031" s="111" t="s">
        <v>407</v>
      </c>
      <c r="D1031" s="112">
        <v>2</v>
      </c>
    </row>
    <row r="1032" spans="1:4" x14ac:dyDescent="0.2">
      <c r="A1032" s="109">
        <v>889</v>
      </c>
      <c r="B1032" s="110">
        <v>289</v>
      </c>
      <c r="C1032" s="111" t="s">
        <v>407</v>
      </c>
      <c r="D1032" s="112">
        <v>1</v>
      </c>
    </row>
    <row r="1033" spans="1:4" x14ac:dyDescent="0.2">
      <c r="A1033" s="109">
        <v>890</v>
      </c>
      <c r="B1033" s="110">
        <v>14028</v>
      </c>
      <c r="C1033" s="111" t="s">
        <v>408</v>
      </c>
      <c r="D1033" s="112" t="s">
        <v>220</v>
      </c>
    </row>
    <row r="1034" spans="1:4" x14ac:dyDescent="0.2">
      <c r="A1034" s="109">
        <v>891</v>
      </c>
      <c r="B1034" s="110">
        <v>14099</v>
      </c>
      <c r="C1034" s="111" t="s">
        <v>408</v>
      </c>
      <c r="D1034" s="112" t="s">
        <v>220</v>
      </c>
    </row>
    <row r="1035" spans="1:4" x14ac:dyDescent="0.2">
      <c r="A1035" s="109">
        <v>892</v>
      </c>
      <c r="B1035" s="110">
        <v>14119</v>
      </c>
      <c r="C1035" s="111" t="s">
        <v>408</v>
      </c>
      <c r="D1035" s="112" t="s">
        <v>220</v>
      </c>
    </row>
    <row r="1036" spans="1:4" x14ac:dyDescent="0.2">
      <c r="A1036" s="109">
        <v>893</v>
      </c>
      <c r="B1036" s="110">
        <v>14120</v>
      </c>
      <c r="C1036" s="111" t="s">
        <v>408</v>
      </c>
      <c r="D1036" s="112" t="s">
        <v>220</v>
      </c>
    </row>
    <row r="1037" spans="1:4" x14ac:dyDescent="0.2">
      <c r="A1037" s="109">
        <v>894</v>
      </c>
      <c r="B1037" s="110">
        <v>300</v>
      </c>
      <c r="C1037" s="111" t="s">
        <v>365</v>
      </c>
      <c r="D1037" s="112" t="s">
        <v>220</v>
      </c>
    </row>
    <row r="1038" spans="1:4" x14ac:dyDescent="0.2">
      <c r="A1038" s="109">
        <v>895</v>
      </c>
      <c r="B1038" s="110">
        <v>311</v>
      </c>
      <c r="C1038" s="111" t="s">
        <v>365</v>
      </c>
      <c r="D1038" s="112" t="s">
        <v>220</v>
      </c>
    </row>
    <row r="1039" spans="1:4" x14ac:dyDescent="0.2">
      <c r="A1039" s="109">
        <v>896</v>
      </c>
      <c r="B1039" s="110">
        <v>312</v>
      </c>
      <c r="C1039" s="111" t="s">
        <v>365</v>
      </c>
      <c r="D1039" s="112" t="s">
        <v>220</v>
      </c>
    </row>
    <row r="1040" spans="1:4" x14ac:dyDescent="0.2">
      <c r="A1040" s="109">
        <v>897</v>
      </c>
      <c r="B1040" s="110">
        <v>14097</v>
      </c>
      <c r="C1040" s="111" t="s">
        <v>408</v>
      </c>
      <c r="D1040" s="112" t="s">
        <v>220</v>
      </c>
    </row>
    <row r="1041" spans="1:4" x14ac:dyDescent="0.2">
      <c r="A1041" s="109">
        <v>898</v>
      </c>
      <c r="B1041" s="110">
        <v>14098</v>
      </c>
      <c r="C1041" s="111" t="s">
        <v>408</v>
      </c>
      <c r="D1041" s="112" t="s">
        <v>220</v>
      </c>
    </row>
    <row r="1042" spans="1:4" x14ac:dyDescent="0.2">
      <c r="A1042" s="109">
        <v>899</v>
      </c>
      <c r="B1042" s="110">
        <v>281</v>
      </c>
      <c r="C1042" s="111" t="s">
        <v>409</v>
      </c>
      <c r="D1042" s="112" t="s">
        <v>220</v>
      </c>
    </row>
    <row r="1043" spans="1:4" x14ac:dyDescent="0.2">
      <c r="A1043" s="109">
        <v>900</v>
      </c>
      <c r="B1043" s="110">
        <v>282</v>
      </c>
      <c r="C1043" s="111" t="s">
        <v>409</v>
      </c>
      <c r="D1043" s="112" t="s">
        <v>220</v>
      </c>
    </row>
    <row r="1044" spans="1:4" x14ac:dyDescent="0.2">
      <c r="A1044" s="109">
        <v>901</v>
      </c>
      <c r="B1044" s="110">
        <v>283</v>
      </c>
      <c r="C1044" s="111" t="s">
        <v>409</v>
      </c>
      <c r="D1044" s="112" t="s">
        <v>220</v>
      </c>
    </row>
    <row r="1045" spans="1:4" x14ac:dyDescent="0.2">
      <c r="A1045" s="109">
        <v>902</v>
      </c>
      <c r="B1045" s="110">
        <v>284</v>
      </c>
      <c r="C1045" s="111" t="s">
        <v>409</v>
      </c>
      <c r="D1045" s="112" t="s">
        <v>220</v>
      </c>
    </row>
    <row r="1046" spans="1:4" x14ac:dyDescent="0.2">
      <c r="A1046" s="109">
        <v>903</v>
      </c>
      <c r="B1046" s="110">
        <v>285</v>
      </c>
      <c r="C1046" s="111" t="s">
        <v>409</v>
      </c>
      <c r="D1046" s="112" t="s">
        <v>220</v>
      </c>
    </row>
    <row r="1047" spans="1:4" x14ac:dyDescent="0.2">
      <c r="A1047" s="109">
        <v>904</v>
      </c>
      <c r="B1047" s="110">
        <v>286</v>
      </c>
      <c r="C1047" s="111" t="s">
        <v>410</v>
      </c>
      <c r="D1047" s="112" t="s">
        <v>220</v>
      </c>
    </row>
    <row r="1048" spans="1:4" x14ac:dyDescent="0.2">
      <c r="A1048" s="109">
        <v>905</v>
      </c>
      <c r="B1048" s="110">
        <v>287</v>
      </c>
      <c r="C1048" s="111" t="s">
        <v>410</v>
      </c>
      <c r="D1048" s="112" t="s">
        <v>220</v>
      </c>
    </row>
    <row r="1049" spans="1:4" x14ac:dyDescent="0.2">
      <c r="A1049" s="109">
        <v>906</v>
      </c>
      <c r="B1049" s="110">
        <v>288</v>
      </c>
      <c r="C1049" s="111" t="s">
        <v>410</v>
      </c>
      <c r="D1049" s="112" t="s">
        <v>220</v>
      </c>
    </row>
    <row r="1050" spans="1:4" x14ac:dyDescent="0.2">
      <c r="A1050" s="109">
        <v>907</v>
      </c>
      <c r="B1050" s="110">
        <v>292</v>
      </c>
      <c r="C1050" s="111" t="s">
        <v>411</v>
      </c>
      <c r="D1050" s="112" t="s">
        <v>220</v>
      </c>
    </row>
    <row r="1051" spans="1:4" x14ac:dyDescent="0.2">
      <c r="A1051" s="109">
        <v>908</v>
      </c>
      <c r="B1051" s="110">
        <v>293</v>
      </c>
      <c r="C1051" s="111" t="s">
        <v>411</v>
      </c>
      <c r="D1051" s="112" t="s">
        <v>220</v>
      </c>
    </row>
    <row r="1052" spans="1:4" x14ac:dyDescent="0.2">
      <c r="A1052" s="109">
        <v>909</v>
      </c>
      <c r="B1052" s="110">
        <v>294</v>
      </c>
      <c r="C1052" s="111" t="s">
        <v>411</v>
      </c>
      <c r="D1052" s="112" t="s">
        <v>220</v>
      </c>
    </row>
    <row r="1053" spans="1:4" x14ac:dyDescent="0.2">
      <c r="A1053" s="109">
        <v>910</v>
      </c>
      <c r="B1053" s="110">
        <v>295</v>
      </c>
      <c r="C1053" s="111" t="s">
        <v>411</v>
      </c>
      <c r="D1053" s="112" t="s">
        <v>220</v>
      </c>
    </row>
    <row r="1054" spans="1:4" x14ac:dyDescent="0.2">
      <c r="A1054" s="109">
        <v>911</v>
      </c>
      <c r="B1054" s="110">
        <v>296</v>
      </c>
      <c r="C1054" s="111" t="s">
        <v>411</v>
      </c>
      <c r="D1054" s="112" t="s">
        <v>220</v>
      </c>
    </row>
    <row r="1055" spans="1:4" x14ac:dyDescent="0.2">
      <c r="A1055" s="109">
        <v>912</v>
      </c>
      <c r="B1055" s="110">
        <v>297</v>
      </c>
      <c r="C1055" s="111" t="s">
        <v>411</v>
      </c>
      <c r="D1055" s="112" t="s">
        <v>220</v>
      </c>
    </row>
    <row r="1056" spans="1:4" x14ac:dyDescent="0.2">
      <c r="A1056" s="109">
        <v>913</v>
      </c>
      <c r="B1056" s="110">
        <v>298</v>
      </c>
      <c r="C1056" s="111" t="s">
        <v>411</v>
      </c>
      <c r="D1056" s="112" t="s">
        <v>220</v>
      </c>
    </row>
    <row r="1057" spans="1:4" x14ac:dyDescent="0.2">
      <c r="A1057" s="109">
        <v>914</v>
      </c>
      <c r="B1057" s="110">
        <v>299</v>
      </c>
      <c r="C1057" s="111" t="s">
        <v>412</v>
      </c>
      <c r="D1057" s="112">
        <v>1</v>
      </c>
    </row>
    <row r="1058" spans="1:4" x14ac:dyDescent="0.2">
      <c r="A1058" s="109">
        <v>915</v>
      </c>
      <c r="B1058" s="110">
        <v>313</v>
      </c>
      <c r="C1058" s="111" t="s">
        <v>365</v>
      </c>
      <c r="D1058" s="112">
        <v>2</v>
      </c>
    </row>
    <row r="1059" spans="1:4" x14ac:dyDescent="0.2">
      <c r="A1059" s="109">
        <v>915</v>
      </c>
      <c r="B1059" s="110">
        <v>314</v>
      </c>
      <c r="C1059" s="111" t="s">
        <v>365</v>
      </c>
      <c r="D1059" s="112">
        <v>1</v>
      </c>
    </row>
    <row r="1060" spans="1:4" x14ac:dyDescent="0.2">
      <c r="A1060" s="109">
        <v>916</v>
      </c>
      <c r="B1060" s="110">
        <v>315</v>
      </c>
      <c r="C1060" s="111" t="s">
        <v>365</v>
      </c>
      <c r="D1060" s="112">
        <v>2</v>
      </c>
    </row>
    <row r="1061" spans="1:4" x14ac:dyDescent="0.2">
      <c r="A1061" s="109">
        <v>916</v>
      </c>
      <c r="B1061" s="110">
        <v>316</v>
      </c>
      <c r="C1061" s="111" t="s">
        <v>365</v>
      </c>
      <c r="D1061" s="112">
        <v>1</v>
      </c>
    </row>
    <row r="1062" spans="1:4" x14ac:dyDescent="0.2">
      <c r="A1062" s="109">
        <v>917</v>
      </c>
      <c r="B1062" s="110">
        <v>279</v>
      </c>
      <c r="C1062" s="111" t="s">
        <v>365</v>
      </c>
      <c r="D1062" s="112">
        <v>2</v>
      </c>
    </row>
    <row r="1063" spans="1:4" x14ac:dyDescent="0.2">
      <c r="A1063" s="109">
        <v>917</v>
      </c>
      <c r="B1063" s="110">
        <v>280</v>
      </c>
      <c r="C1063" s="111" t="s">
        <v>365</v>
      </c>
      <c r="D1063" s="112">
        <v>1</v>
      </c>
    </row>
    <row r="1064" spans="1:4" x14ac:dyDescent="0.2">
      <c r="A1064" s="109">
        <v>918</v>
      </c>
      <c r="B1064" s="110">
        <v>290</v>
      </c>
      <c r="C1064" s="111" t="s">
        <v>300</v>
      </c>
      <c r="D1064" s="112">
        <v>1</v>
      </c>
    </row>
    <row r="1065" spans="1:4" x14ac:dyDescent="0.2">
      <c r="A1065" s="109">
        <v>918</v>
      </c>
      <c r="B1065" s="110">
        <v>291</v>
      </c>
      <c r="C1065" s="111" t="s">
        <v>300</v>
      </c>
      <c r="D1065" s="112">
        <v>1</v>
      </c>
    </row>
    <row r="1066" spans="1:4" x14ac:dyDescent="0.2">
      <c r="A1066" s="109">
        <v>919</v>
      </c>
      <c r="B1066" s="110">
        <v>57</v>
      </c>
      <c r="C1066" s="111" t="s">
        <v>413</v>
      </c>
      <c r="D1066" s="112">
        <v>1</v>
      </c>
    </row>
    <row r="1067" spans="1:4" x14ac:dyDescent="0.2">
      <c r="A1067" s="109">
        <v>919</v>
      </c>
      <c r="B1067" s="110">
        <v>278</v>
      </c>
      <c r="C1067" s="111" t="s">
        <v>413</v>
      </c>
      <c r="D1067" s="112">
        <v>2</v>
      </c>
    </row>
    <row r="1068" spans="1:4" x14ac:dyDescent="0.2">
      <c r="A1068" s="109">
        <v>920</v>
      </c>
      <c r="B1068" s="110">
        <v>57</v>
      </c>
      <c r="C1068" s="111" t="s">
        <v>413</v>
      </c>
      <c r="D1068" s="112">
        <v>1</v>
      </c>
    </row>
    <row r="1069" spans="1:4" x14ac:dyDescent="0.2">
      <c r="A1069" s="109">
        <v>920</v>
      </c>
      <c r="B1069" s="110">
        <v>278</v>
      </c>
      <c r="C1069" s="111" t="s">
        <v>413</v>
      </c>
      <c r="D1069" s="112">
        <v>2</v>
      </c>
    </row>
    <row r="1070" spans="1:4" x14ac:dyDescent="0.2">
      <c r="A1070" s="109">
        <v>922</v>
      </c>
      <c r="B1070" s="110">
        <v>301</v>
      </c>
      <c r="C1070" s="111" t="s">
        <v>323</v>
      </c>
      <c r="D1070" s="112">
        <v>1</v>
      </c>
    </row>
    <row r="1071" spans="1:4" x14ac:dyDescent="0.2">
      <c r="A1071" s="109">
        <v>923</v>
      </c>
      <c r="B1071" s="110">
        <v>302</v>
      </c>
      <c r="C1071" s="111" t="s">
        <v>323</v>
      </c>
      <c r="D1071" s="112">
        <v>1</v>
      </c>
    </row>
    <row r="1072" spans="1:4" x14ac:dyDescent="0.2">
      <c r="A1072" s="109">
        <v>924</v>
      </c>
      <c r="B1072" s="110">
        <v>303</v>
      </c>
      <c r="C1072" s="111" t="s">
        <v>323</v>
      </c>
      <c r="D1072" s="112">
        <v>1</v>
      </c>
    </row>
    <row r="1073" spans="1:4" x14ac:dyDescent="0.2">
      <c r="A1073" s="109">
        <v>925</v>
      </c>
      <c r="B1073" s="110">
        <v>259</v>
      </c>
      <c r="C1073" s="111" t="s">
        <v>414</v>
      </c>
      <c r="D1073" s="112" t="s">
        <v>353</v>
      </c>
    </row>
    <row r="1074" spans="1:4" x14ac:dyDescent="0.2">
      <c r="A1074" s="109">
        <v>925</v>
      </c>
      <c r="B1074" s="110">
        <v>307</v>
      </c>
      <c r="C1074" s="111" t="s">
        <v>414</v>
      </c>
      <c r="D1074" s="112" t="s">
        <v>353</v>
      </c>
    </row>
    <row r="1075" spans="1:4" x14ac:dyDescent="0.2">
      <c r="A1075" s="109">
        <v>926</v>
      </c>
      <c r="B1075" s="110">
        <v>261</v>
      </c>
      <c r="C1075" s="111" t="s">
        <v>354</v>
      </c>
      <c r="D1075" s="112" t="s">
        <v>353</v>
      </c>
    </row>
    <row r="1076" spans="1:4" x14ac:dyDescent="0.2">
      <c r="A1076" s="109">
        <v>926</v>
      </c>
      <c r="B1076" s="110">
        <v>308</v>
      </c>
      <c r="C1076" s="111" t="s">
        <v>354</v>
      </c>
      <c r="D1076" s="112" t="s">
        <v>353</v>
      </c>
    </row>
    <row r="1077" spans="1:4" x14ac:dyDescent="0.2">
      <c r="A1077" s="109">
        <v>927</v>
      </c>
      <c r="B1077" s="110">
        <v>263</v>
      </c>
      <c r="C1077" s="111" t="s">
        <v>356</v>
      </c>
      <c r="D1077" s="112" t="s">
        <v>353</v>
      </c>
    </row>
    <row r="1078" spans="1:4" x14ac:dyDescent="0.2">
      <c r="A1078" s="109">
        <v>927</v>
      </c>
      <c r="B1078" s="110">
        <v>309</v>
      </c>
      <c r="C1078" s="111" t="s">
        <v>356</v>
      </c>
      <c r="D1078" s="112" t="s">
        <v>353</v>
      </c>
    </row>
    <row r="1079" spans="1:4" x14ac:dyDescent="0.2">
      <c r="A1079" s="109">
        <v>928</v>
      </c>
      <c r="B1079" s="110">
        <v>265</v>
      </c>
      <c r="C1079" s="111" t="s">
        <v>355</v>
      </c>
      <c r="D1079" s="112" t="s">
        <v>353</v>
      </c>
    </row>
    <row r="1080" spans="1:4" x14ac:dyDescent="0.2">
      <c r="A1080" s="109">
        <v>928</v>
      </c>
      <c r="B1080" s="110">
        <v>310</v>
      </c>
      <c r="C1080" s="111" t="s">
        <v>355</v>
      </c>
      <c r="D1080" s="112" t="s">
        <v>353</v>
      </c>
    </row>
    <row r="1081" spans="1:4" x14ac:dyDescent="0.2">
      <c r="A1081" s="109">
        <v>929</v>
      </c>
      <c r="B1081" s="110">
        <v>14041</v>
      </c>
      <c r="C1081" s="111" t="s">
        <v>409</v>
      </c>
      <c r="D1081" s="112" t="s">
        <v>220</v>
      </c>
    </row>
    <row r="1082" spans="1:4" x14ac:dyDescent="0.2">
      <c r="A1082" s="109">
        <v>930</v>
      </c>
      <c r="B1082" s="110">
        <v>14053</v>
      </c>
      <c r="C1082" s="111" t="s">
        <v>409</v>
      </c>
      <c r="D1082" s="112" t="s">
        <v>220</v>
      </c>
    </row>
    <row r="1083" spans="1:4" x14ac:dyDescent="0.2">
      <c r="A1083" s="109">
        <v>931</v>
      </c>
      <c r="B1083" s="110">
        <v>14056</v>
      </c>
      <c r="C1083" s="111" t="s">
        <v>409</v>
      </c>
      <c r="D1083" s="112" t="s">
        <v>220</v>
      </c>
    </row>
    <row r="1084" spans="1:4" x14ac:dyDescent="0.2">
      <c r="A1084" s="109">
        <v>932</v>
      </c>
      <c r="B1084" s="110">
        <v>191</v>
      </c>
      <c r="C1084" s="111" t="s">
        <v>415</v>
      </c>
      <c r="D1084" s="112">
        <v>2</v>
      </c>
    </row>
    <row r="1085" spans="1:4" x14ac:dyDescent="0.2">
      <c r="A1085" s="109">
        <v>932</v>
      </c>
      <c r="B1085" s="110">
        <v>353</v>
      </c>
      <c r="C1085" s="111" t="s">
        <v>415</v>
      </c>
      <c r="D1085" s="112">
        <v>1</v>
      </c>
    </row>
    <row r="1086" spans="1:4" x14ac:dyDescent="0.2">
      <c r="A1086" s="109">
        <v>932</v>
      </c>
      <c r="B1086" s="110">
        <v>354</v>
      </c>
      <c r="C1086" s="111" t="s">
        <v>415</v>
      </c>
      <c r="D1086" s="112">
        <v>1</v>
      </c>
    </row>
    <row r="1087" spans="1:4" x14ac:dyDescent="0.2">
      <c r="A1087" s="109">
        <v>932</v>
      </c>
      <c r="B1087" s="110">
        <v>355</v>
      </c>
      <c r="C1087" s="111" t="s">
        <v>415</v>
      </c>
      <c r="D1087" s="112">
        <v>1</v>
      </c>
    </row>
    <row r="1088" spans="1:4" x14ac:dyDescent="0.2">
      <c r="A1088" s="109">
        <v>933</v>
      </c>
      <c r="B1088" s="110">
        <v>14147</v>
      </c>
      <c r="C1088" s="111" t="s">
        <v>407</v>
      </c>
      <c r="D1088" s="112">
        <v>2</v>
      </c>
    </row>
    <row r="1089" spans="1:4" x14ac:dyDescent="0.2">
      <c r="A1089" s="109">
        <v>933</v>
      </c>
      <c r="B1089" s="110">
        <v>14148</v>
      </c>
      <c r="C1089" s="111" t="s">
        <v>407</v>
      </c>
      <c r="D1089" s="112">
        <v>1</v>
      </c>
    </row>
    <row r="1090" spans="1:4" x14ac:dyDescent="0.2">
      <c r="A1090" s="109">
        <v>934</v>
      </c>
      <c r="B1090" s="110">
        <v>14149</v>
      </c>
      <c r="C1090" s="111" t="s">
        <v>408</v>
      </c>
      <c r="D1090" s="112" t="s">
        <v>220</v>
      </c>
    </row>
    <row r="1091" spans="1:4" x14ac:dyDescent="0.2">
      <c r="A1091" s="109">
        <v>935</v>
      </c>
      <c r="B1091" s="110">
        <v>374</v>
      </c>
      <c r="C1091" s="111" t="s">
        <v>416</v>
      </c>
      <c r="D1091" s="112" t="s">
        <v>467</v>
      </c>
    </row>
    <row r="1092" spans="1:4" x14ac:dyDescent="0.2">
      <c r="A1092" s="109">
        <v>935</v>
      </c>
      <c r="B1092" s="110">
        <v>375</v>
      </c>
      <c r="C1092" s="111" t="s">
        <v>416</v>
      </c>
      <c r="D1092" s="112" t="s">
        <v>465</v>
      </c>
    </row>
    <row r="1093" spans="1:4" x14ac:dyDescent="0.2">
      <c r="A1093" s="109">
        <v>936</v>
      </c>
      <c r="B1093" s="110">
        <v>1422</v>
      </c>
      <c r="C1093" s="111" t="s">
        <v>416</v>
      </c>
      <c r="D1093" s="112">
        <v>1</v>
      </c>
    </row>
    <row r="1094" spans="1:4" x14ac:dyDescent="0.2">
      <c r="A1094" s="109">
        <v>936</v>
      </c>
      <c r="B1094" s="110">
        <v>1423</v>
      </c>
      <c r="C1094" s="111" t="s">
        <v>416</v>
      </c>
      <c r="D1094" s="112">
        <v>2</v>
      </c>
    </row>
    <row r="1095" spans="1:4" x14ac:dyDescent="0.2">
      <c r="A1095" s="109">
        <v>937</v>
      </c>
      <c r="B1095" s="110">
        <v>14150</v>
      </c>
      <c r="C1095" s="111" t="s">
        <v>416</v>
      </c>
      <c r="D1095" s="112">
        <v>2</v>
      </c>
    </row>
    <row r="1096" spans="1:4" x14ac:dyDescent="0.2">
      <c r="A1096" s="109">
        <v>937</v>
      </c>
      <c r="B1096" s="110">
        <v>14151</v>
      </c>
      <c r="C1096" s="111" t="s">
        <v>416</v>
      </c>
      <c r="D1096" s="112">
        <v>1</v>
      </c>
    </row>
    <row r="1097" spans="1:4" x14ac:dyDescent="0.2">
      <c r="A1097" s="109">
        <v>938</v>
      </c>
      <c r="B1097" s="110">
        <v>376</v>
      </c>
      <c r="C1097" s="111" t="s">
        <v>416</v>
      </c>
      <c r="D1097" s="112">
        <v>2</v>
      </c>
    </row>
    <row r="1098" spans="1:4" x14ac:dyDescent="0.2">
      <c r="A1098" s="109">
        <v>938</v>
      </c>
      <c r="B1098" s="110">
        <v>377</v>
      </c>
      <c r="C1098" s="111" t="s">
        <v>416</v>
      </c>
      <c r="D1098" s="112">
        <v>1</v>
      </c>
    </row>
    <row r="1099" spans="1:4" x14ac:dyDescent="0.2">
      <c r="A1099" s="109">
        <v>939</v>
      </c>
      <c r="B1099" s="110">
        <v>395</v>
      </c>
      <c r="C1099" s="111" t="s">
        <v>416</v>
      </c>
      <c r="D1099" s="112">
        <v>2</v>
      </c>
    </row>
    <row r="1100" spans="1:4" x14ac:dyDescent="0.2">
      <c r="A1100" s="109">
        <v>939</v>
      </c>
      <c r="B1100" s="110">
        <v>396</v>
      </c>
      <c r="C1100" s="111" t="s">
        <v>416</v>
      </c>
      <c r="D1100" s="112">
        <v>1</v>
      </c>
    </row>
    <row r="1101" spans="1:4" x14ac:dyDescent="0.2">
      <c r="A1101" s="109">
        <v>940</v>
      </c>
      <c r="B1101" s="110">
        <v>397</v>
      </c>
      <c r="C1101" s="111" t="s">
        <v>417</v>
      </c>
      <c r="D1101" s="112" t="s">
        <v>375</v>
      </c>
    </row>
    <row r="1102" spans="1:4" x14ac:dyDescent="0.2">
      <c r="A1102" s="109">
        <v>941</v>
      </c>
      <c r="B1102" s="110">
        <v>398</v>
      </c>
      <c r="C1102" s="111" t="s">
        <v>418</v>
      </c>
      <c r="D1102" s="112" t="s">
        <v>375</v>
      </c>
    </row>
    <row r="1103" spans="1:4" x14ac:dyDescent="0.2">
      <c r="A1103" s="109">
        <v>942</v>
      </c>
      <c r="B1103" s="110">
        <v>400</v>
      </c>
      <c r="C1103" s="111" t="s">
        <v>268</v>
      </c>
      <c r="D1103" s="112">
        <v>1</v>
      </c>
    </row>
    <row r="1104" spans="1:4" x14ac:dyDescent="0.2">
      <c r="A1104" s="109">
        <v>942</v>
      </c>
      <c r="B1104" s="110">
        <v>401</v>
      </c>
      <c r="C1104" s="111" t="s">
        <v>268</v>
      </c>
      <c r="D1104" s="112">
        <v>2</v>
      </c>
    </row>
    <row r="1105" spans="1:4" x14ac:dyDescent="0.2">
      <c r="A1105" s="109">
        <v>943</v>
      </c>
      <c r="B1105" s="110">
        <v>404</v>
      </c>
      <c r="C1105" s="111" t="s">
        <v>258</v>
      </c>
      <c r="D1105" s="112">
        <v>1</v>
      </c>
    </row>
    <row r="1106" spans="1:4" x14ac:dyDescent="0.2">
      <c r="A1106" s="109">
        <v>943</v>
      </c>
      <c r="B1106" s="110">
        <v>405</v>
      </c>
      <c r="C1106" s="111" t="s">
        <v>258</v>
      </c>
      <c r="D1106" s="112">
        <v>2</v>
      </c>
    </row>
    <row r="1107" spans="1:4" x14ac:dyDescent="0.2">
      <c r="A1107" s="109">
        <v>944</v>
      </c>
      <c r="B1107" s="110">
        <v>406</v>
      </c>
      <c r="C1107" s="111" t="s">
        <v>258</v>
      </c>
      <c r="D1107" s="112">
        <v>1</v>
      </c>
    </row>
    <row r="1108" spans="1:4" x14ac:dyDescent="0.2">
      <c r="A1108" s="109">
        <v>944</v>
      </c>
      <c r="B1108" s="110">
        <v>407</v>
      </c>
      <c r="C1108" s="111" t="s">
        <v>258</v>
      </c>
      <c r="D1108" s="112">
        <v>2</v>
      </c>
    </row>
    <row r="1109" spans="1:4" x14ac:dyDescent="0.2">
      <c r="A1109" s="109">
        <v>945</v>
      </c>
      <c r="B1109" s="110">
        <v>408</v>
      </c>
      <c r="C1109" s="111" t="s">
        <v>258</v>
      </c>
      <c r="D1109" s="112">
        <v>1</v>
      </c>
    </row>
    <row r="1110" spans="1:4" x14ac:dyDescent="0.2">
      <c r="A1110" s="109">
        <v>945</v>
      </c>
      <c r="B1110" s="110">
        <v>409</v>
      </c>
      <c r="C1110" s="111" t="s">
        <v>258</v>
      </c>
      <c r="D1110" s="112">
        <v>2</v>
      </c>
    </row>
    <row r="1111" spans="1:4" x14ac:dyDescent="0.2">
      <c r="A1111" s="109">
        <v>946</v>
      </c>
      <c r="B1111" s="110">
        <v>410</v>
      </c>
      <c r="C1111" s="111" t="s">
        <v>258</v>
      </c>
      <c r="D1111" s="112">
        <v>1</v>
      </c>
    </row>
    <row r="1112" spans="1:4" x14ac:dyDescent="0.2">
      <c r="A1112" s="109">
        <v>946</v>
      </c>
      <c r="B1112" s="110">
        <v>411</v>
      </c>
      <c r="C1112" s="111" t="s">
        <v>258</v>
      </c>
      <c r="D1112" s="112">
        <v>2</v>
      </c>
    </row>
    <row r="1113" spans="1:4" x14ac:dyDescent="0.2">
      <c r="A1113" s="109">
        <v>947</v>
      </c>
      <c r="B1113" s="110">
        <v>412</v>
      </c>
      <c r="C1113" s="111" t="s">
        <v>419</v>
      </c>
      <c r="D1113" s="112">
        <v>2</v>
      </c>
    </row>
    <row r="1114" spans="1:4" x14ac:dyDescent="0.2">
      <c r="A1114" s="109">
        <v>947</v>
      </c>
      <c r="B1114" s="110">
        <v>413</v>
      </c>
      <c r="C1114" s="111" t="s">
        <v>419</v>
      </c>
      <c r="D1114" s="112">
        <v>1</v>
      </c>
    </row>
    <row r="1115" spans="1:4" x14ac:dyDescent="0.2">
      <c r="A1115" s="109">
        <v>947</v>
      </c>
      <c r="B1115" s="110">
        <v>414</v>
      </c>
      <c r="C1115" s="111" t="s">
        <v>419</v>
      </c>
      <c r="D1115" s="112">
        <v>1</v>
      </c>
    </row>
    <row r="1116" spans="1:4" x14ac:dyDescent="0.2">
      <c r="A1116" s="109">
        <v>948</v>
      </c>
      <c r="B1116" s="110">
        <v>415</v>
      </c>
      <c r="C1116" s="111" t="s">
        <v>420</v>
      </c>
      <c r="D1116" s="112" t="s">
        <v>467</v>
      </c>
    </row>
    <row r="1117" spans="1:4" x14ac:dyDescent="0.2">
      <c r="A1117" s="109">
        <v>948</v>
      </c>
      <c r="B1117" s="110">
        <v>416</v>
      </c>
      <c r="C1117" s="111" t="s">
        <v>420</v>
      </c>
      <c r="D1117" s="112">
        <v>1</v>
      </c>
    </row>
    <row r="1118" spans="1:4" x14ac:dyDescent="0.2">
      <c r="A1118" s="109">
        <v>949</v>
      </c>
      <c r="B1118" s="110">
        <v>417</v>
      </c>
      <c r="C1118" s="111" t="s">
        <v>497</v>
      </c>
      <c r="D1118" s="112">
        <v>1</v>
      </c>
    </row>
    <row r="1119" spans="1:4" x14ac:dyDescent="0.2">
      <c r="A1119" s="109">
        <v>949</v>
      </c>
      <c r="B1119" s="110">
        <v>418</v>
      </c>
      <c r="C1119" s="111" t="s">
        <v>497</v>
      </c>
      <c r="D1119" s="112">
        <v>2</v>
      </c>
    </row>
    <row r="1120" spans="1:4" x14ac:dyDescent="0.2">
      <c r="A1120" s="109">
        <v>950</v>
      </c>
      <c r="B1120" s="110">
        <v>419</v>
      </c>
      <c r="C1120" s="111" t="s">
        <v>498</v>
      </c>
      <c r="D1120" s="112" t="s">
        <v>220</v>
      </c>
    </row>
    <row r="1121" spans="1:4" x14ac:dyDescent="0.2">
      <c r="A1121" s="109">
        <v>951</v>
      </c>
      <c r="B1121" s="110">
        <v>420</v>
      </c>
      <c r="C1121" s="111" t="s">
        <v>499</v>
      </c>
      <c r="D1121" s="112" t="s">
        <v>220</v>
      </c>
    </row>
    <row r="1122" spans="1:4" x14ac:dyDescent="0.2">
      <c r="A1122" s="109">
        <v>952</v>
      </c>
      <c r="B1122" s="110">
        <v>421</v>
      </c>
      <c r="C1122" s="111" t="s">
        <v>500</v>
      </c>
      <c r="D1122" s="112">
        <v>1</v>
      </c>
    </row>
    <row r="1123" spans="1:4" x14ac:dyDescent="0.2">
      <c r="A1123" s="109">
        <v>952</v>
      </c>
      <c r="B1123" s="110">
        <v>422</v>
      </c>
      <c r="C1123" s="111" t="s">
        <v>500</v>
      </c>
      <c r="D1123" s="112">
        <v>2</v>
      </c>
    </row>
    <row r="1124" spans="1:4" x14ac:dyDescent="0.2">
      <c r="A1124" s="109">
        <v>953</v>
      </c>
      <c r="B1124" s="110">
        <v>423</v>
      </c>
      <c r="C1124" s="111" t="s">
        <v>421</v>
      </c>
      <c r="D1124" s="112">
        <v>1</v>
      </c>
    </row>
    <row r="1125" spans="1:4" x14ac:dyDescent="0.2">
      <c r="A1125" s="109">
        <v>953</v>
      </c>
      <c r="B1125" s="110">
        <v>424</v>
      </c>
      <c r="C1125" s="111" t="s">
        <v>421</v>
      </c>
      <c r="D1125" s="112" t="s">
        <v>465</v>
      </c>
    </row>
    <row r="1126" spans="1:4" x14ac:dyDescent="0.2">
      <c r="A1126" s="109">
        <v>954</v>
      </c>
      <c r="B1126" s="110">
        <v>425</v>
      </c>
      <c r="C1126" s="111" t="s">
        <v>422</v>
      </c>
      <c r="D1126" s="112" t="s">
        <v>467</v>
      </c>
    </row>
    <row r="1127" spans="1:4" x14ac:dyDescent="0.2">
      <c r="A1127" s="109">
        <v>954</v>
      </c>
      <c r="B1127" s="110">
        <v>426</v>
      </c>
      <c r="C1127" s="111" t="s">
        <v>422</v>
      </c>
      <c r="D1127" s="112" t="s">
        <v>465</v>
      </c>
    </row>
    <row r="1128" spans="1:4" x14ac:dyDescent="0.2">
      <c r="A1128" s="109">
        <v>954</v>
      </c>
      <c r="B1128" s="110">
        <v>427</v>
      </c>
      <c r="C1128" s="111" t="s">
        <v>422</v>
      </c>
      <c r="D1128" s="112" t="s">
        <v>465</v>
      </c>
    </row>
    <row r="1129" spans="1:4" x14ac:dyDescent="0.2">
      <c r="A1129" s="109">
        <v>955</v>
      </c>
      <c r="B1129" s="110">
        <v>206</v>
      </c>
      <c r="C1129" s="111" t="s">
        <v>423</v>
      </c>
      <c r="D1129" s="112">
        <v>2</v>
      </c>
    </row>
    <row r="1130" spans="1:4" x14ac:dyDescent="0.2">
      <c r="A1130" s="109">
        <v>955</v>
      </c>
      <c r="B1130" s="110">
        <v>428</v>
      </c>
      <c r="C1130" s="111" t="s">
        <v>423</v>
      </c>
      <c r="D1130" s="112">
        <v>1</v>
      </c>
    </row>
    <row r="1131" spans="1:4" x14ac:dyDescent="0.2">
      <c r="A1131" s="109">
        <v>955</v>
      </c>
      <c r="B1131" s="110">
        <v>429</v>
      </c>
      <c r="C1131" s="111" t="s">
        <v>423</v>
      </c>
      <c r="D1131" s="112">
        <v>2</v>
      </c>
    </row>
    <row r="1132" spans="1:4" x14ac:dyDescent="0.2">
      <c r="A1132" s="109">
        <v>955</v>
      </c>
      <c r="B1132" s="110">
        <v>430</v>
      </c>
      <c r="C1132" s="111" t="s">
        <v>423</v>
      </c>
      <c r="D1132" s="112">
        <v>1</v>
      </c>
    </row>
    <row r="1133" spans="1:4" x14ac:dyDescent="0.2">
      <c r="A1133" s="109">
        <v>956</v>
      </c>
      <c r="B1133" s="110">
        <v>160</v>
      </c>
      <c r="C1133" s="111" t="s">
        <v>424</v>
      </c>
      <c r="D1133" s="112">
        <v>2</v>
      </c>
    </row>
    <row r="1134" spans="1:4" x14ac:dyDescent="0.2">
      <c r="A1134" s="109">
        <v>956</v>
      </c>
      <c r="B1134" s="110">
        <v>427</v>
      </c>
      <c r="C1134" s="111" t="s">
        <v>424</v>
      </c>
      <c r="D1134" s="112">
        <v>1</v>
      </c>
    </row>
    <row r="1135" spans="1:4" x14ac:dyDescent="0.2">
      <c r="A1135" s="109">
        <v>956</v>
      </c>
      <c r="B1135" s="110">
        <v>431</v>
      </c>
      <c r="C1135" s="111" t="s">
        <v>424</v>
      </c>
      <c r="D1135" s="112">
        <v>2</v>
      </c>
    </row>
    <row r="1136" spans="1:4" x14ac:dyDescent="0.2">
      <c r="A1136" s="109">
        <v>956</v>
      </c>
      <c r="B1136" s="110">
        <v>432</v>
      </c>
      <c r="C1136" s="111" t="s">
        <v>424</v>
      </c>
      <c r="D1136" s="112">
        <v>1</v>
      </c>
    </row>
    <row r="1137" spans="1:4" x14ac:dyDescent="0.2">
      <c r="A1137" s="109">
        <v>957</v>
      </c>
      <c r="B1137" s="110">
        <v>432</v>
      </c>
      <c r="C1137" s="111" t="s">
        <v>425</v>
      </c>
      <c r="D1137" s="112">
        <v>1</v>
      </c>
    </row>
    <row r="1138" spans="1:4" x14ac:dyDescent="0.2">
      <c r="A1138" s="109">
        <v>957</v>
      </c>
      <c r="B1138" s="110">
        <v>433</v>
      </c>
      <c r="C1138" s="111" t="s">
        <v>425</v>
      </c>
      <c r="D1138" s="112">
        <v>2</v>
      </c>
    </row>
    <row r="1139" spans="1:4" x14ac:dyDescent="0.2">
      <c r="A1139" s="109">
        <v>958</v>
      </c>
      <c r="B1139" s="110">
        <v>434</v>
      </c>
      <c r="C1139" s="111" t="s">
        <v>426</v>
      </c>
      <c r="D1139" s="112">
        <v>2</v>
      </c>
    </row>
    <row r="1140" spans="1:4" x14ac:dyDescent="0.2">
      <c r="A1140" s="109">
        <v>958</v>
      </c>
      <c r="B1140" s="110">
        <v>435</v>
      </c>
      <c r="C1140" s="111" t="s">
        <v>426</v>
      </c>
      <c r="D1140" s="112">
        <v>1</v>
      </c>
    </row>
    <row r="1141" spans="1:4" x14ac:dyDescent="0.2">
      <c r="A1141" s="109">
        <v>959</v>
      </c>
      <c r="B1141" s="110">
        <v>160</v>
      </c>
      <c r="C1141" s="111" t="s">
        <v>427</v>
      </c>
      <c r="D1141" s="112">
        <v>2</v>
      </c>
    </row>
    <row r="1142" spans="1:4" x14ac:dyDescent="0.2">
      <c r="A1142" s="109">
        <v>959</v>
      </c>
      <c r="B1142" s="110">
        <v>432</v>
      </c>
      <c r="C1142" s="111" t="s">
        <v>427</v>
      </c>
      <c r="D1142" s="112">
        <v>1</v>
      </c>
    </row>
    <row r="1143" spans="1:4" x14ac:dyDescent="0.2">
      <c r="A1143" s="109">
        <v>959</v>
      </c>
      <c r="B1143" s="110">
        <v>436</v>
      </c>
      <c r="C1143" s="111" t="s">
        <v>427</v>
      </c>
      <c r="D1143" s="112">
        <v>2</v>
      </c>
    </row>
    <row r="1144" spans="1:4" x14ac:dyDescent="0.2">
      <c r="A1144" s="109">
        <v>960</v>
      </c>
      <c r="B1144" s="110">
        <v>160</v>
      </c>
      <c r="C1144" s="111" t="s">
        <v>428</v>
      </c>
      <c r="D1144" s="112">
        <v>2</v>
      </c>
    </row>
    <row r="1145" spans="1:4" x14ac:dyDescent="0.2">
      <c r="A1145" s="109">
        <v>960</v>
      </c>
      <c r="B1145" s="110">
        <v>435</v>
      </c>
      <c r="C1145" s="111" t="s">
        <v>428</v>
      </c>
      <c r="D1145" s="112">
        <v>1</v>
      </c>
    </row>
    <row r="1146" spans="1:4" x14ac:dyDescent="0.2">
      <c r="A1146" s="109">
        <v>960</v>
      </c>
      <c r="B1146" s="110">
        <v>441</v>
      </c>
      <c r="C1146" s="111" t="s">
        <v>428</v>
      </c>
      <c r="D1146" s="112">
        <v>1</v>
      </c>
    </row>
    <row r="1147" spans="1:4" x14ac:dyDescent="0.2">
      <c r="A1147" s="109">
        <v>961</v>
      </c>
      <c r="B1147" s="110">
        <v>427</v>
      </c>
      <c r="C1147" s="111" t="s">
        <v>429</v>
      </c>
      <c r="D1147" s="112">
        <v>1</v>
      </c>
    </row>
    <row r="1148" spans="1:4" x14ac:dyDescent="0.2">
      <c r="A1148" s="109">
        <v>961</v>
      </c>
      <c r="B1148" s="110">
        <v>432</v>
      </c>
      <c r="C1148" s="111" t="s">
        <v>429</v>
      </c>
      <c r="D1148" s="112">
        <v>1</v>
      </c>
    </row>
    <row r="1149" spans="1:4" x14ac:dyDescent="0.2">
      <c r="A1149" s="109">
        <v>961</v>
      </c>
      <c r="B1149" s="110">
        <v>437</v>
      </c>
      <c r="C1149" s="111" t="s">
        <v>429</v>
      </c>
      <c r="D1149" s="112">
        <v>2</v>
      </c>
    </row>
    <row r="1150" spans="1:4" x14ac:dyDescent="0.2">
      <c r="A1150" s="109">
        <v>962</v>
      </c>
      <c r="B1150" s="110">
        <v>427</v>
      </c>
      <c r="C1150" s="111" t="s">
        <v>430</v>
      </c>
      <c r="D1150" s="112">
        <v>1</v>
      </c>
    </row>
    <row r="1151" spans="1:4" x14ac:dyDescent="0.2">
      <c r="A1151" s="109">
        <v>962</v>
      </c>
      <c r="B1151" s="110">
        <v>435</v>
      </c>
      <c r="C1151" s="111" t="s">
        <v>430</v>
      </c>
      <c r="D1151" s="112">
        <v>1</v>
      </c>
    </row>
    <row r="1152" spans="1:4" x14ac:dyDescent="0.2">
      <c r="A1152" s="109">
        <v>962</v>
      </c>
      <c r="B1152" s="110">
        <v>438</v>
      </c>
      <c r="C1152" s="111" t="s">
        <v>430</v>
      </c>
      <c r="D1152" s="112">
        <v>2</v>
      </c>
    </row>
    <row r="1153" spans="1:4" x14ac:dyDescent="0.2">
      <c r="A1153" s="109">
        <v>963</v>
      </c>
      <c r="B1153" s="110">
        <v>160</v>
      </c>
      <c r="C1153" s="111" t="s">
        <v>431</v>
      </c>
      <c r="D1153" s="112">
        <v>2</v>
      </c>
    </row>
    <row r="1154" spans="1:4" x14ac:dyDescent="0.2">
      <c r="A1154" s="109">
        <v>963</v>
      </c>
      <c r="B1154" s="110">
        <v>427</v>
      </c>
      <c r="C1154" s="111" t="s">
        <v>431</v>
      </c>
      <c r="D1154" s="112">
        <v>1</v>
      </c>
    </row>
    <row r="1155" spans="1:4" x14ac:dyDescent="0.2">
      <c r="A1155" s="109">
        <v>963</v>
      </c>
      <c r="B1155" s="110">
        <v>435</v>
      </c>
      <c r="C1155" s="111" t="s">
        <v>431</v>
      </c>
      <c r="D1155" s="112">
        <v>1</v>
      </c>
    </row>
    <row r="1156" spans="1:4" x14ac:dyDescent="0.2">
      <c r="A1156" s="109">
        <v>963</v>
      </c>
      <c r="B1156" s="110">
        <v>439</v>
      </c>
      <c r="C1156" s="111" t="s">
        <v>431</v>
      </c>
      <c r="D1156" s="112">
        <v>2</v>
      </c>
    </row>
    <row r="1157" spans="1:4" x14ac:dyDescent="0.2">
      <c r="A1157" s="109">
        <v>964</v>
      </c>
      <c r="B1157" s="110">
        <v>160</v>
      </c>
      <c r="C1157" s="111" t="s">
        <v>432</v>
      </c>
      <c r="D1157" s="112">
        <v>2</v>
      </c>
    </row>
    <row r="1158" spans="1:4" x14ac:dyDescent="0.2">
      <c r="A1158" s="109">
        <v>964</v>
      </c>
      <c r="B1158" s="110">
        <v>431</v>
      </c>
      <c r="C1158" s="111" t="s">
        <v>432</v>
      </c>
      <c r="D1158" s="112">
        <v>2</v>
      </c>
    </row>
    <row r="1159" spans="1:4" x14ac:dyDescent="0.2">
      <c r="A1159" s="109">
        <v>964</v>
      </c>
      <c r="B1159" s="110">
        <v>440</v>
      </c>
      <c r="C1159" s="111" t="s">
        <v>432</v>
      </c>
      <c r="D1159" s="112">
        <v>1</v>
      </c>
    </row>
    <row r="1160" spans="1:4" x14ac:dyDescent="0.2">
      <c r="A1160" s="109">
        <v>965</v>
      </c>
      <c r="B1160" s="110">
        <v>194</v>
      </c>
      <c r="C1160" s="111" t="s">
        <v>433</v>
      </c>
      <c r="D1160" s="112">
        <v>2</v>
      </c>
    </row>
    <row r="1161" spans="1:4" x14ac:dyDescent="0.2">
      <c r="A1161" s="109">
        <v>965</v>
      </c>
      <c r="B1161" s="110">
        <v>489</v>
      </c>
      <c r="C1161" s="111" t="s">
        <v>433</v>
      </c>
      <c r="D1161" s="112">
        <v>1</v>
      </c>
    </row>
    <row r="1162" spans="1:4" x14ac:dyDescent="0.2">
      <c r="A1162" s="109">
        <v>965</v>
      </c>
      <c r="B1162" s="110">
        <v>500</v>
      </c>
      <c r="C1162" s="111" t="s">
        <v>433</v>
      </c>
      <c r="D1162" s="112">
        <v>2</v>
      </c>
    </row>
    <row r="1163" spans="1:4" x14ac:dyDescent="0.2">
      <c r="A1163" s="109">
        <v>966</v>
      </c>
      <c r="B1163" s="110">
        <v>488</v>
      </c>
      <c r="C1163" s="111" t="s">
        <v>280</v>
      </c>
      <c r="D1163" s="112" t="s">
        <v>220</v>
      </c>
    </row>
    <row r="1164" spans="1:4" x14ac:dyDescent="0.2">
      <c r="A1164" s="109">
        <v>967</v>
      </c>
      <c r="B1164" s="110">
        <v>442</v>
      </c>
      <c r="C1164" s="111" t="s">
        <v>292</v>
      </c>
      <c r="D1164" s="112">
        <v>1</v>
      </c>
    </row>
    <row r="1165" spans="1:4" x14ac:dyDescent="0.2">
      <c r="A1165" s="109">
        <v>967</v>
      </c>
      <c r="B1165" s="110">
        <v>443</v>
      </c>
      <c r="C1165" s="111" t="s">
        <v>292</v>
      </c>
      <c r="D1165" s="112">
        <v>2</v>
      </c>
    </row>
    <row r="1166" spans="1:4" x14ac:dyDescent="0.2">
      <c r="A1166" s="109">
        <v>968</v>
      </c>
      <c r="B1166" s="110">
        <v>444</v>
      </c>
      <c r="C1166" s="111" t="s">
        <v>292</v>
      </c>
      <c r="D1166" s="112">
        <v>1</v>
      </c>
    </row>
    <row r="1167" spans="1:4" x14ac:dyDescent="0.2">
      <c r="A1167" s="109">
        <v>969</v>
      </c>
      <c r="B1167" s="110">
        <v>443</v>
      </c>
      <c r="C1167" s="111" t="s">
        <v>433</v>
      </c>
      <c r="D1167" s="112">
        <v>2</v>
      </c>
    </row>
    <row r="1168" spans="1:4" x14ac:dyDescent="0.2">
      <c r="A1168" s="109">
        <v>969</v>
      </c>
      <c r="B1168" s="110">
        <v>489</v>
      </c>
      <c r="C1168" s="111" t="s">
        <v>433</v>
      </c>
      <c r="D1168" s="112">
        <v>1</v>
      </c>
    </row>
    <row r="1169" spans="1:4" x14ac:dyDescent="0.2">
      <c r="A1169" s="109">
        <v>969</v>
      </c>
      <c r="B1169" s="110">
        <v>501</v>
      </c>
      <c r="C1169" s="111" t="s">
        <v>433</v>
      </c>
      <c r="D1169" s="112">
        <v>1</v>
      </c>
    </row>
    <row r="1170" spans="1:4" x14ac:dyDescent="0.2">
      <c r="A1170" s="109">
        <v>970</v>
      </c>
      <c r="B1170" s="110">
        <v>447</v>
      </c>
      <c r="C1170" s="111" t="s">
        <v>246</v>
      </c>
      <c r="D1170" s="112">
        <v>2</v>
      </c>
    </row>
    <row r="1171" spans="1:4" x14ac:dyDescent="0.2">
      <c r="A1171" s="109">
        <v>970</v>
      </c>
      <c r="B1171" s="110">
        <v>448</v>
      </c>
      <c r="C1171" s="111" t="s">
        <v>246</v>
      </c>
      <c r="D1171" s="112">
        <v>1</v>
      </c>
    </row>
    <row r="1172" spans="1:4" x14ac:dyDescent="0.2">
      <c r="A1172" s="109">
        <v>971</v>
      </c>
      <c r="B1172" s="110">
        <v>492</v>
      </c>
      <c r="C1172" s="111" t="s">
        <v>434</v>
      </c>
      <c r="D1172" s="112">
        <v>2</v>
      </c>
    </row>
    <row r="1173" spans="1:4" x14ac:dyDescent="0.2">
      <c r="A1173" s="109">
        <v>971</v>
      </c>
      <c r="B1173" s="110">
        <v>493</v>
      </c>
      <c r="C1173" s="111" t="s">
        <v>434</v>
      </c>
      <c r="D1173" s="112">
        <v>1</v>
      </c>
    </row>
    <row r="1174" spans="1:4" x14ac:dyDescent="0.2">
      <c r="A1174" s="109">
        <v>971</v>
      </c>
      <c r="B1174" s="110">
        <v>494</v>
      </c>
      <c r="C1174" s="111" t="s">
        <v>434</v>
      </c>
      <c r="D1174" s="112">
        <v>1</v>
      </c>
    </row>
    <row r="1175" spans="1:4" x14ac:dyDescent="0.2">
      <c r="A1175" s="109">
        <v>972</v>
      </c>
      <c r="B1175" s="110">
        <v>502</v>
      </c>
      <c r="C1175" s="111" t="s">
        <v>468</v>
      </c>
      <c r="D1175" s="112">
        <v>1</v>
      </c>
    </row>
    <row r="1176" spans="1:4" x14ac:dyDescent="0.2">
      <c r="A1176" s="109">
        <v>972</v>
      </c>
      <c r="B1176" s="110">
        <v>503</v>
      </c>
      <c r="C1176" s="111" t="s">
        <v>468</v>
      </c>
      <c r="D1176" s="112" t="s">
        <v>467</v>
      </c>
    </row>
    <row r="1177" spans="1:4" x14ac:dyDescent="0.2">
      <c r="A1177" s="109">
        <v>973</v>
      </c>
      <c r="B1177" s="110">
        <v>453</v>
      </c>
      <c r="C1177" s="111" t="s">
        <v>290</v>
      </c>
      <c r="D1177" s="112">
        <v>1</v>
      </c>
    </row>
    <row r="1178" spans="1:4" x14ac:dyDescent="0.2">
      <c r="A1178" s="109">
        <v>973</v>
      </c>
      <c r="B1178" s="110">
        <v>454</v>
      </c>
      <c r="C1178" s="111" t="s">
        <v>290</v>
      </c>
      <c r="D1178" s="112">
        <v>2</v>
      </c>
    </row>
    <row r="1179" spans="1:4" x14ac:dyDescent="0.2">
      <c r="A1179" s="109">
        <v>974</v>
      </c>
      <c r="B1179" s="110">
        <v>455</v>
      </c>
      <c r="C1179" s="111" t="s">
        <v>316</v>
      </c>
      <c r="D1179" s="112">
        <v>2</v>
      </c>
    </row>
    <row r="1180" spans="1:4" x14ac:dyDescent="0.2">
      <c r="A1180" s="109">
        <v>975</v>
      </c>
      <c r="B1180" s="110">
        <v>504</v>
      </c>
      <c r="C1180" s="111" t="s">
        <v>501</v>
      </c>
      <c r="D1180" s="112">
        <v>1</v>
      </c>
    </row>
    <row r="1181" spans="1:4" x14ac:dyDescent="0.2">
      <c r="A1181" s="109">
        <v>975</v>
      </c>
      <c r="B1181" s="110">
        <v>505</v>
      </c>
      <c r="C1181" s="111" t="s">
        <v>501</v>
      </c>
      <c r="D1181" s="112">
        <v>2</v>
      </c>
    </row>
    <row r="1182" spans="1:4" x14ac:dyDescent="0.2">
      <c r="A1182" s="109">
        <v>976</v>
      </c>
      <c r="B1182" s="110">
        <v>506</v>
      </c>
      <c r="C1182" s="111" t="s">
        <v>502</v>
      </c>
      <c r="D1182" s="112">
        <v>1</v>
      </c>
    </row>
    <row r="1183" spans="1:4" x14ac:dyDescent="0.2">
      <c r="A1183" s="109">
        <v>976</v>
      </c>
      <c r="B1183" s="110">
        <v>507</v>
      </c>
      <c r="C1183" s="111" t="s">
        <v>502</v>
      </c>
      <c r="D1183" s="112">
        <v>2</v>
      </c>
    </row>
    <row r="1184" spans="1:4" x14ac:dyDescent="0.2">
      <c r="A1184" s="109">
        <v>978</v>
      </c>
      <c r="B1184" s="110">
        <v>462</v>
      </c>
      <c r="C1184" s="111" t="s">
        <v>274</v>
      </c>
      <c r="D1184" s="112" t="s">
        <v>220</v>
      </c>
    </row>
    <row r="1185" spans="1:4" x14ac:dyDescent="0.2">
      <c r="A1185" s="109">
        <v>979</v>
      </c>
      <c r="B1185" s="110">
        <v>463</v>
      </c>
      <c r="C1185" s="111" t="s">
        <v>313</v>
      </c>
      <c r="D1185" s="112" t="s">
        <v>460</v>
      </c>
    </row>
    <row r="1186" spans="1:4" x14ac:dyDescent="0.2">
      <c r="A1186" s="109">
        <v>980</v>
      </c>
      <c r="B1186" s="110">
        <v>466</v>
      </c>
      <c r="C1186" s="111" t="s">
        <v>435</v>
      </c>
      <c r="D1186" s="112">
        <v>2</v>
      </c>
    </row>
    <row r="1187" spans="1:4" x14ac:dyDescent="0.2">
      <c r="A1187" s="109">
        <v>980</v>
      </c>
      <c r="B1187" s="110">
        <v>467</v>
      </c>
      <c r="C1187" s="111" t="s">
        <v>435</v>
      </c>
      <c r="D1187" s="112">
        <v>1</v>
      </c>
    </row>
    <row r="1188" spans="1:4" x14ac:dyDescent="0.2">
      <c r="A1188" s="109">
        <v>981</v>
      </c>
      <c r="B1188" s="110">
        <v>468</v>
      </c>
      <c r="C1188" s="111" t="s">
        <v>436</v>
      </c>
      <c r="D1188" s="112" t="s">
        <v>220</v>
      </c>
    </row>
    <row r="1189" spans="1:4" x14ac:dyDescent="0.2">
      <c r="A1189" s="109">
        <v>982</v>
      </c>
      <c r="B1189" s="110">
        <v>508</v>
      </c>
      <c r="C1189" s="111" t="s">
        <v>503</v>
      </c>
      <c r="D1189" s="112">
        <v>2</v>
      </c>
    </row>
    <row r="1190" spans="1:4" x14ac:dyDescent="0.2">
      <c r="A1190" s="109">
        <v>982</v>
      </c>
      <c r="B1190" s="110">
        <v>509</v>
      </c>
      <c r="C1190" s="111" t="s">
        <v>503</v>
      </c>
      <c r="D1190" s="112">
        <v>1</v>
      </c>
    </row>
    <row r="1191" spans="1:4" x14ac:dyDescent="0.2">
      <c r="A1191" s="109">
        <v>983</v>
      </c>
      <c r="B1191" s="110">
        <v>510</v>
      </c>
      <c r="C1191" s="111" t="s">
        <v>504</v>
      </c>
      <c r="D1191" s="112">
        <v>2</v>
      </c>
    </row>
    <row r="1192" spans="1:4" x14ac:dyDescent="0.2">
      <c r="A1192" s="109">
        <v>983</v>
      </c>
      <c r="B1192" s="110">
        <v>511</v>
      </c>
      <c r="C1192" s="111" t="s">
        <v>504</v>
      </c>
      <c r="D1192" s="112">
        <v>1</v>
      </c>
    </row>
    <row r="1193" spans="1:4" s="142" customFormat="1" x14ac:dyDescent="0.2">
      <c r="A1193" s="109">
        <v>984</v>
      </c>
      <c r="B1193" s="110">
        <v>512</v>
      </c>
      <c r="C1193" s="111" t="s">
        <v>557</v>
      </c>
      <c r="D1193" s="112">
        <v>1</v>
      </c>
    </row>
    <row r="1194" spans="1:4" s="142" customFormat="1" x14ac:dyDescent="0.2">
      <c r="A1194" s="109">
        <v>984</v>
      </c>
      <c r="B1194" s="110">
        <v>513</v>
      </c>
      <c r="C1194" s="111" t="s">
        <v>557</v>
      </c>
      <c r="D1194" s="112">
        <v>2</v>
      </c>
    </row>
    <row r="1195" spans="1:4" s="142" customFormat="1" x14ac:dyDescent="0.2">
      <c r="A1195" s="109">
        <v>985</v>
      </c>
      <c r="B1195" s="110">
        <v>514</v>
      </c>
      <c r="C1195" s="111" t="s">
        <v>558</v>
      </c>
      <c r="D1195" s="112">
        <v>1</v>
      </c>
    </row>
    <row r="1196" spans="1:4" s="142" customFormat="1" x14ac:dyDescent="0.2">
      <c r="A1196" s="109">
        <v>985</v>
      </c>
      <c r="B1196" s="110">
        <v>515</v>
      </c>
      <c r="C1196" s="111" t="s">
        <v>558</v>
      </c>
      <c r="D1196" s="112">
        <v>2</v>
      </c>
    </row>
    <row r="1197" spans="1:4" x14ac:dyDescent="0.2">
      <c r="A1197" s="109">
        <v>989</v>
      </c>
      <c r="B1197" s="110">
        <v>475</v>
      </c>
      <c r="C1197" s="111" t="s">
        <v>329</v>
      </c>
      <c r="D1197" s="112">
        <v>2</v>
      </c>
    </row>
    <row r="1198" spans="1:4" x14ac:dyDescent="0.2">
      <c r="A1198" s="109">
        <v>989</v>
      </c>
      <c r="B1198" s="110">
        <v>476</v>
      </c>
      <c r="C1198" s="111" t="s">
        <v>329</v>
      </c>
      <c r="D1198" s="112">
        <v>1</v>
      </c>
    </row>
    <row r="1199" spans="1:4" x14ac:dyDescent="0.2">
      <c r="A1199" s="109">
        <v>990</v>
      </c>
      <c r="B1199" s="110">
        <v>477</v>
      </c>
      <c r="C1199" s="111" t="s">
        <v>330</v>
      </c>
      <c r="D1199" s="112" t="s">
        <v>220</v>
      </c>
    </row>
    <row r="1200" spans="1:4" x14ac:dyDescent="0.2">
      <c r="A1200" s="109">
        <v>991</v>
      </c>
      <c r="B1200" s="110">
        <v>478</v>
      </c>
      <c r="C1200" s="111" t="s">
        <v>280</v>
      </c>
      <c r="D1200" s="112" t="s">
        <v>220</v>
      </c>
    </row>
    <row r="1201" spans="1:4" x14ac:dyDescent="0.2">
      <c r="A1201" s="109">
        <v>996</v>
      </c>
      <c r="B1201" s="110">
        <v>485</v>
      </c>
      <c r="C1201" s="111" t="s">
        <v>360</v>
      </c>
      <c r="D1201" s="112">
        <v>2</v>
      </c>
    </row>
    <row r="1202" spans="1:4" x14ac:dyDescent="0.2">
      <c r="A1202" s="109">
        <v>996</v>
      </c>
      <c r="B1202" s="110">
        <v>486</v>
      </c>
      <c r="C1202" s="111" t="s">
        <v>360</v>
      </c>
      <c r="D1202" s="112">
        <v>1</v>
      </c>
    </row>
    <row r="1203" spans="1:4" x14ac:dyDescent="0.2">
      <c r="A1203" s="109">
        <v>996</v>
      </c>
      <c r="B1203" s="110">
        <v>487</v>
      </c>
      <c r="C1203" s="111" t="s">
        <v>360</v>
      </c>
      <c r="D1203" s="112">
        <v>2</v>
      </c>
    </row>
    <row r="1204" spans="1:4" x14ac:dyDescent="0.2">
      <c r="A1204" s="109">
        <v>997</v>
      </c>
      <c r="B1204" s="110">
        <v>490</v>
      </c>
      <c r="C1204" s="111" t="s">
        <v>437</v>
      </c>
      <c r="D1204" s="112" t="s">
        <v>467</v>
      </c>
    </row>
    <row r="1205" spans="1:4" x14ac:dyDescent="0.2">
      <c r="A1205" s="109">
        <v>997</v>
      </c>
      <c r="B1205" s="110">
        <v>491</v>
      </c>
      <c r="C1205" s="111" t="s">
        <v>437</v>
      </c>
      <c r="D1205" s="112">
        <v>1</v>
      </c>
    </row>
  </sheetData>
  <autoFilter ref="A28:D1205" xr:uid="{00000000-0009-0000-0000-00000A000000}"/>
  <mergeCells count="1">
    <mergeCell ref="A1:B1"/>
  </mergeCells>
  <hyperlinks>
    <hyperlink ref="A1" location="Overview!A1" display="Back to Overview" xr:uid="{00000000-0004-0000-0A00-000000000000}"/>
    <hyperlink ref="A1:B1" location="Overview!A1" display="Back to Overview" xr:uid="{00000000-0004-0000-0A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firstHeader>&amp;LSSC TPP Unit Rate Lookup Table</first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EZ24"/>
  <sheetViews>
    <sheetView zoomScaleNormal="100" workbookViewId="0">
      <selection activeCell="L10" sqref="L10"/>
    </sheetView>
  </sheetViews>
  <sheetFormatPr defaultRowHeight="12.75" x14ac:dyDescent="0.2"/>
  <cols>
    <col min="1" max="1" width="2.42578125" style="119" customWidth="1"/>
    <col min="2" max="2" width="33.7109375" style="119" customWidth="1"/>
    <col min="3" max="4" width="14.140625" style="119" customWidth="1"/>
    <col min="5" max="9" width="12.140625" style="119" customWidth="1"/>
    <col min="10" max="10" width="5.5703125" style="119" customWidth="1"/>
    <col min="11" max="11" width="5.28515625" style="119" customWidth="1"/>
    <col min="12" max="12" width="35.28515625" style="119" customWidth="1"/>
    <col min="13" max="20" width="11.7109375" style="119" customWidth="1"/>
    <col min="21" max="16384" width="9.140625" style="119"/>
  </cols>
  <sheetData>
    <row r="1" spans="1:156" x14ac:dyDescent="0.2">
      <c r="B1" s="106" t="s">
        <v>87</v>
      </c>
      <c r="J1" s="120"/>
      <c r="K1" s="120"/>
      <c r="L1" s="120"/>
      <c r="M1" s="120"/>
      <c r="N1" s="120"/>
      <c r="O1" s="120"/>
      <c r="P1" s="120"/>
      <c r="Q1" s="120"/>
      <c r="R1" s="120"/>
      <c r="S1" s="120"/>
      <c r="T1" s="120"/>
      <c r="U1" s="120"/>
      <c r="V1" s="120"/>
      <c r="W1" s="120"/>
      <c r="X1" s="120"/>
      <c r="Y1" s="120"/>
      <c r="Z1" s="120"/>
      <c r="AA1" s="120"/>
      <c r="AB1" s="120"/>
      <c r="AC1" s="120"/>
      <c r="AD1" s="120"/>
      <c r="AE1" s="120"/>
      <c r="AF1" s="120"/>
      <c r="AG1" s="120"/>
      <c r="AH1" s="120"/>
      <c r="AI1" s="120"/>
      <c r="AJ1" s="120"/>
      <c r="AK1" s="120"/>
      <c r="AL1" s="120"/>
      <c r="AM1" s="120"/>
      <c r="AN1" s="120"/>
      <c r="AO1" s="120"/>
      <c r="AP1" s="120"/>
      <c r="AQ1" s="120"/>
      <c r="AR1" s="120"/>
      <c r="AS1" s="120"/>
      <c r="AT1" s="120"/>
      <c r="AU1" s="120"/>
      <c r="AV1" s="120"/>
      <c r="AW1" s="120"/>
      <c r="AX1" s="120"/>
      <c r="AY1" s="120"/>
      <c r="AZ1" s="120"/>
      <c r="BA1" s="120"/>
      <c r="BB1" s="120"/>
      <c r="BC1" s="120"/>
      <c r="BD1" s="120"/>
      <c r="BE1" s="120"/>
      <c r="BF1" s="120"/>
      <c r="BG1" s="120"/>
      <c r="BH1" s="120"/>
      <c r="BI1" s="120"/>
      <c r="BJ1" s="120"/>
      <c r="BK1" s="120"/>
      <c r="BL1" s="120"/>
      <c r="BM1" s="120"/>
      <c r="BN1" s="120"/>
      <c r="BO1" s="120"/>
      <c r="BP1" s="120"/>
      <c r="BQ1" s="120"/>
      <c r="BR1" s="120"/>
      <c r="BS1" s="120"/>
      <c r="BT1" s="120"/>
      <c r="BU1" s="120"/>
      <c r="BV1" s="120"/>
      <c r="BW1" s="120"/>
      <c r="BX1" s="120"/>
      <c r="BY1" s="120"/>
      <c r="BZ1" s="120"/>
      <c r="CA1" s="120"/>
      <c r="CB1" s="120"/>
      <c r="CC1" s="120"/>
      <c r="CD1" s="120"/>
      <c r="CE1" s="120"/>
      <c r="CF1" s="120"/>
      <c r="CG1" s="120"/>
      <c r="CH1" s="120"/>
      <c r="CI1" s="120"/>
      <c r="CJ1" s="120"/>
      <c r="CK1" s="120"/>
      <c r="CL1" s="120"/>
      <c r="CM1" s="120"/>
      <c r="CN1" s="120"/>
      <c r="CO1" s="120"/>
      <c r="CP1" s="120"/>
      <c r="CQ1" s="120"/>
      <c r="CR1" s="120"/>
      <c r="CS1" s="120"/>
      <c r="CT1" s="120"/>
      <c r="CU1" s="120"/>
      <c r="CV1" s="120"/>
      <c r="CW1" s="120"/>
      <c r="CX1" s="120"/>
      <c r="CY1" s="120"/>
      <c r="CZ1" s="120"/>
      <c r="DA1" s="120"/>
      <c r="DB1" s="120"/>
      <c r="DC1" s="120"/>
      <c r="DD1" s="120"/>
      <c r="DE1" s="120"/>
      <c r="DF1" s="120"/>
      <c r="DG1" s="120"/>
      <c r="DH1" s="120"/>
      <c r="DI1" s="120"/>
      <c r="DJ1" s="120"/>
      <c r="DK1" s="120"/>
      <c r="DL1" s="120"/>
      <c r="DM1" s="120"/>
      <c r="DN1" s="120"/>
      <c r="DO1" s="120"/>
      <c r="DP1" s="120"/>
      <c r="DQ1" s="120"/>
      <c r="DR1" s="120"/>
      <c r="DS1" s="120"/>
      <c r="DT1" s="120"/>
      <c r="DU1" s="120"/>
      <c r="DV1" s="120"/>
      <c r="DW1" s="120"/>
      <c r="DX1" s="120"/>
      <c r="DY1" s="120"/>
      <c r="DZ1" s="120"/>
      <c r="EA1" s="120"/>
      <c r="EB1" s="120"/>
      <c r="EC1" s="120"/>
      <c r="ED1" s="120"/>
      <c r="EE1" s="120"/>
      <c r="EF1" s="120"/>
      <c r="EG1" s="120"/>
      <c r="EH1" s="120"/>
      <c r="EI1" s="120"/>
      <c r="EJ1" s="120"/>
      <c r="EK1" s="120"/>
      <c r="EL1" s="120"/>
      <c r="EM1" s="120"/>
      <c r="EN1" s="120"/>
      <c r="EO1" s="120"/>
      <c r="EP1" s="120"/>
      <c r="EQ1" s="120"/>
      <c r="ER1" s="120"/>
      <c r="ES1" s="120"/>
      <c r="ET1" s="120"/>
      <c r="EU1" s="120"/>
      <c r="EV1" s="120"/>
      <c r="EW1" s="120"/>
      <c r="EX1" s="120"/>
      <c r="EY1" s="120"/>
      <c r="EZ1" s="120"/>
    </row>
    <row r="2" spans="1:156" s="121" customFormat="1" ht="21.75" customHeight="1" x14ac:dyDescent="0.2">
      <c r="B2" s="257" t="str">
        <f>Overview!B4&amp; " - Effective from "&amp;Overview!D4&amp;" - "&amp;Overview!E4</f>
        <v>Northern Powergrid (Northeast) Ltd - Effective from 1 April 2019 - Final</v>
      </c>
      <c r="C2" s="258"/>
      <c r="D2" s="258"/>
      <c r="E2" s="258"/>
      <c r="F2" s="258"/>
      <c r="G2" s="258"/>
      <c r="H2" s="258"/>
      <c r="I2" s="258"/>
      <c r="J2" s="258"/>
      <c r="K2" s="258"/>
      <c r="L2" s="258"/>
      <c r="M2" s="258"/>
      <c r="N2" s="258"/>
      <c r="O2" s="258"/>
      <c r="P2" s="258"/>
      <c r="Q2" s="258"/>
      <c r="R2" s="258"/>
      <c r="S2" s="258"/>
      <c r="T2" s="259"/>
      <c r="U2" s="120"/>
      <c r="V2" s="120"/>
      <c r="W2" s="120"/>
      <c r="X2" s="120"/>
      <c r="Y2" s="120"/>
      <c r="Z2" s="120"/>
      <c r="AA2" s="120"/>
      <c r="AB2" s="120"/>
      <c r="AC2" s="120"/>
      <c r="AD2" s="120"/>
      <c r="AE2" s="120"/>
      <c r="AF2" s="120"/>
      <c r="AG2" s="120"/>
      <c r="AH2" s="120"/>
      <c r="AI2" s="120"/>
      <c r="AJ2" s="120"/>
      <c r="AK2" s="120"/>
      <c r="AL2" s="120"/>
      <c r="AM2" s="120"/>
      <c r="AN2" s="120"/>
      <c r="AO2" s="120"/>
      <c r="AP2" s="120"/>
      <c r="AQ2" s="120"/>
      <c r="AR2" s="120"/>
      <c r="AS2" s="120"/>
      <c r="AT2" s="120"/>
      <c r="AU2" s="120"/>
      <c r="AV2" s="120"/>
      <c r="AW2" s="120"/>
      <c r="AX2" s="120"/>
      <c r="AY2" s="120"/>
      <c r="AZ2" s="120"/>
      <c r="BA2" s="120"/>
      <c r="BB2" s="120"/>
      <c r="BC2" s="120"/>
      <c r="BD2" s="120"/>
      <c r="BE2" s="120"/>
      <c r="BF2" s="120"/>
      <c r="BG2" s="120"/>
      <c r="BH2" s="120"/>
      <c r="BI2" s="120"/>
      <c r="BJ2" s="120"/>
      <c r="BK2" s="120"/>
      <c r="BL2" s="120"/>
      <c r="BM2" s="120"/>
      <c r="BN2" s="120"/>
      <c r="BO2" s="120"/>
      <c r="BP2" s="120"/>
      <c r="BQ2" s="120"/>
      <c r="BR2" s="120"/>
      <c r="BS2" s="120"/>
      <c r="BT2" s="120"/>
      <c r="BU2" s="120"/>
      <c r="BV2" s="120"/>
      <c r="BW2" s="120"/>
      <c r="BX2" s="120"/>
      <c r="BY2" s="120"/>
      <c r="BZ2" s="120"/>
      <c r="CA2" s="120"/>
      <c r="CB2" s="120"/>
      <c r="CC2" s="120"/>
      <c r="CD2" s="120"/>
      <c r="CE2" s="120"/>
      <c r="CF2" s="120"/>
      <c r="CG2" s="120"/>
      <c r="CH2" s="120"/>
      <c r="CI2" s="120"/>
      <c r="CJ2" s="120"/>
      <c r="CK2" s="120"/>
      <c r="CL2" s="120"/>
      <c r="CM2" s="120"/>
      <c r="CN2" s="120"/>
      <c r="CO2" s="120"/>
      <c r="CP2" s="120"/>
      <c r="CQ2" s="120"/>
      <c r="CR2" s="120"/>
      <c r="CS2" s="120"/>
      <c r="CT2" s="120"/>
      <c r="CU2" s="120"/>
      <c r="CV2" s="120"/>
      <c r="CW2" s="120"/>
      <c r="CX2" s="120"/>
      <c r="CY2" s="120"/>
      <c r="CZ2" s="120"/>
      <c r="DA2" s="120"/>
      <c r="DB2" s="120"/>
      <c r="DC2" s="120"/>
      <c r="DD2" s="120"/>
      <c r="DE2" s="120"/>
      <c r="DF2" s="120"/>
      <c r="DG2" s="120"/>
      <c r="DH2" s="120"/>
      <c r="DI2" s="120"/>
      <c r="DJ2" s="120"/>
      <c r="DK2" s="120"/>
      <c r="DL2" s="120"/>
      <c r="DM2" s="120"/>
      <c r="DN2" s="120"/>
      <c r="DO2" s="120"/>
      <c r="DP2" s="120"/>
      <c r="DQ2" s="120"/>
      <c r="DR2" s="120"/>
      <c r="DS2" s="120"/>
      <c r="DT2" s="120"/>
      <c r="DU2" s="120"/>
      <c r="DV2" s="120"/>
      <c r="DW2" s="120"/>
      <c r="DX2" s="120"/>
      <c r="DY2" s="120"/>
      <c r="DZ2" s="120"/>
      <c r="EA2" s="120"/>
      <c r="EB2" s="120"/>
      <c r="EC2" s="120"/>
      <c r="ED2" s="120"/>
      <c r="EE2" s="120"/>
      <c r="EF2" s="120"/>
      <c r="EG2" s="120"/>
      <c r="EH2" s="120"/>
      <c r="EI2" s="120"/>
      <c r="EJ2" s="120"/>
      <c r="EK2" s="120"/>
      <c r="EL2" s="120"/>
      <c r="EM2" s="120"/>
      <c r="EN2" s="120"/>
      <c r="EO2" s="120"/>
      <c r="EP2" s="120"/>
      <c r="EQ2" s="120"/>
      <c r="ER2" s="120"/>
      <c r="ES2" s="120"/>
      <c r="ET2" s="120"/>
      <c r="EU2" s="120"/>
      <c r="EV2" s="120"/>
      <c r="EW2" s="120"/>
      <c r="EX2" s="120"/>
      <c r="EY2" s="120"/>
      <c r="EZ2" s="120"/>
    </row>
    <row r="3" spans="1:156" s="123" customFormat="1" ht="9" customHeight="1" x14ac:dyDescent="0.2">
      <c r="A3" s="122"/>
      <c r="B3" s="122"/>
      <c r="C3" s="122"/>
      <c r="D3" s="122"/>
      <c r="E3" s="122"/>
      <c r="F3" s="122"/>
      <c r="G3" s="122"/>
      <c r="H3" s="122"/>
      <c r="I3" s="122"/>
      <c r="J3" s="122"/>
      <c r="K3" s="122"/>
      <c r="L3" s="120"/>
      <c r="M3" s="120"/>
      <c r="N3" s="120"/>
      <c r="O3" s="120"/>
      <c r="P3" s="120"/>
      <c r="Q3" s="120"/>
      <c r="R3" s="120"/>
      <c r="S3" s="120"/>
      <c r="T3" s="120"/>
      <c r="U3" s="120"/>
      <c r="V3" s="120"/>
      <c r="W3" s="120"/>
      <c r="X3" s="120"/>
      <c r="Y3" s="120"/>
      <c r="Z3" s="120"/>
      <c r="AA3" s="120"/>
      <c r="AB3" s="120"/>
      <c r="AC3" s="120"/>
      <c r="AD3" s="120"/>
      <c r="AE3" s="120"/>
      <c r="AF3" s="120"/>
      <c r="AG3" s="120"/>
      <c r="AH3" s="120"/>
      <c r="AI3" s="120"/>
      <c r="AJ3" s="120"/>
      <c r="AK3" s="120"/>
      <c r="AL3" s="120"/>
      <c r="AM3" s="120"/>
      <c r="AN3" s="120"/>
      <c r="AO3" s="120"/>
      <c r="AP3" s="120"/>
      <c r="AQ3" s="120"/>
      <c r="AR3" s="120"/>
      <c r="AS3" s="120"/>
      <c r="AT3" s="120"/>
      <c r="AU3" s="120"/>
      <c r="AV3" s="120"/>
      <c r="AW3" s="120"/>
      <c r="AX3" s="120"/>
      <c r="AY3" s="120"/>
      <c r="AZ3" s="120"/>
      <c r="BA3" s="120"/>
      <c r="BB3" s="120"/>
      <c r="BC3" s="120"/>
      <c r="BD3" s="120"/>
      <c r="BE3" s="120"/>
      <c r="BF3" s="120"/>
      <c r="BG3" s="120"/>
      <c r="BH3" s="120"/>
      <c r="BI3" s="120"/>
      <c r="BJ3" s="120"/>
      <c r="BK3" s="120"/>
      <c r="BL3" s="120"/>
      <c r="BM3" s="120"/>
      <c r="BN3" s="120"/>
      <c r="BO3" s="120"/>
      <c r="BP3" s="120"/>
      <c r="BQ3" s="120"/>
      <c r="BR3" s="120"/>
      <c r="BS3" s="120"/>
      <c r="BT3" s="120"/>
      <c r="BU3" s="120"/>
      <c r="BV3" s="120"/>
      <c r="BW3" s="120"/>
      <c r="BX3" s="120"/>
      <c r="BY3" s="120"/>
      <c r="BZ3" s="120"/>
      <c r="CA3" s="120"/>
      <c r="CB3" s="120"/>
      <c r="CC3" s="120"/>
      <c r="CD3" s="120"/>
      <c r="CE3" s="120"/>
      <c r="CF3" s="120"/>
      <c r="CG3" s="120"/>
      <c r="CH3" s="120"/>
      <c r="CI3" s="120"/>
      <c r="CJ3" s="120"/>
      <c r="CK3" s="120"/>
      <c r="CL3" s="120"/>
      <c r="CM3" s="120"/>
      <c r="CN3" s="120"/>
      <c r="CO3" s="120"/>
      <c r="CP3" s="120"/>
      <c r="CQ3" s="120"/>
      <c r="CR3" s="120"/>
      <c r="CS3" s="120"/>
      <c r="CT3" s="120"/>
      <c r="CU3" s="120"/>
      <c r="CV3" s="120"/>
      <c r="CW3" s="120"/>
      <c r="CX3" s="120"/>
      <c r="CY3" s="120"/>
      <c r="CZ3" s="120"/>
      <c r="DA3" s="120"/>
      <c r="DB3" s="120"/>
      <c r="DC3" s="120"/>
      <c r="DD3" s="120"/>
      <c r="DE3" s="120"/>
      <c r="DF3" s="120"/>
      <c r="DG3" s="120"/>
      <c r="DH3" s="120"/>
      <c r="DI3" s="120"/>
      <c r="DJ3" s="120"/>
      <c r="DK3" s="120"/>
      <c r="DL3" s="120"/>
      <c r="DM3" s="120"/>
      <c r="DN3" s="120"/>
      <c r="DO3" s="120"/>
      <c r="DP3" s="120"/>
      <c r="DQ3" s="120"/>
      <c r="DR3" s="120"/>
      <c r="DS3" s="120"/>
      <c r="DT3" s="120"/>
      <c r="DU3" s="120"/>
      <c r="DV3" s="120"/>
      <c r="DW3" s="120"/>
      <c r="DX3" s="120"/>
      <c r="DY3" s="120"/>
      <c r="DZ3" s="120"/>
      <c r="EA3" s="120"/>
      <c r="EB3" s="120"/>
      <c r="EC3" s="120"/>
      <c r="ED3" s="120"/>
      <c r="EE3" s="120"/>
      <c r="EF3" s="120"/>
      <c r="EG3" s="120"/>
      <c r="EH3" s="120"/>
      <c r="EI3" s="120"/>
      <c r="EJ3" s="120"/>
      <c r="EK3" s="120"/>
      <c r="EL3" s="120"/>
      <c r="EM3" s="120"/>
      <c r="EN3" s="120"/>
      <c r="EO3" s="120"/>
      <c r="EP3" s="120"/>
      <c r="EQ3" s="120"/>
      <c r="ER3" s="120"/>
      <c r="ES3" s="120"/>
      <c r="ET3" s="120"/>
      <c r="EU3" s="120"/>
      <c r="EV3" s="120"/>
      <c r="EW3" s="120"/>
      <c r="EX3" s="120"/>
      <c r="EY3" s="120"/>
      <c r="EZ3" s="120"/>
    </row>
    <row r="4" spans="1:156" ht="26.25" customHeight="1" x14ac:dyDescent="0.2">
      <c r="B4" s="263" t="s">
        <v>512</v>
      </c>
      <c r="C4" s="264"/>
      <c r="D4" s="264"/>
      <c r="E4" s="264"/>
      <c r="F4" s="264"/>
      <c r="G4" s="264"/>
      <c r="H4" s="264"/>
      <c r="I4" s="265"/>
      <c r="L4" s="263" t="s">
        <v>528</v>
      </c>
      <c r="M4" s="264"/>
      <c r="N4" s="264"/>
      <c r="O4" s="264"/>
      <c r="P4" s="264"/>
      <c r="Q4" s="264"/>
      <c r="R4" s="264"/>
      <c r="S4" s="264"/>
      <c r="T4" s="265"/>
    </row>
    <row r="5" spans="1:156" ht="18" customHeight="1" x14ac:dyDescent="0.2">
      <c r="B5" s="267" t="s">
        <v>549</v>
      </c>
      <c r="C5" s="267"/>
      <c r="D5" s="267"/>
      <c r="E5" s="267"/>
      <c r="F5" s="267"/>
      <c r="G5" s="267"/>
      <c r="H5" s="267"/>
      <c r="I5" s="267"/>
      <c r="L5" s="267" t="s">
        <v>551</v>
      </c>
      <c r="M5" s="267"/>
      <c r="N5" s="267"/>
      <c r="O5" s="267"/>
      <c r="P5" s="267"/>
      <c r="Q5" s="267"/>
      <c r="R5" s="267"/>
      <c r="S5" s="267"/>
      <c r="T5" s="267"/>
    </row>
    <row r="6" spans="1:156" s="124" customFormat="1" ht="27.75" customHeight="1" x14ac:dyDescent="0.2">
      <c r="B6" s="266" t="s">
        <v>555</v>
      </c>
      <c r="C6" s="266"/>
      <c r="D6" s="266"/>
      <c r="E6" s="266"/>
      <c r="F6" s="266"/>
      <c r="G6" s="266"/>
      <c r="H6" s="266"/>
      <c r="I6" s="266"/>
      <c r="L6" s="266" t="s">
        <v>556</v>
      </c>
      <c r="M6" s="266"/>
      <c r="N6" s="266"/>
      <c r="O6" s="266"/>
      <c r="P6" s="266"/>
      <c r="Q6" s="266"/>
      <c r="R6" s="266"/>
      <c r="S6" s="266"/>
      <c r="T6" s="266"/>
    </row>
    <row r="7" spans="1:156" ht="18" customHeight="1" x14ac:dyDescent="0.2">
      <c r="B7" s="267" t="s">
        <v>550</v>
      </c>
      <c r="C7" s="267"/>
      <c r="D7" s="267"/>
      <c r="E7" s="267"/>
      <c r="F7" s="267"/>
      <c r="G7" s="267"/>
      <c r="H7" s="267"/>
      <c r="I7" s="267"/>
      <c r="L7" s="267" t="s">
        <v>552</v>
      </c>
      <c r="M7" s="267"/>
      <c r="N7" s="267"/>
      <c r="O7" s="267"/>
      <c r="P7" s="267"/>
      <c r="Q7" s="267"/>
      <c r="R7" s="267"/>
      <c r="S7" s="267"/>
      <c r="T7" s="267"/>
    </row>
    <row r="8" spans="1:156" ht="8.25" customHeight="1" x14ac:dyDescent="0.2"/>
    <row r="9" spans="1:156" ht="72" customHeight="1" x14ac:dyDescent="0.2">
      <c r="B9" s="125" t="s">
        <v>553</v>
      </c>
      <c r="C9" s="126" t="str">
        <f>'Annex 1 LV and HV charges'!D11</f>
        <v>Unit charge 1 (NHH)
or red/black charge (HH)
p/kWh</v>
      </c>
      <c r="D9" s="126" t="str">
        <f>'Annex 1 LV and HV charges'!E11</f>
        <v>Unit charge 2 (NHH)
or amber/yellow charge (HH)
p/kWh</v>
      </c>
      <c r="E9" s="126" t="str">
        <f>'Annex 1 LV and HV charges'!F11</f>
        <v>Green charge(HH)
p/kWh</v>
      </c>
      <c r="F9" s="126" t="str">
        <f>'Annex 1 LV and HV charges'!G11</f>
        <v>Fixed charge p/MPAN/day</v>
      </c>
      <c r="G9" s="126" t="str">
        <f>'Annex 1 LV and HV charges'!H11</f>
        <v>Capacity charge p/kVA/day</v>
      </c>
      <c r="H9" s="126" t="str">
        <f>'Annex 1 LV and HV charges'!I11</f>
        <v>Exceeded capacity charge
p/kVA/day</v>
      </c>
      <c r="I9" s="126" t="str">
        <f>'Annex 1 LV and HV charges'!J11</f>
        <v>Reactive power charge
p/kVArh</v>
      </c>
      <c r="L9" s="125" t="s">
        <v>554</v>
      </c>
      <c r="M9" s="145" t="str">
        <f>'Annex 2 EHV charges'!H9</f>
        <v>Import
Super Red
unit charge
(p/kWh)</v>
      </c>
      <c r="N9" s="145" t="str">
        <f>'Annex 2 EHV charges'!I9</f>
        <v>Import
fixed charge
(p/day)</v>
      </c>
      <c r="O9" s="145" t="str">
        <f>'Annex 2 EHV charges'!J9</f>
        <v>Import
capacity charge
(p/kVA/day)</v>
      </c>
      <c r="P9" s="145" t="str">
        <f>'Annex 2 EHV charges'!K9</f>
        <v>Import
exceeded capacity charge
(p/kVA/day)</v>
      </c>
      <c r="Q9" s="146" t="str">
        <f>'Annex 2 EHV charges'!L9</f>
        <v>Export
Super Red
unit charge
(p/kWh)</v>
      </c>
      <c r="R9" s="146" t="str">
        <f>'Annex 2 EHV charges'!M9</f>
        <v>Export
fixed charge
(p/day)</v>
      </c>
      <c r="S9" s="146" t="str">
        <f>'Annex 2 EHV charges'!N9</f>
        <v>Export
capacity charge
(p/kVA/day)</v>
      </c>
      <c r="T9" s="146" t="str">
        <f>'Annex 2 EHV charges'!O9</f>
        <v>Export
exceeded capacity charge
(p/kVA/day)</v>
      </c>
    </row>
    <row r="10" spans="1:156" ht="30" customHeight="1" x14ac:dyDescent="0.2">
      <c r="B10" s="113"/>
      <c r="C10" s="140" t="str">
        <f>IFERROR(VLOOKUP($B$10,'Annex 1 LV and HV charges'!$A:$K,4,FALSE),"")</f>
        <v/>
      </c>
      <c r="D10" s="141" t="str">
        <f>IFERROR(VLOOKUP($B$10,'Annex 1 LV and HV charges'!$A:$K,5,FALSE),"")</f>
        <v/>
      </c>
      <c r="E10" s="141" t="str">
        <f>IFERROR(VLOOKUP($B$10,'Annex 1 LV and HV charges'!$A:$K,6,FALSE),"")</f>
        <v/>
      </c>
      <c r="F10" s="115" t="str">
        <f>IFERROR(VLOOKUP($B$10,'Annex 1 LV and HV charges'!$A:$K,7,FALSE),"")</f>
        <v/>
      </c>
      <c r="G10" s="115" t="str">
        <f>IFERROR(VLOOKUP($B$10,'Annex 1 LV and HV charges'!$A:$K,8,FALSE),"")</f>
        <v/>
      </c>
      <c r="H10" s="115" t="str">
        <f>IFERROR(VLOOKUP($B$10,'Annex 1 LV and HV charges'!$A:$K,9,FALSE),"")</f>
        <v/>
      </c>
      <c r="I10" s="115" t="str">
        <f>IFERROR(VLOOKUP($B$10,'Annex 1 LV and HV charges'!$A:$K,10,FALSE),"")</f>
        <v/>
      </c>
      <c r="L10" s="113"/>
      <c r="M10" s="115" t="str">
        <f>IFERROR(VLOOKUP($L$10,'Annex 2 EHV charges'!$G:$O,2,FALSE),"")</f>
        <v/>
      </c>
      <c r="N10" s="115" t="str">
        <f>IFERROR(VLOOKUP($L$10,'Annex 2 EHV charges'!$G:$O,3,FALSE),"")</f>
        <v/>
      </c>
      <c r="O10" s="115" t="str">
        <f>IFERROR(VLOOKUP($L$10,'Annex 2 EHV charges'!$G:$O,4,FALSE),"")</f>
        <v/>
      </c>
      <c r="P10" s="115" t="str">
        <f>IFERROR(VLOOKUP($L$10,'Annex 2 EHV charges'!$G:$O,5,FALSE),"")</f>
        <v/>
      </c>
      <c r="Q10" s="128" t="str">
        <f>IFERROR(VLOOKUP($L$10,'Annex 2 EHV charges'!$G:$O,6,FALSE),"")</f>
        <v/>
      </c>
      <c r="R10" s="128" t="str">
        <f>IFERROR(VLOOKUP($L$10,'Annex 2 EHV charges'!$G:$O,7,FALSE),"")</f>
        <v/>
      </c>
      <c r="S10" s="128" t="str">
        <f>IFERROR(VLOOKUP($L$10,'Annex 2 EHV charges'!$G:$O,8,FALSE),"")</f>
        <v/>
      </c>
      <c r="T10" s="128" t="str">
        <f>IFERROR(VLOOKUP($L$10,'Annex 2 EHV charges'!$G:$O,9,FALSE),"")</f>
        <v/>
      </c>
    </row>
    <row r="11" spans="1:156" ht="7.5" customHeight="1" x14ac:dyDescent="0.2"/>
    <row r="12" spans="1:156" ht="88.5" customHeight="1" x14ac:dyDescent="0.2">
      <c r="B12" s="129" t="s">
        <v>515</v>
      </c>
      <c r="C12" s="126" t="s">
        <v>529</v>
      </c>
      <c r="D12" s="126" t="s">
        <v>530</v>
      </c>
      <c r="E12" s="126" t="s">
        <v>531</v>
      </c>
      <c r="F12" s="126" t="s">
        <v>516</v>
      </c>
      <c r="G12" s="126" t="s">
        <v>513</v>
      </c>
      <c r="H12" s="126" t="s">
        <v>690</v>
      </c>
      <c r="I12" s="126" t="s">
        <v>514</v>
      </c>
      <c r="L12" s="129" t="s">
        <v>515</v>
      </c>
      <c r="M12" s="126" t="s">
        <v>539</v>
      </c>
      <c r="N12" s="126" t="s">
        <v>516</v>
      </c>
      <c r="O12" s="126" t="s">
        <v>535</v>
      </c>
      <c r="P12" s="126" t="s">
        <v>690</v>
      </c>
      <c r="Q12" s="127" t="s">
        <v>537</v>
      </c>
      <c r="R12" s="127" t="s">
        <v>516</v>
      </c>
      <c r="S12" s="127" t="s">
        <v>536</v>
      </c>
      <c r="T12" s="127" t="s">
        <v>690</v>
      </c>
    </row>
    <row r="13" spans="1:156" ht="30" customHeight="1" x14ac:dyDescent="0.2">
      <c r="B13" s="130" t="s">
        <v>517</v>
      </c>
      <c r="C13" s="135"/>
      <c r="D13" s="135"/>
      <c r="E13" s="135"/>
      <c r="F13" s="135"/>
      <c r="G13" s="135"/>
      <c r="H13" s="135"/>
      <c r="I13" s="135"/>
      <c r="L13" s="130" t="s">
        <v>517</v>
      </c>
      <c r="M13" s="116"/>
      <c r="N13" s="116"/>
      <c r="O13" s="116"/>
      <c r="P13" s="116"/>
      <c r="Q13" s="117"/>
      <c r="R13" s="117">
        <f>N13</f>
        <v>0</v>
      </c>
      <c r="S13" s="117"/>
      <c r="T13" s="117"/>
    </row>
    <row r="14" spans="1:156" ht="30" customHeight="1" x14ac:dyDescent="0.2">
      <c r="B14" s="131" t="s">
        <v>519</v>
      </c>
      <c r="C14" s="114">
        <f>C13</f>
        <v>0</v>
      </c>
      <c r="D14" s="114">
        <f t="shared" ref="D14:G14" si="0">D13</f>
        <v>0</v>
      </c>
      <c r="E14" s="114">
        <f t="shared" si="0"/>
        <v>0</v>
      </c>
      <c r="F14" s="114">
        <f t="shared" si="0"/>
        <v>0</v>
      </c>
      <c r="G14" s="114">
        <f t="shared" si="0"/>
        <v>0</v>
      </c>
      <c r="H14" s="114">
        <f>H13</f>
        <v>0</v>
      </c>
      <c r="I14" s="114">
        <f>I13</f>
        <v>0</v>
      </c>
      <c r="L14" s="131" t="s">
        <v>519</v>
      </c>
      <c r="M14" s="114">
        <f>M13</f>
        <v>0</v>
      </c>
      <c r="N14" s="114">
        <f t="shared" ref="N14:T14" si="1">N13</f>
        <v>0</v>
      </c>
      <c r="O14" s="114">
        <f t="shared" si="1"/>
        <v>0</v>
      </c>
      <c r="P14" s="114">
        <f t="shared" si="1"/>
        <v>0</v>
      </c>
      <c r="Q14" s="118">
        <f t="shared" si="1"/>
        <v>0</v>
      </c>
      <c r="R14" s="118">
        <f t="shared" si="1"/>
        <v>0</v>
      </c>
      <c r="S14" s="118">
        <f t="shared" si="1"/>
        <v>0</v>
      </c>
      <c r="T14" s="118">
        <f t="shared" si="1"/>
        <v>0</v>
      </c>
    </row>
    <row r="15" spans="1:156" ht="7.5" customHeight="1" x14ac:dyDescent="0.2"/>
    <row r="16" spans="1:156" ht="63.75" customHeight="1" x14ac:dyDescent="0.2">
      <c r="B16" s="129" t="s">
        <v>518</v>
      </c>
      <c r="C16" s="126" t="s">
        <v>532</v>
      </c>
      <c r="D16" s="126" t="s">
        <v>533</v>
      </c>
      <c r="E16" s="126" t="s">
        <v>534</v>
      </c>
      <c r="F16" s="126" t="s">
        <v>524</v>
      </c>
      <c r="G16" s="126" t="s">
        <v>523</v>
      </c>
      <c r="H16" s="126" t="s">
        <v>691</v>
      </c>
      <c r="I16" s="126" t="s">
        <v>522</v>
      </c>
      <c r="L16" s="129" t="s">
        <v>518</v>
      </c>
      <c r="M16" s="126" t="s">
        <v>540</v>
      </c>
      <c r="N16" s="126" t="s">
        <v>538</v>
      </c>
      <c r="O16" s="126" t="s">
        <v>543</v>
      </c>
      <c r="P16" s="126" t="s">
        <v>692</v>
      </c>
      <c r="Q16" s="127" t="s">
        <v>541</v>
      </c>
      <c r="R16" s="127" t="s">
        <v>542</v>
      </c>
      <c r="S16" s="127" t="s">
        <v>544</v>
      </c>
      <c r="T16" s="127" t="s">
        <v>693</v>
      </c>
    </row>
    <row r="17" spans="2:20" ht="30" customHeight="1" x14ac:dyDescent="0.2">
      <c r="B17" s="130" t="s">
        <v>520</v>
      </c>
      <c r="C17" s="136" t="str">
        <f>IFERROR(C10*C13/100,"")</f>
        <v/>
      </c>
      <c r="D17" s="136" t="str">
        <f t="shared" ref="D17:I17" si="2">IFERROR(D10*D13/100,"")</f>
        <v/>
      </c>
      <c r="E17" s="136" t="str">
        <f t="shared" si="2"/>
        <v/>
      </c>
      <c r="F17" s="136" t="str">
        <f t="shared" si="2"/>
        <v/>
      </c>
      <c r="G17" s="136" t="str">
        <f>IFERROR(G10*G13*F13/100,"")</f>
        <v/>
      </c>
      <c r="H17" s="136" t="str">
        <f>IFERROR(H10*H13*F13/100,"")</f>
        <v/>
      </c>
      <c r="I17" s="136" t="str">
        <f t="shared" si="2"/>
        <v/>
      </c>
      <c r="L17" s="132" t="s">
        <v>520</v>
      </c>
      <c r="M17" s="136" t="str">
        <f>IFERROR(M10*M13/100,"")</f>
        <v/>
      </c>
      <c r="N17" s="136" t="str">
        <f>IFERROR(N10*N13/100,"")</f>
        <v/>
      </c>
      <c r="O17" s="136" t="str">
        <f>IFERROR(O10*O13*N13/100,"")</f>
        <v/>
      </c>
      <c r="P17" s="136" t="str">
        <f>IFERROR(P10*P13*N13/100,"")</f>
        <v/>
      </c>
      <c r="Q17" s="137" t="str">
        <f>IFERROR(Q10*Q13/100,"")</f>
        <v/>
      </c>
      <c r="R17" s="137" t="str">
        <f>IFERROR(R10*R13/100,"")</f>
        <v/>
      </c>
      <c r="S17" s="137" t="str">
        <f>IFERROR(S10*S13*R13/100,"")</f>
        <v/>
      </c>
      <c r="T17" s="137" t="str">
        <f>IFERROR(T10*T13*R13/100,"")</f>
        <v/>
      </c>
    </row>
    <row r="18" spans="2:20" ht="30" customHeight="1" x14ac:dyDescent="0.2">
      <c r="B18" s="131" t="s">
        <v>521</v>
      </c>
      <c r="C18" s="138" t="str">
        <f>IFERROR(C10*C14/100,"")</f>
        <v/>
      </c>
      <c r="D18" s="138" t="str">
        <f t="shared" ref="D18:I18" si="3">IFERROR(D10*D14/100,"")</f>
        <v/>
      </c>
      <c r="E18" s="138" t="str">
        <f t="shared" si="3"/>
        <v/>
      </c>
      <c r="F18" s="138" t="str">
        <f t="shared" si="3"/>
        <v/>
      </c>
      <c r="G18" s="138" t="str">
        <f>IFERROR(G10*G14*F14/100,"")</f>
        <v/>
      </c>
      <c r="H18" s="138" t="str">
        <f>IFERROR(H10*H14*F14/100,"")</f>
        <v/>
      </c>
      <c r="I18" s="138" t="str">
        <f t="shared" si="3"/>
        <v/>
      </c>
      <c r="L18" s="133" t="s">
        <v>521</v>
      </c>
      <c r="M18" s="138" t="str">
        <f>IFERROR(M10*M14/100,"")</f>
        <v/>
      </c>
      <c r="N18" s="138" t="str">
        <f t="shared" ref="N18" si="4">IFERROR(N10*N14/100,"")</f>
        <v/>
      </c>
      <c r="O18" s="138" t="str">
        <f>IFERROR(O10*O14*N14/100,"")</f>
        <v/>
      </c>
      <c r="P18" s="138" t="str">
        <f>IFERROR(P10*P14*N14/100,"")</f>
        <v/>
      </c>
      <c r="Q18" s="139" t="str">
        <f>IFERROR(Q10*Q14/100,"")</f>
        <v/>
      </c>
      <c r="R18" s="139" t="str">
        <f t="shared" ref="R18" si="5">IFERROR(R10*R14/100,"")</f>
        <v/>
      </c>
      <c r="S18" s="139" t="str">
        <f>IFERROR(S10*S14*R14/100,"")</f>
        <v/>
      </c>
      <c r="T18" s="139" t="str">
        <f>IFERROR(T10*T14*R14/100,"")</f>
        <v/>
      </c>
    </row>
    <row r="19" spans="2:20" ht="7.5" customHeight="1" x14ac:dyDescent="0.2"/>
    <row r="20" spans="2:20" ht="39.75" customHeight="1" x14ac:dyDescent="0.2">
      <c r="C20" s="134" t="s">
        <v>525</v>
      </c>
      <c r="M20" s="126" t="s">
        <v>545</v>
      </c>
      <c r="N20" s="127" t="s">
        <v>546</v>
      </c>
    </row>
    <row r="21" spans="2:20" ht="30" customHeight="1" x14ac:dyDescent="0.2">
      <c r="B21" s="130" t="s">
        <v>520</v>
      </c>
      <c r="C21" s="136">
        <f>SUM(C17:I17)</f>
        <v>0</v>
      </c>
      <c r="L21" s="130" t="s">
        <v>520</v>
      </c>
      <c r="M21" s="136">
        <f>SUM(M17:P17)</f>
        <v>0</v>
      </c>
      <c r="N21" s="137">
        <f>SUM(Q17:T17)</f>
        <v>0</v>
      </c>
    </row>
    <row r="22" spans="2:20" ht="30" customHeight="1" x14ac:dyDescent="0.2">
      <c r="B22" s="131" t="s">
        <v>521</v>
      </c>
      <c r="C22" s="138">
        <f>SUM(C18:I18)</f>
        <v>0</v>
      </c>
      <c r="L22" s="131" t="s">
        <v>521</v>
      </c>
      <c r="M22" s="138">
        <f>SUM(M18:P18)</f>
        <v>0</v>
      </c>
      <c r="N22" s="139">
        <f>SUM(Q18:T18)</f>
        <v>0</v>
      </c>
    </row>
    <row r="24" spans="2:20" ht="30.75" customHeight="1" x14ac:dyDescent="0.2">
      <c r="B24" s="260" t="s">
        <v>547</v>
      </c>
      <c r="C24" s="261"/>
      <c r="D24" s="262"/>
      <c r="L24" s="260" t="s">
        <v>548</v>
      </c>
      <c r="M24" s="261"/>
      <c r="N24" s="262"/>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12:I12">
    <cfRule type="expression" dxfId="8" priority="16">
      <formula>OR(C10="",C10=0)</formula>
    </cfRule>
  </conditionalFormatting>
  <conditionalFormatting sqref="C16:I16">
    <cfRule type="expression" dxfId="7" priority="14">
      <formula>OR(C10="",C10=0)</formula>
    </cfRule>
  </conditionalFormatting>
  <conditionalFormatting sqref="C9:I9">
    <cfRule type="expression" dxfId="6" priority="12">
      <formula>OR(C10="",C10=0)</formula>
    </cfRule>
  </conditionalFormatting>
  <conditionalFormatting sqref="M9:P9">
    <cfRule type="expression" dxfId="5" priority="11">
      <formula>OR(M10="",M10=0)</formula>
    </cfRule>
  </conditionalFormatting>
  <conditionalFormatting sqref="M16:P16">
    <cfRule type="expression" dxfId="4" priority="9">
      <formula>OR(M10="",M10=0)</formula>
    </cfRule>
  </conditionalFormatting>
  <conditionalFormatting sqref="M12:P12">
    <cfRule type="expression" dxfId="3" priority="7">
      <formula>OR(M10="",M10=0)</formula>
    </cfRule>
  </conditionalFormatting>
  <conditionalFormatting sqref="Q9:T9">
    <cfRule type="expression" dxfId="2" priority="3">
      <formula>OR(Q10="",Q10=0)</formula>
    </cfRule>
  </conditionalFormatting>
  <conditionalFormatting sqref="Q12:T12">
    <cfRule type="expression" dxfId="1" priority="2">
      <formula>OR(Q10="",Q10=0)</formula>
    </cfRule>
  </conditionalFormatting>
  <conditionalFormatting sqref="Q16:T16">
    <cfRule type="expression" dxfId="0" priority="1">
      <formula>OR(Q10="",Q10=0)</formula>
    </cfRule>
  </conditionalFormatting>
  <hyperlinks>
    <hyperlink ref="B1" location="Overview!A1" display="Back to Overview" xr:uid="{00000000-0004-0000-0B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B00-000000000000}">
          <x14:formula1>
            <xm:f>'Annex 1 LV and HV charges'!$A$12:$A$44</xm:f>
          </x14:formula1>
          <xm:sqref>B10</xm:sqref>
        </x14:dataValidation>
        <x14:dataValidation type="list" errorStyle="information" allowBlank="1" showInputMessage="1" showErrorMessage="1" promptTitle="Choose site" prompt="Select the EHV site that you would like to calculate charges." xr:uid="{00000000-0002-0000-0B00-000001000000}">
          <x14:formula1>
            <xm:f>'Annex 2 EHV charges'!$G$10:$G$235</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18</vt:i4>
      </vt:variant>
    </vt:vector>
  </HeadingPairs>
  <TitlesOfParts>
    <vt:vector size="30" baseType="lpstr">
      <vt:lpstr>Overview</vt:lpstr>
      <vt:lpstr>Annex 1 LV and HV charges</vt:lpstr>
      <vt:lpstr>Annex 2 EHV charges</vt:lpstr>
      <vt:lpstr>Annex 2a Import</vt:lpstr>
      <vt:lpstr>Annex 2b Export</vt:lpstr>
      <vt:lpstr>Annex 3 Preserved charges</vt:lpstr>
      <vt:lpstr>Annex 4 LDNO charges</vt:lpstr>
      <vt:lpstr>Annex 5 LLFs</vt:lpstr>
      <vt:lpstr>Annex 6 New or Amended EHV</vt:lpstr>
      <vt:lpstr>Nodal prices</vt:lpstr>
      <vt:lpstr>SSC TPR unit rate lookup</vt:lpstr>
      <vt:lpstr>Charge Calculator</vt:lpstr>
      <vt:lpstr>'Annex 1 LV and HV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'Nodal prices'!Print_Area</vt:lpstr>
      <vt:lpstr>'Annex 1 LV and HV charges'!Print_Titles</vt:lpstr>
      <vt:lpstr>'Annex 2 EHV charges'!Print_Titles</vt:lpstr>
      <vt:lpstr>'Annex 2a Import'!Print_Titles</vt:lpstr>
      <vt:lpstr>'Annex 2b Export'!Print_Titles</vt:lpstr>
      <vt:lpstr>'Annex 4 LDNO charges'!Print_Titles</vt:lpstr>
      <vt:lpstr>'Annex 5 LLFs'!Print_Titles</vt:lpstr>
      <vt:lpstr>'Annex 6 New or Amended EHV'!Print_Titles</vt:lpstr>
      <vt:lpstr>'Nodal prices'!Print_Titles</vt:lpstr>
      <vt:lpstr>'SSC TPR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Matthew Hart</cp:lastModifiedBy>
  <cp:lastPrinted>2019-02-06T09:23:47Z</cp:lastPrinted>
  <dcterms:created xsi:type="dcterms:W3CDTF">2009-11-12T11:38:00Z</dcterms:created>
  <dcterms:modified xsi:type="dcterms:W3CDTF">2021-02-03T08:51:27Z</dcterms:modified>
</cp:coreProperties>
</file>