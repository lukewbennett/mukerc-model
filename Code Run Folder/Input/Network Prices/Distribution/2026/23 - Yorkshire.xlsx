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T:\Charge_Setting\2026-2027\Common (NE&amp;YE)\08. Website Material - Internal\0.3 Amended website (after pub)\2. Losses\"/>
    </mc:Choice>
  </mc:AlternateContent>
  <xr:revisionPtr revIDLastSave="0" documentId="13_ncr:1_{7E722B4C-7439-4CF5-BEB4-2FADA2D2D04C}" xr6:coauthVersionLast="47" xr6:coauthVersionMax="47" xr10:uidLastSave="{00000000-0000-0000-0000-000000000000}"/>
  <bookViews>
    <workbookView xWindow="225" yWindow="225" windowWidth="38700" windowHeight="15345" tabRatio="844" xr2:uid="{00000000-000D-0000-FFFF-FFFF00000000}"/>
  </bookViews>
  <sheets>
    <sheet name="Overview" sheetId="1" r:id="rId1"/>
    <sheet name="Annex 1 LV, HV and UMS charges" sheetId="2" r:id="rId2"/>
    <sheet name="Annex 2 Designated EHV charges" sheetId="12" r:id="rId3"/>
    <sheet name="Annex 2a Import" sheetId="13" r:id="rId4"/>
    <sheet name="Annex 2b Export" sheetId="14" r:id="rId5"/>
    <sheet name="Annex 3 Preserved charges" sheetId="21" r:id="rId6"/>
    <sheet name="Annex 4 LDNO charges" sheetId="5" r:id="rId7"/>
    <sheet name="Annex 5 LLFs" sheetId="25" r:id="rId8"/>
    <sheet name="Annex 6 New or Amended EHV" sheetId="23" r:id="rId9"/>
    <sheet name="Annex 7 Pass-Through Costs" sheetId="19" r:id="rId10"/>
    <sheet name="Nodal prices" sheetId="7" r:id="rId11"/>
    <sheet name="SSC unit rate lookup" sheetId="17" r:id="rId12"/>
    <sheet name="Residual Charging Bands" sheetId="20" r:id="rId13"/>
    <sheet name="TNUoS Mapping" sheetId="24" r:id="rId14"/>
    <sheet name="Charge Calculator" sheetId="18" r:id="rId15"/>
  </sheets>
  <definedNames>
    <definedName name="_xlnm._FilterDatabase" localSheetId="2" hidden="1">'Annex 2 Designated EHV charges'!$A$9:$P$69</definedName>
    <definedName name="_xlnm._FilterDatabase" localSheetId="9" hidden="1">'Annex 7 Pass-Through Costs'!$A$4:$E$162</definedName>
    <definedName name="_xlnm._FilterDatabase" localSheetId="11" hidden="1">'SSC unit rate lookup'!$A$28:$D$763</definedName>
    <definedName name="_xlnm.Print_Area" localSheetId="1">'Annex 1 LV, HV and UMS charges'!$A$2:$K$43</definedName>
    <definedName name="_xlnm.Print_Area" localSheetId="2">'Annex 2 Designated EHV charges'!$A$2:$P$177</definedName>
    <definedName name="_xlnm.Print_Area" localSheetId="3">'Annex 2a Import'!$A$2:$H$172</definedName>
    <definedName name="_xlnm.Print_Area" localSheetId="4">'Annex 2b Export'!$A$2:$H$111</definedName>
    <definedName name="_xlnm.Print_Area" localSheetId="5">'Annex 3 Preserved charges'!$A$22:$E$25</definedName>
    <definedName name="_xlnm.Print_Area" localSheetId="6">'Annex 4 LDNO charges'!$A$2:$J$201</definedName>
    <definedName name="_xlnm.Print_Area" localSheetId="7">'Annex 5 LLFs'!$A$3:$F$239</definedName>
    <definedName name="_xlnm.Print_Area" localSheetId="8">'Annex 6 New or Amended EHV'!$A$30:$E$34</definedName>
    <definedName name="_xlnm.Print_Area" localSheetId="9">'Annex 7 Pass-Through Costs'!$A$2:$F$165</definedName>
    <definedName name="_xlnm.Print_Area" localSheetId="10">'Nodal prices'!$A$2:$D$26</definedName>
    <definedName name="_xlnm.Print_Titles" localSheetId="2">'Annex 2 Designated EHV charges'!$9:$9</definedName>
    <definedName name="_xlnm.Print_Titles" localSheetId="3">'Annex 2a Import'!$4:$4</definedName>
    <definedName name="_xlnm.Print_Titles" localSheetId="4">'Annex 2b Export'!$4:$4</definedName>
    <definedName name="_xlnm.Print_Titles" localSheetId="6">'Annex 4 LDNO charges'!$11:$11</definedName>
    <definedName name="_xlnm.Print_Titles" localSheetId="7">'Annex 5 LLFs'!$24:$24</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charges'!$A$2:$K$27</definedName>
    <definedName name="Z_5032A364_B81A_48DA_88DA_AB3B86B47EE9_.wvu.PrintArea" localSheetId="2" hidden="1">'Annex 2 Designated EHV charges'!$A$2:$J$17</definedName>
    <definedName name="Z_5032A364_B81A_48DA_88DA_AB3B86B47EE9_.wvu.PrintArea" localSheetId="5" hidden="1">'Annex 3 Preserved charges'!$A$2:$J$21</definedName>
    <definedName name="Z_5032A364_B81A_48DA_88DA_AB3B86B47EE9_.wvu.PrintArea" localSheetId="6" hidden="1">'Annex 4 LDNO charges'!$A$2:$I$97</definedName>
    <definedName name="Z_5032A364_B81A_48DA_88DA_AB3B86B47EE9_.wvu.PrintArea" localSheetId="7" hidden="1">'Annex 5 LLFs'!$A$3:$F$37</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charges'!$2:$11</definedName>
    <definedName name="Z_5032A364_B81A_48DA_88DA_AB3B86B47EE9_.wvu.PrintTitles" localSheetId="2" hidden="1">'Annex 2 Designated EHV charges'!$2:$9</definedName>
    <definedName name="Z_5032A364_B81A_48DA_88DA_AB3B86B47EE9_.wvu.PrintTitles" localSheetId="6" hidden="1">'Annex 4 LDNO charges'!$2:$11</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25" l="1"/>
  <c r="A2" i="14" l="1"/>
  <c r="A2" i="12"/>
  <c r="A17" i="23"/>
  <c r="A4" i="23"/>
  <c r="A2" i="24" l="1"/>
  <c r="A2" i="13" l="1"/>
  <c r="B37" i="24"/>
  <c r="B36" i="24"/>
  <c r="B35" i="24"/>
  <c r="B34" i="24"/>
  <c r="B33" i="24"/>
  <c r="B32" i="24"/>
  <c r="B31" i="24"/>
  <c r="B30" i="24"/>
  <c r="B29" i="24"/>
  <c r="B23" i="24"/>
  <c r="B18" i="24"/>
  <c r="B13" i="24"/>
  <c r="B12" i="24"/>
  <c r="B7" i="24"/>
  <c r="T10" i="18" l="1"/>
  <c r="S10" i="18"/>
  <c r="R10" i="18"/>
  <c r="P10" i="18"/>
  <c r="O10" i="18"/>
  <c r="N10" i="18"/>
  <c r="P5" i="23"/>
  <c r="O5" i="23"/>
  <c r="N5" i="23"/>
  <c r="M5" i="23"/>
  <c r="L5" i="23"/>
  <c r="K5" i="23"/>
  <c r="J5" i="23"/>
  <c r="I5" i="23"/>
  <c r="A24" i="21"/>
  <c r="A2" i="21"/>
  <c r="Q10" i="18" l="1"/>
  <c r="M10" i="18"/>
  <c r="F6" i="14"/>
  <c r="E5" i="14"/>
  <c r="H5" i="14"/>
  <c r="G5" i="14"/>
  <c r="F5" i="14"/>
  <c r="A2" i="20"/>
  <c r="E6" i="14" l="1"/>
  <c r="H6" i="14"/>
  <c r="G6" i="14"/>
  <c r="J11" i="5"/>
  <c r="I11" i="5"/>
  <c r="H11" i="5"/>
  <c r="G11" i="5"/>
  <c r="F11" i="5"/>
  <c r="E11" i="5"/>
  <c r="D11" i="5"/>
  <c r="A2" i="5"/>
  <c r="F8" i="14" l="1"/>
  <c r="H7" i="14"/>
  <c r="H8" i="14"/>
  <c r="E7" i="14"/>
  <c r="E8" i="14"/>
  <c r="G7" i="14"/>
  <c r="G8" i="14"/>
  <c r="F7" i="14"/>
  <c r="B13" i="1"/>
  <c r="B11" i="1"/>
  <c r="B9" i="1"/>
  <c r="F9" i="14" l="1"/>
  <c r="G9" i="14"/>
  <c r="E9" i="14"/>
  <c r="H9" i="14"/>
  <c r="A2" i="19"/>
  <c r="F10" i="14" l="1"/>
  <c r="H11" i="14"/>
  <c r="E10" i="14"/>
  <c r="H10" i="14"/>
  <c r="G10" i="14"/>
  <c r="D9" i="18"/>
  <c r="E9" i="18"/>
  <c r="F9" i="18"/>
  <c r="G9" i="18"/>
  <c r="H9" i="18"/>
  <c r="I9" i="18"/>
  <c r="C9" i="18"/>
  <c r="E167" i="13" l="1"/>
  <c r="C166" i="13"/>
  <c r="G166" i="13"/>
  <c r="B166" i="13"/>
  <c r="D166" i="13"/>
  <c r="F166" i="13"/>
  <c r="H166" i="13"/>
  <c r="E166" i="13"/>
  <c r="C165" i="13"/>
  <c r="B165" i="13"/>
  <c r="D165" i="13"/>
  <c r="F165" i="13"/>
  <c r="H165" i="13"/>
  <c r="E165" i="13"/>
  <c r="G165" i="13"/>
  <c r="G11" i="14"/>
  <c r="E11" i="14"/>
  <c r="G12" i="14"/>
  <c r="F11" i="14"/>
  <c r="N9" i="18"/>
  <c r="O9" i="18"/>
  <c r="P9" i="18"/>
  <c r="Q9" i="18"/>
  <c r="R9" i="18"/>
  <c r="S9" i="18"/>
  <c r="T9" i="18"/>
  <c r="M9" i="18"/>
  <c r="H167" i="13" l="1"/>
  <c r="F167" i="13"/>
  <c r="C167" i="13"/>
  <c r="G167" i="13"/>
  <c r="D167" i="13"/>
  <c r="B167" i="13"/>
  <c r="F168" i="13"/>
  <c r="H105" i="14"/>
  <c r="F105" i="14"/>
  <c r="D105" i="14"/>
  <c r="B105" i="14"/>
  <c r="E105" i="14"/>
  <c r="C105" i="14"/>
  <c r="G105" i="14"/>
  <c r="H103" i="14"/>
  <c r="E103" i="14"/>
  <c r="D103" i="14"/>
  <c r="G103" i="14"/>
  <c r="B103" i="14"/>
  <c r="F103" i="14"/>
  <c r="C103" i="14"/>
  <c r="H97" i="14"/>
  <c r="B97" i="14"/>
  <c r="F97" i="14"/>
  <c r="C97" i="14"/>
  <c r="D97" i="14"/>
  <c r="E97" i="14"/>
  <c r="G97" i="14"/>
  <c r="F12" i="14"/>
  <c r="F13" i="14"/>
  <c r="E12" i="14"/>
  <c r="H12" i="14"/>
  <c r="B2" i="18"/>
  <c r="T14" i="18"/>
  <c r="S14" i="18"/>
  <c r="Q14" i="18"/>
  <c r="P14" i="18"/>
  <c r="O14" i="18"/>
  <c r="N14" i="18"/>
  <c r="M14" i="18"/>
  <c r="I14" i="18"/>
  <c r="H14" i="18"/>
  <c r="G14" i="18"/>
  <c r="F14" i="18"/>
  <c r="E14" i="18"/>
  <c r="D14" i="18"/>
  <c r="C14" i="18"/>
  <c r="R13" i="18"/>
  <c r="E12" i="18"/>
  <c r="D12" i="18"/>
  <c r="C12" i="18"/>
  <c r="G169" i="13" l="1"/>
  <c r="H168" i="13"/>
  <c r="D168" i="13"/>
  <c r="C168" i="13"/>
  <c r="E168" i="13"/>
  <c r="B168" i="13"/>
  <c r="G168" i="13"/>
  <c r="E106" i="14"/>
  <c r="G106" i="14"/>
  <c r="D106" i="14"/>
  <c r="F106" i="14"/>
  <c r="H106" i="14"/>
  <c r="B106" i="14"/>
  <c r="C106" i="14"/>
  <c r="B104" i="14"/>
  <c r="D104" i="14"/>
  <c r="F104" i="14"/>
  <c r="C104" i="14"/>
  <c r="H104" i="14"/>
  <c r="E104" i="14"/>
  <c r="G104" i="14"/>
  <c r="G98" i="14"/>
  <c r="H98" i="14"/>
  <c r="B98" i="14"/>
  <c r="C98" i="14"/>
  <c r="D98" i="14"/>
  <c r="E98" i="14"/>
  <c r="F98" i="14"/>
  <c r="F14" i="14"/>
  <c r="G13" i="14"/>
  <c r="E13" i="14"/>
  <c r="H13" i="14"/>
  <c r="R14" i="18"/>
  <c r="H171" i="13" l="1"/>
  <c r="C169" i="13"/>
  <c r="E169" i="13"/>
  <c r="H169" i="13"/>
  <c r="D169" i="13"/>
  <c r="B169" i="13"/>
  <c r="F169" i="13"/>
  <c r="F107" i="14"/>
  <c r="G107" i="14"/>
  <c r="H107" i="14"/>
  <c r="B107" i="14"/>
  <c r="D107" i="14"/>
  <c r="C107" i="14"/>
  <c r="E107" i="14"/>
  <c r="C99" i="14"/>
  <c r="D99" i="14"/>
  <c r="E99" i="14"/>
  <c r="F99" i="14"/>
  <c r="H99" i="14"/>
  <c r="G99" i="14"/>
  <c r="B99" i="14"/>
  <c r="E15" i="14"/>
  <c r="G14" i="14"/>
  <c r="E14" i="14"/>
  <c r="H14" i="14"/>
  <c r="B170" i="13" l="1"/>
  <c r="F171" i="13"/>
  <c r="C172" i="13"/>
  <c r="E170" i="13"/>
  <c r="E171" i="13"/>
  <c r="H170" i="13"/>
  <c r="G171" i="13"/>
  <c r="F170" i="13"/>
  <c r="C171" i="13"/>
  <c r="D170" i="13"/>
  <c r="B171" i="13"/>
  <c r="G170" i="13"/>
  <c r="D171" i="13"/>
  <c r="C170" i="13"/>
  <c r="F109" i="14"/>
  <c r="H109" i="14"/>
  <c r="B109" i="14"/>
  <c r="E109" i="14"/>
  <c r="D109" i="14"/>
  <c r="G109" i="14"/>
  <c r="C109" i="14"/>
  <c r="E108" i="14"/>
  <c r="C108" i="14"/>
  <c r="G108" i="14"/>
  <c r="H108" i="14"/>
  <c r="F108" i="14"/>
  <c r="B108" i="14"/>
  <c r="D108" i="14"/>
  <c r="B100" i="14"/>
  <c r="C100" i="14"/>
  <c r="D100" i="14"/>
  <c r="E100" i="14"/>
  <c r="G100" i="14"/>
  <c r="F100" i="14"/>
  <c r="H100" i="14"/>
  <c r="H15" i="14"/>
  <c r="F16" i="14"/>
  <c r="G15" i="14"/>
  <c r="F15" i="14"/>
  <c r="N18" i="18"/>
  <c r="T18" i="18"/>
  <c r="P18" i="18"/>
  <c r="R17" i="18"/>
  <c r="M17" i="18"/>
  <c r="O17" i="18"/>
  <c r="Q17" i="18"/>
  <c r="S17" i="18"/>
  <c r="S18" i="18"/>
  <c r="B5" i="14"/>
  <c r="D5" i="14"/>
  <c r="C5" i="14"/>
  <c r="E172" i="13" l="1"/>
  <c r="F172" i="13"/>
  <c r="D172" i="13"/>
  <c r="H172" i="13"/>
  <c r="B172" i="13"/>
  <c r="G172" i="13"/>
  <c r="H111" i="14"/>
  <c r="D111" i="14"/>
  <c r="F111" i="14"/>
  <c r="C111" i="14"/>
  <c r="E111" i="14"/>
  <c r="G111" i="14"/>
  <c r="B111" i="14"/>
  <c r="B110" i="14"/>
  <c r="C110" i="14"/>
  <c r="E110" i="14"/>
  <c r="D110" i="14"/>
  <c r="F110" i="14"/>
  <c r="G110" i="14"/>
  <c r="H110" i="14"/>
  <c r="E101" i="14"/>
  <c r="B101" i="14"/>
  <c r="C101" i="14"/>
  <c r="F101" i="14"/>
  <c r="H101" i="14"/>
  <c r="G101" i="14"/>
  <c r="D101" i="14"/>
  <c r="E17" i="14"/>
  <c r="G16" i="14"/>
  <c r="E16" i="14"/>
  <c r="H16" i="14"/>
  <c r="T17" i="18"/>
  <c r="N21" i="18" s="1"/>
  <c r="O18" i="18"/>
  <c r="R18" i="18"/>
  <c r="N17" i="18"/>
  <c r="P17" i="18"/>
  <c r="M18" i="18"/>
  <c r="Q18" i="18"/>
  <c r="B6" i="14"/>
  <c r="D6" i="14"/>
  <c r="C6" i="14"/>
  <c r="D102" i="14" l="1"/>
  <c r="F102" i="14"/>
  <c r="G102" i="14"/>
  <c r="H102" i="14"/>
  <c r="B102" i="14"/>
  <c r="C102" i="14"/>
  <c r="E102" i="14"/>
  <c r="H17" i="14"/>
  <c r="G17" i="14"/>
  <c r="F17" i="14"/>
  <c r="M22" i="18"/>
  <c r="N22" i="18"/>
  <c r="M21" i="18"/>
  <c r="C8" i="14"/>
  <c r="D8" i="14"/>
  <c r="B8" i="14"/>
  <c r="D7" i="14"/>
  <c r="C7" i="14"/>
  <c r="B7" i="14"/>
  <c r="B164" i="13" l="1"/>
  <c r="D164" i="13"/>
  <c r="C164" i="13"/>
  <c r="E18" i="14"/>
  <c r="H18" i="14"/>
  <c r="G18" i="14"/>
  <c r="F18" i="14"/>
  <c r="E19" i="14"/>
  <c r="F19" i="14"/>
  <c r="G19" i="14"/>
  <c r="H19" i="14"/>
  <c r="B9" i="14"/>
  <c r="D9" i="14"/>
  <c r="C9" i="14"/>
  <c r="A2" i="7"/>
  <c r="E20" i="14" l="1"/>
  <c r="F20" i="14"/>
  <c r="G20" i="14"/>
  <c r="H20" i="14"/>
  <c r="B10" i="14"/>
  <c r="D10" i="14"/>
  <c r="C10" i="14"/>
  <c r="E21" i="14" l="1"/>
  <c r="F21" i="14"/>
  <c r="G21" i="14"/>
  <c r="H21" i="14"/>
  <c r="D11" i="14"/>
  <c r="C11" i="14"/>
  <c r="B11" i="14"/>
  <c r="H22" i="13" l="1"/>
  <c r="F158" i="13"/>
  <c r="B158" i="13"/>
  <c r="G158" i="13"/>
  <c r="E158" i="13"/>
  <c r="D158" i="13"/>
  <c r="H158" i="13"/>
  <c r="C158" i="13"/>
  <c r="H159" i="13"/>
  <c r="G159" i="13"/>
  <c r="F159" i="13"/>
  <c r="C159" i="13"/>
  <c r="B159" i="13"/>
  <c r="D159" i="13"/>
  <c r="E159" i="13"/>
  <c r="H161" i="13"/>
  <c r="E160" i="13"/>
  <c r="C160" i="13"/>
  <c r="D160" i="13"/>
  <c r="D161" i="13"/>
  <c r="B161" i="13"/>
  <c r="G161" i="13"/>
  <c r="C161" i="13"/>
  <c r="G160" i="13"/>
  <c r="B160" i="13"/>
  <c r="F161" i="13"/>
  <c r="F160" i="13"/>
  <c r="H160" i="13"/>
  <c r="E161" i="13"/>
  <c r="E162" i="13"/>
  <c r="C162" i="13"/>
  <c r="H162" i="13"/>
  <c r="G162" i="13"/>
  <c r="F162" i="13"/>
  <c r="D162" i="13"/>
  <c r="B162" i="13"/>
  <c r="B163" i="13"/>
  <c r="C163" i="13"/>
  <c r="F163" i="13"/>
  <c r="H163" i="13"/>
  <c r="G163" i="13"/>
  <c r="D163" i="13"/>
  <c r="E163" i="13"/>
  <c r="F164" i="13"/>
  <c r="E164" i="13"/>
  <c r="H164" i="13"/>
  <c r="G164" i="13"/>
  <c r="H5" i="13"/>
  <c r="F5" i="13"/>
  <c r="E5" i="13"/>
  <c r="G5" i="13"/>
  <c r="F6" i="13"/>
  <c r="G6" i="13"/>
  <c r="H6" i="13"/>
  <c r="E6" i="13"/>
  <c r="F7" i="13"/>
  <c r="G7" i="13"/>
  <c r="E7" i="13"/>
  <c r="H7" i="13"/>
  <c r="G9" i="13"/>
  <c r="F8" i="13"/>
  <c r="E9" i="13"/>
  <c r="H8" i="13"/>
  <c r="F9" i="13"/>
  <c r="E8" i="13"/>
  <c r="H9" i="13"/>
  <c r="G8" i="13"/>
  <c r="F10" i="13"/>
  <c r="G10" i="13"/>
  <c r="H10" i="13"/>
  <c r="E10" i="13"/>
  <c r="H11" i="13"/>
  <c r="F11" i="13"/>
  <c r="E11" i="13"/>
  <c r="G11" i="13"/>
  <c r="G12" i="13"/>
  <c r="H12" i="13"/>
  <c r="E12" i="13"/>
  <c r="F12" i="13"/>
  <c r="G14" i="13"/>
  <c r="G13" i="13"/>
  <c r="F14" i="13"/>
  <c r="F13" i="13"/>
  <c r="H14" i="13"/>
  <c r="H13" i="13"/>
  <c r="E14" i="13"/>
  <c r="E13" i="13"/>
  <c r="G15" i="13"/>
  <c r="F15" i="13"/>
  <c r="H15" i="13"/>
  <c r="E15" i="13"/>
  <c r="F16" i="13"/>
  <c r="G16" i="13"/>
  <c r="H16" i="13"/>
  <c r="E16" i="13"/>
  <c r="G17" i="13"/>
  <c r="F17" i="13"/>
  <c r="H17" i="13"/>
  <c r="E17" i="13"/>
  <c r="F18" i="13"/>
  <c r="G18" i="13"/>
  <c r="H18" i="13"/>
  <c r="E18" i="13"/>
  <c r="E19" i="13"/>
  <c r="G19" i="13"/>
  <c r="H19" i="13"/>
  <c r="F19" i="13"/>
  <c r="E20" i="13"/>
  <c r="F20" i="13"/>
  <c r="G20" i="13"/>
  <c r="H20" i="13"/>
  <c r="E21" i="13"/>
  <c r="F21" i="13"/>
  <c r="G21" i="13"/>
  <c r="H21" i="13"/>
  <c r="G22" i="13"/>
  <c r="F22" i="13"/>
  <c r="E22" i="13"/>
  <c r="E23" i="13"/>
  <c r="F23" i="13"/>
  <c r="G23" i="13"/>
  <c r="H23" i="13"/>
  <c r="E22" i="14"/>
  <c r="F22" i="14"/>
  <c r="G22" i="14"/>
  <c r="H22" i="14"/>
  <c r="D12" i="14"/>
  <c r="B12" i="14"/>
  <c r="C12" i="14"/>
  <c r="B13" i="13"/>
  <c r="D13" i="13"/>
  <c r="D5" i="13"/>
  <c r="C5" i="13"/>
  <c r="B5" i="13"/>
  <c r="D6" i="13"/>
  <c r="B6" i="13"/>
  <c r="C6" i="13"/>
  <c r="C7" i="13"/>
  <c r="B7" i="13"/>
  <c r="D7" i="13"/>
  <c r="D8" i="13"/>
  <c r="C9" i="13"/>
  <c r="D9" i="13"/>
  <c r="B8" i="13"/>
  <c r="B9" i="13"/>
  <c r="C8" i="13"/>
  <c r="C10" i="13"/>
  <c r="B10" i="13"/>
  <c r="C12" i="13"/>
  <c r="C11" i="13"/>
  <c r="D10" i="13"/>
  <c r="D11" i="13"/>
  <c r="B12" i="13"/>
  <c r="D12" i="13"/>
  <c r="B11" i="13"/>
  <c r="C13" i="13"/>
  <c r="C14" i="13"/>
  <c r="B14" i="13"/>
  <c r="D14" i="13"/>
  <c r="A2" i="2"/>
  <c r="E24" i="13" l="1"/>
  <c r="F24" i="13"/>
  <c r="G24" i="13"/>
  <c r="H24" i="13"/>
  <c r="E23" i="14"/>
  <c r="F23" i="14"/>
  <c r="G23" i="14"/>
  <c r="H23" i="14"/>
  <c r="B13" i="14"/>
  <c r="C13" i="14"/>
  <c r="D13" i="14"/>
  <c r="H10" i="18"/>
  <c r="D10" i="18"/>
  <c r="G10" i="18"/>
  <c r="C10" i="18"/>
  <c r="F10" i="18"/>
  <c r="I10" i="18"/>
  <c r="E10" i="18"/>
  <c r="C15" i="13"/>
  <c r="B15" i="13"/>
  <c r="D15" i="13"/>
  <c r="E25" i="13" l="1"/>
  <c r="F25" i="13"/>
  <c r="G25" i="13"/>
  <c r="H25" i="13"/>
  <c r="E24" i="14"/>
  <c r="F24" i="14"/>
  <c r="G24" i="14"/>
  <c r="H24" i="14"/>
  <c r="B14" i="14"/>
  <c r="C14" i="14"/>
  <c r="D14" i="14"/>
  <c r="F17" i="18"/>
  <c r="F18" i="18"/>
  <c r="C17" i="18"/>
  <c r="C18" i="18"/>
  <c r="E18" i="18"/>
  <c r="E17" i="18"/>
  <c r="G18" i="18"/>
  <c r="G17" i="18"/>
  <c r="H17" i="18"/>
  <c r="H18" i="18"/>
  <c r="I17" i="18"/>
  <c r="I18" i="18"/>
  <c r="D17" i="18"/>
  <c r="D18" i="18"/>
  <c r="B16" i="13"/>
  <c r="D16" i="13"/>
  <c r="C16" i="13"/>
  <c r="E26" i="13" l="1"/>
  <c r="F26" i="13"/>
  <c r="G26" i="13"/>
  <c r="H26" i="13"/>
  <c r="E25" i="14"/>
  <c r="F25" i="14"/>
  <c r="G25" i="14"/>
  <c r="H25" i="14"/>
  <c r="B15" i="14"/>
  <c r="D15" i="14"/>
  <c r="C15" i="14"/>
  <c r="C22" i="18"/>
  <c r="C21" i="18"/>
  <c r="C17" i="13"/>
  <c r="D17" i="13"/>
  <c r="B17" i="13"/>
  <c r="F4" i="14"/>
  <c r="G4" i="14"/>
  <c r="H4" i="14"/>
  <c r="E4" i="14"/>
  <c r="F4" i="13"/>
  <c r="G4" i="13"/>
  <c r="H4" i="13"/>
  <c r="E4" i="13"/>
  <c r="E27" i="13" l="1"/>
  <c r="F27" i="13"/>
  <c r="G27" i="13"/>
  <c r="H27" i="13"/>
  <c r="E26" i="14"/>
  <c r="F26" i="14"/>
  <c r="G26" i="14"/>
  <c r="H26" i="14"/>
  <c r="C16" i="14"/>
  <c r="D16" i="14"/>
  <c r="B16" i="14"/>
  <c r="D18" i="13"/>
  <c r="C18" i="13"/>
  <c r="B18" i="13"/>
  <c r="E28" i="13" l="1"/>
  <c r="F28" i="13"/>
  <c r="G28" i="13"/>
  <c r="H28" i="13"/>
  <c r="E27" i="14"/>
  <c r="F27" i="14"/>
  <c r="G27" i="14"/>
  <c r="H27" i="14"/>
  <c r="C17" i="14"/>
  <c r="D17" i="14"/>
  <c r="B17" i="14"/>
  <c r="C19" i="13"/>
  <c r="B19" i="13"/>
  <c r="D19" i="13"/>
  <c r="E29" i="13" l="1"/>
  <c r="F29" i="13"/>
  <c r="G29" i="13"/>
  <c r="H29" i="13"/>
  <c r="E28" i="14"/>
  <c r="F28" i="14"/>
  <c r="G28" i="14"/>
  <c r="H28" i="14"/>
  <c r="C18" i="14"/>
  <c r="B18" i="14"/>
  <c r="D18" i="14"/>
  <c r="C20" i="13"/>
  <c r="D20" i="13"/>
  <c r="B20" i="13"/>
  <c r="E30" i="13" l="1"/>
  <c r="F30" i="13"/>
  <c r="G30" i="13"/>
  <c r="H30" i="13"/>
  <c r="E29" i="14"/>
  <c r="F29" i="14"/>
  <c r="G29" i="14"/>
  <c r="H29" i="14"/>
  <c r="C19" i="14"/>
  <c r="B19" i="14"/>
  <c r="D19" i="14"/>
  <c r="D21" i="13"/>
  <c r="B21" i="13"/>
  <c r="C21" i="13"/>
  <c r="E31" i="13" l="1"/>
  <c r="F31" i="13"/>
  <c r="G31" i="13"/>
  <c r="H31" i="13"/>
  <c r="E30" i="14"/>
  <c r="F30" i="14"/>
  <c r="G30" i="14"/>
  <c r="H30" i="14"/>
  <c r="D20" i="14"/>
  <c r="B20" i="14"/>
  <c r="C20" i="14"/>
  <c r="D22" i="13"/>
  <c r="C22" i="13"/>
  <c r="B22" i="13"/>
  <c r="E32" i="13" l="1"/>
  <c r="F32" i="13"/>
  <c r="G32" i="13"/>
  <c r="H32" i="13"/>
  <c r="E31" i="14"/>
  <c r="F31" i="14"/>
  <c r="G31" i="14"/>
  <c r="H31" i="14"/>
  <c r="C21" i="14"/>
  <c r="B21" i="14"/>
  <c r="D21" i="14"/>
  <c r="D23" i="13"/>
  <c r="B23" i="13"/>
  <c r="C23" i="13"/>
  <c r="E33" i="13" l="1"/>
  <c r="F33" i="13"/>
  <c r="G33" i="13"/>
  <c r="H33" i="13"/>
  <c r="E32" i="14"/>
  <c r="F32" i="14"/>
  <c r="G32" i="14"/>
  <c r="H32" i="14"/>
  <c r="C22" i="14"/>
  <c r="B22" i="14"/>
  <c r="D22" i="14"/>
  <c r="B24" i="13"/>
  <c r="D24" i="13"/>
  <c r="C24" i="13"/>
  <c r="E34" i="13" l="1"/>
  <c r="F34" i="13"/>
  <c r="G34" i="13"/>
  <c r="H34" i="13"/>
  <c r="E33" i="14"/>
  <c r="F33" i="14"/>
  <c r="G33" i="14"/>
  <c r="H33" i="14"/>
  <c r="D23" i="14"/>
  <c r="C23" i="14"/>
  <c r="B23" i="14"/>
  <c r="B25" i="13"/>
  <c r="D25" i="13"/>
  <c r="C25" i="13"/>
  <c r="E35" i="13" l="1"/>
  <c r="F35" i="13"/>
  <c r="G35" i="13"/>
  <c r="H35" i="13"/>
  <c r="E34" i="14"/>
  <c r="F34" i="14"/>
  <c r="G34" i="14"/>
  <c r="H34" i="14"/>
  <c r="C24" i="14"/>
  <c r="B24" i="14"/>
  <c r="D24" i="14"/>
  <c r="D26" i="13"/>
  <c r="C26" i="13"/>
  <c r="B26" i="13"/>
  <c r="E36" i="13" l="1"/>
  <c r="F36" i="13"/>
  <c r="G36" i="13"/>
  <c r="H36" i="13"/>
  <c r="E35" i="14"/>
  <c r="F35" i="14"/>
  <c r="G35" i="14"/>
  <c r="H35" i="14"/>
  <c r="D25" i="14"/>
  <c r="C25" i="14"/>
  <c r="B25" i="14"/>
  <c r="B27" i="13"/>
  <c r="C27" i="13"/>
  <c r="D27" i="13"/>
  <c r="E37" i="13" l="1"/>
  <c r="F37" i="13"/>
  <c r="G37" i="13"/>
  <c r="H37" i="13"/>
  <c r="E36" i="14"/>
  <c r="F36" i="14"/>
  <c r="G36" i="14"/>
  <c r="H36" i="14"/>
  <c r="B26" i="14"/>
  <c r="D26" i="14"/>
  <c r="C26" i="14"/>
  <c r="D28" i="13"/>
  <c r="B28" i="13"/>
  <c r="C28" i="13"/>
  <c r="E38" i="13" l="1"/>
  <c r="F38" i="13"/>
  <c r="G38" i="13"/>
  <c r="H38" i="13"/>
  <c r="E37" i="14"/>
  <c r="F37" i="14"/>
  <c r="G37" i="14"/>
  <c r="H37" i="14"/>
  <c r="C27" i="14"/>
  <c r="D27" i="14"/>
  <c r="B27" i="14"/>
  <c r="D29" i="13"/>
  <c r="B29" i="13"/>
  <c r="C29" i="13"/>
  <c r="E39" i="13" l="1"/>
  <c r="F39" i="13"/>
  <c r="G39" i="13"/>
  <c r="H39" i="13"/>
  <c r="E38" i="14"/>
  <c r="F38" i="14"/>
  <c r="G38" i="14"/>
  <c r="H38" i="14"/>
  <c r="C28" i="14"/>
  <c r="D28" i="14"/>
  <c r="B28" i="14"/>
  <c r="D30" i="13"/>
  <c r="C30" i="13"/>
  <c r="B30" i="13"/>
  <c r="E40" i="13" l="1"/>
  <c r="F40" i="13"/>
  <c r="G40" i="13"/>
  <c r="H40" i="13"/>
  <c r="E39" i="14"/>
  <c r="F39" i="14"/>
  <c r="G39" i="14"/>
  <c r="H39" i="14"/>
  <c r="D29" i="14"/>
  <c r="C29" i="14"/>
  <c r="B29" i="14"/>
  <c r="D31" i="13"/>
  <c r="C31" i="13"/>
  <c r="B31" i="13"/>
  <c r="E41" i="13" l="1"/>
  <c r="F41" i="13"/>
  <c r="G41" i="13"/>
  <c r="H41" i="13"/>
  <c r="E40" i="14"/>
  <c r="F40" i="14"/>
  <c r="G40" i="14"/>
  <c r="H40" i="14"/>
  <c r="C30" i="14"/>
  <c r="D30" i="14"/>
  <c r="B30" i="14"/>
  <c r="B32" i="13"/>
  <c r="D32" i="13"/>
  <c r="C32" i="13"/>
  <c r="E42" i="13" l="1"/>
  <c r="F42" i="13"/>
  <c r="G42" i="13"/>
  <c r="H42" i="13"/>
  <c r="E41" i="14"/>
  <c r="F41" i="14"/>
  <c r="G41" i="14"/>
  <c r="H41" i="14"/>
  <c r="B31" i="14"/>
  <c r="D31" i="14"/>
  <c r="C31" i="14"/>
  <c r="B33" i="13"/>
  <c r="C33" i="13"/>
  <c r="D33" i="13"/>
  <c r="E43" i="13" l="1"/>
  <c r="F43" i="13"/>
  <c r="G43" i="13"/>
  <c r="H43" i="13"/>
  <c r="E42" i="14"/>
  <c r="F42" i="14"/>
  <c r="G42" i="14"/>
  <c r="H42" i="14"/>
  <c r="C32" i="14"/>
  <c r="B32" i="14"/>
  <c r="D32" i="14"/>
  <c r="C34" i="13"/>
  <c r="B34" i="13"/>
  <c r="D34" i="13"/>
  <c r="E44" i="13" l="1"/>
  <c r="F44" i="13"/>
  <c r="G44" i="13"/>
  <c r="H44" i="13"/>
  <c r="E43" i="14"/>
  <c r="F43" i="14"/>
  <c r="G43" i="14"/>
  <c r="H43" i="14"/>
  <c r="C33" i="14"/>
  <c r="B33" i="14"/>
  <c r="D33" i="14"/>
  <c r="D35" i="13"/>
  <c r="C35" i="13"/>
  <c r="B35" i="13"/>
  <c r="E45" i="13" l="1"/>
  <c r="F45" i="13"/>
  <c r="G45" i="13"/>
  <c r="H45" i="13"/>
  <c r="E44" i="14"/>
  <c r="F44" i="14"/>
  <c r="G44" i="14"/>
  <c r="H44" i="14"/>
  <c r="B34" i="14"/>
  <c r="D34" i="14"/>
  <c r="C34" i="14"/>
  <c r="B36" i="13"/>
  <c r="C36" i="13"/>
  <c r="D36" i="13"/>
  <c r="E46" i="13" l="1"/>
  <c r="F46" i="13"/>
  <c r="G46" i="13"/>
  <c r="H46" i="13"/>
  <c r="E45" i="14"/>
  <c r="F45" i="14"/>
  <c r="G45" i="14"/>
  <c r="H45" i="14"/>
  <c r="D35" i="14"/>
  <c r="C35" i="14"/>
  <c r="B35" i="14"/>
  <c r="B37" i="13"/>
  <c r="D37" i="13"/>
  <c r="C37" i="13"/>
  <c r="E47" i="13" l="1"/>
  <c r="F47" i="13"/>
  <c r="G47" i="13"/>
  <c r="H47" i="13"/>
  <c r="E46" i="14"/>
  <c r="F46" i="14"/>
  <c r="G46" i="14"/>
  <c r="H46" i="14"/>
  <c r="B36" i="14"/>
  <c r="D36" i="14"/>
  <c r="C36" i="14"/>
  <c r="D38" i="13"/>
  <c r="B38" i="13"/>
  <c r="C38" i="13"/>
  <c r="E48" i="13" l="1"/>
  <c r="F48" i="13"/>
  <c r="G48" i="13"/>
  <c r="H48" i="13"/>
  <c r="E47" i="14"/>
  <c r="F47" i="14"/>
  <c r="G47" i="14"/>
  <c r="H47" i="14"/>
  <c r="C37" i="14"/>
  <c r="B37" i="14"/>
  <c r="D37" i="14"/>
  <c r="C39" i="13"/>
  <c r="B39" i="13"/>
  <c r="D39" i="13"/>
  <c r="E49" i="13" l="1"/>
  <c r="F49" i="13"/>
  <c r="G49" i="13"/>
  <c r="H49" i="13"/>
  <c r="E48" i="14"/>
  <c r="F48" i="14"/>
  <c r="G48" i="14"/>
  <c r="H48" i="14"/>
  <c r="B38" i="14"/>
  <c r="C38" i="14"/>
  <c r="D38" i="14"/>
  <c r="B40" i="13"/>
  <c r="D40" i="13"/>
  <c r="C40" i="13"/>
  <c r="E50" i="13" l="1"/>
  <c r="F50" i="13"/>
  <c r="G50" i="13"/>
  <c r="H50" i="13"/>
  <c r="E49" i="14"/>
  <c r="F49" i="14"/>
  <c r="G49" i="14"/>
  <c r="H49" i="14"/>
  <c r="D39" i="14"/>
  <c r="B39" i="14"/>
  <c r="C39" i="14"/>
  <c r="B41" i="13"/>
  <c r="C41" i="13"/>
  <c r="D41" i="13"/>
  <c r="E51" i="13" l="1"/>
  <c r="F51" i="13"/>
  <c r="G51" i="13"/>
  <c r="H51" i="13"/>
  <c r="E50" i="14"/>
  <c r="F50" i="14"/>
  <c r="G50" i="14"/>
  <c r="H50" i="14"/>
  <c r="D40" i="14"/>
  <c r="C40" i="14"/>
  <c r="B40" i="14"/>
  <c r="C42" i="13"/>
  <c r="B42" i="13"/>
  <c r="D42" i="13"/>
  <c r="E52" i="13" l="1"/>
  <c r="F52" i="13"/>
  <c r="G52" i="13"/>
  <c r="H52" i="13"/>
  <c r="E51" i="14"/>
  <c r="F51" i="14"/>
  <c r="G51" i="14"/>
  <c r="H51" i="14"/>
  <c r="C41" i="14"/>
  <c r="D41" i="14"/>
  <c r="B41" i="14"/>
  <c r="D43" i="13"/>
  <c r="C43" i="13"/>
  <c r="B43" i="13"/>
  <c r="E53" i="13" l="1"/>
  <c r="F53" i="13"/>
  <c r="G53" i="13"/>
  <c r="H53" i="13"/>
  <c r="E52" i="14"/>
  <c r="F52" i="14"/>
  <c r="G52" i="14"/>
  <c r="H52" i="14"/>
  <c r="C42" i="14"/>
  <c r="D42" i="14"/>
  <c r="B42" i="14"/>
  <c r="D44" i="13"/>
  <c r="C44" i="13"/>
  <c r="B44" i="13"/>
  <c r="E54" i="13" l="1"/>
  <c r="F54" i="13"/>
  <c r="G54" i="13"/>
  <c r="H54" i="13"/>
  <c r="E53" i="14"/>
  <c r="F53" i="14"/>
  <c r="G53" i="14"/>
  <c r="H53" i="14"/>
  <c r="D43" i="14"/>
  <c r="B43" i="14"/>
  <c r="C43" i="14"/>
  <c r="C45" i="13"/>
  <c r="B45" i="13"/>
  <c r="D45" i="13"/>
  <c r="E55" i="13" l="1"/>
  <c r="F55" i="13"/>
  <c r="G55" i="13"/>
  <c r="H55" i="13"/>
  <c r="E54" i="14"/>
  <c r="F54" i="14"/>
  <c r="G54" i="14"/>
  <c r="H54" i="14"/>
  <c r="B44" i="14"/>
  <c r="C44" i="14"/>
  <c r="D44" i="14"/>
  <c r="B46" i="13"/>
  <c r="D46" i="13"/>
  <c r="C46" i="13"/>
  <c r="E56" i="13" l="1"/>
  <c r="F56" i="13"/>
  <c r="G56" i="13"/>
  <c r="H56" i="13"/>
  <c r="E55" i="14"/>
  <c r="F55" i="14"/>
  <c r="G55" i="14"/>
  <c r="H55" i="14"/>
  <c r="D45" i="14"/>
  <c r="B45" i="14"/>
  <c r="C45" i="14"/>
  <c r="B47" i="13"/>
  <c r="D47" i="13"/>
  <c r="C47" i="13"/>
  <c r="E57" i="13" l="1"/>
  <c r="F57" i="13"/>
  <c r="G57" i="13"/>
  <c r="H57" i="13"/>
  <c r="E56" i="14"/>
  <c r="F56" i="14"/>
  <c r="G56" i="14"/>
  <c r="H56" i="14"/>
  <c r="B46" i="14"/>
  <c r="D46" i="14"/>
  <c r="C46" i="14"/>
  <c r="D48" i="13"/>
  <c r="C48" i="13"/>
  <c r="B48" i="13"/>
  <c r="E58" i="13" l="1"/>
  <c r="F58" i="13"/>
  <c r="G58" i="13"/>
  <c r="H58" i="13"/>
  <c r="E57" i="14"/>
  <c r="F57" i="14"/>
  <c r="G57" i="14"/>
  <c r="H57" i="14"/>
  <c r="C47" i="14"/>
  <c r="B47" i="14"/>
  <c r="D47" i="14"/>
  <c r="C49" i="13"/>
  <c r="D49" i="13"/>
  <c r="B49" i="13"/>
  <c r="E59" i="13" l="1"/>
  <c r="F59" i="13"/>
  <c r="G59" i="13"/>
  <c r="H59" i="13"/>
  <c r="E58" i="14"/>
  <c r="F58" i="14"/>
  <c r="G58" i="14"/>
  <c r="H58" i="14"/>
  <c r="D48" i="14"/>
  <c r="C48" i="14"/>
  <c r="B48" i="14"/>
  <c r="B50" i="13"/>
  <c r="D50" i="13"/>
  <c r="C50" i="13"/>
  <c r="E60" i="13" l="1"/>
  <c r="F60" i="13"/>
  <c r="G60" i="13"/>
  <c r="H60" i="13"/>
  <c r="E59" i="14"/>
  <c r="F59" i="14"/>
  <c r="G59" i="14"/>
  <c r="H59" i="14"/>
  <c r="B49" i="14"/>
  <c r="C49" i="14"/>
  <c r="D49" i="14"/>
  <c r="D51" i="13"/>
  <c r="B51" i="13"/>
  <c r="C51" i="13"/>
  <c r="E61" i="13" l="1"/>
  <c r="F61" i="13"/>
  <c r="G61" i="13"/>
  <c r="H61" i="13"/>
  <c r="E60" i="14"/>
  <c r="F60" i="14"/>
  <c r="G60" i="14"/>
  <c r="H60" i="14"/>
  <c r="B50" i="14"/>
  <c r="D50" i="14"/>
  <c r="C50" i="14"/>
  <c r="D52" i="13"/>
  <c r="C52" i="13"/>
  <c r="B52" i="13"/>
  <c r="E62" i="13" l="1"/>
  <c r="F62" i="13"/>
  <c r="G62" i="13"/>
  <c r="H62" i="13"/>
  <c r="E61" i="14"/>
  <c r="F61" i="14"/>
  <c r="G61" i="14"/>
  <c r="H61" i="14"/>
  <c r="C51" i="14"/>
  <c r="B51" i="14"/>
  <c r="D51" i="14"/>
  <c r="C53" i="13"/>
  <c r="B53" i="13"/>
  <c r="D53" i="13"/>
  <c r="E63" i="13" l="1"/>
  <c r="F63" i="13"/>
  <c r="G63" i="13"/>
  <c r="H63" i="13"/>
  <c r="E62" i="14"/>
  <c r="F62" i="14"/>
  <c r="G62" i="14"/>
  <c r="H62" i="14"/>
  <c r="D52" i="14"/>
  <c r="B52" i="14"/>
  <c r="C52" i="14"/>
  <c r="B54" i="13"/>
  <c r="D54" i="13"/>
  <c r="C54" i="13"/>
  <c r="E64" i="13" l="1"/>
  <c r="F64" i="13"/>
  <c r="G64" i="13"/>
  <c r="H64" i="13"/>
  <c r="E63" i="14"/>
  <c r="F63" i="14"/>
  <c r="G63" i="14"/>
  <c r="H63" i="14"/>
  <c r="B53" i="14"/>
  <c r="C53" i="14"/>
  <c r="D53" i="14"/>
  <c r="B55" i="13"/>
  <c r="D55" i="13"/>
  <c r="C55" i="13"/>
  <c r="E65" i="13" l="1"/>
  <c r="F65" i="13"/>
  <c r="G65" i="13"/>
  <c r="H65" i="13"/>
  <c r="E64" i="14"/>
  <c r="F64" i="14"/>
  <c r="G64" i="14"/>
  <c r="H64" i="14"/>
  <c r="B54" i="14"/>
  <c r="C54" i="14"/>
  <c r="D54" i="14"/>
  <c r="D56" i="13"/>
  <c r="C56" i="13"/>
  <c r="B56" i="13"/>
  <c r="E66" i="13" l="1"/>
  <c r="F66" i="13"/>
  <c r="G66" i="13"/>
  <c r="H66" i="13"/>
  <c r="E65" i="14"/>
  <c r="F65" i="14"/>
  <c r="G65" i="14"/>
  <c r="H65" i="14"/>
  <c r="C55" i="14"/>
  <c r="B55" i="14"/>
  <c r="D55" i="14"/>
  <c r="C57" i="13"/>
  <c r="B57" i="13"/>
  <c r="D57" i="13"/>
  <c r="E67" i="13" l="1"/>
  <c r="F67" i="13"/>
  <c r="G67" i="13"/>
  <c r="H67" i="13"/>
  <c r="E66" i="14"/>
  <c r="F66" i="14"/>
  <c r="G66" i="14"/>
  <c r="H66" i="14"/>
  <c r="D56" i="14"/>
  <c r="B56" i="14"/>
  <c r="C56" i="14"/>
  <c r="B58" i="13"/>
  <c r="C58" i="13"/>
  <c r="D58" i="13"/>
  <c r="E68" i="13" l="1"/>
  <c r="F68" i="13"/>
  <c r="G68" i="13"/>
  <c r="H68" i="13"/>
  <c r="E67" i="14"/>
  <c r="F67" i="14"/>
  <c r="G67" i="14"/>
  <c r="H67" i="14"/>
  <c r="B57" i="14"/>
  <c r="D57" i="14"/>
  <c r="C57" i="14"/>
  <c r="D59" i="13"/>
  <c r="B59" i="13"/>
  <c r="C59" i="13"/>
  <c r="E69" i="13" l="1"/>
  <c r="F69" i="13"/>
  <c r="G69" i="13"/>
  <c r="H69" i="13"/>
  <c r="E68" i="14"/>
  <c r="F68" i="14"/>
  <c r="G68" i="14"/>
  <c r="H68" i="14"/>
  <c r="B58" i="14"/>
  <c r="D58" i="14"/>
  <c r="C58" i="14"/>
  <c r="D60" i="13"/>
  <c r="C60" i="13"/>
  <c r="B60" i="13"/>
  <c r="E70" i="13" l="1"/>
  <c r="F70" i="13"/>
  <c r="G70" i="13"/>
  <c r="H70" i="13"/>
  <c r="C70" i="13"/>
  <c r="D70" i="13"/>
  <c r="B70" i="13"/>
  <c r="E69" i="14"/>
  <c r="F69" i="14"/>
  <c r="G69" i="14"/>
  <c r="H69" i="14"/>
  <c r="B59" i="14"/>
  <c r="D59" i="14"/>
  <c r="C59" i="14"/>
  <c r="C61" i="13"/>
  <c r="B61" i="13"/>
  <c r="D61" i="13"/>
  <c r="E70" i="14" l="1"/>
  <c r="F70" i="14"/>
  <c r="G70" i="14"/>
  <c r="H70" i="14"/>
  <c r="E71" i="13"/>
  <c r="F71" i="13"/>
  <c r="G71" i="13"/>
  <c r="H71" i="13"/>
  <c r="C71" i="13"/>
  <c r="B71" i="13"/>
  <c r="D71" i="13"/>
  <c r="C60" i="14"/>
  <c r="D60" i="14"/>
  <c r="B60" i="14"/>
  <c r="B62" i="13"/>
  <c r="C62" i="13"/>
  <c r="D62" i="13"/>
  <c r="E72" i="13" l="1"/>
  <c r="F72" i="13"/>
  <c r="G72" i="13"/>
  <c r="H72" i="13"/>
  <c r="D72" i="13"/>
  <c r="C72" i="13"/>
  <c r="B72" i="13"/>
  <c r="E71" i="14"/>
  <c r="F71" i="14"/>
  <c r="G71" i="14"/>
  <c r="H71" i="14"/>
  <c r="C61" i="14"/>
  <c r="B61" i="14"/>
  <c r="D61" i="14"/>
  <c r="D63" i="13"/>
  <c r="C63" i="13"/>
  <c r="B63" i="13"/>
  <c r="E72" i="14" l="1"/>
  <c r="F72" i="14"/>
  <c r="G72" i="14"/>
  <c r="H72" i="14"/>
  <c r="E73" i="13"/>
  <c r="F73" i="13"/>
  <c r="G73" i="13"/>
  <c r="H73" i="13"/>
  <c r="D73" i="13"/>
  <c r="B73" i="13"/>
  <c r="C73" i="13"/>
  <c r="C62" i="14"/>
  <c r="D62" i="14"/>
  <c r="B62" i="14"/>
  <c r="D64" i="13"/>
  <c r="C64" i="13"/>
  <c r="B64" i="13"/>
  <c r="E74" i="13" l="1"/>
  <c r="F74" i="13"/>
  <c r="G74" i="13"/>
  <c r="H74" i="13"/>
  <c r="C74" i="13"/>
  <c r="D74" i="13"/>
  <c r="B74" i="13"/>
  <c r="E73" i="14"/>
  <c r="F73" i="14"/>
  <c r="G73" i="14"/>
  <c r="H73" i="14"/>
  <c r="B63" i="14"/>
  <c r="C63" i="14"/>
  <c r="D63" i="14"/>
  <c r="C65" i="13"/>
  <c r="D65" i="13"/>
  <c r="B65" i="13"/>
  <c r="E75" i="13" l="1"/>
  <c r="F75" i="13"/>
  <c r="G75" i="13"/>
  <c r="H75" i="13"/>
  <c r="C75" i="13"/>
  <c r="D75" i="13"/>
  <c r="B75" i="13"/>
  <c r="E74" i="14"/>
  <c r="F74" i="14"/>
  <c r="G74" i="14"/>
  <c r="H74" i="14"/>
  <c r="B64" i="14"/>
  <c r="C64" i="14"/>
  <c r="D64" i="14"/>
  <c r="B67" i="13"/>
  <c r="C67" i="13"/>
  <c r="D67" i="13"/>
  <c r="B66" i="13"/>
  <c r="D66" i="13"/>
  <c r="C66" i="13"/>
  <c r="E75" i="14" l="1"/>
  <c r="F75" i="14"/>
  <c r="G75" i="14"/>
  <c r="H75" i="14"/>
  <c r="E76" i="13"/>
  <c r="F76" i="13"/>
  <c r="G76" i="13"/>
  <c r="H76" i="13"/>
  <c r="D76" i="13"/>
  <c r="C76" i="13"/>
  <c r="B76" i="13"/>
  <c r="C65" i="14"/>
  <c r="D65" i="14"/>
  <c r="B65" i="14"/>
  <c r="C68" i="13"/>
  <c r="B68" i="13"/>
  <c r="D68" i="13"/>
  <c r="E77" i="13" l="1"/>
  <c r="G77" i="13"/>
  <c r="H77" i="13"/>
  <c r="F77" i="13"/>
  <c r="D77" i="13"/>
  <c r="C77" i="13"/>
  <c r="B77" i="13"/>
  <c r="E76" i="14"/>
  <c r="F76" i="14"/>
  <c r="G76" i="14"/>
  <c r="H76" i="14"/>
  <c r="C66" i="14"/>
  <c r="D66" i="14"/>
  <c r="B66" i="14"/>
  <c r="B69" i="13"/>
  <c r="C69" i="13"/>
  <c r="D69" i="13"/>
  <c r="G78" i="13" l="1"/>
  <c r="E78" i="13"/>
  <c r="F78" i="13"/>
  <c r="H78" i="13"/>
  <c r="B78" i="13"/>
  <c r="C78" i="13"/>
  <c r="D78" i="13"/>
  <c r="E77" i="14"/>
  <c r="F77" i="14"/>
  <c r="G77" i="14"/>
  <c r="H77" i="14"/>
  <c r="B67" i="14"/>
  <c r="C67" i="14"/>
  <c r="D67" i="14"/>
  <c r="E78" i="14" l="1"/>
  <c r="F78" i="14"/>
  <c r="G78" i="14"/>
  <c r="H78" i="14"/>
  <c r="G79" i="13"/>
  <c r="E79" i="13"/>
  <c r="F79" i="13"/>
  <c r="H79" i="13"/>
  <c r="D79" i="13"/>
  <c r="B79" i="13"/>
  <c r="C79" i="13"/>
  <c r="C68" i="14"/>
  <c r="B68" i="14"/>
  <c r="D68" i="14"/>
  <c r="G80" i="13" l="1"/>
  <c r="F80" i="13"/>
  <c r="H80" i="13"/>
  <c r="E80" i="13"/>
  <c r="D80" i="13"/>
  <c r="B80" i="13"/>
  <c r="C80" i="13"/>
  <c r="E79" i="14"/>
  <c r="F79" i="14"/>
  <c r="G79" i="14"/>
  <c r="H79" i="14"/>
  <c r="D69" i="14"/>
  <c r="C69" i="14"/>
  <c r="B69" i="14"/>
  <c r="G81" i="13" l="1"/>
  <c r="H81" i="13"/>
  <c r="E81" i="13"/>
  <c r="F81" i="13"/>
  <c r="C81" i="13"/>
  <c r="B81" i="13"/>
  <c r="D81" i="13"/>
  <c r="E80" i="14"/>
  <c r="F80" i="14"/>
  <c r="G80" i="14"/>
  <c r="H80" i="14"/>
  <c r="C70" i="14"/>
  <c r="B70" i="14"/>
  <c r="D70" i="14"/>
  <c r="E81" i="14" l="1"/>
  <c r="G81" i="14"/>
  <c r="H81" i="14"/>
  <c r="F81" i="14"/>
  <c r="G82" i="13"/>
  <c r="E82" i="13"/>
  <c r="F82" i="13"/>
  <c r="H82" i="13"/>
  <c r="B82" i="13"/>
  <c r="C82" i="13"/>
  <c r="D82" i="13"/>
  <c r="C71" i="14"/>
  <c r="D71" i="14"/>
  <c r="B71" i="14"/>
  <c r="G83" i="13" l="1"/>
  <c r="E83" i="13"/>
  <c r="F83" i="13"/>
  <c r="H83" i="13"/>
  <c r="C83" i="13"/>
  <c r="D83" i="13"/>
  <c r="B83" i="13"/>
  <c r="E82" i="14"/>
  <c r="G82" i="14"/>
  <c r="F82" i="14"/>
  <c r="H82" i="14"/>
  <c r="B72" i="14"/>
  <c r="D72" i="14"/>
  <c r="C72" i="14"/>
  <c r="G84" i="13" l="1"/>
  <c r="F84" i="13"/>
  <c r="H84" i="13"/>
  <c r="E84" i="13"/>
  <c r="B84" i="13"/>
  <c r="D84" i="13"/>
  <c r="C84" i="13"/>
  <c r="E83" i="14"/>
  <c r="G83" i="14"/>
  <c r="H83" i="14"/>
  <c r="F83" i="14"/>
  <c r="C73" i="14"/>
  <c r="B73" i="14"/>
  <c r="D73" i="14"/>
  <c r="E84" i="14" l="1"/>
  <c r="G84" i="14"/>
  <c r="F84" i="14"/>
  <c r="H84" i="14"/>
  <c r="G85" i="13"/>
  <c r="H85" i="13"/>
  <c r="E85" i="13"/>
  <c r="F85" i="13"/>
  <c r="B85" i="13"/>
  <c r="D85" i="13"/>
  <c r="C85" i="13"/>
  <c r="C74" i="14"/>
  <c r="B74" i="14"/>
  <c r="D74" i="14"/>
  <c r="G86" i="13" l="1"/>
  <c r="E86" i="13"/>
  <c r="F86" i="13"/>
  <c r="H86" i="13"/>
  <c r="C86" i="13"/>
  <c r="D86" i="13"/>
  <c r="B86" i="13"/>
  <c r="E85" i="14"/>
  <c r="G85" i="14"/>
  <c r="H85" i="14"/>
  <c r="F85" i="14"/>
  <c r="D75" i="14"/>
  <c r="C75" i="14"/>
  <c r="B75" i="14"/>
  <c r="E86" i="14" l="1"/>
  <c r="G86" i="14"/>
  <c r="F86" i="14"/>
  <c r="H86" i="14"/>
  <c r="G87" i="13"/>
  <c r="E87" i="13"/>
  <c r="F87" i="13"/>
  <c r="H87" i="13"/>
  <c r="C87" i="13"/>
  <c r="B87" i="13"/>
  <c r="D87" i="13"/>
  <c r="D76" i="14"/>
  <c r="C76" i="14"/>
  <c r="B76" i="14"/>
  <c r="G88" i="13" l="1"/>
  <c r="F88" i="13"/>
  <c r="H88" i="13"/>
  <c r="E88" i="13"/>
  <c r="C88" i="13"/>
  <c r="B88" i="13"/>
  <c r="D88" i="13"/>
  <c r="E87" i="14"/>
  <c r="G87" i="14"/>
  <c r="H87" i="14"/>
  <c r="F87" i="14"/>
  <c r="D77" i="14"/>
  <c r="B77" i="14"/>
  <c r="C77" i="14"/>
  <c r="G89" i="13" l="1"/>
  <c r="H89" i="13"/>
  <c r="E89" i="13"/>
  <c r="F89" i="13"/>
  <c r="C89" i="13"/>
  <c r="B89" i="13"/>
  <c r="D89" i="13"/>
  <c r="E88" i="14"/>
  <c r="G88" i="14"/>
  <c r="F88" i="14"/>
  <c r="H88" i="14"/>
  <c r="B78" i="14"/>
  <c r="C78" i="14"/>
  <c r="D78" i="14"/>
  <c r="E89" i="14" l="1"/>
  <c r="G89" i="14"/>
  <c r="H89" i="14"/>
  <c r="F89" i="14"/>
  <c r="G90" i="13"/>
  <c r="H90" i="13"/>
  <c r="E90" i="13"/>
  <c r="F90" i="13"/>
  <c r="D90" i="13"/>
  <c r="B90" i="13"/>
  <c r="C90" i="13"/>
  <c r="B79" i="14"/>
  <c r="C79" i="14"/>
  <c r="D79" i="14"/>
  <c r="G91" i="13" l="1"/>
  <c r="H91" i="13"/>
  <c r="E91" i="13"/>
  <c r="F91" i="13"/>
  <c r="C91" i="13"/>
  <c r="D91" i="13"/>
  <c r="B91" i="13"/>
  <c r="E90" i="14"/>
  <c r="G90" i="14"/>
  <c r="F90" i="14"/>
  <c r="H90" i="14"/>
  <c r="C80" i="14"/>
  <c r="B80" i="14"/>
  <c r="D80" i="14"/>
  <c r="G92" i="13" l="1"/>
  <c r="H92" i="13"/>
  <c r="E92" i="13"/>
  <c r="F92" i="13"/>
  <c r="B92" i="13"/>
  <c r="D92" i="13"/>
  <c r="C92" i="13"/>
  <c r="F91" i="14"/>
  <c r="G91" i="14"/>
  <c r="H91" i="14"/>
  <c r="E91" i="14"/>
  <c r="D81" i="14"/>
  <c r="C81" i="14"/>
  <c r="B81" i="14"/>
  <c r="F92" i="14" l="1"/>
  <c r="G92" i="14"/>
  <c r="H92" i="14"/>
  <c r="E92" i="14"/>
  <c r="G93" i="13"/>
  <c r="H93" i="13"/>
  <c r="E93" i="13"/>
  <c r="F93" i="13"/>
  <c r="D93" i="13"/>
  <c r="B93" i="13"/>
  <c r="C93" i="13"/>
  <c r="C82" i="14"/>
  <c r="B82" i="14"/>
  <c r="D82" i="14"/>
  <c r="G94" i="13" l="1"/>
  <c r="H94" i="13"/>
  <c r="E94" i="13"/>
  <c r="F94" i="13"/>
  <c r="C94" i="13"/>
  <c r="D94" i="13"/>
  <c r="B94" i="13"/>
  <c r="F93" i="14"/>
  <c r="G93" i="14"/>
  <c r="H93" i="14"/>
  <c r="E93" i="14"/>
  <c r="B83" i="14"/>
  <c r="D83" i="14"/>
  <c r="C83" i="14"/>
  <c r="G95" i="13" l="1"/>
  <c r="H95" i="13"/>
  <c r="E95" i="13"/>
  <c r="F95" i="13"/>
  <c r="B95" i="13"/>
  <c r="D95" i="13"/>
  <c r="C95" i="13"/>
  <c r="F94" i="14"/>
  <c r="G94" i="14"/>
  <c r="H94" i="14"/>
  <c r="E94" i="14"/>
  <c r="C84" i="14"/>
  <c r="B84" i="14"/>
  <c r="D84" i="14"/>
  <c r="F95" i="14" l="1"/>
  <c r="G95" i="14"/>
  <c r="H95" i="14"/>
  <c r="E95" i="14"/>
  <c r="D95" i="14"/>
  <c r="C95" i="14"/>
  <c r="B95" i="14"/>
  <c r="G96" i="13"/>
  <c r="H96" i="13"/>
  <c r="E96" i="13"/>
  <c r="F96" i="13"/>
  <c r="C96" i="13"/>
  <c r="B96" i="13"/>
  <c r="D96" i="13"/>
  <c r="C85" i="14"/>
  <c r="D85" i="14"/>
  <c r="B85" i="14"/>
  <c r="G97" i="13" l="1"/>
  <c r="H97" i="13"/>
  <c r="E97" i="13"/>
  <c r="F97" i="13"/>
  <c r="C97" i="13"/>
  <c r="B97" i="13"/>
  <c r="D97" i="13"/>
  <c r="F96" i="14"/>
  <c r="G96" i="14"/>
  <c r="H96" i="14"/>
  <c r="E96" i="14"/>
  <c r="D96" i="14"/>
  <c r="C96" i="14"/>
  <c r="B96" i="14"/>
  <c r="C86" i="14"/>
  <c r="D86" i="14"/>
  <c r="B86" i="14"/>
  <c r="G98" i="13" l="1"/>
  <c r="H98" i="13"/>
  <c r="E98" i="13"/>
  <c r="F98" i="13"/>
  <c r="C98" i="13"/>
  <c r="D98" i="13"/>
  <c r="B98" i="13"/>
  <c r="B87" i="14"/>
  <c r="C87" i="14"/>
  <c r="D87" i="14"/>
  <c r="G99" i="13" l="1"/>
  <c r="H99" i="13"/>
  <c r="E99" i="13"/>
  <c r="F99" i="13"/>
  <c r="C99" i="13"/>
  <c r="B99" i="13"/>
  <c r="D99" i="13"/>
  <c r="D88" i="14"/>
  <c r="B88" i="14"/>
  <c r="C88" i="14"/>
  <c r="G100" i="13" l="1"/>
  <c r="H100" i="13"/>
  <c r="E100" i="13"/>
  <c r="F100" i="13"/>
  <c r="C100" i="13"/>
  <c r="D100" i="13"/>
  <c r="B100" i="13"/>
  <c r="D89" i="14"/>
  <c r="B89" i="14"/>
  <c r="C89" i="14"/>
  <c r="G101" i="13" l="1"/>
  <c r="H101" i="13"/>
  <c r="E101" i="13"/>
  <c r="F101" i="13"/>
  <c r="C101" i="13"/>
  <c r="B101" i="13"/>
  <c r="D101" i="13"/>
  <c r="C90" i="14"/>
  <c r="B90" i="14"/>
  <c r="D90" i="14"/>
  <c r="G102" i="13" l="1"/>
  <c r="H102" i="13"/>
  <c r="E102" i="13"/>
  <c r="F102" i="13"/>
  <c r="C102" i="13"/>
  <c r="D102" i="13"/>
  <c r="B102" i="13"/>
  <c r="B91" i="14"/>
  <c r="C91" i="14"/>
  <c r="D91" i="14"/>
  <c r="G103" i="13" l="1"/>
  <c r="H103" i="13"/>
  <c r="E103" i="13"/>
  <c r="F103" i="13"/>
  <c r="C103" i="13"/>
  <c r="B103" i="13"/>
  <c r="D103" i="13"/>
  <c r="C92" i="14"/>
  <c r="B92" i="14"/>
  <c r="D92" i="14"/>
  <c r="G104" i="13" l="1"/>
  <c r="H104" i="13"/>
  <c r="E104" i="13"/>
  <c r="F104" i="13"/>
  <c r="B104" i="13"/>
  <c r="D104" i="13"/>
  <c r="C104" i="13"/>
  <c r="B93" i="14"/>
  <c r="C93" i="14"/>
  <c r="D93" i="14"/>
  <c r="G105" i="13" l="1"/>
  <c r="H105" i="13"/>
  <c r="E105" i="13"/>
  <c r="F105" i="13"/>
  <c r="B105" i="13"/>
  <c r="D105" i="13"/>
  <c r="C105" i="13"/>
  <c r="C94" i="14"/>
  <c r="D94" i="14"/>
  <c r="B94" i="14"/>
  <c r="G106" i="13" l="1"/>
  <c r="H106" i="13"/>
  <c r="E106" i="13"/>
  <c r="F106" i="13"/>
  <c r="D106" i="13"/>
  <c r="B106" i="13"/>
  <c r="C106" i="13"/>
  <c r="G107" i="13" l="1"/>
  <c r="H107" i="13"/>
  <c r="E107" i="13"/>
  <c r="F107" i="13"/>
  <c r="D107" i="13"/>
  <c r="C107" i="13"/>
  <c r="B107" i="13"/>
  <c r="G108" i="13" l="1"/>
  <c r="H108" i="13"/>
  <c r="E108" i="13"/>
  <c r="F108" i="13"/>
  <c r="B108" i="13"/>
  <c r="D108" i="13"/>
  <c r="C108" i="13"/>
  <c r="G109" i="13" l="1"/>
  <c r="H109" i="13"/>
  <c r="E109" i="13"/>
  <c r="F109" i="13"/>
  <c r="C109" i="13"/>
  <c r="D109" i="13"/>
  <c r="B109" i="13"/>
  <c r="G110" i="13" l="1"/>
  <c r="H110" i="13"/>
  <c r="E110" i="13"/>
  <c r="F110" i="13"/>
  <c r="C110" i="13"/>
  <c r="D110" i="13"/>
  <c r="B110" i="13"/>
  <c r="G111" i="13" l="1"/>
  <c r="H111" i="13"/>
  <c r="E111" i="13"/>
  <c r="F111" i="13"/>
  <c r="D111" i="13"/>
  <c r="B111" i="13"/>
  <c r="C111" i="13"/>
  <c r="G112" i="13" l="1"/>
  <c r="H112" i="13"/>
  <c r="E112" i="13"/>
  <c r="F112" i="13"/>
  <c r="C112" i="13"/>
  <c r="D112" i="13"/>
  <c r="B112" i="13"/>
  <c r="G113" i="13" l="1"/>
  <c r="H113" i="13"/>
  <c r="E113" i="13"/>
  <c r="F113" i="13"/>
  <c r="B113" i="13"/>
  <c r="D113" i="13"/>
  <c r="C113" i="13"/>
  <c r="G114" i="13" l="1"/>
  <c r="H114" i="13"/>
  <c r="E114" i="13"/>
  <c r="F114" i="13"/>
  <c r="B114" i="13"/>
  <c r="D114" i="13"/>
  <c r="C114" i="13"/>
  <c r="G115" i="13" l="1"/>
  <c r="H115" i="13"/>
  <c r="E115" i="13"/>
  <c r="F115" i="13"/>
  <c r="B115" i="13"/>
  <c r="C115" i="13"/>
  <c r="D115" i="13"/>
  <c r="G116" i="13" l="1"/>
  <c r="H116" i="13"/>
  <c r="E116" i="13"/>
  <c r="F116" i="13"/>
  <c r="D116" i="13"/>
  <c r="B116" i="13"/>
  <c r="C116" i="13"/>
  <c r="G117" i="13" l="1"/>
  <c r="H117" i="13"/>
  <c r="E117" i="13"/>
  <c r="F117" i="13"/>
  <c r="B117" i="13"/>
  <c r="C117" i="13"/>
  <c r="D117" i="13"/>
  <c r="G118" i="13" l="1"/>
  <c r="H118" i="13"/>
  <c r="E118" i="13"/>
  <c r="F118" i="13"/>
  <c r="D118" i="13"/>
  <c r="C118" i="13"/>
  <c r="B118" i="13"/>
  <c r="G119" i="13" l="1"/>
  <c r="H119" i="13"/>
  <c r="E119" i="13"/>
  <c r="F119" i="13"/>
  <c r="B119" i="13"/>
  <c r="D119" i="13"/>
  <c r="C119" i="13"/>
  <c r="G120" i="13" l="1"/>
  <c r="H120" i="13"/>
  <c r="E120" i="13"/>
  <c r="F120" i="13"/>
  <c r="D120" i="13"/>
  <c r="B120" i="13"/>
  <c r="C120" i="13"/>
  <c r="G121" i="13" l="1"/>
  <c r="H121" i="13"/>
  <c r="E121" i="13"/>
  <c r="F121" i="13"/>
  <c r="C121" i="13"/>
  <c r="B121" i="13"/>
  <c r="D121" i="13"/>
  <c r="G122" i="13" l="1"/>
  <c r="H122" i="13"/>
  <c r="E122" i="13"/>
  <c r="F122" i="13"/>
  <c r="D122" i="13"/>
  <c r="B122" i="13"/>
  <c r="C122" i="13"/>
  <c r="G123" i="13" l="1"/>
  <c r="H123" i="13"/>
  <c r="E123" i="13"/>
  <c r="F123" i="13"/>
  <c r="D123" i="13"/>
  <c r="C123" i="13"/>
  <c r="B123" i="13"/>
  <c r="G124" i="13" l="1"/>
  <c r="H124" i="13"/>
  <c r="E124" i="13"/>
  <c r="F124" i="13"/>
  <c r="B124" i="13"/>
  <c r="C124" i="13"/>
  <c r="D124" i="13"/>
  <c r="G125" i="13" l="1"/>
  <c r="H125" i="13"/>
  <c r="E125" i="13"/>
  <c r="F125" i="13"/>
  <c r="D125" i="13"/>
  <c r="B125" i="13"/>
  <c r="C125" i="13"/>
  <c r="G126" i="13" l="1"/>
  <c r="H126" i="13"/>
  <c r="E126" i="13"/>
  <c r="F126" i="13"/>
  <c r="D126" i="13"/>
  <c r="C126" i="13"/>
  <c r="B126" i="13"/>
  <c r="G127" i="13" l="1"/>
  <c r="H127" i="13"/>
  <c r="E127" i="13"/>
  <c r="F127" i="13"/>
  <c r="D127" i="13"/>
  <c r="C127" i="13"/>
  <c r="B127" i="13"/>
  <c r="G128" i="13" l="1"/>
  <c r="H128" i="13"/>
  <c r="E128" i="13"/>
  <c r="F128" i="13"/>
  <c r="B128" i="13"/>
  <c r="C128" i="13"/>
  <c r="D128" i="13"/>
  <c r="G129" i="13" l="1"/>
  <c r="H129" i="13"/>
  <c r="E129" i="13"/>
  <c r="F129" i="13"/>
  <c r="C129" i="13"/>
  <c r="D129" i="13"/>
  <c r="B129" i="13"/>
  <c r="G130" i="13" l="1"/>
  <c r="H130" i="13"/>
  <c r="E130" i="13"/>
  <c r="F130" i="13"/>
  <c r="D130" i="13"/>
  <c r="C130" i="13"/>
  <c r="B130" i="13"/>
  <c r="G131" i="13" l="1"/>
  <c r="H131" i="13"/>
  <c r="E131" i="13"/>
  <c r="F131" i="13"/>
  <c r="B131" i="13"/>
  <c r="C131" i="13"/>
  <c r="D131" i="13"/>
  <c r="G132" i="13" l="1"/>
  <c r="H132" i="13"/>
  <c r="E132" i="13"/>
  <c r="F132" i="13"/>
  <c r="C132" i="13"/>
  <c r="D132" i="13"/>
  <c r="B132" i="13"/>
  <c r="G133" i="13" l="1"/>
  <c r="H133" i="13"/>
  <c r="E133" i="13"/>
  <c r="F133" i="13"/>
  <c r="C133" i="13"/>
  <c r="B133" i="13"/>
  <c r="D133" i="13"/>
  <c r="G134" i="13" l="1"/>
  <c r="H134" i="13"/>
  <c r="E134" i="13"/>
  <c r="F134" i="13"/>
  <c r="B134" i="13"/>
  <c r="C134" i="13"/>
  <c r="D134" i="13"/>
  <c r="G135" i="13" l="1"/>
  <c r="H135" i="13"/>
  <c r="E135" i="13"/>
  <c r="F135" i="13"/>
  <c r="D135" i="13"/>
  <c r="B135" i="13"/>
  <c r="C135" i="13"/>
  <c r="G136" i="13" l="1"/>
  <c r="H136" i="13"/>
  <c r="E136" i="13"/>
  <c r="F136" i="13"/>
  <c r="C136" i="13"/>
  <c r="B136" i="13"/>
  <c r="D136" i="13"/>
  <c r="G137" i="13" l="1"/>
  <c r="H137" i="13"/>
  <c r="E137" i="13"/>
  <c r="F137" i="13"/>
  <c r="C137" i="13"/>
  <c r="B137" i="13"/>
  <c r="D137" i="13"/>
  <c r="G138" i="13" l="1"/>
  <c r="H138" i="13"/>
  <c r="E138" i="13"/>
  <c r="F138" i="13"/>
  <c r="D138" i="13"/>
  <c r="B138" i="13"/>
  <c r="C138" i="13"/>
  <c r="G139" i="13" l="1"/>
  <c r="H139" i="13"/>
  <c r="E139" i="13"/>
  <c r="F139" i="13"/>
  <c r="C139" i="13"/>
  <c r="B139" i="13"/>
  <c r="D139" i="13"/>
  <c r="G140" i="13" l="1"/>
  <c r="H140" i="13"/>
  <c r="E140" i="13"/>
  <c r="F140" i="13"/>
  <c r="C140" i="13"/>
  <c r="B140" i="13"/>
  <c r="D140" i="13"/>
  <c r="G141" i="13" l="1"/>
  <c r="H141" i="13"/>
  <c r="E141" i="13"/>
  <c r="F141" i="13"/>
  <c r="B141" i="13"/>
  <c r="C141" i="13"/>
  <c r="D141" i="13"/>
  <c r="G142" i="13" l="1"/>
  <c r="H142" i="13"/>
  <c r="E142" i="13"/>
  <c r="F142" i="13"/>
  <c r="D142" i="13"/>
  <c r="C142" i="13"/>
  <c r="B142" i="13"/>
  <c r="G143" i="13" l="1"/>
  <c r="H143" i="13"/>
  <c r="E143" i="13"/>
  <c r="F143" i="13"/>
  <c r="B143" i="13"/>
  <c r="D143" i="13"/>
  <c r="C143" i="13"/>
  <c r="G144" i="13" l="1"/>
  <c r="H144" i="13"/>
  <c r="E144" i="13"/>
  <c r="F144" i="13"/>
  <c r="C144" i="13"/>
  <c r="D144" i="13"/>
  <c r="B144" i="13"/>
  <c r="G145" i="13" l="1"/>
  <c r="H145" i="13"/>
  <c r="E145" i="13"/>
  <c r="F145" i="13"/>
  <c r="C145" i="13"/>
  <c r="B145" i="13"/>
  <c r="D145" i="13"/>
  <c r="G146" i="13" l="1"/>
  <c r="H146" i="13"/>
  <c r="E146" i="13"/>
  <c r="F146" i="13"/>
  <c r="B146" i="13"/>
  <c r="D146" i="13"/>
  <c r="C146" i="13"/>
  <c r="G147" i="13" l="1"/>
  <c r="E147" i="13"/>
  <c r="F147" i="13"/>
  <c r="H147" i="13"/>
  <c r="C147" i="13"/>
  <c r="B147" i="13"/>
  <c r="D147" i="13"/>
  <c r="G149" i="13" l="1"/>
  <c r="E149" i="13"/>
  <c r="H149" i="13"/>
  <c r="F149" i="13"/>
  <c r="B149" i="13"/>
  <c r="D149" i="13"/>
  <c r="C149" i="13"/>
  <c r="G148" i="13"/>
  <c r="E148" i="13"/>
  <c r="F148" i="13"/>
  <c r="H148" i="13"/>
  <c r="B148" i="13"/>
  <c r="D148" i="13"/>
  <c r="C148" i="13"/>
  <c r="G151" i="13" l="1"/>
  <c r="E151" i="13"/>
  <c r="H151" i="13"/>
  <c r="F151" i="13"/>
  <c r="G150" i="13"/>
  <c r="E150" i="13"/>
  <c r="F150" i="13"/>
  <c r="H150" i="13"/>
  <c r="C150" i="13"/>
  <c r="B150" i="13"/>
  <c r="D150" i="13"/>
  <c r="C151" i="13"/>
  <c r="B151" i="13"/>
  <c r="D151" i="13"/>
  <c r="G152" i="13" l="1"/>
  <c r="F152" i="13"/>
  <c r="E152" i="13"/>
  <c r="H152" i="13"/>
  <c r="B152" i="13"/>
  <c r="D152" i="13"/>
  <c r="C152" i="13"/>
  <c r="G153" i="13" l="1"/>
  <c r="E153" i="13"/>
  <c r="F153" i="13"/>
  <c r="H153" i="13"/>
  <c r="C153" i="13"/>
  <c r="B153" i="13"/>
  <c r="D153" i="13"/>
  <c r="G154" i="13" l="1"/>
  <c r="F154" i="13"/>
  <c r="H154" i="13"/>
  <c r="E154" i="13"/>
  <c r="B154" i="13"/>
  <c r="D154" i="13"/>
  <c r="C154" i="13"/>
  <c r="G155" i="13" l="1"/>
  <c r="H155" i="13"/>
  <c r="E155" i="13"/>
  <c r="F155" i="13"/>
  <c r="D155" i="13"/>
  <c r="C155" i="13"/>
  <c r="B155" i="13"/>
  <c r="G156" i="13" l="1"/>
  <c r="E156" i="13"/>
  <c r="F156" i="13"/>
  <c r="H156" i="13"/>
  <c r="C156" i="13"/>
  <c r="D156" i="13"/>
  <c r="B156" i="13"/>
  <c r="G157" i="13" l="1"/>
  <c r="E157" i="13"/>
  <c r="F157" i="13"/>
  <c r="H157" i="13"/>
  <c r="B157" i="13"/>
  <c r="C157" i="13"/>
  <c r="D157" i="13"/>
</calcChain>
</file>

<file path=xl/sharedStrings.xml><?xml version="1.0" encoding="utf-8"?>
<sst xmlns="http://schemas.openxmlformats.org/spreadsheetml/2006/main" count="4356" uniqueCount="1811">
  <si>
    <t>Closed LLFCs</t>
  </si>
  <si>
    <t>Geographical name</t>
  </si>
  <si>
    <t>Notes:</t>
  </si>
  <si>
    <t>Metered voltage, respective periods and associated LLFCs</t>
  </si>
  <si>
    <t>Period 1</t>
  </si>
  <si>
    <t>Period 2</t>
  </si>
  <si>
    <t>Period 3</t>
  </si>
  <si>
    <t>Period 4</t>
  </si>
  <si>
    <t>Associated LLFC</t>
  </si>
  <si>
    <t>Site</t>
  </si>
  <si>
    <t>Demand</t>
  </si>
  <si>
    <t>Generation</t>
  </si>
  <si>
    <t>Time periods</t>
  </si>
  <si>
    <t>Notes</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</si>
  <si>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</si>
  <si>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</si>
  <si>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</si>
  <si>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</si>
  <si>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</si>
  <si>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</si>
  <si>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</si>
  <si>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</si>
  <si>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</si>
  <si>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</si>
  <si>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</si>
  <si>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</si>
  <si>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</si>
  <si>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</si>
  <si>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</si>
  <si>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</si>
  <si>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</si>
  <si>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Unique billing identifier</t>
  </si>
  <si>
    <t>Standard Settlement Configuration Id</t>
  </si>
  <si>
    <t>Standard Settlement Configuration Desc</t>
  </si>
  <si>
    <t>Common Decode</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</si>
  <si>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</si>
  <si>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</si>
  <si>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</si>
  <si>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</si>
  <si>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</si>
  <si>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</si>
  <si>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</si>
  <si>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</si>
  <si>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</si>
  <si>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</si>
  <si>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</si>
  <si>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</si>
  <si>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</si>
  <si>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</si>
  <si>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</si>
  <si>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</si>
  <si>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</si>
  <si>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</si>
  <si>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</si>
  <si>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</si>
  <si>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</si>
  <si>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</si>
  <si>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</si>
  <si>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</si>
  <si>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</si>
  <si>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</si>
  <si>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</si>
  <si>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</si>
  <si>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</si>
  <si>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</si>
  <si>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</si>
  <si>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</si>
  <si>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</si>
  <si>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</si>
  <si>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</si>
  <si>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</si>
  <si>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</si>
  <si>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</si>
  <si>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</si>
  <si>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</si>
  <si>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</si>
  <si>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</si>
  <si>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</si>
  <si>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</si>
  <si>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</si>
  <si>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</si>
  <si>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</si>
  <si>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</si>
  <si>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</si>
  <si>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</si>
  <si>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</si>
  <si>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</si>
  <si>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</si>
  <si>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</si>
  <si>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</si>
  <si>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</si>
  <si>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</si>
  <si>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</si>
  <si>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</si>
  <si>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</si>
  <si>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</si>
  <si>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</si>
  <si>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</si>
  <si>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</si>
  <si>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</si>
  <si>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</si>
  <si>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</si>
  <si>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</si>
  <si>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</si>
  <si>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</si>
  <si>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</si>
  <si>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</si>
  <si>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</si>
  <si>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</si>
  <si>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</si>
  <si>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</si>
  <si>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</si>
  <si>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</si>
  <si>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</si>
  <si>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</si>
  <si>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</si>
  <si>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</si>
  <si>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</si>
  <si>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</si>
  <si>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</si>
  <si>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</si>
  <si>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</si>
  <si>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</si>
  <si>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</si>
  <si>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</si>
  <si>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</si>
  <si>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</si>
  <si>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</si>
  <si>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</si>
  <si>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</si>
  <si>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</si>
  <si>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</si>
  <si>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</si>
  <si>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</si>
  <si>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</si>
  <si>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</si>
  <si>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</si>
  <si>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</si>
  <si>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</si>
  <si>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</si>
  <si>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</si>
  <si>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</si>
  <si>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</si>
  <si>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</si>
  <si>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</si>
  <si>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</si>
  <si>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</si>
  <si>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</si>
  <si>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</si>
  <si>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</si>
  <si>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</si>
  <si>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</si>
  <si>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</si>
  <si>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</si>
  <si>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</si>
  <si>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</si>
  <si>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</si>
  <si>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</si>
  <si>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</si>
  <si>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</si>
  <si>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</si>
  <si>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</si>
  <si>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</si>
  <si>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</si>
  <si>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</si>
  <si>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</si>
  <si>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</si>
  <si>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</si>
  <si>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</si>
  <si>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</si>
  <si>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</si>
  <si>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</si>
  <si>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</si>
  <si>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</si>
  <si>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</si>
  <si>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</si>
  <si>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</si>
  <si>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</si>
  <si>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</si>
  <si>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</si>
  <si>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</si>
  <si>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</si>
  <si>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</si>
  <si>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</si>
  <si>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</si>
  <si>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</si>
  <si>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</si>
  <si>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</si>
  <si>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</si>
  <si>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</si>
  <si>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</si>
  <si>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</si>
  <si>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</si>
  <si>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</si>
  <si>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</si>
  <si>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</si>
  <si>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</si>
  <si>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</si>
  <si>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</si>
  <si>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</si>
  <si>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</si>
  <si>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</si>
  <si>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</si>
  <si>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</si>
  <si>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</si>
  <si>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</si>
  <si>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</si>
  <si>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</si>
  <si>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</si>
  <si>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</si>
  <si>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</si>
  <si>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</si>
  <si>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</si>
  <si>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</si>
  <si>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</si>
  <si>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</si>
  <si>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</si>
  <si>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</si>
  <si>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</si>
  <si>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</si>
  <si>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</si>
  <si>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</si>
  <si>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</si>
  <si>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</si>
  <si>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</si>
  <si>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</si>
  <si>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</si>
  <si>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</si>
  <si>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</si>
  <si>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</si>
  <si>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</si>
  <si>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</si>
  <si>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</si>
  <si>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</si>
  <si>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</si>
  <si>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</si>
  <si>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</si>
  <si>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</si>
  <si>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</si>
  <si>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</si>
  <si>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</si>
  <si>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</si>
  <si>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</si>
  <si>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</si>
  <si>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</si>
  <si>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</si>
  <si>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</si>
  <si>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</si>
  <si>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</si>
  <si>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</si>
  <si>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</si>
  <si>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</si>
  <si>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</si>
  <si>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</si>
  <si>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</si>
  <si>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Nodal prices</t>
  </si>
  <si>
    <t>Reactive power charge
p/kVArh</t>
  </si>
  <si>
    <t>Local charge 1
£/kVA</t>
  </si>
  <si>
    <t>Remote charge 1
£/kVA</t>
  </si>
  <si>
    <t>2 Rate Saturday Off Peak</t>
  </si>
  <si>
    <t>LLFC</t>
  </si>
  <si>
    <t>Import MPANs/MSIDs</t>
  </si>
  <si>
    <t>Export MPANs/MSIDs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</si>
  <si>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</si>
  <si>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</si>
  <si>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</si>
  <si>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</si>
  <si>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</si>
  <si>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</si>
  <si>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</si>
  <si>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</si>
  <si>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</si>
  <si>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</si>
  <si>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</si>
  <si>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</si>
  <si>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</si>
  <si>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</si>
  <si>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</si>
  <si>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</si>
  <si>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</si>
  <si>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</si>
  <si>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</si>
  <si>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</si>
  <si>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</si>
  <si>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</si>
  <si>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</si>
  <si>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</si>
  <si>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</si>
  <si>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</si>
  <si>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</si>
  <si>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</si>
  <si>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</si>
  <si>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</si>
  <si>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Saturday and Sunday
All year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</si>
  <si>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</si>
  <si>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</si>
  <si>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</si>
  <si>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</si>
  <si>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</si>
  <si>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</si>
  <si>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</si>
  <si>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</si>
  <si>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</si>
  <si>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</si>
  <si>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</si>
  <si>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</si>
  <si>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</si>
  <si>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</si>
  <si>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</si>
  <si>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</si>
  <si>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</si>
  <si>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</si>
  <si>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</si>
  <si>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</si>
  <si>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</si>
  <si>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</si>
  <si>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</si>
  <si>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</si>
  <si>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</si>
  <si>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</si>
  <si>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</si>
  <si>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</si>
  <si>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</si>
  <si>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</si>
  <si>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</si>
  <si>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</si>
  <si>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</si>
  <si>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</si>
  <si>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</si>
  <si>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</si>
  <si>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</si>
  <si>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</si>
  <si>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</si>
  <si>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</si>
  <si>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</si>
  <si>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</si>
  <si>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Import
LLF
period 2</t>
  </si>
  <si>
    <t>Import
LLF
period 1</t>
  </si>
  <si>
    <t>Import
LLF
period 3</t>
  </si>
  <si>
    <t>Import
LLF
period 4</t>
  </si>
  <si>
    <t>Import
LLF
period 5</t>
  </si>
  <si>
    <t>Export
LLF
period 1</t>
  </si>
  <si>
    <t>Export
LLF
period 2</t>
  </si>
  <si>
    <t>Export
LLF
period 3</t>
  </si>
  <si>
    <t>Export
LLF
period 4</t>
  </si>
  <si>
    <t>Export
LLF
period 5</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</si>
  <si>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</si>
  <si>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</si>
  <si>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</si>
  <si>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</si>
  <si>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</si>
  <si>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</si>
  <si>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</si>
  <si>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</si>
  <si>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</si>
  <si>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</si>
  <si>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</si>
  <si>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</si>
  <si>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</si>
  <si>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</si>
  <si>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</si>
  <si>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</si>
  <si>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</si>
  <si>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</si>
  <si>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</si>
  <si>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</si>
  <si>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</si>
  <si>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</si>
  <si>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</si>
  <si>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Monday to Friday 
(Including Bank Holidays)
April to October Inclusive and March</t>
  </si>
  <si>
    <t>Domestic Aggregated</t>
  </si>
  <si>
    <t>Non-Domestic Aggregated (related MPAN)</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</si>
  <si>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</si>
  <si>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</si>
  <si>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</si>
  <si>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</si>
  <si>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</si>
  <si>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</si>
  <si>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</si>
  <si>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</si>
  <si>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</si>
  <si>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Time Bands for LV and HV Designated Properties</t>
  </si>
  <si>
    <t>Time Bands for Unmetered Properties</t>
  </si>
  <si>
    <t>Red/black unit charge
p/kWh</t>
  </si>
  <si>
    <t>Amber/yellow unit charge
p/kWh</t>
  </si>
  <si>
    <t>Green unit charge
p/kWh</t>
  </si>
  <si>
    <t>A/R</t>
  </si>
  <si>
    <t>Notes updated</t>
  </si>
  <si>
    <t>Updated to reflect DCP 268 which delinks all tariffs from the TPR bands</t>
  </si>
  <si>
    <t>Code 1 &amp; 2 changed to A</t>
  </si>
  <si>
    <t>Code O changed to A/R</t>
  </si>
  <si>
    <t>Removed TPR</t>
  </si>
  <si>
    <t>Removed TPR lookup element as this no longer effects which rate to apply</t>
  </si>
  <si>
    <t>A</t>
  </si>
  <si>
    <t>LV and HV designated properties and Unmetered Supplies tariff calculator</t>
  </si>
  <si>
    <t>EHV designated property calculator</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</si>
  <si>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</si>
  <si>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</si>
  <si>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</si>
  <si>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</si>
  <si>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</si>
  <si>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</si>
  <si>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</si>
  <si>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</si>
  <si>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</si>
  <si>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</si>
  <si>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</si>
  <si>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</si>
  <si>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</si>
  <si>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</si>
  <si>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</si>
  <si>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</si>
  <si>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</si>
  <si>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</si>
  <si>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</si>
  <si>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</si>
  <si>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</si>
  <si>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</si>
  <si>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</si>
  <si>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</si>
  <si>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</si>
  <si>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</si>
  <si>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</si>
  <si>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</si>
  <si>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</si>
  <si>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</si>
  <si>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</si>
  <si>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</si>
  <si>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</si>
  <si>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</si>
  <si>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</si>
  <si>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</si>
  <si>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</si>
  <si>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</si>
  <si>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</si>
  <si>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</si>
  <si>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</si>
  <si>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</si>
  <si>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</si>
  <si>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</si>
  <si>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</si>
  <si>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</si>
  <si>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Domestic Aggregated (Related MPAN)</t>
  </si>
  <si>
    <t>Northern Powergrid (Yorkshire) Plc</t>
  </si>
  <si>
    <t>Open LLFCs / LDNO unique billing identifier</t>
  </si>
  <si>
    <t>0, 1, 2</t>
  </si>
  <si>
    <t>0, 3, 4, 5-8</t>
  </si>
  <si>
    <t>0, 1, 8</t>
  </si>
  <si>
    <t>Annex 1 LV, HV and Unmetered Supplies charges</t>
  </si>
  <si>
    <t>Annex 1 contains the charges to LV and HV Designated Properties and Unmetered Supplies.</t>
  </si>
  <si>
    <t>Annex 7  Fixed adders for Supplier of Last Resort and Eligible Bad Debt pass-through costs</t>
  </si>
  <si>
    <t>Supplier of Last Resort 
Fixed charge adder*
p/MPAN/day</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</si>
  <si>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</si>
  <si>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</si>
  <si>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</si>
  <si>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</si>
  <si>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</si>
  <si>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</si>
  <si>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</si>
  <si>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</si>
  <si>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</si>
  <si>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</si>
  <si>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</si>
  <si>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</si>
  <si>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</si>
  <si>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</si>
  <si>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</si>
  <si>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</si>
  <si>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</si>
  <si>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</si>
  <si>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</si>
  <si>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</si>
  <si>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Domestic Aggregated (Related MPAN)</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</si>
  <si>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</si>
  <si>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</si>
  <si>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</si>
  <si>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</si>
  <si>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</si>
  <si>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</si>
  <si>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</si>
  <si>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</si>
  <si>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</si>
  <si>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</si>
  <si>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</si>
  <si>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</si>
  <si>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</si>
  <si>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</si>
  <si>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</si>
  <si>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</si>
  <si>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</si>
  <si>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</si>
  <si>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</si>
  <si>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</si>
  <si>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</si>
  <si>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</si>
  <si>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</si>
  <si>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</si>
  <si>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</si>
  <si>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</si>
  <si>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</si>
  <si>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</si>
  <si>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</si>
  <si>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</si>
  <si>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</si>
  <si>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</si>
  <si>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</si>
  <si>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</si>
  <si>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</si>
  <si>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</si>
  <si>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</si>
  <si>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</si>
  <si>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</si>
  <si>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</si>
  <si>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</si>
  <si>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</si>
  <si>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</si>
  <si>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</si>
  <si>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</si>
  <si>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</si>
  <si>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</si>
  <si>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</si>
  <si>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</si>
  <si>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</si>
  <si>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</si>
  <si>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</si>
  <si>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</si>
  <si>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</si>
  <si>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</si>
  <si>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</si>
  <si>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</si>
  <si>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</si>
  <si>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</si>
  <si>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</si>
  <si>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</si>
  <si>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</si>
  <si>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</si>
  <si>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</si>
  <si>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</si>
  <si>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</si>
  <si>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</si>
  <si>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</si>
  <si>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</si>
  <si>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</si>
  <si>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</si>
  <si>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</si>
  <si>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</si>
  <si>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</si>
  <si>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</si>
  <si>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</si>
  <si>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</si>
  <si>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</si>
  <si>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</si>
  <si>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</si>
  <si>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</si>
  <si>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</si>
  <si>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</si>
  <si>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</si>
  <si>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</si>
  <si>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</si>
  <si>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</si>
  <si>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</si>
  <si>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</si>
  <si>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</si>
  <si>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Voltage of Connection</t>
  </si>
  <si>
    <t>Band</t>
  </si>
  <si>
    <t>Units</t>
  </si>
  <si>
    <t>Lower Threshold*</t>
  </si>
  <si>
    <t>Upper Threshold*</t>
  </si>
  <si>
    <t>Residual Charge per MPAN (£) per year</t>
  </si>
  <si>
    <t>Single band</t>
  </si>
  <si>
    <t>-</t>
  </si>
  <si>
    <t>Designated Properties connected at LV, billing with no MIC</t>
  </si>
  <si>
    <t>kWh</t>
  </si>
  <si>
    <t>Designated Properties connected at LV, billing with MIC</t>
  </si>
  <si>
    <t>kVA</t>
  </si>
  <si>
    <t>Designated Properties connected at HV</t>
  </si>
  <si>
    <t>Designated EHV Properties</t>
  </si>
  <si>
    <t>* All boundaries are inclusive of the upper threshold and exclusive of the lower threshold i.e. Lower &lt; x ≤ Upper.</t>
  </si>
  <si>
    <t>Residual Charging Bandings</t>
  </si>
  <si>
    <t>Contains the four Residual charging band allocation for Customers</t>
  </si>
  <si>
    <t/>
  </si>
  <si>
    <t>NHH preserved charges/additional LLFCs</t>
  </si>
  <si>
    <t>Unit charge 1
(NHH)
p/kWh</t>
  </si>
  <si>
    <t>Unit charge 2
(NHH)
p/kWh</t>
  </si>
  <si>
    <t>HH preserved charges/additional LLFCs</t>
  </si>
  <si>
    <t>Red/black charge (HH)
p/kWh</t>
  </si>
  <si>
    <t>Amber/yellow charge (HH)
p/kWh</t>
  </si>
  <si>
    <t>Green charge (HH)
p/kWh</t>
  </si>
  <si>
    <t>New or Amended Charges for Designated EHV Properties can be found in the relevant 'Addendum' spreadsheet published on our website, as updated from time to time.</t>
  </si>
  <si>
    <t>Residual Charging Band</t>
  </si>
  <si>
    <t>DUoS Tariff name</t>
  </si>
  <si>
    <t>TNUoS Site Charging Band</t>
  </si>
  <si>
    <t>Domestic Aggregated or CT with Residual</t>
  </si>
  <si>
    <t>Domestic</t>
  </si>
  <si>
    <t>n/a (Non-Final Demand Site)</t>
  </si>
  <si>
    <t>Non-Domestic Aggregated or CT No Residual</t>
  </si>
  <si>
    <t>Non-Domestic Aggregated or CT Band 1</t>
  </si>
  <si>
    <t>LV_NoMIC_1</t>
  </si>
  <si>
    <t>Non-Domestic Aggregated or CT Band 2</t>
  </si>
  <si>
    <t>LV_NoMIC_2</t>
  </si>
  <si>
    <t>Non-Domestic Aggregated or CT Band 3</t>
  </si>
  <si>
    <t>LV_NoMIC_3</t>
  </si>
  <si>
    <t>Non-Domestic Aggregated or CT Band 4</t>
  </si>
  <si>
    <t>LV_NoMIC_4</t>
  </si>
  <si>
    <t>LV1</t>
  </si>
  <si>
    <t>LV2</t>
  </si>
  <si>
    <t>LV3</t>
  </si>
  <si>
    <t>LV4</t>
  </si>
  <si>
    <t>HV1</t>
  </si>
  <si>
    <t>HV2</t>
  </si>
  <si>
    <t>HV3</t>
  </si>
  <si>
    <t>HV4</t>
  </si>
  <si>
    <t>n/a (p/kWh charge)</t>
  </si>
  <si>
    <t>Designated EHV Site Specific No Residual</t>
  </si>
  <si>
    <t>Designated EHV Site Specific Band 1</t>
  </si>
  <si>
    <t>EHV1</t>
  </si>
  <si>
    <t>Designated EHV Site Specific Band 2</t>
  </si>
  <si>
    <t>EHV2</t>
  </si>
  <si>
    <t>Designated EHV Site Specific Band 3</t>
  </si>
  <si>
    <t>EHV3</t>
  </si>
  <si>
    <t>Designated EHV Site Specific Band 4</t>
  </si>
  <si>
    <t>EHV4</t>
  </si>
  <si>
    <t>LDNO LV: Domestic Aggregated or CT with Residual</t>
  </si>
  <si>
    <t>LDNO LV: Domestic Aggregated (related MPAN)</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</si>
  <si>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</si>
  <si>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</si>
  <si>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</si>
  <si>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</si>
  <si>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</si>
  <si>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</si>
  <si>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</si>
  <si>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</si>
  <si>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</si>
  <si>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</si>
  <si>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</si>
  <si>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</si>
  <si>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Domestic Aggregated (related MPAN)</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</si>
  <si>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</si>
  <si>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</si>
  <si>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</si>
  <si>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</si>
  <si>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</si>
  <si>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</si>
  <si>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Domestic Aggregated (related MPAN)</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</si>
  <si>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</si>
  <si>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</si>
  <si>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</si>
  <si>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</si>
  <si>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</si>
  <si>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</si>
  <si>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Domestic Aggregated (related MPAN)</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</si>
  <si>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</si>
  <si>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</si>
  <si>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</si>
  <si>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</si>
  <si>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</si>
  <si>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</si>
  <si>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Domestic Aggregated (related MPAN)</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</si>
  <si>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</si>
  <si>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</si>
  <si>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</si>
  <si>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</si>
  <si>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</si>
  <si>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</si>
  <si>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Domestic Aggregated (related MPAN)</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</si>
  <si>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</si>
  <si>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</si>
  <si>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</si>
  <si>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</si>
  <si>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</si>
  <si>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Eligible Bad Debt
Fixed charge adder**
p/MPAN/day</t>
  </si>
  <si>
    <t>**Eligible Bad Debt pass-through costs allocated to all metered demand tariffs (including LDNO)</t>
  </si>
  <si>
    <t>*Supplier of Last Resort pass-through costs allocated to all domestic tariffs with a fixed charge (including LDNO)</t>
  </si>
  <si>
    <t>TNUoS Mapping</t>
  </si>
  <si>
    <t>Contains the mapping between DUoS tariff names and expected TNUoS charging bands</t>
  </si>
  <si>
    <t>Annex 7 contains the fixed adders to recover Supplier of Last Resort and Eligible Bad Debt pass-through costs.</t>
  </si>
  <si>
    <r>
      <t>Contains the underlying [</t>
    </r>
    <r>
      <rPr>
        <sz val="11"/>
        <color theme="3"/>
        <rFont val="Arial"/>
        <family val="2"/>
      </rPr>
      <t>nodal/network group</t>
    </r>
    <r>
      <rPr>
        <sz val="11"/>
        <rFont val="Arial"/>
        <family val="2"/>
      </rPr>
      <t xml:space="preserve">] costs used to calculate the current Designated EHV Properties charges. </t>
    </r>
  </si>
  <si>
    <t>Annex 2 Designated EHV charges</t>
  </si>
  <si>
    <t>Note: The list of MPANs / MSIDs provided may be incomplete; the DNO reserves the right to apply the listed charges to any other MPANs / MSIDs associated with the site.
Note: This table is automatically populated based on the content of the tab entitled 'Annex 2 Designated EHV Charges'. The timebands are as shown in Annex 2.</t>
  </si>
  <si>
    <t>2026/27</t>
  </si>
  <si>
    <t>1 April 2026</t>
  </si>
  <si>
    <t>Girlington Stor</t>
  </si>
  <si>
    <t>Bradford West</t>
  </si>
  <si>
    <t>ovenden moor</t>
  </si>
  <si>
    <t>airedale road 11 (1001)</t>
  </si>
  <si>
    <t>balme street 11 (1006)</t>
  </si>
  <si>
    <t>barnoldswick 11 (1014)</t>
  </si>
  <si>
    <t>bingley 11 (1018)</t>
  </si>
  <si>
    <t>bolton road 11 (1026)</t>
  </si>
  <si>
    <t>br bingley 25 (1029)</t>
  </si>
  <si>
    <t>bramhope 11 (1034)</t>
  </si>
  <si>
    <t>chelker reservoir 11 (1038)</t>
  </si>
  <si>
    <t>chevin end 11 (1040)</t>
  </si>
  <si>
    <t>cracoe 11 (1045)</t>
  </si>
  <si>
    <t>crosshills 11 (1049)</t>
  </si>
  <si>
    <t>crown street 11 (1053)</t>
  </si>
  <si>
    <t>denholme 11 (1057)</t>
  </si>
  <si>
    <t>four lane ends 11 (1060)</t>
  </si>
  <si>
    <t>furness avenue 11 (1063)</t>
  </si>
  <si>
    <t>gaisby lane 11 (1066)</t>
  </si>
  <si>
    <t>gibraltar road 11 (1070)</t>
  </si>
  <si>
    <t>hallam street 11 (1077)</t>
  </si>
  <si>
    <t>harden lane 11 (1081)</t>
  </si>
  <si>
    <t>haworth 1 11 (1083)</t>
  </si>
  <si>
    <t>haworth 2 11 (1084)</t>
  </si>
  <si>
    <t>idle 11 (1092)</t>
  </si>
  <si>
    <t>ilkley 11 (1095)</t>
  </si>
  <si>
    <t>ings lane 11 (1098)</t>
  </si>
  <si>
    <t>keighley 11 (1100)</t>
  </si>
  <si>
    <t>killinghall road 11 (1102)</t>
  </si>
  <si>
    <t>kirk drive 11 (1104)</t>
  </si>
  <si>
    <t>legrams mill lane 11 (1107)</t>
  </si>
  <si>
    <t>manchester road 11 (1110)</t>
  </si>
  <si>
    <t>moorside road 11 (1115)</t>
  </si>
  <si>
    <t>mount street 11 (1118)</t>
  </si>
  <si>
    <t>nab wood 11 (1121)</t>
  </si>
  <si>
    <t>north avenue 11 (1124)</t>
  </si>
  <si>
    <t>pool 11 (1127)</t>
  </si>
  <si>
    <t>queensbury 11 (1130)</t>
  </si>
  <si>
    <t>rawson road 11 (1133)</t>
  </si>
  <si>
    <t>saint street 11 (1136)</t>
  </si>
  <si>
    <t>salterforth 11 (1139)</t>
  </si>
  <si>
    <t>shipley 11 (1143)</t>
  </si>
  <si>
    <t>skipton 11 (1149)</t>
  </si>
  <si>
    <t>south street 11 (1152)</t>
  </si>
  <si>
    <t>thornton 11 (1158)</t>
  </si>
  <si>
    <t>toller lane 11 (1161)</t>
  </si>
  <si>
    <t>Beverley lane</t>
  </si>
  <si>
    <t>Creyke Beck</t>
  </si>
  <si>
    <t>Burn Park Cottages Battery</t>
  </si>
  <si>
    <t>Burn Park Cottages STOR</t>
  </si>
  <si>
    <t>Fraisthorpe</t>
  </si>
  <si>
    <t>Gibson Lane Windfarm</t>
  </si>
  <si>
    <t>Great Field Lane Generation</t>
  </si>
  <si>
    <t>Routh Windfarm</t>
  </si>
  <si>
    <t>Soberhill wf</t>
  </si>
  <si>
    <t>hull energy centre</t>
  </si>
  <si>
    <t>hull power station</t>
  </si>
  <si>
    <t>humberfield landfill ehvc (1099)</t>
  </si>
  <si>
    <t>lissett wind farm (1155)</t>
  </si>
  <si>
    <t>pillswood bess 1</t>
  </si>
  <si>
    <t>pillswood bess 2</t>
  </si>
  <si>
    <t>scurf dyke farm</t>
  </si>
  <si>
    <t>tansterne biomass</t>
  </si>
  <si>
    <t>withernwick wf dummy</t>
  </si>
  <si>
    <t>Burn Park Cottage</t>
  </si>
  <si>
    <t>alfred gelder street (1001)</t>
  </si>
  <si>
    <t>belthorpe lane (1005)</t>
  </si>
  <si>
    <t>brett street (1020)</t>
  </si>
  <si>
    <t>burton pidsea (1025)</t>
  </si>
  <si>
    <t>butterwick (1028)</t>
  </si>
  <si>
    <t>clarendon street (1030)</t>
  </si>
  <si>
    <t>cornwall street (1035)</t>
  </si>
  <si>
    <t>county road north (1038)</t>
  </si>
  <si>
    <t>driffield (1044)</t>
  </si>
  <si>
    <t>elgar road (1051)</t>
  </si>
  <si>
    <t>endike lane (1054)</t>
  </si>
  <si>
    <t>first avenue (1059)</t>
  </si>
  <si>
    <t>gibson lane (1076)</t>
  </si>
  <si>
    <t>hayton (1080)</t>
  </si>
  <si>
    <t>hessle road 1 (1083)</t>
  </si>
  <si>
    <t>hessle road 2 (1084)</t>
  </si>
  <si>
    <t>holderness (1087)</t>
  </si>
  <si>
    <t>holme upon spalding moor (1091)</t>
  </si>
  <si>
    <t>hunmanby (1100)</t>
  </si>
  <si>
    <t>kirkburn  (1103)</t>
  </si>
  <si>
    <t>marton gate  (1105)</t>
  </si>
  <si>
    <t>national avenue (1109)</t>
  </si>
  <si>
    <t>newport t1 (1112)</t>
  </si>
  <si>
    <t>norwood (1114)</t>
  </si>
  <si>
    <t>plangeo (1117)</t>
  </si>
  <si>
    <t>salthouse road (1121)</t>
  </si>
  <si>
    <t>sandhill lane  (1125)</t>
  </si>
  <si>
    <t>sculcoates (1127)</t>
  </si>
  <si>
    <t>seaton  (1130)</t>
  </si>
  <si>
    <t>skillings lane (1132)</t>
  </si>
  <si>
    <t>southgate (1135)</t>
  </si>
  <si>
    <t>southwood road (1137)</t>
  </si>
  <si>
    <t>spark mill lane (1140)</t>
  </si>
  <si>
    <t>tiverton road (1143)</t>
  </si>
  <si>
    <t>wawne road (1146)</t>
  </si>
  <si>
    <t>west docks (1151)</t>
  </si>
  <si>
    <t>Selby Stor</t>
  </si>
  <si>
    <t>Drax</t>
  </si>
  <si>
    <t>Spaldington WF</t>
  </si>
  <si>
    <t>gascoigne wood (1002)</t>
  </si>
  <si>
    <t>sixpenny wood wf</t>
  </si>
  <si>
    <t>stillingfleet (1015)</t>
  </si>
  <si>
    <t>whitemoor (1019)</t>
  </si>
  <si>
    <t>newport t2 (1025)</t>
  </si>
  <si>
    <t>olympia mills 11 (1004)</t>
  </si>
  <si>
    <t>riccall (1011)</t>
  </si>
  <si>
    <t>selby 11 (1012)</t>
  </si>
  <si>
    <t>thorpe road 11 (1016)</t>
  </si>
  <si>
    <t>lowfields bess</t>
  </si>
  <si>
    <t>Elland</t>
  </si>
  <si>
    <t>thornhill (1099)</t>
  </si>
  <si>
    <t>todmorden wf</t>
  </si>
  <si>
    <t>bailiff bridge (1002)</t>
  </si>
  <si>
    <t>batley (1005)</t>
  </si>
  <si>
    <t>brighouse 11kv (1008)</t>
  </si>
  <si>
    <t>calder wharf (1012)</t>
  </si>
  <si>
    <t>deighton (1015)</t>
  </si>
  <si>
    <t>denby grange (1018)</t>
  </si>
  <si>
    <t>dowker street (1020)</t>
  </si>
  <si>
    <t>elland (1024)</t>
  </si>
  <si>
    <t>grove street (1028)</t>
  </si>
  <si>
    <t>halifax 11kv (1031)</t>
  </si>
  <si>
    <t>hazelhead (1034)</t>
  </si>
  <si>
    <t>hebden bridge (1039)</t>
  </si>
  <si>
    <t>honley (1041)</t>
  </si>
  <si>
    <t>horbury (1045)</t>
  </si>
  <si>
    <t>lowfield (1054)</t>
  </si>
  <si>
    <t>meltham (1057)</t>
  </si>
  <si>
    <t>mill royd street (1060)</t>
  </si>
  <si>
    <t>mirfield (1063)</t>
  </si>
  <si>
    <t>mytholmroyd (1066)</t>
  </si>
  <si>
    <t>oakes road (1070)</t>
  </si>
  <si>
    <t>park road (1073)</t>
  </si>
  <si>
    <t>prospect road (1076)</t>
  </si>
  <si>
    <t>salterhebble (1079)</t>
  </si>
  <si>
    <t>scholes (1082)</t>
  </si>
  <si>
    <t>slaithwaite (1086)</t>
  </si>
  <si>
    <t>snelsins lane (1089)</t>
  </si>
  <si>
    <t>sowerby bridge 11kv (1092)</t>
  </si>
  <si>
    <t>spenborough (1096)</t>
  </si>
  <si>
    <t>swan bank lane 11 (1155)</t>
  </si>
  <si>
    <t>todmorden (1104)</t>
  </si>
  <si>
    <t>Goole 2</t>
  </si>
  <si>
    <t>Ferrybridge A</t>
  </si>
  <si>
    <t>Twin Rivers</t>
  </si>
  <si>
    <t>goolefields wf</t>
  </si>
  <si>
    <t>rusholme bess</t>
  </si>
  <si>
    <t>rusholme wf</t>
  </si>
  <si>
    <t>SGG</t>
  </si>
  <si>
    <t>crowle (1049)</t>
  </si>
  <si>
    <t>drax 11 (1003)</t>
  </si>
  <si>
    <t>eggborough 11 (1005)</t>
  </si>
  <si>
    <t>ferrybridge 11 (1010)</t>
  </si>
  <si>
    <t>goole 11 (1015)</t>
  </si>
  <si>
    <t>grimethorpe 11 (1017)</t>
  </si>
  <si>
    <t>guardian glass 11 (1018)</t>
  </si>
  <si>
    <t>guardian glass 66 (1019)</t>
  </si>
  <si>
    <t>hemsworth 11 (1020)</t>
  </si>
  <si>
    <t>ledston 11 (1023)</t>
  </si>
  <si>
    <t>monckton 11 (1027)</t>
  </si>
  <si>
    <t>rawcliffe 11 (1028)</t>
  </si>
  <si>
    <t>south elmsall 11 (1013)</t>
  </si>
  <si>
    <t>south kirkby 11 (1031)</t>
  </si>
  <si>
    <t>FMF2</t>
  </si>
  <si>
    <t>Ferrybridge B</t>
  </si>
  <si>
    <t>Hook Moor</t>
  </si>
  <si>
    <t>beal 11 (2010)</t>
  </si>
  <si>
    <t>ferrybridge multifuel</t>
  </si>
  <si>
    <t>wellbeck generation</t>
  </si>
  <si>
    <t>wheldale generation (2102)</t>
  </si>
  <si>
    <t>agfa 33 (2001)</t>
  </si>
  <si>
    <t>audby lane 11 (2002)</t>
  </si>
  <si>
    <t>barwick 11 (2007)</t>
  </si>
  <si>
    <t>carr lane 11 (2019)</t>
  </si>
  <si>
    <t>commonside lane 11 (2023)</t>
  </si>
  <si>
    <t>dunkeswick 11 (2028)</t>
  </si>
  <si>
    <t>fenton lane 11 (2033)</t>
  </si>
  <si>
    <t>hambleton junction</t>
  </si>
  <si>
    <t>leeds road collingham 11 (2051)</t>
  </si>
  <si>
    <t>ninelands lane 11 (2053)</t>
  </si>
  <si>
    <t>normanton 11 (2056)</t>
  </si>
  <si>
    <t>oakwood lane 11 (2059)</t>
  </si>
  <si>
    <t>pollington 11 (2085)</t>
  </si>
  <si>
    <t>premier way north 1</t>
  </si>
  <si>
    <t>premier way north 2</t>
  </si>
  <si>
    <t>prince of wales 11 (2063)</t>
  </si>
  <si>
    <t>roman avenue 11 (2066)</t>
  </si>
  <si>
    <t>seacroft 11 (2070)</t>
  </si>
  <si>
    <t>sharlston 11 (2073)</t>
  </si>
  <si>
    <t>sherburn 11 (2076)</t>
  </si>
  <si>
    <t>sledmere garth 11 (2079)</t>
  </si>
  <si>
    <t>smith street 11 (2082)</t>
  </si>
  <si>
    <t>tadcaster 11 (2089)</t>
  </si>
  <si>
    <t>warren lane 11</t>
  </si>
  <si>
    <t>weeland road 11 (2095)</t>
  </si>
  <si>
    <t>wellington street 11 (2098)</t>
  </si>
  <si>
    <t>Kings Road_Phase 1</t>
  </si>
  <si>
    <t>Grimsby West</t>
  </si>
  <si>
    <t>PortImm-Gas</t>
  </si>
  <si>
    <t>Queens Road_Phase 2</t>
  </si>
  <si>
    <t>bishopsthorpe33</t>
  </si>
  <si>
    <t>immland33 (2071)</t>
  </si>
  <si>
    <t>lind33</t>
  </si>
  <si>
    <t>low farm bradley</t>
  </si>
  <si>
    <t>mauxhall farm</t>
  </si>
  <si>
    <t>tiox33 (2060)</t>
  </si>
  <si>
    <t>trondheim way bess</t>
  </si>
  <si>
    <t>bart11 (2001)</t>
  </si>
  <si>
    <t>btp11b (2003)</t>
  </si>
  <si>
    <t>clot11 (2006)</t>
  </si>
  <si>
    <t>conv11 (2008)</t>
  </si>
  <si>
    <t>cony11 (2011)</t>
  </si>
  <si>
    <t>doug11 (2014)</t>
  </si>
  <si>
    <t>east11 (2017)</t>
  </si>
  <si>
    <t>grimd6 (2024)</t>
  </si>
  <si>
    <t>grtc11 (2021)</t>
  </si>
  <si>
    <t>humb11 (2030)</t>
  </si>
  <si>
    <t>lind33 (2041)</t>
  </si>
  <si>
    <t>mars11 (2043)</t>
  </si>
  <si>
    <t>mil33 (2047)</t>
  </si>
  <si>
    <t>quer11 (2054)</t>
  </si>
  <si>
    <t>scar11 (2057)</t>
  </si>
  <si>
    <t>wesc11 (2062)</t>
  </si>
  <si>
    <t>yarb11 (2066)</t>
  </si>
  <si>
    <t>baslow road (1001)</t>
  </si>
  <si>
    <t>Jordonthorpe</t>
  </si>
  <si>
    <t>callywhite lane 11 (1017)</t>
  </si>
  <si>
    <t>dronfield (1004)</t>
  </si>
  <si>
    <t>greenhill (1007)</t>
  </si>
  <si>
    <t>millhouses (1010)</t>
  </si>
  <si>
    <t>woodseats (1013)</t>
  </si>
  <si>
    <t>Brigg biomass</t>
  </si>
  <si>
    <t>Keadby</t>
  </si>
  <si>
    <t>Gayton</t>
  </si>
  <si>
    <t>Laceby Solar</t>
  </si>
  <si>
    <t>Ravensthorpe</t>
  </si>
  <si>
    <t>Scun STOR</t>
  </si>
  <si>
    <t>bagmoor wind farm (3129)</t>
  </si>
  <si>
    <t>fen farm wind farm (3127)</t>
  </si>
  <si>
    <t>fibrogen (3038)</t>
  </si>
  <si>
    <t>grange wf</t>
  </si>
  <si>
    <t>roxby (3084)</t>
  </si>
  <si>
    <t>scawby brook_148</t>
  </si>
  <si>
    <t>scawby brook_177</t>
  </si>
  <si>
    <t>scawby brook_183</t>
  </si>
  <si>
    <t>sweeting thorns pv</t>
  </si>
  <si>
    <t>belmont covert (3002)</t>
  </si>
  <si>
    <t>billet lane (3004)</t>
  </si>
  <si>
    <t>binbrook (3007)</t>
  </si>
  <si>
    <t>boc scunthorpe (3014)</t>
  </si>
  <si>
    <t>bottesford (3015)</t>
  </si>
  <si>
    <t>bridges road (3018)</t>
  </si>
  <si>
    <t>broughton (3022)</t>
  </si>
  <si>
    <t>caistor (3029)</t>
  </si>
  <si>
    <t>corringham road (3034)</t>
  </si>
  <si>
    <t>epworth (3035)</t>
  </si>
  <si>
    <t>firth brown (3039)</t>
  </si>
  <si>
    <t>flixborough (3042)</t>
  </si>
  <si>
    <t>foxhills (3046)</t>
  </si>
  <si>
    <t>grainthorpe (3049)</t>
  </si>
  <si>
    <t>harpswell (3051)</t>
  </si>
  <si>
    <t>haxey (3053)</t>
  </si>
  <si>
    <t>hibaldstow (3055)</t>
  </si>
  <si>
    <t>keddington road (3060)</t>
  </si>
  <si>
    <t>lea road (3067)</t>
  </si>
  <si>
    <t>louth (3070)</t>
  </si>
  <si>
    <t>normanby (3074)</t>
  </si>
  <si>
    <t>north thoresby (3076)</t>
  </si>
  <si>
    <t>pasture road south (3080)</t>
  </si>
  <si>
    <t>south ferriby (3098)</t>
  </si>
  <si>
    <t>south reston (3101)</t>
  </si>
  <si>
    <t>station road (3104)</t>
  </si>
  <si>
    <t>stow (3107)</t>
  </si>
  <si>
    <t>walesby (3109)</t>
  </si>
  <si>
    <t>wrawby (3114)</t>
  </si>
  <si>
    <t>keadby wf</t>
  </si>
  <si>
    <t>UoL</t>
  </si>
  <si>
    <t>Kirkstall</t>
  </si>
  <si>
    <t>abbey road (1001)</t>
  </si>
  <si>
    <t>beeston royds (1006)</t>
  </si>
  <si>
    <t>beeston royds t6/7 (1014)</t>
  </si>
  <si>
    <t>br kirkstall (1016)</t>
  </si>
  <si>
    <t>bramley (1017)</t>
  </si>
  <si>
    <t>burley street (1020)</t>
  </si>
  <si>
    <t>clarendon road (1023)</t>
  </si>
  <si>
    <t>farnley crescent (1026)</t>
  </si>
  <si>
    <t>fir tree lane (1029)</t>
  </si>
  <si>
    <t>gildersome bdfd road (1038)</t>
  </si>
  <si>
    <t>hedley chase (1041)</t>
  </si>
  <si>
    <t>iveson house (1044)</t>
  </si>
  <si>
    <t>middleton town street (1053)</t>
  </si>
  <si>
    <t>morley (1056)</t>
  </si>
  <si>
    <t>sulzers t1 (1063)</t>
  </si>
  <si>
    <t>tingley (1066)</t>
  </si>
  <si>
    <t>upper basinghall street (1071)</t>
  </si>
  <si>
    <t>west park (1075)</t>
  </si>
  <si>
    <t>whingate (1077)</t>
  </si>
  <si>
    <t>whitehall road 11kV (1080)</t>
  </si>
  <si>
    <t>blue boy street (2001)</t>
  </si>
  <si>
    <t>Neepsend</t>
  </si>
  <si>
    <t>claywheels lane (2004)</t>
  </si>
  <si>
    <t>crookesmoor road (2007)</t>
  </si>
  <si>
    <t>loxley road (2011)</t>
  </si>
  <si>
    <t>penistone road (2013)</t>
  </si>
  <si>
    <t>rawson spring road (2016)</t>
  </si>
  <si>
    <t>stannington road (2019)</t>
  </si>
  <si>
    <t>gleadless valley (3001)</t>
  </si>
  <si>
    <t>Norton Lees</t>
  </si>
  <si>
    <t>marmion road (3004)</t>
  </si>
  <si>
    <t>norfolk park (3007)</t>
  </si>
  <si>
    <t>saxon road (3011)</t>
  </si>
  <si>
    <t>snaithing park road (3014)</t>
  </si>
  <si>
    <t>Pitsmoor A forgemasters (4008)</t>
  </si>
  <si>
    <t>Pitsmoor</t>
  </si>
  <si>
    <t>barnsley road (4001)</t>
  </si>
  <si>
    <t>bellhouse road (4004)</t>
  </si>
  <si>
    <t>firth brown (4007)</t>
  </si>
  <si>
    <t>newhall road (4009)</t>
  </si>
  <si>
    <t>stanley street (4013)</t>
  </si>
  <si>
    <t>stevenson road (4016)</t>
  </si>
  <si>
    <t>Northern Gateway Biomass</t>
  </si>
  <si>
    <t>Saltend</t>
  </si>
  <si>
    <t>Staithes Road Gas Facility</t>
  </si>
  <si>
    <t>ellifoot lane (2005)</t>
  </si>
  <si>
    <t>ottringham road (2021)</t>
  </si>
  <si>
    <t>out newton windfarm (2024)</t>
  </si>
  <si>
    <t>roos wf dummy</t>
  </si>
  <si>
    <t>King George Dock 11kV</t>
  </si>
  <si>
    <t>aldbrough gas caverns (2001)</t>
  </si>
  <si>
    <t>easington (2002)</t>
  </si>
  <si>
    <t>hedon road (2011)</t>
  </si>
  <si>
    <t>hull east (2014)</t>
  </si>
  <si>
    <t>patrington road (2025)</t>
  </si>
  <si>
    <t>westcott street (2030)</t>
  </si>
  <si>
    <t>withernsea (2033)</t>
  </si>
  <si>
    <t>yw hull road (2037)</t>
  </si>
  <si>
    <t>arundel street (5001)</t>
  </si>
  <si>
    <t>Sheffield City</t>
  </si>
  <si>
    <t>brinsworth strip mill</t>
  </si>
  <si>
    <t>ellin street (5004)</t>
  </si>
  <si>
    <t>fullerton road (6001)</t>
  </si>
  <si>
    <t>mansfield road (5009)</t>
  </si>
  <si>
    <t>park hill (5012)</t>
  </si>
  <si>
    <t>silver street (5016)</t>
  </si>
  <si>
    <t>victoria street (5019)</t>
  </si>
  <si>
    <t>Newmarket Approach Generation</t>
  </si>
  <si>
    <t>Skelton Grange</t>
  </si>
  <si>
    <t>emerald street (1038)</t>
  </si>
  <si>
    <t>skelton grange efw</t>
  </si>
  <si>
    <t>zeneca (1177)</t>
  </si>
  <si>
    <t>allerton hill t1 11kv (1002)</t>
  </si>
  <si>
    <t>allerton hill t2 11kv (1004)</t>
  </si>
  <si>
    <t>alverthorpe road (1005)</t>
  </si>
  <si>
    <t>armouries drive (1008)</t>
  </si>
  <si>
    <t>birkby (1011)</t>
  </si>
  <si>
    <t>brookfield street (1014)</t>
  </si>
  <si>
    <t>burmantofts (1017)</t>
  </si>
  <si>
    <t>burnleyville (1020)</t>
  </si>
  <si>
    <t>buslingthorpe green (1023)</t>
  </si>
  <si>
    <t>carlton hill (1026)</t>
  </si>
  <si>
    <t>clarence road (1029)</t>
  </si>
  <si>
    <t>dalton (1032)</t>
  </si>
  <si>
    <t>dudley hill (1035)</t>
  </si>
  <si>
    <t>folly hall (1040)</t>
  </si>
  <si>
    <t>hillcrest (1055)</t>
  </si>
  <si>
    <t>holbeck (1058)</t>
  </si>
  <si>
    <t>kenmore road (1061)</t>
  </si>
  <si>
    <t>knostrop  (1065)</t>
  </si>
  <si>
    <t>leasowe road (1068)</t>
  </si>
  <si>
    <t>leylands road (1079)</t>
  </si>
  <si>
    <t>liversedge (1082)</t>
  </si>
  <si>
    <t>low moor  (1085)</t>
  </si>
  <si>
    <t>milton place (1094)</t>
  </si>
  <si>
    <t>moor road (1097)</t>
  </si>
  <si>
    <t>nab lane</t>
  </si>
  <si>
    <t>odsal (1100)</t>
  </si>
  <si>
    <t>outwood (1103)</t>
  </si>
  <si>
    <t>pontefract lane t1/2 (1107)</t>
  </si>
  <si>
    <t>pontefract lane t3 (1109)</t>
  </si>
  <si>
    <t>rawdon (1111)</t>
  </si>
  <si>
    <t>rodley lane (1117)</t>
  </si>
  <si>
    <t>royds lane (1124)</t>
  </si>
  <si>
    <t>selby road (1130)</t>
  </si>
  <si>
    <t>springmill street (1137)</t>
  </si>
  <si>
    <t>st andrews road (1138)</t>
  </si>
  <si>
    <t>station lane 25kv (1139)</t>
  </si>
  <si>
    <t>stourton (1145)</t>
  </si>
  <si>
    <t>stourton 132/11kv (1147)</t>
  </si>
  <si>
    <t>sweet street</t>
  </si>
  <si>
    <t>swinnow moor (1150)</t>
  </si>
  <si>
    <t>thornbury (1153)</t>
  </si>
  <si>
    <t>tong street  (1156)</t>
  </si>
  <si>
    <t>varley street (1159)</t>
  </si>
  <si>
    <t>white lee (1165)</t>
  </si>
  <si>
    <t>whitehall road 2/3</t>
  </si>
  <si>
    <t>wibsey (1168)</t>
  </si>
  <si>
    <t>yew green road (1171)</t>
  </si>
  <si>
    <t>york road (1174)</t>
  </si>
  <si>
    <t>caxton way gas</t>
  </si>
  <si>
    <t>Thurcroft</t>
  </si>
  <si>
    <t>chesterfield road</t>
  </si>
  <si>
    <t>green lane generation</t>
  </si>
  <si>
    <t>harworth (1015)</t>
  </si>
  <si>
    <t>maltby (1020)</t>
  </si>
  <si>
    <t>penny hill wf dummy</t>
  </si>
  <si>
    <t>beighton (1001)</t>
  </si>
  <si>
    <t>costhorpe (1003)</t>
  </si>
  <si>
    <t>dinnington (1005)</t>
  </si>
  <si>
    <t>edlington (1007)</t>
  </si>
  <si>
    <t>hackenthorpe (1013)</t>
  </si>
  <si>
    <t>kiveton park (1018)</t>
  </si>
  <si>
    <t>mexborough 1&amp;2 (1022)</t>
  </si>
  <si>
    <t>mexborough 3 (1023)</t>
  </si>
  <si>
    <t>new orchard lane (1025)</t>
  </si>
  <si>
    <t>silverwood (1028)</t>
  </si>
  <si>
    <t>tickhill road (1031)</t>
  </si>
  <si>
    <t>BCB_10MW</t>
  </si>
  <si>
    <t>West Melton</t>
  </si>
  <si>
    <t>BCB_20MW</t>
  </si>
  <si>
    <t>Greenpark Energy Askern (1006)</t>
  </si>
  <si>
    <t>Greenpark Energy Brodsworth (1121)</t>
  </si>
  <si>
    <t>UK power reserve</t>
  </si>
  <si>
    <t>bcb donbat</t>
  </si>
  <si>
    <t>bcb vpower</t>
  </si>
  <si>
    <t>bernard road (1030)</t>
  </si>
  <si>
    <t>blackburn meadows biomass</t>
  </si>
  <si>
    <t>hampole wf</t>
  </si>
  <si>
    <t>hunningley bess</t>
  </si>
  <si>
    <t>oaks lane bess</t>
  </si>
  <si>
    <t>swangate bess</t>
  </si>
  <si>
    <t>trumfleet (1181)</t>
  </si>
  <si>
    <t>tween bridge wf</t>
  </si>
  <si>
    <t>water vole way generation</t>
  </si>
  <si>
    <t>Kilnhurst (1148)</t>
  </si>
  <si>
    <t>aldham (1001)</t>
  </si>
  <si>
    <t>armthorpe (1003)</t>
  </si>
  <si>
    <t>askern (1005)</t>
  </si>
  <si>
    <t>austerfield (1011)</t>
  </si>
  <si>
    <t>balby  (1013)</t>
  </si>
  <si>
    <t>barnburgh (1015)</t>
  </si>
  <si>
    <t>barnsley (1017)</t>
  </si>
  <si>
    <t>barugh (1020)</t>
  </si>
  <si>
    <t>belmont avenue (1024)</t>
  </si>
  <si>
    <t>bentley (1027)</t>
  </si>
  <si>
    <t>blackburn meadows (1031)</t>
  </si>
  <si>
    <t>boc brinsworth (1038)</t>
  </si>
  <si>
    <t>brodsworth (1041)</t>
  </si>
  <si>
    <t>bsc shepcote lane (1043)</t>
  </si>
  <si>
    <t>burton road (1046)</t>
  </si>
  <si>
    <t>darnall (1052)</t>
  </si>
  <si>
    <t>dearne road (1055)</t>
  </si>
  <si>
    <t>denby dale road (1057)</t>
  </si>
  <si>
    <t>doncaster central 25kv (1063)</t>
  </si>
  <si>
    <t>durkar low lane (1067)</t>
  </si>
  <si>
    <t>ecclesfield (1070)</t>
  </si>
  <si>
    <t>elmhirst lane 1  (1072)</t>
  </si>
  <si>
    <t>elmhirst lane 2 (1073)</t>
  </si>
  <si>
    <t>elsecar (1076)</t>
  </si>
  <si>
    <t>fish dam lane (1078)</t>
  </si>
  <si>
    <t>greyfriars road (1092)</t>
  </si>
  <si>
    <t>greyfriars road t3&amp;t4 11 (1213)</t>
  </si>
  <si>
    <t>hickleton (1095)</t>
  </si>
  <si>
    <t>hope (1097)</t>
  </si>
  <si>
    <t>hope cement (1098)</t>
  </si>
  <si>
    <t>houghton main (1101)</t>
  </si>
  <si>
    <t>ici fibres (1113)</t>
  </si>
  <si>
    <t>jarratt street (1115)</t>
  </si>
  <si>
    <t>kirk sandall  (1119)</t>
  </si>
  <si>
    <t>markham gates (1123)</t>
  </si>
  <si>
    <t>network rail mallard way</t>
  </si>
  <si>
    <t>orgreave (1125)</t>
  </si>
  <si>
    <t>park street (1128)</t>
  </si>
  <si>
    <t>penistone  (1132)</t>
  </si>
  <si>
    <t>rawmarsh road 1_2 (1135)</t>
  </si>
  <si>
    <t>rawmarsh road 3_4 (1136)</t>
  </si>
  <si>
    <t>revill lane (1143)</t>
  </si>
  <si>
    <t>rockware (1146)</t>
  </si>
  <si>
    <t>scissett (1150)</t>
  </si>
  <si>
    <t>shirland lane (1153)</t>
  </si>
  <si>
    <t>smithy green (1156)</t>
  </si>
  <si>
    <t>stainforth (1158)</t>
  </si>
  <si>
    <t>stairfoot (1161)</t>
  </si>
  <si>
    <t>stoke street (1166)</t>
  </si>
  <si>
    <t>tankersley park (1169)</t>
  </si>
  <si>
    <t>templeborough (1171)</t>
  </si>
  <si>
    <t>thorne (1174)</t>
  </si>
  <si>
    <t>tinsley wire (1178)</t>
  </si>
  <si>
    <t>ues stocksbridge fume (1184)</t>
  </si>
  <si>
    <t>wakefield monckton road 33 (1187)</t>
  </si>
  <si>
    <t>wath upon dearne</t>
  </si>
  <si>
    <t>west end lane (1192)</t>
  </si>
  <si>
    <t>west moor park (1196)</t>
  </si>
  <si>
    <t>wheatacre road (1198)</t>
  </si>
  <si>
    <t>wheatley park (1200)</t>
  </si>
  <si>
    <t>woodcock street (1202)</t>
  </si>
  <si>
    <t>woolley (1205)</t>
  </si>
  <si>
    <t>worsborough (1207)</t>
  </si>
  <si>
    <t>york street (1210)</t>
  </si>
  <si>
    <t>Templeborough Biomass</t>
  </si>
  <si>
    <t>Wincobank</t>
  </si>
  <si>
    <t>blackburn valley (7001)</t>
  </si>
  <si>
    <t>shepcote tinsley (7005)</t>
  </si>
  <si>
    <t>tinsley park road (7008)</t>
  </si>
  <si>
    <t>waverley (7011)</t>
  </si>
  <si>
    <t>150, 151, 148</t>
  </si>
  <si>
    <t>152</t>
  </si>
  <si>
    <t>201</t>
  </si>
  <si>
    <t>153, 154, 156, 149</t>
  </si>
  <si>
    <t>202</t>
  </si>
  <si>
    <t>203</t>
  </si>
  <si>
    <t>204</t>
  </si>
  <si>
    <t>155</t>
  </si>
  <si>
    <t>205</t>
  </si>
  <si>
    <t>157</t>
  </si>
  <si>
    <t>206</t>
  </si>
  <si>
    <t>207</t>
  </si>
  <si>
    <t>208</t>
  </si>
  <si>
    <t>132, 133, 134, 135, 170</t>
  </si>
  <si>
    <t>172</t>
  </si>
  <si>
    <t>173, 174</t>
  </si>
  <si>
    <t>158, 159, 398</t>
  </si>
  <si>
    <t>160</t>
  </si>
  <si>
    <t>209</t>
  </si>
  <si>
    <t>161, 162, 164, 399</t>
  </si>
  <si>
    <t>210</t>
  </si>
  <si>
    <t>211</t>
  </si>
  <si>
    <t>212</t>
  </si>
  <si>
    <t>163</t>
  </si>
  <si>
    <t>213</t>
  </si>
  <si>
    <t>165</t>
  </si>
  <si>
    <t>215</t>
  </si>
  <si>
    <t>216</t>
  </si>
  <si>
    <t>217</t>
  </si>
  <si>
    <t>218</t>
  </si>
  <si>
    <t>166</t>
  </si>
  <si>
    <t>219</t>
  </si>
  <si>
    <t>220</t>
  </si>
  <si>
    <t>221</t>
  </si>
  <si>
    <t>227</t>
  </si>
  <si>
    <t>167</t>
  </si>
  <si>
    <t>229</t>
  </si>
  <si>
    <t>230</t>
  </si>
  <si>
    <t>231</t>
  </si>
  <si>
    <t>136, 137, 138, 139, 171</t>
  </si>
  <si>
    <t>175</t>
  </si>
  <si>
    <t>176</t>
  </si>
  <si>
    <t>177, 178</t>
  </si>
  <si>
    <t>179, 180</t>
  </si>
  <si>
    <t>181, 182</t>
  </si>
  <si>
    <t>183, 184, 422</t>
  </si>
  <si>
    <t>185</t>
  </si>
  <si>
    <t>232</t>
  </si>
  <si>
    <t>186, 187, 189, 423</t>
  </si>
  <si>
    <t>233</t>
  </si>
  <si>
    <t>234</t>
  </si>
  <si>
    <t>235</t>
  </si>
  <si>
    <t>188</t>
  </si>
  <si>
    <t>236</t>
  </si>
  <si>
    <t>190</t>
  </si>
  <si>
    <t>237</t>
  </si>
  <si>
    <t>238</t>
  </si>
  <si>
    <t>239</t>
  </si>
  <si>
    <t>242</t>
  </si>
  <si>
    <t>191</t>
  </si>
  <si>
    <t>243</t>
  </si>
  <si>
    <t>245</t>
  </si>
  <si>
    <t>247</t>
  </si>
  <si>
    <t>251</t>
  </si>
  <si>
    <t>192</t>
  </si>
  <si>
    <t>252</t>
  </si>
  <si>
    <t>253</t>
  </si>
  <si>
    <t>254</t>
  </si>
  <si>
    <t>140, 141, 142, 143, 194</t>
  </si>
  <si>
    <t>195</t>
  </si>
  <si>
    <t>196</t>
  </si>
  <si>
    <t>197, 198</t>
  </si>
  <si>
    <t>199, 315</t>
  </si>
  <si>
    <t>316, 317</t>
  </si>
  <si>
    <t>318, 319, 424</t>
  </si>
  <si>
    <t>320</t>
  </si>
  <si>
    <t>255</t>
  </si>
  <si>
    <t>321, 322, 324, 425</t>
  </si>
  <si>
    <t>256</t>
  </si>
  <si>
    <t>258</t>
  </si>
  <si>
    <t>259</t>
  </si>
  <si>
    <t>323</t>
  </si>
  <si>
    <t>260</t>
  </si>
  <si>
    <t>325</t>
  </si>
  <si>
    <t>261</t>
  </si>
  <si>
    <t>262</t>
  </si>
  <si>
    <t>263</t>
  </si>
  <si>
    <t>264</t>
  </si>
  <si>
    <t>326</t>
  </si>
  <si>
    <t>265</t>
  </si>
  <si>
    <t>266</t>
  </si>
  <si>
    <t>267</t>
  </si>
  <si>
    <t>269</t>
  </si>
  <si>
    <t>327</t>
  </si>
  <si>
    <t>270</t>
  </si>
  <si>
    <t>271</t>
  </si>
  <si>
    <t>272</t>
  </si>
  <si>
    <t>144, 145, 146, 147, 329</t>
  </si>
  <si>
    <t>330</t>
  </si>
  <si>
    <t>331</t>
  </si>
  <si>
    <t>332, 333</t>
  </si>
  <si>
    <t>334, 335</t>
  </si>
  <si>
    <t>336, 337</t>
  </si>
  <si>
    <t>338, 339, 426</t>
  </si>
  <si>
    <t>340</t>
  </si>
  <si>
    <t>273</t>
  </si>
  <si>
    <t>341, 342, 344, 427</t>
  </si>
  <si>
    <t>274</t>
  </si>
  <si>
    <t>276</t>
  </si>
  <si>
    <t>277</t>
  </si>
  <si>
    <t>343</t>
  </si>
  <si>
    <t>278</t>
  </si>
  <si>
    <t>345</t>
  </si>
  <si>
    <t>282</t>
  </si>
  <si>
    <t>283</t>
  </si>
  <si>
    <t>284</t>
  </si>
  <si>
    <t>285</t>
  </si>
  <si>
    <t>346</t>
  </si>
  <si>
    <t>286</t>
  </si>
  <si>
    <t>288</t>
  </si>
  <si>
    <t>289</t>
  </si>
  <si>
    <t>292</t>
  </si>
  <si>
    <t>347</t>
  </si>
  <si>
    <t>293</t>
  </si>
  <si>
    <t>294</t>
  </si>
  <si>
    <t>295</t>
  </si>
  <si>
    <t>302, 303, 304, 305, 349</t>
  </si>
  <si>
    <t>350</t>
  </si>
  <si>
    <t>351</t>
  </si>
  <si>
    <t>352, 353</t>
  </si>
  <si>
    <t>354, 355</t>
  </si>
  <si>
    <t>356, 357</t>
  </si>
  <si>
    <t>358, 359, 428</t>
  </si>
  <si>
    <t>360</t>
  </si>
  <si>
    <t>296</t>
  </si>
  <si>
    <t>361, 362, 364, 429</t>
  </si>
  <si>
    <t>298</t>
  </si>
  <si>
    <t>300</t>
  </si>
  <si>
    <t>301</t>
  </si>
  <si>
    <t>363</t>
  </si>
  <si>
    <t>314</t>
  </si>
  <si>
    <t>365</t>
  </si>
  <si>
    <t>328</t>
  </si>
  <si>
    <t>348</t>
  </si>
  <si>
    <t>368</t>
  </si>
  <si>
    <t>388</t>
  </si>
  <si>
    <t>366</t>
  </si>
  <si>
    <t>432</t>
  </si>
  <si>
    <t>433</t>
  </si>
  <si>
    <t>434</t>
  </si>
  <si>
    <t>435</t>
  </si>
  <si>
    <t>367</t>
  </si>
  <si>
    <t>436</t>
  </si>
  <si>
    <t>437</t>
  </si>
  <si>
    <t>438</t>
  </si>
  <si>
    <t>306, 307, 308, 309, 369</t>
  </si>
  <si>
    <t>370</t>
  </si>
  <si>
    <t>371</t>
  </si>
  <si>
    <t>372, 373</t>
  </si>
  <si>
    <t>374, 375</t>
  </si>
  <si>
    <t>376, 377</t>
  </si>
  <si>
    <t>378, 379, 430</t>
  </si>
  <si>
    <t>380</t>
  </si>
  <si>
    <t>439</t>
  </si>
  <si>
    <t>381, 382, 384, 431</t>
  </si>
  <si>
    <t>440</t>
  </si>
  <si>
    <t>441</t>
  </si>
  <si>
    <t>442</t>
  </si>
  <si>
    <t>383</t>
  </si>
  <si>
    <t>443</t>
  </si>
  <si>
    <t>385</t>
  </si>
  <si>
    <t>444</t>
  </si>
  <si>
    <t>445</t>
  </si>
  <si>
    <t>446</t>
  </si>
  <si>
    <t>447</t>
  </si>
  <si>
    <t>386</t>
  </si>
  <si>
    <t>448</t>
  </si>
  <si>
    <t>449</t>
  </si>
  <si>
    <t>450</t>
  </si>
  <si>
    <t>451</t>
  </si>
  <si>
    <t>387</t>
  </si>
  <si>
    <t>452</t>
  </si>
  <si>
    <t>453</t>
  </si>
  <si>
    <t>454</t>
  </si>
  <si>
    <t>310, 311, 312, 313, 389</t>
  </si>
  <si>
    <t>390</t>
  </si>
  <si>
    <t>391</t>
  </si>
  <si>
    <t>392, 393</t>
  </si>
  <si>
    <t>394, 395</t>
  </si>
  <si>
    <t>396, 397</t>
  </si>
  <si>
    <t>0, 8</t>
  </si>
  <si>
    <t>16:00 to 19:30</t>
  </si>
  <si>
    <t>08:00 to 16:00
19:30 to 22:00</t>
  </si>
  <si>
    <t>00:00 to 08:00
22:00 to 24:00</t>
  </si>
  <si>
    <t>00:00 to 24:00</t>
  </si>
  <si>
    <t>All the above times are in UK Clock time</t>
  </si>
  <si>
    <t>08:00 to 22:00</t>
  </si>
  <si>
    <t>1600 - 1930</t>
  </si>
  <si>
    <t>∞</t>
  </si>
  <si>
    <t>1A, 1AH, 100, 120, 279</t>
  </si>
  <si>
    <t>3A, 111</t>
  </si>
  <si>
    <t>2Z, 2ZH</t>
  </si>
  <si>
    <t>2A, 2AH</t>
  </si>
  <si>
    <t>2B, 2BH</t>
  </si>
  <si>
    <t>2C, 2CH</t>
  </si>
  <si>
    <t>2D, 2DH</t>
  </si>
  <si>
    <t>4A</t>
  </si>
  <si>
    <t>5Z</t>
  </si>
  <si>
    <t>5A</t>
  </si>
  <si>
    <t>5B</t>
  </si>
  <si>
    <t>5C</t>
  </si>
  <si>
    <t>5D</t>
  </si>
  <si>
    <t>6Z</t>
  </si>
  <si>
    <t>6A</t>
  </si>
  <si>
    <t>6B</t>
  </si>
  <si>
    <t>6C</t>
  </si>
  <si>
    <t>6D</t>
  </si>
  <si>
    <t>7Z</t>
  </si>
  <si>
    <t>7A</t>
  </si>
  <si>
    <t>7B</t>
  </si>
  <si>
    <t>7C</t>
  </si>
  <si>
    <t>7D</t>
  </si>
  <si>
    <t>8A</t>
  </si>
  <si>
    <t>20</t>
  </si>
  <si>
    <t>30</t>
  </si>
  <si>
    <t>24, 22</t>
  </si>
  <si>
    <t>222, 224</t>
  </si>
  <si>
    <t>23, 25</t>
  </si>
  <si>
    <t>223, 225</t>
  </si>
  <si>
    <t>26, 28</t>
  </si>
  <si>
    <t>226, 228</t>
  </si>
  <si>
    <t>2300000599657
2336541294017</t>
  </si>
  <si>
    <t>2300000702517
2300000702526
2300000702535
2376555002010
2376555002029
2376555002038</t>
  </si>
  <si>
    <t>2356555554017
2380002015807</t>
  </si>
  <si>
    <t>2394000039660
2394000110620</t>
  </si>
  <si>
    <t>MSID_0645</t>
  </si>
  <si>
    <t>2300000880966
2376509001013</t>
  </si>
  <si>
    <t>2300000233736
2300000880975</t>
  </si>
  <si>
    <t>2300000526686
2336518071011</t>
  </si>
  <si>
    <t>MSID_7376
MSID_7542</t>
  </si>
  <si>
    <t>MSID_7377
MSID_7543</t>
  </si>
  <si>
    <t>2300000233959
2300000233968
2300000233977</t>
  </si>
  <si>
    <t>2300000457084
2390000010840
2390000010859</t>
  </si>
  <si>
    <t>2376508030013
2376508030022</t>
  </si>
  <si>
    <t>2300000233912
2300000996990</t>
  </si>
  <si>
    <t>2346526241119
2390000139108</t>
  </si>
  <si>
    <t>2394000133317
2394000139114</t>
  </si>
  <si>
    <t>2366591486111
2380002104680</t>
  </si>
  <si>
    <t>2326522910011
2326522910020</t>
  </si>
  <si>
    <t>2394000002925
2394100008408</t>
  </si>
  <si>
    <t>MSID_7430</t>
  </si>
  <si>
    <t>MSID_7431</t>
  </si>
  <si>
    <t>2300001016288
2300001016297</t>
  </si>
  <si>
    <t>2300000974408
2394000113560
2394000135253</t>
  </si>
  <si>
    <t>2391100013704
2394000011502</t>
  </si>
  <si>
    <t>2380000123421
2380000123430</t>
  </si>
  <si>
    <t>2394000134454
2394000134463</t>
  </si>
  <si>
    <t>2394000043364
2394000138110</t>
  </si>
  <si>
    <t>2380001252829
2380001252838
2380001767827</t>
  </si>
  <si>
    <t>2394000047581
2394000047590
2394000047606</t>
  </si>
  <si>
    <t>2380001532167
2380001532176</t>
  </si>
  <si>
    <t>2316530305110
2316530305129</t>
  </si>
  <si>
    <t>2326511015014
2326511015023</t>
  </si>
  <si>
    <t>2300000456903
2300000516605
2326531140128</t>
  </si>
  <si>
    <t>2300000473625
2336505790019</t>
  </si>
  <si>
    <t>2300000473616
2336506255013</t>
  </si>
  <si>
    <t>2300000473634
2336526022010</t>
  </si>
  <si>
    <t>2300000584925
2336559992019</t>
  </si>
  <si>
    <t>2300000539365
2300000539374
2336590660028
2336590660037</t>
  </si>
  <si>
    <t>TBC</t>
  </si>
  <si>
    <t>2356530330014
2356530330023</t>
  </si>
  <si>
    <t>2300000457377
2366560264112</t>
  </si>
  <si>
    <t>2300000652292
2376503256010</t>
  </si>
  <si>
    <t>2300000647051
2300000647060
2376552920013
2376552920022</t>
  </si>
  <si>
    <t>2376550825013
2380000000543
2380000004097</t>
  </si>
  <si>
    <t>2380000428837
2380000428846</t>
  </si>
  <si>
    <t>2380000724195
2380001078977
2380001078986
2380001078995
2380001079001
2380001079321</t>
  </si>
  <si>
    <t>2380001519750
2380001519760
2380001519779
2380001519788</t>
  </si>
  <si>
    <t>2326526290016
2326526290025
2380002292920</t>
  </si>
  <si>
    <t>2336525711011
2336525711020</t>
  </si>
  <si>
    <t>2300000493180
2300000552125
2336552115017
2336552115026</t>
  </si>
  <si>
    <t>2300000234163
2300000234172
2336590770013
2336590770022</t>
  </si>
  <si>
    <t>2300000234066
2300000234075
2300000234084
2336590810010</t>
  </si>
  <si>
    <t>2346530035017
2346530035026</t>
  </si>
  <si>
    <t>2346534433019
2346534433028</t>
  </si>
  <si>
    <t>2356530030015
2356530030024</t>
  </si>
  <si>
    <t>2356530321010
2356530321029</t>
  </si>
  <si>
    <t>2356530620210
2356530620229</t>
  </si>
  <si>
    <t>2394000129436
2394000132527</t>
  </si>
  <si>
    <t>2366540061017
2366540061026</t>
  </si>
  <si>
    <t>2300000674055
2300000674064</t>
  </si>
  <si>
    <t>2300000777530
2366540110116</t>
  </si>
  <si>
    <t>2300000634415
2376552766015</t>
  </si>
  <si>
    <t>2376503230011
2376508010017
2390000002440
2390000002459</t>
  </si>
  <si>
    <t>2380001448611
2380001448620
2380001448630
2380001448649
2380001448658</t>
  </si>
  <si>
    <t>2380001883036
2380001883045</t>
  </si>
  <si>
    <t>2394000095831
2394000095840</t>
  </si>
  <si>
    <t>MSID_7275</t>
  </si>
  <si>
    <t>2346534400013
2346534400022</t>
  </si>
  <si>
    <t>2380001909075
2380001909084</t>
  </si>
  <si>
    <t>2394000099056
2394000099065</t>
  </si>
  <si>
    <t>2300000646962
2300000647006</t>
  </si>
  <si>
    <t>2380002366660
2380002366670</t>
  </si>
  <si>
    <t>2394000133831
2394000133840</t>
  </si>
  <si>
    <t>2300000444962
2366531830013</t>
  </si>
  <si>
    <t>2376502990014
2376502990023</t>
  </si>
  <si>
    <t>2380002563644
2380002563653</t>
  </si>
  <si>
    <t>2300000916888
2336559990011</t>
  </si>
  <si>
    <t>MSID_7461</t>
  </si>
  <si>
    <t>MSID_7462</t>
  </si>
  <si>
    <t>2380002833081
2380002833090</t>
  </si>
  <si>
    <t>MSID_7474</t>
  </si>
  <si>
    <t>MSID_7475</t>
  </si>
  <si>
    <t>MSID_7476</t>
  </si>
  <si>
    <t>MSID_7477</t>
  </si>
  <si>
    <t>2380002878686
2390000297630</t>
  </si>
  <si>
    <t>2394200239219
2394300297624</t>
  </si>
  <si>
    <t>MSID_7588</t>
  </si>
  <si>
    <t>MSID_7589</t>
  </si>
  <si>
    <t>EHV Site Specific (LLFC 750)</t>
  </si>
  <si>
    <t>EHV Site Specific (LLFC 751)</t>
  </si>
  <si>
    <t>EHV Site Specific (LLFC 753 &amp; 90)</t>
  </si>
  <si>
    <t>EHV Site Specific (LLFC 754 &amp; 82)</t>
  </si>
  <si>
    <t>EHV Site Specific (LLFC 755 &amp; 76)</t>
  </si>
  <si>
    <t>EHV Site Specific (LLFC 756 &amp; 75)</t>
  </si>
  <si>
    <t>EHV Site Specific (LLFC 757 &amp; 95)</t>
  </si>
  <si>
    <t>EHV Site Specific (LLFC 804 &amp; 800)</t>
  </si>
  <si>
    <t>EHV Site Specific (LLFC 760 &amp; 60)</t>
  </si>
  <si>
    <t>EHV Site Specific (LLFC 761)</t>
  </si>
  <si>
    <t>EHV Site Specific (LLFC 762 &amp; 62)</t>
  </si>
  <si>
    <t>EHV Site Specific (LLFC 763 &amp; 80)</t>
  </si>
  <si>
    <t>EHV Site Specific (LLFC 764)</t>
  </si>
  <si>
    <t>EHV Site Specific (LLFC 765)</t>
  </si>
  <si>
    <t>EHV Site Specific (LLFC 766 &amp; 66)</t>
  </si>
  <si>
    <t>EHV Site Specific (LLFC 769 &amp; 128)</t>
  </si>
  <si>
    <t>EHV Site Specific (LLFC 771 &amp; 92)</t>
  </si>
  <si>
    <t>EHV Site Specific (LLFC 772)</t>
  </si>
  <si>
    <t>EHV Site Specific (LLFC 773 &amp; 65)</t>
  </si>
  <si>
    <t>EHV Site Specific (LLFC 774 &amp; 74)</t>
  </si>
  <si>
    <t>EHV Site Specific (LLFC 775 &amp; 87)</t>
  </si>
  <si>
    <t>EHV Site Specific (LLFC 777 &amp; 77)</t>
  </si>
  <si>
    <t>EHV Site Specific (LLFC 778 &amp; 78)</t>
  </si>
  <si>
    <t>EHV Site Specific (LLFC 780)</t>
  </si>
  <si>
    <t>EHV Site Specific (LLFC 782)</t>
  </si>
  <si>
    <t>EHV Site Specific (LLFC 783 &amp; 83)</t>
  </si>
  <si>
    <t>EHV Site Specific (LLFC 784 &amp; 84)</t>
  </si>
  <si>
    <t>EHV Site Specific (LLFC 785 &amp; 85)</t>
  </si>
  <si>
    <t>EHV Site Specific (LLFC 786 &amp; 86)</t>
  </si>
  <si>
    <t>EHV Site Specific (LLFC 787 &amp; 129)</t>
  </si>
  <si>
    <t>EHV Site Specific (LLFC 788 &amp; 88)</t>
  </si>
  <si>
    <t>EHV Site Specific (LLFC 789 &amp; 89)</t>
  </si>
  <si>
    <t>EHV Site Specific (LLFC 790 &amp; 94)</t>
  </si>
  <si>
    <t>EHV Site Specific (LLFC 791 &amp; 93)</t>
  </si>
  <si>
    <t>EHV Site Specific (LLFC 793 &amp; 91)</t>
  </si>
  <si>
    <t>EHV Site Specific (LLFC 794 &amp; 97)</t>
  </si>
  <si>
    <t>EHV Site Specific (LLFC 795)</t>
  </si>
  <si>
    <t>EHV Site Specific (LLFC 796 &amp; 98)</t>
  </si>
  <si>
    <t>EHV Site Specific (LLFC 831)</t>
  </si>
  <si>
    <t>EHV Site Specific (LLFC 832)</t>
  </si>
  <si>
    <t>EHV Site Specific (LLFC 833)</t>
  </si>
  <si>
    <t>EHV Site Specific (LLFC 834)</t>
  </si>
  <si>
    <t>EHV Site Specific (LLFC 835)</t>
  </si>
  <si>
    <t>EHV Site Specific (LLFC 836)</t>
  </si>
  <si>
    <t>EHV Site Specific (LLFC 837 &amp; 34)</t>
  </si>
  <si>
    <t>EHV Site Specific (LLFC 838)</t>
  </si>
  <si>
    <t>EHV Site Specific (LLFC 839 &amp; 68)</t>
  </si>
  <si>
    <t>EHV Site Specific (LLFC 840)</t>
  </si>
  <si>
    <t>EHV Site Specific (LLFC 841)</t>
  </si>
  <si>
    <t>EHV Site Specific (LLFC 842)</t>
  </si>
  <si>
    <t>EHV Site Specific (LLFC 844)</t>
  </si>
  <si>
    <t>EHV Site Specific (LLFC 845)</t>
  </si>
  <si>
    <t>EHV Site Specific (LLFC 846)</t>
  </si>
  <si>
    <t>EHV Site Specific (LLFC 847)</t>
  </si>
  <si>
    <t>EHV Site Specific (LLFC 848)</t>
  </si>
  <si>
    <t>EHV Site Specific (LLFC 849)</t>
  </si>
  <si>
    <t>EHV Site Specific (LLFC 850)</t>
  </si>
  <si>
    <t>EHV Site Specific (LLFC 851)</t>
  </si>
  <si>
    <t>EHV Site Specific (LLFC 852 &amp; 71)</t>
  </si>
  <si>
    <t>EHV Site Specific (LLFC 853)</t>
  </si>
  <si>
    <t>EHV Site Specific (LLFC 854 &amp; 72)</t>
  </si>
  <si>
    <t>EHV Site Specific (LLFC 855)</t>
  </si>
  <si>
    <t>EHV Site Specific (LLFC 856)</t>
  </si>
  <si>
    <t>EHV Site Specific (LLFC 857)</t>
  </si>
  <si>
    <t>EHV Site Specific (LLFC 858)</t>
  </si>
  <si>
    <t>EHV Site Specific (LLFC 859)</t>
  </si>
  <si>
    <t>EHV Site Specific (LLFC 861)</t>
  </si>
  <si>
    <t>EHV Site Specific (LLFC 862)</t>
  </si>
  <si>
    <t>EHV Site Specific (LLFC 863)</t>
  </si>
  <si>
    <t>EHV Site Specific (LLFC 865)</t>
  </si>
  <si>
    <t>EHV Site Specific (LLFC 867)</t>
  </si>
  <si>
    <t>EHV Site Specific (LLFC 868)</t>
  </si>
  <si>
    <t>EHV Site Specific (LLFC 869)</t>
  </si>
  <si>
    <t>EHV Site Specific (LLFC 870 &amp; 36)</t>
  </si>
  <si>
    <t>EHV Site Specific (LLFC 871)</t>
  </si>
  <si>
    <t>EHV Site Specific (LLFC 872)</t>
  </si>
  <si>
    <t>EHV Site Specific (LLFC 873)</t>
  </si>
  <si>
    <t>EHV Site Specific (LLFC 874 &amp; 32)</t>
  </si>
  <si>
    <t>EHV Site Specific (LLFC 875)</t>
  </si>
  <si>
    <t>EHV Site Specific (LLFC 876)</t>
  </si>
  <si>
    <t>EHV Site Specific (LLFC 877)</t>
  </si>
  <si>
    <t>EHV Site Specific (LLFC 880)</t>
  </si>
  <si>
    <t>EHV Site Specific (LLFC 881)</t>
  </si>
  <si>
    <t>EHV Site Specific (LLFC 882 &amp; 69)</t>
  </si>
  <si>
    <t>EHV Site Specific (LLFC 883)</t>
  </si>
  <si>
    <t>EHV Site Specific (LLFC 884)</t>
  </si>
  <si>
    <t>EHV Site Specific (LLFC 886)</t>
  </si>
  <si>
    <t>EHV Site Specific (LLFC 888)</t>
  </si>
  <si>
    <t>EHV Site Specific (LLFC 797 &amp; 99)</t>
  </si>
  <si>
    <t>EHV Site Specific (LLFC 798 &amp; 61)</t>
  </si>
  <si>
    <t>EHV Site Specific (LLFC 799 &amp; 51)</t>
  </si>
  <si>
    <t>EHV Site Specific (LLFC 821 &amp; 52)</t>
  </si>
  <si>
    <t>EHV Site Specific (LLFC 822 &amp; 53)</t>
  </si>
  <si>
    <t>EHV Site Specific (LLFC 823 &amp; 54)</t>
  </si>
  <si>
    <t>EHV Site Specific (LLFC 824 &amp; 55)</t>
  </si>
  <si>
    <t>EHV Site Specific (LLFC 826 &amp; 57)</t>
  </si>
  <si>
    <t>EHV Site Specific (LLFC 866)</t>
  </si>
  <si>
    <t>EHV Site Specific (LLFC 827 &amp; 58)</t>
  </si>
  <si>
    <t>EHV Site Specific (LLFC 768 &amp; 59)</t>
  </si>
  <si>
    <t>EHV Site Specific (LLFC 801 &amp; 105)</t>
  </si>
  <si>
    <t>EHV Site Specific (LLFC 792 &amp; 96)</t>
  </si>
  <si>
    <t>EHV Site Specific (LLFC 806 &amp; 109)</t>
  </si>
  <si>
    <t>EHV Site Specific (LLFC 803 &amp; 107)</t>
  </si>
  <si>
    <t>EHV Site Specific (LLFC 805 &amp; 108)</t>
  </si>
  <si>
    <t>EHV Site Specific (LLFC 825 &amp; 56)</t>
  </si>
  <si>
    <t>EHV Site Specific (LLFC 802 &amp; 106)</t>
  </si>
  <si>
    <t>EHV Site Specific (LLFC 807 &amp; 63)</t>
  </si>
  <si>
    <t>EHV Site Specific (LLFC 810 &amp; 110)</t>
  </si>
  <si>
    <t>EHV Site Specific (LLFC 885 &amp; 31)</t>
  </si>
  <si>
    <t>EHV Site Specific (LLFC 829 &amp; 43)</t>
  </si>
  <si>
    <t>EHV Site Specific (LLFC 830 &amp; 44)</t>
  </si>
  <si>
    <t>EHV Site Specific (LLFC 727 &amp; 46)</t>
  </si>
  <si>
    <t>EHV Site Specific (LLFC 728 &amp; 47)</t>
  </si>
  <si>
    <t>EHV Site Specific (LLFC 729 &amp; 48)</t>
  </si>
  <si>
    <t>EHV Site Specific (LLFC 730 &amp; 49)</t>
  </si>
  <si>
    <t>EHV Site Specific (LLFC 809 &amp; 64)</t>
  </si>
  <si>
    <t>EHV Site Specific (LLFC 731 &amp; 50)</t>
  </si>
  <si>
    <t>EHV Site Specific (LLFC 732 &amp; 114)</t>
  </si>
  <si>
    <t>EHV Site Specific (LLFC 733 &amp; 115)</t>
  </si>
  <si>
    <t>EHV Site Specific (LLFC 734 &amp; 116)</t>
  </si>
  <si>
    <t>EHV Site Specific (LLFC 735 &amp; 117)</t>
  </si>
  <si>
    <t>EHV Site Specific (LLFC 736 &amp; 118)</t>
  </si>
  <si>
    <t>EHV Site Specific (LLFC 738 &amp; 124)</t>
  </si>
  <si>
    <t>EHV Site Specific (LLFC 739 &amp; 125)</t>
  </si>
  <si>
    <t>EHV Site Specific (LLFC 737 &amp; 119)</t>
  </si>
  <si>
    <t>EHV Site Specific (LLFC 740 &amp; 126)</t>
  </si>
  <si>
    <t>EHV Site Specific (LLFC 745 &amp; 127)</t>
  </si>
  <si>
    <t>EHV Site Specific (LLFC 892)</t>
  </si>
  <si>
    <t>EHV Site Specific (LLFC 893)</t>
  </si>
  <si>
    <t>EHV Site Specific (LLFC 746 &amp; 511)</t>
  </si>
  <si>
    <t>EHV Site Specific (LLFC 747 &amp; 512)</t>
  </si>
  <si>
    <t>EHV Site Specific (LLFC 748 &amp; 513)</t>
  </si>
  <si>
    <t>EHV Site Specific (LLFC 749 &amp; 514)</t>
  </si>
  <si>
    <t>EHV Site Specific (LLFC 901 &amp; 515)</t>
  </si>
  <si>
    <t>EHV Site Specific (LLFC 902 &amp; 516)</t>
  </si>
  <si>
    <t>EHV Site Specific (LLFC 894)</t>
  </si>
  <si>
    <t>EHV Site Specific (LLFC 903)</t>
  </si>
  <si>
    <t>EHV Site Specific (LLFC 904 &amp; 517)</t>
  </si>
  <si>
    <t>EHV Site Specific (LLFC 905 &amp; 518)</t>
  </si>
  <si>
    <t>EHV Site Specific (LLFC 895)</t>
  </si>
  <si>
    <t>EHV Site Specific (LLFC 906 &amp; 519)</t>
  </si>
  <si>
    <t>EHV Site Specific (LLFC 907 &amp; 520)</t>
  </si>
  <si>
    <t>EHV Site Specific (LLFC 908 &amp; 521)</t>
  </si>
  <si>
    <t>EHV Site Specific (LLFC 909)</t>
  </si>
  <si>
    <t>EHV Site Specific (LLFC 910 &amp; 522)</t>
  </si>
  <si>
    <t>EHV Site Specific (LLFC 916 &amp; 523)</t>
  </si>
  <si>
    <t>EHV Site Specific (LLFC 917 &amp; 524)</t>
  </si>
  <si>
    <t>EHV Site Specific (LLFC 918 &amp; 525)</t>
  </si>
  <si>
    <t>EHV Site Specific (LLFC 919 &amp; 526)</t>
  </si>
  <si>
    <t>EHV Site Specific (LLFC 752)</t>
  </si>
  <si>
    <t>EHV Site Specific (LLFC 920 &amp; 527)</t>
  </si>
  <si>
    <t>EHV Site Specific (LLFC 921 &amp; 528)</t>
  </si>
  <si>
    <t>EHV Site Specific (LLFC 922 &amp; 529)</t>
  </si>
  <si>
    <t>EHV Site Specific (LLFC 946 &amp; 551)</t>
  </si>
  <si>
    <t>EHV Site Specific (LLFC 923 &amp; 530)</t>
  </si>
  <si>
    <t>EHV Site Specific (LLFC 924)</t>
  </si>
  <si>
    <t>EHV Site Specific (LLFC 947 &amp; 552)</t>
  </si>
  <si>
    <t>EHV Site Specific (LLFC 948 &amp; 553)</t>
  </si>
  <si>
    <t>EHV Site Specific (LLFC 925 &amp; 531)</t>
  </si>
  <si>
    <t>EHV Site Specific (LLFC 926 &amp; 532)</t>
  </si>
  <si>
    <t>EHV Site Specific (LLFC 927 &amp; 533)</t>
  </si>
  <si>
    <t>EHV Site Specific (LLFC 928 &amp; 534)</t>
  </si>
  <si>
    <t>EHV Site Specific (LLFC 929 &amp; 535)</t>
  </si>
  <si>
    <t>EHV Site Specific (LLFC 930 &amp; 536)</t>
  </si>
  <si>
    <t>EHV Site Specific (LLFC 931 &amp; 537)</t>
  </si>
  <si>
    <t>EHV Site Specific (LLFC 932 &amp; 538)</t>
  </si>
  <si>
    <t>EHV Site Specific (LLFC 933 &amp; 539)</t>
  </si>
  <si>
    <t>EHV Site Specific (LLFC 725 &amp; 510)</t>
  </si>
  <si>
    <t>Monday – Friday 
(Apr – Oct)</t>
  </si>
  <si>
    <t>Monday – Friday 
(Nov – Feb)</t>
  </si>
  <si>
    <t>Monday – Friday 
(Mar)</t>
  </si>
  <si>
    <t>Low Voltage Network</t>
  </si>
  <si>
    <t>Low Voltage Substation</t>
  </si>
  <si>
    <t>High Voltage Network</t>
  </si>
  <si>
    <t>High Voltage Substation</t>
  </si>
  <si>
    <t>Greater than 22kV connected - generation</t>
  </si>
  <si>
    <t>Greater than 22kV connected - demand</t>
  </si>
  <si>
    <t>Designated EHV site specific LLFs</t>
  </si>
  <si>
    <t>Site 1</t>
  </si>
  <si>
    <t>Site 2</t>
  </si>
  <si>
    <t>Site 3</t>
  </si>
  <si>
    <t>Site 4</t>
  </si>
  <si>
    <t>Site 5</t>
  </si>
  <si>
    <t>Site 6</t>
  </si>
  <si>
    <t>Site 7</t>
  </si>
  <si>
    <t>Site 8</t>
  </si>
  <si>
    <t>Site 9</t>
  </si>
  <si>
    <t>Site 10</t>
  </si>
  <si>
    <t>Site 11</t>
  </si>
  <si>
    <t>Site 12</t>
  </si>
  <si>
    <t>Site 13</t>
  </si>
  <si>
    <t>Site 14</t>
  </si>
  <si>
    <t>Site 15</t>
  </si>
  <si>
    <t>Site 16</t>
  </si>
  <si>
    <t>Site 17</t>
  </si>
  <si>
    <t>Site 18</t>
  </si>
  <si>
    <t>Site 19</t>
  </si>
  <si>
    <t>Site 20</t>
  </si>
  <si>
    <t>Site 21</t>
  </si>
  <si>
    <t>Site 22</t>
  </si>
  <si>
    <t>Site 23</t>
  </si>
  <si>
    <t>Site 24</t>
  </si>
  <si>
    <t>Site 25</t>
  </si>
  <si>
    <t>Site 26</t>
  </si>
  <si>
    <t>Site 27</t>
  </si>
  <si>
    <t>Site 28</t>
  </si>
  <si>
    <t>Site 29</t>
  </si>
  <si>
    <t>Site 30</t>
  </si>
  <si>
    <t>Site 31</t>
  </si>
  <si>
    <t>Site 32</t>
  </si>
  <si>
    <t>Site 33</t>
  </si>
  <si>
    <t>Site 34</t>
  </si>
  <si>
    <t>Site 35</t>
  </si>
  <si>
    <t>Site 36</t>
  </si>
  <si>
    <t>Site 37</t>
  </si>
  <si>
    <t>Site 38</t>
  </si>
  <si>
    <t>Site 39</t>
  </si>
  <si>
    <t>Site 40</t>
  </si>
  <si>
    <t>Site 41</t>
  </si>
  <si>
    <t>Site 42</t>
  </si>
  <si>
    <t>Site 43</t>
  </si>
  <si>
    <t>Site 44</t>
  </si>
  <si>
    <t>Site 45</t>
  </si>
  <si>
    <t>Site 46</t>
  </si>
  <si>
    <t>Site 47</t>
  </si>
  <si>
    <t>Site 48</t>
  </si>
  <si>
    <t>Site 49</t>
  </si>
  <si>
    <t>Site 50</t>
  </si>
  <si>
    <t>Site 51</t>
  </si>
  <si>
    <t>Site 52</t>
  </si>
  <si>
    <t>Site 53</t>
  </si>
  <si>
    <t>Site 54</t>
  </si>
  <si>
    <t>Site 55</t>
  </si>
  <si>
    <t>Site 56</t>
  </si>
  <si>
    <t>Site 57</t>
  </si>
  <si>
    <t>Site 58</t>
  </si>
  <si>
    <t>Site 59</t>
  </si>
  <si>
    <t>Site 60</t>
  </si>
  <si>
    <t>Site 61</t>
  </si>
  <si>
    <t>Site 62</t>
  </si>
  <si>
    <t>Site 63</t>
  </si>
  <si>
    <t>Site 64</t>
  </si>
  <si>
    <t>Site 65</t>
  </si>
  <si>
    <t>Site 66</t>
  </si>
  <si>
    <t>Site 67</t>
  </si>
  <si>
    <t>Site 68</t>
  </si>
  <si>
    <t>Site 69</t>
  </si>
  <si>
    <t>Site 70</t>
  </si>
  <si>
    <t>Site 71</t>
  </si>
  <si>
    <t>Site 72</t>
  </si>
  <si>
    <t>Site 73</t>
  </si>
  <si>
    <t>Site 74</t>
  </si>
  <si>
    <t>Site 75</t>
  </si>
  <si>
    <t>Site 76</t>
  </si>
  <si>
    <t>Site 77</t>
  </si>
  <si>
    <t>Site 78</t>
  </si>
  <si>
    <t>Site 79</t>
  </si>
  <si>
    <t>Site 80</t>
  </si>
  <si>
    <t>Site 81</t>
  </si>
  <si>
    <t>Site 82</t>
  </si>
  <si>
    <t>Site 83</t>
  </si>
  <si>
    <t>Site 84</t>
  </si>
  <si>
    <t>Site 85</t>
  </si>
  <si>
    <t>Site 86</t>
  </si>
  <si>
    <t>Site 87</t>
  </si>
  <si>
    <t>Site 88</t>
  </si>
  <si>
    <t>Site 89</t>
  </si>
  <si>
    <t>Site 90</t>
  </si>
  <si>
    <t>Site 91</t>
  </si>
  <si>
    <t>Site 92</t>
  </si>
  <si>
    <t>Site 93</t>
  </si>
  <si>
    <t>Site 94</t>
  </si>
  <si>
    <t>Site 95</t>
  </si>
  <si>
    <t>Site 96</t>
  </si>
  <si>
    <t>Site 97</t>
  </si>
  <si>
    <t>Site 98</t>
  </si>
  <si>
    <t>Site 99</t>
  </si>
  <si>
    <t>Site 100</t>
  </si>
  <si>
    <t>Site 101</t>
  </si>
  <si>
    <t>Site 102</t>
  </si>
  <si>
    <t>Site 103</t>
  </si>
  <si>
    <t>Site 104</t>
  </si>
  <si>
    <t>Site 105</t>
  </si>
  <si>
    <t>Site 106</t>
  </si>
  <si>
    <t>Site 107</t>
  </si>
  <si>
    <t>Site 108</t>
  </si>
  <si>
    <t>Site 109</t>
  </si>
  <si>
    <t>Site 110</t>
  </si>
  <si>
    <t>Site 111</t>
  </si>
  <si>
    <t>Site 112</t>
  </si>
  <si>
    <t>100, 111, 120, 1A, 1AH, 20, 22, 222, 224, 24, 279, 2A, 2AH, 2B, 2BH, 2C, 2CH, 2D, 2DH, 2Z, 2ZH, 3A, 4A, 5A, 5B, 5C, 5D, 5Z, 8A, 995, 999</t>
  </si>
  <si>
    <t>223, 225, 23, 25, 30, 6A, 6B, 6C, 6D, 6Z</t>
  </si>
  <si>
    <t>226, 228, 26, 28, 7A, 7B, 7C, 7D, 7Z</t>
  </si>
  <si>
    <t>31, 32, 34, 36, 37, 38, 39, 68, 69, 71, 72, 831, 832, 833, 834, 835, 836, 837, 838, 839, 840, 841, 842, 844, 845, 846, 847, 848, 849, 850, 851, 852, 853, 854, 855, 856, 858, 859, 861, 862, 863, 865, 866, 867, 868, 869, 870, 871, 872, 873, 874, 875, 876, 877, 880, 881, 882, 883, 884, 885, 886, 888, 892, 893, 894, 895, 896, 897, 898, 899, 900</t>
  </si>
  <si>
    <t>699, 700, 701, 702, 703, 704, 705, 706, 707, 708, 709, 710, 711, 712, 713, 714, 715, 716, 717, 718, 719, 720, 721, 722, 723, 724, 818, 819, 820, 911, 914, 915, 934, 935, 936, 937, 938, 939, 940, 941, 942, 943, 944, 945, 949, 950, 951, 952, 953, 954, 955, 956, 957, 958, 959, 960, 961, 962, 963, 964, 965, 966, 967, 968, 969, 970, 971, 972, 973, 974, 975, 976, 977, 978, 979, 980, 981, 982, 983, 984, 985, 986, 987, 988, 989, 990, 994, ME1, MX1</t>
  </si>
  <si>
    <t>129, 455, 456, 457, 458, 459, 460, 461, 462, 463, 464, 465, 466, 467, 468, 469, 470, 473, 474, 475, 476, 477, 478, 479, 482, 483, 484, 485, 486, 487, 488, 489, 490, 491, 492, 493, 494, 495, 496, 497, 498, 499, 503, 504, 505, 506, 507, 508, 509, 540, 541, 542, 543, 544, 545, 546, 547, 548, 549, 550, 554, 555, 556, 557, 558, 559, 560, 561, 562, 563, 564, 565, 566, 567, 568, 569, 570, 571, 572, 573, 574, 575, 576, 577, 578, 579, 582, ME2, MX2</t>
  </si>
  <si>
    <t>00:00 – 07:00</t>
  </si>
  <si>
    <t>07:00 – 24:00</t>
  </si>
  <si>
    <t>16:00 – 19:00</t>
  </si>
  <si>
    <t>07:00 – 16:00 
19:00 – 20:00</t>
  </si>
  <si>
    <t>20:00 – 24:00</t>
  </si>
  <si>
    <t>Saturday and Sunday 
(All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</si>
</sst>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
    <numFmt numFmtId="173" formatCode="0.000_ ;[Red]\-0.000\ "/>
    <numFmt numFmtId="174" formatCode="0.00;[Red]\-0.00;?;"/>
    <numFmt numFmtId="175" formatCode="#,##0;\-#,##0;;"/>
    <numFmt numFmtId="176" formatCode="#,##0;[Red]\-#,##0;;"/>
    <numFmt numFmtId="177" formatCode="0.000;[Red]\-0.000;?;"/>
    <numFmt numFmtId="178" formatCode=";;"/>
    <numFmt numFmtId="179" formatCode="0;;"/>
    <numFmt numFmtId="180" formatCode="_(???,??0.000_);\(???,??0.000\);"/>
    <numFmt numFmtId="181" formatCode="_(???,??0.00_);\(???,??0.00\);"/>
    <numFmt numFmtId="182" formatCode="\ _(???,???,??0.000_);[Red]\ \(???,???,??0.000\);;@"/>
    <numFmt numFmtId="183" formatCode="0.000_ ;\-0.000\ "/>
    <numFmt numFmtId="184" formatCode="0.000;\(0.000\);"/>
    <numFmt numFmtId="185" formatCode="0.00;\(0.00\);"/>
    <numFmt numFmtId="186" formatCode="&quot;£&quot;#,##0.00"/>
  </numFmts>
  <fonts count="41" x14ac:knownFonts="1">
    <font>
      <sz val="10"/>
      <name val="Arial"/>
    </font>
    <font>
      <sz val="11"/>
      <color theme="1"/>
      <name val="Calibri"/>
      <family val="2"/>
      <scheme val="minor"/>
    </font>
    <font>
      <sz val="10"/>
      <color theme="1"/>
      <name val="Arial"/>
      <family val="2"/>
    </font>
    <font>
      <sz val="10"/>
      <color indexed="8"/>
      <name val="Arial"/>
      <family val="2"/>
    </font>
    <font>
      <sz val="8"/>
      <name val="Arial"/>
      <family val="2"/>
    </font>
    <font>
      <sz val="10"/>
      <name val="Arial"/>
      <family val="2"/>
    </font>
    <font>
      <b/>
      <sz val="10"/>
      <name val="Arial"/>
      <family val="2"/>
    </font>
    <font>
      <b/>
      <sz val="11"/>
      <color theme="3"/>
      <name val="Arial"/>
      <family val="2"/>
    </font>
    <font>
      <sz val="9"/>
      <color rgb="FF3F3F76"/>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sz val="10"/>
      <color theme="0"/>
      <name val="Arial"/>
      <family val="2"/>
    </font>
    <font>
      <b/>
      <sz val="12"/>
      <color theme="3"/>
      <name val="Arial"/>
      <family val="2"/>
    </font>
    <font>
      <sz val="12"/>
      <name val="Arial"/>
      <family val="2"/>
    </font>
    <font>
      <sz val="11"/>
      <color theme="1"/>
      <name val="Calibri"/>
      <family val="2"/>
      <scheme val="minor"/>
    </font>
    <font>
      <sz val="11"/>
      <color theme="3"/>
      <name val="Arial"/>
      <family val="2"/>
    </font>
    <font>
      <sz val="10"/>
      <color rgb="FF9C6500"/>
      <name val="Arial"/>
      <family val="2"/>
    </font>
    <font>
      <b/>
      <sz val="18"/>
      <name val="Arial"/>
      <family val="2"/>
    </font>
    <font>
      <sz val="9"/>
      <name val="Trebuchet MS"/>
      <family val="2"/>
    </font>
    <font>
      <sz val="10"/>
      <name val="Trebuchet MS"/>
      <family val="2"/>
    </font>
    <font>
      <u/>
      <sz val="10"/>
      <color theme="10"/>
      <name val="Trebuchet MS"/>
      <family val="2"/>
    </font>
    <font>
      <sz val="10"/>
      <color rgb="FF9C6500"/>
      <name val="Trebuchet MS"/>
      <family val="2"/>
    </font>
    <font>
      <b/>
      <sz val="14"/>
      <color theme="3"/>
      <name val="Trebuchet MS"/>
      <family val="2"/>
    </font>
    <font>
      <b/>
      <sz val="10"/>
      <name val="Trebuchet MS"/>
      <family val="2"/>
    </font>
    <font>
      <b/>
      <sz val="10"/>
      <color theme="0"/>
      <name val="Trebuchet MS"/>
      <family val="2"/>
    </font>
    <font>
      <b/>
      <sz val="11"/>
      <name val="Trebuchet MS"/>
      <family val="2"/>
    </font>
    <font>
      <b/>
      <sz val="11"/>
      <color theme="0"/>
      <name val="Trebuchet MS"/>
      <family val="2"/>
    </font>
    <font>
      <sz val="14"/>
      <name val="Trebuchet MS"/>
      <family val="2"/>
    </font>
    <font>
      <b/>
      <sz val="10"/>
      <color indexed="8"/>
      <name val="Trebuchet MS"/>
      <family val="2"/>
    </font>
    <font>
      <sz val="10"/>
      <color rgb="FFCCFFCC"/>
      <name val="Trebuchet MS"/>
      <family val="2"/>
    </font>
    <font>
      <sz val="10"/>
      <color indexed="8"/>
      <name val="Trebuchet MS"/>
      <family val="2"/>
    </font>
    <font>
      <b/>
      <sz val="11"/>
      <color indexed="8"/>
      <name val="Trebuchet MS"/>
      <family val="2"/>
    </font>
    <font>
      <sz val="11"/>
      <name val="Trebuchet MS"/>
      <family val="2"/>
    </font>
    <font>
      <b/>
      <sz val="8"/>
      <name val="Trebuchet MS"/>
      <family val="2"/>
    </font>
    <font>
      <sz val="8"/>
      <name val="Trebuchet MS"/>
      <family val="2"/>
    </font>
    <font>
      <sz val="8"/>
      <name val="Arial"/>
      <family val="2"/>
    </font>
    <font>
      <sz val="8"/>
      <name val="Arial"/>
      <family val="2"/>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rgb="FFCCFFFF"/>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9">
    <xf numFmtId="0" fontId="0" fillId="0" borderId="0"/>
    <xf numFmtId="0" fontId="3" fillId="0" borderId="0"/>
    <xf numFmtId="0" fontId="7" fillId="0" borderId="0" applyNumberFormat="0" applyFill="0" applyBorder="0" applyAlignment="0" applyProtection="0"/>
    <xf numFmtId="0" fontId="8" fillId="5" borderId="6" applyNumberFormat="0" applyAlignment="0" applyProtection="0"/>
    <xf numFmtId="0" fontId="9" fillId="0" borderId="0" applyNumberFormat="0" applyFill="0" applyBorder="0" applyAlignment="0" applyProtection="0">
      <alignment vertical="top"/>
      <protection locked="0"/>
    </xf>
    <xf numFmtId="0" fontId="13" fillId="0" borderId="8" applyNumberFormat="0" applyFill="0" applyAlignment="0" applyProtection="0"/>
    <xf numFmtId="0" fontId="7" fillId="0" borderId="9" applyNumberFormat="0" applyFill="0" applyAlignment="0" applyProtection="0"/>
    <xf numFmtId="0" fontId="5" fillId="0" borderId="0"/>
    <xf numFmtId="43" fontId="5" fillId="0" borderId="0" applyFont="0" applyFill="0" applyBorder="0" applyAlignment="0" applyProtection="0"/>
    <xf numFmtId="0" fontId="15" fillId="24" borderId="0" applyNumberFormat="0" applyBorder="0" applyAlignment="0" applyProtection="0"/>
    <xf numFmtId="0" fontId="15" fillId="25" borderId="0" applyNumberFormat="0" applyBorder="0" applyAlignment="0" applyProtection="0"/>
    <xf numFmtId="0" fontId="15" fillId="26" borderId="0" applyNumberFormat="0" applyBorder="0" applyAlignment="0" applyProtection="0"/>
    <xf numFmtId="0" fontId="15" fillId="28" borderId="0" applyNumberFormat="0" applyBorder="0" applyAlignment="0" applyProtection="0"/>
    <xf numFmtId="0" fontId="18" fillId="0" borderId="0"/>
    <xf numFmtId="0" fontId="20" fillId="36" borderId="0" applyNumberFormat="0" applyBorder="0" applyAlignment="0" applyProtection="0"/>
    <xf numFmtId="0" fontId="1" fillId="0" borderId="0" applyNumberFormat="0" applyFill="0" applyBorder="0" applyAlignment="0" applyProtection="0">
      <alignment horizontal="left"/>
    </xf>
    <xf numFmtId="0" fontId="2" fillId="6" borderId="0" applyNumberFormat="0" applyBorder="0" applyAlignment="0" applyProtection="0"/>
    <xf numFmtId="0" fontId="2" fillId="27" borderId="0" applyNumberFormat="0" applyBorder="0" applyAlignment="0" applyProtection="0"/>
    <xf numFmtId="0" fontId="20" fillId="36" borderId="0" applyNumberFormat="0" applyBorder="0" applyAlignment="0" applyProtection="0"/>
  </cellStyleXfs>
  <cellXfs count="270">
    <xf numFmtId="0" fontId="0" fillId="0" borderId="0" xfId="0"/>
    <xf numFmtId="0" fontId="0" fillId="0" borderId="0" xfId="0" applyProtection="1">
      <protection locked="0"/>
    </xf>
    <xf numFmtId="49" fontId="11" fillId="5" borderId="6" xfId="3" applyNumberFormat="1" applyFont="1" applyAlignment="1" applyProtection="1">
      <alignment horizontal="center" vertical="center" wrapText="1"/>
      <protection locked="0"/>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0" fontId="6" fillId="7" borderId="1" xfId="7" applyFont="1" applyFill="1" applyBorder="1" applyAlignment="1">
      <alignment horizontal="center" vertical="center" wrapText="1"/>
    </xf>
    <xf numFmtId="0" fontId="5" fillId="0" borderId="0" xfId="0" applyFont="1" applyProtection="1">
      <protection locked="0"/>
    </xf>
    <xf numFmtId="49" fontId="7" fillId="6" borderId="0" xfId="2" quotePrefix="1" applyNumberFormat="1" applyFill="1" applyAlignment="1" applyProtection="1">
      <alignment horizontal="left" vertical="center" wrapText="1"/>
      <protection locked="0"/>
    </xf>
    <xf numFmtId="49" fontId="7" fillId="6" borderId="0" xfId="2" applyNumberFormat="1" applyFill="1" applyAlignment="1" applyProtection="1">
      <alignment vertical="center" wrapText="1"/>
      <protection locked="0"/>
    </xf>
    <xf numFmtId="49" fontId="13" fillId="0" borderId="0" xfId="5" applyNumberFormat="1" applyBorder="1" applyAlignment="1" applyProtection="1">
      <alignment vertical="center"/>
      <protection locked="0"/>
    </xf>
    <xf numFmtId="49" fontId="7" fillId="6" borderId="0" xfId="2" applyNumberFormat="1" applyFill="1" applyBorder="1" applyAlignment="1" applyProtection="1">
      <alignment vertical="center" wrapText="1"/>
      <protection locked="0"/>
    </xf>
    <xf numFmtId="49" fontId="7" fillId="0" borderId="0" xfId="6" applyNumberFormat="1" applyBorder="1" applyAlignment="1" applyProtection="1">
      <alignment vertical="center"/>
      <protection locked="0"/>
    </xf>
    <xf numFmtId="49" fontId="7" fillId="0" borderId="0" xfId="6" quotePrefix="1" applyNumberFormat="1" applyBorder="1" applyAlignment="1" applyProtection="1">
      <alignment horizontal="left" vertical="center"/>
      <protection locked="0"/>
    </xf>
    <xf numFmtId="0" fontId="9" fillId="0" borderId="0" xfId="4" applyAlignment="1" applyProtection="1">
      <alignment horizontal="left" vertical="top"/>
    </xf>
    <xf numFmtId="14" fontId="5" fillId="0" borderId="0" xfId="7" applyNumberFormat="1"/>
    <xf numFmtId="0" fontId="5" fillId="0" borderId="0" xfId="7" quotePrefix="1" applyAlignment="1">
      <alignment horizontal="left"/>
    </xf>
    <xf numFmtId="0" fontId="9" fillId="0" borderId="0" xfId="4" applyAlignment="1" applyProtection="1"/>
    <xf numFmtId="0" fontId="5" fillId="30" borderId="0" xfId="7" applyFill="1" applyAlignment="1">
      <alignment horizontal="left"/>
    </xf>
    <xf numFmtId="0" fontId="5" fillId="11" borderId="1" xfId="12" applyFont="1" applyFill="1" applyBorder="1" applyAlignment="1" applyProtection="1">
      <alignment vertical="center"/>
      <protection locked="0"/>
    </xf>
    <xf numFmtId="175" fontId="5" fillId="32" borderId="1" xfId="10" applyNumberFormat="1" applyFont="1" applyFill="1" applyBorder="1" applyAlignment="1" applyProtection="1">
      <alignment vertical="center"/>
      <protection locked="0"/>
    </xf>
    <xf numFmtId="175" fontId="5" fillId="35" borderId="1" xfId="10" applyNumberFormat="1" applyFont="1" applyFill="1" applyBorder="1" applyAlignment="1" applyProtection="1">
      <alignment vertical="center"/>
      <protection locked="0"/>
    </xf>
    <xf numFmtId="0" fontId="0" fillId="2" borderId="0" xfId="0" applyFill="1" applyAlignment="1">
      <alignment vertical="center"/>
    </xf>
    <xf numFmtId="0" fontId="12" fillId="0" borderId="0" xfId="2"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6" fillId="7" borderId="5" xfId="0" applyFont="1" applyFill="1" applyBorder="1" applyAlignment="1">
      <alignment horizontal="left" vertical="center" wrapText="1"/>
    </xf>
    <xf numFmtId="0" fontId="5" fillId="11" borderId="1" xfId="9" quotePrefix="1" applyFont="1" applyFill="1" applyBorder="1" applyAlignment="1" applyProtection="1">
      <alignment horizontal="center" vertical="center" wrapText="1"/>
    </xf>
    <xf numFmtId="0" fontId="5" fillId="33" borderId="1" xfId="11" quotePrefix="1" applyFont="1" applyFill="1" applyBorder="1" applyAlignment="1" applyProtection="1">
      <alignment horizontal="center" vertical="center" wrapText="1"/>
    </xf>
    <xf numFmtId="0" fontId="6" fillId="7" borderId="1" xfId="0" applyFont="1" applyFill="1" applyBorder="1" applyAlignment="1">
      <alignment horizontal="left" vertical="center" wrapText="1"/>
    </xf>
    <xf numFmtId="0" fontId="5" fillId="11" borderId="1" xfId="12" applyFont="1" applyFill="1" applyBorder="1" applyAlignment="1" applyProtection="1">
      <alignment vertical="center" wrapText="1"/>
    </xf>
    <xf numFmtId="0" fontId="5" fillId="29" borderId="1" xfId="12" applyFont="1" applyFill="1" applyBorder="1" applyAlignment="1" applyProtection="1">
      <alignment vertical="center" wrapText="1"/>
    </xf>
    <xf numFmtId="0" fontId="2" fillId="11" borderId="1" xfId="12" applyFont="1" applyFill="1" applyBorder="1" applyAlignment="1" applyProtection="1">
      <alignment vertical="center" wrapText="1"/>
    </xf>
    <xf numFmtId="0" fontId="2" fillId="29" borderId="1" xfId="12" applyFont="1" applyFill="1" applyBorder="1" applyAlignment="1" applyProtection="1">
      <alignment vertical="center" wrapText="1"/>
    </xf>
    <xf numFmtId="0" fontId="5" fillId="7" borderId="1" xfId="0" applyFont="1" applyFill="1" applyBorder="1" applyAlignment="1">
      <alignment horizontal="center" vertical="center" wrapText="1"/>
    </xf>
    <xf numFmtId="176" fontId="5" fillId="32" borderId="1" xfId="10" applyNumberFormat="1" applyFont="1" applyFill="1" applyBorder="1" applyAlignment="1" applyProtection="1">
      <alignment vertical="center"/>
    </xf>
    <xf numFmtId="176" fontId="5" fillId="35" borderId="1" xfId="10" applyNumberFormat="1" applyFont="1" applyFill="1" applyBorder="1" applyAlignment="1" applyProtection="1">
      <alignment vertical="center"/>
    </xf>
    <xf numFmtId="49" fontId="5" fillId="11" borderId="1" xfId="9" quotePrefix="1" applyNumberFormat="1" applyFont="1" applyFill="1" applyBorder="1" applyAlignment="1" applyProtection="1">
      <alignment horizontal="center" vertical="center" wrapText="1"/>
    </xf>
    <xf numFmtId="49" fontId="7" fillId="6" borderId="0" xfId="2" applyNumberFormat="1" applyFill="1" applyAlignment="1" applyProtection="1">
      <alignment horizontal="center" vertical="center" wrapText="1"/>
      <protection locked="0"/>
    </xf>
    <xf numFmtId="49" fontId="7" fillId="6" borderId="0" xfId="2" quotePrefix="1" applyNumberFormat="1" applyFill="1" applyAlignment="1" applyProtection="1">
      <alignment horizontal="center" vertical="center" wrapText="1"/>
      <protection locked="0"/>
    </xf>
    <xf numFmtId="0" fontId="9" fillId="0" borderId="0" xfId="4" applyFill="1" applyAlignment="1" applyProtection="1">
      <alignment horizontal="left" vertical="center"/>
    </xf>
    <xf numFmtId="49" fontId="13" fillId="0" borderId="0" xfId="5" quotePrefix="1" applyNumberFormat="1" applyBorder="1" applyAlignment="1" applyProtection="1">
      <alignment horizontal="left" vertical="center"/>
      <protection locked="0"/>
    </xf>
    <xf numFmtId="0" fontId="21" fillId="0" borderId="0" xfId="7" applyFont="1"/>
    <xf numFmtId="172" fontId="5" fillId="30" borderId="0" xfId="7" applyNumberFormat="1" applyFill="1" applyAlignment="1">
      <alignment horizontal="left"/>
    </xf>
    <xf numFmtId="0" fontId="5" fillId="30" borderId="0" xfId="7" applyFill="1" applyAlignment="1">
      <alignment horizontal="left" vertical="center"/>
    </xf>
    <xf numFmtId="177" fontId="2" fillId="31" borderId="4" xfId="16" applyNumberFormat="1" applyFill="1" applyBorder="1" applyAlignment="1" applyProtection="1">
      <alignment vertical="center"/>
    </xf>
    <xf numFmtId="177" fontId="2" fillId="31" borderId="1" xfId="16" applyNumberFormat="1" applyFill="1" applyBorder="1" applyAlignment="1" applyProtection="1">
      <alignment vertical="center"/>
    </xf>
    <xf numFmtId="174" fontId="2" fillId="31" borderId="1" xfId="16" applyNumberFormat="1" applyFill="1" applyBorder="1" applyAlignment="1" applyProtection="1">
      <alignment vertical="center"/>
    </xf>
    <xf numFmtId="174" fontId="2" fillId="34" borderId="1" xfId="17" applyNumberFormat="1" applyFill="1" applyBorder="1" applyAlignment="1" applyProtection="1">
      <alignment vertical="center"/>
    </xf>
    <xf numFmtId="175" fontId="2" fillId="31" borderId="1" xfId="16" applyNumberFormat="1" applyFill="1" applyBorder="1" applyAlignment="1" applyProtection="1">
      <alignment vertical="center"/>
      <protection locked="0"/>
    </xf>
    <xf numFmtId="175" fontId="5" fillId="31" borderId="1" xfId="16" applyNumberFormat="1" applyFont="1" applyFill="1" applyBorder="1" applyAlignment="1" applyProtection="1">
      <alignment vertical="center"/>
      <protection locked="0"/>
    </xf>
    <xf numFmtId="175" fontId="5" fillId="34" borderId="1" xfId="16" applyNumberFormat="1" applyFont="1" applyFill="1" applyBorder="1" applyAlignment="1" applyProtection="1">
      <alignment vertical="center"/>
      <protection locked="0"/>
    </xf>
    <xf numFmtId="176" fontId="2" fillId="31" borderId="1" xfId="16" applyNumberFormat="1" applyFill="1" applyBorder="1" applyAlignment="1" applyProtection="1">
      <alignment vertical="center"/>
    </xf>
    <xf numFmtId="176" fontId="2" fillId="34" borderId="1" xfId="16" applyNumberFormat="1" applyFill="1" applyBorder="1" applyAlignment="1" applyProtection="1">
      <alignment vertical="center"/>
    </xf>
    <xf numFmtId="0" fontId="9" fillId="0" borderId="0" xfId="4" applyAlignment="1" applyProtection="1">
      <alignment horizontal="left" vertical="top" wrapText="1"/>
    </xf>
    <xf numFmtId="0" fontId="22" fillId="17" borderId="0" xfId="7" applyFont="1" applyFill="1"/>
    <xf numFmtId="0" fontId="23" fillId="2" borderId="0" xfId="0" applyFont="1" applyFill="1" applyAlignment="1">
      <alignment vertical="center"/>
    </xf>
    <xf numFmtId="0" fontId="24" fillId="2" borderId="0" xfId="4" applyFont="1" applyFill="1" applyAlignment="1" applyProtection="1">
      <alignment vertical="center"/>
      <protection hidden="1"/>
    </xf>
    <xf numFmtId="0" fontId="23" fillId="2" borderId="7" xfId="7" quotePrefix="1" applyFont="1" applyFill="1" applyBorder="1" applyAlignment="1">
      <alignment vertical="center" wrapText="1"/>
    </xf>
    <xf numFmtId="0" fontId="23" fillId="2" borderId="0" xfId="0" applyFont="1" applyFill="1"/>
    <xf numFmtId="0" fontId="26" fillId="17" borderId="0" xfId="2" applyNumberFormat="1" applyFont="1" applyFill="1" applyBorder="1" applyAlignment="1">
      <alignment horizontal="center" vertical="center" wrapText="1"/>
    </xf>
    <xf numFmtId="0" fontId="23" fillId="17" borderId="0" xfId="0" applyFont="1" applyFill="1"/>
    <xf numFmtId="0" fontId="23" fillId="17" borderId="0" xfId="0" applyFont="1" applyFill="1" applyAlignment="1">
      <alignment vertical="center"/>
    </xf>
    <xf numFmtId="0" fontId="23" fillId="2" borderId="0" xfId="0" applyFont="1" applyFill="1" applyAlignment="1">
      <alignment horizontal="center" vertical="center"/>
    </xf>
    <xf numFmtId="2" fontId="23" fillId="2" borderId="0" xfId="0" applyNumberFormat="1" applyFont="1" applyFill="1" applyAlignment="1">
      <alignment horizontal="center" vertical="center"/>
    </xf>
    <xf numFmtId="164" fontId="23" fillId="2" borderId="0" xfId="0" applyNumberFormat="1" applyFont="1" applyFill="1" applyAlignment="1">
      <alignment horizontal="center" vertical="center"/>
    </xf>
    <xf numFmtId="165" fontId="23" fillId="2" borderId="0" xfId="0" applyNumberFormat="1" applyFont="1" applyFill="1" applyAlignment="1">
      <alignment horizontal="center" vertical="center"/>
    </xf>
    <xf numFmtId="0" fontId="24" fillId="2" borderId="0" xfId="4" applyFont="1" applyFill="1" applyAlignment="1" applyProtection="1">
      <alignment vertical="center"/>
    </xf>
    <xf numFmtId="0" fontId="23" fillId="2" borderId="0" xfId="7" applyFont="1" applyFill="1" applyAlignment="1">
      <alignment vertical="center"/>
    </xf>
    <xf numFmtId="0" fontId="31" fillId="2" borderId="0" xfId="7" applyFont="1" applyFill="1" applyAlignment="1">
      <alignment vertical="center"/>
    </xf>
    <xf numFmtId="0" fontId="31" fillId="17" borderId="0" xfId="7" applyFont="1" applyFill="1" applyAlignment="1">
      <alignment vertical="center"/>
    </xf>
    <xf numFmtId="0" fontId="23" fillId="0" borderId="1" xfId="0" applyFont="1" applyBorder="1" applyAlignment="1">
      <alignment horizontal="center" vertical="center" wrapText="1"/>
    </xf>
    <xf numFmtId="0" fontId="27" fillId="7" borderId="1" xfId="7" quotePrefix="1" applyFont="1" applyFill="1" applyBorder="1" applyAlignment="1">
      <alignment horizontal="center" vertical="center" wrapText="1"/>
    </xf>
    <xf numFmtId="0" fontId="27" fillId="7" borderId="1" xfId="7" applyFont="1" applyFill="1" applyBorder="1" applyAlignment="1">
      <alignment horizontal="center" vertical="center" wrapText="1"/>
    </xf>
    <xf numFmtId="49" fontId="32" fillId="7" borderId="1" xfId="7" applyNumberFormat="1" applyFont="1" applyFill="1" applyBorder="1" applyAlignment="1">
      <alignment horizontal="center" vertical="center" wrapText="1"/>
    </xf>
    <xf numFmtId="49" fontId="27" fillId="7" borderId="1" xfId="7" applyNumberFormat="1" applyFont="1" applyFill="1" applyBorder="1" applyAlignment="1">
      <alignment horizontal="center" vertical="center" wrapText="1"/>
    </xf>
    <xf numFmtId="49" fontId="32" fillId="7" borderId="1" xfId="7" quotePrefix="1" applyNumberFormat="1" applyFont="1" applyFill="1" applyBorder="1" applyAlignment="1">
      <alignment horizontal="center" vertical="center" wrapText="1"/>
    </xf>
    <xf numFmtId="0" fontId="33" fillId="9" borderId="1" xfId="0" quotePrefix="1" applyFont="1" applyFill="1" applyBorder="1" applyAlignment="1" applyProtection="1">
      <alignment horizontal="left" vertical="center" wrapText="1"/>
      <protection locked="0"/>
    </xf>
    <xf numFmtId="0" fontId="23" fillId="9" borderId="1" xfId="7" applyFont="1" applyFill="1" applyBorder="1" applyAlignment="1">
      <alignment horizontal="center" vertical="center" wrapText="1"/>
    </xf>
    <xf numFmtId="1" fontId="23" fillId="9" borderId="1" xfId="7" applyNumberFormat="1" applyFont="1" applyFill="1" applyBorder="1" applyAlignment="1" applyProtection="1">
      <alignment horizontal="center" vertical="center" wrapText="1"/>
      <protection locked="0"/>
    </xf>
    <xf numFmtId="0" fontId="33" fillId="9" borderId="1" xfId="0" applyFont="1" applyFill="1" applyBorder="1" applyAlignment="1" applyProtection="1">
      <alignment horizontal="left" vertical="center" wrapText="1"/>
      <protection locked="0"/>
    </xf>
    <xf numFmtId="179" fontId="23" fillId="9" borderId="1" xfId="7" applyNumberFormat="1" applyFont="1" applyFill="1" applyBorder="1" applyAlignment="1">
      <alignment horizontal="center" vertical="center" wrapText="1"/>
    </xf>
    <xf numFmtId="179" fontId="23" fillId="9" borderId="1" xfId="7" applyNumberFormat="1" applyFont="1" applyFill="1" applyBorder="1" applyAlignment="1" applyProtection="1">
      <alignment horizontal="center" vertical="center" wrapText="1"/>
      <protection locked="0"/>
    </xf>
    <xf numFmtId="0" fontId="23" fillId="9" borderId="1" xfId="7" applyFont="1" applyFill="1" applyBorder="1" applyAlignment="1" applyProtection="1">
      <alignment horizontal="left" vertical="center" wrapText="1"/>
      <protection locked="0"/>
    </xf>
    <xf numFmtId="180" fontId="34" fillId="12" borderId="1" xfId="7" applyNumberFormat="1" applyFont="1" applyFill="1" applyBorder="1" applyAlignment="1" applyProtection="1">
      <alignment horizontal="center" vertical="center"/>
      <protection locked="0"/>
    </xf>
    <xf numFmtId="181" fontId="34" fillId="12" borderId="1" xfId="7" applyNumberFormat="1" applyFont="1" applyFill="1" applyBorder="1" applyAlignment="1" applyProtection="1">
      <alignment horizontal="center" vertical="center"/>
      <protection locked="0"/>
    </xf>
    <xf numFmtId="180" fontId="34" fillId="9" borderId="1" xfId="7" applyNumberFormat="1" applyFont="1" applyFill="1" applyBorder="1" applyAlignment="1" applyProtection="1">
      <alignment horizontal="center" vertical="center"/>
      <protection locked="0"/>
    </xf>
    <xf numFmtId="181" fontId="34" fillId="9" borderId="1" xfId="7" applyNumberFormat="1" applyFont="1" applyFill="1" applyBorder="1" applyAlignment="1" applyProtection="1">
      <alignment horizontal="center" vertical="center"/>
      <protection locked="0"/>
    </xf>
    <xf numFmtId="0" fontId="23" fillId="2" borderId="0" xfId="7" applyFont="1" applyFill="1" applyAlignment="1">
      <alignment horizontal="center" vertical="center"/>
    </xf>
    <xf numFmtId="166" fontId="23" fillId="2" borderId="0" xfId="7" applyNumberFormat="1" applyFont="1" applyFill="1" applyAlignment="1">
      <alignment horizontal="center" vertical="center"/>
    </xf>
    <xf numFmtId="0" fontId="23" fillId="2" borderId="0" xfId="7" applyFont="1" applyFill="1"/>
    <xf numFmtId="0" fontId="27" fillId="17" borderId="3" xfId="0" applyFont="1" applyFill="1" applyBorder="1" applyAlignment="1">
      <alignment horizontal="left" vertical="center" wrapText="1"/>
    </xf>
    <xf numFmtId="0" fontId="23" fillId="17" borderId="3" xfId="0" applyFont="1" applyFill="1" applyBorder="1" applyAlignment="1">
      <alignment horizontal="center" vertical="center" wrapText="1"/>
    </xf>
    <xf numFmtId="0" fontId="23" fillId="17" borderId="7" xfId="0" applyFont="1" applyFill="1" applyBorder="1" applyAlignment="1">
      <alignment horizontal="center" vertical="center" wrapText="1"/>
    </xf>
    <xf numFmtId="0" fontId="26" fillId="17" borderId="7" xfId="2" applyNumberFormat="1" applyFont="1" applyFill="1" applyBorder="1" applyAlignment="1">
      <alignment horizontal="center" vertical="center" wrapText="1"/>
    </xf>
    <xf numFmtId="2" fontId="27" fillId="7" borderId="1" xfId="7" applyNumberFormat="1" applyFont="1" applyFill="1" applyBorder="1" applyAlignment="1">
      <alignment horizontal="center" vertical="center" wrapText="1"/>
    </xf>
    <xf numFmtId="0" fontId="33" fillId="9" borderId="1" xfId="7" applyFont="1" applyFill="1" applyBorder="1" applyAlignment="1">
      <alignment horizontal="left" vertical="center" wrapText="1"/>
    </xf>
    <xf numFmtId="1" fontId="23" fillId="9" borderId="1" xfId="7" applyNumberFormat="1" applyFont="1" applyFill="1" applyBorder="1" applyAlignment="1">
      <alignment horizontal="center" vertical="center" wrapText="1"/>
    </xf>
    <xf numFmtId="0" fontId="23" fillId="9" borderId="1" xfId="7" applyFont="1" applyFill="1" applyBorder="1" applyAlignment="1">
      <alignment horizontal="left" vertical="center" wrapText="1"/>
    </xf>
    <xf numFmtId="180" fontId="34" fillId="12" borderId="1" xfId="7" applyNumberFormat="1" applyFont="1" applyFill="1" applyBorder="1" applyAlignment="1">
      <alignment horizontal="center" vertical="center"/>
    </xf>
    <xf numFmtId="181" fontId="34" fillId="12" borderId="1" xfId="8" applyNumberFormat="1" applyFont="1" applyFill="1" applyBorder="1" applyAlignment="1" applyProtection="1">
      <alignment horizontal="center" vertical="center"/>
    </xf>
    <xf numFmtId="181" fontId="34" fillId="12" borderId="1" xfId="7" applyNumberFormat="1" applyFont="1" applyFill="1" applyBorder="1" applyAlignment="1">
      <alignment horizontal="center" vertical="center"/>
    </xf>
    <xf numFmtId="1" fontId="33" fillId="9" borderId="1" xfId="7" applyNumberFormat="1" applyFont="1" applyFill="1" applyBorder="1" applyAlignment="1">
      <alignment horizontal="left" vertical="center" wrapText="1"/>
    </xf>
    <xf numFmtId="180" fontId="34" fillId="23" borderId="1" xfId="7" applyNumberFormat="1" applyFont="1" applyFill="1" applyBorder="1" applyAlignment="1">
      <alignment horizontal="center" vertical="center"/>
    </xf>
    <xf numFmtId="181" fontId="34" fillId="23" borderId="1" xfId="8" applyNumberFormat="1" applyFont="1" applyFill="1" applyBorder="1" applyAlignment="1" applyProtection="1">
      <alignment horizontal="center" vertical="center"/>
    </xf>
    <xf numFmtId="181" fontId="34" fillId="23" borderId="1" xfId="7" applyNumberFormat="1" applyFont="1" applyFill="1" applyBorder="1" applyAlignment="1">
      <alignment horizontal="center" vertical="center"/>
    </xf>
    <xf numFmtId="0" fontId="26" fillId="17" borderId="0" xfId="2" applyNumberFormat="1" applyFont="1" applyFill="1" applyBorder="1" applyAlignment="1" applyProtection="1">
      <alignment horizontal="center" vertical="center" wrapText="1"/>
    </xf>
    <xf numFmtId="0" fontId="26" fillId="17" borderId="0" xfId="2" applyNumberFormat="1" applyFont="1" applyFill="1" applyBorder="1" applyAlignment="1">
      <alignment vertical="center" wrapText="1"/>
    </xf>
    <xf numFmtId="0" fontId="27" fillId="7" borderId="5" xfId="0" applyFont="1" applyFill="1" applyBorder="1" applyAlignment="1" applyProtection="1">
      <alignment vertical="center" wrapText="1"/>
      <protection locked="0"/>
    </xf>
    <xf numFmtId="0" fontId="28" fillId="18" borderId="1" xfId="0" applyFont="1" applyFill="1" applyBorder="1" applyAlignment="1" applyProtection="1">
      <alignment horizontal="center" vertical="center" wrapText="1"/>
      <protection locked="0"/>
    </xf>
    <xf numFmtId="173" fontId="29" fillId="19" borderId="2" xfId="0" applyNumberFormat="1" applyFont="1" applyFill="1" applyBorder="1" applyAlignment="1" applyProtection="1">
      <alignment horizontal="center" vertical="center" wrapText="1"/>
      <protection locked="0"/>
    </xf>
    <xf numFmtId="0" fontId="28" fillId="20" borderId="1" xfId="0" applyFont="1" applyFill="1" applyBorder="1" applyAlignment="1" applyProtection="1">
      <alignment horizontal="center" vertical="center" wrapText="1"/>
      <protection locked="0"/>
    </xf>
    <xf numFmtId="0" fontId="28" fillId="21" borderId="1" xfId="0" applyFont="1" applyFill="1" applyBorder="1" applyAlignment="1" applyProtection="1">
      <alignment horizontal="center" vertical="center" wrapText="1"/>
      <protection locked="0"/>
    </xf>
    <xf numFmtId="0" fontId="27" fillId="22" borderId="1" xfId="0" applyFont="1" applyFill="1" applyBorder="1" applyAlignment="1" applyProtection="1">
      <alignment horizontal="center" vertical="center" wrapText="1"/>
      <protection locked="0"/>
    </xf>
    <xf numFmtId="0" fontId="27" fillId="0" borderId="5" xfId="0" applyFont="1" applyBorder="1" applyAlignment="1">
      <alignment vertical="center" wrapText="1"/>
    </xf>
    <xf numFmtId="0" fontId="23" fillId="0" borderId="5" xfId="0" applyFont="1" applyBorder="1" applyAlignment="1">
      <alignment horizontal="center" vertical="center" wrapText="1"/>
    </xf>
    <xf numFmtId="178" fontId="23" fillId="4" borderId="1" xfId="0" applyNumberFormat="1" applyFont="1" applyFill="1" applyBorder="1" applyAlignment="1">
      <alignment horizontal="center" vertical="center" wrapText="1"/>
    </xf>
    <xf numFmtId="0" fontId="27" fillId="0" borderId="1" xfId="0" applyFont="1" applyBorder="1" applyAlignment="1">
      <alignment vertical="center" wrapText="1"/>
    </xf>
    <xf numFmtId="0" fontId="26" fillId="17" borderId="11" xfId="2" applyNumberFormat="1" applyFont="1" applyFill="1" applyBorder="1" applyAlignment="1">
      <alignment horizontal="center" vertical="center" wrapText="1"/>
    </xf>
    <xf numFmtId="0" fontId="27" fillId="17" borderId="0" xfId="0" applyFont="1" applyFill="1" applyAlignment="1">
      <alignment horizontal="left" vertical="center" wrapText="1"/>
    </xf>
    <xf numFmtId="0" fontId="23" fillId="17" borderId="0" xfId="0" applyFont="1" applyFill="1" applyAlignment="1">
      <alignment horizontal="left" vertical="center" wrapText="1"/>
    </xf>
    <xf numFmtId="0" fontId="27" fillId="7" borderId="1" xfId="0" quotePrefix="1" applyFont="1" applyFill="1" applyBorder="1" applyAlignment="1">
      <alignment horizontal="center" vertical="center" wrapText="1"/>
    </xf>
    <xf numFmtId="0" fontId="27" fillId="7" borderId="1" xfId="0" applyFont="1" applyFill="1" applyBorder="1" applyAlignment="1">
      <alignment horizontal="center" vertical="center" wrapText="1"/>
    </xf>
    <xf numFmtId="0" fontId="27" fillId="11" borderId="1" xfId="0" applyFont="1" applyFill="1" applyBorder="1" applyAlignment="1">
      <alignment vertical="center" wrapText="1"/>
    </xf>
    <xf numFmtId="0" fontId="29" fillId="8" borderId="1" xfId="0" applyFont="1" applyFill="1" applyBorder="1" applyAlignment="1" applyProtection="1">
      <alignment horizontal="center" vertical="center" wrapText="1"/>
      <protection locked="0"/>
    </xf>
    <xf numFmtId="0" fontId="35" fillId="0" borderId="1" xfId="1" applyFont="1" applyBorder="1" applyAlignment="1">
      <alignment horizontal="center" vertical="center" wrapText="1"/>
    </xf>
    <xf numFmtId="184" fontId="30" fillId="18" borderId="1" xfId="0" applyNumberFormat="1" applyFont="1" applyFill="1" applyBorder="1" applyAlignment="1" applyProtection="1">
      <alignment horizontal="center" vertical="center"/>
      <protection locked="0"/>
    </xf>
    <xf numFmtId="184" fontId="29" fillId="19" borderId="1" xfId="0" applyNumberFormat="1" applyFont="1" applyFill="1" applyBorder="1" applyAlignment="1" applyProtection="1">
      <alignment horizontal="center" vertical="center"/>
      <protection locked="0"/>
    </xf>
    <xf numFmtId="184" fontId="30" fillId="20" borderId="1" xfId="0" applyNumberFormat="1" applyFont="1" applyFill="1" applyBorder="1" applyAlignment="1" applyProtection="1">
      <alignment horizontal="center" vertical="center"/>
      <protection locked="0"/>
    </xf>
    <xf numFmtId="2" fontId="29" fillId="10" borderId="1" xfId="0" applyNumberFormat="1" applyFont="1" applyFill="1" applyBorder="1" applyAlignment="1" applyProtection="1">
      <alignment horizontal="center" vertical="center"/>
      <protection locked="0"/>
    </xf>
    <xf numFmtId="185" fontId="29" fillId="3" borderId="1" xfId="0" applyNumberFormat="1" applyFont="1" applyFill="1" applyBorder="1" applyAlignment="1" applyProtection="1">
      <alignment horizontal="center" vertical="center"/>
      <protection locked="0"/>
    </xf>
    <xf numFmtId="184" fontId="29" fillId="3" borderId="1" xfId="0" applyNumberFormat="1" applyFont="1" applyFill="1" applyBorder="1" applyAlignment="1" applyProtection="1">
      <alignment horizontal="center" vertical="center"/>
      <protection locked="0"/>
    </xf>
    <xf numFmtId="2" fontId="29" fillId="10" borderId="1" xfId="0" applyNumberFormat="1" applyFont="1" applyFill="1" applyBorder="1" applyAlignment="1">
      <alignment horizontal="center" vertical="center"/>
    </xf>
    <xf numFmtId="173" fontId="29" fillId="9" borderId="1" xfId="0" applyNumberFormat="1" applyFont="1" applyFill="1" applyBorder="1" applyAlignment="1" applyProtection="1">
      <alignment horizontal="center" vertical="center"/>
      <protection locked="0"/>
    </xf>
    <xf numFmtId="183" fontId="30" fillId="21" borderId="1" xfId="0" applyNumberFormat="1" applyFont="1" applyFill="1" applyBorder="1" applyAlignment="1" applyProtection="1">
      <alignment horizontal="center" vertical="center"/>
      <protection locked="0"/>
    </xf>
    <xf numFmtId="183" fontId="29" fillId="22" borderId="1" xfId="0" applyNumberFormat="1" applyFont="1" applyFill="1" applyBorder="1" applyAlignment="1" applyProtection="1">
      <alignment horizontal="center" vertical="center"/>
      <protection locked="0"/>
    </xf>
    <xf numFmtId="183" fontId="30" fillId="20" borderId="1" xfId="0" applyNumberFormat="1" applyFont="1" applyFill="1" applyBorder="1" applyAlignment="1" applyProtection="1">
      <alignment horizontal="center" vertical="center"/>
      <protection locked="0"/>
    </xf>
    <xf numFmtId="0" fontId="27" fillId="7" borderId="1" xfId="0" applyFont="1" applyFill="1" applyBorder="1" applyAlignment="1">
      <alignment vertical="center" wrapText="1"/>
    </xf>
    <xf numFmtId="0" fontId="23" fillId="2" borderId="0" xfId="7" quotePrefix="1" applyFont="1" applyFill="1" applyAlignment="1">
      <alignment horizontal="center" vertical="center" wrapText="1"/>
    </xf>
    <xf numFmtId="0" fontId="27" fillId="7" borderId="1" xfId="0" applyFont="1" applyFill="1" applyBorder="1" applyAlignment="1" applyProtection="1">
      <alignment vertical="center" wrapText="1"/>
      <protection locked="0"/>
    </xf>
    <xf numFmtId="0" fontId="29" fillId="17" borderId="1" xfId="0" applyFont="1" applyFill="1" applyBorder="1" applyAlignment="1" applyProtection="1">
      <alignment horizontal="center" vertical="center" wrapText="1"/>
      <protection locked="0"/>
    </xf>
    <xf numFmtId="164" fontId="29" fillId="9" borderId="1" xfId="0" applyNumberFormat="1" applyFont="1" applyFill="1" applyBorder="1" applyAlignment="1" applyProtection="1">
      <alignment horizontal="center" vertical="center"/>
      <protection locked="0"/>
    </xf>
    <xf numFmtId="164" fontId="29" fillId="10" borderId="1" xfId="0" applyNumberFormat="1" applyFont="1" applyFill="1" applyBorder="1" applyAlignment="1" applyProtection="1">
      <alignment horizontal="center" vertical="center"/>
      <protection locked="0"/>
    </xf>
    <xf numFmtId="164" fontId="29" fillId="10" borderId="1" xfId="0" applyNumberFormat="1" applyFont="1" applyFill="1" applyBorder="1" applyAlignment="1">
      <alignment horizontal="center" vertical="center"/>
    </xf>
    <xf numFmtId="0" fontId="24" fillId="17" borderId="0" xfId="4" applyFont="1" applyFill="1" applyAlignment="1" applyProtection="1">
      <alignment vertical="center"/>
    </xf>
    <xf numFmtId="0" fontId="23" fillId="17" borderId="0" xfId="7" applyFont="1" applyFill="1" applyAlignment="1">
      <alignment horizontal="center" vertical="center"/>
    </xf>
    <xf numFmtId="0" fontId="23" fillId="17" borderId="0" xfId="7" applyFont="1" applyFill="1" applyAlignment="1">
      <alignment vertical="center"/>
    </xf>
    <xf numFmtId="166" fontId="23" fillId="17" borderId="0" xfId="7" applyNumberFormat="1" applyFont="1" applyFill="1" applyAlignment="1">
      <alignment horizontal="center" vertical="center"/>
    </xf>
    <xf numFmtId="0" fontId="23" fillId="17" borderId="0" xfId="7" applyFont="1" applyFill="1"/>
    <xf numFmtId="0" fontId="23" fillId="0" borderId="1" xfId="7" quotePrefix="1" applyFont="1" applyBorder="1" applyAlignment="1">
      <alignment horizontal="left" vertical="top" wrapText="1"/>
    </xf>
    <xf numFmtId="0" fontId="27" fillId="7" borderId="1" xfId="7" applyFont="1" applyFill="1" applyBorder="1" applyAlignment="1" applyProtection="1">
      <alignment vertical="center" wrapText="1"/>
      <protection locked="0"/>
    </xf>
    <xf numFmtId="49" fontId="36" fillId="8" borderId="1" xfId="7" applyNumberFormat="1" applyFont="1" applyFill="1" applyBorder="1" applyAlignment="1" applyProtection="1">
      <alignment horizontal="center" vertical="center" wrapText="1"/>
      <protection locked="0"/>
    </xf>
    <xf numFmtId="0" fontId="36" fillId="4" borderId="1" xfId="7" applyFont="1" applyFill="1" applyBorder="1" applyAlignment="1" applyProtection="1">
      <alignment horizontal="center" vertical="center" wrapText="1"/>
      <protection locked="0"/>
    </xf>
    <xf numFmtId="167" fontId="23" fillId="9" borderId="1" xfId="7" applyNumberFormat="1" applyFont="1" applyFill="1" applyBorder="1" applyAlignment="1" applyProtection="1">
      <alignment horizontal="center" vertical="center"/>
      <protection locked="0"/>
    </xf>
    <xf numFmtId="168" fontId="23" fillId="10" borderId="1" xfId="7" applyNumberFormat="1" applyFont="1" applyFill="1" applyBorder="1" applyAlignment="1" applyProtection="1">
      <alignment horizontal="center" vertical="center"/>
      <protection locked="0"/>
    </xf>
    <xf numFmtId="169" fontId="23" fillId="3" borderId="1" xfId="7" applyNumberFormat="1" applyFont="1" applyFill="1" applyBorder="1" applyAlignment="1" applyProtection="1">
      <alignment horizontal="center" vertical="center"/>
      <protection locked="0"/>
    </xf>
    <xf numFmtId="0" fontId="24" fillId="17" borderId="0" xfId="4" applyFont="1" applyFill="1" applyBorder="1" applyAlignment="1" applyProtection="1">
      <alignment vertical="center"/>
    </xf>
    <xf numFmtId="0" fontId="27" fillId="7" borderId="5" xfId="7" applyFont="1" applyFill="1" applyBorder="1" applyAlignment="1" applyProtection="1">
      <alignment horizontal="center" vertical="center" wrapText="1"/>
      <protection locked="0"/>
    </xf>
    <xf numFmtId="0" fontId="27" fillId="7" borderId="1" xfId="7" applyFont="1" applyFill="1" applyBorder="1" applyAlignment="1" applyProtection="1">
      <alignment horizontal="center" vertical="center" wrapText="1"/>
      <protection locked="0"/>
    </xf>
    <xf numFmtId="0" fontId="27" fillId="17" borderId="0" xfId="7" applyFont="1" applyFill="1" applyAlignment="1">
      <alignment vertical="top" wrapText="1"/>
    </xf>
    <xf numFmtId="0" fontId="23" fillId="17" borderId="0" xfId="7" applyFont="1" applyFill="1" applyAlignment="1">
      <alignment wrapText="1"/>
    </xf>
    <xf numFmtId="49" fontId="23" fillId="9" borderId="1" xfId="7" quotePrefix="1" applyNumberFormat="1" applyFont="1" applyFill="1" applyBorder="1" applyAlignment="1" applyProtection="1">
      <alignment horizontal="left" vertical="center" wrapText="1"/>
      <protection locked="0"/>
    </xf>
    <xf numFmtId="49" fontId="23" fillId="9" borderId="1" xfId="7" applyNumberFormat="1" applyFont="1" applyFill="1" applyBorder="1" applyAlignment="1" applyProtection="1">
      <alignment horizontal="left" vertical="center" wrapText="1"/>
      <protection locked="0"/>
    </xf>
    <xf numFmtId="170" fontId="34" fillId="12" borderId="1" xfId="7" applyNumberFormat="1" applyFont="1" applyFill="1" applyBorder="1" applyAlignment="1" applyProtection="1">
      <alignment horizontal="center" vertical="center"/>
      <protection locked="0"/>
    </xf>
    <xf numFmtId="171" fontId="34" fillId="12" borderId="1" xfId="7" applyNumberFormat="1" applyFont="1" applyFill="1" applyBorder="1" applyAlignment="1" applyProtection="1">
      <alignment horizontal="center" vertical="center"/>
      <protection locked="0"/>
    </xf>
    <xf numFmtId="170" fontId="34" fillId="9" borderId="1" xfId="7" applyNumberFormat="1" applyFont="1" applyFill="1" applyBorder="1" applyAlignment="1" applyProtection="1">
      <alignment horizontal="center" vertical="center"/>
      <protection locked="0"/>
    </xf>
    <xf numFmtId="171" fontId="34" fillId="9" borderId="1" xfId="7" applyNumberFormat="1" applyFont="1" applyFill="1" applyBorder="1" applyAlignment="1" applyProtection="1">
      <alignment horizontal="center" vertical="center"/>
      <protection locked="0"/>
    </xf>
    <xf numFmtId="0" fontId="27" fillId="13" borderId="1" xfId="7" quotePrefix="1" applyFont="1" applyFill="1" applyBorder="1" applyAlignment="1">
      <alignment horizontal="center" vertical="center" wrapText="1"/>
    </xf>
    <xf numFmtId="0" fontId="27" fillId="16" borderId="1" xfId="7" quotePrefix="1" applyFont="1" applyFill="1" applyBorder="1" applyAlignment="1">
      <alignment horizontal="center" vertical="center" wrapText="1"/>
    </xf>
    <xf numFmtId="49" fontId="23" fillId="9" borderId="1" xfId="7" applyNumberFormat="1" applyFont="1" applyFill="1" applyBorder="1" applyAlignment="1" applyProtection="1">
      <alignment horizontal="left" vertical="top" wrapText="1"/>
      <protection locked="0"/>
    </xf>
    <xf numFmtId="49" fontId="23" fillId="14" borderId="1" xfId="7" applyNumberFormat="1" applyFont="1" applyFill="1" applyBorder="1" applyAlignment="1" applyProtection="1">
      <alignment horizontal="left" vertical="top" wrapText="1"/>
      <protection locked="0"/>
    </xf>
    <xf numFmtId="170" fontId="34" fillId="14" borderId="1" xfId="7" applyNumberFormat="1" applyFont="1" applyFill="1" applyBorder="1" applyAlignment="1" applyProtection="1">
      <alignment horizontal="center" vertical="center"/>
      <protection locked="0"/>
    </xf>
    <xf numFmtId="171" fontId="34" fillId="14" borderId="1" xfId="7" applyNumberFormat="1" applyFont="1" applyFill="1" applyBorder="1" applyAlignment="1" applyProtection="1">
      <alignment horizontal="center" vertical="center"/>
      <protection locked="0"/>
    </xf>
    <xf numFmtId="171" fontId="34" fillId="15" borderId="1" xfId="7" applyNumberFormat="1" applyFont="1" applyFill="1" applyBorder="1" applyAlignment="1" applyProtection="1">
      <alignment horizontal="center" vertical="center"/>
      <protection locked="0"/>
    </xf>
    <xf numFmtId="0" fontId="24" fillId="17" borderId="0" xfId="4" applyFont="1" applyFill="1" applyAlignment="1" applyProtection="1">
      <alignment horizontal="left" vertical="center"/>
    </xf>
    <xf numFmtId="0" fontId="27" fillId="7" borderId="1" xfId="7" applyFont="1" applyFill="1" applyBorder="1" applyAlignment="1" applyProtection="1">
      <alignment horizontal="center" vertical="center"/>
      <protection locked="0"/>
    </xf>
    <xf numFmtId="0" fontId="27" fillId="7" borderId="1" xfId="7" applyFont="1" applyFill="1" applyBorder="1" applyAlignment="1" applyProtection="1">
      <alignment vertical="center"/>
      <protection locked="0"/>
    </xf>
    <xf numFmtId="0" fontId="36" fillId="8" borderId="1" xfId="7" applyFont="1" applyFill="1" applyBorder="1" applyAlignment="1" applyProtection="1">
      <alignment horizontal="center" vertical="center"/>
      <protection locked="0"/>
    </xf>
    <xf numFmtId="3" fontId="36" fillId="8" borderId="1" xfId="7" applyNumberFormat="1" applyFont="1" applyFill="1" applyBorder="1" applyAlignment="1" applyProtection="1">
      <alignment horizontal="center" vertical="center"/>
      <protection locked="0"/>
    </xf>
    <xf numFmtId="186" fontId="36" fillId="8" borderId="1" xfId="7" applyNumberFormat="1" applyFont="1" applyFill="1" applyBorder="1" applyAlignment="1" applyProtection="1">
      <alignment horizontal="center" vertical="center"/>
      <protection locked="0"/>
    </xf>
    <xf numFmtId="3" fontId="36" fillId="37" borderId="1" xfId="7" applyNumberFormat="1" applyFont="1" applyFill="1" applyBorder="1" applyAlignment="1" applyProtection="1">
      <alignment horizontal="center" vertical="center"/>
      <protection locked="0"/>
    </xf>
    <xf numFmtId="166" fontId="23" fillId="2" borderId="0" xfId="0" applyNumberFormat="1" applyFont="1" applyFill="1" applyAlignment="1">
      <alignment horizontal="center" vertical="center"/>
    </xf>
    <xf numFmtId="0" fontId="31" fillId="2" borderId="0" xfId="0" applyFont="1" applyFill="1" applyAlignment="1">
      <alignment vertical="center"/>
    </xf>
    <xf numFmtId="0" fontId="27" fillId="7" borderId="1" xfId="0" applyFont="1" applyFill="1" applyBorder="1" applyAlignment="1" applyProtection="1">
      <alignment horizontal="center" vertical="center" wrapText="1"/>
      <protection locked="0"/>
    </xf>
    <xf numFmtId="0" fontId="23" fillId="2" borderId="1" xfId="0" applyFont="1" applyFill="1" applyBorder="1" applyAlignment="1">
      <alignment vertical="center"/>
    </xf>
    <xf numFmtId="0" fontId="23" fillId="2" borderId="1" xfId="0" applyFont="1" applyFill="1" applyBorder="1" applyAlignment="1">
      <alignment horizontal="center" vertical="center"/>
    </xf>
    <xf numFmtId="182" fontId="23" fillId="2" borderId="1" xfId="0" applyNumberFormat="1" applyFont="1" applyFill="1" applyBorder="1" applyAlignment="1">
      <alignment horizontal="center" vertical="center"/>
    </xf>
    <xf numFmtId="0" fontId="23" fillId="9" borderId="1" xfId="7" applyFont="1" applyFill="1" applyBorder="1" applyAlignment="1" applyProtection="1">
      <alignment horizontal="center" vertical="center" wrapText="1"/>
      <protection locked="0"/>
    </xf>
    <xf numFmtId="0" fontId="23" fillId="38" borderId="1" xfId="0" applyFont="1" applyFill="1" applyBorder="1" applyAlignment="1">
      <alignment vertical="center"/>
    </xf>
    <xf numFmtId="0" fontId="23" fillId="38" borderId="1" xfId="0" applyFont="1" applyFill="1" applyBorder="1" applyAlignment="1">
      <alignment horizontal="center" vertical="center"/>
    </xf>
    <xf numFmtId="0" fontId="9" fillId="17" borderId="0" xfId="4" applyFill="1" applyAlignment="1" applyProtection="1">
      <alignment horizontal="left" vertical="center"/>
    </xf>
    <xf numFmtId="0" fontId="23" fillId="2" borderId="0" xfId="7" quotePrefix="1" applyFont="1" applyFill="1" applyAlignment="1">
      <alignment vertical="center" wrapText="1"/>
    </xf>
    <xf numFmtId="0" fontId="27" fillId="0" borderId="1" xfId="0" applyFont="1" applyBorder="1" applyAlignment="1">
      <alignment horizontal="left" vertical="center" wrapText="1"/>
    </xf>
    <xf numFmtId="0" fontId="23" fillId="0" borderId="1" xfId="0" applyFont="1" applyBorder="1" applyAlignment="1">
      <alignment vertical="center" wrapText="1"/>
    </xf>
    <xf numFmtId="165" fontId="23" fillId="0" borderId="1" xfId="0" applyNumberFormat="1" applyFont="1" applyBorder="1" applyAlignment="1">
      <alignment horizontal="center" vertical="center"/>
    </xf>
    <xf numFmtId="0" fontId="23" fillId="0" borderId="1" xfId="0" applyFont="1" applyBorder="1" applyAlignment="1">
      <alignment horizontal="center" vertical="center"/>
    </xf>
    <xf numFmtId="169" fontId="23" fillId="4" borderId="1" xfId="0" applyNumberFormat="1" applyFont="1" applyFill="1" applyBorder="1" applyAlignment="1">
      <alignment horizontal="center" vertical="center" wrapText="1"/>
    </xf>
    <xf numFmtId="0" fontId="10" fillId="0" borderId="0" xfId="0" quotePrefix="1" applyFont="1" applyAlignment="1">
      <alignment horizontal="left" vertical="top" wrapText="1"/>
    </xf>
    <xf numFmtId="49" fontId="7" fillId="6" borderId="0" xfId="2" applyNumberFormat="1" applyFill="1" applyAlignment="1" applyProtection="1">
      <alignment horizontal="left" vertical="center" wrapText="1"/>
      <protection locked="0"/>
    </xf>
    <xf numFmtId="0" fontId="5" fillId="0" borderId="0" xfId="0" quotePrefix="1" applyFont="1" applyAlignment="1">
      <alignment horizontal="left" wrapText="1"/>
    </xf>
    <xf numFmtId="0" fontId="14" fillId="0" borderId="0" xfId="0" quotePrefix="1" applyFont="1" applyAlignment="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49" fontId="7" fillId="6" borderId="0" xfId="2" applyNumberFormat="1" applyFill="1" applyAlignment="1" applyProtection="1">
      <alignment horizontal="center" vertical="center" wrapText="1"/>
      <protection locked="0"/>
    </xf>
    <xf numFmtId="0" fontId="27" fillId="0" borderId="1" xfId="0" applyFont="1" applyBorder="1" applyAlignment="1">
      <alignment vertical="center" wrapText="1"/>
    </xf>
    <xf numFmtId="0" fontId="23" fillId="2" borderId="0" xfId="7" quotePrefix="1" applyFont="1" applyFill="1" applyAlignment="1">
      <alignment horizontal="center" vertical="center" wrapText="1"/>
    </xf>
    <xf numFmtId="0" fontId="25" fillId="17" borderId="10" xfId="14" quotePrefix="1" applyFont="1" applyFill="1" applyBorder="1" applyAlignment="1">
      <alignment horizontal="left" vertical="top" wrapText="1"/>
    </xf>
    <xf numFmtId="0" fontId="25" fillId="17" borderId="0" xfId="14" quotePrefix="1" applyFont="1" applyFill="1" applyBorder="1" applyAlignment="1">
      <alignment horizontal="left" vertical="top" wrapText="1"/>
    </xf>
    <xf numFmtId="0" fontId="23" fillId="0" borderId="1" xfId="0" applyFont="1" applyBorder="1" applyAlignment="1">
      <alignment horizontal="left" vertical="center" wrapText="1"/>
    </xf>
    <xf numFmtId="0" fontId="27" fillId="0" borderId="1" xfId="0" applyFont="1" applyBorder="1" applyAlignment="1">
      <alignment horizontal="left" vertical="center" wrapText="1"/>
    </xf>
    <xf numFmtId="0" fontId="26" fillId="6" borderId="1" xfId="2" applyNumberFormat="1" applyFont="1" applyFill="1" applyBorder="1" applyAlignment="1">
      <alignment horizontal="center" vertical="center" wrapText="1"/>
    </xf>
    <xf numFmtId="173" fontId="29" fillId="19" borderId="1" xfId="0" applyNumberFormat="1" applyFont="1" applyFill="1" applyBorder="1" applyAlignment="1" applyProtection="1">
      <alignment horizontal="center" vertical="center"/>
      <protection locked="0"/>
    </xf>
    <xf numFmtId="0" fontId="23" fillId="0" borderId="1" xfId="0" applyFont="1" applyBorder="1" applyAlignment="1">
      <alignment horizontal="center" vertical="center" wrapText="1"/>
    </xf>
    <xf numFmtId="0" fontId="27" fillId="7" borderId="1" xfId="0" applyFont="1" applyFill="1" applyBorder="1" applyAlignment="1" applyProtection="1">
      <alignment horizontal="center" vertical="center" wrapText="1"/>
      <protection locked="0"/>
    </xf>
    <xf numFmtId="178" fontId="23" fillId="4" borderId="1" xfId="0" applyNumberFormat="1" applyFont="1" applyFill="1" applyBorder="1" applyAlignment="1">
      <alignment horizontal="center" vertical="center" wrapText="1"/>
    </xf>
    <xf numFmtId="0" fontId="23" fillId="2" borderId="7" xfId="7" quotePrefix="1" applyFont="1" applyFill="1" applyBorder="1" applyAlignment="1">
      <alignment horizontal="left" vertical="center" wrapText="1"/>
    </xf>
    <xf numFmtId="0" fontId="23" fillId="2" borderId="7" xfId="0" quotePrefix="1" applyFont="1" applyFill="1" applyBorder="1" applyAlignment="1">
      <alignment horizontal="left" vertical="center" wrapText="1"/>
    </xf>
    <xf numFmtId="0" fontId="27" fillId="7" borderId="10" xfId="0" applyFont="1" applyFill="1" applyBorder="1" applyAlignment="1" applyProtection="1">
      <alignment horizontal="center" vertical="center" wrapText="1"/>
      <protection locked="0"/>
    </xf>
    <xf numFmtId="0" fontId="27" fillId="7" borderId="0" xfId="0" applyFont="1" applyFill="1" applyAlignment="1" applyProtection="1">
      <alignment horizontal="center" vertical="center" wrapText="1"/>
      <protection locked="0"/>
    </xf>
    <xf numFmtId="0" fontId="28" fillId="18" borderId="1" xfId="0" applyFont="1" applyFill="1" applyBorder="1" applyAlignment="1" applyProtection="1">
      <alignment horizontal="center" vertical="center" wrapText="1"/>
      <protection locked="0"/>
    </xf>
    <xf numFmtId="0" fontId="26" fillId="6" borderId="2" xfId="2" applyNumberFormat="1" applyFont="1" applyFill="1" applyBorder="1" applyAlignment="1">
      <alignment horizontal="center" vertical="center" wrapText="1"/>
    </xf>
    <xf numFmtId="0" fontId="26" fillId="6" borderId="3" xfId="2" applyNumberFormat="1" applyFont="1" applyFill="1" applyBorder="1" applyAlignment="1">
      <alignment horizontal="center" vertical="center" wrapText="1"/>
    </xf>
    <xf numFmtId="0" fontId="26" fillId="6" borderId="4" xfId="2" applyNumberFormat="1" applyFont="1" applyFill="1" applyBorder="1" applyAlignment="1">
      <alignment horizontal="center" vertical="center" wrapText="1"/>
    </xf>
    <xf numFmtId="0" fontId="27" fillId="7" borderId="2" xfId="7" applyFont="1" applyFill="1" applyBorder="1" applyAlignment="1">
      <alignment horizontal="center" vertical="center" wrapText="1"/>
    </xf>
    <xf numFmtId="0" fontId="27" fillId="7" borderId="3" xfId="7" applyFont="1" applyFill="1" applyBorder="1" applyAlignment="1">
      <alignment horizontal="center" vertical="center" wrapText="1"/>
    </xf>
    <xf numFmtId="0" fontId="27" fillId="7" borderId="4" xfId="7" applyFont="1" applyFill="1" applyBorder="1" applyAlignment="1">
      <alignment horizontal="center" vertical="center" wrapText="1"/>
    </xf>
    <xf numFmtId="0" fontId="37" fillId="0" borderId="5" xfId="7" applyFont="1" applyBorder="1" applyAlignment="1">
      <alignment vertical="top" wrapText="1"/>
    </xf>
    <xf numFmtId="0" fontId="37" fillId="0" borderId="12" xfId="7" applyFont="1" applyBorder="1" applyAlignment="1">
      <alignment vertical="top" wrapText="1"/>
    </xf>
    <xf numFmtId="0" fontId="37" fillId="0" borderId="13" xfId="7" applyFont="1" applyBorder="1" applyAlignment="1">
      <alignment vertical="top" wrapText="1"/>
    </xf>
    <xf numFmtId="0" fontId="38" fillId="0" borderId="2" xfId="7" applyFont="1" applyBorder="1" applyAlignment="1">
      <alignment wrapText="1"/>
    </xf>
    <xf numFmtId="0" fontId="38" fillId="0" borderId="3" xfId="7" applyFont="1" applyBorder="1" applyAlignment="1">
      <alignment wrapText="1"/>
    </xf>
    <xf numFmtId="0" fontId="23" fillId="0" borderId="3" xfId="7" applyFont="1" applyBorder="1"/>
    <xf numFmtId="0" fontId="23" fillId="0" borderId="4" xfId="7" applyFont="1" applyBorder="1"/>
    <xf numFmtId="0" fontId="23" fillId="0" borderId="12" xfId="7" applyFont="1" applyBorder="1" applyAlignment="1">
      <alignment vertical="top" wrapText="1"/>
    </xf>
    <xf numFmtId="0" fontId="23" fillId="0" borderId="13" xfId="7" applyFont="1" applyBorder="1" applyAlignment="1">
      <alignment vertical="top" wrapText="1"/>
    </xf>
    <xf numFmtId="0" fontId="37" fillId="0" borderId="2" xfId="7" applyFont="1" applyBorder="1" applyAlignment="1">
      <alignment wrapText="1"/>
    </xf>
    <xf numFmtId="0" fontId="37" fillId="0" borderId="3" xfId="7" applyFont="1" applyBorder="1" applyAlignment="1">
      <alignment wrapText="1"/>
    </xf>
    <xf numFmtId="0" fontId="27" fillId="0" borderId="3" xfId="7" applyFont="1" applyBorder="1"/>
    <xf numFmtId="0" fontId="27" fillId="0" borderId="4" xfId="7" applyFont="1" applyBorder="1"/>
    <xf numFmtId="0" fontId="26" fillId="6" borderId="1" xfId="2" applyNumberFormat="1" applyFont="1" applyFill="1" applyBorder="1" applyAlignment="1" applyProtection="1">
      <alignment horizontal="center" vertical="center" wrapText="1"/>
    </xf>
    <xf numFmtId="0" fontId="27" fillId="7" borderId="2" xfId="0" applyFont="1" applyFill="1" applyBorder="1" applyAlignment="1" applyProtection="1">
      <alignment horizontal="center" vertical="center" wrapText="1"/>
      <protection locked="0"/>
    </xf>
    <xf numFmtId="0" fontId="27" fillId="7" borderId="4" xfId="0" applyFont="1" applyFill="1" applyBorder="1" applyAlignment="1" applyProtection="1">
      <alignment horizontal="center" vertical="center" wrapText="1"/>
      <protection locked="0"/>
    </xf>
    <xf numFmtId="0" fontId="23" fillId="0" borderId="2" xfId="0" applyFont="1" applyBorder="1" applyAlignment="1">
      <alignment horizontal="center" vertical="center" wrapText="1"/>
    </xf>
    <xf numFmtId="0" fontId="23" fillId="0" borderId="3" xfId="0" applyFont="1" applyBorder="1" applyAlignment="1">
      <alignment horizontal="center" vertical="center" wrapText="1"/>
    </xf>
    <xf numFmtId="0" fontId="23" fillId="0" borderId="4" xfId="0" applyFont="1" applyBorder="1" applyAlignment="1">
      <alignment horizontal="center" vertical="center" wrapText="1"/>
    </xf>
    <xf numFmtId="0" fontId="27" fillId="7" borderId="2" xfId="7" applyFont="1" applyFill="1" applyBorder="1" applyAlignment="1" applyProtection="1">
      <alignment horizontal="center" vertical="center" wrapText="1"/>
      <protection locked="0"/>
    </xf>
    <xf numFmtId="0" fontId="27" fillId="7" borderId="3" xfId="7" applyFont="1" applyFill="1" applyBorder="1" applyAlignment="1" applyProtection="1">
      <alignment horizontal="center" vertical="center" wrapText="1"/>
      <protection locked="0"/>
    </xf>
    <xf numFmtId="0" fontId="27" fillId="7" borderId="4" xfId="7" applyFont="1" applyFill="1" applyBorder="1" applyAlignment="1" applyProtection="1">
      <alignment horizontal="center" vertical="center" wrapText="1"/>
      <protection locked="0"/>
    </xf>
    <xf numFmtId="0" fontId="27" fillId="7" borderId="3" xfId="0" applyFont="1" applyFill="1" applyBorder="1" applyAlignment="1" applyProtection="1">
      <alignment horizontal="center" vertical="center" wrapText="1"/>
      <protection locked="0"/>
    </xf>
    <xf numFmtId="0" fontId="23" fillId="0" borderId="7" xfId="7" applyFont="1" applyBorder="1" applyAlignment="1">
      <alignment horizontal="left" vertical="center" wrapText="1"/>
    </xf>
    <xf numFmtId="0" fontId="23" fillId="2" borderId="7" xfId="7" quotePrefix="1" applyFont="1" applyFill="1" applyBorder="1" applyAlignment="1">
      <alignment horizontal="center" vertical="center" wrapText="1"/>
    </xf>
    <xf numFmtId="0" fontId="22" fillId="17" borderId="0" xfId="7" applyFont="1" applyFill="1" applyAlignment="1">
      <alignment horizontal="left" wrapText="1"/>
    </xf>
    <xf numFmtId="0" fontId="27" fillId="7" borderId="5" xfId="7" applyFont="1" applyFill="1" applyBorder="1" applyAlignment="1" applyProtection="1">
      <alignment vertical="center" wrapText="1"/>
      <protection locked="0"/>
    </xf>
    <xf numFmtId="0" fontId="27" fillId="7" borderId="12" xfId="7" applyFont="1" applyFill="1" applyBorder="1" applyAlignment="1" applyProtection="1">
      <alignment vertical="center" wrapText="1"/>
      <protection locked="0"/>
    </xf>
    <xf numFmtId="0" fontId="27" fillId="7" borderId="13" xfId="7" applyFont="1" applyFill="1" applyBorder="1" applyAlignment="1" applyProtection="1">
      <alignment vertical="center" wrapText="1"/>
      <protection locked="0"/>
    </xf>
    <xf numFmtId="0" fontId="27" fillId="7" borderId="5" xfId="7" applyFont="1" applyFill="1" applyBorder="1" applyAlignment="1" applyProtection="1">
      <alignment vertical="center"/>
      <protection locked="0"/>
    </xf>
    <xf numFmtId="0" fontId="27" fillId="7" borderId="12" xfId="7" applyFont="1" applyFill="1" applyBorder="1" applyAlignment="1" applyProtection="1">
      <alignment vertical="center"/>
      <protection locked="0"/>
    </xf>
    <xf numFmtId="0" fontId="27" fillId="7" borderId="13" xfId="7" applyFont="1" applyFill="1" applyBorder="1" applyAlignment="1" applyProtection="1">
      <alignment vertical="center"/>
      <protection locked="0"/>
    </xf>
    <xf numFmtId="0" fontId="5" fillId="0" borderId="0" xfId="0" quotePrefix="1" applyFont="1" applyAlignment="1">
      <alignment horizontal="left"/>
    </xf>
    <xf numFmtId="0" fontId="6" fillId="7" borderId="2" xfId="0" applyFont="1" applyFill="1" applyBorder="1" applyAlignment="1">
      <alignment horizontal="left" vertical="center" wrapText="1"/>
    </xf>
    <xf numFmtId="0" fontId="6" fillId="7" borderId="3" xfId="0" applyFont="1" applyFill="1" applyBorder="1" applyAlignment="1">
      <alignment horizontal="left" vertical="center" wrapText="1"/>
    </xf>
    <xf numFmtId="0" fontId="6" fillId="7" borderId="4" xfId="0" applyFont="1" applyFill="1" applyBorder="1" applyAlignment="1">
      <alignment horizontal="left" vertical="center" wrapText="1"/>
    </xf>
    <xf numFmtId="0" fontId="16" fillId="6" borderId="2" xfId="2" applyNumberFormat="1" applyFont="1" applyFill="1" applyBorder="1" applyAlignment="1" applyProtection="1">
      <alignment horizontal="center" vertical="center" wrapText="1"/>
    </xf>
    <xf numFmtId="0" fontId="16" fillId="6" borderId="3" xfId="2" applyNumberFormat="1" applyFont="1" applyFill="1" applyBorder="1" applyAlignment="1" applyProtection="1">
      <alignment horizontal="center" vertical="center" wrapText="1"/>
    </xf>
    <xf numFmtId="0" fontId="16" fillId="6" borderId="4" xfId="2" applyNumberFormat="1" applyFont="1" applyFill="1" applyBorder="1" applyAlignment="1" applyProtection="1">
      <alignment horizontal="center" vertical="center" wrapText="1"/>
    </xf>
    <xf numFmtId="0" fontId="16" fillId="6" borderId="2" xfId="2" applyNumberFormat="1" applyFont="1" applyFill="1" applyBorder="1" applyAlignment="1" applyProtection="1">
      <alignment horizontal="left" vertical="center" wrapText="1"/>
    </xf>
    <xf numFmtId="0" fontId="16" fillId="6" borderId="3" xfId="2" applyNumberFormat="1" applyFont="1" applyFill="1" applyBorder="1" applyAlignment="1" applyProtection="1">
      <alignment horizontal="left" vertical="center" wrapText="1"/>
    </xf>
    <xf numFmtId="0" fontId="16" fillId="6" borderId="4" xfId="2" applyNumberFormat="1" applyFont="1" applyFill="1" applyBorder="1" applyAlignment="1" applyProtection="1">
      <alignment horizontal="left" vertical="center" wrapText="1"/>
    </xf>
    <xf numFmtId="0" fontId="5" fillId="0" borderId="0" xfId="0" quotePrefix="1" applyFont="1" applyAlignment="1">
      <alignment horizontal="left" vertical="top" wrapText="1"/>
    </xf>
  </cellXfs>
  <cellStyles count="19">
    <cellStyle name="40% - Accent1 2" xfId="16" xr:uid="{00000000-0005-0000-0000-000000000000}"/>
    <cellStyle name="40% - Accent4 2" xfId="17" xr:uid="{00000000-0005-0000-0000-000001000000}"/>
    <cellStyle name="60% - Accent2" xfId="10" builtinId="36"/>
    <cellStyle name="Accent1" xfId="9" builtinId="29"/>
    <cellStyle name="Accent4" xfId="11" builtinId="41"/>
    <cellStyle name="Accent6" xfId="12" builtinId="49"/>
    <cellStyle name="Comma 2" xfId="8" xr:uid="{00000000-0005-0000-0000-000006000000}"/>
    <cellStyle name="Heading 2" xfId="5" builtinId="17"/>
    <cellStyle name="Heading 3" xfId="6" builtinId="18"/>
    <cellStyle name="Heading 4" xfId="2" builtinId="19"/>
    <cellStyle name="Hyperlink" xfId="4" builtinId="8"/>
    <cellStyle name="Input" xfId="3" builtinId="20"/>
    <cellStyle name="Neutral" xfId="14" builtinId="28"/>
    <cellStyle name="Neutral 2" xfId="18" xr:uid="{00000000-0005-0000-0000-00000D000000}"/>
    <cellStyle name="Normal" xfId="0" builtinId="0"/>
    <cellStyle name="Normal 2" xfId="7" xr:uid="{00000000-0005-0000-0000-00000F000000}"/>
    <cellStyle name="Normal 3" xfId="13" xr:uid="{00000000-0005-0000-0000-000010000000}"/>
    <cellStyle name="Normal_Sheet1" xfId="1" xr:uid="{00000000-0005-0000-0000-000011000000}"/>
    <cellStyle name="Text_CEPATNEI" xfId="15" xr:uid="{00000000-0005-0000-0000-000012000000}"/>
  </cellStyles>
  <dxfs count="4">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numFmt numFmtId="2" formatCode="0.00"/>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2899"/>
          <a:ext cx="5607049"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7326" y="8775701"/>
          <a:ext cx="8248650" cy="1089025"/>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7"/>
  <sheetViews>
    <sheetView showGridLines="0" tabSelected="1" zoomScale="90" zoomScaleNormal="9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1"/>
      <c r="B1" s="1"/>
      <c r="C1" s="1"/>
      <c r="D1" s="1"/>
      <c r="E1" s="1"/>
    </row>
    <row r="2" spans="1:8" ht="16.5" x14ac:dyDescent="0.2">
      <c r="A2" s="42" t="s">
        <v>352</v>
      </c>
      <c r="B2" s="8"/>
      <c r="C2" s="8"/>
      <c r="D2" s="8"/>
      <c r="E2" s="8"/>
    </row>
    <row r="3" spans="1:8" ht="15" x14ac:dyDescent="0.2">
      <c r="A3" s="8"/>
      <c r="B3" s="40" t="s">
        <v>353</v>
      </c>
      <c r="C3" s="39" t="s">
        <v>354</v>
      </c>
      <c r="D3" s="39" t="s">
        <v>21</v>
      </c>
      <c r="E3" s="39" t="s">
        <v>20</v>
      </c>
    </row>
    <row r="4" spans="1:8" ht="15" x14ac:dyDescent="0.2">
      <c r="A4" s="9" t="s">
        <v>352</v>
      </c>
      <c r="B4" s="2" t="s">
        <v>443</v>
      </c>
      <c r="C4" s="2" t="s">
        <v>679</v>
      </c>
      <c r="D4" s="2" t="s">
        <v>680</v>
      </c>
      <c r="E4" s="2" t="s">
        <v>351</v>
      </c>
    </row>
    <row r="5" spans="1:8" x14ac:dyDescent="0.2">
      <c r="A5" s="8"/>
      <c r="B5" s="8"/>
      <c r="C5" s="8"/>
      <c r="D5" s="8"/>
      <c r="E5" s="8"/>
    </row>
    <row r="6" spans="1:8" ht="16.5" x14ac:dyDescent="0.2">
      <c r="A6" s="11" t="s">
        <v>15</v>
      </c>
      <c r="B6" s="8"/>
      <c r="C6" s="8"/>
      <c r="D6" s="8"/>
      <c r="E6" s="8"/>
    </row>
    <row r="7" spans="1:8" ht="15" x14ac:dyDescent="0.2">
      <c r="A7" s="12" t="s">
        <v>16</v>
      </c>
      <c r="B7" s="199" t="s">
        <v>17</v>
      </c>
      <c r="C7" s="199"/>
      <c r="D7" s="199"/>
      <c r="E7" s="199"/>
    </row>
    <row r="8" spans="1:8" ht="30" customHeight="1" x14ac:dyDescent="0.2">
      <c r="A8" s="15" t="s">
        <v>448</v>
      </c>
      <c r="B8" s="198" t="s">
        <v>449</v>
      </c>
      <c r="C8" s="198"/>
      <c r="D8" s="198"/>
      <c r="E8" s="198"/>
    </row>
    <row r="9" spans="1:8" ht="30" customHeight="1" x14ac:dyDescent="0.2">
      <c r="A9" s="15" t="s">
        <v>677</v>
      </c>
      <c r="B9" s="198"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Northern Powergrid (Yorkshire) Plc Licence area.</v>
      </c>
      <c r="C9" s="198"/>
      <c r="D9" s="198"/>
      <c r="E9" s="198"/>
    </row>
    <row r="10" spans="1:8" ht="30" customHeight="1" x14ac:dyDescent="0.2">
      <c r="A10" s="15" t="s">
        <v>263</v>
      </c>
      <c r="B10" s="198" t="s">
        <v>19</v>
      </c>
      <c r="C10" s="198"/>
      <c r="D10" s="198"/>
      <c r="E10" s="198"/>
    </row>
    <row r="11" spans="1:8" ht="66" customHeight="1" x14ac:dyDescent="0.2">
      <c r="A11" s="15" t="s">
        <v>264</v>
      </c>
      <c r="B11" s="198"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Northern Powergrid (Yorkshire) Plc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198"/>
      <c r="D11" s="198"/>
      <c r="E11" s="198"/>
      <c r="F11" s="201"/>
      <c r="G11" s="201"/>
      <c r="H11" s="201"/>
    </row>
    <row r="12" spans="1:8" ht="86.25" customHeight="1" x14ac:dyDescent="0.2">
      <c r="A12" s="15" t="s">
        <v>28</v>
      </c>
      <c r="B12" s="198" t="s">
        <v>366</v>
      </c>
      <c r="C12" s="198"/>
      <c r="D12" s="198"/>
      <c r="E12" s="198"/>
    </row>
    <row r="13" spans="1:8" ht="51" customHeight="1" x14ac:dyDescent="0.2">
      <c r="A13" s="15" t="s">
        <v>367</v>
      </c>
      <c r="B13" s="198"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Northern Powergrid (Yorkshire) Plc Licence area.</v>
      </c>
      <c r="C13" s="198"/>
      <c r="D13" s="198"/>
      <c r="E13" s="198"/>
    </row>
    <row r="14" spans="1:8" ht="29.25" customHeight="1" x14ac:dyDescent="0.2">
      <c r="A14" s="55" t="s">
        <v>450</v>
      </c>
      <c r="B14" s="198" t="s">
        <v>675</v>
      </c>
      <c r="C14" s="198"/>
      <c r="D14" s="198"/>
      <c r="E14" s="198"/>
    </row>
    <row r="15" spans="1:8" ht="30" customHeight="1" x14ac:dyDescent="0.2">
      <c r="A15" s="15" t="s">
        <v>255</v>
      </c>
      <c r="B15" s="198" t="s">
        <v>676</v>
      </c>
      <c r="C15" s="198"/>
      <c r="D15" s="198"/>
      <c r="E15" s="198"/>
    </row>
    <row r="16" spans="1:8" ht="30" customHeight="1" x14ac:dyDescent="0.2">
      <c r="A16" s="15" t="s">
        <v>578</v>
      </c>
      <c r="B16" s="198" t="s">
        <v>579</v>
      </c>
      <c r="C16" s="198"/>
      <c r="D16" s="198"/>
      <c r="E16" s="198"/>
    </row>
    <row r="17" spans="1:5" ht="30" customHeight="1" x14ac:dyDescent="0.2">
      <c r="A17" s="15" t="s">
        <v>673</v>
      </c>
      <c r="B17" s="198" t="s">
        <v>674</v>
      </c>
      <c r="C17" s="198"/>
      <c r="D17" s="198"/>
      <c r="E17" s="198"/>
    </row>
    <row r="18" spans="1:5" ht="30" customHeight="1" x14ac:dyDescent="0.2">
      <c r="A18" s="15" t="s">
        <v>308</v>
      </c>
      <c r="B18" s="198" t="s">
        <v>307</v>
      </c>
      <c r="C18" s="198"/>
      <c r="D18" s="198"/>
      <c r="E18" s="198"/>
    </row>
    <row r="19" spans="1:5" x14ac:dyDescent="0.2">
      <c r="A19" s="8"/>
      <c r="B19" s="8"/>
      <c r="C19" s="8"/>
      <c r="D19" s="8"/>
      <c r="E19" s="8"/>
    </row>
    <row r="20" spans="1:5" ht="15" x14ac:dyDescent="0.2">
      <c r="A20" s="13" t="s">
        <v>26</v>
      </c>
      <c r="B20" s="8"/>
      <c r="C20" s="8"/>
      <c r="D20" s="8"/>
      <c r="E20" s="8"/>
    </row>
    <row r="21" spans="1:5" ht="15" x14ac:dyDescent="0.2">
      <c r="A21" s="12"/>
      <c r="B21" s="204"/>
      <c r="C21" s="204"/>
      <c r="D21" s="204"/>
      <c r="E21" s="204"/>
    </row>
    <row r="22" spans="1:5" ht="32.25" customHeight="1" x14ac:dyDescent="0.2">
      <c r="A22" s="202" t="s">
        <v>292</v>
      </c>
      <c r="B22" s="203"/>
      <c r="C22" s="203"/>
      <c r="D22" s="203"/>
      <c r="E22" s="203"/>
    </row>
    <row r="23" spans="1:5" x14ac:dyDescent="0.2">
      <c r="A23" s="8"/>
      <c r="B23" s="8"/>
      <c r="C23" s="8"/>
      <c r="D23" s="8"/>
      <c r="E23" s="8"/>
    </row>
    <row r="24" spans="1:5" ht="15" x14ac:dyDescent="0.2">
      <c r="A24" s="14" t="s">
        <v>27</v>
      </c>
      <c r="B24" s="8"/>
      <c r="C24" s="8"/>
      <c r="D24" s="8"/>
      <c r="E24" s="8"/>
    </row>
    <row r="25" spans="1:5" ht="15" x14ac:dyDescent="0.2">
      <c r="A25" s="10"/>
      <c r="B25" s="204"/>
      <c r="C25" s="204"/>
      <c r="D25" s="204"/>
      <c r="E25" s="204"/>
    </row>
    <row r="26" spans="1:5" ht="28.5" customHeight="1" x14ac:dyDescent="0.2">
      <c r="A26" s="202" t="s">
        <v>265</v>
      </c>
      <c r="B26" s="203"/>
      <c r="C26" s="203"/>
      <c r="D26" s="203"/>
      <c r="E26" s="203"/>
    </row>
    <row r="27" spans="1:5" ht="28.5" customHeight="1" x14ac:dyDescent="0.2">
      <c r="A27" s="200" t="s">
        <v>350</v>
      </c>
      <c r="B27" s="200"/>
      <c r="C27" s="200"/>
      <c r="D27" s="200"/>
      <c r="E27" s="200"/>
    </row>
  </sheetData>
  <customSheetViews>
    <customSheetView guid="{5032A364-B81A-48DA-88DA-AB3B86B47EE9}">
      <selection activeCell="A12" sqref="A12"/>
      <pageMargins left="0.7" right="0.7" top="0.75" bottom="0.75" header="0.3" footer="0.3"/>
    </customSheetView>
  </customSheetViews>
  <mergeCells count="18">
    <mergeCell ref="A27:E27"/>
    <mergeCell ref="F11:H11"/>
    <mergeCell ref="B15:E15"/>
    <mergeCell ref="A22:E22"/>
    <mergeCell ref="A26:E26"/>
    <mergeCell ref="B12:E12"/>
    <mergeCell ref="B14:E14"/>
    <mergeCell ref="B13:E13"/>
    <mergeCell ref="B18:E18"/>
    <mergeCell ref="B21:E21"/>
    <mergeCell ref="B25:E25"/>
    <mergeCell ref="B16:E16"/>
    <mergeCell ref="B17:E17"/>
    <mergeCell ref="B8:E8"/>
    <mergeCell ref="B9:E9"/>
    <mergeCell ref="B10:E10"/>
    <mergeCell ref="B11:E11"/>
    <mergeCell ref="B7:E7"/>
  </mergeCells>
  <hyperlinks>
    <hyperlink ref="A8" location="'Annex 1 LV, HV and UMS charges'!A1" display="Annex 1 LV, HV and Unmetered Supplies charges" xr:uid="{00000000-0004-0000-0000-000000000000}"/>
    <hyperlink ref="A9" location="'Annex 2 Designated EHV charges'!A1" display="Annex 2 Designated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8"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6" location="'Residual Charging Bands'!A1" display="Residual Charging Bandings" xr:uid="{00000000-0004-0000-0000-000009000000}"/>
    <hyperlink ref="A17" location="'TNUoS Mapping'!A1" display="TNUoS Mapping" xr:uid="{CD9A026F-265E-4B78-959E-D840978F3DD8}"/>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L43"/>
  <sheetViews>
    <sheetView zoomScale="90" zoomScaleNormal="90" zoomScaleSheetLayoutView="100" workbookViewId="0"/>
  </sheetViews>
  <sheetFormatPr defaultColWidth="9.140625" defaultRowHeight="27.75" customHeight="1" x14ac:dyDescent="0.3"/>
  <cols>
    <col min="1" max="1" width="49" style="57" bestFit="1" customWidth="1"/>
    <col min="2" max="2" width="17.5703125" style="64" customWidth="1"/>
    <col min="3" max="3" width="7.7109375" style="57" customWidth="1"/>
    <col min="4" max="4" width="17.5703125" style="57" customWidth="1"/>
    <col min="5" max="7" width="17.5703125" style="64" customWidth="1"/>
    <col min="8" max="9" width="17.5703125" style="65" customWidth="1"/>
    <col min="10" max="10" width="17.5703125" style="66" customWidth="1"/>
    <col min="11" max="11" width="17.5703125" style="67" customWidth="1"/>
    <col min="12" max="12" width="1.42578125" style="60" customWidth="1"/>
    <col min="13" max="16384" width="9.140625" style="57"/>
  </cols>
  <sheetData>
    <row r="1" spans="1:12" ht="27.75" customHeight="1" x14ac:dyDescent="0.2">
      <c r="A1" s="58" t="s">
        <v>18</v>
      </c>
      <c r="B1" s="207"/>
      <c r="C1" s="208"/>
      <c r="D1" s="208"/>
      <c r="E1" s="206"/>
      <c r="F1" s="206"/>
      <c r="G1" s="206"/>
      <c r="H1" s="206"/>
      <c r="I1" s="206"/>
      <c r="J1" s="206"/>
      <c r="K1" s="206"/>
      <c r="L1" s="192"/>
    </row>
    <row r="2" spans="1:12" ht="27" customHeight="1" x14ac:dyDescent="0.3">
      <c r="A2" s="211" t="str">
        <f>Overview!B4&amp; " - Effective from "&amp;Overview!D4&amp;" - "&amp;Overview!E4&amp;" LV and HV charges"</f>
        <v>Northern Powergrid (Yorkshire) Plc - Effective from 1 April 2026 - Final LV and HV charges</v>
      </c>
      <c r="B2" s="211"/>
      <c r="C2" s="211"/>
      <c r="D2" s="211"/>
      <c r="E2" s="211"/>
      <c r="F2" s="211"/>
      <c r="G2" s="211"/>
      <c r="H2" s="211"/>
      <c r="I2" s="211"/>
      <c r="J2" s="211"/>
      <c r="K2" s="211"/>
    </row>
    <row r="3" spans="1:12" s="63" customFormat="1" ht="15" customHeight="1" x14ac:dyDescent="0.3">
      <c r="A3" s="61"/>
      <c r="B3" s="61"/>
      <c r="C3" s="61"/>
      <c r="D3" s="61"/>
      <c r="E3" s="61"/>
      <c r="F3" s="61"/>
      <c r="G3" s="61"/>
      <c r="H3" s="61"/>
      <c r="I3" s="61"/>
      <c r="J3" s="61"/>
      <c r="K3" s="61"/>
      <c r="L3" s="62"/>
    </row>
    <row r="4" spans="1:12" ht="27" customHeight="1" x14ac:dyDescent="0.3">
      <c r="A4" s="211" t="s">
        <v>381</v>
      </c>
      <c r="B4" s="211"/>
      <c r="C4" s="211"/>
      <c r="D4" s="211"/>
      <c r="E4" s="211"/>
      <c r="F4" s="61"/>
      <c r="G4" s="211" t="s">
        <v>382</v>
      </c>
      <c r="H4" s="211"/>
      <c r="I4" s="211"/>
      <c r="J4" s="211"/>
      <c r="K4" s="211"/>
    </row>
    <row r="5" spans="1:12" ht="28.5" customHeight="1" x14ac:dyDescent="0.2">
      <c r="A5" s="140" t="s">
        <v>12</v>
      </c>
      <c r="B5" s="110" t="s">
        <v>275</v>
      </c>
      <c r="C5" s="212" t="s">
        <v>276</v>
      </c>
      <c r="D5" s="212"/>
      <c r="E5" s="112" t="s">
        <v>277</v>
      </c>
      <c r="F5" s="61"/>
      <c r="G5" s="214"/>
      <c r="H5" s="214"/>
      <c r="I5" s="113" t="s">
        <v>281</v>
      </c>
      <c r="J5" s="114" t="s">
        <v>282</v>
      </c>
      <c r="K5" s="112" t="s">
        <v>277</v>
      </c>
      <c r="L5" s="61"/>
    </row>
    <row r="6" spans="1:12" ht="65.25" customHeight="1" x14ac:dyDescent="0.2">
      <c r="A6" s="118" t="s">
        <v>278</v>
      </c>
      <c r="B6" s="72" t="s">
        <v>1381</v>
      </c>
      <c r="C6" s="213" t="s">
        <v>1382</v>
      </c>
      <c r="D6" s="213"/>
      <c r="E6" s="72" t="s">
        <v>1383</v>
      </c>
      <c r="F6" s="61"/>
      <c r="G6" s="205" t="s">
        <v>279</v>
      </c>
      <c r="H6" s="205"/>
      <c r="I6" s="72" t="s">
        <v>1381</v>
      </c>
      <c r="J6" s="72" t="s">
        <v>1382</v>
      </c>
      <c r="K6" s="72" t="s">
        <v>1383</v>
      </c>
      <c r="L6" s="61"/>
    </row>
    <row r="7" spans="1:12" ht="65.25" customHeight="1" x14ac:dyDescent="0.2">
      <c r="A7" s="118" t="s">
        <v>14</v>
      </c>
      <c r="B7" s="117">
        <v>0</v>
      </c>
      <c r="C7" s="215">
        <v>0</v>
      </c>
      <c r="D7" s="215"/>
      <c r="E7" s="72" t="s">
        <v>1384</v>
      </c>
      <c r="F7" s="61"/>
      <c r="G7" s="205" t="s">
        <v>369</v>
      </c>
      <c r="H7" s="205"/>
      <c r="I7" s="117">
        <v>0</v>
      </c>
      <c r="J7" s="72" t="s">
        <v>1386</v>
      </c>
      <c r="K7" s="72" t="s">
        <v>1383</v>
      </c>
      <c r="L7" s="61"/>
    </row>
    <row r="8" spans="1:12" ht="65.25" customHeight="1" x14ac:dyDescent="0.2">
      <c r="A8" s="118" t="s">
        <v>13</v>
      </c>
      <c r="B8" s="209" t="s">
        <v>1385</v>
      </c>
      <c r="C8" s="209"/>
      <c r="D8" s="209"/>
      <c r="E8" s="209"/>
      <c r="F8" s="61"/>
      <c r="G8" s="205" t="s">
        <v>293</v>
      </c>
      <c r="H8" s="205"/>
      <c r="I8" s="117">
        <v>0</v>
      </c>
      <c r="J8" s="117">
        <v>0</v>
      </c>
      <c r="K8" s="72" t="s">
        <v>1384</v>
      </c>
      <c r="L8" s="61"/>
    </row>
    <row r="9" spans="1:12" s="63" customFormat="1" ht="27" customHeight="1" x14ac:dyDescent="0.3">
      <c r="A9" s="61"/>
      <c r="B9" s="61"/>
      <c r="C9" s="61"/>
      <c r="D9" s="61"/>
      <c r="E9" s="61"/>
      <c r="F9" s="61"/>
      <c r="G9" s="210" t="s">
        <v>13</v>
      </c>
      <c r="H9" s="210"/>
      <c r="I9" s="209" t="s">
        <v>1385</v>
      </c>
      <c r="J9" s="209"/>
      <c r="K9" s="209"/>
      <c r="L9" s="62"/>
    </row>
    <row r="10" spans="1:12" s="63" customFormat="1" ht="18.75" x14ac:dyDescent="0.3">
      <c r="A10" s="61"/>
      <c r="B10" s="61"/>
      <c r="C10" s="61"/>
      <c r="D10" s="61"/>
      <c r="E10" s="61"/>
      <c r="F10" s="61"/>
      <c r="G10" s="61"/>
      <c r="H10" s="61"/>
      <c r="I10" s="61"/>
      <c r="J10" s="61"/>
      <c r="K10" s="61"/>
      <c r="L10" s="62"/>
    </row>
    <row r="11" spans="1:12" ht="78.75" customHeight="1" x14ac:dyDescent="0.3">
      <c r="A11" s="122" t="s">
        <v>355</v>
      </c>
      <c r="B11" s="123" t="s">
        <v>22</v>
      </c>
      <c r="C11" s="123" t="s">
        <v>23</v>
      </c>
      <c r="D11" s="73" t="s">
        <v>383</v>
      </c>
      <c r="E11" s="73" t="s">
        <v>384</v>
      </c>
      <c r="F11" s="73" t="s">
        <v>385</v>
      </c>
      <c r="G11" s="123" t="s">
        <v>24</v>
      </c>
      <c r="H11" s="123" t="s">
        <v>25</v>
      </c>
      <c r="I11" s="122" t="s">
        <v>356</v>
      </c>
      <c r="J11" s="123" t="s">
        <v>256</v>
      </c>
      <c r="K11" s="123" t="s">
        <v>0</v>
      </c>
    </row>
    <row r="12" spans="1:12" ht="32.25" customHeight="1" x14ac:dyDescent="0.3">
      <c r="A12" s="140" t="s">
        <v>592</v>
      </c>
      <c r="B12" s="125" t="s">
        <v>1389</v>
      </c>
      <c r="C12" s="141" t="s">
        <v>445</v>
      </c>
      <c r="D12" s="127">
        <v>6.7859999999999996</v>
      </c>
      <c r="E12" s="128">
        <v>1.819</v>
      </c>
      <c r="F12" s="129">
        <v>0.21199999999999999</v>
      </c>
      <c r="G12" s="143">
        <v>18.03</v>
      </c>
      <c r="H12" s="131">
        <v>0</v>
      </c>
      <c r="I12" s="131">
        <v>0</v>
      </c>
      <c r="J12" s="132">
        <v>0</v>
      </c>
      <c r="K12" s="125">
        <v>999</v>
      </c>
    </row>
    <row r="13" spans="1:12" ht="32.25" customHeight="1" x14ac:dyDescent="0.3">
      <c r="A13" s="140" t="s">
        <v>442</v>
      </c>
      <c r="B13" s="125" t="s">
        <v>1390</v>
      </c>
      <c r="C13" s="141">
        <v>2</v>
      </c>
      <c r="D13" s="127">
        <v>6.7859999999999996</v>
      </c>
      <c r="E13" s="128">
        <v>1.819</v>
      </c>
      <c r="F13" s="129">
        <v>0.21199999999999999</v>
      </c>
      <c r="G13" s="131">
        <v>0</v>
      </c>
      <c r="H13" s="131">
        <v>0</v>
      </c>
      <c r="I13" s="131">
        <v>0</v>
      </c>
      <c r="J13" s="132">
        <v>0</v>
      </c>
      <c r="K13" s="125"/>
    </row>
    <row r="14" spans="1:12" ht="32.25" customHeight="1" x14ac:dyDescent="0.3">
      <c r="A14" s="140" t="s">
        <v>595</v>
      </c>
      <c r="B14" s="125" t="s">
        <v>1391</v>
      </c>
      <c r="C14" s="141" t="s">
        <v>446</v>
      </c>
      <c r="D14" s="127">
        <v>8.1649999999999991</v>
      </c>
      <c r="E14" s="128">
        <v>2.1880000000000002</v>
      </c>
      <c r="F14" s="129">
        <v>0.255</v>
      </c>
      <c r="G14" s="143">
        <v>12.11</v>
      </c>
      <c r="H14" s="131">
        <v>0</v>
      </c>
      <c r="I14" s="131">
        <v>0</v>
      </c>
      <c r="J14" s="132">
        <v>0</v>
      </c>
      <c r="K14" s="125"/>
    </row>
    <row r="15" spans="1:12" ht="32.25" customHeight="1" x14ac:dyDescent="0.3">
      <c r="A15" s="140" t="s">
        <v>596</v>
      </c>
      <c r="B15" s="125" t="s">
        <v>1392</v>
      </c>
      <c r="C15" s="141" t="s">
        <v>446</v>
      </c>
      <c r="D15" s="127">
        <v>8.1649999999999991</v>
      </c>
      <c r="E15" s="128">
        <v>2.1880000000000002</v>
      </c>
      <c r="F15" s="129">
        <v>0.255</v>
      </c>
      <c r="G15" s="143">
        <v>17.829999999999998</v>
      </c>
      <c r="H15" s="131">
        <v>0</v>
      </c>
      <c r="I15" s="131">
        <v>0</v>
      </c>
      <c r="J15" s="132">
        <v>0</v>
      </c>
      <c r="K15" s="125"/>
    </row>
    <row r="16" spans="1:12" ht="32.25" customHeight="1" x14ac:dyDescent="0.3">
      <c r="A16" s="140" t="s">
        <v>598</v>
      </c>
      <c r="B16" s="125" t="s">
        <v>1393</v>
      </c>
      <c r="C16" s="141" t="s">
        <v>446</v>
      </c>
      <c r="D16" s="127">
        <v>8.1649999999999991</v>
      </c>
      <c r="E16" s="128">
        <v>2.1880000000000002</v>
      </c>
      <c r="F16" s="129">
        <v>0.255</v>
      </c>
      <c r="G16" s="143">
        <v>26.38</v>
      </c>
      <c r="H16" s="131">
        <v>0</v>
      </c>
      <c r="I16" s="131">
        <v>0</v>
      </c>
      <c r="J16" s="132">
        <v>0</v>
      </c>
      <c r="K16" s="125"/>
    </row>
    <row r="17" spans="1:11" ht="32.25" customHeight="1" x14ac:dyDescent="0.3">
      <c r="A17" s="140" t="s">
        <v>600</v>
      </c>
      <c r="B17" s="125" t="s">
        <v>1394</v>
      </c>
      <c r="C17" s="141" t="s">
        <v>446</v>
      </c>
      <c r="D17" s="127">
        <v>8.1649999999999991</v>
      </c>
      <c r="E17" s="128">
        <v>2.1880000000000002</v>
      </c>
      <c r="F17" s="129">
        <v>0.255</v>
      </c>
      <c r="G17" s="143">
        <v>41.96</v>
      </c>
      <c r="H17" s="131">
        <v>0</v>
      </c>
      <c r="I17" s="131">
        <v>0</v>
      </c>
      <c r="J17" s="132">
        <v>0</v>
      </c>
      <c r="K17" s="125"/>
    </row>
    <row r="18" spans="1:11" ht="32.25" customHeight="1" x14ac:dyDescent="0.3">
      <c r="A18" s="140" t="s">
        <v>602</v>
      </c>
      <c r="B18" s="125" t="s">
        <v>1395</v>
      </c>
      <c r="C18" s="141" t="s">
        <v>446</v>
      </c>
      <c r="D18" s="127">
        <v>8.1649999999999991</v>
      </c>
      <c r="E18" s="128">
        <v>2.1880000000000002</v>
      </c>
      <c r="F18" s="129">
        <v>0.255</v>
      </c>
      <c r="G18" s="143">
        <v>95.09</v>
      </c>
      <c r="H18" s="131">
        <v>0</v>
      </c>
      <c r="I18" s="131">
        <v>0</v>
      </c>
      <c r="J18" s="132">
        <v>0</v>
      </c>
      <c r="K18" s="125"/>
    </row>
    <row r="19" spans="1:11" ht="32.25" customHeight="1" x14ac:dyDescent="0.3">
      <c r="A19" s="140" t="s">
        <v>371</v>
      </c>
      <c r="B19" s="125" t="s">
        <v>1396</v>
      </c>
      <c r="C19" s="141">
        <v>4</v>
      </c>
      <c r="D19" s="127">
        <v>8.1649999999999991</v>
      </c>
      <c r="E19" s="128">
        <v>2.1880000000000002</v>
      </c>
      <c r="F19" s="129">
        <v>0.255</v>
      </c>
      <c r="G19" s="131">
        <v>0</v>
      </c>
      <c r="H19" s="131">
        <v>0</v>
      </c>
      <c r="I19" s="131">
        <v>0</v>
      </c>
      <c r="J19" s="132">
        <v>0</v>
      </c>
      <c r="K19" s="125"/>
    </row>
    <row r="20" spans="1:11" ht="32.25" customHeight="1" x14ac:dyDescent="0.3">
      <c r="A20" s="140" t="s">
        <v>452</v>
      </c>
      <c r="B20" s="125" t="s">
        <v>1397</v>
      </c>
      <c r="C20" s="141">
        <v>0</v>
      </c>
      <c r="D20" s="127">
        <v>5.8289999999999997</v>
      </c>
      <c r="E20" s="128">
        <v>1.528</v>
      </c>
      <c r="F20" s="129">
        <v>0.17199999999999999</v>
      </c>
      <c r="G20" s="143">
        <v>16.100000000000001</v>
      </c>
      <c r="H20" s="143">
        <v>3.82</v>
      </c>
      <c r="I20" s="144">
        <v>3.82</v>
      </c>
      <c r="J20" s="134">
        <v>0.11799999999999999</v>
      </c>
      <c r="K20" s="125"/>
    </row>
    <row r="21" spans="1:11" ht="32.25" customHeight="1" x14ac:dyDescent="0.3">
      <c r="A21" s="140" t="s">
        <v>453</v>
      </c>
      <c r="B21" s="125" t="s">
        <v>1398</v>
      </c>
      <c r="C21" s="141">
        <v>0</v>
      </c>
      <c r="D21" s="127">
        <v>5.8289999999999997</v>
      </c>
      <c r="E21" s="128">
        <v>1.528</v>
      </c>
      <c r="F21" s="129">
        <v>0.17199999999999999</v>
      </c>
      <c r="G21" s="143">
        <v>154.80000000000001</v>
      </c>
      <c r="H21" s="143">
        <v>3.82</v>
      </c>
      <c r="I21" s="144">
        <v>3.82</v>
      </c>
      <c r="J21" s="134">
        <v>0.11799999999999999</v>
      </c>
      <c r="K21" s="125"/>
    </row>
    <row r="22" spans="1:11" ht="32.25" customHeight="1" x14ac:dyDescent="0.3">
      <c r="A22" s="140" t="s">
        <v>454</v>
      </c>
      <c r="B22" s="125" t="s">
        <v>1399</v>
      </c>
      <c r="C22" s="141">
        <v>0</v>
      </c>
      <c r="D22" s="127">
        <v>5.8289999999999997</v>
      </c>
      <c r="E22" s="128">
        <v>1.528</v>
      </c>
      <c r="F22" s="129">
        <v>0.17199999999999999</v>
      </c>
      <c r="G22" s="143">
        <v>293.64999999999998</v>
      </c>
      <c r="H22" s="143">
        <v>3.82</v>
      </c>
      <c r="I22" s="144">
        <v>3.82</v>
      </c>
      <c r="J22" s="134">
        <v>0.11799999999999999</v>
      </c>
      <c r="K22" s="125"/>
    </row>
    <row r="23" spans="1:11" ht="32.25" customHeight="1" x14ac:dyDescent="0.3">
      <c r="A23" s="140" t="s">
        <v>455</v>
      </c>
      <c r="B23" s="125" t="s">
        <v>1400</v>
      </c>
      <c r="C23" s="141">
        <v>0</v>
      </c>
      <c r="D23" s="127">
        <v>5.8289999999999997</v>
      </c>
      <c r="E23" s="128">
        <v>1.528</v>
      </c>
      <c r="F23" s="129">
        <v>0.17199999999999999</v>
      </c>
      <c r="G23" s="143">
        <v>433.95</v>
      </c>
      <c r="H23" s="143">
        <v>3.82</v>
      </c>
      <c r="I23" s="144">
        <v>3.82</v>
      </c>
      <c r="J23" s="134">
        <v>0.11799999999999999</v>
      </c>
      <c r="K23" s="125"/>
    </row>
    <row r="24" spans="1:11" ht="32.25" customHeight="1" x14ac:dyDescent="0.3">
      <c r="A24" s="140" t="s">
        <v>456</v>
      </c>
      <c r="B24" s="125" t="s">
        <v>1401</v>
      </c>
      <c r="C24" s="141">
        <v>0</v>
      </c>
      <c r="D24" s="127">
        <v>5.8289999999999997</v>
      </c>
      <c r="E24" s="128">
        <v>1.528</v>
      </c>
      <c r="F24" s="129">
        <v>0.17199999999999999</v>
      </c>
      <c r="G24" s="143">
        <v>886.25</v>
      </c>
      <c r="H24" s="143">
        <v>3.82</v>
      </c>
      <c r="I24" s="144">
        <v>3.82</v>
      </c>
      <c r="J24" s="134">
        <v>0.11799999999999999</v>
      </c>
      <c r="K24" s="125"/>
    </row>
    <row r="25" spans="1:11" ht="32.25" customHeight="1" x14ac:dyDescent="0.3">
      <c r="A25" s="140" t="s">
        <v>457</v>
      </c>
      <c r="B25" s="125" t="s">
        <v>1402</v>
      </c>
      <c r="C25" s="141">
        <v>0</v>
      </c>
      <c r="D25" s="127">
        <v>3.714</v>
      </c>
      <c r="E25" s="128">
        <v>0.92300000000000004</v>
      </c>
      <c r="F25" s="129">
        <v>9.4E-2</v>
      </c>
      <c r="G25" s="143">
        <v>16.100000000000001</v>
      </c>
      <c r="H25" s="143">
        <v>3.07</v>
      </c>
      <c r="I25" s="144">
        <v>3.07</v>
      </c>
      <c r="J25" s="134">
        <v>6.8000000000000005E-2</v>
      </c>
      <c r="K25" s="125"/>
    </row>
    <row r="26" spans="1:11" ht="32.25" customHeight="1" x14ac:dyDescent="0.3">
      <c r="A26" s="140" t="s">
        <v>458</v>
      </c>
      <c r="B26" s="125" t="s">
        <v>1403</v>
      </c>
      <c r="C26" s="141">
        <v>0</v>
      </c>
      <c r="D26" s="127">
        <v>3.714</v>
      </c>
      <c r="E26" s="128">
        <v>0.92300000000000004</v>
      </c>
      <c r="F26" s="129">
        <v>9.4E-2</v>
      </c>
      <c r="G26" s="143">
        <v>154.80000000000001</v>
      </c>
      <c r="H26" s="143">
        <v>3.07</v>
      </c>
      <c r="I26" s="144">
        <v>3.07</v>
      </c>
      <c r="J26" s="134">
        <v>6.8000000000000005E-2</v>
      </c>
      <c r="K26" s="125"/>
    </row>
    <row r="27" spans="1:11" ht="32.25" customHeight="1" x14ac:dyDescent="0.3">
      <c r="A27" s="140" t="s">
        <v>459</v>
      </c>
      <c r="B27" s="125" t="s">
        <v>1404</v>
      </c>
      <c r="C27" s="141">
        <v>0</v>
      </c>
      <c r="D27" s="127">
        <v>3.714</v>
      </c>
      <c r="E27" s="128">
        <v>0.92300000000000004</v>
      </c>
      <c r="F27" s="129">
        <v>9.4E-2</v>
      </c>
      <c r="G27" s="143">
        <v>293.64999999999998</v>
      </c>
      <c r="H27" s="143">
        <v>3.07</v>
      </c>
      <c r="I27" s="144">
        <v>3.07</v>
      </c>
      <c r="J27" s="134">
        <v>6.8000000000000005E-2</v>
      </c>
      <c r="K27" s="125"/>
    </row>
    <row r="28" spans="1:11" ht="27.75" customHeight="1" x14ac:dyDescent="0.3">
      <c r="A28" s="140" t="s">
        <v>460</v>
      </c>
      <c r="B28" s="125" t="s">
        <v>1405</v>
      </c>
      <c r="C28" s="141">
        <v>0</v>
      </c>
      <c r="D28" s="127">
        <v>3.714</v>
      </c>
      <c r="E28" s="128">
        <v>0.92300000000000004</v>
      </c>
      <c r="F28" s="129">
        <v>9.4E-2</v>
      </c>
      <c r="G28" s="143">
        <v>433.95</v>
      </c>
      <c r="H28" s="143">
        <v>3.07</v>
      </c>
      <c r="I28" s="144">
        <v>3.07</v>
      </c>
      <c r="J28" s="134">
        <v>6.8000000000000005E-2</v>
      </c>
      <c r="K28" s="125"/>
    </row>
    <row r="29" spans="1:11" ht="27.75" customHeight="1" x14ac:dyDescent="0.3">
      <c r="A29" s="140" t="s">
        <v>461</v>
      </c>
      <c r="B29" s="125" t="s">
        <v>1406</v>
      </c>
      <c r="C29" s="141">
        <v>0</v>
      </c>
      <c r="D29" s="127">
        <v>3.714</v>
      </c>
      <c r="E29" s="128">
        <v>0.92300000000000004</v>
      </c>
      <c r="F29" s="129">
        <v>9.4E-2</v>
      </c>
      <c r="G29" s="143">
        <v>886.25</v>
      </c>
      <c r="H29" s="143">
        <v>3.07</v>
      </c>
      <c r="I29" s="144">
        <v>3.07</v>
      </c>
      <c r="J29" s="134">
        <v>6.8000000000000005E-2</v>
      </c>
      <c r="K29" s="125"/>
    </row>
    <row r="30" spans="1:11" ht="27.75" customHeight="1" x14ac:dyDescent="0.3">
      <c r="A30" s="140" t="s">
        <v>462</v>
      </c>
      <c r="B30" s="125" t="s">
        <v>1407</v>
      </c>
      <c r="C30" s="141">
        <v>0</v>
      </c>
      <c r="D30" s="127">
        <v>2.5139999999999998</v>
      </c>
      <c r="E30" s="128">
        <v>0.58799999999999997</v>
      </c>
      <c r="F30" s="129">
        <v>5.1999999999999998E-2</v>
      </c>
      <c r="G30" s="143">
        <v>421.64</v>
      </c>
      <c r="H30" s="143">
        <v>3.78</v>
      </c>
      <c r="I30" s="144">
        <v>3.78</v>
      </c>
      <c r="J30" s="134">
        <v>4.1000000000000002E-2</v>
      </c>
      <c r="K30" s="125"/>
    </row>
    <row r="31" spans="1:11" ht="27.75" customHeight="1" x14ac:dyDescent="0.3">
      <c r="A31" s="140" t="s">
        <v>463</v>
      </c>
      <c r="B31" s="125" t="s">
        <v>1408</v>
      </c>
      <c r="C31" s="141">
        <v>0</v>
      </c>
      <c r="D31" s="127">
        <v>2.5139999999999998</v>
      </c>
      <c r="E31" s="128">
        <v>0.58799999999999997</v>
      </c>
      <c r="F31" s="129">
        <v>5.1999999999999998E-2</v>
      </c>
      <c r="G31" s="143">
        <v>1251.4100000000001</v>
      </c>
      <c r="H31" s="143">
        <v>3.78</v>
      </c>
      <c r="I31" s="144">
        <v>3.78</v>
      </c>
      <c r="J31" s="134">
        <v>4.1000000000000002E-2</v>
      </c>
      <c r="K31" s="125"/>
    </row>
    <row r="32" spans="1:11" ht="27.75" customHeight="1" x14ac:dyDescent="0.3">
      <c r="A32" s="140" t="s">
        <v>464</v>
      </c>
      <c r="B32" s="125" t="s">
        <v>1409</v>
      </c>
      <c r="C32" s="141">
        <v>0</v>
      </c>
      <c r="D32" s="127">
        <v>2.5139999999999998</v>
      </c>
      <c r="E32" s="128">
        <v>0.58799999999999997</v>
      </c>
      <c r="F32" s="129">
        <v>5.1999999999999998E-2</v>
      </c>
      <c r="G32" s="143">
        <v>2908.28</v>
      </c>
      <c r="H32" s="143">
        <v>3.78</v>
      </c>
      <c r="I32" s="144">
        <v>3.78</v>
      </c>
      <c r="J32" s="134">
        <v>4.1000000000000002E-2</v>
      </c>
      <c r="K32" s="125"/>
    </row>
    <row r="33" spans="1:11" ht="27.75" customHeight="1" x14ac:dyDescent="0.3">
      <c r="A33" s="140" t="s">
        <v>465</v>
      </c>
      <c r="B33" s="125" t="s">
        <v>1410</v>
      </c>
      <c r="C33" s="141">
        <v>0</v>
      </c>
      <c r="D33" s="127">
        <v>2.5139999999999998</v>
      </c>
      <c r="E33" s="128">
        <v>0.58799999999999997</v>
      </c>
      <c r="F33" s="129">
        <v>5.1999999999999998E-2</v>
      </c>
      <c r="G33" s="143">
        <v>5506.52</v>
      </c>
      <c r="H33" s="143">
        <v>3.78</v>
      </c>
      <c r="I33" s="144">
        <v>3.78</v>
      </c>
      <c r="J33" s="134">
        <v>4.1000000000000002E-2</v>
      </c>
      <c r="K33" s="125"/>
    </row>
    <row r="34" spans="1:11" ht="27.75" customHeight="1" x14ac:dyDescent="0.3">
      <c r="A34" s="140" t="s">
        <v>466</v>
      </c>
      <c r="B34" s="125" t="s">
        <v>1411</v>
      </c>
      <c r="C34" s="141">
        <v>0</v>
      </c>
      <c r="D34" s="127">
        <v>2.5139999999999998</v>
      </c>
      <c r="E34" s="128">
        <v>0.58799999999999997</v>
      </c>
      <c r="F34" s="129">
        <v>5.1999999999999998E-2</v>
      </c>
      <c r="G34" s="143">
        <v>12820.57</v>
      </c>
      <c r="H34" s="143">
        <v>3.78</v>
      </c>
      <c r="I34" s="144">
        <v>3.78</v>
      </c>
      <c r="J34" s="134">
        <v>4.1000000000000002E-2</v>
      </c>
      <c r="K34" s="125"/>
    </row>
    <row r="35" spans="1:11" ht="27.75" customHeight="1" x14ac:dyDescent="0.3">
      <c r="A35" s="140" t="s">
        <v>372</v>
      </c>
      <c r="B35" s="125" t="s">
        <v>1412</v>
      </c>
      <c r="C35" s="141" t="s">
        <v>447</v>
      </c>
      <c r="D35" s="135">
        <v>20.504000000000001</v>
      </c>
      <c r="E35" s="136">
        <v>2.3929999999999998</v>
      </c>
      <c r="F35" s="137">
        <v>0.89</v>
      </c>
      <c r="G35" s="131">
        <v>0</v>
      </c>
      <c r="H35" s="131">
        <v>0</v>
      </c>
      <c r="I35" s="131">
        <v>0</v>
      </c>
      <c r="J35" s="132">
        <v>0</v>
      </c>
      <c r="K35" s="125"/>
    </row>
    <row r="36" spans="1:11" ht="27.75" customHeight="1" x14ac:dyDescent="0.3">
      <c r="A36" s="140" t="s">
        <v>373</v>
      </c>
      <c r="B36" s="125" t="s">
        <v>1413</v>
      </c>
      <c r="C36" s="141">
        <v>0</v>
      </c>
      <c r="D36" s="127">
        <v>-4.8949999999999996</v>
      </c>
      <c r="E36" s="128">
        <v>-1.3120000000000001</v>
      </c>
      <c r="F36" s="129">
        <v>-0.153</v>
      </c>
      <c r="G36" s="131">
        <v>0</v>
      </c>
      <c r="H36" s="131">
        <v>0</v>
      </c>
      <c r="I36" s="131">
        <v>0</v>
      </c>
      <c r="J36" s="132">
        <v>0</v>
      </c>
      <c r="K36" s="125"/>
    </row>
    <row r="37" spans="1:11" ht="27.75" customHeight="1" x14ac:dyDescent="0.3">
      <c r="A37" s="140" t="s">
        <v>374</v>
      </c>
      <c r="B37" s="125" t="s">
        <v>1414</v>
      </c>
      <c r="C37" s="141">
        <v>0</v>
      </c>
      <c r="D37" s="127">
        <v>-4.0460000000000003</v>
      </c>
      <c r="E37" s="128">
        <v>-1.07</v>
      </c>
      <c r="F37" s="129">
        <v>-0.122</v>
      </c>
      <c r="G37" s="131">
        <v>0</v>
      </c>
      <c r="H37" s="131">
        <v>0</v>
      </c>
      <c r="I37" s="131">
        <v>0</v>
      </c>
      <c r="J37" s="132">
        <v>0</v>
      </c>
      <c r="K37" s="125"/>
    </row>
    <row r="38" spans="1:11" ht="27.75" customHeight="1" x14ac:dyDescent="0.3">
      <c r="A38" s="140" t="s">
        <v>375</v>
      </c>
      <c r="B38" s="125" t="s">
        <v>1415</v>
      </c>
      <c r="C38" s="141">
        <v>0</v>
      </c>
      <c r="D38" s="127">
        <v>-4.8949999999999996</v>
      </c>
      <c r="E38" s="128">
        <v>-1.3120000000000001</v>
      </c>
      <c r="F38" s="129">
        <v>-0.153</v>
      </c>
      <c r="G38" s="131">
        <v>0</v>
      </c>
      <c r="H38" s="131">
        <v>0</v>
      </c>
      <c r="I38" s="131">
        <v>0</v>
      </c>
      <c r="J38" s="134">
        <v>9.0999999999999998E-2</v>
      </c>
      <c r="K38" s="125"/>
    </row>
    <row r="39" spans="1:11" ht="27.75" customHeight="1" x14ac:dyDescent="0.3">
      <c r="A39" s="140" t="s">
        <v>376</v>
      </c>
      <c r="B39" s="125" t="s">
        <v>1416</v>
      </c>
      <c r="C39" s="141">
        <v>0</v>
      </c>
      <c r="D39" s="127">
        <v>-4.8949999999999996</v>
      </c>
      <c r="E39" s="128">
        <v>-1.3120000000000001</v>
      </c>
      <c r="F39" s="129">
        <v>-0.153</v>
      </c>
      <c r="G39" s="131">
        <v>0</v>
      </c>
      <c r="H39" s="131">
        <v>0</v>
      </c>
      <c r="I39" s="131">
        <v>0</v>
      </c>
      <c r="J39" s="132">
        <v>0</v>
      </c>
      <c r="K39" s="125"/>
    </row>
    <row r="40" spans="1:11" ht="27.75" customHeight="1" x14ac:dyDescent="0.3">
      <c r="A40" s="140" t="s">
        <v>377</v>
      </c>
      <c r="B40" s="125" t="s">
        <v>1417</v>
      </c>
      <c r="C40" s="141">
        <v>0</v>
      </c>
      <c r="D40" s="127">
        <v>-4.0460000000000003</v>
      </c>
      <c r="E40" s="128">
        <v>-1.07</v>
      </c>
      <c r="F40" s="129">
        <v>-0.122</v>
      </c>
      <c r="G40" s="131">
        <v>0</v>
      </c>
      <c r="H40" s="131">
        <v>0</v>
      </c>
      <c r="I40" s="131">
        <v>0</v>
      </c>
      <c r="J40" s="134">
        <v>8.3000000000000004E-2</v>
      </c>
      <c r="K40" s="125"/>
    </row>
    <row r="41" spans="1:11" ht="27.75" customHeight="1" x14ac:dyDescent="0.3">
      <c r="A41" s="140" t="s">
        <v>378</v>
      </c>
      <c r="B41" s="125" t="s">
        <v>1418</v>
      </c>
      <c r="C41" s="141">
        <v>0</v>
      </c>
      <c r="D41" s="127">
        <v>-4.0460000000000003</v>
      </c>
      <c r="E41" s="128">
        <v>-1.07</v>
      </c>
      <c r="F41" s="129">
        <v>-0.122</v>
      </c>
      <c r="G41" s="131">
        <v>0</v>
      </c>
      <c r="H41" s="131">
        <v>0</v>
      </c>
      <c r="I41" s="131">
        <v>0</v>
      </c>
      <c r="J41" s="132">
        <v>0</v>
      </c>
      <c r="K41" s="125"/>
    </row>
    <row r="42" spans="1:11" ht="27.75" customHeight="1" x14ac:dyDescent="0.3">
      <c r="A42" s="140" t="s">
        <v>379</v>
      </c>
      <c r="B42" s="125" t="s">
        <v>1419</v>
      </c>
      <c r="C42" s="141">
        <v>0</v>
      </c>
      <c r="D42" s="127">
        <v>-2.8260000000000001</v>
      </c>
      <c r="E42" s="128">
        <v>-0.70199999999999996</v>
      </c>
      <c r="F42" s="129">
        <v>-7.0999999999999994E-2</v>
      </c>
      <c r="G42" s="143">
        <v>93.7</v>
      </c>
      <c r="H42" s="131">
        <v>0</v>
      </c>
      <c r="I42" s="131">
        <v>0</v>
      </c>
      <c r="J42" s="134">
        <v>7.2999999999999995E-2</v>
      </c>
      <c r="K42" s="125"/>
    </row>
    <row r="43" spans="1:11" ht="27.75" customHeight="1" x14ac:dyDescent="0.3">
      <c r="A43" s="140" t="s">
        <v>380</v>
      </c>
      <c r="B43" s="125" t="s">
        <v>1420</v>
      </c>
      <c r="C43" s="141">
        <v>0</v>
      </c>
      <c r="D43" s="127">
        <v>-2.8260000000000001</v>
      </c>
      <c r="E43" s="128">
        <v>-0.70199999999999996</v>
      </c>
      <c r="F43" s="129">
        <v>-7.0999999999999994E-2</v>
      </c>
      <c r="G43" s="143">
        <v>93.7</v>
      </c>
      <c r="H43" s="131">
        <v>0</v>
      </c>
      <c r="I43" s="131">
        <v>0</v>
      </c>
      <c r="J43" s="132">
        <v>0</v>
      </c>
      <c r="K43" s="125"/>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G8:H8"/>
    <mergeCell ref="E1:K1"/>
    <mergeCell ref="B1:D1"/>
    <mergeCell ref="I9:K9"/>
    <mergeCell ref="G9:H9"/>
    <mergeCell ref="A2:K2"/>
    <mergeCell ref="C5:D5"/>
    <mergeCell ref="C6:D6"/>
    <mergeCell ref="G5:H5"/>
    <mergeCell ref="G6:H6"/>
    <mergeCell ref="G4:K4"/>
    <mergeCell ref="A4:E4"/>
    <mergeCell ref="C7:D7"/>
    <mergeCell ref="B8:E8"/>
    <mergeCell ref="G7:H7"/>
  </mergeCells>
  <phoneticPr fontId="4" type="noConversion"/>
  <hyperlinks>
    <hyperlink ref="A1" location="Overview!A1" display="Back to Overview" xr:uid="{00000000-0004-0000-0100-000000000000}"/>
  </hyperlinks>
  <pageMargins left="0.39370078740157483" right="0.39370078740157483" top="0.9055118110236221" bottom="0.78740157480314965" header="0.31496062992125984" footer="0.27559055118110237"/>
  <pageSetup paperSize="9" scale="43" fitToHeight="0" orientation="portrait" r:id="rId2"/>
  <headerFooter differentFirst="1" scaleWithDoc="0">
    <oddHeader>&amp;L&amp;"Trebuchet MS,Bold"
Annex 1&amp;"Trebuchet MS,Regular" - Schedule of Charges for use of the Distribution System by LV and HV Designated Properties</oddHeader>
    <firstHeader>&amp;L&amp;"Trebuchet MS,Regular"
&amp;"Trebuchet MS,Bold"Annex 1&amp;"Trebuchet MS,Regular" - Schedule of Charges for use of the Distribution System by LV and HV Designated Properties</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P177"/>
  <sheetViews>
    <sheetView zoomScale="90" zoomScaleNormal="90" zoomScaleSheetLayoutView="100" workbookViewId="0"/>
  </sheetViews>
  <sheetFormatPr defaultColWidth="9.140625" defaultRowHeight="15" x14ac:dyDescent="0.3"/>
  <cols>
    <col min="1" max="1" width="15.42578125" style="69" bestFit="1" customWidth="1"/>
    <col min="2" max="2" width="9.5703125" style="69" bestFit="1" customWidth="1"/>
    <col min="3" max="3" width="14.28515625" style="69" bestFit="1" customWidth="1"/>
    <col min="4" max="4" width="14.140625" style="89" bestFit="1" customWidth="1"/>
    <col min="5" max="5" width="5.85546875" style="89" bestFit="1" customWidth="1"/>
    <col min="6" max="6" width="14.28515625" style="89" bestFit="1" customWidth="1"/>
    <col min="7" max="7" width="50" style="89" bestFit="1" customWidth="1"/>
    <col min="8" max="8" width="12.85546875" style="89" customWidth="1"/>
    <col min="9" max="9" width="12.85546875" style="89" bestFit="1" customWidth="1"/>
    <col min="10" max="10" width="12.5703125" style="90" bestFit="1" customWidth="1"/>
    <col min="11" max="12" width="11.85546875" style="91" bestFit="1" customWidth="1"/>
    <col min="13" max="13" width="12.85546875" style="69" bestFit="1" customWidth="1"/>
    <col min="14" max="14" width="12.5703125" style="69" bestFit="1" customWidth="1"/>
    <col min="15" max="16" width="11.85546875" style="69" bestFit="1" customWidth="1"/>
    <col min="17" max="16384" width="9.140625" style="69"/>
  </cols>
  <sheetData>
    <row r="1" spans="1:16" x14ac:dyDescent="0.2">
      <c r="A1" s="68" t="s">
        <v>18</v>
      </c>
      <c r="B1" s="68"/>
      <c r="C1" s="217"/>
      <c r="D1" s="217"/>
      <c r="E1" s="59"/>
      <c r="F1" s="216" t="s">
        <v>30</v>
      </c>
      <c r="G1" s="216"/>
      <c r="H1" s="216"/>
      <c r="I1" s="216"/>
      <c r="J1" s="216"/>
      <c r="K1" s="216"/>
      <c r="L1" s="216"/>
      <c r="M1" s="216"/>
      <c r="N1" s="216"/>
      <c r="O1" s="216"/>
      <c r="P1" s="216"/>
    </row>
    <row r="2" spans="1:16" s="70" customFormat="1" ht="18.75" x14ac:dyDescent="0.2">
      <c r="A2" s="211" t="str">
        <f>Overview!B4&amp; " - Effective from "&amp;Overview!D4&amp;" - "&amp;Overview!E4&amp;" Designated EHV charges"</f>
        <v>Northern Powergrid (Yorkshire) Plc - Effective from 1 April 2026 - Final Designated EHV charges</v>
      </c>
      <c r="B2" s="211"/>
      <c r="C2" s="211"/>
      <c r="D2" s="211"/>
      <c r="E2" s="211"/>
      <c r="F2" s="211"/>
      <c r="G2" s="211"/>
      <c r="H2" s="211"/>
      <c r="I2" s="211"/>
      <c r="J2" s="211"/>
      <c r="K2" s="211"/>
      <c r="L2" s="211"/>
      <c r="M2" s="211"/>
      <c r="N2" s="211"/>
      <c r="O2" s="211"/>
      <c r="P2" s="211"/>
    </row>
    <row r="3" spans="1:16" s="71" customFormat="1" ht="18.75" x14ac:dyDescent="0.2">
      <c r="A3" s="61"/>
      <c r="B3" s="61"/>
      <c r="C3" s="61"/>
      <c r="D3" s="61"/>
      <c r="E3" s="61"/>
      <c r="F3" s="61"/>
      <c r="G3" s="61"/>
      <c r="H3" s="61"/>
      <c r="I3" s="61"/>
      <c r="J3" s="61"/>
      <c r="K3" s="61"/>
      <c r="L3" s="61"/>
      <c r="M3" s="61"/>
      <c r="N3" s="61"/>
      <c r="O3" s="61"/>
      <c r="P3" s="61"/>
    </row>
    <row r="4" spans="1:16" s="71" customFormat="1" ht="18.75" x14ac:dyDescent="0.2">
      <c r="A4" s="211" t="s">
        <v>283</v>
      </c>
      <c r="B4" s="211"/>
      <c r="C4" s="211"/>
      <c r="D4" s="211"/>
      <c r="E4" s="211"/>
      <c r="F4" s="211"/>
      <c r="G4" s="61"/>
      <c r="H4" s="61"/>
      <c r="I4" s="61"/>
      <c r="J4" s="61"/>
      <c r="K4" s="61"/>
      <c r="L4" s="61"/>
      <c r="M4" s="61"/>
      <c r="N4" s="61"/>
      <c r="O4" s="61"/>
      <c r="P4" s="61"/>
    </row>
    <row r="5" spans="1:16" s="71" customFormat="1" ht="18.75" x14ac:dyDescent="0.2">
      <c r="A5" s="218" t="s">
        <v>12</v>
      </c>
      <c r="B5" s="219"/>
      <c r="C5" s="219"/>
      <c r="D5" s="220" t="s">
        <v>280</v>
      </c>
      <c r="E5" s="220"/>
      <c r="F5" s="220"/>
      <c r="G5" s="61"/>
      <c r="H5" s="61"/>
      <c r="I5" s="61"/>
      <c r="J5" s="61"/>
      <c r="K5" s="61"/>
      <c r="L5" s="61"/>
      <c r="M5" s="61"/>
      <c r="N5" s="61"/>
      <c r="O5" s="61"/>
      <c r="P5" s="61"/>
    </row>
    <row r="6" spans="1:16" s="71" customFormat="1" ht="45" customHeight="1" x14ac:dyDescent="0.2">
      <c r="A6" s="210" t="s">
        <v>279</v>
      </c>
      <c r="B6" s="210"/>
      <c r="C6" s="210"/>
      <c r="D6" s="213" t="s">
        <v>1387</v>
      </c>
      <c r="E6" s="213"/>
      <c r="F6" s="213"/>
      <c r="G6" s="61"/>
      <c r="H6" s="61"/>
      <c r="I6" s="61"/>
      <c r="J6" s="61"/>
      <c r="K6" s="61"/>
      <c r="L6" s="61"/>
      <c r="M6" s="61"/>
      <c r="N6" s="61"/>
      <c r="O6" s="61"/>
      <c r="P6" s="61"/>
    </row>
    <row r="7" spans="1:16" s="71" customFormat="1" ht="30" customHeight="1" x14ac:dyDescent="0.2">
      <c r="A7" s="210" t="s">
        <v>13</v>
      </c>
      <c r="B7" s="210"/>
      <c r="C7" s="210"/>
      <c r="D7" s="213" t="s">
        <v>1385</v>
      </c>
      <c r="E7" s="213"/>
      <c r="F7" s="213"/>
      <c r="G7" s="61"/>
      <c r="H7" s="61"/>
      <c r="I7" s="61"/>
      <c r="J7" s="61"/>
      <c r="K7" s="61"/>
      <c r="L7" s="61"/>
      <c r="M7" s="61"/>
      <c r="N7" s="61"/>
      <c r="O7" s="61"/>
      <c r="P7" s="61"/>
    </row>
    <row r="8" spans="1:16" s="71" customFormat="1" ht="18.75" x14ac:dyDescent="0.2">
      <c r="A8" s="61"/>
      <c r="B8" s="61"/>
      <c r="C8" s="61"/>
      <c r="D8" s="61"/>
      <c r="E8" s="61"/>
      <c r="F8" s="61"/>
      <c r="G8" s="61"/>
      <c r="H8" s="61"/>
      <c r="I8" s="61"/>
      <c r="J8" s="61"/>
      <c r="K8" s="61"/>
      <c r="L8" s="61"/>
      <c r="M8" s="61"/>
      <c r="N8" s="61"/>
      <c r="O8" s="61"/>
      <c r="P8" s="61"/>
    </row>
    <row r="9" spans="1:16" ht="75" x14ac:dyDescent="0.2">
      <c r="A9" s="73" t="s">
        <v>270</v>
      </c>
      <c r="B9" s="74" t="s">
        <v>260</v>
      </c>
      <c r="C9" s="73" t="s">
        <v>261</v>
      </c>
      <c r="D9" s="73" t="s">
        <v>272</v>
      </c>
      <c r="E9" s="74" t="s">
        <v>260</v>
      </c>
      <c r="F9" s="73" t="s">
        <v>262</v>
      </c>
      <c r="G9" s="75" t="s">
        <v>29</v>
      </c>
      <c r="H9" s="75" t="s">
        <v>589</v>
      </c>
      <c r="I9" s="76" t="s">
        <v>348</v>
      </c>
      <c r="J9" s="75" t="s">
        <v>273</v>
      </c>
      <c r="K9" s="75" t="s">
        <v>346</v>
      </c>
      <c r="L9" s="77" t="s">
        <v>357</v>
      </c>
      <c r="M9" s="76" t="s">
        <v>349</v>
      </c>
      <c r="N9" s="75" t="s">
        <v>274</v>
      </c>
      <c r="O9" s="75" t="s">
        <v>347</v>
      </c>
      <c r="P9" s="77" t="s">
        <v>358</v>
      </c>
    </row>
    <row r="10" spans="1:16" ht="30" x14ac:dyDescent="0.2">
      <c r="A10" s="78">
        <v>750</v>
      </c>
      <c r="B10" s="79">
        <v>750</v>
      </c>
      <c r="C10" s="80" t="s">
        <v>1421</v>
      </c>
      <c r="D10" s="81" t="s">
        <v>580</v>
      </c>
      <c r="E10" s="82">
        <v>0</v>
      </c>
      <c r="F10" s="83" t="s">
        <v>580</v>
      </c>
      <c r="G10" s="84" t="s">
        <v>1509</v>
      </c>
      <c r="H10" s="188">
        <v>4</v>
      </c>
      <c r="I10" s="85">
        <v>4.4999999999999998E-2</v>
      </c>
      <c r="J10" s="86">
        <v>103218.15</v>
      </c>
      <c r="K10" s="86">
        <v>2.85</v>
      </c>
      <c r="L10" s="86">
        <v>2.85</v>
      </c>
      <c r="M10" s="87">
        <v>0</v>
      </c>
      <c r="N10" s="88">
        <v>0</v>
      </c>
      <c r="O10" s="88">
        <v>0</v>
      </c>
      <c r="P10" s="88">
        <v>0</v>
      </c>
    </row>
    <row r="11" spans="1:16" ht="90" x14ac:dyDescent="0.2">
      <c r="A11" s="78">
        <v>751</v>
      </c>
      <c r="B11" s="79">
        <v>751</v>
      </c>
      <c r="C11" s="80" t="s">
        <v>1422</v>
      </c>
      <c r="D11" s="81" t="s">
        <v>580</v>
      </c>
      <c r="E11" s="82">
        <v>0</v>
      </c>
      <c r="F11" s="83" t="s">
        <v>580</v>
      </c>
      <c r="G11" s="84" t="s">
        <v>1510</v>
      </c>
      <c r="H11" s="188">
        <v>4</v>
      </c>
      <c r="I11" s="85">
        <v>1E-3</v>
      </c>
      <c r="J11" s="86">
        <v>108020.24</v>
      </c>
      <c r="K11" s="86">
        <v>0.92</v>
      </c>
      <c r="L11" s="86">
        <v>0.92</v>
      </c>
      <c r="M11" s="87">
        <v>0</v>
      </c>
      <c r="N11" s="88">
        <v>0</v>
      </c>
      <c r="O11" s="88">
        <v>0</v>
      </c>
      <c r="P11" s="88">
        <v>0</v>
      </c>
    </row>
    <row r="12" spans="1:16" x14ac:dyDescent="0.2">
      <c r="A12" s="78">
        <v>753</v>
      </c>
      <c r="B12" s="79">
        <v>753</v>
      </c>
      <c r="C12" s="80">
        <v>2356555555010</v>
      </c>
      <c r="D12" s="81">
        <v>90</v>
      </c>
      <c r="E12" s="82">
        <v>90</v>
      </c>
      <c r="F12" s="83">
        <v>2394000039650</v>
      </c>
      <c r="G12" s="84" t="s">
        <v>1511</v>
      </c>
      <c r="H12" s="188">
        <v>3</v>
      </c>
      <c r="I12" s="85">
        <v>4.2000000000000003E-2</v>
      </c>
      <c r="J12" s="86">
        <v>47306.879999999997</v>
      </c>
      <c r="K12" s="86">
        <v>0.75</v>
      </c>
      <c r="L12" s="86">
        <v>0.75</v>
      </c>
      <c r="M12" s="87">
        <v>0</v>
      </c>
      <c r="N12" s="88">
        <v>183.27</v>
      </c>
      <c r="O12" s="88">
        <v>0.05</v>
      </c>
      <c r="P12" s="88">
        <v>0.05</v>
      </c>
    </row>
    <row r="13" spans="1:16" ht="30" x14ac:dyDescent="0.2">
      <c r="A13" s="78">
        <v>754</v>
      </c>
      <c r="B13" s="79">
        <v>754</v>
      </c>
      <c r="C13" s="80" t="s">
        <v>1423</v>
      </c>
      <c r="D13" s="81">
        <v>82</v>
      </c>
      <c r="E13" s="82">
        <v>82</v>
      </c>
      <c r="F13" s="83" t="s">
        <v>1424</v>
      </c>
      <c r="G13" s="84" t="s">
        <v>1512</v>
      </c>
      <c r="H13" s="188">
        <v>2</v>
      </c>
      <c r="I13" s="85">
        <v>0.161</v>
      </c>
      <c r="J13" s="86">
        <v>25592.75</v>
      </c>
      <c r="K13" s="86">
        <v>0.68</v>
      </c>
      <c r="L13" s="86">
        <v>0.68</v>
      </c>
      <c r="M13" s="87">
        <v>0</v>
      </c>
      <c r="N13" s="88">
        <v>621.12</v>
      </c>
      <c r="O13" s="88">
        <v>0.05</v>
      </c>
      <c r="P13" s="88">
        <v>0.05</v>
      </c>
    </row>
    <row r="14" spans="1:16" x14ac:dyDescent="0.2">
      <c r="A14" s="78">
        <v>755</v>
      </c>
      <c r="B14" s="79">
        <v>755</v>
      </c>
      <c r="C14" s="80">
        <v>2316521850010</v>
      </c>
      <c r="D14" s="81">
        <v>76</v>
      </c>
      <c r="E14" s="82">
        <v>76</v>
      </c>
      <c r="F14" s="83">
        <v>2394000039641</v>
      </c>
      <c r="G14" s="84" t="s">
        <v>1513</v>
      </c>
      <c r="H14" s="188">
        <v>2</v>
      </c>
      <c r="I14" s="85">
        <v>2.7E-2</v>
      </c>
      <c r="J14" s="86">
        <v>18816.11</v>
      </c>
      <c r="K14" s="86">
        <v>0.95</v>
      </c>
      <c r="L14" s="86">
        <v>0.95</v>
      </c>
      <c r="M14" s="87">
        <v>0</v>
      </c>
      <c r="N14" s="88">
        <v>564.58000000000004</v>
      </c>
      <c r="O14" s="88">
        <v>0.05</v>
      </c>
      <c r="P14" s="88">
        <v>0.05</v>
      </c>
    </row>
    <row r="15" spans="1:16" x14ac:dyDescent="0.2">
      <c r="A15" s="78">
        <v>756</v>
      </c>
      <c r="B15" s="79">
        <v>756</v>
      </c>
      <c r="C15" s="80">
        <v>2346540436013</v>
      </c>
      <c r="D15" s="81">
        <v>75</v>
      </c>
      <c r="E15" s="82">
        <v>75</v>
      </c>
      <c r="F15" s="83">
        <v>2394000039679</v>
      </c>
      <c r="G15" s="84" t="s">
        <v>1514</v>
      </c>
      <c r="H15" s="188">
        <v>2</v>
      </c>
      <c r="I15" s="85">
        <v>1.4E-2</v>
      </c>
      <c r="J15" s="86">
        <v>23569.63</v>
      </c>
      <c r="K15" s="86">
        <v>1.1000000000000001</v>
      </c>
      <c r="L15" s="86">
        <v>1.1000000000000001</v>
      </c>
      <c r="M15" s="87">
        <v>0</v>
      </c>
      <c r="N15" s="88">
        <v>779.95</v>
      </c>
      <c r="O15" s="88">
        <v>0.05</v>
      </c>
      <c r="P15" s="88">
        <v>0.05</v>
      </c>
    </row>
    <row r="16" spans="1:16" x14ac:dyDescent="0.2">
      <c r="A16" s="78">
        <v>757</v>
      </c>
      <c r="B16" s="79">
        <v>757</v>
      </c>
      <c r="C16" s="80">
        <v>2336566756217</v>
      </c>
      <c r="D16" s="81">
        <v>95</v>
      </c>
      <c r="E16" s="82">
        <v>95</v>
      </c>
      <c r="F16" s="83">
        <v>2394000060226</v>
      </c>
      <c r="G16" s="84" t="s">
        <v>1515</v>
      </c>
      <c r="H16" s="188">
        <v>1</v>
      </c>
      <c r="I16" s="85">
        <v>0</v>
      </c>
      <c r="J16" s="86">
        <v>2293.86</v>
      </c>
      <c r="K16" s="86">
        <v>0.35</v>
      </c>
      <c r="L16" s="86">
        <v>0.35</v>
      </c>
      <c r="M16" s="87">
        <v>-1E-3</v>
      </c>
      <c r="N16" s="88">
        <v>1100.6099999999999</v>
      </c>
      <c r="O16" s="88">
        <v>0.05</v>
      </c>
      <c r="P16" s="88">
        <v>0.05</v>
      </c>
    </row>
    <row r="17" spans="1:16" x14ac:dyDescent="0.2">
      <c r="A17" s="78">
        <v>804</v>
      </c>
      <c r="B17" s="79">
        <v>804</v>
      </c>
      <c r="C17" s="80" t="s">
        <v>1425</v>
      </c>
      <c r="D17" s="81">
        <v>800</v>
      </c>
      <c r="E17" s="82">
        <v>800</v>
      </c>
      <c r="F17" s="83" t="s">
        <v>1425</v>
      </c>
      <c r="G17" s="84" t="s">
        <v>1516</v>
      </c>
      <c r="H17" s="188">
        <v>4</v>
      </c>
      <c r="I17" s="85">
        <v>0.01</v>
      </c>
      <c r="J17" s="86">
        <v>119342.94</v>
      </c>
      <c r="K17" s="86">
        <v>1.1399999999999999</v>
      </c>
      <c r="L17" s="86">
        <v>1.1399999999999999</v>
      </c>
      <c r="M17" s="87">
        <v>-8.0000000000000002E-3</v>
      </c>
      <c r="N17" s="88">
        <v>2782.58</v>
      </c>
      <c r="O17" s="88">
        <v>0.05</v>
      </c>
      <c r="P17" s="88">
        <v>0.05</v>
      </c>
    </row>
    <row r="18" spans="1:16" ht="30" x14ac:dyDescent="0.2">
      <c r="A18" s="78">
        <v>760</v>
      </c>
      <c r="B18" s="79">
        <v>760</v>
      </c>
      <c r="C18" s="80" t="s">
        <v>1426</v>
      </c>
      <c r="D18" s="81">
        <v>60</v>
      </c>
      <c r="E18" s="82">
        <v>60</v>
      </c>
      <c r="F18" s="83" t="s">
        <v>1427</v>
      </c>
      <c r="G18" s="84" t="s">
        <v>1517</v>
      </c>
      <c r="H18" s="188">
        <v>4</v>
      </c>
      <c r="I18" s="85">
        <v>0</v>
      </c>
      <c r="J18" s="86">
        <v>105037.14</v>
      </c>
      <c r="K18" s="86">
        <v>0.87</v>
      </c>
      <c r="L18" s="86">
        <v>0.87</v>
      </c>
      <c r="M18" s="87">
        <v>0</v>
      </c>
      <c r="N18" s="88">
        <v>1212.6600000000001</v>
      </c>
      <c r="O18" s="88">
        <v>0.05</v>
      </c>
      <c r="P18" s="88">
        <v>0.05</v>
      </c>
    </row>
    <row r="19" spans="1:16" ht="30" x14ac:dyDescent="0.2">
      <c r="A19" s="78">
        <v>761</v>
      </c>
      <c r="B19" s="79">
        <v>761</v>
      </c>
      <c r="C19" s="80" t="s">
        <v>1428</v>
      </c>
      <c r="D19" s="81" t="s">
        <v>580</v>
      </c>
      <c r="E19" s="82">
        <v>0</v>
      </c>
      <c r="F19" s="83" t="s">
        <v>580</v>
      </c>
      <c r="G19" s="84" t="s">
        <v>1518</v>
      </c>
      <c r="H19" s="188">
        <v>3</v>
      </c>
      <c r="I19" s="85">
        <v>0</v>
      </c>
      <c r="J19" s="86">
        <v>36679.86</v>
      </c>
      <c r="K19" s="86">
        <v>0.67</v>
      </c>
      <c r="L19" s="86">
        <v>0.67</v>
      </c>
      <c r="M19" s="87">
        <v>0</v>
      </c>
      <c r="N19" s="88">
        <v>0</v>
      </c>
      <c r="O19" s="88">
        <v>0</v>
      </c>
      <c r="P19" s="88">
        <v>0</v>
      </c>
    </row>
    <row r="20" spans="1:16" x14ac:dyDescent="0.2">
      <c r="A20" s="78">
        <v>762</v>
      </c>
      <c r="B20" s="79">
        <v>762</v>
      </c>
      <c r="C20" s="80">
        <v>2300000457400</v>
      </c>
      <c r="D20" s="81">
        <v>62</v>
      </c>
      <c r="E20" s="82">
        <v>62</v>
      </c>
      <c r="F20" s="83">
        <v>2300000457410</v>
      </c>
      <c r="G20" s="84" t="s">
        <v>1519</v>
      </c>
      <c r="H20" s="188">
        <v>0</v>
      </c>
      <c r="I20" s="85">
        <v>0</v>
      </c>
      <c r="J20" s="86">
        <v>40.020000000000003</v>
      </c>
      <c r="K20" s="86">
        <v>0.42</v>
      </c>
      <c r="L20" s="86">
        <v>0.42</v>
      </c>
      <c r="M20" s="87">
        <v>-3.2000000000000001E-2</v>
      </c>
      <c r="N20" s="88">
        <v>453.52</v>
      </c>
      <c r="O20" s="88">
        <v>0.05</v>
      </c>
      <c r="P20" s="88">
        <v>0.05</v>
      </c>
    </row>
    <row r="21" spans="1:16" ht="30" x14ac:dyDescent="0.2">
      <c r="A21" s="78">
        <v>763</v>
      </c>
      <c r="B21" s="79">
        <v>763</v>
      </c>
      <c r="C21" s="80" t="s">
        <v>1429</v>
      </c>
      <c r="D21" s="81">
        <v>80</v>
      </c>
      <c r="E21" s="82">
        <v>80</v>
      </c>
      <c r="F21" s="83" t="s">
        <v>1430</v>
      </c>
      <c r="G21" s="84" t="s">
        <v>1520</v>
      </c>
      <c r="H21" s="188">
        <v>0</v>
      </c>
      <c r="I21" s="85">
        <v>3.0000000000000001E-3</v>
      </c>
      <c r="J21" s="86">
        <v>101.82</v>
      </c>
      <c r="K21" s="86">
        <v>0.5</v>
      </c>
      <c r="L21" s="86">
        <v>0.5</v>
      </c>
      <c r="M21" s="87">
        <v>-2E-3</v>
      </c>
      <c r="N21" s="88">
        <v>1694.65</v>
      </c>
      <c r="O21" s="88">
        <v>0.05</v>
      </c>
      <c r="P21" s="88">
        <v>0.05</v>
      </c>
    </row>
    <row r="22" spans="1:16" ht="45" x14ac:dyDescent="0.2">
      <c r="A22" s="78">
        <v>764</v>
      </c>
      <c r="B22" s="79">
        <v>764</v>
      </c>
      <c r="C22" s="80" t="s">
        <v>1431</v>
      </c>
      <c r="D22" s="81" t="s">
        <v>580</v>
      </c>
      <c r="E22" s="82">
        <v>0</v>
      </c>
      <c r="F22" s="83" t="s">
        <v>580</v>
      </c>
      <c r="G22" s="84" t="s">
        <v>1521</v>
      </c>
      <c r="H22" s="188">
        <v>4</v>
      </c>
      <c r="I22" s="85">
        <v>0</v>
      </c>
      <c r="J22" s="86">
        <v>107168.57</v>
      </c>
      <c r="K22" s="86">
        <v>0.44</v>
      </c>
      <c r="L22" s="86">
        <v>0.44</v>
      </c>
      <c r="M22" s="87">
        <v>0</v>
      </c>
      <c r="N22" s="88">
        <v>0</v>
      </c>
      <c r="O22" s="88">
        <v>0</v>
      </c>
      <c r="P22" s="88">
        <v>0</v>
      </c>
    </row>
    <row r="23" spans="1:16" ht="45" x14ac:dyDescent="0.2">
      <c r="A23" s="78">
        <v>765</v>
      </c>
      <c r="B23" s="79">
        <v>765</v>
      </c>
      <c r="C23" s="80" t="s">
        <v>1432</v>
      </c>
      <c r="D23" s="81" t="s">
        <v>580</v>
      </c>
      <c r="E23" s="82">
        <v>0</v>
      </c>
      <c r="F23" s="83" t="s">
        <v>580</v>
      </c>
      <c r="G23" s="84" t="s">
        <v>1522</v>
      </c>
      <c r="H23" s="188">
        <v>4</v>
      </c>
      <c r="I23" s="85">
        <v>4.2000000000000003E-2</v>
      </c>
      <c r="J23" s="86">
        <v>105486.6</v>
      </c>
      <c r="K23" s="86">
        <v>0.86</v>
      </c>
      <c r="L23" s="86">
        <v>0.86</v>
      </c>
      <c r="M23" s="87">
        <v>0</v>
      </c>
      <c r="N23" s="88">
        <v>0</v>
      </c>
      <c r="O23" s="88">
        <v>0</v>
      </c>
      <c r="P23" s="88">
        <v>0</v>
      </c>
    </row>
    <row r="24" spans="1:16" ht="30" x14ac:dyDescent="0.2">
      <c r="A24" s="78">
        <v>766</v>
      </c>
      <c r="B24" s="79">
        <v>766</v>
      </c>
      <c r="C24" s="80" t="s">
        <v>1433</v>
      </c>
      <c r="D24" s="81">
        <v>66</v>
      </c>
      <c r="E24" s="82">
        <v>66</v>
      </c>
      <c r="F24" s="83" t="s">
        <v>1434</v>
      </c>
      <c r="G24" s="84" t="s">
        <v>1523</v>
      </c>
      <c r="H24" s="188">
        <v>4</v>
      </c>
      <c r="I24" s="85">
        <v>0</v>
      </c>
      <c r="J24" s="86">
        <v>103377.23</v>
      </c>
      <c r="K24" s="86">
        <v>1.59</v>
      </c>
      <c r="L24" s="86">
        <v>1.59</v>
      </c>
      <c r="M24" s="87">
        <v>0</v>
      </c>
      <c r="N24" s="88">
        <v>209.85</v>
      </c>
      <c r="O24" s="88">
        <v>0.05</v>
      </c>
      <c r="P24" s="88">
        <v>0.05</v>
      </c>
    </row>
    <row r="25" spans="1:16" ht="30" x14ac:dyDescent="0.2">
      <c r="A25" s="78">
        <v>769</v>
      </c>
      <c r="B25" s="79">
        <v>769</v>
      </c>
      <c r="C25" s="80" t="s">
        <v>1435</v>
      </c>
      <c r="D25" s="81">
        <v>128</v>
      </c>
      <c r="E25" s="82">
        <v>128</v>
      </c>
      <c r="F25" s="83" t="s">
        <v>1436</v>
      </c>
      <c r="G25" s="84" t="s">
        <v>1524</v>
      </c>
      <c r="H25" s="188">
        <v>1</v>
      </c>
      <c r="I25" s="85">
        <v>0</v>
      </c>
      <c r="J25" s="86">
        <v>2194.5300000000002</v>
      </c>
      <c r="K25" s="86">
        <v>0.53</v>
      </c>
      <c r="L25" s="86">
        <v>0.53</v>
      </c>
      <c r="M25" s="87">
        <v>0</v>
      </c>
      <c r="N25" s="88">
        <v>0</v>
      </c>
      <c r="O25" s="88">
        <v>0.05</v>
      </c>
      <c r="P25" s="88">
        <v>0.05</v>
      </c>
    </row>
    <row r="26" spans="1:16" x14ac:dyDescent="0.2">
      <c r="A26" s="78">
        <v>771</v>
      </c>
      <c r="B26" s="79">
        <v>771</v>
      </c>
      <c r="C26" s="80">
        <v>2366591376117</v>
      </c>
      <c r="D26" s="81">
        <v>92</v>
      </c>
      <c r="E26" s="82">
        <v>92</v>
      </c>
      <c r="F26" s="83">
        <v>2394000019176</v>
      </c>
      <c r="G26" s="84" t="s">
        <v>1525</v>
      </c>
      <c r="H26" s="188">
        <v>0</v>
      </c>
      <c r="I26" s="85">
        <v>0</v>
      </c>
      <c r="J26" s="86">
        <v>0</v>
      </c>
      <c r="K26" s="86">
        <v>0.35</v>
      </c>
      <c r="L26" s="86">
        <v>0.35</v>
      </c>
      <c r="M26" s="87">
        <v>0</v>
      </c>
      <c r="N26" s="88">
        <v>0</v>
      </c>
      <c r="O26" s="88">
        <v>0.05</v>
      </c>
      <c r="P26" s="88">
        <v>0.05</v>
      </c>
    </row>
    <row r="27" spans="1:16" x14ac:dyDescent="0.2">
      <c r="A27" s="78">
        <v>772</v>
      </c>
      <c r="B27" s="79">
        <v>772</v>
      </c>
      <c r="C27" s="80">
        <v>2366591373116</v>
      </c>
      <c r="D27" s="81" t="s">
        <v>580</v>
      </c>
      <c r="E27" s="82">
        <v>0</v>
      </c>
      <c r="F27" s="83" t="s">
        <v>580</v>
      </c>
      <c r="G27" s="84" t="s">
        <v>1526</v>
      </c>
      <c r="H27" s="188">
        <v>1</v>
      </c>
      <c r="I27" s="85">
        <v>0</v>
      </c>
      <c r="J27" s="86">
        <v>2194.5300000000002</v>
      </c>
      <c r="K27" s="86">
        <v>1.04</v>
      </c>
      <c r="L27" s="86">
        <v>1.04</v>
      </c>
      <c r="M27" s="87">
        <v>0</v>
      </c>
      <c r="N27" s="88">
        <v>0</v>
      </c>
      <c r="O27" s="88">
        <v>0</v>
      </c>
      <c r="P27" s="88">
        <v>0</v>
      </c>
    </row>
    <row r="28" spans="1:16" ht="30" x14ac:dyDescent="0.2">
      <c r="A28" s="78">
        <v>773</v>
      </c>
      <c r="B28" s="79">
        <v>773</v>
      </c>
      <c r="C28" s="80" t="s">
        <v>1437</v>
      </c>
      <c r="D28" s="81">
        <v>65</v>
      </c>
      <c r="E28" s="82">
        <v>65</v>
      </c>
      <c r="F28" s="83">
        <v>2394000117991</v>
      </c>
      <c r="G28" s="84" t="s">
        <v>1527</v>
      </c>
      <c r="H28" s="188">
        <v>1</v>
      </c>
      <c r="I28" s="85">
        <v>0</v>
      </c>
      <c r="J28" s="86">
        <v>2194.5300000000002</v>
      </c>
      <c r="K28" s="86">
        <v>0.91</v>
      </c>
      <c r="L28" s="86">
        <v>0.91</v>
      </c>
      <c r="M28" s="87">
        <v>0</v>
      </c>
      <c r="N28" s="88">
        <v>0</v>
      </c>
      <c r="O28" s="88">
        <v>0.05</v>
      </c>
      <c r="P28" s="88">
        <v>0.05</v>
      </c>
    </row>
    <row r="29" spans="1:16" ht="30" x14ac:dyDescent="0.2">
      <c r="A29" s="78">
        <v>774</v>
      </c>
      <c r="B29" s="79">
        <v>774</v>
      </c>
      <c r="C29" s="80" t="s">
        <v>1438</v>
      </c>
      <c r="D29" s="81">
        <v>74</v>
      </c>
      <c r="E29" s="82">
        <v>74</v>
      </c>
      <c r="F29" s="83" t="s">
        <v>1439</v>
      </c>
      <c r="G29" s="84" t="s">
        <v>1528</v>
      </c>
      <c r="H29" s="188">
        <v>3</v>
      </c>
      <c r="I29" s="85">
        <v>0.32200000000000001</v>
      </c>
      <c r="J29" s="86">
        <v>36408.15</v>
      </c>
      <c r="K29" s="86">
        <v>0.37</v>
      </c>
      <c r="L29" s="86">
        <v>0.37</v>
      </c>
      <c r="M29" s="87">
        <v>0</v>
      </c>
      <c r="N29" s="88">
        <v>0</v>
      </c>
      <c r="O29" s="88">
        <v>0</v>
      </c>
      <c r="P29" s="88">
        <v>0</v>
      </c>
    </row>
    <row r="30" spans="1:16" x14ac:dyDescent="0.2">
      <c r="A30" s="78">
        <v>775</v>
      </c>
      <c r="B30" s="79">
        <v>775</v>
      </c>
      <c r="C30" s="80">
        <v>2380000531989</v>
      </c>
      <c r="D30" s="81">
        <v>87</v>
      </c>
      <c r="E30" s="82">
        <v>87</v>
      </c>
      <c r="F30" s="83">
        <v>2394000024440</v>
      </c>
      <c r="G30" s="84" t="s">
        <v>1529</v>
      </c>
      <c r="H30" s="188">
        <v>0</v>
      </c>
      <c r="I30" s="85">
        <v>5.1999999999999998E-2</v>
      </c>
      <c r="J30" s="86">
        <v>281.82</v>
      </c>
      <c r="K30" s="86">
        <v>0.49</v>
      </c>
      <c r="L30" s="86">
        <v>0.49</v>
      </c>
      <c r="M30" s="87">
        <v>-0.222</v>
      </c>
      <c r="N30" s="88">
        <v>1078.6099999999999</v>
      </c>
      <c r="O30" s="88">
        <v>0.05</v>
      </c>
      <c r="P30" s="88">
        <v>0.05</v>
      </c>
    </row>
    <row r="31" spans="1:16" x14ac:dyDescent="0.2">
      <c r="A31" s="78">
        <v>777</v>
      </c>
      <c r="B31" s="79">
        <v>777</v>
      </c>
      <c r="C31" s="80" t="s">
        <v>1440</v>
      </c>
      <c r="D31" s="81">
        <v>77</v>
      </c>
      <c r="E31" s="82">
        <v>77</v>
      </c>
      <c r="F31" s="83" t="s">
        <v>1441</v>
      </c>
      <c r="G31" s="84" t="s">
        <v>1530</v>
      </c>
      <c r="H31" s="188">
        <v>0</v>
      </c>
      <c r="I31" s="85">
        <v>6.7000000000000004E-2</v>
      </c>
      <c r="J31" s="86">
        <v>6.15</v>
      </c>
      <c r="K31" s="86">
        <v>0.55000000000000004</v>
      </c>
      <c r="L31" s="86">
        <v>0.55000000000000004</v>
      </c>
      <c r="M31" s="87">
        <v>-0.10100000000000001</v>
      </c>
      <c r="N31" s="88">
        <v>178.32</v>
      </c>
      <c r="O31" s="88">
        <v>0.05</v>
      </c>
      <c r="P31" s="88">
        <v>0.05</v>
      </c>
    </row>
    <row r="32" spans="1:16" x14ac:dyDescent="0.2">
      <c r="A32" s="78">
        <v>778</v>
      </c>
      <c r="B32" s="79">
        <v>778</v>
      </c>
      <c r="C32" s="80">
        <v>2300000443816</v>
      </c>
      <c r="D32" s="81">
        <v>78</v>
      </c>
      <c r="E32" s="82">
        <v>78</v>
      </c>
      <c r="F32" s="83">
        <v>2300000443825</v>
      </c>
      <c r="G32" s="84" t="s">
        <v>1531</v>
      </c>
      <c r="H32" s="188">
        <v>0</v>
      </c>
      <c r="I32" s="85">
        <v>0</v>
      </c>
      <c r="J32" s="86">
        <v>12.87</v>
      </c>
      <c r="K32" s="86">
        <v>1.55</v>
      </c>
      <c r="L32" s="86">
        <v>1.55</v>
      </c>
      <c r="M32" s="87">
        <v>0</v>
      </c>
      <c r="N32" s="88">
        <v>1354.6</v>
      </c>
      <c r="O32" s="88">
        <v>0.05</v>
      </c>
      <c r="P32" s="88">
        <v>0.05</v>
      </c>
    </row>
    <row r="33" spans="1:16" x14ac:dyDescent="0.2">
      <c r="A33" s="78">
        <v>780</v>
      </c>
      <c r="B33" s="79">
        <v>780</v>
      </c>
      <c r="C33" s="80">
        <v>2380000825051</v>
      </c>
      <c r="D33" s="81" t="s">
        <v>580</v>
      </c>
      <c r="E33" s="82">
        <v>0</v>
      </c>
      <c r="F33" s="83" t="s">
        <v>580</v>
      </c>
      <c r="G33" s="84" t="s">
        <v>1532</v>
      </c>
      <c r="H33" s="188">
        <v>4</v>
      </c>
      <c r="I33" s="85">
        <v>0</v>
      </c>
      <c r="J33" s="86">
        <v>104316.26</v>
      </c>
      <c r="K33" s="86">
        <v>0.43</v>
      </c>
      <c r="L33" s="86">
        <v>0.43</v>
      </c>
      <c r="M33" s="87">
        <v>0</v>
      </c>
      <c r="N33" s="88">
        <v>0</v>
      </c>
      <c r="O33" s="88">
        <v>0</v>
      </c>
      <c r="P33" s="88">
        <v>0</v>
      </c>
    </row>
    <row r="34" spans="1:16" ht="30" x14ac:dyDescent="0.2">
      <c r="A34" s="78">
        <v>782</v>
      </c>
      <c r="B34" s="79">
        <v>782</v>
      </c>
      <c r="C34" s="80" t="s">
        <v>1442</v>
      </c>
      <c r="D34" s="81" t="s">
        <v>580</v>
      </c>
      <c r="E34" s="82">
        <v>0</v>
      </c>
      <c r="F34" s="83" t="s">
        <v>580</v>
      </c>
      <c r="G34" s="84" t="s">
        <v>1533</v>
      </c>
      <c r="H34" s="188">
        <v>2</v>
      </c>
      <c r="I34" s="85">
        <v>0.77700000000000002</v>
      </c>
      <c r="J34" s="86">
        <v>13539.29</v>
      </c>
      <c r="K34" s="86">
        <v>0.53</v>
      </c>
      <c r="L34" s="86">
        <v>0.53</v>
      </c>
      <c r="M34" s="87">
        <v>0</v>
      </c>
      <c r="N34" s="88">
        <v>0</v>
      </c>
      <c r="O34" s="88">
        <v>0</v>
      </c>
      <c r="P34" s="88">
        <v>0</v>
      </c>
    </row>
    <row r="35" spans="1:16" ht="45" x14ac:dyDescent="0.2">
      <c r="A35" s="78">
        <v>783</v>
      </c>
      <c r="B35" s="79">
        <v>783</v>
      </c>
      <c r="C35" s="80">
        <v>2300000974268</v>
      </c>
      <c r="D35" s="81">
        <v>83</v>
      </c>
      <c r="E35" s="82">
        <v>83</v>
      </c>
      <c r="F35" s="83" t="s">
        <v>1443</v>
      </c>
      <c r="G35" s="84" t="s">
        <v>1534</v>
      </c>
      <c r="H35" s="188">
        <v>0</v>
      </c>
      <c r="I35" s="85">
        <v>1.0999999999999999E-2</v>
      </c>
      <c r="J35" s="86">
        <v>4.92</v>
      </c>
      <c r="K35" s="86">
        <v>0.6</v>
      </c>
      <c r="L35" s="86">
        <v>0.6</v>
      </c>
      <c r="M35" s="87">
        <v>0</v>
      </c>
      <c r="N35" s="88">
        <v>0</v>
      </c>
      <c r="O35" s="88">
        <v>0</v>
      </c>
      <c r="P35" s="88">
        <v>0</v>
      </c>
    </row>
    <row r="36" spans="1:16" x14ac:dyDescent="0.2">
      <c r="A36" s="78">
        <v>784</v>
      </c>
      <c r="B36" s="79">
        <v>784</v>
      </c>
      <c r="C36" s="80">
        <v>2300001007247</v>
      </c>
      <c r="D36" s="81">
        <v>84</v>
      </c>
      <c r="E36" s="82">
        <v>84</v>
      </c>
      <c r="F36" s="83">
        <v>2300001007256</v>
      </c>
      <c r="G36" s="84" t="s">
        <v>1535</v>
      </c>
      <c r="H36" s="188">
        <v>0</v>
      </c>
      <c r="I36" s="85">
        <v>1.2E-2</v>
      </c>
      <c r="J36" s="86">
        <v>0.61</v>
      </c>
      <c r="K36" s="86">
        <v>0.69</v>
      </c>
      <c r="L36" s="86">
        <v>0.69</v>
      </c>
      <c r="M36" s="87">
        <v>0</v>
      </c>
      <c r="N36" s="88">
        <v>0</v>
      </c>
      <c r="O36" s="88">
        <v>0</v>
      </c>
      <c r="P36" s="88">
        <v>0</v>
      </c>
    </row>
    <row r="37" spans="1:16" x14ac:dyDescent="0.2">
      <c r="A37" s="78">
        <v>785</v>
      </c>
      <c r="B37" s="79">
        <v>785</v>
      </c>
      <c r="C37" s="80">
        <v>2380000151720</v>
      </c>
      <c r="D37" s="81">
        <v>85</v>
      </c>
      <c r="E37" s="82">
        <v>85</v>
      </c>
      <c r="F37" s="83">
        <v>2394000011646</v>
      </c>
      <c r="G37" s="84" t="s">
        <v>1536</v>
      </c>
      <c r="H37" s="188">
        <v>0</v>
      </c>
      <c r="I37" s="85">
        <v>4.5999999999999999E-2</v>
      </c>
      <c r="J37" s="86">
        <v>1.72</v>
      </c>
      <c r="K37" s="86">
        <v>0.45</v>
      </c>
      <c r="L37" s="86">
        <v>0.45</v>
      </c>
      <c r="M37" s="87">
        <v>0</v>
      </c>
      <c r="N37" s="88">
        <v>0</v>
      </c>
      <c r="O37" s="88">
        <v>0</v>
      </c>
      <c r="P37" s="88">
        <v>0</v>
      </c>
    </row>
    <row r="38" spans="1:16" ht="30" x14ac:dyDescent="0.2">
      <c r="A38" s="78">
        <v>786</v>
      </c>
      <c r="B38" s="79">
        <v>786</v>
      </c>
      <c r="C38" s="80">
        <v>2380000148115</v>
      </c>
      <c r="D38" s="81">
        <v>86</v>
      </c>
      <c r="E38" s="82">
        <v>86</v>
      </c>
      <c r="F38" s="83" t="s">
        <v>1444</v>
      </c>
      <c r="G38" s="84" t="s">
        <v>1537</v>
      </c>
      <c r="H38" s="188">
        <v>0</v>
      </c>
      <c r="I38" s="85">
        <v>0</v>
      </c>
      <c r="J38" s="86">
        <v>1.1599999999999999</v>
      </c>
      <c r="K38" s="86">
        <v>0.37</v>
      </c>
      <c r="L38" s="86">
        <v>0.37</v>
      </c>
      <c r="M38" s="87">
        <v>0</v>
      </c>
      <c r="N38" s="88">
        <v>0</v>
      </c>
      <c r="O38" s="88">
        <v>0</v>
      </c>
      <c r="P38" s="88">
        <v>0</v>
      </c>
    </row>
    <row r="39" spans="1:16" ht="30" x14ac:dyDescent="0.2">
      <c r="A39" s="78">
        <v>787</v>
      </c>
      <c r="B39" s="79">
        <v>787</v>
      </c>
      <c r="C39" s="80" t="s">
        <v>1445</v>
      </c>
      <c r="D39" s="81">
        <v>129</v>
      </c>
      <c r="E39" s="82">
        <v>129</v>
      </c>
      <c r="F39" s="83" t="s">
        <v>1446</v>
      </c>
      <c r="G39" s="84" t="s">
        <v>1538</v>
      </c>
      <c r="H39" s="188">
        <v>3</v>
      </c>
      <c r="I39" s="85">
        <v>0</v>
      </c>
      <c r="J39" s="86">
        <v>37260.870000000003</v>
      </c>
      <c r="K39" s="86">
        <v>1.18</v>
      </c>
      <c r="L39" s="86">
        <v>1.18</v>
      </c>
      <c r="M39" s="87">
        <v>0</v>
      </c>
      <c r="N39" s="88">
        <v>249.99</v>
      </c>
      <c r="O39" s="88">
        <v>0.05</v>
      </c>
      <c r="P39" s="88">
        <v>0.05</v>
      </c>
    </row>
    <row r="40" spans="1:16" x14ac:dyDescent="0.2">
      <c r="A40" s="78">
        <v>788</v>
      </c>
      <c r="B40" s="79">
        <v>788</v>
      </c>
      <c r="C40" s="80">
        <v>2380000654644</v>
      </c>
      <c r="D40" s="81">
        <v>88</v>
      </c>
      <c r="E40" s="82">
        <v>88</v>
      </c>
      <c r="F40" s="83">
        <v>2394000027673</v>
      </c>
      <c r="G40" s="84" t="s">
        <v>1539</v>
      </c>
      <c r="H40" s="188">
        <v>0</v>
      </c>
      <c r="I40" s="85">
        <v>2E-3</v>
      </c>
      <c r="J40" s="86">
        <v>32.049999999999997</v>
      </c>
      <c r="K40" s="86">
        <v>0.76</v>
      </c>
      <c r="L40" s="86">
        <v>0.76</v>
      </c>
      <c r="M40" s="87">
        <v>-0.33200000000000002</v>
      </c>
      <c r="N40" s="88">
        <v>854.62</v>
      </c>
      <c r="O40" s="88">
        <v>0.05</v>
      </c>
      <c r="P40" s="88">
        <v>0.05</v>
      </c>
    </row>
    <row r="41" spans="1:16" ht="30" x14ac:dyDescent="0.2">
      <c r="A41" s="78">
        <v>789</v>
      </c>
      <c r="B41" s="79">
        <v>789</v>
      </c>
      <c r="C41" s="80">
        <v>2380001118812</v>
      </c>
      <c r="D41" s="81">
        <v>89</v>
      </c>
      <c r="E41" s="82">
        <v>89</v>
      </c>
      <c r="F41" s="83" t="s">
        <v>1447</v>
      </c>
      <c r="G41" s="84" t="s">
        <v>1540</v>
      </c>
      <c r="H41" s="188">
        <v>0</v>
      </c>
      <c r="I41" s="85">
        <v>1E-3</v>
      </c>
      <c r="J41" s="86">
        <v>20.57</v>
      </c>
      <c r="K41" s="86">
        <v>0.94</v>
      </c>
      <c r="L41" s="86">
        <v>0.94</v>
      </c>
      <c r="M41" s="87">
        <v>-0.17499999999999999</v>
      </c>
      <c r="N41" s="88">
        <v>866.11</v>
      </c>
      <c r="O41" s="88">
        <v>0.05</v>
      </c>
      <c r="P41" s="88">
        <v>0.05</v>
      </c>
    </row>
    <row r="42" spans="1:16" x14ac:dyDescent="0.2">
      <c r="A42" s="78">
        <v>790</v>
      </c>
      <c r="B42" s="79">
        <v>790</v>
      </c>
      <c r="C42" s="80">
        <v>2380001476585</v>
      </c>
      <c r="D42" s="81">
        <v>94</v>
      </c>
      <c r="E42" s="82">
        <v>94</v>
      </c>
      <c r="F42" s="83">
        <v>2394000056790</v>
      </c>
      <c r="G42" s="84" t="s">
        <v>1541</v>
      </c>
      <c r="H42" s="188">
        <v>0</v>
      </c>
      <c r="I42" s="85">
        <v>1E-3</v>
      </c>
      <c r="J42" s="86">
        <v>23.77</v>
      </c>
      <c r="K42" s="86">
        <v>0.4</v>
      </c>
      <c r="L42" s="86">
        <v>0.4</v>
      </c>
      <c r="M42" s="87">
        <v>0</v>
      </c>
      <c r="N42" s="88">
        <v>1601.1</v>
      </c>
      <c r="O42" s="88">
        <v>0.05</v>
      </c>
      <c r="P42" s="88">
        <v>0.05</v>
      </c>
    </row>
    <row r="43" spans="1:16" x14ac:dyDescent="0.2">
      <c r="A43" s="78">
        <v>791</v>
      </c>
      <c r="B43" s="79">
        <v>791</v>
      </c>
      <c r="C43" s="80">
        <v>2380001494334</v>
      </c>
      <c r="D43" s="81">
        <v>93</v>
      </c>
      <c r="E43" s="82">
        <v>93</v>
      </c>
      <c r="F43" s="83">
        <v>2394000058333</v>
      </c>
      <c r="G43" s="84" t="s">
        <v>1542</v>
      </c>
      <c r="H43" s="188">
        <v>1</v>
      </c>
      <c r="I43" s="85">
        <v>1.4E-2</v>
      </c>
      <c r="J43" s="86">
        <v>2198.12</v>
      </c>
      <c r="K43" s="86">
        <v>0.43</v>
      </c>
      <c r="L43" s="86">
        <v>0.43</v>
      </c>
      <c r="M43" s="87">
        <v>-0.105</v>
      </c>
      <c r="N43" s="88">
        <v>180.88</v>
      </c>
      <c r="O43" s="88">
        <v>0.05</v>
      </c>
      <c r="P43" s="88">
        <v>0.05</v>
      </c>
    </row>
    <row r="44" spans="1:16" ht="45" x14ac:dyDescent="0.2">
      <c r="A44" s="78">
        <v>793</v>
      </c>
      <c r="B44" s="79">
        <v>793</v>
      </c>
      <c r="C44" s="80" t="s">
        <v>1448</v>
      </c>
      <c r="D44" s="81">
        <v>91</v>
      </c>
      <c r="E44" s="82">
        <v>91</v>
      </c>
      <c r="F44" s="83" t="s">
        <v>1449</v>
      </c>
      <c r="G44" s="84" t="s">
        <v>1543</v>
      </c>
      <c r="H44" s="188">
        <v>0</v>
      </c>
      <c r="I44" s="85">
        <v>9.4E-2</v>
      </c>
      <c r="J44" s="86">
        <v>114.84</v>
      </c>
      <c r="K44" s="86">
        <v>0.37</v>
      </c>
      <c r="L44" s="86">
        <v>0.37</v>
      </c>
      <c r="M44" s="87">
        <v>0</v>
      </c>
      <c r="N44" s="88">
        <v>1951.69</v>
      </c>
      <c r="O44" s="88">
        <v>0.05</v>
      </c>
      <c r="P44" s="88">
        <v>0.05</v>
      </c>
    </row>
    <row r="45" spans="1:16" x14ac:dyDescent="0.2">
      <c r="A45" s="78">
        <v>794</v>
      </c>
      <c r="B45" s="79">
        <v>794</v>
      </c>
      <c r="C45" s="80">
        <v>2380001458911</v>
      </c>
      <c r="D45" s="81">
        <v>97</v>
      </c>
      <c r="E45" s="82">
        <v>97</v>
      </c>
      <c r="F45" s="83">
        <v>2394000055174</v>
      </c>
      <c r="G45" s="84" t="s">
        <v>1544</v>
      </c>
      <c r="H45" s="188">
        <v>0</v>
      </c>
      <c r="I45" s="85">
        <v>0.152</v>
      </c>
      <c r="J45" s="86">
        <v>390.65</v>
      </c>
      <c r="K45" s="86">
        <v>0.45</v>
      </c>
      <c r="L45" s="86">
        <v>0.45</v>
      </c>
      <c r="M45" s="87">
        <v>0</v>
      </c>
      <c r="N45" s="88">
        <v>12336.31</v>
      </c>
      <c r="O45" s="88">
        <v>0.05</v>
      </c>
      <c r="P45" s="88">
        <v>0.05</v>
      </c>
    </row>
    <row r="46" spans="1:16" ht="30" x14ac:dyDescent="0.2">
      <c r="A46" s="78">
        <v>795</v>
      </c>
      <c r="B46" s="79">
        <v>795</v>
      </c>
      <c r="C46" s="80" t="s">
        <v>1450</v>
      </c>
      <c r="D46" s="81" t="s">
        <v>580</v>
      </c>
      <c r="E46" s="82">
        <v>0</v>
      </c>
      <c r="F46" s="83" t="s">
        <v>580</v>
      </c>
      <c r="G46" s="84" t="s">
        <v>1545</v>
      </c>
      <c r="H46" s="188">
        <v>3</v>
      </c>
      <c r="I46" s="85">
        <v>1.2E-2</v>
      </c>
      <c r="J46" s="86">
        <v>37731.769999999997</v>
      </c>
      <c r="K46" s="86">
        <v>0.45</v>
      </c>
      <c r="L46" s="86">
        <v>0.45</v>
      </c>
      <c r="M46" s="87">
        <v>0</v>
      </c>
      <c r="N46" s="88">
        <v>0</v>
      </c>
      <c r="O46" s="88">
        <v>0</v>
      </c>
      <c r="P46" s="88">
        <v>0</v>
      </c>
    </row>
    <row r="47" spans="1:16" x14ac:dyDescent="0.2">
      <c r="A47" s="78">
        <v>796</v>
      </c>
      <c r="B47" s="79">
        <v>796</v>
      </c>
      <c r="C47" s="80">
        <v>2380001635401</v>
      </c>
      <c r="D47" s="81">
        <v>98</v>
      </c>
      <c r="E47" s="82">
        <v>98</v>
      </c>
      <c r="F47" s="83">
        <v>2394000072198</v>
      </c>
      <c r="G47" s="84" t="s">
        <v>1546</v>
      </c>
      <c r="H47" s="188">
        <v>0</v>
      </c>
      <c r="I47" s="85">
        <v>0</v>
      </c>
      <c r="J47" s="86">
        <v>53.55</v>
      </c>
      <c r="K47" s="86">
        <v>0.37</v>
      </c>
      <c r="L47" s="86">
        <v>0.37</v>
      </c>
      <c r="M47" s="87">
        <v>0</v>
      </c>
      <c r="N47" s="88">
        <v>5377.15</v>
      </c>
      <c r="O47" s="88">
        <v>0.05</v>
      </c>
      <c r="P47" s="88">
        <v>0.05</v>
      </c>
    </row>
    <row r="48" spans="1:16" ht="30" x14ac:dyDescent="0.2">
      <c r="A48" s="78">
        <v>831</v>
      </c>
      <c r="B48" s="79">
        <v>831</v>
      </c>
      <c r="C48" s="80" t="s">
        <v>1451</v>
      </c>
      <c r="D48" s="81" t="s">
        <v>580</v>
      </c>
      <c r="E48" s="82">
        <v>0</v>
      </c>
      <c r="F48" s="83" t="s">
        <v>580</v>
      </c>
      <c r="G48" s="84" t="s">
        <v>1547</v>
      </c>
      <c r="H48" s="188">
        <v>1</v>
      </c>
      <c r="I48" s="85">
        <v>3.7869999999999999</v>
      </c>
      <c r="J48" s="86">
        <v>2335.94</v>
      </c>
      <c r="K48" s="86">
        <v>1.1100000000000001</v>
      </c>
      <c r="L48" s="86">
        <v>1.1100000000000001</v>
      </c>
      <c r="M48" s="87">
        <v>0</v>
      </c>
      <c r="N48" s="88">
        <v>0</v>
      </c>
      <c r="O48" s="88">
        <v>0</v>
      </c>
      <c r="P48" s="88">
        <v>0</v>
      </c>
    </row>
    <row r="49" spans="1:16" x14ac:dyDescent="0.2">
      <c r="A49" s="78">
        <v>832</v>
      </c>
      <c r="B49" s="79">
        <v>832</v>
      </c>
      <c r="C49" s="80">
        <v>2316541311014</v>
      </c>
      <c r="D49" s="81" t="s">
        <v>580</v>
      </c>
      <c r="E49" s="82">
        <v>0</v>
      </c>
      <c r="F49" s="83" t="s">
        <v>580</v>
      </c>
      <c r="G49" s="84" t="s">
        <v>1548</v>
      </c>
      <c r="H49" s="188">
        <v>2</v>
      </c>
      <c r="I49" s="85">
        <v>1.39</v>
      </c>
      <c r="J49" s="86">
        <v>13311.76</v>
      </c>
      <c r="K49" s="86">
        <v>1.79</v>
      </c>
      <c r="L49" s="86">
        <v>1.79</v>
      </c>
      <c r="M49" s="87">
        <v>0</v>
      </c>
      <c r="N49" s="88">
        <v>0</v>
      </c>
      <c r="O49" s="88">
        <v>0</v>
      </c>
      <c r="P49" s="88">
        <v>0</v>
      </c>
    </row>
    <row r="50" spans="1:16" ht="30" x14ac:dyDescent="0.2">
      <c r="A50" s="78">
        <v>833</v>
      </c>
      <c r="B50" s="79">
        <v>833</v>
      </c>
      <c r="C50" s="80" t="s">
        <v>1452</v>
      </c>
      <c r="D50" s="81" t="s">
        <v>580</v>
      </c>
      <c r="E50" s="82">
        <v>0</v>
      </c>
      <c r="F50" s="83" t="s">
        <v>580</v>
      </c>
      <c r="G50" s="84" t="s">
        <v>1549</v>
      </c>
      <c r="H50" s="188">
        <v>2</v>
      </c>
      <c r="I50" s="85">
        <v>0.47699999999999998</v>
      </c>
      <c r="J50" s="86">
        <v>13311.76</v>
      </c>
      <c r="K50" s="86">
        <v>1.0900000000000001</v>
      </c>
      <c r="L50" s="86">
        <v>1.0900000000000001</v>
      </c>
      <c r="M50" s="87">
        <v>0</v>
      </c>
      <c r="N50" s="88">
        <v>0</v>
      </c>
      <c r="O50" s="88">
        <v>0</v>
      </c>
      <c r="P50" s="88">
        <v>0</v>
      </c>
    </row>
    <row r="51" spans="1:16" ht="45" x14ac:dyDescent="0.2">
      <c r="A51" s="78">
        <v>834</v>
      </c>
      <c r="B51" s="79">
        <v>834</v>
      </c>
      <c r="C51" s="80" t="s">
        <v>1453</v>
      </c>
      <c r="D51" s="81" t="s">
        <v>580</v>
      </c>
      <c r="E51" s="82">
        <v>0</v>
      </c>
      <c r="F51" s="83" t="s">
        <v>580</v>
      </c>
      <c r="G51" s="84" t="s">
        <v>1550</v>
      </c>
      <c r="H51" s="188">
        <v>1</v>
      </c>
      <c r="I51" s="85">
        <v>3.4000000000000002E-2</v>
      </c>
      <c r="J51" s="86">
        <v>2406.65</v>
      </c>
      <c r="K51" s="86">
        <v>1.59</v>
      </c>
      <c r="L51" s="86">
        <v>1.59</v>
      </c>
      <c r="M51" s="87">
        <v>0</v>
      </c>
      <c r="N51" s="88">
        <v>0</v>
      </c>
      <c r="O51" s="88">
        <v>0</v>
      </c>
      <c r="P51" s="88">
        <v>0</v>
      </c>
    </row>
    <row r="52" spans="1:16" ht="30" x14ac:dyDescent="0.2">
      <c r="A52" s="78">
        <v>835</v>
      </c>
      <c r="B52" s="79">
        <v>835</v>
      </c>
      <c r="C52" s="80" t="s">
        <v>1454</v>
      </c>
      <c r="D52" s="81" t="s">
        <v>580</v>
      </c>
      <c r="E52" s="82">
        <v>0</v>
      </c>
      <c r="F52" s="83" t="s">
        <v>580</v>
      </c>
      <c r="G52" s="84" t="s">
        <v>1551</v>
      </c>
      <c r="H52" s="188">
        <v>3</v>
      </c>
      <c r="I52" s="85">
        <v>7.2999999999999995E-2</v>
      </c>
      <c r="J52" s="86">
        <v>36452.339999999997</v>
      </c>
      <c r="K52" s="86">
        <v>2.14</v>
      </c>
      <c r="L52" s="86">
        <v>2.14</v>
      </c>
      <c r="M52" s="87">
        <v>0</v>
      </c>
      <c r="N52" s="88">
        <v>0</v>
      </c>
      <c r="O52" s="88">
        <v>0</v>
      </c>
      <c r="P52" s="88">
        <v>0</v>
      </c>
    </row>
    <row r="53" spans="1:16" ht="30" x14ac:dyDescent="0.2">
      <c r="A53" s="78">
        <v>836</v>
      </c>
      <c r="B53" s="79">
        <v>836</v>
      </c>
      <c r="C53" s="80" t="s">
        <v>1455</v>
      </c>
      <c r="D53" s="81" t="s">
        <v>580</v>
      </c>
      <c r="E53" s="82">
        <v>0</v>
      </c>
      <c r="F53" s="83" t="s">
        <v>580</v>
      </c>
      <c r="G53" s="84" t="s">
        <v>1552</v>
      </c>
      <c r="H53" s="188">
        <v>2</v>
      </c>
      <c r="I53" s="85">
        <v>4.2000000000000003E-2</v>
      </c>
      <c r="J53" s="86">
        <v>13311.76</v>
      </c>
      <c r="K53" s="86">
        <v>1.96</v>
      </c>
      <c r="L53" s="86">
        <v>1.96</v>
      </c>
      <c r="M53" s="87">
        <v>0</v>
      </c>
      <c r="N53" s="88">
        <v>0</v>
      </c>
      <c r="O53" s="88">
        <v>0</v>
      </c>
      <c r="P53" s="88">
        <v>0</v>
      </c>
    </row>
    <row r="54" spans="1:16" ht="30" x14ac:dyDescent="0.2">
      <c r="A54" s="78">
        <v>837</v>
      </c>
      <c r="B54" s="79">
        <v>837</v>
      </c>
      <c r="C54" s="80" t="s">
        <v>1456</v>
      </c>
      <c r="D54" s="81">
        <v>34</v>
      </c>
      <c r="E54" s="82">
        <v>34</v>
      </c>
      <c r="F54" s="83">
        <v>2394000106234</v>
      </c>
      <c r="G54" s="84" t="s">
        <v>1553</v>
      </c>
      <c r="H54" s="188">
        <v>2</v>
      </c>
      <c r="I54" s="85">
        <v>0.106</v>
      </c>
      <c r="J54" s="86">
        <v>13254.85</v>
      </c>
      <c r="K54" s="86">
        <v>1.42</v>
      </c>
      <c r="L54" s="86">
        <v>1.42</v>
      </c>
      <c r="M54" s="87">
        <v>-0.158</v>
      </c>
      <c r="N54" s="88">
        <v>56.92</v>
      </c>
      <c r="O54" s="88">
        <v>0.05</v>
      </c>
      <c r="P54" s="88">
        <v>0.05</v>
      </c>
    </row>
    <row r="55" spans="1:16" ht="30" x14ac:dyDescent="0.2">
      <c r="A55" s="78">
        <v>838</v>
      </c>
      <c r="B55" s="79">
        <v>838</v>
      </c>
      <c r="C55" s="80" t="s">
        <v>1457</v>
      </c>
      <c r="D55" s="81" t="s">
        <v>580</v>
      </c>
      <c r="E55" s="82">
        <v>0</v>
      </c>
      <c r="F55" s="83" t="s">
        <v>580</v>
      </c>
      <c r="G55" s="84" t="s">
        <v>1554</v>
      </c>
      <c r="H55" s="188">
        <v>1</v>
      </c>
      <c r="I55" s="85">
        <v>0.14199999999999999</v>
      </c>
      <c r="J55" s="86">
        <v>2335.94</v>
      </c>
      <c r="K55" s="86">
        <v>0.68</v>
      </c>
      <c r="L55" s="86">
        <v>0.68</v>
      </c>
      <c r="M55" s="87">
        <v>0</v>
      </c>
      <c r="N55" s="88">
        <v>0</v>
      </c>
      <c r="O55" s="88">
        <v>0</v>
      </c>
      <c r="P55" s="88">
        <v>0</v>
      </c>
    </row>
    <row r="56" spans="1:16" x14ac:dyDescent="0.2">
      <c r="A56" s="78">
        <v>839</v>
      </c>
      <c r="B56" s="79">
        <v>839</v>
      </c>
      <c r="C56" s="80">
        <v>2300000233833</v>
      </c>
      <c r="D56" s="81">
        <v>68</v>
      </c>
      <c r="E56" s="82">
        <v>68</v>
      </c>
      <c r="F56" s="83">
        <v>2300000233898</v>
      </c>
      <c r="G56" s="84" t="s">
        <v>1555</v>
      </c>
      <c r="H56" s="188">
        <v>0</v>
      </c>
      <c r="I56" s="85">
        <v>1E-3</v>
      </c>
      <c r="J56" s="86">
        <v>29.78</v>
      </c>
      <c r="K56" s="86">
        <v>0.32</v>
      </c>
      <c r="L56" s="86">
        <v>0.32</v>
      </c>
      <c r="M56" s="87">
        <v>-1E-3</v>
      </c>
      <c r="N56" s="88">
        <v>40.93</v>
      </c>
      <c r="O56" s="88">
        <v>0.05</v>
      </c>
      <c r="P56" s="88">
        <v>0.05</v>
      </c>
    </row>
    <row r="57" spans="1:16" x14ac:dyDescent="0.2">
      <c r="A57" s="78">
        <v>840</v>
      </c>
      <c r="B57" s="79">
        <v>840</v>
      </c>
      <c r="C57" s="80">
        <v>2336566566018</v>
      </c>
      <c r="D57" s="81" t="s">
        <v>580</v>
      </c>
      <c r="E57" s="82">
        <v>0</v>
      </c>
      <c r="F57" s="83" t="s">
        <v>580</v>
      </c>
      <c r="G57" s="84" t="s">
        <v>1556</v>
      </c>
      <c r="H57" s="188">
        <v>1</v>
      </c>
      <c r="I57" s="85">
        <v>0.85399999999999998</v>
      </c>
      <c r="J57" s="86">
        <v>2265.2399999999998</v>
      </c>
      <c r="K57" s="86">
        <v>1.94</v>
      </c>
      <c r="L57" s="86">
        <v>1.94</v>
      </c>
      <c r="M57" s="87">
        <v>0</v>
      </c>
      <c r="N57" s="88">
        <v>0</v>
      </c>
      <c r="O57" s="88">
        <v>0</v>
      </c>
      <c r="P57" s="88">
        <v>0</v>
      </c>
    </row>
    <row r="58" spans="1:16" ht="60" x14ac:dyDescent="0.2">
      <c r="A58" s="78">
        <v>841</v>
      </c>
      <c r="B58" s="79">
        <v>841</v>
      </c>
      <c r="C58" s="80" t="s">
        <v>1458</v>
      </c>
      <c r="D58" s="81" t="s">
        <v>580</v>
      </c>
      <c r="E58" s="82">
        <v>0</v>
      </c>
      <c r="F58" s="83" t="s">
        <v>580</v>
      </c>
      <c r="G58" s="84" t="s">
        <v>1557</v>
      </c>
      <c r="H58" s="188">
        <v>3</v>
      </c>
      <c r="I58" s="85">
        <v>0.26400000000000001</v>
      </c>
      <c r="J58" s="86">
        <v>36593.75</v>
      </c>
      <c r="K58" s="86">
        <v>3.74</v>
      </c>
      <c r="L58" s="86">
        <v>3.74</v>
      </c>
      <c r="M58" s="87">
        <v>0</v>
      </c>
      <c r="N58" s="88">
        <v>0</v>
      </c>
      <c r="O58" s="88">
        <v>0</v>
      </c>
      <c r="P58" s="88">
        <v>0</v>
      </c>
    </row>
    <row r="59" spans="1:16" x14ac:dyDescent="0.2">
      <c r="A59" s="78">
        <v>842</v>
      </c>
      <c r="B59" s="79">
        <v>842</v>
      </c>
      <c r="C59" s="80" t="s">
        <v>1459</v>
      </c>
      <c r="D59" s="81" t="s">
        <v>580</v>
      </c>
      <c r="E59" s="82">
        <v>0</v>
      </c>
      <c r="F59" s="83" t="s">
        <v>580</v>
      </c>
      <c r="G59" s="84" t="s">
        <v>1558</v>
      </c>
      <c r="H59" s="188">
        <v>2</v>
      </c>
      <c r="I59" s="85">
        <v>8.6999999999999994E-2</v>
      </c>
      <c r="J59" s="86">
        <v>13311.76</v>
      </c>
      <c r="K59" s="86">
        <v>0.5</v>
      </c>
      <c r="L59" s="86">
        <v>0.5</v>
      </c>
      <c r="M59" s="87">
        <v>0</v>
      </c>
      <c r="N59" s="88">
        <v>0</v>
      </c>
      <c r="O59" s="88">
        <v>0</v>
      </c>
      <c r="P59" s="88">
        <v>0</v>
      </c>
    </row>
    <row r="60" spans="1:16" ht="30" x14ac:dyDescent="0.2">
      <c r="A60" s="78">
        <v>844</v>
      </c>
      <c r="B60" s="79">
        <v>844</v>
      </c>
      <c r="C60" s="80" t="s">
        <v>1460</v>
      </c>
      <c r="D60" s="81" t="s">
        <v>580</v>
      </c>
      <c r="E60" s="82">
        <v>0</v>
      </c>
      <c r="F60" s="83" t="s">
        <v>580</v>
      </c>
      <c r="G60" s="84" t="s">
        <v>1559</v>
      </c>
      <c r="H60" s="188">
        <v>3</v>
      </c>
      <c r="I60" s="85">
        <v>0.25600000000000001</v>
      </c>
      <c r="J60" s="86">
        <v>36452.339999999997</v>
      </c>
      <c r="K60" s="86">
        <v>2.2799999999999998</v>
      </c>
      <c r="L60" s="86">
        <v>2.2799999999999998</v>
      </c>
      <c r="M60" s="87">
        <v>0</v>
      </c>
      <c r="N60" s="88">
        <v>0</v>
      </c>
      <c r="O60" s="88">
        <v>0</v>
      </c>
      <c r="P60" s="88">
        <v>0</v>
      </c>
    </row>
    <row r="61" spans="1:16" x14ac:dyDescent="0.2">
      <c r="A61" s="78">
        <v>845</v>
      </c>
      <c r="B61" s="79">
        <v>845</v>
      </c>
      <c r="C61" s="80">
        <v>2356562495011</v>
      </c>
      <c r="D61" s="81" t="s">
        <v>580</v>
      </c>
      <c r="E61" s="82">
        <v>0</v>
      </c>
      <c r="F61" s="83" t="s">
        <v>580</v>
      </c>
      <c r="G61" s="84" t="s">
        <v>1560</v>
      </c>
      <c r="H61" s="188">
        <v>3</v>
      </c>
      <c r="I61" s="85">
        <v>0.50800000000000001</v>
      </c>
      <c r="J61" s="86">
        <v>36381.629999999997</v>
      </c>
      <c r="K61" s="86">
        <v>1.63</v>
      </c>
      <c r="L61" s="86">
        <v>1.63</v>
      </c>
      <c r="M61" s="87">
        <v>0</v>
      </c>
      <c r="N61" s="88">
        <v>0</v>
      </c>
      <c r="O61" s="88">
        <v>0</v>
      </c>
      <c r="P61" s="88">
        <v>0</v>
      </c>
    </row>
    <row r="62" spans="1:16" x14ac:dyDescent="0.2">
      <c r="A62" s="78">
        <v>846</v>
      </c>
      <c r="B62" s="79">
        <v>846</v>
      </c>
      <c r="C62" s="80">
        <v>2300000601321</v>
      </c>
      <c r="D62" s="81" t="s">
        <v>580</v>
      </c>
      <c r="E62" s="82">
        <v>0</v>
      </c>
      <c r="F62" s="83" t="s">
        <v>580</v>
      </c>
      <c r="G62" s="84" t="s">
        <v>1561</v>
      </c>
      <c r="H62" s="188">
        <v>1</v>
      </c>
      <c r="I62" s="85">
        <v>1.452</v>
      </c>
      <c r="J62" s="86">
        <v>2265.2399999999998</v>
      </c>
      <c r="K62" s="86">
        <v>0.93</v>
      </c>
      <c r="L62" s="86">
        <v>0.93</v>
      </c>
      <c r="M62" s="87">
        <v>0</v>
      </c>
      <c r="N62" s="88">
        <v>0</v>
      </c>
      <c r="O62" s="88">
        <v>0</v>
      </c>
      <c r="P62" s="88">
        <v>0</v>
      </c>
    </row>
    <row r="63" spans="1:16" x14ac:dyDescent="0.2">
      <c r="A63" s="78">
        <v>847</v>
      </c>
      <c r="B63" s="79">
        <v>847</v>
      </c>
      <c r="C63" s="80">
        <v>2366560261014</v>
      </c>
      <c r="D63" s="81" t="s">
        <v>580</v>
      </c>
      <c r="E63" s="82">
        <v>0</v>
      </c>
      <c r="F63" s="83" t="s">
        <v>580</v>
      </c>
      <c r="G63" s="84" t="s">
        <v>1562</v>
      </c>
      <c r="H63" s="188">
        <v>1</v>
      </c>
      <c r="I63" s="85">
        <v>0.17799999999999999</v>
      </c>
      <c r="J63" s="86">
        <v>2265.2399999999998</v>
      </c>
      <c r="K63" s="86">
        <v>0.44</v>
      </c>
      <c r="L63" s="86">
        <v>0.44</v>
      </c>
      <c r="M63" s="87">
        <v>0</v>
      </c>
      <c r="N63" s="88">
        <v>0</v>
      </c>
      <c r="O63" s="88">
        <v>0</v>
      </c>
      <c r="P63" s="88">
        <v>0</v>
      </c>
    </row>
    <row r="64" spans="1:16" ht="30" x14ac:dyDescent="0.2">
      <c r="A64" s="78">
        <v>848</v>
      </c>
      <c r="B64" s="79">
        <v>848</v>
      </c>
      <c r="C64" s="80" t="s">
        <v>1461</v>
      </c>
      <c r="D64" s="81" t="s">
        <v>580</v>
      </c>
      <c r="E64" s="82">
        <v>0</v>
      </c>
      <c r="F64" s="83" t="s">
        <v>580</v>
      </c>
      <c r="G64" s="84" t="s">
        <v>1563</v>
      </c>
      <c r="H64" s="188">
        <v>2</v>
      </c>
      <c r="I64" s="85">
        <v>0.17799999999999999</v>
      </c>
      <c r="J64" s="86">
        <v>13311.76</v>
      </c>
      <c r="K64" s="86">
        <v>1.88</v>
      </c>
      <c r="L64" s="86">
        <v>1.88</v>
      </c>
      <c r="M64" s="87">
        <v>0</v>
      </c>
      <c r="N64" s="88">
        <v>0</v>
      </c>
      <c r="O64" s="88">
        <v>0</v>
      </c>
      <c r="P64" s="88">
        <v>0</v>
      </c>
    </row>
    <row r="65" spans="1:16" ht="30" x14ac:dyDescent="0.2">
      <c r="A65" s="78">
        <v>849</v>
      </c>
      <c r="B65" s="79">
        <v>849</v>
      </c>
      <c r="C65" s="80" t="s">
        <v>1462</v>
      </c>
      <c r="D65" s="81" t="s">
        <v>580</v>
      </c>
      <c r="E65" s="82">
        <v>0</v>
      </c>
      <c r="F65" s="83" t="s">
        <v>580</v>
      </c>
      <c r="G65" s="84" t="s">
        <v>1564</v>
      </c>
      <c r="H65" s="188">
        <v>1</v>
      </c>
      <c r="I65" s="85">
        <v>3.0000000000000001E-3</v>
      </c>
      <c r="J65" s="86">
        <v>2335.94</v>
      </c>
      <c r="K65" s="86">
        <v>0.63</v>
      </c>
      <c r="L65" s="86">
        <v>0.63</v>
      </c>
      <c r="M65" s="87">
        <v>0</v>
      </c>
      <c r="N65" s="88">
        <v>0</v>
      </c>
      <c r="O65" s="88">
        <v>0</v>
      </c>
      <c r="P65" s="88">
        <v>0</v>
      </c>
    </row>
    <row r="66" spans="1:16" ht="60" x14ac:dyDescent="0.2">
      <c r="A66" s="78">
        <v>850</v>
      </c>
      <c r="B66" s="79">
        <v>850</v>
      </c>
      <c r="C66" s="80" t="s">
        <v>1463</v>
      </c>
      <c r="D66" s="81" t="s">
        <v>580</v>
      </c>
      <c r="E66" s="82">
        <v>0</v>
      </c>
      <c r="F66" s="83" t="s">
        <v>580</v>
      </c>
      <c r="G66" s="84" t="s">
        <v>1565</v>
      </c>
      <c r="H66" s="188">
        <v>3</v>
      </c>
      <c r="I66" s="85">
        <v>1.7000000000000001E-2</v>
      </c>
      <c r="J66" s="86">
        <v>36593.75</v>
      </c>
      <c r="K66" s="86">
        <v>0.41</v>
      </c>
      <c r="L66" s="86">
        <v>0.41</v>
      </c>
      <c r="M66" s="87">
        <v>0</v>
      </c>
      <c r="N66" s="88">
        <v>0</v>
      </c>
      <c r="O66" s="88">
        <v>0</v>
      </c>
      <c r="P66" s="88">
        <v>0</v>
      </c>
    </row>
    <row r="67" spans="1:16" ht="45" x14ac:dyDescent="0.2">
      <c r="A67" s="78">
        <v>851</v>
      </c>
      <c r="B67" s="79">
        <v>851</v>
      </c>
      <c r="C67" s="80" t="s">
        <v>1464</v>
      </c>
      <c r="D67" s="81" t="s">
        <v>580</v>
      </c>
      <c r="E67" s="82">
        <v>0</v>
      </c>
      <c r="F67" s="83" t="s">
        <v>580</v>
      </c>
      <c r="G67" s="84" t="s">
        <v>1566</v>
      </c>
      <c r="H67" s="188">
        <v>2</v>
      </c>
      <c r="I67" s="85">
        <v>0.193</v>
      </c>
      <c r="J67" s="86">
        <v>13311.76</v>
      </c>
      <c r="K67" s="86">
        <v>1.1100000000000001</v>
      </c>
      <c r="L67" s="86">
        <v>1.1100000000000001</v>
      </c>
      <c r="M67" s="87">
        <v>0</v>
      </c>
      <c r="N67" s="88">
        <v>0</v>
      </c>
      <c r="O67" s="88">
        <v>0</v>
      </c>
      <c r="P67" s="88">
        <v>0</v>
      </c>
    </row>
    <row r="68" spans="1:16" x14ac:dyDescent="0.2">
      <c r="A68" s="78">
        <v>852</v>
      </c>
      <c r="B68" s="79">
        <v>852</v>
      </c>
      <c r="C68" s="80">
        <v>2380000257932</v>
      </c>
      <c r="D68" s="81">
        <v>71</v>
      </c>
      <c r="E68" s="82">
        <v>71</v>
      </c>
      <c r="F68" s="83">
        <v>2394000016040</v>
      </c>
      <c r="G68" s="84" t="s">
        <v>1567</v>
      </c>
      <c r="H68" s="188">
        <v>1</v>
      </c>
      <c r="I68" s="85">
        <v>6.0000000000000001E-3</v>
      </c>
      <c r="J68" s="86">
        <v>2198.4899999999998</v>
      </c>
      <c r="K68" s="86">
        <v>0.36</v>
      </c>
      <c r="L68" s="86">
        <v>0.36</v>
      </c>
      <c r="M68" s="87">
        <v>-6.0000000000000001E-3</v>
      </c>
      <c r="N68" s="88">
        <v>66.739999999999995</v>
      </c>
      <c r="O68" s="88">
        <v>0.05</v>
      </c>
      <c r="P68" s="88">
        <v>0.05</v>
      </c>
    </row>
    <row r="69" spans="1:16" ht="30" x14ac:dyDescent="0.2">
      <c r="A69" s="78">
        <v>853</v>
      </c>
      <c r="B69" s="79">
        <v>853</v>
      </c>
      <c r="C69" s="80" t="s">
        <v>1465</v>
      </c>
      <c r="D69" s="81" t="s">
        <v>580</v>
      </c>
      <c r="E69" s="82">
        <v>0</v>
      </c>
      <c r="F69" s="83" t="s">
        <v>580</v>
      </c>
      <c r="G69" s="84" t="s">
        <v>1568</v>
      </c>
      <c r="H69" s="188">
        <v>1</v>
      </c>
      <c r="I69" s="85">
        <v>5.0000000000000001E-3</v>
      </c>
      <c r="J69" s="86">
        <v>2335.94</v>
      </c>
      <c r="K69" s="86">
        <v>2.88</v>
      </c>
      <c r="L69" s="86">
        <v>2.88</v>
      </c>
      <c r="M69" s="87">
        <v>0</v>
      </c>
      <c r="N69" s="88">
        <v>0</v>
      </c>
      <c r="O69" s="88">
        <v>0</v>
      </c>
      <c r="P69" s="88">
        <v>0</v>
      </c>
    </row>
    <row r="70" spans="1:16" x14ac:dyDescent="0.2">
      <c r="A70" s="78">
        <v>854</v>
      </c>
      <c r="B70" s="79">
        <v>854</v>
      </c>
      <c r="C70" s="80">
        <v>2380000476088</v>
      </c>
      <c r="D70" s="81">
        <v>72</v>
      </c>
      <c r="E70" s="82">
        <v>72</v>
      </c>
      <c r="F70" s="83">
        <v>2394000022132</v>
      </c>
      <c r="G70" s="84" t="s">
        <v>1569</v>
      </c>
      <c r="H70" s="188">
        <v>1</v>
      </c>
      <c r="I70" s="85">
        <v>6.0000000000000001E-3</v>
      </c>
      <c r="J70" s="86">
        <v>2196.17</v>
      </c>
      <c r="K70" s="86">
        <v>0.36</v>
      </c>
      <c r="L70" s="86">
        <v>0.36</v>
      </c>
      <c r="M70" s="87">
        <v>-6.0000000000000001E-3</v>
      </c>
      <c r="N70" s="88">
        <v>69.069999999999993</v>
      </c>
      <c r="O70" s="88">
        <v>0.05</v>
      </c>
      <c r="P70" s="88">
        <v>0.05</v>
      </c>
    </row>
    <row r="71" spans="1:16" ht="90" x14ac:dyDescent="0.2">
      <c r="A71" s="78">
        <v>855</v>
      </c>
      <c r="B71" s="79">
        <v>855</v>
      </c>
      <c r="C71" s="80" t="s">
        <v>1466</v>
      </c>
      <c r="D71" s="81" t="s">
        <v>580</v>
      </c>
      <c r="E71" s="82">
        <v>0</v>
      </c>
      <c r="F71" s="83" t="s">
        <v>580</v>
      </c>
      <c r="G71" s="84" t="s">
        <v>1570</v>
      </c>
      <c r="H71" s="188">
        <v>2</v>
      </c>
      <c r="I71" s="85">
        <v>1E-3</v>
      </c>
      <c r="J71" s="86">
        <v>13594.59</v>
      </c>
      <c r="K71" s="86">
        <v>1.77</v>
      </c>
      <c r="L71" s="86">
        <v>1.77</v>
      </c>
      <c r="M71" s="87">
        <v>0</v>
      </c>
      <c r="N71" s="88">
        <v>0</v>
      </c>
      <c r="O71" s="88">
        <v>0</v>
      </c>
      <c r="P71" s="88">
        <v>0</v>
      </c>
    </row>
    <row r="72" spans="1:16" ht="60" x14ac:dyDescent="0.2">
      <c r="A72" s="78">
        <v>856</v>
      </c>
      <c r="B72" s="79">
        <v>856</v>
      </c>
      <c r="C72" s="80" t="s">
        <v>1467</v>
      </c>
      <c r="D72" s="81" t="s">
        <v>580</v>
      </c>
      <c r="E72" s="82">
        <v>0</v>
      </c>
      <c r="F72" s="83" t="s">
        <v>580</v>
      </c>
      <c r="G72" s="84" t="s">
        <v>1571</v>
      </c>
      <c r="H72" s="188">
        <v>4</v>
      </c>
      <c r="I72" s="85">
        <v>7.6999999999999999E-2</v>
      </c>
      <c r="J72" s="86">
        <v>110728.66</v>
      </c>
      <c r="K72" s="86">
        <v>0.76</v>
      </c>
      <c r="L72" s="86">
        <v>0.76</v>
      </c>
      <c r="M72" s="87">
        <v>0</v>
      </c>
      <c r="N72" s="88">
        <v>0</v>
      </c>
      <c r="O72" s="88">
        <v>0</v>
      </c>
      <c r="P72" s="88">
        <v>0</v>
      </c>
    </row>
    <row r="73" spans="1:16" x14ac:dyDescent="0.2">
      <c r="A73" s="78">
        <v>857</v>
      </c>
      <c r="B73" s="79">
        <v>857</v>
      </c>
      <c r="C73" s="80">
        <v>2300000526046</v>
      </c>
      <c r="D73" s="81" t="s">
        <v>580</v>
      </c>
      <c r="E73" s="82">
        <v>0</v>
      </c>
      <c r="F73" s="83" t="s">
        <v>580</v>
      </c>
      <c r="G73" s="84" t="s">
        <v>1572</v>
      </c>
      <c r="H73" s="188">
        <v>1</v>
      </c>
      <c r="I73" s="85">
        <v>1.0720000000000001</v>
      </c>
      <c r="J73" s="86">
        <v>2265.2399999999998</v>
      </c>
      <c r="K73" s="86">
        <v>0.55000000000000004</v>
      </c>
      <c r="L73" s="86">
        <v>0.55000000000000004</v>
      </c>
      <c r="M73" s="87">
        <v>0</v>
      </c>
      <c r="N73" s="88">
        <v>0</v>
      </c>
      <c r="O73" s="88">
        <v>0</v>
      </c>
      <c r="P73" s="88">
        <v>0</v>
      </c>
    </row>
    <row r="74" spans="1:16" ht="45" x14ac:dyDescent="0.2">
      <c r="A74" s="78">
        <v>858</v>
      </c>
      <c r="B74" s="79">
        <v>858</v>
      </c>
      <c r="C74" s="80" t="s">
        <v>1468</v>
      </c>
      <c r="D74" s="81" t="s">
        <v>580</v>
      </c>
      <c r="E74" s="82">
        <v>0</v>
      </c>
      <c r="F74" s="83" t="s">
        <v>580</v>
      </c>
      <c r="G74" s="84" t="s">
        <v>1573</v>
      </c>
      <c r="H74" s="188">
        <v>2</v>
      </c>
      <c r="I74" s="85">
        <v>0.59699999999999998</v>
      </c>
      <c r="J74" s="86">
        <v>13311.76</v>
      </c>
      <c r="K74" s="86">
        <v>0.77</v>
      </c>
      <c r="L74" s="86">
        <v>0.77</v>
      </c>
      <c r="M74" s="87">
        <v>0</v>
      </c>
      <c r="N74" s="88">
        <v>0</v>
      </c>
      <c r="O74" s="88">
        <v>0</v>
      </c>
      <c r="P74" s="88">
        <v>0</v>
      </c>
    </row>
    <row r="75" spans="1:16" ht="30" x14ac:dyDescent="0.2">
      <c r="A75" s="78">
        <v>859</v>
      </c>
      <c r="B75" s="79">
        <v>859</v>
      </c>
      <c r="C75" s="80" t="s">
        <v>1469</v>
      </c>
      <c r="D75" s="81" t="s">
        <v>580</v>
      </c>
      <c r="E75" s="82">
        <v>0</v>
      </c>
      <c r="F75" s="83" t="s">
        <v>580</v>
      </c>
      <c r="G75" s="84" t="s">
        <v>1574</v>
      </c>
      <c r="H75" s="188">
        <v>2</v>
      </c>
      <c r="I75" s="85">
        <v>3.3000000000000002E-2</v>
      </c>
      <c r="J75" s="86">
        <v>13311.76</v>
      </c>
      <c r="K75" s="86">
        <v>0.74</v>
      </c>
      <c r="L75" s="86">
        <v>0.74</v>
      </c>
      <c r="M75" s="87">
        <v>0</v>
      </c>
      <c r="N75" s="88">
        <v>0</v>
      </c>
      <c r="O75" s="88">
        <v>0</v>
      </c>
      <c r="P75" s="88">
        <v>0</v>
      </c>
    </row>
    <row r="76" spans="1:16" ht="60" x14ac:dyDescent="0.2">
      <c r="A76" s="78">
        <v>861</v>
      </c>
      <c r="B76" s="79">
        <v>861</v>
      </c>
      <c r="C76" s="80" t="s">
        <v>1470</v>
      </c>
      <c r="D76" s="81" t="s">
        <v>580</v>
      </c>
      <c r="E76" s="82">
        <v>0</v>
      </c>
      <c r="F76" s="83" t="s">
        <v>580</v>
      </c>
      <c r="G76" s="84" t="s">
        <v>1575</v>
      </c>
      <c r="H76" s="188">
        <v>2</v>
      </c>
      <c r="I76" s="85">
        <v>3.0000000000000001E-3</v>
      </c>
      <c r="J76" s="86">
        <v>13453.18</v>
      </c>
      <c r="K76" s="86">
        <v>1.01</v>
      </c>
      <c r="L76" s="86">
        <v>1.01</v>
      </c>
      <c r="M76" s="87">
        <v>0</v>
      </c>
      <c r="N76" s="88">
        <v>0</v>
      </c>
      <c r="O76" s="88">
        <v>0</v>
      </c>
      <c r="P76" s="88">
        <v>0</v>
      </c>
    </row>
    <row r="77" spans="1:16" ht="60" x14ac:dyDescent="0.2">
      <c r="A77" s="78">
        <v>862</v>
      </c>
      <c r="B77" s="79">
        <v>862</v>
      </c>
      <c r="C77" s="80" t="s">
        <v>1471</v>
      </c>
      <c r="D77" s="81" t="s">
        <v>580</v>
      </c>
      <c r="E77" s="82">
        <v>0</v>
      </c>
      <c r="F77" s="83" t="s">
        <v>580</v>
      </c>
      <c r="G77" s="84" t="s">
        <v>1576</v>
      </c>
      <c r="H77" s="188">
        <v>2</v>
      </c>
      <c r="I77" s="85">
        <v>0</v>
      </c>
      <c r="J77" s="86">
        <v>13453.18</v>
      </c>
      <c r="K77" s="86">
        <v>1.6</v>
      </c>
      <c r="L77" s="86">
        <v>1.6</v>
      </c>
      <c r="M77" s="87">
        <v>0</v>
      </c>
      <c r="N77" s="88">
        <v>0</v>
      </c>
      <c r="O77" s="88">
        <v>0</v>
      </c>
      <c r="P77" s="88">
        <v>0</v>
      </c>
    </row>
    <row r="78" spans="1:16" ht="60" x14ac:dyDescent="0.2">
      <c r="A78" s="78">
        <v>863</v>
      </c>
      <c r="B78" s="79">
        <v>863</v>
      </c>
      <c r="C78" s="80" t="s">
        <v>1472</v>
      </c>
      <c r="D78" s="81" t="s">
        <v>580</v>
      </c>
      <c r="E78" s="82">
        <v>0</v>
      </c>
      <c r="F78" s="83" t="s">
        <v>580</v>
      </c>
      <c r="G78" s="84" t="s">
        <v>1577</v>
      </c>
      <c r="H78" s="188">
        <v>2</v>
      </c>
      <c r="I78" s="85">
        <v>0.45200000000000001</v>
      </c>
      <c r="J78" s="86">
        <v>13453.18</v>
      </c>
      <c r="K78" s="86">
        <v>1.65</v>
      </c>
      <c r="L78" s="86">
        <v>1.65</v>
      </c>
      <c r="M78" s="87">
        <v>0</v>
      </c>
      <c r="N78" s="88">
        <v>0</v>
      </c>
      <c r="O78" s="88">
        <v>0</v>
      </c>
      <c r="P78" s="88">
        <v>0</v>
      </c>
    </row>
    <row r="79" spans="1:16" ht="30" x14ac:dyDescent="0.2">
      <c r="A79" s="78">
        <v>865</v>
      </c>
      <c r="B79" s="79">
        <v>865</v>
      </c>
      <c r="C79" s="80" t="s">
        <v>1473</v>
      </c>
      <c r="D79" s="81" t="s">
        <v>580</v>
      </c>
      <c r="E79" s="82">
        <v>0</v>
      </c>
      <c r="F79" s="83" t="s">
        <v>580</v>
      </c>
      <c r="G79" s="84" t="s">
        <v>1578</v>
      </c>
      <c r="H79" s="188">
        <v>2</v>
      </c>
      <c r="I79" s="85">
        <v>0.31</v>
      </c>
      <c r="J79" s="86">
        <v>13311.76</v>
      </c>
      <c r="K79" s="86">
        <v>1.94</v>
      </c>
      <c r="L79" s="86">
        <v>1.94</v>
      </c>
      <c r="M79" s="87">
        <v>0</v>
      </c>
      <c r="N79" s="88">
        <v>0</v>
      </c>
      <c r="O79" s="88">
        <v>0</v>
      </c>
      <c r="P79" s="88">
        <v>0</v>
      </c>
    </row>
    <row r="80" spans="1:16" ht="30" x14ac:dyDescent="0.2">
      <c r="A80" s="78">
        <v>867</v>
      </c>
      <c r="B80" s="79">
        <v>867</v>
      </c>
      <c r="C80" s="80" t="s">
        <v>1474</v>
      </c>
      <c r="D80" s="81" t="s">
        <v>580</v>
      </c>
      <c r="E80" s="82">
        <v>0</v>
      </c>
      <c r="F80" s="83" t="s">
        <v>580</v>
      </c>
      <c r="G80" s="84" t="s">
        <v>1579</v>
      </c>
      <c r="H80" s="188">
        <v>1</v>
      </c>
      <c r="I80" s="85">
        <v>0.222</v>
      </c>
      <c r="J80" s="86">
        <v>2335.94</v>
      </c>
      <c r="K80" s="86">
        <v>0.95</v>
      </c>
      <c r="L80" s="86">
        <v>0.95</v>
      </c>
      <c r="M80" s="87">
        <v>0</v>
      </c>
      <c r="N80" s="88">
        <v>0</v>
      </c>
      <c r="O80" s="88">
        <v>0</v>
      </c>
      <c r="P80" s="88">
        <v>0</v>
      </c>
    </row>
    <row r="81" spans="1:16" ht="30" x14ac:dyDescent="0.2">
      <c r="A81" s="78">
        <v>868</v>
      </c>
      <c r="B81" s="79">
        <v>868</v>
      </c>
      <c r="C81" s="80" t="s">
        <v>1475</v>
      </c>
      <c r="D81" s="81" t="s">
        <v>580</v>
      </c>
      <c r="E81" s="82">
        <v>0</v>
      </c>
      <c r="F81" s="83" t="s">
        <v>580</v>
      </c>
      <c r="G81" s="84" t="s">
        <v>1580</v>
      </c>
      <c r="H81" s="188">
        <v>1</v>
      </c>
      <c r="I81" s="85">
        <v>1.4999999999999999E-2</v>
      </c>
      <c r="J81" s="86">
        <v>2335.94</v>
      </c>
      <c r="K81" s="86">
        <v>0.96</v>
      </c>
      <c r="L81" s="86">
        <v>0.96</v>
      </c>
      <c r="M81" s="87">
        <v>0</v>
      </c>
      <c r="N81" s="88">
        <v>0</v>
      </c>
      <c r="O81" s="88">
        <v>0</v>
      </c>
      <c r="P81" s="88">
        <v>0</v>
      </c>
    </row>
    <row r="82" spans="1:16" ht="30" x14ac:dyDescent="0.2">
      <c r="A82" s="78">
        <v>869</v>
      </c>
      <c r="B82" s="79">
        <v>869</v>
      </c>
      <c r="C82" s="80" t="s">
        <v>1476</v>
      </c>
      <c r="D82" s="81" t="s">
        <v>580</v>
      </c>
      <c r="E82" s="82">
        <v>0</v>
      </c>
      <c r="F82" s="83" t="s">
        <v>580</v>
      </c>
      <c r="G82" s="84" t="s">
        <v>1581</v>
      </c>
      <c r="H82" s="188">
        <v>2</v>
      </c>
      <c r="I82" s="85">
        <v>0.25600000000000001</v>
      </c>
      <c r="J82" s="86">
        <v>13311.76</v>
      </c>
      <c r="K82" s="86">
        <v>1.87</v>
      </c>
      <c r="L82" s="86">
        <v>1.87</v>
      </c>
      <c r="M82" s="87">
        <v>0</v>
      </c>
      <c r="N82" s="88">
        <v>0</v>
      </c>
      <c r="O82" s="88">
        <v>0</v>
      </c>
      <c r="P82" s="88">
        <v>0</v>
      </c>
    </row>
    <row r="83" spans="1:16" ht="30" x14ac:dyDescent="0.2">
      <c r="A83" s="78">
        <v>870</v>
      </c>
      <c r="B83" s="79">
        <v>870</v>
      </c>
      <c r="C83" s="80" t="s">
        <v>1477</v>
      </c>
      <c r="D83" s="81">
        <v>36</v>
      </c>
      <c r="E83" s="82">
        <v>36</v>
      </c>
      <c r="F83" s="83" t="s">
        <v>1478</v>
      </c>
      <c r="G83" s="84" t="s">
        <v>1582</v>
      </c>
      <c r="H83" s="188">
        <v>0</v>
      </c>
      <c r="I83" s="85">
        <v>1.6E-2</v>
      </c>
      <c r="J83" s="86">
        <v>114.34</v>
      </c>
      <c r="K83" s="86">
        <v>0.35</v>
      </c>
      <c r="L83" s="86">
        <v>0.35</v>
      </c>
      <c r="M83" s="87">
        <v>-1.6E-2</v>
      </c>
      <c r="N83" s="88">
        <v>168.49</v>
      </c>
      <c r="O83" s="88">
        <v>0.05</v>
      </c>
      <c r="P83" s="88">
        <v>0.05</v>
      </c>
    </row>
    <row r="84" spans="1:16" ht="30" x14ac:dyDescent="0.2">
      <c r="A84" s="78">
        <v>871</v>
      </c>
      <c r="B84" s="79">
        <v>871</v>
      </c>
      <c r="C84" s="80" t="s">
        <v>1479</v>
      </c>
      <c r="D84" s="81" t="s">
        <v>580</v>
      </c>
      <c r="E84" s="82">
        <v>0</v>
      </c>
      <c r="F84" s="83" t="s">
        <v>580</v>
      </c>
      <c r="G84" s="84" t="s">
        <v>1583</v>
      </c>
      <c r="H84" s="188">
        <v>1</v>
      </c>
      <c r="I84" s="85">
        <v>0.36699999999999999</v>
      </c>
      <c r="J84" s="86">
        <v>2335.94</v>
      </c>
      <c r="K84" s="86">
        <v>1.28</v>
      </c>
      <c r="L84" s="86">
        <v>1.28</v>
      </c>
      <c r="M84" s="87">
        <v>0</v>
      </c>
      <c r="N84" s="88">
        <v>0</v>
      </c>
      <c r="O84" s="88">
        <v>0</v>
      </c>
      <c r="P84" s="88">
        <v>0</v>
      </c>
    </row>
    <row r="85" spans="1:16" ht="30" x14ac:dyDescent="0.2">
      <c r="A85" s="78">
        <v>872</v>
      </c>
      <c r="B85" s="79">
        <v>872</v>
      </c>
      <c r="C85" s="80" t="s">
        <v>1480</v>
      </c>
      <c r="D85" s="81" t="s">
        <v>580</v>
      </c>
      <c r="E85" s="82">
        <v>0</v>
      </c>
      <c r="F85" s="83" t="s">
        <v>580</v>
      </c>
      <c r="G85" s="84" t="s">
        <v>1584</v>
      </c>
      <c r="H85" s="188">
        <v>2</v>
      </c>
      <c r="I85" s="85">
        <v>4.5999999999999999E-2</v>
      </c>
      <c r="J85" s="86">
        <v>13311.76</v>
      </c>
      <c r="K85" s="86">
        <v>1.37</v>
      </c>
      <c r="L85" s="86">
        <v>1.37</v>
      </c>
      <c r="M85" s="87">
        <v>0</v>
      </c>
      <c r="N85" s="88">
        <v>0</v>
      </c>
      <c r="O85" s="88">
        <v>0</v>
      </c>
      <c r="P85" s="88">
        <v>0</v>
      </c>
    </row>
    <row r="86" spans="1:16" ht="30" x14ac:dyDescent="0.2">
      <c r="A86" s="78">
        <v>873</v>
      </c>
      <c r="B86" s="79">
        <v>873</v>
      </c>
      <c r="C86" s="80" t="s">
        <v>1481</v>
      </c>
      <c r="D86" s="81" t="s">
        <v>580</v>
      </c>
      <c r="E86" s="82">
        <v>0</v>
      </c>
      <c r="F86" s="83" t="s">
        <v>580</v>
      </c>
      <c r="G86" s="84" t="s">
        <v>1585</v>
      </c>
      <c r="H86" s="188">
        <v>2</v>
      </c>
      <c r="I86" s="85">
        <v>4.7E-2</v>
      </c>
      <c r="J86" s="86">
        <v>13311.76</v>
      </c>
      <c r="K86" s="86">
        <v>0.86</v>
      </c>
      <c r="L86" s="86">
        <v>0.86</v>
      </c>
      <c r="M86" s="87">
        <v>0</v>
      </c>
      <c r="N86" s="88">
        <v>0</v>
      </c>
      <c r="O86" s="88">
        <v>0</v>
      </c>
      <c r="P86" s="88">
        <v>0</v>
      </c>
    </row>
    <row r="87" spans="1:16" x14ac:dyDescent="0.2">
      <c r="A87" s="78">
        <v>874</v>
      </c>
      <c r="B87" s="79">
        <v>874</v>
      </c>
      <c r="C87" s="80">
        <v>2300000542828</v>
      </c>
      <c r="D87" s="81">
        <v>32</v>
      </c>
      <c r="E87" s="82">
        <v>32</v>
      </c>
      <c r="F87" s="83">
        <v>2300000542819</v>
      </c>
      <c r="G87" s="84" t="s">
        <v>1586</v>
      </c>
      <c r="H87" s="188">
        <v>1</v>
      </c>
      <c r="I87" s="85">
        <v>0</v>
      </c>
      <c r="J87" s="86">
        <v>2197.11</v>
      </c>
      <c r="K87" s="86">
        <v>0.65</v>
      </c>
      <c r="L87" s="86">
        <v>0.65</v>
      </c>
      <c r="M87" s="87">
        <v>0</v>
      </c>
      <c r="N87" s="88">
        <v>68.13</v>
      </c>
      <c r="O87" s="88">
        <v>0.05</v>
      </c>
      <c r="P87" s="88">
        <v>0.05</v>
      </c>
    </row>
    <row r="88" spans="1:16" x14ac:dyDescent="0.2">
      <c r="A88" s="78">
        <v>875</v>
      </c>
      <c r="B88" s="79">
        <v>875</v>
      </c>
      <c r="C88" s="80">
        <v>2366560263119</v>
      </c>
      <c r="D88" s="81" t="s">
        <v>580</v>
      </c>
      <c r="E88" s="82">
        <v>0</v>
      </c>
      <c r="F88" s="83" t="s">
        <v>580</v>
      </c>
      <c r="G88" s="84" t="s">
        <v>1587</v>
      </c>
      <c r="H88" s="188">
        <v>2</v>
      </c>
      <c r="I88" s="85">
        <v>0.17799999999999999</v>
      </c>
      <c r="J88" s="86">
        <v>13311.76</v>
      </c>
      <c r="K88" s="86">
        <v>1.1299999999999999</v>
      </c>
      <c r="L88" s="86">
        <v>1.1299999999999999</v>
      </c>
      <c r="M88" s="87">
        <v>0</v>
      </c>
      <c r="N88" s="88">
        <v>0</v>
      </c>
      <c r="O88" s="88">
        <v>0</v>
      </c>
      <c r="P88" s="88">
        <v>0</v>
      </c>
    </row>
    <row r="89" spans="1:16" x14ac:dyDescent="0.2">
      <c r="A89" s="78">
        <v>876</v>
      </c>
      <c r="B89" s="79">
        <v>876</v>
      </c>
      <c r="C89" s="80">
        <v>2300000699565</v>
      </c>
      <c r="D89" s="81" t="s">
        <v>580</v>
      </c>
      <c r="E89" s="82">
        <v>0</v>
      </c>
      <c r="F89" s="83" t="s">
        <v>580</v>
      </c>
      <c r="G89" s="84" t="s">
        <v>1588</v>
      </c>
      <c r="H89" s="188">
        <v>1</v>
      </c>
      <c r="I89" s="85">
        <v>3.1E-2</v>
      </c>
      <c r="J89" s="86">
        <v>2335.94</v>
      </c>
      <c r="K89" s="86">
        <v>1.81</v>
      </c>
      <c r="L89" s="86">
        <v>1.81</v>
      </c>
      <c r="M89" s="87">
        <v>0</v>
      </c>
      <c r="N89" s="88">
        <v>0</v>
      </c>
      <c r="O89" s="88">
        <v>0</v>
      </c>
      <c r="P89" s="88">
        <v>0</v>
      </c>
    </row>
    <row r="90" spans="1:16" x14ac:dyDescent="0.2">
      <c r="A90" s="78">
        <v>877</v>
      </c>
      <c r="B90" s="79">
        <v>877</v>
      </c>
      <c r="C90" s="80">
        <v>2366591617013</v>
      </c>
      <c r="D90" s="81" t="s">
        <v>580</v>
      </c>
      <c r="E90" s="82">
        <v>0</v>
      </c>
      <c r="F90" s="83" t="s">
        <v>580</v>
      </c>
      <c r="G90" s="84" t="s">
        <v>1589</v>
      </c>
      <c r="H90" s="188">
        <v>2</v>
      </c>
      <c r="I90" s="85">
        <v>4.4999999999999998E-2</v>
      </c>
      <c r="J90" s="86">
        <v>13311.76</v>
      </c>
      <c r="K90" s="86">
        <v>1.67</v>
      </c>
      <c r="L90" s="86">
        <v>1.67</v>
      </c>
      <c r="M90" s="87">
        <v>0</v>
      </c>
      <c r="N90" s="88">
        <v>0</v>
      </c>
      <c r="O90" s="88">
        <v>0</v>
      </c>
      <c r="P90" s="88">
        <v>0</v>
      </c>
    </row>
    <row r="91" spans="1:16" x14ac:dyDescent="0.2">
      <c r="A91" s="78">
        <v>880</v>
      </c>
      <c r="B91" s="79">
        <v>880</v>
      </c>
      <c r="C91" s="80">
        <v>2300000792050</v>
      </c>
      <c r="D91" s="81" t="s">
        <v>580</v>
      </c>
      <c r="E91" s="82">
        <v>0</v>
      </c>
      <c r="F91" s="83" t="s">
        <v>580</v>
      </c>
      <c r="G91" s="84" t="s">
        <v>1590</v>
      </c>
      <c r="H91" s="188">
        <v>1</v>
      </c>
      <c r="I91" s="85">
        <v>3.9E-2</v>
      </c>
      <c r="J91" s="86">
        <v>2335.94</v>
      </c>
      <c r="K91" s="86">
        <v>1.28</v>
      </c>
      <c r="L91" s="86">
        <v>1.28</v>
      </c>
      <c r="M91" s="87">
        <v>0</v>
      </c>
      <c r="N91" s="88">
        <v>0</v>
      </c>
      <c r="O91" s="88">
        <v>0</v>
      </c>
      <c r="P91" s="88">
        <v>0</v>
      </c>
    </row>
    <row r="92" spans="1:16" ht="30" x14ac:dyDescent="0.2">
      <c r="A92" s="78">
        <v>881</v>
      </c>
      <c r="B92" s="79">
        <v>881</v>
      </c>
      <c r="C92" s="80" t="s">
        <v>1482</v>
      </c>
      <c r="D92" s="81" t="s">
        <v>580</v>
      </c>
      <c r="E92" s="82">
        <v>0</v>
      </c>
      <c r="F92" s="83" t="s">
        <v>580</v>
      </c>
      <c r="G92" s="84" t="s">
        <v>1591</v>
      </c>
      <c r="H92" s="188">
        <v>2</v>
      </c>
      <c r="I92" s="85">
        <v>3.9E-2</v>
      </c>
      <c r="J92" s="86">
        <v>13311.76</v>
      </c>
      <c r="K92" s="86">
        <v>1.9</v>
      </c>
      <c r="L92" s="86">
        <v>1.9</v>
      </c>
      <c r="M92" s="87">
        <v>0</v>
      </c>
      <c r="N92" s="88">
        <v>0</v>
      </c>
      <c r="O92" s="88">
        <v>0</v>
      </c>
      <c r="P92" s="88">
        <v>0</v>
      </c>
    </row>
    <row r="93" spans="1:16" x14ac:dyDescent="0.2">
      <c r="A93" s="78">
        <v>882</v>
      </c>
      <c r="B93" s="79">
        <v>882</v>
      </c>
      <c r="C93" s="80">
        <v>2300000826383</v>
      </c>
      <c r="D93" s="81">
        <v>69</v>
      </c>
      <c r="E93" s="82">
        <v>69</v>
      </c>
      <c r="F93" s="83">
        <v>2300000930377</v>
      </c>
      <c r="G93" s="84" t="s">
        <v>1592</v>
      </c>
      <c r="H93" s="188">
        <v>1</v>
      </c>
      <c r="I93" s="85">
        <v>0.65300000000000002</v>
      </c>
      <c r="J93" s="86">
        <v>2480.6999999999998</v>
      </c>
      <c r="K93" s="86">
        <v>0.42</v>
      </c>
      <c r="L93" s="86">
        <v>0.42</v>
      </c>
      <c r="M93" s="87">
        <v>-0.65300000000000002</v>
      </c>
      <c r="N93" s="88">
        <v>2128.7600000000002</v>
      </c>
      <c r="O93" s="88">
        <v>0.05</v>
      </c>
      <c r="P93" s="88">
        <v>0.05</v>
      </c>
    </row>
    <row r="94" spans="1:16" ht="60" x14ac:dyDescent="0.2">
      <c r="A94" s="78">
        <v>883</v>
      </c>
      <c r="B94" s="79">
        <v>883</v>
      </c>
      <c r="C94" s="80" t="s">
        <v>1483</v>
      </c>
      <c r="D94" s="81" t="s">
        <v>580</v>
      </c>
      <c r="E94" s="82">
        <v>0</v>
      </c>
      <c r="F94" s="83" t="s">
        <v>580</v>
      </c>
      <c r="G94" s="84" t="s">
        <v>1593</v>
      </c>
      <c r="H94" s="188">
        <v>3</v>
      </c>
      <c r="I94" s="85">
        <v>7.0000000000000007E-2</v>
      </c>
      <c r="J94" s="86">
        <v>36452.339999999997</v>
      </c>
      <c r="K94" s="86">
        <v>1</v>
      </c>
      <c r="L94" s="86">
        <v>1</v>
      </c>
      <c r="M94" s="87">
        <v>0</v>
      </c>
      <c r="N94" s="88">
        <v>0</v>
      </c>
      <c r="O94" s="88">
        <v>0</v>
      </c>
      <c r="P94" s="88">
        <v>0</v>
      </c>
    </row>
    <row r="95" spans="1:16" x14ac:dyDescent="0.2">
      <c r="A95" s="78">
        <v>884</v>
      </c>
      <c r="B95" s="79">
        <v>884</v>
      </c>
      <c r="C95" s="80">
        <v>2300000233754</v>
      </c>
      <c r="D95" s="81" t="s">
        <v>580</v>
      </c>
      <c r="E95" s="82">
        <v>0</v>
      </c>
      <c r="F95" s="83" t="s">
        <v>580</v>
      </c>
      <c r="G95" s="84" t="s">
        <v>1594</v>
      </c>
      <c r="H95" s="188">
        <v>1</v>
      </c>
      <c r="I95" s="85">
        <v>0.01</v>
      </c>
      <c r="J95" s="86">
        <v>2265.2399999999998</v>
      </c>
      <c r="K95" s="86">
        <v>1.42</v>
      </c>
      <c r="L95" s="86">
        <v>1.42</v>
      </c>
      <c r="M95" s="87">
        <v>0</v>
      </c>
      <c r="N95" s="88">
        <v>0</v>
      </c>
      <c r="O95" s="88">
        <v>0</v>
      </c>
      <c r="P95" s="88">
        <v>0</v>
      </c>
    </row>
    <row r="96" spans="1:16" x14ac:dyDescent="0.2">
      <c r="A96" s="78">
        <v>886</v>
      </c>
      <c r="B96" s="79">
        <v>886</v>
      </c>
      <c r="C96" s="80">
        <v>2380001187667</v>
      </c>
      <c r="D96" s="81" t="s">
        <v>580</v>
      </c>
      <c r="E96" s="82">
        <v>0</v>
      </c>
      <c r="F96" s="83" t="s">
        <v>580</v>
      </c>
      <c r="G96" s="84" t="s">
        <v>1595</v>
      </c>
      <c r="H96" s="188">
        <v>1</v>
      </c>
      <c r="I96" s="85">
        <v>0.14199999999999999</v>
      </c>
      <c r="J96" s="86">
        <v>2265.2399999999998</v>
      </c>
      <c r="K96" s="86">
        <v>1.01</v>
      </c>
      <c r="L96" s="86">
        <v>1.01</v>
      </c>
      <c r="M96" s="87">
        <v>0</v>
      </c>
      <c r="N96" s="88">
        <v>0</v>
      </c>
      <c r="O96" s="88">
        <v>0</v>
      </c>
      <c r="P96" s="88">
        <v>0</v>
      </c>
    </row>
    <row r="97" spans="1:16" ht="75" x14ac:dyDescent="0.2">
      <c r="A97" s="78">
        <v>888</v>
      </c>
      <c r="B97" s="79">
        <v>888</v>
      </c>
      <c r="C97" s="80" t="s">
        <v>1484</v>
      </c>
      <c r="D97" s="81" t="s">
        <v>580</v>
      </c>
      <c r="E97" s="82">
        <v>0</v>
      </c>
      <c r="F97" s="83" t="s">
        <v>580</v>
      </c>
      <c r="G97" s="84" t="s">
        <v>1596</v>
      </c>
      <c r="H97" s="188">
        <v>3</v>
      </c>
      <c r="I97" s="85">
        <v>0.129</v>
      </c>
      <c r="J97" s="86">
        <v>36664.46</v>
      </c>
      <c r="K97" s="86">
        <v>1.45</v>
      </c>
      <c r="L97" s="86">
        <v>1.45</v>
      </c>
      <c r="M97" s="87">
        <v>0</v>
      </c>
      <c r="N97" s="88">
        <v>0</v>
      </c>
      <c r="O97" s="88">
        <v>0</v>
      </c>
      <c r="P97" s="88">
        <v>0</v>
      </c>
    </row>
    <row r="98" spans="1:16" x14ac:dyDescent="0.2">
      <c r="A98" s="78">
        <v>797</v>
      </c>
      <c r="B98" s="79">
        <v>797</v>
      </c>
      <c r="C98" s="80">
        <v>2390000079381</v>
      </c>
      <c r="D98" s="81">
        <v>99</v>
      </c>
      <c r="E98" s="82">
        <v>99</v>
      </c>
      <c r="F98" s="83">
        <v>2394000079398</v>
      </c>
      <c r="G98" s="84" t="s">
        <v>1597</v>
      </c>
      <c r="H98" s="188">
        <v>0</v>
      </c>
      <c r="I98" s="85">
        <v>3.3000000000000002E-2</v>
      </c>
      <c r="J98" s="86">
        <v>1.8</v>
      </c>
      <c r="K98" s="86">
        <v>1.59</v>
      </c>
      <c r="L98" s="86">
        <v>1.59</v>
      </c>
      <c r="M98" s="87">
        <v>0</v>
      </c>
      <c r="N98" s="88">
        <v>0</v>
      </c>
      <c r="O98" s="88">
        <v>0</v>
      </c>
      <c r="P98" s="88">
        <v>0</v>
      </c>
    </row>
    <row r="99" spans="1:16" x14ac:dyDescent="0.2">
      <c r="A99" s="78">
        <v>798</v>
      </c>
      <c r="B99" s="79">
        <v>798</v>
      </c>
      <c r="C99" s="80">
        <v>2380001746400</v>
      </c>
      <c r="D99" s="81">
        <v>61</v>
      </c>
      <c r="E99" s="82">
        <v>61</v>
      </c>
      <c r="F99" s="83">
        <v>2394000083311</v>
      </c>
      <c r="G99" s="84" t="s">
        <v>1598</v>
      </c>
      <c r="H99" s="188">
        <v>0</v>
      </c>
      <c r="I99" s="85">
        <v>5.2999999999999999E-2</v>
      </c>
      <c r="J99" s="86">
        <v>41.76</v>
      </c>
      <c r="K99" s="86">
        <v>0.45</v>
      </c>
      <c r="L99" s="86">
        <v>0.45</v>
      </c>
      <c r="M99" s="87">
        <v>0</v>
      </c>
      <c r="N99" s="88">
        <v>3374.26</v>
      </c>
      <c r="O99" s="88">
        <v>0.05</v>
      </c>
      <c r="P99" s="88">
        <v>0.05</v>
      </c>
    </row>
    <row r="100" spans="1:16" x14ac:dyDescent="0.2">
      <c r="A100" s="78">
        <v>799</v>
      </c>
      <c r="B100" s="79">
        <v>799</v>
      </c>
      <c r="C100" s="80">
        <v>2380001812550</v>
      </c>
      <c r="D100" s="81">
        <v>51</v>
      </c>
      <c r="E100" s="82">
        <v>51</v>
      </c>
      <c r="F100" s="83">
        <v>2394000089457</v>
      </c>
      <c r="G100" s="84" t="s">
        <v>1599</v>
      </c>
      <c r="H100" s="188">
        <v>1</v>
      </c>
      <c r="I100" s="85">
        <v>0</v>
      </c>
      <c r="J100" s="86">
        <v>2221.35</v>
      </c>
      <c r="K100" s="86">
        <v>0.36</v>
      </c>
      <c r="L100" s="86">
        <v>0.36</v>
      </c>
      <c r="M100" s="87">
        <v>0</v>
      </c>
      <c r="N100" s="88">
        <v>2682.26</v>
      </c>
      <c r="O100" s="88">
        <v>0.05</v>
      </c>
      <c r="P100" s="88">
        <v>0.05</v>
      </c>
    </row>
    <row r="101" spans="1:16" x14ac:dyDescent="0.2">
      <c r="A101" s="78">
        <v>821</v>
      </c>
      <c r="B101" s="79">
        <v>821</v>
      </c>
      <c r="C101" s="80">
        <v>2380001851381</v>
      </c>
      <c r="D101" s="81">
        <v>52</v>
      </c>
      <c r="E101" s="82">
        <v>52</v>
      </c>
      <c r="F101" s="83">
        <v>2394000093027</v>
      </c>
      <c r="G101" s="84" t="s">
        <v>1600</v>
      </c>
      <c r="H101" s="188">
        <v>0</v>
      </c>
      <c r="I101" s="85">
        <v>8.2000000000000003E-2</v>
      </c>
      <c r="J101" s="86">
        <v>2.73</v>
      </c>
      <c r="K101" s="86">
        <v>0.79</v>
      </c>
      <c r="L101" s="86">
        <v>0.79</v>
      </c>
      <c r="M101" s="87">
        <v>0</v>
      </c>
      <c r="N101" s="88">
        <v>181.74</v>
      </c>
      <c r="O101" s="88">
        <v>0.05</v>
      </c>
      <c r="P101" s="88">
        <v>0.05</v>
      </c>
    </row>
    <row r="102" spans="1:16" ht="30" x14ac:dyDescent="0.2">
      <c r="A102" s="78">
        <v>822</v>
      </c>
      <c r="B102" s="79">
        <v>822</v>
      </c>
      <c r="C102" s="80" t="s">
        <v>1485</v>
      </c>
      <c r="D102" s="81">
        <v>53</v>
      </c>
      <c r="E102" s="82">
        <v>53</v>
      </c>
      <c r="F102" s="83" t="s">
        <v>1486</v>
      </c>
      <c r="G102" s="84" t="s">
        <v>1601</v>
      </c>
      <c r="H102" s="188">
        <v>0</v>
      </c>
      <c r="I102" s="85">
        <v>8.1000000000000003E-2</v>
      </c>
      <c r="J102" s="86">
        <v>8.5299999999999994</v>
      </c>
      <c r="K102" s="86">
        <v>0.74</v>
      </c>
      <c r="L102" s="86">
        <v>0.74</v>
      </c>
      <c r="M102" s="87">
        <v>0</v>
      </c>
      <c r="N102" s="88">
        <v>360.41</v>
      </c>
      <c r="O102" s="88">
        <v>0.05</v>
      </c>
      <c r="P102" s="88">
        <v>0.05</v>
      </c>
    </row>
    <row r="103" spans="1:16" x14ac:dyDescent="0.2">
      <c r="A103" s="78">
        <v>823</v>
      </c>
      <c r="B103" s="79">
        <v>823</v>
      </c>
      <c r="C103" s="80">
        <v>2380001877557</v>
      </c>
      <c r="D103" s="81">
        <v>54</v>
      </c>
      <c r="E103" s="82">
        <v>54</v>
      </c>
      <c r="F103" s="83">
        <v>2394000097068</v>
      </c>
      <c r="G103" s="84" t="s">
        <v>1602</v>
      </c>
      <c r="H103" s="188">
        <v>0</v>
      </c>
      <c r="I103" s="85">
        <v>1.7000000000000001E-2</v>
      </c>
      <c r="J103" s="86">
        <v>2.58</v>
      </c>
      <c r="K103" s="86">
        <v>0.43</v>
      </c>
      <c r="L103" s="86">
        <v>0.43</v>
      </c>
      <c r="M103" s="87">
        <v>0</v>
      </c>
      <c r="N103" s="88">
        <v>181.89</v>
      </c>
      <c r="O103" s="88">
        <v>0.05</v>
      </c>
      <c r="P103" s="88">
        <v>0.05</v>
      </c>
    </row>
    <row r="104" spans="1:16" x14ac:dyDescent="0.2">
      <c r="A104" s="78">
        <v>824</v>
      </c>
      <c r="B104" s="79">
        <v>824</v>
      </c>
      <c r="C104" s="80" t="s">
        <v>1487</v>
      </c>
      <c r="D104" s="81">
        <v>55</v>
      </c>
      <c r="E104" s="82">
        <v>55</v>
      </c>
      <c r="F104" s="83" t="s">
        <v>1487</v>
      </c>
      <c r="G104" s="84" t="s">
        <v>1603</v>
      </c>
      <c r="H104" s="188">
        <v>0</v>
      </c>
      <c r="I104" s="85">
        <v>0</v>
      </c>
      <c r="J104" s="86">
        <v>27.57</v>
      </c>
      <c r="K104" s="86">
        <v>0.37</v>
      </c>
      <c r="L104" s="86">
        <v>0.37</v>
      </c>
      <c r="M104" s="87">
        <v>0</v>
      </c>
      <c r="N104" s="88">
        <v>951.08</v>
      </c>
      <c r="O104" s="88">
        <v>0.05</v>
      </c>
      <c r="P104" s="88">
        <v>0.05</v>
      </c>
    </row>
    <row r="105" spans="1:16" x14ac:dyDescent="0.2">
      <c r="A105" s="78">
        <v>826</v>
      </c>
      <c r="B105" s="79">
        <v>826</v>
      </c>
      <c r="C105" s="80">
        <v>2380001874087</v>
      </c>
      <c r="D105" s="81">
        <v>57</v>
      </c>
      <c r="E105" s="82">
        <v>57</v>
      </c>
      <c r="F105" s="83">
        <v>2394000094590</v>
      </c>
      <c r="G105" s="84" t="s">
        <v>1604</v>
      </c>
      <c r="H105" s="188">
        <v>0</v>
      </c>
      <c r="I105" s="85">
        <v>7.6999999999999999E-2</v>
      </c>
      <c r="J105" s="86">
        <v>42.03</v>
      </c>
      <c r="K105" s="86">
        <v>0.82</v>
      </c>
      <c r="L105" s="86">
        <v>0.82</v>
      </c>
      <c r="M105" s="87">
        <v>0</v>
      </c>
      <c r="N105" s="88">
        <v>2664.89</v>
      </c>
      <c r="O105" s="88">
        <v>0.05</v>
      </c>
      <c r="P105" s="88">
        <v>0.05</v>
      </c>
    </row>
    <row r="106" spans="1:16" ht="30" x14ac:dyDescent="0.2">
      <c r="A106" s="78">
        <v>866</v>
      </c>
      <c r="B106" s="79">
        <v>866</v>
      </c>
      <c r="C106" s="80" t="s">
        <v>1488</v>
      </c>
      <c r="D106" s="81" t="s">
        <v>580</v>
      </c>
      <c r="E106" s="82">
        <v>0</v>
      </c>
      <c r="F106" s="83" t="s">
        <v>580</v>
      </c>
      <c r="G106" s="84" t="s">
        <v>1605</v>
      </c>
      <c r="H106" s="188">
        <v>2</v>
      </c>
      <c r="I106" s="85">
        <v>0.32900000000000001</v>
      </c>
      <c r="J106" s="86">
        <v>13241.06</v>
      </c>
      <c r="K106" s="86">
        <v>0.63</v>
      </c>
      <c r="L106" s="86">
        <v>0.63</v>
      </c>
      <c r="M106" s="87">
        <v>0</v>
      </c>
      <c r="N106" s="88">
        <v>0</v>
      </c>
      <c r="O106" s="88">
        <v>0</v>
      </c>
      <c r="P106" s="88">
        <v>0</v>
      </c>
    </row>
    <row r="107" spans="1:16" x14ac:dyDescent="0.2">
      <c r="A107" s="78">
        <v>827</v>
      </c>
      <c r="B107" s="79">
        <v>827</v>
      </c>
      <c r="C107" s="80">
        <v>2380001838371</v>
      </c>
      <c r="D107" s="81">
        <v>58</v>
      </c>
      <c r="E107" s="82">
        <v>58</v>
      </c>
      <c r="F107" s="83">
        <v>2394000091952</v>
      </c>
      <c r="G107" s="84" t="s">
        <v>1606</v>
      </c>
      <c r="H107" s="188">
        <v>1</v>
      </c>
      <c r="I107" s="85">
        <v>2E-3</v>
      </c>
      <c r="J107" s="86">
        <v>2195.85</v>
      </c>
      <c r="K107" s="86">
        <v>0.72</v>
      </c>
      <c r="L107" s="86">
        <v>0.72</v>
      </c>
      <c r="M107" s="87">
        <v>-3.9E-2</v>
      </c>
      <c r="N107" s="88">
        <v>183.15</v>
      </c>
      <c r="O107" s="88">
        <v>0.05</v>
      </c>
      <c r="P107" s="88">
        <v>0.05</v>
      </c>
    </row>
    <row r="108" spans="1:16" x14ac:dyDescent="0.2">
      <c r="A108" s="78">
        <v>768</v>
      </c>
      <c r="B108" s="79">
        <v>768</v>
      </c>
      <c r="C108" s="80">
        <v>2380001882798</v>
      </c>
      <c r="D108" s="81">
        <v>59</v>
      </c>
      <c r="E108" s="82">
        <v>59</v>
      </c>
      <c r="F108" s="83">
        <v>2394000095804</v>
      </c>
      <c r="G108" s="84" t="s">
        <v>1607</v>
      </c>
      <c r="H108" s="188">
        <v>0</v>
      </c>
      <c r="I108" s="85">
        <v>6.0000000000000001E-3</v>
      </c>
      <c r="J108" s="86">
        <v>2.85</v>
      </c>
      <c r="K108" s="86">
        <v>0.61</v>
      </c>
      <c r="L108" s="86">
        <v>0.61</v>
      </c>
      <c r="M108" s="87">
        <v>0</v>
      </c>
      <c r="N108" s="88">
        <v>181.62</v>
      </c>
      <c r="O108" s="88">
        <v>0.05</v>
      </c>
      <c r="P108" s="88">
        <v>0.05</v>
      </c>
    </row>
    <row r="109" spans="1:16" x14ac:dyDescent="0.2">
      <c r="A109" s="78">
        <v>801</v>
      </c>
      <c r="B109" s="79">
        <v>801</v>
      </c>
      <c r="C109" s="80">
        <v>2380001905070</v>
      </c>
      <c r="D109" s="81">
        <v>105</v>
      </c>
      <c r="E109" s="82">
        <v>105</v>
      </c>
      <c r="F109" s="83">
        <v>2394000098805</v>
      </c>
      <c r="G109" s="84" t="s">
        <v>1608</v>
      </c>
      <c r="H109" s="188">
        <v>1</v>
      </c>
      <c r="I109" s="85">
        <v>0.13600000000000001</v>
      </c>
      <c r="J109" s="86">
        <v>2203.14</v>
      </c>
      <c r="K109" s="86">
        <v>0.42</v>
      </c>
      <c r="L109" s="86">
        <v>0.42</v>
      </c>
      <c r="M109" s="87">
        <v>0</v>
      </c>
      <c r="N109" s="88">
        <v>591.36</v>
      </c>
      <c r="O109" s="88">
        <v>0.05</v>
      </c>
      <c r="P109" s="88">
        <v>0.05</v>
      </c>
    </row>
    <row r="110" spans="1:16" x14ac:dyDescent="0.2">
      <c r="A110" s="78">
        <v>792</v>
      </c>
      <c r="B110" s="79">
        <v>792</v>
      </c>
      <c r="C110" s="80">
        <v>2380001951360</v>
      </c>
      <c r="D110" s="81">
        <v>96</v>
      </c>
      <c r="E110" s="82">
        <v>96</v>
      </c>
      <c r="F110" s="83">
        <v>2394000102693</v>
      </c>
      <c r="G110" s="84" t="s">
        <v>1609</v>
      </c>
      <c r="H110" s="188">
        <v>1</v>
      </c>
      <c r="I110" s="85">
        <v>0</v>
      </c>
      <c r="J110" s="86">
        <v>2229.0700000000002</v>
      </c>
      <c r="K110" s="86">
        <v>0.37</v>
      </c>
      <c r="L110" s="86">
        <v>0.37</v>
      </c>
      <c r="M110" s="87">
        <v>0</v>
      </c>
      <c r="N110" s="88">
        <v>2835.6</v>
      </c>
      <c r="O110" s="88">
        <v>0.05</v>
      </c>
      <c r="P110" s="88">
        <v>0.05</v>
      </c>
    </row>
    <row r="111" spans="1:16" x14ac:dyDescent="0.2">
      <c r="A111" s="78">
        <v>806</v>
      </c>
      <c r="B111" s="79">
        <v>806</v>
      </c>
      <c r="C111" s="80">
        <v>2380002166640</v>
      </c>
      <c r="D111" s="81">
        <v>109</v>
      </c>
      <c r="E111" s="82">
        <v>109</v>
      </c>
      <c r="F111" s="83">
        <v>2394000122500</v>
      </c>
      <c r="G111" s="84" t="s">
        <v>1610</v>
      </c>
      <c r="H111" s="188">
        <v>0</v>
      </c>
      <c r="I111" s="85">
        <v>6.0000000000000001E-3</v>
      </c>
      <c r="J111" s="86">
        <v>41.83</v>
      </c>
      <c r="K111" s="86">
        <v>0.43</v>
      </c>
      <c r="L111" s="86">
        <v>0.43</v>
      </c>
      <c r="M111" s="87">
        <v>0</v>
      </c>
      <c r="N111" s="88">
        <v>1531.17</v>
      </c>
      <c r="O111" s="88">
        <v>0.05</v>
      </c>
      <c r="P111" s="88">
        <v>0.05</v>
      </c>
    </row>
    <row r="112" spans="1:16" x14ac:dyDescent="0.2">
      <c r="A112" s="78">
        <v>803</v>
      </c>
      <c r="B112" s="79">
        <v>803</v>
      </c>
      <c r="C112" s="80">
        <v>2380001909066</v>
      </c>
      <c r="D112" s="81">
        <v>107</v>
      </c>
      <c r="E112" s="82">
        <v>107</v>
      </c>
      <c r="F112" s="83">
        <v>2394000099074</v>
      </c>
      <c r="G112" s="84" t="s">
        <v>1611</v>
      </c>
      <c r="H112" s="188">
        <v>0</v>
      </c>
      <c r="I112" s="85">
        <v>0</v>
      </c>
      <c r="J112" s="86">
        <v>4.75</v>
      </c>
      <c r="K112" s="86">
        <v>0.45</v>
      </c>
      <c r="L112" s="86">
        <v>0.45</v>
      </c>
      <c r="M112" s="87">
        <v>0</v>
      </c>
      <c r="N112" s="88">
        <v>595.22</v>
      </c>
      <c r="O112" s="88">
        <v>0.05</v>
      </c>
      <c r="P112" s="88">
        <v>0.05</v>
      </c>
    </row>
    <row r="113" spans="1:16" x14ac:dyDescent="0.2">
      <c r="A113" s="78">
        <v>805</v>
      </c>
      <c r="B113" s="79">
        <v>805</v>
      </c>
      <c r="C113" s="80">
        <v>2380001989309</v>
      </c>
      <c r="D113" s="81">
        <v>108</v>
      </c>
      <c r="E113" s="82">
        <v>108</v>
      </c>
      <c r="F113" s="83">
        <v>2394000107353</v>
      </c>
      <c r="G113" s="84" t="s">
        <v>1612</v>
      </c>
      <c r="H113" s="188">
        <v>0</v>
      </c>
      <c r="I113" s="85">
        <v>0.11799999999999999</v>
      </c>
      <c r="J113" s="86">
        <v>27.03</v>
      </c>
      <c r="K113" s="86">
        <v>1.04</v>
      </c>
      <c r="L113" s="86">
        <v>1.04</v>
      </c>
      <c r="M113" s="87">
        <v>0</v>
      </c>
      <c r="N113" s="88">
        <v>3794.25</v>
      </c>
      <c r="O113" s="88">
        <v>0.05</v>
      </c>
      <c r="P113" s="88">
        <v>0.05</v>
      </c>
    </row>
    <row r="114" spans="1:16" x14ac:dyDescent="0.2">
      <c r="A114" s="78">
        <v>825</v>
      </c>
      <c r="B114" s="79">
        <v>825</v>
      </c>
      <c r="C114" s="80">
        <v>2380002022460</v>
      </c>
      <c r="D114" s="81">
        <v>56</v>
      </c>
      <c r="E114" s="82">
        <v>56</v>
      </c>
      <c r="F114" s="83">
        <v>2394000110630</v>
      </c>
      <c r="G114" s="84" t="s">
        <v>1613</v>
      </c>
      <c r="H114" s="188">
        <v>0</v>
      </c>
      <c r="I114" s="85">
        <v>2E-3</v>
      </c>
      <c r="J114" s="86">
        <v>21.35</v>
      </c>
      <c r="K114" s="86">
        <v>0.65</v>
      </c>
      <c r="L114" s="86">
        <v>0.65</v>
      </c>
      <c r="M114" s="87">
        <v>0</v>
      </c>
      <c r="N114" s="88">
        <v>614.45000000000005</v>
      </c>
      <c r="O114" s="88">
        <v>0.05</v>
      </c>
      <c r="P114" s="88">
        <v>0.05</v>
      </c>
    </row>
    <row r="115" spans="1:16" ht="30" x14ac:dyDescent="0.2">
      <c r="A115" s="78">
        <v>802</v>
      </c>
      <c r="B115" s="79">
        <v>802</v>
      </c>
      <c r="C115" s="80" t="s">
        <v>1489</v>
      </c>
      <c r="D115" s="81">
        <v>106</v>
      </c>
      <c r="E115" s="82">
        <v>106</v>
      </c>
      <c r="F115" s="83" t="s">
        <v>1490</v>
      </c>
      <c r="G115" s="84" t="s">
        <v>1614</v>
      </c>
      <c r="H115" s="188">
        <v>0</v>
      </c>
      <c r="I115" s="85">
        <v>9.4E-2</v>
      </c>
      <c r="J115" s="86">
        <v>362.07</v>
      </c>
      <c r="K115" s="86">
        <v>0.36</v>
      </c>
      <c r="L115" s="86">
        <v>0.36</v>
      </c>
      <c r="M115" s="87">
        <v>-0.1</v>
      </c>
      <c r="N115" s="88">
        <v>1045.1600000000001</v>
      </c>
      <c r="O115" s="88">
        <v>0.05</v>
      </c>
      <c r="P115" s="88">
        <v>0.05</v>
      </c>
    </row>
    <row r="116" spans="1:16" x14ac:dyDescent="0.2">
      <c r="A116" s="78">
        <v>807</v>
      </c>
      <c r="B116" s="79">
        <v>807</v>
      </c>
      <c r="C116" s="80">
        <v>2380002032360</v>
      </c>
      <c r="D116" s="81">
        <v>63</v>
      </c>
      <c r="E116" s="82">
        <v>63</v>
      </c>
      <c r="F116" s="83">
        <v>2394000111660</v>
      </c>
      <c r="G116" s="84" t="s">
        <v>1615</v>
      </c>
      <c r="H116" s="188">
        <v>2</v>
      </c>
      <c r="I116" s="85">
        <v>0</v>
      </c>
      <c r="J116" s="86">
        <v>13363.14</v>
      </c>
      <c r="K116" s="86">
        <v>0.32</v>
      </c>
      <c r="L116" s="86">
        <v>0.32</v>
      </c>
      <c r="M116" s="87">
        <v>0</v>
      </c>
      <c r="N116" s="88">
        <v>1603.2</v>
      </c>
      <c r="O116" s="88">
        <v>0.05</v>
      </c>
      <c r="P116" s="88">
        <v>0.05</v>
      </c>
    </row>
    <row r="117" spans="1:16" x14ac:dyDescent="0.2">
      <c r="A117" s="78">
        <v>810</v>
      </c>
      <c r="B117" s="79">
        <v>810</v>
      </c>
      <c r="C117" s="80">
        <v>2380002115663</v>
      </c>
      <c r="D117" s="81">
        <v>110</v>
      </c>
      <c r="E117" s="82">
        <v>110</v>
      </c>
      <c r="F117" s="83">
        <v>2394000118693</v>
      </c>
      <c r="G117" s="84" t="s">
        <v>1616</v>
      </c>
      <c r="H117" s="188">
        <v>0</v>
      </c>
      <c r="I117" s="85">
        <v>7.0000000000000001E-3</v>
      </c>
      <c r="J117" s="86">
        <v>573.41</v>
      </c>
      <c r="K117" s="86">
        <v>0.37</v>
      </c>
      <c r="L117" s="86">
        <v>0.37</v>
      </c>
      <c r="M117" s="87">
        <v>-7.0000000000000001E-3</v>
      </c>
      <c r="N117" s="88">
        <v>6709.2</v>
      </c>
      <c r="O117" s="88">
        <v>0.05</v>
      </c>
      <c r="P117" s="88">
        <v>0.05</v>
      </c>
    </row>
    <row r="118" spans="1:16" x14ac:dyDescent="0.2">
      <c r="A118" s="78">
        <v>885</v>
      </c>
      <c r="B118" s="79">
        <v>885</v>
      </c>
      <c r="C118" s="80">
        <v>2366560312013</v>
      </c>
      <c r="D118" s="81">
        <v>31</v>
      </c>
      <c r="E118" s="82">
        <v>31</v>
      </c>
      <c r="F118" s="83">
        <v>2300000542785</v>
      </c>
      <c r="G118" s="84" t="s">
        <v>1617</v>
      </c>
      <c r="H118" s="188">
        <v>1</v>
      </c>
      <c r="I118" s="85">
        <v>0.16200000000000001</v>
      </c>
      <c r="J118" s="86">
        <v>2279.04</v>
      </c>
      <c r="K118" s="86">
        <v>0.65</v>
      </c>
      <c r="L118" s="86">
        <v>0.65</v>
      </c>
      <c r="M118" s="87">
        <v>-0.16200000000000001</v>
      </c>
      <c r="N118" s="88">
        <v>3336.05</v>
      </c>
      <c r="O118" s="88">
        <v>0.05</v>
      </c>
      <c r="P118" s="88">
        <v>0.05</v>
      </c>
    </row>
    <row r="119" spans="1:16" x14ac:dyDescent="0.2">
      <c r="A119" s="78">
        <v>829</v>
      </c>
      <c r="B119" s="79">
        <v>829</v>
      </c>
      <c r="C119" s="80">
        <v>2380002197132</v>
      </c>
      <c r="D119" s="81">
        <v>43</v>
      </c>
      <c r="E119" s="82">
        <v>43</v>
      </c>
      <c r="F119" s="83">
        <v>2394000124303</v>
      </c>
      <c r="G119" s="84" t="s">
        <v>1618</v>
      </c>
      <c r="H119" s="188">
        <v>0</v>
      </c>
      <c r="I119" s="85">
        <v>0.59199999999999997</v>
      </c>
      <c r="J119" s="86">
        <v>2.2000000000000002</v>
      </c>
      <c r="K119" s="86">
        <v>0.61</v>
      </c>
      <c r="L119" s="86">
        <v>0.61</v>
      </c>
      <c r="M119" s="87">
        <v>0</v>
      </c>
      <c r="N119" s="88">
        <v>182.27</v>
      </c>
      <c r="O119" s="88">
        <v>0.05</v>
      </c>
      <c r="P119" s="88">
        <v>0.05</v>
      </c>
    </row>
    <row r="120" spans="1:16" x14ac:dyDescent="0.2">
      <c r="A120" s="78">
        <v>830</v>
      </c>
      <c r="B120" s="79">
        <v>830</v>
      </c>
      <c r="C120" s="80">
        <v>2380002155666</v>
      </c>
      <c r="D120" s="81">
        <v>44</v>
      </c>
      <c r="E120" s="82">
        <v>44</v>
      </c>
      <c r="F120" s="83">
        <v>2394000121845</v>
      </c>
      <c r="G120" s="84" t="s">
        <v>1619</v>
      </c>
      <c r="H120" s="188">
        <v>0</v>
      </c>
      <c r="I120" s="85">
        <v>2.9000000000000001E-2</v>
      </c>
      <c r="J120" s="86">
        <v>29.45</v>
      </c>
      <c r="K120" s="86">
        <v>0.56000000000000005</v>
      </c>
      <c r="L120" s="86">
        <v>0.56000000000000005</v>
      </c>
      <c r="M120" s="87">
        <v>-0.26700000000000002</v>
      </c>
      <c r="N120" s="88">
        <v>155.01</v>
      </c>
      <c r="O120" s="88">
        <v>0.05</v>
      </c>
      <c r="P120" s="88">
        <v>0.05</v>
      </c>
    </row>
    <row r="121" spans="1:16" x14ac:dyDescent="0.2">
      <c r="A121" s="78">
        <v>727</v>
      </c>
      <c r="B121" s="79">
        <v>727</v>
      </c>
      <c r="C121" s="80">
        <v>2380002198730</v>
      </c>
      <c r="D121" s="81">
        <v>46</v>
      </c>
      <c r="E121" s="82">
        <v>46</v>
      </c>
      <c r="F121" s="83">
        <v>2394000124400</v>
      </c>
      <c r="G121" s="84" t="s">
        <v>1620</v>
      </c>
      <c r="H121" s="188">
        <v>0</v>
      </c>
      <c r="I121" s="85">
        <v>0.153</v>
      </c>
      <c r="J121" s="86">
        <v>56.78</v>
      </c>
      <c r="K121" s="86">
        <v>0.64</v>
      </c>
      <c r="L121" s="86">
        <v>0.64</v>
      </c>
      <c r="M121" s="87">
        <v>0</v>
      </c>
      <c r="N121" s="88">
        <v>6257.82</v>
      </c>
      <c r="O121" s="88">
        <v>0.05</v>
      </c>
      <c r="P121" s="88">
        <v>0.05</v>
      </c>
    </row>
    <row r="122" spans="1:16" x14ac:dyDescent="0.2">
      <c r="A122" s="78">
        <v>728</v>
      </c>
      <c r="B122" s="79">
        <v>728</v>
      </c>
      <c r="C122" s="80">
        <v>2380002182970</v>
      </c>
      <c r="D122" s="81">
        <v>47</v>
      </c>
      <c r="E122" s="82">
        <v>47</v>
      </c>
      <c r="F122" s="83">
        <v>2394000123434</v>
      </c>
      <c r="G122" s="84" t="s">
        <v>1621</v>
      </c>
      <c r="H122" s="188">
        <v>0</v>
      </c>
      <c r="I122" s="85">
        <v>9.6000000000000002E-2</v>
      </c>
      <c r="J122" s="86">
        <v>116.64</v>
      </c>
      <c r="K122" s="86">
        <v>0.38</v>
      </c>
      <c r="L122" s="86">
        <v>0.38</v>
      </c>
      <c r="M122" s="87">
        <v>0</v>
      </c>
      <c r="N122" s="88">
        <v>8389.7999999999993</v>
      </c>
      <c r="O122" s="88">
        <v>0.05</v>
      </c>
      <c r="P122" s="88">
        <v>0.05</v>
      </c>
    </row>
    <row r="123" spans="1:16" x14ac:dyDescent="0.2">
      <c r="A123" s="78">
        <v>729</v>
      </c>
      <c r="B123" s="79">
        <v>729</v>
      </c>
      <c r="C123" s="80">
        <v>2380002286980</v>
      </c>
      <c r="D123" s="81">
        <v>48</v>
      </c>
      <c r="E123" s="82">
        <v>48</v>
      </c>
      <c r="F123" s="83">
        <v>2394000130956</v>
      </c>
      <c r="G123" s="84" t="s">
        <v>1622</v>
      </c>
      <c r="H123" s="188">
        <v>0</v>
      </c>
      <c r="I123" s="85">
        <v>0</v>
      </c>
      <c r="J123" s="86">
        <v>60.37</v>
      </c>
      <c r="K123" s="86">
        <v>0.39</v>
      </c>
      <c r="L123" s="86">
        <v>0.39</v>
      </c>
      <c r="M123" s="87">
        <v>0</v>
      </c>
      <c r="N123" s="88">
        <v>3535</v>
      </c>
      <c r="O123" s="88">
        <v>0.05</v>
      </c>
      <c r="P123" s="88">
        <v>0.05</v>
      </c>
    </row>
    <row r="124" spans="1:16" x14ac:dyDescent="0.2">
      <c r="A124" s="78">
        <v>730</v>
      </c>
      <c r="B124" s="79">
        <v>730</v>
      </c>
      <c r="C124" s="80">
        <v>2380002248104</v>
      </c>
      <c r="D124" s="81">
        <v>49</v>
      </c>
      <c r="E124" s="82">
        <v>49</v>
      </c>
      <c r="F124" s="83">
        <v>2394000127847</v>
      </c>
      <c r="G124" s="84" t="s">
        <v>1623</v>
      </c>
      <c r="H124" s="188">
        <v>0</v>
      </c>
      <c r="I124" s="85">
        <v>0.11799999999999999</v>
      </c>
      <c r="J124" s="86">
        <v>108.65</v>
      </c>
      <c r="K124" s="86">
        <v>0.51</v>
      </c>
      <c r="L124" s="86">
        <v>0.51</v>
      </c>
      <c r="M124" s="87">
        <v>0</v>
      </c>
      <c r="N124" s="88">
        <v>5037.5200000000004</v>
      </c>
      <c r="O124" s="88">
        <v>0.05</v>
      </c>
      <c r="P124" s="88">
        <v>0.05</v>
      </c>
    </row>
    <row r="125" spans="1:16" x14ac:dyDescent="0.2">
      <c r="A125" s="78">
        <v>809</v>
      </c>
      <c r="B125" s="79">
        <v>809</v>
      </c>
      <c r="C125" s="80">
        <v>2380002046577</v>
      </c>
      <c r="D125" s="81">
        <v>64</v>
      </c>
      <c r="E125" s="82">
        <v>64</v>
      </c>
      <c r="F125" s="83">
        <v>2394000113278</v>
      </c>
      <c r="G125" s="84" t="s">
        <v>1624</v>
      </c>
      <c r="H125" s="188">
        <v>0</v>
      </c>
      <c r="I125" s="85">
        <v>0</v>
      </c>
      <c r="J125" s="86">
        <v>47.9</v>
      </c>
      <c r="K125" s="86">
        <v>0.44</v>
      </c>
      <c r="L125" s="86">
        <v>0.44</v>
      </c>
      <c r="M125" s="87">
        <v>0</v>
      </c>
      <c r="N125" s="88">
        <v>2369.84</v>
      </c>
      <c r="O125" s="88">
        <v>0.05</v>
      </c>
      <c r="P125" s="88">
        <v>0.05</v>
      </c>
    </row>
    <row r="126" spans="1:16" x14ac:dyDescent="0.2">
      <c r="A126" s="78">
        <v>731</v>
      </c>
      <c r="B126" s="79">
        <v>731</v>
      </c>
      <c r="C126" s="80">
        <v>2380002277531</v>
      </c>
      <c r="D126" s="81">
        <v>50</v>
      </c>
      <c r="E126" s="82">
        <v>50</v>
      </c>
      <c r="F126" s="83">
        <v>2394000129589</v>
      </c>
      <c r="G126" s="84" t="s">
        <v>1625</v>
      </c>
      <c r="H126" s="188">
        <v>1</v>
      </c>
      <c r="I126" s="85">
        <v>0</v>
      </c>
      <c r="J126" s="86">
        <v>2230.23</v>
      </c>
      <c r="K126" s="86">
        <v>0.65</v>
      </c>
      <c r="L126" s="86">
        <v>0.65</v>
      </c>
      <c r="M126" s="87">
        <v>0</v>
      </c>
      <c r="N126" s="88">
        <v>3219.32</v>
      </c>
      <c r="O126" s="88">
        <v>0.05</v>
      </c>
      <c r="P126" s="88">
        <v>0.05</v>
      </c>
    </row>
    <row r="127" spans="1:16" x14ac:dyDescent="0.2">
      <c r="A127" s="78">
        <v>732</v>
      </c>
      <c r="B127" s="79">
        <v>732</v>
      </c>
      <c r="C127" s="80">
        <v>2380002328451</v>
      </c>
      <c r="D127" s="81">
        <v>114</v>
      </c>
      <c r="E127" s="82">
        <v>114</v>
      </c>
      <c r="F127" s="83">
        <v>2394000132642</v>
      </c>
      <c r="G127" s="84" t="s">
        <v>1626</v>
      </c>
      <c r="H127" s="188">
        <v>0</v>
      </c>
      <c r="I127" s="85">
        <v>0</v>
      </c>
      <c r="J127" s="86">
        <v>15.83</v>
      </c>
      <c r="K127" s="86">
        <v>1.47</v>
      </c>
      <c r="L127" s="86">
        <v>1.47</v>
      </c>
      <c r="M127" s="87">
        <v>0</v>
      </c>
      <c r="N127" s="88">
        <v>742.69</v>
      </c>
      <c r="O127" s="88">
        <v>0.05</v>
      </c>
      <c r="P127" s="88">
        <v>0.05</v>
      </c>
    </row>
    <row r="128" spans="1:16" x14ac:dyDescent="0.2">
      <c r="A128" s="78">
        <v>733</v>
      </c>
      <c r="B128" s="79">
        <v>733</v>
      </c>
      <c r="C128" s="80">
        <v>2380002296933</v>
      </c>
      <c r="D128" s="81">
        <v>115</v>
      </c>
      <c r="E128" s="82">
        <v>115</v>
      </c>
      <c r="F128" s="83">
        <v>2394000131490</v>
      </c>
      <c r="G128" s="84" t="s">
        <v>1627</v>
      </c>
      <c r="H128" s="188">
        <v>0</v>
      </c>
      <c r="I128" s="85">
        <v>0</v>
      </c>
      <c r="J128" s="86">
        <v>31.35</v>
      </c>
      <c r="K128" s="86">
        <v>0.38</v>
      </c>
      <c r="L128" s="86">
        <v>0.38</v>
      </c>
      <c r="M128" s="87">
        <v>0</v>
      </c>
      <c r="N128" s="88">
        <v>1114.9000000000001</v>
      </c>
      <c r="O128" s="88">
        <v>0.05</v>
      </c>
      <c r="P128" s="88">
        <v>0.05</v>
      </c>
    </row>
    <row r="129" spans="1:16" x14ac:dyDescent="0.2">
      <c r="A129" s="78">
        <v>734</v>
      </c>
      <c r="B129" s="79">
        <v>734</v>
      </c>
      <c r="C129" s="80">
        <v>2380002293199</v>
      </c>
      <c r="D129" s="81">
        <v>116</v>
      </c>
      <c r="E129" s="82">
        <v>116</v>
      </c>
      <c r="F129" s="83">
        <v>2394000131338</v>
      </c>
      <c r="G129" s="84" t="s">
        <v>1628</v>
      </c>
      <c r="H129" s="188">
        <v>0</v>
      </c>
      <c r="I129" s="85">
        <v>1E-3</v>
      </c>
      <c r="J129" s="86">
        <v>8.01</v>
      </c>
      <c r="K129" s="86">
        <v>0.66</v>
      </c>
      <c r="L129" s="86">
        <v>0.66</v>
      </c>
      <c r="M129" s="87">
        <v>-2.3E-2</v>
      </c>
      <c r="N129" s="88">
        <v>385.25</v>
      </c>
      <c r="O129" s="88">
        <v>0.05</v>
      </c>
      <c r="P129" s="88">
        <v>0.05</v>
      </c>
    </row>
    <row r="130" spans="1:16" x14ac:dyDescent="0.2">
      <c r="A130" s="78">
        <v>735</v>
      </c>
      <c r="B130" s="79">
        <v>735</v>
      </c>
      <c r="C130" s="80">
        <v>2380002270518</v>
      </c>
      <c r="D130" s="81">
        <v>117</v>
      </c>
      <c r="E130" s="82">
        <v>117</v>
      </c>
      <c r="F130" s="83">
        <v>2394000129250</v>
      </c>
      <c r="G130" s="84" t="s">
        <v>1629</v>
      </c>
      <c r="H130" s="188">
        <v>0</v>
      </c>
      <c r="I130" s="85">
        <v>9.2999999999999999E-2</v>
      </c>
      <c r="J130" s="86">
        <v>22.17</v>
      </c>
      <c r="K130" s="86">
        <v>0.43</v>
      </c>
      <c r="L130" s="86">
        <v>0.43</v>
      </c>
      <c r="M130" s="87">
        <v>0</v>
      </c>
      <c r="N130" s="88">
        <v>585.27</v>
      </c>
      <c r="O130" s="88">
        <v>0.05</v>
      </c>
      <c r="P130" s="88">
        <v>0.05</v>
      </c>
    </row>
    <row r="131" spans="1:16" x14ac:dyDescent="0.2">
      <c r="A131" s="78">
        <v>736</v>
      </c>
      <c r="B131" s="79">
        <v>736</v>
      </c>
      <c r="C131" s="80">
        <v>2380002293170</v>
      </c>
      <c r="D131" s="81">
        <v>118</v>
      </c>
      <c r="E131" s="82">
        <v>118</v>
      </c>
      <c r="F131" s="83">
        <v>2394000131329</v>
      </c>
      <c r="G131" s="84" t="s">
        <v>1630</v>
      </c>
      <c r="H131" s="188">
        <v>0</v>
      </c>
      <c r="I131" s="85">
        <v>0</v>
      </c>
      <c r="J131" s="86">
        <v>130.24</v>
      </c>
      <c r="K131" s="86">
        <v>0.59</v>
      </c>
      <c r="L131" s="86">
        <v>0.59</v>
      </c>
      <c r="M131" s="87">
        <v>0</v>
      </c>
      <c r="N131" s="88">
        <v>767.75</v>
      </c>
      <c r="O131" s="88">
        <v>0.05</v>
      </c>
      <c r="P131" s="88">
        <v>0.05</v>
      </c>
    </row>
    <row r="132" spans="1:16" x14ac:dyDescent="0.2">
      <c r="A132" s="78">
        <v>738</v>
      </c>
      <c r="B132" s="79">
        <v>738</v>
      </c>
      <c r="C132" s="80">
        <v>2380002299970</v>
      </c>
      <c r="D132" s="81">
        <v>124</v>
      </c>
      <c r="E132" s="82">
        <v>124</v>
      </c>
      <c r="F132" s="83">
        <v>2394000131773</v>
      </c>
      <c r="G132" s="84" t="s">
        <v>1631</v>
      </c>
      <c r="H132" s="188">
        <v>0</v>
      </c>
      <c r="I132" s="85">
        <v>1E-3</v>
      </c>
      <c r="J132" s="86">
        <v>105.79</v>
      </c>
      <c r="K132" s="86">
        <v>0.37</v>
      </c>
      <c r="L132" s="86">
        <v>0.37</v>
      </c>
      <c r="M132" s="87">
        <v>0</v>
      </c>
      <c r="N132" s="88">
        <v>4381.18</v>
      </c>
      <c r="O132" s="88">
        <v>0.05</v>
      </c>
      <c r="P132" s="88">
        <v>0.05</v>
      </c>
    </row>
    <row r="133" spans="1:16" x14ac:dyDescent="0.2">
      <c r="A133" s="78">
        <v>739</v>
      </c>
      <c r="B133" s="79">
        <v>739</v>
      </c>
      <c r="C133" s="80">
        <v>2380002287210</v>
      </c>
      <c r="D133" s="81">
        <v>125</v>
      </c>
      <c r="E133" s="82">
        <v>125</v>
      </c>
      <c r="F133" s="83">
        <v>2394000130965</v>
      </c>
      <c r="G133" s="84" t="s">
        <v>1632</v>
      </c>
      <c r="H133" s="188">
        <v>0</v>
      </c>
      <c r="I133" s="85">
        <v>0</v>
      </c>
      <c r="J133" s="86">
        <v>1.45</v>
      </c>
      <c r="K133" s="86">
        <v>1.81</v>
      </c>
      <c r="L133" s="86">
        <v>1.81</v>
      </c>
      <c r="M133" s="87">
        <v>0</v>
      </c>
      <c r="N133" s="88">
        <v>183.02</v>
      </c>
      <c r="O133" s="88">
        <v>0.05</v>
      </c>
      <c r="P133" s="88">
        <v>0.05</v>
      </c>
    </row>
    <row r="134" spans="1:16" x14ac:dyDescent="0.2">
      <c r="A134" s="78">
        <v>737</v>
      </c>
      <c r="B134" s="79">
        <v>737</v>
      </c>
      <c r="C134" s="80">
        <v>2380002287229</v>
      </c>
      <c r="D134" s="81">
        <v>119</v>
      </c>
      <c r="E134" s="82">
        <v>119</v>
      </c>
      <c r="F134" s="83">
        <v>2394000130974</v>
      </c>
      <c r="G134" s="84" t="s">
        <v>1633</v>
      </c>
      <c r="H134" s="188">
        <v>0</v>
      </c>
      <c r="I134" s="85">
        <v>0</v>
      </c>
      <c r="J134" s="86">
        <v>1.45</v>
      </c>
      <c r="K134" s="86">
        <v>1.79</v>
      </c>
      <c r="L134" s="86">
        <v>1.79</v>
      </c>
      <c r="M134" s="87">
        <v>0</v>
      </c>
      <c r="N134" s="88">
        <v>183.02</v>
      </c>
      <c r="O134" s="88">
        <v>0.05</v>
      </c>
      <c r="P134" s="88">
        <v>0.05</v>
      </c>
    </row>
    <row r="135" spans="1:16" x14ac:dyDescent="0.2">
      <c r="A135" s="78">
        <v>740</v>
      </c>
      <c r="B135" s="79">
        <v>740</v>
      </c>
      <c r="C135" s="80">
        <v>2380002309867</v>
      </c>
      <c r="D135" s="81">
        <v>126</v>
      </c>
      <c r="E135" s="82">
        <v>126</v>
      </c>
      <c r="F135" s="83">
        <v>2394000132094</v>
      </c>
      <c r="G135" s="84" t="s">
        <v>1634</v>
      </c>
      <c r="H135" s="188">
        <v>1</v>
      </c>
      <c r="I135" s="85">
        <v>0.13300000000000001</v>
      </c>
      <c r="J135" s="86">
        <v>2244.6999999999998</v>
      </c>
      <c r="K135" s="86">
        <v>0.81</v>
      </c>
      <c r="L135" s="86">
        <v>0.81</v>
      </c>
      <c r="M135" s="87">
        <v>-0.16700000000000001</v>
      </c>
      <c r="N135" s="88">
        <v>1149.77</v>
      </c>
      <c r="O135" s="88">
        <v>0.05</v>
      </c>
      <c r="P135" s="88">
        <v>0.05</v>
      </c>
    </row>
    <row r="136" spans="1:16" x14ac:dyDescent="0.2">
      <c r="A136" s="78">
        <v>745</v>
      </c>
      <c r="B136" s="79">
        <v>745</v>
      </c>
      <c r="C136" s="80">
        <v>2380002315851</v>
      </c>
      <c r="D136" s="81">
        <v>127</v>
      </c>
      <c r="E136" s="82">
        <v>127</v>
      </c>
      <c r="F136" s="83">
        <v>2394000132252</v>
      </c>
      <c r="G136" s="84" t="s">
        <v>1635</v>
      </c>
      <c r="H136" s="188">
        <v>0</v>
      </c>
      <c r="I136" s="85">
        <v>0</v>
      </c>
      <c r="J136" s="86">
        <v>518.99</v>
      </c>
      <c r="K136" s="86">
        <v>0.27</v>
      </c>
      <c r="L136" s="86">
        <v>0.27</v>
      </c>
      <c r="M136" s="87">
        <v>0</v>
      </c>
      <c r="N136" s="88">
        <v>5189.87</v>
      </c>
      <c r="O136" s="88">
        <v>0.05</v>
      </c>
      <c r="P136" s="88">
        <v>0.05</v>
      </c>
    </row>
    <row r="137" spans="1:16" x14ac:dyDescent="0.2">
      <c r="A137" s="78">
        <v>892</v>
      </c>
      <c r="B137" s="79">
        <v>892</v>
      </c>
      <c r="C137" s="80">
        <v>2300000839364</v>
      </c>
      <c r="D137" s="81" t="s">
        <v>580</v>
      </c>
      <c r="E137" s="82">
        <v>0</v>
      </c>
      <c r="F137" s="83" t="s">
        <v>580</v>
      </c>
      <c r="G137" s="84" t="s">
        <v>1636</v>
      </c>
      <c r="H137" s="188">
        <v>1</v>
      </c>
      <c r="I137" s="85">
        <v>0.59699999999999998</v>
      </c>
      <c r="J137" s="86">
        <v>2265.2399999999998</v>
      </c>
      <c r="K137" s="86">
        <v>0.41</v>
      </c>
      <c r="L137" s="86">
        <v>0.41</v>
      </c>
      <c r="M137" s="87">
        <v>0</v>
      </c>
      <c r="N137" s="88">
        <v>0</v>
      </c>
      <c r="O137" s="88">
        <v>0</v>
      </c>
      <c r="P137" s="88">
        <v>0</v>
      </c>
    </row>
    <row r="138" spans="1:16" ht="30" x14ac:dyDescent="0.2">
      <c r="A138" s="78">
        <v>893</v>
      </c>
      <c r="B138" s="79">
        <v>893</v>
      </c>
      <c r="C138" s="80" t="s">
        <v>1491</v>
      </c>
      <c r="D138" s="81" t="s">
        <v>580</v>
      </c>
      <c r="E138" s="82">
        <v>0</v>
      </c>
      <c r="F138" s="83" t="s">
        <v>580</v>
      </c>
      <c r="G138" s="84" t="s">
        <v>1637</v>
      </c>
      <c r="H138" s="188">
        <v>2</v>
      </c>
      <c r="I138" s="85">
        <v>0</v>
      </c>
      <c r="J138" s="86">
        <v>13311.76</v>
      </c>
      <c r="K138" s="86">
        <v>1.29</v>
      </c>
      <c r="L138" s="86">
        <v>1.29</v>
      </c>
      <c r="M138" s="87">
        <v>0</v>
      </c>
      <c r="N138" s="88">
        <v>0</v>
      </c>
      <c r="O138" s="88">
        <v>0</v>
      </c>
      <c r="P138" s="88">
        <v>0</v>
      </c>
    </row>
    <row r="139" spans="1:16" ht="30" x14ac:dyDescent="0.2">
      <c r="A139" s="78">
        <v>746</v>
      </c>
      <c r="B139" s="79">
        <v>746</v>
      </c>
      <c r="C139" s="80" t="s">
        <v>1492</v>
      </c>
      <c r="D139" s="81">
        <v>511</v>
      </c>
      <c r="E139" s="82">
        <v>511</v>
      </c>
      <c r="F139" s="83" t="s">
        <v>1493</v>
      </c>
      <c r="G139" s="84" t="s">
        <v>1638</v>
      </c>
      <c r="H139" s="188">
        <v>4</v>
      </c>
      <c r="I139" s="85">
        <v>2E-3</v>
      </c>
      <c r="J139" s="86">
        <v>105558.62</v>
      </c>
      <c r="K139" s="86">
        <v>0.64</v>
      </c>
      <c r="L139" s="86">
        <v>0.64</v>
      </c>
      <c r="M139" s="87">
        <v>-2.1999999999999999E-2</v>
      </c>
      <c r="N139" s="88">
        <v>1013.22</v>
      </c>
      <c r="O139" s="88">
        <v>0.05</v>
      </c>
      <c r="P139" s="88">
        <v>0.05</v>
      </c>
    </row>
    <row r="140" spans="1:16" x14ac:dyDescent="0.2">
      <c r="A140" s="78">
        <v>747</v>
      </c>
      <c r="B140" s="79">
        <v>747</v>
      </c>
      <c r="C140" s="80">
        <v>2380002391996</v>
      </c>
      <c r="D140" s="81">
        <v>512</v>
      </c>
      <c r="E140" s="82">
        <v>512</v>
      </c>
      <c r="F140" s="83">
        <v>2394000134668</v>
      </c>
      <c r="G140" s="84" t="s">
        <v>1639</v>
      </c>
      <c r="H140" s="188">
        <v>1</v>
      </c>
      <c r="I140" s="85">
        <v>0</v>
      </c>
      <c r="J140" s="86">
        <v>2201.91</v>
      </c>
      <c r="K140" s="86">
        <v>2.79</v>
      </c>
      <c r="L140" s="86">
        <v>2.79</v>
      </c>
      <c r="M140" s="87">
        <v>-0.18099999999999999</v>
      </c>
      <c r="N140" s="88">
        <v>177.09</v>
      </c>
      <c r="O140" s="88">
        <v>0.05</v>
      </c>
      <c r="P140" s="88">
        <v>0.05</v>
      </c>
    </row>
    <row r="141" spans="1:16" x14ac:dyDescent="0.2">
      <c r="A141" s="78">
        <v>748</v>
      </c>
      <c r="B141" s="79">
        <v>748</v>
      </c>
      <c r="C141" s="80">
        <v>2380002397394</v>
      </c>
      <c r="D141" s="81">
        <v>513</v>
      </c>
      <c r="E141" s="82">
        <v>513</v>
      </c>
      <c r="F141" s="83">
        <v>2394000134914</v>
      </c>
      <c r="G141" s="84" t="s">
        <v>1640</v>
      </c>
      <c r="H141" s="188">
        <v>0</v>
      </c>
      <c r="I141" s="85">
        <v>0</v>
      </c>
      <c r="J141" s="86">
        <v>27.56</v>
      </c>
      <c r="K141" s="86">
        <v>0.92</v>
      </c>
      <c r="L141" s="86">
        <v>0.92</v>
      </c>
      <c r="M141" s="87">
        <v>-1E-3</v>
      </c>
      <c r="N141" s="88">
        <v>2842.58</v>
      </c>
      <c r="O141" s="88">
        <v>0.05</v>
      </c>
      <c r="P141" s="88">
        <v>0.05</v>
      </c>
    </row>
    <row r="142" spans="1:16" x14ac:dyDescent="0.2">
      <c r="A142" s="78">
        <v>749</v>
      </c>
      <c r="B142" s="79">
        <v>749</v>
      </c>
      <c r="C142" s="80">
        <v>2380002410098</v>
      </c>
      <c r="D142" s="81">
        <v>514</v>
      </c>
      <c r="E142" s="82">
        <v>514</v>
      </c>
      <c r="F142" s="83">
        <v>2394000135129</v>
      </c>
      <c r="G142" s="84" t="s">
        <v>1641</v>
      </c>
      <c r="H142" s="188">
        <v>2</v>
      </c>
      <c r="I142" s="85">
        <v>0</v>
      </c>
      <c r="J142" s="86">
        <v>13251.02</v>
      </c>
      <c r="K142" s="86">
        <v>0.32</v>
      </c>
      <c r="L142" s="86">
        <v>0.32</v>
      </c>
      <c r="M142" s="87">
        <v>-1E-3</v>
      </c>
      <c r="N142" s="88">
        <v>817.32</v>
      </c>
      <c r="O142" s="88">
        <v>0.05</v>
      </c>
      <c r="P142" s="88">
        <v>0.05</v>
      </c>
    </row>
    <row r="143" spans="1:16" x14ac:dyDescent="0.2">
      <c r="A143" s="78">
        <v>901</v>
      </c>
      <c r="B143" s="79">
        <v>901</v>
      </c>
      <c r="C143" s="80">
        <v>2380002419106</v>
      </c>
      <c r="D143" s="81">
        <v>515</v>
      </c>
      <c r="E143" s="82">
        <v>515</v>
      </c>
      <c r="F143" s="83">
        <v>2394000135305</v>
      </c>
      <c r="G143" s="84" t="s">
        <v>1642</v>
      </c>
      <c r="H143" s="188">
        <v>0</v>
      </c>
      <c r="I143" s="85">
        <v>0</v>
      </c>
      <c r="J143" s="86">
        <v>3.02</v>
      </c>
      <c r="K143" s="86">
        <v>0.92</v>
      </c>
      <c r="L143" s="86">
        <v>0.92</v>
      </c>
      <c r="M143" s="87">
        <v>-8.9999999999999993E-3</v>
      </c>
      <c r="N143" s="88">
        <v>181.45</v>
      </c>
      <c r="O143" s="88">
        <v>0.05</v>
      </c>
      <c r="P143" s="88">
        <v>0.05</v>
      </c>
    </row>
    <row r="144" spans="1:16" x14ac:dyDescent="0.2">
      <c r="A144" s="78">
        <v>902</v>
      </c>
      <c r="B144" s="79">
        <v>902</v>
      </c>
      <c r="C144" s="80" t="s">
        <v>1459</v>
      </c>
      <c r="D144" s="81">
        <v>516</v>
      </c>
      <c r="E144" s="82">
        <v>516</v>
      </c>
      <c r="F144" s="83" t="s">
        <v>1459</v>
      </c>
      <c r="G144" s="84" t="s">
        <v>1643</v>
      </c>
      <c r="H144" s="188">
        <v>0</v>
      </c>
      <c r="I144" s="85">
        <v>0</v>
      </c>
      <c r="J144" s="86">
        <v>48.26</v>
      </c>
      <c r="K144" s="86">
        <v>0.32</v>
      </c>
      <c r="L144" s="86">
        <v>0.32</v>
      </c>
      <c r="M144" s="87">
        <v>0</v>
      </c>
      <c r="N144" s="88">
        <v>1721.83</v>
      </c>
      <c r="O144" s="88">
        <v>0.05</v>
      </c>
      <c r="P144" s="88">
        <v>0.05</v>
      </c>
    </row>
    <row r="145" spans="1:16" ht="30" x14ac:dyDescent="0.2">
      <c r="A145" s="78">
        <v>894</v>
      </c>
      <c r="B145" s="79">
        <v>894</v>
      </c>
      <c r="C145" s="80" t="s">
        <v>1494</v>
      </c>
      <c r="D145" s="81" t="s">
        <v>580</v>
      </c>
      <c r="E145" s="82">
        <v>0</v>
      </c>
      <c r="F145" s="83" t="s">
        <v>580</v>
      </c>
      <c r="G145" s="84" t="s">
        <v>1644</v>
      </c>
      <c r="H145" s="188">
        <v>2</v>
      </c>
      <c r="I145" s="85">
        <v>1.452</v>
      </c>
      <c r="J145" s="86">
        <v>13311.76</v>
      </c>
      <c r="K145" s="86">
        <v>1.0900000000000001</v>
      </c>
      <c r="L145" s="86">
        <v>1.0900000000000001</v>
      </c>
      <c r="M145" s="87">
        <v>0</v>
      </c>
      <c r="N145" s="88">
        <v>0</v>
      </c>
      <c r="O145" s="88">
        <v>0</v>
      </c>
      <c r="P145" s="88">
        <v>0</v>
      </c>
    </row>
    <row r="146" spans="1:16" x14ac:dyDescent="0.2">
      <c r="A146" s="78">
        <v>903</v>
      </c>
      <c r="B146" s="79">
        <v>903</v>
      </c>
      <c r="C146" s="80">
        <v>2380002478955</v>
      </c>
      <c r="D146" s="81" t="s">
        <v>580</v>
      </c>
      <c r="E146" s="82">
        <v>0</v>
      </c>
      <c r="F146" s="83" t="s">
        <v>580</v>
      </c>
      <c r="G146" s="84" t="s">
        <v>1645</v>
      </c>
      <c r="H146" s="188">
        <v>3</v>
      </c>
      <c r="I146" s="85">
        <v>0</v>
      </c>
      <c r="J146" s="86">
        <v>36910.89</v>
      </c>
      <c r="K146" s="86">
        <v>0.98</v>
      </c>
      <c r="L146" s="86">
        <v>0.98</v>
      </c>
      <c r="M146" s="87">
        <v>0</v>
      </c>
      <c r="N146" s="88">
        <v>0</v>
      </c>
      <c r="O146" s="88">
        <v>0</v>
      </c>
      <c r="P146" s="88">
        <v>0</v>
      </c>
    </row>
    <row r="147" spans="1:16" x14ac:dyDescent="0.2">
      <c r="A147" s="78">
        <v>904</v>
      </c>
      <c r="B147" s="79">
        <v>904</v>
      </c>
      <c r="C147" s="80">
        <v>2380002478973</v>
      </c>
      <c r="D147" s="81">
        <v>517</v>
      </c>
      <c r="E147" s="82">
        <v>517</v>
      </c>
      <c r="F147" s="83">
        <v>2394000136976</v>
      </c>
      <c r="G147" s="84" t="s">
        <v>1646</v>
      </c>
      <c r="H147" s="188">
        <v>0</v>
      </c>
      <c r="I147" s="85">
        <v>0</v>
      </c>
      <c r="J147" s="86">
        <v>3.76</v>
      </c>
      <c r="K147" s="86">
        <v>0.69</v>
      </c>
      <c r="L147" s="86">
        <v>0.69</v>
      </c>
      <c r="M147" s="87">
        <v>0</v>
      </c>
      <c r="N147" s="88">
        <v>180.71</v>
      </c>
      <c r="O147" s="88">
        <v>0.05</v>
      </c>
      <c r="P147" s="88">
        <v>0.05</v>
      </c>
    </row>
    <row r="148" spans="1:16" x14ac:dyDescent="0.2">
      <c r="A148" s="78">
        <v>905</v>
      </c>
      <c r="B148" s="79">
        <v>905</v>
      </c>
      <c r="C148" s="80">
        <v>2380002483290</v>
      </c>
      <c r="D148" s="81">
        <v>518</v>
      </c>
      <c r="E148" s="82">
        <v>518</v>
      </c>
      <c r="F148" s="83">
        <v>2394000137038</v>
      </c>
      <c r="G148" s="84" t="s">
        <v>1647</v>
      </c>
      <c r="H148" s="188">
        <v>0</v>
      </c>
      <c r="I148" s="85">
        <v>7.0000000000000001E-3</v>
      </c>
      <c r="J148" s="86">
        <v>4.41</v>
      </c>
      <c r="K148" s="86">
        <v>0.55000000000000004</v>
      </c>
      <c r="L148" s="86">
        <v>0.55000000000000004</v>
      </c>
      <c r="M148" s="87">
        <v>-7.0000000000000001E-3</v>
      </c>
      <c r="N148" s="88">
        <v>180.06</v>
      </c>
      <c r="O148" s="88">
        <v>0.05</v>
      </c>
      <c r="P148" s="88">
        <v>0.05</v>
      </c>
    </row>
    <row r="149" spans="1:16" ht="30" x14ac:dyDescent="0.2">
      <c r="A149" s="78">
        <v>895</v>
      </c>
      <c r="B149" s="79">
        <v>895</v>
      </c>
      <c r="C149" s="80" t="s">
        <v>1495</v>
      </c>
      <c r="D149" s="81" t="s">
        <v>580</v>
      </c>
      <c r="E149" s="82">
        <v>0</v>
      </c>
      <c r="F149" s="83" t="s">
        <v>580</v>
      </c>
      <c r="G149" s="84" t="s">
        <v>1648</v>
      </c>
      <c r="H149" s="188">
        <v>2</v>
      </c>
      <c r="I149" s="85">
        <v>0.121</v>
      </c>
      <c r="J149" s="86">
        <v>13311.76</v>
      </c>
      <c r="K149" s="86">
        <v>2.37</v>
      </c>
      <c r="L149" s="86">
        <v>2.37</v>
      </c>
      <c r="M149" s="87">
        <v>0</v>
      </c>
      <c r="N149" s="88">
        <v>0</v>
      </c>
      <c r="O149" s="88">
        <v>0</v>
      </c>
      <c r="P149" s="88">
        <v>0</v>
      </c>
    </row>
    <row r="150" spans="1:16" x14ac:dyDescent="0.2">
      <c r="A150" s="78">
        <v>906</v>
      </c>
      <c r="B150" s="79">
        <v>906</v>
      </c>
      <c r="C150" s="80">
        <v>2380002504018</v>
      </c>
      <c r="D150" s="81">
        <v>519</v>
      </c>
      <c r="E150" s="82">
        <v>519</v>
      </c>
      <c r="F150" s="83">
        <v>2394000137960</v>
      </c>
      <c r="G150" s="84" t="s">
        <v>1649</v>
      </c>
      <c r="H150" s="188">
        <v>0</v>
      </c>
      <c r="I150" s="85">
        <v>0</v>
      </c>
      <c r="J150" s="86">
        <v>12.09</v>
      </c>
      <c r="K150" s="86">
        <v>0.71</v>
      </c>
      <c r="L150" s="86">
        <v>0.71</v>
      </c>
      <c r="M150" s="87">
        <v>0</v>
      </c>
      <c r="N150" s="88">
        <v>668.07</v>
      </c>
      <c r="O150" s="88">
        <v>0.05</v>
      </c>
      <c r="P150" s="88">
        <v>0.05</v>
      </c>
    </row>
    <row r="151" spans="1:16" x14ac:dyDescent="0.2">
      <c r="A151" s="78">
        <v>907</v>
      </c>
      <c r="B151" s="79">
        <v>907</v>
      </c>
      <c r="C151" s="80" t="s">
        <v>1459</v>
      </c>
      <c r="D151" s="81">
        <v>520</v>
      </c>
      <c r="E151" s="82">
        <v>520</v>
      </c>
      <c r="F151" s="83" t="s">
        <v>1459</v>
      </c>
      <c r="G151" s="84" t="s">
        <v>1650</v>
      </c>
      <c r="H151" s="188">
        <v>0</v>
      </c>
      <c r="I151" s="85">
        <v>0</v>
      </c>
      <c r="J151" s="86">
        <v>885.13</v>
      </c>
      <c r="K151" s="86">
        <v>0.19</v>
      </c>
      <c r="L151" s="86">
        <v>0.19</v>
      </c>
      <c r="M151" s="87">
        <v>0</v>
      </c>
      <c r="N151" s="88">
        <v>884.96</v>
      </c>
      <c r="O151" s="88">
        <v>0.05</v>
      </c>
      <c r="P151" s="88">
        <v>0.05</v>
      </c>
    </row>
    <row r="152" spans="1:16" x14ac:dyDescent="0.2">
      <c r="A152" s="78">
        <v>908</v>
      </c>
      <c r="B152" s="79">
        <v>908</v>
      </c>
      <c r="C152" s="80">
        <v>2380002530996</v>
      </c>
      <c r="D152" s="81">
        <v>521</v>
      </c>
      <c r="E152" s="82">
        <v>521</v>
      </c>
      <c r="F152" s="83">
        <v>2394000138583</v>
      </c>
      <c r="G152" s="84" t="s">
        <v>1651</v>
      </c>
      <c r="H152" s="188">
        <v>0</v>
      </c>
      <c r="I152" s="85">
        <v>7.0000000000000001E-3</v>
      </c>
      <c r="J152" s="86">
        <v>4.41</v>
      </c>
      <c r="K152" s="86">
        <v>0.72</v>
      </c>
      <c r="L152" s="86">
        <v>0.72</v>
      </c>
      <c r="M152" s="87">
        <v>-7.0000000000000001E-3</v>
      </c>
      <c r="N152" s="88">
        <v>180.06</v>
      </c>
      <c r="O152" s="88">
        <v>0.05</v>
      </c>
      <c r="P152" s="88">
        <v>0.05</v>
      </c>
    </row>
    <row r="153" spans="1:16" ht="30" x14ac:dyDescent="0.2">
      <c r="A153" s="78">
        <v>909</v>
      </c>
      <c r="B153" s="79">
        <v>909</v>
      </c>
      <c r="C153" s="80" t="s">
        <v>1496</v>
      </c>
      <c r="D153" s="81" t="s">
        <v>580</v>
      </c>
      <c r="E153" s="82">
        <v>0</v>
      </c>
      <c r="F153" s="83" t="s">
        <v>580</v>
      </c>
      <c r="G153" s="84" t="s">
        <v>1652</v>
      </c>
      <c r="H153" s="188">
        <v>4</v>
      </c>
      <c r="I153" s="85">
        <v>5.0000000000000001E-3</v>
      </c>
      <c r="J153" s="86">
        <v>103587.09</v>
      </c>
      <c r="K153" s="86">
        <v>0.61</v>
      </c>
      <c r="L153" s="86">
        <v>0.61</v>
      </c>
      <c r="M153" s="87">
        <v>0</v>
      </c>
      <c r="N153" s="88">
        <v>0</v>
      </c>
      <c r="O153" s="88">
        <v>0</v>
      </c>
      <c r="P153" s="88">
        <v>0</v>
      </c>
    </row>
    <row r="154" spans="1:16" x14ac:dyDescent="0.2">
      <c r="A154" s="78">
        <v>910</v>
      </c>
      <c r="B154" s="79">
        <v>910</v>
      </c>
      <c r="C154" s="80">
        <v>2380002571900</v>
      </c>
      <c r="D154" s="81">
        <v>522</v>
      </c>
      <c r="E154" s="82">
        <v>522</v>
      </c>
      <c r="F154" s="83">
        <v>2394000140217</v>
      </c>
      <c r="G154" s="84" t="s">
        <v>1653</v>
      </c>
      <c r="H154" s="188">
        <v>0</v>
      </c>
      <c r="I154" s="85">
        <v>7.0000000000000001E-3</v>
      </c>
      <c r="J154" s="86">
        <v>23.49</v>
      </c>
      <c r="K154" s="86">
        <v>0.52</v>
      </c>
      <c r="L154" s="86">
        <v>0.52</v>
      </c>
      <c r="M154" s="87">
        <v>-7.0000000000000001E-3</v>
      </c>
      <c r="N154" s="88">
        <v>939.48</v>
      </c>
      <c r="O154" s="88">
        <v>0.05</v>
      </c>
      <c r="P154" s="88">
        <v>0.05</v>
      </c>
    </row>
    <row r="155" spans="1:16" x14ac:dyDescent="0.2">
      <c r="A155" s="78">
        <v>916</v>
      </c>
      <c r="B155" s="79">
        <v>916</v>
      </c>
      <c r="C155" s="80">
        <v>2380002604316</v>
      </c>
      <c r="D155" s="81">
        <v>523</v>
      </c>
      <c r="E155" s="82">
        <v>523</v>
      </c>
      <c r="F155" s="83">
        <v>2394000141451</v>
      </c>
      <c r="G155" s="84" t="s">
        <v>1654</v>
      </c>
      <c r="H155" s="188">
        <v>1</v>
      </c>
      <c r="I155" s="85">
        <v>0</v>
      </c>
      <c r="J155" s="86">
        <v>2202.96</v>
      </c>
      <c r="K155" s="86">
        <v>0.36</v>
      </c>
      <c r="L155" s="86">
        <v>0.36</v>
      </c>
      <c r="M155" s="87">
        <v>-7.0000000000000001E-3</v>
      </c>
      <c r="N155" s="88">
        <v>591.54</v>
      </c>
      <c r="O155" s="88">
        <v>0.05</v>
      </c>
      <c r="P155" s="88">
        <v>0.05</v>
      </c>
    </row>
    <row r="156" spans="1:16" x14ac:dyDescent="0.2">
      <c r="A156" s="78">
        <v>917</v>
      </c>
      <c r="B156" s="79">
        <v>917</v>
      </c>
      <c r="C156" s="80">
        <v>2380002605694</v>
      </c>
      <c r="D156" s="81">
        <v>524</v>
      </c>
      <c r="E156" s="82">
        <v>524</v>
      </c>
      <c r="F156" s="83">
        <v>2394000141521</v>
      </c>
      <c r="G156" s="84" t="s">
        <v>1655</v>
      </c>
      <c r="H156" s="188">
        <v>0</v>
      </c>
      <c r="I156" s="85">
        <v>0</v>
      </c>
      <c r="J156" s="86">
        <v>291.99</v>
      </c>
      <c r="K156" s="86">
        <v>0.37</v>
      </c>
      <c r="L156" s="86">
        <v>0.37</v>
      </c>
      <c r="M156" s="87">
        <v>0</v>
      </c>
      <c r="N156" s="88">
        <v>307.98</v>
      </c>
      <c r="O156" s="88">
        <v>0.05</v>
      </c>
      <c r="P156" s="88">
        <v>0.05</v>
      </c>
    </row>
    <row r="157" spans="1:16" x14ac:dyDescent="0.2">
      <c r="A157" s="78">
        <v>918</v>
      </c>
      <c r="B157" s="79">
        <v>918</v>
      </c>
      <c r="C157" s="80">
        <v>2380002650242</v>
      </c>
      <c r="D157" s="81">
        <v>525</v>
      </c>
      <c r="E157" s="82">
        <v>525</v>
      </c>
      <c r="F157" s="83">
        <v>2394000143592</v>
      </c>
      <c r="G157" s="84" t="s">
        <v>1656</v>
      </c>
      <c r="H157" s="188">
        <v>0</v>
      </c>
      <c r="I157" s="85">
        <v>0.23799999999999999</v>
      </c>
      <c r="J157" s="86">
        <v>463.57</v>
      </c>
      <c r="K157" s="86">
        <v>0.38</v>
      </c>
      <c r="L157" s="86">
        <v>0.38</v>
      </c>
      <c r="M157" s="87">
        <v>-0.23799999999999999</v>
      </c>
      <c r="N157" s="88">
        <v>1446.05</v>
      </c>
      <c r="O157" s="88">
        <v>0.05</v>
      </c>
      <c r="P157" s="88">
        <v>0.05</v>
      </c>
    </row>
    <row r="158" spans="1:16" x14ac:dyDescent="0.2">
      <c r="A158" s="78">
        <v>919</v>
      </c>
      <c r="B158" s="79">
        <v>919</v>
      </c>
      <c r="C158" s="80">
        <v>2380002660393</v>
      </c>
      <c r="D158" s="81">
        <v>526</v>
      </c>
      <c r="E158" s="82">
        <v>526</v>
      </c>
      <c r="F158" s="83">
        <v>2394200144124</v>
      </c>
      <c r="G158" s="84" t="s">
        <v>1657</v>
      </c>
      <c r="H158" s="188">
        <v>0</v>
      </c>
      <c r="I158" s="85">
        <v>7.0000000000000001E-3</v>
      </c>
      <c r="J158" s="86">
        <v>8.2899999999999991</v>
      </c>
      <c r="K158" s="86">
        <v>0.96</v>
      </c>
      <c r="L158" s="86">
        <v>0.96</v>
      </c>
      <c r="M158" s="87">
        <v>-7.0000000000000001E-3</v>
      </c>
      <c r="N158" s="88">
        <v>360.64</v>
      </c>
      <c r="O158" s="88">
        <v>0.05</v>
      </c>
      <c r="P158" s="88">
        <v>0.05</v>
      </c>
    </row>
    <row r="159" spans="1:16" ht="30" x14ac:dyDescent="0.2">
      <c r="A159" s="78">
        <v>752</v>
      </c>
      <c r="B159" s="79">
        <v>752</v>
      </c>
      <c r="C159" s="80" t="s">
        <v>1497</v>
      </c>
      <c r="D159" s="81" t="s">
        <v>580</v>
      </c>
      <c r="E159" s="82">
        <v>0</v>
      </c>
      <c r="F159" s="83" t="s">
        <v>580</v>
      </c>
      <c r="G159" s="84" t="s">
        <v>1658</v>
      </c>
      <c r="H159" s="188">
        <v>3</v>
      </c>
      <c r="I159" s="85">
        <v>0</v>
      </c>
      <c r="J159" s="86">
        <v>36679.86</v>
      </c>
      <c r="K159" s="86">
        <v>0.41</v>
      </c>
      <c r="L159" s="86">
        <v>0.41</v>
      </c>
      <c r="M159" s="87">
        <v>0</v>
      </c>
      <c r="N159" s="88">
        <v>0</v>
      </c>
      <c r="O159" s="88">
        <v>0</v>
      </c>
      <c r="P159" s="88">
        <v>0</v>
      </c>
    </row>
    <row r="160" spans="1:16" x14ac:dyDescent="0.2">
      <c r="A160" s="78">
        <v>920</v>
      </c>
      <c r="B160" s="79">
        <v>920</v>
      </c>
      <c r="C160" s="80">
        <v>2380002680966</v>
      </c>
      <c r="D160" s="81">
        <v>527</v>
      </c>
      <c r="E160" s="82">
        <v>527</v>
      </c>
      <c r="F160" s="83">
        <v>2394200145011</v>
      </c>
      <c r="G160" s="84" t="s">
        <v>1659</v>
      </c>
      <c r="H160" s="188">
        <v>0</v>
      </c>
      <c r="I160" s="85">
        <v>0</v>
      </c>
      <c r="J160" s="86">
        <v>14.82</v>
      </c>
      <c r="K160" s="86">
        <v>0.61</v>
      </c>
      <c r="L160" s="86">
        <v>0.61</v>
      </c>
      <c r="M160" s="87">
        <v>-3.0000000000000001E-3</v>
      </c>
      <c r="N160" s="88">
        <v>585.15</v>
      </c>
      <c r="O160" s="88">
        <v>0.05</v>
      </c>
      <c r="P160" s="88">
        <v>0.05</v>
      </c>
    </row>
    <row r="161" spans="1:16" x14ac:dyDescent="0.2">
      <c r="A161" s="78">
        <v>921</v>
      </c>
      <c r="B161" s="79">
        <v>921</v>
      </c>
      <c r="C161" s="80">
        <v>2380002797770</v>
      </c>
      <c r="D161" s="81">
        <v>528</v>
      </c>
      <c r="E161" s="82">
        <v>528</v>
      </c>
      <c r="F161" s="83">
        <v>2394200160640</v>
      </c>
      <c r="G161" s="84" t="s">
        <v>1660</v>
      </c>
      <c r="H161" s="188">
        <v>0</v>
      </c>
      <c r="I161" s="85">
        <v>0</v>
      </c>
      <c r="J161" s="86">
        <v>6.95</v>
      </c>
      <c r="K161" s="86">
        <v>0.72</v>
      </c>
      <c r="L161" s="86">
        <v>0.72</v>
      </c>
      <c r="M161" s="87">
        <v>0</v>
      </c>
      <c r="N161" s="88">
        <v>1602.03</v>
      </c>
      <c r="O161" s="88">
        <v>0.05</v>
      </c>
      <c r="P161" s="88">
        <v>0.05</v>
      </c>
    </row>
    <row r="162" spans="1:16" x14ac:dyDescent="0.2">
      <c r="A162" s="78">
        <v>922</v>
      </c>
      <c r="B162" s="79">
        <v>922</v>
      </c>
      <c r="C162" s="80">
        <v>2380002815384</v>
      </c>
      <c r="D162" s="81">
        <v>529</v>
      </c>
      <c r="E162" s="82">
        <v>529</v>
      </c>
      <c r="F162" s="83">
        <v>2394200165667</v>
      </c>
      <c r="G162" s="84" t="s">
        <v>1661</v>
      </c>
      <c r="H162" s="188">
        <v>0</v>
      </c>
      <c r="I162" s="85">
        <v>0</v>
      </c>
      <c r="J162" s="86">
        <v>339.79</v>
      </c>
      <c r="K162" s="86">
        <v>0.59</v>
      </c>
      <c r="L162" s="86">
        <v>0.59</v>
      </c>
      <c r="M162" s="87">
        <v>0</v>
      </c>
      <c r="N162" s="88">
        <v>339.83</v>
      </c>
      <c r="O162" s="88">
        <v>0.05</v>
      </c>
      <c r="P162" s="88">
        <v>0.05</v>
      </c>
    </row>
    <row r="163" spans="1:16" x14ac:dyDescent="0.2">
      <c r="A163" s="78">
        <v>946</v>
      </c>
      <c r="B163" s="79">
        <v>946</v>
      </c>
      <c r="C163" s="80" t="s">
        <v>1498</v>
      </c>
      <c r="D163" s="81">
        <v>551</v>
      </c>
      <c r="E163" s="82">
        <v>551</v>
      </c>
      <c r="F163" s="83" t="s">
        <v>1499</v>
      </c>
      <c r="G163" s="84" t="s">
        <v>1662</v>
      </c>
      <c r="H163" s="188">
        <v>0</v>
      </c>
      <c r="I163" s="85">
        <v>0</v>
      </c>
      <c r="J163" s="86">
        <v>632.48</v>
      </c>
      <c r="K163" s="86">
        <v>0.4</v>
      </c>
      <c r="L163" s="86">
        <v>0.4</v>
      </c>
      <c r="M163" s="87">
        <v>0</v>
      </c>
      <c r="N163" s="88">
        <v>665.76</v>
      </c>
      <c r="O163" s="88">
        <v>0.05</v>
      </c>
      <c r="P163" s="88">
        <v>0.05</v>
      </c>
    </row>
    <row r="164" spans="1:16" x14ac:dyDescent="0.2">
      <c r="A164" s="78">
        <v>923</v>
      </c>
      <c r="B164" s="79">
        <v>923</v>
      </c>
      <c r="C164" s="80">
        <v>2380002828286</v>
      </c>
      <c r="D164" s="81">
        <v>530</v>
      </c>
      <c r="E164" s="82">
        <v>530</v>
      </c>
      <c r="F164" s="83">
        <v>2394200169573</v>
      </c>
      <c r="G164" s="84" t="s">
        <v>1663</v>
      </c>
      <c r="H164" s="188">
        <v>0</v>
      </c>
      <c r="I164" s="85">
        <v>7.0000000000000001E-3</v>
      </c>
      <c r="J164" s="86">
        <v>0.9</v>
      </c>
      <c r="K164" s="86">
        <v>1.72</v>
      </c>
      <c r="L164" s="86">
        <v>1.72</v>
      </c>
      <c r="M164" s="87">
        <v>0</v>
      </c>
      <c r="N164" s="88">
        <v>183.56</v>
      </c>
      <c r="O164" s="88">
        <v>0.05</v>
      </c>
      <c r="P164" s="88">
        <v>0.05</v>
      </c>
    </row>
    <row r="165" spans="1:16" ht="30" x14ac:dyDescent="0.2">
      <c r="A165" s="78">
        <v>924</v>
      </c>
      <c r="B165" s="79">
        <v>924</v>
      </c>
      <c r="C165" s="80" t="s">
        <v>1500</v>
      </c>
      <c r="D165" s="81" t="s">
        <v>580</v>
      </c>
      <c r="E165" s="82">
        <v>0</v>
      </c>
      <c r="F165" s="83" t="s">
        <v>580</v>
      </c>
      <c r="G165" s="84" t="s">
        <v>1664</v>
      </c>
      <c r="H165" s="188">
        <v>4</v>
      </c>
      <c r="I165" s="85">
        <v>0</v>
      </c>
      <c r="J165" s="86">
        <v>105014.14</v>
      </c>
      <c r="K165" s="86">
        <v>0.5</v>
      </c>
      <c r="L165" s="86">
        <v>0.5</v>
      </c>
      <c r="M165" s="87">
        <v>0</v>
      </c>
      <c r="N165" s="88">
        <v>0</v>
      </c>
      <c r="O165" s="88">
        <v>0</v>
      </c>
      <c r="P165" s="88">
        <v>0</v>
      </c>
    </row>
    <row r="166" spans="1:16" x14ac:dyDescent="0.2">
      <c r="A166" s="78">
        <v>947</v>
      </c>
      <c r="B166" s="79">
        <v>947</v>
      </c>
      <c r="C166" s="80" t="s">
        <v>1501</v>
      </c>
      <c r="D166" s="81">
        <v>552</v>
      </c>
      <c r="E166" s="82">
        <v>552</v>
      </c>
      <c r="F166" s="83" t="s">
        <v>1502</v>
      </c>
      <c r="G166" s="84" t="s">
        <v>1665</v>
      </c>
      <c r="H166" s="188">
        <v>0</v>
      </c>
      <c r="I166" s="85">
        <v>0</v>
      </c>
      <c r="J166" s="86">
        <v>92.23</v>
      </c>
      <c r="K166" s="86">
        <v>0.43</v>
      </c>
      <c r="L166" s="86">
        <v>0.43</v>
      </c>
      <c r="M166" s="87">
        <v>0</v>
      </c>
      <c r="N166" s="88">
        <v>92.23</v>
      </c>
      <c r="O166" s="88">
        <v>0.05</v>
      </c>
      <c r="P166" s="88">
        <v>0.05</v>
      </c>
    </row>
    <row r="167" spans="1:16" x14ac:dyDescent="0.2">
      <c r="A167" s="78">
        <v>948</v>
      </c>
      <c r="B167" s="79">
        <v>948</v>
      </c>
      <c r="C167" s="80" t="s">
        <v>1503</v>
      </c>
      <c r="D167" s="81">
        <v>553</v>
      </c>
      <c r="E167" s="82">
        <v>553</v>
      </c>
      <c r="F167" s="83" t="s">
        <v>1504</v>
      </c>
      <c r="G167" s="84" t="s">
        <v>1666</v>
      </c>
      <c r="H167" s="188">
        <v>0</v>
      </c>
      <c r="I167" s="85">
        <v>0</v>
      </c>
      <c r="J167" s="86">
        <v>92.23</v>
      </c>
      <c r="K167" s="86">
        <v>0.43</v>
      </c>
      <c r="L167" s="86">
        <v>0.43</v>
      </c>
      <c r="M167" s="87">
        <v>0</v>
      </c>
      <c r="N167" s="88">
        <v>92.23</v>
      </c>
      <c r="O167" s="88">
        <v>0.05</v>
      </c>
      <c r="P167" s="88">
        <v>0.05</v>
      </c>
    </row>
    <row r="168" spans="1:16" x14ac:dyDescent="0.2">
      <c r="A168" s="78">
        <v>925</v>
      </c>
      <c r="B168" s="79">
        <v>925</v>
      </c>
      <c r="C168" s="80">
        <v>2380002864595</v>
      </c>
      <c r="D168" s="81">
        <v>531</v>
      </c>
      <c r="E168" s="82">
        <v>531</v>
      </c>
      <c r="F168" s="83">
        <v>2394200196610</v>
      </c>
      <c r="G168" s="84" t="s">
        <v>1667</v>
      </c>
      <c r="H168" s="188">
        <v>0</v>
      </c>
      <c r="I168" s="85">
        <v>7.0000000000000001E-3</v>
      </c>
      <c r="J168" s="86">
        <v>92.23</v>
      </c>
      <c r="K168" s="86">
        <v>0.39</v>
      </c>
      <c r="L168" s="86">
        <v>0.39</v>
      </c>
      <c r="M168" s="87">
        <v>-7.0000000000000001E-3</v>
      </c>
      <c r="N168" s="88">
        <v>92.23</v>
      </c>
      <c r="O168" s="88">
        <v>0.05</v>
      </c>
      <c r="P168" s="88">
        <v>0.05</v>
      </c>
    </row>
    <row r="169" spans="1:16" ht="30" x14ac:dyDescent="0.2">
      <c r="A169" s="78">
        <v>926</v>
      </c>
      <c r="B169" s="79">
        <v>926</v>
      </c>
      <c r="C169" s="80" t="s">
        <v>1505</v>
      </c>
      <c r="D169" s="81">
        <v>532</v>
      </c>
      <c r="E169" s="82">
        <v>532</v>
      </c>
      <c r="F169" s="83" t="s">
        <v>1506</v>
      </c>
      <c r="G169" s="84" t="s">
        <v>1668</v>
      </c>
      <c r="H169" s="188">
        <v>0</v>
      </c>
      <c r="I169" s="85">
        <v>0.122</v>
      </c>
      <c r="J169" s="86">
        <v>30.78</v>
      </c>
      <c r="K169" s="86">
        <v>1.4</v>
      </c>
      <c r="L169" s="86">
        <v>1.4</v>
      </c>
      <c r="M169" s="87">
        <v>0</v>
      </c>
      <c r="N169" s="88">
        <v>153.69</v>
      </c>
      <c r="O169" s="88">
        <v>0.05</v>
      </c>
      <c r="P169" s="88">
        <v>0.05</v>
      </c>
    </row>
    <row r="170" spans="1:16" x14ac:dyDescent="0.2">
      <c r="A170" s="78">
        <v>927</v>
      </c>
      <c r="B170" s="79">
        <v>927</v>
      </c>
      <c r="C170" s="80">
        <v>2380002915520</v>
      </c>
      <c r="D170" s="81">
        <v>533</v>
      </c>
      <c r="E170" s="82">
        <v>533</v>
      </c>
      <c r="F170" s="83">
        <v>2394200315038</v>
      </c>
      <c r="G170" s="84" t="s">
        <v>1669</v>
      </c>
      <c r="H170" s="188">
        <v>0</v>
      </c>
      <c r="I170" s="85">
        <v>0</v>
      </c>
      <c r="J170" s="86">
        <v>1457.58</v>
      </c>
      <c r="K170" s="86">
        <v>1.26</v>
      </c>
      <c r="L170" s="86">
        <v>1.26</v>
      </c>
      <c r="M170" s="87">
        <v>-1E-3</v>
      </c>
      <c r="N170" s="88">
        <v>1412.56</v>
      </c>
      <c r="O170" s="88">
        <v>0.05</v>
      </c>
      <c r="P170" s="88">
        <v>0.05</v>
      </c>
    </row>
    <row r="171" spans="1:16" x14ac:dyDescent="0.2">
      <c r="A171" s="78">
        <v>928</v>
      </c>
      <c r="B171" s="79">
        <v>928</v>
      </c>
      <c r="C171" s="80">
        <v>2380002920813</v>
      </c>
      <c r="D171" s="81">
        <v>534</v>
      </c>
      <c r="E171" s="82">
        <v>534</v>
      </c>
      <c r="F171" s="83">
        <v>2394200321078</v>
      </c>
      <c r="G171" s="84" t="s">
        <v>1670</v>
      </c>
      <c r="H171" s="188">
        <v>0</v>
      </c>
      <c r="I171" s="85">
        <v>0</v>
      </c>
      <c r="J171" s="86">
        <v>592.78</v>
      </c>
      <c r="K171" s="86">
        <v>1.4</v>
      </c>
      <c r="L171" s="86">
        <v>1.4</v>
      </c>
      <c r="M171" s="87">
        <v>0</v>
      </c>
      <c r="N171" s="88">
        <v>873.56</v>
      </c>
      <c r="O171" s="88">
        <v>0.05</v>
      </c>
      <c r="P171" s="88">
        <v>0.05</v>
      </c>
    </row>
    <row r="172" spans="1:16" x14ac:dyDescent="0.2">
      <c r="A172" s="78">
        <v>929</v>
      </c>
      <c r="B172" s="79">
        <v>929</v>
      </c>
      <c r="C172" s="80">
        <v>2380002926790</v>
      </c>
      <c r="D172" s="81">
        <v>535</v>
      </c>
      <c r="E172" s="82">
        <v>535</v>
      </c>
      <c r="F172" s="83">
        <v>2394200325870</v>
      </c>
      <c r="G172" s="84" t="s">
        <v>1671</v>
      </c>
      <c r="H172" s="188">
        <v>2</v>
      </c>
      <c r="I172" s="85">
        <v>0</v>
      </c>
      <c r="J172" s="86">
        <v>13581.1</v>
      </c>
      <c r="K172" s="86">
        <v>1.19</v>
      </c>
      <c r="L172" s="86">
        <v>1.19</v>
      </c>
      <c r="M172" s="87">
        <v>0</v>
      </c>
      <c r="N172" s="88">
        <v>2372.71</v>
      </c>
      <c r="O172" s="88">
        <v>0.05</v>
      </c>
      <c r="P172" s="88">
        <v>0.05</v>
      </c>
    </row>
    <row r="173" spans="1:16" x14ac:dyDescent="0.2">
      <c r="A173" s="78">
        <v>930</v>
      </c>
      <c r="B173" s="79">
        <v>930</v>
      </c>
      <c r="C173" s="80">
        <v>2380002939503</v>
      </c>
      <c r="D173" s="81">
        <v>536</v>
      </c>
      <c r="E173" s="82">
        <v>536</v>
      </c>
      <c r="F173" s="83">
        <v>2394200347076</v>
      </c>
      <c r="G173" s="84" t="s">
        <v>1672</v>
      </c>
      <c r="H173" s="188">
        <v>0</v>
      </c>
      <c r="I173" s="85">
        <v>0</v>
      </c>
      <c r="J173" s="86">
        <v>292.29000000000002</v>
      </c>
      <c r="K173" s="86">
        <v>1.26</v>
      </c>
      <c r="L173" s="86">
        <v>1.26</v>
      </c>
      <c r="M173" s="87">
        <v>0</v>
      </c>
      <c r="N173" s="88">
        <v>307.68</v>
      </c>
      <c r="O173" s="88">
        <v>0.05</v>
      </c>
      <c r="P173" s="88">
        <v>0.05</v>
      </c>
    </row>
    <row r="174" spans="1:16" x14ac:dyDescent="0.2">
      <c r="A174" s="78">
        <v>931</v>
      </c>
      <c r="B174" s="79">
        <v>931</v>
      </c>
      <c r="C174" s="80">
        <v>2380002942988</v>
      </c>
      <c r="D174" s="81">
        <v>537</v>
      </c>
      <c r="E174" s="82">
        <v>537</v>
      </c>
      <c r="F174" s="83">
        <v>2394200351170</v>
      </c>
      <c r="G174" s="84" t="s">
        <v>1673</v>
      </c>
      <c r="H174" s="188">
        <v>0</v>
      </c>
      <c r="I174" s="85">
        <v>0</v>
      </c>
      <c r="J174" s="86">
        <v>549.05999999999995</v>
      </c>
      <c r="K174" s="86">
        <v>1.19</v>
      </c>
      <c r="L174" s="86">
        <v>1.19</v>
      </c>
      <c r="M174" s="87">
        <v>0</v>
      </c>
      <c r="N174" s="88">
        <v>549.05999999999995</v>
      </c>
      <c r="O174" s="88">
        <v>0.05</v>
      </c>
      <c r="P174" s="88">
        <v>0.05</v>
      </c>
    </row>
    <row r="175" spans="1:16" x14ac:dyDescent="0.2">
      <c r="A175" s="78">
        <v>932</v>
      </c>
      <c r="B175" s="79">
        <v>932</v>
      </c>
      <c r="C175" s="80">
        <v>2380002944530</v>
      </c>
      <c r="D175" s="81">
        <v>538</v>
      </c>
      <c r="E175" s="82">
        <v>538</v>
      </c>
      <c r="F175" s="83">
        <v>2394200354533</v>
      </c>
      <c r="G175" s="84" t="s">
        <v>1674</v>
      </c>
      <c r="H175" s="188">
        <v>0</v>
      </c>
      <c r="I175" s="85">
        <v>0</v>
      </c>
      <c r="J175" s="86">
        <v>1687.53</v>
      </c>
      <c r="K175" s="86">
        <v>1.19</v>
      </c>
      <c r="L175" s="86">
        <v>1.19</v>
      </c>
      <c r="M175" s="87">
        <v>0</v>
      </c>
      <c r="N175" s="88">
        <v>1687.53</v>
      </c>
      <c r="O175" s="88">
        <v>0.05</v>
      </c>
      <c r="P175" s="88">
        <v>0.05</v>
      </c>
    </row>
    <row r="176" spans="1:16" x14ac:dyDescent="0.2">
      <c r="A176" s="78">
        <v>933</v>
      </c>
      <c r="B176" s="79">
        <v>933</v>
      </c>
      <c r="C176" s="80">
        <v>2380002944540</v>
      </c>
      <c r="D176" s="81">
        <v>539</v>
      </c>
      <c r="E176" s="82">
        <v>539</v>
      </c>
      <c r="F176" s="83">
        <v>2394200354570</v>
      </c>
      <c r="G176" s="84" t="s">
        <v>1675</v>
      </c>
      <c r="H176" s="188">
        <v>0</v>
      </c>
      <c r="I176" s="85">
        <v>0</v>
      </c>
      <c r="J176" s="86">
        <v>44.74</v>
      </c>
      <c r="K176" s="86">
        <v>1.26</v>
      </c>
      <c r="L176" s="86">
        <v>1.26</v>
      </c>
      <c r="M176" s="87">
        <v>-1E-3</v>
      </c>
      <c r="N176" s="88">
        <v>2825.4</v>
      </c>
      <c r="O176" s="88">
        <v>0.05</v>
      </c>
      <c r="P176" s="88">
        <v>0.05</v>
      </c>
    </row>
    <row r="177" spans="1:16" x14ac:dyDescent="0.2">
      <c r="A177" s="78">
        <v>725</v>
      </c>
      <c r="B177" s="79">
        <v>725</v>
      </c>
      <c r="C177" s="80" t="s">
        <v>1507</v>
      </c>
      <c r="D177" s="81">
        <v>510</v>
      </c>
      <c r="E177" s="82">
        <v>510</v>
      </c>
      <c r="F177" s="83" t="s">
        <v>1508</v>
      </c>
      <c r="G177" s="84" t="s">
        <v>1676</v>
      </c>
      <c r="H177" s="188">
        <v>0</v>
      </c>
      <c r="I177" s="85">
        <v>0</v>
      </c>
      <c r="J177" s="86">
        <v>3009.74</v>
      </c>
      <c r="K177" s="86">
        <v>1.33</v>
      </c>
      <c r="L177" s="86">
        <v>1.33</v>
      </c>
      <c r="M177" s="87">
        <v>0</v>
      </c>
      <c r="N177" s="88">
        <v>3009.74</v>
      </c>
      <c r="O177" s="88">
        <v>0.05</v>
      </c>
      <c r="P177" s="88">
        <v>0.05</v>
      </c>
    </row>
  </sheetData>
  <mergeCells count="10">
    <mergeCell ref="F1:P1"/>
    <mergeCell ref="A2:P2"/>
    <mergeCell ref="C1:D1"/>
    <mergeCell ref="D7:F7"/>
    <mergeCell ref="A5:C5"/>
    <mergeCell ref="A6:C6"/>
    <mergeCell ref="A7:C7"/>
    <mergeCell ref="A4:F4"/>
    <mergeCell ref="D5:F5"/>
    <mergeCell ref="D6:F6"/>
  </mergeCells>
  <phoneticPr fontId="39" type="noConversion"/>
  <hyperlinks>
    <hyperlink ref="A1" location="Overview!A1" display="Back to Overview" xr:uid="{00000000-0004-0000-0200-000000000000}"/>
  </hyperlinks>
  <pageMargins left="0.39370078740157483" right="0.35433070866141736" top="0.86614173228346458" bottom="0.78740157480314965" header="0.27559055118110237" footer="0.27559055118110237"/>
  <pageSetup paperSize="9" scale="60" fitToHeight="0" orientation="landscape" r:id="rId1"/>
  <headerFooter differentFirst="1" scaleWithDoc="0">
    <oddHeader>&amp;L&amp;"Trebuchet MS,Regular"
&amp;"Trebuchet MS,Bold"Annex 2 &amp;"Trebuchet MS,Regular"- Schedule of Charges for use of the Distribution System by Designated EHV Properties (including LDNOs with Designated EHV Properties/end-users).</oddHeader>
    <firstHeader>&amp;L&amp;"Trebuchet MS,Bold"
Annex 2&amp;"Trebuchet MS,Regular" - Schedule of Charges for use of the Distribution System by Designated EHV Properties (including LDNOs with Designated EHV Properties/end-users).</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I172"/>
  <sheetViews>
    <sheetView zoomScale="90" zoomScaleNormal="90" zoomScaleSheetLayoutView="100" workbookViewId="0">
      <selection sqref="A1:H1"/>
    </sheetView>
  </sheetViews>
  <sheetFormatPr defaultColWidth="9.140625" defaultRowHeight="15" x14ac:dyDescent="0.3"/>
  <cols>
    <col min="1" max="1" width="14.7109375" style="69" customWidth="1"/>
    <col min="2" max="2" width="8.7109375" style="69" customWidth="1"/>
    <col min="3" max="3" width="15.7109375" style="89" bestFit="1" customWidth="1"/>
    <col min="4" max="4" width="50.7109375" style="89" customWidth="1"/>
    <col min="5" max="5" width="14.7109375" style="90" customWidth="1"/>
    <col min="6" max="7" width="14.7109375" style="91" customWidth="1"/>
    <col min="8" max="8" width="14.7109375" style="69" customWidth="1"/>
    <col min="9" max="9" width="15.5703125" style="69" customWidth="1"/>
    <col min="10" max="16384" width="9.140625" style="69"/>
  </cols>
  <sheetData>
    <row r="1" spans="1:9" ht="54" customHeight="1" x14ac:dyDescent="0.2">
      <c r="A1" s="216" t="s">
        <v>678</v>
      </c>
      <c r="B1" s="216"/>
      <c r="C1" s="216"/>
      <c r="D1" s="216"/>
      <c r="E1" s="216"/>
      <c r="F1" s="216"/>
      <c r="G1" s="216"/>
      <c r="H1" s="216"/>
    </row>
    <row r="2" spans="1:9" s="70" customFormat="1" ht="18.75" x14ac:dyDescent="0.2">
      <c r="A2" s="221" t="str">
        <f>Overview!B4&amp; " - Effective from "&amp;Overview!D4&amp;" - "&amp;Overview!E4&amp;" Designated EHV import charges"</f>
        <v>Northern Powergrid (Yorkshire) Plc - Effective from 1 April 2026 - Final Designated EHV import charges</v>
      </c>
      <c r="B2" s="222"/>
      <c r="C2" s="222"/>
      <c r="D2" s="222"/>
      <c r="E2" s="222"/>
      <c r="F2" s="222"/>
      <c r="G2" s="222"/>
      <c r="H2" s="223"/>
    </row>
    <row r="3" spans="1:9" s="71" customFormat="1" ht="18.75" x14ac:dyDescent="0.2">
      <c r="A3" s="92"/>
      <c r="B3" s="92"/>
      <c r="C3" s="92"/>
      <c r="D3" s="93"/>
      <c r="E3" s="94"/>
      <c r="F3" s="94"/>
      <c r="G3" s="95"/>
      <c r="H3" s="95"/>
      <c r="I3" s="61"/>
    </row>
    <row r="4" spans="1:9" ht="75" x14ac:dyDescent="0.2">
      <c r="A4" s="73" t="s">
        <v>270</v>
      </c>
      <c r="B4" s="74" t="s">
        <v>260</v>
      </c>
      <c r="C4" s="73" t="s">
        <v>261</v>
      </c>
      <c r="D4" s="75" t="s">
        <v>29</v>
      </c>
      <c r="E4" s="96" t="str">
        <f>'Annex 2 Designated EHV charges'!I9</f>
        <v>Import
Super Red
unit charge
(p/kWh)</v>
      </c>
      <c r="F4" s="96" t="str">
        <f>'Annex 2 Designated EHV charges'!J9</f>
        <v>Import
fixed charge
(p/day)</v>
      </c>
      <c r="G4" s="96" t="str">
        <f>'Annex 2 Designated EHV charges'!K9</f>
        <v>Import
capacity charge
(p/kVA/day)</v>
      </c>
      <c r="H4" s="96" t="str">
        <f>'Annex 2 Designated EHV charges'!L9</f>
        <v>Import
exceeded capacity charge
(p/kVA/day)</v>
      </c>
    </row>
    <row r="5" spans="1:9" ht="30" x14ac:dyDescent="0.2">
      <c r="A5" s="97">
        <v>750</v>
      </c>
      <c r="B5" s="79">
        <f>IF($A5="","",VLOOKUP($A5,'Annex 2 Designated EHV charges'!$A:$P,2,0))</f>
        <v>750</v>
      </c>
      <c r="C5" s="98" t="str">
        <f>IF($A5="","",VLOOKUP($A5,'Annex 2 Designated EHV charges'!$A:$P,3,0))</f>
        <v>2300000599657
2336541294017</v>
      </c>
      <c r="D5" s="99" t="str">
        <f>IF($A5="","",VLOOKUP($A5,'Annex 2 Designated EHV charges'!$A:$P,7,0))</f>
        <v>EHV Site Specific (LLFC 750)</v>
      </c>
      <c r="E5" s="100">
        <f>IFERROR(IF(VLOOKUP($A5,'Annex 2 Designated EHV charges'!$A:$P,9,FALSE)=0,"",VLOOKUP($A5,'Annex 2 Designated EHV charges'!$A:$P,9,FALSE)),"")</f>
        <v>4.4999999999999998E-2</v>
      </c>
      <c r="F5" s="101">
        <f>IFERROR(IF(VLOOKUP($A5,'Annex 2 Designated EHV charges'!$A:$P,10,FALSE)=0,"",VLOOKUP($A5,'Annex 2 Designated EHV charges'!$A:$P,10,FALSE)),"")</f>
        <v>103218.15</v>
      </c>
      <c r="G5" s="102">
        <f>IFERROR(IF(VLOOKUP($A5,'Annex 2 Designated EHV charges'!$A:$P,11,FALSE)=0,"",VLOOKUP($A5,'Annex 2 Designated EHV charges'!$A:$P,11,FALSE)),"")</f>
        <v>2.85</v>
      </c>
      <c r="H5" s="102">
        <f>IFERROR(IF(VLOOKUP($A5,'Annex 2 Designated EHV charges'!$A:$P,12,FALSE)=0,"",VLOOKUP($A5,'Annex 2 Designated EHV charges'!$A:$P,12,FALSE)),"")</f>
        <v>2.85</v>
      </c>
    </row>
    <row r="6" spans="1:9" ht="90" x14ac:dyDescent="0.2">
      <c r="A6" s="97">
        <v>751</v>
      </c>
      <c r="B6" s="79">
        <f>IF($A6="","",VLOOKUP($A6,'Annex 2 Designated EHV charges'!$A:$P,2,0))</f>
        <v>751</v>
      </c>
      <c r="C6" s="98" t="str">
        <f>IF($A6="","",VLOOKUP($A6,'Annex 2 Designated EHV charges'!$A:$P,3,0))</f>
        <v>2300000702517
2300000702526
2300000702535
2376555002010
2376555002029
2376555002038</v>
      </c>
      <c r="D6" s="99" t="str">
        <f>IF($A6="","",VLOOKUP($A6,'Annex 2 Designated EHV charges'!$A:$P,7,0))</f>
        <v>EHV Site Specific (LLFC 751)</v>
      </c>
      <c r="E6" s="100">
        <f>IFERROR(IF(VLOOKUP($A6,'Annex 2 Designated EHV charges'!$A:$P,9,FALSE)=0,"",VLOOKUP($A6,'Annex 2 Designated EHV charges'!$A:$P,9,FALSE)),"")</f>
        <v>1E-3</v>
      </c>
      <c r="F6" s="101">
        <f>IFERROR(IF(VLOOKUP($A6,'Annex 2 Designated EHV charges'!$A:$P,10,FALSE)=0,"",VLOOKUP($A6,'Annex 2 Designated EHV charges'!$A:$P,10,FALSE)),"")</f>
        <v>108020.24</v>
      </c>
      <c r="G6" s="102">
        <f>IFERROR(IF(VLOOKUP($A6,'Annex 2 Designated EHV charges'!$A:$P,11,FALSE)=0,"",VLOOKUP($A6,'Annex 2 Designated EHV charges'!$A:$P,11,FALSE)),"")</f>
        <v>0.92</v>
      </c>
      <c r="H6" s="102">
        <f>IFERROR(IF(VLOOKUP($A6,'Annex 2 Designated EHV charges'!$A:$P,12,FALSE)=0,"",VLOOKUP($A6,'Annex 2 Designated EHV charges'!$A:$P,12,FALSE)),"")</f>
        <v>0.92</v>
      </c>
    </row>
    <row r="7" spans="1:9" x14ac:dyDescent="0.2">
      <c r="A7" s="97">
        <v>753</v>
      </c>
      <c r="B7" s="79">
        <f>IF($A7="","",VLOOKUP($A7,'Annex 2 Designated EHV charges'!$A:$P,2,0))</f>
        <v>753</v>
      </c>
      <c r="C7" s="98">
        <f>IF($A7="","",VLOOKUP($A7,'Annex 2 Designated EHV charges'!$A:$P,3,0))</f>
        <v>2356555555010</v>
      </c>
      <c r="D7" s="99" t="str">
        <f>IF($A7="","",VLOOKUP($A7,'Annex 2 Designated EHV charges'!$A:$P,7,0))</f>
        <v>EHV Site Specific (LLFC 753 &amp; 90)</v>
      </c>
      <c r="E7" s="100">
        <f>IFERROR(IF(VLOOKUP($A7,'Annex 2 Designated EHV charges'!$A:$P,9,FALSE)=0,"",VLOOKUP($A7,'Annex 2 Designated EHV charges'!$A:$P,9,FALSE)),"")</f>
        <v>4.2000000000000003E-2</v>
      </c>
      <c r="F7" s="101">
        <f>IFERROR(IF(VLOOKUP($A7,'Annex 2 Designated EHV charges'!$A:$P,10,FALSE)=0,"",VLOOKUP($A7,'Annex 2 Designated EHV charges'!$A:$P,10,FALSE)),"")</f>
        <v>47306.879999999997</v>
      </c>
      <c r="G7" s="102">
        <f>IFERROR(IF(VLOOKUP($A7,'Annex 2 Designated EHV charges'!$A:$P,11,FALSE)=0,"",VLOOKUP($A7,'Annex 2 Designated EHV charges'!$A:$P,11,FALSE)),"")</f>
        <v>0.75</v>
      </c>
      <c r="H7" s="102">
        <f>IFERROR(IF(VLOOKUP($A7,'Annex 2 Designated EHV charges'!$A:$P,12,FALSE)=0,"",VLOOKUP($A7,'Annex 2 Designated EHV charges'!$A:$P,12,FALSE)),"")</f>
        <v>0.75</v>
      </c>
    </row>
    <row r="8" spans="1:9" ht="30" x14ac:dyDescent="0.2">
      <c r="A8" s="97">
        <v>754</v>
      </c>
      <c r="B8" s="79">
        <f>IF($A8="","",VLOOKUP($A8,'Annex 2 Designated EHV charges'!$A:$P,2,0))</f>
        <v>754</v>
      </c>
      <c r="C8" s="98" t="str">
        <f>IF($A8="","",VLOOKUP($A8,'Annex 2 Designated EHV charges'!$A:$P,3,0))</f>
        <v>2356555554017
2380002015807</v>
      </c>
      <c r="D8" s="99" t="str">
        <f>IF($A8="","",VLOOKUP($A8,'Annex 2 Designated EHV charges'!$A:$P,7,0))</f>
        <v>EHV Site Specific (LLFC 754 &amp; 82)</v>
      </c>
      <c r="E8" s="100">
        <f>IFERROR(IF(VLOOKUP($A8,'Annex 2 Designated EHV charges'!$A:$P,9,FALSE)=0,"",VLOOKUP($A8,'Annex 2 Designated EHV charges'!$A:$P,9,FALSE)),"")</f>
        <v>0.161</v>
      </c>
      <c r="F8" s="101">
        <f>IFERROR(IF(VLOOKUP($A8,'Annex 2 Designated EHV charges'!$A:$P,10,FALSE)=0,"",VLOOKUP($A8,'Annex 2 Designated EHV charges'!$A:$P,10,FALSE)),"")</f>
        <v>25592.75</v>
      </c>
      <c r="G8" s="102">
        <f>IFERROR(IF(VLOOKUP($A8,'Annex 2 Designated EHV charges'!$A:$P,11,FALSE)=0,"",VLOOKUP($A8,'Annex 2 Designated EHV charges'!$A:$P,11,FALSE)),"")</f>
        <v>0.68</v>
      </c>
      <c r="H8" s="102">
        <f>IFERROR(IF(VLOOKUP($A8,'Annex 2 Designated EHV charges'!$A:$P,12,FALSE)=0,"",VLOOKUP($A8,'Annex 2 Designated EHV charges'!$A:$P,12,FALSE)),"")</f>
        <v>0.68</v>
      </c>
    </row>
    <row r="9" spans="1:9" x14ac:dyDescent="0.2">
      <c r="A9" s="97">
        <v>755</v>
      </c>
      <c r="B9" s="79">
        <f>IF($A9="","",VLOOKUP($A9,'Annex 2 Designated EHV charges'!$A:$P,2,0))</f>
        <v>755</v>
      </c>
      <c r="C9" s="98">
        <f>IF($A9="","",VLOOKUP($A9,'Annex 2 Designated EHV charges'!$A:$P,3,0))</f>
        <v>2316521850010</v>
      </c>
      <c r="D9" s="99" t="str">
        <f>IF($A9="","",VLOOKUP($A9,'Annex 2 Designated EHV charges'!$A:$P,7,0))</f>
        <v>EHV Site Specific (LLFC 755 &amp; 76)</v>
      </c>
      <c r="E9" s="100">
        <f>IFERROR(IF(VLOOKUP($A9,'Annex 2 Designated EHV charges'!$A:$P,9,FALSE)=0,"",VLOOKUP($A9,'Annex 2 Designated EHV charges'!$A:$P,9,FALSE)),"")</f>
        <v>2.7E-2</v>
      </c>
      <c r="F9" s="101">
        <f>IFERROR(IF(VLOOKUP($A9,'Annex 2 Designated EHV charges'!$A:$P,10,FALSE)=0,"",VLOOKUP($A9,'Annex 2 Designated EHV charges'!$A:$P,10,FALSE)),"")</f>
        <v>18816.11</v>
      </c>
      <c r="G9" s="102">
        <f>IFERROR(IF(VLOOKUP($A9,'Annex 2 Designated EHV charges'!$A:$P,11,FALSE)=0,"",VLOOKUP($A9,'Annex 2 Designated EHV charges'!$A:$P,11,FALSE)),"")</f>
        <v>0.95</v>
      </c>
      <c r="H9" s="102">
        <f>IFERROR(IF(VLOOKUP($A9,'Annex 2 Designated EHV charges'!$A:$P,12,FALSE)=0,"",VLOOKUP($A9,'Annex 2 Designated EHV charges'!$A:$P,12,FALSE)),"")</f>
        <v>0.95</v>
      </c>
    </row>
    <row r="10" spans="1:9" x14ac:dyDescent="0.2">
      <c r="A10" s="97">
        <v>756</v>
      </c>
      <c r="B10" s="79">
        <f>IF($A10="","",VLOOKUP($A10,'Annex 2 Designated EHV charges'!$A:$P,2,0))</f>
        <v>756</v>
      </c>
      <c r="C10" s="98">
        <f>IF($A10="","",VLOOKUP($A10,'Annex 2 Designated EHV charges'!$A:$P,3,0))</f>
        <v>2346540436013</v>
      </c>
      <c r="D10" s="99" t="str">
        <f>IF($A10="","",VLOOKUP($A10,'Annex 2 Designated EHV charges'!$A:$P,7,0))</f>
        <v>EHV Site Specific (LLFC 756 &amp; 75)</v>
      </c>
      <c r="E10" s="100">
        <f>IFERROR(IF(VLOOKUP($A10,'Annex 2 Designated EHV charges'!$A:$P,9,FALSE)=0,"",VLOOKUP($A10,'Annex 2 Designated EHV charges'!$A:$P,9,FALSE)),"")</f>
        <v>1.4E-2</v>
      </c>
      <c r="F10" s="101">
        <f>IFERROR(IF(VLOOKUP($A10,'Annex 2 Designated EHV charges'!$A:$P,10,FALSE)=0,"",VLOOKUP($A10,'Annex 2 Designated EHV charges'!$A:$P,10,FALSE)),"")</f>
        <v>23569.63</v>
      </c>
      <c r="G10" s="102">
        <f>IFERROR(IF(VLOOKUP($A10,'Annex 2 Designated EHV charges'!$A:$P,11,FALSE)=0,"",VLOOKUP($A10,'Annex 2 Designated EHV charges'!$A:$P,11,FALSE)),"")</f>
        <v>1.1000000000000001</v>
      </c>
      <c r="H10" s="102">
        <f>IFERROR(IF(VLOOKUP($A10,'Annex 2 Designated EHV charges'!$A:$P,12,FALSE)=0,"",VLOOKUP($A10,'Annex 2 Designated EHV charges'!$A:$P,12,FALSE)),"")</f>
        <v>1.1000000000000001</v>
      </c>
    </row>
    <row r="11" spans="1:9" x14ac:dyDescent="0.2">
      <c r="A11" s="97">
        <v>757</v>
      </c>
      <c r="B11" s="79">
        <f>IF($A11="","",VLOOKUP($A11,'Annex 2 Designated EHV charges'!$A:$P,2,0))</f>
        <v>757</v>
      </c>
      <c r="C11" s="98">
        <f>IF($A11="","",VLOOKUP($A11,'Annex 2 Designated EHV charges'!$A:$P,3,0))</f>
        <v>2336566756217</v>
      </c>
      <c r="D11" s="99" t="str">
        <f>IF($A11="","",VLOOKUP($A11,'Annex 2 Designated EHV charges'!$A:$P,7,0))</f>
        <v>EHV Site Specific (LLFC 757 &amp; 95)</v>
      </c>
      <c r="E11" s="100" t="str">
        <f>IFERROR(IF(VLOOKUP($A11,'Annex 2 Designated EHV charges'!$A:$P,9,FALSE)=0,"",VLOOKUP($A11,'Annex 2 Designated EHV charges'!$A:$P,9,FALSE)),"")</f>
        <v/>
      </c>
      <c r="F11" s="101">
        <f>IFERROR(IF(VLOOKUP($A11,'Annex 2 Designated EHV charges'!$A:$P,10,FALSE)=0,"",VLOOKUP($A11,'Annex 2 Designated EHV charges'!$A:$P,10,FALSE)),"")</f>
        <v>2293.86</v>
      </c>
      <c r="G11" s="102">
        <f>IFERROR(IF(VLOOKUP($A11,'Annex 2 Designated EHV charges'!$A:$P,11,FALSE)=0,"",VLOOKUP($A11,'Annex 2 Designated EHV charges'!$A:$P,11,FALSE)),"")</f>
        <v>0.35</v>
      </c>
      <c r="H11" s="102">
        <f>IFERROR(IF(VLOOKUP($A11,'Annex 2 Designated EHV charges'!$A:$P,12,FALSE)=0,"",VLOOKUP($A11,'Annex 2 Designated EHV charges'!$A:$P,12,FALSE)),"")</f>
        <v>0.35</v>
      </c>
    </row>
    <row r="12" spans="1:9" x14ac:dyDescent="0.2">
      <c r="A12" s="97">
        <v>804</v>
      </c>
      <c r="B12" s="79">
        <f>IF($A12="","",VLOOKUP($A12,'Annex 2 Designated EHV charges'!$A:$P,2,0))</f>
        <v>804</v>
      </c>
      <c r="C12" s="98" t="str">
        <f>IF($A12="","",VLOOKUP($A12,'Annex 2 Designated EHV charges'!$A:$P,3,0))</f>
        <v>MSID_0645</v>
      </c>
      <c r="D12" s="99" t="str">
        <f>IF($A12="","",VLOOKUP($A12,'Annex 2 Designated EHV charges'!$A:$P,7,0))</f>
        <v>EHV Site Specific (LLFC 804 &amp; 800)</v>
      </c>
      <c r="E12" s="100">
        <f>IFERROR(IF(VLOOKUP($A12,'Annex 2 Designated EHV charges'!$A:$P,9,FALSE)=0,"",VLOOKUP($A12,'Annex 2 Designated EHV charges'!$A:$P,9,FALSE)),"")</f>
        <v>0.01</v>
      </c>
      <c r="F12" s="101">
        <f>IFERROR(IF(VLOOKUP($A12,'Annex 2 Designated EHV charges'!$A:$P,10,FALSE)=0,"",VLOOKUP($A12,'Annex 2 Designated EHV charges'!$A:$P,10,FALSE)),"")</f>
        <v>119342.94</v>
      </c>
      <c r="G12" s="102">
        <f>IFERROR(IF(VLOOKUP($A12,'Annex 2 Designated EHV charges'!$A:$P,11,FALSE)=0,"",VLOOKUP($A12,'Annex 2 Designated EHV charges'!$A:$P,11,FALSE)),"")</f>
        <v>1.1399999999999999</v>
      </c>
      <c r="H12" s="102">
        <f>IFERROR(IF(VLOOKUP($A12,'Annex 2 Designated EHV charges'!$A:$P,12,FALSE)=0,"",VLOOKUP($A12,'Annex 2 Designated EHV charges'!$A:$P,12,FALSE)),"")</f>
        <v>1.1399999999999999</v>
      </c>
    </row>
    <row r="13" spans="1:9" ht="30" x14ac:dyDescent="0.2">
      <c r="A13" s="97">
        <v>760</v>
      </c>
      <c r="B13" s="79">
        <f>IF($A13="","",VLOOKUP($A13,'Annex 2 Designated EHV charges'!$A:$P,2,0))</f>
        <v>760</v>
      </c>
      <c r="C13" s="98" t="str">
        <f>IF($A13="","",VLOOKUP($A13,'Annex 2 Designated EHV charges'!$A:$P,3,0))</f>
        <v>2300000880966
2376509001013</v>
      </c>
      <c r="D13" s="99" t="str">
        <f>IF($A13="","",VLOOKUP($A13,'Annex 2 Designated EHV charges'!$A:$P,7,0))</f>
        <v>EHV Site Specific (LLFC 760 &amp; 60)</v>
      </c>
      <c r="E13" s="100" t="str">
        <f>IFERROR(IF(VLOOKUP($A13,'Annex 2 Designated EHV charges'!$A:$P,9,FALSE)=0,"",VLOOKUP($A13,'Annex 2 Designated EHV charges'!$A:$P,9,FALSE)),"")</f>
        <v/>
      </c>
      <c r="F13" s="101">
        <f>IFERROR(IF(VLOOKUP($A13,'Annex 2 Designated EHV charges'!$A:$P,10,FALSE)=0,"",VLOOKUP($A13,'Annex 2 Designated EHV charges'!$A:$P,10,FALSE)),"")</f>
        <v>105037.14</v>
      </c>
      <c r="G13" s="102">
        <f>IFERROR(IF(VLOOKUP($A13,'Annex 2 Designated EHV charges'!$A:$P,11,FALSE)=0,"",VLOOKUP($A13,'Annex 2 Designated EHV charges'!$A:$P,11,FALSE)),"")</f>
        <v>0.87</v>
      </c>
      <c r="H13" s="102">
        <f>IFERROR(IF(VLOOKUP($A13,'Annex 2 Designated EHV charges'!$A:$P,12,FALSE)=0,"",VLOOKUP($A13,'Annex 2 Designated EHV charges'!$A:$P,12,FALSE)),"")</f>
        <v>0.87</v>
      </c>
    </row>
    <row r="14" spans="1:9" ht="30" x14ac:dyDescent="0.2">
      <c r="A14" s="97">
        <v>761</v>
      </c>
      <c r="B14" s="79">
        <f>IF($A14="","",VLOOKUP($A14,'Annex 2 Designated EHV charges'!$A:$P,2,0))</f>
        <v>761</v>
      </c>
      <c r="C14" s="98" t="str">
        <f>IF($A14="","",VLOOKUP($A14,'Annex 2 Designated EHV charges'!$A:$P,3,0))</f>
        <v>2300000526686
2336518071011</v>
      </c>
      <c r="D14" s="99" t="str">
        <f>IF($A14="","",VLOOKUP($A14,'Annex 2 Designated EHV charges'!$A:$P,7,0))</f>
        <v>EHV Site Specific (LLFC 761)</v>
      </c>
      <c r="E14" s="100" t="str">
        <f>IFERROR(IF(VLOOKUP($A14,'Annex 2 Designated EHV charges'!$A:$P,9,FALSE)=0,"",VLOOKUP($A14,'Annex 2 Designated EHV charges'!$A:$P,9,FALSE)),"")</f>
        <v/>
      </c>
      <c r="F14" s="101">
        <f>IFERROR(IF(VLOOKUP($A14,'Annex 2 Designated EHV charges'!$A:$P,10,FALSE)=0,"",VLOOKUP($A14,'Annex 2 Designated EHV charges'!$A:$P,10,FALSE)),"")</f>
        <v>36679.86</v>
      </c>
      <c r="G14" s="102">
        <f>IFERROR(IF(VLOOKUP($A14,'Annex 2 Designated EHV charges'!$A:$P,11,FALSE)=0,"",VLOOKUP($A14,'Annex 2 Designated EHV charges'!$A:$P,11,FALSE)),"")</f>
        <v>0.67</v>
      </c>
      <c r="H14" s="102">
        <f>IFERROR(IF(VLOOKUP($A14,'Annex 2 Designated EHV charges'!$A:$P,12,FALSE)=0,"",VLOOKUP($A14,'Annex 2 Designated EHV charges'!$A:$P,12,FALSE)),"")</f>
        <v>0.67</v>
      </c>
    </row>
    <row r="15" spans="1:9" x14ac:dyDescent="0.2">
      <c r="A15" s="97">
        <v>762</v>
      </c>
      <c r="B15" s="79">
        <f>IF($A15="","",VLOOKUP($A15,'Annex 2 Designated EHV charges'!$A:$P,2,0))</f>
        <v>762</v>
      </c>
      <c r="C15" s="98">
        <f>IF($A15="","",VLOOKUP($A15,'Annex 2 Designated EHV charges'!$A:$P,3,0))</f>
        <v>2300000457400</v>
      </c>
      <c r="D15" s="99" t="str">
        <f>IF($A15="","",VLOOKUP($A15,'Annex 2 Designated EHV charges'!$A:$P,7,0))</f>
        <v>EHV Site Specific (LLFC 762 &amp; 62)</v>
      </c>
      <c r="E15" s="100" t="str">
        <f>IFERROR(IF(VLOOKUP($A15,'Annex 2 Designated EHV charges'!$A:$P,9,FALSE)=0,"",VLOOKUP($A15,'Annex 2 Designated EHV charges'!$A:$P,9,FALSE)),"")</f>
        <v/>
      </c>
      <c r="F15" s="101">
        <f>IFERROR(IF(VLOOKUP($A15,'Annex 2 Designated EHV charges'!$A:$P,10,FALSE)=0,"",VLOOKUP($A15,'Annex 2 Designated EHV charges'!$A:$P,10,FALSE)),"")</f>
        <v>40.020000000000003</v>
      </c>
      <c r="G15" s="102">
        <f>IFERROR(IF(VLOOKUP($A15,'Annex 2 Designated EHV charges'!$A:$P,11,FALSE)=0,"",VLOOKUP($A15,'Annex 2 Designated EHV charges'!$A:$P,11,FALSE)),"")</f>
        <v>0.42</v>
      </c>
      <c r="H15" s="102">
        <f>IFERROR(IF(VLOOKUP($A15,'Annex 2 Designated EHV charges'!$A:$P,12,FALSE)=0,"",VLOOKUP($A15,'Annex 2 Designated EHV charges'!$A:$P,12,FALSE)),"")</f>
        <v>0.42</v>
      </c>
    </row>
    <row r="16" spans="1:9" ht="30" x14ac:dyDescent="0.2">
      <c r="A16" s="97">
        <v>763</v>
      </c>
      <c r="B16" s="79">
        <f>IF($A16="","",VLOOKUP($A16,'Annex 2 Designated EHV charges'!$A:$P,2,0))</f>
        <v>763</v>
      </c>
      <c r="C16" s="98" t="str">
        <f>IF($A16="","",VLOOKUP($A16,'Annex 2 Designated EHV charges'!$A:$P,3,0))</f>
        <v>MSID_7376
MSID_7542</v>
      </c>
      <c r="D16" s="99" t="str">
        <f>IF($A16="","",VLOOKUP($A16,'Annex 2 Designated EHV charges'!$A:$P,7,0))</f>
        <v>EHV Site Specific (LLFC 763 &amp; 80)</v>
      </c>
      <c r="E16" s="100">
        <f>IFERROR(IF(VLOOKUP($A16,'Annex 2 Designated EHV charges'!$A:$P,9,FALSE)=0,"",VLOOKUP($A16,'Annex 2 Designated EHV charges'!$A:$P,9,FALSE)),"")</f>
        <v>3.0000000000000001E-3</v>
      </c>
      <c r="F16" s="101">
        <f>IFERROR(IF(VLOOKUP($A16,'Annex 2 Designated EHV charges'!$A:$P,10,FALSE)=0,"",VLOOKUP($A16,'Annex 2 Designated EHV charges'!$A:$P,10,FALSE)),"")</f>
        <v>101.82</v>
      </c>
      <c r="G16" s="102">
        <f>IFERROR(IF(VLOOKUP($A16,'Annex 2 Designated EHV charges'!$A:$P,11,FALSE)=0,"",VLOOKUP($A16,'Annex 2 Designated EHV charges'!$A:$P,11,FALSE)),"")</f>
        <v>0.5</v>
      </c>
      <c r="H16" s="102">
        <f>IFERROR(IF(VLOOKUP($A16,'Annex 2 Designated EHV charges'!$A:$P,12,FALSE)=0,"",VLOOKUP($A16,'Annex 2 Designated EHV charges'!$A:$P,12,FALSE)),"")</f>
        <v>0.5</v>
      </c>
    </row>
    <row r="17" spans="1:8" ht="45" x14ac:dyDescent="0.2">
      <c r="A17" s="97">
        <v>764</v>
      </c>
      <c r="B17" s="79">
        <f>IF($A17="","",VLOOKUP($A17,'Annex 2 Designated EHV charges'!$A:$P,2,0))</f>
        <v>764</v>
      </c>
      <c r="C17" s="98" t="str">
        <f>IF($A17="","",VLOOKUP($A17,'Annex 2 Designated EHV charges'!$A:$P,3,0))</f>
        <v>2300000233959
2300000233968
2300000233977</v>
      </c>
      <c r="D17" s="99" t="str">
        <f>IF($A17="","",VLOOKUP($A17,'Annex 2 Designated EHV charges'!$A:$P,7,0))</f>
        <v>EHV Site Specific (LLFC 764)</v>
      </c>
      <c r="E17" s="100" t="str">
        <f>IFERROR(IF(VLOOKUP($A17,'Annex 2 Designated EHV charges'!$A:$P,9,FALSE)=0,"",VLOOKUP($A17,'Annex 2 Designated EHV charges'!$A:$P,9,FALSE)),"")</f>
        <v/>
      </c>
      <c r="F17" s="101">
        <f>IFERROR(IF(VLOOKUP($A17,'Annex 2 Designated EHV charges'!$A:$P,10,FALSE)=0,"",VLOOKUP($A17,'Annex 2 Designated EHV charges'!$A:$P,10,FALSE)),"")</f>
        <v>107168.57</v>
      </c>
      <c r="G17" s="102">
        <f>IFERROR(IF(VLOOKUP($A17,'Annex 2 Designated EHV charges'!$A:$P,11,FALSE)=0,"",VLOOKUP($A17,'Annex 2 Designated EHV charges'!$A:$P,11,FALSE)),"")</f>
        <v>0.44</v>
      </c>
      <c r="H17" s="102">
        <f>IFERROR(IF(VLOOKUP($A17,'Annex 2 Designated EHV charges'!$A:$P,12,FALSE)=0,"",VLOOKUP($A17,'Annex 2 Designated EHV charges'!$A:$P,12,FALSE)),"")</f>
        <v>0.44</v>
      </c>
    </row>
    <row r="18" spans="1:8" ht="45" x14ac:dyDescent="0.2">
      <c r="A18" s="97">
        <v>765</v>
      </c>
      <c r="B18" s="79">
        <f>IF($A18="","",VLOOKUP($A18,'Annex 2 Designated EHV charges'!$A:$P,2,0))</f>
        <v>765</v>
      </c>
      <c r="C18" s="98" t="str">
        <f>IF($A18="","",VLOOKUP($A18,'Annex 2 Designated EHV charges'!$A:$P,3,0))</f>
        <v>2300000457084
2390000010840
2390000010859</v>
      </c>
      <c r="D18" s="99" t="str">
        <f>IF($A18="","",VLOOKUP($A18,'Annex 2 Designated EHV charges'!$A:$P,7,0))</f>
        <v>EHV Site Specific (LLFC 765)</v>
      </c>
      <c r="E18" s="100">
        <f>IFERROR(IF(VLOOKUP($A18,'Annex 2 Designated EHV charges'!$A:$P,9,FALSE)=0,"",VLOOKUP($A18,'Annex 2 Designated EHV charges'!$A:$P,9,FALSE)),"")</f>
        <v>4.2000000000000003E-2</v>
      </c>
      <c r="F18" s="101">
        <f>IFERROR(IF(VLOOKUP($A18,'Annex 2 Designated EHV charges'!$A:$P,10,FALSE)=0,"",VLOOKUP($A18,'Annex 2 Designated EHV charges'!$A:$P,10,FALSE)),"")</f>
        <v>105486.6</v>
      </c>
      <c r="G18" s="102">
        <f>IFERROR(IF(VLOOKUP($A18,'Annex 2 Designated EHV charges'!$A:$P,11,FALSE)=0,"",VLOOKUP($A18,'Annex 2 Designated EHV charges'!$A:$P,11,FALSE)),"")</f>
        <v>0.86</v>
      </c>
      <c r="H18" s="102">
        <f>IFERROR(IF(VLOOKUP($A18,'Annex 2 Designated EHV charges'!$A:$P,12,FALSE)=0,"",VLOOKUP($A18,'Annex 2 Designated EHV charges'!$A:$P,12,FALSE)),"")</f>
        <v>0.86</v>
      </c>
    </row>
    <row r="19" spans="1:8" ht="30" x14ac:dyDescent="0.2">
      <c r="A19" s="97">
        <v>766</v>
      </c>
      <c r="B19" s="79">
        <f>IF($A19="","",VLOOKUP($A19,'Annex 2 Designated EHV charges'!$A:$P,2,0))</f>
        <v>766</v>
      </c>
      <c r="C19" s="98" t="str">
        <f>IF($A19="","",VLOOKUP($A19,'Annex 2 Designated EHV charges'!$A:$P,3,0))</f>
        <v>2376508030013
2376508030022</v>
      </c>
      <c r="D19" s="99" t="str">
        <f>IF($A19="","",VLOOKUP($A19,'Annex 2 Designated EHV charges'!$A:$P,7,0))</f>
        <v>EHV Site Specific (LLFC 766 &amp; 66)</v>
      </c>
      <c r="E19" s="100" t="str">
        <f>IFERROR(IF(VLOOKUP($A19,'Annex 2 Designated EHV charges'!$A:$P,9,FALSE)=0,"",VLOOKUP($A19,'Annex 2 Designated EHV charges'!$A:$P,9,FALSE)),"")</f>
        <v/>
      </c>
      <c r="F19" s="101">
        <f>IFERROR(IF(VLOOKUP($A19,'Annex 2 Designated EHV charges'!$A:$P,10,FALSE)=0,"",VLOOKUP($A19,'Annex 2 Designated EHV charges'!$A:$P,10,FALSE)),"")</f>
        <v>103377.23</v>
      </c>
      <c r="G19" s="102">
        <f>IFERROR(IF(VLOOKUP($A19,'Annex 2 Designated EHV charges'!$A:$P,11,FALSE)=0,"",VLOOKUP($A19,'Annex 2 Designated EHV charges'!$A:$P,11,FALSE)),"")</f>
        <v>1.59</v>
      </c>
      <c r="H19" s="102">
        <f>IFERROR(IF(VLOOKUP($A19,'Annex 2 Designated EHV charges'!$A:$P,12,FALSE)=0,"",VLOOKUP($A19,'Annex 2 Designated EHV charges'!$A:$P,12,FALSE)),"")</f>
        <v>1.59</v>
      </c>
    </row>
    <row r="20" spans="1:8" ht="30" x14ac:dyDescent="0.2">
      <c r="A20" s="97">
        <v>769</v>
      </c>
      <c r="B20" s="79">
        <f>IF($A20="","",VLOOKUP($A20,'Annex 2 Designated EHV charges'!$A:$P,2,0))</f>
        <v>769</v>
      </c>
      <c r="C20" s="98" t="str">
        <f>IF($A20="","",VLOOKUP($A20,'Annex 2 Designated EHV charges'!$A:$P,3,0))</f>
        <v>2346526241119
2390000139108</v>
      </c>
      <c r="D20" s="99" t="str">
        <f>IF($A20="","",VLOOKUP($A20,'Annex 2 Designated EHV charges'!$A:$P,7,0))</f>
        <v>EHV Site Specific (LLFC 769 &amp; 128)</v>
      </c>
      <c r="E20" s="100" t="str">
        <f>IFERROR(IF(VLOOKUP($A20,'Annex 2 Designated EHV charges'!$A:$P,9,FALSE)=0,"",VLOOKUP($A20,'Annex 2 Designated EHV charges'!$A:$P,9,FALSE)),"")</f>
        <v/>
      </c>
      <c r="F20" s="101">
        <f>IFERROR(IF(VLOOKUP($A20,'Annex 2 Designated EHV charges'!$A:$P,10,FALSE)=0,"",VLOOKUP($A20,'Annex 2 Designated EHV charges'!$A:$P,10,FALSE)),"")</f>
        <v>2194.5300000000002</v>
      </c>
      <c r="G20" s="102">
        <f>IFERROR(IF(VLOOKUP($A20,'Annex 2 Designated EHV charges'!$A:$P,11,FALSE)=0,"",VLOOKUP($A20,'Annex 2 Designated EHV charges'!$A:$P,11,FALSE)),"")</f>
        <v>0.53</v>
      </c>
      <c r="H20" s="102">
        <f>IFERROR(IF(VLOOKUP($A20,'Annex 2 Designated EHV charges'!$A:$P,12,FALSE)=0,"",VLOOKUP($A20,'Annex 2 Designated EHV charges'!$A:$P,12,FALSE)),"")</f>
        <v>0.53</v>
      </c>
    </row>
    <row r="21" spans="1:8" x14ac:dyDescent="0.2">
      <c r="A21" s="97">
        <v>771</v>
      </c>
      <c r="B21" s="79">
        <f>IF($A21="","",VLOOKUP($A21,'Annex 2 Designated EHV charges'!$A:$P,2,0))</f>
        <v>771</v>
      </c>
      <c r="C21" s="98">
        <f>IF($A21="","",VLOOKUP($A21,'Annex 2 Designated EHV charges'!$A:$P,3,0))</f>
        <v>2366591376117</v>
      </c>
      <c r="D21" s="99" t="str">
        <f>IF($A21="","",VLOOKUP($A21,'Annex 2 Designated EHV charges'!$A:$P,7,0))</f>
        <v>EHV Site Specific (LLFC 771 &amp; 92)</v>
      </c>
      <c r="E21" s="100" t="str">
        <f>IFERROR(IF(VLOOKUP($A21,'Annex 2 Designated EHV charges'!$A:$P,9,FALSE)=0,"",VLOOKUP($A21,'Annex 2 Designated EHV charges'!$A:$P,9,FALSE)),"")</f>
        <v/>
      </c>
      <c r="F21" s="101" t="str">
        <f>IFERROR(IF(VLOOKUP($A21,'Annex 2 Designated EHV charges'!$A:$P,10,FALSE)=0,"",VLOOKUP($A21,'Annex 2 Designated EHV charges'!$A:$P,10,FALSE)),"")</f>
        <v/>
      </c>
      <c r="G21" s="102">
        <f>IFERROR(IF(VLOOKUP($A21,'Annex 2 Designated EHV charges'!$A:$P,11,FALSE)=0,"",VLOOKUP($A21,'Annex 2 Designated EHV charges'!$A:$P,11,FALSE)),"")</f>
        <v>0.35</v>
      </c>
      <c r="H21" s="102">
        <f>IFERROR(IF(VLOOKUP($A21,'Annex 2 Designated EHV charges'!$A:$P,12,FALSE)=0,"",VLOOKUP($A21,'Annex 2 Designated EHV charges'!$A:$P,12,FALSE)),"")</f>
        <v>0.35</v>
      </c>
    </row>
    <row r="22" spans="1:8" x14ac:dyDescent="0.2">
      <c r="A22" s="97">
        <v>772</v>
      </c>
      <c r="B22" s="79">
        <f>IF($A22="","",VLOOKUP($A22,'Annex 2 Designated EHV charges'!$A:$P,2,0))</f>
        <v>772</v>
      </c>
      <c r="C22" s="98">
        <f>IF($A22="","",VLOOKUP($A22,'Annex 2 Designated EHV charges'!$A:$P,3,0))</f>
        <v>2366591373116</v>
      </c>
      <c r="D22" s="99" t="str">
        <f>IF($A22="","",VLOOKUP($A22,'Annex 2 Designated EHV charges'!$A:$P,7,0))</f>
        <v>EHV Site Specific (LLFC 772)</v>
      </c>
      <c r="E22" s="100" t="str">
        <f>IFERROR(IF(VLOOKUP($A22,'Annex 2 Designated EHV charges'!$A:$P,9,FALSE)=0,"",VLOOKUP($A22,'Annex 2 Designated EHV charges'!$A:$P,9,FALSE)),"")</f>
        <v/>
      </c>
      <c r="F22" s="101">
        <f>IFERROR(IF(VLOOKUP($A22,'Annex 2 Designated EHV charges'!$A:$P,10,FALSE)=0,"",VLOOKUP($A22,'Annex 2 Designated EHV charges'!$A:$P,10,FALSE)),"")</f>
        <v>2194.5300000000002</v>
      </c>
      <c r="G22" s="102">
        <f>IFERROR(IF(VLOOKUP($A22,'Annex 2 Designated EHV charges'!$A:$P,11,FALSE)=0,"",VLOOKUP($A22,'Annex 2 Designated EHV charges'!$A:$P,11,FALSE)),"")</f>
        <v>1.04</v>
      </c>
      <c r="H22" s="102">
        <f>IFERROR(IF(VLOOKUP($A22,'Annex 2 Designated EHV charges'!$A:$P,12,FALSE)=0,"",VLOOKUP($A22,'Annex 2 Designated EHV charges'!$A:$P,12,FALSE)),"")</f>
        <v>1.04</v>
      </c>
    </row>
    <row r="23" spans="1:8" ht="30" x14ac:dyDescent="0.2">
      <c r="A23" s="97">
        <v>773</v>
      </c>
      <c r="B23" s="79">
        <f>IF($A23="","",VLOOKUP($A23,'Annex 2 Designated EHV charges'!$A:$P,2,0))</f>
        <v>773</v>
      </c>
      <c r="C23" s="98" t="str">
        <f>IF($A23="","",VLOOKUP($A23,'Annex 2 Designated EHV charges'!$A:$P,3,0))</f>
        <v>2366591486111
2380002104680</v>
      </c>
      <c r="D23" s="99" t="str">
        <f>IF($A23="","",VLOOKUP($A23,'Annex 2 Designated EHV charges'!$A:$P,7,0))</f>
        <v>EHV Site Specific (LLFC 773 &amp; 65)</v>
      </c>
      <c r="E23" s="100" t="str">
        <f>IFERROR(IF(VLOOKUP($A23,'Annex 2 Designated EHV charges'!$A:$P,9,FALSE)=0,"",VLOOKUP($A23,'Annex 2 Designated EHV charges'!$A:$P,9,FALSE)),"")</f>
        <v/>
      </c>
      <c r="F23" s="101">
        <f>IFERROR(IF(VLOOKUP($A23,'Annex 2 Designated EHV charges'!$A:$P,10,FALSE)=0,"",VLOOKUP($A23,'Annex 2 Designated EHV charges'!$A:$P,10,FALSE)),"")</f>
        <v>2194.5300000000002</v>
      </c>
      <c r="G23" s="102">
        <f>IFERROR(IF(VLOOKUP($A23,'Annex 2 Designated EHV charges'!$A:$P,11,FALSE)=0,"",VLOOKUP($A23,'Annex 2 Designated EHV charges'!$A:$P,11,FALSE)),"")</f>
        <v>0.91</v>
      </c>
      <c r="H23" s="102">
        <f>IFERROR(IF(VLOOKUP($A23,'Annex 2 Designated EHV charges'!$A:$P,12,FALSE)=0,"",VLOOKUP($A23,'Annex 2 Designated EHV charges'!$A:$P,12,FALSE)),"")</f>
        <v>0.91</v>
      </c>
    </row>
    <row r="24" spans="1:8" ht="30" x14ac:dyDescent="0.2">
      <c r="A24" s="97">
        <v>774</v>
      </c>
      <c r="B24" s="79">
        <f>IF($A24="","",VLOOKUP($A24,'Annex 2 Designated EHV charges'!$A:$P,2,0))</f>
        <v>774</v>
      </c>
      <c r="C24" s="98" t="str">
        <f>IF($A24="","",VLOOKUP($A24,'Annex 2 Designated EHV charges'!$A:$P,3,0))</f>
        <v>2326522910011
2326522910020</v>
      </c>
      <c r="D24" s="99" t="str">
        <f>IF($A24="","",VLOOKUP($A24,'Annex 2 Designated EHV charges'!$A:$P,7,0))</f>
        <v>EHV Site Specific (LLFC 774 &amp; 74)</v>
      </c>
      <c r="E24" s="100">
        <f>IFERROR(IF(VLOOKUP($A24,'Annex 2 Designated EHV charges'!$A:$P,9,FALSE)=0,"",VLOOKUP($A24,'Annex 2 Designated EHV charges'!$A:$P,9,FALSE)),"")</f>
        <v>0.32200000000000001</v>
      </c>
      <c r="F24" s="101">
        <f>IFERROR(IF(VLOOKUP($A24,'Annex 2 Designated EHV charges'!$A:$P,10,FALSE)=0,"",VLOOKUP($A24,'Annex 2 Designated EHV charges'!$A:$P,10,FALSE)),"")</f>
        <v>36408.15</v>
      </c>
      <c r="G24" s="102">
        <f>IFERROR(IF(VLOOKUP($A24,'Annex 2 Designated EHV charges'!$A:$P,11,FALSE)=0,"",VLOOKUP($A24,'Annex 2 Designated EHV charges'!$A:$P,11,FALSE)),"")</f>
        <v>0.37</v>
      </c>
      <c r="H24" s="102">
        <f>IFERROR(IF(VLOOKUP($A24,'Annex 2 Designated EHV charges'!$A:$P,12,FALSE)=0,"",VLOOKUP($A24,'Annex 2 Designated EHV charges'!$A:$P,12,FALSE)),"")</f>
        <v>0.37</v>
      </c>
    </row>
    <row r="25" spans="1:8" x14ac:dyDescent="0.2">
      <c r="A25" s="97">
        <v>775</v>
      </c>
      <c r="B25" s="79">
        <f>IF($A25="","",VLOOKUP($A25,'Annex 2 Designated EHV charges'!$A:$P,2,0))</f>
        <v>775</v>
      </c>
      <c r="C25" s="98">
        <f>IF($A25="","",VLOOKUP($A25,'Annex 2 Designated EHV charges'!$A:$P,3,0))</f>
        <v>2380000531989</v>
      </c>
      <c r="D25" s="99" t="str">
        <f>IF($A25="","",VLOOKUP($A25,'Annex 2 Designated EHV charges'!$A:$P,7,0))</f>
        <v>EHV Site Specific (LLFC 775 &amp; 87)</v>
      </c>
      <c r="E25" s="100">
        <f>IFERROR(IF(VLOOKUP($A25,'Annex 2 Designated EHV charges'!$A:$P,9,FALSE)=0,"",VLOOKUP($A25,'Annex 2 Designated EHV charges'!$A:$P,9,FALSE)),"")</f>
        <v>5.1999999999999998E-2</v>
      </c>
      <c r="F25" s="101">
        <f>IFERROR(IF(VLOOKUP($A25,'Annex 2 Designated EHV charges'!$A:$P,10,FALSE)=0,"",VLOOKUP($A25,'Annex 2 Designated EHV charges'!$A:$P,10,FALSE)),"")</f>
        <v>281.82</v>
      </c>
      <c r="G25" s="102">
        <f>IFERROR(IF(VLOOKUP($A25,'Annex 2 Designated EHV charges'!$A:$P,11,FALSE)=0,"",VLOOKUP($A25,'Annex 2 Designated EHV charges'!$A:$P,11,FALSE)),"")</f>
        <v>0.49</v>
      </c>
      <c r="H25" s="102">
        <f>IFERROR(IF(VLOOKUP($A25,'Annex 2 Designated EHV charges'!$A:$P,12,FALSE)=0,"",VLOOKUP($A25,'Annex 2 Designated EHV charges'!$A:$P,12,FALSE)),"")</f>
        <v>0.49</v>
      </c>
    </row>
    <row r="26" spans="1:8" x14ac:dyDescent="0.2">
      <c r="A26" s="97">
        <v>777</v>
      </c>
      <c r="B26" s="79">
        <f>IF($A26="","",VLOOKUP($A26,'Annex 2 Designated EHV charges'!$A:$P,2,0))</f>
        <v>777</v>
      </c>
      <c r="C26" s="98" t="str">
        <f>IF($A26="","",VLOOKUP($A26,'Annex 2 Designated EHV charges'!$A:$P,3,0))</f>
        <v>MSID_7430</v>
      </c>
      <c r="D26" s="99" t="str">
        <f>IF($A26="","",VLOOKUP($A26,'Annex 2 Designated EHV charges'!$A:$P,7,0))</f>
        <v>EHV Site Specific (LLFC 777 &amp; 77)</v>
      </c>
      <c r="E26" s="100">
        <f>IFERROR(IF(VLOOKUP($A26,'Annex 2 Designated EHV charges'!$A:$P,9,FALSE)=0,"",VLOOKUP($A26,'Annex 2 Designated EHV charges'!$A:$P,9,FALSE)),"")</f>
        <v>6.7000000000000004E-2</v>
      </c>
      <c r="F26" s="101">
        <f>IFERROR(IF(VLOOKUP($A26,'Annex 2 Designated EHV charges'!$A:$P,10,FALSE)=0,"",VLOOKUP($A26,'Annex 2 Designated EHV charges'!$A:$P,10,FALSE)),"")</f>
        <v>6.15</v>
      </c>
      <c r="G26" s="102">
        <f>IFERROR(IF(VLOOKUP($A26,'Annex 2 Designated EHV charges'!$A:$P,11,FALSE)=0,"",VLOOKUP($A26,'Annex 2 Designated EHV charges'!$A:$P,11,FALSE)),"")</f>
        <v>0.55000000000000004</v>
      </c>
      <c r="H26" s="102">
        <f>IFERROR(IF(VLOOKUP($A26,'Annex 2 Designated EHV charges'!$A:$P,12,FALSE)=0,"",VLOOKUP($A26,'Annex 2 Designated EHV charges'!$A:$P,12,FALSE)),"")</f>
        <v>0.55000000000000004</v>
      </c>
    </row>
    <row r="27" spans="1:8" x14ac:dyDescent="0.2">
      <c r="A27" s="97">
        <v>778</v>
      </c>
      <c r="B27" s="79">
        <f>IF($A27="","",VLOOKUP($A27,'Annex 2 Designated EHV charges'!$A:$P,2,0))</f>
        <v>778</v>
      </c>
      <c r="C27" s="98">
        <f>IF($A27="","",VLOOKUP($A27,'Annex 2 Designated EHV charges'!$A:$P,3,0))</f>
        <v>2300000443816</v>
      </c>
      <c r="D27" s="99" t="str">
        <f>IF($A27="","",VLOOKUP($A27,'Annex 2 Designated EHV charges'!$A:$P,7,0))</f>
        <v>EHV Site Specific (LLFC 778 &amp; 78)</v>
      </c>
      <c r="E27" s="100" t="str">
        <f>IFERROR(IF(VLOOKUP($A27,'Annex 2 Designated EHV charges'!$A:$P,9,FALSE)=0,"",VLOOKUP($A27,'Annex 2 Designated EHV charges'!$A:$P,9,FALSE)),"")</f>
        <v/>
      </c>
      <c r="F27" s="101">
        <f>IFERROR(IF(VLOOKUP($A27,'Annex 2 Designated EHV charges'!$A:$P,10,FALSE)=0,"",VLOOKUP($A27,'Annex 2 Designated EHV charges'!$A:$P,10,FALSE)),"")</f>
        <v>12.87</v>
      </c>
      <c r="G27" s="102">
        <f>IFERROR(IF(VLOOKUP($A27,'Annex 2 Designated EHV charges'!$A:$P,11,FALSE)=0,"",VLOOKUP($A27,'Annex 2 Designated EHV charges'!$A:$P,11,FALSE)),"")</f>
        <v>1.55</v>
      </c>
      <c r="H27" s="102">
        <f>IFERROR(IF(VLOOKUP($A27,'Annex 2 Designated EHV charges'!$A:$P,12,FALSE)=0,"",VLOOKUP($A27,'Annex 2 Designated EHV charges'!$A:$P,12,FALSE)),"")</f>
        <v>1.55</v>
      </c>
    </row>
    <row r="28" spans="1:8" x14ac:dyDescent="0.2">
      <c r="A28" s="97">
        <v>780</v>
      </c>
      <c r="B28" s="79">
        <f>IF($A28="","",VLOOKUP($A28,'Annex 2 Designated EHV charges'!$A:$P,2,0))</f>
        <v>780</v>
      </c>
      <c r="C28" s="98">
        <f>IF($A28="","",VLOOKUP($A28,'Annex 2 Designated EHV charges'!$A:$P,3,0))</f>
        <v>2380000825051</v>
      </c>
      <c r="D28" s="99" t="str">
        <f>IF($A28="","",VLOOKUP($A28,'Annex 2 Designated EHV charges'!$A:$P,7,0))</f>
        <v>EHV Site Specific (LLFC 780)</v>
      </c>
      <c r="E28" s="100" t="str">
        <f>IFERROR(IF(VLOOKUP($A28,'Annex 2 Designated EHV charges'!$A:$P,9,FALSE)=0,"",VLOOKUP($A28,'Annex 2 Designated EHV charges'!$A:$P,9,FALSE)),"")</f>
        <v/>
      </c>
      <c r="F28" s="101">
        <f>IFERROR(IF(VLOOKUP($A28,'Annex 2 Designated EHV charges'!$A:$P,10,FALSE)=0,"",VLOOKUP($A28,'Annex 2 Designated EHV charges'!$A:$P,10,FALSE)),"")</f>
        <v>104316.26</v>
      </c>
      <c r="G28" s="102">
        <f>IFERROR(IF(VLOOKUP($A28,'Annex 2 Designated EHV charges'!$A:$P,11,FALSE)=0,"",VLOOKUP($A28,'Annex 2 Designated EHV charges'!$A:$P,11,FALSE)),"")</f>
        <v>0.43</v>
      </c>
      <c r="H28" s="102">
        <f>IFERROR(IF(VLOOKUP($A28,'Annex 2 Designated EHV charges'!$A:$P,12,FALSE)=0,"",VLOOKUP($A28,'Annex 2 Designated EHV charges'!$A:$P,12,FALSE)),"")</f>
        <v>0.43</v>
      </c>
    </row>
    <row r="29" spans="1:8" ht="30" x14ac:dyDescent="0.2">
      <c r="A29" s="97">
        <v>782</v>
      </c>
      <c r="B29" s="79">
        <f>IF($A29="","",VLOOKUP($A29,'Annex 2 Designated EHV charges'!$A:$P,2,0))</f>
        <v>782</v>
      </c>
      <c r="C29" s="98" t="str">
        <f>IF($A29="","",VLOOKUP($A29,'Annex 2 Designated EHV charges'!$A:$P,3,0))</f>
        <v>2300001016288
2300001016297</v>
      </c>
      <c r="D29" s="99" t="str">
        <f>IF($A29="","",VLOOKUP($A29,'Annex 2 Designated EHV charges'!$A:$P,7,0))</f>
        <v>EHV Site Specific (LLFC 782)</v>
      </c>
      <c r="E29" s="100">
        <f>IFERROR(IF(VLOOKUP($A29,'Annex 2 Designated EHV charges'!$A:$P,9,FALSE)=0,"",VLOOKUP($A29,'Annex 2 Designated EHV charges'!$A:$P,9,FALSE)),"")</f>
        <v>0.77700000000000002</v>
      </c>
      <c r="F29" s="101">
        <f>IFERROR(IF(VLOOKUP($A29,'Annex 2 Designated EHV charges'!$A:$P,10,FALSE)=0,"",VLOOKUP($A29,'Annex 2 Designated EHV charges'!$A:$P,10,FALSE)),"")</f>
        <v>13539.29</v>
      </c>
      <c r="G29" s="102">
        <f>IFERROR(IF(VLOOKUP($A29,'Annex 2 Designated EHV charges'!$A:$P,11,FALSE)=0,"",VLOOKUP($A29,'Annex 2 Designated EHV charges'!$A:$P,11,FALSE)),"")</f>
        <v>0.53</v>
      </c>
      <c r="H29" s="102">
        <f>IFERROR(IF(VLOOKUP($A29,'Annex 2 Designated EHV charges'!$A:$P,12,FALSE)=0,"",VLOOKUP($A29,'Annex 2 Designated EHV charges'!$A:$P,12,FALSE)),"")</f>
        <v>0.53</v>
      </c>
    </row>
    <row r="30" spans="1:8" x14ac:dyDescent="0.2">
      <c r="A30" s="97">
        <v>783</v>
      </c>
      <c r="B30" s="79">
        <f>IF($A30="","",VLOOKUP($A30,'Annex 2 Designated EHV charges'!$A:$P,2,0))</f>
        <v>783</v>
      </c>
      <c r="C30" s="98">
        <f>IF($A30="","",VLOOKUP($A30,'Annex 2 Designated EHV charges'!$A:$P,3,0))</f>
        <v>2300000974268</v>
      </c>
      <c r="D30" s="99" t="str">
        <f>IF($A30="","",VLOOKUP($A30,'Annex 2 Designated EHV charges'!$A:$P,7,0))</f>
        <v>EHV Site Specific (LLFC 783 &amp; 83)</v>
      </c>
      <c r="E30" s="100">
        <f>IFERROR(IF(VLOOKUP($A30,'Annex 2 Designated EHV charges'!$A:$P,9,FALSE)=0,"",VLOOKUP($A30,'Annex 2 Designated EHV charges'!$A:$P,9,FALSE)),"")</f>
        <v>1.0999999999999999E-2</v>
      </c>
      <c r="F30" s="101">
        <f>IFERROR(IF(VLOOKUP($A30,'Annex 2 Designated EHV charges'!$A:$P,10,FALSE)=0,"",VLOOKUP($A30,'Annex 2 Designated EHV charges'!$A:$P,10,FALSE)),"")</f>
        <v>4.92</v>
      </c>
      <c r="G30" s="102">
        <f>IFERROR(IF(VLOOKUP($A30,'Annex 2 Designated EHV charges'!$A:$P,11,FALSE)=0,"",VLOOKUP($A30,'Annex 2 Designated EHV charges'!$A:$P,11,FALSE)),"")</f>
        <v>0.6</v>
      </c>
      <c r="H30" s="102">
        <f>IFERROR(IF(VLOOKUP($A30,'Annex 2 Designated EHV charges'!$A:$P,12,FALSE)=0,"",VLOOKUP($A30,'Annex 2 Designated EHV charges'!$A:$P,12,FALSE)),"")</f>
        <v>0.6</v>
      </c>
    </row>
    <row r="31" spans="1:8" x14ac:dyDescent="0.2">
      <c r="A31" s="97">
        <v>784</v>
      </c>
      <c r="B31" s="79">
        <f>IF($A31="","",VLOOKUP($A31,'Annex 2 Designated EHV charges'!$A:$P,2,0))</f>
        <v>784</v>
      </c>
      <c r="C31" s="98">
        <f>IF($A31="","",VLOOKUP($A31,'Annex 2 Designated EHV charges'!$A:$P,3,0))</f>
        <v>2300001007247</v>
      </c>
      <c r="D31" s="99" t="str">
        <f>IF($A31="","",VLOOKUP($A31,'Annex 2 Designated EHV charges'!$A:$P,7,0))</f>
        <v>EHV Site Specific (LLFC 784 &amp; 84)</v>
      </c>
      <c r="E31" s="100">
        <f>IFERROR(IF(VLOOKUP($A31,'Annex 2 Designated EHV charges'!$A:$P,9,FALSE)=0,"",VLOOKUP($A31,'Annex 2 Designated EHV charges'!$A:$P,9,FALSE)),"")</f>
        <v>1.2E-2</v>
      </c>
      <c r="F31" s="101">
        <f>IFERROR(IF(VLOOKUP($A31,'Annex 2 Designated EHV charges'!$A:$P,10,FALSE)=0,"",VLOOKUP($A31,'Annex 2 Designated EHV charges'!$A:$P,10,FALSE)),"")</f>
        <v>0.61</v>
      </c>
      <c r="G31" s="102">
        <f>IFERROR(IF(VLOOKUP($A31,'Annex 2 Designated EHV charges'!$A:$P,11,FALSE)=0,"",VLOOKUP($A31,'Annex 2 Designated EHV charges'!$A:$P,11,FALSE)),"")</f>
        <v>0.69</v>
      </c>
      <c r="H31" s="102">
        <f>IFERROR(IF(VLOOKUP($A31,'Annex 2 Designated EHV charges'!$A:$P,12,FALSE)=0,"",VLOOKUP($A31,'Annex 2 Designated EHV charges'!$A:$P,12,FALSE)),"")</f>
        <v>0.69</v>
      </c>
    </row>
    <row r="32" spans="1:8" x14ac:dyDescent="0.2">
      <c r="A32" s="97">
        <v>785</v>
      </c>
      <c r="B32" s="79">
        <f>IF($A32="","",VLOOKUP($A32,'Annex 2 Designated EHV charges'!$A:$P,2,0))</f>
        <v>785</v>
      </c>
      <c r="C32" s="98">
        <f>IF($A32="","",VLOOKUP($A32,'Annex 2 Designated EHV charges'!$A:$P,3,0))</f>
        <v>2380000151720</v>
      </c>
      <c r="D32" s="99" t="str">
        <f>IF($A32="","",VLOOKUP($A32,'Annex 2 Designated EHV charges'!$A:$P,7,0))</f>
        <v>EHV Site Specific (LLFC 785 &amp; 85)</v>
      </c>
      <c r="E32" s="100">
        <f>IFERROR(IF(VLOOKUP($A32,'Annex 2 Designated EHV charges'!$A:$P,9,FALSE)=0,"",VLOOKUP($A32,'Annex 2 Designated EHV charges'!$A:$P,9,FALSE)),"")</f>
        <v>4.5999999999999999E-2</v>
      </c>
      <c r="F32" s="101">
        <f>IFERROR(IF(VLOOKUP($A32,'Annex 2 Designated EHV charges'!$A:$P,10,FALSE)=0,"",VLOOKUP($A32,'Annex 2 Designated EHV charges'!$A:$P,10,FALSE)),"")</f>
        <v>1.72</v>
      </c>
      <c r="G32" s="102">
        <f>IFERROR(IF(VLOOKUP($A32,'Annex 2 Designated EHV charges'!$A:$P,11,FALSE)=0,"",VLOOKUP($A32,'Annex 2 Designated EHV charges'!$A:$P,11,FALSE)),"")</f>
        <v>0.45</v>
      </c>
      <c r="H32" s="102">
        <f>IFERROR(IF(VLOOKUP($A32,'Annex 2 Designated EHV charges'!$A:$P,12,FALSE)=0,"",VLOOKUP($A32,'Annex 2 Designated EHV charges'!$A:$P,12,FALSE)),"")</f>
        <v>0.45</v>
      </c>
    </row>
    <row r="33" spans="1:8" x14ac:dyDescent="0.2">
      <c r="A33" s="97">
        <v>786</v>
      </c>
      <c r="B33" s="79">
        <f>IF($A33="","",VLOOKUP($A33,'Annex 2 Designated EHV charges'!$A:$P,2,0))</f>
        <v>786</v>
      </c>
      <c r="C33" s="98">
        <f>IF($A33="","",VLOOKUP($A33,'Annex 2 Designated EHV charges'!$A:$P,3,0))</f>
        <v>2380000148115</v>
      </c>
      <c r="D33" s="99" t="str">
        <f>IF($A33="","",VLOOKUP($A33,'Annex 2 Designated EHV charges'!$A:$P,7,0))</f>
        <v>EHV Site Specific (LLFC 786 &amp; 86)</v>
      </c>
      <c r="E33" s="100" t="str">
        <f>IFERROR(IF(VLOOKUP($A33,'Annex 2 Designated EHV charges'!$A:$P,9,FALSE)=0,"",VLOOKUP($A33,'Annex 2 Designated EHV charges'!$A:$P,9,FALSE)),"")</f>
        <v/>
      </c>
      <c r="F33" s="101">
        <f>IFERROR(IF(VLOOKUP($A33,'Annex 2 Designated EHV charges'!$A:$P,10,FALSE)=0,"",VLOOKUP($A33,'Annex 2 Designated EHV charges'!$A:$P,10,FALSE)),"")</f>
        <v>1.1599999999999999</v>
      </c>
      <c r="G33" s="102">
        <f>IFERROR(IF(VLOOKUP($A33,'Annex 2 Designated EHV charges'!$A:$P,11,FALSE)=0,"",VLOOKUP($A33,'Annex 2 Designated EHV charges'!$A:$P,11,FALSE)),"")</f>
        <v>0.37</v>
      </c>
      <c r="H33" s="102">
        <f>IFERROR(IF(VLOOKUP($A33,'Annex 2 Designated EHV charges'!$A:$P,12,FALSE)=0,"",VLOOKUP($A33,'Annex 2 Designated EHV charges'!$A:$P,12,FALSE)),"")</f>
        <v>0.37</v>
      </c>
    </row>
    <row r="34" spans="1:8" ht="30" x14ac:dyDescent="0.2">
      <c r="A34" s="97">
        <v>787</v>
      </c>
      <c r="B34" s="79">
        <f>IF($A34="","",VLOOKUP($A34,'Annex 2 Designated EHV charges'!$A:$P,2,0))</f>
        <v>787</v>
      </c>
      <c r="C34" s="98" t="str">
        <f>IF($A34="","",VLOOKUP($A34,'Annex 2 Designated EHV charges'!$A:$P,3,0))</f>
        <v>2380000123421
2380000123430</v>
      </c>
      <c r="D34" s="99" t="str">
        <f>IF($A34="","",VLOOKUP($A34,'Annex 2 Designated EHV charges'!$A:$P,7,0))</f>
        <v>EHV Site Specific (LLFC 787 &amp; 129)</v>
      </c>
      <c r="E34" s="100" t="str">
        <f>IFERROR(IF(VLOOKUP($A34,'Annex 2 Designated EHV charges'!$A:$P,9,FALSE)=0,"",VLOOKUP($A34,'Annex 2 Designated EHV charges'!$A:$P,9,FALSE)),"")</f>
        <v/>
      </c>
      <c r="F34" s="101">
        <f>IFERROR(IF(VLOOKUP($A34,'Annex 2 Designated EHV charges'!$A:$P,10,FALSE)=0,"",VLOOKUP($A34,'Annex 2 Designated EHV charges'!$A:$P,10,FALSE)),"")</f>
        <v>37260.870000000003</v>
      </c>
      <c r="G34" s="102">
        <f>IFERROR(IF(VLOOKUP($A34,'Annex 2 Designated EHV charges'!$A:$P,11,FALSE)=0,"",VLOOKUP($A34,'Annex 2 Designated EHV charges'!$A:$P,11,FALSE)),"")</f>
        <v>1.18</v>
      </c>
      <c r="H34" s="102">
        <f>IFERROR(IF(VLOOKUP($A34,'Annex 2 Designated EHV charges'!$A:$P,12,FALSE)=0,"",VLOOKUP($A34,'Annex 2 Designated EHV charges'!$A:$P,12,FALSE)),"")</f>
        <v>1.18</v>
      </c>
    </row>
    <row r="35" spans="1:8" x14ac:dyDescent="0.2">
      <c r="A35" s="97">
        <v>788</v>
      </c>
      <c r="B35" s="79">
        <f>IF($A35="","",VLOOKUP($A35,'Annex 2 Designated EHV charges'!$A:$P,2,0))</f>
        <v>788</v>
      </c>
      <c r="C35" s="98">
        <f>IF($A35="","",VLOOKUP($A35,'Annex 2 Designated EHV charges'!$A:$P,3,0))</f>
        <v>2380000654644</v>
      </c>
      <c r="D35" s="99" t="str">
        <f>IF($A35="","",VLOOKUP($A35,'Annex 2 Designated EHV charges'!$A:$P,7,0))</f>
        <v>EHV Site Specific (LLFC 788 &amp; 88)</v>
      </c>
      <c r="E35" s="100">
        <f>IFERROR(IF(VLOOKUP($A35,'Annex 2 Designated EHV charges'!$A:$P,9,FALSE)=0,"",VLOOKUP($A35,'Annex 2 Designated EHV charges'!$A:$P,9,FALSE)),"")</f>
        <v>2E-3</v>
      </c>
      <c r="F35" s="101">
        <f>IFERROR(IF(VLOOKUP($A35,'Annex 2 Designated EHV charges'!$A:$P,10,FALSE)=0,"",VLOOKUP($A35,'Annex 2 Designated EHV charges'!$A:$P,10,FALSE)),"")</f>
        <v>32.049999999999997</v>
      </c>
      <c r="G35" s="102">
        <f>IFERROR(IF(VLOOKUP($A35,'Annex 2 Designated EHV charges'!$A:$P,11,FALSE)=0,"",VLOOKUP($A35,'Annex 2 Designated EHV charges'!$A:$P,11,FALSE)),"")</f>
        <v>0.76</v>
      </c>
      <c r="H35" s="102">
        <f>IFERROR(IF(VLOOKUP($A35,'Annex 2 Designated EHV charges'!$A:$P,12,FALSE)=0,"",VLOOKUP($A35,'Annex 2 Designated EHV charges'!$A:$P,12,FALSE)),"")</f>
        <v>0.76</v>
      </c>
    </row>
    <row r="36" spans="1:8" x14ac:dyDescent="0.2">
      <c r="A36" s="97">
        <v>789</v>
      </c>
      <c r="B36" s="79">
        <f>IF($A36="","",VLOOKUP($A36,'Annex 2 Designated EHV charges'!$A:$P,2,0))</f>
        <v>789</v>
      </c>
      <c r="C36" s="98">
        <f>IF($A36="","",VLOOKUP($A36,'Annex 2 Designated EHV charges'!$A:$P,3,0))</f>
        <v>2380001118812</v>
      </c>
      <c r="D36" s="99" t="str">
        <f>IF($A36="","",VLOOKUP($A36,'Annex 2 Designated EHV charges'!$A:$P,7,0))</f>
        <v>EHV Site Specific (LLFC 789 &amp; 89)</v>
      </c>
      <c r="E36" s="100">
        <f>IFERROR(IF(VLOOKUP($A36,'Annex 2 Designated EHV charges'!$A:$P,9,FALSE)=0,"",VLOOKUP($A36,'Annex 2 Designated EHV charges'!$A:$P,9,FALSE)),"")</f>
        <v>1E-3</v>
      </c>
      <c r="F36" s="101">
        <f>IFERROR(IF(VLOOKUP($A36,'Annex 2 Designated EHV charges'!$A:$P,10,FALSE)=0,"",VLOOKUP($A36,'Annex 2 Designated EHV charges'!$A:$P,10,FALSE)),"")</f>
        <v>20.57</v>
      </c>
      <c r="G36" s="102">
        <f>IFERROR(IF(VLOOKUP($A36,'Annex 2 Designated EHV charges'!$A:$P,11,FALSE)=0,"",VLOOKUP($A36,'Annex 2 Designated EHV charges'!$A:$P,11,FALSE)),"")</f>
        <v>0.94</v>
      </c>
      <c r="H36" s="102">
        <f>IFERROR(IF(VLOOKUP($A36,'Annex 2 Designated EHV charges'!$A:$P,12,FALSE)=0,"",VLOOKUP($A36,'Annex 2 Designated EHV charges'!$A:$P,12,FALSE)),"")</f>
        <v>0.94</v>
      </c>
    </row>
    <row r="37" spans="1:8" x14ac:dyDescent="0.2">
      <c r="A37" s="97">
        <v>790</v>
      </c>
      <c r="B37" s="79">
        <f>IF($A37="","",VLOOKUP($A37,'Annex 2 Designated EHV charges'!$A:$P,2,0))</f>
        <v>790</v>
      </c>
      <c r="C37" s="98">
        <f>IF($A37="","",VLOOKUP($A37,'Annex 2 Designated EHV charges'!$A:$P,3,0))</f>
        <v>2380001476585</v>
      </c>
      <c r="D37" s="99" t="str">
        <f>IF($A37="","",VLOOKUP($A37,'Annex 2 Designated EHV charges'!$A:$P,7,0))</f>
        <v>EHV Site Specific (LLFC 790 &amp; 94)</v>
      </c>
      <c r="E37" s="100">
        <f>IFERROR(IF(VLOOKUP($A37,'Annex 2 Designated EHV charges'!$A:$P,9,FALSE)=0,"",VLOOKUP($A37,'Annex 2 Designated EHV charges'!$A:$P,9,FALSE)),"")</f>
        <v>1E-3</v>
      </c>
      <c r="F37" s="101">
        <f>IFERROR(IF(VLOOKUP($A37,'Annex 2 Designated EHV charges'!$A:$P,10,FALSE)=0,"",VLOOKUP($A37,'Annex 2 Designated EHV charges'!$A:$P,10,FALSE)),"")</f>
        <v>23.77</v>
      </c>
      <c r="G37" s="102">
        <f>IFERROR(IF(VLOOKUP($A37,'Annex 2 Designated EHV charges'!$A:$P,11,FALSE)=0,"",VLOOKUP($A37,'Annex 2 Designated EHV charges'!$A:$P,11,FALSE)),"")</f>
        <v>0.4</v>
      </c>
      <c r="H37" s="102">
        <f>IFERROR(IF(VLOOKUP($A37,'Annex 2 Designated EHV charges'!$A:$P,12,FALSE)=0,"",VLOOKUP($A37,'Annex 2 Designated EHV charges'!$A:$P,12,FALSE)),"")</f>
        <v>0.4</v>
      </c>
    </row>
    <row r="38" spans="1:8" x14ac:dyDescent="0.2">
      <c r="A38" s="97">
        <v>791</v>
      </c>
      <c r="B38" s="79">
        <f>IF($A38="","",VLOOKUP($A38,'Annex 2 Designated EHV charges'!$A:$P,2,0))</f>
        <v>791</v>
      </c>
      <c r="C38" s="98">
        <f>IF($A38="","",VLOOKUP($A38,'Annex 2 Designated EHV charges'!$A:$P,3,0))</f>
        <v>2380001494334</v>
      </c>
      <c r="D38" s="99" t="str">
        <f>IF($A38="","",VLOOKUP($A38,'Annex 2 Designated EHV charges'!$A:$P,7,0))</f>
        <v>EHV Site Specific (LLFC 791 &amp; 93)</v>
      </c>
      <c r="E38" s="100">
        <f>IFERROR(IF(VLOOKUP($A38,'Annex 2 Designated EHV charges'!$A:$P,9,FALSE)=0,"",VLOOKUP($A38,'Annex 2 Designated EHV charges'!$A:$P,9,FALSE)),"")</f>
        <v>1.4E-2</v>
      </c>
      <c r="F38" s="101">
        <f>IFERROR(IF(VLOOKUP($A38,'Annex 2 Designated EHV charges'!$A:$P,10,FALSE)=0,"",VLOOKUP($A38,'Annex 2 Designated EHV charges'!$A:$P,10,FALSE)),"")</f>
        <v>2198.12</v>
      </c>
      <c r="G38" s="102">
        <f>IFERROR(IF(VLOOKUP($A38,'Annex 2 Designated EHV charges'!$A:$P,11,FALSE)=0,"",VLOOKUP($A38,'Annex 2 Designated EHV charges'!$A:$P,11,FALSE)),"")</f>
        <v>0.43</v>
      </c>
      <c r="H38" s="102">
        <f>IFERROR(IF(VLOOKUP($A38,'Annex 2 Designated EHV charges'!$A:$P,12,FALSE)=0,"",VLOOKUP($A38,'Annex 2 Designated EHV charges'!$A:$P,12,FALSE)),"")</f>
        <v>0.43</v>
      </c>
    </row>
    <row r="39" spans="1:8" ht="45" x14ac:dyDescent="0.2">
      <c r="A39" s="97">
        <v>793</v>
      </c>
      <c r="B39" s="79">
        <f>IF($A39="","",VLOOKUP($A39,'Annex 2 Designated EHV charges'!$A:$P,2,0))</f>
        <v>793</v>
      </c>
      <c r="C39" s="98" t="str">
        <f>IF($A39="","",VLOOKUP($A39,'Annex 2 Designated EHV charges'!$A:$P,3,0))</f>
        <v>2380001252829
2380001252838
2380001767827</v>
      </c>
      <c r="D39" s="99" t="str">
        <f>IF($A39="","",VLOOKUP($A39,'Annex 2 Designated EHV charges'!$A:$P,7,0))</f>
        <v>EHV Site Specific (LLFC 793 &amp; 91)</v>
      </c>
      <c r="E39" s="100">
        <f>IFERROR(IF(VLOOKUP($A39,'Annex 2 Designated EHV charges'!$A:$P,9,FALSE)=0,"",VLOOKUP($A39,'Annex 2 Designated EHV charges'!$A:$P,9,FALSE)),"")</f>
        <v>9.4E-2</v>
      </c>
      <c r="F39" s="101">
        <f>IFERROR(IF(VLOOKUP($A39,'Annex 2 Designated EHV charges'!$A:$P,10,FALSE)=0,"",VLOOKUP($A39,'Annex 2 Designated EHV charges'!$A:$P,10,FALSE)),"")</f>
        <v>114.84</v>
      </c>
      <c r="G39" s="102">
        <f>IFERROR(IF(VLOOKUP($A39,'Annex 2 Designated EHV charges'!$A:$P,11,FALSE)=0,"",VLOOKUP($A39,'Annex 2 Designated EHV charges'!$A:$P,11,FALSE)),"")</f>
        <v>0.37</v>
      </c>
      <c r="H39" s="102">
        <f>IFERROR(IF(VLOOKUP($A39,'Annex 2 Designated EHV charges'!$A:$P,12,FALSE)=0,"",VLOOKUP($A39,'Annex 2 Designated EHV charges'!$A:$P,12,FALSE)),"")</f>
        <v>0.37</v>
      </c>
    </row>
    <row r="40" spans="1:8" x14ac:dyDescent="0.2">
      <c r="A40" s="97">
        <v>794</v>
      </c>
      <c r="B40" s="79">
        <f>IF($A40="","",VLOOKUP($A40,'Annex 2 Designated EHV charges'!$A:$P,2,0))</f>
        <v>794</v>
      </c>
      <c r="C40" s="98">
        <f>IF($A40="","",VLOOKUP($A40,'Annex 2 Designated EHV charges'!$A:$P,3,0))</f>
        <v>2380001458911</v>
      </c>
      <c r="D40" s="99" t="str">
        <f>IF($A40="","",VLOOKUP($A40,'Annex 2 Designated EHV charges'!$A:$P,7,0))</f>
        <v>EHV Site Specific (LLFC 794 &amp; 97)</v>
      </c>
      <c r="E40" s="100">
        <f>IFERROR(IF(VLOOKUP($A40,'Annex 2 Designated EHV charges'!$A:$P,9,FALSE)=0,"",VLOOKUP($A40,'Annex 2 Designated EHV charges'!$A:$P,9,FALSE)),"")</f>
        <v>0.152</v>
      </c>
      <c r="F40" s="101">
        <f>IFERROR(IF(VLOOKUP($A40,'Annex 2 Designated EHV charges'!$A:$P,10,FALSE)=0,"",VLOOKUP($A40,'Annex 2 Designated EHV charges'!$A:$P,10,FALSE)),"")</f>
        <v>390.65</v>
      </c>
      <c r="G40" s="102">
        <f>IFERROR(IF(VLOOKUP($A40,'Annex 2 Designated EHV charges'!$A:$P,11,FALSE)=0,"",VLOOKUP($A40,'Annex 2 Designated EHV charges'!$A:$P,11,FALSE)),"")</f>
        <v>0.45</v>
      </c>
      <c r="H40" s="102">
        <f>IFERROR(IF(VLOOKUP($A40,'Annex 2 Designated EHV charges'!$A:$P,12,FALSE)=0,"",VLOOKUP($A40,'Annex 2 Designated EHV charges'!$A:$P,12,FALSE)),"")</f>
        <v>0.45</v>
      </c>
    </row>
    <row r="41" spans="1:8" ht="30" x14ac:dyDescent="0.2">
      <c r="A41" s="97">
        <v>795</v>
      </c>
      <c r="B41" s="79">
        <f>IF($A41="","",VLOOKUP($A41,'Annex 2 Designated EHV charges'!$A:$P,2,0))</f>
        <v>795</v>
      </c>
      <c r="C41" s="98" t="str">
        <f>IF($A41="","",VLOOKUP($A41,'Annex 2 Designated EHV charges'!$A:$P,3,0))</f>
        <v>2380001532167
2380001532176</v>
      </c>
      <c r="D41" s="99" t="str">
        <f>IF($A41="","",VLOOKUP($A41,'Annex 2 Designated EHV charges'!$A:$P,7,0))</f>
        <v>EHV Site Specific (LLFC 795)</v>
      </c>
      <c r="E41" s="100">
        <f>IFERROR(IF(VLOOKUP($A41,'Annex 2 Designated EHV charges'!$A:$P,9,FALSE)=0,"",VLOOKUP($A41,'Annex 2 Designated EHV charges'!$A:$P,9,FALSE)),"")</f>
        <v>1.2E-2</v>
      </c>
      <c r="F41" s="101">
        <f>IFERROR(IF(VLOOKUP($A41,'Annex 2 Designated EHV charges'!$A:$P,10,FALSE)=0,"",VLOOKUP($A41,'Annex 2 Designated EHV charges'!$A:$P,10,FALSE)),"")</f>
        <v>37731.769999999997</v>
      </c>
      <c r="G41" s="102">
        <f>IFERROR(IF(VLOOKUP($A41,'Annex 2 Designated EHV charges'!$A:$P,11,FALSE)=0,"",VLOOKUP($A41,'Annex 2 Designated EHV charges'!$A:$P,11,FALSE)),"")</f>
        <v>0.45</v>
      </c>
      <c r="H41" s="102">
        <f>IFERROR(IF(VLOOKUP($A41,'Annex 2 Designated EHV charges'!$A:$P,12,FALSE)=0,"",VLOOKUP($A41,'Annex 2 Designated EHV charges'!$A:$P,12,FALSE)),"")</f>
        <v>0.45</v>
      </c>
    </row>
    <row r="42" spans="1:8" x14ac:dyDescent="0.2">
      <c r="A42" s="97">
        <v>796</v>
      </c>
      <c r="B42" s="79">
        <f>IF($A42="","",VLOOKUP($A42,'Annex 2 Designated EHV charges'!$A:$P,2,0))</f>
        <v>796</v>
      </c>
      <c r="C42" s="98">
        <f>IF($A42="","",VLOOKUP($A42,'Annex 2 Designated EHV charges'!$A:$P,3,0))</f>
        <v>2380001635401</v>
      </c>
      <c r="D42" s="99" t="str">
        <f>IF($A42="","",VLOOKUP($A42,'Annex 2 Designated EHV charges'!$A:$P,7,0))</f>
        <v>EHV Site Specific (LLFC 796 &amp; 98)</v>
      </c>
      <c r="E42" s="100" t="str">
        <f>IFERROR(IF(VLOOKUP($A42,'Annex 2 Designated EHV charges'!$A:$P,9,FALSE)=0,"",VLOOKUP($A42,'Annex 2 Designated EHV charges'!$A:$P,9,FALSE)),"")</f>
        <v/>
      </c>
      <c r="F42" s="101">
        <f>IFERROR(IF(VLOOKUP($A42,'Annex 2 Designated EHV charges'!$A:$P,10,FALSE)=0,"",VLOOKUP($A42,'Annex 2 Designated EHV charges'!$A:$P,10,FALSE)),"")</f>
        <v>53.55</v>
      </c>
      <c r="G42" s="102">
        <f>IFERROR(IF(VLOOKUP($A42,'Annex 2 Designated EHV charges'!$A:$P,11,FALSE)=0,"",VLOOKUP($A42,'Annex 2 Designated EHV charges'!$A:$P,11,FALSE)),"")</f>
        <v>0.37</v>
      </c>
      <c r="H42" s="102">
        <f>IFERROR(IF(VLOOKUP($A42,'Annex 2 Designated EHV charges'!$A:$P,12,FALSE)=0,"",VLOOKUP($A42,'Annex 2 Designated EHV charges'!$A:$P,12,FALSE)),"")</f>
        <v>0.37</v>
      </c>
    </row>
    <row r="43" spans="1:8" ht="30" x14ac:dyDescent="0.2">
      <c r="A43" s="97">
        <v>831</v>
      </c>
      <c r="B43" s="79">
        <f>IF($A43="","",VLOOKUP($A43,'Annex 2 Designated EHV charges'!$A:$P,2,0))</f>
        <v>831</v>
      </c>
      <c r="C43" s="98" t="str">
        <f>IF($A43="","",VLOOKUP($A43,'Annex 2 Designated EHV charges'!$A:$P,3,0))</f>
        <v>2316530305110
2316530305129</v>
      </c>
      <c r="D43" s="99" t="str">
        <f>IF($A43="","",VLOOKUP($A43,'Annex 2 Designated EHV charges'!$A:$P,7,0))</f>
        <v>EHV Site Specific (LLFC 831)</v>
      </c>
      <c r="E43" s="100">
        <f>IFERROR(IF(VLOOKUP($A43,'Annex 2 Designated EHV charges'!$A:$P,9,FALSE)=0,"",VLOOKUP($A43,'Annex 2 Designated EHV charges'!$A:$P,9,FALSE)),"")</f>
        <v>3.7869999999999999</v>
      </c>
      <c r="F43" s="101">
        <f>IFERROR(IF(VLOOKUP($A43,'Annex 2 Designated EHV charges'!$A:$P,10,FALSE)=0,"",VLOOKUP($A43,'Annex 2 Designated EHV charges'!$A:$P,10,FALSE)),"")</f>
        <v>2335.94</v>
      </c>
      <c r="G43" s="102">
        <f>IFERROR(IF(VLOOKUP($A43,'Annex 2 Designated EHV charges'!$A:$P,11,FALSE)=0,"",VLOOKUP($A43,'Annex 2 Designated EHV charges'!$A:$P,11,FALSE)),"")</f>
        <v>1.1100000000000001</v>
      </c>
      <c r="H43" s="102">
        <f>IFERROR(IF(VLOOKUP($A43,'Annex 2 Designated EHV charges'!$A:$P,12,FALSE)=0,"",VLOOKUP($A43,'Annex 2 Designated EHV charges'!$A:$P,12,FALSE)),"")</f>
        <v>1.1100000000000001</v>
      </c>
    </row>
    <row r="44" spans="1:8" x14ac:dyDescent="0.2">
      <c r="A44" s="97">
        <v>832</v>
      </c>
      <c r="B44" s="79">
        <f>IF($A44="","",VLOOKUP($A44,'Annex 2 Designated EHV charges'!$A:$P,2,0))</f>
        <v>832</v>
      </c>
      <c r="C44" s="98">
        <f>IF($A44="","",VLOOKUP($A44,'Annex 2 Designated EHV charges'!$A:$P,3,0))</f>
        <v>2316541311014</v>
      </c>
      <c r="D44" s="99" t="str">
        <f>IF($A44="","",VLOOKUP($A44,'Annex 2 Designated EHV charges'!$A:$P,7,0))</f>
        <v>EHV Site Specific (LLFC 832)</v>
      </c>
      <c r="E44" s="100">
        <f>IFERROR(IF(VLOOKUP($A44,'Annex 2 Designated EHV charges'!$A:$P,9,FALSE)=0,"",VLOOKUP($A44,'Annex 2 Designated EHV charges'!$A:$P,9,FALSE)),"")</f>
        <v>1.39</v>
      </c>
      <c r="F44" s="101">
        <f>IFERROR(IF(VLOOKUP($A44,'Annex 2 Designated EHV charges'!$A:$P,10,FALSE)=0,"",VLOOKUP($A44,'Annex 2 Designated EHV charges'!$A:$P,10,FALSE)),"")</f>
        <v>13311.76</v>
      </c>
      <c r="G44" s="102">
        <f>IFERROR(IF(VLOOKUP($A44,'Annex 2 Designated EHV charges'!$A:$P,11,FALSE)=0,"",VLOOKUP($A44,'Annex 2 Designated EHV charges'!$A:$P,11,FALSE)),"")</f>
        <v>1.79</v>
      </c>
      <c r="H44" s="102">
        <f>IFERROR(IF(VLOOKUP($A44,'Annex 2 Designated EHV charges'!$A:$P,12,FALSE)=0,"",VLOOKUP($A44,'Annex 2 Designated EHV charges'!$A:$P,12,FALSE)),"")</f>
        <v>1.79</v>
      </c>
    </row>
    <row r="45" spans="1:8" ht="30" x14ac:dyDescent="0.2">
      <c r="A45" s="97">
        <v>833</v>
      </c>
      <c r="B45" s="79">
        <f>IF($A45="","",VLOOKUP($A45,'Annex 2 Designated EHV charges'!$A:$P,2,0))</f>
        <v>833</v>
      </c>
      <c r="C45" s="98" t="str">
        <f>IF($A45="","",VLOOKUP($A45,'Annex 2 Designated EHV charges'!$A:$P,3,0))</f>
        <v>2326511015014
2326511015023</v>
      </c>
      <c r="D45" s="99" t="str">
        <f>IF($A45="","",VLOOKUP($A45,'Annex 2 Designated EHV charges'!$A:$P,7,0))</f>
        <v>EHV Site Specific (LLFC 833)</v>
      </c>
      <c r="E45" s="100">
        <f>IFERROR(IF(VLOOKUP($A45,'Annex 2 Designated EHV charges'!$A:$P,9,FALSE)=0,"",VLOOKUP($A45,'Annex 2 Designated EHV charges'!$A:$P,9,FALSE)),"")</f>
        <v>0.47699999999999998</v>
      </c>
      <c r="F45" s="101">
        <f>IFERROR(IF(VLOOKUP($A45,'Annex 2 Designated EHV charges'!$A:$P,10,FALSE)=0,"",VLOOKUP($A45,'Annex 2 Designated EHV charges'!$A:$P,10,FALSE)),"")</f>
        <v>13311.76</v>
      </c>
      <c r="G45" s="102">
        <f>IFERROR(IF(VLOOKUP($A45,'Annex 2 Designated EHV charges'!$A:$P,11,FALSE)=0,"",VLOOKUP($A45,'Annex 2 Designated EHV charges'!$A:$P,11,FALSE)),"")</f>
        <v>1.0900000000000001</v>
      </c>
      <c r="H45" s="102">
        <f>IFERROR(IF(VLOOKUP($A45,'Annex 2 Designated EHV charges'!$A:$P,12,FALSE)=0,"",VLOOKUP($A45,'Annex 2 Designated EHV charges'!$A:$P,12,FALSE)),"")</f>
        <v>1.0900000000000001</v>
      </c>
    </row>
    <row r="46" spans="1:8" ht="45" x14ac:dyDescent="0.2">
      <c r="A46" s="97">
        <v>834</v>
      </c>
      <c r="B46" s="79">
        <f>IF($A46="","",VLOOKUP($A46,'Annex 2 Designated EHV charges'!$A:$P,2,0))</f>
        <v>834</v>
      </c>
      <c r="C46" s="98" t="str">
        <f>IF($A46="","",VLOOKUP($A46,'Annex 2 Designated EHV charges'!$A:$P,3,0))</f>
        <v>2300000456903
2300000516605
2326531140128</v>
      </c>
      <c r="D46" s="99" t="str">
        <f>IF($A46="","",VLOOKUP($A46,'Annex 2 Designated EHV charges'!$A:$P,7,0))</f>
        <v>EHV Site Specific (LLFC 834)</v>
      </c>
      <c r="E46" s="100">
        <f>IFERROR(IF(VLOOKUP($A46,'Annex 2 Designated EHV charges'!$A:$P,9,FALSE)=0,"",VLOOKUP($A46,'Annex 2 Designated EHV charges'!$A:$P,9,FALSE)),"")</f>
        <v>3.4000000000000002E-2</v>
      </c>
      <c r="F46" s="101">
        <f>IFERROR(IF(VLOOKUP($A46,'Annex 2 Designated EHV charges'!$A:$P,10,FALSE)=0,"",VLOOKUP($A46,'Annex 2 Designated EHV charges'!$A:$P,10,FALSE)),"")</f>
        <v>2406.65</v>
      </c>
      <c r="G46" s="102">
        <f>IFERROR(IF(VLOOKUP($A46,'Annex 2 Designated EHV charges'!$A:$P,11,FALSE)=0,"",VLOOKUP($A46,'Annex 2 Designated EHV charges'!$A:$P,11,FALSE)),"")</f>
        <v>1.59</v>
      </c>
      <c r="H46" s="102">
        <f>IFERROR(IF(VLOOKUP($A46,'Annex 2 Designated EHV charges'!$A:$P,12,FALSE)=0,"",VLOOKUP($A46,'Annex 2 Designated EHV charges'!$A:$P,12,FALSE)),"")</f>
        <v>1.59</v>
      </c>
    </row>
    <row r="47" spans="1:8" ht="30" x14ac:dyDescent="0.2">
      <c r="A47" s="97">
        <v>835</v>
      </c>
      <c r="B47" s="79">
        <f>IF($A47="","",VLOOKUP($A47,'Annex 2 Designated EHV charges'!$A:$P,2,0))</f>
        <v>835</v>
      </c>
      <c r="C47" s="98" t="str">
        <f>IF($A47="","",VLOOKUP($A47,'Annex 2 Designated EHV charges'!$A:$P,3,0))</f>
        <v>2300000473625
2336505790019</v>
      </c>
      <c r="D47" s="99" t="str">
        <f>IF($A47="","",VLOOKUP($A47,'Annex 2 Designated EHV charges'!$A:$P,7,0))</f>
        <v>EHV Site Specific (LLFC 835)</v>
      </c>
      <c r="E47" s="100">
        <f>IFERROR(IF(VLOOKUP($A47,'Annex 2 Designated EHV charges'!$A:$P,9,FALSE)=0,"",VLOOKUP($A47,'Annex 2 Designated EHV charges'!$A:$P,9,FALSE)),"")</f>
        <v>7.2999999999999995E-2</v>
      </c>
      <c r="F47" s="101">
        <f>IFERROR(IF(VLOOKUP($A47,'Annex 2 Designated EHV charges'!$A:$P,10,FALSE)=0,"",VLOOKUP($A47,'Annex 2 Designated EHV charges'!$A:$P,10,FALSE)),"")</f>
        <v>36452.339999999997</v>
      </c>
      <c r="G47" s="102">
        <f>IFERROR(IF(VLOOKUP($A47,'Annex 2 Designated EHV charges'!$A:$P,11,FALSE)=0,"",VLOOKUP($A47,'Annex 2 Designated EHV charges'!$A:$P,11,FALSE)),"")</f>
        <v>2.14</v>
      </c>
      <c r="H47" s="102">
        <f>IFERROR(IF(VLOOKUP($A47,'Annex 2 Designated EHV charges'!$A:$P,12,FALSE)=0,"",VLOOKUP($A47,'Annex 2 Designated EHV charges'!$A:$P,12,FALSE)),"")</f>
        <v>2.14</v>
      </c>
    </row>
    <row r="48" spans="1:8" ht="30" x14ac:dyDescent="0.2">
      <c r="A48" s="97">
        <v>836</v>
      </c>
      <c r="B48" s="79">
        <f>IF($A48="","",VLOOKUP($A48,'Annex 2 Designated EHV charges'!$A:$P,2,0))</f>
        <v>836</v>
      </c>
      <c r="C48" s="98" t="str">
        <f>IF($A48="","",VLOOKUP($A48,'Annex 2 Designated EHV charges'!$A:$P,3,0))</f>
        <v>2300000473616
2336506255013</v>
      </c>
      <c r="D48" s="99" t="str">
        <f>IF($A48="","",VLOOKUP($A48,'Annex 2 Designated EHV charges'!$A:$P,7,0))</f>
        <v>EHV Site Specific (LLFC 836)</v>
      </c>
      <c r="E48" s="100">
        <f>IFERROR(IF(VLOOKUP($A48,'Annex 2 Designated EHV charges'!$A:$P,9,FALSE)=0,"",VLOOKUP($A48,'Annex 2 Designated EHV charges'!$A:$P,9,FALSE)),"")</f>
        <v>4.2000000000000003E-2</v>
      </c>
      <c r="F48" s="101">
        <f>IFERROR(IF(VLOOKUP($A48,'Annex 2 Designated EHV charges'!$A:$P,10,FALSE)=0,"",VLOOKUP($A48,'Annex 2 Designated EHV charges'!$A:$P,10,FALSE)),"")</f>
        <v>13311.76</v>
      </c>
      <c r="G48" s="102">
        <f>IFERROR(IF(VLOOKUP($A48,'Annex 2 Designated EHV charges'!$A:$P,11,FALSE)=0,"",VLOOKUP($A48,'Annex 2 Designated EHV charges'!$A:$P,11,FALSE)),"")</f>
        <v>1.96</v>
      </c>
      <c r="H48" s="102">
        <f>IFERROR(IF(VLOOKUP($A48,'Annex 2 Designated EHV charges'!$A:$P,12,FALSE)=0,"",VLOOKUP($A48,'Annex 2 Designated EHV charges'!$A:$P,12,FALSE)),"")</f>
        <v>1.96</v>
      </c>
    </row>
    <row r="49" spans="1:8" ht="30" x14ac:dyDescent="0.2">
      <c r="A49" s="97">
        <v>837</v>
      </c>
      <c r="B49" s="79">
        <f>IF($A49="","",VLOOKUP($A49,'Annex 2 Designated EHV charges'!$A:$P,2,0))</f>
        <v>837</v>
      </c>
      <c r="C49" s="98" t="str">
        <f>IF($A49="","",VLOOKUP($A49,'Annex 2 Designated EHV charges'!$A:$P,3,0))</f>
        <v>2300000473634
2336526022010</v>
      </c>
      <c r="D49" s="99" t="str">
        <f>IF($A49="","",VLOOKUP($A49,'Annex 2 Designated EHV charges'!$A:$P,7,0))</f>
        <v>EHV Site Specific (LLFC 837 &amp; 34)</v>
      </c>
      <c r="E49" s="100">
        <f>IFERROR(IF(VLOOKUP($A49,'Annex 2 Designated EHV charges'!$A:$P,9,FALSE)=0,"",VLOOKUP($A49,'Annex 2 Designated EHV charges'!$A:$P,9,FALSE)),"")</f>
        <v>0.106</v>
      </c>
      <c r="F49" s="101">
        <f>IFERROR(IF(VLOOKUP($A49,'Annex 2 Designated EHV charges'!$A:$P,10,FALSE)=0,"",VLOOKUP($A49,'Annex 2 Designated EHV charges'!$A:$P,10,FALSE)),"")</f>
        <v>13254.85</v>
      </c>
      <c r="G49" s="102">
        <f>IFERROR(IF(VLOOKUP($A49,'Annex 2 Designated EHV charges'!$A:$P,11,FALSE)=0,"",VLOOKUP($A49,'Annex 2 Designated EHV charges'!$A:$P,11,FALSE)),"")</f>
        <v>1.42</v>
      </c>
      <c r="H49" s="102">
        <f>IFERROR(IF(VLOOKUP($A49,'Annex 2 Designated EHV charges'!$A:$P,12,FALSE)=0,"",VLOOKUP($A49,'Annex 2 Designated EHV charges'!$A:$P,12,FALSE)),"")</f>
        <v>1.42</v>
      </c>
    </row>
    <row r="50" spans="1:8" ht="30" x14ac:dyDescent="0.2">
      <c r="A50" s="97">
        <v>838</v>
      </c>
      <c r="B50" s="79">
        <f>IF($A50="","",VLOOKUP($A50,'Annex 2 Designated EHV charges'!$A:$P,2,0))</f>
        <v>838</v>
      </c>
      <c r="C50" s="98" t="str">
        <f>IF($A50="","",VLOOKUP($A50,'Annex 2 Designated EHV charges'!$A:$P,3,0))</f>
        <v>2300000584925
2336559992019</v>
      </c>
      <c r="D50" s="99" t="str">
        <f>IF($A50="","",VLOOKUP($A50,'Annex 2 Designated EHV charges'!$A:$P,7,0))</f>
        <v>EHV Site Specific (LLFC 838)</v>
      </c>
      <c r="E50" s="100">
        <f>IFERROR(IF(VLOOKUP($A50,'Annex 2 Designated EHV charges'!$A:$P,9,FALSE)=0,"",VLOOKUP($A50,'Annex 2 Designated EHV charges'!$A:$P,9,FALSE)),"")</f>
        <v>0.14199999999999999</v>
      </c>
      <c r="F50" s="101">
        <f>IFERROR(IF(VLOOKUP($A50,'Annex 2 Designated EHV charges'!$A:$P,10,FALSE)=0,"",VLOOKUP($A50,'Annex 2 Designated EHV charges'!$A:$P,10,FALSE)),"")</f>
        <v>2335.94</v>
      </c>
      <c r="G50" s="102">
        <f>IFERROR(IF(VLOOKUP($A50,'Annex 2 Designated EHV charges'!$A:$P,11,FALSE)=0,"",VLOOKUP($A50,'Annex 2 Designated EHV charges'!$A:$P,11,FALSE)),"")</f>
        <v>0.68</v>
      </c>
      <c r="H50" s="102">
        <f>IFERROR(IF(VLOOKUP($A50,'Annex 2 Designated EHV charges'!$A:$P,12,FALSE)=0,"",VLOOKUP($A50,'Annex 2 Designated EHV charges'!$A:$P,12,FALSE)),"")</f>
        <v>0.68</v>
      </c>
    </row>
    <row r="51" spans="1:8" x14ac:dyDescent="0.2">
      <c r="A51" s="97">
        <v>839</v>
      </c>
      <c r="B51" s="79">
        <f>IF($A51="","",VLOOKUP($A51,'Annex 2 Designated EHV charges'!$A:$P,2,0))</f>
        <v>839</v>
      </c>
      <c r="C51" s="98">
        <f>IF($A51="","",VLOOKUP($A51,'Annex 2 Designated EHV charges'!$A:$P,3,0))</f>
        <v>2300000233833</v>
      </c>
      <c r="D51" s="99" t="str">
        <f>IF($A51="","",VLOOKUP($A51,'Annex 2 Designated EHV charges'!$A:$P,7,0))</f>
        <v>EHV Site Specific (LLFC 839 &amp; 68)</v>
      </c>
      <c r="E51" s="100">
        <f>IFERROR(IF(VLOOKUP($A51,'Annex 2 Designated EHV charges'!$A:$P,9,FALSE)=0,"",VLOOKUP($A51,'Annex 2 Designated EHV charges'!$A:$P,9,FALSE)),"")</f>
        <v>1E-3</v>
      </c>
      <c r="F51" s="101">
        <f>IFERROR(IF(VLOOKUP($A51,'Annex 2 Designated EHV charges'!$A:$P,10,FALSE)=0,"",VLOOKUP($A51,'Annex 2 Designated EHV charges'!$A:$P,10,FALSE)),"")</f>
        <v>29.78</v>
      </c>
      <c r="G51" s="102">
        <f>IFERROR(IF(VLOOKUP($A51,'Annex 2 Designated EHV charges'!$A:$P,11,FALSE)=0,"",VLOOKUP($A51,'Annex 2 Designated EHV charges'!$A:$P,11,FALSE)),"")</f>
        <v>0.32</v>
      </c>
      <c r="H51" s="102">
        <f>IFERROR(IF(VLOOKUP($A51,'Annex 2 Designated EHV charges'!$A:$P,12,FALSE)=0,"",VLOOKUP($A51,'Annex 2 Designated EHV charges'!$A:$P,12,FALSE)),"")</f>
        <v>0.32</v>
      </c>
    </row>
    <row r="52" spans="1:8" x14ac:dyDescent="0.2">
      <c r="A52" s="97">
        <v>840</v>
      </c>
      <c r="B52" s="79">
        <f>IF($A52="","",VLOOKUP($A52,'Annex 2 Designated EHV charges'!$A:$P,2,0))</f>
        <v>840</v>
      </c>
      <c r="C52" s="98">
        <f>IF($A52="","",VLOOKUP($A52,'Annex 2 Designated EHV charges'!$A:$P,3,0))</f>
        <v>2336566566018</v>
      </c>
      <c r="D52" s="99" t="str">
        <f>IF($A52="","",VLOOKUP($A52,'Annex 2 Designated EHV charges'!$A:$P,7,0))</f>
        <v>EHV Site Specific (LLFC 840)</v>
      </c>
      <c r="E52" s="100">
        <f>IFERROR(IF(VLOOKUP($A52,'Annex 2 Designated EHV charges'!$A:$P,9,FALSE)=0,"",VLOOKUP($A52,'Annex 2 Designated EHV charges'!$A:$P,9,FALSE)),"")</f>
        <v>0.85399999999999998</v>
      </c>
      <c r="F52" s="101">
        <f>IFERROR(IF(VLOOKUP($A52,'Annex 2 Designated EHV charges'!$A:$P,10,FALSE)=0,"",VLOOKUP($A52,'Annex 2 Designated EHV charges'!$A:$P,10,FALSE)),"")</f>
        <v>2265.2399999999998</v>
      </c>
      <c r="G52" s="102">
        <f>IFERROR(IF(VLOOKUP($A52,'Annex 2 Designated EHV charges'!$A:$P,11,FALSE)=0,"",VLOOKUP($A52,'Annex 2 Designated EHV charges'!$A:$P,11,FALSE)),"")</f>
        <v>1.94</v>
      </c>
      <c r="H52" s="102">
        <f>IFERROR(IF(VLOOKUP($A52,'Annex 2 Designated EHV charges'!$A:$P,12,FALSE)=0,"",VLOOKUP($A52,'Annex 2 Designated EHV charges'!$A:$P,12,FALSE)),"")</f>
        <v>1.94</v>
      </c>
    </row>
    <row r="53" spans="1:8" ht="60" x14ac:dyDescent="0.2">
      <c r="A53" s="97">
        <v>841</v>
      </c>
      <c r="B53" s="79">
        <f>IF($A53="","",VLOOKUP($A53,'Annex 2 Designated EHV charges'!$A:$P,2,0))</f>
        <v>841</v>
      </c>
      <c r="C53" s="98" t="str">
        <f>IF($A53="","",VLOOKUP($A53,'Annex 2 Designated EHV charges'!$A:$P,3,0))</f>
        <v>2300000539365
2300000539374
2336590660028
2336590660037</v>
      </c>
      <c r="D53" s="99" t="str">
        <f>IF($A53="","",VLOOKUP($A53,'Annex 2 Designated EHV charges'!$A:$P,7,0))</f>
        <v>EHV Site Specific (LLFC 841)</v>
      </c>
      <c r="E53" s="100">
        <f>IFERROR(IF(VLOOKUP($A53,'Annex 2 Designated EHV charges'!$A:$P,9,FALSE)=0,"",VLOOKUP($A53,'Annex 2 Designated EHV charges'!$A:$P,9,FALSE)),"")</f>
        <v>0.26400000000000001</v>
      </c>
      <c r="F53" s="101">
        <f>IFERROR(IF(VLOOKUP($A53,'Annex 2 Designated EHV charges'!$A:$P,10,FALSE)=0,"",VLOOKUP($A53,'Annex 2 Designated EHV charges'!$A:$P,10,FALSE)),"")</f>
        <v>36593.75</v>
      </c>
      <c r="G53" s="102">
        <f>IFERROR(IF(VLOOKUP($A53,'Annex 2 Designated EHV charges'!$A:$P,11,FALSE)=0,"",VLOOKUP($A53,'Annex 2 Designated EHV charges'!$A:$P,11,FALSE)),"")</f>
        <v>3.74</v>
      </c>
      <c r="H53" s="102">
        <f>IFERROR(IF(VLOOKUP($A53,'Annex 2 Designated EHV charges'!$A:$P,12,FALSE)=0,"",VLOOKUP($A53,'Annex 2 Designated EHV charges'!$A:$P,12,FALSE)),"")</f>
        <v>3.74</v>
      </c>
    </row>
    <row r="54" spans="1:8" x14ac:dyDescent="0.2">
      <c r="A54" s="97">
        <v>842</v>
      </c>
      <c r="B54" s="79">
        <f>IF($A54="","",VLOOKUP($A54,'Annex 2 Designated EHV charges'!$A:$P,2,0))</f>
        <v>842</v>
      </c>
      <c r="C54" s="98" t="str">
        <f>IF($A54="","",VLOOKUP($A54,'Annex 2 Designated EHV charges'!$A:$P,3,0))</f>
        <v>TBC</v>
      </c>
      <c r="D54" s="99" t="str">
        <f>IF($A54="","",VLOOKUP($A54,'Annex 2 Designated EHV charges'!$A:$P,7,0))</f>
        <v>EHV Site Specific (LLFC 842)</v>
      </c>
      <c r="E54" s="100">
        <f>IFERROR(IF(VLOOKUP($A54,'Annex 2 Designated EHV charges'!$A:$P,9,FALSE)=0,"",VLOOKUP($A54,'Annex 2 Designated EHV charges'!$A:$P,9,FALSE)),"")</f>
        <v>8.6999999999999994E-2</v>
      </c>
      <c r="F54" s="101">
        <f>IFERROR(IF(VLOOKUP($A54,'Annex 2 Designated EHV charges'!$A:$P,10,FALSE)=0,"",VLOOKUP($A54,'Annex 2 Designated EHV charges'!$A:$P,10,FALSE)),"")</f>
        <v>13311.76</v>
      </c>
      <c r="G54" s="102">
        <f>IFERROR(IF(VLOOKUP($A54,'Annex 2 Designated EHV charges'!$A:$P,11,FALSE)=0,"",VLOOKUP($A54,'Annex 2 Designated EHV charges'!$A:$P,11,FALSE)),"")</f>
        <v>0.5</v>
      </c>
      <c r="H54" s="102">
        <f>IFERROR(IF(VLOOKUP($A54,'Annex 2 Designated EHV charges'!$A:$P,12,FALSE)=0,"",VLOOKUP($A54,'Annex 2 Designated EHV charges'!$A:$P,12,FALSE)),"")</f>
        <v>0.5</v>
      </c>
    </row>
    <row r="55" spans="1:8" ht="30" x14ac:dyDescent="0.2">
      <c r="A55" s="97">
        <v>844</v>
      </c>
      <c r="B55" s="79">
        <f>IF($A55="","",VLOOKUP($A55,'Annex 2 Designated EHV charges'!$A:$P,2,0))</f>
        <v>844</v>
      </c>
      <c r="C55" s="98" t="str">
        <f>IF($A55="","",VLOOKUP($A55,'Annex 2 Designated EHV charges'!$A:$P,3,0))</f>
        <v>2356530330014
2356530330023</v>
      </c>
      <c r="D55" s="99" t="str">
        <f>IF($A55="","",VLOOKUP($A55,'Annex 2 Designated EHV charges'!$A:$P,7,0))</f>
        <v>EHV Site Specific (LLFC 844)</v>
      </c>
      <c r="E55" s="100">
        <f>IFERROR(IF(VLOOKUP($A55,'Annex 2 Designated EHV charges'!$A:$P,9,FALSE)=0,"",VLOOKUP($A55,'Annex 2 Designated EHV charges'!$A:$P,9,FALSE)),"")</f>
        <v>0.25600000000000001</v>
      </c>
      <c r="F55" s="101">
        <f>IFERROR(IF(VLOOKUP($A55,'Annex 2 Designated EHV charges'!$A:$P,10,FALSE)=0,"",VLOOKUP($A55,'Annex 2 Designated EHV charges'!$A:$P,10,FALSE)),"")</f>
        <v>36452.339999999997</v>
      </c>
      <c r="G55" s="102">
        <f>IFERROR(IF(VLOOKUP($A55,'Annex 2 Designated EHV charges'!$A:$P,11,FALSE)=0,"",VLOOKUP($A55,'Annex 2 Designated EHV charges'!$A:$P,11,FALSE)),"")</f>
        <v>2.2799999999999998</v>
      </c>
      <c r="H55" s="102">
        <f>IFERROR(IF(VLOOKUP($A55,'Annex 2 Designated EHV charges'!$A:$P,12,FALSE)=0,"",VLOOKUP($A55,'Annex 2 Designated EHV charges'!$A:$P,12,FALSE)),"")</f>
        <v>2.2799999999999998</v>
      </c>
    </row>
    <row r="56" spans="1:8" x14ac:dyDescent="0.2">
      <c r="A56" s="97">
        <v>845</v>
      </c>
      <c r="B56" s="79">
        <f>IF($A56="","",VLOOKUP($A56,'Annex 2 Designated EHV charges'!$A:$P,2,0))</f>
        <v>845</v>
      </c>
      <c r="C56" s="98">
        <f>IF($A56="","",VLOOKUP($A56,'Annex 2 Designated EHV charges'!$A:$P,3,0))</f>
        <v>2356562495011</v>
      </c>
      <c r="D56" s="99" t="str">
        <f>IF($A56="","",VLOOKUP($A56,'Annex 2 Designated EHV charges'!$A:$P,7,0))</f>
        <v>EHV Site Specific (LLFC 845)</v>
      </c>
      <c r="E56" s="100">
        <f>IFERROR(IF(VLOOKUP($A56,'Annex 2 Designated EHV charges'!$A:$P,9,FALSE)=0,"",VLOOKUP($A56,'Annex 2 Designated EHV charges'!$A:$P,9,FALSE)),"")</f>
        <v>0.50800000000000001</v>
      </c>
      <c r="F56" s="101">
        <f>IFERROR(IF(VLOOKUP($A56,'Annex 2 Designated EHV charges'!$A:$P,10,FALSE)=0,"",VLOOKUP($A56,'Annex 2 Designated EHV charges'!$A:$P,10,FALSE)),"")</f>
        <v>36381.629999999997</v>
      </c>
      <c r="G56" s="102">
        <f>IFERROR(IF(VLOOKUP($A56,'Annex 2 Designated EHV charges'!$A:$P,11,FALSE)=0,"",VLOOKUP($A56,'Annex 2 Designated EHV charges'!$A:$P,11,FALSE)),"")</f>
        <v>1.63</v>
      </c>
      <c r="H56" s="102">
        <f>IFERROR(IF(VLOOKUP($A56,'Annex 2 Designated EHV charges'!$A:$P,12,FALSE)=0,"",VLOOKUP($A56,'Annex 2 Designated EHV charges'!$A:$P,12,FALSE)),"")</f>
        <v>1.63</v>
      </c>
    </row>
    <row r="57" spans="1:8" x14ac:dyDescent="0.2">
      <c r="A57" s="97">
        <v>846</v>
      </c>
      <c r="B57" s="79">
        <f>IF($A57="","",VLOOKUP($A57,'Annex 2 Designated EHV charges'!$A:$P,2,0))</f>
        <v>846</v>
      </c>
      <c r="C57" s="98">
        <f>IF($A57="","",VLOOKUP($A57,'Annex 2 Designated EHV charges'!$A:$P,3,0))</f>
        <v>2300000601321</v>
      </c>
      <c r="D57" s="99" t="str">
        <f>IF($A57="","",VLOOKUP($A57,'Annex 2 Designated EHV charges'!$A:$P,7,0))</f>
        <v>EHV Site Specific (LLFC 846)</v>
      </c>
      <c r="E57" s="100">
        <f>IFERROR(IF(VLOOKUP($A57,'Annex 2 Designated EHV charges'!$A:$P,9,FALSE)=0,"",VLOOKUP($A57,'Annex 2 Designated EHV charges'!$A:$P,9,FALSE)),"")</f>
        <v>1.452</v>
      </c>
      <c r="F57" s="101">
        <f>IFERROR(IF(VLOOKUP($A57,'Annex 2 Designated EHV charges'!$A:$P,10,FALSE)=0,"",VLOOKUP($A57,'Annex 2 Designated EHV charges'!$A:$P,10,FALSE)),"")</f>
        <v>2265.2399999999998</v>
      </c>
      <c r="G57" s="102">
        <f>IFERROR(IF(VLOOKUP($A57,'Annex 2 Designated EHV charges'!$A:$P,11,FALSE)=0,"",VLOOKUP($A57,'Annex 2 Designated EHV charges'!$A:$P,11,FALSE)),"")</f>
        <v>0.93</v>
      </c>
      <c r="H57" s="102">
        <f>IFERROR(IF(VLOOKUP($A57,'Annex 2 Designated EHV charges'!$A:$P,12,FALSE)=0,"",VLOOKUP($A57,'Annex 2 Designated EHV charges'!$A:$P,12,FALSE)),"")</f>
        <v>0.93</v>
      </c>
    </row>
    <row r="58" spans="1:8" x14ac:dyDescent="0.2">
      <c r="A58" s="97">
        <v>847</v>
      </c>
      <c r="B58" s="79">
        <f>IF($A58="","",VLOOKUP($A58,'Annex 2 Designated EHV charges'!$A:$P,2,0))</f>
        <v>847</v>
      </c>
      <c r="C58" s="98">
        <f>IF($A58="","",VLOOKUP($A58,'Annex 2 Designated EHV charges'!$A:$P,3,0))</f>
        <v>2366560261014</v>
      </c>
      <c r="D58" s="99" t="str">
        <f>IF($A58="","",VLOOKUP($A58,'Annex 2 Designated EHV charges'!$A:$P,7,0))</f>
        <v>EHV Site Specific (LLFC 847)</v>
      </c>
      <c r="E58" s="100">
        <f>IFERROR(IF(VLOOKUP($A58,'Annex 2 Designated EHV charges'!$A:$P,9,FALSE)=0,"",VLOOKUP($A58,'Annex 2 Designated EHV charges'!$A:$P,9,FALSE)),"")</f>
        <v>0.17799999999999999</v>
      </c>
      <c r="F58" s="101">
        <f>IFERROR(IF(VLOOKUP($A58,'Annex 2 Designated EHV charges'!$A:$P,10,FALSE)=0,"",VLOOKUP($A58,'Annex 2 Designated EHV charges'!$A:$P,10,FALSE)),"")</f>
        <v>2265.2399999999998</v>
      </c>
      <c r="G58" s="102">
        <f>IFERROR(IF(VLOOKUP($A58,'Annex 2 Designated EHV charges'!$A:$P,11,FALSE)=0,"",VLOOKUP($A58,'Annex 2 Designated EHV charges'!$A:$P,11,FALSE)),"")</f>
        <v>0.44</v>
      </c>
      <c r="H58" s="102">
        <f>IFERROR(IF(VLOOKUP($A58,'Annex 2 Designated EHV charges'!$A:$P,12,FALSE)=0,"",VLOOKUP($A58,'Annex 2 Designated EHV charges'!$A:$P,12,FALSE)),"")</f>
        <v>0.44</v>
      </c>
    </row>
    <row r="59" spans="1:8" ht="30" x14ac:dyDescent="0.2">
      <c r="A59" s="97">
        <v>848</v>
      </c>
      <c r="B59" s="79">
        <f>IF($A59="","",VLOOKUP($A59,'Annex 2 Designated EHV charges'!$A:$P,2,0))</f>
        <v>848</v>
      </c>
      <c r="C59" s="98" t="str">
        <f>IF($A59="","",VLOOKUP($A59,'Annex 2 Designated EHV charges'!$A:$P,3,0))</f>
        <v>2300000457377
2366560264112</v>
      </c>
      <c r="D59" s="99" t="str">
        <f>IF($A59="","",VLOOKUP($A59,'Annex 2 Designated EHV charges'!$A:$P,7,0))</f>
        <v>EHV Site Specific (LLFC 848)</v>
      </c>
      <c r="E59" s="100">
        <f>IFERROR(IF(VLOOKUP($A59,'Annex 2 Designated EHV charges'!$A:$P,9,FALSE)=0,"",VLOOKUP($A59,'Annex 2 Designated EHV charges'!$A:$P,9,FALSE)),"")</f>
        <v>0.17799999999999999</v>
      </c>
      <c r="F59" s="101">
        <f>IFERROR(IF(VLOOKUP($A59,'Annex 2 Designated EHV charges'!$A:$P,10,FALSE)=0,"",VLOOKUP($A59,'Annex 2 Designated EHV charges'!$A:$P,10,FALSE)),"")</f>
        <v>13311.76</v>
      </c>
      <c r="G59" s="102">
        <f>IFERROR(IF(VLOOKUP($A59,'Annex 2 Designated EHV charges'!$A:$P,11,FALSE)=0,"",VLOOKUP($A59,'Annex 2 Designated EHV charges'!$A:$P,11,FALSE)),"")</f>
        <v>1.88</v>
      </c>
      <c r="H59" s="102">
        <f>IFERROR(IF(VLOOKUP($A59,'Annex 2 Designated EHV charges'!$A:$P,12,FALSE)=0,"",VLOOKUP($A59,'Annex 2 Designated EHV charges'!$A:$P,12,FALSE)),"")</f>
        <v>1.88</v>
      </c>
    </row>
    <row r="60" spans="1:8" ht="30" x14ac:dyDescent="0.2">
      <c r="A60" s="97">
        <v>849</v>
      </c>
      <c r="B60" s="79">
        <f>IF($A60="","",VLOOKUP($A60,'Annex 2 Designated EHV charges'!$A:$P,2,0))</f>
        <v>849</v>
      </c>
      <c r="C60" s="98" t="str">
        <f>IF($A60="","",VLOOKUP($A60,'Annex 2 Designated EHV charges'!$A:$P,3,0))</f>
        <v>2300000652292
2376503256010</v>
      </c>
      <c r="D60" s="99" t="str">
        <f>IF($A60="","",VLOOKUP($A60,'Annex 2 Designated EHV charges'!$A:$P,7,0))</f>
        <v>EHV Site Specific (LLFC 849)</v>
      </c>
      <c r="E60" s="100">
        <f>IFERROR(IF(VLOOKUP($A60,'Annex 2 Designated EHV charges'!$A:$P,9,FALSE)=0,"",VLOOKUP($A60,'Annex 2 Designated EHV charges'!$A:$P,9,FALSE)),"")</f>
        <v>3.0000000000000001E-3</v>
      </c>
      <c r="F60" s="101">
        <f>IFERROR(IF(VLOOKUP($A60,'Annex 2 Designated EHV charges'!$A:$P,10,FALSE)=0,"",VLOOKUP($A60,'Annex 2 Designated EHV charges'!$A:$P,10,FALSE)),"")</f>
        <v>2335.94</v>
      </c>
      <c r="G60" s="102">
        <f>IFERROR(IF(VLOOKUP($A60,'Annex 2 Designated EHV charges'!$A:$P,11,FALSE)=0,"",VLOOKUP($A60,'Annex 2 Designated EHV charges'!$A:$P,11,FALSE)),"")</f>
        <v>0.63</v>
      </c>
      <c r="H60" s="102">
        <f>IFERROR(IF(VLOOKUP($A60,'Annex 2 Designated EHV charges'!$A:$P,12,FALSE)=0,"",VLOOKUP($A60,'Annex 2 Designated EHV charges'!$A:$P,12,FALSE)),"")</f>
        <v>0.63</v>
      </c>
    </row>
    <row r="61" spans="1:8" ht="60" x14ac:dyDescent="0.2">
      <c r="A61" s="97">
        <v>850</v>
      </c>
      <c r="B61" s="79">
        <f>IF($A61="","",VLOOKUP($A61,'Annex 2 Designated EHV charges'!$A:$P,2,0))</f>
        <v>850</v>
      </c>
      <c r="C61" s="98" t="str">
        <f>IF($A61="","",VLOOKUP($A61,'Annex 2 Designated EHV charges'!$A:$P,3,0))</f>
        <v>2300000647051
2300000647060
2376552920013
2376552920022</v>
      </c>
      <c r="D61" s="99" t="str">
        <f>IF($A61="","",VLOOKUP($A61,'Annex 2 Designated EHV charges'!$A:$P,7,0))</f>
        <v>EHV Site Specific (LLFC 850)</v>
      </c>
      <c r="E61" s="100">
        <f>IFERROR(IF(VLOOKUP($A61,'Annex 2 Designated EHV charges'!$A:$P,9,FALSE)=0,"",VLOOKUP($A61,'Annex 2 Designated EHV charges'!$A:$P,9,FALSE)),"")</f>
        <v>1.7000000000000001E-2</v>
      </c>
      <c r="F61" s="101">
        <f>IFERROR(IF(VLOOKUP($A61,'Annex 2 Designated EHV charges'!$A:$P,10,FALSE)=0,"",VLOOKUP($A61,'Annex 2 Designated EHV charges'!$A:$P,10,FALSE)),"")</f>
        <v>36593.75</v>
      </c>
      <c r="G61" s="102">
        <f>IFERROR(IF(VLOOKUP($A61,'Annex 2 Designated EHV charges'!$A:$P,11,FALSE)=0,"",VLOOKUP($A61,'Annex 2 Designated EHV charges'!$A:$P,11,FALSE)),"")</f>
        <v>0.41</v>
      </c>
      <c r="H61" s="102">
        <f>IFERROR(IF(VLOOKUP($A61,'Annex 2 Designated EHV charges'!$A:$P,12,FALSE)=0,"",VLOOKUP($A61,'Annex 2 Designated EHV charges'!$A:$P,12,FALSE)),"")</f>
        <v>0.41</v>
      </c>
    </row>
    <row r="62" spans="1:8" ht="45" x14ac:dyDescent="0.2">
      <c r="A62" s="97">
        <v>851</v>
      </c>
      <c r="B62" s="79">
        <f>IF($A62="","",VLOOKUP($A62,'Annex 2 Designated EHV charges'!$A:$P,2,0))</f>
        <v>851</v>
      </c>
      <c r="C62" s="98" t="str">
        <f>IF($A62="","",VLOOKUP($A62,'Annex 2 Designated EHV charges'!$A:$P,3,0))</f>
        <v>2376550825013
2380000000543
2380000004097</v>
      </c>
      <c r="D62" s="99" t="str">
        <f>IF($A62="","",VLOOKUP($A62,'Annex 2 Designated EHV charges'!$A:$P,7,0))</f>
        <v>EHV Site Specific (LLFC 851)</v>
      </c>
      <c r="E62" s="100">
        <f>IFERROR(IF(VLOOKUP($A62,'Annex 2 Designated EHV charges'!$A:$P,9,FALSE)=0,"",VLOOKUP($A62,'Annex 2 Designated EHV charges'!$A:$P,9,FALSE)),"")</f>
        <v>0.193</v>
      </c>
      <c r="F62" s="101">
        <f>IFERROR(IF(VLOOKUP($A62,'Annex 2 Designated EHV charges'!$A:$P,10,FALSE)=0,"",VLOOKUP($A62,'Annex 2 Designated EHV charges'!$A:$P,10,FALSE)),"")</f>
        <v>13311.76</v>
      </c>
      <c r="G62" s="102">
        <f>IFERROR(IF(VLOOKUP($A62,'Annex 2 Designated EHV charges'!$A:$P,11,FALSE)=0,"",VLOOKUP($A62,'Annex 2 Designated EHV charges'!$A:$P,11,FALSE)),"")</f>
        <v>1.1100000000000001</v>
      </c>
      <c r="H62" s="102">
        <f>IFERROR(IF(VLOOKUP($A62,'Annex 2 Designated EHV charges'!$A:$P,12,FALSE)=0,"",VLOOKUP($A62,'Annex 2 Designated EHV charges'!$A:$P,12,FALSE)),"")</f>
        <v>1.1100000000000001</v>
      </c>
    </row>
    <row r="63" spans="1:8" x14ac:dyDescent="0.2">
      <c r="A63" s="97">
        <v>852</v>
      </c>
      <c r="B63" s="79">
        <f>IF($A63="","",VLOOKUP($A63,'Annex 2 Designated EHV charges'!$A:$P,2,0))</f>
        <v>852</v>
      </c>
      <c r="C63" s="98">
        <f>IF($A63="","",VLOOKUP($A63,'Annex 2 Designated EHV charges'!$A:$P,3,0))</f>
        <v>2380000257932</v>
      </c>
      <c r="D63" s="99" t="str">
        <f>IF($A63="","",VLOOKUP($A63,'Annex 2 Designated EHV charges'!$A:$P,7,0))</f>
        <v>EHV Site Specific (LLFC 852 &amp; 71)</v>
      </c>
      <c r="E63" s="100">
        <f>IFERROR(IF(VLOOKUP($A63,'Annex 2 Designated EHV charges'!$A:$P,9,FALSE)=0,"",VLOOKUP($A63,'Annex 2 Designated EHV charges'!$A:$P,9,FALSE)),"")</f>
        <v>6.0000000000000001E-3</v>
      </c>
      <c r="F63" s="101">
        <f>IFERROR(IF(VLOOKUP($A63,'Annex 2 Designated EHV charges'!$A:$P,10,FALSE)=0,"",VLOOKUP($A63,'Annex 2 Designated EHV charges'!$A:$P,10,FALSE)),"")</f>
        <v>2198.4899999999998</v>
      </c>
      <c r="G63" s="102">
        <f>IFERROR(IF(VLOOKUP($A63,'Annex 2 Designated EHV charges'!$A:$P,11,FALSE)=0,"",VLOOKUP($A63,'Annex 2 Designated EHV charges'!$A:$P,11,FALSE)),"")</f>
        <v>0.36</v>
      </c>
      <c r="H63" s="102">
        <f>IFERROR(IF(VLOOKUP($A63,'Annex 2 Designated EHV charges'!$A:$P,12,FALSE)=0,"",VLOOKUP($A63,'Annex 2 Designated EHV charges'!$A:$P,12,FALSE)),"")</f>
        <v>0.36</v>
      </c>
    </row>
    <row r="64" spans="1:8" ht="30" x14ac:dyDescent="0.2">
      <c r="A64" s="97">
        <v>853</v>
      </c>
      <c r="B64" s="79">
        <f>IF($A64="","",VLOOKUP($A64,'Annex 2 Designated EHV charges'!$A:$P,2,0))</f>
        <v>853</v>
      </c>
      <c r="C64" s="98" t="str">
        <f>IF($A64="","",VLOOKUP($A64,'Annex 2 Designated EHV charges'!$A:$P,3,0))</f>
        <v>2380000428837
2380000428846</v>
      </c>
      <c r="D64" s="99" t="str">
        <f>IF($A64="","",VLOOKUP($A64,'Annex 2 Designated EHV charges'!$A:$P,7,0))</f>
        <v>EHV Site Specific (LLFC 853)</v>
      </c>
      <c r="E64" s="100">
        <f>IFERROR(IF(VLOOKUP($A64,'Annex 2 Designated EHV charges'!$A:$P,9,FALSE)=0,"",VLOOKUP($A64,'Annex 2 Designated EHV charges'!$A:$P,9,FALSE)),"")</f>
        <v>5.0000000000000001E-3</v>
      </c>
      <c r="F64" s="101">
        <f>IFERROR(IF(VLOOKUP($A64,'Annex 2 Designated EHV charges'!$A:$P,10,FALSE)=0,"",VLOOKUP($A64,'Annex 2 Designated EHV charges'!$A:$P,10,FALSE)),"")</f>
        <v>2335.94</v>
      </c>
      <c r="G64" s="102">
        <f>IFERROR(IF(VLOOKUP($A64,'Annex 2 Designated EHV charges'!$A:$P,11,FALSE)=0,"",VLOOKUP($A64,'Annex 2 Designated EHV charges'!$A:$P,11,FALSE)),"")</f>
        <v>2.88</v>
      </c>
      <c r="H64" s="102">
        <f>IFERROR(IF(VLOOKUP($A64,'Annex 2 Designated EHV charges'!$A:$P,12,FALSE)=0,"",VLOOKUP($A64,'Annex 2 Designated EHV charges'!$A:$P,12,FALSE)),"")</f>
        <v>2.88</v>
      </c>
    </row>
    <row r="65" spans="1:8" x14ac:dyDescent="0.2">
      <c r="A65" s="97">
        <v>854</v>
      </c>
      <c r="B65" s="79">
        <f>IF($A65="","",VLOOKUP($A65,'Annex 2 Designated EHV charges'!$A:$P,2,0))</f>
        <v>854</v>
      </c>
      <c r="C65" s="98">
        <f>IF($A65="","",VLOOKUP($A65,'Annex 2 Designated EHV charges'!$A:$P,3,0))</f>
        <v>2380000476088</v>
      </c>
      <c r="D65" s="99" t="str">
        <f>IF($A65="","",VLOOKUP($A65,'Annex 2 Designated EHV charges'!$A:$P,7,0))</f>
        <v>EHV Site Specific (LLFC 854 &amp; 72)</v>
      </c>
      <c r="E65" s="100">
        <f>IFERROR(IF(VLOOKUP($A65,'Annex 2 Designated EHV charges'!$A:$P,9,FALSE)=0,"",VLOOKUP($A65,'Annex 2 Designated EHV charges'!$A:$P,9,FALSE)),"")</f>
        <v>6.0000000000000001E-3</v>
      </c>
      <c r="F65" s="101">
        <f>IFERROR(IF(VLOOKUP($A65,'Annex 2 Designated EHV charges'!$A:$P,10,FALSE)=0,"",VLOOKUP($A65,'Annex 2 Designated EHV charges'!$A:$P,10,FALSE)),"")</f>
        <v>2196.17</v>
      </c>
      <c r="G65" s="102">
        <f>IFERROR(IF(VLOOKUP($A65,'Annex 2 Designated EHV charges'!$A:$P,11,FALSE)=0,"",VLOOKUP($A65,'Annex 2 Designated EHV charges'!$A:$P,11,FALSE)),"")</f>
        <v>0.36</v>
      </c>
      <c r="H65" s="102">
        <f>IFERROR(IF(VLOOKUP($A65,'Annex 2 Designated EHV charges'!$A:$P,12,FALSE)=0,"",VLOOKUP($A65,'Annex 2 Designated EHV charges'!$A:$P,12,FALSE)),"")</f>
        <v>0.36</v>
      </c>
    </row>
    <row r="66" spans="1:8" ht="90" x14ac:dyDescent="0.2">
      <c r="A66" s="97">
        <v>855</v>
      </c>
      <c r="B66" s="79">
        <f>IF($A66="","",VLOOKUP($A66,'Annex 2 Designated EHV charges'!$A:$P,2,0))</f>
        <v>855</v>
      </c>
      <c r="C66" s="98" t="str">
        <f>IF($A66="","",VLOOKUP($A66,'Annex 2 Designated EHV charges'!$A:$P,3,0))</f>
        <v>2380000724195
2380001078977
2380001078986
2380001078995
2380001079001
2380001079321</v>
      </c>
      <c r="D66" s="99" t="str">
        <f>IF($A66="","",VLOOKUP($A66,'Annex 2 Designated EHV charges'!$A:$P,7,0))</f>
        <v>EHV Site Specific (LLFC 855)</v>
      </c>
      <c r="E66" s="100">
        <f>IFERROR(IF(VLOOKUP($A66,'Annex 2 Designated EHV charges'!$A:$P,9,FALSE)=0,"",VLOOKUP($A66,'Annex 2 Designated EHV charges'!$A:$P,9,FALSE)),"")</f>
        <v>1E-3</v>
      </c>
      <c r="F66" s="101">
        <f>IFERROR(IF(VLOOKUP($A66,'Annex 2 Designated EHV charges'!$A:$P,10,FALSE)=0,"",VLOOKUP($A66,'Annex 2 Designated EHV charges'!$A:$P,10,FALSE)),"")</f>
        <v>13594.59</v>
      </c>
      <c r="G66" s="102">
        <f>IFERROR(IF(VLOOKUP($A66,'Annex 2 Designated EHV charges'!$A:$P,11,FALSE)=0,"",VLOOKUP($A66,'Annex 2 Designated EHV charges'!$A:$P,11,FALSE)),"")</f>
        <v>1.77</v>
      </c>
      <c r="H66" s="102">
        <f>IFERROR(IF(VLOOKUP($A66,'Annex 2 Designated EHV charges'!$A:$P,12,FALSE)=0,"",VLOOKUP($A66,'Annex 2 Designated EHV charges'!$A:$P,12,FALSE)),"")</f>
        <v>1.77</v>
      </c>
    </row>
    <row r="67" spans="1:8" ht="60" x14ac:dyDescent="0.2">
      <c r="A67" s="97">
        <v>856</v>
      </c>
      <c r="B67" s="79">
        <f>IF($A67="","",VLOOKUP($A67,'Annex 2 Designated EHV charges'!$A:$P,2,0))</f>
        <v>856</v>
      </c>
      <c r="C67" s="98" t="str">
        <f>IF($A67="","",VLOOKUP($A67,'Annex 2 Designated EHV charges'!$A:$P,3,0))</f>
        <v>2380001519750
2380001519760
2380001519779
2380001519788</v>
      </c>
      <c r="D67" s="99" t="str">
        <f>IF($A67="","",VLOOKUP($A67,'Annex 2 Designated EHV charges'!$A:$P,7,0))</f>
        <v>EHV Site Specific (LLFC 856)</v>
      </c>
      <c r="E67" s="100">
        <f>IFERROR(IF(VLOOKUP($A67,'Annex 2 Designated EHV charges'!$A:$P,9,FALSE)=0,"",VLOOKUP($A67,'Annex 2 Designated EHV charges'!$A:$P,9,FALSE)),"")</f>
        <v>7.6999999999999999E-2</v>
      </c>
      <c r="F67" s="101">
        <f>IFERROR(IF(VLOOKUP($A67,'Annex 2 Designated EHV charges'!$A:$P,10,FALSE)=0,"",VLOOKUP($A67,'Annex 2 Designated EHV charges'!$A:$P,10,FALSE)),"")</f>
        <v>110728.66</v>
      </c>
      <c r="G67" s="102">
        <f>IFERROR(IF(VLOOKUP($A67,'Annex 2 Designated EHV charges'!$A:$P,11,FALSE)=0,"",VLOOKUP($A67,'Annex 2 Designated EHV charges'!$A:$P,11,FALSE)),"")</f>
        <v>0.76</v>
      </c>
      <c r="H67" s="102">
        <f>IFERROR(IF(VLOOKUP($A67,'Annex 2 Designated EHV charges'!$A:$P,12,FALSE)=0,"",VLOOKUP($A67,'Annex 2 Designated EHV charges'!$A:$P,12,FALSE)),"")</f>
        <v>0.76</v>
      </c>
    </row>
    <row r="68" spans="1:8" x14ac:dyDescent="0.2">
      <c r="A68" s="97">
        <v>857</v>
      </c>
      <c r="B68" s="79">
        <f>IF($A68="","",VLOOKUP($A68,'Annex 2 Designated EHV charges'!$A:$P,2,0))</f>
        <v>857</v>
      </c>
      <c r="C68" s="98">
        <f>IF($A68="","",VLOOKUP($A68,'Annex 2 Designated EHV charges'!$A:$P,3,0))</f>
        <v>2300000526046</v>
      </c>
      <c r="D68" s="99" t="str">
        <f>IF($A68="","",VLOOKUP($A68,'Annex 2 Designated EHV charges'!$A:$P,7,0))</f>
        <v>EHV Site Specific (LLFC 857)</v>
      </c>
      <c r="E68" s="100">
        <f>IFERROR(IF(VLOOKUP($A68,'Annex 2 Designated EHV charges'!$A:$P,9,FALSE)=0,"",VLOOKUP($A68,'Annex 2 Designated EHV charges'!$A:$P,9,FALSE)),"")</f>
        <v>1.0720000000000001</v>
      </c>
      <c r="F68" s="101">
        <f>IFERROR(IF(VLOOKUP($A68,'Annex 2 Designated EHV charges'!$A:$P,10,FALSE)=0,"",VLOOKUP($A68,'Annex 2 Designated EHV charges'!$A:$P,10,FALSE)),"")</f>
        <v>2265.2399999999998</v>
      </c>
      <c r="G68" s="102">
        <f>IFERROR(IF(VLOOKUP($A68,'Annex 2 Designated EHV charges'!$A:$P,11,FALSE)=0,"",VLOOKUP($A68,'Annex 2 Designated EHV charges'!$A:$P,11,FALSE)),"")</f>
        <v>0.55000000000000004</v>
      </c>
      <c r="H68" s="102">
        <f>IFERROR(IF(VLOOKUP($A68,'Annex 2 Designated EHV charges'!$A:$P,12,FALSE)=0,"",VLOOKUP($A68,'Annex 2 Designated EHV charges'!$A:$P,12,FALSE)),"")</f>
        <v>0.55000000000000004</v>
      </c>
    </row>
    <row r="69" spans="1:8" ht="45" x14ac:dyDescent="0.2">
      <c r="A69" s="97">
        <v>858</v>
      </c>
      <c r="B69" s="79">
        <f>IF($A69="","",VLOOKUP($A69,'Annex 2 Designated EHV charges'!$A:$P,2,0))</f>
        <v>858</v>
      </c>
      <c r="C69" s="98" t="str">
        <f>IF($A69="","",VLOOKUP($A69,'Annex 2 Designated EHV charges'!$A:$P,3,0))</f>
        <v>2326526290016
2326526290025
2380002292920</v>
      </c>
      <c r="D69" s="99" t="str">
        <f>IF($A69="","",VLOOKUP($A69,'Annex 2 Designated EHV charges'!$A:$P,7,0))</f>
        <v>EHV Site Specific (LLFC 858)</v>
      </c>
      <c r="E69" s="100">
        <f>IFERROR(IF(VLOOKUP($A69,'Annex 2 Designated EHV charges'!$A:$P,9,FALSE)=0,"",VLOOKUP($A69,'Annex 2 Designated EHV charges'!$A:$P,9,FALSE)),"")</f>
        <v>0.59699999999999998</v>
      </c>
      <c r="F69" s="101">
        <f>IFERROR(IF(VLOOKUP($A69,'Annex 2 Designated EHV charges'!$A:$P,10,FALSE)=0,"",VLOOKUP($A69,'Annex 2 Designated EHV charges'!$A:$P,10,FALSE)),"")</f>
        <v>13311.76</v>
      </c>
      <c r="G69" s="102">
        <f>IFERROR(IF(VLOOKUP($A69,'Annex 2 Designated EHV charges'!$A:$P,11,FALSE)=0,"",VLOOKUP($A69,'Annex 2 Designated EHV charges'!$A:$P,11,FALSE)),"")</f>
        <v>0.77</v>
      </c>
      <c r="H69" s="102">
        <f>IFERROR(IF(VLOOKUP($A69,'Annex 2 Designated EHV charges'!$A:$P,12,FALSE)=0,"",VLOOKUP($A69,'Annex 2 Designated EHV charges'!$A:$P,12,FALSE)),"")</f>
        <v>0.77</v>
      </c>
    </row>
    <row r="70" spans="1:8" ht="30" x14ac:dyDescent="0.2">
      <c r="A70" s="97">
        <v>859</v>
      </c>
      <c r="B70" s="79">
        <f>IF($A70="","",VLOOKUP($A70,'Annex 2 Designated EHV charges'!$A:$P,2,0))</f>
        <v>859</v>
      </c>
      <c r="C70" s="98" t="str">
        <f>IF($A70="","",VLOOKUP($A70,'Annex 2 Designated EHV charges'!$A:$P,3,0))</f>
        <v>2336525711011
2336525711020</v>
      </c>
      <c r="D70" s="99" t="str">
        <f>IF($A70="","",VLOOKUP($A70,'Annex 2 Designated EHV charges'!$A:$P,7,0))</f>
        <v>EHV Site Specific (LLFC 859)</v>
      </c>
      <c r="E70" s="100">
        <f>IFERROR(IF(VLOOKUP($A70,'Annex 2 Designated EHV charges'!$A:$P,9,FALSE)=0,"",VLOOKUP($A70,'Annex 2 Designated EHV charges'!$A:$P,9,FALSE)),"")</f>
        <v>3.3000000000000002E-2</v>
      </c>
      <c r="F70" s="101">
        <f>IFERROR(IF(VLOOKUP($A70,'Annex 2 Designated EHV charges'!$A:$P,10,FALSE)=0,"",VLOOKUP($A70,'Annex 2 Designated EHV charges'!$A:$P,10,FALSE)),"")</f>
        <v>13311.76</v>
      </c>
      <c r="G70" s="102">
        <f>IFERROR(IF(VLOOKUP($A70,'Annex 2 Designated EHV charges'!$A:$P,11,FALSE)=0,"",VLOOKUP($A70,'Annex 2 Designated EHV charges'!$A:$P,11,FALSE)),"")</f>
        <v>0.74</v>
      </c>
      <c r="H70" s="102">
        <f>IFERROR(IF(VLOOKUP($A70,'Annex 2 Designated EHV charges'!$A:$P,12,FALSE)=0,"",VLOOKUP($A70,'Annex 2 Designated EHV charges'!$A:$P,12,FALSE)),"")</f>
        <v>0.74</v>
      </c>
    </row>
    <row r="71" spans="1:8" ht="60" x14ac:dyDescent="0.2">
      <c r="A71" s="97">
        <v>861</v>
      </c>
      <c r="B71" s="79">
        <f>IF($A71="","",VLOOKUP($A71,'Annex 2 Designated EHV charges'!$A:$P,2,0))</f>
        <v>861</v>
      </c>
      <c r="C71" s="98" t="str">
        <f>IF($A71="","",VLOOKUP($A71,'Annex 2 Designated EHV charges'!$A:$P,3,0))</f>
        <v>2300000493180
2300000552125
2336552115017
2336552115026</v>
      </c>
      <c r="D71" s="99" t="str">
        <f>IF($A71="","",VLOOKUP($A71,'Annex 2 Designated EHV charges'!$A:$P,7,0))</f>
        <v>EHV Site Specific (LLFC 861)</v>
      </c>
      <c r="E71" s="100">
        <f>IFERROR(IF(VLOOKUP($A71,'Annex 2 Designated EHV charges'!$A:$P,9,FALSE)=0,"",VLOOKUP($A71,'Annex 2 Designated EHV charges'!$A:$P,9,FALSE)),"")</f>
        <v>3.0000000000000001E-3</v>
      </c>
      <c r="F71" s="101">
        <f>IFERROR(IF(VLOOKUP($A71,'Annex 2 Designated EHV charges'!$A:$P,10,FALSE)=0,"",VLOOKUP($A71,'Annex 2 Designated EHV charges'!$A:$P,10,FALSE)),"")</f>
        <v>13453.18</v>
      </c>
      <c r="G71" s="102">
        <f>IFERROR(IF(VLOOKUP($A71,'Annex 2 Designated EHV charges'!$A:$P,11,FALSE)=0,"",VLOOKUP($A71,'Annex 2 Designated EHV charges'!$A:$P,11,FALSE)),"")</f>
        <v>1.01</v>
      </c>
      <c r="H71" s="102">
        <f>IFERROR(IF(VLOOKUP($A71,'Annex 2 Designated EHV charges'!$A:$P,12,FALSE)=0,"",VLOOKUP($A71,'Annex 2 Designated EHV charges'!$A:$P,12,FALSE)),"")</f>
        <v>1.01</v>
      </c>
    </row>
    <row r="72" spans="1:8" ht="60" x14ac:dyDescent="0.2">
      <c r="A72" s="97">
        <v>862</v>
      </c>
      <c r="B72" s="79">
        <f>IF($A72="","",VLOOKUP($A72,'Annex 2 Designated EHV charges'!$A:$P,2,0))</f>
        <v>862</v>
      </c>
      <c r="C72" s="98" t="str">
        <f>IF($A72="","",VLOOKUP($A72,'Annex 2 Designated EHV charges'!$A:$P,3,0))</f>
        <v>2300000234163
2300000234172
2336590770013
2336590770022</v>
      </c>
      <c r="D72" s="99" t="str">
        <f>IF($A72="","",VLOOKUP($A72,'Annex 2 Designated EHV charges'!$A:$P,7,0))</f>
        <v>EHV Site Specific (LLFC 862)</v>
      </c>
      <c r="E72" s="100" t="str">
        <f>IFERROR(IF(VLOOKUP($A72,'Annex 2 Designated EHV charges'!$A:$P,9,FALSE)=0,"",VLOOKUP($A72,'Annex 2 Designated EHV charges'!$A:$P,9,FALSE)),"")</f>
        <v/>
      </c>
      <c r="F72" s="101">
        <f>IFERROR(IF(VLOOKUP($A72,'Annex 2 Designated EHV charges'!$A:$P,10,FALSE)=0,"",VLOOKUP($A72,'Annex 2 Designated EHV charges'!$A:$P,10,FALSE)),"")</f>
        <v>13453.18</v>
      </c>
      <c r="G72" s="102">
        <f>IFERROR(IF(VLOOKUP($A72,'Annex 2 Designated EHV charges'!$A:$P,11,FALSE)=0,"",VLOOKUP($A72,'Annex 2 Designated EHV charges'!$A:$P,11,FALSE)),"")</f>
        <v>1.6</v>
      </c>
      <c r="H72" s="102">
        <f>IFERROR(IF(VLOOKUP($A72,'Annex 2 Designated EHV charges'!$A:$P,12,FALSE)=0,"",VLOOKUP($A72,'Annex 2 Designated EHV charges'!$A:$P,12,FALSE)),"")</f>
        <v>1.6</v>
      </c>
    </row>
    <row r="73" spans="1:8" ht="60" x14ac:dyDescent="0.2">
      <c r="A73" s="97">
        <v>863</v>
      </c>
      <c r="B73" s="79">
        <f>IF($A73="","",VLOOKUP($A73,'Annex 2 Designated EHV charges'!$A:$P,2,0))</f>
        <v>863</v>
      </c>
      <c r="C73" s="98" t="str">
        <f>IF($A73="","",VLOOKUP($A73,'Annex 2 Designated EHV charges'!$A:$P,3,0))</f>
        <v>2300000234066
2300000234075
2300000234084
2336590810010</v>
      </c>
      <c r="D73" s="99" t="str">
        <f>IF($A73="","",VLOOKUP($A73,'Annex 2 Designated EHV charges'!$A:$P,7,0))</f>
        <v>EHV Site Specific (LLFC 863)</v>
      </c>
      <c r="E73" s="100">
        <f>IFERROR(IF(VLOOKUP($A73,'Annex 2 Designated EHV charges'!$A:$P,9,FALSE)=0,"",VLOOKUP($A73,'Annex 2 Designated EHV charges'!$A:$P,9,FALSE)),"")</f>
        <v>0.45200000000000001</v>
      </c>
      <c r="F73" s="101">
        <f>IFERROR(IF(VLOOKUP($A73,'Annex 2 Designated EHV charges'!$A:$P,10,FALSE)=0,"",VLOOKUP($A73,'Annex 2 Designated EHV charges'!$A:$P,10,FALSE)),"")</f>
        <v>13453.18</v>
      </c>
      <c r="G73" s="102">
        <f>IFERROR(IF(VLOOKUP($A73,'Annex 2 Designated EHV charges'!$A:$P,11,FALSE)=0,"",VLOOKUP($A73,'Annex 2 Designated EHV charges'!$A:$P,11,FALSE)),"")</f>
        <v>1.65</v>
      </c>
      <c r="H73" s="102">
        <f>IFERROR(IF(VLOOKUP($A73,'Annex 2 Designated EHV charges'!$A:$P,12,FALSE)=0,"",VLOOKUP($A73,'Annex 2 Designated EHV charges'!$A:$P,12,FALSE)),"")</f>
        <v>1.65</v>
      </c>
    </row>
    <row r="74" spans="1:8" ht="30" x14ac:dyDescent="0.2">
      <c r="A74" s="97">
        <v>865</v>
      </c>
      <c r="B74" s="79">
        <f>IF($A74="","",VLOOKUP($A74,'Annex 2 Designated EHV charges'!$A:$P,2,0))</f>
        <v>865</v>
      </c>
      <c r="C74" s="98" t="str">
        <f>IF($A74="","",VLOOKUP($A74,'Annex 2 Designated EHV charges'!$A:$P,3,0))</f>
        <v>2346530035017
2346530035026</v>
      </c>
      <c r="D74" s="99" t="str">
        <f>IF($A74="","",VLOOKUP($A74,'Annex 2 Designated EHV charges'!$A:$P,7,0))</f>
        <v>EHV Site Specific (LLFC 865)</v>
      </c>
      <c r="E74" s="100">
        <f>IFERROR(IF(VLOOKUP($A74,'Annex 2 Designated EHV charges'!$A:$P,9,FALSE)=0,"",VLOOKUP($A74,'Annex 2 Designated EHV charges'!$A:$P,9,FALSE)),"")</f>
        <v>0.31</v>
      </c>
      <c r="F74" s="101">
        <f>IFERROR(IF(VLOOKUP($A74,'Annex 2 Designated EHV charges'!$A:$P,10,FALSE)=0,"",VLOOKUP($A74,'Annex 2 Designated EHV charges'!$A:$P,10,FALSE)),"")</f>
        <v>13311.76</v>
      </c>
      <c r="G74" s="102">
        <f>IFERROR(IF(VLOOKUP($A74,'Annex 2 Designated EHV charges'!$A:$P,11,FALSE)=0,"",VLOOKUP($A74,'Annex 2 Designated EHV charges'!$A:$P,11,FALSE)),"")</f>
        <v>1.94</v>
      </c>
      <c r="H74" s="102">
        <f>IFERROR(IF(VLOOKUP($A74,'Annex 2 Designated EHV charges'!$A:$P,12,FALSE)=0,"",VLOOKUP($A74,'Annex 2 Designated EHV charges'!$A:$P,12,FALSE)),"")</f>
        <v>1.94</v>
      </c>
    </row>
    <row r="75" spans="1:8" ht="30" x14ac:dyDescent="0.2">
      <c r="A75" s="97">
        <v>867</v>
      </c>
      <c r="B75" s="79">
        <f>IF($A75="","",VLOOKUP($A75,'Annex 2 Designated EHV charges'!$A:$P,2,0))</f>
        <v>867</v>
      </c>
      <c r="C75" s="98" t="str">
        <f>IF($A75="","",VLOOKUP($A75,'Annex 2 Designated EHV charges'!$A:$P,3,0))</f>
        <v>2346534433019
2346534433028</v>
      </c>
      <c r="D75" s="99" t="str">
        <f>IF($A75="","",VLOOKUP($A75,'Annex 2 Designated EHV charges'!$A:$P,7,0))</f>
        <v>EHV Site Specific (LLFC 867)</v>
      </c>
      <c r="E75" s="100">
        <f>IFERROR(IF(VLOOKUP($A75,'Annex 2 Designated EHV charges'!$A:$P,9,FALSE)=0,"",VLOOKUP($A75,'Annex 2 Designated EHV charges'!$A:$P,9,FALSE)),"")</f>
        <v>0.222</v>
      </c>
      <c r="F75" s="101">
        <f>IFERROR(IF(VLOOKUP($A75,'Annex 2 Designated EHV charges'!$A:$P,10,FALSE)=0,"",VLOOKUP($A75,'Annex 2 Designated EHV charges'!$A:$P,10,FALSE)),"")</f>
        <v>2335.94</v>
      </c>
      <c r="G75" s="102">
        <f>IFERROR(IF(VLOOKUP($A75,'Annex 2 Designated EHV charges'!$A:$P,11,FALSE)=0,"",VLOOKUP($A75,'Annex 2 Designated EHV charges'!$A:$P,11,FALSE)),"")</f>
        <v>0.95</v>
      </c>
      <c r="H75" s="102">
        <f>IFERROR(IF(VLOOKUP($A75,'Annex 2 Designated EHV charges'!$A:$P,12,FALSE)=0,"",VLOOKUP($A75,'Annex 2 Designated EHV charges'!$A:$P,12,FALSE)),"")</f>
        <v>0.95</v>
      </c>
    </row>
    <row r="76" spans="1:8" ht="30" x14ac:dyDescent="0.2">
      <c r="A76" s="97">
        <v>868</v>
      </c>
      <c r="B76" s="79">
        <f>IF($A76="","",VLOOKUP($A76,'Annex 2 Designated EHV charges'!$A:$P,2,0))</f>
        <v>868</v>
      </c>
      <c r="C76" s="98" t="str">
        <f>IF($A76="","",VLOOKUP($A76,'Annex 2 Designated EHV charges'!$A:$P,3,0))</f>
        <v>2356530030015
2356530030024</v>
      </c>
      <c r="D76" s="99" t="str">
        <f>IF($A76="","",VLOOKUP($A76,'Annex 2 Designated EHV charges'!$A:$P,7,0))</f>
        <v>EHV Site Specific (LLFC 868)</v>
      </c>
      <c r="E76" s="100">
        <f>IFERROR(IF(VLOOKUP($A76,'Annex 2 Designated EHV charges'!$A:$P,9,FALSE)=0,"",VLOOKUP($A76,'Annex 2 Designated EHV charges'!$A:$P,9,FALSE)),"")</f>
        <v>1.4999999999999999E-2</v>
      </c>
      <c r="F76" s="101">
        <f>IFERROR(IF(VLOOKUP($A76,'Annex 2 Designated EHV charges'!$A:$P,10,FALSE)=0,"",VLOOKUP($A76,'Annex 2 Designated EHV charges'!$A:$P,10,FALSE)),"")</f>
        <v>2335.94</v>
      </c>
      <c r="G76" s="102">
        <f>IFERROR(IF(VLOOKUP($A76,'Annex 2 Designated EHV charges'!$A:$P,11,FALSE)=0,"",VLOOKUP($A76,'Annex 2 Designated EHV charges'!$A:$P,11,FALSE)),"")</f>
        <v>0.96</v>
      </c>
      <c r="H76" s="102">
        <f>IFERROR(IF(VLOOKUP($A76,'Annex 2 Designated EHV charges'!$A:$P,12,FALSE)=0,"",VLOOKUP($A76,'Annex 2 Designated EHV charges'!$A:$P,12,FALSE)),"")</f>
        <v>0.96</v>
      </c>
    </row>
    <row r="77" spans="1:8" ht="30" x14ac:dyDescent="0.2">
      <c r="A77" s="97">
        <v>869</v>
      </c>
      <c r="B77" s="79">
        <f>IF($A77="","",VLOOKUP($A77,'Annex 2 Designated EHV charges'!$A:$P,2,0))</f>
        <v>869</v>
      </c>
      <c r="C77" s="98" t="str">
        <f>IF($A77="","",VLOOKUP($A77,'Annex 2 Designated EHV charges'!$A:$P,3,0))</f>
        <v>2356530321010
2356530321029</v>
      </c>
      <c r="D77" s="99" t="str">
        <f>IF($A77="","",VLOOKUP($A77,'Annex 2 Designated EHV charges'!$A:$P,7,0))</f>
        <v>EHV Site Specific (LLFC 869)</v>
      </c>
      <c r="E77" s="100">
        <f>IFERROR(IF(VLOOKUP($A77,'Annex 2 Designated EHV charges'!$A:$P,9,FALSE)=0,"",VLOOKUP($A77,'Annex 2 Designated EHV charges'!$A:$P,9,FALSE)),"")</f>
        <v>0.25600000000000001</v>
      </c>
      <c r="F77" s="101">
        <f>IFERROR(IF(VLOOKUP($A77,'Annex 2 Designated EHV charges'!$A:$P,10,FALSE)=0,"",VLOOKUP($A77,'Annex 2 Designated EHV charges'!$A:$P,10,FALSE)),"")</f>
        <v>13311.76</v>
      </c>
      <c r="G77" s="102">
        <f>IFERROR(IF(VLOOKUP($A77,'Annex 2 Designated EHV charges'!$A:$P,11,FALSE)=0,"",VLOOKUP($A77,'Annex 2 Designated EHV charges'!$A:$P,11,FALSE)),"")</f>
        <v>1.87</v>
      </c>
      <c r="H77" s="102">
        <f>IFERROR(IF(VLOOKUP($A77,'Annex 2 Designated EHV charges'!$A:$P,12,FALSE)=0,"",VLOOKUP($A77,'Annex 2 Designated EHV charges'!$A:$P,12,FALSE)),"")</f>
        <v>1.87</v>
      </c>
    </row>
    <row r="78" spans="1:8" ht="30" x14ac:dyDescent="0.2">
      <c r="A78" s="97">
        <v>870</v>
      </c>
      <c r="B78" s="79">
        <f>IF($A78="","",VLOOKUP($A78,'Annex 2 Designated EHV charges'!$A:$P,2,0))</f>
        <v>870</v>
      </c>
      <c r="C78" s="98" t="str">
        <f>IF($A78="","",VLOOKUP($A78,'Annex 2 Designated EHV charges'!$A:$P,3,0))</f>
        <v>2356530620210
2356530620229</v>
      </c>
      <c r="D78" s="99" t="str">
        <f>IF($A78="","",VLOOKUP($A78,'Annex 2 Designated EHV charges'!$A:$P,7,0))</f>
        <v>EHV Site Specific (LLFC 870 &amp; 36)</v>
      </c>
      <c r="E78" s="100">
        <f>IFERROR(IF(VLOOKUP($A78,'Annex 2 Designated EHV charges'!$A:$P,9,FALSE)=0,"",VLOOKUP($A78,'Annex 2 Designated EHV charges'!$A:$P,9,FALSE)),"")</f>
        <v>1.6E-2</v>
      </c>
      <c r="F78" s="101">
        <f>IFERROR(IF(VLOOKUP($A78,'Annex 2 Designated EHV charges'!$A:$P,10,FALSE)=0,"",VLOOKUP($A78,'Annex 2 Designated EHV charges'!$A:$P,10,FALSE)),"")</f>
        <v>114.34</v>
      </c>
      <c r="G78" s="102">
        <f>IFERROR(IF(VLOOKUP($A78,'Annex 2 Designated EHV charges'!$A:$P,11,FALSE)=0,"",VLOOKUP($A78,'Annex 2 Designated EHV charges'!$A:$P,11,FALSE)),"")</f>
        <v>0.35</v>
      </c>
      <c r="H78" s="102">
        <f>IFERROR(IF(VLOOKUP($A78,'Annex 2 Designated EHV charges'!$A:$P,12,FALSE)=0,"",VLOOKUP($A78,'Annex 2 Designated EHV charges'!$A:$P,12,FALSE)),"")</f>
        <v>0.35</v>
      </c>
    </row>
    <row r="79" spans="1:8" ht="30" x14ac:dyDescent="0.2">
      <c r="A79" s="97">
        <v>871</v>
      </c>
      <c r="B79" s="79">
        <f>IF($A79="","",VLOOKUP($A79,'Annex 2 Designated EHV charges'!$A:$P,2,0))</f>
        <v>871</v>
      </c>
      <c r="C79" s="98" t="str">
        <f>IF($A79="","",VLOOKUP($A79,'Annex 2 Designated EHV charges'!$A:$P,3,0))</f>
        <v>2366540061017
2366540061026</v>
      </c>
      <c r="D79" s="99" t="str">
        <f>IF($A79="","",VLOOKUP($A79,'Annex 2 Designated EHV charges'!$A:$P,7,0))</f>
        <v>EHV Site Specific (LLFC 871)</v>
      </c>
      <c r="E79" s="100">
        <f>IFERROR(IF(VLOOKUP($A79,'Annex 2 Designated EHV charges'!$A:$P,9,FALSE)=0,"",VLOOKUP($A79,'Annex 2 Designated EHV charges'!$A:$P,9,FALSE)),"")</f>
        <v>0.36699999999999999</v>
      </c>
      <c r="F79" s="101">
        <f>IFERROR(IF(VLOOKUP($A79,'Annex 2 Designated EHV charges'!$A:$P,10,FALSE)=0,"",VLOOKUP($A79,'Annex 2 Designated EHV charges'!$A:$P,10,FALSE)),"")</f>
        <v>2335.94</v>
      </c>
      <c r="G79" s="102">
        <f>IFERROR(IF(VLOOKUP($A79,'Annex 2 Designated EHV charges'!$A:$P,11,FALSE)=0,"",VLOOKUP($A79,'Annex 2 Designated EHV charges'!$A:$P,11,FALSE)),"")</f>
        <v>1.28</v>
      </c>
      <c r="H79" s="102">
        <f>IFERROR(IF(VLOOKUP($A79,'Annex 2 Designated EHV charges'!$A:$P,12,FALSE)=0,"",VLOOKUP($A79,'Annex 2 Designated EHV charges'!$A:$P,12,FALSE)),"")</f>
        <v>1.28</v>
      </c>
    </row>
    <row r="80" spans="1:8" ht="30" x14ac:dyDescent="0.2">
      <c r="A80" s="97">
        <v>872</v>
      </c>
      <c r="B80" s="79">
        <f>IF($A80="","",VLOOKUP($A80,'Annex 2 Designated EHV charges'!$A:$P,2,0))</f>
        <v>872</v>
      </c>
      <c r="C80" s="98" t="str">
        <f>IF($A80="","",VLOOKUP($A80,'Annex 2 Designated EHV charges'!$A:$P,3,0))</f>
        <v>2300000674055
2300000674064</v>
      </c>
      <c r="D80" s="99" t="str">
        <f>IF($A80="","",VLOOKUP($A80,'Annex 2 Designated EHV charges'!$A:$P,7,0))</f>
        <v>EHV Site Specific (LLFC 872)</v>
      </c>
      <c r="E80" s="100">
        <f>IFERROR(IF(VLOOKUP($A80,'Annex 2 Designated EHV charges'!$A:$P,9,FALSE)=0,"",VLOOKUP($A80,'Annex 2 Designated EHV charges'!$A:$P,9,FALSE)),"")</f>
        <v>4.5999999999999999E-2</v>
      </c>
      <c r="F80" s="101">
        <f>IFERROR(IF(VLOOKUP($A80,'Annex 2 Designated EHV charges'!$A:$P,10,FALSE)=0,"",VLOOKUP($A80,'Annex 2 Designated EHV charges'!$A:$P,10,FALSE)),"")</f>
        <v>13311.76</v>
      </c>
      <c r="G80" s="102">
        <f>IFERROR(IF(VLOOKUP($A80,'Annex 2 Designated EHV charges'!$A:$P,11,FALSE)=0,"",VLOOKUP($A80,'Annex 2 Designated EHV charges'!$A:$P,11,FALSE)),"")</f>
        <v>1.37</v>
      </c>
      <c r="H80" s="102">
        <f>IFERROR(IF(VLOOKUP($A80,'Annex 2 Designated EHV charges'!$A:$P,12,FALSE)=0,"",VLOOKUP($A80,'Annex 2 Designated EHV charges'!$A:$P,12,FALSE)),"")</f>
        <v>1.37</v>
      </c>
    </row>
    <row r="81" spans="1:8" ht="30" x14ac:dyDescent="0.2">
      <c r="A81" s="97">
        <v>873</v>
      </c>
      <c r="B81" s="79">
        <f>IF($A81="","",VLOOKUP($A81,'Annex 2 Designated EHV charges'!$A:$P,2,0))</f>
        <v>873</v>
      </c>
      <c r="C81" s="98" t="str">
        <f>IF($A81="","",VLOOKUP($A81,'Annex 2 Designated EHV charges'!$A:$P,3,0))</f>
        <v>2300000777530
2366540110116</v>
      </c>
      <c r="D81" s="99" t="str">
        <f>IF($A81="","",VLOOKUP($A81,'Annex 2 Designated EHV charges'!$A:$P,7,0))</f>
        <v>EHV Site Specific (LLFC 873)</v>
      </c>
      <c r="E81" s="100">
        <f>IFERROR(IF(VLOOKUP($A81,'Annex 2 Designated EHV charges'!$A:$P,9,FALSE)=0,"",VLOOKUP($A81,'Annex 2 Designated EHV charges'!$A:$P,9,FALSE)),"")</f>
        <v>4.7E-2</v>
      </c>
      <c r="F81" s="101">
        <f>IFERROR(IF(VLOOKUP($A81,'Annex 2 Designated EHV charges'!$A:$P,10,FALSE)=0,"",VLOOKUP($A81,'Annex 2 Designated EHV charges'!$A:$P,10,FALSE)),"")</f>
        <v>13311.76</v>
      </c>
      <c r="G81" s="102">
        <f>IFERROR(IF(VLOOKUP($A81,'Annex 2 Designated EHV charges'!$A:$P,11,FALSE)=0,"",VLOOKUP($A81,'Annex 2 Designated EHV charges'!$A:$P,11,FALSE)),"")</f>
        <v>0.86</v>
      </c>
      <c r="H81" s="102">
        <f>IFERROR(IF(VLOOKUP($A81,'Annex 2 Designated EHV charges'!$A:$P,12,FALSE)=0,"",VLOOKUP($A81,'Annex 2 Designated EHV charges'!$A:$P,12,FALSE)),"")</f>
        <v>0.86</v>
      </c>
    </row>
    <row r="82" spans="1:8" x14ac:dyDescent="0.2">
      <c r="A82" s="97">
        <v>874</v>
      </c>
      <c r="B82" s="79">
        <f>IF($A82="","",VLOOKUP($A82,'Annex 2 Designated EHV charges'!$A:$P,2,0))</f>
        <v>874</v>
      </c>
      <c r="C82" s="98">
        <f>IF($A82="","",VLOOKUP($A82,'Annex 2 Designated EHV charges'!$A:$P,3,0))</f>
        <v>2300000542828</v>
      </c>
      <c r="D82" s="99" t="str">
        <f>IF($A82="","",VLOOKUP($A82,'Annex 2 Designated EHV charges'!$A:$P,7,0))</f>
        <v>EHV Site Specific (LLFC 874 &amp; 32)</v>
      </c>
      <c r="E82" s="100" t="str">
        <f>IFERROR(IF(VLOOKUP($A82,'Annex 2 Designated EHV charges'!$A:$P,9,FALSE)=0,"",VLOOKUP($A82,'Annex 2 Designated EHV charges'!$A:$P,9,FALSE)),"")</f>
        <v/>
      </c>
      <c r="F82" s="101">
        <f>IFERROR(IF(VLOOKUP($A82,'Annex 2 Designated EHV charges'!$A:$P,10,FALSE)=0,"",VLOOKUP($A82,'Annex 2 Designated EHV charges'!$A:$P,10,FALSE)),"")</f>
        <v>2197.11</v>
      </c>
      <c r="G82" s="102">
        <f>IFERROR(IF(VLOOKUP($A82,'Annex 2 Designated EHV charges'!$A:$P,11,FALSE)=0,"",VLOOKUP($A82,'Annex 2 Designated EHV charges'!$A:$P,11,FALSE)),"")</f>
        <v>0.65</v>
      </c>
      <c r="H82" s="102">
        <f>IFERROR(IF(VLOOKUP($A82,'Annex 2 Designated EHV charges'!$A:$P,12,FALSE)=0,"",VLOOKUP($A82,'Annex 2 Designated EHV charges'!$A:$P,12,FALSE)),"")</f>
        <v>0.65</v>
      </c>
    </row>
    <row r="83" spans="1:8" x14ac:dyDescent="0.2">
      <c r="A83" s="97">
        <v>875</v>
      </c>
      <c r="B83" s="79">
        <f>IF($A83="","",VLOOKUP($A83,'Annex 2 Designated EHV charges'!$A:$P,2,0))</f>
        <v>875</v>
      </c>
      <c r="C83" s="98">
        <f>IF($A83="","",VLOOKUP($A83,'Annex 2 Designated EHV charges'!$A:$P,3,0))</f>
        <v>2366560263119</v>
      </c>
      <c r="D83" s="99" t="str">
        <f>IF($A83="","",VLOOKUP($A83,'Annex 2 Designated EHV charges'!$A:$P,7,0))</f>
        <v>EHV Site Specific (LLFC 875)</v>
      </c>
      <c r="E83" s="100">
        <f>IFERROR(IF(VLOOKUP($A83,'Annex 2 Designated EHV charges'!$A:$P,9,FALSE)=0,"",VLOOKUP($A83,'Annex 2 Designated EHV charges'!$A:$P,9,FALSE)),"")</f>
        <v>0.17799999999999999</v>
      </c>
      <c r="F83" s="101">
        <f>IFERROR(IF(VLOOKUP($A83,'Annex 2 Designated EHV charges'!$A:$P,10,FALSE)=0,"",VLOOKUP($A83,'Annex 2 Designated EHV charges'!$A:$P,10,FALSE)),"")</f>
        <v>13311.76</v>
      </c>
      <c r="G83" s="102">
        <f>IFERROR(IF(VLOOKUP($A83,'Annex 2 Designated EHV charges'!$A:$P,11,FALSE)=0,"",VLOOKUP($A83,'Annex 2 Designated EHV charges'!$A:$P,11,FALSE)),"")</f>
        <v>1.1299999999999999</v>
      </c>
      <c r="H83" s="102">
        <f>IFERROR(IF(VLOOKUP($A83,'Annex 2 Designated EHV charges'!$A:$P,12,FALSE)=0,"",VLOOKUP($A83,'Annex 2 Designated EHV charges'!$A:$P,12,FALSE)),"")</f>
        <v>1.1299999999999999</v>
      </c>
    </row>
    <row r="84" spans="1:8" x14ac:dyDescent="0.2">
      <c r="A84" s="97">
        <v>876</v>
      </c>
      <c r="B84" s="79">
        <f>IF($A84="","",VLOOKUP($A84,'Annex 2 Designated EHV charges'!$A:$P,2,0))</f>
        <v>876</v>
      </c>
      <c r="C84" s="98">
        <f>IF($A84="","",VLOOKUP($A84,'Annex 2 Designated EHV charges'!$A:$P,3,0))</f>
        <v>2300000699565</v>
      </c>
      <c r="D84" s="99" t="str">
        <f>IF($A84="","",VLOOKUP($A84,'Annex 2 Designated EHV charges'!$A:$P,7,0))</f>
        <v>EHV Site Specific (LLFC 876)</v>
      </c>
      <c r="E84" s="100">
        <f>IFERROR(IF(VLOOKUP($A84,'Annex 2 Designated EHV charges'!$A:$P,9,FALSE)=0,"",VLOOKUP($A84,'Annex 2 Designated EHV charges'!$A:$P,9,FALSE)),"")</f>
        <v>3.1E-2</v>
      </c>
      <c r="F84" s="101">
        <f>IFERROR(IF(VLOOKUP($A84,'Annex 2 Designated EHV charges'!$A:$P,10,FALSE)=0,"",VLOOKUP($A84,'Annex 2 Designated EHV charges'!$A:$P,10,FALSE)),"")</f>
        <v>2335.94</v>
      </c>
      <c r="G84" s="102">
        <f>IFERROR(IF(VLOOKUP($A84,'Annex 2 Designated EHV charges'!$A:$P,11,FALSE)=0,"",VLOOKUP($A84,'Annex 2 Designated EHV charges'!$A:$P,11,FALSE)),"")</f>
        <v>1.81</v>
      </c>
      <c r="H84" s="102">
        <f>IFERROR(IF(VLOOKUP($A84,'Annex 2 Designated EHV charges'!$A:$P,12,FALSE)=0,"",VLOOKUP($A84,'Annex 2 Designated EHV charges'!$A:$P,12,FALSE)),"")</f>
        <v>1.81</v>
      </c>
    </row>
    <row r="85" spans="1:8" x14ac:dyDescent="0.2">
      <c r="A85" s="97">
        <v>877</v>
      </c>
      <c r="B85" s="79">
        <f>IF($A85="","",VLOOKUP($A85,'Annex 2 Designated EHV charges'!$A:$P,2,0))</f>
        <v>877</v>
      </c>
      <c r="C85" s="98">
        <f>IF($A85="","",VLOOKUP($A85,'Annex 2 Designated EHV charges'!$A:$P,3,0))</f>
        <v>2366591617013</v>
      </c>
      <c r="D85" s="99" t="str">
        <f>IF($A85="","",VLOOKUP($A85,'Annex 2 Designated EHV charges'!$A:$P,7,0))</f>
        <v>EHV Site Specific (LLFC 877)</v>
      </c>
      <c r="E85" s="100">
        <f>IFERROR(IF(VLOOKUP($A85,'Annex 2 Designated EHV charges'!$A:$P,9,FALSE)=0,"",VLOOKUP($A85,'Annex 2 Designated EHV charges'!$A:$P,9,FALSE)),"")</f>
        <v>4.4999999999999998E-2</v>
      </c>
      <c r="F85" s="101">
        <f>IFERROR(IF(VLOOKUP($A85,'Annex 2 Designated EHV charges'!$A:$P,10,FALSE)=0,"",VLOOKUP($A85,'Annex 2 Designated EHV charges'!$A:$P,10,FALSE)),"")</f>
        <v>13311.76</v>
      </c>
      <c r="G85" s="102">
        <f>IFERROR(IF(VLOOKUP($A85,'Annex 2 Designated EHV charges'!$A:$P,11,FALSE)=0,"",VLOOKUP($A85,'Annex 2 Designated EHV charges'!$A:$P,11,FALSE)),"")</f>
        <v>1.67</v>
      </c>
      <c r="H85" s="102">
        <f>IFERROR(IF(VLOOKUP($A85,'Annex 2 Designated EHV charges'!$A:$P,12,FALSE)=0,"",VLOOKUP($A85,'Annex 2 Designated EHV charges'!$A:$P,12,FALSE)),"")</f>
        <v>1.67</v>
      </c>
    </row>
    <row r="86" spans="1:8" x14ac:dyDescent="0.2">
      <c r="A86" s="97">
        <v>880</v>
      </c>
      <c r="B86" s="79">
        <f>IF($A86="","",VLOOKUP($A86,'Annex 2 Designated EHV charges'!$A:$P,2,0))</f>
        <v>880</v>
      </c>
      <c r="C86" s="98">
        <f>IF($A86="","",VLOOKUP($A86,'Annex 2 Designated EHV charges'!$A:$P,3,0))</f>
        <v>2300000792050</v>
      </c>
      <c r="D86" s="99" t="str">
        <f>IF($A86="","",VLOOKUP($A86,'Annex 2 Designated EHV charges'!$A:$P,7,0))</f>
        <v>EHV Site Specific (LLFC 880)</v>
      </c>
      <c r="E86" s="100">
        <f>IFERROR(IF(VLOOKUP($A86,'Annex 2 Designated EHV charges'!$A:$P,9,FALSE)=0,"",VLOOKUP($A86,'Annex 2 Designated EHV charges'!$A:$P,9,FALSE)),"")</f>
        <v>3.9E-2</v>
      </c>
      <c r="F86" s="101">
        <f>IFERROR(IF(VLOOKUP($A86,'Annex 2 Designated EHV charges'!$A:$P,10,FALSE)=0,"",VLOOKUP($A86,'Annex 2 Designated EHV charges'!$A:$P,10,FALSE)),"")</f>
        <v>2335.94</v>
      </c>
      <c r="G86" s="102">
        <f>IFERROR(IF(VLOOKUP($A86,'Annex 2 Designated EHV charges'!$A:$P,11,FALSE)=0,"",VLOOKUP($A86,'Annex 2 Designated EHV charges'!$A:$P,11,FALSE)),"")</f>
        <v>1.28</v>
      </c>
      <c r="H86" s="102">
        <f>IFERROR(IF(VLOOKUP($A86,'Annex 2 Designated EHV charges'!$A:$P,12,FALSE)=0,"",VLOOKUP($A86,'Annex 2 Designated EHV charges'!$A:$P,12,FALSE)),"")</f>
        <v>1.28</v>
      </c>
    </row>
    <row r="87" spans="1:8" ht="30" x14ac:dyDescent="0.2">
      <c r="A87" s="97">
        <v>881</v>
      </c>
      <c r="B87" s="79">
        <f>IF($A87="","",VLOOKUP($A87,'Annex 2 Designated EHV charges'!$A:$P,2,0))</f>
        <v>881</v>
      </c>
      <c r="C87" s="98" t="str">
        <f>IF($A87="","",VLOOKUP($A87,'Annex 2 Designated EHV charges'!$A:$P,3,0))</f>
        <v>2300000634415
2376552766015</v>
      </c>
      <c r="D87" s="99" t="str">
        <f>IF($A87="","",VLOOKUP($A87,'Annex 2 Designated EHV charges'!$A:$P,7,0))</f>
        <v>EHV Site Specific (LLFC 881)</v>
      </c>
      <c r="E87" s="100">
        <f>IFERROR(IF(VLOOKUP($A87,'Annex 2 Designated EHV charges'!$A:$P,9,FALSE)=0,"",VLOOKUP($A87,'Annex 2 Designated EHV charges'!$A:$P,9,FALSE)),"")</f>
        <v>3.9E-2</v>
      </c>
      <c r="F87" s="101">
        <f>IFERROR(IF(VLOOKUP($A87,'Annex 2 Designated EHV charges'!$A:$P,10,FALSE)=0,"",VLOOKUP($A87,'Annex 2 Designated EHV charges'!$A:$P,10,FALSE)),"")</f>
        <v>13311.76</v>
      </c>
      <c r="G87" s="102">
        <f>IFERROR(IF(VLOOKUP($A87,'Annex 2 Designated EHV charges'!$A:$P,11,FALSE)=0,"",VLOOKUP($A87,'Annex 2 Designated EHV charges'!$A:$P,11,FALSE)),"")</f>
        <v>1.9</v>
      </c>
      <c r="H87" s="102">
        <f>IFERROR(IF(VLOOKUP($A87,'Annex 2 Designated EHV charges'!$A:$P,12,FALSE)=0,"",VLOOKUP($A87,'Annex 2 Designated EHV charges'!$A:$P,12,FALSE)),"")</f>
        <v>1.9</v>
      </c>
    </row>
    <row r="88" spans="1:8" x14ac:dyDescent="0.2">
      <c r="A88" s="97">
        <v>882</v>
      </c>
      <c r="B88" s="79">
        <f>IF($A88="","",VLOOKUP($A88,'Annex 2 Designated EHV charges'!$A:$P,2,0))</f>
        <v>882</v>
      </c>
      <c r="C88" s="98">
        <f>IF($A88="","",VLOOKUP($A88,'Annex 2 Designated EHV charges'!$A:$P,3,0))</f>
        <v>2300000826383</v>
      </c>
      <c r="D88" s="99" t="str">
        <f>IF($A88="","",VLOOKUP($A88,'Annex 2 Designated EHV charges'!$A:$P,7,0))</f>
        <v>EHV Site Specific (LLFC 882 &amp; 69)</v>
      </c>
      <c r="E88" s="100">
        <f>IFERROR(IF(VLOOKUP($A88,'Annex 2 Designated EHV charges'!$A:$P,9,FALSE)=0,"",VLOOKUP($A88,'Annex 2 Designated EHV charges'!$A:$P,9,FALSE)),"")</f>
        <v>0.65300000000000002</v>
      </c>
      <c r="F88" s="101">
        <f>IFERROR(IF(VLOOKUP($A88,'Annex 2 Designated EHV charges'!$A:$P,10,FALSE)=0,"",VLOOKUP($A88,'Annex 2 Designated EHV charges'!$A:$P,10,FALSE)),"")</f>
        <v>2480.6999999999998</v>
      </c>
      <c r="G88" s="102">
        <f>IFERROR(IF(VLOOKUP($A88,'Annex 2 Designated EHV charges'!$A:$P,11,FALSE)=0,"",VLOOKUP($A88,'Annex 2 Designated EHV charges'!$A:$P,11,FALSE)),"")</f>
        <v>0.42</v>
      </c>
      <c r="H88" s="102">
        <f>IFERROR(IF(VLOOKUP($A88,'Annex 2 Designated EHV charges'!$A:$P,12,FALSE)=0,"",VLOOKUP($A88,'Annex 2 Designated EHV charges'!$A:$P,12,FALSE)),"")</f>
        <v>0.42</v>
      </c>
    </row>
    <row r="89" spans="1:8" ht="60" x14ac:dyDescent="0.2">
      <c r="A89" s="97">
        <v>883</v>
      </c>
      <c r="B89" s="79">
        <f>IF($A89="","",VLOOKUP($A89,'Annex 2 Designated EHV charges'!$A:$P,2,0))</f>
        <v>883</v>
      </c>
      <c r="C89" s="98" t="str">
        <f>IF($A89="","",VLOOKUP($A89,'Annex 2 Designated EHV charges'!$A:$P,3,0))</f>
        <v>2376503230011
2376508010017
2390000002440
2390000002459</v>
      </c>
      <c r="D89" s="99" t="str">
        <f>IF($A89="","",VLOOKUP($A89,'Annex 2 Designated EHV charges'!$A:$P,7,0))</f>
        <v>EHV Site Specific (LLFC 883)</v>
      </c>
      <c r="E89" s="100">
        <f>IFERROR(IF(VLOOKUP($A89,'Annex 2 Designated EHV charges'!$A:$P,9,FALSE)=0,"",VLOOKUP($A89,'Annex 2 Designated EHV charges'!$A:$P,9,FALSE)),"")</f>
        <v>7.0000000000000007E-2</v>
      </c>
      <c r="F89" s="101">
        <f>IFERROR(IF(VLOOKUP($A89,'Annex 2 Designated EHV charges'!$A:$P,10,FALSE)=0,"",VLOOKUP($A89,'Annex 2 Designated EHV charges'!$A:$P,10,FALSE)),"")</f>
        <v>36452.339999999997</v>
      </c>
      <c r="G89" s="102">
        <f>IFERROR(IF(VLOOKUP($A89,'Annex 2 Designated EHV charges'!$A:$P,11,FALSE)=0,"",VLOOKUP($A89,'Annex 2 Designated EHV charges'!$A:$P,11,FALSE)),"")</f>
        <v>1</v>
      </c>
      <c r="H89" s="102">
        <f>IFERROR(IF(VLOOKUP($A89,'Annex 2 Designated EHV charges'!$A:$P,12,FALSE)=0,"",VLOOKUP($A89,'Annex 2 Designated EHV charges'!$A:$P,12,FALSE)),"")</f>
        <v>1</v>
      </c>
    </row>
    <row r="90" spans="1:8" x14ac:dyDescent="0.2">
      <c r="A90" s="97">
        <v>884</v>
      </c>
      <c r="B90" s="79">
        <f>IF($A90="","",VLOOKUP($A90,'Annex 2 Designated EHV charges'!$A:$P,2,0))</f>
        <v>884</v>
      </c>
      <c r="C90" s="98">
        <f>IF($A90="","",VLOOKUP($A90,'Annex 2 Designated EHV charges'!$A:$P,3,0))</f>
        <v>2300000233754</v>
      </c>
      <c r="D90" s="99" t="str">
        <f>IF($A90="","",VLOOKUP($A90,'Annex 2 Designated EHV charges'!$A:$P,7,0))</f>
        <v>EHV Site Specific (LLFC 884)</v>
      </c>
      <c r="E90" s="100">
        <f>IFERROR(IF(VLOOKUP($A90,'Annex 2 Designated EHV charges'!$A:$P,9,FALSE)=0,"",VLOOKUP($A90,'Annex 2 Designated EHV charges'!$A:$P,9,FALSE)),"")</f>
        <v>0.01</v>
      </c>
      <c r="F90" s="101">
        <f>IFERROR(IF(VLOOKUP($A90,'Annex 2 Designated EHV charges'!$A:$P,10,FALSE)=0,"",VLOOKUP($A90,'Annex 2 Designated EHV charges'!$A:$P,10,FALSE)),"")</f>
        <v>2265.2399999999998</v>
      </c>
      <c r="G90" s="102">
        <f>IFERROR(IF(VLOOKUP($A90,'Annex 2 Designated EHV charges'!$A:$P,11,FALSE)=0,"",VLOOKUP($A90,'Annex 2 Designated EHV charges'!$A:$P,11,FALSE)),"")</f>
        <v>1.42</v>
      </c>
      <c r="H90" s="102">
        <f>IFERROR(IF(VLOOKUP($A90,'Annex 2 Designated EHV charges'!$A:$P,12,FALSE)=0,"",VLOOKUP($A90,'Annex 2 Designated EHV charges'!$A:$P,12,FALSE)),"")</f>
        <v>1.42</v>
      </c>
    </row>
    <row r="91" spans="1:8" x14ac:dyDescent="0.2">
      <c r="A91" s="97">
        <v>886</v>
      </c>
      <c r="B91" s="79">
        <f>IF($A91="","",VLOOKUP($A91,'Annex 2 Designated EHV charges'!$A:$P,2,0))</f>
        <v>886</v>
      </c>
      <c r="C91" s="98">
        <f>IF($A91="","",VLOOKUP($A91,'Annex 2 Designated EHV charges'!$A:$P,3,0))</f>
        <v>2380001187667</v>
      </c>
      <c r="D91" s="99" t="str">
        <f>IF($A91="","",VLOOKUP($A91,'Annex 2 Designated EHV charges'!$A:$P,7,0))</f>
        <v>EHV Site Specific (LLFC 886)</v>
      </c>
      <c r="E91" s="100">
        <f>IFERROR(IF(VLOOKUP($A91,'Annex 2 Designated EHV charges'!$A:$P,9,FALSE)=0,"",VLOOKUP($A91,'Annex 2 Designated EHV charges'!$A:$P,9,FALSE)),"")</f>
        <v>0.14199999999999999</v>
      </c>
      <c r="F91" s="101">
        <f>IFERROR(IF(VLOOKUP($A91,'Annex 2 Designated EHV charges'!$A:$P,10,FALSE)=0,"",VLOOKUP($A91,'Annex 2 Designated EHV charges'!$A:$P,10,FALSE)),"")</f>
        <v>2265.2399999999998</v>
      </c>
      <c r="G91" s="102">
        <f>IFERROR(IF(VLOOKUP($A91,'Annex 2 Designated EHV charges'!$A:$P,11,FALSE)=0,"",VLOOKUP($A91,'Annex 2 Designated EHV charges'!$A:$P,11,FALSE)),"")</f>
        <v>1.01</v>
      </c>
      <c r="H91" s="102">
        <f>IFERROR(IF(VLOOKUP($A91,'Annex 2 Designated EHV charges'!$A:$P,12,FALSE)=0,"",VLOOKUP($A91,'Annex 2 Designated EHV charges'!$A:$P,12,FALSE)),"")</f>
        <v>1.01</v>
      </c>
    </row>
    <row r="92" spans="1:8" ht="75" x14ac:dyDescent="0.2">
      <c r="A92" s="97">
        <v>888</v>
      </c>
      <c r="B92" s="79">
        <f>IF($A92="","",VLOOKUP($A92,'Annex 2 Designated EHV charges'!$A:$P,2,0))</f>
        <v>888</v>
      </c>
      <c r="C92" s="98" t="str">
        <f>IF($A92="","",VLOOKUP($A92,'Annex 2 Designated EHV charges'!$A:$P,3,0))</f>
        <v>2380001448611
2380001448620
2380001448630
2380001448649
2380001448658</v>
      </c>
      <c r="D92" s="99" t="str">
        <f>IF($A92="","",VLOOKUP($A92,'Annex 2 Designated EHV charges'!$A:$P,7,0))</f>
        <v>EHV Site Specific (LLFC 888)</v>
      </c>
      <c r="E92" s="100">
        <f>IFERROR(IF(VLOOKUP($A92,'Annex 2 Designated EHV charges'!$A:$P,9,FALSE)=0,"",VLOOKUP($A92,'Annex 2 Designated EHV charges'!$A:$P,9,FALSE)),"")</f>
        <v>0.129</v>
      </c>
      <c r="F92" s="101">
        <f>IFERROR(IF(VLOOKUP($A92,'Annex 2 Designated EHV charges'!$A:$P,10,FALSE)=0,"",VLOOKUP($A92,'Annex 2 Designated EHV charges'!$A:$P,10,FALSE)),"")</f>
        <v>36664.46</v>
      </c>
      <c r="G92" s="102">
        <f>IFERROR(IF(VLOOKUP($A92,'Annex 2 Designated EHV charges'!$A:$P,11,FALSE)=0,"",VLOOKUP($A92,'Annex 2 Designated EHV charges'!$A:$P,11,FALSE)),"")</f>
        <v>1.45</v>
      </c>
      <c r="H92" s="102">
        <f>IFERROR(IF(VLOOKUP($A92,'Annex 2 Designated EHV charges'!$A:$P,12,FALSE)=0,"",VLOOKUP($A92,'Annex 2 Designated EHV charges'!$A:$P,12,FALSE)),"")</f>
        <v>1.45</v>
      </c>
    </row>
    <row r="93" spans="1:8" x14ac:dyDescent="0.2">
      <c r="A93" s="97">
        <v>797</v>
      </c>
      <c r="B93" s="79">
        <f>IF($A93="","",VLOOKUP($A93,'Annex 2 Designated EHV charges'!$A:$P,2,0))</f>
        <v>797</v>
      </c>
      <c r="C93" s="98">
        <f>IF($A93="","",VLOOKUP($A93,'Annex 2 Designated EHV charges'!$A:$P,3,0))</f>
        <v>2390000079381</v>
      </c>
      <c r="D93" s="99" t="str">
        <f>IF($A93="","",VLOOKUP($A93,'Annex 2 Designated EHV charges'!$A:$P,7,0))</f>
        <v>EHV Site Specific (LLFC 797 &amp; 99)</v>
      </c>
      <c r="E93" s="100">
        <f>IFERROR(IF(VLOOKUP($A93,'Annex 2 Designated EHV charges'!$A:$P,9,FALSE)=0,"",VLOOKUP($A93,'Annex 2 Designated EHV charges'!$A:$P,9,FALSE)),"")</f>
        <v>3.3000000000000002E-2</v>
      </c>
      <c r="F93" s="101">
        <f>IFERROR(IF(VLOOKUP($A93,'Annex 2 Designated EHV charges'!$A:$P,10,FALSE)=0,"",VLOOKUP($A93,'Annex 2 Designated EHV charges'!$A:$P,10,FALSE)),"")</f>
        <v>1.8</v>
      </c>
      <c r="G93" s="102">
        <f>IFERROR(IF(VLOOKUP($A93,'Annex 2 Designated EHV charges'!$A:$P,11,FALSE)=0,"",VLOOKUP($A93,'Annex 2 Designated EHV charges'!$A:$P,11,FALSE)),"")</f>
        <v>1.59</v>
      </c>
      <c r="H93" s="102">
        <f>IFERROR(IF(VLOOKUP($A93,'Annex 2 Designated EHV charges'!$A:$P,12,FALSE)=0,"",VLOOKUP($A93,'Annex 2 Designated EHV charges'!$A:$P,12,FALSE)),"")</f>
        <v>1.59</v>
      </c>
    </row>
    <row r="94" spans="1:8" x14ac:dyDescent="0.2">
      <c r="A94" s="97">
        <v>798</v>
      </c>
      <c r="B94" s="79">
        <f>IF($A94="","",VLOOKUP($A94,'Annex 2 Designated EHV charges'!$A:$P,2,0))</f>
        <v>798</v>
      </c>
      <c r="C94" s="98">
        <f>IF($A94="","",VLOOKUP($A94,'Annex 2 Designated EHV charges'!$A:$P,3,0))</f>
        <v>2380001746400</v>
      </c>
      <c r="D94" s="99" t="str">
        <f>IF($A94="","",VLOOKUP($A94,'Annex 2 Designated EHV charges'!$A:$P,7,0))</f>
        <v>EHV Site Specific (LLFC 798 &amp; 61)</v>
      </c>
      <c r="E94" s="100">
        <f>IFERROR(IF(VLOOKUP($A94,'Annex 2 Designated EHV charges'!$A:$P,9,FALSE)=0,"",VLOOKUP($A94,'Annex 2 Designated EHV charges'!$A:$P,9,FALSE)),"")</f>
        <v>5.2999999999999999E-2</v>
      </c>
      <c r="F94" s="101">
        <f>IFERROR(IF(VLOOKUP($A94,'Annex 2 Designated EHV charges'!$A:$P,10,FALSE)=0,"",VLOOKUP($A94,'Annex 2 Designated EHV charges'!$A:$P,10,FALSE)),"")</f>
        <v>41.76</v>
      </c>
      <c r="G94" s="102">
        <f>IFERROR(IF(VLOOKUP($A94,'Annex 2 Designated EHV charges'!$A:$P,11,FALSE)=0,"",VLOOKUP($A94,'Annex 2 Designated EHV charges'!$A:$P,11,FALSE)),"")</f>
        <v>0.45</v>
      </c>
      <c r="H94" s="102">
        <f>IFERROR(IF(VLOOKUP($A94,'Annex 2 Designated EHV charges'!$A:$P,12,FALSE)=0,"",VLOOKUP($A94,'Annex 2 Designated EHV charges'!$A:$P,12,FALSE)),"")</f>
        <v>0.45</v>
      </c>
    </row>
    <row r="95" spans="1:8" x14ac:dyDescent="0.2">
      <c r="A95" s="97">
        <v>799</v>
      </c>
      <c r="B95" s="79">
        <f>IF($A95="","",VLOOKUP($A95,'Annex 2 Designated EHV charges'!$A:$P,2,0))</f>
        <v>799</v>
      </c>
      <c r="C95" s="98">
        <f>IF($A95="","",VLOOKUP($A95,'Annex 2 Designated EHV charges'!$A:$P,3,0))</f>
        <v>2380001812550</v>
      </c>
      <c r="D95" s="99" t="str">
        <f>IF($A95="","",VLOOKUP($A95,'Annex 2 Designated EHV charges'!$A:$P,7,0))</f>
        <v>EHV Site Specific (LLFC 799 &amp; 51)</v>
      </c>
      <c r="E95" s="100" t="str">
        <f>IFERROR(IF(VLOOKUP($A95,'Annex 2 Designated EHV charges'!$A:$P,9,FALSE)=0,"",VLOOKUP($A95,'Annex 2 Designated EHV charges'!$A:$P,9,FALSE)),"")</f>
        <v/>
      </c>
      <c r="F95" s="101">
        <f>IFERROR(IF(VLOOKUP($A95,'Annex 2 Designated EHV charges'!$A:$P,10,FALSE)=0,"",VLOOKUP($A95,'Annex 2 Designated EHV charges'!$A:$P,10,FALSE)),"")</f>
        <v>2221.35</v>
      </c>
      <c r="G95" s="102">
        <f>IFERROR(IF(VLOOKUP($A95,'Annex 2 Designated EHV charges'!$A:$P,11,FALSE)=0,"",VLOOKUP($A95,'Annex 2 Designated EHV charges'!$A:$P,11,FALSE)),"")</f>
        <v>0.36</v>
      </c>
      <c r="H95" s="102">
        <f>IFERROR(IF(VLOOKUP($A95,'Annex 2 Designated EHV charges'!$A:$P,12,FALSE)=0,"",VLOOKUP($A95,'Annex 2 Designated EHV charges'!$A:$P,12,FALSE)),"")</f>
        <v>0.36</v>
      </c>
    </row>
    <row r="96" spans="1:8" x14ac:dyDescent="0.2">
      <c r="A96" s="97">
        <v>821</v>
      </c>
      <c r="B96" s="79">
        <f>IF($A96="","",VLOOKUP($A96,'Annex 2 Designated EHV charges'!$A:$P,2,0))</f>
        <v>821</v>
      </c>
      <c r="C96" s="98">
        <f>IF($A96="","",VLOOKUP($A96,'Annex 2 Designated EHV charges'!$A:$P,3,0))</f>
        <v>2380001851381</v>
      </c>
      <c r="D96" s="99" t="str">
        <f>IF($A96="","",VLOOKUP($A96,'Annex 2 Designated EHV charges'!$A:$P,7,0))</f>
        <v>EHV Site Specific (LLFC 821 &amp; 52)</v>
      </c>
      <c r="E96" s="100">
        <f>IFERROR(IF(VLOOKUP($A96,'Annex 2 Designated EHV charges'!$A:$P,9,FALSE)=0,"",VLOOKUP($A96,'Annex 2 Designated EHV charges'!$A:$P,9,FALSE)),"")</f>
        <v>8.2000000000000003E-2</v>
      </c>
      <c r="F96" s="101">
        <f>IFERROR(IF(VLOOKUP($A96,'Annex 2 Designated EHV charges'!$A:$P,10,FALSE)=0,"",VLOOKUP($A96,'Annex 2 Designated EHV charges'!$A:$P,10,FALSE)),"")</f>
        <v>2.73</v>
      </c>
      <c r="G96" s="102">
        <f>IFERROR(IF(VLOOKUP($A96,'Annex 2 Designated EHV charges'!$A:$P,11,FALSE)=0,"",VLOOKUP($A96,'Annex 2 Designated EHV charges'!$A:$P,11,FALSE)),"")</f>
        <v>0.79</v>
      </c>
      <c r="H96" s="102">
        <f>IFERROR(IF(VLOOKUP($A96,'Annex 2 Designated EHV charges'!$A:$P,12,FALSE)=0,"",VLOOKUP($A96,'Annex 2 Designated EHV charges'!$A:$P,12,FALSE)),"")</f>
        <v>0.79</v>
      </c>
    </row>
    <row r="97" spans="1:8" ht="30" x14ac:dyDescent="0.2">
      <c r="A97" s="97">
        <v>822</v>
      </c>
      <c r="B97" s="79">
        <f>IF($A97="","",VLOOKUP($A97,'Annex 2 Designated EHV charges'!$A:$P,2,0))</f>
        <v>822</v>
      </c>
      <c r="C97" s="98" t="str">
        <f>IF($A97="","",VLOOKUP($A97,'Annex 2 Designated EHV charges'!$A:$P,3,0))</f>
        <v>2380001883036
2380001883045</v>
      </c>
      <c r="D97" s="99" t="str">
        <f>IF($A97="","",VLOOKUP($A97,'Annex 2 Designated EHV charges'!$A:$P,7,0))</f>
        <v>EHV Site Specific (LLFC 822 &amp; 53)</v>
      </c>
      <c r="E97" s="100">
        <f>IFERROR(IF(VLOOKUP($A97,'Annex 2 Designated EHV charges'!$A:$P,9,FALSE)=0,"",VLOOKUP($A97,'Annex 2 Designated EHV charges'!$A:$P,9,FALSE)),"")</f>
        <v>8.1000000000000003E-2</v>
      </c>
      <c r="F97" s="101">
        <f>IFERROR(IF(VLOOKUP($A97,'Annex 2 Designated EHV charges'!$A:$P,10,FALSE)=0,"",VLOOKUP($A97,'Annex 2 Designated EHV charges'!$A:$P,10,FALSE)),"")</f>
        <v>8.5299999999999994</v>
      </c>
      <c r="G97" s="102">
        <f>IFERROR(IF(VLOOKUP($A97,'Annex 2 Designated EHV charges'!$A:$P,11,FALSE)=0,"",VLOOKUP($A97,'Annex 2 Designated EHV charges'!$A:$P,11,FALSE)),"")</f>
        <v>0.74</v>
      </c>
      <c r="H97" s="102">
        <f>IFERROR(IF(VLOOKUP($A97,'Annex 2 Designated EHV charges'!$A:$P,12,FALSE)=0,"",VLOOKUP($A97,'Annex 2 Designated EHV charges'!$A:$P,12,FALSE)),"")</f>
        <v>0.74</v>
      </c>
    </row>
    <row r="98" spans="1:8" x14ac:dyDescent="0.2">
      <c r="A98" s="97">
        <v>823</v>
      </c>
      <c r="B98" s="79">
        <f>IF($A98="","",VLOOKUP($A98,'Annex 2 Designated EHV charges'!$A:$P,2,0))</f>
        <v>823</v>
      </c>
      <c r="C98" s="98">
        <f>IF($A98="","",VLOOKUP($A98,'Annex 2 Designated EHV charges'!$A:$P,3,0))</f>
        <v>2380001877557</v>
      </c>
      <c r="D98" s="99" t="str">
        <f>IF($A98="","",VLOOKUP($A98,'Annex 2 Designated EHV charges'!$A:$P,7,0))</f>
        <v>EHV Site Specific (LLFC 823 &amp; 54)</v>
      </c>
      <c r="E98" s="100">
        <f>IFERROR(IF(VLOOKUP($A98,'Annex 2 Designated EHV charges'!$A:$P,9,FALSE)=0,"",VLOOKUP($A98,'Annex 2 Designated EHV charges'!$A:$P,9,FALSE)),"")</f>
        <v>1.7000000000000001E-2</v>
      </c>
      <c r="F98" s="101">
        <f>IFERROR(IF(VLOOKUP($A98,'Annex 2 Designated EHV charges'!$A:$P,10,FALSE)=0,"",VLOOKUP($A98,'Annex 2 Designated EHV charges'!$A:$P,10,FALSE)),"")</f>
        <v>2.58</v>
      </c>
      <c r="G98" s="102">
        <f>IFERROR(IF(VLOOKUP($A98,'Annex 2 Designated EHV charges'!$A:$P,11,FALSE)=0,"",VLOOKUP($A98,'Annex 2 Designated EHV charges'!$A:$P,11,FALSE)),"")</f>
        <v>0.43</v>
      </c>
      <c r="H98" s="102">
        <f>IFERROR(IF(VLOOKUP($A98,'Annex 2 Designated EHV charges'!$A:$P,12,FALSE)=0,"",VLOOKUP($A98,'Annex 2 Designated EHV charges'!$A:$P,12,FALSE)),"")</f>
        <v>0.43</v>
      </c>
    </row>
    <row r="99" spans="1:8" x14ac:dyDescent="0.2">
      <c r="A99" s="97">
        <v>824</v>
      </c>
      <c r="B99" s="79">
        <f>IF($A99="","",VLOOKUP($A99,'Annex 2 Designated EHV charges'!$A:$P,2,0))</f>
        <v>824</v>
      </c>
      <c r="C99" s="98" t="str">
        <f>IF($A99="","",VLOOKUP($A99,'Annex 2 Designated EHV charges'!$A:$P,3,0))</f>
        <v>MSID_7275</v>
      </c>
      <c r="D99" s="99" t="str">
        <f>IF($A99="","",VLOOKUP($A99,'Annex 2 Designated EHV charges'!$A:$P,7,0))</f>
        <v>EHV Site Specific (LLFC 824 &amp; 55)</v>
      </c>
      <c r="E99" s="100" t="str">
        <f>IFERROR(IF(VLOOKUP($A99,'Annex 2 Designated EHV charges'!$A:$P,9,FALSE)=0,"",VLOOKUP($A99,'Annex 2 Designated EHV charges'!$A:$P,9,FALSE)),"")</f>
        <v/>
      </c>
      <c r="F99" s="101">
        <f>IFERROR(IF(VLOOKUP($A99,'Annex 2 Designated EHV charges'!$A:$P,10,FALSE)=0,"",VLOOKUP($A99,'Annex 2 Designated EHV charges'!$A:$P,10,FALSE)),"")</f>
        <v>27.57</v>
      </c>
      <c r="G99" s="102">
        <f>IFERROR(IF(VLOOKUP($A99,'Annex 2 Designated EHV charges'!$A:$P,11,FALSE)=0,"",VLOOKUP($A99,'Annex 2 Designated EHV charges'!$A:$P,11,FALSE)),"")</f>
        <v>0.37</v>
      </c>
      <c r="H99" s="102">
        <f>IFERROR(IF(VLOOKUP($A99,'Annex 2 Designated EHV charges'!$A:$P,12,FALSE)=0,"",VLOOKUP($A99,'Annex 2 Designated EHV charges'!$A:$P,12,FALSE)),"")</f>
        <v>0.37</v>
      </c>
    </row>
    <row r="100" spans="1:8" x14ac:dyDescent="0.2">
      <c r="A100" s="97">
        <v>826</v>
      </c>
      <c r="B100" s="79">
        <f>IF($A100="","",VLOOKUP($A100,'Annex 2 Designated EHV charges'!$A:$P,2,0))</f>
        <v>826</v>
      </c>
      <c r="C100" s="98">
        <f>IF($A100="","",VLOOKUP($A100,'Annex 2 Designated EHV charges'!$A:$P,3,0))</f>
        <v>2380001874087</v>
      </c>
      <c r="D100" s="99" t="str">
        <f>IF($A100="","",VLOOKUP($A100,'Annex 2 Designated EHV charges'!$A:$P,7,0))</f>
        <v>EHV Site Specific (LLFC 826 &amp; 57)</v>
      </c>
      <c r="E100" s="100">
        <f>IFERROR(IF(VLOOKUP($A100,'Annex 2 Designated EHV charges'!$A:$P,9,FALSE)=0,"",VLOOKUP($A100,'Annex 2 Designated EHV charges'!$A:$P,9,FALSE)),"")</f>
        <v>7.6999999999999999E-2</v>
      </c>
      <c r="F100" s="101">
        <f>IFERROR(IF(VLOOKUP($A100,'Annex 2 Designated EHV charges'!$A:$P,10,FALSE)=0,"",VLOOKUP($A100,'Annex 2 Designated EHV charges'!$A:$P,10,FALSE)),"")</f>
        <v>42.03</v>
      </c>
      <c r="G100" s="102">
        <f>IFERROR(IF(VLOOKUP($A100,'Annex 2 Designated EHV charges'!$A:$P,11,FALSE)=0,"",VLOOKUP($A100,'Annex 2 Designated EHV charges'!$A:$P,11,FALSE)),"")</f>
        <v>0.82</v>
      </c>
      <c r="H100" s="102">
        <f>IFERROR(IF(VLOOKUP($A100,'Annex 2 Designated EHV charges'!$A:$P,12,FALSE)=0,"",VLOOKUP($A100,'Annex 2 Designated EHV charges'!$A:$P,12,FALSE)),"")</f>
        <v>0.82</v>
      </c>
    </row>
    <row r="101" spans="1:8" ht="30" x14ac:dyDescent="0.2">
      <c r="A101" s="97">
        <v>866</v>
      </c>
      <c r="B101" s="79">
        <f>IF($A101="","",VLOOKUP($A101,'Annex 2 Designated EHV charges'!$A:$P,2,0))</f>
        <v>866</v>
      </c>
      <c r="C101" s="98" t="str">
        <f>IF($A101="","",VLOOKUP($A101,'Annex 2 Designated EHV charges'!$A:$P,3,0))</f>
        <v>2346534400013
2346534400022</v>
      </c>
      <c r="D101" s="99" t="str">
        <f>IF($A101="","",VLOOKUP($A101,'Annex 2 Designated EHV charges'!$A:$P,7,0))</f>
        <v>EHV Site Specific (LLFC 866)</v>
      </c>
      <c r="E101" s="100">
        <f>IFERROR(IF(VLOOKUP($A101,'Annex 2 Designated EHV charges'!$A:$P,9,FALSE)=0,"",VLOOKUP($A101,'Annex 2 Designated EHV charges'!$A:$P,9,FALSE)),"")</f>
        <v>0.32900000000000001</v>
      </c>
      <c r="F101" s="101">
        <f>IFERROR(IF(VLOOKUP($A101,'Annex 2 Designated EHV charges'!$A:$P,10,FALSE)=0,"",VLOOKUP($A101,'Annex 2 Designated EHV charges'!$A:$P,10,FALSE)),"")</f>
        <v>13241.06</v>
      </c>
      <c r="G101" s="102">
        <f>IFERROR(IF(VLOOKUP($A101,'Annex 2 Designated EHV charges'!$A:$P,11,FALSE)=0,"",VLOOKUP($A101,'Annex 2 Designated EHV charges'!$A:$P,11,FALSE)),"")</f>
        <v>0.63</v>
      </c>
      <c r="H101" s="102">
        <f>IFERROR(IF(VLOOKUP($A101,'Annex 2 Designated EHV charges'!$A:$P,12,FALSE)=0,"",VLOOKUP($A101,'Annex 2 Designated EHV charges'!$A:$P,12,FALSE)),"")</f>
        <v>0.63</v>
      </c>
    </row>
    <row r="102" spans="1:8" x14ac:dyDescent="0.2">
      <c r="A102" s="97">
        <v>827</v>
      </c>
      <c r="B102" s="79">
        <f>IF($A102="","",VLOOKUP($A102,'Annex 2 Designated EHV charges'!$A:$P,2,0))</f>
        <v>827</v>
      </c>
      <c r="C102" s="98">
        <f>IF($A102="","",VLOOKUP($A102,'Annex 2 Designated EHV charges'!$A:$P,3,0))</f>
        <v>2380001838371</v>
      </c>
      <c r="D102" s="99" t="str">
        <f>IF($A102="","",VLOOKUP($A102,'Annex 2 Designated EHV charges'!$A:$P,7,0))</f>
        <v>EHV Site Specific (LLFC 827 &amp; 58)</v>
      </c>
      <c r="E102" s="100">
        <f>IFERROR(IF(VLOOKUP($A102,'Annex 2 Designated EHV charges'!$A:$P,9,FALSE)=0,"",VLOOKUP($A102,'Annex 2 Designated EHV charges'!$A:$P,9,FALSE)),"")</f>
        <v>2E-3</v>
      </c>
      <c r="F102" s="101">
        <f>IFERROR(IF(VLOOKUP($A102,'Annex 2 Designated EHV charges'!$A:$P,10,FALSE)=0,"",VLOOKUP($A102,'Annex 2 Designated EHV charges'!$A:$P,10,FALSE)),"")</f>
        <v>2195.85</v>
      </c>
      <c r="G102" s="102">
        <f>IFERROR(IF(VLOOKUP($A102,'Annex 2 Designated EHV charges'!$A:$P,11,FALSE)=0,"",VLOOKUP($A102,'Annex 2 Designated EHV charges'!$A:$P,11,FALSE)),"")</f>
        <v>0.72</v>
      </c>
      <c r="H102" s="102">
        <f>IFERROR(IF(VLOOKUP($A102,'Annex 2 Designated EHV charges'!$A:$P,12,FALSE)=0,"",VLOOKUP($A102,'Annex 2 Designated EHV charges'!$A:$P,12,FALSE)),"")</f>
        <v>0.72</v>
      </c>
    </row>
    <row r="103" spans="1:8" x14ac:dyDescent="0.2">
      <c r="A103" s="97">
        <v>768</v>
      </c>
      <c r="B103" s="79">
        <f>IF($A103="","",VLOOKUP($A103,'Annex 2 Designated EHV charges'!$A:$P,2,0))</f>
        <v>768</v>
      </c>
      <c r="C103" s="98">
        <f>IF($A103="","",VLOOKUP($A103,'Annex 2 Designated EHV charges'!$A:$P,3,0))</f>
        <v>2380001882798</v>
      </c>
      <c r="D103" s="99" t="str">
        <f>IF($A103="","",VLOOKUP($A103,'Annex 2 Designated EHV charges'!$A:$P,7,0))</f>
        <v>EHV Site Specific (LLFC 768 &amp; 59)</v>
      </c>
      <c r="E103" s="100">
        <f>IFERROR(IF(VLOOKUP($A103,'Annex 2 Designated EHV charges'!$A:$P,9,FALSE)=0,"",VLOOKUP($A103,'Annex 2 Designated EHV charges'!$A:$P,9,FALSE)),"")</f>
        <v>6.0000000000000001E-3</v>
      </c>
      <c r="F103" s="101">
        <f>IFERROR(IF(VLOOKUP($A103,'Annex 2 Designated EHV charges'!$A:$P,10,FALSE)=0,"",VLOOKUP($A103,'Annex 2 Designated EHV charges'!$A:$P,10,FALSE)),"")</f>
        <v>2.85</v>
      </c>
      <c r="G103" s="102">
        <f>IFERROR(IF(VLOOKUP($A103,'Annex 2 Designated EHV charges'!$A:$P,11,FALSE)=0,"",VLOOKUP($A103,'Annex 2 Designated EHV charges'!$A:$P,11,FALSE)),"")</f>
        <v>0.61</v>
      </c>
      <c r="H103" s="102">
        <f>IFERROR(IF(VLOOKUP($A103,'Annex 2 Designated EHV charges'!$A:$P,12,FALSE)=0,"",VLOOKUP($A103,'Annex 2 Designated EHV charges'!$A:$P,12,FALSE)),"")</f>
        <v>0.61</v>
      </c>
    </row>
    <row r="104" spans="1:8" x14ac:dyDescent="0.2">
      <c r="A104" s="97">
        <v>801</v>
      </c>
      <c r="B104" s="79">
        <f>IF($A104="","",VLOOKUP($A104,'Annex 2 Designated EHV charges'!$A:$P,2,0))</f>
        <v>801</v>
      </c>
      <c r="C104" s="98">
        <f>IF($A104="","",VLOOKUP($A104,'Annex 2 Designated EHV charges'!$A:$P,3,0))</f>
        <v>2380001905070</v>
      </c>
      <c r="D104" s="99" t="str">
        <f>IF($A104="","",VLOOKUP($A104,'Annex 2 Designated EHV charges'!$A:$P,7,0))</f>
        <v>EHV Site Specific (LLFC 801 &amp; 105)</v>
      </c>
      <c r="E104" s="100">
        <f>IFERROR(IF(VLOOKUP($A104,'Annex 2 Designated EHV charges'!$A:$P,9,FALSE)=0,"",VLOOKUP($A104,'Annex 2 Designated EHV charges'!$A:$P,9,FALSE)),"")</f>
        <v>0.13600000000000001</v>
      </c>
      <c r="F104" s="101">
        <f>IFERROR(IF(VLOOKUP($A104,'Annex 2 Designated EHV charges'!$A:$P,10,FALSE)=0,"",VLOOKUP($A104,'Annex 2 Designated EHV charges'!$A:$P,10,FALSE)),"")</f>
        <v>2203.14</v>
      </c>
      <c r="G104" s="102">
        <f>IFERROR(IF(VLOOKUP($A104,'Annex 2 Designated EHV charges'!$A:$P,11,FALSE)=0,"",VLOOKUP($A104,'Annex 2 Designated EHV charges'!$A:$P,11,FALSE)),"")</f>
        <v>0.42</v>
      </c>
      <c r="H104" s="102">
        <f>IFERROR(IF(VLOOKUP($A104,'Annex 2 Designated EHV charges'!$A:$P,12,FALSE)=0,"",VLOOKUP($A104,'Annex 2 Designated EHV charges'!$A:$P,12,FALSE)),"")</f>
        <v>0.42</v>
      </c>
    </row>
    <row r="105" spans="1:8" x14ac:dyDescent="0.2">
      <c r="A105" s="97">
        <v>792</v>
      </c>
      <c r="B105" s="79">
        <f>IF($A105="","",VLOOKUP($A105,'Annex 2 Designated EHV charges'!$A:$P,2,0))</f>
        <v>792</v>
      </c>
      <c r="C105" s="98">
        <f>IF($A105="","",VLOOKUP($A105,'Annex 2 Designated EHV charges'!$A:$P,3,0))</f>
        <v>2380001951360</v>
      </c>
      <c r="D105" s="99" t="str">
        <f>IF($A105="","",VLOOKUP($A105,'Annex 2 Designated EHV charges'!$A:$P,7,0))</f>
        <v>EHV Site Specific (LLFC 792 &amp; 96)</v>
      </c>
      <c r="E105" s="100" t="str">
        <f>IFERROR(IF(VLOOKUP($A105,'Annex 2 Designated EHV charges'!$A:$P,9,FALSE)=0,"",VLOOKUP($A105,'Annex 2 Designated EHV charges'!$A:$P,9,FALSE)),"")</f>
        <v/>
      </c>
      <c r="F105" s="101">
        <f>IFERROR(IF(VLOOKUP($A105,'Annex 2 Designated EHV charges'!$A:$P,10,FALSE)=0,"",VLOOKUP($A105,'Annex 2 Designated EHV charges'!$A:$P,10,FALSE)),"")</f>
        <v>2229.0700000000002</v>
      </c>
      <c r="G105" s="102">
        <f>IFERROR(IF(VLOOKUP($A105,'Annex 2 Designated EHV charges'!$A:$P,11,FALSE)=0,"",VLOOKUP($A105,'Annex 2 Designated EHV charges'!$A:$P,11,FALSE)),"")</f>
        <v>0.37</v>
      </c>
      <c r="H105" s="102">
        <f>IFERROR(IF(VLOOKUP($A105,'Annex 2 Designated EHV charges'!$A:$P,12,FALSE)=0,"",VLOOKUP($A105,'Annex 2 Designated EHV charges'!$A:$P,12,FALSE)),"")</f>
        <v>0.37</v>
      </c>
    </row>
    <row r="106" spans="1:8" x14ac:dyDescent="0.2">
      <c r="A106" s="97">
        <v>806</v>
      </c>
      <c r="B106" s="79">
        <f>IF($A106="","",VLOOKUP($A106,'Annex 2 Designated EHV charges'!$A:$P,2,0))</f>
        <v>806</v>
      </c>
      <c r="C106" s="98">
        <f>IF($A106="","",VLOOKUP($A106,'Annex 2 Designated EHV charges'!$A:$P,3,0))</f>
        <v>2380002166640</v>
      </c>
      <c r="D106" s="99" t="str">
        <f>IF($A106="","",VLOOKUP($A106,'Annex 2 Designated EHV charges'!$A:$P,7,0))</f>
        <v>EHV Site Specific (LLFC 806 &amp; 109)</v>
      </c>
      <c r="E106" s="100">
        <f>IFERROR(IF(VLOOKUP($A106,'Annex 2 Designated EHV charges'!$A:$P,9,FALSE)=0,"",VLOOKUP($A106,'Annex 2 Designated EHV charges'!$A:$P,9,FALSE)),"")</f>
        <v>6.0000000000000001E-3</v>
      </c>
      <c r="F106" s="101">
        <f>IFERROR(IF(VLOOKUP($A106,'Annex 2 Designated EHV charges'!$A:$P,10,FALSE)=0,"",VLOOKUP($A106,'Annex 2 Designated EHV charges'!$A:$P,10,FALSE)),"")</f>
        <v>41.83</v>
      </c>
      <c r="G106" s="102">
        <f>IFERROR(IF(VLOOKUP($A106,'Annex 2 Designated EHV charges'!$A:$P,11,FALSE)=0,"",VLOOKUP($A106,'Annex 2 Designated EHV charges'!$A:$P,11,FALSE)),"")</f>
        <v>0.43</v>
      </c>
      <c r="H106" s="102">
        <f>IFERROR(IF(VLOOKUP($A106,'Annex 2 Designated EHV charges'!$A:$P,12,FALSE)=0,"",VLOOKUP($A106,'Annex 2 Designated EHV charges'!$A:$P,12,FALSE)),"")</f>
        <v>0.43</v>
      </c>
    </row>
    <row r="107" spans="1:8" x14ac:dyDescent="0.2">
      <c r="A107" s="97">
        <v>803</v>
      </c>
      <c r="B107" s="79">
        <f>IF($A107="","",VLOOKUP($A107,'Annex 2 Designated EHV charges'!$A:$P,2,0))</f>
        <v>803</v>
      </c>
      <c r="C107" s="98">
        <f>IF($A107="","",VLOOKUP($A107,'Annex 2 Designated EHV charges'!$A:$P,3,0))</f>
        <v>2380001909066</v>
      </c>
      <c r="D107" s="99" t="str">
        <f>IF($A107="","",VLOOKUP($A107,'Annex 2 Designated EHV charges'!$A:$P,7,0))</f>
        <v>EHV Site Specific (LLFC 803 &amp; 107)</v>
      </c>
      <c r="E107" s="100" t="str">
        <f>IFERROR(IF(VLOOKUP($A107,'Annex 2 Designated EHV charges'!$A:$P,9,FALSE)=0,"",VLOOKUP($A107,'Annex 2 Designated EHV charges'!$A:$P,9,FALSE)),"")</f>
        <v/>
      </c>
      <c r="F107" s="101">
        <f>IFERROR(IF(VLOOKUP($A107,'Annex 2 Designated EHV charges'!$A:$P,10,FALSE)=0,"",VLOOKUP($A107,'Annex 2 Designated EHV charges'!$A:$P,10,FALSE)),"")</f>
        <v>4.75</v>
      </c>
      <c r="G107" s="102">
        <f>IFERROR(IF(VLOOKUP($A107,'Annex 2 Designated EHV charges'!$A:$P,11,FALSE)=0,"",VLOOKUP($A107,'Annex 2 Designated EHV charges'!$A:$P,11,FALSE)),"")</f>
        <v>0.45</v>
      </c>
      <c r="H107" s="102">
        <f>IFERROR(IF(VLOOKUP($A107,'Annex 2 Designated EHV charges'!$A:$P,12,FALSE)=0,"",VLOOKUP($A107,'Annex 2 Designated EHV charges'!$A:$P,12,FALSE)),"")</f>
        <v>0.45</v>
      </c>
    </row>
    <row r="108" spans="1:8" x14ac:dyDescent="0.2">
      <c r="A108" s="97">
        <v>805</v>
      </c>
      <c r="B108" s="79">
        <f>IF($A108="","",VLOOKUP($A108,'Annex 2 Designated EHV charges'!$A:$P,2,0))</f>
        <v>805</v>
      </c>
      <c r="C108" s="98">
        <f>IF($A108="","",VLOOKUP($A108,'Annex 2 Designated EHV charges'!$A:$P,3,0))</f>
        <v>2380001989309</v>
      </c>
      <c r="D108" s="99" t="str">
        <f>IF($A108="","",VLOOKUP($A108,'Annex 2 Designated EHV charges'!$A:$P,7,0))</f>
        <v>EHV Site Specific (LLFC 805 &amp; 108)</v>
      </c>
      <c r="E108" s="100">
        <f>IFERROR(IF(VLOOKUP($A108,'Annex 2 Designated EHV charges'!$A:$P,9,FALSE)=0,"",VLOOKUP($A108,'Annex 2 Designated EHV charges'!$A:$P,9,FALSE)),"")</f>
        <v>0.11799999999999999</v>
      </c>
      <c r="F108" s="101">
        <f>IFERROR(IF(VLOOKUP($A108,'Annex 2 Designated EHV charges'!$A:$P,10,FALSE)=0,"",VLOOKUP($A108,'Annex 2 Designated EHV charges'!$A:$P,10,FALSE)),"")</f>
        <v>27.03</v>
      </c>
      <c r="G108" s="102">
        <f>IFERROR(IF(VLOOKUP($A108,'Annex 2 Designated EHV charges'!$A:$P,11,FALSE)=0,"",VLOOKUP($A108,'Annex 2 Designated EHV charges'!$A:$P,11,FALSE)),"")</f>
        <v>1.04</v>
      </c>
      <c r="H108" s="102">
        <f>IFERROR(IF(VLOOKUP($A108,'Annex 2 Designated EHV charges'!$A:$P,12,FALSE)=0,"",VLOOKUP($A108,'Annex 2 Designated EHV charges'!$A:$P,12,FALSE)),"")</f>
        <v>1.04</v>
      </c>
    </row>
    <row r="109" spans="1:8" x14ac:dyDescent="0.2">
      <c r="A109" s="97">
        <v>825</v>
      </c>
      <c r="B109" s="79">
        <f>IF($A109="","",VLOOKUP($A109,'Annex 2 Designated EHV charges'!$A:$P,2,0))</f>
        <v>825</v>
      </c>
      <c r="C109" s="98">
        <f>IF($A109="","",VLOOKUP($A109,'Annex 2 Designated EHV charges'!$A:$P,3,0))</f>
        <v>2380002022460</v>
      </c>
      <c r="D109" s="99" t="str">
        <f>IF($A109="","",VLOOKUP($A109,'Annex 2 Designated EHV charges'!$A:$P,7,0))</f>
        <v>EHV Site Specific (LLFC 825 &amp; 56)</v>
      </c>
      <c r="E109" s="100">
        <f>IFERROR(IF(VLOOKUP($A109,'Annex 2 Designated EHV charges'!$A:$P,9,FALSE)=0,"",VLOOKUP($A109,'Annex 2 Designated EHV charges'!$A:$P,9,FALSE)),"")</f>
        <v>2E-3</v>
      </c>
      <c r="F109" s="101">
        <f>IFERROR(IF(VLOOKUP($A109,'Annex 2 Designated EHV charges'!$A:$P,10,FALSE)=0,"",VLOOKUP($A109,'Annex 2 Designated EHV charges'!$A:$P,10,FALSE)),"")</f>
        <v>21.35</v>
      </c>
      <c r="G109" s="102">
        <f>IFERROR(IF(VLOOKUP($A109,'Annex 2 Designated EHV charges'!$A:$P,11,FALSE)=0,"",VLOOKUP($A109,'Annex 2 Designated EHV charges'!$A:$P,11,FALSE)),"")</f>
        <v>0.65</v>
      </c>
      <c r="H109" s="102">
        <f>IFERROR(IF(VLOOKUP($A109,'Annex 2 Designated EHV charges'!$A:$P,12,FALSE)=0,"",VLOOKUP($A109,'Annex 2 Designated EHV charges'!$A:$P,12,FALSE)),"")</f>
        <v>0.65</v>
      </c>
    </row>
    <row r="110" spans="1:8" ht="30" x14ac:dyDescent="0.2">
      <c r="A110" s="97">
        <v>802</v>
      </c>
      <c r="B110" s="79">
        <f>IF($A110="","",VLOOKUP($A110,'Annex 2 Designated EHV charges'!$A:$P,2,0))</f>
        <v>802</v>
      </c>
      <c r="C110" s="98" t="str">
        <f>IF($A110="","",VLOOKUP($A110,'Annex 2 Designated EHV charges'!$A:$P,3,0))</f>
        <v>2380001909075
2380001909084</v>
      </c>
      <c r="D110" s="99" t="str">
        <f>IF($A110="","",VLOOKUP($A110,'Annex 2 Designated EHV charges'!$A:$P,7,0))</f>
        <v>EHV Site Specific (LLFC 802 &amp; 106)</v>
      </c>
      <c r="E110" s="100">
        <f>IFERROR(IF(VLOOKUP($A110,'Annex 2 Designated EHV charges'!$A:$P,9,FALSE)=0,"",VLOOKUP($A110,'Annex 2 Designated EHV charges'!$A:$P,9,FALSE)),"")</f>
        <v>9.4E-2</v>
      </c>
      <c r="F110" s="101">
        <f>IFERROR(IF(VLOOKUP($A110,'Annex 2 Designated EHV charges'!$A:$P,10,FALSE)=0,"",VLOOKUP($A110,'Annex 2 Designated EHV charges'!$A:$P,10,FALSE)),"")</f>
        <v>362.07</v>
      </c>
      <c r="G110" s="102">
        <f>IFERROR(IF(VLOOKUP($A110,'Annex 2 Designated EHV charges'!$A:$P,11,FALSE)=0,"",VLOOKUP($A110,'Annex 2 Designated EHV charges'!$A:$P,11,FALSE)),"")</f>
        <v>0.36</v>
      </c>
      <c r="H110" s="102">
        <f>IFERROR(IF(VLOOKUP($A110,'Annex 2 Designated EHV charges'!$A:$P,12,FALSE)=0,"",VLOOKUP($A110,'Annex 2 Designated EHV charges'!$A:$P,12,FALSE)),"")</f>
        <v>0.36</v>
      </c>
    </row>
    <row r="111" spans="1:8" x14ac:dyDescent="0.2">
      <c r="A111" s="97">
        <v>807</v>
      </c>
      <c r="B111" s="79">
        <f>IF($A111="","",VLOOKUP($A111,'Annex 2 Designated EHV charges'!$A:$P,2,0))</f>
        <v>807</v>
      </c>
      <c r="C111" s="98">
        <f>IF($A111="","",VLOOKUP($A111,'Annex 2 Designated EHV charges'!$A:$P,3,0))</f>
        <v>2380002032360</v>
      </c>
      <c r="D111" s="99" t="str">
        <f>IF($A111="","",VLOOKUP($A111,'Annex 2 Designated EHV charges'!$A:$P,7,0))</f>
        <v>EHV Site Specific (LLFC 807 &amp; 63)</v>
      </c>
      <c r="E111" s="100" t="str">
        <f>IFERROR(IF(VLOOKUP($A111,'Annex 2 Designated EHV charges'!$A:$P,9,FALSE)=0,"",VLOOKUP($A111,'Annex 2 Designated EHV charges'!$A:$P,9,FALSE)),"")</f>
        <v/>
      </c>
      <c r="F111" s="101">
        <f>IFERROR(IF(VLOOKUP($A111,'Annex 2 Designated EHV charges'!$A:$P,10,FALSE)=0,"",VLOOKUP($A111,'Annex 2 Designated EHV charges'!$A:$P,10,FALSE)),"")</f>
        <v>13363.14</v>
      </c>
      <c r="G111" s="102">
        <f>IFERROR(IF(VLOOKUP($A111,'Annex 2 Designated EHV charges'!$A:$P,11,FALSE)=0,"",VLOOKUP($A111,'Annex 2 Designated EHV charges'!$A:$P,11,FALSE)),"")</f>
        <v>0.32</v>
      </c>
      <c r="H111" s="102">
        <f>IFERROR(IF(VLOOKUP($A111,'Annex 2 Designated EHV charges'!$A:$P,12,FALSE)=0,"",VLOOKUP($A111,'Annex 2 Designated EHV charges'!$A:$P,12,FALSE)),"")</f>
        <v>0.32</v>
      </c>
    </row>
    <row r="112" spans="1:8" x14ac:dyDescent="0.2">
      <c r="A112" s="97">
        <v>810</v>
      </c>
      <c r="B112" s="79">
        <f>IF($A112="","",VLOOKUP($A112,'Annex 2 Designated EHV charges'!$A:$P,2,0))</f>
        <v>810</v>
      </c>
      <c r="C112" s="98">
        <f>IF($A112="","",VLOOKUP($A112,'Annex 2 Designated EHV charges'!$A:$P,3,0))</f>
        <v>2380002115663</v>
      </c>
      <c r="D112" s="99" t="str">
        <f>IF($A112="","",VLOOKUP($A112,'Annex 2 Designated EHV charges'!$A:$P,7,0))</f>
        <v>EHV Site Specific (LLFC 810 &amp; 110)</v>
      </c>
      <c r="E112" s="100">
        <f>IFERROR(IF(VLOOKUP($A112,'Annex 2 Designated EHV charges'!$A:$P,9,FALSE)=0,"",VLOOKUP($A112,'Annex 2 Designated EHV charges'!$A:$P,9,FALSE)),"")</f>
        <v>7.0000000000000001E-3</v>
      </c>
      <c r="F112" s="101">
        <f>IFERROR(IF(VLOOKUP($A112,'Annex 2 Designated EHV charges'!$A:$P,10,FALSE)=0,"",VLOOKUP($A112,'Annex 2 Designated EHV charges'!$A:$P,10,FALSE)),"")</f>
        <v>573.41</v>
      </c>
      <c r="G112" s="102">
        <f>IFERROR(IF(VLOOKUP($A112,'Annex 2 Designated EHV charges'!$A:$P,11,FALSE)=0,"",VLOOKUP($A112,'Annex 2 Designated EHV charges'!$A:$P,11,FALSE)),"")</f>
        <v>0.37</v>
      </c>
      <c r="H112" s="102">
        <f>IFERROR(IF(VLOOKUP($A112,'Annex 2 Designated EHV charges'!$A:$P,12,FALSE)=0,"",VLOOKUP($A112,'Annex 2 Designated EHV charges'!$A:$P,12,FALSE)),"")</f>
        <v>0.37</v>
      </c>
    </row>
    <row r="113" spans="1:8" x14ac:dyDescent="0.2">
      <c r="A113" s="97">
        <v>885</v>
      </c>
      <c r="B113" s="79">
        <f>IF($A113="","",VLOOKUP($A113,'Annex 2 Designated EHV charges'!$A:$P,2,0))</f>
        <v>885</v>
      </c>
      <c r="C113" s="98">
        <f>IF($A113="","",VLOOKUP($A113,'Annex 2 Designated EHV charges'!$A:$P,3,0))</f>
        <v>2366560312013</v>
      </c>
      <c r="D113" s="99" t="str">
        <f>IF($A113="","",VLOOKUP($A113,'Annex 2 Designated EHV charges'!$A:$P,7,0))</f>
        <v>EHV Site Specific (LLFC 885 &amp; 31)</v>
      </c>
      <c r="E113" s="100">
        <f>IFERROR(IF(VLOOKUP($A113,'Annex 2 Designated EHV charges'!$A:$P,9,FALSE)=0,"",VLOOKUP($A113,'Annex 2 Designated EHV charges'!$A:$P,9,FALSE)),"")</f>
        <v>0.16200000000000001</v>
      </c>
      <c r="F113" s="101">
        <f>IFERROR(IF(VLOOKUP($A113,'Annex 2 Designated EHV charges'!$A:$P,10,FALSE)=0,"",VLOOKUP($A113,'Annex 2 Designated EHV charges'!$A:$P,10,FALSE)),"")</f>
        <v>2279.04</v>
      </c>
      <c r="G113" s="102">
        <f>IFERROR(IF(VLOOKUP($A113,'Annex 2 Designated EHV charges'!$A:$P,11,FALSE)=0,"",VLOOKUP($A113,'Annex 2 Designated EHV charges'!$A:$P,11,FALSE)),"")</f>
        <v>0.65</v>
      </c>
      <c r="H113" s="102">
        <f>IFERROR(IF(VLOOKUP($A113,'Annex 2 Designated EHV charges'!$A:$P,12,FALSE)=0,"",VLOOKUP($A113,'Annex 2 Designated EHV charges'!$A:$P,12,FALSE)),"")</f>
        <v>0.65</v>
      </c>
    </row>
    <row r="114" spans="1:8" x14ac:dyDescent="0.2">
      <c r="A114" s="97">
        <v>829</v>
      </c>
      <c r="B114" s="79">
        <f>IF($A114="","",VLOOKUP($A114,'Annex 2 Designated EHV charges'!$A:$P,2,0))</f>
        <v>829</v>
      </c>
      <c r="C114" s="98">
        <f>IF($A114="","",VLOOKUP($A114,'Annex 2 Designated EHV charges'!$A:$P,3,0))</f>
        <v>2380002197132</v>
      </c>
      <c r="D114" s="99" t="str">
        <f>IF($A114="","",VLOOKUP($A114,'Annex 2 Designated EHV charges'!$A:$P,7,0))</f>
        <v>EHV Site Specific (LLFC 829 &amp; 43)</v>
      </c>
      <c r="E114" s="100">
        <f>IFERROR(IF(VLOOKUP($A114,'Annex 2 Designated EHV charges'!$A:$P,9,FALSE)=0,"",VLOOKUP($A114,'Annex 2 Designated EHV charges'!$A:$P,9,FALSE)),"")</f>
        <v>0.59199999999999997</v>
      </c>
      <c r="F114" s="101">
        <f>IFERROR(IF(VLOOKUP($A114,'Annex 2 Designated EHV charges'!$A:$P,10,FALSE)=0,"",VLOOKUP($A114,'Annex 2 Designated EHV charges'!$A:$P,10,FALSE)),"")</f>
        <v>2.2000000000000002</v>
      </c>
      <c r="G114" s="102">
        <f>IFERROR(IF(VLOOKUP($A114,'Annex 2 Designated EHV charges'!$A:$P,11,FALSE)=0,"",VLOOKUP($A114,'Annex 2 Designated EHV charges'!$A:$P,11,FALSE)),"")</f>
        <v>0.61</v>
      </c>
      <c r="H114" s="102">
        <f>IFERROR(IF(VLOOKUP($A114,'Annex 2 Designated EHV charges'!$A:$P,12,FALSE)=0,"",VLOOKUP($A114,'Annex 2 Designated EHV charges'!$A:$P,12,FALSE)),"")</f>
        <v>0.61</v>
      </c>
    </row>
    <row r="115" spans="1:8" x14ac:dyDescent="0.2">
      <c r="A115" s="97">
        <v>830</v>
      </c>
      <c r="B115" s="79">
        <f>IF($A115="","",VLOOKUP($A115,'Annex 2 Designated EHV charges'!$A:$P,2,0))</f>
        <v>830</v>
      </c>
      <c r="C115" s="98">
        <f>IF($A115="","",VLOOKUP($A115,'Annex 2 Designated EHV charges'!$A:$P,3,0))</f>
        <v>2380002155666</v>
      </c>
      <c r="D115" s="99" t="str">
        <f>IF($A115="","",VLOOKUP($A115,'Annex 2 Designated EHV charges'!$A:$P,7,0))</f>
        <v>EHV Site Specific (LLFC 830 &amp; 44)</v>
      </c>
      <c r="E115" s="100">
        <f>IFERROR(IF(VLOOKUP($A115,'Annex 2 Designated EHV charges'!$A:$P,9,FALSE)=0,"",VLOOKUP($A115,'Annex 2 Designated EHV charges'!$A:$P,9,FALSE)),"")</f>
        <v>2.9000000000000001E-2</v>
      </c>
      <c r="F115" s="101">
        <f>IFERROR(IF(VLOOKUP($A115,'Annex 2 Designated EHV charges'!$A:$P,10,FALSE)=0,"",VLOOKUP($A115,'Annex 2 Designated EHV charges'!$A:$P,10,FALSE)),"")</f>
        <v>29.45</v>
      </c>
      <c r="G115" s="102">
        <f>IFERROR(IF(VLOOKUP($A115,'Annex 2 Designated EHV charges'!$A:$P,11,FALSE)=0,"",VLOOKUP($A115,'Annex 2 Designated EHV charges'!$A:$P,11,FALSE)),"")</f>
        <v>0.56000000000000005</v>
      </c>
      <c r="H115" s="102">
        <f>IFERROR(IF(VLOOKUP($A115,'Annex 2 Designated EHV charges'!$A:$P,12,FALSE)=0,"",VLOOKUP($A115,'Annex 2 Designated EHV charges'!$A:$P,12,FALSE)),"")</f>
        <v>0.56000000000000005</v>
      </c>
    </row>
    <row r="116" spans="1:8" x14ac:dyDescent="0.2">
      <c r="A116" s="97">
        <v>727</v>
      </c>
      <c r="B116" s="79">
        <f>IF($A116="","",VLOOKUP($A116,'Annex 2 Designated EHV charges'!$A:$P,2,0))</f>
        <v>727</v>
      </c>
      <c r="C116" s="98">
        <f>IF($A116="","",VLOOKUP($A116,'Annex 2 Designated EHV charges'!$A:$P,3,0))</f>
        <v>2380002198730</v>
      </c>
      <c r="D116" s="99" t="str">
        <f>IF($A116="","",VLOOKUP($A116,'Annex 2 Designated EHV charges'!$A:$P,7,0))</f>
        <v>EHV Site Specific (LLFC 727 &amp; 46)</v>
      </c>
      <c r="E116" s="100">
        <f>IFERROR(IF(VLOOKUP($A116,'Annex 2 Designated EHV charges'!$A:$P,9,FALSE)=0,"",VLOOKUP($A116,'Annex 2 Designated EHV charges'!$A:$P,9,FALSE)),"")</f>
        <v>0.153</v>
      </c>
      <c r="F116" s="101">
        <f>IFERROR(IF(VLOOKUP($A116,'Annex 2 Designated EHV charges'!$A:$P,10,FALSE)=0,"",VLOOKUP($A116,'Annex 2 Designated EHV charges'!$A:$P,10,FALSE)),"")</f>
        <v>56.78</v>
      </c>
      <c r="G116" s="102">
        <f>IFERROR(IF(VLOOKUP($A116,'Annex 2 Designated EHV charges'!$A:$P,11,FALSE)=0,"",VLOOKUP($A116,'Annex 2 Designated EHV charges'!$A:$P,11,FALSE)),"")</f>
        <v>0.64</v>
      </c>
      <c r="H116" s="102">
        <f>IFERROR(IF(VLOOKUP($A116,'Annex 2 Designated EHV charges'!$A:$P,12,FALSE)=0,"",VLOOKUP($A116,'Annex 2 Designated EHV charges'!$A:$P,12,FALSE)),"")</f>
        <v>0.64</v>
      </c>
    </row>
    <row r="117" spans="1:8" x14ac:dyDescent="0.2">
      <c r="A117" s="97">
        <v>728</v>
      </c>
      <c r="B117" s="79">
        <f>IF($A117="","",VLOOKUP($A117,'Annex 2 Designated EHV charges'!$A:$P,2,0))</f>
        <v>728</v>
      </c>
      <c r="C117" s="98">
        <f>IF($A117="","",VLOOKUP($A117,'Annex 2 Designated EHV charges'!$A:$P,3,0))</f>
        <v>2380002182970</v>
      </c>
      <c r="D117" s="99" t="str">
        <f>IF($A117="","",VLOOKUP($A117,'Annex 2 Designated EHV charges'!$A:$P,7,0))</f>
        <v>EHV Site Specific (LLFC 728 &amp; 47)</v>
      </c>
      <c r="E117" s="100">
        <f>IFERROR(IF(VLOOKUP($A117,'Annex 2 Designated EHV charges'!$A:$P,9,FALSE)=0,"",VLOOKUP($A117,'Annex 2 Designated EHV charges'!$A:$P,9,FALSE)),"")</f>
        <v>9.6000000000000002E-2</v>
      </c>
      <c r="F117" s="101">
        <f>IFERROR(IF(VLOOKUP($A117,'Annex 2 Designated EHV charges'!$A:$P,10,FALSE)=0,"",VLOOKUP($A117,'Annex 2 Designated EHV charges'!$A:$P,10,FALSE)),"")</f>
        <v>116.64</v>
      </c>
      <c r="G117" s="102">
        <f>IFERROR(IF(VLOOKUP($A117,'Annex 2 Designated EHV charges'!$A:$P,11,FALSE)=0,"",VLOOKUP($A117,'Annex 2 Designated EHV charges'!$A:$P,11,FALSE)),"")</f>
        <v>0.38</v>
      </c>
      <c r="H117" s="102">
        <f>IFERROR(IF(VLOOKUP($A117,'Annex 2 Designated EHV charges'!$A:$P,12,FALSE)=0,"",VLOOKUP($A117,'Annex 2 Designated EHV charges'!$A:$P,12,FALSE)),"")</f>
        <v>0.38</v>
      </c>
    </row>
    <row r="118" spans="1:8" x14ac:dyDescent="0.2">
      <c r="A118" s="97">
        <v>729</v>
      </c>
      <c r="B118" s="79">
        <f>IF($A118="","",VLOOKUP($A118,'Annex 2 Designated EHV charges'!$A:$P,2,0))</f>
        <v>729</v>
      </c>
      <c r="C118" s="98">
        <f>IF($A118="","",VLOOKUP($A118,'Annex 2 Designated EHV charges'!$A:$P,3,0))</f>
        <v>2380002286980</v>
      </c>
      <c r="D118" s="99" t="str">
        <f>IF($A118="","",VLOOKUP($A118,'Annex 2 Designated EHV charges'!$A:$P,7,0))</f>
        <v>EHV Site Specific (LLFC 729 &amp; 48)</v>
      </c>
      <c r="E118" s="100" t="str">
        <f>IFERROR(IF(VLOOKUP($A118,'Annex 2 Designated EHV charges'!$A:$P,9,FALSE)=0,"",VLOOKUP($A118,'Annex 2 Designated EHV charges'!$A:$P,9,FALSE)),"")</f>
        <v/>
      </c>
      <c r="F118" s="101">
        <f>IFERROR(IF(VLOOKUP($A118,'Annex 2 Designated EHV charges'!$A:$P,10,FALSE)=0,"",VLOOKUP($A118,'Annex 2 Designated EHV charges'!$A:$P,10,FALSE)),"")</f>
        <v>60.37</v>
      </c>
      <c r="G118" s="102">
        <f>IFERROR(IF(VLOOKUP($A118,'Annex 2 Designated EHV charges'!$A:$P,11,FALSE)=0,"",VLOOKUP($A118,'Annex 2 Designated EHV charges'!$A:$P,11,FALSE)),"")</f>
        <v>0.39</v>
      </c>
      <c r="H118" s="102">
        <f>IFERROR(IF(VLOOKUP($A118,'Annex 2 Designated EHV charges'!$A:$P,12,FALSE)=0,"",VLOOKUP($A118,'Annex 2 Designated EHV charges'!$A:$P,12,FALSE)),"")</f>
        <v>0.39</v>
      </c>
    </row>
    <row r="119" spans="1:8" x14ac:dyDescent="0.2">
      <c r="A119" s="97">
        <v>730</v>
      </c>
      <c r="B119" s="79">
        <f>IF($A119="","",VLOOKUP($A119,'Annex 2 Designated EHV charges'!$A:$P,2,0))</f>
        <v>730</v>
      </c>
      <c r="C119" s="98">
        <f>IF($A119="","",VLOOKUP($A119,'Annex 2 Designated EHV charges'!$A:$P,3,0))</f>
        <v>2380002248104</v>
      </c>
      <c r="D119" s="99" t="str">
        <f>IF($A119="","",VLOOKUP($A119,'Annex 2 Designated EHV charges'!$A:$P,7,0))</f>
        <v>EHV Site Specific (LLFC 730 &amp; 49)</v>
      </c>
      <c r="E119" s="100">
        <f>IFERROR(IF(VLOOKUP($A119,'Annex 2 Designated EHV charges'!$A:$P,9,FALSE)=0,"",VLOOKUP($A119,'Annex 2 Designated EHV charges'!$A:$P,9,FALSE)),"")</f>
        <v>0.11799999999999999</v>
      </c>
      <c r="F119" s="101">
        <f>IFERROR(IF(VLOOKUP($A119,'Annex 2 Designated EHV charges'!$A:$P,10,FALSE)=0,"",VLOOKUP($A119,'Annex 2 Designated EHV charges'!$A:$P,10,FALSE)),"")</f>
        <v>108.65</v>
      </c>
      <c r="G119" s="102">
        <f>IFERROR(IF(VLOOKUP($A119,'Annex 2 Designated EHV charges'!$A:$P,11,FALSE)=0,"",VLOOKUP($A119,'Annex 2 Designated EHV charges'!$A:$P,11,FALSE)),"")</f>
        <v>0.51</v>
      </c>
      <c r="H119" s="102">
        <f>IFERROR(IF(VLOOKUP($A119,'Annex 2 Designated EHV charges'!$A:$P,12,FALSE)=0,"",VLOOKUP($A119,'Annex 2 Designated EHV charges'!$A:$P,12,FALSE)),"")</f>
        <v>0.51</v>
      </c>
    </row>
    <row r="120" spans="1:8" x14ac:dyDescent="0.2">
      <c r="A120" s="97">
        <v>809</v>
      </c>
      <c r="B120" s="79">
        <f>IF($A120="","",VLOOKUP($A120,'Annex 2 Designated EHV charges'!$A:$P,2,0))</f>
        <v>809</v>
      </c>
      <c r="C120" s="98">
        <f>IF($A120="","",VLOOKUP($A120,'Annex 2 Designated EHV charges'!$A:$P,3,0))</f>
        <v>2380002046577</v>
      </c>
      <c r="D120" s="99" t="str">
        <f>IF($A120="","",VLOOKUP($A120,'Annex 2 Designated EHV charges'!$A:$P,7,0))</f>
        <v>EHV Site Specific (LLFC 809 &amp; 64)</v>
      </c>
      <c r="E120" s="100" t="str">
        <f>IFERROR(IF(VLOOKUP($A120,'Annex 2 Designated EHV charges'!$A:$P,9,FALSE)=0,"",VLOOKUP($A120,'Annex 2 Designated EHV charges'!$A:$P,9,FALSE)),"")</f>
        <v/>
      </c>
      <c r="F120" s="101">
        <f>IFERROR(IF(VLOOKUP($A120,'Annex 2 Designated EHV charges'!$A:$P,10,FALSE)=0,"",VLOOKUP($A120,'Annex 2 Designated EHV charges'!$A:$P,10,FALSE)),"")</f>
        <v>47.9</v>
      </c>
      <c r="G120" s="102">
        <f>IFERROR(IF(VLOOKUP($A120,'Annex 2 Designated EHV charges'!$A:$P,11,FALSE)=0,"",VLOOKUP($A120,'Annex 2 Designated EHV charges'!$A:$P,11,FALSE)),"")</f>
        <v>0.44</v>
      </c>
      <c r="H120" s="102">
        <f>IFERROR(IF(VLOOKUP($A120,'Annex 2 Designated EHV charges'!$A:$P,12,FALSE)=0,"",VLOOKUP($A120,'Annex 2 Designated EHV charges'!$A:$P,12,FALSE)),"")</f>
        <v>0.44</v>
      </c>
    </row>
    <row r="121" spans="1:8" x14ac:dyDescent="0.2">
      <c r="A121" s="97">
        <v>731</v>
      </c>
      <c r="B121" s="79">
        <f>IF($A121="","",VLOOKUP($A121,'Annex 2 Designated EHV charges'!$A:$P,2,0))</f>
        <v>731</v>
      </c>
      <c r="C121" s="98">
        <f>IF($A121="","",VLOOKUP($A121,'Annex 2 Designated EHV charges'!$A:$P,3,0))</f>
        <v>2380002277531</v>
      </c>
      <c r="D121" s="99" t="str">
        <f>IF($A121="","",VLOOKUP($A121,'Annex 2 Designated EHV charges'!$A:$P,7,0))</f>
        <v>EHV Site Specific (LLFC 731 &amp; 50)</v>
      </c>
      <c r="E121" s="100" t="str">
        <f>IFERROR(IF(VLOOKUP($A121,'Annex 2 Designated EHV charges'!$A:$P,9,FALSE)=0,"",VLOOKUP($A121,'Annex 2 Designated EHV charges'!$A:$P,9,FALSE)),"")</f>
        <v/>
      </c>
      <c r="F121" s="101">
        <f>IFERROR(IF(VLOOKUP($A121,'Annex 2 Designated EHV charges'!$A:$P,10,FALSE)=0,"",VLOOKUP($A121,'Annex 2 Designated EHV charges'!$A:$P,10,FALSE)),"")</f>
        <v>2230.23</v>
      </c>
      <c r="G121" s="102">
        <f>IFERROR(IF(VLOOKUP($A121,'Annex 2 Designated EHV charges'!$A:$P,11,FALSE)=0,"",VLOOKUP($A121,'Annex 2 Designated EHV charges'!$A:$P,11,FALSE)),"")</f>
        <v>0.65</v>
      </c>
      <c r="H121" s="102">
        <f>IFERROR(IF(VLOOKUP($A121,'Annex 2 Designated EHV charges'!$A:$P,12,FALSE)=0,"",VLOOKUP($A121,'Annex 2 Designated EHV charges'!$A:$P,12,FALSE)),"")</f>
        <v>0.65</v>
      </c>
    </row>
    <row r="122" spans="1:8" x14ac:dyDescent="0.2">
      <c r="A122" s="97">
        <v>732</v>
      </c>
      <c r="B122" s="79">
        <f>IF($A122="","",VLOOKUP($A122,'Annex 2 Designated EHV charges'!$A:$P,2,0))</f>
        <v>732</v>
      </c>
      <c r="C122" s="98">
        <f>IF($A122="","",VLOOKUP($A122,'Annex 2 Designated EHV charges'!$A:$P,3,0))</f>
        <v>2380002328451</v>
      </c>
      <c r="D122" s="99" t="str">
        <f>IF($A122="","",VLOOKUP($A122,'Annex 2 Designated EHV charges'!$A:$P,7,0))</f>
        <v>EHV Site Specific (LLFC 732 &amp; 114)</v>
      </c>
      <c r="E122" s="100" t="str">
        <f>IFERROR(IF(VLOOKUP($A122,'Annex 2 Designated EHV charges'!$A:$P,9,FALSE)=0,"",VLOOKUP($A122,'Annex 2 Designated EHV charges'!$A:$P,9,FALSE)),"")</f>
        <v/>
      </c>
      <c r="F122" s="101">
        <f>IFERROR(IF(VLOOKUP($A122,'Annex 2 Designated EHV charges'!$A:$P,10,FALSE)=0,"",VLOOKUP($A122,'Annex 2 Designated EHV charges'!$A:$P,10,FALSE)),"")</f>
        <v>15.83</v>
      </c>
      <c r="G122" s="102">
        <f>IFERROR(IF(VLOOKUP($A122,'Annex 2 Designated EHV charges'!$A:$P,11,FALSE)=0,"",VLOOKUP($A122,'Annex 2 Designated EHV charges'!$A:$P,11,FALSE)),"")</f>
        <v>1.47</v>
      </c>
      <c r="H122" s="102">
        <f>IFERROR(IF(VLOOKUP($A122,'Annex 2 Designated EHV charges'!$A:$P,12,FALSE)=0,"",VLOOKUP($A122,'Annex 2 Designated EHV charges'!$A:$P,12,FALSE)),"")</f>
        <v>1.47</v>
      </c>
    </row>
    <row r="123" spans="1:8" x14ac:dyDescent="0.2">
      <c r="A123" s="97">
        <v>733</v>
      </c>
      <c r="B123" s="79">
        <f>IF($A123="","",VLOOKUP($A123,'Annex 2 Designated EHV charges'!$A:$P,2,0))</f>
        <v>733</v>
      </c>
      <c r="C123" s="98">
        <f>IF($A123="","",VLOOKUP($A123,'Annex 2 Designated EHV charges'!$A:$P,3,0))</f>
        <v>2380002296933</v>
      </c>
      <c r="D123" s="99" t="str">
        <f>IF($A123="","",VLOOKUP($A123,'Annex 2 Designated EHV charges'!$A:$P,7,0))</f>
        <v>EHV Site Specific (LLFC 733 &amp; 115)</v>
      </c>
      <c r="E123" s="100" t="str">
        <f>IFERROR(IF(VLOOKUP($A123,'Annex 2 Designated EHV charges'!$A:$P,9,FALSE)=0,"",VLOOKUP($A123,'Annex 2 Designated EHV charges'!$A:$P,9,FALSE)),"")</f>
        <v/>
      </c>
      <c r="F123" s="101">
        <f>IFERROR(IF(VLOOKUP($A123,'Annex 2 Designated EHV charges'!$A:$P,10,FALSE)=0,"",VLOOKUP($A123,'Annex 2 Designated EHV charges'!$A:$P,10,FALSE)),"")</f>
        <v>31.35</v>
      </c>
      <c r="G123" s="102">
        <f>IFERROR(IF(VLOOKUP($A123,'Annex 2 Designated EHV charges'!$A:$P,11,FALSE)=0,"",VLOOKUP($A123,'Annex 2 Designated EHV charges'!$A:$P,11,FALSE)),"")</f>
        <v>0.38</v>
      </c>
      <c r="H123" s="102">
        <f>IFERROR(IF(VLOOKUP($A123,'Annex 2 Designated EHV charges'!$A:$P,12,FALSE)=0,"",VLOOKUP($A123,'Annex 2 Designated EHV charges'!$A:$P,12,FALSE)),"")</f>
        <v>0.38</v>
      </c>
    </row>
    <row r="124" spans="1:8" x14ac:dyDescent="0.2">
      <c r="A124" s="97">
        <v>734</v>
      </c>
      <c r="B124" s="79">
        <f>IF($A124="","",VLOOKUP($A124,'Annex 2 Designated EHV charges'!$A:$P,2,0))</f>
        <v>734</v>
      </c>
      <c r="C124" s="98">
        <f>IF($A124="","",VLOOKUP($A124,'Annex 2 Designated EHV charges'!$A:$P,3,0))</f>
        <v>2380002293199</v>
      </c>
      <c r="D124" s="99" t="str">
        <f>IF($A124="","",VLOOKUP($A124,'Annex 2 Designated EHV charges'!$A:$P,7,0))</f>
        <v>EHV Site Specific (LLFC 734 &amp; 116)</v>
      </c>
      <c r="E124" s="100">
        <f>IFERROR(IF(VLOOKUP($A124,'Annex 2 Designated EHV charges'!$A:$P,9,FALSE)=0,"",VLOOKUP($A124,'Annex 2 Designated EHV charges'!$A:$P,9,FALSE)),"")</f>
        <v>1E-3</v>
      </c>
      <c r="F124" s="101">
        <f>IFERROR(IF(VLOOKUP($A124,'Annex 2 Designated EHV charges'!$A:$P,10,FALSE)=0,"",VLOOKUP($A124,'Annex 2 Designated EHV charges'!$A:$P,10,FALSE)),"")</f>
        <v>8.01</v>
      </c>
      <c r="G124" s="102">
        <f>IFERROR(IF(VLOOKUP($A124,'Annex 2 Designated EHV charges'!$A:$P,11,FALSE)=0,"",VLOOKUP($A124,'Annex 2 Designated EHV charges'!$A:$P,11,FALSE)),"")</f>
        <v>0.66</v>
      </c>
      <c r="H124" s="102">
        <f>IFERROR(IF(VLOOKUP($A124,'Annex 2 Designated EHV charges'!$A:$P,12,FALSE)=0,"",VLOOKUP($A124,'Annex 2 Designated EHV charges'!$A:$P,12,FALSE)),"")</f>
        <v>0.66</v>
      </c>
    </row>
    <row r="125" spans="1:8" x14ac:dyDescent="0.2">
      <c r="A125" s="97">
        <v>735</v>
      </c>
      <c r="B125" s="79">
        <f>IF($A125="","",VLOOKUP($A125,'Annex 2 Designated EHV charges'!$A:$P,2,0))</f>
        <v>735</v>
      </c>
      <c r="C125" s="98">
        <f>IF($A125="","",VLOOKUP($A125,'Annex 2 Designated EHV charges'!$A:$P,3,0))</f>
        <v>2380002270518</v>
      </c>
      <c r="D125" s="99" t="str">
        <f>IF($A125="","",VLOOKUP($A125,'Annex 2 Designated EHV charges'!$A:$P,7,0))</f>
        <v>EHV Site Specific (LLFC 735 &amp; 117)</v>
      </c>
      <c r="E125" s="100">
        <f>IFERROR(IF(VLOOKUP($A125,'Annex 2 Designated EHV charges'!$A:$P,9,FALSE)=0,"",VLOOKUP($A125,'Annex 2 Designated EHV charges'!$A:$P,9,FALSE)),"")</f>
        <v>9.2999999999999999E-2</v>
      </c>
      <c r="F125" s="101">
        <f>IFERROR(IF(VLOOKUP($A125,'Annex 2 Designated EHV charges'!$A:$P,10,FALSE)=0,"",VLOOKUP($A125,'Annex 2 Designated EHV charges'!$A:$P,10,FALSE)),"")</f>
        <v>22.17</v>
      </c>
      <c r="G125" s="102">
        <f>IFERROR(IF(VLOOKUP($A125,'Annex 2 Designated EHV charges'!$A:$P,11,FALSE)=0,"",VLOOKUP($A125,'Annex 2 Designated EHV charges'!$A:$P,11,FALSE)),"")</f>
        <v>0.43</v>
      </c>
      <c r="H125" s="102">
        <f>IFERROR(IF(VLOOKUP($A125,'Annex 2 Designated EHV charges'!$A:$P,12,FALSE)=0,"",VLOOKUP($A125,'Annex 2 Designated EHV charges'!$A:$P,12,FALSE)),"")</f>
        <v>0.43</v>
      </c>
    </row>
    <row r="126" spans="1:8" x14ac:dyDescent="0.2">
      <c r="A126" s="97">
        <v>736</v>
      </c>
      <c r="B126" s="79">
        <f>IF($A126="","",VLOOKUP($A126,'Annex 2 Designated EHV charges'!$A:$P,2,0))</f>
        <v>736</v>
      </c>
      <c r="C126" s="98">
        <f>IF($A126="","",VLOOKUP($A126,'Annex 2 Designated EHV charges'!$A:$P,3,0))</f>
        <v>2380002293170</v>
      </c>
      <c r="D126" s="99" t="str">
        <f>IF($A126="","",VLOOKUP($A126,'Annex 2 Designated EHV charges'!$A:$P,7,0))</f>
        <v>EHV Site Specific (LLFC 736 &amp; 118)</v>
      </c>
      <c r="E126" s="100" t="str">
        <f>IFERROR(IF(VLOOKUP($A126,'Annex 2 Designated EHV charges'!$A:$P,9,FALSE)=0,"",VLOOKUP($A126,'Annex 2 Designated EHV charges'!$A:$P,9,FALSE)),"")</f>
        <v/>
      </c>
      <c r="F126" s="101">
        <f>IFERROR(IF(VLOOKUP($A126,'Annex 2 Designated EHV charges'!$A:$P,10,FALSE)=0,"",VLOOKUP($A126,'Annex 2 Designated EHV charges'!$A:$P,10,FALSE)),"")</f>
        <v>130.24</v>
      </c>
      <c r="G126" s="102">
        <f>IFERROR(IF(VLOOKUP($A126,'Annex 2 Designated EHV charges'!$A:$P,11,FALSE)=0,"",VLOOKUP($A126,'Annex 2 Designated EHV charges'!$A:$P,11,FALSE)),"")</f>
        <v>0.59</v>
      </c>
      <c r="H126" s="102">
        <f>IFERROR(IF(VLOOKUP($A126,'Annex 2 Designated EHV charges'!$A:$P,12,FALSE)=0,"",VLOOKUP($A126,'Annex 2 Designated EHV charges'!$A:$P,12,FALSE)),"")</f>
        <v>0.59</v>
      </c>
    </row>
    <row r="127" spans="1:8" x14ac:dyDescent="0.2">
      <c r="A127" s="97">
        <v>738</v>
      </c>
      <c r="B127" s="79">
        <f>IF($A127="","",VLOOKUP($A127,'Annex 2 Designated EHV charges'!$A:$P,2,0))</f>
        <v>738</v>
      </c>
      <c r="C127" s="98">
        <f>IF($A127="","",VLOOKUP($A127,'Annex 2 Designated EHV charges'!$A:$P,3,0))</f>
        <v>2380002299970</v>
      </c>
      <c r="D127" s="99" t="str">
        <f>IF($A127="","",VLOOKUP($A127,'Annex 2 Designated EHV charges'!$A:$P,7,0))</f>
        <v>EHV Site Specific (LLFC 738 &amp; 124)</v>
      </c>
      <c r="E127" s="100">
        <f>IFERROR(IF(VLOOKUP($A127,'Annex 2 Designated EHV charges'!$A:$P,9,FALSE)=0,"",VLOOKUP($A127,'Annex 2 Designated EHV charges'!$A:$P,9,FALSE)),"")</f>
        <v>1E-3</v>
      </c>
      <c r="F127" s="101">
        <f>IFERROR(IF(VLOOKUP($A127,'Annex 2 Designated EHV charges'!$A:$P,10,FALSE)=0,"",VLOOKUP($A127,'Annex 2 Designated EHV charges'!$A:$P,10,FALSE)),"")</f>
        <v>105.79</v>
      </c>
      <c r="G127" s="102">
        <f>IFERROR(IF(VLOOKUP($A127,'Annex 2 Designated EHV charges'!$A:$P,11,FALSE)=0,"",VLOOKUP($A127,'Annex 2 Designated EHV charges'!$A:$P,11,FALSE)),"")</f>
        <v>0.37</v>
      </c>
      <c r="H127" s="102">
        <f>IFERROR(IF(VLOOKUP($A127,'Annex 2 Designated EHV charges'!$A:$P,12,FALSE)=0,"",VLOOKUP($A127,'Annex 2 Designated EHV charges'!$A:$P,12,FALSE)),"")</f>
        <v>0.37</v>
      </c>
    </row>
    <row r="128" spans="1:8" x14ac:dyDescent="0.2">
      <c r="A128" s="97">
        <v>739</v>
      </c>
      <c r="B128" s="79">
        <f>IF($A128="","",VLOOKUP($A128,'Annex 2 Designated EHV charges'!$A:$P,2,0))</f>
        <v>739</v>
      </c>
      <c r="C128" s="98">
        <f>IF($A128="","",VLOOKUP($A128,'Annex 2 Designated EHV charges'!$A:$P,3,0))</f>
        <v>2380002287210</v>
      </c>
      <c r="D128" s="99" t="str">
        <f>IF($A128="","",VLOOKUP($A128,'Annex 2 Designated EHV charges'!$A:$P,7,0))</f>
        <v>EHV Site Specific (LLFC 739 &amp; 125)</v>
      </c>
      <c r="E128" s="100" t="str">
        <f>IFERROR(IF(VLOOKUP($A128,'Annex 2 Designated EHV charges'!$A:$P,9,FALSE)=0,"",VLOOKUP($A128,'Annex 2 Designated EHV charges'!$A:$P,9,FALSE)),"")</f>
        <v/>
      </c>
      <c r="F128" s="101">
        <f>IFERROR(IF(VLOOKUP($A128,'Annex 2 Designated EHV charges'!$A:$P,10,FALSE)=0,"",VLOOKUP($A128,'Annex 2 Designated EHV charges'!$A:$P,10,FALSE)),"")</f>
        <v>1.45</v>
      </c>
      <c r="G128" s="102">
        <f>IFERROR(IF(VLOOKUP($A128,'Annex 2 Designated EHV charges'!$A:$P,11,FALSE)=0,"",VLOOKUP($A128,'Annex 2 Designated EHV charges'!$A:$P,11,FALSE)),"")</f>
        <v>1.81</v>
      </c>
      <c r="H128" s="102">
        <f>IFERROR(IF(VLOOKUP($A128,'Annex 2 Designated EHV charges'!$A:$P,12,FALSE)=0,"",VLOOKUP($A128,'Annex 2 Designated EHV charges'!$A:$P,12,FALSE)),"")</f>
        <v>1.81</v>
      </c>
    </row>
    <row r="129" spans="1:8" x14ac:dyDescent="0.2">
      <c r="A129" s="97">
        <v>737</v>
      </c>
      <c r="B129" s="79">
        <f>IF($A129="","",VLOOKUP($A129,'Annex 2 Designated EHV charges'!$A:$P,2,0))</f>
        <v>737</v>
      </c>
      <c r="C129" s="98">
        <f>IF($A129="","",VLOOKUP($A129,'Annex 2 Designated EHV charges'!$A:$P,3,0))</f>
        <v>2380002287229</v>
      </c>
      <c r="D129" s="99" t="str">
        <f>IF($A129="","",VLOOKUP($A129,'Annex 2 Designated EHV charges'!$A:$P,7,0))</f>
        <v>EHV Site Specific (LLFC 737 &amp; 119)</v>
      </c>
      <c r="E129" s="100" t="str">
        <f>IFERROR(IF(VLOOKUP($A129,'Annex 2 Designated EHV charges'!$A:$P,9,FALSE)=0,"",VLOOKUP($A129,'Annex 2 Designated EHV charges'!$A:$P,9,FALSE)),"")</f>
        <v/>
      </c>
      <c r="F129" s="101">
        <f>IFERROR(IF(VLOOKUP($A129,'Annex 2 Designated EHV charges'!$A:$P,10,FALSE)=0,"",VLOOKUP($A129,'Annex 2 Designated EHV charges'!$A:$P,10,FALSE)),"")</f>
        <v>1.45</v>
      </c>
      <c r="G129" s="102">
        <f>IFERROR(IF(VLOOKUP($A129,'Annex 2 Designated EHV charges'!$A:$P,11,FALSE)=0,"",VLOOKUP($A129,'Annex 2 Designated EHV charges'!$A:$P,11,FALSE)),"")</f>
        <v>1.79</v>
      </c>
      <c r="H129" s="102">
        <f>IFERROR(IF(VLOOKUP($A129,'Annex 2 Designated EHV charges'!$A:$P,12,FALSE)=0,"",VLOOKUP($A129,'Annex 2 Designated EHV charges'!$A:$P,12,FALSE)),"")</f>
        <v>1.79</v>
      </c>
    </row>
    <row r="130" spans="1:8" x14ac:dyDescent="0.2">
      <c r="A130" s="97">
        <v>740</v>
      </c>
      <c r="B130" s="79">
        <f>IF($A130="","",VLOOKUP($A130,'Annex 2 Designated EHV charges'!$A:$P,2,0))</f>
        <v>740</v>
      </c>
      <c r="C130" s="98">
        <f>IF($A130="","",VLOOKUP($A130,'Annex 2 Designated EHV charges'!$A:$P,3,0))</f>
        <v>2380002309867</v>
      </c>
      <c r="D130" s="99" t="str">
        <f>IF($A130="","",VLOOKUP($A130,'Annex 2 Designated EHV charges'!$A:$P,7,0))</f>
        <v>EHV Site Specific (LLFC 740 &amp; 126)</v>
      </c>
      <c r="E130" s="100">
        <f>IFERROR(IF(VLOOKUP($A130,'Annex 2 Designated EHV charges'!$A:$P,9,FALSE)=0,"",VLOOKUP($A130,'Annex 2 Designated EHV charges'!$A:$P,9,FALSE)),"")</f>
        <v>0.13300000000000001</v>
      </c>
      <c r="F130" s="101">
        <f>IFERROR(IF(VLOOKUP($A130,'Annex 2 Designated EHV charges'!$A:$P,10,FALSE)=0,"",VLOOKUP($A130,'Annex 2 Designated EHV charges'!$A:$P,10,FALSE)),"")</f>
        <v>2244.6999999999998</v>
      </c>
      <c r="G130" s="102">
        <f>IFERROR(IF(VLOOKUP($A130,'Annex 2 Designated EHV charges'!$A:$P,11,FALSE)=0,"",VLOOKUP($A130,'Annex 2 Designated EHV charges'!$A:$P,11,FALSE)),"")</f>
        <v>0.81</v>
      </c>
      <c r="H130" s="102">
        <f>IFERROR(IF(VLOOKUP($A130,'Annex 2 Designated EHV charges'!$A:$P,12,FALSE)=0,"",VLOOKUP($A130,'Annex 2 Designated EHV charges'!$A:$P,12,FALSE)),"")</f>
        <v>0.81</v>
      </c>
    </row>
    <row r="131" spans="1:8" x14ac:dyDescent="0.2">
      <c r="A131" s="97">
        <v>745</v>
      </c>
      <c r="B131" s="79">
        <f>IF($A131="","",VLOOKUP($A131,'Annex 2 Designated EHV charges'!$A:$P,2,0))</f>
        <v>745</v>
      </c>
      <c r="C131" s="98">
        <f>IF($A131="","",VLOOKUP($A131,'Annex 2 Designated EHV charges'!$A:$P,3,0))</f>
        <v>2380002315851</v>
      </c>
      <c r="D131" s="99" t="str">
        <f>IF($A131="","",VLOOKUP($A131,'Annex 2 Designated EHV charges'!$A:$P,7,0))</f>
        <v>EHV Site Specific (LLFC 745 &amp; 127)</v>
      </c>
      <c r="E131" s="100" t="str">
        <f>IFERROR(IF(VLOOKUP($A131,'Annex 2 Designated EHV charges'!$A:$P,9,FALSE)=0,"",VLOOKUP($A131,'Annex 2 Designated EHV charges'!$A:$P,9,FALSE)),"")</f>
        <v/>
      </c>
      <c r="F131" s="101">
        <f>IFERROR(IF(VLOOKUP($A131,'Annex 2 Designated EHV charges'!$A:$P,10,FALSE)=0,"",VLOOKUP($A131,'Annex 2 Designated EHV charges'!$A:$P,10,FALSE)),"")</f>
        <v>518.99</v>
      </c>
      <c r="G131" s="102">
        <f>IFERROR(IF(VLOOKUP($A131,'Annex 2 Designated EHV charges'!$A:$P,11,FALSE)=0,"",VLOOKUP($A131,'Annex 2 Designated EHV charges'!$A:$P,11,FALSE)),"")</f>
        <v>0.27</v>
      </c>
      <c r="H131" s="102">
        <f>IFERROR(IF(VLOOKUP($A131,'Annex 2 Designated EHV charges'!$A:$P,12,FALSE)=0,"",VLOOKUP($A131,'Annex 2 Designated EHV charges'!$A:$P,12,FALSE)),"")</f>
        <v>0.27</v>
      </c>
    </row>
    <row r="132" spans="1:8" x14ac:dyDescent="0.2">
      <c r="A132" s="97">
        <v>892</v>
      </c>
      <c r="B132" s="79">
        <f>IF($A132="","",VLOOKUP($A132,'Annex 2 Designated EHV charges'!$A:$P,2,0))</f>
        <v>892</v>
      </c>
      <c r="C132" s="98">
        <f>IF($A132="","",VLOOKUP($A132,'Annex 2 Designated EHV charges'!$A:$P,3,0))</f>
        <v>2300000839364</v>
      </c>
      <c r="D132" s="99" t="str">
        <f>IF($A132="","",VLOOKUP($A132,'Annex 2 Designated EHV charges'!$A:$P,7,0))</f>
        <v>EHV Site Specific (LLFC 892)</v>
      </c>
      <c r="E132" s="100">
        <f>IFERROR(IF(VLOOKUP($A132,'Annex 2 Designated EHV charges'!$A:$P,9,FALSE)=0,"",VLOOKUP($A132,'Annex 2 Designated EHV charges'!$A:$P,9,FALSE)),"")</f>
        <v>0.59699999999999998</v>
      </c>
      <c r="F132" s="101">
        <f>IFERROR(IF(VLOOKUP($A132,'Annex 2 Designated EHV charges'!$A:$P,10,FALSE)=0,"",VLOOKUP($A132,'Annex 2 Designated EHV charges'!$A:$P,10,FALSE)),"")</f>
        <v>2265.2399999999998</v>
      </c>
      <c r="G132" s="102">
        <f>IFERROR(IF(VLOOKUP($A132,'Annex 2 Designated EHV charges'!$A:$P,11,FALSE)=0,"",VLOOKUP($A132,'Annex 2 Designated EHV charges'!$A:$P,11,FALSE)),"")</f>
        <v>0.41</v>
      </c>
      <c r="H132" s="102">
        <f>IFERROR(IF(VLOOKUP($A132,'Annex 2 Designated EHV charges'!$A:$P,12,FALSE)=0,"",VLOOKUP($A132,'Annex 2 Designated EHV charges'!$A:$P,12,FALSE)),"")</f>
        <v>0.41</v>
      </c>
    </row>
    <row r="133" spans="1:8" ht="30" x14ac:dyDescent="0.2">
      <c r="A133" s="97">
        <v>893</v>
      </c>
      <c r="B133" s="79">
        <f>IF($A133="","",VLOOKUP($A133,'Annex 2 Designated EHV charges'!$A:$P,2,0))</f>
        <v>893</v>
      </c>
      <c r="C133" s="98" t="str">
        <f>IF($A133="","",VLOOKUP($A133,'Annex 2 Designated EHV charges'!$A:$P,3,0))</f>
        <v>2300000646962
2300000647006</v>
      </c>
      <c r="D133" s="99" t="str">
        <f>IF($A133="","",VLOOKUP($A133,'Annex 2 Designated EHV charges'!$A:$P,7,0))</f>
        <v>EHV Site Specific (LLFC 893)</v>
      </c>
      <c r="E133" s="100" t="str">
        <f>IFERROR(IF(VLOOKUP($A133,'Annex 2 Designated EHV charges'!$A:$P,9,FALSE)=0,"",VLOOKUP($A133,'Annex 2 Designated EHV charges'!$A:$P,9,FALSE)),"")</f>
        <v/>
      </c>
      <c r="F133" s="101">
        <f>IFERROR(IF(VLOOKUP($A133,'Annex 2 Designated EHV charges'!$A:$P,10,FALSE)=0,"",VLOOKUP($A133,'Annex 2 Designated EHV charges'!$A:$P,10,FALSE)),"")</f>
        <v>13311.76</v>
      </c>
      <c r="G133" s="102">
        <f>IFERROR(IF(VLOOKUP($A133,'Annex 2 Designated EHV charges'!$A:$P,11,FALSE)=0,"",VLOOKUP($A133,'Annex 2 Designated EHV charges'!$A:$P,11,FALSE)),"")</f>
        <v>1.29</v>
      </c>
      <c r="H133" s="102">
        <f>IFERROR(IF(VLOOKUP($A133,'Annex 2 Designated EHV charges'!$A:$P,12,FALSE)=0,"",VLOOKUP($A133,'Annex 2 Designated EHV charges'!$A:$P,12,FALSE)),"")</f>
        <v>1.29</v>
      </c>
    </row>
    <row r="134" spans="1:8" ht="30" x14ac:dyDescent="0.2">
      <c r="A134" s="97">
        <v>746</v>
      </c>
      <c r="B134" s="79">
        <f>IF($A134="","",VLOOKUP($A134,'Annex 2 Designated EHV charges'!$A:$P,2,0))</f>
        <v>746</v>
      </c>
      <c r="C134" s="98" t="str">
        <f>IF($A134="","",VLOOKUP($A134,'Annex 2 Designated EHV charges'!$A:$P,3,0))</f>
        <v>2380002366660
2380002366670</v>
      </c>
      <c r="D134" s="99" t="str">
        <f>IF($A134="","",VLOOKUP($A134,'Annex 2 Designated EHV charges'!$A:$P,7,0))</f>
        <v>EHV Site Specific (LLFC 746 &amp; 511)</v>
      </c>
      <c r="E134" s="100">
        <f>IFERROR(IF(VLOOKUP($A134,'Annex 2 Designated EHV charges'!$A:$P,9,FALSE)=0,"",VLOOKUP($A134,'Annex 2 Designated EHV charges'!$A:$P,9,FALSE)),"")</f>
        <v>2E-3</v>
      </c>
      <c r="F134" s="101">
        <f>IFERROR(IF(VLOOKUP($A134,'Annex 2 Designated EHV charges'!$A:$P,10,FALSE)=0,"",VLOOKUP($A134,'Annex 2 Designated EHV charges'!$A:$P,10,FALSE)),"")</f>
        <v>105558.62</v>
      </c>
      <c r="G134" s="102">
        <f>IFERROR(IF(VLOOKUP($A134,'Annex 2 Designated EHV charges'!$A:$P,11,FALSE)=0,"",VLOOKUP($A134,'Annex 2 Designated EHV charges'!$A:$P,11,FALSE)),"")</f>
        <v>0.64</v>
      </c>
      <c r="H134" s="102">
        <f>IFERROR(IF(VLOOKUP($A134,'Annex 2 Designated EHV charges'!$A:$P,12,FALSE)=0,"",VLOOKUP($A134,'Annex 2 Designated EHV charges'!$A:$P,12,FALSE)),"")</f>
        <v>0.64</v>
      </c>
    </row>
    <row r="135" spans="1:8" x14ac:dyDescent="0.2">
      <c r="A135" s="97">
        <v>747</v>
      </c>
      <c r="B135" s="79">
        <f>IF($A135="","",VLOOKUP($A135,'Annex 2 Designated EHV charges'!$A:$P,2,0))</f>
        <v>747</v>
      </c>
      <c r="C135" s="98">
        <f>IF($A135="","",VLOOKUP($A135,'Annex 2 Designated EHV charges'!$A:$P,3,0))</f>
        <v>2380002391996</v>
      </c>
      <c r="D135" s="99" t="str">
        <f>IF($A135="","",VLOOKUP($A135,'Annex 2 Designated EHV charges'!$A:$P,7,0))</f>
        <v>EHV Site Specific (LLFC 747 &amp; 512)</v>
      </c>
      <c r="E135" s="100" t="str">
        <f>IFERROR(IF(VLOOKUP($A135,'Annex 2 Designated EHV charges'!$A:$P,9,FALSE)=0,"",VLOOKUP($A135,'Annex 2 Designated EHV charges'!$A:$P,9,FALSE)),"")</f>
        <v/>
      </c>
      <c r="F135" s="101">
        <f>IFERROR(IF(VLOOKUP($A135,'Annex 2 Designated EHV charges'!$A:$P,10,FALSE)=0,"",VLOOKUP($A135,'Annex 2 Designated EHV charges'!$A:$P,10,FALSE)),"")</f>
        <v>2201.91</v>
      </c>
      <c r="G135" s="102">
        <f>IFERROR(IF(VLOOKUP($A135,'Annex 2 Designated EHV charges'!$A:$P,11,FALSE)=0,"",VLOOKUP($A135,'Annex 2 Designated EHV charges'!$A:$P,11,FALSE)),"")</f>
        <v>2.79</v>
      </c>
      <c r="H135" s="102">
        <f>IFERROR(IF(VLOOKUP($A135,'Annex 2 Designated EHV charges'!$A:$P,12,FALSE)=0,"",VLOOKUP($A135,'Annex 2 Designated EHV charges'!$A:$P,12,FALSE)),"")</f>
        <v>2.79</v>
      </c>
    </row>
    <row r="136" spans="1:8" x14ac:dyDescent="0.2">
      <c r="A136" s="97">
        <v>748</v>
      </c>
      <c r="B136" s="79">
        <f>IF($A136="","",VLOOKUP($A136,'Annex 2 Designated EHV charges'!$A:$P,2,0))</f>
        <v>748</v>
      </c>
      <c r="C136" s="98">
        <f>IF($A136="","",VLOOKUP($A136,'Annex 2 Designated EHV charges'!$A:$P,3,0))</f>
        <v>2380002397394</v>
      </c>
      <c r="D136" s="99" t="str">
        <f>IF($A136="","",VLOOKUP($A136,'Annex 2 Designated EHV charges'!$A:$P,7,0))</f>
        <v>EHV Site Specific (LLFC 748 &amp; 513)</v>
      </c>
      <c r="E136" s="100" t="str">
        <f>IFERROR(IF(VLOOKUP($A136,'Annex 2 Designated EHV charges'!$A:$P,9,FALSE)=0,"",VLOOKUP($A136,'Annex 2 Designated EHV charges'!$A:$P,9,FALSE)),"")</f>
        <v/>
      </c>
      <c r="F136" s="101">
        <f>IFERROR(IF(VLOOKUP($A136,'Annex 2 Designated EHV charges'!$A:$P,10,FALSE)=0,"",VLOOKUP($A136,'Annex 2 Designated EHV charges'!$A:$P,10,FALSE)),"")</f>
        <v>27.56</v>
      </c>
      <c r="G136" s="102">
        <f>IFERROR(IF(VLOOKUP($A136,'Annex 2 Designated EHV charges'!$A:$P,11,FALSE)=0,"",VLOOKUP($A136,'Annex 2 Designated EHV charges'!$A:$P,11,FALSE)),"")</f>
        <v>0.92</v>
      </c>
      <c r="H136" s="102">
        <f>IFERROR(IF(VLOOKUP($A136,'Annex 2 Designated EHV charges'!$A:$P,12,FALSE)=0,"",VLOOKUP($A136,'Annex 2 Designated EHV charges'!$A:$P,12,FALSE)),"")</f>
        <v>0.92</v>
      </c>
    </row>
    <row r="137" spans="1:8" x14ac:dyDescent="0.2">
      <c r="A137" s="97">
        <v>749</v>
      </c>
      <c r="B137" s="79">
        <f>IF($A137="","",VLOOKUP($A137,'Annex 2 Designated EHV charges'!$A:$P,2,0))</f>
        <v>749</v>
      </c>
      <c r="C137" s="98">
        <f>IF($A137="","",VLOOKUP($A137,'Annex 2 Designated EHV charges'!$A:$P,3,0))</f>
        <v>2380002410098</v>
      </c>
      <c r="D137" s="99" t="str">
        <f>IF($A137="","",VLOOKUP($A137,'Annex 2 Designated EHV charges'!$A:$P,7,0))</f>
        <v>EHV Site Specific (LLFC 749 &amp; 514)</v>
      </c>
      <c r="E137" s="100" t="str">
        <f>IFERROR(IF(VLOOKUP($A137,'Annex 2 Designated EHV charges'!$A:$P,9,FALSE)=0,"",VLOOKUP($A137,'Annex 2 Designated EHV charges'!$A:$P,9,FALSE)),"")</f>
        <v/>
      </c>
      <c r="F137" s="101">
        <f>IFERROR(IF(VLOOKUP($A137,'Annex 2 Designated EHV charges'!$A:$P,10,FALSE)=0,"",VLOOKUP($A137,'Annex 2 Designated EHV charges'!$A:$P,10,FALSE)),"")</f>
        <v>13251.02</v>
      </c>
      <c r="G137" s="102">
        <f>IFERROR(IF(VLOOKUP($A137,'Annex 2 Designated EHV charges'!$A:$P,11,FALSE)=0,"",VLOOKUP($A137,'Annex 2 Designated EHV charges'!$A:$P,11,FALSE)),"")</f>
        <v>0.32</v>
      </c>
      <c r="H137" s="102">
        <f>IFERROR(IF(VLOOKUP($A137,'Annex 2 Designated EHV charges'!$A:$P,12,FALSE)=0,"",VLOOKUP($A137,'Annex 2 Designated EHV charges'!$A:$P,12,FALSE)),"")</f>
        <v>0.32</v>
      </c>
    </row>
    <row r="138" spans="1:8" x14ac:dyDescent="0.2">
      <c r="A138" s="97">
        <v>901</v>
      </c>
      <c r="B138" s="79">
        <f>IF($A138="","",VLOOKUP($A138,'Annex 2 Designated EHV charges'!$A:$P,2,0))</f>
        <v>901</v>
      </c>
      <c r="C138" s="98">
        <f>IF($A138="","",VLOOKUP($A138,'Annex 2 Designated EHV charges'!$A:$P,3,0))</f>
        <v>2380002419106</v>
      </c>
      <c r="D138" s="99" t="str">
        <f>IF($A138="","",VLOOKUP($A138,'Annex 2 Designated EHV charges'!$A:$P,7,0))</f>
        <v>EHV Site Specific (LLFC 901 &amp; 515)</v>
      </c>
      <c r="E138" s="100" t="str">
        <f>IFERROR(IF(VLOOKUP($A138,'Annex 2 Designated EHV charges'!$A:$P,9,FALSE)=0,"",VLOOKUP($A138,'Annex 2 Designated EHV charges'!$A:$P,9,FALSE)),"")</f>
        <v/>
      </c>
      <c r="F138" s="101">
        <f>IFERROR(IF(VLOOKUP($A138,'Annex 2 Designated EHV charges'!$A:$P,10,FALSE)=0,"",VLOOKUP($A138,'Annex 2 Designated EHV charges'!$A:$P,10,FALSE)),"")</f>
        <v>3.02</v>
      </c>
      <c r="G138" s="102">
        <f>IFERROR(IF(VLOOKUP($A138,'Annex 2 Designated EHV charges'!$A:$P,11,FALSE)=0,"",VLOOKUP($A138,'Annex 2 Designated EHV charges'!$A:$P,11,FALSE)),"")</f>
        <v>0.92</v>
      </c>
      <c r="H138" s="102">
        <f>IFERROR(IF(VLOOKUP($A138,'Annex 2 Designated EHV charges'!$A:$P,12,FALSE)=0,"",VLOOKUP($A138,'Annex 2 Designated EHV charges'!$A:$P,12,FALSE)),"")</f>
        <v>0.92</v>
      </c>
    </row>
    <row r="139" spans="1:8" x14ac:dyDescent="0.2">
      <c r="A139" s="97">
        <v>902</v>
      </c>
      <c r="B139" s="79">
        <f>IF($A139="","",VLOOKUP($A139,'Annex 2 Designated EHV charges'!$A:$P,2,0))</f>
        <v>902</v>
      </c>
      <c r="C139" s="98" t="str">
        <f>IF($A139="","",VLOOKUP($A139,'Annex 2 Designated EHV charges'!$A:$P,3,0))</f>
        <v>TBC</v>
      </c>
      <c r="D139" s="99" t="str">
        <f>IF($A139="","",VLOOKUP($A139,'Annex 2 Designated EHV charges'!$A:$P,7,0))</f>
        <v>EHV Site Specific (LLFC 902 &amp; 516)</v>
      </c>
      <c r="E139" s="100" t="str">
        <f>IFERROR(IF(VLOOKUP($A139,'Annex 2 Designated EHV charges'!$A:$P,9,FALSE)=0,"",VLOOKUP($A139,'Annex 2 Designated EHV charges'!$A:$P,9,FALSE)),"")</f>
        <v/>
      </c>
      <c r="F139" s="101">
        <f>IFERROR(IF(VLOOKUP($A139,'Annex 2 Designated EHV charges'!$A:$P,10,FALSE)=0,"",VLOOKUP($A139,'Annex 2 Designated EHV charges'!$A:$P,10,FALSE)),"")</f>
        <v>48.26</v>
      </c>
      <c r="G139" s="102">
        <f>IFERROR(IF(VLOOKUP($A139,'Annex 2 Designated EHV charges'!$A:$P,11,FALSE)=0,"",VLOOKUP($A139,'Annex 2 Designated EHV charges'!$A:$P,11,FALSE)),"")</f>
        <v>0.32</v>
      </c>
      <c r="H139" s="102">
        <f>IFERROR(IF(VLOOKUP($A139,'Annex 2 Designated EHV charges'!$A:$P,12,FALSE)=0,"",VLOOKUP($A139,'Annex 2 Designated EHV charges'!$A:$P,12,FALSE)),"")</f>
        <v>0.32</v>
      </c>
    </row>
    <row r="140" spans="1:8" ht="30" x14ac:dyDescent="0.2">
      <c r="A140" s="97">
        <v>894</v>
      </c>
      <c r="B140" s="79">
        <f>IF($A140="","",VLOOKUP($A140,'Annex 2 Designated EHV charges'!$A:$P,2,0))</f>
        <v>894</v>
      </c>
      <c r="C140" s="98" t="str">
        <f>IF($A140="","",VLOOKUP($A140,'Annex 2 Designated EHV charges'!$A:$P,3,0))</f>
        <v>2300000444962
2366531830013</v>
      </c>
      <c r="D140" s="99" t="str">
        <f>IF($A140="","",VLOOKUP($A140,'Annex 2 Designated EHV charges'!$A:$P,7,0))</f>
        <v>EHV Site Specific (LLFC 894)</v>
      </c>
      <c r="E140" s="100">
        <f>IFERROR(IF(VLOOKUP($A140,'Annex 2 Designated EHV charges'!$A:$P,9,FALSE)=0,"",VLOOKUP($A140,'Annex 2 Designated EHV charges'!$A:$P,9,FALSE)),"")</f>
        <v>1.452</v>
      </c>
      <c r="F140" s="101">
        <f>IFERROR(IF(VLOOKUP($A140,'Annex 2 Designated EHV charges'!$A:$P,10,FALSE)=0,"",VLOOKUP($A140,'Annex 2 Designated EHV charges'!$A:$P,10,FALSE)),"")</f>
        <v>13311.76</v>
      </c>
      <c r="G140" s="102">
        <f>IFERROR(IF(VLOOKUP($A140,'Annex 2 Designated EHV charges'!$A:$P,11,FALSE)=0,"",VLOOKUP($A140,'Annex 2 Designated EHV charges'!$A:$P,11,FALSE)),"")</f>
        <v>1.0900000000000001</v>
      </c>
      <c r="H140" s="102">
        <f>IFERROR(IF(VLOOKUP($A140,'Annex 2 Designated EHV charges'!$A:$P,12,FALSE)=0,"",VLOOKUP($A140,'Annex 2 Designated EHV charges'!$A:$P,12,FALSE)),"")</f>
        <v>1.0900000000000001</v>
      </c>
    </row>
    <row r="141" spans="1:8" x14ac:dyDescent="0.2">
      <c r="A141" s="97">
        <v>903</v>
      </c>
      <c r="B141" s="79">
        <f>IF($A141="","",VLOOKUP($A141,'Annex 2 Designated EHV charges'!$A:$P,2,0))</f>
        <v>903</v>
      </c>
      <c r="C141" s="98">
        <f>IF($A141="","",VLOOKUP($A141,'Annex 2 Designated EHV charges'!$A:$P,3,0))</f>
        <v>2380002478955</v>
      </c>
      <c r="D141" s="99" t="str">
        <f>IF($A141="","",VLOOKUP($A141,'Annex 2 Designated EHV charges'!$A:$P,7,0))</f>
        <v>EHV Site Specific (LLFC 903)</v>
      </c>
      <c r="E141" s="100" t="str">
        <f>IFERROR(IF(VLOOKUP($A141,'Annex 2 Designated EHV charges'!$A:$P,9,FALSE)=0,"",VLOOKUP($A141,'Annex 2 Designated EHV charges'!$A:$P,9,FALSE)),"")</f>
        <v/>
      </c>
      <c r="F141" s="101">
        <f>IFERROR(IF(VLOOKUP($A141,'Annex 2 Designated EHV charges'!$A:$P,10,FALSE)=0,"",VLOOKUP($A141,'Annex 2 Designated EHV charges'!$A:$P,10,FALSE)),"")</f>
        <v>36910.89</v>
      </c>
      <c r="G141" s="102">
        <f>IFERROR(IF(VLOOKUP($A141,'Annex 2 Designated EHV charges'!$A:$P,11,FALSE)=0,"",VLOOKUP($A141,'Annex 2 Designated EHV charges'!$A:$P,11,FALSE)),"")</f>
        <v>0.98</v>
      </c>
      <c r="H141" s="102">
        <f>IFERROR(IF(VLOOKUP($A141,'Annex 2 Designated EHV charges'!$A:$P,12,FALSE)=0,"",VLOOKUP($A141,'Annex 2 Designated EHV charges'!$A:$P,12,FALSE)),"")</f>
        <v>0.98</v>
      </c>
    </row>
    <row r="142" spans="1:8" x14ac:dyDescent="0.2">
      <c r="A142" s="97">
        <v>904</v>
      </c>
      <c r="B142" s="79">
        <f>IF($A142="","",VLOOKUP($A142,'Annex 2 Designated EHV charges'!$A:$P,2,0))</f>
        <v>904</v>
      </c>
      <c r="C142" s="98">
        <f>IF($A142="","",VLOOKUP($A142,'Annex 2 Designated EHV charges'!$A:$P,3,0))</f>
        <v>2380002478973</v>
      </c>
      <c r="D142" s="99" t="str">
        <f>IF($A142="","",VLOOKUP($A142,'Annex 2 Designated EHV charges'!$A:$P,7,0))</f>
        <v>EHV Site Specific (LLFC 904 &amp; 517)</v>
      </c>
      <c r="E142" s="100" t="str">
        <f>IFERROR(IF(VLOOKUP($A142,'Annex 2 Designated EHV charges'!$A:$P,9,FALSE)=0,"",VLOOKUP($A142,'Annex 2 Designated EHV charges'!$A:$P,9,FALSE)),"")</f>
        <v/>
      </c>
      <c r="F142" s="101">
        <f>IFERROR(IF(VLOOKUP($A142,'Annex 2 Designated EHV charges'!$A:$P,10,FALSE)=0,"",VLOOKUP($A142,'Annex 2 Designated EHV charges'!$A:$P,10,FALSE)),"")</f>
        <v>3.76</v>
      </c>
      <c r="G142" s="102">
        <f>IFERROR(IF(VLOOKUP($A142,'Annex 2 Designated EHV charges'!$A:$P,11,FALSE)=0,"",VLOOKUP($A142,'Annex 2 Designated EHV charges'!$A:$P,11,FALSE)),"")</f>
        <v>0.69</v>
      </c>
      <c r="H142" s="102">
        <f>IFERROR(IF(VLOOKUP($A142,'Annex 2 Designated EHV charges'!$A:$P,12,FALSE)=0,"",VLOOKUP($A142,'Annex 2 Designated EHV charges'!$A:$P,12,FALSE)),"")</f>
        <v>0.69</v>
      </c>
    </row>
    <row r="143" spans="1:8" x14ac:dyDescent="0.2">
      <c r="A143" s="97">
        <v>905</v>
      </c>
      <c r="B143" s="79">
        <f>IF($A143="","",VLOOKUP($A143,'Annex 2 Designated EHV charges'!$A:$P,2,0))</f>
        <v>905</v>
      </c>
      <c r="C143" s="98">
        <f>IF($A143="","",VLOOKUP($A143,'Annex 2 Designated EHV charges'!$A:$P,3,0))</f>
        <v>2380002483290</v>
      </c>
      <c r="D143" s="99" t="str">
        <f>IF($A143="","",VLOOKUP($A143,'Annex 2 Designated EHV charges'!$A:$P,7,0))</f>
        <v>EHV Site Specific (LLFC 905 &amp; 518)</v>
      </c>
      <c r="E143" s="100">
        <f>IFERROR(IF(VLOOKUP($A143,'Annex 2 Designated EHV charges'!$A:$P,9,FALSE)=0,"",VLOOKUP($A143,'Annex 2 Designated EHV charges'!$A:$P,9,FALSE)),"")</f>
        <v>7.0000000000000001E-3</v>
      </c>
      <c r="F143" s="101">
        <f>IFERROR(IF(VLOOKUP($A143,'Annex 2 Designated EHV charges'!$A:$P,10,FALSE)=0,"",VLOOKUP($A143,'Annex 2 Designated EHV charges'!$A:$P,10,FALSE)),"")</f>
        <v>4.41</v>
      </c>
      <c r="G143" s="102">
        <f>IFERROR(IF(VLOOKUP($A143,'Annex 2 Designated EHV charges'!$A:$P,11,FALSE)=0,"",VLOOKUP($A143,'Annex 2 Designated EHV charges'!$A:$P,11,FALSE)),"")</f>
        <v>0.55000000000000004</v>
      </c>
      <c r="H143" s="102">
        <f>IFERROR(IF(VLOOKUP($A143,'Annex 2 Designated EHV charges'!$A:$P,12,FALSE)=0,"",VLOOKUP($A143,'Annex 2 Designated EHV charges'!$A:$P,12,FALSE)),"")</f>
        <v>0.55000000000000004</v>
      </c>
    </row>
    <row r="144" spans="1:8" ht="30" x14ac:dyDescent="0.2">
      <c r="A144" s="97">
        <v>895</v>
      </c>
      <c r="B144" s="79">
        <f>IF($A144="","",VLOOKUP($A144,'Annex 2 Designated EHV charges'!$A:$P,2,0))</f>
        <v>895</v>
      </c>
      <c r="C144" s="98" t="str">
        <f>IF($A144="","",VLOOKUP($A144,'Annex 2 Designated EHV charges'!$A:$P,3,0))</f>
        <v>2376502990014
2376502990023</v>
      </c>
      <c r="D144" s="99" t="str">
        <f>IF($A144="","",VLOOKUP($A144,'Annex 2 Designated EHV charges'!$A:$P,7,0))</f>
        <v>EHV Site Specific (LLFC 895)</v>
      </c>
      <c r="E144" s="100">
        <f>IFERROR(IF(VLOOKUP($A144,'Annex 2 Designated EHV charges'!$A:$P,9,FALSE)=0,"",VLOOKUP($A144,'Annex 2 Designated EHV charges'!$A:$P,9,FALSE)),"")</f>
        <v>0.121</v>
      </c>
      <c r="F144" s="101">
        <f>IFERROR(IF(VLOOKUP($A144,'Annex 2 Designated EHV charges'!$A:$P,10,FALSE)=0,"",VLOOKUP($A144,'Annex 2 Designated EHV charges'!$A:$P,10,FALSE)),"")</f>
        <v>13311.76</v>
      </c>
      <c r="G144" s="102">
        <f>IFERROR(IF(VLOOKUP($A144,'Annex 2 Designated EHV charges'!$A:$P,11,FALSE)=0,"",VLOOKUP($A144,'Annex 2 Designated EHV charges'!$A:$P,11,FALSE)),"")</f>
        <v>2.37</v>
      </c>
      <c r="H144" s="102">
        <f>IFERROR(IF(VLOOKUP($A144,'Annex 2 Designated EHV charges'!$A:$P,12,FALSE)=0,"",VLOOKUP($A144,'Annex 2 Designated EHV charges'!$A:$P,12,FALSE)),"")</f>
        <v>2.37</v>
      </c>
    </row>
    <row r="145" spans="1:8" x14ac:dyDescent="0.2">
      <c r="A145" s="97">
        <v>906</v>
      </c>
      <c r="B145" s="79">
        <f>IF($A145="","",VLOOKUP($A145,'Annex 2 Designated EHV charges'!$A:$P,2,0))</f>
        <v>906</v>
      </c>
      <c r="C145" s="98">
        <f>IF($A145="","",VLOOKUP($A145,'Annex 2 Designated EHV charges'!$A:$P,3,0))</f>
        <v>2380002504018</v>
      </c>
      <c r="D145" s="99" t="str">
        <f>IF($A145="","",VLOOKUP($A145,'Annex 2 Designated EHV charges'!$A:$P,7,0))</f>
        <v>EHV Site Specific (LLFC 906 &amp; 519)</v>
      </c>
      <c r="E145" s="100" t="str">
        <f>IFERROR(IF(VLOOKUP($A145,'Annex 2 Designated EHV charges'!$A:$P,9,FALSE)=0,"",VLOOKUP($A145,'Annex 2 Designated EHV charges'!$A:$P,9,FALSE)),"")</f>
        <v/>
      </c>
      <c r="F145" s="101">
        <f>IFERROR(IF(VLOOKUP($A145,'Annex 2 Designated EHV charges'!$A:$P,10,FALSE)=0,"",VLOOKUP($A145,'Annex 2 Designated EHV charges'!$A:$P,10,FALSE)),"")</f>
        <v>12.09</v>
      </c>
      <c r="G145" s="102">
        <f>IFERROR(IF(VLOOKUP($A145,'Annex 2 Designated EHV charges'!$A:$P,11,FALSE)=0,"",VLOOKUP($A145,'Annex 2 Designated EHV charges'!$A:$P,11,FALSE)),"")</f>
        <v>0.71</v>
      </c>
      <c r="H145" s="102">
        <f>IFERROR(IF(VLOOKUP($A145,'Annex 2 Designated EHV charges'!$A:$P,12,FALSE)=0,"",VLOOKUP($A145,'Annex 2 Designated EHV charges'!$A:$P,12,FALSE)),"")</f>
        <v>0.71</v>
      </c>
    </row>
    <row r="146" spans="1:8" x14ac:dyDescent="0.2">
      <c r="A146" s="97">
        <v>907</v>
      </c>
      <c r="B146" s="79">
        <f>IF($A146="","",VLOOKUP($A146,'Annex 2 Designated EHV charges'!$A:$P,2,0))</f>
        <v>907</v>
      </c>
      <c r="C146" s="98" t="str">
        <f>IF($A146="","",VLOOKUP($A146,'Annex 2 Designated EHV charges'!$A:$P,3,0))</f>
        <v>TBC</v>
      </c>
      <c r="D146" s="99" t="str">
        <f>IF($A146="","",VLOOKUP($A146,'Annex 2 Designated EHV charges'!$A:$P,7,0))</f>
        <v>EHV Site Specific (LLFC 907 &amp; 520)</v>
      </c>
      <c r="E146" s="100" t="str">
        <f>IFERROR(IF(VLOOKUP($A146,'Annex 2 Designated EHV charges'!$A:$P,9,FALSE)=0,"",VLOOKUP($A146,'Annex 2 Designated EHV charges'!$A:$P,9,FALSE)),"")</f>
        <v/>
      </c>
      <c r="F146" s="101">
        <f>IFERROR(IF(VLOOKUP($A146,'Annex 2 Designated EHV charges'!$A:$P,10,FALSE)=0,"",VLOOKUP($A146,'Annex 2 Designated EHV charges'!$A:$P,10,FALSE)),"")</f>
        <v>885.13</v>
      </c>
      <c r="G146" s="102">
        <f>IFERROR(IF(VLOOKUP($A146,'Annex 2 Designated EHV charges'!$A:$P,11,FALSE)=0,"",VLOOKUP($A146,'Annex 2 Designated EHV charges'!$A:$P,11,FALSE)),"")</f>
        <v>0.19</v>
      </c>
      <c r="H146" s="102">
        <f>IFERROR(IF(VLOOKUP($A146,'Annex 2 Designated EHV charges'!$A:$P,12,FALSE)=0,"",VLOOKUP($A146,'Annex 2 Designated EHV charges'!$A:$P,12,FALSE)),"")</f>
        <v>0.19</v>
      </c>
    </row>
    <row r="147" spans="1:8" x14ac:dyDescent="0.2">
      <c r="A147" s="97">
        <v>908</v>
      </c>
      <c r="B147" s="79">
        <f>IF($A147="","",VLOOKUP($A147,'Annex 2 Designated EHV charges'!$A:$P,2,0))</f>
        <v>908</v>
      </c>
      <c r="C147" s="98">
        <f>IF($A147="","",VLOOKUP($A147,'Annex 2 Designated EHV charges'!$A:$P,3,0))</f>
        <v>2380002530996</v>
      </c>
      <c r="D147" s="99" t="str">
        <f>IF($A147="","",VLOOKUP($A147,'Annex 2 Designated EHV charges'!$A:$P,7,0))</f>
        <v>EHV Site Specific (LLFC 908 &amp; 521)</v>
      </c>
      <c r="E147" s="100">
        <f>IFERROR(IF(VLOOKUP($A147,'Annex 2 Designated EHV charges'!$A:$P,9,FALSE)=0,"",VLOOKUP($A147,'Annex 2 Designated EHV charges'!$A:$P,9,FALSE)),"")</f>
        <v>7.0000000000000001E-3</v>
      </c>
      <c r="F147" s="101">
        <f>IFERROR(IF(VLOOKUP($A147,'Annex 2 Designated EHV charges'!$A:$P,10,FALSE)=0,"",VLOOKUP($A147,'Annex 2 Designated EHV charges'!$A:$P,10,FALSE)),"")</f>
        <v>4.41</v>
      </c>
      <c r="G147" s="102">
        <f>IFERROR(IF(VLOOKUP($A147,'Annex 2 Designated EHV charges'!$A:$P,11,FALSE)=0,"",VLOOKUP($A147,'Annex 2 Designated EHV charges'!$A:$P,11,FALSE)),"")</f>
        <v>0.72</v>
      </c>
      <c r="H147" s="102">
        <f>IFERROR(IF(VLOOKUP($A147,'Annex 2 Designated EHV charges'!$A:$P,12,FALSE)=0,"",VLOOKUP($A147,'Annex 2 Designated EHV charges'!$A:$P,12,FALSE)),"")</f>
        <v>0.72</v>
      </c>
    </row>
    <row r="148" spans="1:8" ht="30" x14ac:dyDescent="0.2">
      <c r="A148" s="97">
        <v>909</v>
      </c>
      <c r="B148" s="79">
        <f>IF($A148="","",VLOOKUP($A148,'Annex 2 Designated EHV charges'!$A:$P,2,0))</f>
        <v>909</v>
      </c>
      <c r="C148" s="98" t="str">
        <f>IF($A148="","",VLOOKUP($A148,'Annex 2 Designated EHV charges'!$A:$P,3,0))</f>
        <v>2380002563644
2380002563653</v>
      </c>
      <c r="D148" s="99" t="str">
        <f>IF($A148="","",VLOOKUP($A148,'Annex 2 Designated EHV charges'!$A:$P,7,0))</f>
        <v>EHV Site Specific (LLFC 909)</v>
      </c>
      <c r="E148" s="100">
        <f>IFERROR(IF(VLOOKUP($A148,'Annex 2 Designated EHV charges'!$A:$P,9,FALSE)=0,"",VLOOKUP($A148,'Annex 2 Designated EHV charges'!$A:$P,9,FALSE)),"")</f>
        <v>5.0000000000000001E-3</v>
      </c>
      <c r="F148" s="101">
        <f>IFERROR(IF(VLOOKUP($A148,'Annex 2 Designated EHV charges'!$A:$P,10,FALSE)=0,"",VLOOKUP($A148,'Annex 2 Designated EHV charges'!$A:$P,10,FALSE)),"")</f>
        <v>103587.09</v>
      </c>
      <c r="G148" s="102">
        <f>IFERROR(IF(VLOOKUP($A148,'Annex 2 Designated EHV charges'!$A:$P,11,FALSE)=0,"",VLOOKUP($A148,'Annex 2 Designated EHV charges'!$A:$P,11,FALSE)),"")</f>
        <v>0.61</v>
      </c>
      <c r="H148" s="102">
        <f>IFERROR(IF(VLOOKUP($A148,'Annex 2 Designated EHV charges'!$A:$P,12,FALSE)=0,"",VLOOKUP($A148,'Annex 2 Designated EHV charges'!$A:$P,12,FALSE)),"")</f>
        <v>0.61</v>
      </c>
    </row>
    <row r="149" spans="1:8" x14ac:dyDescent="0.2">
      <c r="A149" s="97">
        <v>910</v>
      </c>
      <c r="B149" s="79">
        <f>IF($A149="","",VLOOKUP($A149,'Annex 2 Designated EHV charges'!$A:$P,2,0))</f>
        <v>910</v>
      </c>
      <c r="C149" s="98">
        <f>IF($A149="","",VLOOKUP($A149,'Annex 2 Designated EHV charges'!$A:$P,3,0))</f>
        <v>2380002571900</v>
      </c>
      <c r="D149" s="99" t="str">
        <f>IF($A149="","",VLOOKUP($A149,'Annex 2 Designated EHV charges'!$A:$P,7,0))</f>
        <v>EHV Site Specific (LLFC 910 &amp; 522)</v>
      </c>
      <c r="E149" s="100">
        <f>IFERROR(IF(VLOOKUP($A149,'Annex 2 Designated EHV charges'!$A:$P,9,FALSE)=0,"",VLOOKUP($A149,'Annex 2 Designated EHV charges'!$A:$P,9,FALSE)),"")</f>
        <v>7.0000000000000001E-3</v>
      </c>
      <c r="F149" s="101">
        <f>IFERROR(IF(VLOOKUP($A149,'Annex 2 Designated EHV charges'!$A:$P,10,FALSE)=0,"",VLOOKUP($A149,'Annex 2 Designated EHV charges'!$A:$P,10,FALSE)),"")</f>
        <v>23.49</v>
      </c>
      <c r="G149" s="102">
        <f>IFERROR(IF(VLOOKUP($A149,'Annex 2 Designated EHV charges'!$A:$P,11,FALSE)=0,"",VLOOKUP($A149,'Annex 2 Designated EHV charges'!$A:$P,11,FALSE)),"")</f>
        <v>0.52</v>
      </c>
      <c r="H149" s="102">
        <f>IFERROR(IF(VLOOKUP($A149,'Annex 2 Designated EHV charges'!$A:$P,12,FALSE)=0,"",VLOOKUP($A149,'Annex 2 Designated EHV charges'!$A:$P,12,FALSE)),"")</f>
        <v>0.52</v>
      </c>
    </row>
    <row r="150" spans="1:8" x14ac:dyDescent="0.2">
      <c r="A150" s="97">
        <v>916</v>
      </c>
      <c r="B150" s="79">
        <f>IF($A150="","",VLOOKUP($A150,'Annex 2 Designated EHV charges'!$A:$P,2,0))</f>
        <v>916</v>
      </c>
      <c r="C150" s="98">
        <f>IF($A150="","",VLOOKUP($A150,'Annex 2 Designated EHV charges'!$A:$P,3,0))</f>
        <v>2380002604316</v>
      </c>
      <c r="D150" s="99" t="str">
        <f>IF($A150="","",VLOOKUP($A150,'Annex 2 Designated EHV charges'!$A:$P,7,0))</f>
        <v>EHV Site Specific (LLFC 916 &amp; 523)</v>
      </c>
      <c r="E150" s="100" t="str">
        <f>IFERROR(IF(VLOOKUP($A150,'Annex 2 Designated EHV charges'!$A:$P,9,FALSE)=0,"",VLOOKUP($A150,'Annex 2 Designated EHV charges'!$A:$P,9,FALSE)),"")</f>
        <v/>
      </c>
      <c r="F150" s="101">
        <f>IFERROR(IF(VLOOKUP($A150,'Annex 2 Designated EHV charges'!$A:$P,10,FALSE)=0,"",VLOOKUP($A150,'Annex 2 Designated EHV charges'!$A:$P,10,FALSE)),"")</f>
        <v>2202.96</v>
      </c>
      <c r="G150" s="102">
        <f>IFERROR(IF(VLOOKUP($A150,'Annex 2 Designated EHV charges'!$A:$P,11,FALSE)=0,"",VLOOKUP($A150,'Annex 2 Designated EHV charges'!$A:$P,11,FALSE)),"")</f>
        <v>0.36</v>
      </c>
      <c r="H150" s="102">
        <f>IFERROR(IF(VLOOKUP($A150,'Annex 2 Designated EHV charges'!$A:$P,12,FALSE)=0,"",VLOOKUP($A150,'Annex 2 Designated EHV charges'!$A:$P,12,FALSE)),"")</f>
        <v>0.36</v>
      </c>
    </row>
    <row r="151" spans="1:8" x14ac:dyDescent="0.2">
      <c r="A151" s="97">
        <v>917</v>
      </c>
      <c r="B151" s="79">
        <f>IF($A151="","",VLOOKUP($A151,'Annex 2 Designated EHV charges'!$A:$P,2,0))</f>
        <v>917</v>
      </c>
      <c r="C151" s="98">
        <f>IF($A151="","",VLOOKUP($A151,'Annex 2 Designated EHV charges'!$A:$P,3,0))</f>
        <v>2380002605694</v>
      </c>
      <c r="D151" s="99" t="str">
        <f>IF($A151="","",VLOOKUP($A151,'Annex 2 Designated EHV charges'!$A:$P,7,0))</f>
        <v>EHV Site Specific (LLFC 917 &amp; 524)</v>
      </c>
      <c r="E151" s="100" t="str">
        <f>IFERROR(IF(VLOOKUP($A151,'Annex 2 Designated EHV charges'!$A:$P,9,FALSE)=0,"",VLOOKUP($A151,'Annex 2 Designated EHV charges'!$A:$P,9,FALSE)),"")</f>
        <v/>
      </c>
      <c r="F151" s="101">
        <f>IFERROR(IF(VLOOKUP($A151,'Annex 2 Designated EHV charges'!$A:$P,10,FALSE)=0,"",VLOOKUP($A151,'Annex 2 Designated EHV charges'!$A:$P,10,FALSE)),"")</f>
        <v>291.99</v>
      </c>
      <c r="G151" s="102">
        <f>IFERROR(IF(VLOOKUP($A151,'Annex 2 Designated EHV charges'!$A:$P,11,FALSE)=0,"",VLOOKUP($A151,'Annex 2 Designated EHV charges'!$A:$P,11,FALSE)),"")</f>
        <v>0.37</v>
      </c>
      <c r="H151" s="102">
        <f>IFERROR(IF(VLOOKUP($A151,'Annex 2 Designated EHV charges'!$A:$P,12,FALSE)=0,"",VLOOKUP($A151,'Annex 2 Designated EHV charges'!$A:$P,12,FALSE)),"")</f>
        <v>0.37</v>
      </c>
    </row>
    <row r="152" spans="1:8" x14ac:dyDescent="0.2">
      <c r="A152" s="97">
        <v>918</v>
      </c>
      <c r="B152" s="79">
        <f>IF($A152="","",VLOOKUP($A152,'Annex 2 Designated EHV charges'!$A:$P,2,0))</f>
        <v>918</v>
      </c>
      <c r="C152" s="98">
        <f>IF($A152="","",VLOOKUP($A152,'Annex 2 Designated EHV charges'!$A:$P,3,0))</f>
        <v>2380002650242</v>
      </c>
      <c r="D152" s="99" t="str">
        <f>IF($A152="","",VLOOKUP($A152,'Annex 2 Designated EHV charges'!$A:$P,7,0))</f>
        <v>EHV Site Specific (LLFC 918 &amp; 525)</v>
      </c>
      <c r="E152" s="100">
        <f>IFERROR(IF(VLOOKUP($A152,'Annex 2 Designated EHV charges'!$A:$P,9,FALSE)=0,"",VLOOKUP($A152,'Annex 2 Designated EHV charges'!$A:$P,9,FALSE)),"")</f>
        <v>0.23799999999999999</v>
      </c>
      <c r="F152" s="101">
        <f>IFERROR(IF(VLOOKUP($A152,'Annex 2 Designated EHV charges'!$A:$P,10,FALSE)=0,"",VLOOKUP($A152,'Annex 2 Designated EHV charges'!$A:$P,10,FALSE)),"")</f>
        <v>463.57</v>
      </c>
      <c r="G152" s="102">
        <f>IFERROR(IF(VLOOKUP($A152,'Annex 2 Designated EHV charges'!$A:$P,11,FALSE)=0,"",VLOOKUP($A152,'Annex 2 Designated EHV charges'!$A:$P,11,FALSE)),"")</f>
        <v>0.38</v>
      </c>
      <c r="H152" s="102">
        <f>IFERROR(IF(VLOOKUP($A152,'Annex 2 Designated EHV charges'!$A:$P,12,FALSE)=0,"",VLOOKUP($A152,'Annex 2 Designated EHV charges'!$A:$P,12,FALSE)),"")</f>
        <v>0.38</v>
      </c>
    </row>
    <row r="153" spans="1:8" x14ac:dyDescent="0.2">
      <c r="A153" s="97">
        <v>919</v>
      </c>
      <c r="B153" s="79">
        <f>IF($A153="","",VLOOKUP($A153,'Annex 2 Designated EHV charges'!$A:$P,2,0))</f>
        <v>919</v>
      </c>
      <c r="C153" s="98">
        <f>IF($A153="","",VLOOKUP($A153,'Annex 2 Designated EHV charges'!$A:$P,3,0))</f>
        <v>2380002660393</v>
      </c>
      <c r="D153" s="99" t="str">
        <f>IF($A153="","",VLOOKUP($A153,'Annex 2 Designated EHV charges'!$A:$P,7,0))</f>
        <v>EHV Site Specific (LLFC 919 &amp; 526)</v>
      </c>
      <c r="E153" s="100">
        <f>IFERROR(IF(VLOOKUP($A153,'Annex 2 Designated EHV charges'!$A:$P,9,FALSE)=0,"",VLOOKUP($A153,'Annex 2 Designated EHV charges'!$A:$P,9,FALSE)),"")</f>
        <v>7.0000000000000001E-3</v>
      </c>
      <c r="F153" s="101">
        <f>IFERROR(IF(VLOOKUP($A153,'Annex 2 Designated EHV charges'!$A:$P,10,FALSE)=0,"",VLOOKUP($A153,'Annex 2 Designated EHV charges'!$A:$P,10,FALSE)),"")</f>
        <v>8.2899999999999991</v>
      </c>
      <c r="G153" s="102">
        <f>IFERROR(IF(VLOOKUP($A153,'Annex 2 Designated EHV charges'!$A:$P,11,FALSE)=0,"",VLOOKUP($A153,'Annex 2 Designated EHV charges'!$A:$P,11,FALSE)),"")</f>
        <v>0.96</v>
      </c>
      <c r="H153" s="102">
        <f>IFERROR(IF(VLOOKUP($A153,'Annex 2 Designated EHV charges'!$A:$P,12,FALSE)=0,"",VLOOKUP($A153,'Annex 2 Designated EHV charges'!$A:$P,12,FALSE)),"")</f>
        <v>0.96</v>
      </c>
    </row>
    <row r="154" spans="1:8" ht="30" x14ac:dyDescent="0.2">
      <c r="A154" s="97">
        <v>752</v>
      </c>
      <c r="B154" s="79">
        <f>IF($A154="","",VLOOKUP($A154,'Annex 2 Designated EHV charges'!$A:$P,2,0))</f>
        <v>752</v>
      </c>
      <c r="C154" s="98" t="str">
        <f>IF($A154="","",VLOOKUP($A154,'Annex 2 Designated EHV charges'!$A:$P,3,0))</f>
        <v>2300000916888
2336559990011</v>
      </c>
      <c r="D154" s="99" t="str">
        <f>IF($A154="","",VLOOKUP($A154,'Annex 2 Designated EHV charges'!$A:$P,7,0))</f>
        <v>EHV Site Specific (LLFC 752)</v>
      </c>
      <c r="E154" s="100" t="str">
        <f>IFERROR(IF(VLOOKUP($A154,'Annex 2 Designated EHV charges'!$A:$P,9,FALSE)=0,"",VLOOKUP($A154,'Annex 2 Designated EHV charges'!$A:$P,9,FALSE)),"")</f>
        <v/>
      </c>
      <c r="F154" s="101">
        <f>IFERROR(IF(VLOOKUP($A154,'Annex 2 Designated EHV charges'!$A:$P,10,FALSE)=0,"",VLOOKUP($A154,'Annex 2 Designated EHV charges'!$A:$P,10,FALSE)),"")</f>
        <v>36679.86</v>
      </c>
      <c r="G154" s="102">
        <f>IFERROR(IF(VLOOKUP($A154,'Annex 2 Designated EHV charges'!$A:$P,11,FALSE)=0,"",VLOOKUP($A154,'Annex 2 Designated EHV charges'!$A:$P,11,FALSE)),"")</f>
        <v>0.41</v>
      </c>
      <c r="H154" s="102">
        <f>IFERROR(IF(VLOOKUP($A154,'Annex 2 Designated EHV charges'!$A:$P,12,FALSE)=0,"",VLOOKUP($A154,'Annex 2 Designated EHV charges'!$A:$P,12,FALSE)),"")</f>
        <v>0.41</v>
      </c>
    </row>
    <row r="155" spans="1:8" x14ac:dyDescent="0.2">
      <c r="A155" s="97">
        <v>920</v>
      </c>
      <c r="B155" s="79">
        <f>IF($A155="","",VLOOKUP($A155,'Annex 2 Designated EHV charges'!$A:$P,2,0))</f>
        <v>920</v>
      </c>
      <c r="C155" s="98">
        <f>IF($A155="","",VLOOKUP($A155,'Annex 2 Designated EHV charges'!$A:$P,3,0))</f>
        <v>2380002680966</v>
      </c>
      <c r="D155" s="99" t="str">
        <f>IF($A155="","",VLOOKUP($A155,'Annex 2 Designated EHV charges'!$A:$P,7,0))</f>
        <v>EHV Site Specific (LLFC 920 &amp; 527)</v>
      </c>
      <c r="E155" s="100" t="str">
        <f>IFERROR(IF(VLOOKUP($A155,'Annex 2 Designated EHV charges'!$A:$P,9,FALSE)=0,"",VLOOKUP($A155,'Annex 2 Designated EHV charges'!$A:$P,9,FALSE)),"")</f>
        <v/>
      </c>
      <c r="F155" s="101">
        <f>IFERROR(IF(VLOOKUP($A155,'Annex 2 Designated EHV charges'!$A:$P,10,FALSE)=0,"",VLOOKUP($A155,'Annex 2 Designated EHV charges'!$A:$P,10,FALSE)),"")</f>
        <v>14.82</v>
      </c>
      <c r="G155" s="102">
        <f>IFERROR(IF(VLOOKUP($A155,'Annex 2 Designated EHV charges'!$A:$P,11,FALSE)=0,"",VLOOKUP($A155,'Annex 2 Designated EHV charges'!$A:$P,11,FALSE)),"")</f>
        <v>0.61</v>
      </c>
      <c r="H155" s="102">
        <f>IFERROR(IF(VLOOKUP($A155,'Annex 2 Designated EHV charges'!$A:$P,12,FALSE)=0,"",VLOOKUP($A155,'Annex 2 Designated EHV charges'!$A:$P,12,FALSE)),"")</f>
        <v>0.61</v>
      </c>
    </row>
    <row r="156" spans="1:8" x14ac:dyDescent="0.2">
      <c r="A156" s="97">
        <v>921</v>
      </c>
      <c r="B156" s="79">
        <f>IF($A156="","",VLOOKUP($A156,'Annex 2 Designated EHV charges'!$A:$P,2,0))</f>
        <v>921</v>
      </c>
      <c r="C156" s="98">
        <f>IF($A156="","",VLOOKUP($A156,'Annex 2 Designated EHV charges'!$A:$P,3,0))</f>
        <v>2380002797770</v>
      </c>
      <c r="D156" s="99" t="str">
        <f>IF($A156="","",VLOOKUP($A156,'Annex 2 Designated EHV charges'!$A:$P,7,0))</f>
        <v>EHV Site Specific (LLFC 921 &amp; 528)</v>
      </c>
      <c r="E156" s="100" t="str">
        <f>IFERROR(IF(VLOOKUP($A156,'Annex 2 Designated EHV charges'!$A:$P,9,FALSE)=0,"",VLOOKUP($A156,'Annex 2 Designated EHV charges'!$A:$P,9,FALSE)),"")</f>
        <v/>
      </c>
      <c r="F156" s="101">
        <f>IFERROR(IF(VLOOKUP($A156,'Annex 2 Designated EHV charges'!$A:$P,10,FALSE)=0,"",VLOOKUP($A156,'Annex 2 Designated EHV charges'!$A:$P,10,FALSE)),"")</f>
        <v>6.95</v>
      </c>
      <c r="G156" s="102">
        <f>IFERROR(IF(VLOOKUP($A156,'Annex 2 Designated EHV charges'!$A:$P,11,FALSE)=0,"",VLOOKUP($A156,'Annex 2 Designated EHV charges'!$A:$P,11,FALSE)),"")</f>
        <v>0.72</v>
      </c>
      <c r="H156" s="102">
        <f>IFERROR(IF(VLOOKUP($A156,'Annex 2 Designated EHV charges'!$A:$P,12,FALSE)=0,"",VLOOKUP($A156,'Annex 2 Designated EHV charges'!$A:$P,12,FALSE)),"")</f>
        <v>0.72</v>
      </c>
    </row>
    <row r="157" spans="1:8" x14ac:dyDescent="0.2">
      <c r="A157" s="97">
        <v>922</v>
      </c>
      <c r="B157" s="79">
        <f>IF($A157="","",VLOOKUP($A157,'Annex 2 Designated EHV charges'!$A:$P,2,0))</f>
        <v>922</v>
      </c>
      <c r="C157" s="98">
        <f>IF($A157="","",VLOOKUP($A157,'Annex 2 Designated EHV charges'!$A:$P,3,0))</f>
        <v>2380002815384</v>
      </c>
      <c r="D157" s="99" t="str">
        <f>IF($A157="","",VLOOKUP($A157,'Annex 2 Designated EHV charges'!$A:$P,7,0))</f>
        <v>EHV Site Specific (LLFC 922 &amp; 529)</v>
      </c>
      <c r="E157" s="100" t="str">
        <f>IFERROR(IF(VLOOKUP($A157,'Annex 2 Designated EHV charges'!$A:$P,9,FALSE)=0,"",VLOOKUP($A157,'Annex 2 Designated EHV charges'!$A:$P,9,FALSE)),"")</f>
        <v/>
      </c>
      <c r="F157" s="101">
        <f>IFERROR(IF(VLOOKUP($A157,'Annex 2 Designated EHV charges'!$A:$P,10,FALSE)=0,"",VLOOKUP($A157,'Annex 2 Designated EHV charges'!$A:$P,10,FALSE)),"")</f>
        <v>339.79</v>
      </c>
      <c r="G157" s="102">
        <f>IFERROR(IF(VLOOKUP($A157,'Annex 2 Designated EHV charges'!$A:$P,11,FALSE)=0,"",VLOOKUP($A157,'Annex 2 Designated EHV charges'!$A:$P,11,FALSE)),"")</f>
        <v>0.59</v>
      </c>
      <c r="H157" s="102">
        <f>IFERROR(IF(VLOOKUP($A157,'Annex 2 Designated EHV charges'!$A:$P,12,FALSE)=0,"",VLOOKUP($A157,'Annex 2 Designated EHV charges'!$A:$P,12,FALSE)),"")</f>
        <v>0.59</v>
      </c>
    </row>
    <row r="158" spans="1:8" x14ac:dyDescent="0.2">
      <c r="A158" s="97">
        <v>946</v>
      </c>
      <c r="B158" s="79">
        <f>IF($A158="","",VLOOKUP($A158,'Annex 2 Designated EHV charges'!$A:$P,2,0))</f>
        <v>946</v>
      </c>
      <c r="C158" s="98" t="str">
        <f>IF($A158="","",VLOOKUP($A158,'Annex 2 Designated EHV charges'!$A:$P,3,0))</f>
        <v>MSID_7461</v>
      </c>
      <c r="D158" s="99" t="str">
        <f>IF($A158="","",VLOOKUP($A158,'Annex 2 Designated EHV charges'!$A:$P,7,0))</f>
        <v>EHV Site Specific (LLFC 946 &amp; 551)</v>
      </c>
      <c r="E158" s="100" t="str">
        <f>IFERROR(IF(VLOOKUP($A158,'Annex 2 Designated EHV charges'!$A:$P,9,FALSE)=0,"",VLOOKUP($A158,'Annex 2 Designated EHV charges'!$A:$P,9,FALSE)),"")</f>
        <v/>
      </c>
      <c r="F158" s="101">
        <f>IFERROR(IF(VLOOKUP($A158,'Annex 2 Designated EHV charges'!$A:$P,10,FALSE)=0,"",VLOOKUP($A158,'Annex 2 Designated EHV charges'!$A:$P,10,FALSE)),"")</f>
        <v>632.48</v>
      </c>
      <c r="G158" s="102">
        <f>IFERROR(IF(VLOOKUP($A158,'Annex 2 Designated EHV charges'!$A:$P,11,FALSE)=0,"",VLOOKUP($A158,'Annex 2 Designated EHV charges'!$A:$P,11,FALSE)),"")</f>
        <v>0.4</v>
      </c>
      <c r="H158" s="102">
        <f>IFERROR(IF(VLOOKUP($A158,'Annex 2 Designated EHV charges'!$A:$P,12,FALSE)=0,"",VLOOKUP($A158,'Annex 2 Designated EHV charges'!$A:$P,12,FALSE)),"")</f>
        <v>0.4</v>
      </c>
    </row>
    <row r="159" spans="1:8" x14ac:dyDescent="0.2">
      <c r="A159" s="97">
        <v>923</v>
      </c>
      <c r="B159" s="79">
        <f>IF($A159="","",VLOOKUP($A159,'Annex 2 Designated EHV charges'!$A:$P,2,0))</f>
        <v>923</v>
      </c>
      <c r="C159" s="98">
        <f>IF($A159="","",VLOOKUP($A159,'Annex 2 Designated EHV charges'!$A:$P,3,0))</f>
        <v>2380002828286</v>
      </c>
      <c r="D159" s="99" t="str">
        <f>IF($A159="","",VLOOKUP($A159,'Annex 2 Designated EHV charges'!$A:$P,7,0))</f>
        <v>EHV Site Specific (LLFC 923 &amp; 530)</v>
      </c>
      <c r="E159" s="100">
        <f>IFERROR(IF(VLOOKUP($A159,'Annex 2 Designated EHV charges'!$A:$P,9,FALSE)=0,"",VLOOKUP($A159,'Annex 2 Designated EHV charges'!$A:$P,9,FALSE)),"")</f>
        <v>7.0000000000000001E-3</v>
      </c>
      <c r="F159" s="101">
        <f>IFERROR(IF(VLOOKUP($A159,'Annex 2 Designated EHV charges'!$A:$P,10,FALSE)=0,"",VLOOKUP($A159,'Annex 2 Designated EHV charges'!$A:$P,10,FALSE)),"")</f>
        <v>0.9</v>
      </c>
      <c r="G159" s="102">
        <f>IFERROR(IF(VLOOKUP($A159,'Annex 2 Designated EHV charges'!$A:$P,11,FALSE)=0,"",VLOOKUP($A159,'Annex 2 Designated EHV charges'!$A:$P,11,FALSE)),"")</f>
        <v>1.72</v>
      </c>
      <c r="H159" s="102">
        <f>IFERROR(IF(VLOOKUP($A159,'Annex 2 Designated EHV charges'!$A:$P,12,FALSE)=0,"",VLOOKUP($A159,'Annex 2 Designated EHV charges'!$A:$P,12,FALSE)),"")</f>
        <v>1.72</v>
      </c>
    </row>
    <row r="160" spans="1:8" ht="30" x14ac:dyDescent="0.2">
      <c r="A160" s="97">
        <v>924</v>
      </c>
      <c r="B160" s="79">
        <f>IF($A160="","",VLOOKUP($A160,'Annex 2 Designated EHV charges'!$A:$P,2,0))</f>
        <v>924</v>
      </c>
      <c r="C160" s="98" t="str">
        <f>IF($A160="","",VLOOKUP($A160,'Annex 2 Designated EHV charges'!$A:$P,3,0))</f>
        <v>2380002833081
2380002833090</v>
      </c>
      <c r="D160" s="99" t="str">
        <f>IF($A160="","",VLOOKUP($A160,'Annex 2 Designated EHV charges'!$A:$P,7,0))</f>
        <v>EHV Site Specific (LLFC 924)</v>
      </c>
      <c r="E160" s="100" t="str">
        <f>IFERROR(IF(VLOOKUP($A160,'Annex 2 Designated EHV charges'!$A:$P,9,FALSE)=0,"",VLOOKUP($A160,'Annex 2 Designated EHV charges'!$A:$P,9,FALSE)),"")</f>
        <v/>
      </c>
      <c r="F160" s="101">
        <f>IFERROR(IF(VLOOKUP($A160,'Annex 2 Designated EHV charges'!$A:$P,10,FALSE)=0,"",VLOOKUP($A160,'Annex 2 Designated EHV charges'!$A:$P,10,FALSE)),"")</f>
        <v>105014.14</v>
      </c>
      <c r="G160" s="102">
        <f>IFERROR(IF(VLOOKUP($A160,'Annex 2 Designated EHV charges'!$A:$P,11,FALSE)=0,"",VLOOKUP($A160,'Annex 2 Designated EHV charges'!$A:$P,11,FALSE)),"")</f>
        <v>0.5</v>
      </c>
      <c r="H160" s="102">
        <f>IFERROR(IF(VLOOKUP($A160,'Annex 2 Designated EHV charges'!$A:$P,12,FALSE)=0,"",VLOOKUP($A160,'Annex 2 Designated EHV charges'!$A:$P,12,FALSE)),"")</f>
        <v>0.5</v>
      </c>
    </row>
    <row r="161" spans="1:8" x14ac:dyDescent="0.2">
      <c r="A161" s="97">
        <v>947</v>
      </c>
      <c r="B161" s="79">
        <f>IF($A161="","",VLOOKUP($A161,'Annex 2 Designated EHV charges'!$A:$P,2,0))</f>
        <v>947</v>
      </c>
      <c r="C161" s="98" t="str">
        <f>IF($A161="","",VLOOKUP($A161,'Annex 2 Designated EHV charges'!$A:$P,3,0))</f>
        <v>MSID_7474</v>
      </c>
      <c r="D161" s="99" t="str">
        <f>IF($A161="","",VLOOKUP($A161,'Annex 2 Designated EHV charges'!$A:$P,7,0))</f>
        <v>EHV Site Specific (LLFC 947 &amp; 552)</v>
      </c>
      <c r="E161" s="100" t="str">
        <f>IFERROR(IF(VLOOKUP($A161,'Annex 2 Designated EHV charges'!$A:$P,9,FALSE)=0,"",VLOOKUP($A161,'Annex 2 Designated EHV charges'!$A:$P,9,FALSE)),"")</f>
        <v/>
      </c>
      <c r="F161" s="101">
        <f>IFERROR(IF(VLOOKUP($A161,'Annex 2 Designated EHV charges'!$A:$P,10,FALSE)=0,"",VLOOKUP($A161,'Annex 2 Designated EHV charges'!$A:$P,10,FALSE)),"")</f>
        <v>92.23</v>
      </c>
      <c r="G161" s="102">
        <f>IFERROR(IF(VLOOKUP($A161,'Annex 2 Designated EHV charges'!$A:$P,11,FALSE)=0,"",VLOOKUP($A161,'Annex 2 Designated EHV charges'!$A:$P,11,FALSE)),"")</f>
        <v>0.43</v>
      </c>
      <c r="H161" s="102">
        <f>IFERROR(IF(VLOOKUP($A161,'Annex 2 Designated EHV charges'!$A:$P,12,FALSE)=0,"",VLOOKUP($A161,'Annex 2 Designated EHV charges'!$A:$P,12,FALSE)),"")</f>
        <v>0.43</v>
      </c>
    </row>
    <row r="162" spans="1:8" x14ac:dyDescent="0.2">
      <c r="A162" s="97">
        <v>948</v>
      </c>
      <c r="B162" s="79">
        <f>IF($A162="","",VLOOKUP($A162,'Annex 2 Designated EHV charges'!$A:$P,2,0))</f>
        <v>948</v>
      </c>
      <c r="C162" s="98" t="str">
        <f>IF($A162="","",VLOOKUP($A162,'Annex 2 Designated EHV charges'!$A:$P,3,0))</f>
        <v>MSID_7476</v>
      </c>
      <c r="D162" s="99" t="str">
        <f>IF($A162="","",VLOOKUP($A162,'Annex 2 Designated EHV charges'!$A:$P,7,0))</f>
        <v>EHV Site Specific (LLFC 948 &amp; 553)</v>
      </c>
      <c r="E162" s="100" t="str">
        <f>IFERROR(IF(VLOOKUP($A162,'Annex 2 Designated EHV charges'!$A:$P,9,FALSE)=0,"",VLOOKUP($A162,'Annex 2 Designated EHV charges'!$A:$P,9,FALSE)),"")</f>
        <v/>
      </c>
      <c r="F162" s="101">
        <f>IFERROR(IF(VLOOKUP($A162,'Annex 2 Designated EHV charges'!$A:$P,10,FALSE)=0,"",VLOOKUP($A162,'Annex 2 Designated EHV charges'!$A:$P,10,FALSE)),"")</f>
        <v>92.23</v>
      </c>
      <c r="G162" s="102">
        <f>IFERROR(IF(VLOOKUP($A162,'Annex 2 Designated EHV charges'!$A:$P,11,FALSE)=0,"",VLOOKUP($A162,'Annex 2 Designated EHV charges'!$A:$P,11,FALSE)),"")</f>
        <v>0.43</v>
      </c>
      <c r="H162" s="102">
        <f>IFERROR(IF(VLOOKUP($A162,'Annex 2 Designated EHV charges'!$A:$P,12,FALSE)=0,"",VLOOKUP($A162,'Annex 2 Designated EHV charges'!$A:$P,12,FALSE)),"")</f>
        <v>0.43</v>
      </c>
    </row>
    <row r="163" spans="1:8" x14ac:dyDescent="0.2">
      <c r="A163" s="97">
        <v>925</v>
      </c>
      <c r="B163" s="79">
        <f>IF($A163="","",VLOOKUP($A163,'Annex 2 Designated EHV charges'!$A:$P,2,0))</f>
        <v>925</v>
      </c>
      <c r="C163" s="98">
        <f>IF($A163="","",VLOOKUP($A163,'Annex 2 Designated EHV charges'!$A:$P,3,0))</f>
        <v>2380002864595</v>
      </c>
      <c r="D163" s="99" t="str">
        <f>IF($A163="","",VLOOKUP($A163,'Annex 2 Designated EHV charges'!$A:$P,7,0))</f>
        <v>EHV Site Specific (LLFC 925 &amp; 531)</v>
      </c>
      <c r="E163" s="100">
        <f>IFERROR(IF(VLOOKUP($A163,'Annex 2 Designated EHV charges'!$A:$P,9,FALSE)=0,"",VLOOKUP($A163,'Annex 2 Designated EHV charges'!$A:$P,9,FALSE)),"")</f>
        <v>7.0000000000000001E-3</v>
      </c>
      <c r="F163" s="101">
        <f>IFERROR(IF(VLOOKUP($A163,'Annex 2 Designated EHV charges'!$A:$P,10,FALSE)=0,"",VLOOKUP($A163,'Annex 2 Designated EHV charges'!$A:$P,10,FALSE)),"")</f>
        <v>92.23</v>
      </c>
      <c r="G163" s="102">
        <f>IFERROR(IF(VLOOKUP($A163,'Annex 2 Designated EHV charges'!$A:$P,11,FALSE)=0,"",VLOOKUP($A163,'Annex 2 Designated EHV charges'!$A:$P,11,FALSE)),"")</f>
        <v>0.39</v>
      </c>
      <c r="H163" s="102">
        <f>IFERROR(IF(VLOOKUP($A163,'Annex 2 Designated EHV charges'!$A:$P,12,FALSE)=0,"",VLOOKUP($A163,'Annex 2 Designated EHV charges'!$A:$P,12,FALSE)),"")</f>
        <v>0.39</v>
      </c>
    </row>
    <row r="164" spans="1:8" ht="30" x14ac:dyDescent="0.2">
      <c r="A164" s="97">
        <v>926</v>
      </c>
      <c r="B164" s="79">
        <f>IF($A164="","",VLOOKUP($A164,'Annex 2 Designated EHV charges'!$A:$P,2,0))</f>
        <v>926</v>
      </c>
      <c r="C164" s="98" t="str">
        <f>IF($A164="","",VLOOKUP($A164,'Annex 2 Designated EHV charges'!$A:$P,3,0))</f>
        <v>2380002878686
2390000297630</v>
      </c>
      <c r="D164" s="99" t="str">
        <f>IF($A164="","",VLOOKUP($A164,'Annex 2 Designated EHV charges'!$A:$P,7,0))</f>
        <v>EHV Site Specific (LLFC 926 &amp; 532)</v>
      </c>
      <c r="E164" s="100">
        <f>IFERROR(IF(VLOOKUP($A164,'Annex 2 Designated EHV charges'!$A:$P,9,FALSE)=0,"",VLOOKUP($A164,'Annex 2 Designated EHV charges'!$A:$P,9,FALSE)),"")</f>
        <v>0.122</v>
      </c>
      <c r="F164" s="101">
        <f>IFERROR(IF(VLOOKUP($A164,'Annex 2 Designated EHV charges'!$A:$P,10,FALSE)=0,"",VLOOKUP($A164,'Annex 2 Designated EHV charges'!$A:$P,10,FALSE)),"")</f>
        <v>30.78</v>
      </c>
      <c r="G164" s="102">
        <f>IFERROR(IF(VLOOKUP($A164,'Annex 2 Designated EHV charges'!$A:$P,11,FALSE)=0,"",VLOOKUP($A164,'Annex 2 Designated EHV charges'!$A:$P,11,FALSE)),"")</f>
        <v>1.4</v>
      </c>
      <c r="H164" s="102">
        <f>IFERROR(IF(VLOOKUP($A164,'Annex 2 Designated EHV charges'!$A:$P,12,FALSE)=0,"",VLOOKUP($A164,'Annex 2 Designated EHV charges'!$A:$P,12,FALSE)),"")</f>
        <v>1.4</v>
      </c>
    </row>
    <row r="165" spans="1:8" x14ac:dyDescent="0.2">
      <c r="A165" s="97">
        <v>927</v>
      </c>
      <c r="B165" s="79">
        <f>IF($A165="","",VLOOKUP($A165,'Annex 2 Designated EHV charges'!$A:$P,2,0))</f>
        <v>927</v>
      </c>
      <c r="C165" s="98">
        <f>IF($A165="","",VLOOKUP($A165,'Annex 2 Designated EHV charges'!$A:$P,3,0))</f>
        <v>2380002915520</v>
      </c>
      <c r="D165" s="99" t="str">
        <f>IF($A165="","",VLOOKUP($A165,'Annex 2 Designated EHV charges'!$A:$P,7,0))</f>
        <v>EHV Site Specific (LLFC 927 &amp; 533)</v>
      </c>
      <c r="E165" s="100" t="str">
        <f>IFERROR(IF(VLOOKUP($A165,'Annex 2 Designated EHV charges'!$A:$P,9,FALSE)=0,"",VLOOKUP($A165,'Annex 2 Designated EHV charges'!$A:$P,9,FALSE)),"")</f>
        <v/>
      </c>
      <c r="F165" s="101">
        <f>IFERROR(IF(VLOOKUP($A165,'Annex 2 Designated EHV charges'!$A:$P,10,FALSE)=0,"",VLOOKUP($A165,'Annex 2 Designated EHV charges'!$A:$P,10,FALSE)),"")</f>
        <v>1457.58</v>
      </c>
      <c r="G165" s="102">
        <f>IFERROR(IF(VLOOKUP($A165,'Annex 2 Designated EHV charges'!$A:$P,11,FALSE)=0,"",VLOOKUP($A165,'Annex 2 Designated EHV charges'!$A:$P,11,FALSE)),"")</f>
        <v>1.26</v>
      </c>
      <c r="H165" s="102">
        <f>IFERROR(IF(VLOOKUP($A165,'Annex 2 Designated EHV charges'!$A:$P,12,FALSE)=0,"",VLOOKUP($A165,'Annex 2 Designated EHV charges'!$A:$P,12,FALSE)),"")</f>
        <v>1.26</v>
      </c>
    </row>
    <row r="166" spans="1:8" x14ac:dyDescent="0.2">
      <c r="A166" s="97">
        <v>928</v>
      </c>
      <c r="B166" s="79">
        <f>IF($A166="","",VLOOKUP($A166,'Annex 2 Designated EHV charges'!$A:$P,2,0))</f>
        <v>928</v>
      </c>
      <c r="C166" s="98">
        <f>IF($A166="","",VLOOKUP($A166,'Annex 2 Designated EHV charges'!$A:$P,3,0))</f>
        <v>2380002920813</v>
      </c>
      <c r="D166" s="99" t="str">
        <f>IF($A166="","",VLOOKUP($A166,'Annex 2 Designated EHV charges'!$A:$P,7,0))</f>
        <v>EHV Site Specific (LLFC 928 &amp; 534)</v>
      </c>
      <c r="E166" s="100" t="str">
        <f>IFERROR(IF(VLOOKUP($A166,'Annex 2 Designated EHV charges'!$A:$P,9,FALSE)=0,"",VLOOKUP($A166,'Annex 2 Designated EHV charges'!$A:$P,9,FALSE)),"")</f>
        <v/>
      </c>
      <c r="F166" s="101">
        <f>IFERROR(IF(VLOOKUP($A166,'Annex 2 Designated EHV charges'!$A:$P,10,FALSE)=0,"",VLOOKUP($A166,'Annex 2 Designated EHV charges'!$A:$P,10,FALSE)),"")</f>
        <v>592.78</v>
      </c>
      <c r="G166" s="102">
        <f>IFERROR(IF(VLOOKUP($A166,'Annex 2 Designated EHV charges'!$A:$P,11,FALSE)=0,"",VLOOKUP($A166,'Annex 2 Designated EHV charges'!$A:$P,11,FALSE)),"")</f>
        <v>1.4</v>
      </c>
      <c r="H166" s="102">
        <f>IFERROR(IF(VLOOKUP($A166,'Annex 2 Designated EHV charges'!$A:$P,12,FALSE)=0,"",VLOOKUP($A166,'Annex 2 Designated EHV charges'!$A:$P,12,FALSE)),"")</f>
        <v>1.4</v>
      </c>
    </row>
    <row r="167" spans="1:8" x14ac:dyDescent="0.2">
      <c r="A167" s="97">
        <v>929</v>
      </c>
      <c r="B167" s="79">
        <f>IF($A167="","",VLOOKUP($A167,'Annex 2 Designated EHV charges'!$A:$P,2,0))</f>
        <v>929</v>
      </c>
      <c r="C167" s="98">
        <f>IF($A167="","",VLOOKUP($A167,'Annex 2 Designated EHV charges'!$A:$P,3,0))</f>
        <v>2380002926790</v>
      </c>
      <c r="D167" s="99" t="str">
        <f>IF($A167="","",VLOOKUP($A167,'Annex 2 Designated EHV charges'!$A:$P,7,0))</f>
        <v>EHV Site Specific (LLFC 929 &amp; 535)</v>
      </c>
      <c r="E167" s="100" t="str">
        <f>IFERROR(IF(VLOOKUP($A167,'Annex 2 Designated EHV charges'!$A:$P,9,FALSE)=0,"",VLOOKUP($A167,'Annex 2 Designated EHV charges'!$A:$P,9,FALSE)),"")</f>
        <v/>
      </c>
      <c r="F167" s="101">
        <f>IFERROR(IF(VLOOKUP($A167,'Annex 2 Designated EHV charges'!$A:$P,10,FALSE)=0,"",VLOOKUP($A167,'Annex 2 Designated EHV charges'!$A:$P,10,FALSE)),"")</f>
        <v>13581.1</v>
      </c>
      <c r="G167" s="102">
        <f>IFERROR(IF(VLOOKUP($A167,'Annex 2 Designated EHV charges'!$A:$P,11,FALSE)=0,"",VLOOKUP($A167,'Annex 2 Designated EHV charges'!$A:$P,11,FALSE)),"")</f>
        <v>1.19</v>
      </c>
      <c r="H167" s="102">
        <f>IFERROR(IF(VLOOKUP($A167,'Annex 2 Designated EHV charges'!$A:$P,12,FALSE)=0,"",VLOOKUP($A167,'Annex 2 Designated EHV charges'!$A:$P,12,FALSE)),"")</f>
        <v>1.19</v>
      </c>
    </row>
    <row r="168" spans="1:8" x14ac:dyDescent="0.2">
      <c r="A168" s="97">
        <v>930</v>
      </c>
      <c r="B168" s="79">
        <f>IF($A168="","",VLOOKUP($A168,'Annex 2 Designated EHV charges'!$A:$P,2,0))</f>
        <v>930</v>
      </c>
      <c r="C168" s="98">
        <f>IF($A168="","",VLOOKUP($A168,'Annex 2 Designated EHV charges'!$A:$P,3,0))</f>
        <v>2380002939503</v>
      </c>
      <c r="D168" s="99" t="str">
        <f>IF($A168="","",VLOOKUP($A168,'Annex 2 Designated EHV charges'!$A:$P,7,0))</f>
        <v>EHV Site Specific (LLFC 930 &amp; 536)</v>
      </c>
      <c r="E168" s="100" t="str">
        <f>IFERROR(IF(VLOOKUP($A168,'Annex 2 Designated EHV charges'!$A:$P,9,FALSE)=0,"",VLOOKUP($A168,'Annex 2 Designated EHV charges'!$A:$P,9,FALSE)),"")</f>
        <v/>
      </c>
      <c r="F168" s="101">
        <f>IFERROR(IF(VLOOKUP($A168,'Annex 2 Designated EHV charges'!$A:$P,10,FALSE)=0,"",VLOOKUP($A168,'Annex 2 Designated EHV charges'!$A:$P,10,FALSE)),"")</f>
        <v>292.29000000000002</v>
      </c>
      <c r="G168" s="102">
        <f>IFERROR(IF(VLOOKUP($A168,'Annex 2 Designated EHV charges'!$A:$P,11,FALSE)=0,"",VLOOKUP($A168,'Annex 2 Designated EHV charges'!$A:$P,11,FALSE)),"")</f>
        <v>1.26</v>
      </c>
      <c r="H168" s="102">
        <f>IFERROR(IF(VLOOKUP($A168,'Annex 2 Designated EHV charges'!$A:$P,12,FALSE)=0,"",VLOOKUP($A168,'Annex 2 Designated EHV charges'!$A:$P,12,FALSE)),"")</f>
        <v>1.26</v>
      </c>
    </row>
    <row r="169" spans="1:8" x14ac:dyDescent="0.2">
      <c r="A169" s="97">
        <v>931</v>
      </c>
      <c r="B169" s="79">
        <f>IF($A169="","",VLOOKUP($A169,'Annex 2 Designated EHV charges'!$A:$P,2,0))</f>
        <v>931</v>
      </c>
      <c r="C169" s="98">
        <f>IF($A169="","",VLOOKUP($A169,'Annex 2 Designated EHV charges'!$A:$P,3,0))</f>
        <v>2380002942988</v>
      </c>
      <c r="D169" s="99" t="str">
        <f>IF($A169="","",VLOOKUP($A169,'Annex 2 Designated EHV charges'!$A:$P,7,0))</f>
        <v>EHV Site Specific (LLFC 931 &amp; 537)</v>
      </c>
      <c r="E169" s="100" t="str">
        <f>IFERROR(IF(VLOOKUP($A169,'Annex 2 Designated EHV charges'!$A:$P,9,FALSE)=0,"",VLOOKUP($A169,'Annex 2 Designated EHV charges'!$A:$P,9,FALSE)),"")</f>
        <v/>
      </c>
      <c r="F169" s="101">
        <f>IFERROR(IF(VLOOKUP($A169,'Annex 2 Designated EHV charges'!$A:$P,10,FALSE)=0,"",VLOOKUP($A169,'Annex 2 Designated EHV charges'!$A:$P,10,FALSE)),"")</f>
        <v>549.05999999999995</v>
      </c>
      <c r="G169" s="102">
        <f>IFERROR(IF(VLOOKUP($A169,'Annex 2 Designated EHV charges'!$A:$P,11,FALSE)=0,"",VLOOKUP($A169,'Annex 2 Designated EHV charges'!$A:$P,11,FALSE)),"")</f>
        <v>1.19</v>
      </c>
      <c r="H169" s="102">
        <f>IFERROR(IF(VLOOKUP($A169,'Annex 2 Designated EHV charges'!$A:$P,12,FALSE)=0,"",VLOOKUP($A169,'Annex 2 Designated EHV charges'!$A:$P,12,FALSE)),"")</f>
        <v>1.19</v>
      </c>
    </row>
    <row r="170" spans="1:8" x14ac:dyDescent="0.2">
      <c r="A170" s="97">
        <v>932</v>
      </c>
      <c r="B170" s="79">
        <f>IF($A170="","",VLOOKUP($A170,'Annex 2 Designated EHV charges'!$A:$P,2,0))</f>
        <v>932</v>
      </c>
      <c r="C170" s="98">
        <f>IF($A170="","",VLOOKUP($A170,'Annex 2 Designated EHV charges'!$A:$P,3,0))</f>
        <v>2380002944530</v>
      </c>
      <c r="D170" s="99" t="str">
        <f>IF($A170="","",VLOOKUP($A170,'Annex 2 Designated EHV charges'!$A:$P,7,0))</f>
        <v>EHV Site Specific (LLFC 932 &amp; 538)</v>
      </c>
      <c r="E170" s="100" t="str">
        <f>IFERROR(IF(VLOOKUP($A170,'Annex 2 Designated EHV charges'!$A:$P,9,FALSE)=0,"",VLOOKUP($A170,'Annex 2 Designated EHV charges'!$A:$P,9,FALSE)),"")</f>
        <v/>
      </c>
      <c r="F170" s="101">
        <f>IFERROR(IF(VLOOKUP($A170,'Annex 2 Designated EHV charges'!$A:$P,10,FALSE)=0,"",VLOOKUP($A170,'Annex 2 Designated EHV charges'!$A:$P,10,FALSE)),"")</f>
        <v>1687.53</v>
      </c>
      <c r="G170" s="102">
        <f>IFERROR(IF(VLOOKUP($A170,'Annex 2 Designated EHV charges'!$A:$P,11,FALSE)=0,"",VLOOKUP($A170,'Annex 2 Designated EHV charges'!$A:$P,11,FALSE)),"")</f>
        <v>1.19</v>
      </c>
      <c r="H170" s="102">
        <f>IFERROR(IF(VLOOKUP($A170,'Annex 2 Designated EHV charges'!$A:$P,12,FALSE)=0,"",VLOOKUP($A170,'Annex 2 Designated EHV charges'!$A:$P,12,FALSE)),"")</f>
        <v>1.19</v>
      </c>
    </row>
    <row r="171" spans="1:8" x14ac:dyDescent="0.2">
      <c r="A171" s="97">
        <v>933</v>
      </c>
      <c r="B171" s="79">
        <f>IF($A171="","",VLOOKUP($A171,'Annex 2 Designated EHV charges'!$A:$P,2,0))</f>
        <v>933</v>
      </c>
      <c r="C171" s="98">
        <f>IF($A171="","",VLOOKUP($A171,'Annex 2 Designated EHV charges'!$A:$P,3,0))</f>
        <v>2380002944540</v>
      </c>
      <c r="D171" s="99" t="str">
        <f>IF($A171="","",VLOOKUP($A171,'Annex 2 Designated EHV charges'!$A:$P,7,0))</f>
        <v>EHV Site Specific (LLFC 933 &amp; 539)</v>
      </c>
      <c r="E171" s="100" t="str">
        <f>IFERROR(IF(VLOOKUP($A171,'Annex 2 Designated EHV charges'!$A:$P,9,FALSE)=0,"",VLOOKUP($A171,'Annex 2 Designated EHV charges'!$A:$P,9,FALSE)),"")</f>
        <v/>
      </c>
      <c r="F171" s="101">
        <f>IFERROR(IF(VLOOKUP($A171,'Annex 2 Designated EHV charges'!$A:$P,10,FALSE)=0,"",VLOOKUP($A171,'Annex 2 Designated EHV charges'!$A:$P,10,FALSE)),"")</f>
        <v>44.74</v>
      </c>
      <c r="G171" s="102">
        <f>IFERROR(IF(VLOOKUP($A171,'Annex 2 Designated EHV charges'!$A:$P,11,FALSE)=0,"",VLOOKUP($A171,'Annex 2 Designated EHV charges'!$A:$P,11,FALSE)),"")</f>
        <v>1.26</v>
      </c>
      <c r="H171" s="102">
        <f>IFERROR(IF(VLOOKUP($A171,'Annex 2 Designated EHV charges'!$A:$P,12,FALSE)=0,"",VLOOKUP($A171,'Annex 2 Designated EHV charges'!$A:$P,12,FALSE)),"")</f>
        <v>1.26</v>
      </c>
    </row>
    <row r="172" spans="1:8" x14ac:dyDescent="0.2">
      <c r="A172" s="97">
        <v>725</v>
      </c>
      <c r="B172" s="79">
        <f>IF($A172="","",VLOOKUP($A172,'Annex 2 Designated EHV charges'!$A:$P,2,0))</f>
        <v>725</v>
      </c>
      <c r="C172" s="98" t="str">
        <f>IF($A172="","",VLOOKUP($A172,'Annex 2 Designated EHV charges'!$A:$P,3,0))</f>
        <v>MSID_7588</v>
      </c>
      <c r="D172" s="99" t="str">
        <f>IF($A172="","",VLOOKUP($A172,'Annex 2 Designated EHV charges'!$A:$P,7,0))</f>
        <v>EHV Site Specific (LLFC 725 &amp; 510)</v>
      </c>
      <c r="E172" s="100" t="str">
        <f>IFERROR(IF(VLOOKUP($A172,'Annex 2 Designated EHV charges'!$A:$P,9,FALSE)=0,"",VLOOKUP($A172,'Annex 2 Designated EHV charges'!$A:$P,9,FALSE)),"")</f>
        <v/>
      </c>
      <c r="F172" s="101">
        <f>IFERROR(IF(VLOOKUP($A172,'Annex 2 Designated EHV charges'!$A:$P,10,FALSE)=0,"",VLOOKUP($A172,'Annex 2 Designated EHV charges'!$A:$P,10,FALSE)),"")</f>
        <v>3009.74</v>
      </c>
      <c r="G172" s="102">
        <f>IFERROR(IF(VLOOKUP($A172,'Annex 2 Designated EHV charges'!$A:$P,11,FALSE)=0,"",VLOOKUP($A172,'Annex 2 Designated EHV charges'!$A:$P,11,FALSE)),"")</f>
        <v>1.33</v>
      </c>
      <c r="H172" s="102">
        <f>IFERROR(IF(VLOOKUP($A172,'Annex 2 Designated EHV charges'!$A:$P,12,FALSE)=0,"",VLOOKUP($A172,'Annex 2 Designated EHV charges'!$A:$P,12,FALSE)),"")</f>
        <v>1.33</v>
      </c>
    </row>
  </sheetData>
  <mergeCells count="2">
    <mergeCell ref="A2:H2"/>
    <mergeCell ref="A1:H1"/>
  </mergeCells>
  <pageMargins left="0.39370078740157483" right="0.39370078740157483" top="0.9055118110236221" bottom="0.74803149606299213" header="0.31496062992125984" footer="0.51181102362204722"/>
  <pageSetup paperSize="9" scale="65" fitToHeight="0" orientation="portrait" r:id="rId1"/>
  <headerFooter differentFirst="1" scaleWithDoc="0">
    <oddHeader>&amp;L&amp;"Trebuchet MS,Bold"
Annex 2a&amp;"Trebuchet MS,Regular" - Schedule of Import Charges for use of the Distribution System by Designated EHV Properties (including LDNOs with Designated EHV Properties/end-users).</oddHeader>
    <firstHeader>&amp;L&amp;"Trebuchet MS,Regular"
&amp;"Trebuchet MS,Bold"Annex 2a &amp;"Trebuchet MS,Regular"- Schedule of Import Charges for use of the Distribution System by Designated EHV Properties (including LDNOs with Designated EHV Properties/end-users).</first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I111"/>
  <sheetViews>
    <sheetView zoomScale="90" zoomScaleNormal="90" zoomScaleSheetLayoutView="100" workbookViewId="0">
      <selection sqref="A1:H1"/>
    </sheetView>
  </sheetViews>
  <sheetFormatPr defaultColWidth="9.140625" defaultRowHeight="15" x14ac:dyDescent="0.3"/>
  <cols>
    <col min="1" max="1" width="14.7109375" style="69" customWidth="1"/>
    <col min="2" max="2" width="8.7109375" style="69" customWidth="1"/>
    <col min="3" max="3" width="15.7109375" style="89" bestFit="1" customWidth="1"/>
    <col min="4" max="4" width="50.7109375" style="89" customWidth="1"/>
    <col min="5" max="5" width="14.7109375" style="90" customWidth="1"/>
    <col min="6" max="7" width="14.7109375" style="91" customWidth="1"/>
    <col min="8" max="8" width="14.7109375" style="69" customWidth="1"/>
    <col min="9" max="9" width="15.5703125" style="69" customWidth="1"/>
    <col min="10" max="16384" width="9.140625" style="69"/>
  </cols>
  <sheetData>
    <row r="1" spans="1:9" ht="52.5" customHeight="1" x14ac:dyDescent="0.2">
      <c r="A1" s="216" t="s">
        <v>678</v>
      </c>
      <c r="B1" s="216"/>
      <c r="C1" s="216"/>
      <c r="D1" s="216"/>
      <c r="E1" s="216"/>
      <c r="F1" s="216"/>
      <c r="G1" s="216"/>
      <c r="H1" s="216"/>
    </row>
    <row r="2" spans="1:9" s="70" customFormat="1" ht="18.75" x14ac:dyDescent="0.2">
      <c r="A2" s="221" t="str">
        <f>Overview!B4&amp; " - Effective from "&amp;Overview!D4&amp;" - "&amp;Overview!E4&amp;" Designated EHV export charges"</f>
        <v>Northern Powergrid (Yorkshire) Plc - Effective from 1 April 2026 - Final Designated EHV export charges</v>
      </c>
      <c r="B2" s="222"/>
      <c r="C2" s="222"/>
      <c r="D2" s="222"/>
      <c r="E2" s="222"/>
      <c r="F2" s="222"/>
      <c r="G2" s="222"/>
      <c r="H2" s="223"/>
    </row>
    <row r="3" spans="1:9" s="71" customFormat="1" ht="18.75" x14ac:dyDescent="0.2">
      <c r="A3" s="92"/>
      <c r="B3" s="92"/>
      <c r="C3" s="92"/>
      <c r="D3" s="93"/>
      <c r="E3" s="94"/>
      <c r="F3" s="94"/>
      <c r="G3" s="95"/>
      <c r="H3" s="95"/>
      <c r="I3" s="61"/>
    </row>
    <row r="4" spans="1:9" ht="75" x14ac:dyDescent="0.2">
      <c r="A4" s="73" t="s">
        <v>271</v>
      </c>
      <c r="B4" s="74" t="s">
        <v>260</v>
      </c>
      <c r="C4" s="73" t="s">
        <v>262</v>
      </c>
      <c r="D4" s="75" t="s">
        <v>29</v>
      </c>
      <c r="E4" s="75" t="str">
        <f>'Annex 2 Designated EHV charges'!M9</f>
        <v>Export
Super Red
unit charge
(p/kWh)</v>
      </c>
      <c r="F4" s="75" t="str">
        <f>'Annex 2 Designated EHV charges'!N9</f>
        <v>Export
fixed charge
(p/day)</v>
      </c>
      <c r="G4" s="75" t="str">
        <f>'Annex 2 Designated EHV charges'!O9</f>
        <v>Export
capacity charge
(p/kVA/day)</v>
      </c>
      <c r="H4" s="75" t="str">
        <f>'Annex 2 Designated EHV charges'!P9</f>
        <v>Export
exceeded capacity charge
(p/kVA/day)</v>
      </c>
    </row>
    <row r="5" spans="1:9" x14ac:dyDescent="0.2">
      <c r="A5" s="103">
        <v>90</v>
      </c>
      <c r="B5" s="79">
        <f>IF($A5="","",VLOOKUP($A5,'Annex 2 Designated EHV charges'!$D:$P,2,0))</f>
        <v>90</v>
      </c>
      <c r="C5" s="98">
        <f>IF($A5="","",VLOOKUP($A5,'Annex 2 Designated EHV charges'!$D:$P,3,0))</f>
        <v>2394000039650</v>
      </c>
      <c r="D5" s="99" t="str">
        <f>IF($A5="","",VLOOKUP($A5,'Annex 2 Designated EHV charges'!$D:$P,4,0))</f>
        <v>EHV Site Specific (LLFC 753 &amp; 90)</v>
      </c>
      <c r="E5" s="104">
        <f>IFERROR(IF(VLOOKUP($A5,'Annex 2 Designated EHV charges'!$D:$P,10,FALSE)=0,0,VLOOKUP($A5,'Annex 2 Designated EHV charges'!$D:$P,10,FALSE)),"")</f>
        <v>0</v>
      </c>
      <c r="F5" s="105">
        <f>IFERROR(IF(VLOOKUP($A5,'Annex 2 Designated EHV charges'!$D:$P,11,FALSE)=0,0,VLOOKUP($A5,'Annex 2 Designated EHV charges'!$D:$P,11,FALSE)),"")</f>
        <v>183.27</v>
      </c>
      <c r="G5" s="106">
        <f>IFERROR(IF(VLOOKUP($A5,'Annex 2 Designated EHV charges'!$D:$P,12,FALSE)=0,0,VLOOKUP($A5,'Annex 2 Designated EHV charges'!$D:$P,12,FALSE)),"")</f>
        <v>0.05</v>
      </c>
      <c r="H5" s="106">
        <f>IFERROR(IF(VLOOKUP($A5,'Annex 2 Designated EHV charges'!$D:$P,13,FALSE)=0,0,VLOOKUP($A5,'Annex 2 Designated EHV charges'!$D:$P,13,FALSE)),"")</f>
        <v>0.05</v>
      </c>
    </row>
    <row r="6" spans="1:9" ht="30" x14ac:dyDescent="0.2">
      <c r="A6" s="103">
        <v>82</v>
      </c>
      <c r="B6" s="79">
        <f>IF($A6="","",VLOOKUP($A6,'Annex 2 Designated EHV charges'!$D:$P,2,0))</f>
        <v>82</v>
      </c>
      <c r="C6" s="98" t="str">
        <f>IF($A6="","",VLOOKUP($A6,'Annex 2 Designated EHV charges'!$D:$P,3,0))</f>
        <v>2394000039660
2394000110620</v>
      </c>
      <c r="D6" s="99" t="str">
        <f>IF($A6="","",VLOOKUP($A6,'Annex 2 Designated EHV charges'!$D:$P,4,0))</f>
        <v>EHV Site Specific (LLFC 754 &amp; 82)</v>
      </c>
      <c r="E6" s="104">
        <f>IFERROR(IF(VLOOKUP($A6,'Annex 2 Designated EHV charges'!$D:$P,10,FALSE)=0,0,VLOOKUP($A6,'Annex 2 Designated EHV charges'!$D:$P,10,FALSE)),"")</f>
        <v>0</v>
      </c>
      <c r="F6" s="105">
        <f>IFERROR(IF(VLOOKUP($A6,'Annex 2 Designated EHV charges'!$D:$P,11,FALSE)=0,0,VLOOKUP($A6,'Annex 2 Designated EHV charges'!$D:$P,11,FALSE)),"")</f>
        <v>621.12</v>
      </c>
      <c r="G6" s="106">
        <f>IFERROR(IF(VLOOKUP($A6,'Annex 2 Designated EHV charges'!$D:$P,12,FALSE)=0,0,VLOOKUP($A6,'Annex 2 Designated EHV charges'!$D:$P,12,FALSE)),"")</f>
        <v>0.05</v>
      </c>
      <c r="H6" s="106">
        <f>IFERROR(IF(VLOOKUP($A6,'Annex 2 Designated EHV charges'!$D:$P,13,FALSE)=0,0,VLOOKUP($A6,'Annex 2 Designated EHV charges'!$D:$P,13,FALSE)),"")</f>
        <v>0.05</v>
      </c>
    </row>
    <row r="7" spans="1:9" x14ac:dyDescent="0.2">
      <c r="A7" s="103">
        <v>76</v>
      </c>
      <c r="B7" s="79">
        <f>IF($A7="","",VLOOKUP($A7,'Annex 2 Designated EHV charges'!$D:$P,2,0))</f>
        <v>76</v>
      </c>
      <c r="C7" s="98">
        <f>IF($A7="","",VLOOKUP($A7,'Annex 2 Designated EHV charges'!$D:$P,3,0))</f>
        <v>2394000039641</v>
      </c>
      <c r="D7" s="99" t="str">
        <f>IF($A7="","",VLOOKUP($A7,'Annex 2 Designated EHV charges'!$D:$P,4,0))</f>
        <v>EHV Site Specific (LLFC 755 &amp; 76)</v>
      </c>
      <c r="E7" s="104">
        <f>IFERROR(IF(VLOOKUP($A7,'Annex 2 Designated EHV charges'!$D:$P,10,FALSE)=0,0,VLOOKUP($A7,'Annex 2 Designated EHV charges'!$D:$P,10,FALSE)),"")</f>
        <v>0</v>
      </c>
      <c r="F7" s="105">
        <f>IFERROR(IF(VLOOKUP($A7,'Annex 2 Designated EHV charges'!$D:$P,11,FALSE)=0,0,VLOOKUP($A7,'Annex 2 Designated EHV charges'!$D:$P,11,FALSE)),"")</f>
        <v>564.58000000000004</v>
      </c>
      <c r="G7" s="106">
        <f>IFERROR(IF(VLOOKUP($A7,'Annex 2 Designated EHV charges'!$D:$P,12,FALSE)=0,0,VLOOKUP($A7,'Annex 2 Designated EHV charges'!$D:$P,12,FALSE)),"")</f>
        <v>0.05</v>
      </c>
      <c r="H7" s="106">
        <f>IFERROR(IF(VLOOKUP($A7,'Annex 2 Designated EHV charges'!$D:$P,13,FALSE)=0,0,VLOOKUP($A7,'Annex 2 Designated EHV charges'!$D:$P,13,FALSE)),"")</f>
        <v>0.05</v>
      </c>
    </row>
    <row r="8" spans="1:9" x14ac:dyDescent="0.2">
      <c r="A8" s="103">
        <v>75</v>
      </c>
      <c r="B8" s="79">
        <f>IF($A8="","",VLOOKUP($A8,'Annex 2 Designated EHV charges'!$D:$P,2,0))</f>
        <v>75</v>
      </c>
      <c r="C8" s="98">
        <f>IF($A8="","",VLOOKUP($A8,'Annex 2 Designated EHV charges'!$D:$P,3,0))</f>
        <v>2394000039679</v>
      </c>
      <c r="D8" s="99" t="str">
        <f>IF($A8="","",VLOOKUP($A8,'Annex 2 Designated EHV charges'!$D:$P,4,0))</f>
        <v>EHV Site Specific (LLFC 756 &amp; 75)</v>
      </c>
      <c r="E8" s="104">
        <f>IFERROR(IF(VLOOKUP($A8,'Annex 2 Designated EHV charges'!$D:$P,10,FALSE)=0,0,VLOOKUP($A8,'Annex 2 Designated EHV charges'!$D:$P,10,FALSE)),"")</f>
        <v>0</v>
      </c>
      <c r="F8" s="105">
        <f>IFERROR(IF(VLOOKUP($A8,'Annex 2 Designated EHV charges'!$D:$P,11,FALSE)=0,0,VLOOKUP($A8,'Annex 2 Designated EHV charges'!$D:$P,11,FALSE)),"")</f>
        <v>779.95</v>
      </c>
      <c r="G8" s="106">
        <f>IFERROR(IF(VLOOKUP($A8,'Annex 2 Designated EHV charges'!$D:$P,12,FALSE)=0,0,VLOOKUP($A8,'Annex 2 Designated EHV charges'!$D:$P,12,FALSE)),"")</f>
        <v>0.05</v>
      </c>
      <c r="H8" s="106">
        <f>IFERROR(IF(VLOOKUP($A8,'Annex 2 Designated EHV charges'!$D:$P,13,FALSE)=0,0,VLOOKUP($A8,'Annex 2 Designated EHV charges'!$D:$P,13,FALSE)),"")</f>
        <v>0.05</v>
      </c>
    </row>
    <row r="9" spans="1:9" x14ac:dyDescent="0.2">
      <c r="A9" s="103">
        <v>95</v>
      </c>
      <c r="B9" s="79">
        <f>IF($A9="","",VLOOKUP($A9,'Annex 2 Designated EHV charges'!$D:$P,2,0))</f>
        <v>95</v>
      </c>
      <c r="C9" s="98">
        <f>IF($A9="","",VLOOKUP($A9,'Annex 2 Designated EHV charges'!$D:$P,3,0))</f>
        <v>2394000060226</v>
      </c>
      <c r="D9" s="99" t="str">
        <f>IF($A9="","",VLOOKUP($A9,'Annex 2 Designated EHV charges'!$D:$P,4,0))</f>
        <v>EHV Site Specific (LLFC 757 &amp; 95)</v>
      </c>
      <c r="E9" s="104">
        <f>IFERROR(IF(VLOOKUP($A9,'Annex 2 Designated EHV charges'!$D:$P,10,FALSE)=0,0,VLOOKUP($A9,'Annex 2 Designated EHV charges'!$D:$P,10,FALSE)),"")</f>
        <v>-1E-3</v>
      </c>
      <c r="F9" s="105">
        <f>IFERROR(IF(VLOOKUP($A9,'Annex 2 Designated EHV charges'!$D:$P,11,FALSE)=0,0,VLOOKUP($A9,'Annex 2 Designated EHV charges'!$D:$P,11,FALSE)),"")</f>
        <v>1100.6099999999999</v>
      </c>
      <c r="G9" s="106">
        <f>IFERROR(IF(VLOOKUP($A9,'Annex 2 Designated EHV charges'!$D:$P,12,FALSE)=0,0,VLOOKUP($A9,'Annex 2 Designated EHV charges'!$D:$P,12,FALSE)),"")</f>
        <v>0.05</v>
      </c>
      <c r="H9" s="106">
        <f>IFERROR(IF(VLOOKUP($A9,'Annex 2 Designated EHV charges'!$D:$P,13,FALSE)=0,0,VLOOKUP($A9,'Annex 2 Designated EHV charges'!$D:$P,13,FALSE)),"")</f>
        <v>0.05</v>
      </c>
    </row>
    <row r="10" spans="1:9" x14ac:dyDescent="0.2">
      <c r="A10" s="103">
        <v>800</v>
      </c>
      <c r="B10" s="79">
        <f>IF($A10="","",VLOOKUP($A10,'Annex 2 Designated EHV charges'!$D:$P,2,0))</f>
        <v>800</v>
      </c>
      <c r="C10" s="98" t="str">
        <f>IF($A10="","",VLOOKUP($A10,'Annex 2 Designated EHV charges'!$D:$P,3,0))</f>
        <v>MSID_0645</v>
      </c>
      <c r="D10" s="99" t="str">
        <f>IF($A10="","",VLOOKUP($A10,'Annex 2 Designated EHV charges'!$D:$P,4,0))</f>
        <v>EHV Site Specific (LLFC 804 &amp; 800)</v>
      </c>
      <c r="E10" s="104">
        <f>IFERROR(IF(VLOOKUP($A10,'Annex 2 Designated EHV charges'!$D:$P,10,FALSE)=0,0,VLOOKUP($A10,'Annex 2 Designated EHV charges'!$D:$P,10,FALSE)),"")</f>
        <v>-8.0000000000000002E-3</v>
      </c>
      <c r="F10" s="105">
        <f>IFERROR(IF(VLOOKUP($A10,'Annex 2 Designated EHV charges'!$D:$P,11,FALSE)=0,0,VLOOKUP($A10,'Annex 2 Designated EHV charges'!$D:$P,11,FALSE)),"")</f>
        <v>2782.58</v>
      </c>
      <c r="G10" s="106">
        <f>IFERROR(IF(VLOOKUP($A10,'Annex 2 Designated EHV charges'!$D:$P,12,FALSE)=0,0,VLOOKUP($A10,'Annex 2 Designated EHV charges'!$D:$P,12,FALSE)),"")</f>
        <v>0.05</v>
      </c>
      <c r="H10" s="106">
        <f>IFERROR(IF(VLOOKUP($A10,'Annex 2 Designated EHV charges'!$D:$P,13,FALSE)=0,0,VLOOKUP($A10,'Annex 2 Designated EHV charges'!$D:$P,13,FALSE)),"")</f>
        <v>0.05</v>
      </c>
    </row>
    <row r="11" spans="1:9" ht="30" x14ac:dyDescent="0.2">
      <c r="A11" s="103">
        <v>60</v>
      </c>
      <c r="B11" s="79">
        <f>IF($A11="","",VLOOKUP($A11,'Annex 2 Designated EHV charges'!$D:$P,2,0))</f>
        <v>60</v>
      </c>
      <c r="C11" s="98" t="str">
        <f>IF($A11="","",VLOOKUP($A11,'Annex 2 Designated EHV charges'!$D:$P,3,0))</f>
        <v>2300000233736
2300000880975</v>
      </c>
      <c r="D11" s="99" t="str">
        <f>IF($A11="","",VLOOKUP($A11,'Annex 2 Designated EHV charges'!$D:$P,4,0))</f>
        <v>EHV Site Specific (LLFC 760 &amp; 60)</v>
      </c>
      <c r="E11" s="104">
        <f>IFERROR(IF(VLOOKUP($A11,'Annex 2 Designated EHV charges'!$D:$P,10,FALSE)=0,0,VLOOKUP($A11,'Annex 2 Designated EHV charges'!$D:$P,10,FALSE)),"")</f>
        <v>0</v>
      </c>
      <c r="F11" s="105">
        <f>IFERROR(IF(VLOOKUP($A11,'Annex 2 Designated EHV charges'!$D:$P,11,FALSE)=0,0,VLOOKUP($A11,'Annex 2 Designated EHV charges'!$D:$P,11,FALSE)),"")</f>
        <v>1212.6600000000001</v>
      </c>
      <c r="G11" s="106">
        <f>IFERROR(IF(VLOOKUP($A11,'Annex 2 Designated EHV charges'!$D:$P,12,FALSE)=0,0,VLOOKUP($A11,'Annex 2 Designated EHV charges'!$D:$P,12,FALSE)),"")</f>
        <v>0.05</v>
      </c>
      <c r="H11" s="106">
        <f>IFERROR(IF(VLOOKUP($A11,'Annex 2 Designated EHV charges'!$D:$P,13,FALSE)=0,0,VLOOKUP($A11,'Annex 2 Designated EHV charges'!$D:$P,13,FALSE)),"")</f>
        <v>0.05</v>
      </c>
    </row>
    <row r="12" spans="1:9" x14ac:dyDescent="0.2">
      <c r="A12" s="103">
        <v>62</v>
      </c>
      <c r="B12" s="79">
        <f>IF($A12="","",VLOOKUP($A12,'Annex 2 Designated EHV charges'!$D:$P,2,0))</f>
        <v>62</v>
      </c>
      <c r="C12" s="98">
        <f>IF($A12="","",VLOOKUP($A12,'Annex 2 Designated EHV charges'!$D:$P,3,0))</f>
        <v>2300000457410</v>
      </c>
      <c r="D12" s="99" t="str">
        <f>IF($A12="","",VLOOKUP($A12,'Annex 2 Designated EHV charges'!$D:$P,4,0))</f>
        <v>EHV Site Specific (LLFC 762 &amp; 62)</v>
      </c>
      <c r="E12" s="104">
        <f>IFERROR(IF(VLOOKUP($A12,'Annex 2 Designated EHV charges'!$D:$P,10,FALSE)=0,0,VLOOKUP($A12,'Annex 2 Designated EHV charges'!$D:$P,10,FALSE)),"")</f>
        <v>-3.2000000000000001E-2</v>
      </c>
      <c r="F12" s="105">
        <f>IFERROR(IF(VLOOKUP($A12,'Annex 2 Designated EHV charges'!$D:$P,11,FALSE)=0,0,VLOOKUP($A12,'Annex 2 Designated EHV charges'!$D:$P,11,FALSE)),"")</f>
        <v>453.52</v>
      </c>
      <c r="G12" s="106">
        <f>IFERROR(IF(VLOOKUP($A12,'Annex 2 Designated EHV charges'!$D:$P,12,FALSE)=0,0,VLOOKUP($A12,'Annex 2 Designated EHV charges'!$D:$P,12,FALSE)),"")</f>
        <v>0.05</v>
      </c>
      <c r="H12" s="106">
        <f>IFERROR(IF(VLOOKUP($A12,'Annex 2 Designated EHV charges'!$D:$P,13,FALSE)=0,0,VLOOKUP($A12,'Annex 2 Designated EHV charges'!$D:$P,13,FALSE)),"")</f>
        <v>0.05</v>
      </c>
    </row>
    <row r="13" spans="1:9" ht="30" x14ac:dyDescent="0.2">
      <c r="A13" s="103">
        <v>80</v>
      </c>
      <c r="B13" s="79">
        <f>IF($A13="","",VLOOKUP($A13,'Annex 2 Designated EHV charges'!$D:$P,2,0))</f>
        <v>80</v>
      </c>
      <c r="C13" s="98" t="str">
        <f>IF($A13="","",VLOOKUP($A13,'Annex 2 Designated EHV charges'!$D:$P,3,0))</f>
        <v>MSID_7377
MSID_7543</v>
      </c>
      <c r="D13" s="99" t="str">
        <f>IF($A13="","",VLOOKUP($A13,'Annex 2 Designated EHV charges'!$D:$P,4,0))</f>
        <v>EHV Site Specific (LLFC 763 &amp; 80)</v>
      </c>
      <c r="E13" s="104">
        <f>IFERROR(IF(VLOOKUP($A13,'Annex 2 Designated EHV charges'!$D:$P,10,FALSE)=0,0,VLOOKUP($A13,'Annex 2 Designated EHV charges'!$D:$P,10,FALSE)),"")</f>
        <v>-2E-3</v>
      </c>
      <c r="F13" s="105">
        <f>IFERROR(IF(VLOOKUP($A13,'Annex 2 Designated EHV charges'!$D:$P,11,FALSE)=0,0,VLOOKUP($A13,'Annex 2 Designated EHV charges'!$D:$P,11,FALSE)),"")</f>
        <v>1694.65</v>
      </c>
      <c r="G13" s="106">
        <f>IFERROR(IF(VLOOKUP($A13,'Annex 2 Designated EHV charges'!$D:$P,12,FALSE)=0,0,VLOOKUP($A13,'Annex 2 Designated EHV charges'!$D:$P,12,FALSE)),"")</f>
        <v>0.05</v>
      </c>
      <c r="H13" s="106">
        <f>IFERROR(IF(VLOOKUP($A13,'Annex 2 Designated EHV charges'!$D:$P,13,FALSE)=0,0,VLOOKUP($A13,'Annex 2 Designated EHV charges'!$D:$P,13,FALSE)),"")</f>
        <v>0.05</v>
      </c>
    </row>
    <row r="14" spans="1:9" ht="30" x14ac:dyDescent="0.2">
      <c r="A14" s="103">
        <v>66</v>
      </c>
      <c r="B14" s="79">
        <f>IF($A14="","",VLOOKUP($A14,'Annex 2 Designated EHV charges'!$D:$P,2,0))</f>
        <v>66</v>
      </c>
      <c r="C14" s="98" t="str">
        <f>IF($A14="","",VLOOKUP($A14,'Annex 2 Designated EHV charges'!$D:$P,3,0))</f>
        <v>2300000233912
2300000996990</v>
      </c>
      <c r="D14" s="99" t="str">
        <f>IF($A14="","",VLOOKUP($A14,'Annex 2 Designated EHV charges'!$D:$P,4,0))</f>
        <v>EHV Site Specific (LLFC 766 &amp; 66)</v>
      </c>
      <c r="E14" s="104">
        <f>IFERROR(IF(VLOOKUP($A14,'Annex 2 Designated EHV charges'!$D:$P,10,FALSE)=0,0,VLOOKUP($A14,'Annex 2 Designated EHV charges'!$D:$P,10,FALSE)),"")</f>
        <v>0</v>
      </c>
      <c r="F14" s="105">
        <f>IFERROR(IF(VLOOKUP($A14,'Annex 2 Designated EHV charges'!$D:$P,11,FALSE)=0,0,VLOOKUP($A14,'Annex 2 Designated EHV charges'!$D:$P,11,FALSE)),"")</f>
        <v>209.85</v>
      </c>
      <c r="G14" s="106">
        <f>IFERROR(IF(VLOOKUP($A14,'Annex 2 Designated EHV charges'!$D:$P,12,FALSE)=0,0,VLOOKUP($A14,'Annex 2 Designated EHV charges'!$D:$P,12,FALSE)),"")</f>
        <v>0.05</v>
      </c>
      <c r="H14" s="106">
        <f>IFERROR(IF(VLOOKUP($A14,'Annex 2 Designated EHV charges'!$D:$P,13,FALSE)=0,0,VLOOKUP($A14,'Annex 2 Designated EHV charges'!$D:$P,13,FALSE)),"")</f>
        <v>0.05</v>
      </c>
    </row>
    <row r="15" spans="1:9" ht="30" x14ac:dyDescent="0.2">
      <c r="A15" s="103">
        <v>128</v>
      </c>
      <c r="B15" s="79">
        <f>IF($A15="","",VLOOKUP($A15,'Annex 2 Designated EHV charges'!$D:$P,2,0))</f>
        <v>128</v>
      </c>
      <c r="C15" s="98" t="str">
        <f>IF($A15="","",VLOOKUP($A15,'Annex 2 Designated EHV charges'!$D:$P,3,0))</f>
        <v>2394000133317
2394000139114</v>
      </c>
      <c r="D15" s="99" t="str">
        <f>IF($A15="","",VLOOKUP($A15,'Annex 2 Designated EHV charges'!$D:$P,4,0))</f>
        <v>EHV Site Specific (LLFC 769 &amp; 128)</v>
      </c>
      <c r="E15" s="104">
        <f>IFERROR(IF(VLOOKUP($A15,'Annex 2 Designated EHV charges'!$D:$P,10,FALSE)=0,0,VLOOKUP($A15,'Annex 2 Designated EHV charges'!$D:$P,10,FALSE)),"")</f>
        <v>0</v>
      </c>
      <c r="F15" s="105">
        <f>IFERROR(IF(VLOOKUP($A15,'Annex 2 Designated EHV charges'!$D:$P,11,FALSE)=0,0,VLOOKUP($A15,'Annex 2 Designated EHV charges'!$D:$P,11,FALSE)),"")</f>
        <v>0</v>
      </c>
      <c r="G15" s="106">
        <f>IFERROR(IF(VLOOKUP($A15,'Annex 2 Designated EHV charges'!$D:$P,12,FALSE)=0,0,VLOOKUP($A15,'Annex 2 Designated EHV charges'!$D:$P,12,FALSE)),"")</f>
        <v>0.05</v>
      </c>
      <c r="H15" s="106">
        <f>IFERROR(IF(VLOOKUP($A15,'Annex 2 Designated EHV charges'!$D:$P,13,FALSE)=0,0,VLOOKUP($A15,'Annex 2 Designated EHV charges'!$D:$P,13,FALSE)),"")</f>
        <v>0.05</v>
      </c>
    </row>
    <row r="16" spans="1:9" x14ac:dyDescent="0.2">
      <c r="A16" s="103">
        <v>92</v>
      </c>
      <c r="B16" s="79">
        <f>IF($A16="","",VLOOKUP($A16,'Annex 2 Designated EHV charges'!$D:$P,2,0))</f>
        <v>92</v>
      </c>
      <c r="C16" s="98">
        <f>IF($A16="","",VLOOKUP($A16,'Annex 2 Designated EHV charges'!$D:$P,3,0))</f>
        <v>2394000019176</v>
      </c>
      <c r="D16" s="99" t="str">
        <f>IF($A16="","",VLOOKUP($A16,'Annex 2 Designated EHV charges'!$D:$P,4,0))</f>
        <v>EHV Site Specific (LLFC 771 &amp; 92)</v>
      </c>
      <c r="E16" s="104">
        <f>IFERROR(IF(VLOOKUP($A16,'Annex 2 Designated EHV charges'!$D:$P,10,FALSE)=0,0,VLOOKUP($A16,'Annex 2 Designated EHV charges'!$D:$P,10,FALSE)),"")</f>
        <v>0</v>
      </c>
      <c r="F16" s="105">
        <f>IFERROR(IF(VLOOKUP($A16,'Annex 2 Designated EHV charges'!$D:$P,11,FALSE)=0,0,VLOOKUP($A16,'Annex 2 Designated EHV charges'!$D:$P,11,FALSE)),"")</f>
        <v>0</v>
      </c>
      <c r="G16" s="106">
        <f>IFERROR(IF(VLOOKUP($A16,'Annex 2 Designated EHV charges'!$D:$P,12,FALSE)=0,0,VLOOKUP($A16,'Annex 2 Designated EHV charges'!$D:$P,12,FALSE)),"")</f>
        <v>0.05</v>
      </c>
      <c r="H16" s="106">
        <f>IFERROR(IF(VLOOKUP($A16,'Annex 2 Designated EHV charges'!$D:$P,13,FALSE)=0,0,VLOOKUP($A16,'Annex 2 Designated EHV charges'!$D:$P,13,FALSE)),"")</f>
        <v>0.05</v>
      </c>
    </row>
    <row r="17" spans="1:8" x14ac:dyDescent="0.2">
      <c r="A17" s="103">
        <v>65</v>
      </c>
      <c r="B17" s="79">
        <f>IF($A17="","",VLOOKUP($A17,'Annex 2 Designated EHV charges'!$D:$P,2,0))</f>
        <v>65</v>
      </c>
      <c r="C17" s="98">
        <f>IF($A17="","",VLOOKUP($A17,'Annex 2 Designated EHV charges'!$D:$P,3,0))</f>
        <v>2394000117991</v>
      </c>
      <c r="D17" s="99" t="str">
        <f>IF($A17="","",VLOOKUP($A17,'Annex 2 Designated EHV charges'!$D:$P,4,0))</f>
        <v>EHV Site Specific (LLFC 773 &amp; 65)</v>
      </c>
      <c r="E17" s="104">
        <f>IFERROR(IF(VLOOKUP($A17,'Annex 2 Designated EHV charges'!$D:$P,10,FALSE)=0,0,VLOOKUP($A17,'Annex 2 Designated EHV charges'!$D:$P,10,FALSE)),"")</f>
        <v>0</v>
      </c>
      <c r="F17" s="105">
        <f>IFERROR(IF(VLOOKUP($A17,'Annex 2 Designated EHV charges'!$D:$P,11,FALSE)=0,0,VLOOKUP($A17,'Annex 2 Designated EHV charges'!$D:$P,11,FALSE)),"")</f>
        <v>0</v>
      </c>
      <c r="G17" s="106">
        <f>IFERROR(IF(VLOOKUP($A17,'Annex 2 Designated EHV charges'!$D:$P,12,FALSE)=0,0,VLOOKUP($A17,'Annex 2 Designated EHV charges'!$D:$P,12,FALSE)),"")</f>
        <v>0.05</v>
      </c>
      <c r="H17" s="106">
        <f>IFERROR(IF(VLOOKUP($A17,'Annex 2 Designated EHV charges'!$D:$P,13,FALSE)=0,0,VLOOKUP($A17,'Annex 2 Designated EHV charges'!$D:$P,13,FALSE)),"")</f>
        <v>0.05</v>
      </c>
    </row>
    <row r="18" spans="1:8" ht="30" x14ac:dyDescent="0.2">
      <c r="A18" s="103">
        <v>74</v>
      </c>
      <c r="B18" s="79">
        <f>IF($A18="","",VLOOKUP($A18,'Annex 2 Designated EHV charges'!$D:$P,2,0))</f>
        <v>74</v>
      </c>
      <c r="C18" s="98" t="str">
        <f>IF($A18="","",VLOOKUP($A18,'Annex 2 Designated EHV charges'!$D:$P,3,0))</f>
        <v>2394000002925
2394100008408</v>
      </c>
      <c r="D18" s="99" t="str">
        <f>IF($A18="","",VLOOKUP($A18,'Annex 2 Designated EHV charges'!$D:$P,4,0))</f>
        <v>EHV Site Specific (LLFC 774 &amp; 74)</v>
      </c>
      <c r="E18" s="104">
        <f>IFERROR(IF(VLOOKUP($A18,'Annex 2 Designated EHV charges'!$D:$P,10,FALSE)=0,0,VLOOKUP($A18,'Annex 2 Designated EHV charges'!$D:$P,10,FALSE)),"")</f>
        <v>0</v>
      </c>
      <c r="F18" s="105">
        <f>IFERROR(IF(VLOOKUP($A18,'Annex 2 Designated EHV charges'!$D:$P,11,FALSE)=0,0,VLOOKUP($A18,'Annex 2 Designated EHV charges'!$D:$P,11,FALSE)),"")</f>
        <v>0</v>
      </c>
      <c r="G18" s="106">
        <f>IFERROR(IF(VLOOKUP($A18,'Annex 2 Designated EHV charges'!$D:$P,12,FALSE)=0,0,VLOOKUP($A18,'Annex 2 Designated EHV charges'!$D:$P,12,FALSE)),"")</f>
        <v>0</v>
      </c>
      <c r="H18" s="106">
        <f>IFERROR(IF(VLOOKUP($A18,'Annex 2 Designated EHV charges'!$D:$P,13,FALSE)=0,0,VLOOKUP($A18,'Annex 2 Designated EHV charges'!$D:$P,13,FALSE)),"")</f>
        <v>0</v>
      </c>
    </row>
    <row r="19" spans="1:8" x14ac:dyDescent="0.2">
      <c r="A19" s="103">
        <v>87</v>
      </c>
      <c r="B19" s="79">
        <f>IF($A19="","",VLOOKUP($A19,'Annex 2 Designated EHV charges'!$D:$P,2,0))</f>
        <v>87</v>
      </c>
      <c r="C19" s="98">
        <f>IF($A19="","",VLOOKUP($A19,'Annex 2 Designated EHV charges'!$D:$P,3,0))</f>
        <v>2394000024440</v>
      </c>
      <c r="D19" s="99" t="str">
        <f>IF($A19="","",VLOOKUP($A19,'Annex 2 Designated EHV charges'!$D:$P,4,0))</f>
        <v>EHV Site Specific (LLFC 775 &amp; 87)</v>
      </c>
      <c r="E19" s="104">
        <f>IFERROR(IF(VLOOKUP($A19,'Annex 2 Designated EHV charges'!$D:$P,10,FALSE)=0,0,VLOOKUP($A19,'Annex 2 Designated EHV charges'!$D:$P,10,FALSE)),"")</f>
        <v>-0.222</v>
      </c>
      <c r="F19" s="105">
        <f>IFERROR(IF(VLOOKUP($A19,'Annex 2 Designated EHV charges'!$D:$P,11,FALSE)=0,0,VLOOKUP($A19,'Annex 2 Designated EHV charges'!$D:$P,11,FALSE)),"")</f>
        <v>1078.6099999999999</v>
      </c>
      <c r="G19" s="106">
        <f>IFERROR(IF(VLOOKUP($A19,'Annex 2 Designated EHV charges'!$D:$P,12,FALSE)=0,0,VLOOKUP($A19,'Annex 2 Designated EHV charges'!$D:$P,12,FALSE)),"")</f>
        <v>0.05</v>
      </c>
      <c r="H19" s="106">
        <f>IFERROR(IF(VLOOKUP($A19,'Annex 2 Designated EHV charges'!$D:$P,13,FALSE)=0,0,VLOOKUP($A19,'Annex 2 Designated EHV charges'!$D:$P,13,FALSE)),"")</f>
        <v>0.05</v>
      </c>
    </row>
    <row r="20" spans="1:8" x14ac:dyDescent="0.2">
      <c r="A20" s="103">
        <v>77</v>
      </c>
      <c r="B20" s="79">
        <f>IF($A20="","",VLOOKUP($A20,'Annex 2 Designated EHV charges'!$D:$P,2,0))</f>
        <v>77</v>
      </c>
      <c r="C20" s="98" t="str">
        <f>IF($A20="","",VLOOKUP($A20,'Annex 2 Designated EHV charges'!$D:$P,3,0))</f>
        <v>MSID_7431</v>
      </c>
      <c r="D20" s="99" t="str">
        <f>IF($A20="","",VLOOKUP($A20,'Annex 2 Designated EHV charges'!$D:$P,4,0))</f>
        <v>EHV Site Specific (LLFC 777 &amp; 77)</v>
      </c>
      <c r="E20" s="104">
        <f>IFERROR(IF(VLOOKUP($A20,'Annex 2 Designated EHV charges'!$D:$P,10,FALSE)=0,0,VLOOKUP($A20,'Annex 2 Designated EHV charges'!$D:$P,10,FALSE)),"")</f>
        <v>-0.10100000000000001</v>
      </c>
      <c r="F20" s="105">
        <f>IFERROR(IF(VLOOKUP($A20,'Annex 2 Designated EHV charges'!$D:$P,11,FALSE)=0,0,VLOOKUP($A20,'Annex 2 Designated EHV charges'!$D:$P,11,FALSE)),"")</f>
        <v>178.32</v>
      </c>
      <c r="G20" s="106">
        <f>IFERROR(IF(VLOOKUP($A20,'Annex 2 Designated EHV charges'!$D:$P,12,FALSE)=0,0,VLOOKUP($A20,'Annex 2 Designated EHV charges'!$D:$P,12,FALSE)),"")</f>
        <v>0.05</v>
      </c>
      <c r="H20" s="106">
        <f>IFERROR(IF(VLOOKUP($A20,'Annex 2 Designated EHV charges'!$D:$P,13,FALSE)=0,0,VLOOKUP($A20,'Annex 2 Designated EHV charges'!$D:$P,13,FALSE)),"")</f>
        <v>0.05</v>
      </c>
    </row>
    <row r="21" spans="1:8" x14ac:dyDescent="0.2">
      <c r="A21" s="103">
        <v>78</v>
      </c>
      <c r="B21" s="79">
        <f>IF($A21="","",VLOOKUP($A21,'Annex 2 Designated EHV charges'!$D:$P,2,0))</f>
        <v>78</v>
      </c>
      <c r="C21" s="98">
        <f>IF($A21="","",VLOOKUP($A21,'Annex 2 Designated EHV charges'!$D:$P,3,0))</f>
        <v>2300000443825</v>
      </c>
      <c r="D21" s="99" t="str">
        <f>IF($A21="","",VLOOKUP($A21,'Annex 2 Designated EHV charges'!$D:$P,4,0))</f>
        <v>EHV Site Specific (LLFC 778 &amp; 78)</v>
      </c>
      <c r="E21" s="104">
        <f>IFERROR(IF(VLOOKUP($A21,'Annex 2 Designated EHV charges'!$D:$P,10,FALSE)=0,0,VLOOKUP($A21,'Annex 2 Designated EHV charges'!$D:$P,10,FALSE)),"")</f>
        <v>0</v>
      </c>
      <c r="F21" s="105">
        <f>IFERROR(IF(VLOOKUP($A21,'Annex 2 Designated EHV charges'!$D:$P,11,FALSE)=0,0,VLOOKUP($A21,'Annex 2 Designated EHV charges'!$D:$P,11,FALSE)),"")</f>
        <v>1354.6</v>
      </c>
      <c r="G21" s="106">
        <f>IFERROR(IF(VLOOKUP($A21,'Annex 2 Designated EHV charges'!$D:$P,12,FALSE)=0,0,VLOOKUP($A21,'Annex 2 Designated EHV charges'!$D:$P,12,FALSE)),"")</f>
        <v>0.05</v>
      </c>
      <c r="H21" s="106">
        <f>IFERROR(IF(VLOOKUP($A21,'Annex 2 Designated EHV charges'!$D:$P,13,FALSE)=0,0,VLOOKUP($A21,'Annex 2 Designated EHV charges'!$D:$P,13,FALSE)),"")</f>
        <v>0.05</v>
      </c>
    </row>
    <row r="22" spans="1:8" ht="45" x14ac:dyDescent="0.2">
      <c r="A22" s="103">
        <v>83</v>
      </c>
      <c r="B22" s="79">
        <f>IF($A22="","",VLOOKUP($A22,'Annex 2 Designated EHV charges'!$D:$P,2,0))</f>
        <v>83</v>
      </c>
      <c r="C22" s="98" t="str">
        <f>IF($A22="","",VLOOKUP($A22,'Annex 2 Designated EHV charges'!$D:$P,3,0))</f>
        <v>2300000974408
2394000113560
2394000135253</v>
      </c>
      <c r="D22" s="99" t="str">
        <f>IF($A22="","",VLOOKUP($A22,'Annex 2 Designated EHV charges'!$D:$P,4,0))</f>
        <v>EHV Site Specific (LLFC 783 &amp; 83)</v>
      </c>
      <c r="E22" s="104">
        <f>IFERROR(IF(VLOOKUP($A22,'Annex 2 Designated EHV charges'!$D:$P,10,FALSE)=0,0,VLOOKUP($A22,'Annex 2 Designated EHV charges'!$D:$P,10,FALSE)),"")</f>
        <v>0</v>
      </c>
      <c r="F22" s="105">
        <f>IFERROR(IF(VLOOKUP($A22,'Annex 2 Designated EHV charges'!$D:$P,11,FALSE)=0,0,VLOOKUP($A22,'Annex 2 Designated EHV charges'!$D:$P,11,FALSE)),"")</f>
        <v>0</v>
      </c>
      <c r="G22" s="106">
        <f>IFERROR(IF(VLOOKUP($A22,'Annex 2 Designated EHV charges'!$D:$P,12,FALSE)=0,0,VLOOKUP($A22,'Annex 2 Designated EHV charges'!$D:$P,12,FALSE)),"")</f>
        <v>0</v>
      </c>
      <c r="H22" s="106">
        <f>IFERROR(IF(VLOOKUP($A22,'Annex 2 Designated EHV charges'!$D:$P,13,FALSE)=0,0,VLOOKUP($A22,'Annex 2 Designated EHV charges'!$D:$P,13,FALSE)),"")</f>
        <v>0</v>
      </c>
    </row>
    <row r="23" spans="1:8" x14ac:dyDescent="0.2">
      <c r="A23" s="103">
        <v>84</v>
      </c>
      <c r="B23" s="79">
        <f>IF($A23="","",VLOOKUP($A23,'Annex 2 Designated EHV charges'!$D:$P,2,0))</f>
        <v>84</v>
      </c>
      <c r="C23" s="98">
        <f>IF($A23="","",VLOOKUP($A23,'Annex 2 Designated EHV charges'!$D:$P,3,0))</f>
        <v>2300001007256</v>
      </c>
      <c r="D23" s="99" t="str">
        <f>IF($A23="","",VLOOKUP($A23,'Annex 2 Designated EHV charges'!$D:$P,4,0))</f>
        <v>EHV Site Specific (LLFC 784 &amp; 84)</v>
      </c>
      <c r="E23" s="104">
        <f>IFERROR(IF(VLOOKUP($A23,'Annex 2 Designated EHV charges'!$D:$P,10,FALSE)=0,0,VLOOKUP($A23,'Annex 2 Designated EHV charges'!$D:$P,10,FALSE)),"")</f>
        <v>0</v>
      </c>
      <c r="F23" s="105">
        <f>IFERROR(IF(VLOOKUP($A23,'Annex 2 Designated EHV charges'!$D:$P,11,FALSE)=0,0,VLOOKUP($A23,'Annex 2 Designated EHV charges'!$D:$P,11,FALSE)),"")</f>
        <v>0</v>
      </c>
      <c r="G23" s="106">
        <f>IFERROR(IF(VLOOKUP($A23,'Annex 2 Designated EHV charges'!$D:$P,12,FALSE)=0,0,VLOOKUP($A23,'Annex 2 Designated EHV charges'!$D:$P,12,FALSE)),"")</f>
        <v>0</v>
      </c>
      <c r="H23" s="106">
        <f>IFERROR(IF(VLOOKUP($A23,'Annex 2 Designated EHV charges'!$D:$P,13,FALSE)=0,0,VLOOKUP($A23,'Annex 2 Designated EHV charges'!$D:$P,13,FALSE)),"")</f>
        <v>0</v>
      </c>
    </row>
    <row r="24" spans="1:8" x14ac:dyDescent="0.2">
      <c r="A24" s="103">
        <v>85</v>
      </c>
      <c r="B24" s="79">
        <f>IF($A24="","",VLOOKUP($A24,'Annex 2 Designated EHV charges'!$D:$P,2,0))</f>
        <v>85</v>
      </c>
      <c r="C24" s="98">
        <f>IF($A24="","",VLOOKUP($A24,'Annex 2 Designated EHV charges'!$D:$P,3,0))</f>
        <v>2394000011646</v>
      </c>
      <c r="D24" s="99" t="str">
        <f>IF($A24="","",VLOOKUP($A24,'Annex 2 Designated EHV charges'!$D:$P,4,0))</f>
        <v>EHV Site Specific (LLFC 785 &amp; 85)</v>
      </c>
      <c r="E24" s="104">
        <f>IFERROR(IF(VLOOKUP($A24,'Annex 2 Designated EHV charges'!$D:$P,10,FALSE)=0,0,VLOOKUP($A24,'Annex 2 Designated EHV charges'!$D:$P,10,FALSE)),"")</f>
        <v>0</v>
      </c>
      <c r="F24" s="105">
        <f>IFERROR(IF(VLOOKUP($A24,'Annex 2 Designated EHV charges'!$D:$P,11,FALSE)=0,0,VLOOKUP($A24,'Annex 2 Designated EHV charges'!$D:$P,11,FALSE)),"")</f>
        <v>0</v>
      </c>
      <c r="G24" s="106">
        <f>IFERROR(IF(VLOOKUP($A24,'Annex 2 Designated EHV charges'!$D:$P,12,FALSE)=0,0,VLOOKUP($A24,'Annex 2 Designated EHV charges'!$D:$P,12,FALSE)),"")</f>
        <v>0</v>
      </c>
      <c r="H24" s="106">
        <f>IFERROR(IF(VLOOKUP($A24,'Annex 2 Designated EHV charges'!$D:$P,13,FALSE)=0,0,VLOOKUP($A24,'Annex 2 Designated EHV charges'!$D:$P,13,FALSE)),"")</f>
        <v>0</v>
      </c>
    </row>
    <row r="25" spans="1:8" ht="30" x14ac:dyDescent="0.2">
      <c r="A25" s="103">
        <v>86</v>
      </c>
      <c r="B25" s="79">
        <f>IF($A25="","",VLOOKUP($A25,'Annex 2 Designated EHV charges'!$D:$P,2,0))</f>
        <v>86</v>
      </c>
      <c r="C25" s="98" t="str">
        <f>IF($A25="","",VLOOKUP($A25,'Annex 2 Designated EHV charges'!$D:$P,3,0))</f>
        <v>2391100013704
2394000011502</v>
      </c>
      <c r="D25" s="99" t="str">
        <f>IF($A25="","",VLOOKUP($A25,'Annex 2 Designated EHV charges'!$D:$P,4,0))</f>
        <v>EHV Site Specific (LLFC 786 &amp; 86)</v>
      </c>
      <c r="E25" s="104">
        <f>IFERROR(IF(VLOOKUP($A25,'Annex 2 Designated EHV charges'!$D:$P,10,FALSE)=0,0,VLOOKUP($A25,'Annex 2 Designated EHV charges'!$D:$P,10,FALSE)),"")</f>
        <v>0</v>
      </c>
      <c r="F25" s="105">
        <f>IFERROR(IF(VLOOKUP($A25,'Annex 2 Designated EHV charges'!$D:$P,11,FALSE)=0,0,VLOOKUP($A25,'Annex 2 Designated EHV charges'!$D:$P,11,FALSE)),"")</f>
        <v>0</v>
      </c>
      <c r="G25" s="106">
        <f>IFERROR(IF(VLOOKUP($A25,'Annex 2 Designated EHV charges'!$D:$P,12,FALSE)=0,0,VLOOKUP($A25,'Annex 2 Designated EHV charges'!$D:$P,12,FALSE)),"")</f>
        <v>0</v>
      </c>
      <c r="H25" s="106">
        <f>IFERROR(IF(VLOOKUP($A25,'Annex 2 Designated EHV charges'!$D:$P,13,FALSE)=0,0,VLOOKUP($A25,'Annex 2 Designated EHV charges'!$D:$P,13,FALSE)),"")</f>
        <v>0</v>
      </c>
    </row>
    <row r="26" spans="1:8" ht="30" x14ac:dyDescent="0.2">
      <c r="A26" s="103">
        <v>129</v>
      </c>
      <c r="B26" s="79">
        <f>IF($A26="","",VLOOKUP($A26,'Annex 2 Designated EHV charges'!$D:$P,2,0))</f>
        <v>129</v>
      </c>
      <c r="C26" s="98" t="str">
        <f>IF($A26="","",VLOOKUP($A26,'Annex 2 Designated EHV charges'!$D:$P,3,0))</f>
        <v>2394000134454
2394000134463</v>
      </c>
      <c r="D26" s="99" t="str">
        <f>IF($A26="","",VLOOKUP($A26,'Annex 2 Designated EHV charges'!$D:$P,4,0))</f>
        <v>EHV Site Specific (LLFC 787 &amp; 129)</v>
      </c>
      <c r="E26" s="104">
        <f>IFERROR(IF(VLOOKUP($A26,'Annex 2 Designated EHV charges'!$D:$P,10,FALSE)=0,0,VLOOKUP($A26,'Annex 2 Designated EHV charges'!$D:$P,10,FALSE)),"")</f>
        <v>0</v>
      </c>
      <c r="F26" s="105">
        <f>IFERROR(IF(VLOOKUP($A26,'Annex 2 Designated EHV charges'!$D:$P,11,FALSE)=0,0,VLOOKUP($A26,'Annex 2 Designated EHV charges'!$D:$P,11,FALSE)),"")</f>
        <v>249.99</v>
      </c>
      <c r="G26" s="106">
        <f>IFERROR(IF(VLOOKUP($A26,'Annex 2 Designated EHV charges'!$D:$P,12,FALSE)=0,0,VLOOKUP($A26,'Annex 2 Designated EHV charges'!$D:$P,12,FALSE)),"")</f>
        <v>0.05</v>
      </c>
      <c r="H26" s="106">
        <f>IFERROR(IF(VLOOKUP($A26,'Annex 2 Designated EHV charges'!$D:$P,13,FALSE)=0,0,VLOOKUP($A26,'Annex 2 Designated EHV charges'!$D:$P,13,FALSE)),"")</f>
        <v>0.05</v>
      </c>
    </row>
    <row r="27" spans="1:8" x14ac:dyDescent="0.2">
      <c r="A27" s="103">
        <v>88</v>
      </c>
      <c r="B27" s="79">
        <f>IF($A27="","",VLOOKUP($A27,'Annex 2 Designated EHV charges'!$D:$P,2,0))</f>
        <v>88</v>
      </c>
      <c r="C27" s="98">
        <f>IF($A27="","",VLOOKUP($A27,'Annex 2 Designated EHV charges'!$D:$P,3,0))</f>
        <v>2394000027673</v>
      </c>
      <c r="D27" s="99" t="str">
        <f>IF($A27="","",VLOOKUP($A27,'Annex 2 Designated EHV charges'!$D:$P,4,0))</f>
        <v>EHV Site Specific (LLFC 788 &amp; 88)</v>
      </c>
      <c r="E27" s="104">
        <f>IFERROR(IF(VLOOKUP($A27,'Annex 2 Designated EHV charges'!$D:$P,10,FALSE)=0,0,VLOOKUP($A27,'Annex 2 Designated EHV charges'!$D:$P,10,FALSE)),"")</f>
        <v>-0.33200000000000002</v>
      </c>
      <c r="F27" s="105">
        <f>IFERROR(IF(VLOOKUP($A27,'Annex 2 Designated EHV charges'!$D:$P,11,FALSE)=0,0,VLOOKUP($A27,'Annex 2 Designated EHV charges'!$D:$P,11,FALSE)),"")</f>
        <v>854.62</v>
      </c>
      <c r="G27" s="106">
        <f>IFERROR(IF(VLOOKUP($A27,'Annex 2 Designated EHV charges'!$D:$P,12,FALSE)=0,0,VLOOKUP($A27,'Annex 2 Designated EHV charges'!$D:$P,12,FALSE)),"")</f>
        <v>0.05</v>
      </c>
      <c r="H27" s="106">
        <f>IFERROR(IF(VLOOKUP($A27,'Annex 2 Designated EHV charges'!$D:$P,13,FALSE)=0,0,VLOOKUP($A27,'Annex 2 Designated EHV charges'!$D:$P,13,FALSE)),"")</f>
        <v>0.05</v>
      </c>
    </row>
    <row r="28" spans="1:8" ht="30" x14ac:dyDescent="0.2">
      <c r="A28" s="103">
        <v>89</v>
      </c>
      <c r="B28" s="79">
        <f>IF($A28="","",VLOOKUP($A28,'Annex 2 Designated EHV charges'!$D:$P,2,0))</f>
        <v>89</v>
      </c>
      <c r="C28" s="98" t="str">
        <f>IF($A28="","",VLOOKUP($A28,'Annex 2 Designated EHV charges'!$D:$P,3,0))</f>
        <v>2394000043364
2394000138110</v>
      </c>
      <c r="D28" s="99" t="str">
        <f>IF($A28="","",VLOOKUP($A28,'Annex 2 Designated EHV charges'!$D:$P,4,0))</f>
        <v>EHV Site Specific (LLFC 789 &amp; 89)</v>
      </c>
      <c r="E28" s="104">
        <f>IFERROR(IF(VLOOKUP($A28,'Annex 2 Designated EHV charges'!$D:$P,10,FALSE)=0,0,VLOOKUP($A28,'Annex 2 Designated EHV charges'!$D:$P,10,FALSE)),"")</f>
        <v>-0.17499999999999999</v>
      </c>
      <c r="F28" s="105">
        <f>IFERROR(IF(VLOOKUP($A28,'Annex 2 Designated EHV charges'!$D:$P,11,FALSE)=0,0,VLOOKUP($A28,'Annex 2 Designated EHV charges'!$D:$P,11,FALSE)),"")</f>
        <v>866.11</v>
      </c>
      <c r="G28" s="106">
        <f>IFERROR(IF(VLOOKUP($A28,'Annex 2 Designated EHV charges'!$D:$P,12,FALSE)=0,0,VLOOKUP($A28,'Annex 2 Designated EHV charges'!$D:$P,12,FALSE)),"")</f>
        <v>0.05</v>
      </c>
      <c r="H28" s="106">
        <f>IFERROR(IF(VLOOKUP($A28,'Annex 2 Designated EHV charges'!$D:$P,13,FALSE)=0,0,VLOOKUP($A28,'Annex 2 Designated EHV charges'!$D:$P,13,FALSE)),"")</f>
        <v>0.05</v>
      </c>
    </row>
    <row r="29" spans="1:8" x14ac:dyDescent="0.2">
      <c r="A29" s="103">
        <v>94</v>
      </c>
      <c r="B29" s="79">
        <f>IF($A29="","",VLOOKUP($A29,'Annex 2 Designated EHV charges'!$D:$P,2,0))</f>
        <v>94</v>
      </c>
      <c r="C29" s="98">
        <f>IF($A29="","",VLOOKUP($A29,'Annex 2 Designated EHV charges'!$D:$P,3,0))</f>
        <v>2394000056790</v>
      </c>
      <c r="D29" s="99" t="str">
        <f>IF($A29="","",VLOOKUP($A29,'Annex 2 Designated EHV charges'!$D:$P,4,0))</f>
        <v>EHV Site Specific (LLFC 790 &amp; 94)</v>
      </c>
      <c r="E29" s="104">
        <f>IFERROR(IF(VLOOKUP($A29,'Annex 2 Designated EHV charges'!$D:$P,10,FALSE)=0,0,VLOOKUP($A29,'Annex 2 Designated EHV charges'!$D:$P,10,FALSE)),"")</f>
        <v>0</v>
      </c>
      <c r="F29" s="105">
        <f>IFERROR(IF(VLOOKUP($A29,'Annex 2 Designated EHV charges'!$D:$P,11,FALSE)=0,0,VLOOKUP($A29,'Annex 2 Designated EHV charges'!$D:$P,11,FALSE)),"")</f>
        <v>1601.1</v>
      </c>
      <c r="G29" s="106">
        <f>IFERROR(IF(VLOOKUP($A29,'Annex 2 Designated EHV charges'!$D:$P,12,FALSE)=0,0,VLOOKUP($A29,'Annex 2 Designated EHV charges'!$D:$P,12,FALSE)),"")</f>
        <v>0.05</v>
      </c>
      <c r="H29" s="106">
        <f>IFERROR(IF(VLOOKUP($A29,'Annex 2 Designated EHV charges'!$D:$P,13,FALSE)=0,0,VLOOKUP($A29,'Annex 2 Designated EHV charges'!$D:$P,13,FALSE)),"")</f>
        <v>0.05</v>
      </c>
    </row>
    <row r="30" spans="1:8" x14ac:dyDescent="0.2">
      <c r="A30" s="103">
        <v>93</v>
      </c>
      <c r="B30" s="79">
        <f>IF($A30="","",VLOOKUP($A30,'Annex 2 Designated EHV charges'!$D:$P,2,0))</f>
        <v>93</v>
      </c>
      <c r="C30" s="98">
        <f>IF($A30="","",VLOOKUP($A30,'Annex 2 Designated EHV charges'!$D:$P,3,0))</f>
        <v>2394000058333</v>
      </c>
      <c r="D30" s="99" t="str">
        <f>IF($A30="","",VLOOKUP($A30,'Annex 2 Designated EHV charges'!$D:$P,4,0))</f>
        <v>EHV Site Specific (LLFC 791 &amp; 93)</v>
      </c>
      <c r="E30" s="104">
        <f>IFERROR(IF(VLOOKUP($A30,'Annex 2 Designated EHV charges'!$D:$P,10,FALSE)=0,0,VLOOKUP($A30,'Annex 2 Designated EHV charges'!$D:$P,10,FALSE)),"")</f>
        <v>-0.105</v>
      </c>
      <c r="F30" s="105">
        <f>IFERROR(IF(VLOOKUP($A30,'Annex 2 Designated EHV charges'!$D:$P,11,FALSE)=0,0,VLOOKUP($A30,'Annex 2 Designated EHV charges'!$D:$P,11,FALSE)),"")</f>
        <v>180.88</v>
      </c>
      <c r="G30" s="106">
        <f>IFERROR(IF(VLOOKUP($A30,'Annex 2 Designated EHV charges'!$D:$P,12,FALSE)=0,0,VLOOKUP($A30,'Annex 2 Designated EHV charges'!$D:$P,12,FALSE)),"")</f>
        <v>0.05</v>
      </c>
      <c r="H30" s="106">
        <f>IFERROR(IF(VLOOKUP($A30,'Annex 2 Designated EHV charges'!$D:$P,13,FALSE)=0,0,VLOOKUP($A30,'Annex 2 Designated EHV charges'!$D:$P,13,FALSE)),"")</f>
        <v>0.05</v>
      </c>
    </row>
    <row r="31" spans="1:8" ht="45" x14ac:dyDescent="0.2">
      <c r="A31" s="103">
        <v>91</v>
      </c>
      <c r="B31" s="79">
        <f>IF($A31="","",VLOOKUP($A31,'Annex 2 Designated EHV charges'!$D:$P,2,0))</f>
        <v>91</v>
      </c>
      <c r="C31" s="98" t="str">
        <f>IF($A31="","",VLOOKUP($A31,'Annex 2 Designated EHV charges'!$D:$P,3,0))</f>
        <v>2394000047581
2394000047590
2394000047606</v>
      </c>
      <c r="D31" s="99" t="str">
        <f>IF($A31="","",VLOOKUP($A31,'Annex 2 Designated EHV charges'!$D:$P,4,0))</f>
        <v>EHV Site Specific (LLFC 793 &amp; 91)</v>
      </c>
      <c r="E31" s="104">
        <f>IFERROR(IF(VLOOKUP($A31,'Annex 2 Designated EHV charges'!$D:$P,10,FALSE)=0,0,VLOOKUP($A31,'Annex 2 Designated EHV charges'!$D:$P,10,FALSE)),"")</f>
        <v>0</v>
      </c>
      <c r="F31" s="105">
        <f>IFERROR(IF(VLOOKUP($A31,'Annex 2 Designated EHV charges'!$D:$P,11,FALSE)=0,0,VLOOKUP($A31,'Annex 2 Designated EHV charges'!$D:$P,11,FALSE)),"")</f>
        <v>1951.69</v>
      </c>
      <c r="G31" s="106">
        <f>IFERROR(IF(VLOOKUP($A31,'Annex 2 Designated EHV charges'!$D:$P,12,FALSE)=0,0,VLOOKUP($A31,'Annex 2 Designated EHV charges'!$D:$P,12,FALSE)),"")</f>
        <v>0.05</v>
      </c>
      <c r="H31" s="106">
        <f>IFERROR(IF(VLOOKUP($A31,'Annex 2 Designated EHV charges'!$D:$P,13,FALSE)=0,0,VLOOKUP($A31,'Annex 2 Designated EHV charges'!$D:$P,13,FALSE)),"")</f>
        <v>0.05</v>
      </c>
    </row>
    <row r="32" spans="1:8" x14ac:dyDescent="0.2">
      <c r="A32" s="103">
        <v>97</v>
      </c>
      <c r="B32" s="79">
        <f>IF($A32="","",VLOOKUP($A32,'Annex 2 Designated EHV charges'!$D:$P,2,0))</f>
        <v>97</v>
      </c>
      <c r="C32" s="98">
        <f>IF($A32="","",VLOOKUP($A32,'Annex 2 Designated EHV charges'!$D:$P,3,0))</f>
        <v>2394000055174</v>
      </c>
      <c r="D32" s="99" t="str">
        <f>IF($A32="","",VLOOKUP($A32,'Annex 2 Designated EHV charges'!$D:$P,4,0))</f>
        <v>EHV Site Specific (LLFC 794 &amp; 97)</v>
      </c>
      <c r="E32" s="104">
        <f>IFERROR(IF(VLOOKUP($A32,'Annex 2 Designated EHV charges'!$D:$P,10,FALSE)=0,0,VLOOKUP($A32,'Annex 2 Designated EHV charges'!$D:$P,10,FALSE)),"")</f>
        <v>0</v>
      </c>
      <c r="F32" s="105">
        <f>IFERROR(IF(VLOOKUP($A32,'Annex 2 Designated EHV charges'!$D:$P,11,FALSE)=0,0,VLOOKUP($A32,'Annex 2 Designated EHV charges'!$D:$P,11,FALSE)),"")</f>
        <v>12336.31</v>
      </c>
      <c r="G32" s="106">
        <f>IFERROR(IF(VLOOKUP($A32,'Annex 2 Designated EHV charges'!$D:$P,12,FALSE)=0,0,VLOOKUP($A32,'Annex 2 Designated EHV charges'!$D:$P,12,FALSE)),"")</f>
        <v>0.05</v>
      </c>
      <c r="H32" s="106">
        <f>IFERROR(IF(VLOOKUP($A32,'Annex 2 Designated EHV charges'!$D:$P,13,FALSE)=0,0,VLOOKUP($A32,'Annex 2 Designated EHV charges'!$D:$P,13,FALSE)),"")</f>
        <v>0.05</v>
      </c>
    </row>
    <row r="33" spans="1:8" x14ac:dyDescent="0.2">
      <c r="A33" s="103">
        <v>98</v>
      </c>
      <c r="B33" s="79">
        <f>IF($A33="","",VLOOKUP($A33,'Annex 2 Designated EHV charges'!$D:$P,2,0))</f>
        <v>98</v>
      </c>
      <c r="C33" s="98">
        <f>IF($A33="","",VLOOKUP($A33,'Annex 2 Designated EHV charges'!$D:$P,3,0))</f>
        <v>2394000072198</v>
      </c>
      <c r="D33" s="99" t="str">
        <f>IF($A33="","",VLOOKUP($A33,'Annex 2 Designated EHV charges'!$D:$P,4,0))</f>
        <v>EHV Site Specific (LLFC 796 &amp; 98)</v>
      </c>
      <c r="E33" s="104">
        <f>IFERROR(IF(VLOOKUP($A33,'Annex 2 Designated EHV charges'!$D:$P,10,FALSE)=0,0,VLOOKUP($A33,'Annex 2 Designated EHV charges'!$D:$P,10,FALSE)),"")</f>
        <v>0</v>
      </c>
      <c r="F33" s="105">
        <f>IFERROR(IF(VLOOKUP($A33,'Annex 2 Designated EHV charges'!$D:$P,11,FALSE)=0,0,VLOOKUP($A33,'Annex 2 Designated EHV charges'!$D:$P,11,FALSE)),"")</f>
        <v>5377.15</v>
      </c>
      <c r="G33" s="106">
        <f>IFERROR(IF(VLOOKUP($A33,'Annex 2 Designated EHV charges'!$D:$P,12,FALSE)=0,0,VLOOKUP($A33,'Annex 2 Designated EHV charges'!$D:$P,12,FALSE)),"")</f>
        <v>0.05</v>
      </c>
      <c r="H33" s="106">
        <f>IFERROR(IF(VLOOKUP($A33,'Annex 2 Designated EHV charges'!$D:$P,13,FALSE)=0,0,VLOOKUP($A33,'Annex 2 Designated EHV charges'!$D:$P,13,FALSE)),"")</f>
        <v>0.05</v>
      </c>
    </row>
    <row r="34" spans="1:8" x14ac:dyDescent="0.2">
      <c r="A34" s="103">
        <v>34</v>
      </c>
      <c r="B34" s="79">
        <f>IF($A34="","",VLOOKUP($A34,'Annex 2 Designated EHV charges'!$D:$P,2,0))</f>
        <v>34</v>
      </c>
      <c r="C34" s="98">
        <f>IF($A34="","",VLOOKUP($A34,'Annex 2 Designated EHV charges'!$D:$P,3,0))</f>
        <v>2394000106234</v>
      </c>
      <c r="D34" s="99" t="str">
        <f>IF($A34="","",VLOOKUP($A34,'Annex 2 Designated EHV charges'!$D:$P,4,0))</f>
        <v>EHV Site Specific (LLFC 837 &amp; 34)</v>
      </c>
      <c r="E34" s="104">
        <f>IFERROR(IF(VLOOKUP($A34,'Annex 2 Designated EHV charges'!$D:$P,10,FALSE)=0,0,VLOOKUP($A34,'Annex 2 Designated EHV charges'!$D:$P,10,FALSE)),"")</f>
        <v>-0.158</v>
      </c>
      <c r="F34" s="105">
        <f>IFERROR(IF(VLOOKUP($A34,'Annex 2 Designated EHV charges'!$D:$P,11,FALSE)=0,0,VLOOKUP($A34,'Annex 2 Designated EHV charges'!$D:$P,11,FALSE)),"")</f>
        <v>56.92</v>
      </c>
      <c r="G34" s="106">
        <f>IFERROR(IF(VLOOKUP($A34,'Annex 2 Designated EHV charges'!$D:$P,12,FALSE)=0,0,VLOOKUP($A34,'Annex 2 Designated EHV charges'!$D:$P,12,FALSE)),"")</f>
        <v>0.05</v>
      </c>
      <c r="H34" s="106">
        <f>IFERROR(IF(VLOOKUP($A34,'Annex 2 Designated EHV charges'!$D:$P,13,FALSE)=0,0,VLOOKUP($A34,'Annex 2 Designated EHV charges'!$D:$P,13,FALSE)),"")</f>
        <v>0.05</v>
      </c>
    </row>
    <row r="35" spans="1:8" x14ac:dyDescent="0.2">
      <c r="A35" s="103">
        <v>68</v>
      </c>
      <c r="B35" s="79">
        <f>IF($A35="","",VLOOKUP($A35,'Annex 2 Designated EHV charges'!$D:$P,2,0))</f>
        <v>68</v>
      </c>
      <c r="C35" s="98">
        <f>IF($A35="","",VLOOKUP($A35,'Annex 2 Designated EHV charges'!$D:$P,3,0))</f>
        <v>2300000233898</v>
      </c>
      <c r="D35" s="99" t="str">
        <f>IF($A35="","",VLOOKUP($A35,'Annex 2 Designated EHV charges'!$D:$P,4,0))</f>
        <v>EHV Site Specific (LLFC 839 &amp; 68)</v>
      </c>
      <c r="E35" s="104">
        <f>IFERROR(IF(VLOOKUP($A35,'Annex 2 Designated EHV charges'!$D:$P,10,FALSE)=0,0,VLOOKUP($A35,'Annex 2 Designated EHV charges'!$D:$P,10,FALSE)),"")</f>
        <v>-1E-3</v>
      </c>
      <c r="F35" s="105">
        <f>IFERROR(IF(VLOOKUP($A35,'Annex 2 Designated EHV charges'!$D:$P,11,FALSE)=0,0,VLOOKUP($A35,'Annex 2 Designated EHV charges'!$D:$P,11,FALSE)),"")</f>
        <v>40.93</v>
      </c>
      <c r="G35" s="106">
        <f>IFERROR(IF(VLOOKUP($A35,'Annex 2 Designated EHV charges'!$D:$P,12,FALSE)=0,0,VLOOKUP($A35,'Annex 2 Designated EHV charges'!$D:$P,12,FALSE)),"")</f>
        <v>0.05</v>
      </c>
      <c r="H35" s="106">
        <f>IFERROR(IF(VLOOKUP($A35,'Annex 2 Designated EHV charges'!$D:$P,13,FALSE)=0,0,VLOOKUP($A35,'Annex 2 Designated EHV charges'!$D:$P,13,FALSE)),"")</f>
        <v>0.05</v>
      </c>
    </row>
    <row r="36" spans="1:8" x14ac:dyDescent="0.2">
      <c r="A36" s="103">
        <v>71</v>
      </c>
      <c r="B36" s="79">
        <f>IF($A36="","",VLOOKUP($A36,'Annex 2 Designated EHV charges'!$D:$P,2,0))</f>
        <v>71</v>
      </c>
      <c r="C36" s="98">
        <f>IF($A36="","",VLOOKUP($A36,'Annex 2 Designated EHV charges'!$D:$P,3,0))</f>
        <v>2394000016040</v>
      </c>
      <c r="D36" s="99" t="str">
        <f>IF($A36="","",VLOOKUP($A36,'Annex 2 Designated EHV charges'!$D:$P,4,0))</f>
        <v>EHV Site Specific (LLFC 852 &amp; 71)</v>
      </c>
      <c r="E36" s="104">
        <f>IFERROR(IF(VLOOKUP($A36,'Annex 2 Designated EHV charges'!$D:$P,10,FALSE)=0,0,VLOOKUP($A36,'Annex 2 Designated EHV charges'!$D:$P,10,FALSE)),"")</f>
        <v>-6.0000000000000001E-3</v>
      </c>
      <c r="F36" s="105">
        <f>IFERROR(IF(VLOOKUP($A36,'Annex 2 Designated EHV charges'!$D:$P,11,FALSE)=0,0,VLOOKUP($A36,'Annex 2 Designated EHV charges'!$D:$P,11,FALSE)),"")</f>
        <v>66.739999999999995</v>
      </c>
      <c r="G36" s="106">
        <f>IFERROR(IF(VLOOKUP($A36,'Annex 2 Designated EHV charges'!$D:$P,12,FALSE)=0,0,VLOOKUP($A36,'Annex 2 Designated EHV charges'!$D:$P,12,FALSE)),"")</f>
        <v>0.05</v>
      </c>
      <c r="H36" s="106">
        <f>IFERROR(IF(VLOOKUP($A36,'Annex 2 Designated EHV charges'!$D:$P,13,FALSE)=0,0,VLOOKUP($A36,'Annex 2 Designated EHV charges'!$D:$P,13,FALSE)),"")</f>
        <v>0.05</v>
      </c>
    </row>
    <row r="37" spans="1:8" x14ac:dyDescent="0.2">
      <c r="A37" s="103">
        <v>72</v>
      </c>
      <c r="B37" s="79">
        <f>IF($A37="","",VLOOKUP($A37,'Annex 2 Designated EHV charges'!$D:$P,2,0))</f>
        <v>72</v>
      </c>
      <c r="C37" s="98">
        <f>IF($A37="","",VLOOKUP($A37,'Annex 2 Designated EHV charges'!$D:$P,3,0))</f>
        <v>2394000022132</v>
      </c>
      <c r="D37" s="99" t="str">
        <f>IF($A37="","",VLOOKUP($A37,'Annex 2 Designated EHV charges'!$D:$P,4,0))</f>
        <v>EHV Site Specific (LLFC 854 &amp; 72)</v>
      </c>
      <c r="E37" s="104">
        <f>IFERROR(IF(VLOOKUP($A37,'Annex 2 Designated EHV charges'!$D:$P,10,FALSE)=0,0,VLOOKUP($A37,'Annex 2 Designated EHV charges'!$D:$P,10,FALSE)),"")</f>
        <v>-6.0000000000000001E-3</v>
      </c>
      <c r="F37" s="105">
        <f>IFERROR(IF(VLOOKUP($A37,'Annex 2 Designated EHV charges'!$D:$P,11,FALSE)=0,0,VLOOKUP($A37,'Annex 2 Designated EHV charges'!$D:$P,11,FALSE)),"")</f>
        <v>69.069999999999993</v>
      </c>
      <c r="G37" s="106">
        <f>IFERROR(IF(VLOOKUP($A37,'Annex 2 Designated EHV charges'!$D:$P,12,FALSE)=0,0,VLOOKUP($A37,'Annex 2 Designated EHV charges'!$D:$P,12,FALSE)),"")</f>
        <v>0.05</v>
      </c>
      <c r="H37" s="106">
        <f>IFERROR(IF(VLOOKUP($A37,'Annex 2 Designated EHV charges'!$D:$P,13,FALSE)=0,0,VLOOKUP($A37,'Annex 2 Designated EHV charges'!$D:$P,13,FALSE)),"")</f>
        <v>0.05</v>
      </c>
    </row>
    <row r="38" spans="1:8" ht="30" x14ac:dyDescent="0.2">
      <c r="A38" s="103">
        <v>36</v>
      </c>
      <c r="B38" s="79">
        <f>IF($A38="","",VLOOKUP($A38,'Annex 2 Designated EHV charges'!$D:$P,2,0))</f>
        <v>36</v>
      </c>
      <c r="C38" s="98" t="str">
        <f>IF($A38="","",VLOOKUP($A38,'Annex 2 Designated EHV charges'!$D:$P,3,0))</f>
        <v>2394000129436
2394000132527</v>
      </c>
      <c r="D38" s="99" t="str">
        <f>IF($A38="","",VLOOKUP($A38,'Annex 2 Designated EHV charges'!$D:$P,4,0))</f>
        <v>EHV Site Specific (LLFC 870 &amp; 36)</v>
      </c>
      <c r="E38" s="104">
        <f>IFERROR(IF(VLOOKUP($A38,'Annex 2 Designated EHV charges'!$D:$P,10,FALSE)=0,0,VLOOKUP($A38,'Annex 2 Designated EHV charges'!$D:$P,10,FALSE)),"")</f>
        <v>-1.6E-2</v>
      </c>
      <c r="F38" s="105">
        <f>IFERROR(IF(VLOOKUP($A38,'Annex 2 Designated EHV charges'!$D:$P,11,FALSE)=0,0,VLOOKUP($A38,'Annex 2 Designated EHV charges'!$D:$P,11,FALSE)),"")</f>
        <v>168.49</v>
      </c>
      <c r="G38" s="106">
        <f>IFERROR(IF(VLOOKUP($A38,'Annex 2 Designated EHV charges'!$D:$P,12,FALSE)=0,0,VLOOKUP($A38,'Annex 2 Designated EHV charges'!$D:$P,12,FALSE)),"")</f>
        <v>0.05</v>
      </c>
      <c r="H38" s="106">
        <f>IFERROR(IF(VLOOKUP($A38,'Annex 2 Designated EHV charges'!$D:$P,13,FALSE)=0,0,VLOOKUP($A38,'Annex 2 Designated EHV charges'!$D:$P,13,FALSE)),"")</f>
        <v>0.05</v>
      </c>
    </row>
    <row r="39" spans="1:8" x14ac:dyDescent="0.2">
      <c r="A39" s="103">
        <v>32</v>
      </c>
      <c r="B39" s="79">
        <f>IF($A39="","",VLOOKUP($A39,'Annex 2 Designated EHV charges'!$D:$P,2,0))</f>
        <v>32</v>
      </c>
      <c r="C39" s="98">
        <f>IF($A39="","",VLOOKUP($A39,'Annex 2 Designated EHV charges'!$D:$P,3,0))</f>
        <v>2300000542819</v>
      </c>
      <c r="D39" s="99" t="str">
        <f>IF($A39="","",VLOOKUP($A39,'Annex 2 Designated EHV charges'!$D:$P,4,0))</f>
        <v>EHV Site Specific (LLFC 874 &amp; 32)</v>
      </c>
      <c r="E39" s="104">
        <f>IFERROR(IF(VLOOKUP($A39,'Annex 2 Designated EHV charges'!$D:$P,10,FALSE)=0,0,VLOOKUP($A39,'Annex 2 Designated EHV charges'!$D:$P,10,FALSE)),"")</f>
        <v>0</v>
      </c>
      <c r="F39" s="105">
        <f>IFERROR(IF(VLOOKUP($A39,'Annex 2 Designated EHV charges'!$D:$P,11,FALSE)=0,0,VLOOKUP($A39,'Annex 2 Designated EHV charges'!$D:$P,11,FALSE)),"")</f>
        <v>68.13</v>
      </c>
      <c r="G39" s="106">
        <f>IFERROR(IF(VLOOKUP($A39,'Annex 2 Designated EHV charges'!$D:$P,12,FALSE)=0,0,VLOOKUP($A39,'Annex 2 Designated EHV charges'!$D:$P,12,FALSE)),"")</f>
        <v>0.05</v>
      </c>
      <c r="H39" s="106">
        <f>IFERROR(IF(VLOOKUP($A39,'Annex 2 Designated EHV charges'!$D:$P,13,FALSE)=0,0,VLOOKUP($A39,'Annex 2 Designated EHV charges'!$D:$P,13,FALSE)),"")</f>
        <v>0.05</v>
      </c>
    </row>
    <row r="40" spans="1:8" x14ac:dyDescent="0.2">
      <c r="A40" s="103">
        <v>69</v>
      </c>
      <c r="B40" s="79">
        <f>IF($A40="","",VLOOKUP($A40,'Annex 2 Designated EHV charges'!$D:$P,2,0))</f>
        <v>69</v>
      </c>
      <c r="C40" s="98">
        <f>IF($A40="","",VLOOKUP($A40,'Annex 2 Designated EHV charges'!$D:$P,3,0))</f>
        <v>2300000930377</v>
      </c>
      <c r="D40" s="99" t="str">
        <f>IF($A40="","",VLOOKUP($A40,'Annex 2 Designated EHV charges'!$D:$P,4,0))</f>
        <v>EHV Site Specific (LLFC 882 &amp; 69)</v>
      </c>
      <c r="E40" s="104">
        <f>IFERROR(IF(VLOOKUP($A40,'Annex 2 Designated EHV charges'!$D:$P,10,FALSE)=0,0,VLOOKUP($A40,'Annex 2 Designated EHV charges'!$D:$P,10,FALSE)),"")</f>
        <v>-0.65300000000000002</v>
      </c>
      <c r="F40" s="105">
        <f>IFERROR(IF(VLOOKUP($A40,'Annex 2 Designated EHV charges'!$D:$P,11,FALSE)=0,0,VLOOKUP($A40,'Annex 2 Designated EHV charges'!$D:$P,11,FALSE)),"")</f>
        <v>2128.7600000000002</v>
      </c>
      <c r="G40" s="106">
        <f>IFERROR(IF(VLOOKUP($A40,'Annex 2 Designated EHV charges'!$D:$P,12,FALSE)=0,0,VLOOKUP($A40,'Annex 2 Designated EHV charges'!$D:$P,12,FALSE)),"")</f>
        <v>0.05</v>
      </c>
      <c r="H40" s="106">
        <f>IFERROR(IF(VLOOKUP($A40,'Annex 2 Designated EHV charges'!$D:$P,13,FALSE)=0,0,VLOOKUP($A40,'Annex 2 Designated EHV charges'!$D:$P,13,FALSE)),"")</f>
        <v>0.05</v>
      </c>
    </row>
    <row r="41" spans="1:8" x14ac:dyDescent="0.2">
      <c r="A41" s="103">
        <v>99</v>
      </c>
      <c r="B41" s="79">
        <f>IF($A41="","",VLOOKUP($A41,'Annex 2 Designated EHV charges'!$D:$P,2,0))</f>
        <v>99</v>
      </c>
      <c r="C41" s="98">
        <f>IF($A41="","",VLOOKUP($A41,'Annex 2 Designated EHV charges'!$D:$P,3,0))</f>
        <v>2394000079398</v>
      </c>
      <c r="D41" s="99" t="str">
        <f>IF($A41="","",VLOOKUP($A41,'Annex 2 Designated EHV charges'!$D:$P,4,0))</f>
        <v>EHV Site Specific (LLFC 797 &amp; 99)</v>
      </c>
      <c r="E41" s="104">
        <f>IFERROR(IF(VLOOKUP($A41,'Annex 2 Designated EHV charges'!$D:$P,10,FALSE)=0,0,VLOOKUP($A41,'Annex 2 Designated EHV charges'!$D:$P,10,FALSE)),"")</f>
        <v>0</v>
      </c>
      <c r="F41" s="105">
        <f>IFERROR(IF(VLOOKUP($A41,'Annex 2 Designated EHV charges'!$D:$P,11,FALSE)=0,0,VLOOKUP($A41,'Annex 2 Designated EHV charges'!$D:$P,11,FALSE)),"")</f>
        <v>0</v>
      </c>
      <c r="G41" s="106">
        <f>IFERROR(IF(VLOOKUP($A41,'Annex 2 Designated EHV charges'!$D:$P,12,FALSE)=0,0,VLOOKUP($A41,'Annex 2 Designated EHV charges'!$D:$P,12,FALSE)),"")</f>
        <v>0</v>
      </c>
      <c r="H41" s="106">
        <f>IFERROR(IF(VLOOKUP($A41,'Annex 2 Designated EHV charges'!$D:$P,13,FALSE)=0,0,VLOOKUP($A41,'Annex 2 Designated EHV charges'!$D:$P,13,FALSE)),"")</f>
        <v>0</v>
      </c>
    </row>
    <row r="42" spans="1:8" x14ac:dyDescent="0.2">
      <c r="A42" s="103">
        <v>61</v>
      </c>
      <c r="B42" s="79">
        <f>IF($A42="","",VLOOKUP($A42,'Annex 2 Designated EHV charges'!$D:$P,2,0))</f>
        <v>61</v>
      </c>
      <c r="C42" s="98">
        <f>IF($A42="","",VLOOKUP($A42,'Annex 2 Designated EHV charges'!$D:$P,3,0))</f>
        <v>2394000083311</v>
      </c>
      <c r="D42" s="99" t="str">
        <f>IF($A42="","",VLOOKUP($A42,'Annex 2 Designated EHV charges'!$D:$P,4,0))</f>
        <v>EHV Site Specific (LLFC 798 &amp; 61)</v>
      </c>
      <c r="E42" s="104">
        <f>IFERROR(IF(VLOOKUP($A42,'Annex 2 Designated EHV charges'!$D:$P,10,FALSE)=0,0,VLOOKUP($A42,'Annex 2 Designated EHV charges'!$D:$P,10,FALSE)),"")</f>
        <v>0</v>
      </c>
      <c r="F42" s="105">
        <f>IFERROR(IF(VLOOKUP($A42,'Annex 2 Designated EHV charges'!$D:$P,11,FALSE)=0,0,VLOOKUP($A42,'Annex 2 Designated EHV charges'!$D:$P,11,FALSE)),"")</f>
        <v>3374.26</v>
      </c>
      <c r="G42" s="106">
        <f>IFERROR(IF(VLOOKUP($A42,'Annex 2 Designated EHV charges'!$D:$P,12,FALSE)=0,0,VLOOKUP($A42,'Annex 2 Designated EHV charges'!$D:$P,12,FALSE)),"")</f>
        <v>0.05</v>
      </c>
      <c r="H42" s="106">
        <f>IFERROR(IF(VLOOKUP($A42,'Annex 2 Designated EHV charges'!$D:$P,13,FALSE)=0,0,VLOOKUP($A42,'Annex 2 Designated EHV charges'!$D:$P,13,FALSE)),"")</f>
        <v>0.05</v>
      </c>
    </row>
    <row r="43" spans="1:8" x14ac:dyDescent="0.2">
      <c r="A43" s="103">
        <v>51</v>
      </c>
      <c r="B43" s="79">
        <f>IF($A43="","",VLOOKUP($A43,'Annex 2 Designated EHV charges'!$D:$P,2,0))</f>
        <v>51</v>
      </c>
      <c r="C43" s="98">
        <f>IF($A43="","",VLOOKUP($A43,'Annex 2 Designated EHV charges'!$D:$P,3,0))</f>
        <v>2394000089457</v>
      </c>
      <c r="D43" s="99" t="str">
        <f>IF($A43="","",VLOOKUP($A43,'Annex 2 Designated EHV charges'!$D:$P,4,0))</f>
        <v>EHV Site Specific (LLFC 799 &amp; 51)</v>
      </c>
      <c r="E43" s="104">
        <f>IFERROR(IF(VLOOKUP($A43,'Annex 2 Designated EHV charges'!$D:$P,10,FALSE)=0,0,VLOOKUP($A43,'Annex 2 Designated EHV charges'!$D:$P,10,FALSE)),"")</f>
        <v>0</v>
      </c>
      <c r="F43" s="105">
        <f>IFERROR(IF(VLOOKUP($A43,'Annex 2 Designated EHV charges'!$D:$P,11,FALSE)=0,0,VLOOKUP($A43,'Annex 2 Designated EHV charges'!$D:$P,11,FALSE)),"")</f>
        <v>2682.26</v>
      </c>
      <c r="G43" s="106">
        <f>IFERROR(IF(VLOOKUP($A43,'Annex 2 Designated EHV charges'!$D:$P,12,FALSE)=0,0,VLOOKUP($A43,'Annex 2 Designated EHV charges'!$D:$P,12,FALSE)),"")</f>
        <v>0.05</v>
      </c>
      <c r="H43" s="106">
        <f>IFERROR(IF(VLOOKUP($A43,'Annex 2 Designated EHV charges'!$D:$P,13,FALSE)=0,0,VLOOKUP($A43,'Annex 2 Designated EHV charges'!$D:$P,13,FALSE)),"")</f>
        <v>0.05</v>
      </c>
    </row>
    <row r="44" spans="1:8" x14ac:dyDescent="0.2">
      <c r="A44" s="103">
        <v>52</v>
      </c>
      <c r="B44" s="79">
        <f>IF($A44="","",VLOOKUP($A44,'Annex 2 Designated EHV charges'!$D:$P,2,0))</f>
        <v>52</v>
      </c>
      <c r="C44" s="98">
        <f>IF($A44="","",VLOOKUP($A44,'Annex 2 Designated EHV charges'!$D:$P,3,0))</f>
        <v>2394000093027</v>
      </c>
      <c r="D44" s="99" t="str">
        <f>IF($A44="","",VLOOKUP($A44,'Annex 2 Designated EHV charges'!$D:$P,4,0))</f>
        <v>EHV Site Specific (LLFC 821 &amp; 52)</v>
      </c>
      <c r="E44" s="104">
        <f>IFERROR(IF(VLOOKUP($A44,'Annex 2 Designated EHV charges'!$D:$P,10,FALSE)=0,0,VLOOKUP($A44,'Annex 2 Designated EHV charges'!$D:$P,10,FALSE)),"")</f>
        <v>0</v>
      </c>
      <c r="F44" s="105">
        <f>IFERROR(IF(VLOOKUP($A44,'Annex 2 Designated EHV charges'!$D:$P,11,FALSE)=0,0,VLOOKUP($A44,'Annex 2 Designated EHV charges'!$D:$P,11,FALSE)),"")</f>
        <v>181.74</v>
      </c>
      <c r="G44" s="106">
        <f>IFERROR(IF(VLOOKUP($A44,'Annex 2 Designated EHV charges'!$D:$P,12,FALSE)=0,0,VLOOKUP($A44,'Annex 2 Designated EHV charges'!$D:$P,12,FALSE)),"")</f>
        <v>0.05</v>
      </c>
      <c r="H44" s="106">
        <f>IFERROR(IF(VLOOKUP($A44,'Annex 2 Designated EHV charges'!$D:$P,13,FALSE)=0,0,VLOOKUP($A44,'Annex 2 Designated EHV charges'!$D:$P,13,FALSE)),"")</f>
        <v>0.05</v>
      </c>
    </row>
    <row r="45" spans="1:8" ht="30" x14ac:dyDescent="0.2">
      <c r="A45" s="103">
        <v>53</v>
      </c>
      <c r="B45" s="79">
        <f>IF($A45="","",VLOOKUP($A45,'Annex 2 Designated EHV charges'!$D:$P,2,0))</f>
        <v>53</v>
      </c>
      <c r="C45" s="98" t="str">
        <f>IF($A45="","",VLOOKUP($A45,'Annex 2 Designated EHV charges'!$D:$P,3,0))</f>
        <v>2394000095831
2394000095840</v>
      </c>
      <c r="D45" s="99" t="str">
        <f>IF($A45="","",VLOOKUP($A45,'Annex 2 Designated EHV charges'!$D:$P,4,0))</f>
        <v>EHV Site Specific (LLFC 822 &amp; 53)</v>
      </c>
      <c r="E45" s="104">
        <f>IFERROR(IF(VLOOKUP($A45,'Annex 2 Designated EHV charges'!$D:$P,10,FALSE)=0,0,VLOOKUP($A45,'Annex 2 Designated EHV charges'!$D:$P,10,FALSE)),"")</f>
        <v>0</v>
      </c>
      <c r="F45" s="105">
        <f>IFERROR(IF(VLOOKUP($A45,'Annex 2 Designated EHV charges'!$D:$P,11,FALSE)=0,0,VLOOKUP($A45,'Annex 2 Designated EHV charges'!$D:$P,11,FALSE)),"")</f>
        <v>360.41</v>
      </c>
      <c r="G45" s="106">
        <f>IFERROR(IF(VLOOKUP($A45,'Annex 2 Designated EHV charges'!$D:$P,12,FALSE)=0,0,VLOOKUP($A45,'Annex 2 Designated EHV charges'!$D:$P,12,FALSE)),"")</f>
        <v>0.05</v>
      </c>
      <c r="H45" s="106">
        <f>IFERROR(IF(VLOOKUP($A45,'Annex 2 Designated EHV charges'!$D:$P,13,FALSE)=0,0,VLOOKUP($A45,'Annex 2 Designated EHV charges'!$D:$P,13,FALSE)),"")</f>
        <v>0.05</v>
      </c>
    </row>
    <row r="46" spans="1:8" x14ac:dyDescent="0.2">
      <c r="A46" s="103">
        <v>54</v>
      </c>
      <c r="B46" s="79">
        <f>IF($A46="","",VLOOKUP($A46,'Annex 2 Designated EHV charges'!$D:$P,2,0))</f>
        <v>54</v>
      </c>
      <c r="C46" s="98">
        <f>IF($A46="","",VLOOKUP($A46,'Annex 2 Designated EHV charges'!$D:$P,3,0))</f>
        <v>2394000097068</v>
      </c>
      <c r="D46" s="99" t="str">
        <f>IF($A46="","",VLOOKUP($A46,'Annex 2 Designated EHV charges'!$D:$P,4,0))</f>
        <v>EHV Site Specific (LLFC 823 &amp; 54)</v>
      </c>
      <c r="E46" s="104">
        <f>IFERROR(IF(VLOOKUP($A46,'Annex 2 Designated EHV charges'!$D:$P,10,FALSE)=0,0,VLOOKUP($A46,'Annex 2 Designated EHV charges'!$D:$P,10,FALSE)),"")</f>
        <v>0</v>
      </c>
      <c r="F46" s="105">
        <f>IFERROR(IF(VLOOKUP($A46,'Annex 2 Designated EHV charges'!$D:$P,11,FALSE)=0,0,VLOOKUP($A46,'Annex 2 Designated EHV charges'!$D:$P,11,FALSE)),"")</f>
        <v>181.89</v>
      </c>
      <c r="G46" s="106">
        <f>IFERROR(IF(VLOOKUP($A46,'Annex 2 Designated EHV charges'!$D:$P,12,FALSE)=0,0,VLOOKUP($A46,'Annex 2 Designated EHV charges'!$D:$P,12,FALSE)),"")</f>
        <v>0.05</v>
      </c>
      <c r="H46" s="106">
        <f>IFERROR(IF(VLOOKUP($A46,'Annex 2 Designated EHV charges'!$D:$P,13,FALSE)=0,0,VLOOKUP($A46,'Annex 2 Designated EHV charges'!$D:$P,13,FALSE)),"")</f>
        <v>0.05</v>
      </c>
    </row>
    <row r="47" spans="1:8" x14ac:dyDescent="0.2">
      <c r="A47" s="103">
        <v>55</v>
      </c>
      <c r="B47" s="79">
        <f>IF($A47="","",VLOOKUP($A47,'Annex 2 Designated EHV charges'!$D:$P,2,0))</f>
        <v>55</v>
      </c>
      <c r="C47" s="98" t="str">
        <f>IF($A47="","",VLOOKUP($A47,'Annex 2 Designated EHV charges'!$D:$P,3,0))</f>
        <v>MSID_7275</v>
      </c>
      <c r="D47" s="99" t="str">
        <f>IF($A47="","",VLOOKUP($A47,'Annex 2 Designated EHV charges'!$D:$P,4,0))</f>
        <v>EHV Site Specific (LLFC 824 &amp; 55)</v>
      </c>
      <c r="E47" s="104">
        <f>IFERROR(IF(VLOOKUP($A47,'Annex 2 Designated EHV charges'!$D:$P,10,FALSE)=0,0,VLOOKUP($A47,'Annex 2 Designated EHV charges'!$D:$P,10,FALSE)),"")</f>
        <v>0</v>
      </c>
      <c r="F47" s="105">
        <f>IFERROR(IF(VLOOKUP($A47,'Annex 2 Designated EHV charges'!$D:$P,11,FALSE)=0,0,VLOOKUP($A47,'Annex 2 Designated EHV charges'!$D:$P,11,FALSE)),"")</f>
        <v>951.08</v>
      </c>
      <c r="G47" s="106">
        <f>IFERROR(IF(VLOOKUP($A47,'Annex 2 Designated EHV charges'!$D:$P,12,FALSE)=0,0,VLOOKUP($A47,'Annex 2 Designated EHV charges'!$D:$P,12,FALSE)),"")</f>
        <v>0.05</v>
      </c>
      <c r="H47" s="106">
        <f>IFERROR(IF(VLOOKUP($A47,'Annex 2 Designated EHV charges'!$D:$P,13,FALSE)=0,0,VLOOKUP($A47,'Annex 2 Designated EHV charges'!$D:$P,13,FALSE)),"")</f>
        <v>0.05</v>
      </c>
    </row>
    <row r="48" spans="1:8" x14ac:dyDescent="0.2">
      <c r="A48" s="103">
        <v>57</v>
      </c>
      <c r="B48" s="79">
        <f>IF($A48="","",VLOOKUP($A48,'Annex 2 Designated EHV charges'!$D:$P,2,0))</f>
        <v>57</v>
      </c>
      <c r="C48" s="98">
        <f>IF($A48="","",VLOOKUP($A48,'Annex 2 Designated EHV charges'!$D:$P,3,0))</f>
        <v>2394000094590</v>
      </c>
      <c r="D48" s="99" t="str">
        <f>IF($A48="","",VLOOKUP($A48,'Annex 2 Designated EHV charges'!$D:$P,4,0))</f>
        <v>EHV Site Specific (LLFC 826 &amp; 57)</v>
      </c>
      <c r="E48" s="104">
        <f>IFERROR(IF(VLOOKUP($A48,'Annex 2 Designated EHV charges'!$D:$P,10,FALSE)=0,0,VLOOKUP($A48,'Annex 2 Designated EHV charges'!$D:$P,10,FALSE)),"")</f>
        <v>0</v>
      </c>
      <c r="F48" s="105">
        <f>IFERROR(IF(VLOOKUP($A48,'Annex 2 Designated EHV charges'!$D:$P,11,FALSE)=0,0,VLOOKUP($A48,'Annex 2 Designated EHV charges'!$D:$P,11,FALSE)),"")</f>
        <v>2664.89</v>
      </c>
      <c r="G48" s="106">
        <f>IFERROR(IF(VLOOKUP($A48,'Annex 2 Designated EHV charges'!$D:$P,12,FALSE)=0,0,VLOOKUP($A48,'Annex 2 Designated EHV charges'!$D:$P,12,FALSE)),"")</f>
        <v>0.05</v>
      </c>
      <c r="H48" s="106">
        <f>IFERROR(IF(VLOOKUP($A48,'Annex 2 Designated EHV charges'!$D:$P,13,FALSE)=0,0,VLOOKUP($A48,'Annex 2 Designated EHV charges'!$D:$P,13,FALSE)),"")</f>
        <v>0.05</v>
      </c>
    </row>
    <row r="49" spans="1:8" x14ac:dyDescent="0.2">
      <c r="A49" s="103">
        <v>58</v>
      </c>
      <c r="B49" s="79">
        <f>IF($A49="","",VLOOKUP($A49,'Annex 2 Designated EHV charges'!$D:$P,2,0))</f>
        <v>58</v>
      </c>
      <c r="C49" s="98">
        <f>IF($A49="","",VLOOKUP($A49,'Annex 2 Designated EHV charges'!$D:$P,3,0))</f>
        <v>2394000091952</v>
      </c>
      <c r="D49" s="99" t="str">
        <f>IF($A49="","",VLOOKUP($A49,'Annex 2 Designated EHV charges'!$D:$P,4,0))</f>
        <v>EHV Site Specific (LLFC 827 &amp; 58)</v>
      </c>
      <c r="E49" s="104">
        <f>IFERROR(IF(VLOOKUP($A49,'Annex 2 Designated EHV charges'!$D:$P,10,FALSE)=0,0,VLOOKUP($A49,'Annex 2 Designated EHV charges'!$D:$P,10,FALSE)),"")</f>
        <v>-3.9E-2</v>
      </c>
      <c r="F49" s="105">
        <f>IFERROR(IF(VLOOKUP($A49,'Annex 2 Designated EHV charges'!$D:$P,11,FALSE)=0,0,VLOOKUP($A49,'Annex 2 Designated EHV charges'!$D:$P,11,FALSE)),"")</f>
        <v>183.15</v>
      </c>
      <c r="G49" s="106">
        <f>IFERROR(IF(VLOOKUP($A49,'Annex 2 Designated EHV charges'!$D:$P,12,FALSE)=0,0,VLOOKUP($A49,'Annex 2 Designated EHV charges'!$D:$P,12,FALSE)),"")</f>
        <v>0.05</v>
      </c>
      <c r="H49" s="106">
        <f>IFERROR(IF(VLOOKUP($A49,'Annex 2 Designated EHV charges'!$D:$P,13,FALSE)=0,0,VLOOKUP($A49,'Annex 2 Designated EHV charges'!$D:$P,13,FALSE)),"")</f>
        <v>0.05</v>
      </c>
    </row>
    <row r="50" spans="1:8" x14ac:dyDescent="0.2">
      <c r="A50" s="103">
        <v>59</v>
      </c>
      <c r="B50" s="79">
        <f>IF($A50="","",VLOOKUP($A50,'Annex 2 Designated EHV charges'!$D:$P,2,0))</f>
        <v>59</v>
      </c>
      <c r="C50" s="98">
        <f>IF($A50="","",VLOOKUP($A50,'Annex 2 Designated EHV charges'!$D:$P,3,0))</f>
        <v>2394000095804</v>
      </c>
      <c r="D50" s="99" t="str">
        <f>IF($A50="","",VLOOKUP($A50,'Annex 2 Designated EHV charges'!$D:$P,4,0))</f>
        <v>EHV Site Specific (LLFC 768 &amp; 59)</v>
      </c>
      <c r="E50" s="104">
        <f>IFERROR(IF(VLOOKUP($A50,'Annex 2 Designated EHV charges'!$D:$P,10,FALSE)=0,0,VLOOKUP($A50,'Annex 2 Designated EHV charges'!$D:$P,10,FALSE)),"")</f>
        <v>0</v>
      </c>
      <c r="F50" s="105">
        <f>IFERROR(IF(VLOOKUP($A50,'Annex 2 Designated EHV charges'!$D:$P,11,FALSE)=0,0,VLOOKUP($A50,'Annex 2 Designated EHV charges'!$D:$P,11,FALSE)),"")</f>
        <v>181.62</v>
      </c>
      <c r="G50" s="106">
        <f>IFERROR(IF(VLOOKUP($A50,'Annex 2 Designated EHV charges'!$D:$P,12,FALSE)=0,0,VLOOKUP($A50,'Annex 2 Designated EHV charges'!$D:$P,12,FALSE)),"")</f>
        <v>0.05</v>
      </c>
      <c r="H50" s="106">
        <f>IFERROR(IF(VLOOKUP($A50,'Annex 2 Designated EHV charges'!$D:$P,13,FALSE)=0,0,VLOOKUP($A50,'Annex 2 Designated EHV charges'!$D:$P,13,FALSE)),"")</f>
        <v>0.05</v>
      </c>
    </row>
    <row r="51" spans="1:8" x14ac:dyDescent="0.2">
      <c r="A51" s="103">
        <v>105</v>
      </c>
      <c r="B51" s="79">
        <f>IF($A51="","",VLOOKUP($A51,'Annex 2 Designated EHV charges'!$D:$P,2,0))</f>
        <v>105</v>
      </c>
      <c r="C51" s="98">
        <f>IF($A51="","",VLOOKUP($A51,'Annex 2 Designated EHV charges'!$D:$P,3,0))</f>
        <v>2394000098805</v>
      </c>
      <c r="D51" s="99" t="str">
        <f>IF($A51="","",VLOOKUP($A51,'Annex 2 Designated EHV charges'!$D:$P,4,0))</f>
        <v>EHV Site Specific (LLFC 801 &amp; 105)</v>
      </c>
      <c r="E51" s="104">
        <f>IFERROR(IF(VLOOKUP($A51,'Annex 2 Designated EHV charges'!$D:$P,10,FALSE)=0,0,VLOOKUP($A51,'Annex 2 Designated EHV charges'!$D:$P,10,FALSE)),"")</f>
        <v>0</v>
      </c>
      <c r="F51" s="105">
        <f>IFERROR(IF(VLOOKUP($A51,'Annex 2 Designated EHV charges'!$D:$P,11,FALSE)=0,0,VLOOKUP($A51,'Annex 2 Designated EHV charges'!$D:$P,11,FALSE)),"")</f>
        <v>591.36</v>
      </c>
      <c r="G51" s="106">
        <f>IFERROR(IF(VLOOKUP($A51,'Annex 2 Designated EHV charges'!$D:$P,12,FALSE)=0,0,VLOOKUP($A51,'Annex 2 Designated EHV charges'!$D:$P,12,FALSE)),"")</f>
        <v>0.05</v>
      </c>
      <c r="H51" s="106">
        <f>IFERROR(IF(VLOOKUP($A51,'Annex 2 Designated EHV charges'!$D:$P,13,FALSE)=0,0,VLOOKUP($A51,'Annex 2 Designated EHV charges'!$D:$P,13,FALSE)),"")</f>
        <v>0.05</v>
      </c>
    </row>
    <row r="52" spans="1:8" x14ac:dyDescent="0.2">
      <c r="A52" s="103">
        <v>96</v>
      </c>
      <c r="B52" s="79">
        <f>IF($A52="","",VLOOKUP($A52,'Annex 2 Designated EHV charges'!$D:$P,2,0))</f>
        <v>96</v>
      </c>
      <c r="C52" s="98">
        <f>IF($A52="","",VLOOKUP($A52,'Annex 2 Designated EHV charges'!$D:$P,3,0))</f>
        <v>2394000102693</v>
      </c>
      <c r="D52" s="99" t="str">
        <f>IF($A52="","",VLOOKUP($A52,'Annex 2 Designated EHV charges'!$D:$P,4,0))</f>
        <v>EHV Site Specific (LLFC 792 &amp; 96)</v>
      </c>
      <c r="E52" s="104">
        <f>IFERROR(IF(VLOOKUP($A52,'Annex 2 Designated EHV charges'!$D:$P,10,FALSE)=0,0,VLOOKUP($A52,'Annex 2 Designated EHV charges'!$D:$P,10,FALSE)),"")</f>
        <v>0</v>
      </c>
      <c r="F52" s="105">
        <f>IFERROR(IF(VLOOKUP($A52,'Annex 2 Designated EHV charges'!$D:$P,11,FALSE)=0,0,VLOOKUP($A52,'Annex 2 Designated EHV charges'!$D:$P,11,FALSE)),"")</f>
        <v>2835.6</v>
      </c>
      <c r="G52" s="106">
        <f>IFERROR(IF(VLOOKUP($A52,'Annex 2 Designated EHV charges'!$D:$P,12,FALSE)=0,0,VLOOKUP($A52,'Annex 2 Designated EHV charges'!$D:$P,12,FALSE)),"")</f>
        <v>0.05</v>
      </c>
      <c r="H52" s="106">
        <f>IFERROR(IF(VLOOKUP($A52,'Annex 2 Designated EHV charges'!$D:$P,13,FALSE)=0,0,VLOOKUP($A52,'Annex 2 Designated EHV charges'!$D:$P,13,FALSE)),"")</f>
        <v>0.05</v>
      </c>
    </row>
    <row r="53" spans="1:8" x14ac:dyDescent="0.2">
      <c r="A53" s="103">
        <v>109</v>
      </c>
      <c r="B53" s="79">
        <f>IF($A53="","",VLOOKUP($A53,'Annex 2 Designated EHV charges'!$D:$P,2,0))</f>
        <v>109</v>
      </c>
      <c r="C53" s="98">
        <f>IF($A53="","",VLOOKUP($A53,'Annex 2 Designated EHV charges'!$D:$P,3,0))</f>
        <v>2394000122500</v>
      </c>
      <c r="D53" s="99" t="str">
        <f>IF($A53="","",VLOOKUP($A53,'Annex 2 Designated EHV charges'!$D:$P,4,0))</f>
        <v>EHV Site Specific (LLFC 806 &amp; 109)</v>
      </c>
      <c r="E53" s="104">
        <f>IFERROR(IF(VLOOKUP($A53,'Annex 2 Designated EHV charges'!$D:$P,10,FALSE)=0,0,VLOOKUP($A53,'Annex 2 Designated EHV charges'!$D:$P,10,FALSE)),"")</f>
        <v>0</v>
      </c>
      <c r="F53" s="105">
        <f>IFERROR(IF(VLOOKUP($A53,'Annex 2 Designated EHV charges'!$D:$P,11,FALSE)=0,0,VLOOKUP($A53,'Annex 2 Designated EHV charges'!$D:$P,11,FALSE)),"")</f>
        <v>1531.17</v>
      </c>
      <c r="G53" s="106">
        <f>IFERROR(IF(VLOOKUP($A53,'Annex 2 Designated EHV charges'!$D:$P,12,FALSE)=0,0,VLOOKUP($A53,'Annex 2 Designated EHV charges'!$D:$P,12,FALSE)),"")</f>
        <v>0.05</v>
      </c>
      <c r="H53" s="106">
        <f>IFERROR(IF(VLOOKUP($A53,'Annex 2 Designated EHV charges'!$D:$P,13,FALSE)=0,0,VLOOKUP($A53,'Annex 2 Designated EHV charges'!$D:$P,13,FALSE)),"")</f>
        <v>0.05</v>
      </c>
    </row>
    <row r="54" spans="1:8" x14ac:dyDescent="0.2">
      <c r="A54" s="103">
        <v>107</v>
      </c>
      <c r="B54" s="79">
        <f>IF($A54="","",VLOOKUP($A54,'Annex 2 Designated EHV charges'!$D:$P,2,0))</f>
        <v>107</v>
      </c>
      <c r="C54" s="98">
        <f>IF($A54="","",VLOOKUP($A54,'Annex 2 Designated EHV charges'!$D:$P,3,0))</f>
        <v>2394000099074</v>
      </c>
      <c r="D54" s="99" t="str">
        <f>IF($A54="","",VLOOKUP($A54,'Annex 2 Designated EHV charges'!$D:$P,4,0))</f>
        <v>EHV Site Specific (LLFC 803 &amp; 107)</v>
      </c>
      <c r="E54" s="104">
        <f>IFERROR(IF(VLOOKUP($A54,'Annex 2 Designated EHV charges'!$D:$P,10,FALSE)=0,0,VLOOKUP($A54,'Annex 2 Designated EHV charges'!$D:$P,10,FALSE)),"")</f>
        <v>0</v>
      </c>
      <c r="F54" s="105">
        <f>IFERROR(IF(VLOOKUP($A54,'Annex 2 Designated EHV charges'!$D:$P,11,FALSE)=0,0,VLOOKUP($A54,'Annex 2 Designated EHV charges'!$D:$P,11,FALSE)),"")</f>
        <v>595.22</v>
      </c>
      <c r="G54" s="106">
        <f>IFERROR(IF(VLOOKUP($A54,'Annex 2 Designated EHV charges'!$D:$P,12,FALSE)=0,0,VLOOKUP($A54,'Annex 2 Designated EHV charges'!$D:$P,12,FALSE)),"")</f>
        <v>0.05</v>
      </c>
      <c r="H54" s="106">
        <f>IFERROR(IF(VLOOKUP($A54,'Annex 2 Designated EHV charges'!$D:$P,13,FALSE)=0,0,VLOOKUP($A54,'Annex 2 Designated EHV charges'!$D:$P,13,FALSE)),"")</f>
        <v>0.05</v>
      </c>
    </row>
    <row r="55" spans="1:8" x14ac:dyDescent="0.2">
      <c r="A55" s="103">
        <v>108</v>
      </c>
      <c r="B55" s="79">
        <f>IF($A55="","",VLOOKUP($A55,'Annex 2 Designated EHV charges'!$D:$P,2,0))</f>
        <v>108</v>
      </c>
      <c r="C55" s="98">
        <f>IF($A55="","",VLOOKUP($A55,'Annex 2 Designated EHV charges'!$D:$P,3,0))</f>
        <v>2394000107353</v>
      </c>
      <c r="D55" s="99" t="str">
        <f>IF($A55="","",VLOOKUP($A55,'Annex 2 Designated EHV charges'!$D:$P,4,0))</f>
        <v>EHV Site Specific (LLFC 805 &amp; 108)</v>
      </c>
      <c r="E55" s="104">
        <f>IFERROR(IF(VLOOKUP($A55,'Annex 2 Designated EHV charges'!$D:$P,10,FALSE)=0,0,VLOOKUP($A55,'Annex 2 Designated EHV charges'!$D:$P,10,FALSE)),"")</f>
        <v>0</v>
      </c>
      <c r="F55" s="105">
        <f>IFERROR(IF(VLOOKUP($A55,'Annex 2 Designated EHV charges'!$D:$P,11,FALSE)=0,0,VLOOKUP($A55,'Annex 2 Designated EHV charges'!$D:$P,11,FALSE)),"")</f>
        <v>3794.25</v>
      </c>
      <c r="G55" s="106">
        <f>IFERROR(IF(VLOOKUP($A55,'Annex 2 Designated EHV charges'!$D:$P,12,FALSE)=0,0,VLOOKUP($A55,'Annex 2 Designated EHV charges'!$D:$P,12,FALSE)),"")</f>
        <v>0.05</v>
      </c>
      <c r="H55" s="106">
        <f>IFERROR(IF(VLOOKUP($A55,'Annex 2 Designated EHV charges'!$D:$P,13,FALSE)=0,0,VLOOKUP($A55,'Annex 2 Designated EHV charges'!$D:$P,13,FALSE)),"")</f>
        <v>0.05</v>
      </c>
    </row>
    <row r="56" spans="1:8" x14ac:dyDescent="0.2">
      <c r="A56" s="103">
        <v>56</v>
      </c>
      <c r="B56" s="79">
        <f>IF($A56="","",VLOOKUP($A56,'Annex 2 Designated EHV charges'!$D:$P,2,0))</f>
        <v>56</v>
      </c>
      <c r="C56" s="98">
        <f>IF($A56="","",VLOOKUP($A56,'Annex 2 Designated EHV charges'!$D:$P,3,0))</f>
        <v>2394000110630</v>
      </c>
      <c r="D56" s="99" t="str">
        <f>IF($A56="","",VLOOKUP($A56,'Annex 2 Designated EHV charges'!$D:$P,4,0))</f>
        <v>EHV Site Specific (LLFC 825 &amp; 56)</v>
      </c>
      <c r="E56" s="104">
        <f>IFERROR(IF(VLOOKUP($A56,'Annex 2 Designated EHV charges'!$D:$P,10,FALSE)=0,0,VLOOKUP($A56,'Annex 2 Designated EHV charges'!$D:$P,10,FALSE)),"")</f>
        <v>0</v>
      </c>
      <c r="F56" s="105">
        <f>IFERROR(IF(VLOOKUP($A56,'Annex 2 Designated EHV charges'!$D:$P,11,FALSE)=0,0,VLOOKUP($A56,'Annex 2 Designated EHV charges'!$D:$P,11,FALSE)),"")</f>
        <v>614.45000000000005</v>
      </c>
      <c r="G56" s="106">
        <f>IFERROR(IF(VLOOKUP($A56,'Annex 2 Designated EHV charges'!$D:$P,12,FALSE)=0,0,VLOOKUP($A56,'Annex 2 Designated EHV charges'!$D:$P,12,FALSE)),"")</f>
        <v>0.05</v>
      </c>
      <c r="H56" s="106">
        <f>IFERROR(IF(VLOOKUP($A56,'Annex 2 Designated EHV charges'!$D:$P,13,FALSE)=0,0,VLOOKUP($A56,'Annex 2 Designated EHV charges'!$D:$P,13,FALSE)),"")</f>
        <v>0.05</v>
      </c>
    </row>
    <row r="57" spans="1:8" ht="30" x14ac:dyDescent="0.2">
      <c r="A57" s="103">
        <v>106</v>
      </c>
      <c r="B57" s="79">
        <f>IF($A57="","",VLOOKUP($A57,'Annex 2 Designated EHV charges'!$D:$P,2,0))</f>
        <v>106</v>
      </c>
      <c r="C57" s="98" t="str">
        <f>IF($A57="","",VLOOKUP($A57,'Annex 2 Designated EHV charges'!$D:$P,3,0))</f>
        <v>2394000099056
2394000099065</v>
      </c>
      <c r="D57" s="99" t="str">
        <f>IF($A57="","",VLOOKUP($A57,'Annex 2 Designated EHV charges'!$D:$P,4,0))</f>
        <v>EHV Site Specific (LLFC 802 &amp; 106)</v>
      </c>
      <c r="E57" s="104">
        <f>IFERROR(IF(VLOOKUP($A57,'Annex 2 Designated EHV charges'!$D:$P,10,FALSE)=0,0,VLOOKUP($A57,'Annex 2 Designated EHV charges'!$D:$P,10,FALSE)),"")</f>
        <v>-0.1</v>
      </c>
      <c r="F57" s="105">
        <f>IFERROR(IF(VLOOKUP($A57,'Annex 2 Designated EHV charges'!$D:$P,11,FALSE)=0,0,VLOOKUP($A57,'Annex 2 Designated EHV charges'!$D:$P,11,FALSE)),"")</f>
        <v>1045.1600000000001</v>
      </c>
      <c r="G57" s="106">
        <f>IFERROR(IF(VLOOKUP($A57,'Annex 2 Designated EHV charges'!$D:$P,12,FALSE)=0,0,VLOOKUP($A57,'Annex 2 Designated EHV charges'!$D:$P,12,FALSE)),"")</f>
        <v>0.05</v>
      </c>
      <c r="H57" s="106">
        <f>IFERROR(IF(VLOOKUP($A57,'Annex 2 Designated EHV charges'!$D:$P,13,FALSE)=0,0,VLOOKUP($A57,'Annex 2 Designated EHV charges'!$D:$P,13,FALSE)),"")</f>
        <v>0.05</v>
      </c>
    </row>
    <row r="58" spans="1:8" x14ac:dyDescent="0.2">
      <c r="A58" s="103">
        <v>63</v>
      </c>
      <c r="B58" s="79">
        <f>IF($A58="","",VLOOKUP($A58,'Annex 2 Designated EHV charges'!$D:$P,2,0))</f>
        <v>63</v>
      </c>
      <c r="C58" s="98">
        <f>IF($A58="","",VLOOKUP($A58,'Annex 2 Designated EHV charges'!$D:$P,3,0))</f>
        <v>2394000111660</v>
      </c>
      <c r="D58" s="99" t="str">
        <f>IF($A58="","",VLOOKUP($A58,'Annex 2 Designated EHV charges'!$D:$P,4,0))</f>
        <v>EHV Site Specific (LLFC 807 &amp; 63)</v>
      </c>
      <c r="E58" s="104">
        <f>IFERROR(IF(VLOOKUP($A58,'Annex 2 Designated EHV charges'!$D:$P,10,FALSE)=0,0,VLOOKUP($A58,'Annex 2 Designated EHV charges'!$D:$P,10,FALSE)),"")</f>
        <v>0</v>
      </c>
      <c r="F58" s="105">
        <f>IFERROR(IF(VLOOKUP($A58,'Annex 2 Designated EHV charges'!$D:$P,11,FALSE)=0,0,VLOOKUP($A58,'Annex 2 Designated EHV charges'!$D:$P,11,FALSE)),"")</f>
        <v>1603.2</v>
      </c>
      <c r="G58" s="106">
        <f>IFERROR(IF(VLOOKUP($A58,'Annex 2 Designated EHV charges'!$D:$P,12,FALSE)=0,0,VLOOKUP($A58,'Annex 2 Designated EHV charges'!$D:$P,12,FALSE)),"")</f>
        <v>0.05</v>
      </c>
      <c r="H58" s="106">
        <f>IFERROR(IF(VLOOKUP($A58,'Annex 2 Designated EHV charges'!$D:$P,13,FALSE)=0,0,VLOOKUP($A58,'Annex 2 Designated EHV charges'!$D:$P,13,FALSE)),"")</f>
        <v>0.05</v>
      </c>
    </row>
    <row r="59" spans="1:8" x14ac:dyDescent="0.2">
      <c r="A59" s="103">
        <v>110</v>
      </c>
      <c r="B59" s="79">
        <f>IF($A59="","",VLOOKUP($A59,'Annex 2 Designated EHV charges'!$D:$P,2,0))</f>
        <v>110</v>
      </c>
      <c r="C59" s="98">
        <f>IF($A59="","",VLOOKUP($A59,'Annex 2 Designated EHV charges'!$D:$P,3,0))</f>
        <v>2394000118693</v>
      </c>
      <c r="D59" s="99" t="str">
        <f>IF($A59="","",VLOOKUP($A59,'Annex 2 Designated EHV charges'!$D:$P,4,0))</f>
        <v>EHV Site Specific (LLFC 810 &amp; 110)</v>
      </c>
      <c r="E59" s="104">
        <f>IFERROR(IF(VLOOKUP($A59,'Annex 2 Designated EHV charges'!$D:$P,10,FALSE)=0,0,VLOOKUP($A59,'Annex 2 Designated EHV charges'!$D:$P,10,FALSE)),"")</f>
        <v>-7.0000000000000001E-3</v>
      </c>
      <c r="F59" s="105">
        <f>IFERROR(IF(VLOOKUP($A59,'Annex 2 Designated EHV charges'!$D:$P,11,FALSE)=0,0,VLOOKUP($A59,'Annex 2 Designated EHV charges'!$D:$P,11,FALSE)),"")</f>
        <v>6709.2</v>
      </c>
      <c r="G59" s="106">
        <f>IFERROR(IF(VLOOKUP($A59,'Annex 2 Designated EHV charges'!$D:$P,12,FALSE)=0,0,VLOOKUP($A59,'Annex 2 Designated EHV charges'!$D:$P,12,FALSE)),"")</f>
        <v>0.05</v>
      </c>
      <c r="H59" s="106">
        <f>IFERROR(IF(VLOOKUP($A59,'Annex 2 Designated EHV charges'!$D:$P,13,FALSE)=0,0,VLOOKUP($A59,'Annex 2 Designated EHV charges'!$D:$P,13,FALSE)),"")</f>
        <v>0.05</v>
      </c>
    </row>
    <row r="60" spans="1:8" x14ac:dyDescent="0.2">
      <c r="A60" s="103">
        <v>31</v>
      </c>
      <c r="B60" s="79">
        <f>IF($A60="","",VLOOKUP($A60,'Annex 2 Designated EHV charges'!$D:$P,2,0))</f>
        <v>31</v>
      </c>
      <c r="C60" s="98">
        <f>IF($A60="","",VLOOKUP($A60,'Annex 2 Designated EHV charges'!$D:$P,3,0))</f>
        <v>2300000542785</v>
      </c>
      <c r="D60" s="99" t="str">
        <f>IF($A60="","",VLOOKUP($A60,'Annex 2 Designated EHV charges'!$D:$P,4,0))</f>
        <v>EHV Site Specific (LLFC 885 &amp; 31)</v>
      </c>
      <c r="E60" s="104">
        <f>IFERROR(IF(VLOOKUP($A60,'Annex 2 Designated EHV charges'!$D:$P,10,FALSE)=0,0,VLOOKUP($A60,'Annex 2 Designated EHV charges'!$D:$P,10,FALSE)),"")</f>
        <v>-0.16200000000000001</v>
      </c>
      <c r="F60" s="105">
        <f>IFERROR(IF(VLOOKUP($A60,'Annex 2 Designated EHV charges'!$D:$P,11,FALSE)=0,0,VLOOKUP($A60,'Annex 2 Designated EHV charges'!$D:$P,11,FALSE)),"")</f>
        <v>3336.05</v>
      </c>
      <c r="G60" s="106">
        <f>IFERROR(IF(VLOOKUP($A60,'Annex 2 Designated EHV charges'!$D:$P,12,FALSE)=0,0,VLOOKUP($A60,'Annex 2 Designated EHV charges'!$D:$P,12,FALSE)),"")</f>
        <v>0.05</v>
      </c>
      <c r="H60" s="106">
        <f>IFERROR(IF(VLOOKUP($A60,'Annex 2 Designated EHV charges'!$D:$P,13,FALSE)=0,0,VLOOKUP($A60,'Annex 2 Designated EHV charges'!$D:$P,13,FALSE)),"")</f>
        <v>0.05</v>
      </c>
    </row>
    <row r="61" spans="1:8" x14ac:dyDescent="0.2">
      <c r="A61" s="103">
        <v>43</v>
      </c>
      <c r="B61" s="79">
        <f>IF($A61="","",VLOOKUP($A61,'Annex 2 Designated EHV charges'!$D:$P,2,0))</f>
        <v>43</v>
      </c>
      <c r="C61" s="98">
        <f>IF($A61="","",VLOOKUP($A61,'Annex 2 Designated EHV charges'!$D:$P,3,0))</f>
        <v>2394000124303</v>
      </c>
      <c r="D61" s="99" t="str">
        <f>IF($A61="","",VLOOKUP($A61,'Annex 2 Designated EHV charges'!$D:$P,4,0))</f>
        <v>EHV Site Specific (LLFC 829 &amp; 43)</v>
      </c>
      <c r="E61" s="104">
        <f>IFERROR(IF(VLOOKUP($A61,'Annex 2 Designated EHV charges'!$D:$P,10,FALSE)=0,0,VLOOKUP($A61,'Annex 2 Designated EHV charges'!$D:$P,10,FALSE)),"")</f>
        <v>0</v>
      </c>
      <c r="F61" s="105">
        <f>IFERROR(IF(VLOOKUP($A61,'Annex 2 Designated EHV charges'!$D:$P,11,FALSE)=0,0,VLOOKUP($A61,'Annex 2 Designated EHV charges'!$D:$P,11,FALSE)),"")</f>
        <v>182.27</v>
      </c>
      <c r="G61" s="106">
        <f>IFERROR(IF(VLOOKUP($A61,'Annex 2 Designated EHV charges'!$D:$P,12,FALSE)=0,0,VLOOKUP($A61,'Annex 2 Designated EHV charges'!$D:$P,12,FALSE)),"")</f>
        <v>0.05</v>
      </c>
      <c r="H61" s="106">
        <f>IFERROR(IF(VLOOKUP($A61,'Annex 2 Designated EHV charges'!$D:$P,13,FALSE)=0,0,VLOOKUP($A61,'Annex 2 Designated EHV charges'!$D:$P,13,FALSE)),"")</f>
        <v>0.05</v>
      </c>
    </row>
    <row r="62" spans="1:8" x14ac:dyDescent="0.2">
      <c r="A62" s="103">
        <v>44</v>
      </c>
      <c r="B62" s="79">
        <f>IF($A62="","",VLOOKUP($A62,'Annex 2 Designated EHV charges'!$D:$P,2,0))</f>
        <v>44</v>
      </c>
      <c r="C62" s="98">
        <f>IF($A62="","",VLOOKUP($A62,'Annex 2 Designated EHV charges'!$D:$P,3,0))</f>
        <v>2394000121845</v>
      </c>
      <c r="D62" s="99" t="str">
        <f>IF($A62="","",VLOOKUP($A62,'Annex 2 Designated EHV charges'!$D:$P,4,0))</f>
        <v>EHV Site Specific (LLFC 830 &amp; 44)</v>
      </c>
      <c r="E62" s="104">
        <f>IFERROR(IF(VLOOKUP($A62,'Annex 2 Designated EHV charges'!$D:$P,10,FALSE)=0,0,VLOOKUP($A62,'Annex 2 Designated EHV charges'!$D:$P,10,FALSE)),"")</f>
        <v>-0.26700000000000002</v>
      </c>
      <c r="F62" s="105">
        <f>IFERROR(IF(VLOOKUP($A62,'Annex 2 Designated EHV charges'!$D:$P,11,FALSE)=0,0,VLOOKUP($A62,'Annex 2 Designated EHV charges'!$D:$P,11,FALSE)),"")</f>
        <v>155.01</v>
      </c>
      <c r="G62" s="106">
        <f>IFERROR(IF(VLOOKUP($A62,'Annex 2 Designated EHV charges'!$D:$P,12,FALSE)=0,0,VLOOKUP($A62,'Annex 2 Designated EHV charges'!$D:$P,12,FALSE)),"")</f>
        <v>0.05</v>
      </c>
      <c r="H62" s="106">
        <f>IFERROR(IF(VLOOKUP($A62,'Annex 2 Designated EHV charges'!$D:$P,13,FALSE)=0,0,VLOOKUP($A62,'Annex 2 Designated EHV charges'!$D:$P,13,FALSE)),"")</f>
        <v>0.05</v>
      </c>
    </row>
    <row r="63" spans="1:8" x14ac:dyDescent="0.2">
      <c r="A63" s="103">
        <v>46</v>
      </c>
      <c r="B63" s="79">
        <f>IF($A63="","",VLOOKUP($A63,'Annex 2 Designated EHV charges'!$D:$P,2,0))</f>
        <v>46</v>
      </c>
      <c r="C63" s="98">
        <f>IF($A63="","",VLOOKUP($A63,'Annex 2 Designated EHV charges'!$D:$P,3,0))</f>
        <v>2394000124400</v>
      </c>
      <c r="D63" s="99" t="str">
        <f>IF($A63="","",VLOOKUP($A63,'Annex 2 Designated EHV charges'!$D:$P,4,0))</f>
        <v>EHV Site Specific (LLFC 727 &amp; 46)</v>
      </c>
      <c r="E63" s="104">
        <f>IFERROR(IF(VLOOKUP($A63,'Annex 2 Designated EHV charges'!$D:$P,10,FALSE)=0,0,VLOOKUP($A63,'Annex 2 Designated EHV charges'!$D:$P,10,FALSE)),"")</f>
        <v>0</v>
      </c>
      <c r="F63" s="105">
        <f>IFERROR(IF(VLOOKUP($A63,'Annex 2 Designated EHV charges'!$D:$P,11,FALSE)=0,0,VLOOKUP($A63,'Annex 2 Designated EHV charges'!$D:$P,11,FALSE)),"")</f>
        <v>6257.82</v>
      </c>
      <c r="G63" s="106">
        <f>IFERROR(IF(VLOOKUP($A63,'Annex 2 Designated EHV charges'!$D:$P,12,FALSE)=0,0,VLOOKUP($A63,'Annex 2 Designated EHV charges'!$D:$P,12,FALSE)),"")</f>
        <v>0.05</v>
      </c>
      <c r="H63" s="106">
        <f>IFERROR(IF(VLOOKUP($A63,'Annex 2 Designated EHV charges'!$D:$P,13,FALSE)=0,0,VLOOKUP($A63,'Annex 2 Designated EHV charges'!$D:$P,13,FALSE)),"")</f>
        <v>0.05</v>
      </c>
    </row>
    <row r="64" spans="1:8" x14ac:dyDescent="0.2">
      <c r="A64" s="103">
        <v>47</v>
      </c>
      <c r="B64" s="79">
        <f>IF($A64="","",VLOOKUP($A64,'Annex 2 Designated EHV charges'!$D:$P,2,0))</f>
        <v>47</v>
      </c>
      <c r="C64" s="98">
        <f>IF($A64="","",VLOOKUP($A64,'Annex 2 Designated EHV charges'!$D:$P,3,0))</f>
        <v>2394000123434</v>
      </c>
      <c r="D64" s="99" t="str">
        <f>IF($A64="","",VLOOKUP($A64,'Annex 2 Designated EHV charges'!$D:$P,4,0))</f>
        <v>EHV Site Specific (LLFC 728 &amp; 47)</v>
      </c>
      <c r="E64" s="104">
        <f>IFERROR(IF(VLOOKUP($A64,'Annex 2 Designated EHV charges'!$D:$P,10,FALSE)=0,0,VLOOKUP($A64,'Annex 2 Designated EHV charges'!$D:$P,10,FALSE)),"")</f>
        <v>0</v>
      </c>
      <c r="F64" s="105">
        <f>IFERROR(IF(VLOOKUP($A64,'Annex 2 Designated EHV charges'!$D:$P,11,FALSE)=0,0,VLOOKUP($A64,'Annex 2 Designated EHV charges'!$D:$P,11,FALSE)),"")</f>
        <v>8389.7999999999993</v>
      </c>
      <c r="G64" s="106">
        <f>IFERROR(IF(VLOOKUP($A64,'Annex 2 Designated EHV charges'!$D:$P,12,FALSE)=0,0,VLOOKUP($A64,'Annex 2 Designated EHV charges'!$D:$P,12,FALSE)),"")</f>
        <v>0.05</v>
      </c>
      <c r="H64" s="106">
        <f>IFERROR(IF(VLOOKUP($A64,'Annex 2 Designated EHV charges'!$D:$P,13,FALSE)=0,0,VLOOKUP($A64,'Annex 2 Designated EHV charges'!$D:$P,13,FALSE)),"")</f>
        <v>0.05</v>
      </c>
    </row>
    <row r="65" spans="1:8" x14ac:dyDescent="0.2">
      <c r="A65" s="103">
        <v>48</v>
      </c>
      <c r="B65" s="79">
        <f>IF($A65="","",VLOOKUP($A65,'Annex 2 Designated EHV charges'!$D:$P,2,0))</f>
        <v>48</v>
      </c>
      <c r="C65" s="98">
        <f>IF($A65="","",VLOOKUP($A65,'Annex 2 Designated EHV charges'!$D:$P,3,0))</f>
        <v>2394000130956</v>
      </c>
      <c r="D65" s="99" t="str">
        <f>IF($A65="","",VLOOKUP($A65,'Annex 2 Designated EHV charges'!$D:$P,4,0))</f>
        <v>EHV Site Specific (LLFC 729 &amp; 48)</v>
      </c>
      <c r="E65" s="104">
        <f>IFERROR(IF(VLOOKUP($A65,'Annex 2 Designated EHV charges'!$D:$P,10,FALSE)=0,0,VLOOKUP($A65,'Annex 2 Designated EHV charges'!$D:$P,10,FALSE)),"")</f>
        <v>0</v>
      </c>
      <c r="F65" s="105">
        <f>IFERROR(IF(VLOOKUP($A65,'Annex 2 Designated EHV charges'!$D:$P,11,FALSE)=0,0,VLOOKUP($A65,'Annex 2 Designated EHV charges'!$D:$P,11,FALSE)),"")</f>
        <v>3535</v>
      </c>
      <c r="G65" s="106">
        <f>IFERROR(IF(VLOOKUP($A65,'Annex 2 Designated EHV charges'!$D:$P,12,FALSE)=0,0,VLOOKUP($A65,'Annex 2 Designated EHV charges'!$D:$P,12,FALSE)),"")</f>
        <v>0.05</v>
      </c>
      <c r="H65" s="106">
        <f>IFERROR(IF(VLOOKUP($A65,'Annex 2 Designated EHV charges'!$D:$P,13,FALSE)=0,0,VLOOKUP($A65,'Annex 2 Designated EHV charges'!$D:$P,13,FALSE)),"")</f>
        <v>0.05</v>
      </c>
    </row>
    <row r="66" spans="1:8" x14ac:dyDescent="0.2">
      <c r="A66" s="103">
        <v>49</v>
      </c>
      <c r="B66" s="79">
        <f>IF($A66="","",VLOOKUP($A66,'Annex 2 Designated EHV charges'!$D:$P,2,0))</f>
        <v>49</v>
      </c>
      <c r="C66" s="98">
        <f>IF($A66="","",VLOOKUP($A66,'Annex 2 Designated EHV charges'!$D:$P,3,0))</f>
        <v>2394000127847</v>
      </c>
      <c r="D66" s="99" t="str">
        <f>IF($A66="","",VLOOKUP($A66,'Annex 2 Designated EHV charges'!$D:$P,4,0))</f>
        <v>EHV Site Specific (LLFC 730 &amp; 49)</v>
      </c>
      <c r="E66" s="104">
        <f>IFERROR(IF(VLOOKUP($A66,'Annex 2 Designated EHV charges'!$D:$P,10,FALSE)=0,0,VLOOKUP($A66,'Annex 2 Designated EHV charges'!$D:$P,10,FALSE)),"")</f>
        <v>0</v>
      </c>
      <c r="F66" s="105">
        <f>IFERROR(IF(VLOOKUP($A66,'Annex 2 Designated EHV charges'!$D:$P,11,FALSE)=0,0,VLOOKUP($A66,'Annex 2 Designated EHV charges'!$D:$P,11,FALSE)),"")</f>
        <v>5037.5200000000004</v>
      </c>
      <c r="G66" s="106">
        <f>IFERROR(IF(VLOOKUP($A66,'Annex 2 Designated EHV charges'!$D:$P,12,FALSE)=0,0,VLOOKUP($A66,'Annex 2 Designated EHV charges'!$D:$P,12,FALSE)),"")</f>
        <v>0.05</v>
      </c>
      <c r="H66" s="106">
        <f>IFERROR(IF(VLOOKUP($A66,'Annex 2 Designated EHV charges'!$D:$P,13,FALSE)=0,0,VLOOKUP($A66,'Annex 2 Designated EHV charges'!$D:$P,13,FALSE)),"")</f>
        <v>0.05</v>
      </c>
    </row>
    <row r="67" spans="1:8" x14ac:dyDescent="0.2">
      <c r="A67" s="103">
        <v>64</v>
      </c>
      <c r="B67" s="79">
        <f>IF($A67="","",VLOOKUP($A67,'Annex 2 Designated EHV charges'!$D:$P,2,0))</f>
        <v>64</v>
      </c>
      <c r="C67" s="98">
        <f>IF($A67="","",VLOOKUP($A67,'Annex 2 Designated EHV charges'!$D:$P,3,0))</f>
        <v>2394000113278</v>
      </c>
      <c r="D67" s="99" t="str">
        <f>IF($A67="","",VLOOKUP($A67,'Annex 2 Designated EHV charges'!$D:$P,4,0))</f>
        <v>EHV Site Specific (LLFC 809 &amp; 64)</v>
      </c>
      <c r="E67" s="104">
        <f>IFERROR(IF(VLOOKUP($A67,'Annex 2 Designated EHV charges'!$D:$P,10,FALSE)=0,0,VLOOKUP($A67,'Annex 2 Designated EHV charges'!$D:$P,10,FALSE)),"")</f>
        <v>0</v>
      </c>
      <c r="F67" s="105">
        <f>IFERROR(IF(VLOOKUP($A67,'Annex 2 Designated EHV charges'!$D:$P,11,FALSE)=0,0,VLOOKUP($A67,'Annex 2 Designated EHV charges'!$D:$P,11,FALSE)),"")</f>
        <v>2369.84</v>
      </c>
      <c r="G67" s="106">
        <f>IFERROR(IF(VLOOKUP($A67,'Annex 2 Designated EHV charges'!$D:$P,12,FALSE)=0,0,VLOOKUP($A67,'Annex 2 Designated EHV charges'!$D:$P,12,FALSE)),"")</f>
        <v>0.05</v>
      </c>
      <c r="H67" s="106">
        <f>IFERROR(IF(VLOOKUP($A67,'Annex 2 Designated EHV charges'!$D:$P,13,FALSE)=0,0,VLOOKUP($A67,'Annex 2 Designated EHV charges'!$D:$P,13,FALSE)),"")</f>
        <v>0.05</v>
      </c>
    </row>
    <row r="68" spans="1:8" x14ac:dyDescent="0.2">
      <c r="A68" s="103">
        <v>50</v>
      </c>
      <c r="B68" s="79">
        <f>IF($A68="","",VLOOKUP($A68,'Annex 2 Designated EHV charges'!$D:$P,2,0))</f>
        <v>50</v>
      </c>
      <c r="C68" s="98">
        <f>IF($A68="","",VLOOKUP($A68,'Annex 2 Designated EHV charges'!$D:$P,3,0))</f>
        <v>2394000129589</v>
      </c>
      <c r="D68" s="99" t="str">
        <f>IF($A68="","",VLOOKUP($A68,'Annex 2 Designated EHV charges'!$D:$P,4,0))</f>
        <v>EHV Site Specific (LLFC 731 &amp; 50)</v>
      </c>
      <c r="E68" s="104">
        <f>IFERROR(IF(VLOOKUP($A68,'Annex 2 Designated EHV charges'!$D:$P,10,FALSE)=0,0,VLOOKUP($A68,'Annex 2 Designated EHV charges'!$D:$P,10,FALSE)),"")</f>
        <v>0</v>
      </c>
      <c r="F68" s="105">
        <f>IFERROR(IF(VLOOKUP($A68,'Annex 2 Designated EHV charges'!$D:$P,11,FALSE)=0,0,VLOOKUP($A68,'Annex 2 Designated EHV charges'!$D:$P,11,FALSE)),"")</f>
        <v>3219.32</v>
      </c>
      <c r="G68" s="106">
        <f>IFERROR(IF(VLOOKUP($A68,'Annex 2 Designated EHV charges'!$D:$P,12,FALSE)=0,0,VLOOKUP($A68,'Annex 2 Designated EHV charges'!$D:$P,12,FALSE)),"")</f>
        <v>0.05</v>
      </c>
      <c r="H68" s="106">
        <f>IFERROR(IF(VLOOKUP($A68,'Annex 2 Designated EHV charges'!$D:$P,13,FALSE)=0,0,VLOOKUP($A68,'Annex 2 Designated EHV charges'!$D:$P,13,FALSE)),"")</f>
        <v>0.05</v>
      </c>
    </row>
    <row r="69" spans="1:8" x14ac:dyDescent="0.2">
      <c r="A69" s="103">
        <v>114</v>
      </c>
      <c r="B69" s="79">
        <f>IF($A69="","",VLOOKUP($A69,'Annex 2 Designated EHV charges'!$D:$P,2,0))</f>
        <v>114</v>
      </c>
      <c r="C69" s="98">
        <f>IF($A69="","",VLOOKUP($A69,'Annex 2 Designated EHV charges'!$D:$P,3,0))</f>
        <v>2394000132642</v>
      </c>
      <c r="D69" s="99" t="str">
        <f>IF($A69="","",VLOOKUP($A69,'Annex 2 Designated EHV charges'!$D:$P,4,0))</f>
        <v>EHV Site Specific (LLFC 732 &amp; 114)</v>
      </c>
      <c r="E69" s="104">
        <f>IFERROR(IF(VLOOKUP($A69,'Annex 2 Designated EHV charges'!$D:$P,10,FALSE)=0,0,VLOOKUP($A69,'Annex 2 Designated EHV charges'!$D:$P,10,FALSE)),"")</f>
        <v>0</v>
      </c>
      <c r="F69" s="105">
        <f>IFERROR(IF(VLOOKUP($A69,'Annex 2 Designated EHV charges'!$D:$P,11,FALSE)=0,0,VLOOKUP($A69,'Annex 2 Designated EHV charges'!$D:$P,11,FALSE)),"")</f>
        <v>742.69</v>
      </c>
      <c r="G69" s="106">
        <f>IFERROR(IF(VLOOKUP($A69,'Annex 2 Designated EHV charges'!$D:$P,12,FALSE)=0,0,VLOOKUP($A69,'Annex 2 Designated EHV charges'!$D:$P,12,FALSE)),"")</f>
        <v>0.05</v>
      </c>
      <c r="H69" s="106">
        <f>IFERROR(IF(VLOOKUP($A69,'Annex 2 Designated EHV charges'!$D:$P,13,FALSE)=0,0,VLOOKUP($A69,'Annex 2 Designated EHV charges'!$D:$P,13,FALSE)),"")</f>
        <v>0.05</v>
      </c>
    </row>
    <row r="70" spans="1:8" x14ac:dyDescent="0.2">
      <c r="A70" s="103">
        <v>115</v>
      </c>
      <c r="B70" s="79">
        <f>IF($A70="","",VLOOKUP($A70,'Annex 2 Designated EHV charges'!$D:$P,2,0))</f>
        <v>115</v>
      </c>
      <c r="C70" s="98">
        <f>IF($A70="","",VLOOKUP($A70,'Annex 2 Designated EHV charges'!$D:$P,3,0))</f>
        <v>2394000131490</v>
      </c>
      <c r="D70" s="99" t="str">
        <f>IF($A70="","",VLOOKUP($A70,'Annex 2 Designated EHV charges'!$D:$P,4,0))</f>
        <v>EHV Site Specific (LLFC 733 &amp; 115)</v>
      </c>
      <c r="E70" s="104">
        <f>IFERROR(IF(VLOOKUP($A70,'Annex 2 Designated EHV charges'!$D:$P,10,FALSE)=0,0,VLOOKUP($A70,'Annex 2 Designated EHV charges'!$D:$P,10,FALSE)),"")</f>
        <v>0</v>
      </c>
      <c r="F70" s="105">
        <f>IFERROR(IF(VLOOKUP($A70,'Annex 2 Designated EHV charges'!$D:$P,11,FALSE)=0,0,VLOOKUP($A70,'Annex 2 Designated EHV charges'!$D:$P,11,FALSE)),"")</f>
        <v>1114.9000000000001</v>
      </c>
      <c r="G70" s="106">
        <f>IFERROR(IF(VLOOKUP($A70,'Annex 2 Designated EHV charges'!$D:$P,12,FALSE)=0,0,VLOOKUP($A70,'Annex 2 Designated EHV charges'!$D:$P,12,FALSE)),"")</f>
        <v>0.05</v>
      </c>
      <c r="H70" s="106">
        <f>IFERROR(IF(VLOOKUP($A70,'Annex 2 Designated EHV charges'!$D:$P,13,FALSE)=0,0,VLOOKUP($A70,'Annex 2 Designated EHV charges'!$D:$P,13,FALSE)),"")</f>
        <v>0.05</v>
      </c>
    </row>
    <row r="71" spans="1:8" x14ac:dyDescent="0.2">
      <c r="A71" s="103">
        <v>116</v>
      </c>
      <c r="B71" s="79">
        <f>IF($A71="","",VLOOKUP($A71,'Annex 2 Designated EHV charges'!$D:$P,2,0))</f>
        <v>116</v>
      </c>
      <c r="C71" s="98">
        <f>IF($A71="","",VLOOKUP($A71,'Annex 2 Designated EHV charges'!$D:$P,3,0))</f>
        <v>2394000131338</v>
      </c>
      <c r="D71" s="99" t="str">
        <f>IF($A71="","",VLOOKUP($A71,'Annex 2 Designated EHV charges'!$D:$P,4,0))</f>
        <v>EHV Site Specific (LLFC 734 &amp; 116)</v>
      </c>
      <c r="E71" s="104">
        <f>IFERROR(IF(VLOOKUP($A71,'Annex 2 Designated EHV charges'!$D:$P,10,FALSE)=0,0,VLOOKUP($A71,'Annex 2 Designated EHV charges'!$D:$P,10,FALSE)),"")</f>
        <v>-2.3E-2</v>
      </c>
      <c r="F71" s="105">
        <f>IFERROR(IF(VLOOKUP($A71,'Annex 2 Designated EHV charges'!$D:$P,11,FALSE)=0,0,VLOOKUP($A71,'Annex 2 Designated EHV charges'!$D:$P,11,FALSE)),"")</f>
        <v>385.25</v>
      </c>
      <c r="G71" s="106">
        <f>IFERROR(IF(VLOOKUP($A71,'Annex 2 Designated EHV charges'!$D:$P,12,FALSE)=0,0,VLOOKUP($A71,'Annex 2 Designated EHV charges'!$D:$P,12,FALSE)),"")</f>
        <v>0.05</v>
      </c>
      <c r="H71" s="106">
        <f>IFERROR(IF(VLOOKUP($A71,'Annex 2 Designated EHV charges'!$D:$P,13,FALSE)=0,0,VLOOKUP($A71,'Annex 2 Designated EHV charges'!$D:$P,13,FALSE)),"")</f>
        <v>0.05</v>
      </c>
    </row>
    <row r="72" spans="1:8" x14ac:dyDescent="0.2">
      <c r="A72" s="103">
        <v>117</v>
      </c>
      <c r="B72" s="79">
        <f>IF($A72="","",VLOOKUP($A72,'Annex 2 Designated EHV charges'!$D:$P,2,0))</f>
        <v>117</v>
      </c>
      <c r="C72" s="98">
        <f>IF($A72="","",VLOOKUP($A72,'Annex 2 Designated EHV charges'!$D:$P,3,0))</f>
        <v>2394000129250</v>
      </c>
      <c r="D72" s="99" t="str">
        <f>IF($A72="","",VLOOKUP($A72,'Annex 2 Designated EHV charges'!$D:$P,4,0))</f>
        <v>EHV Site Specific (LLFC 735 &amp; 117)</v>
      </c>
      <c r="E72" s="104">
        <f>IFERROR(IF(VLOOKUP($A72,'Annex 2 Designated EHV charges'!$D:$P,10,FALSE)=0,0,VLOOKUP($A72,'Annex 2 Designated EHV charges'!$D:$P,10,FALSE)),"")</f>
        <v>0</v>
      </c>
      <c r="F72" s="105">
        <f>IFERROR(IF(VLOOKUP($A72,'Annex 2 Designated EHV charges'!$D:$P,11,FALSE)=0,0,VLOOKUP($A72,'Annex 2 Designated EHV charges'!$D:$P,11,FALSE)),"")</f>
        <v>585.27</v>
      </c>
      <c r="G72" s="106">
        <f>IFERROR(IF(VLOOKUP($A72,'Annex 2 Designated EHV charges'!$D:$P,12,FALSE)=0,0,VLOOKUP($A72,'Annex 2 Designated EHV charges'!$D:$P,12,FALSE)),"")</f>
        <v>0.05</v>
      </c>
      <c r="H72" s="106">
        <f>IFERROR(IF(VLOOKUP($A72,'Annex 2 Designated EHV charges'!$D:$P,13,FALSE)=0,0,VLOOKUP($A72,'Annex 2 Designated EHV charges'!$D:$P,13,FALSE)),"")</f>
        <v>0.05</v>
      </c>
    </row>
    <row r="73" spans="1:8" x14ac:dyDescent="0.2">
      <c r="A73" s="103">
        <v>118</v>
      </c>
      <c r="B73" s="79">
        <f>IF($A73="","",VLOOKUP($A73,'Annex 2 Designated EHV charges'!$D:$P,2,0))</f>
        <v>118</v>
      </c>
      <c r="C73" s="98">
        <f>IF($A73="","",VLOOKUP($A73,'Annex 2 Designated EHV charges'!$D:$P,3,0))</f>
        <v>2394000131329</v>
      </c>
      <c r="D73" s="99" t="str">
        <f>IF($A73="","",VLOOKUP($A73,'Annex 2 Designated EHV charges'!$D:$P,4,0))</f>
        <v>EHV Site Specific (LLFC 736 &amp; 118)</v>
      </c>
      <c r="E73" s="104">
        <f>IFERROR(IF(VLOOKUP($A73,'Annex 2 Designated EHV charges'!$D:$P,10,FALSE)=0,0,VLOOKUP($A73,'Annex 2 Designated EHV charges'!$D:$P,10,FALSE)),"")</f>
        <v>0</v>
      </c>
      <c r="F73" s="105">
        <f>IFERROR(IF(VLOOKUP($A73,'Annex 2 Designated EHV charges'!$D:$P,11,FALSE)=0,0,VLOOKUP($A73,'Annex 2 Designated EHV charges'!$D:$P,11,FALSE)),"")</f>
        <v>767.75</v>
      </c>
      <c r="G73" s="106">
        <f>IFERROR(IF(VLOOKUP($A73,'Annex 2 Designated EHV charges'!$D:$P,12,FALSE)=0,0,VLOOKUP($A73,'Annex 2 Designated EHV charges'!$D:$P,12,FALSE)),"")</f>
        <v>0.05</v>
      </c>
      <c r="H73" s="106">
        <f>IFERROR(IF(VLOOKUP($A73,'Annex 2 Designated EHV charges'!$D:$P,13,FALSE)=0,0,VLOOKUP($A73,'Annex 2 Designated EHV charges'!$D:$P,13,FALSE)),"")</f>
        <v>0.05</v>
      </c>
    </row>
    <row r="74" spans="1:8" x14ac:dyDescent="0.2">
      <c r="A74" s="103">
        <v>124</v>
      </c>
      <c r="B74" s="79">
        <f>IF($A74="","",VLOOKUP($A74,'Annex 2 Designated EHV charges'!$D:$P,2,0))</f>
        <v>124</v>
      </c>
      <c r="C74" s="98">
        <f>IF($A74="","",VLOOKUP($A74,'Annex 2 Designated EHV charges'!$D:$P,3,0))</f>
        <v>2394000131773</v>
      </c>
      <c r="D74" s="99" t="str">
        <f>IF($A74="","",VLOOKUP($A74,'Annex 2 Designated EHV charges'!$D:$P,4,0))</f>
        <v>EHV Site Specific (LLFC 738 &amp; 124)</v>
      </c>
      <c r="E74" s="104">
        <f>IFERROR(IF(VLOOKUP($A74,'Annex 2 Designated EHV charges'!$D:$P,10,FALSE)=0,0,VLOOKUP($A74,'Annex 2 Designated EHV charges'!$D:$P,10,FALSE)),"")</f>
        <v>0</v>
      </c>
      <c r="F74" s="105">
        <f>IFERROR(IF(VLOOKUP($A74,'Annex 2 Designated EHV charges'!$D:$P,11,FALSE)=0,0,VLOOKUP($A74,'Annex 2 Designated EHV charges'!$D:$P,11,FALSE)),"")</f>
        <v>4381.18</v>
      </c>
      <c r="G74" s="106">
        <f>IFERROR(IF(VLOOKUP($A74,'Annex 2 Designated EHV charges'!$D:$P,12,FALSE)=0,0,VLOOKUP($A74,'Annex 2 Designated EHV charges'!$D:$P,12,FALSE)),"")</f>
        <v>0.05</v>
      </c>
      <c r="H74" s="106">
        <f>IFERROR(IF(VLOOKUP($A74,'Annex 2 Designated EHV charges'!$D:$P,13,FALSE)=0,0,VLOOKUP($A74,'Annex 2 Designated EHV charges'!$D:$P,13,FALSE)),"")</f>
        <v>0.05</v>
      </c>
    </row>
    <row r="75" spans="1:8" x14ac:dyDescent="0.2">
      <c r="A75" s="103">
        <v>125</v>
      </c>
      <c r="B75" s="79">
        <f>IF($A75="","",VLOOKUP($A75,'Annex 2 Designated EHV charges'!$D:$P,2,0))</f>
        <v>125</v>
      </c>
      <c r="C75" s="98">
        <f>IF($A75="","",VLOOKUP($A75,'Annex 2 Designated EHV charges'!$D:$P,3,0))</f>
        <v>2394000130965</v>
      </c>
      <c r="D75" s="99" t="str">
        <f>IF($A75="","",VLOOKUP($A75,'Annex 2 Designated EHV charges'!$D:$P,4,0))</f>
        <v>EHV Site Specific (LLFC 739 &amp; 125)</v>
      </c>
      <c r="E75" s="104">
        <f>IFERROR(IF(VLOOKUP($A75,'Annex 2 Designated EHV charges'!$D:$P,10,FALSE)=0,0,VLOOKUP($A75,'Annex 2 Designated EHV charges'!$D:$P,10,FALSE)),"")</f>
        <v>0</v>
      </c>
      <c r="F75" s="105">
        <f>IFERROR(IF(VLOOKUP($A75,'Annex 2 Designated EHV charges'!$D:$P,11,FALSE)=0,0,VLOOKUP($A75,'Annex 2 Designated EHV charges'!$D:$P,11,FALSE)),"")</f>
        <v>183.02</v>
      </c>
      <c r="G75" s="106">
        <f>IFERROR(IF(VLOOKUP($A75,'Annex 2 Designated EHV charges'!$D:$P,12,FALSE)=0,0,VLOOKUP($A75,'Annex 2 Designated EHV charges'!$D:$P,12,FALSE)),"")</f>
        <v>0.05</v>
      </c>
      <c r="H75" s="106">
        <f>IFERROR(IF(VLOOKUP($A75,'Annex 2 Designated EHV charges'!$D:$P,13,FALSE)=0,0,VLOOKUP($A75,'Annex 2 Designated EHV charges'!$D:$P,13,FALSE)),"")</f>
        <v>0.05</v>
      </c>
    </row>
    <row r="76" spans="1:8" x14ac:dyDescent="0.2">
      <c r="A76" s="103">
        <v>119</v>
      </c>
      <c r="B76" s="79">
        <f>IF($A76="","",VLOOKUP($A76,'Annex 2 Designated EHV charges'!$D:$P,2,0))</f>
        <v>119</v>
      </c>
      <c r="C76" s="98">
        <f>IF($A76="","",VLOOKUP($A76,'Annex 2 Designated EHV charges'!$D:$P,3,0))</f>
        <v>2394000130974</v>
      </c>
      <c r="D76" s="99" t="str">
        <f>IF($A76="","",VLOOKUP($A76,'Annex 2 Designated EHV charges'!$D:$P,4,0))</f>
        <v>EHV Site Specific (LLFC 737 &amp; 119)</v>
      </c>
      <c r="E76" s="104">
        <f>IFERROR(IF(VLOOKUP($A76,'Annex 2 Designated EHV charges'!$D:$P,10,FALSE)=0,0,VLOOKUP($A76,'Annex 2 Designated EHV charges'!$D:$P,10,FALSE)),"")</f>
        <v>0</v>
      </c>
      <c r="F76" s="105">
        <f>IFERROR(IF(VLOOKUP($A76,'Annex 2 Designated EHV charges'!$D:$P,11,FALSE)=0,0,VLOOKUP($A76,'Annex 2 Designated EHV charges'!$D:$P,11,FALSE)),"")</f>
        <v>183.02</v>
      </c>
      <c r="G76" s="106">
        <f>IFERROR(IF(VLOOKUP($A76,'Annex 2 Designated EHV charges'!$D:$P,12,FALSE)=0,0,VLOOKUP($A76,'Annex 2 Designated EHV charges'!$D:$P,12,FALSE)),"")</f>
        <v>0.05</v>
      </c>
      <c r="H76" s="106">
        <f>IFERROR(IF(VLOOKUP($A76,'Annex 2 Designated EHV charges'!$D:$P,13,FALSE)=0,0,VLOOKUP($A76,'Annex 2 Designated EHV charges'!$D:$P,13,FALSE)),"")</f>
        <v>0.05</v>
      </c>
    </row>
    <row r="77" spans="1:8" x14ac:dyDescent="0.2">
      <c r="A77" s="103">
        <v>126</v>
      </c>
      <c r="B77" s="79">
        <f>IF($A77="","",VLOOKUP($A77,'Annex 2 Designated EHV charges'!$D:$P,2,0))</f>
        <v>126</v>
      </c>
      <c r="C77" s="98">
        <f>IF($A77="","",VLOOKUP($A77,'Annex 2 Designated EHV charges'!$D:$P,3,0))</f>
        <v>2394000132094</v>
      </c>
      <c r="D77" s="99" t="str">
        <f>IF($A77="","",VLOOKUP($A77,'Annex 2 Designated EHV charges'!$D:$P,4,0))</f>
        <v>EHV Site Specific (LLFC 740 &amp; 126)</v>
      </c>
      <c r="E77" s="104">
        <f>IFERROR(IF(VLOOKUP($A77,'Annex 2 Designated EHV charges'!$D:$P,10,FALSE)=0,0,VLOOKUP($A77,'Annex 2 Designated EHV charges'!$D:$P,10,FALSE)),"")</f>
        <v>-0.16700000000000001</v>
      </c>
      <c r="F77" s="105">
        <f>IFERROR(IF(VLOOKUP($A77,'Annex 2 Designated EHV charges'!$D:$P,11,FALSE)=0,0,VLOOKUP($A77,'Annex 2 Designated EHV charges'!$D:$P,11,FALSE)),"")</f>
        <v>1149.77</v>
      </c>
      <c r="G77" s="106">
        <f>IFERROR(IF(VLOOKUP($A77,'Annex 2 Designated EHV charges'!$D:$P,12,FALSE)=0,0,VLOOKUP($A77,'Annex 2 Designated EHV charges'!$D:$P,12,FALSE)),"")</f>
        <v>0.05</v>
      </c>
      <c r="H77" s="106">
        <f>IFERROR(IF(VLOOKUP($A77,'Annex 2 Designated EHV charges'!$D:$P,13,FALSE)=0,0,VLOOKUP($A77,'Annex 2 Designated EHV charges'!$D:$P,13,FALSE)),"")</f>
        <v>0.05</v>
      </c>
    </row>
    <row r="78" spans="1:8" x14ac:dyDescent="0.2">
      <c r="A78" s="103">
        <v>127</v>
      </c>
      <c r="B78" s="79">
        <f>IF($A78="","",VLOOKUP($A78,'Annex 2 Designated EHV charges'!$D:$P,2,0))</f>
        <v>127</v>
      </c>
      <c r="C78" s="98">
        <f>IF($A78="","",VLOOKUP($A78,'Annex 2 Designated EHV charges'!$D:$P,3,0))</f>
        <v>2394000132252</v>
      </c>
      <c r="D78" s="99" t="str">
        <f>IF($A78="","",VLOOKUP($A78,'Annex 2 Designated EHV charges'!$D:$P,4,0))</f>
        <v>EHV Site Specific (LLFC 745 &amp; 127)</v>
      </c>
      <c r="E78" s="104">
        <f>IFERROR(IF(VLOOKUP($A78,'Annex 2 Designated EHV charges'!$D:$P,10,FALSE)=0,0,VLOOKUP($A78,'Annex 2 Designated EHV charges'!$D:$P,10,FALSE)),"")</f>
        <v>0</v>
      </c>
      <c r="F78" s="105">
        <f>IFERROR(IF(VLOOKUP($A78,'Annex 2 Designated EHV charges'!$D:$P,11,FALSE)=0,0,VLOOKUP($A78,'Annex 2 Designated EHV charges'!$D:$P,11,FALSE)),"")</f>
        <v>5189.87</v>
      </c>
      <c r="G78" s="106">
        <f>IFERROR(IF(VLOOKUP($A78,'Annex 2 Designated EHV charges'!$D:$P,12,FALSE)=0,0,VLOOKUP($A78,'Annex 2 Designated EHV charges'!$D:$P,12,FALSE)),"")</f>
        <v>0.05</v>
      </c>
      <c r="H78" s="106">
        <f>IFERROR(IF(VLOOKUP($A78,'Annex 2 Designated EHV charges'!$D:$P,13,FALSE)=0,0,VLOOKUP($A78,'Annex 2 Designated EHV charges'!$D:$P,13,FALSE)),"")</f>
        <v>0.05</v>
      </c>
    </row>
    <row r="79" spans="1:8" ht="30" x14ac:dyDescent="0.2">
      <c r="A79" s="103">
        <v>511</v>
      </c>
      <c r="B79" s="79">
        <f>IF($A79="","",VLOOKUP($A79,'Annex 2 Designated EHV charges'!$D:$P,2,0))</f>
        <v>511</v>
      </c>
      <c r="C79" s="98" t="str">
        <f>IF($A79="","",VLOOKUP($A79,'Annex 2 Designated EHV charges'!$D:$P,3,0))</f>
        <v>2394000133831
2394000133840</v>
      </c>
      <c r="D79" s="99" t="str">
        <f>IF($A79="","",VLOOKUP($A79,'Annex 2 Designated EHV charges'!$D:$P,4,0))</f>
        <v>EHV Site Specific (LLFC 746 &amp; 511)</v>
      </c>
      <c r="E79" s="104">
        <f>IFERROR(IF(VLOOKUP($A79,'Annex 2 Designated EHV charges'!$D:$P,10,FALSE)=0,0,VLOOKUP($A79,'Annex 2 Designated EHV charges'!$D:$P,10,FALSE)),"")</f>
        <v>-2.1999999999999999E-2</v>
      </c>
      <c r="F79" s="105">
        <f>IFERROR(IF(VLOOKUP($A79,'Annex 2 Designated EHV charges'!$D:$P,11,FALSE)=0,0,VLOOKUP($A79,'Annex 2 Designated EHV charges'!$D:$P,11,FALSE)),"")</f>
        <v>1013.22</v>
      </c>
      <c r="G79" s="106">
        <f>IFERROR(IF(VLOOKUP($A79,'Annex 2 Designated EHV charges'!$D:$P,12,FALSE)=0,0,VLOOKUP($A79,'Annex 2 Designated EHV charges'!$D:$P,12,FALSE)),"")</f>
        <v>0.05</v>
      </c>
      <c r="H79" s="106">
        <f>IFERROR(IF(VLOOKUP($A79,'Annex 2 Designated EHV charges'!$D:$P,13,FALSE)=0,0,VLOOKUP($A79,'Annex 2 Designated EHV charges'!$D:$P,13,FALSE)),"")</f>
        <v>0.05</v>
      </c>
    </row>
    <row r="80" spans="1:8" x14ac:dyDescent="0.2">
      <c r="A80" s="103">
        <v>512</v>
      </c>
      <c r="B80" s="79">
        <f>IF($A80="","",VLOOKUP($A80,'Annex 2 Designated EHV charges'!$D:$P,2,0))</f>
        <v>512</v>
      </c>
      <c r="C80" s="98">
        <f>IF($A80="","",VLOOKUP($A80,'Annex 2 Designated EHV charges'!$D:$P,3,0))</f>
        <v>2394000134668</v>
      </c>
      <c r="D80" s="99" t="str">
        <f>IF($A80="","",VLOOKUP($A80,'Annex 2 Designated EHV charges'!$D:$P,4,0))</f>
        <v>EHV Site Specific (LLFC 747 &amp; 512)</v>
      </c>
      <c r="E80" s="104">
        <f>IFERROR(IF(VLOOKUP($A80,'Annex 2 Designated EHV charges'!$D:$P,10,FALSE)=0,0,VLOOKUP($A80,'Annex 2 Designated EHV charges'!$D:$P,10,FALSE)),"")</f>
        <v>-0.18099999999999999</v>
      </c>
      <c r="F80" s="105">
        <f>IFERROR(IF(VLOOKUP($A80,'Annex 2 Designated EHV charges'!$D:$P,11,FALSE)=0,0,VLOOKUP($A80,'Annex 2 Designated EHV charges'!$D:$P,11,FALSE)),"")</f>
        <v>177.09</v>
      </c>
      <c r="G80" s="106">
        <f>IFERROR(IF(VLOOKUP($A80,'Annex 2 Designated EHV charges'!$D:$P,12,FALSE)=0,0,VLOOKUP($A80,'Annex 2 Designated EHV charges'!$D:$P,12,FALSE)),"")</f>
        <v>0.05</v>
      </c>
      <c r="H80" s="106">
        <f>IFERROR(IF(VLOOKUP($A80,'Annex 2 Designated EHV charges'!$D:$P,13,FALSE)=0,0,VLOOKUP($A80,'Annex 2 Designated EHV charges'!$D:$P,13,FALSE)),"")</f>
        <v>0.05</v>
      </c>
    </row>
    <row r="81" spans="1:8" x14ac:dyDescent="0.2">
      <c r="A81" s="103">
        <v>513</v>
      </c>
      <c r="B81" s="79">
        <f>IF($A81="","",VLOOKUP($A81,'Annex 2 Designated EHV charges'!$D:$P,2,0))</f>
        <v>513</v>
      </c>
      <c r="C81" s="98">
        <f>IF($A81="","",VLOOKUP($A81,'Annex 2 Designated EHV charges'!$D:$P,3,0))</f>
        <v>2394000134914</v>
      </c>
      <c r="D81" s="99" t="str">
        <f>IF($A81="","",VLOOKUP($A81,'Annex 2 Designated EHV charges'!$D:$P,4,0))</f>
        <v>EHV Site Specific (LLFC 748 &amp; 513)</v>
      </c>
      <c r="E81" s="104">
        <f>IFERROR(IF(VLOOKUP($A81,'Annex 2 Designated EHV charges'!$D:$P,10,FALSE)=0,0,VLOOKUP($A81,'Annex 2 Designated EHV charges'!$D:$P,10,FALSE)),"")</f>
        <v>-1E-3</v>
      </c>
      <c r="F81" s="105">
        <f>IFERROR(IF(VLOOKUP($A81,'Annex 2 Designated EHV charges'!$D:$P,11,FALSE)=0,0,VLOOKUP($A81,'Annex 2 Designated EHV charges'!$D:$P,11,FALSE)),"")</f>
        <v>2842.58</v>
      </c>
      <c r="G81" s="106">
        <f>IFERROR(IF(VLOOKUP($A81,'Annex 2 Designated EHV charges'!$D:$P,12,FALSE)=0,0,VLOOKUP($A81,'Annex 2 Designated EHV charges'!$D:$P,12,FALSE)),"")</f>
        <v>0.05</v>
      </c>
      <c r="H81" s="106">
        <f>IFERROR(IF(VLOOKUP($A81,'Annex 2 Designated EHV charges'!$D:$P,13,FALSE)=0,0,VLOOKUP($A81,'Annex 2 Designated EHV charges'!$D:$P,13,FALSE)),"")</f>
        <v>0.05</v>
      </c>
    </row>
    <row r="82" spans="1:8" x14ac:dyDescent="0.2">
      <c r="A82" s="103">
        <v>514</v>
      </c>
      <c r="B82" s="79">
        <f>IF($A82="","",VLOOKUP($A82,'Annex 2 Designated EHV charges'!$D:$P,2,0))</f>
        <v>514</v>
      </c>
      <c r="C82" s="98">
        <f>IF($A82="","",VLOOKUP($A82,'Annex 2 Designated EHV charges'!$D:$P,3,0))</f>
        <v>2394000135129</v>
      </c>
      <c r="D82" s="99" t="str">
        <f>IF($A82="","",VLOOKUP($A82,'Annex 2 Designated EHV charges'!$D:$P,4,0))</f>
        <v>EHV Site Specific (LLFC 749 &amp; 514)</v>
      </c>
      <c r="E82" s="104">
        <f>IFERROR(IF(VLOOKUP($A82,'Annex 2 Designated EHV charges'!$D:$P,10,FALSE)=0,0,VLOOKUP($A82,'Annex 2 Designated EHV charges'!$D:$P,10,FALSE)),"")</f>
        <v>-1E-3</v>
      </c>
      <c r="F82" s="105">
        <f>IFERROR(IF(VLOOKUP($A82,'Annex 2 Designated EHV charges'!$D:$P,11,FALSE)=0,0,VLOOKUP($A82,'Annex 2 Designated EHV charges'!$D:$P,11,FALSE)),"")</f>
        <v>817.32</v>
      </c>
      <c r="G82" s="106">
        <f>IFERROR(IF(VLOOKUP($A82,'Annex 2 Designated EHV charges'!$D:$P,12,FALSE)=0,0,VLOOKUP($A82,'Annex 2 Designated EHV charges'!$D:$P,12,FALSE)),"")</f>
        <v>0.05</v>
      </c>
      <c r="H82" s="106">
        <f>IFERROR(IF(VLOOKUP($A82,'Annex 2 Designated EHV charges'!$D:$P,13,FALSE)=0,0,VLOOKUP($A82,'Annex 2 Designated EHV charges'!$D:$P,13,FALSE)),"")</f>
        <v>0.05</v>
      </c>
    </row>
    <row r="83" spans="1:8" x14ac:dyDescent="0.2">
      <c r="A83" s="103">
        <v>515</v>
      </c>
      <c r="B83" s="79">
        <f>IF($A83="","",VLOOKUP($A83,'Annex 2 Designated EHV charges'!$D:$P,2,0))</f>
        <v>515</v>
      </c>
      <c r="C83" s="98">
        <f>IF($A83="","",VLOOKUP($A83,'Annex 2 Designated EHV charges'!$D:$P,3,0))</f>
        <v>2394000135305</v>
      </c>
      <c r="D83" s="99" t="str">
        <f>IF($A83="","",VLOOKUP($A83,'Annex 2 Designated EHV charges'!$D:$P,4,0))</f>
        <v>EHV Site Specific (LLFC 901 &amp; 515)</v>
      </c>
      <c r="E83" s="104">
        <f>IFERROR(IF(VLOOKUP($A83,'Annex 2 Designated EHV charges'!$D:$P,10,FALSE)=0,0,VLOOKUP($A83,'Annex 2 Designated EHV charges'!$D:$P,10,FALSE)),"")</f>
        <v>-8.9999999999999993E-3</v>
      </c>
      <c r="F83" s="105">
        <f>IFERROR(IF(VLOOKUP($A83,'Annex 2 Designated EHV charges'!$D:$P,11,FALSE)=0,0,VLOOKUP($A83,'Annex 2 Designated EHV charges'!$D:$P,11,FALSE)),"")</f>
        <v>181.45</v>
      </c>
      <c r="G83" s="106">
        <f>IFERROR(IF(VLOOKUP($A83,'Annex 2 Designated EHV charges'!$D:$P,12,FALSE)=0,0,VLOOKUP($A83,'Annex 2 Designated EHV charges'!$D:$P,12,FALSE)),"")</f>
        <v>0.05</v>
      </c>
      <c r="H83" s="106">
        <f>IFERROR(IF(VLOOKUP($A83,'Annex 2 Designated EHV charges'!$D:$P,13,FALSE)=0,0,VLOOKUP($A83,'Annex 2 Designated EHV charges'!$D:$P,13,FALSE)),"")</f>
        <v>0.05</v>
      </c>
    </row>
    <row r="84" spans="1:8" x14ac:dyDescent="0.2">
      <c r="A84" s="103">
        <v>516</v>
      </c>
      <c r="B84" s="79">
        <f>IF($A84="","",VLOOKUP($A84,'Annex 2 Designated EHV charges'!$D:$P,2,0))</f>
        <v>516</v>
      </c>
      <c r="C84" s="98" t="str">
        <f>IF($A84="","",VLOOKUP($A84,'Annex 2 Designated EHV charges'!$D:$P,3,0))</f>
        <v>TBC</v>
      </c>
      <c r="D84" s="99" t="str">
        <f>IF($A84="","",VLOOKUP($A84,'Annex 2 Designated EHV charges'!$D:$P,4,0))</f>
        <v>EHV Site Specific (LLFC 902 &amp; 516)</v>
      </c>
      <c r="E84" s="104">
        <f>IFERROR(IF(VLOOKUP($A84,'Annex 2 Designated EHV charges'!$D:$P,10,FALSE)=0,0,VLOOKUP($A84,'Annex 2 Designated EHV charges'!$D:$P,10,FALSE)),"")</f>
        <v>0</v>
      </c>
      <c r="F84" s="105">
        <f>IFERROR(IF(VLOOKUP($A84,'Annex 2 Designated EHV charges'!$D:$P,11,FALSE)=0,0,VLOOKUP($A84,'Annex 2 Designated EHV charges'!$D:$P,11,FALSE)),"")</f>
        <v>1721.83</v>
      </c>
      <c r="G84" s="106">
        <f>IFERROR(IF(VLOOKUP($A84,'Annex 2 Designated EHV charges'!$D:$P,12,FALSE)=0,0,VLOOKUP($A84,'Annex 2 Designated EHV charges'!$D:$P,12,FALSE)),"")</f>
        <v>0.05</v>
      </c>
      <c r="H84" s="106">
        <f>IFERROR(IF(VLOOKUP($A84,'Annex 2 Designated EHV charges'!$D:$P,13,FALSE)=0,0,VLOOKUP($A84,'Annex 2 Designated EHV charges'!$D:$P,13,FALSE)),"")</f>
        <v>0.05</v>
      </c>
    </row>
    <row r="85" spans="1:8" x14ac:dyDescent="0.2">
      <c r="A85" s="103">
        <v>517</v>
      </c>
      <c r="B85" s="79">
        <f>IF($A85="","",VLOOKUP($A85,'Annex 2 Designated EHV charges'!$D:$P,2,0))</f>
        <v>517</v>
      </c>
      <c r="C85" s="98">
        <f>IF($A85="","",VLOOKUP($A85,'Annex 2 Designated EHV charges'!$D:$P,3,0))</f>
        <v>2394000136976</v>
      </c>
      <c r="D85" s="99" t="str">
        <f>IF($A85="","",VLOOKUP($A85,'Annex 2 Designated EHV charges'!$D:$P,4,0))</f>
        <v>EHV Site Specific (LLFC 904 &amp; 517)</v>
      </c>
      <c r="E85" s="104">
        <f>IFERROR(IF(VLOOKUP($A85,'Annex 2 Designated EHV charges'!$D:$P,10,FALSE)=0,0,VLOOKUP($A85,'Annex 2 Designated EHV charges'!$D:$P,10,FALSE)),"")</f>
        <v>0</v>
      </c>
      <c r="F85" s="105">
        <f>IFERROR(IF(VLOOKUP($A85,'Annex 2 Designated EHV charges'!$D:$P,11,FALSE)=0,0,VLOOKUP($A85,'Annex 2 Designated EHV charges'!$D:$P,11,FALSE)),"")</f>
        <v>180.71</v>
      </c>
      <c r="G85" s="106">
        <f>IFERROR(IF(VLOOKUP($A85,'Annex 2 Designated EHV charges'!$D:$P,12,FALSE)=0,0,VLOOKUP($A85,'Annex 2 Designated EHV charges'!$D:$P,12,FALSE)),"")</f>
        <v>0.05</v>
      </c>
      <c r="H85" s="106">
        <f>IFERROR(IF(VLOOKUP($A85,'Annex 2 Designated EHV charges'!$D:$P,13,FALSE)=0,0,VLOOKUP($A85,'Annex 2 Designated EHV charges'!$D:$P,13,FALSE)),"")</f>
        <v>0.05</v>
      </c>
    </row>
    <row r="86" spans="1:8" x14ac:dyDescent="0.2">
      <c r="A86" s="103">
        <v>518</v>
      </c>
      <c r="B86" s="79">
        <f>IF($A86="","",VLOOKUP($A86,'Annex 2 Designated EHV charges'!$D:$P,2,0))</f>
        <v>518</v>
      </c>
      <c r="C86" s="98">
        <f>IF($A86="","",VLOOKUP($A86,'Annex 2 Designated EHV charges'!$D:$P,3,0))</f>
        <v>2394000137038</v>
      </c>
      <c r="D86" s="99" t="str">
        <f>IF($A86="","",VLOOKUP($A86,'Annex 2 Designated EHV charges'!$D:$P,4,0))</f>
        <v>EHV Site Specific (LLFC 905 &amp; 518)</v>
      </c>
      <c r="E86" s="104">
        <f>IFERROR(IF(VLOOKUP($A86,'Annex 2 Designated EHV charges'!$D:$P,10,FALSE)=0,0,VLOOKUP($A86,'Annex 2 Designated EHV charges'!$D:$P,10,FALSE)),"")</f>
        <v>-7.0000000000000001E-3</v>
      </c>
      <c r="F86" s="105">
        <f>IFERROR(IF(VLOOKUP($A86,'Annex 2 Designated EHV charges'!$D:$P,11,FALSE)=0,0,VLOOKUP($A86,'Annex 2 Designated EHV charges'!$D:$P,11,FALSE)),"")</f>
        <v>180.06</v>
      </c>
      <c r="G86" s="106">
        <f>IFERROR(IF(VLOOKUP($A86,'Annex 2 Designated EHV charges'!$D:$P,12,FALSE)=0,0,VLOOKUP($A86,'Annex 2 Designated EHV charges'!$D:$P,12,FALSE)),"")</f>
        <v>0.05</v>
      </c>
      <c r="H86" s="106">
        <f>IFERROR(IF(VLOOKUP($A86,'Annex 2 Designated EHV charges'!$D:$P,13,FALSE)=0,0,VLOOKUP($A86,'Annex 2 Designated EHV charges'!$D:$P,13,FALSE)),"")</f>
        <v>0.05</v>
      </c>
    </row>
    <row r="87" spans="1:8" x14ac:dyDescent="0.2">
      <c r="A87" s="103">
        <v>519</v>
      </c>
      <c r="B87" s="79">
        <f>IF($A87="","",VLOOKUP($A87,'Annex 2 Designated EHV charges'!$D:$P,2,0))</f>
        <v>519</v>
      </c>
      <c r="C87" s="98">
        <f>IF($A87="","",VLOOKUP($A87,'Annex 2 Designated EHV charges'!$D:$P,3,0))</f>
        <v>2394000137960</v>
      </c>
      <c r="D87" s="99" t="str">
        <f>IF($A87="","",VLOOKUP($A87,'Annex 2 Designated EHV charges'!$D:$P,4,0))</f>
        <v>EHV Site Specific (LLFC 906 &amp; 519)</v>
      </c>
      <c r="E87" s="104">
        <f>IFERROR(IF(VLOOKUP($A87,'Annex 2 Designated EHV charges'!$D:$P,10,FALSE)=0,0,VLOOKUP($A87,'Annex 2 Designated EHV charges'!$D:$P,10,FALSE)),"")</f>
        <v>0</v>
      </c>
      <c r="F87" s="105">
        <f>IFERROR(IF(VLOOKUP($A87,'Annex 2 Designated EHV charges'!$D:$P,11,FALSE)=0,0,VLOOKUP($A87,'Annex 2 Designated EHV charges'!$D:$P,11,FALSE)),"")</f>
        <v>668.07</v>
      </c>
      <c r="G87" s="106">
        <f>IFERROR(IF(VLOOKUP($A87,'Annex 2 Designated EHV charges'!$D:$P,12,FALSE)=0,0,VLOOKUP($A87,'Annex 2 Designated EHV charges'!$D:$P,12,FALSE)),"")</f>
        <v>0.05</v>
      </c>
      <c r="H87" s="106">
        <f>IFERROR(IF(VLOOKUP($A87,'Annex 2 Designated EHV charges'!$D:$P,13,FALSE)=0,0,VLOOKUP($A87,'Annex 2 Designated EHV charges'!$D:$P,13,FALSE)),"")</f>
        <v>0.05</v>
      </c>
    </row>
    <row r="88" spans="1:8" x14ac:dyDescent="0.2">
      <c r="A88" s="103">
        <v>520</v>
      </c>
      <c r="B88" s="79">
        <f>IF($A88="","",VLOOKUP($A88,'Annex 2 Designated EHV charges'!$D:$P,2,0))</f>
        <v>520</v>
      </c>
      <c r="C88" s="98" t="str">
        <f>IF($A88="","",VLOOKUP($A88,'Annex 2 Designated EHV charges'!$D:$P,3,0))</f>
        <v>TBC</v>
      </c>
      <c r="D88" s="99" t="str">
        <f>IF($A88="","",VLOOKUP($A88,'Annex 2 Designated EHV charges'!$D:$P,4,0))</f>
        <v>EHV Site Specific (LLFC 907 &amp; 520)</v>
      </c>
      <c r="E88" s="104">
        <f>IFERROR(IF(VLOOKUP($A88,'Annex 2 Designated EHV charges'!$D:$P,10,FALSE)=0,0,VLOOKUP($A88,'Annex 2 Designated EHV charges'!$D:$P,10,FALSE)),"")</f>
        <v>0</v>
      </c>
      <c r="F88" s="105">
        <f>IFERROR(IF(VLOOKUP($A88,'Annex 2 Designated EHV charges'!$D:$P,11,FALSE)=0,0,VLOOKUP($A88,'Annex 2 Designated EHV charges'!$D:$P,11,FALSE)),"")</f>
        <v>884.96</v>
      </c>
      <c r="G88" s="106">
        <f>IFERROR(IF(VLOOKUP($A88,'Annex 2 Designated EHV charges'!$D:$P,12,FALSE)=0,0,VLOOKUP($A88,'Annex 2 Designated EHV charges'!$D:$P,12,FALSE)),"")</f>
        <v>0.05</v>
      </c>
      <c r="H88" s="106">
        <f>IFERROR(IF(VLOOKUP($A88,'Annex 2 Designated EHV charges'!$D:$P,13,FALSE)=0,0,VLOOKUP($A88,'Annex 2 Designated EHV charges'!$D:$P,13,FALSE)),"")</f>
        <v>0.05</v>
      </c>
    </row>
    <row r="89" spans="1:8" x14ac:dyDescent="0.2">
      <c r="A89" s="103">
        <v>521</v>
      </c>
      <c r="B89" s="79">
        <f>IF($A89="","",VLOOKUP($A89,'Annex 2 Designated EHV charges'!$D:$P,2,0))</f>
        <v>521</v>
      </c>
      <c r="C89" s="98">
        <f>IF($A89="","",VLOOKUP($A89,'Annex 2 Designated EHV charges'!$D:$P,3,0))</f>
        <v>2394000138583</v>
      </c>
      <c r="D89" s="99" t="str">
        <f>IF($A89="","",VLOOKUP($A89,'Annex 2 Designated EHV charges'!$D:$P,4,0))</f>
        <v>EHV Site Specific (LLFC 908 &amp; 521)</v>
      </c>
      <c r="E89" s="104">
        <f>IFERROR(IF(VLOOKUP($A89,'Annex 2 Designated EHV charges'!$D:$P,10,FALSE)=0,0,VLOOKUP($A89,'Annex 2 Designated EHV charges'!$D:$P,10,FALSE)),"")</f>
        <v>-7.0000000000000001E-3</v>
      </c>
      <c r="F89" s="105">
        <f>IFERROR(IF(VLOOKUP($A89,'Annex 2 Designated EHV charges'!$D:$P,11,FALSE)=0,0,VLOOKUP($A89,'Annex 2 Designated EHV charges'!$D:$P,11,FALSE)),"")</f>
        <v>180.06</v>
      </c>
      <c r="G89" s="106">
        <f>IFERROR(IF(VLOOKUP($A89,'Annex 2 Designated EHV charges'!$D:$P,12,FALSE)=0,0,VLOOKUP($A89,'Annex 2 Designated EHV charges'!$D:$P,12,FALSE)),"")</f>
        <v>0.05</v>
      </c>
      <c r="H89" s="106">
        <f>IFERROR(IF(VLOOKUP($A89,'Annex 2 Designated EHV charges'!$D:$P,13,FALSE)=0,0,VLOOKUP($A89,'Annex 2 Designated EHV charges'!$D:$P,13,FALSE)),"")</f>
        <v>0.05</v>
      </c>
    </row>
    <row r="90" spans="1:8" x14ac:dyDescent="0.2">
      <c r="A90" s="103">
        <v>522</v>
      </c>
      <c r="B90" s="79">
        <f>IF($A90="","",VLOOKUP($A90,'Annex 2 Designated EHV charges'!$D:$P,2,0))</f>
        <v>522</v>
      </c>
      <c r="C90" s="98">
        <f>IF($A90="","",VLOOKUP($A90,'Annex 2 Designated EHV charges'!$D:$P,3,0))</f>
        <v>2394000140217</v>
      </c>
      <c r="D90" s="99" t="str">
        <f>IF($A90="","",VLOOKUP($A90,'Annex 2 Designated EHV charges'!$D:$P,4,0))</f>
        <v>EHV Site Specific (LLFC 910 &amp; 522)</v>
      </c>
      <c r="E90" s="104">
        <f>IFERROR(IF(VLOOKUP($A90,'Annex 2 Designated EHV charges'!$D:$P,10,FALSE)=0,0,VLOOKUP($A90,'Annex 2 Designated EHV charges'!$D:$P,10,FALSE)),"")</f>
        <v>-7.0000000000000001E-3</v>
      </c>
      <c r="F90" s="105">
        <f>IFERROR(IF(VLOOKUP($A90,'Annex 2 Designated EHV charges'!$D:$P,11,FALSE)=0,0,VLOOKUP($A90,'Annex 2 Designated EHV charges'!$D:$P,11,FALSE)),"")</f>
        <v>939.48</v>
      </c>
      <c r="G90" s="106">
        <f>IFERROR(IF(VLOOKUP($A90,'Annex 2 Designated EHV charges'!$D:$P,12,FALSE)=0,0,VLOOKUP($A90,'Annex 2 Designated EHV charges'!$D:$P,12,FALSE)),"")</f>
        <v>0.05</v>
      </c>
      <c r="H90" s="106">
        <f>IFERROR(IF(VLOOKUP($A90,'Annex 2 Designated EHV charges'!$D:$P,13,FALSE)=0,0,VLOOKUP($A90,'Annex 2 Designated EHV charges'!$D:$P,13,FALSE)),"")</f>
        <v>0.05</v>
      </c>
    </row>
    <row r="91" spans="1:8" x14ac:dyDescent="0.2">
      <c r="A91" s="103">
        <v>523</v>
      </c>
      <c r="B91" s="79">
        <f>IF($A91="","",VLOOKUP($A91,'Annex 2 Designated EHV charges'!$D:$P,2,0))</f>
        <v>523</v>
      </c>
      <c r="C91" s="98">
        <f>IF($A91="","",VLOOKUP($A91,'Annex 2 Designated EHV charges'!$D:$P,3,0))</f>
        <v>2394000141451</v>
      </c>
      <c r="D91" s="99" t="str">
        <f>IF($A91="","",VLOOKUP($A91,'Annex 2 Designated EHV charges'!$D:$P,4,0))</f>
        <v>EHV Site Specific (LLFC 916 &amp; 523)</v>
      </c>
      <c r="E91" s="104">
        <f>IFERROR(IF(VLOOKUP($A91,'Annex 2 Designated EHV charges'!$D:$P,10,FALSE)=0,0,VLOOKUP($A91,'Annex 2 Designated EHV charges'!$D:$P,10,FALSE)),"")</f>
        <v>-7.0000000000000001E-3</v>
      </c>
      <c r="F91" s="105">
        <f>IFERROR(IF(VLOOKUP($A91,'Annex 2 Designated EHV charges'!$D:$P,11,FALSE)=0,0,VLOOKUP($A91,'Annex 2 Designated EHV charges'!$D:$P,11,FALSE)),"")</f>
        <v>591.54</v>
      </c>
      <c r="G91" s="106">
        <f>IFERROR(IF(VLOOKUP($A91,'Annex 2 Designated EHV charges'!$D:$P,12,FALSE)=0,0,VLOOKUP($A91,'Annex 2 Designated EHV charges'!$D:$P,12,FALSE)),"")</f>
        <v>0.05</v>
      </c>
      <c r="H91" s="106">
        <f>IFERROR(IF(VLOOKUP($A91,'Annex 2 Designated EHV charges'!$D:$P,13,FALSE)=0,0,VLOOKUP($A91,'Annex 2 Designated EHV charges'!$D:$P,13,FALSE)),"")</f>
        <v>0.05</v>
      </c>
    </row>
    <row r="92" spans="1:8" x14ac:dyDescent="0.2">
      <c r="A92" s="103">
        <v>524</v>
      </c>
      <c r="B92" s="79">
        <f>IF($A92="","",VLOOKUP($A92,'Annex 2 Designated EHV charges'!$D:$P,2,0))</f>
        <v>524</v>
      </c>
      <c r="C92" s="98">
        <f>IF($A92="","",VLOOKUP($A92,'Annex 2 Designated EHV charges'!$D:$P,3,0))</f>
        <v>2394000141521</v>
      </c>
      <c r="D92" s="99" t="str">
        <f>IF($A92="","",VLOOKUP($A92,'Annex 2 Designated EHV charges'!$D:$P,4,0))</f>
        <v>EHV Site Specific (LLFC 917 &amp; 524)</v>
      </c>
      <c r="E92" s="104">
        <f>IFERROR(IF(VLOOKUP($A92,'Annex 2 Designated EHV charges'!$D:$P,10,FALSE)=0,0,VLOOKUP($A92,'Annex 2 Designated EHV charges'!$D:$P,10,FALSE)),"")</f>
        <v>0</v>
      </c>
      <c r="F92" s="105">
        <f>IFERROR(IF(VLOOKUP($A92,'Annex 2 Designated EHV charges'!$D:$P,11,FALSE)=0,0,VLOOKUP($A92,'Annex 2 Designated EHV charges'!$D:$P,11,FALSE)),"")</f>
        <v>307.98</v>
      </c>
      <c r="G92" s="106">
        <f>IFERROR(IF(VLOOKUP($A92,'Annex 2 Designated EHV charges'!$D:$P,12,FALSE)=0,0,VLOOKUP($A92,'Annex 2 Designated EHV charges'!$D:$P,12,FALSE)),"")</f>
        <v>0.05</v>
      </c>
      <c r="H92" s="106">
        <f>IFERROR(IF(VLOOKUP($A92,'Annex 2 Designated EHV charges'!$D:$P,13,FALSE)=0,0,VLOOKUP($A92,'Annex 2 Designated EHV charges'!$D:$P,13,FALSE)),"")</f>
        <v>0.05</v>
      </c>
    </row>
    <row r="93" spans="1:8" x14ac:dyDescent="0.2">
      <c r="A93" s="103">
        <v>525</v>
      </c>
      <c r="B93" s="79">
        <f>IF($A93="","",VLOOKUP($A93,'Annex 2 Designated EHV charges'!$D:$P,2,0))</f>
        <v>525</v>
      </c>
      <c r="C93" s="98">
        <f>IF($A93="","",VLOOKUP($A93,'Annex 2 Designated EHV charges'!$D:$P,3,0))</f>
        <v>2394000143592</v>
      </c>
      <c r="D93" s="99" t="str">
        <f>IF($A93="","",VLOOKUP($A93,'Annex 2 Designated EHV charges'!$D:$P,4,0))</f>
        <v>EHV Site Specific (LLFC 918 &amp; 525)</v>
      </c>
      <c r="E93" s="104">
        <f>IFERROR(IF(VLOOKUP($A93,'Annex 2 Designated EHV charges'!$D:$P,10,FALSE)=0,0,VLOOKUP($A93,'Annex 2 Designated EHV charges'!$D:$P,10,FALSE)),"")</f>
        <v>-0.23799999999999999</v>
      </c>
      <c r="F93" s="105">
        <f>IFERROR(IF(VLOOKUP($A93,'Annex 2 Designated EHV charges'!$D:$P,11,FALSE)=0,0,VLOOKUP($A93,'Annex 2 Designated EHV charges'!$D:$P,11,FALSE)),"")</f>
        <v>1446.05</v>
      </c>
      <c r="G93" s="106">
        <f>IFERROR(IF(VLOOKUP($A93,'Annex 2 Designated EHV charges'!$D:$P,12,FALSE)=0,0,VLOOKUP($A93,'Annex 2 Designated EHV charges'!$D:$P,12,FALSE)),"")</f>
        <v>0.05</v>
      </c>
      <c r="H93" s="106">
        <f>IFERROR(IF(VLOOKUP($A93,'Annex 2 Designated EHV charges'!$D:$P,13,FALSE)=0,0,VLOOKUP($A93,'Annex 2 Designated EHV charges'!$D:$P,13,FALSE)),"")</f>
        <v>0.05</v>
      </c>
    </row>
    <row r="94" spans="1:8" x14ac:dyDescent="0.2">
      <c r="A94" s="103">
        <v>526</v>
      </c>
      <c r="B94" s="79">
        <f>IF($A94="","",VLOOKUP($A94,'Annex 2 Designated EHV charges'!$D:$P,2,0))</f>
        <v>526</v>
      </c>
      <c r="C94" s="98">
        <f>IF($A94="","",VLOOKUP($A94,'Annex 2 Designated EHV charges'!$D:$P,3,0))</f>
        <v>2394200144124</v>
      </c>
      <c r="D94" s="99" t="str">
        <f>IF($A94="","",VLOOKUP($A94,'Annex 2 Designated EHV charges'!$D:$P,4,0))</f>
        <v>EHV Site Specific (LLFC 919 &amp; 526)</v>
      </c>
      <c r="E94" s="104">
        <f>IFERROR(IF(VLOOKUP($A94,'Annex 2 Designated EHV charges'!$D:$P,10,FALSE)=0,0,VLOOKUP($A94,'Annex 2 Designated EHV charges'!$D:$P,10,FALSE)),"")</f>
        <v>-7.0000000000000001E-3</v>
      </c>
      <c r="F94" s="105">
        <f>IFERROR(IF(VLOOKUP($A94,'Annex 2 Designated EHV charges'!$D:$P,11,FALSE)=0,0,VLOOKUP($A94,'Annex 2 Designated EHV charges'!$D:$P,11,FALSE)),"")</f>
        <v>360.64</v>
      </c>
      <c r="G94" s="106">
        <f>IFERROR(IF(VLOOKUP($A94,'Annex 2 Designated EHV charges'!$D:$P,12,FALSE)=0,0,VLOOKUP($A94,'Annex 2 Designated EHV charges'!$D:$P,12,FALSE)),"")</f>
        <v>0.05</v>
      </c>
      <c r="H94" s="106">
        <f>IFERROR(IF(VLOOKUP($A94,'Annex 2 Designated EHV charges'!$D:$P,13,FALSE)=0,0,VLOOKUP($A94,'Annex 2 Designated EHV charges'!$D:$P,13,FALSE)),"")</f>
        <v>0.05</v>
      </c>
    </row>
    <row r="95" spans="1:8" x14ac:dyDescent="0.2">
      <c r="A95" s="103">
        <v>527</v>
      </c>
      <c r="B95" s="79">
        <f>IF($A95="","",VLOOKUP($A95,'Annex 2 Designated EHV charges'!$D:$P,2,0))</f>
        <v>527</v>
      </c>
      <c r="C95" s="98">
        <f>IF($A95="","",VLOOKUP($A95,'Annex 2 Designated EHV charges'!$D:$P,3,0))</f>
        <v>2394200145011</v>
      </c>
      <c r="D95" s="99" t="str">
        <f>IF($A95="","",VLOOKUP($A95,'Annex 2 Designated EHV charges'!$D:$P,4,0))</f>
        <v>EHV Site Specific (LLFC 920 &amp; 527)</v>
      </c>
      <c r="E95" s="104">
        <f>IFERROR(IF(VLOOKUP($A95,'Annex 2 Designated EHV charges'!$D:$P,10,FALSE)=0,0,VLOOKUP($A95,'Annex 2 Designated EHV charges'!$D:$P,10,FALSE)),"")</f>
        <v>-3.0000000000000001E-3</v>
      </c>
      <c r="F95" s="105">
        <f>IFERROR(IF(VLOOKUP($A95,'Annex 2 Designated EHV charges'!$D:$P,11,FALSE)=0,0,VLOOKUP($A95,'Annex 2 Designated EHV charges'!$D:$P,11,FALSE)),"")</f>
        <v>585.15</v>
      </c>
      <c r="G95" s="106">
        <f>IFERROR(IF(VLOOKUP($A95,'Annex 2 Designated EHV charges'!$D:$P,12,FALSE)=0,0,VLOOKUP($A95,'Annex 2 Designated EHV charges'!$D:$P,12,FALSE)),"")</f>
        <v>0.05</v>
      </c>
      <c r="H95" s="106">
        <f>IFERROR(IF(VLOOKUP($A95,'Annex 2 Designated EHV charges'!$D:$P,13,FALSE)=0,0,VLOOKUP($A95,'Annex 2 Designated EHV charges'!$D:$P,13,FALSE)),"")</f>
        <v>0.05</v>
      </c>
    </row>
    <row r="96" spans="1:8" x14ac:dyDescent="0.2">
      <c r="A96" s="103">
        <v>528</v>
      </c>
      <c r="B96" s="79">
        <f>IF($A96="","",VLOOKUP($A96,'Annex 2 Designated EHV charges'!$D:$P,2,0))</f>
        <v>528</v>
      </c>
      <c r="C96" s="98">
        <f>IF($A96="","",VLOOKUP($A96,'Annex 2 Designated EHV charges'!$D:$P,3,0))</f>
        <v>2394200160640</v>
      </c>
      <c r="D96" s="99" t="str">
        <f>IF($A96="","",VLOOKUP($A96,'Annex 2 Designated EHV charges'!$D:$P,4,0))</f>
        <v>EHV Site Specific (LLFC 921 &amp; 528)</v>
      </c>
      <c r="E96" s="104">
        <f>IFERROR(IF(VLOOKUP($A96,'Annex 2 Designated EHV charges'!$D:$P,10,FALSE)=0,0,VLOOKUP($A96,'Annex 2 Designated EHV charges'!$D:$P,10,FALSE)),"")</f>
        <v>0</v>
      </c>
      <c r="F96" s="105">
        <f>IFERROR(IF(VLOOKUP($A96,'Annex 2 Designated EHV charges'!$D:$P,11,FALSE)=0,0,VLOOKUP($A96,'Annex 2 Designated EHV charges'!$D:$P,11,FALSE)),"")</f>
        <v>1602.03</v>
      </c>
      <c r="G96" s="106">
        <f>IFERROR(IF(VLOOKUP($A96,'Annex 2 Designated EHV charges'!$D:$P,12,FALSE)=0,0,VLOOKUP($A96,'Annex 2 Designated EHV charges'!$D:$P,12,FALSE)),"")</f>
        <v>0.05</v>
      </c>
      <c r="H96" s="106">
        <f>IFERROR(IF(VLOOKUP($A96,'Annex 2 Designated EHV charges'!$D:$P,13,FALSE)=0,0,VLOOKUP($A96,'Annex 2 Designated EHV charges'!$D:$P,13,FALSE)),"")</f>
        <v>0.05</v>
      </c>
    </row>
    <row r="97" spans="1:8" x14ac:dyDescent="0.2">
      <c r="A97" s="103">
        <v>529</v>
      </c>
      <c r="B97" s="79">
        <f>IF($A97="","",VLOOKUP($A97,'Annex 2 Designated EHV charges'!$D:$P,2,0))</f>
        <v>529</v>
      </c>
      <c r="C97" s="98">
        <f>IF($A97="","",VLOOKUP($A97,'Annex 2 Designated EHV charges'!$D:$P,3,0))</f>
        <v>2394200165667</v>
      </c>
      <c r="D97" s="99" t="str">
        <f>IF($A97="","",VLOOKUP($A97,'Annex 2 Designated EHV charges'!$D:$P,4,0))</f>
        <v>EHV Site Specific (LLFC 922 &amp; 529)</v>
      </c>
      <c r="E97" s="104">
        <f>IFERROR(IF(VLOOKUP($A97,'Annex 2 Designated EHV charges'!$D:$P,10,FALSE)=0,0,VLOOKUP($A97,'Annex 2 Designated EHV charges'!$D:$P,10,FALSE)),"")</f>
        <v>0</v>
      </c>
      <c r="F97" s="105">
        <f>IFERROR(IF(VLOOKUP($A97,'Annex 2 Designated EHV charges'!$D:$P,11,FALSE)=0,0,VLOOKUP($A97,'Annex 2 Designated EHV charges'!$D:$P,11,FALSE)),"")</f>
        <v>339.83</v>
      </c>
      <c r="G97" s="106">
        <f>IFERROR(IF(VLOOKUP($A97,'Annex 2 Designated EHV charges'!$D:$P,12,FALSE)=0,0,VLOOKUP($A97,'Annex 2 Designated EHV charges'!$D:$P,12,FALSE)),"")</f>
        <v>0.05</v>
      </c>
      <c r="H97" s="106">
        <f>IFERROR(IF(VLOOKUP($A97,'Annex 2 Designated EHV charges'!$D:$P,13,FALSE)=0,0,VLOOKUP($A97,'Annex 2 Designated EHV charges'!$D:$P,13,FALSE)),"")</f>
        <v>0.05</v>
      </c>
    </row>
    <row r="98" spans="1:8" x14ac:dyDescent="0.2">
      <c r="A98" s="103">
        <v>551</v>
      </c>
      <c r="B98" s="79">
        <f>IF($A98="","",VLOOKUP($A98,'Annex 2 Designated EHV charges'!$D:$P,2,0))</f>
        <v>551</v>
      </c>
      <c r="C98" s="98" t="str">
        <f>IF($A98="","",VLOOKUP($A98,'Annex 2 Designated EHV charges'!$D:$P,3,0))</f>
        <v>MSID_7462</v>
      </c>
      <c r="D98" s="99" t="str">
        <f>IF($A98="","",VLOOKUP($A98,'Annex 2 Designated EHV charges'!$D:$P,4,0))</f>
        <v>EHV Site Specific (LLFC 946 &amp; 551)</v>
      </c>
      <c r="E98" s="104">
        <f>IFERROR(IF(VLOOKUP($A98,'Annex 2 Designated EHV charges'!$D:$P,10,FALSE)=0,0,VLOOKUP($A98,'Annex 2 Designated EHV charges'!$D:$P,10,FALSE)),"")</f>
        <v>0</v>
      </c>
      <c r="F98" s="105">
        <f>IFERROR(IF(VLOOKUP($A98,'Annex 2 Designated EHV charges'!$D:$P,11,FALSE)=0,0,VLOOKUP($A98,'Annex 2 Designated EHV charges'!$D:$P,11,FALSE)),"")</f>
        <v>665.76</v>
      </c>
      <c r="G98" s="106">
        <f>IFERROR(IF(VLOOKUP($A98,'Annex 2 Designated EHV charges'!$D:$P,12,FALSE)=0,0,VLOOKUP($A98,'Annex 2 Designated EHV charges'!$D:$P,12,FALSE)),"")</f>
        <v>0.05</v>
      </c>
      <c r="H98" s="106">
        <f>IFERROR(IF(VLOOKUP($A98,'Annex 2 Designated EHV charges'!$D:$P,13,FALSE)=0,0,VLOOKUP($A98,'Annex 2 Designated EHV charges'!$D:$P,13,FALSE)),"")</f>
        <v>0.05</v>
      </c>
    </row>
    <row r="99" spans="1:8" x14ac:dyDescent="0.2">
      <c r="A99" s="103">
        <v>530</v>
      </c>
      <c r="B99" s="79">
        <f>IF($A99="","",VLOOKUP($A99,'Annex 2 Designated EHV charges'!$D:$P,2,0))</f>
        <v>530</v>
      </c>
      <c r="C99" s="98">
        <f>IF($A99="","",VLOOKUP($A99,'Annex 2 Designated EHV charges'!$D:$P,3,0))</f>
        <v>2394200169573</v>
      </c>
      <c r="D99" s="99" t="str">
        <f>IF($A99="","",VLOOKUP($A99,'Annex 2 Designated EHV charges'!$D:$P,4,0))</f>
        <v>EHV Site Specific (LLFC 923 &amp; 530)</v>
      </c>
      <c r="E99" s="104">
        <f>IFERROR(IF(VLOOKUP($A99,'Annex 2 Designated EHV charges'!$D:$P,10,FALSE)=0,0,VLOOKUP($A99,'Annex 2 Designated EHV charges'!$D:$P,10,FALSE)),"")</f>
        <v>0</v>
      </c>
      <c r="F99" s="105">
        <f>IFERROR(IF(VLOOKUP($A99,'Annex 2 Designated EHV charges'!$D:$P,11,FALSE)=0,0,VLOOKUP($A99,'Annex 2 Designated EHV charges'!$D:$P,11,FALSE)),"")</f>
        <v>183.56</v>
      </c>
      <c r="G99" s="106">
        <f>IFERROR(IF(VLOOKUP($A99,'Annex 2 Designated EHV charges'!$D:$P,12,FALSE)=0,0,VLOOKUP($A99,'Annex 2 Designated EHV charges'!$D:$P,12,FALSE)),"")</f>
        <v>0.05</v>
      </c>
      <c r="H99" s="106">
        <f>IFERROR(IF(VLOOKUP($A99,'Annex 2 Designated EHV charges'!$D:$P,13,FALSE)=0,0,VLOOKUP($A99,'Annex 2 Designated EHV charges'!$D:$P,13,FALSE)),"")</f>
        <v>0.05</v>
      </c>
    </row>
    <row r="100" spans="1:8" x14ac:dyDescent="0.2">
      <c r="A100" s="103">
        <v>552</v>
      </c>
      <c r="B100" s="79">
        <f>IF($A100="","",VLOOKUP($A100,'Annex 2 Designated EHV charges'!$D:$P,2,0))</f>
        <v>552</v>
      </c>
      <c r="C100" s="98" t="str">
        <f>IF($A100="","",VLOOKUP($A100,'Annex 2 Designated EHV charges'!$D:$P,3,0))</f>
        <v>MSID_7475</v>
      </c>
      <c r="D100" s="99" t="str">
        <f>IF($A100="","",VLOOKUP($A100,'Annex 2 Designated EHV charges'!$D:$P,4,0))</f>
        <v>EHV Site Specific (LLFC 947 &amp; 552)</v>
      </c>
      <c r="E100" s="104">
        <f>IFERROR(IF(VLOOKUP($A100,'Annex 2 Designated EHV charges'!$D:$P,10,FALSE)=0,0,VLOOKUP($A100,'Annex 2 Designated EHV charges'!$D:$P,10,FALSE)),"")</f>
        <v>0</v>
      </c>
      <c r="F100" s="105">
        <f>IFERROR(IF(VLOOKUP($A100,'Annex 2 Designated EHV charges'!$D:$P,11,FALSE)=0,0,VLOOKUP($A100,'Annex 2 Designated EHV charges'!$D:$P,11,FALSE)),"")</f>
        <v>92.23</v>
      </c>
      <c r="G100" s="106">
        <f>IFERROR(IF(VLOOKUP($A100,'Annex 2 Designated EHV charges'!$D:$P,12,FALSE)=0,0,VLOOKUP($A100,'Annex 2 Designated EHV charges'!$D:$P,12,FALSE)),"")</f>
        <v>0.05</v>
      </c>
      <c r="H100" s="106">
        <f>IFERROR(IF(VLOOKUP($A100,'Annex 2 Designated EHV charges'!$D:$P,13,FALSE)=0,0,VLOOKUP($A100,'Annex 2 Designated EHV charges'!$D:$P,13,FALSE)),"")</f>
        <v>0.05</v>
      </c>
    </row>
    <row r="101" spans="1:8" x14ac:dyDescent="0.2">
      <c r="A101" s="103">
        <v>553</v>
      </c>
      <c r="B101" s="79">
        <f>IF($A101="","",VLOOKUP($A101,'Annex 2 Designated EHV charges'!$D:$P,2,0))</f>
        <v>553</v>
      </c>
      <c r="C101" s="98" t="str">
        <f>IF($A101="","",VLOOKUP($A101,'Annex 2 Designated EHV charges'!$D:$P,3,0))</f>
        <v>MSID_7477</v>
      </c>
      <c r="D101" s="99" t="str">
        <f>IF($A101="","",VLOOKUP($A101,'Annex 2 Designated EHV charges'!$D:$P,4,0))</f>
        <v>EHV Site Specific (LLFC 948 &amp; 553)</v>
      </c>
      <c r="E101" s="104">
        <f>IFERROR(IF(VLOOKUP($A101,'Annex 2 Designated EHV charges'!$D:$P,10,FALSE)=0,0,VLOOKUP($A101,'Annex 2 Designated EHV charges'!$D:$P,10,FALSE)),"")</f>
        <v>0</v>
      </c>
      <c r="F101" s="105">
        <f>IFERROR(IF(VLOOKUP($A101,'Annex 2 Designated EHV charges'!$D:$P,11,FALSE)=0,0,VLOOKUP($A101,'Annex 2 Designated EHV charges'!$D:$P,11,FALSE)),"")</f>
        <v>92.23</v>
      </c>
      <c r="G101" s="106">
        <f>IFERROR(IF(VLOOKUP($A101,'Annex 2 Designated EHV charges'!$D:$P,12,FALSE)=0,0,VLOOKUP($A101,'Annex 2 Designated EHV charges'!$D:$P,12,FALSE)),"")</f>
        <v>0.05</v>
      </c>
      <c r="H101" s="106">
        <f>IFERROR(IF(VLOOKUP($A101,'Annex 2 Designated EHV charges'!$D:$P,13,FALSE)=0,0,VLOOKUP($A101,'Annex 2 Designated EHV charges'!$D:$P,13,FALSE)),"")</f>
        <v>0.05</v>
      </c>
    </row>
    <row r="102" spans="1:8" x14ac:dyDescent="0.2">
      <c r="A102" s="103">
        <v>531</v>
      </c>
      <c r="B102" s="79">
        <f>IF($A102="","",VLOOKUP($A102,'Annex 2 Designated EHV charges'!$D:$P,2,0))</f>
        <v>531</v>
      </c>
      <c r="C102" s="98">
        <f>IF($A102="","",VLOOKUP($A102,'Annex 2 Designated EHV charges'!$D:$P,3,0))</f>
        <v>2394200196610</v>
      </c>
      <c r="D102" s="99" t="str">
        <f>IF($A102="","",VLOOKUP($A102,'Annex 2 Designated EHV charges'!$D:$P,4,0))</f>
        <v>EHV Site Specific (LLFC 925 &amp; 531)</v>
      </c>
      <c r="E102" s="104">
        <f>IFERROR(IF(VLOOKUP($A102,'Annex 2 Designated EHV charges'!$D:$P,10,FALSE)=0,0,VLOOKUP($A102,'Annex 2 Designated EHV charges'!$D:$P,10,FALSE)),"")</f>
        <v>-7.0000000000000001E-3</v>
      </c>
      <c r="F102" s="105">
        <f>IFERROR(IF(VLOOKUP($A102,'Annex 2 Designated EHV charges'!$D:$P,11,FALSE)=0,0,VLOOKUP($A102,'Annex 2 Designated EHV charges'!$D:$P,11,FALSE)),"")</f>
        <v>92.23</v>
      </c>
      <c r="G102" s="106">
        <f>IFERROR(IF(VLOOKUP($A102,'Annex 2 Designated EHV charges'!$D:$P,12,FALSE)=0,0,VLOOKUP($A102,'Annex 2 Designated EHV charges'!$D:$P,12,FALSE)),"")</f>
        <v>0.05</v>
      </c>
      <c r="H102" s="106">
        <f>IFERROR(IF(VLOOKUP($A102,'Annex 2 Designated EHV charges'!$D:$P,13,FALSE)=0,0,VLOOKUP($A102,'Annex 2 Designated EHV charges'!$D:$P,13,FALSE)),"")</f>
        <v>0.05</v>
      </c>
    </row>
    <row r="103" spans="1:8" ht="30" x14ac:dyDescent="0.2">
      <c r="A103" s="103">
        <v>532</v>
      </c>
      <c r="B103" s="79">
        <f>IF($A103="","",VLOOKUP($A103,'Annex 2 Designated EHV charges'!$D:$P,2,0))</f>
        <v>532</v>
      </c>
      <c r="C103" s="98" t="str">
        <f>IF($A103="","",VLOOKUP($A103,'Annex 2 Designated EHV charges'!$D:$P,3,0))</f>
        <v>2394200239219
2394300297624</v>
      </c>
      <c r="D103" s="99" t="str">
        <f>IF($A103="","",VLOOKUP($A103,'Annex 2 Designated EHV charges'!$D:$P,4,0))</f>
        <v>EHV Site Specific (LLFC 926 &amp; 532)</v>
      </c>
      <c r="E103" s="104">
        <f>IFERROR(IF(VLOOKUP($A103,'Annex 2 Designated EHV charges'!$D:$P,10,FALSE)=0,0,VLOOKUP($A103,'Annex 2 Designated EHV charges'!$D:$P,10,FALSE)),"")</f>
        <v>0</v>
      </c>
      <c r="F103" s="105">
        <f>IFERROR(IF(VLOOKUP($A103,'Annex 2 Designated EHV charges'!$D:$P,11,FALSE)=0,0,VLOOKUP($A103,'Annex 2 Designated EHV charges'!$D:$P,11,FALSE)),"")</f>
        <v>153.69</v>
      </c>
      <c r="G103" s="106">
        <f>IFERROR(IF(VLOOKUP($A103,'Annex 2 Designated EHV charges'!$D:$P,12,FALSE)=0,0,VLOOKUP($A103,'Annex 2 Designated EHV charges'!$D:$P,12,FALSE)),"")</f>
        <v>0.05</v>
      </c>
      <c r="H103" s="106">
        <f>IFERROR(IF(VLOOKUP($A103,'Annex 2 Designated EHV charges'!$D:$P,13,FALSE)=0,0,VLOOKUP($A103,'Annex 2 Designated EHV charges'!$D:$P,13,FALSE)),"")</f>
        <v>0.05</v>
      </c>
    </row>
    <row r="104" spans="1:8" x14ac:dyDescent="0.2">
      <c r="A104" s="103">
        <v>533</v>
      </c>
      <c r="B104" s="79">
        <f>IF($A104="","",VLOOKUP($A104,'Annex 2 Designated EHV charges'!$D:$P,2,0))</f>
        <v>533</v>
      </c>
      <c r="C104" s="98">
        <f>IF($A104="","",VLOOKUP($A104,'Annex 2 Designated EHV charges'!$D:$P,3,0))</f>
        <v>2394200315038</v>
      </c>
      <c r="D104" s="99" t="str">
        <f>IF($A104="","",VLOOKUP($A104,'Annex 2 Designated EHV charges'!$D:$P,4,0))</f>
        <v>EHV Site Specific (LLFC 927 &amp; 533)</v>
      </c>
      <c r="E104" s="104">
        <f>IFERROR(IF(VLOOKUP($A104,'Annex 2 Designated EHV charges'!$D:$P,10,FALSE)=0,0,VLOOKUP($A104,'Annex 2 Designated EHV charges'!$D:$P,10,FALSE)),"")</f>
        <v>-1E-3</v>
      </c>
      <c r="F104" s="105">
        <f>IFERROR(IF(VLOOKUP($A104,'Annex 2 Designated EHV charges'!$D:$P,11,FALSE)=0,0,VLOOKUP($A104,'Annex 2 Designated EHV charges'!$D:$P,11,FALSE)),"")</f>
        <v>1412.56</v>
      </c>
      <c r="G104" s="106">
        <f>IFERROR(IF(VLOOKUP($A104,'Annex 2 Designated EHV charges'!$D:$P,12,FALSE)=0,0,VLOOKUP($A104,'Annex 2 Designated EHV charges'!$D:$P,12,FALSE)),"")</f>
        <v>0.05</v>
      </c>
      <c r="H104" s="106">
        <f>IFERROR(IF(VLOOKUP($A104,'Annex 2 Designated EHV charges'!$D:$P,13,FALSE)=0,0,VLOOKUP($A104,'Annex 2 Designated EHV charges'!$D:$P,13,FALSE)),"")</f>
        <v>0.05</v>
      </c>
    </row>
    <row r="105" spans="1:8" x14ac:dyDescent="0.2">
      <c r="A105" s="103">
        <v>534</v>
      </c>
      <c r="B105" s="79">
        <f>IF($A105="","",VLOOKUP($A105,'Annex 2 Designated EHV charges'!$D:$P,2,0))</f>
        <v>534</v>
      </c>
      <c r="C105" s="98">
        <f>IF($A105="","",VLOOKUP($A105,'Annex 2 Designated EHV charges'!$D:$P,3,0))</f>
        <v>2394200321078</v>
      </c>
      <c r="D105" s="99" t="str">
        <f>IF($A105="","",VLOOKUP($A105,'Annex 2 Designated EHV charges'!$D:$P,4,0))</f>
        <v>EHV Site Specific (LLFC 928 &amp; 534)</v>
      </c>
      <c r="E105" s="104">
        <f>IFERROR(IF(VLOOKUP($A105,'Annex 2 Designated EHV charges'!$D:$P,10,FALSE)=0,0,VLOOKUP($A105,'Annex 2 Designated EHV charges'!$D:$P,10,FALSE)),"")</f>
        <v>0</v>
      </c>
      <c r="F105" s="105">
        <f>IFERROR(IF(VLOOKUP($A105,'Annex 2 Designated EHV charges'!$D:$P,11,FALSE)=0,0,VLOOKUP($A105,'Annex 2 Designated EHV charges'!$D:$P,11,FALSE)),"")</f>
        <v>873.56</v>
      </c>
      <c r="G105" s="106">
        <f>IFERROR(IF(VLOOKUP($A105,'Annex 2 Designated EHV charges'!$D:$P,12,FALSE)=0,0,VLOOKUP($A105,'Annex 2 Designated EHV charges'!$D:$P,12,FALSE)),"")</f>
        <v>0.05</v>
      </c>
      <c r="H105" s="106">
        <f>IFERROR(IF(VLOOKUP($A105,'Annex 2 Designated EHV charges'!$D:$P,13,FALSE)=0,0,VLOOKUP($A105,'Annex 2 Designated EHV charges'!$D:$P,13,FALSE)),"")</f>
        <v>0.05</v>
      </c>
    </row>
    <row r="106" spans="1:8" x14ac:dyDescent="0.2">
      <c r="A106" s="103">
        <v>535</v>
      </c>
      <c r="B106" s="79">
        <f>IF($A106="","",VLOOKUP($A106,'Annex 2 Designated EHV charges'!$D:$P,2,0))</f>
        <v>535</v>
      </c>
      <c r="C106" s="98">
        <f>IF($A106="","",VLOOKUP($A106,'Annex 2 Designated EHV charges'!$D:$P,3,0))</f>
        <v>2394200325870</v>
      </c>
      <c r="D106" s="99" t="str">
        <f>IF($A106="","",VLOOKUP($A106,'Annex 2 Designated EHV charges'!$D:$P,4,0))</f>
        <v>EHV Site Specific (LLFC 929 &amp; 535)</v>
      </c>
      <c r="E106" s="104">
        <f>IFERROR(IF(VLOOKUP($A106,'Annex 2 Designated EHV charges'!$D:$P,10,FALSE)=0,0,VLOOKUP($A106,'Annex 2 Designated EHV charges'!$D:$P,10,FALSE)),"")</f>
        <v>0</v>
      </c>
      <c r="F106" s="105">
        <f>IFERROR(IF(VLOOKUP($A106,'Annex 2 Designated EHV charges'!$D:$P,11,FALSE)=0,0,VLOOKUP($A106,'Annex 2 Designated EHV charges'!$D:$P,11,FALSE)),"")</f>
        <v>2372.71</v>
      </c>
      <c r="G106" s="106">
        <f>IFERROR(IF(VLOOKUP($A106,'Annex 2 Designated EHV charges'!$D:$P,12,FALSE)=0,0,VLOOKUP($A106,'Annex 2 Designated EHV charges'!$D:$P,12,FALSE)),"")</f>
        <v>0.05</v>
      </c>
      <c r="H106" s="106">
        <f>IFERROR(IF(VLOOKUP($A106,'Annex 2 Designated EHV charges'!$D:$P,13,FALSE)=0,0,VLOOKUP($A106,'Annex 2 Designated EHV charges'!$D:$P,13,FALSE)),"")</f>
        <v>0.05</v>
      </c>
    </row>
    <row r="107" spans="1:8" x14ac:dyDescent="0.2">
      <c r="A107" s="103">
        <v>536</v>
      </c>
      <c r="B107" s="79">
        <f>IF($A107="","",VLOOKUP($A107,'Annex 2 Designated EHV charges'!$D:$P,2,0))</f>
        <v>536</v>
      </c>
      <c r="C107" s="98">
        <f>IF($A107="","",VLOOKUP($A107,'Annex 2 Designated EHV charges'!$D:$P,3,0))</f>
        <v>2394200347076</v>
      </c>
      <c r="D107" s="99" t="str">
        <f>IF($A107="","",VLOOKUP($A107,'Annex 2 Designated EHV charges'!$D:$P,4,0))</f>
        <v>EHV Site Specific (LLFC 930 &amp; 536)</v>
      </c>
      <c r="E107" s="104">
        <f>IFERROR(IF(VLOOKUP($A107,'Annex 2 Designated EHV charges'!$D:$P,10,FALSE)=0,0,VLOOKUP($A107,'Annex 2 Designated EHV charges'!$D:$P,10,FALSE)),"")</f>
        <v>0</v>
      </c>
      <c r="F107" s="105">
        <f>IFERROR(IF(VLOOKUP($A107,'Annex 2 Designated EHV charges'!$D:$P,11,FALSE)=0,0,VLOOKUP($A107,'Annex 2 Designated EHV charges'!$D:$P,11,FALSE)),"")</f>
        <v>307.68</v>
      </c>
      <c r="G107" s="106">
        <f>IFERROR(IF(VLOOKUP($A107,'Annex 2 Designated EHV charges'!$D:$P,12,FALSE)=0,0,VLOOKUP($A107,'Annex 2 Designated EHV charges'!$D:$P,12,FALSE)),"")</f>
        <v>0.05</v>
      </c>
      <c r="H107" s="106">
        <f>IFERROR(IF(VLOOKUP($A107,'Annex 2 Designated EHV charges'!$D:$P,13,FALSE)=0,0,VLOOKUP($A107,'Annex 2 Designated EHV charges'!$D:$P,13,FALSE)),"")</f>
        <v>0.05</v>
      </c>
    </row>
    <row r="108" spans="1:8" x14ac:dyDescent="0.2">
      <c r="A108" s="103">
        <v>537</v>
      </c>
      <c r="B108" s="79">
        <f>IF($A108="","",VLOOKUP($A108,'Annex 2 Designated EHV charges'!$D:$P,2,0))</f>
        <v>537</v>
      </c>
      <c r="C108" s="98">
        <f>IF($A108="","",VLOOKUP($A108,'Annex 2 Designated EHV charges'!$D:$P,3,0))</f>
        <v>2394200351170</v>
      </c>
      <c r="D108" s="99" t="str">
        <f>IF($A108="","",VLOOKUP($A108,'Annex 2 Designated EHV charges'!$D:$P,4,0))</f>
        <v>EHV Site Specific (LLFC 931 &amp; 537)</v>
      </c>
      <c r="E108" s="104">
        <f>IFERROR(IF(VLOOKUP($A108,'Annex 2 Designated EHV charges'!$D:$P,10,FALSE)=0,0,VLOOKUP($A108,'Annex 2 Designated EHV charges'!$D:$P,10,FALSE)),"")</f>
        <v>0</v>
      </c>
      <c r="F108" s="105">
        <f>IFERROR(IF(VLOOKUP($A108,'Annex 2 Designated EHV charges'!$D:$P,11,FALSE)=0,0,VLOOKUP($A108,'Annex 2 Designated EHV charges'!$D:$P,11,FALSE)),"")</f>
        <v>549.05999999999995</v>
      </c>
      <c r="G108" s="106">
        <f>IFERROR(IF(VLOOKUP($A108,'Annex 2 Designated EHV charges'!$D:$P,12,FALSE)=0,0,VLOOKUP($A108,'Annex 2 Designated EHV charges'!$D:$P,12,FALSE)),"")</f>
        <v>0.05</v>
      </c>
      <c r="H108" s="106">
        <f>IFERROR(IF(VLOOKUP($A108,'Annex 2 Designated EHV charges'!$D:$P,13,FALSE)=0,0,VLOOKUP($A108,'Annex 2 Designated EHV charges'!$D:$P,13,FALSE)),"")</f>
        <v>0.05</v>
      </c>
    </row>
    <row r="109" spans="1:8" x14ac:dyDescent="0.2">
      <c r="A109" s="103">
        <v>538</v>
      </c>
      <c r="B109" s="79">
        <f>IF($A109="","",VLOOKUP($A109,'Annex 2 Designated EHV charges'!$D:$P,2,0))</f>
        <v>538</v>
      </c>
      <c r="C109" s="98">
        <f>IF($A109="","",VLOOKUP($A109,'Annex 2 Designated EHV charges'!$D:$P,3,0))</f>
        <v>2394200354533</v>
      </c>
      <c r="D109" s="99" t="str">
        <f>IF($A109="","",VLOOKUP($A109,'Annex 2 Designated EHV charges'!$D:$P,4,0))</f>
        <v>EHV Site Specific (LLFC 932 &amp; 538)</v>
      </c>
      <c r="E109" s="104">
        <f>IFERROR(IF(VLOOKUP($A109,'Annex 2 Designated EHV charges'!$D:$P,10,FALSE)=0,0,VLOOKUP($A109,'Annex 2 Designated EHV charges'!$D:$P,10,FALSE)),"")</f>
        <v>0</v>
      </c>
      <c r="F109" s="105">
        <f>IFERROR(IF(VLOOKUP($A109,'Annex 2 Designated EHV charges'!$D:$P,11,FALSE)=0,0,VLOOKUP($A109,'Annex 2 Designated EHV charges'!$D:$P,11,FALSE)),"")</f>
        <v>1687.53</v>
      </c>
      <c r="G109" s="106">
        <f>IFERROR(IF(VLOOKUP($A109,'Annex 2 Designated EHV charges'!$D:$P,12,FALSE)=0,0,VLOOKUP($A109,'Annex 2 Designated EHV charges'!$D:$P,12,FALSE)),"")</f>
        <v>0.05</v>
      </c>
      <c r="H109" s="106">
        <f>IFERROR(IF(VLOOKUP($A109,'Annex 2 Designated EHV charges'!$D:$P,13,FALSE)=0,0,VLOOKUP($A109,'Annex 2 Designated EHV charges'!$D:$P,13,FALSE)),"")</f>
        <v>0.05</v>
      </c>
    </row>
    <row r="110" spans="1:8" x14ac:dyDescent="0.2">
      <c r="A110" s="103">
        <v>539</v>
      </c>
      <c r="B110" s="79">
        <f>IF($A110="","",VLOOKUP($A110,'Annex 2 Designated EHV charges'!$D:$P,2,0))</f>
        <v>539</v>
      </c>
      <c r="C110" s="98">
        <f>IF($A110="","",VLOOKUP($A110,'Annex 2 Designated EHV charges'!$D:$P,3,0))</f>
        <v>2394200354570</v>
      </c>
      <c r="D110" s="99" t="str">
        <f>IF($A110="","",VLOOKUP($A110,'Annex 2 Designated EHV charges'!$D:$P,4,0))</f>
        <v>EHV Site Specific (LLFC 933 &amp; 539)</v>
      </c>
      <c r="E110" s="104">
        <f>IFERROR(IF(VLOOKUP($A110,'Annex 2 Designated EHV charges'!$D:$P,10,FALSE)=0,0,VLOOKUP($A110,'Annex 2 Designated EHV charges'!$D:$P,10,FALSE)),"")</f>
        <v>-1E-3</v>
      </c>
      <c r="F110" s="105">
        <f>IFERROR(IF(VLOOKUP($A110,'Annex 2 Designated EHV charges'!$D:$P,11,FALSE)=0,0,VLOOKUP($A110,'Annex 2 Designated EHV charges'!$D:$P,11,FALSE)),"")</f>
        <v>2825.4</v>
      </c>
      <c r="G110" s="106">
        <f>IFERROR(IF(VLOOKUP($A110,'Annex 2 Designated EHV charges'!$D:$P,12,FALSE)=0,0,VLOOKUP($A110,'Annex 2 Designated EHV charges'!$D:$P,12,FALSE)),"")</f>
        <v>0.05</v>
      </c>
      <c r="H110" s="106">
        <f>IFERROR(IF(VLOOKUP($A110,'Annex 2 Designated EHV charges'!$D:$P,13,FALSE)=0,0,VLOOKUP($A110,'Annex 2 Designated EHV charges'!$D:$P,13,FALSE)),"")</f>
        <v>0.05</v>
      </c>
    </row>
    <row r="111" spans="1:8" x14ac:dyDescent="0.2">
      <c r="A111" s="103">
        <v>510</v>
      </c>
      <c r="B111" s="79">
        <f>IF($A111="","",VLOOKUP($A111,'Annex 2 Designated EHV charges'!$D:$P,2,0))</f>
        <v>510</v>
      </c>
      <c r="C111" s="98" t="str">
        <f>IF($A111="","",VLOOKUP($A111,'Annex 2 Designated EHV charges'!$D:$P,3,0))</f>
        <v>MSID_7589</v>
      </c>
      <c r="D111" s="99" t="str">
        <f>IF($A111="","",VLOOKUP($A111,'Annex 2 Designated EHV charges'!$D:$P,4,0))</f>
        <v>EHV Site Specific (LLFC 725 &amp; 510)</v>
      </c>
      <c r="E111" s="104">
        <f>IFERROR(IF(VLOOKUP($A111,'Annex 2 Designated EHV charges'!$D:$P,10,FALSE)=0,0,VLOOKUP($A111,'Annex 2 Designated EHV charges'!$D:$P,10,FALSE)),"")</f>
        <v>0</v>
      </c>
      <c r="F111" s="105">
        <f>IFERROR(IF(VLOOKUP($A111,'Annex 2 Designated EHV charges'!$D:$P,11,FALSE)=0,0,VLOOKUP($A111,'Annex 2 Designated EHV charges'!$D:$P,11,FALSE)),"")</f>
        <v>3009.74</v>
      </c>
      <c r="G111" s="106">
        <f>IFERROR(IF(VLOOKUP($A111,'Annex 2 Designated EHV charges'!$D:$P,12,FALSE)=0,0,VLOOKUP($A111,'Annex 2 Designated EHV charges'!$D:$P,12,FALSE)),"")</f>
        <v>0.05</v>
      </c>
      <c r="H111" s="106">
        <f>IFERROR(IF(VLOOKUP($A111,'Annex 2 Designated EHV charges'!$D:$P,13,FALSE)=0,0,VLOOKUP($A111,'Annex 2 Designated EHV charges'!$D:$P,13,FALSE)),"")</f>
        <v>0.05</v>
      </c>
    </row>
  </sheetData>
  <mergeCells count="2">
    <mergeCell ref="A2:H2"/>
    <mergeCell ref="A1:H1"/>
  </mergeCells>
  <pageMargins left="0.39370078740157483" right="0.39370078740157483" top="0.9055118110236221" bottom="0.74803149606299213" header="0.31496062992125984" footer="0.51181102362204722"/>
  <pageSetup paperSize="9" scale="65" fitToHeight="0" orientation="portrait" r:id="rId1"/>
  <headerFooter differentFirst="1" scaleWithDoc="0">
    <oddHeader>&amp;L&amp;"Trebuchet MS,Bold"
Annex 2b&amp;"Trebuchet MS,Regular" - Schedule of Export Charges for use of the Distribution System by Designated EHV Properties (including LDNOs with Designated EHV Properties/end-users).</oddHeader>
    <firstHeader>&amp;L&amp;"Trebuchet MS,Bold"
Annex 2b &amp;"Trebuchet MS,Regular"- Schedule of Export Charges for use of the Distribution System by Designated EHV Properties (including LDNOs with Designated EHV Properties/end-users).</first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J24"/>
  <sheetViews>
    <sheetView zoomScale="90" zoomScaleNormal="90" zoomScaleSheetLayoutView="100" workbookViewId="0"/>
  </sheetViews>
  <sheetFormatPr defaultColWidth="9.140625" defaultRowHeight="15" x14ac:dyDescent="0.3"/>
  <cols>
    <col min="1" max="1" width="27.42578125" style="149" customWidth="1"/>
    <col min="2" max="2" width="11" style="149" customWidth="1"/>
    <col min="3" max="3" width="9.140625" style="149"/>
    <col min="4" max="10" width="16.5703125" style="149" customWidth="1"/>
    <col min="11" max="16384" width="9.140625" style="149"/>
  </cols>
  <sheetData>
    <row r="1" spans="1:10" s="147" customFormat="1" ht="27.75" customHeight="1" x14ac:dyDescent="0.3">
      <c r="A1" s="145" t="s">
        <v>18</v>
      </c>
      <c r="B1" s="146"/>
      <c r="D1" s="146"/>
      <c r="E1" s="146"/>
      <c r="F1" s="146"/>
      <c r="G1" s="148"/>
      <c r="H1" s="149"/>
      <c r="I1" s="149"/>
    </row>
    <row r="2" spans="1:10" s="147" customFormat="1" ht="27" customHeight="1" x14ac:dyDescent="0.2">
      <c r="A2" s="211" t="str">
        <f>Overview!B4&amp; " - Effective from "&amp;Overview!D4&amp;" - "&amp;Overview!E4&amp;" LV and HV tariffs"</f>
        <v>Northern Powergrid (Yorkshire) Plc - Effective from 1 April 2026 - Final LV and HV tariffs</v>
      </c>
      <c r="B2" s="211"/>
      <c r="C2" s="211"/>
      <c r="D2" s="211"/>
      <c r="E2" s="211"/>
      <c r="F2" s="211"/>
      <c r="G2" s="211"/>
      <c r="H2" s="211"/>
      <c r="I2" s="211"/>
      <c r="J2" s="211"/>
    </row>
    <row r="3" spans="1:10" s="147" customFormat="1" ht="27" customHeight="1" x14ac:dyDescent="0.2">
      <c r="A3" s="224" t="s">
        <v>581</v>
      </c>
      <c r="B3" s="225"/>
      <c r="C3" s="225"/>
      <c r="D3" s="225"/>
      <c r="E3" s="225"/>
      <c r="F3" s="225"/>
      <c r="G3" s="225"/>
      <c r="H3" s="225"/>
      <c r="I3" s="225"/>
      <c r="J3" s="226"/>
    </row>
    <row r="4" spans="1:10" s="147" customFormat="1" ht="71.25" customHeight="1" x14ac:dyDescent="0.2">
      <c r="A4" s="150"/>
      <c r="B4" s="73" t="s">
        <v>0</v>
      </c>
      <c r="C4" s="74" t="s">
        <v>23</v>
      </c>
      <c r="D4" s="74" t="s">
        <v>582</v>
      </c>
      <c r="E4" s="74" t="s">
        <v>583</v>
      </c>
      <c r="F4" s="74" t="s">
        <v>24</v>
      </c>
      <c r="G4" s="74"/>
      <c r="H4" s="74"/>
      <c r="I4" s="74"/>
      <c r="J4" s="74"/>
    </row>
    <row r="5" spans="1:10" s="147" customFormat="1" ht="32.25" customHeight="1" x14ac:dyDescent="0.2">
      <c r="A5" s="151"/>
      <c r="B5" s="152"/>
      <c r="C5" s="153"/>
      <c r="D5" s="154"/>
      <c r="E5" s="154"/>
      <c r="F5" s="155"/>
      <c r="G5" s="156"/>
      <c r="H5" s="156"/>
      <c r="I5" s="156"/>
      <c r="J5" s="156"/>
    </row>
    <row r="6" spans="1:10" ht="12.75" customHeight="1" x14ac:dyDescent="0.3">
      <c r="A6" s="227" t="s">
        <v>2</v>
      </c>
      <c r="B6" s="230"/>
      <c r="C6" s="231"/>
      <c r="D6" s="231"/>
      <c r="E6" s="231"/>
      <c r="F6" s="231"/>
      <c r="G6" s="231"/>
      <c r="H6" s="232"/>
      <c r="I6" s="232"/>
      <c r="J6" s="233"/>
    </row>
    <row r="7" spans="1:10" x14ac:dyDescent="0.3">
      <c r="A7" s="228"/>
      <c r="B7" s="230"/>
      <c r="C7" s="231"/>
      <c r="D7" s="231"/>
      <c r="E7" s="231"/>
      <c r="F7" s="231"/>
      <c r="G7" s="231"/>
      <c r="H7" s="232"/>
      <c r="I7" s="232"/>
      <c r="J7" s="233"/>
    </row>
    <row r="8" spans="1:10" x14ac:dyDescent="0.3">
      <c r="A8" s="229"/>
      <c r="B8" s="230"/>
      <c r="C8" s="231"/>
      <c r="D8" s="231"/>
      <c r="E8" s="231"/>
      <c r="F8" s="231"/>
      <c r="G8" s="231"/>
      <c r="H8" s="232"/>
      <c r="I8" s="232"/>
      <c r="J8" s="233"/>
    </row>
    <row r="11" spans="1:10" s="147" customFormat="1" ht="27" customHeight="1" x14ac:dyDescent="0.2">
      <c r="A11" s="224" t="s">
        <v>584</v>
      </c>
      <c r="B11" s="225"/>
      <c r="C11" s="225"/>
      <c r="D11" s="225"/>
      <c r="E11" s="225"/>
      <c r="F11" s="225"/>
      <c r="G11" s="225"/>
      <c r="H11" s="225"/>
      <c r="I11" s="225"/>
      <c r="J11" s="226"/>
    </row>
    <row r="12" spans="1:10" s="147" customFormat="1" ht="58.5" customHeight="1" x14ac:dyDescent="0.2">
      <c r="A12" s="150"/>
      <c r="B12" s="73" t="s">
        <v>0</v>
      </c>
      <c r="C12" s="74" t="s">
        <v>23</v>
      </c>
      <c r="D12" s="73" t="s">
        <v>585</v>
      </c>
      <c r="E12" s="73" t="s">
        <v>586</v>
      </c>
      <c r="F12" s="73" t="s">
        <v>587</v>
      </c>
      <c r="G12" s="74" t="s">
        <v>24</v>
      </c>
      <c r="H12" s="74" t="s">
        <v>25</v>
      </c>
      <c r="I12" s="73" t="s">
        <v>356</v>
      </c>
      <c r="J12" s="74" t="s">
        <v>256</v>
      </c>
    </row>
    <row r="13" spans="1:10" s="147" customFormat="1" ht="32.25" customHeight="1" x14ac:dyDescent="0.2">
      <c r="A13" s="151"/>
      <c r="B13" s="152"/>
      <c r="C13" s="153"/>
      <c r="D13" s="154"/>
      <c r="E13" s="154"/>
      <c r="F13" s="154"/>
      <c r="G13" s="155"/>
      <c r="H13" s="155"/>
      <c r="I13" s="155"/>
      <c r="J13" s="154"/>
    </row>
    <row r="14" spans="1:10" ht="12.75" customHeight="1" x14ac:dyDescent="0.3">
      <c r="A14" s="227" t="s">
        <v>2</v>
      </c>
      <c r="B14" s="236" t="s">
        <v>12</v>
      </c>
      <c r="C14" s="237"/>
      <c r="D14" s="237"/>
      <c r="E14" s="237"/>
      <c r="F14" s="237"/>
      <c r="G14" s="237"/>
      <c r="H14" s="238"/>
      <c r="I14" s="238"/>
      <c r="J14" s="239"/>
    </row>
    <row r="15" spans="1:10" ht="12.75" customHeight="1" x14ac:dyDescent="0.3">
      <c r="A15" s="228"/>
      <c r="B15" s="230"/>
      <c r="C15" s="231"/>
      <c r="D15" s="231"/>
      <c r="E15" s="231"/>
      <c r="F15" s="231"/>
      <c r="G15" s="231"/>
      <c r="H15" s="232"/>
      <c r="I15" s="232"/>
      <c r="J15" s="233"/>
    </row>
    <row r="16" spans="1:10" ht="12.75" customHeight="1" x14ac:dyDescent="0.3">
      <c r="A16" s="228"/>
      <c r="B16" s="230"/>
      <c r="C16" s="231"/>
      <c r="D16" s="231"/>
      <c r="E16" s="231"/>
      <c r="F16" s="231"/>
      <c r="G16" s="231"/>
      <c r="H16" s="232"/>
      <c r="I16" s="232"/>
      <c r="J16" s="233"/>
    </row>
    <row r="17" spans="1:10" ht="23.25" customHeight="1" x14ac:dyDescent="0.3">
      <c r="A17" s="234"/>
      <c r="B17" s="230"/>
      <c r="C17" s="231"/>
      <c r="D17" s="231"/>
      <c r="E17" s="231"/>
      <c r="F17" s="231"/>
      <c r="G17" s="231"/>
      <c r="H17" s="232"/>
      <c r="I17" s="232"/>
      <c r="J17" s="233"/>
    </row>
    <row r="18" spans="1:10" ht="12.75" customHeight="1" x14ac:dyDescent="0.3">
      <c r="A18" s="234"/>
      <c r="B18" s="230"/>
      <c r="C18" s="231"/>
      <c r="D18" s="231"/>
      <c r="E18" s="231"/>
      <c r="F18" s="231"/>
      <c r="G18" s="231"/>
      <c r="H18" s="232"/>
      <c r="I18" s="232"/>
      <c r="J18" s="233"/>
    </row>
    <row r="19" spans="1:10" x14ac:dyDescent="0.3">
      <c r="A19" s="234"/>
      <c r="B19" s="230"/>
      <c r="C19" s="231"/>
      <c r="D19" s="231"/>
      <c r="E19" s="231"/>
      <c r="F19" s="231"/>
      <c r="G19" s="231"/>
      <c r="H19" s="232"/>
      <c r="I19" s="232"/>
      <c r="J19" s="233"/>
    </row>
    <row r="20" spans="1:10" x14ac:dyDescent="0.3">
      <c r="A20" s="234"/>
      <c r="B20" s="230"/>
      <c r="C20" s="231"/>
      <c r="D20" s="231"/>
      <c r="E20" s="231"/>
      <c r="F20" s="231"/>
      <c r="G20" s="231"/>
      <c r="H20" s="232"/>
      <c r="I20" s="232"/>
      <c r="J20" s="233"/>
    </row>
    <row r="21" spans="1:10" x14ac:dyDescent="0.3">
      <c r="A21" s="235"/>
      <c r="B21" s="230"/>
      <c r="C21" s="231"/>
      <c r="D21" s="231"/>
      <c r="E21" s="231"/>
      <c r="F21" s="231"/>
      <c r="G21" s="231"/>
      <c r="H21" s="232"/>
      <c r="I21" s="232"/>
      <c r="J21" s="233"/>
    </row>
    <row r="24" spans="1:10" ht="15.75" x14ac:dyDescent="0.35">
      <c r="A24" s="56" t="str">
        <f>Overview!B4&amp;" has no preserved charges/additional LLFCs"</f>
        <v>Northern Powergrid (Yorkshire) Plc has no preserved charges/additional LLFCs</v>
      </c>
    </row>
  </sheetData>
  <mergeCells count="16">
    <mergeCell ref="A11:J11"/>
    <mergeCell ref="A14:A21"/>
    <mergeCell ref="B14:J14"/>
    <mergeCell ref="B15:J15"/>
    <mergeCell ref="B16:J16"/>
    <mergeCell ref="B17:J17"/>
    <mergeCell ref="B18:J18"/>
    <mergeCell ref="B19:J19"/>
    <mergeCell ref="B20:J20"/>
    <mergeCell ref="B21:J21"/>
    <mergeCell ref="A2:J2"/>
    <mergeCell ref="A3:J3"/>
    <mergeCell ref="A6:A8"/>
    <mergeCell ref="B6:J6"/>
    <mergeCell ref="B7:J7"/>
    <mergeCell ref="B8:J8"/>
  </mergeCells>
  <hyperlinks>
    <hyperlink ref="A1" location="Overview!A1" display="Back to Overview" xr:uid="{00000000-0004-0000-0500-000000000000}"/>
  </hyperlinks>
  <pageMargins left="0.39370078740157483" right="0.39370078740157483" top="0.9055118110236221" bottom="0.74803149606299213" header="0.51181102362204722" footer="0.51181102362204722"/>
  <pageSetup paperSize="9" fitToHeight="0" orientation="portrait" r:id="rId1"/>
  <headerFooter scaleWithDoc="0">
    <oddHeader>&amp;L&amp;"Trebuchet MS,Regular"
&amp;"Trebuchet MS,Bold"Annex 3&amp;"Trebuchet MS,Regular" - Schedule of Charges for use of the Distribution System to Preserved/Additional LLFC Classes</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J224"/>
  <sheetViews>
    <sheetView zoomScale="90" zoomScaleNormal="90" zoomScaleSheetLayoutView="100" workbookViewId="0"/>
  </sheetViews>
  <sheetFormatPr defaultColWidth="9.140625" defaultRowHeight="27.75" customHeight="1" x14ac:dyDescent="0.3"/>
  <cols>
    <col min="1" max="1" width="58" style="57" bestFit="1" customWidth="1"/>
    <col min="2" max="2" width="17.7109375" style="64" customWidth="1"/>
    <col min="3" max="4" width="17.7109375" style="57" customWidth="1"/>
    <col min="5" max="7" width="17.7109375" style="64" customWidth="1"/>
    <col min="8" max="9" width="17.7109375" style="65" customWidth="1"/>
    <col min="10" max="10" width="17.7109375" style="60" customWidth="1"/>
    <col min="11" max="16384" width="9.140625" style="57"/>
  </cols>
  <sheetData>
    <row r="1" spans="1:10" ht="27.75" customHeight="1" x14ac:dyDescent="0.3">
      <c r="A1" s="68" t="s">
        <v>18</v>
      </c>
      <c r="B1" s="57"/>
      <c r="F1" s="57"/>
      <c r="G1" s="57"/>
      <c r="H1" s="57"/>
      <c r="I1" s="60"/>
      <c r="J1" s="57"/>
    </row>
    <row r="2" spans="1:10" ht="27" customHeight="1" x14ac:dyDescent="0.2">
      <c r="A2" s="240" t="str">
        <f>Overview!B4&amp; " - Effective from "&amp;Overview!D4&amp;" - "&amp;Overview!E4&amp;" LDNO tariffs"</f>
        <v>Northern Powergrid (Yorkshire) Plc - Effective from 1 April 2026 - Final LDNO tariffs</v>
      </c>
      <c r="B2" s="240"/>
      <c r="C2" s="240"/>
      <c r="D2" s="240"/>
      <c r="E2" s="240"/>
      <c r="F2" s="240"/>
      <c r="G2" s="240"/>
      <c r="H2" s="240"/>
      <c r="I2" s="240"/>
      <c r="J2" s="240"/>
    </row>
    <row r="3" spans="1:10" ht="18.75" x14ac:dyDescent="0.2">
      <c r="A3" s="107"/>
      <c r="B3" s="107"/>
      <c r="C3" s="107"/>
      <c r="D3" s="107"/>
      <c r="E3" s="107"/>
      <c r="F3" s="107"/>
      <c r="G3" s="107"/>
      <c r="H3" s="107"/>
      <c r="I3" s="107"/>
      <c r="J3" s="107"/>
    </row>
    <row r="4" spans="1:10" ht="27" customHeight="1" x14ac:dyDescent="0.2">
      <c r="A4" s="211" t="s">
        <v>381</v>
      </c>
      <c r="B4" s="211"/>
      <c r="C4" s="211"/>
      <c r="D4" s="211"/>
      <c r="E4" s="108"/>
      <c r="F4" s="211" t="s">
        <v>382</v>
      </c>
      <c r="G4" s="211"/>
      <c r="H4" s="211"/>
      <c r="I4" s="211"/>
      <c r="J4" s="211"/>
    </row>
    <row r="5" spans="1:10" ht="32.25" customHeight="1" x14ac:dyDescent="0.2">
      <c r="A5" s="109" t="s">
        <v>12</v>
      </c>
      <c r="B5" s="110" t="s">
        <v>275</v>
      </c>
      <c r="C5" s="111" t="s">
        <v>276</v>
      </c>
      <c r="D5" s="112" t="s">
        <v>277</v>
      </c>
      <c r="E5" s="61"/>
      <c r="F5" s="241"/>
      <c r="G5" s="242"/>
      <c r="H5" s="113" t="s">
        <v>281</v>
      </c>
      <c r="I5" s="114" t="s">
        <v>282</v>
      </c>
      <c r="J5" s="112" t="s">
        <v>277</v>
      </c>
    </row>
    <row r="6" spans="1:10" ht="56.25" customHeight="1" x14ac:dyDescent="0.2">
      <c r="A6" s="115" t="s">
        <v>278</v>
      </c>
      <c r="B6" s="72" t="s">
        <v>1381</v>
      </c>
      <c r="C6" s="72" t="s">
        <v>1382</v>
      </c>
      <c r="D6" s="72" t="s">
        <v>1383</v>
      </c>
      <c r="E6" s="61"/>
      <c r="F6" s="205" t="s">
        <v>279</v>
      </c>
      <c r="G6" s="205"/>
      <c r="H6" s="116" t="s">
        <v>1381</v>
      </c>
      <c r="I6" s="72" t="s">
        <v>1382</v>
      </c>
      <c r="J6" s="72" t="s">
        <v>1383</v>
      </c>
    </row>
    <row r="7" spans="1:10" ht="56.25" customHeight="1" x14ac:dyDescent="0.2">
      <c r="A7" s="115" t="s">
        <v>14</v>
      </c>
      <c r="B7" s="117">
        <v>0</v>
      </c>
      <c r="C7" s="117">
        <v>0</v>
      </c>
      <c r="D7" s="72" t="s">
        <v>1384</v>
      </c>
      <c r="E7" s="61"/>
      <c r="F7" s="205" t="s">
        <v>369</v>
      </c>
      <c r="G7" s="205"/>
      <c r="H7" s="117">
        <v>0</v>
      </c>
      <c r="I7" s="72" t="s">
        <v>1386</v>
      </c>
      <c r="J7" s="72" t="s">
        <v>1383</v>
      </c>
    </row>
    <row r="8" spans="1:10" ht="55.5" customHeight="1" x14ac:dyDescent="0.2">
      <c r="A8" s="118" t="s">
        <v>13</v>
      </c>
      <c r="B8" s="243" t="s">
        <v>1385</v>
      </c>
      <c r="C8" s="244"/>
      <c r="D8" s="245"/>
      <c r="E8" s="61"/>
      <c r="F8" s="205" t="s">
        <v>293</v>
      </c>
      <c r="G8" s="205"/>
      <c r="H8" s="117">
        <v>0</v>
      </c>
      <c r="I8" s="117">
        <v>0</v>
      </c>
      <c r="J8" s="72" t="s">
        <v>1384</v>
      </c>
    </row>
    <row r="9" spans="1:10" s="63" customFormat="1" ht="21" customHeight="1" x14ac:dyDescent="0.2">
      <c r="B9" s="61"/>
      <c r="C9" s="61"/>
      <c r="D9" s="61"/>
      <c r="E9" s="119"/>
      <c r="F9" s="210" t="s">
        <v>13</v>
      </c>
      <c r="G9" s="210"/>
      <c r="H9" s="209" t="s">
        <v>1385</v>
      </c>
      <c r="I9" s="209"/>
      <c r="J9" s="209"/>
    </row>
    <row r="10" spans="1:10" s="63" customFormat="1" ht="12" customHeight="1" x14ac:dyDescent="0.2">
      <c r="A10" s="61"/>
      <c r="B10" s="61"/>
      <c r="C10" s="61"/>
      <c r="D10" s="61"/>
      <c r="E10" s="61"/>
      <c r="F10" s="120"/>
      <c r="G10" s="120"/>
      <c r="H10" s="121"/>
      <c r="I10" s="121"/>
      <c r="J10" s="121"/>
    </row>
    <row r="11" spans="1:10" ht="66" customHeight="1" x14ac:dyDescent="0.2">
      <c r="A11" s="122" t="s">
        <v>355</v>
      </c>
      <c r="B11" s="122" t="s">
        <v>31</v>
      </c>
      <c r="C11" s="123" t="s">
        <v>23</v>
      </c>
      <c r="D11" s="123" t="str">
        <f>'Annex 1 LV, HV and UMS charges'!D11</f>
        <v>Red/black unit charge
p/kWh</v>
      </c>
      <c r="E11" s="123" t="str">
        <f>'Annex 1 LV, HV and UMS charges'!E11</f>
        <v>Amber/yellow unit charge
p/kWh</v>
      </c>
      <c r="F11" s="123" t="str">
        <f>'Annex 1 LV, HV and UMS charges'!F11</f>
        <v>Green unit charge
p/kWh</v>
      </c>
      <c r="G11" s="123" t="str">
        <f>'Annex 1 LV, HV and UMS charges'!G11</f>
        <v>Fixed charge p/MPAN/day</v>
      </c>
      <c r="H11" s="123" t="str">
        <f>'Annex 1 LV, HV and UMS charges'!H11</f>
        <v>Capacity charge p/kVA/day</v>
      </c>
      <c r="I11" s="123" t="str">
        <f>'Annex 1 LV, HV and UMS charges'!I11</f>
        <v>Exceeded capacity charge
p/kVA/day</v>
      </c>
      <c r="J11" s="123" t="str">
        <f>'Annex 1 LV, HV and UMS charges'!J11</f>
        <v>Reactive power charge
p/kVArh</v>
      </c>
    </row>
    <row r="12" spans="1:10" ht="27" customHeight="1" x14ac:dyDescent="0.2">
      <c r="A12" s="124" t="s">
        <v>622</v>
      </c>
      <c r="B12" s="125" t="s">
        <v>1190</v>
      </c>
      <c r="C12" s="126" t="s">
        <v>445</v>
      </c>
      <c r="D12" s="127">
        <v>4.0339999999999998</v>
      </c>
      <c r="E12" s="128">
        <v>1.081</v>
      </c>
      <c r="F12" s="129">
        <v>0.126</v>
      </c>
      <c r="G12" s="130">
        <v>10.72</v>
      </c>
      <c r="H12" s="131">
        <v>0</v>
      </c>
      <c r="I12" s="131">
        <v>0</v>
      </c>
      <c r="J12" s="132">
        <v>0</v>
      </c>
    </row>
    <row r="13" spans="1:10" ht="27" customHeight="1" x14ac:dyDescent="0.2">
      <c r="A13" s="124" t="s">
        <v>623</v>
      </c>
      <c r="B13" s="125" t="s">
        <v>1191</v>
      </c>
      <c r="C13" s="126">
        <v>2</v>
      </c>
      <c r="D13" s="127">
        <v>4.0339999999999998</v>
      </c>
      <c r="E13" s="128">
        <v>1.081</v>
      </c>
      <c r="F13" s="129">
        <v>0.126</v>
      </c>
      <c r="G13" s="131">
        <v>0</v>
      </c>
      <c r="H13" s="131">
        <v>0</v>
      </c>
      <c r="I13" s="131">
        <v>0</v>
      </c>
      <c r="J13" s="132">
        <v>0</v>
      </c>
    </row>
    <row r="14" spans="1:10" ht="27" customHeight="1" x14ac:dyDescent="0.2">
      <c r="A14" s="124" t="s">
        <v>624</v>
      </c>
      <c r="B14" s="125" t="s">
        <v>1192</v>
      </c>
      <c r="C14" s="126" t="s">
        <v>446</v>
      </c>
      <c r="D14" s="127">
        <v>4.8540000000000001</v>
      </c>
      <c r="E14" s="128">
        <v>1.3009999999999999</v>
      </c>
      <c r="F14" s="129">
        <v>0.152</v>
      </c>
      <c r="G14" s="130">
        <v>7.2</v>
      </c>
      <c r="H14" s="131">
        <v>0</v>
      </c>
      <c r="I14" s="131">
        <v>0</v>
      </c>
      <c r="J14" s="132">
        <v>0</v>
      </c>
    </row>
    <row r="15" spans="1:10" ht="27" customHeight="1" x14ac:dyDescent="0.2">
      <c r="A15" s="124" t="s">
        <v>625</v>
      </c>
      <c r="B15" s="125" t="s">
        <v>1193</v>
      </c>
      <c r="C15" s="126" t="s">
        <v>446</v>
      </c>
      <c r="D15" s="127">
        <v>4.8540000000000001</v>
      </c>
      <c r="E15" s="128">
        <v>1.3009999999999999</v>
      </c>
      <c r="F15" s="129">
        <v>0.152</v>
      </c>
      <c r="G15" s="130">
        <v>10.6</v>
      </c>
      <c r="H15" s="131">
        <v>0</v>
      </c>
      <c r="I15" s="131">
        <v>0</v>
      </c>
      <c r="J15" s="132">
        <v>0</v>
      </c>
    </row>
    <row r="16" spans="1:10" ht="27" customHeight="1" x14ac:dyDescent="0.2">
      <c r="A16" s="124" t="s">
        <v>626</v>
      </c>
      <c r="B16" s="125" t="s">
        <v>1194</v>
      </c>
      <c r="C16" s="126" t="s">
        <v>446</v>
      </c>
      <c r="D16" s="127">
        <v>4.8540000000000001</v>
      </c>
      <c r="E16" s="128">
        <v>1.3009999999999999</v>
      </c>
      <c r="F16" s="129">
        <v>0.152</v>
      </c>
      <c r="G16" s="130">
        <v>15.68</v>
      </c>
      <c r="H16" s="131">
        <v>0</v>
      </c>
      <c r="I16" s="131">
        <v>0</v>
      </c>
      <c r="J16" s="132">
        <v>0</v>
      </c>
    </row>
    <row r="17" spans="1:10" ht="27" customHeight="1" x14ac:dyDescent="0.2">
      <c r="A17" s="124" t="s">
        <v>627</v>
      </c>
      <c r="B17" s="125" t="s">
        <v>1195</v>
      </c>
      <c r="C17" s="126" t="s">
        <v>446</v>
      </c>
      <c r="D17" s="127">
        <v>4.8540000000000001</v>
      </c>
      <c r="E17" s="128">
        <v>1.3009999999999999</v>
      </c>
      <c r="F17" s="129">
        <v>0.152</v>
      </c>
      <c r="G17" s="130">
        <v>24.94</v>
      </c>
      <c r="H17" s="131">
        <v>0</v>
      </c>
      <c r="I17" s="131">
        <v>0</v>
      </c>
      <c r="J17" s="132">
        <v>0</v>
      </c>
    </row>
    <row r="18" spans="1:10" ht="27" customHeight="1" x14ac:dyDescent="0.2">
      <c r="A18" s="124" t="s">
        <v>628</v>
      </c>
      <c r="B18" s="125" t="s">
        <v>1196</v>
      </c>
      <c r="C18" s="126" t="s">
        <v>446</v>
      </c>
      <c r="D18" s="127">
        <v>4.8540000000000001</v>
      </c>
      <c r="E18" s="128">
        <v>1.3009999999999999</v>
      </c>
      <c r="F18" s="129">
        <v>0.152</v>
      </c>
      <c r="G18" s="130">
        <v>56.53</v>
      </c>
      <c r="H18" s="131">
        <v>0</v>
      </c>
      <c r="I18" s="131">
        <v>0</v>
      </c>
      <c r="J18" s="132">
        <v>0</v>
      </c>
    </row>
    <row r="19" spans="1:10" ht="27" customHeight="1" x14ac:dyDescent="0.2">
      <c r="A19" s="124" t="s">
        <v>396</v>
      </c>
      <c r="B19" s="125" t="s">
        <v>1197</v>
      </c>
      <c r="C19" s="126">
        <v>4</v>
      </c>
      <c r="D19" s="127">
        <v>4.8540000000000001</v>
      </c>
      <c r="E19" s="128">
        <v>1.3009999999999999</v>
      </c>
      <c r="F19" s="129">
        <v>0.152</v>
      </c>
      <c r="G19" s="131">
        <v>0</v>
      </c>
      <c r="H19" s="131">
        <v>0</v>
      </c>
      <c r="I19" s="131">
        <v>0</v>
      </c>
      <c r="J19" s="132">
        <v>0</v>
      </c>
    </row>
    <row r="20" spans="1:10" ht="27" customHeight="1" x14ac:dyDescent="0.2">
      <c r="A20" s="124" t="s">
        <v>467</v>
      </c>
      <c r="B20" s="125" t="s">
        <v>1198</v>
      </c>
      <c r="C20" s="126">
        <v>0</v>
      </c>
      <c r="D20" s="127">
        <v>3.4649999999999999</v>
      </c>
      <c r="E20" s="128">
        <v>0.90800000000000003</v>
      </c>
      <c r="F20" s="129">
        <v>0.10199999999999999</v>
      </c>
      <c r="G20" s="130">
        <v>9.57</v>
      </c>
      <c r="H20" s="130">
        <v>2.27</v>
      </c>
      <c r="I20" s="133">
        <v>2.27</v>
      </c>
      <c r="J20" s="134">
        <v>7.0000000000000007E-2</v>
      </c>
    </row>
    <row r="21" spans="1:10" ht="27" customHeight="1" x14ac:dyDescent="0.2">
      <c r="A21" s="124" t="s">
        <v>468</v>
      </c>
      <c r="B21" s="125" t="s">
        <v>1199</v>
      </c>
      <c r="C21" s="126">
        <v>0</v>
      </c>
      <c r="D21" s="127">
        <v>3.4649999999999999</v>
      </c>
      <c r="E21" s="128">
        <v>0.90800000000000003</v>
      </c>
      <c r="F21" s="129">
        <v>0.10199999999999999</v>
      </c>
      <c r="G21" s="130">
        <v>92.03</v>
      </c>
      <c r="H21" s="130">
        <v>2.27</v>
      </c>
      <c r="I21" s="133">
        <v>2.27</v>
      </c>
      <c r="J21" s="134">
        <v>7.0000000000000007E-2</v>
      </c>
    </row>
    <row r="22" spans="1:10" ht="27" customHeight="1" x14ac:dyDescent="0.2">
      <c r="A22" s="124" t="s">
        <v>469</v>
      </c>
      <c r="B22" s="125" t="s">
        <v>1200</v>
      </c>
      <c r="C22" s="126">
        <v>0</v>
      </c>
      <c r="D22" s="127">
        <v>3.4649999999999999</v>
      </c>
      <c r="E22" s="128">
        <v>0.90800000000000003</v>
      </c>
      <c r="F22" s="129">
        <v>0.10199999999999999</v>
      </c>
      <c r="G22" s="130">
        <v>174.57</v>
      </c>
      <c r="H22" s="130">
        <v>2.27</v>
      </c>
      <c r="I22" s="133">
        <v>2.27</v>
      </c>
      <c r="J22" s="134">
        <v>7.0000000000000007E-2</v>
      </c>
    </row>
    <row r="23" spans="1:10" ht="27" customHeight="1" x14ac:dyDescent="0.2">
      <c r="A23" s="124" t="s">
        <v>470</v>
      </c>
      <c r="B23" s="125" t="s">
        <v>1201</v>
      </c>
      <c r="C23" s="126">
        <v>0</v>
      </c>
      <c r="D23" s="127">
        <v>3.4649999999999999</v>
      </c>
      <c r="E23" s="128">
        <v>0.90800000000000003</v>
      </c>
      <c r="F23" s="129">
        <v>0.10199999999999999</v>
      </c>
      <c r="G23" s="130">
        <v>257.98</v>
      </c>
      <c r="H23" s="130">
        <v>2.27</v>
      </c>
      <c r="I23" s="133">
        <v>2.27</v>
      </c>
      <c r="J23" s="134">
        <v>7.0000000000000007E-2</v>
      </c>
    </row>
    <row r="24" spans="1:10" ht="27" customHeight="1" x14ac:dyDescent="0.2">
      <c r="A24" s="124" t="s">
        <v>471</v>
      </c>
      <c r="B24" s="125" t="s">
        <v>1202</v>
      </c>
      <c r="C24" s="126">
        <v>0</v>
      </c>
      <c r="D24" s="127">
        <v>3.4649999999999999</v>
      </c>
      <c r="E24" s="128">
        <v>0.90800000000000003</v>
      </c>
      <c r="F24" s="129">
        <v>0.10199999999999999</v>
      </c>
      <c r="G24" s="130">
        <v>526.87</v>
      </c>
      <c r="H24" s="130">
        <v>2.27</v>
      </c>
      <c r="I24" s="133">
        <v>2.27</v>
      </c>
      <c r="J24" s="134">
        <v>7.0000000000000007E-2</v>
      </c>
    </row>
    <row r="25" spans="1:10" ht="27" customHeight="1" x14ac:dyDescent="0.2">
      <c r="A25" s="124" t="s">
        <v>397</v>
      </c>
      <c r="B25" s="125" t="s">
        <v>1203</v>
      </c>
      <c r="C25" s="126" t="s">
        <v>447</v>
      </c>
      <c r="D25" s="135">
        <v>12.19</v>
      </c>
      <c r="E25" s="136">
        <v>1.423</v>
      </c>
      <c r="F25" s="137">
        <v>0.52900000000000003</v>
      </c>
      <c r="G25" s="131">
        <v>0</v>
      </c>
      <c r="H25" s="131">
        <v>0</v>
      </c>
      <c r="I25" s="131">
        <v>0</v>
      </c>
      <c r="J25" s="132">
        <v>0</v>
      </c>
    </row>
    <row r="26" spans="1:10" ht="27" customHeight="1" x14ac:dyDescent="0.2">
      <c r="A26" s="124" t="s">
        <v>398</v>
      </c>
      <c r="B26" s="125" t="s">
        <v>1204</v>
      </c>
      <c r="C26" s="126" t="s">
        <v>1380</v>
      </c>
      <c r="D26" s="127">
        <v>-4.8949999999999996</v>
      </c>
      <c r="E26" s="128">
        <v>-1.3120000000000001</v>
      </c>
      <c r="F26" s="129">
        <v>-0.153</v>
      </c>
      <c r="G26" s="131">
        <v>0</v>
      </c>
      <c r="H26" s="131">
        <v>0</v>
      </c>
      <c r="I26" s="131">
        <v>0</v>
      </c>
      <c r="J26" s="132">
        <v>0</v>
      </c>
    </row>
    <row r="27" spans="1:10" ht="27" customHeight="1" x14ac:dyDescent="0.2">
      <c r="A27" s="124" t="s">
        <v>399</v>
      </c>
      <c r="B27" s="125" t="s">
        <v>1205</v>
      </c>
      <c r="C27" s="126">
        <v>0</v>
      </c>
      <c r="D27" s="127">
        <v>-4.8949999999999996</v>
      </c>
      <c r="E27" s="128">
        <v>-1.3120000000000001</v>
      </c>
      <c r="F27" s="129">
        <v>-0.153</v>
      </c>
      <c r="G27" s="131">
        <v>0</v>
      </c>
      <c r="H27" s="131">
        <v>0</v>
      </c>
      <c r="I27" s="131">
        <v>0</v>
      </c>
      <c r="J27" s="134">
        <v>9.0999999999999998E-2</v>
      </c>
    </row>
    <row r="28" spans="1:10" ht="27" customHeight="1" x14ac:dyDescent="0.2">
      <c r="A28" s="138" t="s">
        <v>629</v>
      </c>
      <c r="B28" s="125" t="s">
        <v>1206</v>
      </c>
      <c r="C28" s="126" t="s">
        <v>445</v>
      </c>
      <c r="D28" s="127">
        <v>2.7869999999999999</v>
      </c>
      <c r="E28" s="128">
        <v>0.747</v>
      </c>
      <c r="F28" s="129">
        <v>8.6999999999999994E-2</v>
      </c>
      <c r="G28" s="130">
        <v>7.41</v>
      </c>
      <c r="H28" s="131">
        <v>0</v>
      </c>
      <c r="I28" s="131">
        <v>0</v>
      </c>
      <c r="J28" s="132">
        <v>0</v>
      </c>
    </row>
    <row r="29" spans="1:10" ht="27" customHeight="1" x14ac:dyDescent="0.2">
      <c r="A29" s="138" t="s">
        <v>472</v>
      </c>
      <c r="B29" s="125" t="s">
        <v>1207</v>
      </c>
      <c r="C29" s="126">
        <v>2</v>
      </c>
      <c r="D29" s="127">
        <v>2.7869999999999999</v>
      </c>
      <c r="E29" s="128">
        <v>0.747</v>
      </c>
      <c r="F29" s="129">
        <v>8.6999999999999994E-2</v>
      </c>
      <c r="G29" s="131">
        <v>0</v>
      </c>
      <c r="H29" s="131">
        <v>0</v>
      </c>
      <c r="I29" s="131">
        <v>0</v>
      </c>
      <c r="J29" s="132">
        <v>0</v>
      </c>
    </row>
    <row r="30" spans="1:10" ht="27" customHeight="1" x14ac:dyDescent="0.2">
      <c r="A30" s="138" t="s">
        <v>630</v>
      </c>
      <c r="B30" s="125" t="s">
        <v>1208</v>
      </c>
      <c r="C30" s="126" t="s">
        <v>446</v>
      </c>
      <c r="D30" s="127">
        <v>3.3530000000000002</v>
      </c>
      <c r="E30" s="128">
        <v>0.89900000000000002</v>
      </c>
      <c r="F30" s="129">
        <v>0.105</v>
      </c>
      <c r="G30" s="130">
        <v>4.9800000000000004</v>
      </c>
      <c r="H30" s="131">
        <v>0</v>
      </c>
      <c r="I30" s="131">
        <v>0</v>
      </c>
      <c r="J30" s="132">
        <v>0</v>
      </c>
    </row>
    <row r="31" spans="1:10" ht="27" customHeight="1" x14ac:dyDescent="0.2">
      <c r="A31" s="138" t="s">
        <v>631</v>
      </c>
      <c r="B31" s="125" t="s">
        <v>1209</v>
      </c>
      <c r="C31" s="126" t="s">
        <v>446</v>
      </c>
      <c r="D31" s="127">
        <v>3.3530000000000002</v>
      </c>
      <c r="E31" s="128">
        <v>0.89900000000000002</v>
      </c>
      <c r="F31" s="129">
        <v>0.105</v>
      </c>
      <c r="G31" s="130">
        <v>7.32</v>
      </c>
      <c r="H31" s="131">
        <v>0</v>
      </c>
      <c r="I31" s="131">
        <v>0</v>
      </c>
      <c r="J31" s="132">
        <v>0</v>
      </c>
    </row>
    <row r="32" spans="1:10" ht="27" customHeight="1" x14ac:dyDescent="0.2">
      <c r="A32" s="138" t="s">
        <v>632</v>
      </c>
      <c r="B32" s="125" t="s">
        <v>1210</v>
      </c>
      <c r="C32" s="126" t="s">
        <v>446</v>
      </c>
      <c r="D32" s="127">
        <v>3.3530000000000002</v>
      </c>
      <c r="E32" s="128">
        <v>0.89900000000000002</v>
      </c>
      <c r="F32" s="129">
        <v>0.105</v>
      </c>
      <c r="G32" s="130">
        <v>10.83</v>
      </c>
      <c r="H32" s="131">
        <v>0</v>
      </c>
      <c r="I32" s="131">
        <v>0</v>
      </c>
      <c r="J32" s="132">
        <v>0</v>
      </c>
    </row>
    <row r="33" spans="1:10" ht="27" customHeight="1" x14ac:dyDescent="0.2">
      <c r="A33" s="138" t="s">
        <v>633</v>
      </c>
      <c r="B33" s="125" t="s">
        <v>1211</v>
      </c>
      <c r="C33" s="126" t="s">
        <v>446</v>
      </c>
      <c r="D33" s="127">
        <v>3.3530000000000002</v>
      </c>
      <c r="E33" s="128">
        <v>0.89900000000000002</v>
      </c>
      <c r="F33" s="129">
        <v>0.105</v>
      </c>
      <c r="G33" s="130">
        <v>17.23</v>
      </c>
      <c r="H33" s="131">
        <v>0</v>
      </c>
      <c r="I33" s="131">
        <v>0</v>
      </c>
      <c r="J33" s="132">
        <v>0</v>
      </c>
    </row>
    <row r="34" spans="1:10" ht="27" customHeight="1" x14ac:dyDescent="0.2">
      <c r="A34" s="138" t="s">
        <v>634</v>
      </c>
      <c r="B34" s="125" t="s">
        <v>1212</v>
      </c>
      <c r="C34" s="126" t="s">
        <v>446</v>
      </c>
      <c r="D34" s="127">
        <v>3.3530000000000002</v>
      </c>
      <c r="E34" s="128">
        <v>0.89900000000000002</v>
      </c>
      <c r="F34" s="129">
        <v>0.105</v>
      </c>
      <c r="G34" s="130">
        <v>39.049999999999997</v>
      </c>
      <c r="H34" s="131">
        <v>0</v>
      </c>
      <c r="I34" s="131">
        <v>0</v>
      </c>
      <c r="J34" s="132">
        <v>0</v>
      </c>
    </row>
    <row r="35" spans="1:10" ht="27" customHeight="1" x14ac:dyDescent="0.2">
      <c r="A35" s="138" t="s">
        <v>400</v>
      </c>
      <c r="B35" s="125" t="s">
        <v>1213</v>
      </c>
      <c r="C35" s="126">
        <v>4</v>
      </c>
      <c r="D35" s="127">
        <v>3.3530000000000002</v>
      </c>
      <c r="E35" s="128">
        <v>0.89900000000000002</v>
      </c>
      <c r="F35" s="129">
        <v>0.105</v>
      </c>
      <c r="G35" s="131">
        <v>0</v>
      </c>
      <c r="H35" s="131">
        <v>0</v>
      </c>
      <c r="I35" s="131">
        <v>0</v>
      </c>
      <c r="J35" s="132">
        <v>0</v>
      </c>
    </row>
    <row r="36" spans="1:10" ht="27" customHeight="1" x14ac:dyDescent="0.2">
      <c r="A36" s="138" t="s">
        <v>473</v>
      </c>
      <c r="B36" s="125" t="s">
        <v>1214</v>
      </c>
      <c r="C36" s="126">
        <v>0</v>
      </c>
      <c r="D36" s="127">
        <v>2.3940000000000001</v>
      </c>
      <c r="E36" s="128">
        <v>0.627</v>
      </c>
      <c r="F36" s="129">
        <v>7.0000000000000007E-2</v>
      </c>
      <c r="G36" s="130">
        <v>6.61</v>
      </c>
      <c r="H36" s="130">
        <v>1.57</v>
      </c>
      <c r="I36" s="133">
        <v>1.57</v>
      </c>
      <c r="J36" s="134">
        <v>4.9000000000000002E-2</v>
      </c>
    </row>
    <row r="37" spans="1:10" ht="27" customHeight="1" x14ac:dyDescent="0.2">
      <c r="A37" s="138" t="s">
        <v>474</v>
      </c>
      <c r="B37" s="125" t="s">
        <v>1215</v>
      </c>
      <c r="C37" s="126">
        <v>0</v>
      </c>
      <c r="D37" s="127">
        <v>2.3940000000000001</v>
      </c>
      <c r="E37" s="128">
        <v>0.627</v>
      </c>
      <c r="F37" s="129">
        <v>7.0000000000000007E-2</v>
      </c>
      <c r="G37" s="130">
        <v>63.58</v>
      </c>
      <c r="H37" s="130">
        <v>1.57</v>
      </c>
      <c r="I37" s="133">
        <v>1.57</v>
      </c>
      <c r="J37" s="134">
        <v>4.9000000000000002E-2</v>
      </c>
    </row>
    <row r="38" spans="1:10" ht="27" customHeight="1" x14ac:dyDescent="0.2">
      <c r="A38" s="138" t="s">
        <v>475</v>
      </c>
      <c r="B38" s="125" t="s">
        <v>1216</v>
      </c>
      <c r="C38" s="126">
        <v>0</v>
      </c>
      <c r="D38" s="127">
        <v>2.3940000000000001</v>
      </c>
      <c r="E38" s="128">
        <v>0.627</v>
      </c>
      <c r="F38" s="129">
        <v>7.0000000000000007E-2</v>
      </c>
      <c r="G38" s="130">
        <v>120.6</v>
      </c>
      <c r="H38" s="130">
        <v>1.57</v>
      </c>
      <c r="I38" s="133">
        <v>1.57</v>
      </c>
      <c r="J38" s="134">
        <v>4.9000000000000002E-2</v>
      </c>
    </row>
    <row r="39" spans="1:10" ht="27" customHeight="1" x14ac:dyDescent="0.2">
      <c r="A39" s="138" t="s">
        <v>476</v>
      </c>
      <c r="B39" s="125" t="s">
        <v>1217</v>
      </c>
      <c r="C39" s="126">
        <v>0</v>
      </c>
      <c r="D39" s="127">
        <v>2.3940000000000001</v>
      </c>
      <c r="E39" s="128">
        <v>0.627</v>
      </c>
      <c r="F39" s="129">
        <v>7.0000000000000007E-2</v>
      </c>
      <c r="G39" s="130">
        <v>178.22</v>
      </c>
      <c r="H39" s="130">
        <v>1.57</v>
      </c>
      <c r="I39" s="133">
        <v>1.57</v>
      </c>
      <c r="J39" s="134">
        <v>4.9000000000000002E-2</v>
      </c>
    </row>
    <row r="40" spans="1:10" ht="27" customHeight="1" x14ac:dyDescent="0.2">
      <c r="A40" s="138" t="s">
        <v>477</v>
      </c>
      <c r="B40" s="125" t="s">
        <v>1218</v>
      </c>
      <c r="C40" s="126">
        <v>0</v>
      </c>
      <c r="D40" s="127">
        <v>2.3940000000000001</v>
      </c>
      <c r="E40" s="128">
        <v>0.627</v>
      </c>
      <c r="F40" s="129">
        <v>7.0000000000000007E-2</v>
      </c>
      <c r="G40" s="130">
        <v>363.97</v>
      </c>
      <c r="H40" s="130">
        <v>1.57</v>
      </c>
      <c r="I40" s="133">
        <v>1.57</v>
      </c>
      <c r="J40" s="134">
        <v>4.9000000000000002E-2</v>
      </c>
    </row>
    <row r="41" spans="1:10" ht="27" customHeight="1" x14ac:dyDescent="0.2">
      <c r="A41" s="138" t="s">
        <v>478</v>
      </c>
      <c r="B41" s="125" t="s">
        <v>1219</v>
      </c>
      <c r="C41" s="126">
        <v>0</v>
      </c>
      <c r="D41" s="127">
        <v>2.5779999999999998</v>
      </c>
      <c r="E41" s="128">
        <v>0.64</v>
      </c>
      <c r="F41" s="129">
        <v>6.5000000000000002E-2</v>
      </c>
      <c r="G41" s="130">
        <v>11.18</v>
      </c>
      <c r="H41" s="130">
        <v>2.13</v>
      </c>
      <c r="I41" s="133">
        <v>2.13</v>
      </c>
      <c r="J41" s="134">
        <v>4.7E-2</v>
      </c>
    </row>
    <row r="42" spans="1:10" ht="27" customHeight="1" x14ac:dyDescent="0.2">
      <c r="A42" s="138" t="s">
        <v>479</v>
      </c>
      <c r="B42" s="125" t="s">
        <v>1220</v>
      </c>
      <c r="C42" s="126">
        <v>0</v>
      </c>
      <c r="D42" s="127">
        <v>2.5779999999999998</v>
      </c>
      <c r="E42" s="128">
        <v>0.64</v>
      </c>
      <c r="F42" s="129">
        <v>6.5000000000000002E-2</v>
      </c>
      <c r="G42" s="130">
        <v>107.44</v>
      </c>
      <c r="H42" s="130">
        <v>2.13</v>
      </c>
      <c r="I42" s="133">
        <v>2.13</v>
      </c>
      <c r="J42" s="134">
        <v>4.7E-2</v>
      </c>
    </row>
    <row r="43" spans="1:10" ht="27" customHeight="1" x14ac:dyDescent="0.2">
      <c r="A43" s="138" t="s">
        <v>480</v>
      </c>
      <c r="B43" s="125" t="s">
        <v>1221</v>
      </c>
      <c r="C43" s="126">
        <v>0</v>
      </c>
      <c r="D43" s="127">
        <v>2.5779999999999998</v>
      </c>
      <c r="E43" s="128">
        <v>0.64</v>
      </c>
      <c r="F43" s="129">
        <v>6.5000000000000002E-2</v>
      </c>
      <c r="G43" s="130">
        <v>203.81</v>
      </c>
      <c r="H43" s="130">
        <v>2.13</v>
      </c>
      <c r="I43" s="133">
        <v>2.13</v>
      </c>
      <c r="J43" s="134">
        <v>4.7E-2</v>
      </c>
    </row>
    <row r="44" spans="1:10" ht="27" customHeight="1" x14ac:dyDescent="0.2">
      <c r="A44" s="138" t="s">
        <v>481</v>
      </c>
      <c r="B44" s="125" t="s">
        <v>1222</v>
      </c>
      <c r="C44" s="126">
        <v>0</v>
      </c>
      <c r="D44" s="127">
        <v>2.5779999999999998</v>
      </c>
      <c r="E44" s="128">
        <v>0.64</v>
      </c>
      <c r="F44" s="129">
        <v>6.5000000000000002E-2</v>
      </c>
      <c r="G44" s="130">
        <v>301.18</v>
      </c>
      <c r="H44" s="130">
        <v>2.13</v>
      </c>
      <c r="I44" s="133">
        <v>2.13</v>
      </c>
      <c r="J44" s="134">
        <v>4.7E-2</v>
      </c>
    </row>
    <row r="45" spans="1:10" ht="27" customHeight="1" x14ac:dyDescent="0.2">
      <c r="A45" s="138" t="s">
        <v>482</v>
      </c>
      <c r="B45" s="125" t="s">
        <v>1223</v>
      </c>
      <c r="C45" s="126">
        <v>0</v>
      </c>
      <c r="D45" s="127">
        <v>2.5779999999999998</v>
      </c>
      <c r="E45" s="128">
        <v>0.64</v>
      </c>
      <c r="F45" s="129">
        <v>6.5000000000000002E-2</v>
      </c>
      <c r="G45" s="130">
        <v>615.11</v>
      </c>
      <c r="H45" s="130">
        <v>2.13</v>
      </c>
      <c r="I45" s="133">
        <v>2.13</v>
      </c>
      <c r="J45" s="134">
        <v>4.7E-2</v>
      </c>
    </row>
    <row r="46" spans="1:10" ht="27" customHeight="1" x14ac:dyDescent="0.2">
      <c r="A46" s="138" t="s">
        <v>483</v>
      </c>
      <c r="B46" s="125" t="s">
        <v>1224</v>
      </c>
      <c r="C46" s="126">
        <v>0</v>
      </c>
      <c r="D46" s="127">
        <v>2.1869999999999998</v>
      </c>
      <c r="E46" s="128">
        <v>0.51200000000000001</v>
      </c>
      <c r="F46" s="129">
        <v>4.4999999999999998E-2</v>
      </c>
      <c r="G46" s="130">
        <v>366.83</v>
      </c>
      <c r="H46" s="130">
        <v>3.29</v>
      </c>
      <c r="I46" s="133">
        <v>3.29</v>
      </c>
      <c r="J46" s="134">
        <v>3.5999999999999997E-2</v>
      </c>
    </row>
    <row r="47" spans="1:10" ht="27" customHeight="1" x14ac:dyDescent="0.2">
      <c r="A47" s="138" t="s">
        <v>484</v>
      </c>
      <c r="B47" s="125" t="s">
        <v>1225</v>
      </c>
      <c r="C47" s="126">
        <v>0</v>
      </c>
      <c r="D47" s="127">
        <v>2.1869999999999998</v>
      </c>
      <c r="E47" s="128">
        <v>0.51200000000000001</v>
      </c>
      <c r="F47" s="129">
        <v>4.4999999999999998E-2</v>
      </c>
      <c r="G47" s="130">
        <v>1088.72</v>
      </c>
      <c r="H47" s="130">
        <v>3.29</v>
      </c>
      <c r="I47" s="133">
        <v>3.29</v>
      </c>
      <c r="J47" s="134">
        <v>3.5999999999999997E-2</v>
      </c>
    </row>
    <row r="48" spans="1:10" ht="27" customHeight="1" x14ac:dyDescent="0.2">
      <c r="A48" s="138" t="s">
        <v>485</v>
      </c>
      <c r="B48" s="125" t="s">
        <v>1226</v>
      </c>
      <c r="C48" s="126">
        <v>0</v>
      </c>
      <c r="D48" s="127">
        <v>2.1869999999999998</v>
      </c>
      <c r="E48" s="128">
        <v>0.51200000000000001</v>
      </c>
      <c r="F48" s="129">
        <v>4.4999999999999998E-2</v>
      </c>
      <c r="G48" s="130">
        <v>2530.1999999999998</v>
      </c>
      <c r="H48" s="130">
        <v>3.29</v>
      </c>
      <c r="I48" s="133">
        <v>3.29</v>
      </c>
      <c r="J48" s="134">
        <v>3.5999999999999997E-2</v>
      </c>
    </row>
    <row r="49" spans="1:10" ht="27" customHeight="1" x14ac:dyDescent="0.2">
      <c r="A49" s="138" t="s">
        <v>486</v>
      </c>
      <c r="B49" s="125" t="s">
        <v>1227</v>
      </c>
      <c r="C49" s="126">
        <v>0</v>
      </c>
      <c r="D49" s="127">
        <v>2.1869999999999998</v>
      </c>
      <c r="E49" s="128">
        <v>0.51200000000000001</v>
      </c>
      <c r="F49" s="129">
        <v>4.4999999999999998E-2</v>
      </c>
      <c r="G49" s="130">
        <v>4790.6499999999996</v>
      </c>
      <c r="H49" s="130">
        <v>3.29</v>
      </c>
      <c r="I49" s="133">
        <v>3.29</v>
      </c>
      <c r="J49" s="134">
        <v>3.5999999999999997E-2</v>
      </c>
    </row>
    <row r="50" spans="1:10" ht="27" customHeight="1" x14ac:dyDescent="0.2">
      <c r="A50" s="138" t="s">
        <v>487</v>
      </c>
      <c r="B50" s="125" t="s">
        <v>1228</v>
      </c>
      <c r="C50" s="126">
        <v>0</v>
      </c>
      <c r="D50" s="127">
        <v>2.1869999999999998</v>
      </c>
      <c r="E50" s="128">
        <v>0.51200000000000001</v>
      </c>
      <c r="F50" s="129">
        <v>4.4999999999999998E-2</v>
      </c>
      <c r="G50" s="130">
        <v>11153.86</v>
      </c>
      <c r="H50" s="130">
        <v>3.29</v>
      </c>
      <c r="I50" s="133">
        <v>3.29</v>
      </c>
      <c r="J50" s="134">
        <v>3.5999999999999997E-2</v>
      </c>
    </row>
    <row r="51" spans="1:10" ht="27" customHeight="1" x14ac:dyDescent="0.2">
      <c r="A51" s="138" t="s">
        <v>401</v>
      </c>
      <c r="B51" s="125" t="s">
        <v>1229</v>
      </c>
      <c r="C51" s="126" t="s">
        <v>447</v>
      </c>
      <c r="D51" s="135">
        <v>8.4209999999999994</v>
      </c>
      <c r="E51" s="136">
        <v>0.98299999999999998</v>
      </c>
      <c r="F51" s="137">
        <v>0.36599999999999999</v>
      </c>
      <c r="G51" s="131">
        <v>0</v>
      </c>
      <c r="H51" s="131">
        <v>0</v>
      </c>
      <c r="I51" s="131">
        <v>0</v>
      </c>
      <c r="J51" s="132">
        <v>0</v>
      </c>
    </row>
    <row r="52" spans="1:10" ht="27" customHeight="1" x14ac:dyDescent="0.2">
      <c r="A52" s="138" t="s">
        <v>402</v>
      </c>
      <c r="B52" s="125" t="s">
        <v>1230</v>
      </c>
      <c r="C52" s="126" t="s">
        <v>1380</v>
      </c>
      <c r="D52" s="127">
        <v>-4.8949999999999996</v>
      </c>
      <c r="E52" s="128">
        <v>-1.3120000000000001</v>
      </c>
      <c r="F52" s="129">
        <v>-0.153</v>
      </c>
      <c r="G52" s="131">
        <v>0</v>
      </c>
      <c r="H52" s="131">
        <v>0</v>
      </c>
      <c r="I52" s="131">
        <v>0</v>
      </c>
      <c r="J52" s="132">
        <v>0</v>
      </c>
    </row>
    <row r="53" spans="1:10" ht="27" customHeight="1" x14ac:dyDescent="0.2">
      <c r="A53" s="138" t="s">
        <v>403</v>
      </c>
      <c r="B53" s="125" t="s">
        <v>1231</v>
      </c>
      <c r="C53" s="126">
        <v>8</v>
      </c>
      <c r="D53" s="127">
        <v>-4.0460000000000003</v>
      </c>
      <c r="E53" s="128">
        <v>-1.07</v>
      </c>
      <c r="F53" s="129">
        <v>-0.122</v>
      </c>
      <c r="G53" s="131">
        <v>0</v>
      </c>
      <c r="H53" s="131">
        <v>0</v>
      </c>
      <c r="I53" s="131">
        <v>0</v>
      </c>
      <c r="J53" s="132">
        <v>0</v>
      </c>
    </row>
    <row r="54" spans="1:10" ht="27" customHeight="1" x14ac:dyDescent="0.2">
      <c r="A54" s="138" t="s">
        <v>404</v>
      </c>
      <c r="B54" s="125" t="s">
        <v>1232</v>
      </c>
      <c r="C54" s="126">
        <v>0</v>
      </c>
      <c r="D54" s="127">
        <v>-4.8949999999999996</v>
      </c>
      <c r="E54" s="128">
        <v>-1.3120000000000001</v>
      </c>
      <c r="F54" s="129">
        <v>-0.153</v>
      </c>
      <c r="G54" s="131">
        <v>0</v>
      </c>
      <c r="H54" s="131">
        <v>0</v>
      </c>
      <c r="I54" s="131">
        <v>0</v>
      </c>
      <c r="J54" s="134">
        <v>9.0999999999999998E-2</v>
      </c>
    </row>
    <row r="55" spans="1:10" ht="27" customHeight="1" x14ac:dyDescent="0.2">
      <c r="A55" s="138" t="s">
        <v>405</v>
      </c>
      <c r="B55" s="125" t="s">
        <v>1233</v>
      </c>
      <c r="C55" s="126">
        <v>0</v>
      </c>
      <c r="D55" s="127">
        <v>-4.0460000000000003</v>
      </c>
      <c r="E55" s="128">
        <v>-1.07</v>
      </c>
      <c r="F55" s="129">
        <v>-0.122</v>
      </c>
      <c r="G55" s="131">
        <v>0</v>
      </c>
      <c r="H55" s="131">
        <v>0</v>
      </c>
      <c r="I55" s="131">
        <v>0</v>
      </c>
      <c r="J55" s="134">
        <v>8.3000000000000004E-2</v>
      </c>
    </row>
    <row r="56" spans="1:10" ht="27" customHeight="1" x14ac:dyDescent="0.2">
      <c r="A56" s="138" t="s">
        <v>406</v>
      </c>
      <c r="B56" s="125" t="s">
        <v>1234</v>
      </c>
      <c r="C56" s="126">
        <v>0</v>
      </c>
      <c r="D56" s="127">
        <v>-2.8260000000000001</v>
      </c>
      <c r="E56" s="128">
        <v>-0.70199999999999996</v>
      </c>
      <c r="F56" s="129">
        <v>-7.0999999999999994E-2</v>
      </c>
      <c r="G56" s="131">
        <v>0</v>
      </c>
      <c r="H56" s="131">
        <v>0</v>
      </c>
      <c r="I56" s="131">
        <v>0</v>
      </c>
      <c r="J56" s="134">
        <v>7.2999999999999995E-2</v>
      </c>
    </row>
    <row r="57" spans="1:10" ht="27" customHeight="1" x14ac:dyDescent="0.2">
      <c r="A57" s="124" t="s">
        <v>635</v>
      </c>
      <c r="B57" s="125" t="s">
        <v>1235</v>
      </c>
      <c r="C57" s="126" t="s">
        <v>445</v>
      </c>
      <c r="D57" s="127">
        <v>1.913</v>
      </c>
      <c r="E57" s="128">
        <v>0.51300000000000001</v>
      </c>
      <c r="F57" s="129">
        <v>0.06</v>
      </c>
      <c r="G57" s="130">
        <v>5.08</v>
      </c>
      <c r="H57" s="131">
        <v>0</v>
      </c>
      <c r="I57" s="131">
        <v>0</v>
      </c>
      <c r="J57" s="132">
        <v>0</v>
      </c>
    </row>
    <row r="58" spans="1:10" ht="27" customHeight="1" x14ac:dyDescent="0.2">
      <c r="A58" s="124" t="s">
        <v>636</v>
      </c>
      <c r="B58" s="125" t="s">
        <v>1236</v>
      </c>
      <c r="C58" s="126">
        <v>2</v>
      </c>
      <c r="D58" s="127">
        <v>1.913</v>
      </c>
      <c r="E58" s="128">
        <v>0.51300000000000001</v>
      </c>
      <c r="F58" s="129">
        <v>0.06</v>
      </c>
      <c r="G58" s="131">
        <v>0</v>
      </c>
      <c r="H58" s="131">
        <v>0</v>
      </c>
      <c r="I58" s="131">
        <v>0</v>
      </c>
      <c r="J58" s="132">
        <v>0</v>
      </c>
    </row>
    <row r="59" spans="1:10" ht="27" customHeight="1" x14ac:dyDescent="0.2">
      <c r="A59" s="124" t="s">
        <v>637</v>
      </c>
      <c r="B59" s="125" t="s">
        <v>1237</v>
      </c>
      <c r="C59" s="126" t="s">
        <v>446</v>
      </c>
      <c r="D59" s="127">
        <v>2.302</v>
      </c>
      <c r="E59" s="128">
        <v>0.61699999999999999</v>
      </c>
      <c r="F59" s="129">
        <v>7.1999999999999995E-2</v>
      </c>
      <c r="G59" s="130">
        <v>3.42</v>
      </c>
      <c r="H59" s="131">
        <v>0</v>
      </c>
      <c r="I59" s="131">
        <v>0</v>
      </c>
      <c r="J59" s="132">
        <v>0</v>
      </c>
    </row>
    <row r="60" spans="1:10" ht="27" customHeight="1" x14ac:dyDescent="0.2">
      <c r="A60" s="124" t="s">
        <v>638</v>
      </c>
      <c r="B60" s="125" t="s">
        <v>1238</v>
      </c>
      <c r="C60" s="126" t="s">
        <v>446</v>
      </c>
      <c r="D60" s="127">
        <v>2.302</v>
      </c>
      <c r="E60" s="128">
        <v>0.61699999999999999</v>
      </c>
      <c r="F60" s="129">
        <v>7.1999999999999995E-2</v>
      </c>
      <c r="G60" s="130">
        <v>5.03</v>
      </c>
      <c r="H60" s="131">
        <v>0</v>
      </c>
      <c r="I60" s="131">
        <v>0</v>
      </c>
      <c r="J60" s="132">
        <v>0</v>
      </c>
    </row>
    <row r="61" spans="1:10" ht="27" customHeight="1" x14ac:dyDescent="0.2">
      <c r="A61" s="124" t="s">
        <v>639</v>
      </c>
      <c r="B61" s="125" t="s">
        <v>1239</v>
      </c>
      <c r="C61" s="126" t="s">
        <v>446</v>
      </c>
      <c r="D61" s="127">
        <v>2.302</v>
      </c>
      <c r="E61" s="128">
        <v>0.61699999999999999</v>
      </c>
      <c r="F61" s="129">
        <v>7.1999999999999995E-2</v>
      </c>
      <c r="G61" s="130">
        <v>7.44</v>
      </c>
      <c r="H61" s="131">
        <v>0</v>
      </c>
      <c r="I61" s="131">
        <v>0</v>
      </c>
      <c r="J61" s="132">
        <v>0</v>
      </c>
    </row>
    <row r="62" spans="1:10" ht="27" customHeight="1" x14ac:dyDescent="0.2">
      <c r="A62" s="124" t="s">
        <v>640</v>
      </c>
      <c r="B62" s="125" t="s">
        <v>1240</v>
      </c>
      <c r="C62" s="126" t="s">
        <v>446</v>
      </c>
      <c r="D62" s="127">
        <v>2.302</v>
      </c>
      <c r="E62" s="128">
        <v>0.61699999999999999</v>
      </c>
      <c r="F62" s="129">
        <v>7.1999999999999995E-2</v>
      </c>
      <c r="G62" s="130">
        <v>11.83</v>
      </c>
      <c r="H62" s="131">
        <v>0</v>
      </c>
      <c r="I62" s="131">
        <v>0</v>
      </c>
      <c r="J62" s="132">
        <v>0</v>
      </c>
    </row>
    <row r="63" spans="1:10" ht="27" customHeight="1" x14ac:dyDescent="0.2">
      <c r="A63" s="124" t="s">
        <v>641</v>
      </c>
      <c r="B63" s="125" t="s">
        <v>1241</v>
      </c>
      <c r="C63" s="126" t="s">
        <v>446</v>
      </c>
      <c r="D63" s="127">
        <v>2.302</v>
      </c>
      <c r="E63" s="128">
        <v>0.61699999999999999</v>
      </c>
      <c r="F63" s="129">
        <v>7.1999999999999995E-2</v>
      </c>
      <c r="G63" s="130">
        <v>26.81</v>
      </c>
      <c r="H63" s="131">
        <v>0</v>
      </c>
      <c r="I63" s="131">
        <v>0</v>
      </c>
      <c r="J63" s="132">
        <v>0</v>
      </c>
    </row>
    <row r="64" spans="1:10" ht="27" customHeight="1" x14ac:dyDescent="0.2">
      <c r="A64" s="124" t="s">
        <v>407</v>
      </c>
      <c r="B64" s="125" t="s">
        <v>1242</v>
      </c>
      <c r="C64" s="126">
        <v>4</v>
      </c>
      <c r="D64" s="127">
        <v>2.302</v>
      </c>
      <c r="E64" s="128">
        <v>0.61699999999999999</v>
      </c>
      <c r="F64" s="129">
        <v>7.1999999999999995E-2</v>
      </c>
      <c r="G64" s="131">
        <v>0</v>
      </c>
      <c r="H64" s="131">
        <v>0</v>
      </c>
      <c r="I64" s="131">
        <v>0</v>
      </c>
      <c r="J64" s="132">
        <v>0</v>
      </c>
    </row>
    <row r="65" spans="1:10" ht="27" customHeight="1" x14ac:dyDescent="0.2">
      <c r="A65" s="124" t="s">
        <v>488</v>
      </c>
      <c r="B65" s="125" t="s">
        <v>1243</v>
      </c>
      <c r="C65" s="126">
        <v>0</v>
      </c>
      <c r="D65" s="127">
        <v>1.643</v>
      </c>
      <c r="E65" s="128">
        <v>0.43099999999999999</v>
      </c>
      <c r="F65" s="129">
        <v>4.8000000000000001E-2</v>
      </c>
      <c r="G65" s="130">
        <v>4.54</v>
      </c>
      <c r="H65" s="130">
        <v>1.08</v>
      </c>
      <c r="I65" s="133">
        <v>1.08</v>
      </c>
      <c r="J65" s="134">
        <v>3.3000000000000002E-2</v>
      </c>
    </row>
    <row r="66" spans="1:10" ht="27" customHeight="1" x14ac:dyDescent="0.2">
      <c r="A66" s="124" t="s">
        <v>489</v>
      </c>
      <c r="B66" s="125" t="s">
        <v>1244</v>
      </c>
      <c r="C66" s="126">
        <v>0</v>
      </c>
      <c r="D66" s="127">
        <v>1.643</v>
      </c>
      <c r="E66" s="128">
        <v>0.43099999999999999</v>
      </c>
      <c r="F66" s="129">
        <v>4.8000000000000001E-2</v>
      </c>
      <c r="G66" s="130">
        <v>43.64</v>
      </c>
      <c r="H66" s="130">
        <v>1.08</v>
      </c>
      <c r="I66" s="133">
        <v>1.08</v>
      </c>
      <c r="J66" s="134">
        <v>3.3000000000000002E-2</v>
      </c>
    </row>
    <row r="67" spans="1:10" ht="27" customHeight="1" x14ac:dyDescent="0.2">
      <c r="A67" s="124" t="s">
        <v>490</v>
      </c>
      <c r="B67" s="125" t="s">
        <v>1245</v>
      </c>
      <c r="C67" s="126">
        <v>0</v>
      </c>
      <c r="D67" s="127">
        <v>1.643</v>
      </c>
      <c r="E67" s="128">
        <v>0.43099999999999999</v>
      </c>
      <c r="F67" s="129">
        <v>4.8000000000000001E-2</v>
      </c>
      <c r="G67" s="130">
        <v>82.78</v>
      </c>
      <c r="H67" s="130">
        <v>1.08</v>
      </c>
      <c r="I67" s="133">
        <v>1.08</v>
      </c>
      <c r="J67" s="134">
        <v>3.3000000000000002E-2</v>
      </c>
    </row>
    <row r="68" spans="1:10" ht="27" customHeight="1" x14ac:dyDescent="0.2">
      <c r="A68" s="124" t="s">
        <v>491</v>
      </c>
      <c r="B68" s="125" t="s">
        <v>1246</v>
      </c>
      <c r="C68" s="126">
        <v>0</v>
      </c>
      <c r="D68" s="127">
        <v>1.643</v>
      </c>
      <c r="E68" s="128">
        <v>0.43099999999999999</v>
      </c>
      <c r="F68" s="129">
        <v>4.8000000000000001E-2</v>
      </c>
      <c r="G68" s="130">
        <v>122.34</v>
      </c>
      <c r="H68" s="130">
        <v>1.08</v>
      </c>
      <c r="I68" s="133">
        <v>1.08</v>
      </c>
      <c r="J68" s="134">
        <v>3.3000000000000002E-2</v>
      </c>
    </row>
    <row r="69" spans="1:10" ht="27" customHeight="1" x14ac:dyDescent="0.2">
      <c r="A69" s="124" t="s">
        <v>492</v>
      </c>
      <c r="B69" s="125" t="s">
        <v>1247</v>
      </c>
      <c r="C69" s="126">
        <v>0</v>
      </c>
      <c r="D69" s="127">
        <v>1.643</v>
      </c>
      <c r="E69" s="128">
        <v>0.43099999999999999</v>
      </c>
      <c r="F69" s="129">
        <v>4.8000000000000001E-2</v>
      </c>
      <c r="G69" s="130">
        <v>249.85</v>
      </c>
      <c r="H69" s="130">
        <v>1.08</v>
      </c>
      <c r="I69" s="133">
        <v>1.08</v>
      </c>
      <c r="J69" s="134">
        <v>3.3000000000000002E-2</v>
      </c>
    </row>
    <row r="70" spans="1:10" ht="27" customHeight="1" x14ac:dyDescent="0.2">
      <c r="A70" s="124" t="s">
        <v>493</v>
      </c>
      <c r="B70" s="125" t="s">
        <v>1248</v>
      </c>
      <c r="C70" s="126">
        <v>0</v>
      </c>
      <c r="D70" s="127">
        <v>1.746</v>
      </c>
      <c r="E70" s="128">
        <v>0.434</v>
      </c>
      <c r="F70" s="129">
        <v>4.3999999999999997E-2</v>
      </c>
      <c r="G70" s="130">
        <v>7.57</v>
      </c>
      <c r="H70" s="130">
        <v>1.44</v>
      </c>
      <c r="I70" s="133">
        <v>1.44</v>
      </c>
      <c r="J70" s="134">
        <v>3.2000000000000001E-2</v>
      </c>
    </row>
    <row r="71" spans="1:10" ht="27" customHeight="1" x14ac:dyDescent="0.2">
      <c r="A71" s="124" t="s">
        <v>494</v>
      </c>
      <c r="B71" s="125" t="s">
        <v>1249</v>
      </c>
      <c r="C71" s="126">
        <v>0</v>
      </c>
      <c r="D71" s="127">
        <v>1.746</v>
      </c>
      <c r="E71" s="128">
        <v>0.434</v>
      </c>
      <c r="F71" s="129">
        <v>4.3999999999999997E-2</v>
      </c>
      <c r="G71" s="130">
        <v>72.760000000000005</v>
      </c>
      <c r="H71" s="130">
        <v>1.44</v>
      </c>
      <c r="I71" s="133">
        <v>1.44</v>
      </c>
      <c r="J71" s="134">
        <v>3.2000000000000001E-2</v>
      </c>
    </row>
    <row r="72" spans="1:10" ht="27" customHeight="1" x14ac:dyDescent="0.2">
      <c r="A72" s="124" t="s">
        <v>495</v>
      </c>
      <c r="B72" s="125" t="s">
        <v>1250</v>
      </c>
      <c r="C72" s="126">
        <v>0</v>
      </c>
      <c r="D72" s="127">
        <v>1.746</v>
      </c>
      <c r="E72" s="128">
        <v>0.434</v>
      </c>
      <c r="F72" s="129">
        <v>4.3999999999999997E-2</v>
      </c>
      <c r="G72" s="130">
        <v>138.02000000000001</v>
      </c>
      <c r="H72" s="130">
        <v>1.44</v>
      </c>
      <c r="I72" s="133">
        <v>1.44</v>
      </c>
      <c r="J72" s="134">
        <v>3.2000000000000001E-2</v>
      </c>
    </row>
    <row r="73" spans="1:10" ht="27" customHeight="1" x14ac:dyDescent="0.2">
      <c r="A73" s="124" t="s">
        <v>496</v>
      </c>
      <c r="B73" s="125" t="s">
        <v>1251</v>
      </c>
      <c r="C73" s="126">
        <v>0</v>
      </c>
      <c r="D73" s="127">
        <v>1.746</v>
      </c>
      <c r="E73" s="128">
        <v>0.434</v>
      </c>
      <c r="F73" s="129">
        <v>4.3999999999999997E-2</v>
      </c>
      <c r="G73" s="130">
        <v>203.96</v>
      </c>
      <c r="H73" s="130">
        <v>1.44</v>
      </c>
      <c r="I73" s="133">
        <v>1.44</v>
      </c>
      <c r="J73" s="134">
        <v>3.2000000000000001E-2</v>
      </c>
    </row>
    <row r="74" spans="1:10" ht="27" customHeight="1" x14ac:dyDescent="0.2">
      <c r="A74" s="124" t="s">
        <v>497</v>
      </c>
      <c r="B74" s="125" t="s">
        <v>1252</v>
      </c>
      <c r="C74" s="126">
        <v>0</v>
      </c>
      <c r="D74" s="127">
        <v>1.746</v>
      </c>
      <c r="E74" s="128">
        <v>0.434</v>
      </c>
      <c r="F74" s="129">
        <v>4.3999999999999997E-2</v>
      </c>
      <c r="G74" s="130">
        <v>416.55</v>
      </c>
      <c r="H74" s="130">
        <v>1.44</v>
      </c>
      <c r="I74" s="133">
        <v>1.44</v>
      </c>
      <c r="J74" s="134">
        <v>3.2000000000000001E-2</v>
      </c>
    </row>
    <row r="75" spans="1:10" ht="27" customHeight="1" x14ac:dyDescent="0.2">
      <c r="A75" s="124" t="s">
        <v>498</v>
      </c>
      <c r="B75" s="125" t="s">
        <v>1253</v>
      </c>
      <c r="C75" s="126">
        <v>0</v>
      </c>
      <c r="D75" s="127">
        <v>1.464</v>
      </c>
      <c r="E75" s="128">
        <v>0.34300000000000003</v>
      </c>
      <c r="F75" s="129">
        <v>0.03</v>
      </c>
      <c r="G75" s="130">
        <v>245.63</v>
      </c>
      <c r="H75" s="130">
        <v>2.2000000000000002</v>
      </c>
      <c r="I75" s="133">
        <v>2.2000000000000002</v>
      </c>
      <c r="J75" s="134">
        <v>2.4E-2</v>
      </c>
    </row>
    <row r="76" spans="1:10" ht="27" customHeight="1" x14ac:dyDescent="0.2">
      <c r="A76" s="124" t="s">
        <v>499</v>
      </c>
      <c r="B76" s="125" t="s">
        <v>1254</v>
      </c>
      <c r="C76" s="126">
        <v>0</v>
      </c>
      <c r="D76" s="127">
        <v>1.464</v>
      </c>
      <c r="E76" s="128">
        <v>0.34300000000000003</v>
      </c>
      <c r="F76" s="129">
        <v>0.03</v>
      </c>
      <c r="G76" s="130">
        <v>729.01</v>
      </c>
      <c r="H76" s="130">
        <v>2.2000000000000002</v>
      </c>
      <c r="I76" s="133">
        <v>2.2000000000000002</v>
      </c>
      <c r="J76" s="134">
        <v>2.4E-2</v>
      </c>
    </row>
    <row r="77" spans="1:10" ht="27" customHeight="1" x14ac:dyDescent="0.2">
      <c r="A77" s="124" t="s">
        <v>500</v>
      </c>
      <c r="B77" s="125" t="s">
        <v>1255</v>
      </c>
      <c r="C77" s="126">
        <v>0</v>
      </c>
      <c r="D77" s="127">
        <v>1.464</v>
      </c>
      <c r="E77" s="128">
        <v>0.34300000000000003</v>
      </c>
      <c r="F77" s="129">
        <v>0.03</v>
      </c>
      <c r="G77" s="130">
        <v>1694.24</v>
      </c>
      <c r="H77" s="130">
        <v>2.2000000000000002</v>
      </c>
      <c r="I77" s="133">
        <v>2.2000000000000002</v>
      </c>
      <c r="J77" s="134">
        <v>2.4E-2</v>
      </c>
    </row>
    <row r="78" spans="1:10" ht="27" customHeight="1" x14ac:dyDescent="0.2">
      <c r="A78" s="124" t="s">
        <v>501</v>
      </c>
      <c r="B78" s="125" t="s">
        <v>1256</v>
      </c>
      <c r="C78" s="126">
        <v>0</v>
      </c>
      <c r="D78" s="127">
        <v>1.464</v>
      </c>
      <c r="E78" s="128">
        <v>0.34300000000000003</v>
      </c>
      <c r="F78" s="129">
        <v>0.03</v>
      </c>
      <c r="G78" s="130">
        <v>3207.85</v>
      </c>
      <c r="H78" s="130">
        <v>2.2000000000000002</v>
      </c>
      <c r="I78" s="133">
        <v>2.2000000000000002</v>
      </c>
      <c r="J78" s="134">
        <v>2.4E-2</v>
      </c>
    </row>
    <row r="79" spans="1:10" ht="27" customHeight="1" x14ac:dyDescent="0.2">
      <c r="A79" s="124" t="s">
        <v>502</v>
      </c>
      <c r="B79" s="125" t="s">
        <v>1257</v>
      </c>
      <c r="C79" s="126">
        <v>0</v>
      </c>
      <c r="D79" s="127">
        <v>1.464</v>
      </c>
      <c r="E79" s="128">
        <v>0.34300000000000003</v>
      </c>
      <c r="F79" s="129">
        <v>0.03</v>
      </c>
      <c r="G79" s="130">
        <v>7468.7</v>
      </c>
      <c r="H79" s="130">
        <v>2.2000000000000002</v>
      </c>
      <c r="I79" s="133">
        <v>2.2000000000000002</v>
      </c>
      <c r="J79" s="134">
        <v>2.4E-2</v>
      </c>
    </row>
    <row r="80" spans="1:10" ht="27" customHeight="1" x14ac:dyDescent="0.2">
      <c r="A80" s="124" t="s">
        <v>408</v>
      </c>
      <c r="B80" s="125" t="s">
        <v>1258</v>
      </c>
      <c r="C80" s="126" t="s">
        <v>447</v>
      </c>
      <c r="D80" s="135">
        <v>5.7809999999999997</v>
      </c>
      <c r="E80" s="136">
        <v>0.67500000000000004</v>
      </c>
      <c r="F80" s="137">
        <v>0.251</v>
      </c>
      <c r="G80" s="131">
        <v>0</v>
      </c>
      <c r="H80" s="131">
        <v>0</v>
      </c>
      <c r="I80" s="131">
        <v>0</v>
      </c>
      <c r="J80" s="132">
        <v>0</v>
      </c>
    </row>
    <row r="81" spans="1:10" ht="27" customHeight="1" x14ac:dyDescent="0.2">
      <c r="A81" s="124" t="s">
        <v>409</v>
      </c>
      <c r="B81" s="125" t="s">
        <v>1259</v>
      </c>
      <c r="C81" s="126" t="s">
        <v>1380</v>
      </c>
      <c r="D81" s="127">
        <v>-2.3010000000000002</v>
      </c>
      <c r="E81" s="128">
        <v>-0.61699999999999999</v>
      </c>
      <c r="F81" s="129">
        <v>-7.1999999999999995E-2</v>
      </c>
      <c r="G81" s="131">
        <v>0</v>
      </c>
      <c r="H81" s="131">
        <v>0</v>
      </c>
      <c r="I81" s="131">
        <v>0</v>
      </c>
      <c r="J81" s="132">
        <v>0</v>
      </c>
    </row>
    <row r="82" spans="1:10" ht="27" customHeight="1" x14ac:dyDescent="0.2">
      <c r="A82" s="124" t="s">
        <v>410</v>
      </c>
      <c r="B82" s="125" t="s">
        <v>1260</v>
      </c>
      <c r="C82" s="126">
        <v>8</v>
      </c>
      <c r="D82" s="127">
        <v>-2.3570000000000002</v>
      </c>
      <c r="E82" s="128">
        <v>-0.623</v>
      </c>
      <c r="F82" s="129">
        <v>-7.0999999999999994E-2</v>
      </c>
      <c r="G82" s="131">
        <v>0</v>
      </c>
      <c r="H82" s="131">
        <v>0</v>
      </c>
      <c r="I82" s="131">
        <v>0</v>
      </c>
      <c r="J82" s="132">
        <v>0</v>
      </c>
    </row>
    <row r="83" spans="1:10" ht="27" customHeight="1" x14ac:dyDescent="0.2">
      <c r="A83" s="124" t="s">
        <v>411</v>
      </c>
      <c r="B83" s="125" t="s">
        <v>1261</v>
      </c>
      <c r="C83" s="126">
        <v>0</v>
      </c>
      <c r="D83" s="127">
        <v>-2.3010000000000002</v>
      </c>
      <c r="E83" s="128">
        <v>-0.61699999999999999</v>
      </c>
      <c r="F83" s="129">
        <v>-7.1999999999999995E-2</v>
      </c>
      <c r="G83" s="131">
        <v>0</v>
      </c>
      <c r="H83" s="131">
        <v>0</v>
      </c>
      <c r="I83" s="131">
        <v>0</v>
      </c>
      <c r="J83" s="134">
        <v>4.2999999999999997E-2</v>
      </c>
    </row>
    <row r="84" spans="1:10" ht="27" customHeight="1" x14ac:dyDescent="0.2">
      <c r="A84" s="124" t="s">
        <v>412</v>
      </c>
      <c r="B84" s="125" t="s">
        <v>1262</v>
      </c>
      <c r="C84" s="126">
        <v>0</v>
      </c>
      <c r="D84" s="127">
        <v>-2.3570000000000002</v>
      </c>
      <c r="E84" s="128">
        <v>-0.623</v>
      </c>
      <c r="F84" s="129">
        <v>-7.0999999999999994E-2</v>
      </c>
      <c r="G84" s="131">
        <v>0</v>
      </c>
      <c r="H84" s="131">
        <v>0</v>
      </c>
      <c r="I84" s="131">
        <v>0</v>
      </c>
      <c r="J84" s="134">
        <v>4.8000000000000001E-2</v>
      </c>
    </row>
    <row r="85" spans="1:10" ht="27" customHeight="1" x14ac:dyDescent="0.2">
      <c r="A85" s="124" t="s">
        <v>413</v>
      </c>
      <c r="B85" s="125" t="s">
        <v>1263</v>
      </c>
      <c r="C85" s="126">
        <v>0</v>
      </c>
      <c r="D85" s="127">
        <v>-2.8260000000000001</v>
      </c>
      <c r="E85" s="128">
        <v>-0.70199999999999996</v>
      </c>
      <c r="F85" s="129">
        <v>-7.0999999999999994E-2</v>
      </c>
      <c r="G85" s="130">
        <v>93.7</v>
      </c>
      <c r="H85" s="131">
        <v>0</v>
      </c>
      <c r="I85" s="131">
        <v>0</v>
      </c>
      <c r="J85" s="134">
        <v>7.2999999999999995E-2</v>
      </c>
    </row>
    <row r="86" spans="1:10" ht="27" customHeight="1" x14ac:dyDescent="0.2">
      <c r="A86" s="124" t="s">
        <v>642</v>
      </c>
      <c r="B86" s="125" t="s">
        <v>1264</v>
      </c>
      <c r="C86" s="126" t="s">
        <v>445</v>
      </c>
      <c r="D86" s="127">
        <v>1.325</v>
      </c>
      <c r="E86" s="128">
        <v>0.35499999999999998</v>
      </c>
      <c r="F86" s="129">
        <v>4.1000000000000002E-2</v>
      </c>
      <c r="G86" s="130">
        <v>3.52</v>
      </c>
      <c r="H86" s="131">
        <v>0</v>
      </c>
      <c r="I86" s="131">
        <v>0</v>
      </c>
      <c r="J86" s="132">
        <v>0</v>
      </c>
    </row>
    <row r="87" spans="1:10" ht="27" customHeight="1" x14ac:dyDescent="0.2">
      <c r="A87" s="124" t="s">
        <v>643</v>
      </c>
      <c r="B87" s="125" t="s">
        <v>1265</v>
      </c>
      <c r="C87" s="126">
        <v>2</v>
      </c>
      <c r="D87" s="127">
        <v>1.325</v>
      </c>
      <c r="E87" s="128">
        <v>0.35499999999999998</v>
      </c>
      <c r="F87" s="129">
        <v>4.1000000000000002E-2</v>
      </c>
      <c r="G87" s="131">
        <v>0</v>
      </c>
      <c r="H87" s="131">
        <v>0</v>
      </c>
      <c r="I87" s="131">
        <v>0</v>
      </c>
      <c r="J87" s="132">
        <v>0</v>
      </c>
    </row>
    <row r="88" spans="1:10" ht="27" customHeight="1" x14ac:dyDescent="0.2">
      <c r="A88" s="124" t="s">
        <v>644</v>
      </c>
      <c r="B88" s="125" t="s">
        <v>1266</v>
      </c>
      <c r="C88" s="126" t="s">
        <v>446</v>
      </c>
      <c r="D88" s="127">
        <v>1.5940000000000001</v>
      </c>
      <c r="E88" s="128">
        <v>0.42699999999999999</v>
      </c>
      <c r="F88" s="129">
        <v>0.05</v>
      </c>
      <c r="G88" s="130">
        <v>2.36</v>
      </c>
      <c r="H88" s="131">
        <v>0</v>
      </c>
      <c r="I88" s="131">
        <v>0</v>
      </c>
      <c r="J88" s="132">
        <v>0</v>
      </c>
    </row>
    <row r="89" spans="1:10" ht="27" customHeight="1" x14ac:dyDescent="0.2">
      <c r="A89" s="124" t="s">
        <v>645</v>
      </c>
      <c r="B89" s="125" t="s">
        <v>1267</v>
      </c>
      <c r="C89" s="126" t="s">
        <v>446</v>
      </c>
      <c r="D89" s="127">
        <v>1.5940000000000001</v>
      </c>
      <c r="E89" s="128">
        <v>0.42699999999999999</v>
      </c>
      <c r="F89" s="129">
        <v>0.05</v>
      </c>
      <c r="G89" s="130">
        <v>3.48</v>
      </c>
      <c r="H89" s="131">
        <v>0</v>
      </c>
      <c r="I89" s="131">
        <v>0</v>
      </c>
      <c r="J89" s="132">
        <v>0</v>
      </c>
    </row>
    <row r="90" spans="1:10" ht="27" customHeight="1" x14ac:dyDescent="0.2">
      <c r="A90" s="124" t="s">
        <v>646</v>
      </c>
      <c r="B90" s="125" t="s">
        <v>1268</v>
      </c>
      <c r="C90" s="126" t="s">
        <v>446</v>
      </c>
      <c r="D90" s="127">
        <v>1.5940000000000001</v>
      </c>
      <c r="E90" s="128">
        <v>0.42699999999999999</v>
      </c>
      <c r="F90" s="129">
        <v>0.05</v>
      </c>
      <c r="G90" s="130">
        <v>5.15</v>
      </c>
      <c r="H90" s="131">
        <v>0</v>
      </c>
      <c r="I90" s="131">
        <v>0</v>
      </c>
      <c r="J90" s="132">
        <v>0</v>
      </c>
    </row>
    <row r="91" spans="1:10" ht="27" customHeight="1" x14ac:dyDescent="0.2">
      <c r="A91" s="124" t="s">
        <v>647</v>
      </c>
      <c r="B91" s="125" t="s">
        <v>1269</v>
      </c>
      <c r="C91" s="126" t="s">
        <v>446</v>
      </c>
      <c r="D91" s="127">
        <v>1.5940000000000001</v>
      </c>
      <c r="E91" s="128">
        <v>0.42699999999999999</v>
      </c>
      <c r="F91" s="129">
        <v>0.05</v>
      </c>
      <c r="G91" s="130">
        <v>8.19</v>
      </c>
      <c r="H91" s="131">
        <v>0</v>
      </c>
      <c r="I91" s="131">
        <v>0</v>
      </c>
      <c r="J91" s="132">
        <v>0</v>
      </c>
    </row>
    <row r="92" spans="1:10" ht="27" customHeight="1" x14ac:dyDescent="0.2">
      <c r="A92" s="124" t="s">
        <v>648</v>
      </c>
      <c r="B92" s="125" t="s">
        <v>1270</v>
      </c>
      <c r="C92" s="126" t="s">
        <v>446</v>
      </c>
      <c r="D92" s="127">
        <v>1.5940000000000001</v>
      </c>
      <c r="E92" s="128">
        <v>0.42699999999999999</v>
      </c>
      <c r="F92" s="129">
        <v>0.05</v>
      </c>
      <c r="G92" s="130">
        <v>18.559999999999999</v>
      </c>
      <c r="H92" s="131">
        <v>0</v>
      </c>
      <c r="I92" s="131">
        <v>0</v>
      </c>
      <c r="J92" s="132">
        <v>0</v>
      </c>
    </row>
    <row r="93" spans="1:10" ht="27" customHeight="1" x14ac:dyDescent="0.2">
      <c r="A93" s="124" t="s">
        <v>414</v>
      </c>
      <c r="B93" s="125" t="s">
        <v>1271</v>
      </c>
      <c r="C93" s="126">
        <v>4</v>
      </c>
      <c r="D93" s="127">
        <v>1.5940000000000001</v>
      </c>
      <c r="E93" s="128">
        <v>0.42699999999999999</v>
      </c>
      <c r="F93" s="129">
        <v>0.05</v>
      </c>
      <c r="G93" s="131">
        <v>0</v>
      </c>
      <c r="H93" s="131">
        <v>0</v>
      </c>
      <c r="I93" s="131">
        <v>0</v>
      </c>
      <c r="J93" s="132">
        <v>0</v>
      </c>
    </row>
    <row r="94" spans="1:10" ht="27" customHeight="1" x14ac:dyDescent="0.2">
      <c r="A94" s="124" t="s">
        <v>503</v>
      </c>
      <c r="B94" s="125" t="s">
        <v>1272</v>
      </c>
      <c r="C94" s="126">
        <v>0</v>
      </c>
      <c r="D94" s="127">
        <v>1.1379999999999999</v>
      </c>
      <c r="E94" s="128">
        <v>0.29799999999999999</v>
      </c>
      <c r="F94" s="129">
        <v>3.4000000000000002E-2</v>
      </c>
      <c r="G94" s="130">
        <v>3.14</v>
      </c>
      <c r="H94" s="130">
        <v>0.75</v>
      </c>
      <c r="I94" s="133">
        <v>0.75</v>
      </c>
      <c r="J94" s="134">
        <v>2.3E-2</v>
      </c>
    </row>
    <row r="95" spans="1:10" ht="27" customHeight="1" x14ac:dyDescent="0.2">
      <c r="A95" s="124" t="s">
        <v>504</v>
      </c>
      <c r="B95" s="125" t="s">
        <v>1273</v>
      </c>
      <c r="C95" s="126">
        <v>0</v>
      </c>
      <c r="D95" s="127">
        <v>1.1379999999999999</v>
      </c>
      <c r="E95" s="128">
        <v>0.29799999999999999</v>
      </c>
      <c r="F95" s="129">
        <v>3.4000000000000002E-2</v>
      </c>
      <c r="G95" s="130">
        <v>30.22</v>
      </c>
      <c r="H95" s="130">
        <v>0.75</v>
      </c>
      <c r="I95" s="133">
        <v>0.75</v>
      </c>
      <c r="J95" s="134">
        <v>2.3E-2</v>
      </c>
    </row>
    <row r="96" spans="1:10" ht="27" customHeight="1" x14ac:dyDescent="0.2">
      <c r="A96" s="124" t="s">
        <v>505</v>
      </c>
      <c r="B96" s="125" t="s">
        <v>1274</v>
      </c>
      <c r="C96" s="126">
        <v>0</v>
      </c>
      <c r="D96" s="127">
        <v>1.1379999999999999</v>
      </c>
      <c r="E96" s="128">
        <v>0.29799999999999999</v>
      </c>
      <c r="F96" s="129">
        <v>3.4000000000000002E-2</v>
      </c>
      <c r="G96" s="130">
        <v>57.32</v>
      </c>
      <c r="H96" s="130">
        <v>0.75</v>
      </c>
      <c r="I96" s="133">
        <v>0.75</v>
      </c>
      <c r="J96" s="134">
        <v>2.3E-2</v>
      </c>
    </row>
    <row r="97" spans="1:10" ht="27" customHeight="1" x14ac:dyDescent="0.2">
      <c r="A97" s="124" t="s">
        <v>506</v>
      </c>
      <c r="B97" s="125" t="s">
        <v>1275</v>
      </c>
      <c r="C97" s="126">
        <v>0</v>
      </c>
      <c r="D97" s="127">
        <v>1.1379999999999999</v>
      </c>
      <c r="E97" s="128">
        <v>0.29799999999999999</v>
      </c>
      <c r="F97" s="129">
        <v>3.4000000000000002E-2</v>
      </c>
      <c r="G97" s="130">
        <v>84.71</v>
      </c>
      <c r="H97" s="130">
        <v>0.75</v>
      </c>
      <c r="I97" s="133">
        <v>0.75</v>
      </c>
      <c r="J97" s="134">
        <v>2.3E-2</v>
      </c>
    </row>
    <row r="98" spans="1:10" ht="27" customHeight="1" x14ac:dyDescent="0.2">
      <c r="A98" s="124" t="s">
        <v>507</v>
      </c>
      <c r="B98" s="125" t="s">
        <v>1276</v>
      </c>
      <c r="C98" s="126">
        <v>0</v>
      </c>
      <c r="D98" s="127">
        <v>1.1379999999999999</v>
      </c>
      <c r="E98" s="128">
        <v>0.29799999999999999</v>
      </c>
      <c r="F98" s="129">
        <v>3.4000000000000002E-2</v>
      </c>
      <c r="G98" s="130">
        <v>173</v>
      </c>
      <c r="H98" s="130">
        <v>0.75</v>
      </c>
      <c r="I98" s="133">
        <v>0.75</v>
      </c>
      <c r="J98" s="134">
        <v>2.3E-2</v>
      </c>
    </row>
    <row r="99" spans="1:10" ht="27" customHeight="1" x14ac:dyDescent="0.2">
      <c r="A99" s="124" t="s">
        <v>508</v>
      </c>
      <c r="B99" s="125" t="s">
        <v>1277</v>
      </c>
      <c r="C99" s="126">
        <v>0</v>
      </c>
      <c r="D99" s="127">
        <v>1.2090000000000001</v>
      </c>
      <c r="E99" s="128">
        <v>0.3</v>
      </c>
      <c r="F99" s="129">
        <v>0.03</v>
      </c>
      <c r="G99" s="130">
        <v>5.24</v>
      </c>
      <c r="H99" s="130">
        <v>1</v>
      </c>
      <c r="I99" s="133">
        <v>1</v>
      </c>
      <c r="J99" s="134">
        <v>2.1999999999999999E-2</v>
      </c>
    </row>
    <row r="100" spans="1:10" ht="27" customHeight="1" x14ac:dyDescent="0.2">
      <c r="A100" s="124" t="s">
        <v>509</v>
      </c>
      <c r="B100" s="125" t="s">
        <v>1278</v>
      </c>
      <c r="C100" s="126">
        <v>0</v>
      </c>
      <c r="D100" s="127">
        <v>1.2090000000000001</v>
      </c>
      <c r="E100" s="128">
        <v>0.3</v>
      </c>
      <c r="F100" s="129">
        <v>0.03</v>
      </c>
      <c r="G100" s="130">
        <v>50.38</v>
      </c>
      <c r="H100" s="130">
        <v>1</v>
      </c>
      <c r="I100" s="133">
        <v>1</v>
      </c>
      <c r="J100" s="134">
        <v>2.1999999999999999E-2</v>
      </c>
    </row>
    <row r="101" spans="1:10" ht="27" customHeight="1" x14ac:dyDescent="0.2">
      <c r="A101" s="124" t="s">
        <v>510</v>
      </c>
      <c r="B101" s="125" t="s">
        <v>1279</v>
      </c>
      <c r="C101" s="126">
        <v>0</v>
      </c>
      <c r="D101" s="127">
        <v>1.2090000000000001</v>
      </c>
      <c r="E101" s="128">
        <v>0.3</v>
      </c>
      <c r="F101" s="129">
        <v>0.03</v>
      </c>
      <c r="G101" s="130">
        <v>95.57</v>
      </c>
      <c r="H101" s="130">
        <v>1</v>
      </c>
      <c r="I101" s="133">
        <v>1</v>
      </c>
      <c r="J101" s="134">
        <v>2.1999999999999999E-2</v>
      </c>
    </row>
    <row r="102" spans="1:10" ht="27" customHeight="1" x14ac:dyDescent="0.2">
      <c r="A102" s="124" t="s">
        <v>511</v>
      </c>
      <c r="B102" s="125" t="s">
        <v>1280</v>
      </c>
      <c r="C102" s="126">
        <v>0</v>
      </c>
      <c r="D102" s="127">
        <v>1.2090000000000001</v>
      </c>
      <c r="E102" s="128">
        <v>0.3</v>
      </c>
      <c r="F102" s="129">
        <v>0.03</v>
      </c>
      <c r="G102" s="130">
        <v>141.22999999999999</v>
      </c>
      <c r="H102" s="130">
        <v>1</v>
      </c>
      <c r="I102" s="133">
        <v>1</v>
      </c>
      <c r="J102" s="134">
        <v>2.1999999999999999E-2</v>
      </c>
    </row>
    <row r="103" spans="1:10" ht="27" customHeight="1" x14ac:dyDescent="0.2">
      <c r="A103" s="124" t="s">
        <v>512</v>
      </c>
      <c r="B103" s="125" t="s">
        <v>1281</v>
      </c>
      <c r="C103" s="126">
        <v>0</v>
      </c>
      <c r="D103" s="127">
        <v>1.2090000000000001</v>
      </c>
      <c r="E103" s="128">
        <v>0.3</v>
      </c>
      <c r="F103" s="129">
        <v>0.03</v>
      </c>
      <c r="G103" s="130">
        <v>288.43</v>
      </c>
      <c r="H103" s="130">
        <v>1</v>
      </c>
      <c r="I103" s="133">
        <v>1</v>
      </c>
      <c r="J103" s="134">
        <v>2.1999999999999999E-2</v>
      </c>
    </row>
    <row r="104" spans="1:10" ht="27" customHeight="1" x14ac:dyDescent="0.2">
      <c r="A104" s="124" t="s">
        <v>513</v>
      </c>
      <c r="B104" s="125" t="s">
        <v>1282</v>
      </c>
      <c r="C104" s="126">
        <v>0</v>
      </c>
      <c r="D104" s="127">
        <v>1.014</v>
      </c>
      <c r="E104" s="128">
        <v>0.23699999999999999</v>
      </c>
      <c r="F104" s="129">
        <v>2.1000000000000001E-2</v>
      </c>
      <c r="G104" s="130">
        <v>170.08</v>
      </c>
      <c r="H104" s="130">
        <v>1.53</v>
      </c>
      <c r="I104" s="133">
        <v>1.53</v>
      </c>
      <c r="J104" s="134">
        <v>1.7000000000000001E-2</v>
      </c>
    </row>
    <row r="105" spans="1:10" ht="27" customHeight="1" x14ac:dyDescent="0.2">
      <c r="A105" s="124" t="s">
        <v>514</v>
      </c>
      <c r="B105" s="125" t="s">
        <v>1283</v>
      </c>
      <c r="C105" s="126">
        <v>0</v>
      </c>
      <c r="D105" s="127">
        <v>1.014</v>
      </c>
      <c r="E105" s="128">
        <v>0.23699999999999999</v>
      </c>
      <c r="F105" s="129">
        <v>2.1000000000000001E-2</v>
      </c>
      <c r="G105" s="130">
        <v>504.79</v>
      </c>
      <c r="H105" s="130">
        <v>1.53</v>
      </c>
      <c r="I105" s="133">
        <v>1.53</v>
      </c>
      <c r="J105" s="134">
        <v>1.7000000000000001E-2</v>
      </c>
    </row>
    <row r="106" spans="1:10" ht="27" customHeight="1" x14ac:dyDescent="0.2">
      <c r="A106" s="124" t="s">
        <v>515</v>
      </c>
      <c r="B106" s="125" t="s">
        <v>1284</v>
      </c>
      <c r="C106" s="126">
        <v>0</v>
      </c>
      <c r="D106" s="127">
        <v>1.014</v>
      </c>
      <c r="E106" s="128">
        <v>0.23699999999999999</v>
      </c>
      <c r="F106" s="129">
        <v>2.1000000000000001E-2</v>
      </c>
      <c r="G106" s="130">
        <v>1173.1500000000001</v>
      </c>
      <c r="H106" s="130">
        <v>1.53</v>
      </c>
      <c r="I106" s="133">
        <v>1.53</v>
      </c>
      <c r="J106" s="134">
        <v>1.7000000000000001E-2</v>
      </c>
    </row>
    <row r="107" spans="1:10" ht="27" customHeight="1" x14ac:dyDescent="0.2">
      <c r="A107" s="124" t="s">
        <v>516</v>
      </c>
      <c r="B107" s="125" t="s">
        <v>1285</v>
      </c>
      <c r="C107" s="126">
        <v>0</v>
      </c>
      <c r="D107" s="127">
        <v>1.014</v>
      </c>
      <c r="E107" s="128">
        <v>0.23699999999999999</v>
      </c>
      <c r="F107" s="129">
        <v>2.1000000000000001E-2</v>
      </c>
      <c r="G107" s="130">
        <v>2221.23</v>
      </c>
      <c r="H107" s="130">
        <v>1.53</v>
      </c>
      <c r="I107" s="133">
        <v>1.53</v>
      </c>
      <c r="J107" s="134">
        <v>1.7000000000000001E-2</v>
      </c>
    </row>
    <row r="108" spans="1:10" ht="27" customHeight="1" x14ac:dyDescent="0.2">
      <c r="A108" s="124" t="s">
        <v>517</v>
      </c>
      <c r="B108" s="125" t="s">
        <v>1286</v>
      </c>
      <c r="C108" s="126">
        <v>0</v>
      </c>
      <c r="D108" s="127">
        <v>1.014</v>
      </c>
      <c r="E108" s="128">
        <v>0.23699999999999999</v>
      </c>
      <c r="F108" s="129">
        <v>2.1000000000000001E-2</v>
      </c>
      <c r="G108" s="130">
        <v>5171.59</v>
      </c>
      <c r="H108" s="130">
        <v>1.53</v>
      </c>
      <c r="I108" s="133">
        <v>1.53</v>
      </c>
      <c r="J108" s="134">
        <v>1.7000000000000001E-2</v>
      </c>
    </row>
    <row r="109" spans="1:10" ht="27" customHeight="1" x14ac:dyDescent="0.2">
      <c r="A109" s="124" t="s">
        <v>415</v>
      </c>
      <c r="B109" s="125" t="s">
        <v>1287</v>
      </c>
      <c r="C109" s="126" t="s">
        <v>447</v>
      </c>
      <c r="D109" s="135">
        <v>4.0030000000000001</v>
      </c>
      <c r="E109" s="136">
        <v>0.46700000000000003</v>
      </c>
      <c r="F109" s="137">
        <v>0.17399999999999999</v>
      </c>
      <c r="G109" s="131">
        <v>0</v>
      </c>
      <c r="H109" s="131">
        <v>0</v>
      </c>
      <c r="I109" s="131">
        <v>0</v>
      </c>
      <c r="J109" s="132">
        <v>0</v>
      </c>
    </row>
    <row r="110" spans="1:10" ht="27" customHeight="1" x14ac:dyDescent="0.2">
      <c r="A110" s="124" t="s">
        <v>416</v>
      </c>
      <c r="B110" s="125" t="s">
        <v>1288</v>
      </c>
      <c r="C110" s="126" t="s">
        <v>1380</v>
      </c>
      <c r="D110" s="127">
        <v>-1.593</v>
      </c>
      <c r="E110" s="128">
        <v>-0.42699999999999999</v>
      </c>
      <c r="F110" s="129">
        <v>-0.05</v>
      </c>
      <c r="G110" s="131">
        <v>0</v>
      </c>
      <c r="H110" s="131">
        <v>0</v>
      </c>
      <c r="I110" s="131">
        <v>0</v>
      </c>
      <c r="J110" s="132">
        <v>0</v>
      </c>
    </row>
    <row r="111" spans="1:10" ht="27" customHeight="1" x14ac:dyDescent="0.2">
      <c r="A111" s="124" t="s">
        <v>417</v>
      </c>
      <c r="B111" s="125" t="s">
        <v>1289</v>
      </c>
      <c r="C111" s="126">
        <v>8</v>
      </c>
      <c r="D111" s="127">
        <v>-1.6319999999999999</v>
      </c>
      <c r="E111" s="128">
        <v>-0.432</v>
      </c>
      <c r="F111" s="129">
        <v>-4.9000000000000002E-2</v>
      </c>
      <c r="G111" s="131">
        <v>0</v>
      </c>
      <c r="H111" s="131">
        <v>0</v>
      </c>
      <c r="I111" s="131">
        <v>0</v>
      </c>
      <c r="J111" s="132">
        <v>0</v>
      </c>
    </row>
    <row r="112" spans="1:10" ht="27" customHeight="1" x14ac:dyDescent="0.2">
      <c r="A112" s="124" t="s">
        <v>418</v>
      </c>
      <c r="B112" s="125" t="s">
        <v>1290</v>
      </c>
      <c r="C112" s="126">
        <v>0</v>
      </c>
      <c r="D112" s="127">
        <v>-1.593</v>
      </c>
      <c r="E112" s="128">
        <v>-0.42699999999999999</v>
      </c>
      <c r="F112" s="129">
        <v>-0.05</v>
      </c>
      <c r="G112" s="131">
        <v>0</v>
      </c>
      <c r="H112" s="131">
        <v>0</v>
      </c>
      <c r="I112" s="131">
        <v>0</v>
      </c>
      <c r="J112" s="134">
        <v>0.03</v>
      </c>
    </row>
    <row r="113" spans="1:10" ht="27" customHeight="1" x14ac:dyDescent="0.2">
      <c r="A113" s="124" t="s">
        <v>419</v>
      </c>
      <c r="B113" s="125" t="s">
        <v>1291</v>
      </c>
      <c r="C113" s="126">
        <v>0</v>
      </c>
      <c r="D113" s="127">
        <v>-1.6319999999999999</v>
      </c>
      <c r="E113" s="128">
        <v>-0.432</v>
      </c>
      <c r="F113" s="129">
        <v>-4.9000000000000002E-2</v>
      </c>
      <c r="G113" s="131">
        <v>0</v>
      </c>
      <c r="H113" s="131">
        <v>0</v>
      </c>
      <c r="I113" s="131">
        <v>0</v>
      </c>
      <c r="J113" s="134">
        <v>3.3000000000000002E-2</v>
      </c>
    </row>
    <row r="114" spans="1:10" ht="27" customHeight="1" x14ac:dyDescent="0.2">
      <c r="A114" s="124" t="s">
        <v>420</v>
      </c>
      <c r="B114" s="125" t="s">
        <v>1292</v>
      </c>
      <c r="C114" s="126">
        <v>0</v>
      </c>
      <c r="D114" s="127">
        <v>-1.9570000000000001</v>
      </c>
      <c r="E114" s="128">
        <v>-0.48599999999999999</v>
      </c>
      <c r="F114" s="129">
        <v>-4.9000000000000002E-2</v>
      </c>
      <c r="G114" s="130">
        <v>64.88</v>
      </c>
      <c r="H114" s="131">
        <v>0</v>
      </c>
      <c r="I114" s="131">
        <v>0</v>
      </c>
      <c r="J114" s="134">
        <v>0.05</v>
      </c>
    </row>
    <row r="115" spans="1:10" ht="27" customHeight="1" x14ac:dyDescent="0.2">
      <c r="A115" s="124" t="s">
        <v>649</v>
      </c>
      <c r="B115" s="125" t="s">
        <v>1293</v>
      </c>
      <c r="C115" s="126" t="s">
        <v>445</v>
      </c>
      <c r="D115" s="127">
        <v>0.89200000000000002</v>
      </c>
      <c r="E115" s="128">
        <v>0.23899999999999999</v>
      </c>
      <c r="F115" s="129">
        <v>2.8000000000000001E-2</v>
      </c>
      <c r="G115" s="130">
        <v>2.37</v>
      </c>
      <c r="H115" s="131">
        <v>0</v>
      </c>
      <c r="I115" s="131">
        <v>0</v>
      </c>
      <c r="J115" s="132">
        <v>0</v>
      </c>
    </row>
    <row r="116" spans="1:10" ht="27" customHeight="1" x14ac:dyDescent="0.2">
      <c r="A116" s="124" t="s">
        <v>650</v>
      </c>
      <c r="B116" s="125" t="s">
        <v>1294</v>
      </c>
      <c r="C116" s="126">
        <v>2</v>
      </c>
      <c r="D116" s="127">
        <v>0.89200000000000002</v>
      </c>
      <c r="E116" s="128">
        <v>0.23899999999999999</v>
      </c>
      <c r="F116" s="129">
        <v>2.8000000000000001E-2</v>
      </c>
      <c r="G116" s="131">
        <v>0</v>
      </c>
      <c r="H116" s="131">
        <v>0</v>
      </c>
      <c r="I116" s="131">
        <v>0</v>
      </c>
      <c r="J116" s="132">
        <v>0</v>
      </c>
    </row>
    <row r="117" spans="1:10" ht="27" customHeight="1" x14ac:dyDescent="0.2">
      <c r="A117" s="124" t="s">
        <v>651</v>
      </c>
      <c r="B117" s="125" t="s">
        <v>1295</v>
      </c>
      <c r="C117" s="126" t="s">
        <v>446</v>
      </c>
      <c r="D117" s="127">
        <v>1.073</v>
      </c>
      <c r="E117" s="128">
        <v>0.28799999999999998</v>
      </c>
      <c r="F117" s="129">
        <v>3.4000000000000002E-2</v>
      </c>
      <c r="G117" s="130">
        <v>1.59</v>
      </c>
      <c r="H117" s="131">
        <v>0</v>
      </c>
      <c r="I117" s="131">
        <v>0</v>
      </c>
      <c r="J117" s="132">
        <v>0</v>
      </c>
    </row>
    <row r="118" spans="1:10" ht="27" customHeight="1" x14ac:dyDescent="0.2">
      <c r="A118" s="124" t="s">
        <v>652</v>
      </c>
      <c r="B118" s="125" t="s">
        <v>1296</v>
      </c>
      <c r="C118" s="126" t="s">
        <v>446</v>
      </c>
      <c r="D118" s="127">
        <v>1.073</v>
      </c>
      <c r="E118" s="128">
        <v>0.28799999999999998</v>
      </c>
      <c r="F118" s="129">
        <v>3.4000000000000002E-2</v>
      </c>
      <c r="G118" s="130">
        <v>2.34</v>
      </c>
      <c r="H118" s="131">
        <v>0</v>
      </c>
      <c r="I118" s="131">
        <v>0</v>
      </c>
      <c r="J118" s="132">
        <v>0</v>
      </c>
    </row>
    <row r="119" spans="1:10" ht="27" customHeight="1" x14ac:dyDescent="0.2">
      <c r="A119" s="124" t="s">
        <v>653</v>
      </c>
      <c r="B119" s="125" t="s">
        <v>1297</v>
      </c>
      <c r="C119" s="126" t="s">
        <v>446</v>
      </c>
      <c r="D119" s="127">
        <v>1.073</v>
      </c>
      <c r="E119" s="128">
        <v>0.28799999999999998</v>
      </c>
      <c r="F119" s="129">
        <v>3.4000000000000002E-2</v>
      </c>
      <c r="G119" s="130">
        <v>3.47</v>
      </c>
      <c r="H119" s="131">
        <v>0</v>
      </c>
      <c r="I119" s="131">
        <v>0</v>
      </c>
      <c r="J119" s="132">
        <v>0</v>
      </c>
    </row>
    <row r="120" spans="1:10" ht="27" customHeight="1" x14ac:dyDescent="0.2">
      <c r="A120" s="124" t="s">
        <v>654</v>
      </c>
      <c r="B120" s="125" t="s">
        <v>1298</v>
      </c>
      <c r="C120" s="126" t="s">
        <v>446</v>
      </c>
      <c r="D120" s="127">
        <v>1.073</v>
      </c>
      <c r="E120" s="128">
        <v>0.28799999999999998</v>
      </c>
      <c r="F120" s="129">
        <v>3.4000000000000002E-2</v>
      </c>
      <c r="G120" s="130">
        <v>5.51</v>
      </c>
      <c r="H120" s="131">
        <v>0</v>
      </c>
      <c r="I120" s="131">
        <v>0</v>
      </c>
      <c r="J120" s="132">
        <v>0</v>
      </c>
    </row>
    <row r="121" spans="1:10" ht="27" customHeight="1" x14ac:dyDescent="0.2">
      <c r="A121" s="124" t="s">
        <v>655</v>
      </c>
      <c r="B121" s="125" t="s">
        <v>1299</v>
      </c>
      <c r="C121" s="126" t="s">
        <v>446</v>
      </c>
      <c r="D121" s="127">
        <v>1.073</v>
      </c>
      <c r="E121" s="128">
        <v>0.28799999999999998</v>
      </c>
      <c r="F121" s="129">
        <v>3.4000000000000002E-2</v>
      </c>
      <c r="G121" s="130">
        <v>12.5</v>
      </c>
      <c r="H121" s="131">
        <v>0</v>
      </c>
      <c r="I121" s="131">
        <v>0</v>
      </c>
      <c r="J121" s="132">
        <v>0</v>
      </c>
    </row>
    <row r="122" spans="1:10" ht="27" customHeight="1" x14ac:dyDescent="0.2">
      <c r="A122" s="124" t="s">
        <v>421</v>
      </c>
      <c r="B122" s="125" t="s">
        <v>1300</v>
      </c>
      <c r="C122" s="126">
        <v>4</v>
      </c>
      <c r="D122" s="127">
        <v>1.073</v>
      </c>
      <c r="E122" s="128">
        <v>0.28799999999999998</v>
      </c>
      <c r="F122" s="129">
        <v>3.4000000000000002E-2</v>
      </c>
      <c r="G122" s="131">
        <v>0</v>
      </c>
      <c r="H122" s="131">
        <v>0</v>
      </c>
      <c r="I122" s="131">
        <v>0</v>
      </c>
      <c r="J122" s="132">
        <v>0</v>
      </c>
    </row>
    <row r="123" spans="1:10" ht="27" customHeight="1" x14ac:dyDescent="0.2">
      <c r="A123" s="124" t="s">
        <v>518</v>
      </c>
      <c r="B123" s="125" t="s">
        <v>1301</v>
      </c>
      <c r="C123" s="126">
        <v>0</v>
      </c>
      <c r="D123" s="127">
        <v>0.76600000000000001</v>
      </c>
      <c r="E123" s="128">
        <v>0.20100000000000001</v>
      </c>
      <c r="F123" s="129">
        <v>2.3E-2</v>
      </c>
      <c r="G123" s="130">
        <v>2.12</v>
      </c>
      <c r="H123" s="130">
        <v>0.5</v>
      </c>
      <c r="I123" s="133">
        <v>0.5</v>
      </c>
      <c r="J123" s="134">
        <v>1.6E-2</v>
      </c>
    </row>
    <row r="124" spans="1:10" ht="27" customHeight="1" x14ac:dyDescent="0.2">
      <c r="A124" s="124" t="s">
        <v>519</v>
      </c>
      <c r="B124" s="125" t="s">
        <v>1302</v>
      </c>
      <c r="C124" s="126">
        <v>0</v>
      </c>
      <c r="D124" s="127">
        <v>0.76600000000000001</v>
      </c>
      <c r="E124" s="128">
        <v>0.20100000000000001</v>
      </c>
      <c r="F124" s="129">
        <v>2.3E-2</v>
      </c>
      <c r="G124" s="130">
        <v>20.34</v>
      </c>
      <c r="H124" s="130">
        <v>0.5</v>
      </c>
      <c r="I124" s="133">
        <v>0.5</v>
      </c>
      <c r="J124" s="134">
        <v>1.6E-2</v>
      </c>
    </row>
    <row r="125" spans="1:10" ht="27" customHeight="1" x14ac:dyDescent="0.2">
      <c r="A125" s="124" t="s">
        <v>520</v>
      </c>
      <c r="B125" s="125" t="s">
        <v>1303</v>
      </c>
      <c r="C125" s="126">
        <v>0</v>
      </c>
      <c r="D125" s="127">
        <v>0.76600000000000001</v>
      </c>
      <c r="E125" s="128">
        <v>0.20100000000000001</v>
      </c>
      <c r="F125" s="129">
        <v>2.3E-2</v>
      </c>
      <c r="G125" s="130">
        <v>38.590000000000003</v>
      </c>
      <c r="H125" s="130">
        <v>0.5</v>
      </c>
      <c r="I125" s="133">
        <v>0.5</v>
      </c>
      <c r="J125" s="134">
        <v>1.6E-2</v>
      </c>
    </row>
    <row r="126" spans="1:10" ht="27" customHeight="1" x14ac:dyDescent="0.2">
      <c r="A126" s="124" t="s">
        <v>521</v>
      </c>
      <c r="B126" s="125" t="s">
        <v>1304</v>
      </c>
      <c r="C126" s="126">
        <v>0</v>
      </c>
      <c r="D126" s="127">
        <v>0.76600000000000001</v>
      </c>
      <c r="E126" s="128">
        <v>0.20100000000000001</v>
      </c>
      <c r="F126" s="129">
        <v>2.3E-2</v>
      </c>
      <c r="G126" s="130">
        <v>57.03</v>
      </c>
      <c r="H126" s="130">
        <v>0.5</v>
      </c>
      <c r="I126" s="133">
        <v>0.5</v>
      </c>
      <c r="J126" s="134">
        <v>1.6E-2</v>
      </c>
    </row>
    <row r="127" spans="1:10" ht="27" customHeight="1" x14ac:dyDescent="0.2">
      <c r="A127" s="124" t="s">
        <v>522</v>
      </c>
      <c r="B127" s="125" t="s">
        <v>1305</v>
      </c>
      <c r="C127" s="126">
        <v>0</v>
      </c>
      <c r="D127" s="127">
        <v>0.76600000000000001</v>
      </c>
      <c r="E127" s="128">
        <v>0.20100000000000001</v>
      </c>
      <c r="F127" s="129">
        <v>2.3E-2</v>
      </c>
      <c r="G127" s="130">
        <v>116.47</v>
      </c>
      <c r="H127" s="130">
        <v>0.5</v>
      </c>
      <c r="I127" s="133">
        <v>0.5</v>
      </c>
      <c r="J127" s="134">
        <v>1.6E-2</v>
      </c>
    </row>
    <row r="128" spans="1:10" ht="27" customHeight="1" x14ac:dyDescent="0.2">
      <c r="A128" s="124" t="s">
        <v>523</v>
      </c>
      <c r="B128" s="125" t="s">
        <v>1306</v>
      </c>
      <c r="C128" s="126">
        <v>0</v>
      </c>
      <c r="D128" s="127">
        <v>0.81399999999999995</v>
      </c>
      <c r="E128" s="128">
        <v>0.20200000000000001</v>
      </c>
      <c r="F128" s="129">
        <v>0.02</v>
      </c>
      <c r="G128" s="130">
        <v>3.53</v>
      </c>
      <c r="H128" s="130">
        <v>0.67</v>
      </c>
      <c r="I128" s="133">
        <v>0.67</v>
      </c>
      <c r="J128" s="134">
        <v>1.4999999999999999E-2</v>
      </c>
    </row>
    <row r="129" spans="1:10" ht="27" customHeight="1" x14ac:dyDescent="0.2">
      <c r="A129" s="124" t="s">
        <v>524</v>
      </c>
      <c r="B129" s="125" t="s">
        <v>1307</v>
      </c>
      <c r="C129" s="126">
        <v>0</v>
      </c>
      <c r="D129" s="127">
        <v>0.81399999999999995</v>
      </c>
      <c r="E129" s="128">
        <v>0.20200000000000001</v>
      </c>
      <c r="F129" s="129">
        <v>0.02</v>
      </c>
      <c r="G129" s="130">
        <v>33.92</v>
      </c>
      <c r="H129" s="130">
        <v>0.67</v>
      </c>
      <c r="I129" s="133">
        <v>0.67</v>
      </c>
      <c r="J129" s="134">
        <v>1.4999999999999999E-2</v>
      </c>
    </row>
    <row r="130" spans="1:10" ht="27" customHeight="1" x14ac:dyDescent="0.2">
      <c r="A130" s="124" t="s">
        <v>525</v>
      </c>
      <c r="B130" s="125" t="s">
        <v>1308</v>
      </c>
      <c r="C130" s="126">
        <v>0</v>
      </c>
      <c r="D130" s="127">
        <v>0.81399999999999995</v>
      </c>
      <c r="E130" s="128">
        <v>0.20200000000000001</v>
      </c>
      <c r="F130" s="129">
        <v>0.02</v>
      </c>
      <c r="G130" s="130">
        <v>64.34</v>
      </c>
      <c r="H130" s="130">
        <v>0.67</v>
      </c>
      <c r="I130" s="133">
        <v>0.67</v>
      </c>
      <c r="J130" s="134">
        <v>1.4999999999999999E-2</v>
      </c>
    </row>
    <row r="131" spans="1:10" ht="27" customHeight="1" x14ac:dyDescent="0.2">
      <c r="A131" s="124" t="s">
        <v>526</v>
      </c>
      <c r="B131" s="125" t="s">
        <v>1309</v>
      </c>
      <c r="C131" s="126">
        <v>0</v>
      </c>
      <c r="D131" s="127">
        <v>0.81399999999999995</v>
      </c>
      <c r="E131" s="128">
        <v>0.20200000000000001</v>
      </c>
      <c r="F131" s="129">
        <v>0.02</v>
      </c>
      <c r="G131" s="130">
        <v>95.08</v>
      </c>
      <c r="H131" s="130">
        <v>0.67</v>
      </c>
      <c r="I131" s="133">
        <v>0.67</v>
      </c>
      <c r="J131" s="134">
        <v>1.4999999999999999E-2</v>
      </c>
    </row>
    <row r="132" spans="1:10" ht="27" customHeight="1" x14ac:dyDescent="0.2">
      <c r="A132" s="124" t="s">
        <v>527</v>
      </c>
      <c r="B132" s="125" t="s">
        <v>1310</v>
      </c>
      <c r="C132" s="126">
        <v>0</v>
      </c>
      <c r="D132" s="127">
        <v>0.81399999999999995</v>
      </c>
      <c r="E132" s="128">
        <v>0.20200000000000001</v>
      </c>
      <c r="F132" s="129">
        <v>0.02</v>
      </c>
      <c r="G132" s="130">
        <v>194.19</v>
      </c>
      <c r="H132" s="130">
        <v>0.67</v>
      </c>
      <c r="I132" s="133">
        <v>0.67</v>
      </c>
      <c r="J132" s="134">
        <v>1.4999999999999999E-2</v>
      </c>
    </row>
    <row r="133" spans="1:10" ht="27" customHeight="1" x14ac:dyDescent="0.2">
      <c r="A133" s="124" t="s">
        <v>528</v>
      </c>
      <c r="B133" s="125" t="s">
        <v>1311</v>
      </c>
      <c r="C133" s="126">
        <v>0</v>
      </c>
      <c r="D133" s="127">
        <v>0.68300000000000005</v>
      </c>
      <c r="E133" s="128">
        <v>0.16</v>
      </c>
      <c r="F133" s="129">
        <v>1.4E-2</v>
      </c>
      <c r="G133" s="130">
        <v>114.51</v>
      </c>
      <c r="H133" s="130">
        <v>1.03</v>
      </c>
      <c r="I133" s="133">
        <v>1.03</v>
      </c>
      <c r="J133" s="134">
        <v>1.0999999999999999E-2</v>
      </c>
    </row>
    <row r="134" spans="1:10" ht="27" customHeight="1" x14ac:dyDescent="0.2">
      <c r="A134" s="124" t="s">
        <v>529</v>
      </c>
      <c r="B134" s="125" t="s">
        <v>1312</v>
      </c>
      <c r="C134" s="126">
        <v>0</v>
      </c>
      <c r="D134" s="127">
        <v>0.68300000000000005</v>
      </c>
      <c r="E134" s="128">
        <v>0.16</v>
      </c>
      <c r="F134" s="129">
        <v>1.4E-2</v>
      </c>
      <c r="G134" s="130">
        <v>339.85</v>
      </c>
      <c r="H134" s="130">
        <v>1.03</v>
      </c>
      <c r="I134" s="133">
        <v>1.03</v>
      </c>
      <c r="J134" s="134">
        <v>1.0999999999999999E-2</v>
      </c>
    </row>
    <row r="135" spans="1:10" ht="27" customHeight="1" x14ac:dyDescent="0.2">
      <c r="A135" s="124" t="s">
        <v>530</v>
      </c>
      <c r="B135" s="125" t="s">
        <v>1313</v>
      </c>
      <c r="C135" s="126">
        <v>0</v>
      </c>
      <c r="D135" s="127">
        <v>0.68300000000000005</v>
      </c>
      <c r="E135" s="128">
        <v>0.16</v>
      </c>
      <c r="F135" s="129">
        <v>1.4E-2</v>
      </c>
      <c r="G135" s="130">
        <v>789.82</v>
      </c>
      <c r="H135" s="130">
        <v>1.03</v>
      </c>
      <c r="I135" s="133">
        <v>1.03</v>
      </c>
      <c r="J135" s="134">
        <v>1.0999999999999999E-2</v>
      </c>
    </row>
    <row r="136" spans="1:10" ht="27" customHeight="1" x14ac:dyDescent="0.2">
      <c r="A136" s="124" t="s">
        <v>531</v>
      </c>
      <c r="B136" s="125" t="s">
        <v>1314</v>
      </c>
      <c r="C136" s="126">
        <v>0</v>
      </c>
      <c r="D136" s="127">
        <v>0.68300000000000005</v>
      </c>
      <c r="E136" s="128">
        <v>0.16</v>
      </c>
      <c r="F136" s="129">
        <v>1.4E-2</v>
      </c>
      <c r="G136" s="130">
        <v>1495.44</v>
      </c>
      <c r="H136" s="130">
        <v>1.03</v>
      </c>
      <c r="I136" s="133">
        <v>1.03</v>
      </c>
      <c r="J136" s="134">
        <v>1.0999999999999999E-2</v>
      </c>
    </row>
    <row r="137" spans="1:10" ht="27" customHeight="1" x14ac:dyDescent="0.2">
      <c r="A137" s="124" t="s">
        <v>532</v>
      </c>
      <c r="B137" s="125" t="s">
        <v>1315</v>
      </c>
      <c r="C137" s="126">
        <v>0</v>
      </c>
      <c r="D137" s="127">
        <v>0.68300000000000005</v>
      </c>
      <c r="E137" s="128">
        <v>0.16</v>
      </c>
      <c r="F137" s="129">
        <v>1.4E-2</v>
      </c>
      <c r="G137" s="130">
        <v>3481.76</v>
      </c>
      <c r="H137" s="130">
        <v>1.03</v>
      </c>
      <c r="I137" s="133">
        <v>1.03</v>
      </c>
      <c r="J137" s="134">
        <v>1.0999999999999999E-2</v>
      </c>
    </row>
    <row r="138" spans="1:10" ht="27" customHeight="1" x14ac:dyDescent="0.2">
      <c r="A138" s="124" t="s">
        <v>422</v>
      </c>
      <c r="B138" s="125" t="s">
        <v>1316</v>
      </c>
      <c r="C138" s="126" t="s">
        <v>447</v>
      </c>
      <c r="D138" s="135">
        <v>2.6949999999999998</v>
      </c>
      <c r="E138" s="136">
        <v>0.314</v>
      </c>
      <c r="F138" s="137">
        <v>0.11700000000000001</v>
      </c>
      <c r="G138" s="131">
        <v>0</v>
      </c>
      <c r="H138" s="131">
        <v>0</v>
      </c>
      <c r="I138" s="131">
        <v>0</v>
      </c>
      <c r="J138" s="132">
        <v>0</v>
      </c>
    </row>
    <row r="139" spans="1:10" ht="27" customHeight="1" x14ac:dyDescent="0.2">
      <c r="A139" s="124" t="s">
        <v>423</v>
      </c>
      <c r="B139" s="125" t="s">
        <v>1317</v>
      </c>
      <c r="C139" s="126" t="s">
        <v>1380</v>
      </c>
      <c r="D139" s="127">
        <v>-1.073</v>
      </c>
      <c r="E139" s="128">
        <v>-0.28699999999999998</v>
      </c>
      <c r="F139" s="129">
        <v>-3.4000000000000002E-2</v>
      </c>
      <c r="G139" s="131">
        <v>0</v>
      </c>
      <c r="H139" s="131">
        <v>0</v>
      </c>
      <c r="I139" s="131">
        <v>0</v>
      </c>
      <c r="J139" s="132">
        <v>0</v>
      </c>
    </row>
    <row r="140" spans="1:10" ht="27" customHeight="1" x14ac:dyDescent="0.2">
      <c r="A140" s="124" t="s">
        <v>424</v>
      </c>
      <c r="B140" s="125" t="s">
        <v>1318</v>
      </c>
      <c r="C140" s="126">
        <v>8</v>
      </c>
      <c r="D140" s="127">
        <v>-1.099</v>
      </c>
      <c r="E140" s="128">
        <v>-0.29099999999999998</v>
      </c>
      <c r="F140" s="129">
        <v>-3.3000000000000002E-2</v>
      </c>
      <c r="G140" s="131">
        <v>0</v>
      </c>
      <c r="H140" s="131">
        <v>0</v>
      </c>
      <c r="I140" s="131">
        <v>0</v>
      </c>
      <c r="J140" s="132">
        <v>0</v>
      </c>
    </row>
    <row r="141" spans="1:10" ht="27" customHeight="1" x14ac:dyDescent="0.2">
      <c r="A141" s="124" t="s">
        <v>425</v>
      </c>
      <c r="B141" s="125" t="s">
        <v>1319</v>
      </c>
      <c r="C141" s="126">
        <v>0</v>
      </c>
      <c r="D141" s="127">
        <v>-1.073</v>
      </c>
      <c r="E141" s="128">
        <v>-0.28699999999999998</v>
      </c>
      <c r="F141" s="129">
        <v>-3.4000000000000002E-2</v>
      </c>
      <c r="G141" s="131">
        <v>0</v>
      </c>
      <c r="H141" s="131">
        <v>0</v>
      </c>
      <c r="I141" s="131">
        <v>0</v>
      </c>
      <c r="J141" s="134">
        <v>0.02</v>
      </c>
    </row>
    <row r="142" spans="1:10" ht="27" customHeight="1" x14ac:dyDescent="0.2">
      <c r="A142" s="124" t="s">
        <v>426</v>
      </c>
      <c r="B142" s="125" t="s">
        <v>1320</v>
      </c>
      <c r="C142" s="126">
        <v>0</v>
      </c>
      <c r="D142" s="127">
        <v>-1.099</v>
      </c>
      <c r="E142" s="128">
        <v>-0.29099999999999998</v>
      </c>
      <c r="F142" s="129">
        <v>-3.3000000000000002E-2</v>
      </c>
      <c r="G142" s="131">
        <v>0</v>
      </c>
      <c r="H142" s="131">
        <v>0</v>
      </c>
      <c r="I142" s="131">
        <v>0</v>
      </c>
      <c r="J142" s="134">
        <v>2.1999999999999999E-2</v>
      </c>
    </row>
    <row r="143" spans="1:10" ht="27" customHeight="1" x14ac:dyDescent="0.2">
      <c r="A143" s="124" t="s">
        <v>427</v>
      </c>
      <c r="B143" s="125" t="s">
        <v>1321</v>
      </c>
      <c r="C143" s="126">
        <v>0</v>
      </c>
      <c r="D143" s="127">
        <v>-1.3169999999999999</v>
      </c>
      <c r="E143" s="128">
        <v>-0.32700000000000001</v>
      </c>
      <c r="F143" s="129">
        <v>-3.3000000000000002E-2</v>
      </c>
      <c r="G143" s="130">
        <v>43.68</v>
      </c>
      <c r="H143" s="131">
        <v>0</v>
      </c>
      <c r="I143" s="131">
        <v>0</v>
      </c>
      <c r="J143" s="134">
        <v>3.4000000000000002E-2</v>
      </c>
    </row>
    <row r="144" spans="1:10" ht="27" customHeight="1" x14ac:dyDescent="0.2">
      <c r="A144" s="124" t="s">
        <v>656</v>
      </c>
      <c r="B144" s="125" t="s">
        <v>1322</v>
      </c>
      <c r="C144" s="126" t="s">
        <v>445</v>
      </c>
      <c r="D144" s="127">
        <v>0.46200000000000002</v>
      </c>
      <c r="E144" s="128">
        <v>0.124</v>
      </c>
      <c r="F144" s="129">
        <v>1.4E-2</v>
      </c>
      <c r="G144" s="130">
        <v>1.23</v>
      </c>
      <c r="H144" s="131">
        <v>0</v>
      </c>
      <c r="I144" s="131">
        <v>0</v>
      </c>
      <c r="J144" s="132">
        <v>0</v>
      </c>
    </row>
    <row r="145" spans="1:10" ht="27" customHeight="1" x14ac:dyDescent="0.2">
      <c r="A145" s="124" t="s">
        <v>657</v>
      </c>
      <c r="B145" s="125" t="s">
        <v>1323</v>
      </c>
      <c r="C145" s="126">
        <v>2</v>
      </c>
      <c r="D145" s="127">
        <v>0.46200000000000002</v>
      </c>
      <c r="E145" s="128">
        <v>0.124</v>
      </c>
      <c r="F145" s="129">
        <v>1.4E-2</v>
      </c>
      <c r="G145" s="131">
        <v>0</v>
      </c>
      <c r="H145" s="131">
        <v>0</v>
      </c>
      <c r="I145" s="131">
        <v>0</v>
      </c>
      <c r="J145" s="132">
        <v>0</v>
      </c>
    </row>
    <row r="146" spans="1:10" ht="27" customHeight="1" x14ac:dyDescent="0.2">
      <c r="A146" s="124" t="s">
        <v>658</v>
      </c>
      <c r="B146" s="125" t="s">
        <v>1324</v>
      </c>
      <c r="C146" s="126" t="s">
        <v>446</v>
      </c>
      <c r="D146" s="127">
        <v>0.55600000000000005</v>
      </c>
      <c r="E146" s="128">
        <v>0.14899999999999999</v>
      </c>
      <c r="F146" s="129">
        <v>1.7000000000000001E-2</v>
      </c>
      <c r="G146" s="130">
        <v>0.82</v>
      </c>
      <c r="H146" s="131">
        <v>0</v>
      </c>
      <c r="I146" s="131">
        <v>0</v>
      </c>
      <c r="J146" s="132">
        <v>0</v>
      </c>
    </row>
    <row r="147" spans="1:10" ht="27" customHeight="1" x14ac:dyDescent="0.2">
      <c r="A147" s="124" t="s">
        <v>659</v>
      </c>
      <c r="B147" s="125" t="s">
        <v>1325</v>
      </c>
      <c r="C147" s="126" t="s">
        <v>446</v>
      </c>
      <c r="D147" s="127">
        <v>0.55600000000000005</v>
      </c>
      <c r="E147" s="128">
        <v>0.14899999999999999</v>
      </c>
      <c r="F147" s="129">
        <v>1.7000000000000001E-2</v>
      </c>
      <c r="G147" s="130">
        <v>1.21</v>
      </c>
      <c r="H147" s="131">
        <v>0</v>
      </c>
      <c r="I147" s="131">
        <v>0</v>
      </c>
      <c r="J147" s="132">
        <v>0</v>
      </c>
    </row>
    <row r="148" spans="1:10" ht="27" customHeight="1" x14ac:dyDescent="0.2">
      <c r="A148" s="124" t="s">
        <v>660</v>
      </c>
      <c r="B148" s="125" t="s">
        <v>1326</v>
      </c>
      <c r="C148" s="126" t="s">
        <v>446</v>
      </c>
      <c r="D148" s="127">
        <v>0.55600000000000005</v>
      </c>
      <c r="E148" s="128">
        <v>0.14899999999999999</v>
      </c>
      <c r="F148" s="129">
        <v>1.7000000000000001E-2</v>
      </c>
      <c r="G148" s="130">
        <v>1.8</v>
      </c>
      <c r="H148" s="131">
        <v>0</v>
      </c>
      <c r="I148" s="131">
        <v>0</v>
      </c>
      <c r="J148" s="132">
        <v>0</v>
      </c>
    </row>
    <row r="149" spans="1:10" ht="27" customHeight="1" x14ac:dyDescent="0.2">
      <c r="A149" s="124" t="s">
        <v>661</v>
      </c>
      <c r="B149" s="125" t="s">
        <v>1327</v>
      </c>
      <c r="C149" s="126" t="s">
        <v>446</v>
      </c>
      <c r="D149" s="127">
        <v>0.55600000000000005</v>
      </c>
      <c r="E149" s="128">
        <v>0.14899999999999999</v>
      </c>
      <c r="F149" s="129">
        <v>1.7000000000000001E-2</v>
      </c>
      <c r="G149" s="130">
        <v>2.86</v>
      </c>
      <c r="H149" s="131">
        <v>0</v>
      </c>
      <c r="I149" s="131">
        <v>0</v>
      </c>
      <c r="J149" s="132">
        <v>0</v>
      </c>
    </row>
    <row r="150" spans="1:10" ht="27" customHeight="1" x14ac:dyDescent="0.2">
      <c r="A150" s="124" t="s">
        <v>662</v>
      </c>
      <c r="B150" s="125" t="s">
        <v>1328</v>
      </c>
      <c r="C150" s="126" t="s">
        <v>446</v>
      </c>
      <c r="D150" s="127">
        <v>0.55600000000000005</v>
      </c>
      <c r="E150" s="128">
        <v>0.14899999999999999</v>
      </c>
      <c r="F150" s="129">
        <v>1.7000000000000001E-2</v>
      </c>
      <c r="G150" s="130">
        <v>6.47</v>
      </c>
      <c r="H150" s="131">
        <v>0</v>
      </c>
      <c r="I150" s="131">
        <v>0</v>
      </c>
      <c r="J150" s="132">
        <v>0</v>
      </c>
    </row>
    <row r="151" spans="1:10" ht="27" customHeight="1" x14ac:dyDescent="0.2">
      <c r="A151" s="124" t="s">
        <v>428</v>
      </c>
      <c r="B151" s="125" t="s">
        <v>1329</v>
      </c>
      <c r="C151" s="126">
        <v>4</v>
      </c>
      <c r="D151" s="127">
        <v>0.55600000000000005</v>
      </c>
      <c r="E151" s="128">
        <v>0.14899999999999999</v>
      </c>
      <c r="F151" s="129">
        <v>1.7000000000000001E-2</v>
      </c>
      <c r="G151" s="131">
        <v>0</v>
      </c>
      <c r="H151" s="131">
        <v>0</v>
      </c>
      <c r="I151" s="131">
        <v>0</v>
      </c>
      <c r="J151" s="132">
        <v>0</v>
      </c>
    </row>
    <row r="152" spans="1:10" ht="27" customHeight="1" x14ac:dyDescent="0.2">
      <c r="A152" s="124" t="s">
        <v>533</v>
      </c>
      <c r="B152" s="125" t="s">
        <v>1330</v>
      </c>
      <c r="C152" s="126">
        <v>0</v>
      </c>
      <c r="D152" s="127">
        <v>0.39700000000000002</v>
      </c>
      <c r="E152" s="128">
        <v>0.104</v>
      </c>
      <c r="F152" s="129">
        <v>1.2E-2</v>
      </c>
      <c r="G152" s="130">
        <v>1.1000000000000001</v>
      </c>
      <c r="H152" s="130">
        <v>0.26</v>
      </c>
      <c r="I152" s="133">
        <v>0.26</v>
      </c>
      <c r="J152" s="134">
        <v>8.0000000000000002E-3</v>
      </c>
    </row>
    <row r="153" spans="1:10" ht="27" customHeight="1" x14ac:dyDescent="0.2">
      <c r="A153" s="124" t="s">
        <v>534</v>
      </c>
      <c r="B153" s="125" t="s">
        <v>1331</v>
      </c>
      <c r="C153" s="126">
        <v>0</v>
      </c>
      <c r="D153" s="127">
        <v>0.39700000000000002</v>
      </c>
      <c r="E153" s="128">
        <v>0.104</v>
      </c>
      <c r="F153" s="129">
        <v>1.2E-2</v>
      </c>
      <c r="G153" s="130">
        <v>10.54</v>
      </c>
      <c r="H153" s="130">
        <v>0.26</v>
      </c>
      <c r="I153" s="133">
        <v>0.26</v>
      </c>
      <c r="J153" s="134">
        <v>8.0000000000000002E-3</v>
      </c>
    </row>
    <row r="154" spans="1:10" ht="27" customHeight="1" x14ac:dyDescent="0.2">
      <c r="A154" s="124" t="s">
        <v>535</v>
      </c>
      <c r="B154" s="125" t="s">
        <v>1332</v>
      </c>
      <c r="C154" s="126">
        <v>0</v>
      </c>
      <c r="D154" s="127">
        <v>0.39700000000000002</v>
      </c>
      <c r="E154" s="128">
        <v>0.104</v>
      </c>
      <c r="F154" s="129">
        <v>1.2E-2</v>
      </c>
      <c r="G154" s="130">
        <v>19.989999999999998</v>
      </c>
      <c r="H154" s="130">
        <v>0.26</v>
      </c>
      <c r="I154" s="133">
        <v>0.26</v>
      </c>
      <c r="J154" s="134">
        <v>8.0000000000000002E-3</v>
      </c>
    </row>
    <row r="155" spans="1:10" ht="27" customHeight="1" x14ac:dyDescent="0.2">
      <c r="A155" s="124" t="s">
        <v>536</v>
      </c>
      <c r="B155" s="125" t="s">
        <v>1333</v>
      </c>
      <c r="C155" s="126">
        <v>0</v>
      </c>
      <c r="D155" s="127">
        <v>0.39700000000000002</v>
      </c>
      <c r="E155" s="128">
        <v>0.104</v>
      </c>
      <c r="F155" s="129">
        <v>1.2E-2</v>
      </c>
      <c r="G155" s="130">
        <v>29.54</v>
      </c>
      <c r="H155" s="130">
        <v>0.26</v>
      </c>
      <c r="I155" s="133">
        <v>0.26</v>
      </c>
      <c r="J155" s="134">
        <v>8.0000000000000002E-3</v>
      </c>
    </row>
    <row r="156" spans="1:10" ht="27" customHeight="1" x14ac:dyDescent="0.2">
      <c r="A156" s="124" t="s">
        <v>537</v>
      </c>
      <c r="B156" s="125" t="s">
        <v>1334</v>
      </c>
      <c r="C156" s="126">
        <v>0</v>
      </c>
      <c r="D156" s="127">
        <v>0.39700000000000002</v>
      </c>
      <c r="E156" s="128">
        <v>0.104</v>
      </c>
      <c r="F156" s="129">
        <v>1.2E-2</v>
      </c>
      <c r="G156" s="130">
        <v>60.34</v>
      </c>
      <c r="H156" s="130">
        <v>0.26</v>
      </c>
      <c r="I156" s="133">
        <v>0.26</v>
      </c>
      <c r="J156" s="134">
        <v>8.0000000000000002E-3</v>
      </c>
    </row>
    <row r="157" spans="1:10" ht="27" customHeight="1" x14ac:dyDescent="0.2">
      <c r="A157" s="124" t="s">
        <v>538</v>
      </c>
      <c r="B157" s="125" t="s">
        <v>1335</v>
      </c>
      <c r="C157" s="126">
        <v>0</v>
      </c>
      <c r="D157" s="127">
        <v>0.42199999999999999</v>
      </c>
      <c r="E157" s="128">
        <v>0.105</v>
      </c>
      <c r="F157" s="129">
        <v>1.0999999999999999E-2</v>
      </c>
      <c r="G157" s="130">
        <v>1.83</v>
      </c>
      <c r="H157" s="130">
        <v>0.35</v>
      </c>
      <c r="I157" s="133">
        <v>0.35</v>
      </c>
      <c r="J157" s="134">
        <v>8.0000000000000002E-3</v>
      </c>
    </row>
    <row r="158" spans="1:10" ht="27" customHeight="1" x14ac:dyDescent="0.2">
      <c r="A158" s="124" t="s">
        <v>539</v>
      </c>
      <c r="B158" s="125" t="s">
        <v>1336</v>
      </c>
      <c r="C158" s="126">
        <v>0</v>
      </c>
      <c r="D158" s="127">
        <v>0.42199999999999999</v>
      </c>
      <c r="E158" s="128">
        <v>0.105</v>
      </c>
      <c r="F158" s="129">
        <v>1.0999999999999999E-2</v>
      </c>
      <c r="G158" s="130">
        <v>17.57</v>
      </c>
      <c r="H158" s="130">
        <v>0.35</v>
      </c>
      <c r="I158" s="133">
        <v>0.35</v>
      </c>
      <c r="J158" s="134">
        <v>8.0000000000000002E-3</v>
      </c>
    </row>
    <row r="159" spans="1:10" ht="27" customHeight="1" x14ac:dyDescent="0.2">
      <c r="A159" s="124" t="s">
        <v>540</v>
      </c>
      <c r="B159" s="125" t="s">
        <v>1337</v>
      </c>
      <c r="C159" s="126">
        <v>0</v>
      </c>
      <c r="D159" s="127">
        <v>0.42199999999999999</v>
      </c>
      <c r="E159" s="128">
        <v>0.105</v>
      </c>
      <c r="F159" s="129">
        <v>1.0999999999999999E-2</v>
      </c>
      <c r="G159" s="130">
        <v>33.33</v>
      </c>
      <c r="H159" s="130">
        <v>0.35</v>
      </c>
      <c r="I159" s="133">
        <v>0.35</v>
      </c>
      <c r="J159" s="134">
        <v>8.0000000000000002E-3</v>
      </c>
    </row>
    <row r="160" spans="1:10" ht="27" customHeight="1" x14ac:dyDescent="0.2">
      <c r="A160" s="124" t="s">
        <v>541</v>
      </c>
      <c r="B160" s="125" t="s">
        <v>1338</v>
      </c>
      <c r="C160" s="126">
        <v>0</v>
      </c>
      <c r="D160" s="127">
        <v>0.42199999999999999</v>
      </c>
      <c r="E160" s="128">
        <v>0.105</v>
      </c>
      <c r="F160" s="129">
        <v>1.0999999999999999E-2</v>
      </c>
      <c r="G160" s="130">
        <v>49.26</v>
      </c>
      <c r="H160" s="130">
        <v>0.35</v>
      </c>
      <c r="I160" s="133">
        <v>0.35</v>
      </c>
      <c r="J160" s="134">
        <v>8.0000000000000002E-3</v>
      </c>
    </row>
    <row r="161" spans="1:10" ht="27" customHeight="1" x14ac:dyDescent="0.2">
      <c r="A161" s="124" t="s">
        <v>542</v>
      </c>
      <c r="B161" s="125" t="s">
        <v>1339</v>
      </c>
      <c r="C161" s="126">
        <v>0</v>
      </c>
      <c r="D161" s="127">
        <v>0.42199999999999999</v>
      </c>
      <c r="E161" s="128">
        <v>0.105</v>
      </c>
      <c r="F161" s="129">
        <v>1.0999999999999999E-2</v>
      </c>
      <c r="G161" s="130">
        <v>100.6</v>
      </c>
      <c r="H161" s="130">
        <v>0.35</v>
      </c>
      <c r="I161" s="133">
        <v>0.35</v>
      </c>
      <c r="J161" s="134">
        <v>8.0000000000000002E-3</v>
      </c>
    </row>
    <row r="162" spans="1:10" ht="27" customHeight="1" x14ac:dyDescent="0.2">
      <c r="A162" s="124" t="s">
        <v>543</v>
      </c>
      <c r="B162" s="125" t="s">
        <v>1340</v>
      </c>
      <c r="C162" s="126">
        <v>0</v>
      </c>
      <c r="D162" s="127">
        <v>0.35399999999999998</v>
      </c>
      <c r="E162" s="128">
        <v>8.3000000000000004E-2</v>
      </c>
      <c r="F162" s="129">
        <v>7.0000000000000001E-3</v>
      </c>
      <c r="G162" s="130">
        <v>59.32</v>
      </c>
      <c r="H162" s="130">
        <v>0.53</v>
      </c>
      <c r="I162" s="133">
        <v>0.53</v>
      </c>
      <c r="J162" s="134">
        <v>6.0000000000000001E-3</v>
      </c>
    </row>
    <row r="163" spans="1:10" ht="27" customHeight="1" x14ac:dyDescent="0.2">
      <c r="A163" s="124" t="s">
        <v>544</v>
      </c>
      <c r="B163" s="125" t="s">
        <v>1341</v>
      </c>
      <c r="C163" s="126">
        <v>0</v>
      </c>
      <c r="D163" s="127">
        <v>0.35399999999999998</v>
      </c>
      <c r="E163" s="128">
        <v>8.3000000000000004E-2</v>
      </c>
      <c r="F163" s="129">
        <v>7.0000000000000001E-3</v>
      </c>
      <c r="G163" s="130">
        <v>176.06</v>
      </c>
      <c r="H163" s="130">
        <v>0.53</v>
      </c>
      <c r="I163" s="133">
        <v>0.53</v>
      </c>
      <c r="J163" s="134">
        <v>6.0000000000000001E-3</v>
      </c>
    </row>
    <row r="164" spans="1:10" ht="27" customHeight="1" x14ac:dyDescent="0.2">
      <c r="A164" s="124" t="s">
        <v>545</v>
      </c>
      <c r="B164" s="125" t="s">
        <v>1342</v>
      </c>
      <c r="C164" s="126">
        <v>0</v>
      </c>
      <c r="D164" s="127">
        <v>0.35399999999999998</v>
      </c>
      <c r="E164" s="128">
        <v>8.3000000000000004E-2</v>
      </c>
      <c r="F164" s="129">
        <v>7.0000000000000001E-3</v>
      </c>
      <c r="G164" s="130">
        <v>409.16</v>
      </c>
      <c r="H164" s="130">
        <v>0.53</v>
      </c>
      <c r="I164" s="133">
        <v>0.53</v>
      </c>
      <c r="J164" s="134">
        <v>6.0000000000000001E-3</v>
      </c>
    </row>
    <row r="165" spans="1:10" ht="27" customHeight="1" x14ac:dyDescent="0.2">
      <c r="A165" s="124" t="s">
        <v>546</v>
      </c>
      <c r="B165" s="125" t="s">
        <v>1343</v>
      </c>
      <c r="C165" s="126">
        <v>0</v>
      </c>
      <c r="D165" s="127">
        <v>0.35399999999999998</v>
      </c>
      <c r="E165" s="128">
        <v>8.3000000000000004E-2</v>
      </c>
      <c r="F165" s="129">
        <v>7.0000000000000001E-3</v>
      </c>
      <c r="G165" s="130">
        <v>774.7</v>
      </c>
      <c r="H165" s="130">
        <v>0.53</v>
      </c>
      <c r="I165" s="133">
        <v>0.53</v>
      </c>
      <c r="J165" s="134">
        <v>6.0000000000000001E-3</v>
      </c>
    </row>
    <row r="166" spans="1:10" ht="27" customHeight="1" x14ac:dyDescent="0.2">
      <c r="A166" s="124" t="s">
        <v>547</v>
      </c>
      <c r="B166" s="125" t="s">
        <v>1344</v>
      </c>
      <c r="C166" s="126">
        <v>0</v>
      </c>
      <c r="D166" s="127">
        <v>0.35399999999999998</v>
      </c>
      <c r="E166" s="128">
        <v>8.3000000000000004E-2</v>
      </c>
      <c r="F166" s="129">
        <v>7.0000000000000001E-3</v>
      </c>
      <c r="G166" s="130">
        <v>1803.69</v>
      </c>
      <c r="H166" s="130">
        <v>0.53</v>
      </c>
      <c r="I166" s="133">
        <v>0.53</v>
      </c>
      <c r="J166" s="134">
        <v>6.0000000000000001E-3</v>
      </c>
    </row>
    <row r="167" spans="1:10" ht="27" customHeight="1" x14ac:dyDescent="0.2">
      <c r="A167" s="124" t="s">
        <v>429</v>
      </c>
      <c r="B167" s="125" t="s">
        <v>1345</v>
      </c>
      <c r="C167" s="126" t="s">
        <v>447</v>
      </c>
      <c r="D167" s="135">
        <v>1.3959999999999999</v>
      </c>
      <c r="E167" s="136">
        <v>0.16300000000000001</v>
      </c>
      <c r="F167" s="137">
        <v>6.0999999999999999E-2</v>
      </c>
      <c r="G167" s="131">
        <v>0</v>
      </c>
      <c r="H167" s="131">
        <v>0</v>
      </c>
      <c r="I167" s="131">
        <v>0</v>
      </c>
      <c r="J167" s="132">
        <v>0</v>
      </c>
    </row>
    <row r="168" spans="1:10" ht="27" customHeight="1" x14ac:dyDescent="0.2">
      <c r="A168" s="124" t="s">
        <v>430</v>
      </c>
      <c r="B168" s="125" t="s">
        <v>1346</v>
      </c>
      <c r="C168" s="126" t="s">
        <v>1380</v>
      </c>
      <c r="D168" s="127">
        <v>-0.55600000000000005</v>
      </c>
      <c r="E168" s="128">
        <v>-0.14899999999999999</v>
      </c>
      <c r="F168" s="129">
        <v>-1.7000000000000001E-2</v>
      </c>
      <c r="G168" s="131">
        <v>0</v>
      </c>
      <c r="H168" s="131">
        <v>0</v>
      </c>
      <c r="I168" s="131">
        <v>0</v>
      </c>
      <c r="J168" s="132">
        <v>0</v>
      </c>
    </row>
    <row r="169" spans="1:10" ht="27" customHeight="1" x14ac:dyDescent="0.2">
      <c r="A169" s="124" t="s">
        <v>431</v>
      </c>
      <c r="B169" s="125" t="s">
        <v>1347</v>
      </c>
      <c r="C169" s="126">
        <v>8</v>
      </c>
      <c r="D169" s="127">
        <v>-0.56899999999999995</v>
      </c>
      <c r="E169" s="128">
        <v>-0.151</v>
      </c>
      <c r="F169" s="129">
        <v>-1.7000000000000001E-2</v>
      </c>
      <c r="G169" s="131">
        <v>0</v>
      </c>
      <c r="H169" s="131">
        <v>0</v>
      </c>
      <c r="I169" s="131">
        <v>0</v>
      </c>
      <c r="J169" s="132">
        <v>0</v>
      </c>
    </row>
    <row r="170" spans="1:10" ht="27" customHeight="1" x14ac:dyDescent="0.2">
      <c r="A170" s="124" t="s">
        <v>432</v>
      </c>
      <c r="B170" s="125" t="s">
        <v>1348</v>
      </c>
      <c r="C170" s="126">
        <v>0</v>
      </c>
      <c r="D170" s="127">
        <v>-0.55600000000000005</v>
      </c>
      <c r="E170" s="128">
        <v>-0.14899999999999999</v>
      </c>
      <c r="F170" s="129">
        <v>-1.7000000000000001E-2</v>
      </c>
      <c r="G170" s="131">
        <v>0</v>
      </c>
      <c r="H170" s="131">
        <v>0</v>
      </c>
      <c r="I170" s="131">
        <v>0</v>
      </c>
      <c r="J170" s="134">
        <v>0.01</v>
      </c>
    </row>
    <row r="171" spans="1:10" ht="27" customHeight="1" x14ac:dyDescent="0.2">
      <c r="A171" s="124" t="s">
        <v>433</v>
      </c>
      <c r="B171" s="125" t="s">
        <v>1349</v>
      </c>
      <c r="C171" s="126">
        <v>0</v>
      </c>
      <c r="D171" s="127">
        <v>-0.56899999999999995</v>
      </c>
      <c r="E171" s="128">
        <v>-0.151</v>
      </c>
      <c r="F171" s="129">
        <v>-1.7000000000000001E-2</v>
      </c>
      <c r="G171" s="131">
        <v>0</v>
      </c>
      <c r="H171" s="131">
        <v>0</v>
      </c>
      <c r="I171" s="131">
        <v>0</v>
      </c>
      <c r="J171" s="134">
        <v>1.2E-2</v>
      </c>
    </row>
    <row r="172" spans="1:10" ht="27" customHeight="1" x14ac:dyDescent="0.2">
      <c r="A172" s="124" t="s">
        <v>434</v>
      </c>
      <c r="B172" s="125" t="s">
        <v>1350</v>
      </c>
      <c r="C172" s="126">
        <v>0</v>
      </c>
      <c r="D172" s="127">
        <v>-0.68200000000000005</v>
      </c>
      <c r="E172" s="128">
        <v>-0.17</v>
      </c>
      <c r="F172" s="129">
        <v>-1.7000000000000001E-2</v>
      </c>
      <c r="G172" s="130">
        <v>22.63</v>
      </c>
      <c r="H172" s="131">
        <v>0</v>
      </c>
      <c r="I172" s="131">
        <v>0</v>
      </c>
      <c r="J172" s="134">
        <v>1.7999999999999999E-2</v>
      </c>
    </row>
    <row r="173" spans="1:10" ht="27" customHeight="1" x14ac:dyDescent="0.2">
      <c r="A173" s="124" t="s">
        <v>663</v>
      </c>
      <c r="B173" s="125" t="s">
        <v>1351</v>
      </c>
      <c r="C173" s="126" t="s">
        <v>445</v>
      </c>
      <c r="D173" s="127">
        <v>0.189</v>
      </c>
      <c r="E173" s="128">
        <v>5.0999999999999997E-2</v>
      </c>
      <c r="F173" s="129">
        <v>6.0000000000000001E-3</v>
      </c>
      <c r="G173" s="130">
        <v>0.5</v>
      </c>
      <c r="H173" s="131">
        <v>0</v>
      </c>
      <c r="I173" s="131">
        <v>0</v>
      </c>
      <c r="J173" s="132">
        <v>0</v>
      </c>
    </row>
    <row r="174" spans="1:10" ht="27" customHeight="1" x14ac:dyDescent="0.2">
      <c r="A174" s="124" t="s">
        <v>664</v>
      </c>
      <c r="B174" s="125" t="s">
        <v>1352</v>
      </c>
      <c r="C174" s="126">
        <v>2</v>
      </c>
      <c r="D174" s="127">
        <v>0.189</v>
      </c>
      <c r="E174" s="128">
        <v>5.0999999999999997E-2</v>
      </c>
      <c r="F174" s="129">
        <v>6.0000000000000001E-3</v>
      </c>
      <c r="G174" s="131">
        <v>0</v>
      </c>
      <c r="H174" s="131">
        <v>0</v>
      </c>
      <c r="I174" s="131">
        <v>0</v>
      </c>
      <c r="J174" s="132">
        <v>0</v>
      </c>
    </row>
    <row r="175" spans="1:10" ht="27" customHeight="1" x14ac:dyDescent="0.2">
      <c r="A175" s="124" t="s">
        <v>665</v>
      </c>
      <c r="B175" s="125" t="s">
        <v>1353</v>
      </c>
      <c r="C175" s="126" t="s">
        <v>446</v>
      </c>
      <c r="D175" s="127">
        <v>0.22800000000000001</v>
      </c>
      <c r="E175" s="128">
        <v>6.0999999999999999E-2</v>
      </c>
      <c r="F175" s="129">
        <v>7.0000000000000001E-3</v>
      </c>
      <c r="G175" s="130">
        <v>0.34</v>
      </c>
      <c r="H175" s="131">
        <v>0</v>
      </c>
      <c r="I175" s="131">
        <v>0</v>
      </c>
      <c r="J175" s="132">
        <v>0</v>
      </c>
    </row>
    <row r="176" spans="1:10" ht="27" customHeight="1" x14ac:dyDescent="0.2">
      <c r="A176" s="124" t="s">
        <v>666</v>
      </c>
      <c r="B176" s="125" t="s">
        <v>1354</v>
      </c>
      <c r="C176" s="126" t="s">
        <v>446</v>
      </c>
      <c r="D176" s="127">
        <v>0.22800000000000001</v>
      </c>
      <c r="E176" s="128">
        <v>6.0999999999999999E-2</v>
      </c>
      <c r="F176" s="129">
        <v>7.0000000000000001E-3</v>
      </c>
      <c r="G176" s="130">
        <v>0.5</v>
      </c>
      <c r="H176" s="131">
        <v>0</v>
      </c>
      <c r="I176" s="131">
        <v>0</v>
      </c>
      <c r="J176" s="132">
        <v>0</v>
      </c>
    </row>
    <row r="177" spans="1:10" ht="27" customHeight="1" x14ac:dyDescent="0.2">
      <c r="A177" s="124" t="s">
        <v>667</v>
      </c>
      <c r="B177" s="125" t="s">
        <v>1355</v>
      </c>
      <c r="C177" s="126" t="s">
        <v>446</v>
      </c>
      <c r="D177" s="127">
        <v>0.22800000000000001</v>
      </c>
      <c r="E177" s="128">
        <v>6.0999999999999999E-2</v>
      </c>
      <c r="F177" s="129">
        <v>7.0000000000000001E-3</v>
      </c>
      <c r="G177" s="130">
        <v>0.74</v>
      </c>
      <c r="H177" s="131">
        <v>0</v>
      </c>
      <c r="I177" s="131">
        <v>0</v>
      </c>
      <c r="J177" s="132">
        <v>0</v>
      </c>
    </row>
    <row r="178" spans="1:10" ht="27" customHeight="1" x14ac:dyDescent="0.2">
      <c r="A178" s="124" t="s">
        <v>668</v>
      </c>
      <c r="B178" s="125" t="s">
        <v>1356</v>
      </c>
      <c r="C178" s="126" t="s">
        <v>446</v>
      </c>
      <c r="D178" s="127">
        <v>0.22800000000000001</v>
      </c>
      <c r="E178" s="128">
        <v>6.0999999999999999E-2</v>
      </c>
      <c r="F178" s="129">
        <v>7.0000000000000001E-3</v>
      </c>
      <c r="G178" s="130">
        <v>1.17</v>
      </c>
      <c r="H178" s="131">
        <v>0</v>
      </c>
      <c r="I178" s="131">
        <v>0</v>
      </c>
      <c r="J178" s="132">
        <v>0</v>
      </c>
    </row>
    <row r="179" spans="1:10" ht="27" customHeight="1" x14ac:dyDescent="0.2">
      <c r="A179" s="124" t="s">
        <v>669</v>
      </c>
      <c r="B179" s="125" t="s">
        <v>1357</v>
      </c>
      <c r="C179" s="126" t="s">
        <v>446</v>
      </c>
      <c r="D179" s="127">
        <v>0.22800000000000001</v>
      </c>
      <c r="E179" s="128">
        <v>6.0999999999999999E-2</v>
      </c>
      <c r="F179" s="129">
        <v>7.0000000000000001E-3</v>
      </c>
      <c r="G179" s="130">
        <v>2.65</v>
      </c>
      <c r="H179" s="131">
        <v>0</v>
      </c>
      <c r="I179" s="131">
        <v>0</v>
      </c>
      <c r="J179" s="132">
        <v>0</v>
      </c>
    </row>
    <row r="180" spans="1:10" ht="27" customHeight="1" x14ac:dyDescent="0.2">
      <c r="A180" s="124" t="s">
        <v>435</v>
      </c>
      <c r="B180" s="125" t="s">
        <v>1358</v>
      </c>
      <c r="C180" s="126">
        <v>4</v>
      </c>
      <c r="D180" s="127">
        <v>0.22800000000000001</v>
      </c>
      <c r="E180" s="128">
        <v>6.0999999999999999E-2</v>
      </c>
      <c r="F180" s="129">
        <v>7.0000000000000001E-3</v>
      </c>
      <c r="G180" s="131">
        <v>0</v>
      </c>
      <c r="H180" s="131">
        <v>0</v>
      </c>
      <c r="I180" s="131">
        <v>0</v>
      </c>
      <c r="J180" s="132">
        <v>0</v>
      </c>
    </row>
    <row r="181" spans="1:10" ht="27" customHeight="1" x14ac:dyDescent="0.2">
      <c r="A181" s="124" t="s">
        <v>548</v>
      </c>
      <c r="B181" s="125" t="s">
        <v>1359</v>
      </c>
      <c r="C181" s="126">
        <v>0</v>
      </c>
      <c r="D181" s="127">
        <v>0.16300000000000001</v>
      </c>
      <c r="E181" s="128">
        <v>4.2999999999999997E-2</v>
      </c>
      <c r="F181" s="129">
        <v>5.0000000000000001E-3</v>
      </c>
      <c r="G181" s="130">
        <v>0.45</v>
      </c>
      <c r="H181" s="130">
        <v>0.11</v>
      </c>
      <c r="I181" s="133">
        <v>0.11</v>
      </c>
      <c r="J181" s="134">
        <v>3.0000000000000001E-3</v>
      </c>
    </row>
    <row r="182" spans="1:10" ht="27" customHeight="1" x14ac:dyDescent="0.2">
      <c r="A182" s="124" t="s">
        <v>549</v>
      </c>
      <c r="B182" s="125" t="s">
        <v>1360</v>
      </c>
      <c r="C182" s="126">
        <v>0</v>
      </c>
      <c r="D182" s="127">
        <v>0.16300000000000001</v>
      </c>
      <c r="E182" s="128">
        <v>4.2999999999999997E-2</v>
      </c>
      <c r="F182" s="129">
        <v>5.0000000000000001E-3</v>
      </c>
      <c r="G182" s="130">
        <v>4.32</v>
      </c>
      <c r="H182" s="130">
        <v>0.11</v>
      </c>
      <c r="I182" s="133">
        <v>0.11</v>
      </c>
      <c r="J182" s="134">
        <v>3.0000000000000001E-3</v>
      </c>
    </row>
    <row r="183" spans="1:10" ht="27" customHeight="1" x14ac:dyDescent="0.2">
      <c r="A183" s="124" t="s">
        <v>550</v>
      </c>
      <c r="B183" s="125" t="s">
        <v>1361</v>
      </c>
      <c r="C183" s="126">
        <v>0</v>
      </c>
      <c r="D183" s="127">
        <v>0.16300000000000001</v>
      </c>
      <c r="E183" s="128">
        <v>4.2999999999999997E-2</v>
      </c>
      <c r="F183" s="129">
        <v>5.0000000000000001E-3</v>
      </c>
      <c r="G183" s="130">
        <v>8.1999999999999993</v>
      </c>
      <c r="H183" s="130">
        <v>0.11</v>
      </c>
      <c r="I183" s="133">
        <v>0.11</v>
      </c>
      <c r="J183" s="134">
        <v>3.0000000000000001E-3</v>
      </c>
    </row>
    <row r="184" spans="1:10" ht="27" customHeight="1" x14ac:dyDescent="0.2">
      <c r="A184" s="124" t="s">
        <v>551</v>
      </c>
      <c r="B184" s="125" t="s">
        <v>1362</v>
      </c>
      <c r="C184" s="126">
        <v>0</v>
      </c>
      <c r="D184" s="127">
        <v>0.16300000000000001</v>
      </c>
      <c r="E184" s="128">
        <v>4.2999999999999997E-2</v>
      </c>
      <c r="F184" s="129">
        <v>5.0000000000000001E-3</v>
      </c>
      <c r="G184" s="130">
        <v>12.11</v>
      </c>
      <c r="H184" s="130">
        <v>0.11</v>
      </c>
      <c r="I184" s="133">
        <v>0.11</v>
      </c>
      <c r="J184" s="134">
        <v>3.0000000000000001E-3</v>
      </c>
    </row>
    <row r="185" spans="1:10" ht="27" customHeight="1" x14ac:dyDescent="0.2">
      <c r="A185" s="124" t="s">
        <v>552</v>
      </c>
      <c r="B185" s="125" t="s">
        <v>1363</v>
      </c>
      <c r="C185" s="126">
        <v>0</v>
      </c>
      <c r="D185" s="127">
        <v>0.16300000000000001</v>
      </c>
      <c r="E185" s="128">
        <v>4.2999999999999997E-2</v>
      </c>
      <c r="F185" s="129">
        <v>5.0000000000000001E-3</v>
      </c>
      <c r="G185" s="130">
        <v>24.73</v>
      </c>
      <c r="H185" s="130">
        <v>0.11</v>
      </c>
      <c r="I185" s="133">
        <v>0.11</v>
      </c>
      <c r="J185" s="134">
        <v>3.0000000000000001E-3</v>
      </c>
    </row>
    <row r="186" spans="1:10" ht="27" customHeight="1" x14ac:dyDescent="0.2">
      <c r="A186" s="124" t="s">
        <v>553</v>
      </c>
      <c r="B186" s="125" t="s">
        <v>1364</v>
      </c>
      <c r="C186" s="126">
        <v>0</v>
      </c>
      <c r="D186" s="127">
        <v>0.17299999999999999</v>
      </c>
      <c r="E186" s="128">
        <v>4.2999999999999997E-2</v>
      </c>
      <c r="F186" s="129">
        <v>4.0000000000000001E-3</v>
      </c>
      <c r="G186" s="130">
        <v>0.75</v>
      </c>
      <c r="H186" s="130">
        <v>0.14000000000000001</v>
      </c>
      <c r="I186" s="133">
        <v>0.14000000000000001</v>
      </c>
      <c r="J186" s="134">
        <v>3.0000000000000001E-3</v>
      </c>
    </row>
    <row r="187" spans="1:10" ht="27" customHeight="1" x14ac:dyDescent="0.2">
      <c r="A187" s="124" t="s">
        <v>554</v>
      </c>
      <c r="B187" s="125" t="s">
        <v>1365</v>
      </c>
      <c r="C187" s="126">
        <v>0</v>
      </c>
      <c r="D187" s="127">
        <v>0.17299999999999999</v>
      </c>
      <c r="E187" s="128">
        <v>4.2999999999999997E-2</v>
      </c>
      <c r="F187" s="129">
        <v>4.0000000000000001E-3</v>
      </c>
      <c r="G187" s="130">
        <v>7.2</v>
      </c>
      <c r="H187" s="130">
        <v>0.14000000000000001</v>
      </c>
      <c r="I187" s="133">
        <v>0.14000000000000001</v>
      </c>
      <c r="J187" s="134">
        <v>3.0000000000000001E-3</v>
      </c>
    </row>
    <row r="188" spans="1:10" ht="27" customHeight="1" x14ac:dyDescent="0.2">
      <c r="A188" s="124" t="s">
        <v>555</v>
      </c>
      <c r="B188" s="125" t="s">
        <v>1366</v>
      </c>
      <c r="C188" s="126">
        <v>0</v>
      </c>
      <c r="D188" s="127">
        <v>0.17299999999999999</v>
      </c>
      <c r="E188" s="128">
        <v>4.2999999999999997E-2</v>
      </c>
      <c r="F188" s="129">
        <v>4.0000000000000001E-3</v>
      </c>
      <c r="G188" s="130">
        <v>13.66</v>
      </c>
      <c r="H188" s="130">
        <v>0.14000000000000001</v>
      </c>
      <c r="I188" s="133">
        <v>0.14000000000000001</v>
      </c>
      <c r="J188" s="134">
        <v>3.0000000000000001E-3</v>
      </c>
    </row>
    <row r="189" spans="1:10" ht="27" customHeight="1" x14ac:dyDescent="0.2">
      <c r="A189" s="124" t="s">
        <v>556</v>
      </c>
      <c r="B189" s="125" t="s">
        <v>1367</v>
      </c>
      <c r="C189" s="126">
        <v>0</v>
      </c>
      <c r="D189" s="127">
        <v>0.17299999999999999</v>
      </c>
      <c r="E189" s="128">
        <v>4.2999999999999997E-2</v>
      </c>
      <c r="F189" s="129">
        <v>4.0000000000000001E-3</v>
      </c>
      <c r="G189" s="130">
        <v>20.190000000000001</v>
      </c>
      <c r="H189" s="130">
        <v>0.14000000000000001</v>
      </c>
      <c r="I189" s="133">
        <v>0.14000000000000001</v>
      </c>
      <c r="J189" s="134">
        <v>3.0000000000000001E-3</v>
      </c>
    </row>
    <row r="190" spans="1:10" ht="27" customHeight="1" x14ac:dyDescent="0.2">
      <c r="A190" s="124" t="s">
        <v>557</v>
      </c>
      <c r="B190" s="125" t="s">
        <v>1368</v>
      </c>
      <c r="C190" s="126">
        <v>0</v>
      </c>
      <c r="D190" s="127">
        <v>0.17299999999999999</v>
      </c>
      <c r="E190" s="128">
        <v>4.2999999999999997E-2</v>
      </c>
      <c r="F190" s="129">
        <v>4.0000000000000001E-3</v>
      </c>
      <c r="G190" s="130">
        <v>41.24</v>
      </c>
      <c r="H190" s="130">
        <v>0.14000000000000001</v>
      </c>
      <c r="I190" s="133">
        <v>0.14000000000000001</v>
      </c>
      <c r="J190" s="134">
        <v>3.0000000000000001E-3</v>
      </c>
    </row>
    <row r="191" spans="1:10" ht="27" customHeight="1" x14ac:dyDescent="0.2">
      <c r="A191" s="124" t="s">
        <v>558</v>
      </c>
      <c r="B191" s="125" t="s">
        <v>1369</v>
      </c>
      <c r="C191" s="126">
        <v>0</v>
      </c>
      <c r="D191" s="127">
        <v>0.14499999999999999</v>
      </c>
      <c r="E191" s="128">
        <v>3.4000000000000002E-2</v>
      </c>
      <c r="F191" s="129">
        <v>3.0000000000000001E-3</v>
      </c>
      <c r="G191" s="130">
        <v>24.32</v>
      </c>
      <c r="H191" s="130">
        <v>0.22</v>
      </c>
      <c r="I191" s="133">
        <v>0.22</v>
      </c>
      <c r="J191" s="134">
        <v>2E-3</v>
      </c>
    </row>
    <row r="192" spans="1:10" ht="27" customHeight="1" x14ac:dyDescent="0.2">
      <c r="A192" s="124" t="s">
        <v>559</v>
      </c>
      <c r="B192" s="125" t="s">
        <v>1370</v>
      </c>
      <c r="C192" s="126">
        <v>0</v>
      </c>
      <c r="D192" s="127">
        <v>0.14499999999999999</v>
      </c>
      <c r="E192" s="128">
        <v>3.4000000000000002E-2</v>
      </c>
      <c r="F192" s="129">
        <v>3.0000000000000001E-3</v>
      </c>
      <c r="G192" s="130">
        <v>72.17</v>
      </c>
      <c r="H192" s="130">
        <v>0.22</v>
      </c>
      <c r="I192" s="133">
        <v>0.22</v>
      </c>
      <c r="J192" s="134">
        <v>2E-3</v>
      </c>
    </row>
    <row r="193" spans="1:10" ht="27" customHeight="1" x14ac:dyDescent="0.2">
      <c r="A193" s="124" t="s">
        <v>560</v>
      </c>
      <c r="B193" s="125" t="s">
        <v>1371</v>
      </c>
      <c r="C193" s="126">
        <v>0</v>
      </c>
      <c r="D193" s="127">
        <v>0.14499999999999999</v>
      </c>
      <c r="E193" s="128">
        <v>3.4000000000000002E-2</v>
      </c>
      <c r="F193" s="129">
        <v>3.0000000000000001E-3</v>
      </c>
      <c r="G193" s="130">
        <v>167.72</v>
      </c>
      <c r="H193" s="130">
        <v>0.22</v>
      </c>
      <c r="I193" s="133">
        <v>0.22</v>
      </c>
      <c r="J193" s="134">
        <v>2E-3</v>
      </c>
    </row>
    <row r="194" spans="1:10" ht="27" customHeight="1" x14ac:dyDescent="0.2">
      <c r="A194" s="124" t="s">
        <v>561</v>
      </c>
      <c r="B194" s="125" t="s">
        <v>1372</v>
      </c>
      <c r="C194" s="126">
        <v>0</v>
      </c>
      <c r="D194" s="127">
        <v>0.14499999999999999</v>
      </c>
      <c r="E194" s="128">
        <v>3.4000000000000002E-2</v>
      </c>
      <c r="F194" s="129">
        <v>3.0000000000000001E-3</v>
      </c>
      <c r="G194" s="130">
        <v>317.56</v>
      </c>
      <c r="H194" s="130">
        <v>0.22</v>
      </c>
      <c r="I194" s="133">
        <v>0.22</v>
      </c>
      <c r="J194" s="134">
        <v>2E-3</v>
      </c>
    </row>
    <row r="195" spans="1:10" ht="27" customHeight="1" x14ac:dyDescent="0.2">
      <c r="A195" s="124" t="s">
        <v>562</v>
      </c>
      <c r="B195" s="125" t="s">
        <v>1373</v>
      </c>
      <c r="C195" s="126">
        <v>0</v>
      </c>
      <c r="D195" s="127">
        <v>0.14499999999999999</v>
      </c>
      <c r="E195" s="128">
        <v>3.4000000000000002E-2</v>
      </c>
      <c r="F195" s="129">
        <v>3.0000000000000001E-3</v>
      </c>
      <c r="G195" s="130">
        <v>739.36</v>
      </c>
      <c r="H195" s="130">
        <v>0.22</v>
      </c>
      <c r="I195" s="133">
        <v>0.22</v>
      </c>
      <c r="J195" s="134">
        <v>2E-3</v>
      </c>
    </row>
    <row r="196" spans="1:10" ht="27" customHeight="1" x14ac:dyDescent="0.2">
      <c r="A196" s="124" t="s">
        <v>436</v>
      </c>
      <c r="B196" s="125" t="s">
        <v>1374</v>
      </c>
      <c r="C196" s="126" t="s">
        <v>447</v>
      </c>
      <c r="D196" s="135">
        <v>0.57199999999999995</v>
      </c>
      <c r="E196" s="136">
        <v>6.7000000000000004E-2</v>
      </c>
      <c r="F196" s="137">
        <v>2.5000000000000001E-2</v>
      </c>
      <c r="G196" s="131">
        <v>0</v>
      </c>
      <c r="H196" s="131">
        <v>0</v>
      </c>
      <c r="I196" s="131">
        <v>0</v>
      </c>
      <c r="J196" s="132">
        <v>0</v>
      </c>
    </row>
    <row r="197" spans="1:10" ht="27" customHeight="1" x14ac:dyDescent="0.2">
      <c r="A197" s="124" t="s">
        <v>437</v>
      </c>
      <c r="B197" s="125" t="s">
        <v>1375</v>
      </c>
      <c r="C197" s="126" t="s">
        <v>1380</v>
      </c>
      <c r="D197" s="127">
        <v>-0.22800000000000001</v>
      </c>
      <c r="E197" s="128">
        <v>-6.0999999999999999E-2</v>
      </c>
      <c r="F197" s="129">
        <v>-7.0000000000000001E-3</v>
      </c>
      <c r="G197" s="131">
        <v>0</v>
      </c>
      <c r="H197" s="131">
        <v>0</v>
      </c>
      <c r="I197" s="131">
        <v>0</v>
      </c>
      <c r="J197" s="132">
        <v>0</v>
      </c>
    </row>
    <row r="198" spans="1:10" ht="27" customHeight="1" x14ac:dyDescent="0.2">
      <c r="A198" s="124" t="s">
        <v>438</v>
      </c>
      <c r="B198" s="125" t="s">
        <v>1376</v>
      </c>
      <c r="C198" s="126">
        <v>8</v>
      </c>
      <c r="D198" s="127">
        <v>-0.23300000000000001</v>
      </c>
      <c r="E198" s="128">
        <v>-6.2E-2</v>
      </c>
      <c r="F198" s="129">
        <v>-7.0000000000000001E-3</v>
      </c>
      <c r="G198" s="131">
        <v>0</v>
      </c>
      <c r="H198" s="131">
        <v>0</v>
      </c>
      <c r="I198" s="131">
        <v>0</v>
      </c>
      <c r="J198" s="132">
        <v>0</v>
      </c>
    </row>
    <row r="199" spans="1:10" ht="27" customHeight="1" x14ac:dyDescent="0.2">
      <c r="A199" s="124" t="s">
        <v>439</v>
      </c>
      <c r="B199" s="125" t="s">
        <v>1377</v>
      </c>
      <c r="C199" s="126">
        <v>0</v>
      </c>
      <c r="D199" s="127">
        <v>-0.22800000000000001</v>
      </c>
      <c r="E199" s="128">
        <v>-6.0999999999999999E-2</v>
      </c>
      <c r="F199" s="129">
        <v>-7.0000000000000001E-3</v>
      </c>
      <c r="G199" s="131">
        <v>0</v>
      </c>
      <c r="H199" s="131">
        <v>0</v>
      </c>
      <c r="I199" s="131">
        <v>0</v>
      </c>
      <c r="J199" s="134">
        <v>4.0000000000000001E-3</v>
      </c>
    </row>
    <row r="200" spans="1:10" ht="27" customHeight="1" x14ac:dyDescent="0.2">
      <c r="A200" s="124" t="s">
        <v>440</v>
      </c>
      <c r="B200" s="125" t="s">
        <v>1378</v>
      </c>
      <c r="C200" s="126">
        <v>0</v>
      </c>
      <c r="D200" s="127">
        <v>-0.23300000000000001</v>
      </c>
      <c r="E200" s="128">
        <v>-6.2E-2</v>
      </c>
      <c r="F200" s="129">
        <v>-7.0000000000000001E-3</v>
      </c>
      <c r="G200" s="131">
        <v>0</v>
      </c>
      <c r="H200" s="131">
        <v>0</v>
      </c>
      <c r="I200" s="131">
        <v>0</v>
      </c>
      <c r="J200" s="134">
        <v>5.0000000000000001E-3</v>
      </c>
    </row>
    <row r="201" spans="1:10" ht="27" customHeight="1" x14ac:dyDescent="0.2">
      <c r="A201" s="124" t="s">
        <v>441</v>
      </c>
      <c r="B201" s="125" t="s">
        <v>1379</v>
      </c>
      <c r="C201" s="126">
        <v>0</v>
      </c>
      <c r="D201" s="127">
        <v>-0.28000000000000003</v>
      </c>
      <c r="E201" s="128">
        <v>-6.9000000000000006E-2</v>
      </c>
      <c r="F201" s="129">
        <v>-7.0000000000000001E-3</v>
      </c>
      <c r="G201" s="130">
        <v>9.2799999999999994</v>
      </c>
      <c r="H201" s="131">
        <v>0</v>
      </c>
      <c r="I201" s="131">
        <v>0</v>
      </c>
      <c r="J201" s="134">
        <v>7.0000000000000001E-3</v>
      </c>
    </row>
    <row r="209" s="57" customFormat="1" ht="27.75" customHeight="1" x14ac:dyDescent="0.2"/>
    <row r="210" s="57" customFormat="1" ht="27.75" customHeight="1" x14ac:dyDescent="0.2"/>
    <row r="211" s="57" customFormat="1" ht="27.75" customHeight="1" x14ac:dyDescent="0.2"/>
    <row r="212" s="57" customFormat="1" ht="27.75" customHeight="1" x14ac:dyDescent="0.2"/>
    <row r="213" s="57" customFormat="1" ht="27.75" customHeight="1" x14ac:dyDescent="0.2"/>
    <row r="214" s="57" customFormat="1" ht="27.75" customHeight="1" x14ac:dyDescent="0.2"/>
    <row r="215" s="57" customFormat="1" ht="27.75" customHeight="1" x14ac:dyDescent="0.2"/>
    <row r="216" s="57" customFormat="1" ht="27.75" customHeight="1" x14ac:dyDescent="0.2"/>
    <row r="217" s="57" customFormat="1" ht="27.75" customHeight="1" x14ac:dyDescent="0.2"/>
    <row r="218" s="57" customFormat="1" ht="27.75" customHeight="1" x14ac:dyDescent="0.2"/>
    <row r="219" s="57" customFormat="1" ht="27.75" customHeight="1" x14ac:dyDescent="0.2"/>
    <row r="220" s="57" customFormat="1" ht="27.75" customHeight="1" x14ac:dyDescent="0.2"/>
    <row r="221" s="57" customFormat="1" ht="27.75" customHeight="1" x14ac:dyDescent="0.2"/>
    <row r="222" s="57" customFormat="1" ht="27.75" customHeight="1" x14ac:dyDescent="0.2"/>
    <row r="223" s="57" customFormat="1" ht="27.75" customHeight="1" x14ac:dyDescent="0.2"/>
    <row r="224" s="57" customFormat="1" ht="27.75" customHeight="1" x14ac:dyDescent="0.2"/>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0">
    <mergeCell ref="A2:J2"/>
    <mergeCell ref="F4:J4"/>
    <mergeCell ref="F5:G5"/>
    <mergeCell ref="F9:G9"/>
    <mergeCell ref="H9:J9"/>
    <mergeCell ref="B8:D8"/>
    <mergeCell ref="A4:D4"/>
    <mergeCell ref="F6:G6"/>
    <mergeCell ref="F7:G7"/>
    <mergeCell ref="F8:G8"/>
  </mergeCells>
  <phoneticPr fontId="4" type="noConversion"/>
  <hyperlinks>
    <hyperlink ref="A1" location="Overview!A1" display="Back to Overview" xr:uid="{00000000-0004-0000-0600-000000000000}"/>
  </hyperlinks>
  <pageMargins left="0.39370078740157483" right="0.39370078740157483" top="0.9055118110236221" bottom="0.74803149606299213" header="0.51181102362204722" footer="0.51181102362204722"/>
  <pageSetup paperSize="9" scale="43" fitToHeight="0" orientation="portrait" r:id="rId2"/>
  <headerFooter differentFirst="1" scaleWithDoc="0">
    <oddHeader>&amp;L&amp;"Trebuchet MS,Bold"
Annex 4&amp;"Trebuchet MS,Regular" - Charges applied to LDNOs with HV/LV end users</oddHeader>
    <firstHeader>&amp;L&amp;"Trebuchet MS,Bold"
Annex 4&amp;"Trebuchet MS,Regular" - Charges applied to LDNOs with HV/LV end users</first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6875B-76BD-45CB-9A94-E2D83C00FF5B}">
  <sheetPr>
    <pageSetUpPr fitToPage="1"/>
  </sheetPr>
  <dimension ref="A1:J239"/>
  <sheetViews>
    <sheetView zoomScaleNormal="100" zoomScaleSheetLayoutView="100" workbookViewId="0"/>
  </sheetViews>
  <sheetFormatPr defaultColWidth="9.140625" defaultRowHeight="15" x14ac:dyDescent="0.3"/>
  <cols>
    <col min="1" max="5" width="24" style="149" customWidth="1"/>
    <col min="6" max="6" width="27.5703125" style="149" customWidth="1"/>
    <col min="7" max="16384" width="9.140625" style="149"/>
  </cols>
  <sheetData>
    <row r="1" spans="1:6" ht="27.75" customHeight="1" x14ac:dyDescent="0.3">
      <c r="A1" s="157" t="s">
        <v>18</v>
      </c>
    </row>
    <row r="2" spans="1:6" ht="44.25" customHeight="1" x14ac:dyDescent="0.3">
      <c r="A2" s="250" t="s">
        <v>363</v>
      </c>
      <c r="B2" s="250"/>
      <c r="C2" s="250"/>
      <c r="D2" s="250"/>
      <c r="E2" s="250"/>
    </row>
    <row r="3" spans="1:6" ht="44.25" customHeight="1" x14ac:dyDescent="0.3">
      <c r="A3" s="211" t="str">
        <f>Overview!B4&amp; " - Illustrative LLFs for year beginning "&amp;Overview!D4</f>
        <v>Northern Powergrid (Yorkshire) Plc - Illustrative LLFs for year beginning 1 April 2026</v>
      </c>
      <c r="B3" s="211"/>
      <c r="C3" s="211"/>
      <c r="D3" s="211"/>
      <c r="E3" s="211"/>
    </row>
    <row r="4" spans="1:6" ht="21.95" customHeight="1" x14ac:dyDescent="0.3">
      <c r="A4" s="158" t="s">
        <v>12</v>
      </c>
      <c r="B4" s="159" t="s">
        <v>4</v>
      </c>
      <c r="C4" s="159" t="s">
        <v>5</v>
      </c>
      <c r="D4" s="159" t="s">
        <v>6</v>
      </c>
      <c r="E4" s="159" t="s">
        <v>7</v>
      </c>
    </row>
    <row r="5" spans="1:6" ht="30" customHeight="1" x14ac:dyDescent="0.3">
      <c r="A5" s="118" t="s">
        <v>1677</v>
      </c>
      <c r="B5" s="197">
        <v>0</v>
      </c>
      <c r="C5" s="197">
        <v>0</v>
      </c>
      <c r="D5" s="72" t="s">
        <v>1805</v>
      </c>
      <c r="E5" s="72" t="s">
        <v>1806</v>
      </c>
    </row>
    <row r="6" spans="1:6" ht="30" customHeight="1" x14ac:dyDescent="0.3">
      <c r="A6" s="118" t="s">
        <v>1678</v>
      </c>
      <c r="B6" s="72" t="s">
        <v>1807</v>
      </c>
      <c r="C6" s="72" t="s">
        <v>1808</v>
      </c>
      <c r="D6" s="72" t="s">
        <v>1805</v>
      </c>
      <c r="E6" s="72" t="s">
        <v>1809</v>
      </c>
    </row>
    <row r="7" spans="1:6" ht="30" customHeight="1" x14ac:dyDescent="0.3">
      <c r="A7" s="118" t="s">
        <v>1679</v>
      </c>
      <c r="B7" s="197">
        <v>0</v>
      </c>
      <c r="C7" s="197">
        <v>0</v>
      </c>
      <c r="D7" s="72" t="s">
        <v>1805</v>
      </c>
      <c r="E7" s="72" t="s">
        <v>1806</v>
      </c>
    </row>
    <row r="8" spans="1:6" ht="30" customHeight="1" x14ac:dyDescent="0.3">
      <c r="A8" s="118" t="s">
        <v>1810</v>
      </c>
      <c r="B8" s="197">
        <v>0</v>
      </c>
      <c r="C8" s="197">
        <v>0</v>
      </c>
      <c r="D8" s="72" t="s">
        <v>1805</v>
      </c>
      <c r="E8" s="72" t="s">
        <v>1806</v>
      </c>
    </row>
    <row r="9" spans="1:6" ht="22.5" customHeight="1" x14ac:dyDescent="0.3">
      <c r="A9" s="193" t="s">
        <v>13</v>
      </c>
      <c r="B9" s="209" t="s">
        <v>1385</v>
      </c>
      <c r="C9" s="209"/>
      <c r="D9" s="209"/>
      <c r="E9" s="209"/>
    </row>
    <row r="10" spans="1:6" ht="13.5" customHeight="1" x14ac:dyDescent="0.3">
      <c r="A10" s="160"/>
      <c r="B10" s="161"/>
      <c r="C10" s="161"/>
      <c r="D10" s="161"/>
      <c r="E10" s="161"/>
    </row>
    <row r="11" spans="1:6" x14ac:dyDescent="0.3">
      <c r="B11" s="161"/>
      <c r="C11" s="161"/>
      <c r="D11" s="161"/>
      <c r="E11" s="161"/>
    </row>
    <row r="12" spans="1:6" ht="21.95" customHeight="1" x14ac:dyDescent="0.3">
      <c r="A12" s="246" t="s">
        <v>266</v>
      </c>
      <c r="B12" s="247"/>
      <c r="C12" s="247"/>
      <c r="D12" s="247"/>
      <c r="E12" s="247"/>
      <c r="F12" s="248"/>
    </row>
    <row r="13" spans="1:6" ht="21.95" customHeight="1" x14ac:dyDescent="0.3">
      <c r="A13" s="246" t="s">
        <v>3</v>
      </c>
      <c r="B13" s="247"/>
      <c r="C13" s="247"/>
      <c r="D13" s="247"/>
      <c r="E13" s="247"/>
      <c r="F13" s="248"/>
    </row>
    <row r="14" spans="1:6" ht="21.95" customHeight="1" x14ac:dyDescent="0.3">
      <c r="A14" s="159" t="s">
        <v>267</v>
      </c>
      <c r="B14" s="159" t="s">
        <v>4</v>
      </c>
      <c r="C14" s="159" t="s">
        <v>5</v>
      </c>
      <c r="D14" s="159" t="s">
        <v>6</v>
      </c>
      <c r="E14" s="159" t="s">
        <v>7</v>
      </c>
      <c r="F14" s="159" t="s">
        <v>8</v>
      </c>
    </row>
    <row r="15" spans="1:6" ht="90" customHeight="1" x14ac:dyDescent="0.3">
      <c r="A15" s="194" t="s">
        <v>1680</v>
      </c>
      <c r="B15" s="195">
        <v>1.1719999999999999</v>
      </c>
      <c r="C15" s="195">
        <v>1.153</v>
      </c>
      <c r="D15" s="195">
        <v>1.107</v>
      </c>
      <c r="E15" s="195">
        <v>1.1279999999999999</v>
      </c>
      <c r="F15" s="72" t="s">
        <v>1799</v>
      </c>
    </row>
    <row r="16" spans="1:6" ht="31.5" customHeight="1" x14ac:dyDescent="0.3">
      <c r="A16" s="194" t="s">
        <v>1681</v>
      </c>
      <c r="B16" s="195">
        <v>1.0449999999999999</v>
      </c>
      <c r="C16" s="195">
        <v>1.0449999999999999</v>
      </c>
      <c r="D16" s="195">
        <v>1.0469999999999999</v>
      </c>
      <c r="E16" s="195">
        <v>1.044</v>
      </c>
      <c r="F16" s="72" t="s">
        <v>1800</v>
      </c>
    </row>
    <row r="17" spans="1:10" ht="31.5" customHeight="1" x14ac:dyDescent="0.3">
      <c r="A17" s="194" t="s">
        <v>1682</v>
      </c>
      <c r="B17" s="195">
        <v>1.0289999999999999</v>
      </c>
      <c r="C17" s="195">
        <v>1.028</v>
      </c>
      <c r="D17" s="195">
        <v>1.022</v>
      </c>
      <c r="E17" s="195">
        <v>1.024</v>
      </c>
      <c r="F17" s="72" t="s">
        <v>1801</v>
      </c>
    </row>
    <row r="18" spans="1:10" ht="184.5" customHeight="1" x14ac:dyDescent="0.3">
      <c r="A18" s="194" t="s">
        <v>1683</v>
      </c>
      <c r="B18" s="195">
        <v>1.0189999999999999</v>
      </c>
      <c r="C18" s="195">
        <v>1.0189999999999999</v>
      </c>
      <c r="D18" s="195">
        <v>1.016</v>
      </c>
      <c r="E18" s="195">
        <v>1.0169999999999999</v>
      </c>
      <c r="F18" s="72" t="s">
        <v>1802</v>
      </c>
    </row>
    <row r="19" spans="1:10" ht="231" customHeight="1" x14ac:dyDescent="0.3">
      <c r="A19" s="194" t="s">
        <v>1684</v>
      </c>
      <c r="B19" s="195">
        <v>1.0129999999999999</v>
      </c>
      <c r="C19" s="195">
        <v>1.012</v>
      </c>
      <c r="D19" s="195">
        <v>1.0089999999999999</v>
      </c>
      <c r="E19" s="195">
        <v>1.01</v>
      </c>
      <c r="F19" s="72" t="s">
        <v>1803</v>
      </c>
    </row>
    <row r="20" spans="1:10" ht="231.75" customHeight="1" x14ac:dyDescent="0.3">
      <c r="A20" s="194" t="s">
        <v>1685</v>
      </c>
      <c r="B20" s="195">
        <v>1.0129999999999999</v>
      </c>
      <c r="C20" s="195">
        <v>1.012</v>
      </c>
      <c r="D20" s="195">
        <v>1.0089999999999999</v>
      </c>
      <c r="E20" s="195">
        <v>1.01</v>
      </c>
      <c r="F20" s="72" t="s">
        <v>1804</v>
      </c>
    </row>
    <row r="21" spans="1:10" ht="22.5" customHeight="1" x14ac:dyDescent="0.3"/>
    <row r="22" spans="1:10" ht="21.95" customHeight="1" x14ac:dyDescent="0.3">
      <c r="A22" s="246" t="s">
        <v>1686</v>
      </c>
      <c r="B22" s="247"/>
      <c r="C22" s="247"/>
      <c r="D22" s="247"/>
      <c r="E22" s="247"/>
      <c r="F22" s="248"/>
    </row>
    <row r="23" spans="1:10" ht="21.95" customHeight="1" x14ac:dyDescent="0.3">
      <c r="A23" s="246" t="s">
        <v>10</v>
      </c>
      <c r="B23" s="247"/>
      <c r="C23" s="247"/>
      <c r="D23" s="247"/>
      <c r="E23" s="247"/>
      <c r="F23" s="248"/>
    </row>
    <row r="24" spans="1:10" ht="21.95" customHeight="1" x14ac:dyDescent="0.3">
      <c r="A24" s="159" t="s">
        <v>9</v>
      </c>
      <c r="B24" s="159" t="s">
        <v>4</v>
      </c>
      <c r="C24" s="159" t="s">
        <v>5</v>
      </c>
      <c r="D24" s="159" t="s">
        <v>6</v>
      </c>
      <c r="E24" s="159" t="s">
        <v>7</v>
      </c>
      <c r="F24" s="159" t="s">
        <v>8</v>
      </c>
    </row>
    <row r="25" spans="1:10" ht="21.95" customHeight="1" x14ac:dyDescent="0.3">
      <c r="A25" s="194" t="s">
        <v>1687</v>
      </c>
      <c r="B25" s="195">
        <v>1.026</v>
      </c>
      <c r="C25" s="195">
        <v>1.026</v>
      </c>
      <c r="D25" s="195">
        <v>1.0249999999999999</v>
      </c>
      <c r="E25" s="195">
        <v>1.026</v>
      </c>
      <c r="F25" s="196">
        <v>750</v>
      </c>
      <c r="J25" s="149" t="s">
        <v>580</v>
      </c>
    </row>
    <row r="26" spans="1:10" ht="21.95" customHeight="1" x14ac:dyDescent="0.3">
      <c r="A26" s="194" t="s">
        <v>1688</v>
      </c>
      <c r="B26" s="195">
        <v>1.004</v>
      </c>
      <c r="C26" s="195">
        <v>1.004</v>
      </c>
      <c r="D26" s="195">
        <v>1.004</v>
      </c>
      <c r="E26" s="195">
        <v>1.004</v>
      </c>
      <c r="F26" s="196">
        <v>751</v>
      </c>
    </row>
    <row r="27" spans="1:10" ht="21.95" customHeight="1" x14ac:dyDescent="0.3">
      <c r="A27" s="194" t="s">
        <v>1689</v>
      </c>
      <c r="B27" s="195">
        <v>1.0329999999999999</v>
      </c>
      <c r="C27" s="195">
        <v>1.0309999999999999</v>
      </c>
      <c r="D27" s="195">
        <v>1.032</v>
      </c>
      <c r="E27" s="195">
        <v>1.0249999999999999</v>
      </c>
      <c r="F27" s="196">
        <v>753</v>
      </c>
    </row>
    <row r="28" spans="1:10" ht="21.95" customHeight="1" x14ac:dyDescent="0.3">
      <c r="A28" s="194" t="s">
        <v>1690</v>
      </c>
      <c r="B28" s="195">
        <v>1.0089999999999999</v>
      </c>
      <c r="C28" s="195">
        <v>1.0089999999999999</v>
      </c>
      <c r="D28" s="195">
        <v>1.016</v>
      </c>
      <c r="E28" s="195">
        <v>1.0089999999999999</v>
      </c>
      <c r="F28" s="196">
        <v>754</v>
      </c>
    </row>
    <row r="29" spans="1:10" ht="21.95" customHeight="1" x14ac:dyDescent="0.3">
      <c r="A29" s="194" t="s">
        <v>1691</v>
      </c>
      <c r="B29" s="195">
        <v>1.01</v>
      </c>
      <c r="C29" s="195">
        <v>1.01</v>
      </c>
      <c r="D29" s="195">
        <v>1.0189999999999999</v>
      </c>
      <c r="E29" s="195">
        <v>1.01</v>
      </c>
      <c r="F29" s="196">
        <v>755</v>
      </c>
    </row>
    <row r="30" spans="1:10" ht="21.95" customHeight="1" x14ac:dyDescent="0.3">
      <c r="A30" s="194" t="s">
        <v>1692</v>
      </c>
      <c r="B30" s="195">
        <v>1.0049999999999999</v>
      </c>
      <c r="C30" s="195">
        <v>1.0049999999999999</v>
      </c>
      <c r="D30" s="195">
        <v>1.01</v>
      </c>
      <c r="E30" s="195">
        <v>1.0069999999999999</v>
      </c>
      <c r="F30" s="196">
        <v>756</v>
      </c>
    </row>
    <row r="31" spans="1:10" ht="21.95" customHeight="1" x14ac:dyDescent="0.3">
      <c r="A31" s="194" t="s">
        <v>1693</v>
      </c>
      <c r="B31" s="195">
        <v>1</v>
      </c>
      <c r="C31" s="195">
        <v>1.004</v>
      </c>
      <c r="D31" s="195">
        <v>1.002</v>
      </c>
      <c r="E31" s="195">
        <v>1.002</v>
      </c>
      <c r="F31" s="196">
        <v>757</v>
      </c>
    </row>
    <row r="32" spans="1:10" ht="21.95" customHeight="1" x14ac:dyDescent="0.3">
      <c r="A32" s="194" t="s">
        <v>1694</v>
      </c>
      <c r="B32" s="195">
        <v>1.0069999999999999</v>
      </c>
      <c r="C32" s="195">
        <v>1.0069999999999999</v>
      </c>
      <c r="D32" s="195">
        <v>1.0069999999999999</v>
      </c>
      <c r="E32" s="195">
        <v>1.0069999999999999</v>
      </c>
      <c r="F32" s="196">
        <v>804</v>
      </c>
    </row>
    <row r="33" spans="1:6" ht="21.95" customHeight="1" x14ac:dyDescent="0.3">
      <c r="A33" s="194" t="s">
        <v>1695</v>
      </c>
      <c r="B33" s="195">
        <v>1.004</v>
      </c>
      <c r="C33" s="195">
        <v>1.004</v>
      </c>
      <c r="D33" s="195">
        <v>1.0049999999999999</v>
      </c>
      <c r="E33" s="195">
        <v>1.0049999999999999</v>
      </c>
      <c r="F33" s="196">
        <v>760</v>
      </c>
    </row>
    <row r="34" spans="1:6" ht="21.95" customHeight="1" x14ac:dyDescent="0.3">
      <c r="A34" s="194" t="s">
        <v>1696</v>
      </c>
      <c r="B34" s="195">
        <v>1</v>
      </c>
      <c r="C34" s="195">
        <v>1</v>
      </c>
      <c r="D34" s="195">
        <v>1</v>
      </c>
      <c r="E34" s="195">
        <v>1</v>
      </c>
      <c r="F34" s="196">
        <v>761</v>
      </c>
    </row>
    <row r="35" spans="1:6" ht="21.95" customHeight="1" x14ac:dyDescent="0.3">
      <c r="A35" s="194" t="s">
        <v>1697</v>
      </c>
      <c r="B35" s="195">
        <v>1.008</v>
      </c>
      <c r="C35" s="195">
        <v>1.008</v>
      </c>
      <c r="D35" s="195">
        <v>1.006</v>
      </c>
      <c r="E35" s="195">
        <v>1.0069999999999999</v>
      </c>
      <c r="F35" s="196">
        <v>762</v>
      </c>
    </row>
    <row r="36" spans="1:6" ht="21.95" customHeight="1" x14ac:dyDescent="0.3">
      <c r="A36" s="194" t="s">
        <v>1698</v>
      </c>
      <c r="B36" s="195">
        <v>1.01</v>
      </c>
      <c r="C36" s="195">
        <v>1.0049999999999999</v>
      </c>
      <c r="D36" s="195">
        <v>1.004</v>
      </c>
      <c r="E36" s="195">
        <v>1.006</v>
      </c>
      <c r="F36" s="196">
        <v>763</v>
      </c>
    </row>
    <row r="37" spans="1:6" ht="21.95" customHeight="1" x14ac:dyDescent="0.3">
      <c r="A37" s="194" t="s">
        <v>1699</v>
      </c>
      <c r="B37" s="195">
        <v>1</v>
      </c>
      <c r="C37" s="195">
        <v>1</v>
      </c>
      <c r="D37" s="195">
        <v>1</v>
      </c>
      <c r="E37" s="195">
        <v>1</v>
      </c>
      <c r="F37" s="196">
        <v>764</v>
      </c>
    </row>
    <row r="38" spans="1:6" ht="21.95" customHeight="1" x14ac:dyDescent="0.3">
      <c r="A38" s="194" t="s">
        <v>1700</v>
      </c>
      <c r="B38" s="195">
        <v>1.014</v>
      </c>
      <c r="C38" s="195">
        <v>1.0149999999999999</v>
      </c>
      <c r="D38" s="195">
        <v>1.0149999999999999</v>
      </c>
      <c r="E38" s="195">
        <v>1.016</v>
      </c>
      <c r="F38" s="196">
        <v>765</v>
      </c>
    </row>
    <row r="39" spans="1:6" ht="21.95" customHeight="1" x14ac:dyDescent="0.3">
      <c r="A39" s="194" t="s">
        <v>1701</v>
      </c>
      <c r="B39" s="195">
        <v>1.0129999999999999</v>
      </c>
      <c r="C39" s="195">
        <v>1.0129999999999999</v>
      </c>
      <c r="D39" s="195">
        <v>1.01</v>
      </c>
      <c r="E39" s="195">
        <v>1.01</v>
      </c>
      <c r="F39" s="196">
        <v>766</v>
      </c>
    </row>
    <row r="40" spans="1:6" ht="21.95" customHeight="1" x14ac:dyDescent="0.3">
      <c r="A40" s="194" t="s">
        <v>1702</v>
      </c>
      <c r="B40" s="195">
        <v>1.01</v>
      </c>
      <c r="C40" s="195">
        <v>1.0109999999999999</v>
      </c>
      <c r="D40" s="195">
        <v>1.0169999999999999</v>
      </c>
      <c r="E40" s="195">
        <v>1.0169999999999999</v>
      </c>
      <c r="F40" s="196">
        <v>769</v>
      </c>
    </row>
    <row r="41" spans="1:6" ht="21.95" customHeight="1" x14ac:dyDescent="0.3">
      <c r="A41" s="194" t="s">
        <v>1703</v>
      </c>
      <c r="B41" s="195">
        <v>1.0189999999999999</v>
      </c>
      <c r="C41" s="195">
        <v>1.02</v>
      </c>
      <c r="D41" s="195">
        <v>1.026</v>
      </c>
      <c r="E41" s="195">
        <v>1.024</v>
      </c>
      <c r="F41" s="196">
        <v>771</v>
      </c>
    </row>
    <row r="42" spans="1:6" ht="21.95" customHeight="1" x14ac:dyDescent="0.3">
      <c r="A42" s="194" t="s">
        <v>1704</v>
      </c>
      <c r="B42" s="195">
        <v>1.012</v>
      </c>
      <c r="C42" s="195">
        <v>1.0129999999999999</v>
      </c>
      <c r="D42" s="195">
        <v>1.022</v>
      </c>
      <c r="E42" s="195">
        <v>1.022</v>
      </c>
      <c r="F42" s="196">
        <v>772</v>
      </c>
    </row>
    <row r="43" spans="1:6" ht="21.95" customHeight="1" x14ac:dyDescent="0.3">
      <c r="A43" s="194" t="s">
        <v>1705</v>
      </c>
      <c r="B43" s="195">
        <v>1.0289999999999999</v>
      </c>
      <c r="C43" s="195">
        <v>1.0289999999999999</v>
      </c>
      <c r="D43" s="195">
        <v>1.032</v>
      </c>
      <c r="E43" s="195">
        <v>1.028</v>
      </c>
      <c r="F43" s="196">
        <v>773</v>
      </c>
    </row>
    <row r="44" spans="1:6" ht="21.95" customHeight="1" x14ac:dyDescent="0.3">
      <c r="A44" s="194" t="s">
        <v>1706</v>
      </c>
      <c r="B44" s="195">
        <v>1.018</v>
      </c>
      <c r="C44" s="195">
        <v>1.018</v>
      </c>
      <c r="D44" s="195">
        <v>1.014</v>
      </c>
      <c r="E44" s="195">
        <v>1.0149999999999999</v>
      </c>
      <c r="F44" s="196">
        <v>774</v>
      </c>
    </row>
    <row r="45" spans="1:6" ht="21.95" customHeight="1" x14ac:dyDescent="0.3">
      <c r="A45" s="194" t="s">
        <v>1707</v>
      </c>
      <c r="B45" s="195">
        <v>1.0089999999999999</v>
      </c>
      <c r="C45" s="195">
        <v>1.0089999999999999</v>
      </c>
      <c r="D45" s="195">
        <v>1.0089999999999999</v>
      </c>
      <c r="E45" s="195">
        <v>1.0089999999999999</v>
      </c>
      <c r="F45" s="196">
        <v>775</v>
      </c>
    </row>
    <row r="46" spans="1:6" ht="21.95" customHeight="1" x14ac:dyDescent="0.3">
      <c r="A46" s="194" t="s">
        <v>1708</v>
      </c>
      <c r="B46" s="195">
        <v>1.01</v>
      </c>
      <c r="C46" s="195">
        <v>1.0089999999999999</v>
      </c>
      <c r="D46" s="195">
        <v>1.0069999999999999</v>
      </c>
      <c r="E46" s="195">
        <v>1.008</v>
      </c>
      <c r="F46" s="196">
        <v>777</v>
      </c>
    </row>
    <row r="47" spans="1:6" ht="21.95" customHeight="1" x14ac:dyDescent="0.3">
      <c r="A47" s="194" t="s">
        <v>1709</v>
      </c>
      <c r="B47" s="195">
        <v>1.0009999999999999</v>
      </c>
      <c r="C47" s="195">
        <v>1.0009999999999999</v>
      </c>
      <c r="D47" s="195">
        <v>1.0009999999999999</v>
      </c>
      <c r="E47" s="195">
        <v>1.0009999999999999</v>
      </c>
      <c r="F47" s="196">
        <v>778</v>
      </c>
    </row>
    <row r="48" spans="1:6" ht="21.95" customHeight="1" x14ac:dyDescent="0.3">
      <c r="A48" s="194" t="s">
        <v>1710</v>
      </c>
      <c r="B48" s="195">
        <v>1</v>
      </c>
      <c r="C48" s="195">
        <v>1</v>
      </c>
      <c r="D48" s="195">
        <v>1</v>
      </c>
      <c r="E48" s="195">
        <v>1</v>
      </c>
      <c r="F48" s="196">
        <v>780</v>
      </c>
    </row>
    <row r="49" spans="1:6" ht="21.95" customHeight="1" x14ac:dyDescent="0.3">
      <c r="A49" s="194" t="s">
        <v>1711</v>
      </c>
      <c r="B49" s="195">
        <v>1.0109999999999999</v>
      </c>
      <c r="C49" s="195">
        <v>1.0109999999999999</v>
      </c>
      <c r="D49" s="195">
        <v>1.0149999999999999</v>
      </c>
      <c r="E49" s="195">
        <v>1.014</v>
      </c>
      <c r="F49" s="196">
        <v>782</v>
      </c>
    </row>
    <row r="50" spans="1:6" ht="21.95" customHeight="1" x14ac:dyDescent="0.3">
      <c r="A50" s="194" t="s">
        <v>1712</v>
      </c>
      <c r="B50" s="195">
        <v>1.012</v>
      </c>
      <c r="C50" s="195">
        <v>1.014</v>
      </c>
      <c r="D50" s="195">
        <v>1.01</v>
      </c>
      <c r="E50" s="195">
        <v>1.0109999999999999</v>
      </c>
      <c r="F50" s="196">
        <v>783</v>
      </c>
    </row>
    <row r="51" spans="1:6" ht="21.95" customHeight="1" x14ac:dyDescent="0.3">
      <c r="A51" s="194" t="s">
        <v>1713</v>
      </c>
      <c r="B51" s="195">
        <v>1.077</v>
      </c>
      <c r="C51" s="195">
        <v>1.0780000000000001</v>
      </c>
      <c r="D51" s="195">
        <v>1.0720000000000001</v>
      </c>
      <c r="E51" s="195">
        <v>1.0680000000000001</v>
      </c>
      <c r="F51" s="196">
        <v>784</v>
      </c>
    </row>
    <row r="52" spans="1:6" ht="21.95" customHeight="1" x14ac:dyDescent="0.3">
      <c r="A52" s="194" t="s">
        <v>1714</v>
      </c>
      <c r="B52" s="195">
        <v>1.006</v>
      </c>
      <c r="C52" s="195">
        <v>1.006</v>
      </c>
      <c r="D52" s="195">
        <v>1.006</v>
      </c>
      <c r="E52" s="195">
        <v>1.006</v>
      </c>
      <c r="F52" s="196">
        <v>785</v>
      </c>
    </row>
    <row r="53" spans="1:6" ht="21.95" customHeight="1" x14ac:dyDescent="0.3">
      <c r="A53" s="194" t="s">
        <v>1715</v>
      </c>
      <c r="B53" s="195">
        <v>1.008</v>
      </c>
      <c r="C53" s="195">
        <v>1.008</v>
      </c>
      <c r="D53" s="195">
        <v>1.008</v>
      </c>
      <c r="E53" s="195">
        <v>1.008</v>
      </c>
      <c r="F53" s="196">
        <v>786</v>
      </c>
    </row>
    <row r="54" spans="1:6" ht="21.95" customHeight="1" x14ac:dyDescent="0.3">
      <c r="A54" s="194" t="s">
        <v>1716</v>
      </c>
      <c r="B54" s="195">
        <v>1.0049999999999999</v>
      </c>
      <c r="C54" s="195">
        <v>1.004</v>
      </c>
      <c r="D54" s="195">
        <v>1.0029999999999999</v>
      </c>
      <c r="E54" s="195">
        <v>1.0109999999999999</v>
      </c>
      <c r="F54" s="196">
        <v>787</v>
      </c>
    </row>
    <row r="55" spans="1:6" ht="21.95" customHeight="1" x14ac:dyDescent="0.3">
      <c r="A55" s="194" t="s">
        <v>1717</v>
      </c>
      <c r="B55" s="195">
        <v>1.0449999999999999</v>
      </c>
      <c r="C55" s="195">
        <v>1.0429999999999999</v>
      </c>
      <c r="D55" s="195">
        <v>1.044</v>
      </c>
      <c r="E55" s="195">
        <v>1.054</v>
      </c>
      <c r="F55" s="196">
        <v>788</v>
      </c>
    </row>
    <row r="56" spans="1:6" ht="21.95" customHeight="1" x14ac:dyDescent="0.3">
      <c r="A56" s="194" t="s">
        <v>1718</v>
      </c>
      <c r="B56" s="195">
        <v>1.0129999999999999</v>
      </c>
      <c r="C56" s="195">
        <v>1.0109999999999999</v>
      </c>
      <c r="D56" s="195">
        <v>1.0089999999999999</v>
      </c>
      <c r="E56" s="195">
        <v>1.01</v>
      </c>
      <c r="F56" s="196">
        <v>789</v>
      </c>
    </row>
    <row r="57" spans="1:6" ht="21.95" customHeight="1" x14ac:dyDescent="0.3">
      <c r="A57" s="194" t="s">
        <v>1719</v>
      </c>
      <c r="B57" s="195">
        <v>1.0049999999999999</v>
      </c>
      <c r="C57" s="195">
        <v>1.0049999999999999</v>
      </c>
      <c r="D57" s="195">
        <v>1.004</v>
      </c>
      <c r="E57" s="195">
        <v>1.0049999999999999</v>
      </c>
      <c r="F57" s="196">
        <v>790</v>
      </c>
    </row>
    <row r="58" spans="1:6" ht="21.95" customHeight="1" x14ac:dyDescent="0.3">
      <c r="A58" s="194" t="s">
        <v>1720</v>
      </c>
      <c r="B58" s="195">
        <v>1.01</v>
      </c>
      <c r="C58" s="195">
        <v>1.0089999999999999</v>
      </c>
      <c r="D58" s="195">
        <v>1.008</v>
      </c>
      <c r="E58" s="195">
        <v>1.008</v>
      </c>
      <c r="F58" s="196">
        <v>791</v>
      </c>
    </row>
    <row r="59" spans="1:6" ht="21.95" customHeight="1" x14ac:dyDescent="0.3">
      <c r="A59" s="194" t="s">
        <v>1721</v>
      </c>
      <c r="B59" s="195">
        <v>1.3520000000000001</v>
      </c>
      <c r="C59" s="195">
        <v>1.2090000000000001</v>
      </c>
      <c r="D59" s="195">
        <v>1.2450000000000001</v>
      </c>
      <c r="E59" s="195">
        <v>1.19</v>
      </c>
      <c r="F59" s="196">
        <v>793</v>
      </c>
    </row>
    <row r="60" spans="1:6" ht="21.95" customHeight="1" x14ac:dyDescent="0.3">
      <c r="A60" s="194" t="s">
        <v>1722</v>
      </c>
      <c r="B60" s="195">
        <v>1.1439999999999999</v>
      </c>
      <c r="C60" s="195">
        <v>1.1379999999999999</v>
      </c>
      <c r="D60" s="195">
        <v>1.1180000000000001</v>
      </c>
      <c r="E60" s="195">
        <v>1.109</v>
      </c>
      <c r="F60" s="196">
        <v>794</v>
      </c>
    </row>
    <row r="61" spans="1:6" ht="21.95" customHeight="1" x14ac:dyDescent="0.3">
      <c r="A61" s="194" t="s">
        <v>1723</v>
      </c>
      <c r="B61" s="195">
        <v>1.012</v>
      </c>
      <c r="C61" s="195">
        <v>1.0089999999999999</v>
      </c>
      <c r="D61" s="195">
        <v>1.0740000000000001</v>
      </c>
      <c r="E61" s="195">
        <v>1.0129999999999999</v>
      </c>
      <c r="F61" s="196">
        <v>795</v>
      </c>
    </row>
    <row r="62" spans="1:6" ht="21.95" customHeight="1" x14ac:dyDescent="0.3">
      <c r="A62" s="194" t="s">
        <v>1724</v>
      </c>
      <c r="B62" s="195">
        <v>1.002</v>
      </c>
      <c r="C62" s="195">
        <v>1.0029999999999999</v>
      </c>
      <c r="D62" s="195">
        <v>1.002</v>
      </c>
      <c r="E62" s="195">
        <v>1.0029999999999999</v>
      </c>
      <c r="F62" s="196">
        <v>796</v>
      </c>
    </row>
    <row r="63" spans="1:6" ht="21.95" customHeight="1" x14ac:dyDescent="0.3">
      <c r="A63" s="194" t="s">
        <v>1725</v>
      </c>
      <c r="B63" s="195">
        <v>1.014</v>
      </c>
      <c r="C63" s="195">
        <v>1.014</v>
      </c>
      <c r="D63" s="195">
        <v>1.012</v>
      </c>
      <c r="E63" s="195">
        <v>1.0129999999999999</v>
      </c>
      <c r="F63" s="196">
        <v>797</v>
      </c>
    </row>
    <row r="64" spans="1:6" ht="21.95" customHeight="1" x14ac:dyDescent="0.3">
      <c r="A64" s="194" t="s">
        <v>1726</v>
      </c>
      <c r="B64" s="195">
        <v>1.0149999999999999</v>
      </c>
      <c r="C64" s="195">
        <v>1.0129999999999999</v>
      </c>
      <c r="D64" s="195">
        <v>1.008</v>
      </c>
      <c r="E64" s="195">
        <v>1.01</v>
      </c>
      <c r="F64" s="196">
        <v>798</v>
      </c>
    </row>
    <row r="65" spans="1:6" ht="21.95" customHeight="1" x14ac:dyDescent="0.3">
      <c r="A65" s="194" t="s">
        <v>1727</v>
      </c>
      <c r="B65" s="195">
        <v>1.0129999999999999</v>
      </c>
      <c r="C65" s="195">
        <v>1.012</v>
      </c>
      <c r="D65" s="195">
        <v>1.0089999999999999</v>
      </c>
      <c r="E65" s="195">
        <v>1.01</v>
      </c>
      <c r="F65" s="196">
        <v>799</v>
      </c>
    </row>
    <row r="66" spans="1:6" ht="21.95" customHeight="1" x14ac:dyDescent="0.3">
      <c r="A66" s="194" t="s">
        <v>1728</v>
      </c>
      <c r="B66" s="195">
        <v>1.044</v>
      </c>
      <c r="C66" s="195">
        <v>1.046</v>
      </c>
      <c r="D66" s="195">
        <v>1.032</v>
      </c>
      <c r="E66" s="195">
        <v>1.038</v>
      </c>
      <c r="F66" s="196">
        <v>821</v>
      </c>
    </row>
    <row r="67" spans="1:6" ht="21.95" customHeight="1" x14ac:dyDescent="0.3">
      <c r="A67" s="194" t="s">
        <v>1729</v>
      </c>
      <c r="B67" s="195">
        <v>1.0549999999999999</v>
      </c>
      <c r="C67" s="195">
        <v>1.054</v>
      </c>
      <c r="D67" s="195">
        <v>1.038</v>
      </c>
      <c r="E67" s="195">
        <v>1.0429999999999999</v>
      </c>
      <c r="F67" s="196">
        <v>822</v>
      </c>
    </row>
    <row r="68" spans="1:6" ht="21.95" customHeight="1" x14ac:dyDescent="0.3">
      <c r="A68" s="194" t="s">
        <v>1730</v>
      </c>
      <c r="B68" s="195">
        <v>1.1459999999999999</v>
      </c>
      <c r="C68" s="195">
        <v>1.1419999999999999</v>
      </c>
      <c r="D68" s="195">
        <v>1.155</v>
      </c>
      <c r="E68" s="195">
        <v>1.17</v>
      </c>
      <c r="F68" s="196">
        <v>823</v>
      </c>
    </row>
    <row r="69" spans="1:6" ht="21.95" customHeight="1" x14ac:dyDescent="0.3">
      <c r="A69" s="194" t="s">
        <v>1731</v>
      </c>
      <c r="B69" s="195">
        <v>0.995</v>
      </c>
      <c r="C69" s="195">
        <v>0.99299999999999999</v>
      </c>
      <c r="D69" s="195">
        <v>0.99</v>
      </c>
      <c r="E69" s="195">
        <v>0.99</v>
      </c>
      <c r="F69" s="196">
        <v>824</v>
      </c>
    </row>
    <row r="70" spans="1:6" ht="21.95" customHeight="1" x14ac:dyDescent="0.3">
      <c r="A70" s="194" t="s">
        <v>1732</v>
      </c>
      <c r="B70" s="195">
        <v>1.0660000000000001</v>
      </c>
      <c r="C70" s="195">
        <v>1.0629999999999999</v>
      </c>
      <c r="D70" s="195">
        <v>1.05</v>
      </c>
      <c r="E70" s="195">
        <v>1.0549999999999999</v>
      </c>
      <c r="F70" s="196">
        <v>826</v>
      </c>
    </row>
    <row r="71" spans="1:6" ht="21.95" customHeight="1" x14ac:dyDescent="0.3">
      <c r="A71" s="194" t="s">
        <v>1733</v>
      </c>
      <c r="B71" s="195">
        <v>1.0069999999999999</v>
      </c>
      <c r="C71" s="195">
        <v>1.0069999999999999</v>
      </c>
      <c r="D71" s="195">
        <v>1.012</v>
      </c>
      <c r="E71" s="195">
        <v>1.0109999999999999</v>
      </c>
      <c r="F71" s="196">
        <v>827</v>
      </c>
    </row>
    <row r="72" spans="1:6" ht="21.95" customHeight="1" x14ac:dyDescent="0.3">
      <c r="A72" s="194" t="s">
        <v>1734</v>
      </c>
      <c r="B72" s="195">
        <v>1.0389999999999999</v>
      </c>
      <c r="C72" s="195">
        <v>1.0369999999999999</v>
      </c>
      <c r="D72" s="195">
        <v>1.024</v>
      </c>
      <c r="E72" s="195">
        <v>1.0249999999999999</v>
      </c>
      <c r="F72" s="196">
        <v>768</v>
      </c>
    </row>
    <row r="73" spans="1:6" ht="21.95" customHeight="1" x14ac:dyDescent="0.3">
      <c r="A73" s="194" t="s">
        <v>1735</v>
      </c>
      <c r="B73" s="195">
        <v>1.083</v>
      </c>
      <c r="C73" s="195">
        <v>1.08</v>
      </c>
      <c r="D73" s="195">
        <v>1.0820000000000001</v>
      </c>
      <c r="E73" s="195">
        <v>1.093</v>
      </c>
      <c r="F73" s="196">
        <v>801</v>
      </c>
    </row>
    <row r="74" spans="1:6" ht="21.95" customHeight="1" x14ac:dyDescent="0.3">
      <c r="A74" s="194" t="s">
        <v>1736</v>
      </c>
      <c r="B74" s="195">
        <v>1</v>
      </c>
      <c r="C74" s="195">
        <v>1</v>
      </c>
      <c r="D74" s="195">
        <v>1</v>
      </c>
      <c r="E74" s="195">
        <v>1</v>
      </c>
      <c r="F74" s="196">
        <v>792</v>
      </c>
    </row>
    <row r="75" spans="1:6" ht="21.95" customHeight="1" x14ac:dyDescent="0.3">
      <c r="A75" s="194" t="s">
        <v>1737</v>
      </c>
      <c r="B75" s="195">
        <v>1.0620000000000001</v>
      </c>
      <c r="C75" s="195">
        <v>1.0640000000000001</v>
      </c>
      <c r="D75" s="195">
        <v>1.0489999999999999</v>
      </c>
      <c r="E75" s="195">
        <v>1.056</v>
      </c>
      <c r="F75" s="196">
        <v>806</v>
      </c>
    </row>
    <row r="76" spans="1:6" ht="21.95" customHeight="1" x14ac:dyDescent="0.3">
      <c r="A76" s="194" t="s">
        <v>1738</v>
      </c>
      <c r="B76" s="195">
        <v>1.0009999999999999</v>
      </c>
      <c r="C76" s="195">
        <v>1.0009999999999999</v>
      </c>
      <c r="D76" s="195">
        <v>1.0009999999999999</v>
      </c>
      <c r="E76" s="195">
        <v>1.0009999999999999</v>
      </c>
      <c r="F76" s="196">
        <v>803</v>
      </c>
    </row>
    <row r="77" spans="1:6" ht="21.95" customHeight="1" x14ac:dyDescent="0.3">
      <c r="A77" s="194" t="s">
        <v>1739</v>
      </c>
      <c r="B77" s="195">
        <v>1.08</v>
      </c>
      <c r="C77" s="195">
        <v>1.071</v>
      </c>
      <c r="D77" s="195">
        <v>1.0549999999999999</v>
      </c>
      <c r="E77" s="195">
        <v>1.06</v>
      </c>
      <c r="F77" s="196">
        <v>805</v>
      </c>
    </row>
    <row r="78" spans="1:6" ht="21.95" customHeight="1" x14ac:dyDescent="0.3">
      <c r="A78" s="194" t="s">
        <v>1740</v>
      </c>
      <c r="B78" s="195">
        <v>1.0109999999999999</v>
      </c>
      <c r="C78" s="195">
        <v>1.0109999999999999</v>
      </c>
      <c r="D78" s="195">
        <v>1.0069999999999999</v>
      </c>
      <c r="E78" s="195">
        <v>1.008</v>
      </c>
      <c r="F78" s="196">
        <v>825</v>
      </c>
    </row>
    <row r="79" spans="1:6" ht="21.95" customHeight="1" x14ac:dyDescent="0.3">
      <c r="A79" s="194" t="s">
        <v>1741</v>
      </c>
      <c r="B79" s="195">
        <v>1.008</v>
      </c>
      <c r="C79" s="195">
        <v>1.008</v>
      </c>
      <c r="D79" s="195">
        <v>1.008</v>
      </c>
      <c r="E79" s="195">
        <v>1.008</v>
      </c>
      <c r="F79" s="196">
        <v>802</v>
      </c>
    </row>
    <row r="80" spans="1:6" ht="21.95" customHeight="1" x14ac:dyDescent="0.3">
      <c r="A80" s="194" t="s">
        <v>1742</v>
      </c>
      <c r="B80" s="195">
        <v>1</v>
      </c>
      <c r="C80" s="195">
        <v>1</v>
      </c>
      <c r="D80" s="195">
        <v>1</v>
      </c>
      <c r="E80" s="195">
        <v>1</v>
      </c>
      <c r="F80" s="196">
        <v>807</v>
      </c>
    </row>
    <row r="81" spans="1:6" ht="21.95" customHeight="1" x14ac:dyDescent="0.3">
      <c r="A81" s="194" t="s">
        <v>1743</v>
      </c>
      <c r="B81" s="195">
        <v>1.008</v>
      </c>
      <c r="C81" s="195">
        <v>1.008</v>
      </c>
      <c r="D81" s="195">
        <v>1.0089999999999999</v>
      </c>
      <c r="E81" s="195">
        <v>1.0089999999999999</v>
      </c>
      <c r="F81" s="196">
        <v>810</v>
      </c>
    </row>
    <row r="82" spans="1:6" ht="21.95" customHeight="1" x14ac:dyDescent="0.3">
      <c r="A82" s="194" t="s">
        <v>1744</v>
      </c>
      <c r="B82" s="195">
        <v>1.022</v>
      </c>
      <c r="C82" s="195">
        <v>1.026</v>
      </c>
      <c r="D82" s="195">
        <v>1.0329999999999999</v>
      </c>
      <c r="E82" s="195">
        <v>1.032</v>
      </c>
      <c r="F82" s="196">
        <v>829</v>
      </c>
    </row>
    <row r="83" spans="1:6" ht="21.95" customHeight="1" x14ac:dyDescent="0.3">
      <c r="A83" s="194" t="s">
        <v>1745</v>
      </c>
      <c r="B83" s="195">
        <v>1</v>
      </c>
      <c r="C83" s="195">
        <v>1.0049999999999999</v>
      </c>
      <c r="D83" s="195">
        <v>1.0049999999999999</v>
      </c>
      <c r="E83" s="195">
        <v>1.0049999999999999</v>
      </c>
      <c r="F83" s="196">
        <v>830</v>
      </c>
    </row>
    <row r="84" spans="1:6" ht="21.95" customHeight="1" x14ac:dyDescent="0.3">
      <c r="A84" s="194" t="s">
        <v>1746</v>
      </c>
      <c r="B84" s="195">
        <v>1.034</v>
      </c>
      <c r="C84" s="195">
        <v>1.0309999999999999</v>
      </c>
      <c r="D84" s="195">
        <v>1.026</v>
      </c>
      <c r="E84" s="195">
        <v>1.028</v>
      </c>
      <c r="F84" s="196">
        <v>727</v>
      </c>
    </row>
    <row r="85" spans="1:6" ht="21.95" customHeight="1" x14ac:dyDescent="0.3">
      <c r="A85" s="194" t="s">
        <v>1747</v>
      </c>
      <c r="B85" s="195">
        <v>1.252</v>
      </c>
      <c r="C85" s="195">
        <v>1.2350000000000001</v>
      </c>
      <c r="D85" s="195">
        <v>1.153</v>
      </c>
      <c r="E85" s="195">
        <v>1.159</v>
      </c>
      <c r="F85" s="196">
        <v>728</v>
      </c>
    </row>
    <row r="86" spans="1:6" ht="21.95" customHeight="1" x14ac:dyDescent="0.3">
      <c r="A86" s="194" t="s">
        <v>1748</v>
      </c>
      <c r="B86" s="195">
        <v>1.0229999999999999</v>
      </c>
      <c r="C86" s="195">
        <v>1.0229999999999999</v>
      </c>
      <c r="D86" s="195">
        <v>1.0169999999999999</v>
      </c>
      <c r="E86" s="195">
        <v>1.02</v>
      </c>
      <c r="F86" s="196">
        <v>729</v>
      </c>
    </row>
    <row r="87" spans="1:6" ht="21.95" customHeight="1" x14ac:dyDescent="0.3">
      <c r="A87" s="194" t="s">
        <v>1749</v>
      </c>
      <c r="B87" s="195">
        <v>1.022</v>
      </c>
      <c r="C87" s="195">
        <v>1.0269999999999999</v>
      </c>
      <c r="D87" s="195">
        <v>1.0229999999999999</v>
      </c>
      <c r="E87" s="195">
        <v>1.0249999999999999</v>
      </c>
      <c r="F87" s="196">
        <v>730</v>
      </c>
    </row>
    <row r="88" spans="1:6" ht="21.95" customHeight="1" x14ac:dyDescent="0.3">
      <c r="A88" s="194" t="s">
        <v>1750</v>
      </c>
      <c r="B88" s="195">
        <v>1.083</v>
      </c>
      <c r="C88" s="195">
        <v>1.0840000000000001</v>
      </c>
      <c r="D88" s="195">
        <v>1.0649999999999999</v>
      </c>
      <c r="E88" s="195">
        <v>1.0669999999999999</v>
      </c>
      <c r="F88" s="196">
        <v>809</v>
      </c>
    </row>
    <row r="89" spans="1:6" ht="21.95" customHeight="1" x14ac:dyDescent="0.3">
      <c r="A89" s="194" t="s">
        <v>1751</v>
      </c>
      <c r="B89" s="195">
        <v>1.147</v>
      </c>
      <c r="C89" s="195">
        <v>1.0580000000000001</v>
      </c>
      <c r="D89" s="195">
        <v>1.137</v>
      </c>
      <c r="E89" s="195">
        <v>1.046</v>
      </c>
      <c r="F89" s="196">
        <v>731</v>
      </c>
    </row>
    <row r="90" spans="1:6" ht="21.95" customHeight="1" x14ac:dyDescent="0.3">
      <c r="A90" s="194" t="s">
        <v>1752</v>
      </c>
      <c r="B90" s="195">
        <v>1.056</v>
      </c>
      <c r="C90" s="195">
        <v>1.05</v>
      </c>
      <c r="D90" s="195">
        <v>1.0569999999999999</v>
      </c>
      <c r="E90" s="195">
        <v>1.0489999999999999</v>
      </c>
      <c r="F90" s="196">
        <v>732</v>
      </c>
    </row>
    <row r="91" spans="1:6" ht="21.95" customHeight="1" x14ac:dyDescent="0.3">
      <c r="A91" s="194" t="s">
        <v>1753</v>
      </c>
      <c r="B91" s="195">
        <v>1.01</v>
      </c>
      <c r="C91" s="195">
        <v>1.01</v>
      </c>
      <c r="D91" s="195">
        <v>1.0069999999999999</v>
      </c>
      <c r="E91" s="195">
        <v>1.008</v>
      </c>
      <c r="F91" s="196">
        <v>733</v>
      </c>
    </row>
    <row r="92" spans="1:6" ht="21.95" customHeight="1" x14ac:dyDescent="0.3">
      <c r="A92" s="194" t="s">
        <v>1754</v>
      </c>
      <c r="B92" s="195">
        <v>1.008</v>
      </c>
      <c r="C92" s="195">
        <v>1.0069999999999999</v>
      </c>
      <c r="D92" s="195">
        <v>1.008</v>
      </c>
      <c r="E92" s="195">
        <v>1.008</v>
      </c>
      <c r="F92" s="196">
        <v>734</v>
      </c>
    </row>
    <row r="93" spans="1:6" ht="21.95" customHeight="1" x14ac:dyDescent="0.3">
      <c r="A93" s="194" t="s">
        <v>1755</v>
      </c>
      <c r="B93" s="195">
        <v>1.1619999999999999</v>
      </c>
      <c r="C93" s="195">
        <v>1.1459999999999999</v>
      </c>
      <c r="D93" s="195">
        <v>1.125</v>
      </c>
      <c r="E93" s="195">
        <v>1.141</v>
      </c>
      <c r="F93" s="196">
        <v>735</v>
      </c>
    </row>
    <row r="94" spans="1:6" ht="21.95" customHeight="1" x14ac:dyDescent="0.3">
      <c r="A94" s="194" t="s">
        <v>1756</v>
      </c>
      <c r="B94" s="195">
        <v>1.0049999999999999</v>
      </c>
      <c r="C94" s="195">
        <v>1.004</v>
      </c>
      <c r="D94" s="195">
        <v>1.004</v>
      </c>
      <c r="E94" s="195">
        <v>1.0029999999999999</v>
      </c>
      <c r="F94" s="196">
        <v>736</v>
      </c>
    </row>
    <row r="95" spans="1:6" ht="21.95" customHeight="1" x14ac:dyDescent="0.3">
      <c r="A95" s="194" t="s">
        <v>1757</v>
      </c>
      <c r="B95" s="195">
        <v>1.032</v>
      </c>
      <c r="C95" s="195">
        <v>1.0329999999999999</v>
      </c>
      <c r="D95" s="195">
        <v>1.0429999999999999</v>
      </c>
      <c r="E95" s="195">
        <v>1.0389999999999999</v>
      </c>
      <c r="F95" s="196">
        <v>738</v>
      </c>
    </row>
    <row r="96" spans="1:6" ht="21.95" customHeight="1" x14ac:dyDescent="0.3">
      <c r="A96" s="194" t="s">
        <v>1758</v>
      </c>
      <c r="B96" s="195">
        <v>1.004</v>
      </c>
      <c r="C96" s="195">
        <v>1.004</v>
      </c>
      <c r="D96" s="195">
        <v>1.004</v>
      </c>
      <c r="E96" s="195">
        <v>1.004</v>
      </c>
      <c r="F96" s="196">
        <v>739</v>
      </c>
    </row>
    <row r="97" spans="1:6" ht="21.95" customHeight="1" x14ac:dyDescent="0.3">
      <c r="A97" s="194" t="s">
        <v>1759</v>
      </c>
      <c r="B97" s="195">
        <v>1.004</v>
      </c>
      <c r="C97" s="195">
        <v>1.004</v>
      </c>
      <c r="D97" s="195">
        <v>1.004</v>
      </c>
      <c r="E97" s="195">
        <v>1.004</v>
      </c>
      <c r="F97" s="196">
        <v>737</v>
      </c>
    </row>
    <row r="98" spans="1:6" ht="21.95" customHeight="1" x14ac:dyDescent="0.3">
      <c r="A98" s="194" t="s">
        <v>1760</v>
      </c>
      <c r="B98" s="195">
        <v>1.02</v>
      </c>
      <c r="C98" s="195">
        <v>1.0189999999999999</v>
      </c>
      <c r="D98" s="195">
        <v>1.0189999999999999</v>
      </c>
      <c r="E98" s="195">
        <v>1.0209999999999999</v>
      </c>
      <c r="F98" s="196">
        <v>740</v>
      </c>
    </row>
    <row r="99" spans="1:6" ht="21.95" customHeight="1" x14ac:dyDescent="0.3">
      <c r="A99" s="194" t="s">
        <v>1761</v>
      </c>
      <c r="B99" s="195">
        <v>1</v>
      </c>
      <c r="C99" s="195">
        <v>1.0009999999999999</v>
      </c>
      <c r="D99" s="195">
        <v>1.0009999999999999</v>
      </c>
      <c r="E99" s="195">
        <v>1.0009999999999999</v>
      </c>
      <c r="F99" s="196">
        <v>745</v>
      </c>
    </row>
    <row r="100" spans="1:6" ht="21.95" customHeight="1" x14ac:dyDescent="0.3">
      <c r="A100" s="194" t="s">
        <v>1762</v>
      </c>
      <c r="B100" s="195">
        <v>1.004</v>
      </c>
      <c r="C100" s="195">
        <v>1.004</v>
      </c>
      <c r="D100" s="195">
        <v>1.006</v>
      </c>
      <c r="E100" s="195">
        <v>1.0049999999999999</v>
      </c>
      <c r="F100" s="196">
        <v>746</v>
      </c>
    </row>
    <row r="101" spans="1:6" ht="21.95" customHeight="1" x14ac:dyDescent="0.3">
      <c r="A101" s="194" t="s">
        <v>1763</v>
      </c>
      <c r="B101" s="195">
        <v>1.006</v>
      </c>
      <c r="C101" s="195">
        <v>1.006</v>
      </c>
      <c r="D101" s="195">
        <v>1.0069999999999999</v>
      </c>
      <c r="E101" s="195">
        <v>1.006</v>
      </c>
      <c r="F101" s="196">
        <v>747</v>
      </c>
    </row>
    <row r="102" spans="1:6" ht="21.95" customHeight="1" x14ac:dyDescent="0.3">
      <c r="A102" s="194" t="s">
        <v>1764</v>
      </c>
      <c r="B102" s="195">
        <v>1.0029999999999999</v>
      </c>
      <c r="C102" s="195">
        <v>1.004</v>
      </c>
      <c r="D102" s="195">
        <v>1.012</v>
      </c>
      <c r="E102" s="195">
        <v>1.0049999999999999</v>
      </c>
      <c r="F102" s="196">
        <v>748</v>
      </c>
    </row>
    <row r="103" spans="1:6" ht="21.95" customHeight="1" x14ac:dyDescent="0.3">
      <c r="A103" s="194" t="s">
        <v>1765</v>
      </c>
      <c r="B103" s="195">
        <v>1</v>
      </c>
      <c r="C103" s="195">
        <v>1</v>
      </c>
      <c r="D103" s="195">
        <v>1</v>
      </c>
      <c r="E103" s="195">
        <v>1</v>
      </c>
      <c r="F103" s="196">
        <v>749</v>
      </c>
    </row>
    <row r="104" spans="1:6" ht="21.95" customHeight="1" x14ac:dyDescent="0.3">
      <c r="A104" s="194" t="s">
        <v>1766</v>
      </c>
      <c r="B104" s="195">
        <v>1.004</v>
      </c>
      <c r="C104" s="195">
        <v>1.004</v>
      </c>
      <c r="D104" s="195">
        <v>1.004</v>
      </c>
      <c r="E104" s="195">
        <v>1.004</v>
      </c>
      <c r="F104" s="196">
        <v>901</v>
      </c>
    </row>
    <row r="105" spans="1:6" ht="21.95" customHeight="1" x14ac:dyDescent="0.3">
      <c r="A105" s="194" t="s">
        <v>1767</v>
      </c>
      <c r="B105" s="195">
        <v>1</v>
      </c>
      <c r="C105" s="195">
        <v>1</v>
      </c>
      <c r="D105" s="195">
        <v>1</v>
      </c>
      <c r="E105" s="195">
        <v>1</v>
      </c>
      <c r="F105" s="196">
        <v>902</v>
      </c>
    </row>
    <row r="106" spans="1:6" ht="21.95" customHeight="1" x14ac:dyDescent="0.3">
      <c r="A106" s="194" t="s">
        <v>1768</v>
      </c>
      <c r="B106" s="195">
        <v>1.004</v>
      </c>
      <c r="C106" s="195">
        <v>1.004</v>
      </c>
      <c r="D106" s="195">
        <v>1.004</v>
      </c>
      <c r="E106" s="195">
        <v>1.004</v>
      </c>
      <c r="F106" s="196">
        <v>903</v>
      </c>
    </row>
    <row r="107" spans="1:6" ht="21.95" customHeight="1" x14ac:dyDescent="0.3">
      <c r="A107" s="194" t="s">
        <v>1769</v>
      </c>
      <c r="B107" s="195">
        <v>1.004</v>
      </c>
      <c r="C107" s="195">
        <v>1.004</v>
      </c>
      <c r="D107" s="195">
        <v>1.0049999999999999</v>
      </c>
      <c r="E107" s="195">
        <v>1.0049999999999999</v>
      </c>
      <c r="F107" s="196">
        <v>904</v>
      </c>
    </row>
    <row r="108" spans="1:6" ht="21.95" customHeight="1" x14ac:dyDescent="0.3">
      <c r="A108" s="194" t="s">
        <v>1770</v>
      </c>
      <c r="B108" s="195">
        <v>1.044</v>
      </c>
      <c r="C108" s="195">
        <v>1.0589999999999999</v>
      </c>
      <c r="D108" s="195">
        <v>1.0640000000000001</v>
      </c>
      <c r="E108" s="195">
        <v>1.0880000000000001</v>
      </c>
      <c r="F108" s="196">
        <v>905</v>
      </c>
    </row>
    <row r="109" spans="1:6" ht="21.95" customHeight="1" x14ac:dyDescent="0.3">
      <c r="A109" s="194" t="s">
        <v>1771</v>
      </c>
      <c r="B109" s="195">
        <v>1.0089999999999999</v>
      </c>
      <c r="C109" s="195">
        <v>1.016</v>
      </c>
      <c r="D109" s="195">
        <v>1.0609999999999999</v>
      </c>
      <c r="E109" s="195">
        <v>1.046</v>
      </c>
      <c r="F109" s="196">
        <v>906</v>
      </c>
    </row>
    <row r="110" spans="1:6" ht="21.95" customHeight="1" x14ac:dyDescent="0.3">
      <c r="A110" s="194" t="s">
        <v>1772</v>
      </c>
      <c r="B110" s="195">
        <v>1</v>
      </c>
      <c r="C110" s="195">
        <v>1</v>
      </c>
      <c r="D110" s="195">
        <v>1</v>
      </c>
      <c r="E110" s="195">
        <v>1</v>
      </c>
      <c r="F110" s="196">
        <v>907</v>
      </c>
    </row>
    <row r="111" spans="1:6" ht="21.95" customHeight="1" x14ac:dyDescent="0.3">
      <c r="A111" s="194" t="s">
        <v>1773</v>
      </c>
      <c r="B111" s="195">
        <v>1.024</v>
      </c>
      <c r="C111" s="195">
        <v>1.032</v>
      </c>
      <c r="D111" s="195">
        <v>1.0349999999999999</v>
      </c>
      <c r="E111" s="195">
        <v>1.046</v>
      </c>
      <c r="F111" s="196">
        <v>908</v>
      </c>
    </row>
    <row r="112" spans="1:6" ht="21.95" customHeight="1" x14ac:dyDescent="0.3">
      <c r="A112" s="194" t="s">
        <v>1774</v>
      </c>
      <c r="B112" s="195">
        <v>1.0249999999999999</v>
      </c>
      <c r="C112" s="195">
        <v>1.034</v>
      </c>
      <c r="D112" s="195">
        <v>1.032</v>
      </c>
      <c r="E112" s="195">
        <v>1.0409999999999999</v>
      </c>
      <c r="F112" s="196">
        <v>909</v>
      </c>
    </row>
    <row r="113" spans="1:6" ht="21.95" customHeight="1" x14ac:dyDescent="0.3">
      <c r="A113" s="194" t="s">
        <v>1775</v>
      </c>
      <c r="B113" s="195">
        <v>1.0309999999999999</v>
      </c>
      <c r="C113" s="195">
        <v>1.042</v>
      </c>
      <c r="D113" s="195">
        <v>1.0740000000000001</v>
      </c>
      <c r="E113" s="195">
        <v>1.1040000000000001</v>
      </c>
      <c r="F113" s="196">
        <v>910</v>
      </c>
    </row>
    <row r="114" spans="1:6" ht="21.95" customHeight="1" x14ac:dyDescent="0.3">
      <c r="A114" s="194" t="s">
        <v>1776</v>
      </c>
      <c r="B114" s="195">
        <v>1</v>
      </c>
      <c r="C114" s="195">
        <v>1</v>
      </c>
      <c r="D114" s="195">
        <v>1</v>
      </c>
      <c r="E114" s="195">
        <v>1</v>
      </c>
      <c r="F114" s="196">
        <v>916</v>
      </c>
    </row>
    <row r="115" spans="1:6" ht="21.95" customHeight="1" x14ac:dyDescent="0.3">
      <c r="A115" s="194" t="s">
        <v>1777</v>
      </c>
      <c r="B115" s="195">
        <v>1</v>
      </c>
      <c r="C115" s="195">
        <v>1</v>
      </c>
      <c r="D115" s="195">
        <v>1</v>
      </c>
      <c r="E115" s="195">
        <v>1</v>
      </c>
      <c r="F115" s="196">
        <v>917</v>
      </c>
    </row>
    <row r="116" spans="1:6" ht="21.95" customHeight="1" x14ac:dyDescent="0.3">
      <c r="A116" s="194" t="s">
        <v>1778</v>
      </c>
      <c r="B116" s="195">
        <v>1.089</v>
      </c>
      <c r="C116" s="195">
        <v>1.0509999999999999</v>
      </c>
      <c r="D116" s="195">
        <v>1.08</v>
      </c>
      <c r="E116" s="195">
        <v>1.04</v>
      </c>
      <c r="F116" s="196">
        <v>918</v>
      </c>
    </row>
    <row r="117" spans="1:6" ht="21.95" customHeight="1" x14ac:dyDescent="0.3">
      <c r="A117" s="194" t="s">
        <v>1779</v>
      </c>
      <c r="B117" s="195">
        <v>1.0429999999999999</v>
      </c>
      <c r="C117" s="195">
        <v>1.0569999999999999</v>
      </c>
      <c r="D117" s="195">
        <v>1.0369999999999999</v>
      </c>
      <c r="E117" s="195">
        <v>1.046</v>
      </c>
      <c r="F117" s="196">
        <v>919</v>
      </c>
    </row>
    <row r="118" spans="1:6" ht="21.95" customHeight="1" x14ac:dyDescent="0.3">
      <c r="A118" s="194" t="s">
        <v>1780</v>
      </c>
      <c r="B118" s="195">
        <v>1</v>
      </c>
      <c r="C118" s="195">
        <v>1</v>
      </c>
      <c r="D118" s="195">
        <v>1</v>
      </c>
      <c r="E118" s="195">
        <v>1</v>
      </c>
      <c r="F118" s="196">
        <v>752</v>
      </c>
    </row>
    <row r="119" spans="1:6" ht="21.95" customHeight="1" x14ac:dyDescent="0.3">
      <c r="A119" s="194" t="s">
        <v>1781</v>
      </c>
      <c r="B119" s="195">
        <v>1.0049999999999999</v>
      </c>
      <c r="C119" s="195">
        <v>1.022</v>
      </c>
      <c r="D119" s="195">
        <v>1.0149999999999999</v>
      </c>
      <c r="E119" s="195">
        <v>1.012</v>
      </c>
      <c r="F119" s="196">
        <v>920</v>
      </c>
    </row>
    <row r="120" spans="1:6" ht="21.95" customHeight="1" x14ac:dyDescent="0.3">
      <c r="A120" s="194" t="s">
        <v>1782</v>
      </c>
      <c r="B120" s="195">
        <v>1.1719999999999999</v>
      </c>
      <c r="C120" s="195">
        <v>1.044</v>
      </c>
      <c r="D120" s="195">
        <v>1.1399999999999999</v>
      </c>
      <c r="E120" s="195">
        <v>1.0349999999999999</v>
      </c>
      <c r="F120" s="196">
        <v>921</v>
      </c>
    </row>
    <row r="121" spans="1:6" ht="21.95" customHeight="1" x14ac:dyDescent="0.3">
      <c r="A121" s="194" t="s">
        <v>1783</v>
      </c>
      <c r="B121" s="195">
        <v>1.008</v>
      </c>
      <c r="C121" s="195">
        <v>1.008</v>
      </c>
      <c r="D121" s="195">
        <v>1.0089999999999999</v>
      </c>
      <c r="E121" s="195">
        <v>1.008</v>
      </c>
      <c r="F121" s="196">
        <v>922</v>
      </c>
    </row>
    <row r="122" spans="1:6" ht="21.95" customHeight="1" x14ac:dyDescent="0.3">
      <c r="A122" s="194" t="s">
        <v>1784</v>
      </c>
      <c r="B122" s="195">
        <v>1.002</v>
      </c>
      <c r="C122" s="195">
        <v>1.002</v>
      </c>
      <c r="D122" s="195">
        <v>1.002</v>
      </c>
      <c r="E122" s="195">
        <v>1.002</v>
      </c>
      <c r="F122" s="196">
        <v>946</v>
      </c>
    </row>
    <row r="123" spans="1:6" ht="21.95" customHeight="1" x14ac:dyDescent="0.3">
      <c r="A123" s="194" t="s">
        <v>1785</v>
      </c>
      <c r="B123" s="195">
        <v>1.0129999999999999</v>
      </c>
      <c r="C123" s="195">
        <v>1.012</v>
      </c>
      <c r="D123" s="195">
        <v>1.0089999999999999</v>
      </c>
      <c r="E123" s="195">
        <v>1.01</v>
      </c>
      <c r="F123" s="196">
        <v>923</v>
      </c>
    </row>
    <row r="124" spans="1:6" ht="21.95" customHeight="1" x14ac:dyDescent="0.3">
      <c r="A124" s="194" t="s">
        <v>1786</v>
      </c>
      <c r="B124" s="195">
        <v>1.0049999999999999</v>
      </c>
      <c r="C124" s="195">
        <v>1.0049999999999999</v>
      </c>
      <c r="D124" s="195">
        <v>1.018</v>
      </c>
      <c r="E124" s="195">
        <v>1.006</v>
      </c>
      <c r="F124" s="196">
        <v>924</v>
      </c>
    </row>
    <row r="125" spans="1:6" ht="21.95" customHeight="1" x14ac:dyDescent="0.3">
      <c r="A125" s="194" t="s">
        <v>1787</v>
      </c>
      <c r="B125" s="195">
        <v>1.0009999999999999</v>
      </c>
      <c r="C125" s="195">
        <v>1.002</v>
      </c>
      <c r="D125" s="195">
        <v>1.002</v>
      </c>
      <c r="E125" s="195">
        <v>1.002</v>
      </c>
      <c r="F125" s="196">
        <v>947</v>
      </c>
    </row>
    <row r="126" spans="1:6" ht="21.95" customHeight="1" x14ac:dyDescent="0.3">
      <c r="A126" s="194" t="s">
        <v>1788</v>
      </c>
      <c r="B126" s="195">
        <v>1.0009999999999999</v>
      </c>
      <c r="C126" s="195">
        <v>1.002</v>
      </c>
      <c r="D126" s="195">
        <v>1.002</v>
      </c>
      <c r="E126" s="195">
        <v>1.002</v>
      </c>
      <c r="F126" s="196">
        <v>948</v>
      </c>
    </row>
    <row r="127" spans="1:6" ht="21.95" customHeight="1" x14ac:dyDescent="0.3">
      <c r="A127" s="194" t="s">
        <v>1789</v>
      </c>
      <c r="B127" s="195">
        <v>1.024</v>
      </c>
      <c r="C127" s="195">
        <v>1.0109999999999999</v>
      </c>
      <c r="D127" s="195">
        <v>1.0149999999999999</v>
      </c>
      <c r="E127" s="195">
        <v>1.0109999999999999</v>
      </c>
      <c r="F127" s="196">
        <v>925</v>
      </c>
    </row>
    <row r="128" spans="1:6" ht="21.95" customHeight="1" x14ac:dyDescent="0.3">
      <c r="A128" s="194" t="s">
        <v>1790</v>
      </c>
      <c r="B128" s="195">
        <v>1.0189999999999999</v>
      </c>
      <c r="C128" s="195">
        <v>1.024</v>
      </c>
      <c r="D128" s="195">
        <v>1.0269999999999999</v>
      </c>
      <c r="E128" s="195">
        <v>1.0169999999999999</v>
      </c>
      <c r="F128" s="196">
        <v>926</v>
      </c>
    </row>
    <row r="129" spans="1:6" ht="21.95" customHeight="1" x14ac:dyDescent="0.3">
      <c r="A129" s="194" t="s">
        <v>1791</v>
      </c>
      <c r="B129" s="195">
        <v>1</v>
      </c>
      <c r="C129" s="195">
        <v>1</v>
      </c>
      <c r="D129" s="195">
        <v>1</v>
      </c>
      <c r="E129" s="195">
        <v>1</v>
      </c>
      <c r="F129" s="196">
        <v>927</v>
      </c>
    </row>
    <row r="130" spans="1:6" ht="21.95" customHeight="1" x14ac:dyDescent="0.3">
      <c r="A130" s="194" t="s">
        <v>1792</v>
      </c>
      <c r="B130" s="195">
        <v>1.0960000000000001</v>
      </c>
      <c r="C130" s="195">
        <v>1.0880000000000001</v>
      </c>
      <c r="D130" s="195">
        <v>1.1140000000000001</v>
      </c>
      <c r="E130" s="195">
        <v>1.0660000000000001</v>
      </c>
      <c r="F130" s="196">
        <v>928</v>
      </c>
    </row>
    <row r="131" spans="1:6" ht="21.95" customHeight="1" x14ac:dyDescent="0.3">
      <c r="A131" s="194" t="s">
        <v>1793</v>
      </c>
      <c r="B131" s="195">
        <v>1.0129999999999999</v>
      </c>
      <c r="C131" s="195">
        <v>1.012</v>
      </c>
      <c r="D131" s="195">
        <v>1.0089999999999999</v>
      </c>
      <c r="E131" s="195">
        <v>1.01</v>
      </c>
      <c r="F131" s="196">
        <v>929</v>
      </c>
    </row>
    <row r="132" spans="1:6" ht="21.95" customHeight="1" x14ac:dyDescent="0.3">
      <c r="A132" s="194" t="s">
        <v>1794</v>
      </c>
      <c r="B132" s="195">
        <v>1.0129999999999999</v>
      </c>
      <c r="C132" s="195">
        <v>1.012</v>
      </c>
      <c r="D132" s="195">
        <v>1.0089999999999999</v>
      </c>
      <c r="E132" s="195">
        <v>1.01</v>
      </c>
      <c r="F132" s="196">
        <v>930</v>
      </c>
    </row>
    <row r="133" spans="1:6" ht="21.95" customHeight="1" x14ac:dyDescent="0.3">
      <c r="A133" s="194" t="s">
        <v>1795</v>
      </c>
      <c r="B133" s="195">
        <v>1.0129999999999999</v>
      </c>
      <c r="C133" s="195">
        <v>1.012</v>
      </c>
      <c r="D133" s="195">
        <v>1.0089999999999999</v>
      </c>
      <c r="E133" s="195">
        <v>1.01</v>
      </c>
      <c r="F133" s="196">
        <v>931</v>
      </c>
    </row>
    <row r="134" spans="1:6" ht="21.95" customHeight="1" x14ac:dyDescent="0.3">
      <c r="A134" s="194" t="s">
        <v>1796</v>
      </c>
      <c r="B134" s="195">
        <v>1.0129999999999999</v>
      </c>
      <c r="C134" s="195">
        <v>1.012</v>
      </c>
      <c r="D134" s="195">
        <v>1.0089999999999999</v>
      </c>
      <c r="E134" s="195">
        <v>1.01</v>
      </c>
      <c r="F134" s="196">
        <v>932</v>
      </c>
    </row>
    <row r="135" spans="1:6" ht="21.95" customHeight="1" x14ac:dyDescent="0.3">
      <c r="A135" s="194" t="s">
        <v>1797</v>
      </c>
      <c r="B135" s="195">
        <v>1.0129999999999999</v>
      </c>
      <c r="C135" s="195">
        <v>1.012</v>
      </c>
      <c r="D135" s="195">
        <v>1.0089999999999999</v>
      </c>
      <c r="E135" s="195">
        <v>1.01</v>
      </c>
      <c r="F135" s="196">
        <v>933</v>
      </c>
    </row>
    <row r="136" spans="1:6" ht="21.95" customHeight="1" x14ac:dyDescent="0.3">
      <c r="A136" s="194" t="s">
        <v>1798</v>
      </c>
      <c r="B136" s="195">
        <v>1.0129999999999999</v>
      </c>
      <c r="C136" s="195">
        <v>1.012</v>
      </c>
      <c r="D136" s="195">
        <v>1.0089999999999999</v>
      </c>
      <c r="E136" s="195">
        <v>1.01</v>
      </c>
      <c r="F136" s="196">
        <v>725</v>
      </c>
    </row>
    <row r="137" spans="1:6" ht="21.95" customHeight="1" x14ac:dyDescent="0.3"/>
    <row r="139" spans="1:6" ht="21.95" customHeight="1" x14ac:dyDescent="0.3">
      <c r="A139" s="241" t="s">
        <v>268</v>
      </c>
      <c r="B139" s="249"/>
      <c r="C139" s="249"/>
      <c r="D139" s="249"/>
      <c r="E139" s="249"/>
      <c r="F139" s="242"/>
    </row>
    <row r="140" spans="1:6" ht="21.95" customHeight="1" x14ac:dyDescent="0.3">
      <c r="A140" s="241" t="s">
        <v>11</v>
      </c>
      <c r="B140" s="249"/>
      <c r="C140" s="249"/>
      <c r="D140" s="249"/>
      <c r="E140" s="249"/>
      <c r="F140" s="242"/>
    </row>
    <row r="141" spans="1:6" ht="21.95" customHeight="1" x14ac:dyDescent="0.3">
      <c r="A141" s="184" t="s">
        <v>9</v>
      </c>
      <c r="B141" s="184" t="s">
        <v>4</v>
      </c>
      <c r="C141" s="184" t="s">
        <v>5</v>
      </c>
      <c r="D141" s="184" t="s">
        <v>6</v>
      </c>
      <c r="E141" s="184" t="s">
        <v>7</v>
      </c>
      <c r="F141" s="184" t="s">
        <v>8</v>
      </c>
    </row>
    <row r="142" spans="1:6" ht="21.95" customHeight="1" x14ac:dyDescent="0.3">
      <c r="A142" s="194" t="s">
        <v>1687</v>
      </c>
      <c r="B142" s="195">
        <v>1.052</v>
      </c>
      <c r="C142" s="195">
        <v>1.046</v>
      </c>
      <c r="D142" s="195">
        <v>1.014</v>
      </c>
      <c r="E142" s="195">
        <v>1.026</v>
      </c>
      <c r="F142" s="196">
        <v>90</v>
      </c>
    </row>
    <row r="143" spans="1:6" ht="21.95" customHeight="1" x14ac:dyDescent="0.3">
      <c r="A143" s="194" t="s">
        <v>1688</v>
      </c>
      <c r="B143" s="195">
        <v>1.004</v>
      </c>
      <c r="C143" s="195">
        <v>1.004</v>
      </c>
      <c r="D143" s="195">
        <v>0.99299999999999999</v>
      </c>
      <c r="E143" s="195">
        <v>1.0009999999999999</v>
      </c>
      <c r="F143" s="196">
        <v>82</v>
      </c>
    </row>
    <row r="144" spans="1:6" ht="21.95" customHeight="1" x14ac:dyDescent="0.3">
      <c r="A144" s="194" t="s">
        <v>1689</v>
      </c>
      <c r="B144" s="195">
        <v>0.99299999999999999</v>
      </c>
      <c r="C144" s="195">
        <v>0.99299999999999999</v>
      </c>
      <c r="D144" s="195">
        <v>0.98099999999999998</v>
      </c>
      <c r="E144" s="195">
        <v>0.99199999999999999</v>
      </c>
      <c r="F144" s="196">
        <v>76</v>
      </c>
    </row>
    <row r="145" spans="1:6" ht="21.95" customHeight="1" x14ac:dyDescent="0.3">
      <c r="A145" s="194" t="s">
        <v>1690</v>
      </c>
      <c r="B145" s="195">
        <v>0.995</v>
      </c>
      <c r="C145" s="195">
        <v>0.995</v>
      </c>
      <c r="D145" s="195">
        <v>0.98699999999999999</v>
      </c>
      <c r="E145" s="195">
        <v>0.99399999999999999</v>
      </c>
      <c r="F145" s="196">
        <v>75</v>
      </c>
    </row>
    <row r="146" spans="1:6" ht="21.95" customHeight="1" x14ac:dyDescent="0.3">
      <c r="A146" s="194" t="s">
        <v>1691</v>
      </c>
      <c r="B146" s="195">
        <v>1.004</v>
      </c>
      <c r="C146" s="195">
        <v>1.004</v>
      </c>
      <c r="D146" s="195">
        <v>1.002</v>
      </c>
      <c r="E146" s="195">
        <v>1.0029999999999999</v>
      </c>
      <c r="F146" s="196">
        <v>95</v>
      </c>
    </row>
    <row r="147" spans="1:6" ht="21.95" customHeight="1" x14ac:dyDescent="0.3">
      <c r="A147" s="194" t="s">
        <v>1692</v>
      </c>
      <c r="B147" s="195">
        <v>1.0069999999999999</v>
      </c>
      <c r="C147" s="195">
        <v>1.0069999999999999</v>
      </c>
      <c r="D147" s="195">
        <v>1.0069999999999999</v>
      </c>
      <c r="E147" s="195">
        <v>1.0069999999999999</v>
      </c>
      <c r="F147" s="196">
        <v>800</v>
      </c>
    </row>
    <row r="148" spans="1:6" ht="21.95" customHeight="1" x14ac:dyDescent="0.3">
      <c r="A148" s="194" t="s">
        <v>1693</v>
      </c>
      <c r="B148" s="195">
        <v>1</v>
      </c>
      <c r="C148" s="195">
        <v>1</v>
      </c>
      <c r="D148" s="195">
        <v>1</v>
      </c>
      <c r="E148" s="195">
        <v>1.0029999999999999</v>
      </c>
      <c r="F148" s="196">
        <v>60</v>
      </c>
    </row>
    <row r="149" spans="1:6" ht="21.95" customHeight="1" x14ac:dyDescent="0.3">
      <c r="A149" s="194" t="s">
        <v>1694</v>
      </c>
      <c r="B149" s="195">
        <v>1.0049999999999999</v>
      </c>
      <c r="C149" s="195">
        <v>1.0049999999999999</v>
      </c>
      <c r="D149" s="195">
        <v>1.0009999999999999</v>
      </c>
      <c r="E149" s="195">
        <v>1.0029999999999999</v>
      </c>
      <c r="F149" s="196">
        <v>62</v>
      </c>
    </row>
    <row r="150" spans="1:6" ht="21.95" customHeight="1" x14ac:dyDescent="0.3">
      <c r="A150" s="194" t="s">
        <v>1695</v>
      </c>
      <c r="B150" s="195">
        <v>1.0029999999999999</v>
      </c>
      <c r="C150" s="195">
        <v>1.002</v>
      </c>
      <c r="D150" s="195">
        <v>1.0009999999999999</v>
      </c>
      <c r="E150" s="195">
        <v>1.0009999999999999</v>
      </c>
      <c r="F150" s="196">
        <v>80</v>
      </c>
    </row>
    <row r="151" spans="1:6" ht="21.95" customHeight="1" x14ac:dyDescent="0.3">
      <c r="A151" s="194" t="s">
        <v>1696</v>
      </c>
      <c r="B151" s="195">
        <v>0.998</v>
      </c>
      <c r="C151" s="195">
        <v>0.997</v>
      </c>
      <c r="D151" s="195">
        <v>0.995</v>
      </c>
      <c r="E151" s="195">
        <v>0.996</v>
      </c>
      <c r="F151" s="196">
        <v>66</v>
      </c>
    </row>
    <row r="152" spans="1:6" ht="21.95" customHeight="1" x14ac:dyDescent="0.3">
      <c r="A152" s="194" t="s">
        <v>1697</v>
      </c>
      <c r="B152" s="195">
        <v>0.96699999999999997</v>
      </c>
      <c r="C152" s="195">
        <v>0.96199999999999997</v>
      </c>
      <c r="D152" s="195">
        <v>0.98699999999999999</v>
      </c>
      <c r="E152" s="195">
        <v>0.97499999999999998</v>
      </c>
      <c r="F152" s="196">
        <v>128</v>
      </c>
    </row>
    <row r="153" spans="1:6" ht="21.95" customHeight="1" x14ac:dyDescent="0.3">
      <c r="A153" s="194" t="s">
        <v>1698</v>
      </c>
      <c r="B153" s="195">
        <v>0.995</v>
      </c>
      <c r="C153" s="195">
        <v>0.99399999999999999</v>
      </c>
      <c r="D153" s="195">
        <v>0.99299999999999999</v>
      </c>
      <c r="E153" s="195">
        <v>0.99399999999999999</v>
      </c>
      <c r="F153" s="196">
        <v>92</v>
      </c>
    </row>
    <row r="154" spans="1:6" ht="21.95" customHeight="1" x14ac:dyDescent="0.3">
      <c r="A154" s="194" t="s">
        <v>1699</v>
      </c>
      <c r="B154" s="195">
        <v>0.99399999999999999</v>
      </c>
      <c r="C154" s="195">
        <v>0.99299999999999999</v>
      </c>
      <c r="D154" s="195">
        <v>0.98699999999999999</v>
      </c>
      <c r="E154" s="195">
        <v>0.98699999999999999</v>
      </c>
      <c r="F154" s="196">
        <v>65</v>
      </c>
    </row>
    <row r="155" spans="1:6" ht="21.95" customHeight="1" x14ac:dyDescent="0.3">
      <c r="A155" s="194" t="s">
        <v>1700</v>
      </c>
      <c r="B155" s="195">
        <v>1.0229999999999999</v>
      </c>
      <c r="C155" s="195">
        <v>1.0209999999999999</v>
      </c>
      <c r="D155" s="195">
        <v>1.0049999999999999</v>
      </c>
      <c r="E155" s="195">
        <v>1.012</v>
      </c>
      <c r="F155" s="196">
        <v>74</v>
      </c>
    </row>
    <row r="156" spans="1:6" ht="21.95" customHeight="1" x14ac:dyDescent="0.3">
      <c r="A156" s="194" t="s">
        <v>1701</v>
      </c>
      <c r="B156" s="195">
        <v>1.0009999999999999</v>
      </c>
      <c r="C156" s="195">
        <v>1.002</v>
      </c>
      <c r="D156" s="195">
        <v>0.997</v>
      </c>
      <c r="E156" s="195">
        <v>0.998</v>
      </c>
      <c r="F156" s="196">
        <v>87</v>
      </c>
    </row>
    <row r="157" spans="1:6" ht="21.95" customHeight="1" x14ac:dyDescent="0.3">
      <c r="A157" s="194" t="s">
        <v>1702</v>
      </c>
      <c r="B157" s="195">
        <v>1.0109999999999999</v>
      </c>
      <c r="C157" s="195">
        <v>1.01</v>
      </c>
      <c r="D157" s="195">
        <v>1.004</v>
      </c>
      <c r="E157" s="195">
        <v>1.0069999999999999</v>
      </c>
      <c r="F157" s="196">
        <v>77</v>
      </c>
    </row>
    <row r="158" spans="1:6" ht="21.95" customHeight="1" x14ac:dyDescent="0.3">
      <c r="A158" s="194" t="s">
        <v>1703</v>
      </c>
      <c r="B158" s="195">
        <v>1</v>
      </c>
      <c r="C158" s="195">
        <v>1</v>
      </c>
      <c r="D158" s="195">
        <v>1</v>
      </c>
      <c r="E158" s="195">
        <v>1</v>
      </c>
      <c r="F158" s="196">
        <v>78</v>
      </c>
    </row>
    <row r="159" spans="1:6" ht="21.95" customHeight="1" x14ac:dyDescent="0.3">
      <c r="A159" s="194" t="s">
        <v>1704</v>
      </c>
      <c r="B159" s="195">
        <v>1.012</v>
      </c>
      <c r="C159" s="195">
        <v>1.0129999999999999</v>
      </c>
      <c r="D159" s="195">
        <v>1.008</v>
      </c>
      <c r="E159" s="195">
        <v>1.01</v>
      </c>
      <c r="F159" s="196">
        <v>83</v>
      </c>
    </row>
    <row r="160" spans="1:6" ht="21.95" customHeight="1" x14ac:dyDescent="0.3">
      <c r="A160" s="194" t="s">
        <v>1705</v>
      </c>
      <c r="B160" s="195">
        <v>0.98099999999999998</v>
      </c>
      <c r="C160" s="195">
        <v>0.98299999999999998</v>
      </c>
      <c r="D160" s="195">
        <v>0.98299999999999998</v>
      </c>
      <c r="E160" s="195">
        <v>0.98199999999999998</v>
      </c>
      <c r="F160" s="196">
        <v>84</v>
      </c>
    </row>
    <row r="161" spans="1:6" ht="21.95" customHeight="1" x14ac:dyDescent="0.3">
      <c r="A161" s="194" t="s">
        <v>1706</v>
      </c>
      <c r="B161" s="195">
        <v>1.004</v>
      </c>
      <c r="C161" s="195">
        <v>1.0029999999999999</v>
      </c>
      <c r="D161" s="195">
        <v>1</v>
      </c>
      <c r="E161" s="195">
        <v>1.0009999999999999</v>
      </c>
      <c r="F161" s="196">
        <v>85</v>
      </c>
    </row>
    <row r="162" spans="1:6" ht="21.95" customHeight="1" x14ac:dyDescent="0.3">
      <c r="A162" s="194" t="s">
        <v>1707</v>
      </c>
      <c r="B162" s="195">
        <v>1.0009999999999999</v>
      </c>
      <c r="C162" s="195">
        <v>1.0009999999999999</v>
      </c>
      <c r="D162" s="195">
        <v>1</v>
      </c>
      <c r="E162" s="195">
        <v>1.0009999999999999</v>
      </c>
      <c r="F162" s="196">
        <v>86</v>
      </c>
    </row>
    <row r="163" spans="1:6" ht="21.95" customHeight="1" x14ac:dyDescent="0.3">
      <c r="A163" s="194" t="s">
        <v>1708</v>
      </c>
      <c r="B163" s="195">
        <v>1.0289999999999999</v>
      </c>
      <c r="C163" s="195">
        <v>1.026</v>
      </c>
      <c r="D163" s="195">
        <v>1.018</v>
      </c>
      <c r="E163" s="195">
        <v>1.0229999999999999</v>
      </c>
      <c r="F163" s="196">
        <v>88</v>
      </c>
    </row>
    <row r="164" spans="1:6" ht="21.95" customHeight="1" x14ac:dyDescent="0.3">
      <c r="A164" s="194" t="s">
        <v>1709</v>
      </c>
      <c r="B164" s="195">
        <v>1</v>
      </c>
      <c r="C164" s="195">
        <v>1</v>
      </c>
      <c r="D164" s="195">
        <v>1</v>
      </c>
      <c r="E164" s="195">
        <v>1</v>
      </c>
      <c r="F164" s="196">
        <v>89</v>
      </c>
    </row>
    <row r="165" spans="1:6" ht="21.95" customHeight="1" x14ac:dyDescent="0.3">
      <c r="A165" s="194" t="s">
        <v>1710</v>
      </c>
      <c r="B165" s="195">
        <v>1.004</v>
      </c>
      <c r="C165" s="195">
        <v>1.004</v>
      </c>
      <c r="D165" s="195">
        <v>1.0029999999999999</v>
      </c>
      <c r="E165" s="195">
        <v>1.0029999999999999</v>
      </c>
      <c r="F165" s="196">
        <v>94</v>
      </c>
    </row>
    <row r="166" spans="1:6" ht="21.95" customHeight="1" x14ac:dyDescent="0.3">
      <c r="A166" s="194" t="s">
        <v>1711</v>
      </c>
      <c r="B166" s="195">
        <v>1.012</v>
      </c>
      <c r="C166" s="195">
        <v>1.012</v>
      </c>
      <c r="D166" s="195">
        <v>1.006</v>
      </c>
      <c r="E166" s="195">
        <v>1.008</v>
      </c>
      <c r="F166" s="196">
        <v>93</v>
      </c>
    </row>
    <row r="167" spans="1:6" ht="21.95" customHeight="1" x14ac:dyDescent="0.3">
      <c r="A167" s="194" t="s">
        <v>1712</v>
      </c>
      <c r="B167" s="195">
        <v>1.008</v>
      </c>
      <c r="C167" s="195">
        <v>1</v>
      </c>
      <c r="D167" s="195">
        <v>0.996</v>
      </c>
      <c r="E167" s="195">
        <v>0.996</v>
      </c>
      <c r="F167" s="196">
        <v>91</v>
      </c>
    </row>
    <row r="168" spans="1:6" ht="21.95" customHeight="1" x14ac:dyDescent="0.3">
      <c r="A168" s="194" t="s">
        <v>1713</v>
      </c>
      <c r="B168" s="195">
        <v>1.008</v>
      </c>
      <c r="C168" s="195">
        <v>1.006</v>
      </c>
      <c r="D168" s="195">
        <v>0.995</v>
      </c>
      <c r="E168" s="195">
        <v>0.997</v>
      </c>
      <c r="F168" s="196">
        <v>97</v>
      </c>
    </row>
    <row r="169" spans="1:6" ht="21.95" customHeight="1" x14ac:dyDescent="0.3">
      <c r="A169" s="194" t="s">
        <v>1714</v>
      </c>
      <c r="B169" s="195">
        <v>0.999</v>
      </c>
      <c r="C169" s="195">
        <v>0.999</v>
      </c>
      <c r="D169" s="195">
        <v>0.999</v>
      </c>
      <c r="E169" s="195">
        <v>0.999</v>
      </c>
      <c r="F169" s="196">
        <v>98</v>
      </c>
    </row>
    <row r="170" spans="1:6" ht="21.95" customHeight="1" x14ac:dyDescent="0.3">
      <c r="A170" s="194" t="s">
        <v>1715</v>
      </c>
      <c r="B170" s="195">
        <v>1</v>
      </c>
      <c r="C170" s="195">
        <v>1.0149999999999999</v>
      </c>
      <c r="D170" s="195">
        <v>1</v>
      </c>
      <c r="E170" s="195">
        <v>1</v>
      </c>
      <c r="F170" s="196">
        <v>99</v>
      </c>
    </row>
    <row r="171" spans="1:6" ht="21.95" customHeight="1" x14ac:dyDescent="0.3">
      <c r="A171" s="194" t="s">
        <v>1716</v>
      </c>
      <c r="B171" s="195">
        <v>0.996</v>
      </c>
      <c r="C171" s="195">
        <v>0.99399999999999999</v>
      </c>
      <c r="D171" s="195">
        <v>0.99299999999999999</v>
      </c>
      <c r="E171" s="195">
        <v>0.99299999999999999</v>
      </c>
      <c r="F171" s="196">
        <v>61</v>
      </c>
    </row>
    <row r="172" spans="1:6" ht="21.95" customHeight="1" x14ac:dyDescent="0.3">
      <c r="A172" s="194" t="s">
        <v>1717</v>
      </c>
      <c r="B172" s="195">
        <v>1.0129999999999999</v>
      </c>
      <c r="C172" s="195">
        <v>1.012</v>
      </c>
      <c r="D172" s="195">
        <v>1.0089999999999999</v>
      </c>
      <c r="E172" s="195">
        <v>1.01</v>
      </c>
      <c r="F172" s="196">
        <v>51</v>
      </c>
    </row>
    <row r="173" spans="1:6" ht="21.95" customHeight="1" x14ac:dyDescent="0.3">
      <c r="A173" s="194" t="s">
        <v>1718</v>
      </c>
      <c r="B173" s="195">
        <v>1.01</v>
      </c>
      <c r="C173" s="195">
        <v>1.0049999999999999</v>
      </c>
      <c r="D173" s="195">
        <v>0.99399999999999999</v>
      </c>
      <c r="E173" s="195">
        <v>0.99399999999999999</v>
      </c>
      <c r="F173" s="196">
        <v>52</v>
      </c>
    </row>
    <row r="174" spans="1:6" ht="21.95" customHeight="1" x14ac:dyDescent="0.3">
      <c r="A174" s="194" t="s">
        <v>1719</v>
      </c>
      <c r="B174" s="195">
        <v>1.0089999999999999</v>
      </c>
      <c r="C174" s="195">
        <v>1.004</v>
      </c>
      <c r="D174" s="195">
        <v>0.99299999999999999</v>
      </c>
      <c r="E174" s="195">
        <v>0.99299999999999999</v>
      </c>
      <c r="F174" s="196">
        <v>53</v>
      </c>
    </row>
    <row r="175" spans="1:6" ht="21.95" customHeight="1" x14ac:dyDescent="0.3">
      <c r="A175" s="194" t="s">
        <v>1720</v>
      </c>
      <c r="B175" s="195">
        <v>1.0209999999999999</v>
      </c>
      <c r="C175" s="195">
        <v>1.0149999999999999</v>
      </c>
      <c r="D175" s="195">
        <v>1.014</v>
      </c>
      <c r="E175" s="195">
        <v>1.0189999999999999</v>
      </c>
      <c r="F175" s="196">
        <v>54</v>
      </c>
    </row>
    <row r="176" spans="1:6" ht="21.95" customHeight="1" x14ac:dyDescent="0.3">
      <c r="A176" s="194" t="s">
        <v>1721</v>
      </c>
      <c r="B176" s="195">
        <v>0.995</v>
      </c>
      <c r="C176" s="195">
        <v>0.99299999999999999</v>
      </c>
      <c r="D176" s="195">
        <v>0.99</v>
      </c>
      <c r="E176" s="195">
        <v>0.99</v>
      </c>
      <c r="F176" s="196">
        <v>55</v>
      </c>
    </row>
    <row r="177" spans="1:6" ht="21.95" customHeight="1" x14ac:dyDescent="0.3">
      <c r="A177" s="194" t="s">
        <v>1722</v>
      </c>
      <c r="B177" s="195">
        <v>0.998</v>
      </c>
      <c r="C177" s="195">
        <v>0.996</v>
      </c>
      <c r="D177" s="195">
        <v>0.99199999999999999</v>
      </c>
      <c r="E177" s="195">
        <v>0.99299999999999999</v>
      </c>
      <c r="F177" s="196">
        <v>57</v>
      </c>
    </row>
    <row r="178" spans="1:6" ht="21.95" customHeight="1" x14ac:dyDescent="0.3">
      <c r="A178" s="194" t="s">
        <v>1723</v>
      </c>
      <c r="B178" s="195">
        <v>1</v>
      </c>
      <c r="C178" s="195">
        <v>0.999</v>
      </c>
      <c r="D178" s="195">
        <v>1</v>
      </c>
      <c r="E178" s="195">
        <v>0.997</v>
      </c>
      <c r="F178" s="196">
        <v>58</v>
      </c>
    </row>
    <row r="179" spans="1:6" ht="21.95" customHeight="1" x14ac:dyDescent="0.3">
      <c r="A179" s="194" t="s">
        <v>1724</v>
      </c>
      <c r="B179" s="195">
        <v>0.98199999999999998</v>
      </c>
      <c r="C179" s="195">
        <v>0.98299999999999998</v>
      </c>
      <c r="D179" s="195">
        <v>0.98299999999999998</v>
      </c>
      <c r="E179" s="195">
        <v>0.98299999999999998</v>
      </c>
      <c r="F179" s="196">
        <v>59</v>
      </c>
    </row>
    <row r="180" spans="1:6" ht="21.95" customHeight="1" x14ac:dyDescent="0.3">
      <c r="A180" s="194" t="s">
        <v>1725</v>
      </c>
      <c r="B180" s="195">
        <v>1.01</v>
      </c>
      <c r="C180" s="195">
        <v>1.01</v>
      </c>
      <c r="D180" s="195">
        <v>1.0149999999999999</v>
      </c>
      <c r="E180" s="195">
        <v>1.0189999999999999</v>
      </c>
      <c r="F180" s="196">
        <v>105</v>
      </c>
    </row>
    <row r="181" spans="1:6" ht="21.95" customHeight="1" x14ac:dyDescent="0.3">
      <c r="A181" s="194" t="s">
        <v>1726</v>
      </c>
      <c r="B181" s="195">
        <v>1</v>
      </c>
      <c r="C181" s="195">
        <v>1</v>
      </c>
      <c r="D181" s="195">
        <v>1</v>
      </c>
      <c r="E181" s="195">
        <v>1</v>
      </c>
      <c r="F181" s="196">
        <v>96</v>
      </c>
    </row>
    <row r="182" spans="1:6" ht="21.95" customHeight="1" x14ac:dyDescent="0.3">
      <c r="A182" s="194" t="s">
        <v>1727</v>
      </c>
      <c r="B182" s="195">
        <v>1.0089999999999999</v>
      </c>
      <c r="C182" s="195">
        <v>1.0089999999999999</v>
      </c>
      <c r="D182" s="195">
        <v>1.0049999999999999</v>
      </c>
      <c r="E182" s="195">
        <v>1.006</v>
      </c>
      <c r="F182" s="196">
        <v>109</v>
      </c>
    </row>
    <row r="183" spans="1:6" ht="21.95" customHeight="1" x14ac:dyDescent="0.3">
      <c r="A183" s="194" t="s">
        <v>1728</v>
      </c>
      <c r="B183" s="195">
        <v>1.0009999999999999</v>
      </c>
      <c r="C183" s="195">
        <v>1.0009999999999999</v>
      </c>
      <c r="D183" s="195">
        <v>1</v>
      </c>
      <c r="E183" s="195">
        <v>1.0009999999999999</v>
      </c>
      <c r="F183" s="196">
        <v>107</v>
      </c>
    </row>
    <row r="184" spans="1:6" ht="21.95" customHeight="1" x14ac:dyDescent="0.3">
      <c r="A184" s="194" t="s">
        <v>1729</v>
      </c>
      <c r="B184" s="195">
        <v>0.999</v>
      </c>
      <c r="C184" s="195">
        <v>0.997</v>
      </c>
      <c r="D184" s="195">
        <v>0.98499999999999999</v>
      </c>
      <c r="E184" s="195">
        <v>0.99099999999999999</v>
      </c>
      <c r="F184" s="196">
        <v>108</v>
      </c>
    </row>
    <row r="185" spans="1:6" ht="21.95" customHeight="1" x14ac:dyDescent="0.3">
      <c r="A185" s="194" t="s">
        <v>1730</v>
      </c>
      <c r="B185" s="195">
        <v>1.008</v>
      </c>
      <c r="C185" s="195">
        <v>1.0069999999999999</v>
      </c>
      <c r="D185" s="195">
        <v>1.0029999999999999</v>
      </c>
      <c r="E185" s="195">
        <v>1.004</v>
      </c>
      <c r="F185" s="196">
        <v>56</v>
      </c>
    </row>
    <row r="186" spans="1:6" ht="21.95" customHeight="1" x14ac:dyDescent="0.3">
      <c r="A186" s="194" t="s">
        <v>1731</v>
      </c>
      <c r="B186" s="195">
        <v>1.006</v>
      </c>
      <c r="C186" s="195">
        <v>1.006</v>
      </c>
      <c r="D186" s="195">
        <v>1.0069999999999999</v>
      </c>
      <c r="E186" s="195">
        <v>1.0069999999999999</v>
      </c>
      <c r="F186" s="196">
        <v>106</v>
      </c>
    </row>
    <row r="187" spans="1:6" ht="21.95" customHeight="1" x14ac:dyDescent="0.3">
      <c r="A187" s="194" t="s">
        <v>1732</v>
      </c>
      <c r="B187" s="195">
        <v>1</v>
      </c>
      <c r="C187" s="195">
        <v>1</v>
      </c>
      <c r="D187" s="195">
        <v>1</v>
      </c>
      <c r="E187" s="195">
        <v>1</v>
      </c>
      <c r="F187" s="196">
        <v>63</v>
      </c>
    </row>
    <row r="188" spans="1:6" ht="21.95" customHeight="1" x14ac:dyDescent="0.3">
      <c r="A188" s="194" t="s">
        <v>1733</v>
      </c>
      <c r="B188" s="195">
        <v>0.97</v>
      </c>
      <c r="C188" s="195">
        <v>0.97</v>
      </c>
      <c r="D188" s="195">
        <v>0.97199999999999998</v>
      </c>
      <c r="E188" s="195">
        <v>0.97199999999999998</v>
      </c>
      <c r="F188" s="196">
        <v>110</v>
      </c>
    </row>
    <row r="189" spans="1:6" ht="21.95" customHeight="1" x14ac:dyDescent="0.3">
      <c r="A189" s="194" t="s">
        <v>1734</v>
      </c>
      <c r="B189" s="195">
        <v>1.01</v>
      </c>
      <c r="C189" s="195">
        <v>1.01</v>
      </c>
      <c r="D189" s="195">
        <v>1.0049999999999999</v>
      </c>
      <c r="E189" s="195">
        <v>1.0069999999999999</v>
      </c>
      <c r="F189" s="196">
        <v>43</v>
      </c>
    </row>
    <row r="190" spans="1:6" ht="21.95" customHeight="1" x14ac:dyDescent="0.3">
      <c r="A190" s="194" t="s">
        <v>1735</v>
      </c>
      <c r="B190" s="195">
        <v>1.002</v>
      </c>
      <c r="C190" s="195">
        <v>1.002</v>
      </c>
      <c r="D190" s="195">
        <v>0.998</v>
      </c>
      <c r="E190" s="195">
        <v>1</v>
      </c>
      <c r="F190" s="196">
        <v>44</v>
      </c>
    </row>
    <row r="191" spans="1:6" ht="21.95" customHeight="1" x14ac:dyDescent="0.3">
      <c r="A191" s="194" t="s">
        <v>1736</v>
      </c>
      <c r="B191" s="195">
        <v>1.034</v>
      </c>
      <c r="C191" s="195">
        <v>1.024</v>
      </c>
      <c r="D191" s="195">
        <v>1.01</v>
      </c>
      <c r="E191" s="195">
        <v>1.0129999999999999</v>
      </c>
      <c r="F191" s="196">
        <v>46</v>
      </c>
    </row>
    <row r="192" spans="1:6" ht="21.95" customHeight="1" x14ac:dyDescent="0.3">
      <c r="A192" s="194" t="s">
        <v>1737</v>
      </c>
      <c r="B192" s="195">
        <v>1.014</v>
      </c>
      <c r="C192" s="195">
        <v>1.002</v>
      </c>
      <c r="D192" s="195">
        <v>0.99099999999999999</v>
      </c>
      <c r="E192" s="195">
        <v>0.99199999999999999</v>
      </c>
      <c r="F192" s="196">
        <v>47</v>
      </c>
    </row>
    <row r="193" spans="1:6" ht="21.95" customHeight="1" x14ac:dyDescent="0.3">
      <c r="A193" s="194" t="s">
        <v>1738</v>
      </c>
      <c r="B193" s="195">
        <v>0.99199999999999999</v>
      </c>
      <c r="C193" s="195">
        <v>0.99099999999999999</v>
      </c>
      <c r="D193" s="195">
        <v>0.98899999999999999</v>
      </c>
      <c r="E193" s="195">
        <v>0.98899999999999999</v>
      </c>
      <c r="F193" s="196">
        <v>48</v>
      </c>
    </row>
    <row r="194" spans="1:6" ht="21.95" customHeight="1" x14ac:dyDescent="0.3">
      <c r="A194" s="194" t="s">
        <v>1739</v>
      </c>
      <c r="B194" s="195">
        <v>0.998</v>
      </c>
      <c r="C194" s="195">
        <v>0.996</v>
      </c>
      <c r="D194" s="195">
        <v>0.99299999999999999</v>
      </c>
      <c r="E194" s="195">
        <v>0.99399999999999999</v>
      </c>
      <c r="F194" s="196">
        <v>49</v>
      </c>
    </row>
    <row r="195" spans="1:6" ht="21.95" customHeight="1" x14ac:dyDescent="0.3">
      <c r="A195" s="194" t="s">
        <v>1740</v>
      </c>
      <c r="B195" s="195">
        <v>1.0009999999999999</v>
      </c>
      <c r="C195" s="195">
        <v>0.999</v>
      </c>
      <c r="D195" s="195">
        <v>0.995</v>
      </c>
      <c r="E195" s="195">
        <v>0.996</v>
      </c>
      <c r="F195" s="196">
        <v>64</v>
      </c>
    </row>
    <row r="196" spans="1:6" ht="21.95" customHeight="1" x14ac:dyDescent="0.3">
      <c r="A196" s="194" t="s">
        <v>1741</v>
      </c>
      <c r="B196" s="195">
        <v>0.97699999999999998</v>
      </c>
      <c r="C196" s="195">
        <v>0.996</v>
      </c>
      <c r="D196" s="195">
        <v>0.97799999999999998</v>
      </c>
      <c r="E196" s="195">
        <v>0.998</v>
      </c>
      <c r="F196" s="196">
        <v>50</v>
      </c>
    </row>
    <row r="197" spans="1:6" ht="21.95" customHeight="1" x14ac:dyDescent="0.3">
      <c r="A197" s="194" t="s">
        <v>1742</v>
      </c>
      <c r="B197" s="195">
        <v>1.0069999999999999</v>
      </c>
      <c r="C197" s="195">
        <v>1.006</v>
      </c>
      <c r="D197" s="195">
        <v>1.0009999999999999</v>
      </c>
      <c r="E197" s="195">
        <v>1.0029999999999999</v>
      </c>
      <c r="F197" s="196">
        <v>114</v>
      </c>
    </row>
    <row r="198" spans="1:6" ht="21.95" customHeight="1" x14ac:dyDescent="0.3">
      <c r="A198" s="194" t="s">
        <v>1743</v>
      </c>
      <c r="B198" s="195">
        <v>0.996</v>
      </c>
      <c r="C198" s="195">
        <v>0.995</v>
      </c>
      <c r="D198" s="195">
        <v>0.99199999999999999</v>
      </c>
      <c r="E198" s="195">
        <v>0.99299999999999999</v>
      </c>
      <c r="F198" s="196">
        <v>115</v>
      </c>
    </row>
    <row r="199" spans="1:6" ht="21.95" customHeight="1" x14ac:dyDescent="0.3">
      <c r="A199" s="194" t="s">
        <v>1744</v>
      </c>
      <c r="B199" s="195">
        <v>1</v>
      </c>
      <c r="C199" s="195">
        <v>0.999</v>
      </c>
      <c r="D199" s="195">
        <v>0.997</v>
      </c>
      <c r="E199" s="195">
        <v>0.999</v>
      </c>
      <c r="F199" s="196">
        <v>116</v>
      </c>
    </row>
    <row r="200" spans="1:6" ht="21.95" customHeight="1" x14ac:dyDescent="0.3">
      <c r="A200" s="194" t="s">
        <v>1745</v>
      </c>
      <c r="B200" s="195">
        <v>1.014</v>
      </c>
      <c r="C200" s="195">
        <v>1.01</v>
      </c>
      <c r="D200" s="195">
        <v>1.006</v>
      </c>
      <c r="E200" s="195">
        <v>1.0049999999999999</v>
      </c>
      <c r="F200" s="196">
        <v>117</v>
      </c>
    </row>
    <row r="201" spans="1:6" ht="21.95" customHeight="1" x14ac:dyDescent="0.3">
      <c r="A201" s="194" t="s">
        <v>1746</v>
      </c>
      <c r="B201" s="195">
        <v>1</v>
      </c>
      <c r="C201" s="195">
        <v>1</v>
      </c>
      <c r="D201" s="195">
        <v>0.995</v>
      </c>
      <c r="E201" s="195">
        <v>0.996</v>
      </c>
      <c r="F201" s="196">
        <v>118</v>
      </c>
    </row>
    <row r="202" spans="1:6" ht="21.95" customHeight="1" x14ac:dyDescent="0.3">
      <c r="A202" s="194" t="s">
        <v>1747</v>
      </c>
      <c r="B202" s="195">
        <v>0.99199999999999999</v>
      </c>
      <c r="C202" s="195">
        <v>0.99099999999999999</v>
      </c>
      <c r="D202" s="195">
        <v>0.99</v>
      </c>
      <c r="E202" s="195">
        <v>0.99099999999999999</v>
      </c>
      <c r="F202" s="196">
        <v>124</v>
      </c>
    </row>
    <row r="203" spans="1:6" ht="21.95" customHeight="1" x14ac:dyDescent="0.3">
      <c r="A203" s="194" t="s">
        <v>1748</v>
      </c>
      <c r="B203" s="195">
        <v>1.0009999999999999</v>
      </c>
      <c r="C203" s="195">
        <v>1.0009999999999999</v>
      </c>
      <c r="D203" s="195">
        <v>1</v>
      </c>
      <c r="E203" s="195">
        <v>1.0009999999999999</v>
      </c>
      <c r="F203" s="196">
        <v>125</v>
      </c>
    </row>
    <row r="204" spans="1:6" ht="21.95" customHeight="1" x14ac:dyDescent="0.3">
      <c r="A204" s="194" t="s">
        <v>1749</v>
      </c>
      <c r="B204" s="195">
        <v>1.0009999999999999</v>
      </c>
      <c r="C204" s="195">
        <v>1.0009999999999999</v>
      </c>
      <c r="D204" s="195">
        <v>1</v>
      </c>
      <c r="E204" s="195">
        <v>1.0009999999999999</v>
      </c>
      <c r="F204" s="196">
        <v>119</v>
      </c>
    </row>
    <row r="205" spans="1:6" ht="21.95" customHeight="1" x14ac:dyDescent="0.3">
      <c r="A205" s="194" t="s">
        <v>1750</v>
      </c>
      <c r="B205" s="195">
        <v>1</v>
      </c>
      <c r="C205" s="195">
        <v>1</v>
      </c>
      <c r="D205" s="195">
        <v>1</v>
      </c>
      <c r="E205" s="195">
        <v>1</v>
      </c>
      <c r="F205" s="196">
        <v>126</v>
      </c>
    </row>
    <row r="206" spans="1:6" ht="21.95" customHeight="1" x14ac:dyDescent="0.3">
      <c r="A206" s="194" t="s">
        <v>1751</v>
      </c>
      <c r="B206" s="195">
        <v>0.995</v>
      </c>
      <c r="C206" s="195">
        <v>0.995</v>
      </c>
      <c r="D206" s="195">
        <v>0.99399999999999999</v>
      </c>
      <c r="E206" s="195">
        <v>0.995</v>
      </c>
      <c r="F206" s="196">
        <v>127</v>
      </c>
    </row>
    <row r="207" spans="1:6" ht="21.95" customHeight="1" x14ac:dyDescent="0.3">
      <c r="A207" s="194" t="s">
        <v>1752</v>
      </c>
      <c r="B207" s="195">
        <v>1</v>
      </c>
      <c r="C207" s="195">
        <v>1</v>
      </c>
      <c r="D207" s="195">
        <v>0.97299999999999998</v>
      </c>
      <c r="E207" s="195">
        <v>0.97599999999999998</v>
      </c>
      <c r="F207" s="196">
        <v>511</v>
      </c>
    </row>
    <row r="208" spans="1:6" ht="21.95" customHeight="1" x14ac:dyDescent="0.3">
      <c r="A208" s="194" t="s">
        <v>1753</v>
      </c>
      <c r="B208" s="195">
        <v>1</v>
      </c>
      <c r="C208" s="195">
        <v>1</v>
      </c>
      <c r="D208" s="195">
        <v>1</v>
      </c>
      <c r="E208" s="195">
        <v>1</v>
      </c>
      <c r="F208" s="196">
        <v>512</v>
      </c>
    </row>
    <row r="209" spans="1:6" ht="21.95" customHeight="1" x14ac:dyDescent="0.3">
      <c r="A209" s="194" t="s">
        <v>1754</v>
      </c>
      <c r="B209" s="195">
        <v>0.999</v>
      </c>
      <c r="C209" s="195">
        <v>0.999</v>
      </c>
      <c r="D209" s="195">
        <v>0.99299999999999999</v>
      </c>
      <c r="E209" s="195">
        <v>0.998</v>
      </c>
      <c r="F209" s="196">
        <v>513</v>
      </c>
    </row>
    <row r="210" spans="1:6" ht="21.95" customHeight="1" x14ac:dyDescent="0.3">
      <c r="A210" s="194" t="s">
        <v>1755</v>
      </c>
      <c r="B210" s="195">
        <v>1</v>
      </c>
      <c r="C210" s="195">
        <v>1</v>
      </c>
      <c r="D210" s="195">
        <v>1</v>
      </c>
      <c r="E210" s="195">
        <v>1</v>
      </c>
      <c r="F210" s="196">
        <v>514</v>
      </c>
    </row>
    <row r="211" spans="1:6" ht="21.95" customHeight="1" x14ac:dyDescent="0.3">
      <c r="A211" s="194" t="s">
        <v>1756</v>
      </c>
      <c r="B211" s="195">
        <v>1.006</v>
      </c>
      <c r="C211" s="195">
        <v>1.006</v>
      </c>
      <c r="D211" s="195">
        <v>1.0049999999999999</v>
      </c>
      <c r="E211" s="195">
        <v>1.0049999999999999</v>
      </c>
      <c r="F211" s="196">
        <v>515</v>
      </c>
    </row>
    <row r="212" spans="1:6" ht="21.95" customHeight="1" x14ac:dyDescent="0.3">
      <c r="A212" s="194" t="s">
        <v>1757</v>
      </c>
      <c r="B212" s="195">
        <v>1</v>
      </c>
      <c r="C212" s="195">
        <v>1</v>
      </c>
      <c r="D212" s="195">
        <v>1</v>
      </c>
      <c r="E212" s="195">
        <v>1</v>
      </c>
      <c r="F212" s="196">
        <v>516</v>
      </c>
    </row>
    <row r="213" spans="1:6" ht="21.95" customHeight="1" x14ac:dyDescent="0.3">
      <c r="A213" s="194" t="s">
        <v>1758</v>
      </c>
      <c r="B213" s="195">
        <v>1.0009999999999999</v>
      </c>
      <c r="C213" s="195">
        <v>1.0009999999999999</v>
      </c>
      <c r="D213" s="195">
        <v>1</v>
      </c>
      <c r="E213" s="195">
        <v>1</v>
      </c>
      <c r="F213" s="196">
        <v>517</v>
      </c>
    </row>
    <row r="214" spans="1:6" ht="21.95" customHeight="1" x14ac:dyDescent="0.3">
      <c r="A214" s="194" t="s">
        <v>1759</v>
      </c>
      <c r="B214" s="195">
        <v>0.97899999999999998</v>
      </c>
      <c r="C214" s="195">
        <v>0.97</v>
      </c>
      <c r="D214" s="195">
        <v>0.97</v>
      </c>
      <c r="E214" s="195">
        <v>1</v>
      </c>
      <c r="F214" s="196">
        <v>518</v>
      </c>
    </row>
    <row r="215" spans="1:6" ht="21.95" customHeight="1" x14ac:dyDescent="0.3">
      <c r="A215" s="194" t="s">
        <v>1760</v>
      </c>
      <c r="B215" s="195">
        <v>0.995</v>
      </c>
      <c r="C215" s="195">
        <v>0.98799999999999999</v>
      </c>
      <c r="D215" s="195">
        <v>0.94199999999999995</v>
      </c>
      <c r="E215" s="195">
        <v>0.95699999999999996</v>
      </c>
      <c r="F215" s="196">
        <v>519</v>
      </c>
    </row>
    <row r="216" spans="1:6" ht="21.95" customHeight="1" x14ac:dyDescent="0.3">
      <c r="A216" s="194" t="s">
        <v>1761</v>
      </c>
      <c r="B216" s="195">
        <v>1</v>
      </c>
      <c r="C216" s="195">
        <v>1</v>
      </c>
      <c r="D216" s="195">
        <v>1</v>
      </c>
      <c r="E216" s="195">
        <v>1</v>
      </c>
      <c r="F216" s="196">
        <v>520</v>
      </c>
    </row>
    <row r="217" spans="1:6" ht="21.95" customHeight="1" x14ac:dyDescent="0.3">
      <c r="A217" s="194" t="s">
        <v>1762</v>
      </c>
      <c r="B217" s="195">
        <v>0.97899999999999998</v>
      </c>
      <c r="C217" s="195">
        <v>0.97</v>
      </c>
      <c r="D217" s="195">
        <v>0.97</v>
      </c>
      <c r="E217" s="195">
        <v>1</v>
      </c>
      <c r="F217" s="196">
        <v>521</v>
      </c>
    </row>
    <row r="218" spans="1:6" ht="21.95" customHeight="1" x14ac:dyDescent="0.3">
      <c r="A218" s="194" t="s">
        <v>1763</v>
      </c>
      <c r="B218" s="195">
        <v>0.97699999999999998</v>
      </c>
      <c r="C218" s="195">
        <v>0.96699999999999997</v>
      </c>
      <c r="D218" s="195">
        <v>0.93799999999999994</v>
      </c>
      <c r="E218" s="195">
        <v>0.91600000000000004</v>
      </c>
      <c r="F218" s="196">
        <v>522</v>
      </c>
    </row>
    <row r="219" spans="1:6" ht="21.95" customHeight="1" x14ac:dyDescent="0.3">
      <c r="A219" s="194" t="s">
        <v>1764</v>
      </c>
      <c r="B219" s="195">
        <v>1</v>
      </c>
      <c r="C219" s="195">
        <v>1</v>
      </c>
      <c r="D219" s="195">
        <v>1</v>
      </c>
      <c r="E219" s="195">
        <v>1</v>
      </c>
      <c r="F219" s="196">
        <v>523</v>
      </c>
    </row>
    <row r="220" spans="1:6" ht="21.95" customHeight="1" x14ac:dyDescent="0.3">
      <c r="A220" s="194" t="s">
        <v>1765</v>
      </c>
      <c r="B220" s="195">
        <v>1</v>
      </c>
      <c r="C220" s="195">
        <v>1</v>
      </c>
      <c r="D220" s="195">
        <v>1</v>
      </c>
      <c r="E220" s="195">
        <v>1</v>
      </c>
      <c r="F220" s="196">
        <v>524</v>
      </c>
    </row>
    <row r="221" spans="1:6" ht="21.95" customHeight="1" x14ac:dyDescent="0.3">
      <c r="A221" s="194" t="s">
        <v>1766</v>
      </c>
      <c r="B221" s="195">
        <v>1.0049999999999999</v>
      </c>
      <c r="C221" s="195">
        <v>1.0029999999999999</v>
      </c>
      <c r="D221" s="195">
        <v>0.99399999999999999</v>
      </c>
      <c r="E221" s="195">
        <v>0.997</v>
      </c>
      <c r="F221" s="196">
        <v>525</v>
      </c>
    </row>
    <row r="222" spans="1:6" ht="21.95" customHeight="1" x14ac:dyDescent="0.3">
      <c r="A222" s="194" t="s">
        <v>1767</v>
      </c>
      <c r="B222" s="195">
        <v>1.0049999999999999</v>
      </c>
      <c r="C222" s="195">
        <v>1.004</v>
      </c>
      <c r="D222" s="195">
        <v>1.002</v>
      </c>
      <c r="E222" s="195">
        <v>1.004</v>
      </c>
      <c r="F222" s="196">
        <v>526</v>
      </c>
    </row>
    <row r="223" spans="1:6" ht="21.95" customHeight="1" x14ac:dyDescent="0.3">
      <c r="A223" s="194" t="s">
        <v>1768</v>
      </c>
      <c r="B223" s="195">
        <v>0.99</v>
      </c>
      <c r="C223" s="195">
        <v>0.97899999999999998</v>
      </c>
      <c r="D223" s="195">
        <v>1.2090000000000001</v>
      </c>
      <c r="E223" s="195">
        <v>0.752</v>
      </c>
      <c r="F223" s="196">
        <v>527</v>
      </c>
    </row>
    <row r="224" spans="1:6" ht="21.95" customHeight="1" x14ac:dyDescent="0.3">
      <c r="A224" s="194" t="s">
        <v>1769</v>
      </c>
      <c r="B224" s="195">
        <v>0.96</v>
      </c>
      <c r="C224" s="195">
        <v>0.999</v>
      </c>
      <c r="D224" s="195">
        <v>0.99199999999999999</v>
      </c>
      <c r="E224" s="195">
        <v>1.0009999999999999</v>
      </c>
      <c r="F224" s="196">
        <v>528</v>
      </c>
    </row>
    <row r="225" spans="1:6" ht="21.95" customHeight="1" x14ac:dyDescent="0.3">
      <c r="A225" s="194" t="s">
        <v>1770</v>
      </c>
      <c r="B225" s="195">
        <v>0.99</v>
      </c>
      <c r="C225" s="195">
        <v>0.97799999999999998</v>
      </c>
      <c r="D225" s="195">
        <v>0.97799999999999998</v>
      </c>
      <c r="E225" s="195">
        <v>0.98299999999999998</v>
      </c>
      <c r="F225" s="196">
        <v>529</v>
      </c>
    </row>
    <row r="226" spans="1:6" ht="21.95" customHeight="1" x14ac:dyDescent="0.3">
      <c r="A226" s="194" t="s">
        <v>1771</v>
      </c>
      <c r="B226" s="195">
        <v>1.0009999999999999</v>
      </c>
      <c r="C226" s="195">
        <v>1.002</v>
      </c>
      <c r="D226" s="195">
        <v>1.002</v>
      </c>
      <c r="E226" s="195">
        <v>1.0009999999999999</v>
      </c>
      <c r="F226" s="196">
        <v>551</v>
      </c>
    </row>
    <row r="227" spans="1:6" ht="21.95" customHeight="1" x14ac:dyDescent="0.3">
      <c r="A227" s="194" t="s">
        <v>1772</v>
      </c>
      <c r="B227" s="195">
        <v>1.0129999999999999</v>
      </c>
      <c r="C227" s="195">
        <v>1.012</v>
      </c>
      <c r="D227" s="195">
        <v>1.0089999999999999</v>
      </c>
      <c r="E227" s="195">
        <v>1.01</v>
      </c>
      <c r="F227" s="196">
        <v>530</v>
      </c>
    </row>
    <row r="228" spans="1:6" ht="21.95" customHeight="1" x14ac:dyDescent="0.3">
      <c r="A228" s="194" t="s">
        <v>1773</v>
      </c>
      <c r="B228" s="195">
        <v>0.998</v>
      </c>
      <c r="C228" s="195">
        <v>0.998</v>
      </c>
      <c r="D228" s="195">
        <v>0.998</v>
      </c>
      <c r="E228" s="195">
        <v>0.998</v>
      </c>
      <c r="F228" s="196">
        <v>552</v>
      </c>
    </row>
    <row r="229" spans="1:6" ht="21.95" customHeight="1" x14ac:dyDescent="0.3">
      <c r="A229" s="194" t="s">
        <v>1774</v>
      </c>
      <c r="B229" s="195">
        <v>0.998</v>
      </c>
      <c r="C229" s="195">
        <v>0.998</v>
      </c>
      <c r="D229" s="195">
        <v>0.998</v>
      </c>
      <c r="E229" s="195">
        <v>0.998</v>
      </c>
      <c r="F229" s="196">
        <v>553</v>
      </c>
    </row>
    <row r="230" spans="1:6" ht="21.95" customHeight="1" x14ac:dyDescent="0.3">
      <c r="A230" s="194" t="s">
        <v>1775</v>
      </c>
      <c r="B230" s="195">
        <v>0.88900000000000001</v>
      </c>
      <c r="C230" s="195">
        <v>0.94799999999999995</v>
      </c>
      <c r="D230" s="195">
        <v>1</v>
      </c>
      <c r="E230" s="195">
        <v>1</v>
      </c>
      <c r="F230" s="196">
        <v>531</v>
      </c>
    </row>
    <row r="231" spans="1:6" ht="21.95" customHeight="1" x14ac:dyDescent="0.3">
      <c r="A231" s="194" t="s">
        <v>1776</v>
      </c>
      <c r="B231" s="195">
        <v>0.99099999999999999</v>
      </c>
      <c r="C231" s="195">
        <v>1.0029999999999999</v>
      </c>
      <c r="D231" s="195">
        <v>1.0009999999999999</v>
      </c>
      <c r="E231" s="195">
        <v>0.999</v>
      </c>
      <c r="F231" s="196">
        <v>532</v>
      </c>
    </row>
    <row r="232" spans="1:6" ht="21.95" customHeight="1" x14ac:dyDescent="0.3">
      <c r="A232" s="194" t="s">
        <v>1777</v>
      </c>
      <c r="B232" s="195">
        <v>0.999</v>
      </c>
      <c r="C232" s="195">
        <v>1</v>
      </c>
      <c r="D232" s="195">
        <v>1</v>
      </c>
      <c r="E232" s="195">
        <v>1</v>
      </c>
      <c r="F232" s="196">
        <v>533</v>
      </c>
    </row>
    <row r="233" spans="1:6" ht="21.95" customHeight="1" x14ac:dyDescent="0.3">
      <c r="A233" s="194" t="s">
        <v>1778</v>
      </c>
      <c r="B233" s="195">
        <v>0.96699999999999997</v>
      </c>
      <c r="C233" s="195">
        <v>0.998</v>
      </c>
      <c r="D233" s="195">
        <v>0.98499999999999999</v>
      </c>
      <c r="E233" s="195">
        <v>0.996</v>
      </c>
      <c r="F233" s="196">
        <v>534</v>
      </c>
    </row>
    <row r="234" spans="1:6" ht="21.95" customHeight="1" x14ac:dyDescent="0.3">
      <c r="A234" s="194" t="s">
        <v>1779</v>
      </c>
      <c r="B234" s="195">
        <v>1.0129999999999999</v>
      </c>
      <c r="C234" s="195">
        <v>1.012</v>
      </c>
      <c r="D234" s="195">
        <v>1.0089999999999999</v>
      </c>
      <c r="E234" s="195">
        <v>1.01</v>
      </c>
      <c r="F234" s="196">
        <v>535</v>
      </c>
    </row>
    <row r="235" spans="1:6" ht="21.95" customHeight="1" x14ac:dyDescent="0.3">
      <c r="A235" s="194" t="s">
        <v>1780</v>
      </c>
      <c r="B235" s="195">
        <v>1.0129999999999999</v>
      </c>
      <c r="C235" s="195">
        <v>1.012</v>
      </c>
      <c r="D235" s="195">
        <v>1.0089999999999999</v>
      </c>
      <c r="E235" s="195">
        <v>1.01</v>
      </c>
      <c r="F235" s="196">
        <v>536</v>
      </c>
    </row>
    <row r="236" spans="1:6" ht="21.95" customHeight="1" x14ac:dyDescent="0.3">
      <c r="A236" s="194" t="s">
        <v>1781</v>
      </c>
      <c r="B236" s="195">
        <v>1.0129999999999999</v>
      </c>
      <c r="C236" s="195">
        <v>1.012</v>
      </c>
      <c r="D236" s="195">
        <v>1.0089999999999999</v>
      </c>
      <c r="E236" s="195">
        <v>1.01</v>
      </c>
      <c r="F236" s="196">
        <v>537</v>
      </c>
    </row>
    <row r="237" spans="1:6" ht="21.95" customHeight="1" x14ac:dyDescent="0.3">
      <c r="A237" s="194" t="s">
        <v>1782</v>
      </c>
      <c r="B237" s="195">
        <v>1.0129999999999999</v>
      </c>
      <c r="C237" s="195">
        <v>1.012</v>
      </c>
      <c r="D237" s="195">
        <v>1.0089999999999999</v>
      </c>
      <c r="E237" s="195">
        <v>1.01</v>
      </c>
      <c r="F237" s="196">
        <v>538</v>
      </c>
    </row>
    <row r="238" spans="1:6" ht="21.95" customHeight="1" x14ac:dyDescent="0.3">
      <c r="A238" s="194" t="s">
        <v>1783</v>
      </c>
      <c r="B238" s="195">
        <v>1.0129999999999999</v>
      </c>
      <c r="C238" s="195">
        <v>1.012</v>
      </c>
      <c r="D238" s="195">
        <v>1.0089999999999999</v>
      </c>
      <c r="E238" s="195">
        <v>1.01</v>
      </c>
      <c r="F238" s="196">
        <v>539</v>
      </c>
    </row>
    <row r="239" spans="1:6" ht="21.95" customHeight="1" x14ac:dyDescent="0.3">
      <c r="A239" s="194" t="s">
        <v>1784</v>
      </c>
      <c r="B239" s="195">
        <v>1.0129999999999999</v>
      </c>
      <c r="C239" s="195">
        <v>1.012</v>
      </c>
      <c r="D239" s="195">
        <v>1.0089999999999999</v>
      </c>
      <c r="E239" s="195">
        <v>1.01</v>
      </c>
      <c r="F239" s="196">
        <v>510</v>
      </c>
    </row>
  </sheetData>
  <mergeCells count="9">
    <mergeCell ref="A22:F22"/>
    <mergeCell ref="A23:F23"/>
    <mergeCell ref="A139:F139"/>
    <mergeCell ref="A140:F140"/>
    <mergeCell ref="A2:E2"/>
    <mergeCell ref="A3:E3"/>
    <mergeCell ref="B9:E9"/>
    <mergeCell ref="A12:F12"/>
    <mergeCell ref="A13:F13"/>
  </mergeCells>
  <phoneticPr fontId="40" type="noConversion"/>
  <hyperlinks>
    <hyperlink ref="A1" location="Overview!A1" display="Back to Overview" xr:uid="{E317B232-7392-4A58-824F-EB6FFEC9C002}"/>
  </hyperlinks>
  <pageMargins left="0.39370078740157483" right="0.39370078740157483" top="0.9055118110236221" bottom="0.74803149606299213" header="0.51181102362204722" footer="0.51181102362204722"/>
  <pageSetup paperSize="9" scale="65" fitToHeight="0" orientation="portrait" r:id="rId1"/>
  <headerFooter differentFirst="1" scaleWithDoc="0">
    <oddHeader>&amp;L&amp;"Trebuchet MS,Regular"
&amp;"Trebuchet MS,Bold"Annex 5 &amp;"Trebuchet MS,Regular"– Schedule of Line Loss Factors</oddHeader>
    <firstHeader>&amp;L&amp;"Trebuchet MS,Regular"
&amp;"Trebuchet MS,Bold"Annex 5&amp;"Trebuchet MS,Regular" – Schedule of Line Loss Factors</first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R34"/>
  <sheetViews>
    <sheetView zoomScale="90" zoomScaleNormal="90" zoomScaleSheetLayoutView="100" workbookViewId="0"/>
  </sheetViews>
  <sheetFormatPr defaultColWidth="9.140625" defaultRowHeight="27.75" customHeight="1" x14ac:dyDescent="0.3"/>
  <cols>
    <col min="1" max="2" width="16" style="69" customWidth="1"/>
    <col min="3" max="3" width="6.28515625" style="69" bestFit="1" customWidth="1"/>
    <col min="4" max="4" width="20.7109375" style="69" customWidth="1"/>
    <col min="5" max="5" width="16.42578125" style="89" customWidth="1"/>
    <col min="6" max="6" width="6.28515625" style="89" bestFit="1" customWidth="1"/>
    <col min="7" max="7" width="20.7109375" style="69" customWidth="1"/>
    <col min="8" max="8" width="50.5703125" style="89" customWidth="1"/>
    <col min="9" max="10" width="15.5703125" style="89" customWidth="1"/>
    <col min="11" max="11" width="15.5703125" style="90" customWidth="1"/>
    <col min="12" max="13" width="15.5703125" style="91" customWidth="1"/>
    <col min="14" max="16" width="15.5703125" style="69" customWidth="1"/>
    <col min="17" max="18" width="13.7109375" style="69" customWidth="1"/>
    <col min="19" max="19" width="15.5703125" style="69" customWidth="1"/>
    <col min="20" max="16384" width="9.140625" style="69"/>
  </cols>
  <sheetData>
    <row r="1" spans="1:16" ht="39.75" customHeight="1" x14ac:dyDescent="0.2">
      <c r="A1" s="68" t="s">
        <v>18</v>
      </c>
      <c r="B1" s="68"/>
      <c r="C1" s="251" t="s">
        <v>365</v>
      </c>
      <c r="D1" s="251"/>
      <c r="E1" s="251"/>
      <c r="F1" s="251"/>
      <c r="G1" s="251"/>
      <c r="H1" s="251"/>
      <c r="I1" s="251"/>
      <c r="J1" s="251"/>
      <c r="K1" s="251"/>
      <c r="L1" s="251"/>
      <c r="M1" s="251"/>
      <c r="N1" s="251"/>
      <c r="O1" s="251"/>
      <c r="P1" s="251"/>
    </row>
    <row r="2" spans="1:16" ht="27.75" customHeight="1" x14ac:dyDescent="0.2">
      <c r="A2" s="221" t="s">
        <v>364</v>
      </c>
      <c r="B2" s="222"/>
      <c r="C2" s="222"/>
      <c r="D2" s="222"/>
      <c r="E2" s="222"/>
      <c r="F2" s="222"/>
      <c r="G2" s="222"/>
      <c r="H2" s="222"/>
      <c r="I2" s="222"/>
      <c r="J2" s="222"/>
      <c r="K2" s="222"/>
      <c r="L2" s="222"/>
      <c r="M2" s="222"/>
      <c r="N2" s="222"/>
      <c r="O2" s="222"/>
      <c r="P2" s="223"/>
    </row>
    <row r="3" spans="1:16" ht="17.25" customHeight="1" x14ac:dyDescent="0.3">
      <c r="A3" s="68"/>
      <c r="B3" s="68"/>
      <c r="C3" s="68"/>
      <c r="D3" s="68"/>
    </row>
    <row r="4" spans="1:16" s="70" customFormat="1" ht="25.5" customHeight="1" x14ac:dyDescent="0.2">
      <c r="A4" s="221" t="str">
        <f>Overview!B4&amp; " - Effective from "&amp;Overview!D4&amp;" - "&amp;Overview!E4&amp;" new Designated EHV charges"</f>
        <v>Northern Powergrid (Yorkshire) Plc - Effective from 1 April 2026 - Final new Designated EHV charges</v>
      </c>
      <c r="B4" s="222"/>
      <c r="C4" s="222"/>
      <c r="D4" s="222"/>
      <c r="E4" s="222"/>
      <c r="F4" s="222"/>
      <c r="G4" s="222"/>
      <c r="H4" s="222"/>
      <c r="I4" s="222"/>
      <c r="J4" s="222"/>
      <c r="K4" s="222"/>
      <c r="L4" s="222"/>
      <c r="M4" s="222"/>
      <c r="N4" s="222"/>
      <c r="O4" s="222"/>
      <c r="P4" s="223"/>
    </row>
    <row r="5" spans="1:16" ht="69.75" customHeight="1" x14ac:dyDescent="0.2">
      <c r="A5" s="73" t="s">
        <v>368</v>
      </c>
      <c r="B5" s="73" t="s">
        <v>270</v>
      </c>
      <c r="C5" s="73" t="s">
        <v>260</v>
      </c>
      <c r="D5" s="73" t="s">
        <v>261</v>
      </c>
      <c r="E5" s="73" t="s">
        <v>271</v>
      </c>
      <c r="F5" s="73" t="s">
        <v>260</v>
      </c>
      <c r="G5" s="73" t="s">
        <v>262</v>
      </c>
      <c r="H5" s="75" t="s">
        <v>29</v>
      </c>
      <c r="I5" s="75" t="str">
        <f>'Annex 2 Designated EHV charges'!I9</f>
        <v>Import
Super Red
unit charge
(p/kWh)</v>
      </c>
      <c r="J5" s="75" t="str">
        <f>'Annex 2 Designated EHV charges'!J9</f>
        <v>Import
fixed charge
(p/day)</v>
      </c>
      <c r="K5" s="75" t="str">
        <f>'Annex 2 Designated EHV charges'!K9</f>
        <v>Import
capacity charge
(p/kVA/day)</v>
      </c>
      <c r="L5" s="75" t="str">
        <f>'Annex 2 Designated EHV charges'!L9</f>
        <v>Import
exceeded capacity charge
(p/kVA/day)</v>
      </c>
      <c r="M5" s="75" t="str">
        <f>'Annex 2 Designated EHV charges'!M9</f>
        <v>Export
Super Red
unit charge
(p/kWh)</v>
      </c>
      <c r="N5" s="75" t="str">
        <f>'Annex 2 Designated EHV charges'!N9</f>
        <v>Export
fixed charge
(p/day)</v>
      </c>
      <c r="O5" s="75" t="str">
        <f>'Annex 2 Designated EHV charges'!O9</f>
        <v>Export
capacity charge
(p/kVA/day)</v>
      </c>
      <c r="P5" s="75" t="str">
        <f>'Annex 2 Designated EHV charges'!P9</f>
        <v>Export
exceeded capacity charge
(p/kVA/day)</v>
      </c>
    </row>
    <row r="6" spans="1:16" ht="22.5" customHeight="1" x14ac:dyDescent="0.2">
      <c r="A6" s="162"/>
      <c r="B6" s="162"/>
      <c r="C6" s="162"/>
      <c r="D6" s="162"/>
      <c r="E6" s="163"/>
      <c r="F6" s="163"/>
      <c r="G6" s="163"/>
      <c r="H6" s="163"/>
      <c r="I6" s="164"/>
      <c r="J6" s="165"/>
      <c r="K6" s="165"/>
      <c r="L6" s="165"/>
      <c r="M6" s="166"/>
      <c r="N6" s="167"/>
      <c r="O6" s="167"/>
      <c r="P6" s="167"/>
    </row>
    <row r="7" spans="1:16" ht="22.5" customHeight="1" x14ac:dyDescent="0.2">
      <c r="A7" s="162"/>
      <c r="B7" s="162"/>
      <c r="C7" s="162"/>
      <c r="D7" s="162"/>
      <c r="E7" s="163"/>
      <c r="F7" s="163"/>
      <c r="G7" s="163"/>
      <c r="H7" s="163"/>
      <c r="I7" s="164"/>
      <c r="J7" s="165"/>
      <c r="K7" s="165"/>
      <c r="L7" s="165"/>
      <c r="M7" s="166"/>
      <c r="N7" s="167"/>
      <c r="O7" s="167"/>
      <c r="P7" s="167"/>
    </row>
    <row r="8" spans="1:16" ht="22.5" customHeight="1" x14ac:dyDescent="0.2">
      <c r="A8" s="162"/>
      <c r="B8" s="162"/>
      <c r="C8" s="162"/>
      <c r="D8" s="162"/>
      <c r="E8" s="163"/>
      <c r="F8" s="163"/>
      <c r="G8" s="163"/>
      <c r="H8" s="163"/>
      <c r="I8" s="164"/>
      <c r="J8" s="165"/>
      <c r="K8" s="165"/>
      <c r="L8" s="165"/>
      <c r="M8" s="166"/>
      <c r="N8" s="167"/>
      <c r="O8" s="167"/>
      <c r="P8" s="167"/>
    </row>
    <row r="9" spans="1:16" ht="22.5" customHeight="1" x14ac:dyDescent="0.2">
      <c r="A9" s="162"/>
      <c r="B9" s="162"/>
      <c r="C9" s="162"/>
      <c r="D9" s="162"/>
      <c r="E9" s="163"/>
      <c r="F9" s="163"/>
      <c r="G9" s="163"/>
      <c r="H9" s="163"/>
      <c r="I9" s="164"/>
      <c r="J9" s="165"/>
      <c r="K9" s="165"/>
      <c r="L9" s="165"/>
      <c r="M9" s="166"/>
      <c r="N9" s="167"/>
      <c r="O9" s="167"/>
      <c r="P9" s="167"/>
    </row>
    <row r="10" spans="1:16" ht="22.5" customHeight="1" x14ac:dyDescent="0.2">
      <c r="A10" s="162"/>
      <c r="B10" s="162"/>
      <c r="C10" s="162"/>
      <c r="D10" s="162"/>
      <c r="E10" s="163"/>
      <c r="F10" s="163"/>
      <c r="G10" s="163"/>
      <c r="H10" s="163"/>
      <c r="I10" s="164"/>
      <c r="J10" s="165"/>
      <c r="K10" s="165"/>
      <c r="L10" s="165"/>
      <c r="M10" s="166"/>
      <c r="N10" s="167"/>
      <c r="O10" s="167"/>
      <c r="P10" s="167"/>
    </row>
    <row r="11" spans="1:16" ht="22.5" customHeight="1" x14ac:dyDescent="0.2">
      <c r="A11" s="162"/>
      <c r="B11" s="162"/>
      <c r="C11" s="162"/>
      <c r="D11" s="162"/>
      <c r="E11" s="163"/>
      <c r="F11" s="163"/>
      <c r="G11" s="163"/>
      <c r="H11" s="163"/>
      <c r="I11" s="164"/>
      <c r="J11" s="165"/>
      <c r="K11" s="165"/>
      <c r="L11" s="165"/>
      <c r="M11" s="166"/>
      <c r="N11" s="167"/>
      <c r="O11" s="167"/>
      <c r="P11" s="167"/>
    </row>
    <row r="12" spans="1:16" ht="22.5" customHeight="1" x14ac:dyDescent="0.2">
      <c r="A12" s="162"/>
      <c r="B12" s="162"/>
      <c r="C12" s="162"/>
      <c r="D12" s="162"/>
      <c r="E12" s="163"/>
      <c r="F12" s="163"/>
      <c r="G12" s="163"/>
      <c r="H12" s="163"/>
      <c r="I12" s="164"/>
      <c r="J12" s="165"/>
      <c r="K12" s="165"/>
      <c r="L12" s="165"/>
      <c r="M12" s="166"/>
      <c r="N12" s="167"/>
      <c r="O12" s="167"/>
      <c r="P12" s="167"/>
    </row>
    <row r="13" spans="1:16" ht="22.5" customHeight="1" x14ac:dyDescent="0.2">
      <c r="A13" s="162"/>
      <c r="B13" s="162"/>
      <c r="C13" s="162"/>
      <c r="D13" s="162"/>
      <c r="E13" s="163"/>
      <c r="F13" s="163"/>
      <c r="G13" s="163"/>
      <c r="H13" s="163"/>
      <c r="I13" s="164"/>
      <c r="J13" s="165"/>
      <c r="K13" s="165"/>
      <c r="L13" s="165"/>
      <c r="M13" s="166"/>
      <c r="N13" s="167"/>
      <c r="O13" s="167"/>
      <c r="P13" s="167"/>
    </row>
    <row r="14" spans="1:16" ht="22.5" customHeight="1" x14ac:dyDescent="0.2">
      <c r="A14" s="162"/>
      <c r="B14" s="162"/>
      <c r="C14" s="162"/>
      <c r="D14" s="162"/>
      <c r="E14" s="163"/>
      <c r="F14" s="163"/>
      <c r="G14" s="163"/>
      <c r="H14" s="163"/>
      <c r="I14" s="164"/>
      <c r="J14" s="165"/>
      <c r="K14" s="165"/>
      <c r="L14" s="165"/>
      <c r="M14" s="166"/>
      <c r="N14" s="167"/>
      <c r="O14" s="167"/>
      <c r="P14" s="167"/>
    </row>
    <row r="15" spans="1:16" ht="22.5" customHeight="1" x14ac:dyDescent="0.2">
      <c r="A15" s="162"/>
      <c r="B15" s="162"/>
      <c r="C15" s="162"/>
      <c r="D15" s="162"/>
      <c r="E15" s="163"/>
      <c r="F15" s="163"/>
      <c r="G15" s="163"/>
      <c r="H15" s="163"/>
      <c r="I15" s="164"/>
      <c r="J15" s="165"/>
      <c r="K15" s="165"/>
      <c r="L15" s="165"/>
      <c r="M15" s="166"/>
      <c r="N15" s="167"/>
      <c r="O15" s="167"/>
      <c r="P15" s="167"/>
    </row>
    <row r="17" spans="1:18" ht="27.75" customHeight="1" x14ac:dyDescent="0.2">
      <c r="A17" s="221" t="str">
        <f>Overview!B4&amp; " - Effective from "&amp;Overview!D4&amp;" - "&amp;Overview!E4&amp;" new Designated EHV line loss factors"</f>
        <v>Northern Powergrid (Yorkshire) Plc - Effective from 1 April 2026 - Final new Designated EHV line loss factors</v>
      </c>
      <c r="B17" s="222"/>
      <c r="C17" s="222"/>
      <c r="D17" s="222"/>
      <c r="E17" s="222"/>
      <c r="F17" s="222"/>
      <c r="G17" s="222"/>
      <c r="H17" s="222"/>
      <c r="I17" s="222"/>
      <c r="J17" s="222"/>
      <c r="K17" s="222"/>
      <c r="L17" s="222"/>
      <c r="M17" s="222"/>
      <c r="N17" s="222"/>
      <c r="O17" s="222"/>
      <c r="P17" s="222"/>
      <c r="Q17" s="222"/>
      <c r="R17" s="223"/>
    </row>
    <row r="18" spans="1:18" ht="62.25" customHeight="1" x14ac:dyDescent="0.2">
      <c r="A18" s="73" t="s">
        <v>368</v>
      </c>
      <c r="B18" s="73" t="s">
        <v>270</v>
      </c>
      <c r="C18" s="73" t="s">
        <v>260</v>
      </c>
      <c r="D18" s="73" t="s">
        <v>261</v>
      </c>
      <c r="E18" s="73" t="s">
        <v>271</v>
      </c>
      <c r="F18" s="73" t="s">
        <v>260</v>
      </c>
      <c r="G18" s="73" t="s">
        <v>262</v>
      </c>
      <c r="H18" s="75" t="s">
        <v>29</v>
      </c>
      <c r="I18" s="168" t="s">
        <v>337</v>
      </c>
      <c r="J18" s="168" t="s">
        <v>336</v>
      </c>
      <c r="K18" s="168" t="s">
        <v>338</v>
      </c>
      <c r="L18" s="168" t="s">
        <v>339</v>
      </c>
      <c r="M18" s="168" t="s">
        <v>340</v>
      </c>
      <c r="N18" s="169" t="s">
        <v>341</v>
      </c>
      <c r="O18" s="169" t="s">
        <v>342</v>
      </c>
      <c r="P18" s="169" t="s">
        <v>343</v>
      </c>
      <c r="Q18" s="169" t="s">
        <v>344</v>
      </c>
      <c r="R18" s="169" t="s">
        <v>345</v>
      </c>
    </row>
    <row r="19" spans="1:18" ht="22.5" customHeight="1" x14ac:dyDescent="0.2">
      <c r="A19" s="162"/>
      <c r="B19" s="162"/>
      <c r="C19" s="162"/>
      <c r="D19" s="162"/>
      <c r="E19" s="163"/>
      <c r="F19" s="170"/>
      <c r="G19" s="170"/>
      <c r="H19" s="170"/>
      <c r="I19" s="171"/>
      <c r="J19" s="171"/>
      <c r="K19" s="172"/>
      <c r="L19" s="173"/>
      <c r="M19" s="173"/>
      <c r="N19" s="174"/>
      <c r="O19" s="174"/>
      <c r="P19" s="174"/>
      <c r="Q19" s="174"/>
      <c r="R19" s="174"/>
    </row>
    <row r="20" spans="1:18" ht="22.5" customHeight="1" x14ac:dyDescent="0.2">
      <c r="A20" s="162"/>
      <c r="B20" s="162"/>
      <c r="C20" s="162"/>
      <c r="D20" s="162"/>
      <c r="E20" s="163"/>
      <c r="F20" s="170"/>
      <c r="G20" s="170"/>
      <c r="H20" s="170"/>
      <c r="I20" s="171"/>
      <c r="J20" s="171"/>
      <c r="K20" s="172"/>
      <c r="L20" s="173"/>
      <c r="M20" s="173"/>
      <c r="N20" s="174"/>
      <c r="O20" s="174"/>
      <c r="P20" s="174"/>
      <c r="Q20" s="174"/>
      <c r="R20" s="174"/>
    </row>
    <row r="21" spans="1:18" ht="22.5" customHeight="1" x14ac:dyDescent="0.2">
      <c r="A21" s="162"/>
      <c r="B21" s="162"/>
      <c r="C21" s="162"/>
      <c r="D21" s="162"/>
      <c r="E21" s="163"/>
      <c r="F21" s="170"/>
      <c r="G21" s="170"/>
      <c r="H21" s="170"/>
      <c r="I21" s="171"/>
      <c r="J21" s="171"/>
      <c r="K21" s="172"/>
      <c r="L21" s="173"/>
      <c r="M21" s="173"/>
      <c r="N21" s="174"/>
      <c r="O21" s="174"/>
      <c r="P21" s="174"/>
      <c r="Q21" s="174"/>
      <c r="R21" s="174"/>
    </row>
    <row r="22" spans="1:18" ht="22.5" customHeight="1" x14ac:dyDescent="0.2">
      <c r="A22" s="162"/>
      <c r="B22" s="162"/>
      <c r="C22" s="162"/>
      <c r="D22" s="162"/>
      <c r="E22" s="163"/>
      <c r="F22" s="170"/>
      <c r="G22" s="170"/>
      <c r="H22" s="170"/>
      <c r="I22" s="171"/>
      <c r="J22" s="171"/>
      <c r="K22" s="172"/>
      <c r="L22" s="173"/>
      <c r="M22" s="173"/>
      <c r="N22" s="174"/>
      <c r="O22" s="174"/>
      <c r="P22" s="174"/>
      <c r="Q22" s="174"/>
      <c r="R22" s="174"/>
    </row>
    <row r="23" spans="1:18" ht="22.5" customHeight="1" x14ac:dyDescent="0.2">
      <c r="A23" s="162"/>
      <c r="B23" s="162"/>
      <c r="C23" s="162"/>
      <c r="D23" s="162"/>
      <c r="E23" s="163"/>
      <c r="F23" s="170"/>
      <c r="G23" s="170"/>
      <c r="H23" s="170"/>
      <c r="I23" s="171"/>
      <c r="J23" s="171"/>
      <c r="K23" s="172"/>
      <c r="L23" s="173"/>
      <c r="M23" s="173"/>
      <c r="N23" s="174"/>
      <c r="O23" s="174"/>
      <c r="P23" s="174"/>
      <c r="Q23" s="174"/>
      <c r="R23" s="174"/>
    </row>
    <row r="24" spans="1:18" ht="22.5" customHeight="1" x14ac:dyDescent="0.2">
      <c r="A24" s="162"/>
      <c r="B24" s="162"/>
      <c r="C24" s="162"/>
      <c r="D24" s="162"/>
      <c r="E24" s="163"/>
      <c r="F24" s="170"/>
      <c r="G24" s="170"/>
      <c r="H24" s="170"/>
      <c r="I24" s="171"/>
      <c r="J24" s="171"/>
      <c r="K24" s="172"/>
      <c r="L24" s="173"/>
      <c r="M24" s="173"/>
      <c r="N24" s="174"/>
      <c r="O24" s="174"/>
      <c r="P24" s="174"/>
      <c r="Q24" s="174"/>
      <c r="R24" s="174"/>
    </row>
    <row r="25" spans="1:18" ht="22.5" customHeight="1" x14ac:dyDescent="0.2">
      <c r="A25" s="162"/>
      <c r="B25" s="162"/>
      <c r="C25" s="162"/>
      <c r="D25" s="162"/>
      <c r="E25" s="163"/>
      <c r="F25" s="170"/>
      <c r="G25" s="170"/>
      <c r="H25" s="170"/>
      <c r="I25" s="171"/>
      <c r="J25" s="171"/>
      <c r="K25" s="172"/>
      <c r="L25" s="173"/>
      <c r="M25" s="173"/>
      <c r="N25" s="174"/>
      <c r="O25" s="174"/>
      <c r="P25" s="174"/>
      <c r="Q25" s="174"/>
      <c r="R25" s="174"/>
    </row>
    <row r="26" spans="1:18" ht="22.5" customHeight="1" x14ac:dyDescent="0.2">
      <c r="A26" s="162"/>
      <c r="B26" s="162"/>
      <c r="C26" s="162"/>
      <c r="D26" s="162"/>
      <c r="E26" s="163"/>
      <c r="F26" s="170"/>
      <c r="G26" s="170"/>
      <c r="H26" s="170"/>
      <c r="I26" s="171"/>
      <c r="J26" s="171"/>
      <c r="K26" s="172"/>
      <c r="L26" s="173"/>
      <c r="M26" s="173"/>
      <c r="N26" s="174"/>
      <c r="O26" s="174"/>
      <c r="P26" s="174"/>
      <c r="Q26" s="174"/>
      <c r="R26" s="174"/>
    </row>
    <row r="27" spans="1:18" ht="22.5" customHeight="1" x14ac:dyDescent="0.2">
      <c r="A27" s="162"/>
      <c r="B27" s="162"/>
      <c r="C27" s="162"/>
      <c r="D27" s="162"/>
      <c r="E27" s="163"/>
      <c r="F27" s="170"/>
      <c r="G27" s="170"/>
      <c r="H27" s="170"/>
      <c r="I27" s="171"/>
      <c r="J27" s="171"/>
      <c r="K27" s="172"/>
      <c r="L27" s="173"/>
      <c r="M27" s="173"/>
      <c r="N27" s="174"/>
      <c r="O27" s="174"/>
      <c r="P27" s="174"/>
      <c r="Q27" s="174"/>
      <c r="R27" s="174"/>
    </row>
    <row r="28" spans="1:18" ht="22.5" customHeight="1" x14ac:dyDescent="0.2">
      <c r="A28" s="162"/>
      <c r="B28" s="162"/>
      <c r="C28" s="162"/>
      <c r="D28" s="162"/>
      <c r="E28" s="163"/>
      <c r="F28" s="170"/>
      <c r="G28" s="170"/>
      <c r="H28" s="170"/>
      <c r="I28" s="171"/>
      <c r="J28" s="171"/>
      <c r="K28" s="172"/>
      <c r="L28" s="173"/>
      <c r="M28" s="173"/>
      <c r="N28" s="174"/>
      <c r="O28" s="174"/>
      <c r="P28" s="174"/>
      <c r="Q28" s="174"/>
      <c r="R28" s="174"/>
    </row>
    <row r="30" spans="1:18" ht="12.75" customHeight="1" x14ac:dyDescent="0.3"/>
    <row r="31" spans="1:18" ht="12.75" customHeight="1" x14ac:dyDescent="0.3"/>
    <row r="32" spans="1:18" ht="27.75" customHeight="1" x14ac:dyDescent="0.35">
      <c r="A32" s="252" t="s">
        <v>588</v>
      </c>
      <c r="B32" s="252"/>
      <c r="C32" s="252"/>
      <c r="D32" s="252"/>
      <c r="E32" s="252"/>
    </row>
    <row r="34" spans="1:1" ht="27.75" customHeight="1" x14ac:dyDescent="0.35">
      <c r="A34" s="56"/>
    </row>
  </sheetData>
  <mergeCells count="5">
    <mergeCell ref="C1:P1"/>
    <mergeCell ref="A2:P2"/>
    <mergeCell ref="A4:P4"/>
    <mergeCell ref="A17:R17"/>
    <mergeCell ref="A32:E32"/>
  </mergeCells>
  <hyperlinks>
    <hyperlink ref="A1" location="Overview!A1" display="Back to Overview" xr:uid="{00000000-0004-0000-0800-000000000000}"/>
  </hyperlinks>
  <pageMargins left="0.39370078740157483" right="0.39370078740157483" top="0.9055118110236221" bottom="0.74803149606299213" header="0.51181102362204722" footer="0.70866141732283472"/>
  <pageSetup paperSize="9" fitToHeight="0" orientation="portrait" r:id="rId1"/>
  <headerFooter scaleWithDoc="0">
    <oddHeader>&amp;L&amp;"Trebuchet MS,Bold"
Annex 6&amp;"Trebuchet MS,Regular" – Schedule of Charges for new or amended Designated EHV Properties</oddHeader>
    <firstHeader>&amp;L&amp;"Trebuchet MS,Bold"
Annex 6&amp;"Trebuchet MS,Regular" – Charges for new or amended Designated EHV Properties</first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H165"/>
  <sheetViews>
    <sheetView zoomScale="90" zoomScaleNormal="90" zoomScaleSheetLayoutView="100" workbookViewId="0"/>
  </sheetViews>
  <sheetFormatPr defaultColWidth="9.140625" defaultRowHeight="27.75" customHeight="1" x14ac:dyDescent="0.2"/>
  <cols>
    <col min="1" max="1" width="49" style="57" customWidth="1"/>
    <col min="2" max="2" width="26.5703125" style="64" bestFit="1" customWidth="1"/>
    <col min="3" max="3" width="13.42578125" style="57" bestFit="1" customWidth="1"/>
    <col min="4" max="5" width="17.5703125" style="64" customWidth="1"/>
    <col min="6" max="6" width="6.5703125" style="57" customWidth="1"/>
    <col min="7" max="16384" width="9.140625" style="57"/>
  </cols>
  <sheetData>
    <row r="1" spans="1:8" ht="27.75" customHeight="1" x14ac:dyDescent="0.2">
      <c r="A1" s="68" t="s">
        <v>18</v>
      </c>
      <c r="B1" s="208"/>
      <c r="C1" s="208"/>
      <c r="D1" s="139"/>
      <c r="E1" s="139"/>
    </row>
    <row r="2" spans="1:8" ht="35.1" customHeight="1" x14ac:dyDescent="0.2">
      <c r="A2" s="221" t="str">
        <f>Overview!B4&amp; " - Effective from "&amp;Overview!D4&amp;" - "&amp;Overview!E4&amp;" Supplier of Last Resort and Eligible Bad Debt Pass-Through Costs"</f>
        <v>Northern Powergrid (Yorkshire) Plc - Effective from 1 April 2026 - Final Supplier of Last Resort and Eligible Bad Debt Pass-Through Costs</v>
      </c>
      <c r="B2" s="222"/>
      <c r="C2" s="222"/>
      <c r="D2" s="222"/>
      <c r="E2" s="223"/>
    </row>
    <row r="3" spans="1:8" s="63" customFormat="1" ht="18.75" x14ac:dyDescent="0.2">
      <c r="A3" s="61"/>
      <c r="B3" s="61"/>
      <c r="C3" s="61"/>
      <c r="D3" s="61"/>
      <c r="E3" s="61"/>
    </row>
    <row r="4" spans="1:8" ht="75" x14ac:dyDescent="0.2">
      <c r="A4" s="122" t="s">
        <v>355</v>
      </c>
      <c r="B4" s="123" t="s">
        <v>444</v>
      </c>
      <c r="C4" s="123" t="s">
        <v>23</v>
      </c>
      <c r="D4" s="123" t="s">
        <v>451</v>
      </c>
      <c r="E4" s="123" t="s">
        <v>670</v>
      </c>
      <c r="H4" s="23"/>
    </row>
    <row r="5" spans="1:8" ht="27" customHeight="1" x14ac:dyDescent="0.2">
      <c r="A5" s="140" t="s">
        <v>592</v>
      </c>
      <c r="B5" s="125" t="s">
        <v>1389</v>
      </c>
      <c r="C5" s="141" t="s">
        <v>445</v>
      </c>
      <c r="D5" s="142">
        <v>0</v>
      </c>
      <c r="E5" s="142">
        <v>0</v>
      </c>
      <c r="H5" s="23"/>
    </row>
    <row r="6" spans="1:8" ht="27" customHeight="1" x14ac:dyDescent="0.2">
      <c r="A6" s="140" t="s">
        <v>595</v>
      </c>
      <c r="B6" s="125" t="s">
        <v>1391</v>
      </c>
      <c r="C6" s="141" t="s">
        <v>446</v>
      </c>
      <c r="D6" s="131">
        <v>0</v>
      </c>
      <c r="E6" s="142">
        <v>0</v>
      </c>
      <c r="H6" s="23"/>
    </row>
    <row r="7" spans="1:8" ht="27" customHeight="1" x14ac:dyDescent="0.2">
      <c r="A7" s="140" t="s">
        <v>596</v>
      </c>
      <c r="B7" s="125" t="s">
        <v>1392</v>
      </c>
      <c r="C7" s="141" t="s">
        <v>446</v>
      </c>
      <c r="D7" s="131">
        <v>0</v>
      </c>
      <c r="E7" s="142">
        <v>0</v>
      </c>
      <c r="H7" s="23"/>
    </row>
    <row r="8" spans="1:8" ht="27" customHeight="1" x14ac:dyDescent="0.2">
      <c r="A8" s="140" t="s">
        <v>598</v>
      </c>
      <c r="B8" s="125" t="s">
        <v>1393</v>
      </c>
      <c r="C8" s="141" t="s">
        <v>446</v>
      </c>
      <c r="D8" s="131">
        <v>0</v>
      </c>
      <c r="E8" s="142">
        <v>0</v>
      </c>
      <c r="H8" s="23"/>
    </row>
    <row r="9" spans="1:8" ht="27" customHeight="1" x14ac:dyDescent="0.2">
      <c r="A9" s="140" t="s">
        <v>600</v>
      </c>
      <c r="B9" s="125" t="s">
        <v>1394</v>
      </c>
      <c r="C9" s="141" t="s">
        <v>446</v>
      </c>
      <c r="D9" s="131">
        <v>0</v>
      </c>
      <c r="E9" s="142">
        <v>0</v>
      </c>
      <c r="H9" s="23"/>
    </row>
    <row r="10" spans="1:8" ht="27" customHeight="1" x14ac:dyDescent="0.2">
      <c r="A10" s="140" t="s">
        <v>602</v>
      </c>
      <c r="B10" s="125" t="s">
        <v>1395</v>
      </c>
      <c r="C10" s="141" t="s">
        <v>446</v>
      </c>
      <c r="D10" s="131">
        <v>0</v>
      </c>
      <c r="E10" s="142">
        <v>0</v>
      </c>
      <c r="H10" s="23"/>
    </row>
    <row r="11" spans="1:8" ht="27" customHeight="1" x14ac:dyDescent="0.2">
      <c r="A11" s="124" t="s">
        <v>452</v>
      </c>
      <c r="B11" s="125" t="s">
        <v>1397</v>
      </c>
      <c r="C11" s="141">
        <v>0</v>
      </c>
      <c r="D11" s="131">
        <v>0</v>
      </c>
      <c r="E11" s="142">
        <v>0</v>
      </c>
      <c r="H11" s="23"/>
    </row>
    <row r="12" spans="1:8" ht="27" customHeight="1" x14ac:dyDescent="0.2">
      <c r="A12" s="124" t="s">
        <v>453</v>
      </c>
      <c r="B12" s="125" t="s">
        <v>1398</v>
      </c>
      <c r="C12" s="141">
        <v>0</v>
      </c>
      <c r="D12" s="131">
        <v>0</v>
      </c>
      <c r="E12" s="142">
        <v>0</v>
      </c>
      <c r="H12" s="23"/>
    </row>
    <row r="13" spans="1:8" ht="27" customHeight="1" x14ac:dyDescent="0.2">
      <c r="A13" s="124" t="s">
        <v>454</v>
      </c>
      <c r="B13" s="125" t="s">
        <v>1399</v>
      </c>
      <c r="C13" s="141">
        <v>0</v>
      </c>
      <c r="D13" s="131">
        <v>0</v>
      </c>
      <c r="E13" s="142">
        <v>0</v>
      </c>
      <c r="H13" s="23"/>
    </row>
    <row r="14" spans="1:8" ht="27" customHeight="1" x14ac:dyDescent="0.2">
      <c r="A14" s="124" t="s">
        <v>455</v>
      </c>
      <c r="B14" s="125" t="s">
        <v>1400</v>
      </c>
      <c r="C14" s="141">
        <v>0</v>
      </c>
      <c r="D14" s="131">
        <v>0</v>
      </c>
      <c r="E14" s="142">
        <v>0</v>
      </c>
      <c r="H14" s="23"/>
    </row>
    <row r="15" spans="1:8" ht="27" customHeight="1" x14ac:dyDescent="0.2">
      <c r="A15" s="138" t="s">
        <v>456</v>
      </c>
      <c r="B15" s="125" t="s">
        <v>1401</v>
      </c>
      <c r="C15" s="141">
        <v>0</v>
      </c>
      <c r="D15" s="131">
        <v>0</v>
      </c>
      <c r="E15" s="142">
        <v>0</v>
      </c>
      <c r="H15" s="23"/>
    </row>
    <row r="16" spans="1:8" ht="27" customHeight="1" x14ac:dyDescent="0.2">
      <c r="A16" s="138" t="s">
        <v>457</v>
      </c>
      <c r="B16" s="125" t="s">
        <v>1402</v>
      </c>
      <c r="C16" s="141">
        <v>0</v>
      </c>
      <c r="D16" s="131">
        <v>0</v>
      </c>
      <c r="E16" s="142">
        <v>0</v>
      </c>
      <c r="H16" s="23"/>
    </row>
    <row r="17" spans="1:8" ht="27" customHeight="1" x14ac:dyDescent="0.2">
      <c r="A17" s="138" t="s">
        <v>458</v>
      </c>
      <c r="B17" s="125" t="s">
        <v>1403</v>
      </c>
      <c r="C17" s="141">
        <v>0</v>
      </c>
      <c r="D17" s="131">
        <v>0</v>
      </c>
      <c r="E17" s="142">
        <v>0</v>
      </c>
      <c r="H17" s="23"/>
    </row>
    <row r="18" spans="1:8" ht="27" customHeight="1" x14ac:dyDescent="0.2">
      <c r="A18" s="138" t="s">
        <v>459</v>
      </c>
      <c r="B18" s="125" t="s">
        <v>1404</v>
      </c>
      <c r="C18" s="141">
        <v>0</v>
      </c>
      <c r="D18" s="131">
        <v>0</v>
      </c>
      <c r="E18" s="142">
        <v>0</v>
      </c>
      <c r="H18" s="23"/>
    </row>
    <row r="19" spans="1:8" ht="27" customHeight="1" x14ac:dyDescent="0.2">
      <c r="A19" s="138" t="s">
        <v>460</v>
      </c>
      <c r="B19" s="125" t="s">
        <v>1405</v>
      </c>
      <c r="C19" s="141">
        <v>0</v>
      </c>
      <c r="D19" s="131">
        <v>0</v>
      </c>
      <c r="E19" s="142">
        <v>0</v>
      </c>
      <c r="H19" s="23"/>
    </row>
    <row r="20" spans="1:8" ht="27" customHeight="1" x14ac:dyDescent="0.2">
      <c r="A20" s="138" t="s">
        <v>461</v>
      </c>
      <c r="B20" s="125" t="s">
        <v>1406</v>
      </c>
      <c r="C20" s="141">
        <v>0</v>
      </c>
      <c r="D20" s="131">
        <v>0</v>
      </c>
      <c r="E20" s="142">
        <v>0</v>
      </c>
      <c r="H20" s="23"/>
    </row>
    <row r="21" spans="1:8" ht="27" customHeight="1" x14ac:dyDescent="0.2">
      <c r="A21" s="138" t="s">
        <v>462</v>
      </c>
      <c r="B21" s="125" t="s">
        <v>1407</v>
      </c>
      <c r="C21" s="141">
        <v>0</v>
      </c>
      <c r="D21" s="131">
        <v>0</v>
      </c>
      <c r="E21" s="142">
        <v>0</v>
      </c>
      <c r="H21" s="23"/>
    </row>
    <row r="22" spans="1:8" ht="27" customHeight="1" x14ac:dyDescent="0.2">
      <c r="A22" s="138" t="s">
        <v>463</v>
      </c>
      <c r="B22" s="125" t="s">
        <v>1408</v>
      </c>
      <c r="C22" s="141">
        <v>0</v>
      </c>
      <c r="D22" s="131">
        <v>0</v>
      </c>
      <c r="E22" s="142">
        <v>0</v>
      </c>
      <c r="H22" s="23"/>
    </row>
    <row r="23" spans="1:8" ht="27" customHeight="1" x14ac:dyDescent="0.2">
      <c r="A23" s="124" t="s">
        <v>464</v>
      </c>
      <c r="B23" s="125" t="s">
        <v>1409</v>
      </c>
      <c r="C23" s="141">
        <v>0</v>
      </c>
      <c r="D23" s="131">
        <v>0</v>
      </c>
      <c r="E23" s="142">
        <v>0</v>
      </c>
      <c r="H23" s="23"/>
    </row>
    <row r="24" spans="1:8" ht="27" customHeight="1" x14ac:dyDescent="0.2">
      <c r="A24" s="124" t="s">
        <v>465</v>
      </c>
      <c r="B24" s="125" t="s">
        <v>1410</v>
      </c>
      <c r="C24" s="141">
        <v>0</v>
      </c>
      <c r="D24" s="131">
        <v>0</v>
      </c>
      <c r="E24" s="142">
        <v>0</v>
      </c>
      <c r="H24" s="23"/>
    </row>
    <row r="25" spans="1:8" ht="27" customHeight="1" x14ac:dyDescent="0.2">
      <c r="A25" s="124" t="s">
        <v>466</v>
      </c>
      <c r="B25" s="125" t="s">
        <v>1411</v>
      </c>
      <c r="C25" s="141">
        <v>0</v>
      </c>
      <c r="D25" s="131">
        <v>0</v>
      </c>
      <c r="E25" s="142">
        <v>0</v>
      </c>
      <c r="H25" s="23"/>
    </row>
    <row r="26" spans="1:8" ht="27" customHeight="1" x14ac:dyDescent="0.2">
      <c r="A26" s="124" t="s">
        <v>622</v>
      </c>
      <c r="B26" s="125" t="s">
        <v>1190</v>
      </c>
      <c r="C26" s="141" t="s">
        <v>445</v>
      </c>
      <c r="D26" s="142">
        <v>0</v>
      </c>
      <c r="E26" s="142">
        <v>0</v>
      </c>
      <c r="H26" s="23"/>
    </row>
    <row r="27" spans="1:8" ht="27" customHeight="1" x14ac:dyDescent="0.2">
      <c r="A27" s="124" t="s">
        <v>624</v>
      </c>
      <c r="B27" s="125" t="s">
        <v>1192</v>
      </c>
      <c r="C27" s="141" t="s">
        <v>446</v>
      </c>
      <c r="D27" s="131">
        <v>0</v>
      </c>
      <c r="E27" s="142">
        <v>0</v>
      </c>
      <c r="H27" s="23"/>
    </row>
    <row r="28" spans="1:8" ht="27" customHeight="1" x14ac:dyDescent="0.2">
      <c r="A28" s="124" t="s">
        <v>625</v>
      </c>
      <c r="B28" s="125" t="s">
        <v>1193</v>
      </c>
      <c r="C28" s="141" t="s">
        <v>446</v>
      </c>
      <c r="D28" s="131">
        <v>0</v>
      </c>
      <c r="E28" s="142">
        <v>0</v>
      </c>
      <c r="H28" s="23"/>
    </row>
    <row r="29" spans="1:8" ht="27" customHeight="1" x14ac:dyDescent="0.2">
      <c r="A29" s="124" t="s">
        <v>626</v>
      </c>
      <c r="B29" s="125" t="s">
        <v>1194</v>
      </c>
      <c r="C29" s="141" t="s">
        <v>446</v>
      </c>
      <c r="D29" s="131">
        <v>0</v>
      </c>
      <c r="E29" s="142">
        <v>0</v>
      </c>
      <c r="H29" s="23"/>
    </row>
    <row r="30" spans="1:8" ht="27" customHeight="1" x14ac:dyDescent="0.2">
      <c r="A30" s="124" t="s">
        <v>627</v>
      </c>
      <c r="B30" s="125" t="s">
        <v>1195</v>
      </c>
      <c r="C30" s="141" t="s">
        <v>446</v>
      </c>
      <c r="D30" s="131">
        <v>0</v>
      </c>
      <c r="E30" s="142">
        <v>0</v>
      </c>
      <c r="H30" s="23"/>
    </row>
    <row r="31" spans="1:8" ht="27" customHeight="1" x14ac:dyDescent="0.2">
      <c r="A31" s="124" t="s">
        <v>628</v>
      </c>
      <c r="B31" s="125" t="s">
        <v>1196</v>
      </c>
      <c r="C31" s="141" t="s">
        <v>446</v>
      </c>
      <c r="D31" s="131">
        <v>0</v>
      </c>
      <c r="E31" s="142">
        <v>0</v>
      </c>
      <c r="H31" s="23"/>
    </row>
    <row r="32" spans="1:8" ht="27" customHeight="1" x14ac:dyDescent="0.2">
      <c r="A32" s="124" t="s">
        <v>467</v>
      </c>
      <c r="B32" s="125" t="s">
        <v>1198</v>
      </c>
      <c r="C32" s="141">
        <v>0</v>
      </c>
      <c r="D32" s="131">
        <v>0</v>
      </c>
      <c r="E32" s="142">
        <v>0</v>
      </c>
      <c r="H32" s="23"/>
    </row>
    <row r="33" spans="1:8" ht="27" customHeight="1" x14ac:dyDescent="0.2">
      <c r="A33" s="124" t="s">
        <v>468</v>
      </c>
      <c r="B33" s="125" t="s">
        <v>1199</v>
      </c>
      <c r="C33" s="141">
        <v>0</v>
      </c>
      <c r="D33" s="131">
        <v>0</v>
      </c>
      <c r="E33" s="142">
        <v>0</v>
      </c>
      <c r="H33" s="23"/>
    </row>
    <row r="34" spans="1:8" ht="27" customHeight="1" x14ac:dyDescent="0.2">
      <c r="A34" s="124" t="s">
        <v>469</v>
      </c>
      <c r="B34" s="125" t="s">
        <v>1200</v>
      </c>
      <c r="C34" s="141">
        <v>0</v>
      </c>
      <c r="D34" s="131">
        <v>0</v>
      </c>
      <c r="E34" s="142">
        <v>0</v>
      </c>
      <c r="H34" s="23"/>
    </row>
    <row r="35" spans="1:8" ht="27" customHeight="1" x14ac:dyDescent="0.2">
      <c r="A35" s="124" t="s">
        <v>470</v>
      </c>
      <c r="B35" s="125" t="s">
        <v>1201</v>
      </c>
      <c r="C35" s="141">
        <v>0</v>
      </c>
      <c r="D35" s="131">
        <v>0</v>
      </c>
      <c r="E35" s="142">
        <v>0</v>
      </c>
      <c r="H35" s="23"/>
    </row>
    <row r="36" spans="1:8" ht="27" customHeight="1" x14ac:dyDescent="0.2">
      <c r="A36" s="124" t="s">
        <v>471</v>
      </c>
      <c r="B36" s="125" t="s">
        <v>1202</v>
      </c>
      <c r="C36" s="141">
        <v>0</v>
      </c>
      <c r="D36" s="131">
        <v>0</v>
      </c>
      <c r="E36" s="142">
        <v>0</v>
      </c>
      <c r="H36" s="23"/>
    </row>
    <row r="37" spans="1:8" ht="27" customHeight="1" x14ac:dyDescent="0.2">
      <c r="A37" s="138" t="s">
        <v>629</v>
      </c>
      <c r="B37" s="125" t="s">
        <v>1206</v>
      </c>
      <c r="C37" s="141" t="s">
        <v>445</v>
      </c>
      <c r="D37" s="142">
        <v>0</v>
      </c>
      <c r="E37" s="142">
        <v>0</v>
      </c>
      <c r="H37" s="23"/>
    </row>
    <row r="38" spans="1:8" ht="27" customHeight="1" x14ac:dyDescent="0.2">
      <c r="A38" s="124" t="s">
        <v>630</v>
      </c>
      <c r="B38" s="125" t="s">
        <v>1208</v>
      </c>
      <c r="C38" s="141" t="s">
        <v>446</v>
      </c>
      <c r="D38" s="131">
        <v>0</v>
      </c>
      <c r="E38" s="142">
        <v>0</v>
      </c>
      <c r="H38" s="23"/>
    </row>
    <row r="39" spans="1:8" ht="27" customHeight="1" x14ac:dyDescent="0.2">
      <c r="A39" s="124" t="s">
        <v>631</v>
      </c>
      <c r="B39" s="125" t="s">
        <v>1209</v>
      </c>
      <c r="C39" s="141" t="s">
        <v>446</v>
      </c>
      <c r="D39" s="131">
        <v>0</v>
      </c>
      <c r="E39" s="142">
        <v>0</v>
      </c>
      <c r="H39" s="23"/>
    </row>
    <row r="40" spans="1:8" ht="27" customHeight="1" x14ac:dyDescent="0.2">
      <c r="A40" s="124" t="s">
        <v>632</v>
      </c>
      <c r="B40" s="125" t="s">
        <v>1210</v>
      </c>
      <c r="C40" s="141" t="s">
        <v>446</v>
      </c>
      <c r="D40" s="131">
        <v>0</v>
      </c>
      <c r="E40" s="142">
        <v>0</v>
      </c>
      <c r="H40" s="23"/>
    </row>
    <row r="41" spans="1:8" ht="27" customHeight="1" x14ac:dyDescent="0.2">
      <c r="A41" s="124" t="s">
        <v>633</v>
      </c>
      <c r="B41" s="125" t="s">
        <v>1211</v>
      </c>
      <c r="C41" s="141" t="s">
        <v>446</v>
      </c>
      <c r="D41" s="131">
        <v>0</v>
      </c>
      <c r="E41" s="142">
        <v>0</v>
      </c>
      <c r="H41" s="23"/>
    </row>
    <row r="42" spans="1:8" ht="27" customHeight="1" x14ac:dyDescent="0.2">
      <c r="A42" s="124" t="s">
        <v>634</v>
      </c>
      <c r="B42" s="125" t="s">
        <v>1212</v>
      </c>
      <c r="C42" s="141" t="s">
        <v>446</v>
      </c>
      <c r="D42" s="131">
        <v>0</v>
      </c>
      <c r="E42" s="142">
        <v>0</v>
      </c>
      <c r="H42" s="23"/>
    </row>
    <row r="43" spans="1:8" ht="27" customHeight="1" x14ac:dyDescent="0.2">
      <c r="A43" s="124" t="s">
        <v>473</v>
      </c>
      <c r="B43" s="125" t="s">
        <v>1214</v>
      </c>
      <c r="C43" s="141">
        <v>0</v>
      </c>
      <c r="D43" s="131">
        <v>0</v>
      </c>
      <c r="E43" s="142">
        <v>0</v>
      </c>
      <c r="H43" s="23"/>
    </row>
    <row r="44" spans="1:8" ht="27" customHeight="1" x14ac:dyDescent="0.2">
      <c r="A44" s="124" t="s">
        <v>474</v>
      </c>
      <c r="B44" s="125" t="s">
        <v>1215</v>
      </c>
      <c r="C44" s="141">
        <v>0</v>
      </c>
      <c r="D44" s="131">
        <v>0</v>
      </c>
      <c r="E44" s="142">
        <v>0</v>
      </c>
      <c r="H44" s="23"/>
    </row>
    <row r="45" spans="1:8" ht="27" customHeight="1" x14ac:dyDescent="0.2">
      <c r="A45" s="124" t="s">
        <v>475</v>
      </c>
      <c r="B45" s="125" t="s">
        <v>1216</v>
      </c>
      <c r="C45" s="141">
        <v>0</v>
      </c>
      <c r="D45" s="131">
        <v>0</v>
      </c>
      <c r="E45" s="142">
        <v>0</v>
      </c>
      <c r="H45" s="23"/>
    </row>
    <row r="46" spans="1:8" ht="27" customHeight="1" x14ac:dyDescent="0.2">
      <c r="A46" s="124" t="s">
        <v>476</v>
      </c>
      <c r="B46" s="125" t="s">
        <v>1217</v>
      </c>
      <c r="C46" s="141">
        <v>0</v>
      </c>
      <c r="D46" s="131">
        <v>0</v>
      </c>
      <c r="E46" s="142">
        <v>0</v>
      </c>
      <c r="H46" s="23"/>
    </row>
    <row r="47" spans="1:8" ht="27" customHeight="1" x14ac:dyDescent="0.2">
      <c r="A47" s="124" t="s">
        <v>477</v>
      </c>
      <c r="B47" s="125" t="s">
        <v>1218</v>
      </c>
      <c r="C47" s="141">
        <v>0</v>
      </c>
      <c r="D47" s="131">
        <v>0</v>
      </c>
      <c r="E47" s="142">
        <v>0</v>
      </c>
      <c r="H47" s="23"/>
    </row>
    <row r="48" spans="1:8" ht="27" customHeight="1" x14ac:dyDescent="0.2">
      <c r="A48" s="124" t="s">
        <v>478</v>
      </c>
      <c r="B48" s="125" t="s">
        <v>1219</v>
      </c>
      <c r="C48" s="141">
        <v>0</v>
      </c>
      <c r="D48" s="131">
        <v>0</v>
      </c>
      <c r="E48" s="142">
        <v>0</v>
      </c>
      <c r="H48" s="23"/>
    </row>
    <row r="49" spans="1:8" ht="27" customHeight="1" x14ac:dyDescent="0.2">
      <c r="A49" s="124" t="s">
        <v>479</v>
      </c>
      <c r="B49" s="125" t="s">
        <v>1220</v>
      </c>
      <c r="C49" s="141">
        <v>0</v>
      </c>
      <c r="D49" s="131">
        <v>0</v>
      </c>
      <c r="E49" s="142">
        <v>0</v>
      </c>
      <c r="H49" s="23"/>
    </row>
    <row r="50" spans="1:8" ht="27" customHeight="1" x14ac:dyDescent="0.2">
      <c r="A50" s="124" t="s">
        <v>480</v>
      </c>
      <c r="B50" s="125" t="s">
        <v>1221</v>
      </c>
      <c r="C50" s="141">
        <v>0</v>
      </c>
      <c r="D50" s="131">
        <v>0</v>
      </c>
      <c r="E50" s="142">
        <v>0</v>
      </c>
      <c r="H50" s="23"/>
    </row>
    <row r="51" spans="1:8" ht="27" customHeight="1" x14ac:dyDescent="0.2">
      <c r="A51" s="124" t="s">
        <v>481</v>
      </c>
      <c r="B51" s="125" t="s">
        <v>1222</v>
      </c>
      <c r="C51" s="141">
        <v>0</v>
      </c>
      <c r="D51" s="131">
        <v>0</v>
      </c>
      <c r="E51" s="142">
        <v>0</v>
      </c>
      <c r="H51" s="23"/>
    </row>
    <row r="52" spans="1:8" ht="27" customHeight="1" x14ac:dyDescent="0.2">
      <c r="A52" s="124" t="s">
        <v>482</v>
      </c>
      <c r="B52" s="125" t="s">
        <v>1223</v>
      </c>
      <c r="C52" s="141">
        <v>0</v>
      </c>
      <c r="D52" s="131">
        <v>0</v>
      </c>
      <c r="E52" s="142">
        <v>0</v>
      </c>
      <c r="H52" s="23"/>
    </row>
    <row r="53" spans="1:8" ht="27" customHeight="1" x14ac:dyDescent="0.2">
      <c r="A53" s="124" t="s">
        <v>483</v>
      </c>
      <c r="B53" s="125" t="s">
        <v>1224</v>
      </c>
      <c r="C53" s="141">
        <v>0</v>
      </c>
      <c r="D53" s="131">
        <v>0</v>
      </c>
      <c r="E53" s="142">
        <v>0</v>
      </c>
      <c r="H53" s="23"/>
    </row>
    <row r="54" spans="1:8" ht="27" customHeight="1" x14ac:dyDescent="0.2">
      <c r="A54" s="124" t="s">
        <v>484</v>
      </c>
      <c r="B54" s="125" t="s">
        <v>1225</v>
      </c>
      <c r="C54" s="141">
        <v>0</v>
      </c>
      <c r="D54" s="131">
        <v>0</v>
      </c>
      <c r="E54" s="142">
        <v>0</v>
      </c>
      <c r="H54" s="23"/>
    </row>
    <row r="55" spans="1:8" ht="27" customHeight="1" x14ac:dyDescent="0.2">
      <c r="A55" s="124" t="s">
        <v>485</v>
      </c>
      <c r="B55" s="125" t="s">
        <v>1226</v>
      </c>
      <c r="C55" s="141">
        <v>0</v>
      </c>
      <c r="D55" s="131">
        <v>0</v>
      </c>
      <c r="E55" s="142">
        <v>0</v>
      </c>
      <c r="H55" s="23"/>
    </row>
    <row r="56" spans="1:8" ht="27" customHeight="1" x14ac:dyDescent="0.2">
      <c r="A56" s="124" t="s">
        <v>486</v>
      </c>
      <c r="B56" s="125" t="s">
        <v>1227</v>
      </c>
      <c r="C56" s="141">
        <v>0</v>
      </c>
      <c r="D56" s="131">
        <v>0</v>
      </c>
      <c r="E56" s="142">
        <v>0</v>
      </c>
      <c r="H56" s="23"/>
    </row>
    <row r="57" spans="1:8" ht="27" customHeight="1" x14ac:dyDescent="0.2">
      <c r="A57" s="124" t="s">
        <v>487</v>
      </c>
      <c r="B57" s="125" t="s">
        <v>1228</v>
      </c>
      <c r="C57" s="141">
        <v>0</v>
      </c>
      <c r="D57" s="131">
        <v>0</v>
      </c>
      <c r="E57" s="142">
        <v>0</v>
      </c>
      <c r="H57" s="23"/>
    </row>
    <row r="58" spans="1:8" ht="27" customHeight="1" x14ac:dyDescent="0.2">
      <c r="A58" s="124" t="s">
        <v>635</v>
      </c>
      <c r="B58" s="125" t="s">
        <v>1235</v>
      </c>
      <c r="C58" s="141" t="s">
        <v>445</v>
      </c>
      <c r="D58" s="142">
        <v>0</v>
      </c>
      <c r="E58" s="142">
        <v>0</v>
      </c>
      <c r="H58" s="23"/>
    </row>
    <row r="59" spans="1:8" ht="27" customHeight="1" x14ac:dyDescent="0.2">
      <c r="A59" s="124" t="s">
        <v>637</v>
      </c>
      <c r="B59" s="125" t="s">
        <v>1237</v>
      </c>
      <c r="C59" s="141" t="s">
        <v>446</v>
      </c>
      <c r="D59" s="131">
        <v>0</v>
      </c>
      <c r="E59" s="142">
        <v>0</v>
      </c>
      <c r="H59" s="23"/>
    </row>
    <row r="60" spans="1:8" ht="27" customHeight="1" x14ac:dyDescent="0.2">
      <c r="A60" s="124" t="s">
        <v>638</v>
      </c>
      <c r="B60" s="125" t="s">
        <v>1238</v>
      </c>
      <c r="C60" s="141" t="s">
        <v>446</v>
      </c>
      <c r="D60" s="131">
        <v>0</v>
      </c>
      <c r="E60" s="142">
        <v>0</v>
      </c>
      <c r="H60" s="23"/>
    </row>
    <row r="61" spans="1:8" ht="27" customHeight="1" x14ac:dyDescent="0.2">
      <c r="A61" s="124" t="s">
        <v>639</v>
      </c>
      <c r="B61" s="125" t="s">
        <v>1239</v>
      </c>
      <c r="C61" s="141" t="s">
        <v>446</v>
      </c>
      <c r="D61" s="131">
        <v>0</v>
      </c>
      <c r="E61" s="142">
        <v>0</v>
      </c>
      <c r="H61" s="23"/>
    </row>
    <row r="62" spans="1:8" ht="27" customHeight="1" x14ac:dyDescent="0.2">
      <c r="A62" s="124" t="s">
        <v>640</v>
      </c>
      <c r="B62" s="125" t="s">
        <v>1240</v>
      </c>
      <c r="C62" s="141" t="s">
        <v>446</v>
      </c>
      <c r="D62" s="131">
        <v>0</v>
      </c>
      <c r="E62" s="142">
        <v>0</v>
      </c>
      <c r="H62" s="23"/>
    </row>
    <row r="63" spans="1:8" ht="27" customHeight="1" x14ac:dyDescent="0.2">
      <c r="A63" s="124" t="s">
        <v>641</v>
      </c>
      <c r="B63" s="125" t="s">
        <v>1241</v>
      </c>
      <c r="C63" s="141" t="s">
        <v>446</v>
      </c>
      <c r="D63" s="131">
        <v>0</v>
      </c>
      <c r="E63" s="142">
        <v>0</v>
      </c>
      <c r="H63" s="23"/>
    </row>
    <row r="64" spans="1:8" ht="27" customHeight="1" x14ac:dyDescent="0.2">
      <c r="A64" s="124" t="s">
        <v>488</v>
      </c>
      <c r="B64" s="125" t="s">
        <v>1243</v>
      </c>
      <c r="C64" s="141">
        <v>0</v>
      </c>
      <c r="D64" s="131">
        <v>0</v>
      </c>
      <c r="E64" s="142">
        <v>0</v>
      </c>
      <c r="H64" s="23"/>
    </row>
    <row r="65" spans="1:8" ht="27" customHeight="1" x14ac:dyDescent="0.2">
      <c r="A65" s="124" t="s">
        <v>489</v>
      </c>
      <c r="B65" s="125" t="s">
        <v>1244</v>
      </c>
      <c r="C65" s="141">
        <v>0</v>
      </c>
      <c r="D65" s="131">
        <v>0</v>
      </c>
      <c r="E65" s="142">
        <v>0</v>
      </c>
      <c r="H65" s="23"/>
    </row>
    <row r="66" spans="1:8" ht="27" customHeight="1" x14ac:dyDescent="0.2">
      <c r="A66" s="124" t="s">
        <v>490</v>
      </c>
      <c r="B66" s="125" t="s">
        <v>1245</v>
      </c>
      <c r="C66" s="141">
        <v>0</v>
      </c>
      <c r="D66" s="131">
        <v>0</v>
      </c>
      <c r="E66" s="142">
        <v>0</v>
      </c>
      <c r="H66" s="23"/>
    </row>
    <row r="67" spans="1:8" ht="27" customHeight="1" x14ac:dyDescent="0.2">
      <c r="A67" s="124" t="s">
        <v>491</v>
      </c>
      <c r="B67" s="125" t="s">
        <v>1246</v>
      </c>
      <c r="C67" s="141">
        <v>0</v>
      </c>
      <c r="D67" s="131">
        <v>0</v>
      </c>
      <c r="E67" s="142">
        <v>0</v>
      </c>
      <c r="H67" s="23"/>
    </row>
    <row r="68" spans="1:8" ht="27" customHeight="1" x14ac:dyDescent="0.2">
      <c r="A68" s="124" t="s">
        <v>492</v>
      </c>
      <c r="B68" s="125" t="s">
        <v>1247</v>
      </c>
      <c r="C68" s="141">
        <v>0</v>
      </c>
      <c r="D68" s="131">
        <v>0</v>
      </c>
      <c r="E68" s="142">
        <v>0</v>
      </c>
      <c r="H68" s="23"/>
    </row>
    <row r="69" spans="1:8" ht="27" customHeight="1" x14ac:dyDescent="0.2">
      <c r="A69" s="124" t="s">
        <v>493</v>
      </c>
      <c r="B69" s="125" t="s">
        <v>1248</v>
      </c>
      <c r="C69" s="141">
        <v>0</v>
      </c>
      <c r="D69" s="131">
        <v>0</v>
      </c>
      <c r="E69" s="142">
        <v>0</v>
      </c>
      <c r="H69" s="23"/>
    </row>
    <row r="70" spans="1:8" ht="27" customHeight="1" x14ac:dyDescent="0.2">
      <c r="A70" s="124" t="s">
        <v>494</v>
      </c>
      <c r="B70" s="125" t="s">
        <v>1249</v>
      </c>
      <c r="C70" s="141">
        <v>0</v>
      </c>
      <c r="D70" s="131">
        <v>0</v>
      </c>
      <c r="E70" s="142">
        <v>0</v>
      </c>
      <c r="H70" s="23"/>
    </row>
    <row r="71" spans="1:8" ht="27" customHeight="1" x14ac:dyDescent="0.2">
      <c r="A71" s="124" t="s">
        <v>495</v>
      </c>
      <c r="B71" s="125" t="s">
        <v>1250</v>
      </c>
      <c r="C71" s="141">
        <v>0</v>
      </c>
      <c r="D71" s="131">
        <v>0</v>
      </c>
      <c r="E71" s="142">
        <v>0</v>
      </c>
      <c r="H71" s="23"/>
    </row>
    <row r="72" spans="1:8" ht="27" customHeight="1" x14ac:dyDescent="0.2">
      <c r="A72" s="124" t="s">
        <v>496</v>
      </c>
      <c r="B72" s="125" t="s">
        <v>1251</v>
      </c>
      <c r="C72" s="141">
        <v>0</v>
      </c>
      <c r="D72" s="131">
        <v>0</v>
      </c>
      <c r="E72" s="142">
        <v>0</v>
      </c>
      <c r="H72" s="23"/>
    </row>
    <row r="73" spans="1:8" ht="27" customHeight="1" x14ac:dyDescent="0.2">
      <c r="A73" s="124" t="s">
        <v>497</v>
      </c>
      <c r="B73" s="125" t="s">
        <v>1252</v>
      </c>
      <c r="C73" s="141">
        <v>0</v>
      </c>
      <c r="D73" s="131">
        <v>0</v>
      </c>
      <c r="E73" s="142">
        <v>0</v>
      </c>
      <c r="H73" s="23"/>
    </row>
    <row r="74" spans="1:8" ht="27" customHeight="1" x14ac:dyDescent="0.2">
      <c r="A74" s="124" t="s">
        <v>498</v>
      </c>
      <c r="B74" s="125" t="s">
        <v>1253</v>
      </c>
      <c r="C74" s="141">
        <v>0</v>
      </c>
      <c r="D74" s="131">
        <v>0</v>
      </c>
      <c r="E74" s="142">
        <v>0</v>
      </c>
      <c r="H74" s="23"/>
    </row>
    <row r="75" spans="1:8" ht="27" customHeight="1" x14ac:dyDescent="0.2">
      <c r="A75" s="124" t="s">
        <v>499</v>
      </c>
      <c r="B75" s="125" t="s">
        <v>1254</v>
      </c>
      <c r="C75" s="141">
        <v>0</v>
      </c>
      <c r="D75" s="131">
        <v>0</v>
      </c>
      <c r="E75" s="142">
        <v>0</v>
      </c>
      <c r="H75" s="23"/>
    </row>
    <row r="76" spans="1:8" ht="27" customHeight="1" x14ac:dyDescent="0.2">
      <c r="A76" s="124" t="s">
        <v>500</v>
      </c>
      <c r="B76" s="125" t="s">
        <v>1255</v>
      </c>
      <c r="C76" s="141">
        <v>0</v>
      </c>
      <c r="D76" s="131">
        <v>0</v>
      </c>
      <c r="E76" s="142">
        <v>0</v>
      </c>
      <c r="H76" s="23"/>
    </row>
    <row r="77" spans="1:8" ht="27" customHeight="1" x14ac:dyDescent="0.2">
      <c r="A77" s="124" t="s">
        <v>501</v>
      </c>
      <c r="B77" s="125" t="s">
        <v>1256</v>
      </c>
      <c r="C77" s="141">
        <v>0</v>
      </c>
      <c r="D77" s="131">
        <v>0</v>
      </c>
      <c r="E77" s="142">
        <v>0</v>
      </c>
      <c r="H77" s="23"/>
    </row>
    <row r="78" spans="1:8" ht="27" customHeight="1" x14ac:dyDescent="0.2">
      <c r="A78" s="124" t="s">
        <v>502</v>
      </c>
      <c r="B78" s="125" t="s">
        <v>1257</v>
      </c>
      <c r="C78" s="141">
        <v>0</v>
      </c>
      <c r="D78" s="131">
        <v>0</v>
      </c>
      <c r="E78" s="142">
        <v>0</v>
      </c>
      <c r="H78" s="23"/>
    </row>
    <row r="79" spans="1:8" ht="27" customHeight="1" x14ac:dyDescent="0.2">
      <c r="A79" s="124" t="s">
        <v>642</v>
      </c>
      <c r="B79" s="125" t="s">
        <v>1264</v>
      </c>
      <c r="C79" s="141" t="s">
        <v>445</v>
      </c>
      <c r="D79" s="142">
        <v>0</v>
      </c>
      <c r="E79" s="142">
        <v>0</v>
      </c>
      <c r="H79" s="23"/>
    </row>
    <row r="80" spans="1:8" ht="27" customHeight="1" x14ac:dyDescent="0.2">
      <c r="A80" s="124" t="s">
        <v>644</v>
      </c>
      <c r="B80" s="125" t="s">
        <v>1266</v>
      </c>
      <c r="C80" s="141" t="s">
        <v>446</v>
      </c>
      <c r="D80" s="131">
        <v>0</v>
      </c>
      <c r="E80" s="142">
        <v>0</v>
      </c>
      <c r="H80" s="23"/>
    </row>
    <row r="81" spans="1:8" ht="27" customHeight="1" x14ac:dyDescent="0.2">
      <c r="A81" s="124" t="s">
        <v>645</v>
      </c>
      <c r="B81" s="125" t="s">
        <v>1267</v>
      </c>
      <c r="C81" s="141" t="s">
        <v>446</v>
      </c>
      <c r="D81" s="131">
        <v>0</v>
      </c>
      <c r="E81" s="142">
        <v>0</v>
      </c>
      <c r="H81" s="23"/>
    </row>
    <row r="82" spans="1:8" ht="27" customHeight="1" x14ac:dyDescent="0.2">
      <c r="A82" s="124" t="s">
        <v>646</v>
      </c>
      <c r="B82" s="125" t="s">
        <v>1268</v>
      </c>
      <c r="C82" s="141" t="s">
        <v>446</v>
      </c>
      <c r="D82" s="131">
        <v>0</v>
      </c>
      <c r="E82" s="142">
        <v>0</v>
      </c>
      <c r="H82" s="23"/>
    </row>
    <row r="83" spans="1:8" ht="27" customHeight="1" x14ac:dyDescent="0.2">
      <c r="A83" s="124" t="s">
        <v>647</v>
      </c>
      <c r="B83" s="125" t="s">
        <v>1269</v>
      </c>
      <c r="C83" s="141" t="s">
        <v>446</v>
      </c>
      <c r="D83" s="131">
        <v>0</v>
      </c>
      <c r="E83" s="142">
        <v>0</v>
      </c>
      <c r="H83" s="23"/>
    </row>
    <row r="84" spans="1:8" ht="27" customHeight="1" x14ac:dyDescent="0.2">
      <c r="A84" s="124" t="s">
        <v>648</v>
      </c>
      <c r="B84" s="125" t="s">
        <v>1270</v>
      </c>
      <c r="C84" s="141" t="s">
        <v>446</v>
      </c>
      <c r="D84" s="131">
        <v>0</v>
      </c>
      <c r="E84" s="142">
        <v>0</v>
      </c>
      <c r="H84" s="23"/>
    </row>
    <row r="85" spans="1:8" ht="27" customHeight="1" x14ac:dyDescent="0.2">
      <c r="A85" s="124" t="s">
        <v>503</v>
      </c>
      <c r="B85" s="125" t="s">
        <v>1272</v>
      </c>
      <c r="C85" s="141">
        <v>0</v>
      </c>
      <c r="D85" s="131">
        <v>0</v>
      </c>
      <c r="E85" s="142">
        <v>0</v>
      </c>
      <c r="H85" s="23"/>
    </row>
    <row r="86" spans="1:8" ht="27" customHeight="1" x14ac:dyDescent="0.2">
      <c r="A86" s="124" t="s">
        <v>504</v>
      </c>
      <c r="B86" s="125" t="s">
        <v>1273</v>
      </c>
      <c r="C86" s="141">
        <v>0</v>
      </c>
      <c r="D86" s="131">
        <v>0</v>
      </c>
      <c r="E86" s="142">
        <v>0</v>
      </c>
      <c r="H86" s="23"/>
    </row>
    <row r="87" spans="1:8" ht="27" customHeight="1" x14ac:dyDescent="0.2">
      <c r="A87" s="124" t="s">
        <v>505</v>
      </c>
      <c r="B87" s="125" t="s">
        <v>1274</v>
      </c>
      <c r="C87" s="141">
        <v>0</v>
      </c>
      <c r="D87" s="131">
        <v>0</v>
      </c>
      <c r="E87" s="142">
        <v>0</v>
      </c>
      <c r="H87" s="23"/>
    </row>
    <row r="88" spans="1:8" ht="27" customHeight="1" x14ac:dyDescent="0.2">
      <c r="A88" s="124" t="s">
        <v>506</v>
      </c>
      <c r="B88" s="125" t="s">
        <v>1275</v>
      </c>
      <c r="C88" s="141">
        <v>0</v>
      </c>
      <c r="D88" s="131">
        <v>0</v>
      </c>
      <c r="E88" s="142">
        <v>0</v>
      </c>
      <c r="H88" s="23"/>
    </row>
    <row r="89" spans="1:8" ht="27" customHeight="1" x14ac:dyDescent="0.2">
      <c r="A89" s="124" t="s">
        <v>507</v>
      </c>
      <c r="B89" s="125" t="s">
        <v>1276</v>
      </c>
      <c r="C89" s="141">
        <v>0</v>
      </c>
      <c r="D89" s="131">
        <v>0</v>
      </c>
      <c r="E89" s="142">
        <v>0</v>
      </c>
      <c r="H89" s="23"/>
    </row>
    <row r="90" spans="1:8" ht="27" customHeight="1" x14ac:dyDescent="0.2">
      <c r="A90" s="124" t="s">
        <v>508</v>
      </c>
      <c r="B90" s="125" t="s">
        <v>1277</v>
      </c>
      <c r="C90" s="141">
        <v>0</v>
      </c>
      <c r="D90" s="131">
        <v>0</v>
      </c>
      <c r="E90" s="142">
        <v>0</v>
      </c>
      <c r="H90" s="23"/>
    </row>
    <row r="91" spans="1:8" ht="27" customHeight="1" x14ac:dyDescent="0.2">
      <c r="A91" s="124" t="s">
        <v>509</v>
      </c>
      <c r="B91" s="125" t="s">
        <v>1278</v>
      </c>
      <c r="C91" s="141">
        <v>0</v>
      </c>
      <c r="D91" s="131">
        <v>0</v>
      </c>
      <c r="E91" s="142">
        <v>0</v>
      </c>
      <c r="H91" s="23"/>
    </row>
    <row r="92" spans="1:8" ht="27" customHeight="1" x14ac:dyDescent="0.2">
      <c r="A92" s="124" t="s">
        <v>510</v>
      </c>
      <c r="B92" s="125" t="s">
        <v>1279</v>
      </c>
      <c r="C92" s="141">
        <v>0</v>
      </c>
      <c r="D92" s="131">
        <v>0</v>
      </c>
      <c r="E92" s="142">
        <v>0</v>
      </c>
      <c r="H92" s="23"/>
    </row>
    <row r="93" spans="1:8" ht="27" customHeight="1" x14ac:dyDescent="0.2">
      <c r="A93" s="124" t="s">
        <v>511</v>
      </c>
      <c r="B93" s="125" t="s">
        <v>1280</v>
      </c>
      <c r="C93" s="141">
        <v>0</v>
      </c>
      <c r="D93" s="131">
        <v>0</v>
      </c>
      <c r="E93" s="142">
        <v>0</v>
      </c>
      <c r="H93" s="23"/>
    </row>
    <row r="94" spans="1:8" ht="27" customHeight="1" x14ac:dyDescent="0.2">
      <c r="A94" s="124" t="s">
        <v>512</v>
      </c>
      <c r="B94" s="125" t="s">
        <v>1281</v>
      </c>
      <c r="C94" s="141">
        <v>0</v>
      </c>
      <c r="D94" s="131">
        <v>0</v>
      </c>
      <c r="E94" s="142">
        <v>0</v>
      </c>
      <c r="H94" s="23"/>
    </row>
    <row r="95" spans="1:8" ht="27" customHeight="1" x14ac:dyDescent="0.2">
      <c r="A95" s="124" t="s">
        <v>513</v>
      </c>
      <c r="B95" s="125" t="s">
        <v>1282</v>
      </c>
      <c r="C95" s="141">
        <v>0</v>
      </c>
      <c r="D95" s="131">
        <v>0</v>
      </c>
      <c r="E95" s="142">
        <v>0</v>
      </c>
      <c r="H95" s="23"/>
    </row>
    <row r="96" spans="1:8" ht="27" customHeight="1" x14ac:dyDescent="0.2">
      <c r="A96" s="124" t="s">
        <v>514</v>
      </c>
      <c r="B96" s="125" t="s">
        <v>1283</v>
      </c>
      <c r="C96" s="141">
        <v>0</v>
      </c>
      <c r="D96" s="131">
        <v>0</v>
      </c>
      <c r="E96" s="142">
        <v>0</v>
      </c>
      <c r="H96" s="23"/>
    </row>
    <row r="97" spans="1:8" ht="27" customHeight="1" x14ac:dyDescent="0.2">
      <c r="A97" s="124" t="s">
        <v>515</v>
      </c>
      <c r="B97" s="125" t="s">
        <v>1284</v>
      </c>
      <c r="C97" s="141">
        <v>0</v>
      </c>
      <c r="D97" s="131">
        <v>0</v>
      </c>
      <c r="E97" s="142">
        <v>0</v>
      </c>
      <c r="H97" s="23"/>
    </row>
    <row r="98" spans="1:8" ht="27" customHeight="1" x14ac:dyDescent="0.2">
      <c r="A98" s="124" t="s">
        <v>516</v>
      </c>
      <c r="B98" s="125" t="s">
        <v>1285</v>
      </c>
      <c r="C98" s="141">
        <v>0</v>
      </c>
      <c r="D98" s="131">
        <v>0</v>
      </c>
      <c r="E98" s="142">
        <v>0</v>
      </c>
      <c r="H98" s="23"/>
    </row>
    <row r="99" spans="1:8" ht="27" customHeight="1" x14ac:dyDescent="0.2">
      <c r="A99" s="124" t="s">
        <v>517</v>
      </c>
      <c r="B99" s="125" t="s">
        <v>1286</v>
      </c>
      <c r="C99" s="141">
        <v>0</v>
      </c>
      <c r="D99" s="131">
        <v>0</v>
      </c>
      <c r="E99" s="142">
        <v>0</v>
      </c>
      <c r="H99" s="23"/>
    </row>
    <row r="100" spans="1:8" ht="27" customHeight="1" x14ac:dyDescent="0.2">
      <c r="A100" s="124" t="s">
        <v>649</v>
      </c>
      <c r="B100" s="125" t="s">
        <v>1293</v>
      </c>
      <c r="C100" s="141" t="s">
        <v>445</v>
      </c>
      <c r="D100" s="142">
        <v>0</v>
      </c>
      <c r="E100" s="142">
        <v>0</v>
      </c>
      <c r="H100" s="23"/>
    </row>
    <row r="101" spans="1:8" ht="27" customHeight="1" x14ac:dyDescent="0.2">
      <c r="A101" s="124" t="s">
        <v>651</v>
      </c>
      <c r="B101" s="125" t="s">
        <v>1295</v>
      </c>
      <c r="C101" s="141" t="s">
        <v>446</v>
      </c>
      <c r="D101" s="131">
        <v>0</v>
      </c>
      <c r="E101" s="142">
        <v>0</v>
      </c>
      <c r="H101" s="23"/>
    </row>
    <row r="102" spans="1:8" ht="27" customHeight="1" x14ac:dyDescent="0.2">
      <c r="A102" s="124" t="s">
        <v>652</v>
      </c>
      <c r="B102" s="125" t="s">
        <v>1296</v>
      </c>
      <c r="C102" s="141" t="s">
        <v>446</v>
      </c>
      <c r="D102" s="131">
        <v>0</v>
      </c>
      <c r="E102" s="142">
        <v>0</v>
      </c>
      <c r="H102" s="23"/>
    </row>
    <row r="103" spans="1:8" ht="27" customHeight="1" x14ac:dyDescent="0.2">
      <c r="A103" s="124" t="s">
        <v>653</v>
      </c>
      <c r="B103" s="125" t="s">
        <v>1297</v>
      </c>
      <c r="C103" s="141" t="s">
        <v>446</v>
      </c>
      <c r="D103" s="131">
        <v>0</v>
      </c>
      <c r="E103" s="142">
        <v>0</v>
      </c>
      <c r="H103" s="23"/>
    </row>
    <row r="104" spans="1:8" ht="27" customHeight="1" x14ac:dyDescent="0.2">
      <c r="A104" s="124" t="s">
        <v>654</v>
      </c>
      <c r="B104" s="125" t="s">
        <v>1298</v>
      </c>
      <c r="C104" s="141" t="s">
        <v>446</v>
      </c>
      <c r="D104" s="131">
        <v>0</v>
      </c>
      <c r="E104" s="142">
        <v>0</v>
      </c>
      <c r="H104" s="23"/>
    </row>
    <row r="105" spans="1:8" ht="27" customHeight="1" x14ac:dyDescent="0.2">
      <c r="A105" s="124" t="s">
        <v>655</v>
      </c>
      <c r="B105" s="125" t="s">
        <v>1299</v>
      </c>
      <c r="C105" s="141" t="s">
        <v>446</v>
      </c>
      <c r="D105" s="131">
        <v>0</v>
      </c>
      <c r="E105" s="142">
        <v>0</v>
      </c>
      <c r="H105" s="23"/>
    </row>
    <row r="106" spans="1:8" ht="27" customHeight="1" x14ac:dyDescent="0.2">
      <c r="A106" s="124" t="s">
        <v>518</v>
      </c>
      <c r="B106" s="125" t="s">
        <v>1301</v>
      </c>
      <c r="C106" s="141">
        <v>0</v>
      </c>
      <c r="D106" s="131">
        <v>0</v>
      </c>
      <c r="E106" s="142">
        <v>0</v>
      </c>
      <c r="H106" s="23"/>
    </row>
    <row r="107" spans="1:8" ht="27" customHeight="1" x14ac:dyDescent="0.2">
      <c r="A107" s="124" t="s">
        <v>519</v>
      </c>
      <c r="B107" s="125" t="s">
        <v>1302</v>
      </c>
      <c r="C107" s="141">
        <v>0</v>
      </c>
      <c r="D107" s="131">
        <v>0</v>
      </c>
      <c r="E107" s="142">
        <v>0</v>
      </c>
      <c r="H107" s="23"/>
    </row>
    <row r="108" spans="1:8" ht="27" customHeight="1" x14ac:dyDescent="0.2">
      <c r="A108" s="124" t="s">
        <v>520</v>
      </c>
      <c r="B108" s="125" t="s">
        <v>1303</v>
      </c>
      <c r="C108" s="141">
        <v>0</v>
      </c>
      <c r="D108" s="131">
        <v>0</v>
      </c>
      <c r="E108" s="142">
        <v>0</v>
      </c>
      <c r="H108" s="23"/>
    </row>
    <row r="109" spans="1:8" ht="27" customHeight="1" x14ac:dyDescent="0.2">
      <c r="A109" s="124" t="s">
        <v>521</v>
      </c>
      <c r="B109" s="125" t="s">
        <v>1304</v>
      </c>
      <c r="C109" s="141">
        <v>0</v>
      </c>
      <c r="D109" s="131">
        <v>0</v>
      </c>
      <c r="E109" s="142">
        <v>0</v>
      </c>
      <c r="H109" s="23"/>
    </row>
    <row r="110" spans="1:8" ht="27" customHeight="1" x14ac:dyDescent="0.2">
      <c r="A110" s="124" t="s">
        <v>522</v>
      </c>
      <c r="B110" s="125" t="s">
        <v>1305</v>
      </c>
      <c r="C110" s="141">
        <v>0</v>
      </c>
      <c r="D110" s="131">
        <v>0</v>
      </c>
      <c r="E110" s="142">
        <v>0</v>
      </c>
      <c r="H110" s="23"/>
    </row>
    <row r="111" spans="1:8" ht="27" customHeight="1" x14ac:dyDescent="0.2">
      <c r="A111" s="124" t="s">
        <v>523</v>
      </c>
      <c r="B111" s="125" t="s">
        <v>1306</v>
      </c>
      <c r="C111" s="141">
        <v>0</v>
      </c>
      <c r="D111" s="131">
        <v>0</v>
      </c>
      <c r="E111" s="142">
        <v>0</v>
      </c>
      <c r="H111" s="23"/>
    </row>
    <row r="112" spans="1:8" ht="27" customHeight="1" x14ac:dyDescent="0.2">
      <c r="A112" s="124" t="s">
        <v>524</v>
      </c>
      <c r="B112" s="125" t="s">
        <v>1307</v>
      </c>
      <c r="C112" s="141">
        <v>0</v>
      </c>
      <c r="D112" s="131">
        <v>0</v>
      </c>
      <c r="E112" s="142">
        <v>0</v>
      </c>
      <c r="H112" s="23"/>
    </row>
    <row r="113" spans="1:8" ht="27" customHeight="1" x14ac:dyDescent="0.2">
      <c r="A113" s="124" t="s">
        <v>525</v>
      </c>
      <c r="B113" s="125" t="s">
        <v>1308</v>
      </c>
      <c r="C113" s="141">
        <v>0</v>
      </c>
      <c r="D113" s="131">
        <v>0</v>
      </c>
      <c r="E113" s="142">
        <v>0</v>
      </c>
      <c r="H113" s="23"/>
    </row>
    <row r="114" spans="1:8" ht="27" customHeight="1" x14ac:dyDescent="0.2">
      <c r="A114" s="124" t="s">
        <v>526</v>
      </c>
      <c r="B114" s="125" t="s">
        <v>1309</v>
      </c>
      <c r="C114" s="141">
        <v>0</v>
      </c>
      <c r="D114" s="131">
        <v>0</v>
      </c>
      <c r="E114" s="142">
        <v>0</v>
      </c>
      <c r="H114" s="23"/>
    </row>
    <row r="115" spans="1:8" ht="27" customHeight="1" x14ac:dyDescent="0.2">
      <c r="A115" s="124" t="s">
        <v>527</v>
      </c>
      <c r="B115" s="125" t="s">
        <v>1310</v>
      </c>
      <c r="C115" s="141">
        <v>0</v>
      </c>
      <c r="D115" s="131">
        <v>0</v>
      </c>
      <c r="E115" s="142">
        <v>0</v>
      </c>
      <c r="H115" s="23"/>
    </row>
    <row r="116" spans="1:8" ht="27" customHeight="1" x14ac:dyDescent="0.2">
      <c r="A116" s="124" t="s">
        <v>528</v>
      </c>
      <c r="B116" s="125" t="s">
        <v>1311</v>
      </c>
      <c r="C116" s="141">
        <v>0</v>
      </c>
      <c r="D116" s="131">
        <v>0</v>
      </c>
      <c r="E116" s="142">
        <v>0</v>
      </c>
      <c r="H116" s="23"/>
    </row>
    <row r="117" spans="1:8" ht="27" customHeight="1" x14ac:dyDescent="0.2">
      <c r="A117" s="124" t="s">
        <v>529</v>
      </c>
      <c r="B117" s="125" t="s">
        <v>1312</v>
      </c>
      <c r="C117" s="141">
        <v>0</v>
      </c>
      <c r="D117" s="131">
        <v>0</v>
      </c>
      <c r="E117" s="142">
        <v>0</v>
      </c>
      <c r="H117" s="23"/>
    </row>
    <row r="118" spans="1:8" ht="27" customHeight="1" x14ac:dyDescent="0.2">
      <c r="A118" s="124" t="s">
        <v>530</v>
      </c>
      <c r="B118" s="125" t="s">
        <v>1313</v>
      </c>
      <c r="C118" s="141">
        <v>0</v>
      </c>
      <c r="D118" s="131">
        <v>0</v>
      </c>
      <c r="E118" s="142">
        <v>0</v>
      </c>
      <c r="H118" s="23"/>
    </row>
    <row r="119" spans="1:8" ht="27" customHeight="1" x14ac:dyDescent="0.2">
      <c r="A119" s="124" t="s">
        <v>531</v>
      </c>
      <c r="B119" s="125" t="s">
        <v>1314</v>
      </c>
      <c r="C119" s="141">
        <v>0</v>
      </c>
      <c r="D119" s="131">
        <v>0</v>
      </c>
      <c r="E119" s="142">
        <v>0</v>
      </c>
      <c r="H119" s="23"/>
    </row>
    <row r="120" spans="1:8" ht="27" customHeight="1" x14ac:dyDescent="0.2">
      <c r="A120" s="124" t="s">
        <v>532</v>
      </c>
      <c r="B120" s="125" t="s">
        <v>1315</v>
      </c>
      <c r="C120" s="141">
        <v>0</v>
      </c>
      <c r="D120" s="131">
        <v>0</v>
      </c>
      <c r="E120" s="142">
        <v>0</v>
      </c>
      <c r="H120" s="23"/>
    </row>
    <row r="121" spans="1:8" ht="27" customHeight="1" x14ac:dyDescent="0.2">
      <c r="A121" s="124" t="s">
        <v>656</v>
      </c>
      <c r="B121" s="125" t="s">
        <v>1322</v>
      </c>
      <c r="C121" s="141" t="s">
        <v>445</v>
      </c>
      <c r="D121" s="142">
        <v>0</v>
      </c>
      <c r="E121" s="142">
        <v>0</v>
      </c>
      <c r="H121" s="23"/>
    </row>
    <row r="122" spans="1:8" ht="27" customHeight="1" x14ac:dyDescent="0.2">
      <c r="A122" s="124" t="s">
        <v>658</v>
      </c>
      <c r="B122" s="125" t="s">
        <v>1324</v>
      </c>
      <c r="C122" s="141" t="s">
        <v>446</v>
      </c>
      <c r="D122" s="131">
        <v>0</v>
      </c>
      <c r="E122" s="142">
        <v>0</v>
      </c>
      <c r="H122" s="23"/>
    </row>
    <row r="123" spans="1:8" ht="27" customHeight="1" x14ac:dyDescent="0.2">
      <c r="A123" s="124" t="s">
        <v>659</v>
      </c>
      <c r="B123" s="125" t="s">
        <v>1325</v>
      </c>
      <c r="C123" s="141" t="s">
        <v>446</v>
      </c>
      <c r="D123" s="131">
        <v>0</v>
      </c>
      <c r="E123" s="142">
        <v>0</v>
      </c>
      <c r="H123" s="23"/>
    </row>
    <row r="124" spans="1:8" ht="27" customHeight="1" x14ac:dyDescent="0.2">
      <c r="A124" s="124" t="s">
        <v>660</v>
      </c>
      <c r="B124" s="125" t="s">
        <v>1326</v>
      </c>
      <c r="C124" s="141" t="s">
        <v>446</v>
      </c>
      <c r="D124" s="131">
        <v>0</v>
      </c>
      <c r="E124" s="142">
        <v>0</v>
      </c>
      <c r="H124" s="23"/>
    </row>
    <row r="125" spans="1:8" ht="27" customHeight="1" x14ac:dyDescent="0.2">
      <c r="A125" s="124" t="s">
        <v>661</v>
      </c>
      <c r="B125" s="125" t="s">
        <v>1327</v>
      </c>
      <c r="C125" s="141" t="s">
        <v>446</v>
      </c>
      <c r="D125" s="131">
        <v>0</v>
      </c>
      <c r="E125" s="142">
        <v>0</v>
      </c>
      <c r="H125" s="23"/>
    </row>
    <row r="126" spans="1:8" ht="27" customHeight="1" x14ac:dyDescent="0.2">
      <c r="A126" s="124" t="s">
        <v>662</v>
      </c>
      <c r="B126" s="125" t="s">
        <v>1328</v>
      </c>
      <c r="C126" s="141" t="s">
        <v>446</v>
      </c>
      <c r="D126" s="131">
        <v>0</v>
      </c>
      <c r="E126" s="142">
        <v>0</v>
      </c>
      <c r="H126" s="23"/>
    </row>
    <row r="127" spans="1:8" ht="27" customHeight="1" x14ac:dyDescent="0.2">
      <c r="A127" s="124" t="s">
        <v>533</v>
      </c>
      <c r="B127" s="125" t="s">
        <v>1330</v>
      </c>
      <c r="C127" s="141">
        <v>0</v>
      </c>
      <c r="D127" s="131">
        <v>0</v>
      </c>
      <c r="E127" s="142">
        <v>0</v>
      </c>
      <c r="H127" s="23"/>
    </row>
    <row r="128" spans="1:8" ht="27" customHeight="1" x14ac:dyDescent="0.2">
      <c r="A128" s="124" t="s">
        <v>534</v>
      </c>
      <c r="B128" s="125" t="s">
        <v>1331</v>
      </c>
      <c r="C128" s="141">
        <v>0</v>
      </c>
      <c r="D128" s="131">
        <v>0</v>
      </c>
      <c r="E128" s="142">
        <v>0</v>
      </c>
      <c r="H128" s="23"/>
    </row>
    <row r="129" spans="1:8" ht="27" customHeight="1" x14ac:dyDescent="0.2">
      <c r="A129" s="124" t="s">
        <v>535</v>
      </c>
      <c r="B129" s="125" t="s">
        <v>1332</v>
      </c>
      <c r="C129" s="141">
        <v>0</v>
      </c>
      <c r="D129" s="131">
        <v>0</v>
      </c>
      <c r="E129" s="142">
        <v>0</v>
      </c>
      <c r="H129" s="23"/>
    </row>
    <row r="130" spans="1:8" ht="27" customHeight="1" x14ac:dyDescent="0.2">
      <c r="A130" s="124" t="s">
        <v>536</v>
      </c>
      <c r="B130" s="125" t="s">
        <v>1333</v>
      </c>
      <c r="C130" s="141">
        <v>0</v>
      </c>
      <c r="D130" s="131">
        <v>0</v>
      </c>
      <c r="E130" s="142">
        <v>0</v>
      </c>
      <c r="H130" s="23"/>
    </row>
    <row r="131" spans="1:8" ht="27" customHeight="1" x14ac:dyDescent="0.2">
      <c r="A131" s="124" t="s">
        <v>537</v>
      </c>
      <c r="B131" s="125" t="s">
        <v>1334</v>
      </c>
      <c r="C131" s="141">
        <v>0</v>
      </c>
      <c r="D131" s="131">
        <v>0</v>
      </c>
      <c r="E131" s="142">
        <v>0</v>
      </c>
      <c r="H131" s="23"/>
    </row>
    <row r="132" spans="1:8" ht="27" customHeight="1" x14ac:dyDescent="0.2">
      <c r="A132" s="124" t="s">
        <v>538</v>
      </c>
      <c r="B132" s="125" t="s">
        <v>1335</v>
      </c>
      <c r="C132" s="141">
        <v>0</v>
      </c>
      <c r="D132" s="131">
        <v>0</v>
      </c>
      <c r="E132" s="142">
        <v>0</v>
      </c>
      <c r="H132" s="23"/>
    </row>
    <row r="133" spans="1:8" ht="27" customHeight="1" x14ac:dyDescent="0.2">
      <c r="A133" s="124" t="s">
        <v>539</v>
      </c>
      <c r="B133" s="125" t="s">
        <v>1336</v>
      </c>
      <c r="C133" s="141">
        <v>0</v>
      </c>
      <c r="D133" s="131">
        <v>0</v>
      </c>
      <c r="E133" s="142">
        <v>0</v>
      </c>
      <c r="H133" s="23"/>
    </row>
    <row r="134" spans="1:8" ht="27" customHeight="1" x14ac:dyDescent="0.2">
      <c r="A134" s="124" t="s">
        <v>540</v>
      </c>
      <c r="B134" s="125" t="s">
        <v>1337</v>
      </c>
      <c r="C134" s="141">
        <v>0</v>
      </c>
      <c r="D134" s="131">
        <v>0</v>
      </c>
      <c r="E134" s="142">
        <v>0</v>
      </c>
      <c r="H134" s="23"/>
    </row>
    <row r="135" spans="1:8" ht="27" customHeight="1" x14ac:dyDescent="0.2">
      <c r="A135" s="124" t="s">
        <v>541</v>
      </c>
      <c r="B135" s="125" t="s">
        <v>1338</v>
      </c>
      <c r="C135" s="141">
        <v>0</v>
      </c>
      <c r="D135" s="131">
        <v>0</v>
      </c>
      <c r="E135" s="142">
        <v>0</v>
      </c>
      <c r="H135" s="23"/>
    </row>
    <row r="136" spans="1:8" ht="27" customHeight="1" x14ac:dyDescent="0.2">
      <c r="A136" s="124" t="s">
        <v>542</v>
      </c>
      <c r="B136" s="125" t="s">
        <v>1339</v>
      </c>
      <c r="C136" s="141">
        <v>0</v>
      </c>
      <c r="D136" s="131">
        <v>0</v>
      </c>
      <c r="E136" s="142">
        <v>0</v>
      </c>
      <c r="H136" s="23"/>
    </row>
    <row r="137" spans="1:8" ht="27" customHeight="1" x14ac:dyDescent="0.2">
      <c r="A137" s="124" t="s">
        <v>543</v>
      </c>
      <c r="B137" s="125" t="s">
        <v>1340</v>
      </c>
      <c r="C137" s="141">
        <v>0</v>
      </c>
      <c r="D137" s="131">
        <v>0</v>
      </c>
      <c r="E137" s="142">
        <v>0</v>
      </c>
      <c r="H137" s="23"/>
    </row>
    <row r="138" spans="1:8" ht="27" customHeight="1" x14ac:dyDescent="0.2">
      <c r="A138" s="124" t="s">
        <v>544</v>
      </c>
      <c r="B138" s="125" t="s">
        <v>1341</v>
      </c>
      <c r="C138" s="141">
        <v>0</v>
      </c>
      <c r="D138" s="131">
        <v>0</v>
      </c>
      <c r="E138" s="142">
        <v>0</v>
      </c>
      <c r="H138" s="23"/>
    </row>
    <row r="139" spans="1:8" ht="27" customHeight="1" x14ac:dyDescent="0.2">
      <c r="A139" s="124" t="s">
        <v>545</v>
      </c>
      <c r="B139" s="125" t="s">
        <v>1342</v>
      </c>
      <c r="C139" s="141">
        <v>0</v>
      </c>
      <c r="D139" s="131">
        <v>0</v>
      </c>
      <c r="E139" s="142">
        <v>0</v>
      </c>
      <c r="H139" s="23"/>
    </row>
    <row r="140" spans="1:8" ht="27" customHeight="1" x14ac:dyDescent="0.2">
      <c r="A140" s="124" t="s">
        <v>546</v>
      </c>
      <c r="B140" s="125" t="s">
        <v>1343</v>
      </c>
      <c r="C140" s="141">
        <v>0</v>
      </c>
      <c r="D140" s="131">
        <v>0</v>
      </c>
      <c r="E140" s="142">
        <v>0</v>
      </c>
      <c r="H140" s="23"/>
    </row>
    <row r="141" spans="1:8" ht="27" customHeight="1" x14ac:dyDescent="0.2">
      <c r="A141" s="124" t="s">
        <v>547</v>
      </c>
      <c r="B141" s="125" t="s">
        <v>1344</v>
      </c>
      <c r="C141" s="141">
        <v>0</v>
      </c>
      <c r="D141" s="131">
        <v>0</v>
      </c>
      <c r="E141" s="142">
        <v>0</v>
      </c>
      <c r="H141" s="23"/>
    </row>
    <row r="142" spans="1:8" ht="27" customHeight="1" x14ac:dyDescent="0.2">
      <c r="A142" s="124" t="s">
        <v>663</v>
      </c>
      <c r="B142" s="125" t="s">
        <v>1351</v>
      </c>
      <c r="C142" s="141" t="s">
        <v>445</v>
      </c>
      <c r="D142" s="142">
        <v>0</v>
      </c>
      <c r="E142" s="142">
        <v>0</v>
      </c>
      <c r="H142" s="23"/>
    </row>
    <row r="143" spans="1:8" ht="27" customHeight="1" x14ac:dyDescent="0.2">
      <c r="A143" s="124" t="s">
        <v>665</v>
      </c>
      <c r="B143" s="125" t="s">
        <v>1353</v>
      </c>
      <c r="C143" s="141" t="s">
        <v>446</v>
      </c>
      <c r="D143" s="131">
        <v>0</v>
      </c>
      <c r="E143" s="142">
        <v>0</v>
      </c>
      <c r="H143" s="23"/>
    </row>
    <row r="144" spans="1:8" ht="27" customHeight="1" x14ac:dyDescent="0.2">
      <c r="A144" s="124" t="s">
        <v>666</v>
      </c>
      <c r="B144" s="125" t="s">
        <v>1354</v>
      </c>
      <c r="C144" s="141" t="s">
        <v>446</v>
      </c>
      <c r="D144" s="131">
        <v>0</v>
      </c>
      <c r="E144" s="142">
        <v>0</v>
      </c>
      <c r="H144" s="23"/>
    </row>
    <row r="145" spans="1:8" ht="27" customHeight="1" x14ac:dyDescent="0.2">
      <c r="A145" s="124" t="s">
        <v>667</v>
      </c>
      <c r="B145" s="125" t="s">
        <v>1355</v>
      </c>
      <c r="C145" s="141" t="s">
        <v>446</v>
      </c>
      <c r="D145" s="131">
        <v>0</v>
      </c>
      <c r="E145" s="142">
        <v>0</v>
      </c>
      <c r="H145" s="23"/>
    </row>
    <row r="146" spans="1:8" ht="27" customHeight="1" x14ac:dyDescent="0.2">
      <c r="A146" s="124" t="s">
        <v>668</v>
      </c>
      <c r="B146" s="125" t="s">
        <v>1356</v>
      </c>
      <c r="C146" s="141" t="s">
        <v>446</v>
      </c>
      <c r="D146" s="131">
        <v>0</v>
      </c>
      <c r="E146" s="142">
        <v>0</v>
      </c>
      <c r="H146" s="23"/>
    </row>
    <row r="147" spans="1:8" ht="27" customHeight="1" x14ac:dyDescent="0.2">
      <c r="A147" s="124" t="s">
        <v>669</v>
      </c>
      <c r="B147" s="125" t="s">
        <v>1357</v>
      </c>
      <c r="C147" s="141" t="s">
        <v>446</v>
      </c>
      <c r="D147" s="131">
        <v>0</v>
      </c>
      <c r="E147" s="142">
        <v>0</v>
      </c>
      <c r="H147" s="23"/>
    </row>
    <row r="148" spans="1:8" ht="27" customHeight="1" x14ac:dyDescent="0.2">
      <c r="A148" s="124" t="s">
        <v>548</v>
      </c>
      <c r="B148" s="125" t="s">
        <v>1359</v>
      </c>
      <c r="C148" s="141">
        <v>0</v>
      </c>
      <c r="D148" s="131">
        <v>0</v>
      </c>
      <c r="E148" s="142">
        <v>0</v>
      </c>
      <c r="H148" s="23"/>
    </row>
    <row r="149" spans="1:8" ht="27" customHeight="1" x14ac:dyDescent="0.2">
      <c r="A149" s="124" t="s">
        <v>549</v>
      </c>
      <c r="B149" s="125" t="s">
        <v>1360</v>
      </c>
      <c r="C149" s="141">
        <v>0</v>
      </c>
      <c r="D149" s="131">
        <v>0</v>
      </c>
      <c r="E149" s="142">
        <v>0</v>
      </c>
      <c r="H149" s="23"/>
    </row>
    <row r="150" spans="1:8" ht="27" customHeight="1" x14ac:dyDescent="0.2">
      <c r="A150" s="124" t="s">
        <v>550</v>
      </c>
      <c r="B150" s="125" t="s">
        <v>1361</v>
      </c>
      <c r="C150" s="141">
        <v>0</v>
      </c>
      <c r="D150" s="131">
        <v>0</v>
      </c>
      <c r="E150" s="142">
        <v>0</v>
      </c>
      <c r="H150" s="23"/>
    </row>
    <row r="151" spans="1:8" ht="27" customHeight="1" x14ac:dyDescent="0.2">
      <c r="A151" s="124" t="s">
        <v>551</v>
      </c>
      <c r="B151" s="125" t="s">
        <v>1362</v>
      </c>
      <c r="C151" s="141">
        <v>0</v>
      </c>
      <c r="D151" s="131">
        <v>0</v>
      </c>
      <c r="E151" s="142">
        <v>0</v>
      </c>
      <c r="H151" s="23"/>
    </row>
    <row r="152" spans="1:8" ht="27" customHeight="1" x14ac:dyDescent="0.2">
      <c r="A152" s="124" t="s">
        <v>552</v>
      </c>
      <c r="B152" s="125" t="s">
        <v>1363</v>
      </c>
      <c r="C152" s="141">
        <v>0</v>
      </c>
      <c r="D152" s="131">
        <v>0</v>
      </c>
      <c r="E152" s="142">
        <v>0</v>
      </c>
      <c r="H152" s="23"/>
    </row>
    <row r="153" spans="1:8" ht="27" customHeight="1" x14ac:dyDescent="0.2">
      <c r="A153" s="124" t="s">
        <v>553</v>
      </c>
      <c r="B153" s="125" t="s">
        <v>1364</v>
      </c>
      <c r="C153" s="141">
        <v>0</v>
      </c>
      <c r="D153" s="131">
        <v>0</v>
      </c>
      <c r="E153" s="142">
        <v>0</v>
      </c>
      <c r="H153" s="23"/>
    </row>
    <row r="154" spans="1:8" ht="27" customHeight="1" x14ac:dyDescent="0.2">
      <c r="A154" s="124" t="s">
        <v>554</v>
      </c>
      <c r="B154" s="125" t="s">
        <v>1365</v>
      </c>
      <c r="C154" s="141">
        <v>0</v>
      </c>
      <c r="D154" s="131">
        <v>0</v>
      </c>
      <c r="E154" s="142">
        <v>0</v>
      </c>
      <c r="H154" s="23"/>
    </row>
    <row r="155" spans="1:8" ht="27" customHeight="1" x14ac:dyDescent="0.2">
      <c r="A155" s="124" t="s">
        <v>555</v>
      </c>
      <c r="B155" s="125" t="s">
        <v>1366</v>
      </c>
      <c r="C155" s="141">
        <v>0</v>
      </c>
      <c r="D155" s="131">
        <v>0</v>
      </c>
      <c r="E155" s="142">
        <v>0</v>
      </c>
      <c r="H155" s="23"/>
    </row>
    <row r="156" spans="1:8" ht="27" customHeight="1" x14ac:dyDescent="0.2">
      <c r="A156" s="124" t="s">
        <v>556</v>
      </c>
      <c r="B156" s="125" t="s">
        <v>1367</v>
      </c>
      <c r="C156" s="141">
        <v>0</v>
      </c>
      <c r="D156" s="131">
        <v>0</v>
      </c>
      <c r="E156" s="142">
        <v>0</v>
      </c>
      <c r="H156" s="23"/>
    </row>
    <row r="157" spans="1:8" ht="27" customHeight="1" x14ac:dyDescent="0.2">
      <c r="A157" s="124" t="s">
        <v>557</v>
      </c>
      <c r="B157" s="125" t="s">
        <v>1368</v>
      </c>
      <c r="C157" s="141">
        <v>0</v>
      </c>
      <c r="D157" s="131">
        <v>0</v>
      </c>
      <c r="E157" s="142">
        <v>0</v>
      </c>
      <c r="H157" s="23"/>
    </row>
    <row r="158" spans="1:8" ht="27" customHeight="1" x14ac:dyDescent="0.2">
      <c r="A158" s="124" t="s">
        <v>558</v>
      </c>
      <c r="B158" s="125" t="s">
        <v>1369</v>
      </c>
      <c r="C158" s="141">
        <v>0</v>
      </c>
      <c r="D158" s="131">
        <v>0</v>
      </c>
      <c r="E158" s="142">
        <v>0</v>
      </c>
      <c r="H158" s="23"/>
    </row>
    <row r="159" spans="1:8" ht="27" customHeight="1" x14ac:dyDescent="0.2">
      <c r="A159" s="124" t="s">
        <v>559</v>
      </c>
      <c r="B159" s="125" t="s">
        <v>1370</v>
      </c>
      <c r="C159" s="141">
        <v>0</v>
      </c>
      <c r="D159" s="131">
        <v>0</v>
      </c>
      <c r="E159" s="142">
        <v>0</v>
      </c>
      <c r="H159" s="23"/>
    </row>
    <row r="160" spans="1:8" ht="27" customHeight="1" x14ac:dyDescent="0.2">
      <c r="A160" s="124" t="s">
        <v>560</v>
      </c>
      <c r="B160" s="125" t="s">
        <v>1371</v>
      </c>
      <c r="C160" s="141">
        <v>0</v>
      </c>
      <c r="D160" s="131">
        <v>0</v>
      </c>
      <c r="E160" s="142">
        <v>0</v>
      </c>
      <c r="H160" s="23"/>
    </row>
    <row r="161" spans="1:8" ht="27" customHeight="1" x14ac:dyDescent="0.2">
      <c r="A161" s="124" t="s">
        <v>561</v>
      </c>
      <c r="B161" s="125" t="s">
        <v>1372</v>
      </c>
      <c r="C161" s="141">
        <v>0</v>
      </c>
      <c r="D161" s="131">
        <v>0</v>
      </c>
      <c r="E161" s="142">
        <v>0</v>
      </c>
      <c r="H161" s="23"/>
    </row>
    <row r="162" spans="1:8" ht="27" customHeight="1" x14ac:dyDescent="0.2">
      <c r="A162" s="124" t="s">
        <v>562</v>
      </c>
      <c r="B162" s="125" t="s">
        <v>1373</v>
      </c>
      <c r="C162" s="141">
        <v>0</v>
      </c>
      <c r="D162" s="131">
        <v>0</v>
      </c>
      <c r="E162" s="142">
        <v>0</v>
      </c>
      <c r="H162" s="23"/>
    </row>
    <row r="163" spans="1:8" ht="15" x14ac:dyDescent="0.2">
      <c r="A163" s="57" t="s">
        <v>672</v>
      </c>
    </row>
    <row r="164" spans="1:8" ht="15" x14ac:dyDescent="0.2">
      <c r="A164" s="57" t="s">
        <v>671</v>
      </c>
    </row>
    <row r="165" spans="1:8" ht="15" x14ac:dyDescent="0.2"/>
  </sheetData>
  <mergeCells count="2">
    <mergeCell ref="B1:C1"/>
    <mergeCell ref="A2:E2"/>
  </mergeCells>
  <conditionalFormatting sqref="E5:E162">
    <cfRule type="expression" dxfId="3" priority="1">
      <formula>ABS(E5)&lt;0.005</formula>
    </cfRule>
  </conditionalFormatting>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80" fitToHeight="10" orientation="portrait" r:id="rId1"/>
  <headerFooter scaleWithDoc="0">
    <oddHeader>&amp;L&amp;"Trebuchet MS,Bold"
Annex 7 &amp;"Trebuchet MS,Regular"- Schedule of Charges to recover Excess Supplier of Last Resort pass-through costs</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493"/>
  <sheetViews>
    <sheetView zoomScale="90" zoomScaleNormal="90" zoomScaleSheetLayoutView="100" workbookViewId="0"/>
  </sheetViews>
  <sheetFormatPr defaultColWidth="9.140625" defaultRowHeight="27.75" customHeight="1" x14ac:dyDescent="0.2"/>
  <cols>
    <col min="1" max="1" width="29.85546875" style="57" customWidth="1"/>
    <col min="2" max="2" width="48.5703125" style="57" customWidth="1"/>
    <col min="3" max="4" width="23.7109375" style="64" customWidth="1"/>
    <col min="5" max="5" width="15.5703125" style="57" customWidth="1"/>
    <col min="6" max="16384" width="9.140625" style="57"/>
  </cols>
  <sheetData>
    <row r="1" spans="1:7" ht="27.75" customHeight="1" x14ac:dyDescent="0.3">
      <c r="A1" s="68" t="s">
        <v>18</v>
      </c>
      <c r="B1" s="64"/>
      <c r="C1" s="57"/>
      <c r="E1" s="182"/>
      <c r="F1" s="60"/>
      <c r="G1" s="60"/>
    </row>
    <row r="2" spans="1:7" s="183" customFormat="1" ht="22.5" customHeight="1" x14ac:dyDescent="0.2">
      <c r="A2" s="221" t="str">
        <f>Overview!B4&amp; " - Effective from "&amp;Overview!D4&amp;" - "&amp;Overview!E4&amp;" Nodal/Zonal charges"</f>
        <v>Northern Powergrid (Yorkshire) Plc - Effective from 1 April 2026 - Final Nodal/Zonal charges</v>
      </c>
      <c r="B2" s="222"/>
      <c r="C2" s="222"/>
      <c r="D2" s="223"/>
    </row>
    <row r="3" spans="1:7" ht="60.75" customHeight="1" x14ac:dyDescent="0.2">
      <c r="A3" s="184" t="s">
        <v>269</v>
      </c>
      <c r="B3" s="184" t="s">
        <v>1</v>
      </c>
      <c r="C3" s="184" t="s">
        <v>257</v>
      </c>
      <c r="D3" s="184" t="s">
        <v>258</v>
      </c>
    </row>
    <row r="4" spans="1:7" ht="21.75" customHeight="1" x14ac:dyDescent="0.2">
      <c r="A4" s="185" t="s">
        <v>681</v>
      </c>
      <c r="B4" s="186" t="s">
        <v>682</v>
      </c>
      <c r="C4" s="187">
        <v>0.108636416655</v>
      </c>
      <c r="D4" s="187">
        <v>7.2257566899700003E-3</v>
      </c>
    </row>
    <row r="5" spans="1:7" ht="21.75" customHeight="1" x14ac:dyDescent="0.2">
      <c r="A5" s="185" t="s">
        <v>683</v>
      </c>
      <c r="B5" s="186" t="s">
        <v>682</v>
      </c>
      <c r="C5" s="187">
        <v>0.40638920484699997</v>
      </c>
      <c r="D5" s="187">
        <v>0.35090322981100003</v>
      </c>
    </row>
    <row r="6" spans="1:7" ht="21.75" customHeight="1" x14ac:dyDescent="0.2">
      <c r="A6" s="185" t="s">
        <v>684</v>
      </c>
      <c r="B6" s="186" t="s">
        <v>682</v>
      </c>
      <c r="C6" s="187">
        <v>0.40260601982600003</v>
      </c>
      <c r="D6" s="187">
        <v>0.98236301499599998</v>
      </c>
    </row>
    <row r="7" spans="1:7" ht="21.75" customHeight="1" x14ac:dyDescent="0.2">
      <c r="A7" s="185" t="s">
        <v>685</v>
      </c>
      <c r="B7" s="186" t="s">
        <v>682</v>
      </c>
      <c r="C7" s="187">
        <v>0.28494128723199996</v>
      </c>
      <c r="D7" s="187">
        <v>1.15063835089</v>
      </c>
    </row>
    <row r="8" spans="1:7" ht="21.75" customHeight="1" x14ac:dyDescent="0.2">
      <c r="A8" s="185" t="s">
        <v>686</v>
      </c>
      <c r="B8" s="186" t="s">
        <v>682</v>
      </c>
      <c r="C8" s="187">
        <v>0.37399325286200003</v>
      </c>
      <c r="D8" s="187">
        <v>7.08417629732</v>
      </c>
    </row>
    <row r="9" spans="1:7" ht="21.75" customHeight="1" x14ac:dyDescent="0.2">
      <c r="A9" s="185" t="s">
        <v>687</v>
      </c>
      <c r="B9" s="186" t="s">
        <v>682</v>
      </c>
      <c r="C9" s="187">
        <v>0.16825483330899998</v>
      </c>
      <c r="D9" s="187">
        <v>0.33064929455100001</v>
      </c>
    </row>
    <row r="10" spans="1:7" ht="21.75" customHeight="1" x14ac:dyDescent="0.2">
      <c r="A10" s="185" t="s">
        <v>688</v>
      </c>
      <c r="B10" s="186" t="s">
        <v>682</v>
      </c>
      <c r="C10" s="187">
        <v>0.33513403215099996</v>
      </c>
      <c r="D10" s="187">
        <v>3.8647313354100001</v>
      </c>
    </row>
    <row r="11" spans="1:7" ht="21.75" customHeight="1" x14ac:dyDescent="0.2">
      <c r="A11" s="185" t="s">
        <v>689</v>
      </c>
      <c r="B11" s="186" t="s">
        <v>682</v>
      </c>
      <c r="C11" s="187">
        <v>0</v>
      </c>
      <c r="D11" s="187">
        <v>7.5379941445000001E-2</v>
      </c>
    </row>
    <row r="12" spans="1:7" ht="21.75" customHeight="1" x14ac:dyDescent="0.2">
      <c r="A12" s="185" t="s">
        <v>690</v>
      </c>
      <c r="B12" s="186" t="s">
        <v>682</v>
      </c>
      <c r="C12" s="187">
        <v>1.8616969923699999E-3</v>
      </c>
      <c r="D12" s="187">
        <v>1.36428519125</v>
      </c>
    </row>
    <row r="13" spans="1:7" ht="21.75" customHeight="1" x14ac:dyDescent="0.2">
      <c r="A13" s="185" t="s">
        <v>691</v>
      </c>
      <c r="B13" s="186" t="s">
        <v>682</v>
      </c>
      <c r="C13" s="187">
        <v>-4.7253414127799997E-4</v>
      </c>
      <c r="D13" s="187">
        <v>4.0506643238699995</v>
      </c>
    </row>
    <row r="14" spans="1:7" ht="21.75" customHeight="1" x14ac:dyDescent="0.2">
      <c r="A14" s="185" t="s">
        <v>692</v>
      </c>
      <c r="B14" s="186" t="s">
        <v>682</v>
      </c>
      <c r="C14" s="187">
        <v>1.5648922748100001E-2</v>
      </c>
      <c r="D14" s="187">
        <v>1.3176772245800001</v>
      </c>
    </row>
    <row r="15" spans="1:7" ht="21.75" customHeight="1" x14ac:dyDescent="0.2">
      <c r="A15" s="185" t="s">
        <v>693</v>
      </c>
      <c r="B15" s="186" t="s">
        <v>682</v>
      </c>
      <c r="C15" s="187">
        <v>0.35823809217199998</v>
      </c>
      <c r="D15" s="187">
        <v>11.0390877645</v>
      </c>
    </row>
    <row r="16" spans="1:7" ht="21.75" customHeight="1" x14ac:dyDescent="0.2">
      <c r="A16" s="185" t="s">
        <v>694</v>
      </c>
      <c r="B16" s="186" t="s">
        <v>682</v>
      </c>
      <c r="C16" s="187">
        <v>1.7809330488600001</v>
      </c>
      <c r="D16" s="187">
        <v>3.80425603123</v>
      </c>
    </row>
    <row r="17" spans="1:4" ht="21.75" customHeight="1" x14ac:dyDescent="0.2">
      <c r="A17" s="185" t="s">
        <v>695</v>
      </c>
      <c r="B17" s="186" t="s">
        <v>682</v>
      </c>
      <c r="C17" s="187">
        <v>5.6654981415699994E-3</v>
      </c>
      <c r="D17" s="187">
        <v>0.35621250475599997</v>
      </c>
    </row>
    <row r="18" spans="1:4" ht="21.75" customHeight="1" x14ac:dyDescent="0.2">
      <c r="A18" s="185" t="s">
        <v>696</v>
      </c>
      <c r="B18" s="186" t="s">
        <v>682</v>
      </c>
      <c r="C18" s="187">
        <v>2.96009170404E-2</v>
      </c>
      <c r="D18" s="187">
        <v>2.7315773703200001</v>
      </c>
    </row>
    <row r="19" spans="1:4" ht="21.75" customHeight="1" x14ac:dyDescent="0.2">
      <c r="A19" s="185" t="s">
        <v>697</v>
      </c>
      <c r="B19" s="186" t="s">
        <v>682</v>
      </c>
      <c r="C19" s="187">
        <v>0.18339457135699999</v>
      </c>
      <c r="D19" s="187">
        <v>0.251373401931</v>
      </c>
    </row>
    <row r="20" spans="1:4" ht="21.75" customHeight="1" x14ac:dyDescent="0.2">
      <c r="A20" s="185" t="s">
        <v>698</v>
      </c>
      <c r="B20" s="186" t="s">
        <v>682</v>
      </c>
      <c r="C20" s="187">
        <v>0.146575887445</v>
      </c>
      <c r="D20" s="187">
        <v>0.95145203226700004</v>
      </c>
    </row>
    <row r="21" spans="1:4" ht="21.75" customHeight="1" x14ac:dyDescent="0.2">
      <c r="A21" s="185" t="s">
        <v>699</v>
      </c>
      <c r="B21" s="186" t="s">
        <v>682</v>
      </c>
      <c r="C21" s="187">
        <v>0.76668499963100001</v>
      </c>
      <c r="D21" s="187">
        <v>1.1702708687700001</v>
      </c>
    </row>
    <row r="22" spans="1:4" ht="21.75" customHeight="1" x14ac:dyDescent="0.2">
      <c r="A22" s="185" t="s">
        <v>700</v>
      </c>
      <c r="B22" s="186" t="s">
        <v>682</v>
      </c>
      <c r="C22" s="187">
        <v>0.58769564276999997</v>
      </c>
      <c r="D22" s="187">
        <v>1.9767510579699998</v>
      </c>
    </row>
    <row r="23" spans="1:4" ht="21.75" customHeight="1" x14ac:dyDescent="0.2">
      <c r="A23" s="185" t="s">
        <v>701</v>
      </c>
      <c r="B23" s="186" t="s">
        <v>682</v>
      </c>
      <c r="C23" s="187">
        <v>4.1044702143099999E-2</v>
      </c>
      <c r="D23" s="187">
        <v>1.5523378882800001</v>
      </c>
    </row>
    <row r="24" spans="1:4" ht="21.75" customHeight="1" x14ac:dyDescent="0.2">
      <c r="A24" s="185" t="s">
        <v>702</v>
      </c>
      <c r="B24" s="186" t="s">
        <v>682</v>
      </c>
      <c r="C24" s="187">
        <v>2.2389721426300004E-3</v>
      </c>
      <c r="D24" s="187">
        <v>0.31983276636300001</v>
      </c>
    </row>
    <row r="25" spans="1:4" ht="21.75" customHeight="1" x14ac:dyDescent="0.2">
      <c r="A25" s="185" t="s">
        <v>703</v>
      </c>
      <c r="B25" s="186" t="s">
        <v>682</v>
      </c>
      <c r="C25" s="187">
        <v>1.5691887404399998E-2</v>
      </c>
      <c r="D25" s="187">
        <v>3.2178561288400003</v>
      </c>
    </row>
    <row r="26" spans="1:4" ht="21.75" customHeight="1" x14ac:dyDescent="0.2">
      <c r="A26" s="185" t="s">
        <v>704</v>
      </c>
      <c r="B26" s="186" t="s">
        <v>682</v>
      </c>
      <c r="C26" s="187">
        <v>1.5691887404399998E-2</v>
      </c>
      <c r="D26" s="187">
        <v>3.2178561288400003</v>
      </c>
    </row>
    <row r="27" spans="1:4" ht="27.75" customHeight="1" x14ac:dyDescent="0.2">
      <c r="A27" s="185" t="s">
        <v>705</v>
      </c>
      <c r="B27" s="186" t="s">
        <v>682</v>
      </c>
      <c r="C27" s="187">
        <v>0.63463279138799999</v>
      </c>
      <c r="D27" s="187">
        <v>0.856717436369</v>
      </c>
    </row>
    <row r="28" spans="1:4" ht="27.75" customHeight="1" x14ac:dyDescent="0.2">
      <c r="A28" s="185" t="s">
        <v>706</v>
      </c>
      <c r="B28" s="186" t="s">
        <v>682</v>
      </c>
      <c r="C28" s="187">
        <v>0.65275278216599997</v>
      </c>
      <c r="D28" s="187">
        <v>4.9062782108</v>
      </c>
    </row>
    <row r="29" spans="1:4" ht="27.75" customHeight="1" x14ac:dyDescent="0.2">
      <c r="A29" s="185" t="s">
        <v>707</v>
      </c>
      <c r="B29" s="186" t="s">
        <v>682</v>
      </c>
      <c r="C29" s="187">
        <v>-7.0560132075199997E-2</v>
      </c>
      <c r="D29" s="187">
        <v>4.5629412634500008</v>
      </c>
    </row>
    <row r="30" spans="1:4" ht="27.75" customHeight="1" x14ac:dyDescent="0.2">
      <c r="A30" s="185" t="s">
        <v>708</v>
      </c>
      <c r="B30" s="186" t="s">
        <v>682</v>
      </c>
      <c r="C30" s="187">
        <v>0.22871678050299998</v>
      </c>
      <c r="D30" s="187">
        <v>0.60725906733000001</v>
      </c>
    </row>
    <row r="31" spans="1:4" ht="27.75" customHeight="1" x14ac:dyDescent="0.2">
      <c r="A31" s="185" t="s">
        <v>709</v>
      </c>
      <c r="B31" s="186" t="s">
        <v>682</v>
      </c>
      <c r="C31" s="187">
        <v>-1.7556497139099999E-4</v>
      </c>
      <c r="D31" s="187">
        <v>2.2909846702399999</v>
      </c>
    </row>
    <row r="32" spans="1:4" ht="27.75" customHeight="1" x14ac:dyDescent="0.2">
      <c r="A32" s="185" t="s">
        <v>710</v>
      </c>
      <c r="B32" s="186" t="s">
        <v>682</v>
      </c>
      <c r="C32" s="187">
        <v>0.15938172959499999</v>
      </c>
      <c r="D32" s="187">
        <v>4.1822245140200005</v>
      </c>
    </row>
    <row r="33" spans="1:4" ht="27.75" customHeight="1" x14ac:dyDescent="0.2">
      <c r="A33" s="185" t="s">
        <v>711</v>
      </c>
      <c r="B33" s="186" t="s">
        <v>682</v>
      </c>
      <c r="C33" s="187">
        <v>0.287539802633</v>
      </c>
      <c r="D33" s="187">
        <v>0.15784695471899998</v>
      </c>
    </row>
    <row r="34" spans="1:4" ht="27.75" customHeight="1" x14ac:dyDescent="0.2">
      <c r="A34" s="185" t="s">
        <v>712</v>
      </c>
      <c r="B34" s="186" t="s">
        <v>682</v>
      </c>
      <c r="C34" s="187">
        <v>3.3621750958200004E-2</v>
      </c>
      <c r="D34" s="187">
        <v>0.85021876844099997</v>
      </c>
    </row>
    <row r="35" spans="1:4" ht="27.75" customHeight="1" x14ac:dyDescent="0.2">
      <c r="A35" s="185" t="s">
        <v>713</v>
      </c>
      <c r="B35" s="186" t="s">
        <v>682</v>
      </c>
      <c r="C35" s="187">
        <v>1.3232897424400001</v>
      </c>
      <c r="D35" s="187">
        <v>1.8466841783100001</v>
      </c>
    </row>
    <row r="36" spans="1:4" ht="27.75" customHeight="1" x14ac:dyDescent="0.2">
      <c r="A36" s="185" t="s">
        <v>714</v>
      </c>
      <c r="B36" s="186" t="s">
        <v>682</v>
      </c>
      <c r="C36" s="187">
        <v>0.144565553037</v>
      </c>
      <c r="D36" s="187">
        <v>1.5603132087</v>
      </c>
    </row>
    <row r="37" spans="1:4" ht="27.75" customHeight="1" x14ac:dyDescent="0.2">
      <c r="A37" s="185" t="s">
        <v>715</v>
      </c>
      <c r="B37" s="186" t="s">
        <v>682</v>
      </c>
      <c r="C37" s="187">
        <v>5.4189332276499996E-2</v>
      </c>
      <c r="D37" s="187">
        <v>0.51056641917699996</v>
      </c>
    </row>
    <row r="38" spans="1:4" ht="27.75" customHeight="1" x14ac:dyDescent="0.2">
      <c r="A38" s="185" t="s">
        <v>716</v>
      </c>
      <c r="B38" s="186" t="s">
        <v>682</v>
      </c>
      <c r="C38" s="187">
        <v>0.49739469745999998</v>
      </c>
      <c r="D38" s="187">
        <v>3.48967338865</v>
      </c>
    </row>
    <row r="39" spans="1:4" ht="27.75" customHeight="1" x14ac:dyDescent="0.2">
      <c r="A39" s="185" t="s">
        <v>717</v>
      </c>
      <c r="B39" s="186" t="s">
        <v>682</v>
      </c>
      <c r="C39" s="187">
        <v>1.00877744829E-2</v>
      </c>
      <c r="D39" s="187">
        <v>3.7915796574499998</v>
      </c>
    </row>
    <row r="40" spans="1:4" ht="27.75" customHeight="1" x14ac:dyDescent="0.2">
      <c r="A40" s="185" t="s">
        <v>718</v>
      </c>
      <c r="B40" s="186" t="s">
        <v>682</v>
      </c>
      <c r="C40" s="187">
        <v>0.242926472122</v>
      </c>
      <c r="D40" s="187">
        <v>1.27217095273</v>
      </c>
    </row>
    <row r="41" spans="1:4" ht="27.75" customHeight="1" x14ac:dyDescent="0.2">
      <c r="A41" s="185" t="s">
        <v>719</v>
      </c>
      <c r="B41" s="186" t="s">
        <v>682</v>
      </c>
      <c r="C41" s="187">
        <v>0.16442045930000002</v>
      </c>
      <c r="D41" s="187">
        <v>0.43674981593500001</v>
      </c>
    </row>
    <row r="42" spans="1:4" ht="27.75" customHeight="1" x14ac:dyDescent="0.2">
      <c r="A42" s="185" t="s">
        <v>720</v>
      </c>
      <c r="B42" s="186" t="s">
        <v>682</v>
      </c>
      <c r="C42" s="187">
        <v>3.44612673137E-2</v>
      </c>
      <c r="D42" s="187">
        <v>0.19284584351100001</v>
      </c>
    </row>
    <row r="43" spans="1:4" ht="27.75" customHeight="1" x14ac:dyDescent="0.2">
      <c r="A43" s="185" t="s">
        <v>721</v>
      </c>
      <c r="B43" s="186" t="s">
        <v>682</v>
      </c>
      <c r="C43" s="187">
        <v>0.11166693986500001</v>
      </c>
      <c r="D43" s="187">
        <v>8.3701248586599988</v>
      </c>
    </row>
    <row r="44" spans="1:4" ht="27.75" customHeight="1" x14ac:dyDescent="0.2">
      <c r="A44" s="185" t="s">
        <v>722</v>
      </c>
      <c r="B44" s="186" t="s">
        <v>682</v>
      </c>
      <c r="C44" s="187">
        <v>5.5034986587900001E-2</v>
      </c>
      <c r="D44" s="187">
        <v>1.51792151424</v>
      </c>
    </row>
    <row r="45" spans="1:4" ht="27.75" customHeight="1" x14ac:dyDescent="0.2">
      <c r="A45" s="185" t="s">
        <v>723</v>
      </c>
      <c r="B45" s="186" t="s">
        <v>682</v>
      </c>
      <c r="C45" s="187">
        <v>9.5171327654400006E-2</v>
      </c>
      <c r="D45" s="187">
        <v>10.298539567800001</v>
      </c>
    </row>
    <row r="46" spans="1:4" ht="27.75" customHeight="1" x14ac:dyDescent="0.2">
      <c r="A46" s="185" t="s">
        <v>724</v>
      </c>
      <c r="B46" s="186" t="s">
        <v>682</v>
      </c>
      <c r="C46" s="187">
        <v>6.6589876360800007E-2</v>
      </c>
      <c r="D46" s="187">
        <v>5.6450950448699997</v>
      </c>
    </row>
    <row r="47" spans="1:4" ht="27.75" customHeight="1" x14ac:dyDescent="0.2">
      <c r="A47" s="185" t="s">
        <v>725</v>
      </c>
      <c r="B47" s="186" t="s">
        <v>682</v>
      </c>
      <c r="C47" s="187">
        <v>0.99497807598999999</v>
      </c>
      <c r="D47" s="187">
        <v>3.2235014231100001</v>
      </c>
    </row>
    <row r="48" spans="1:4" ht="27.75" customHeight="1" x14ac:dyDescent="0.2">
      <c r="A48" s="185" t="s">
        <v>726</v>
      </c>
      <c r="B48" s="186" t="s">
        <v>682</v>
      </c>
      <c r="C48" s="187">
        <v>0.298114358636</v>
      </c>
      <c r="D48" s="187">
        <v>0.223896131917</v>
      </c>
    </row>
    <row r="49" spans="1:4" ht="27.75" customHeight="1" x14ac:dyDescent="0.2">
      <c r="A49" s="185" t="s">
        <v>727</v>
      </c>
      <c r="B49" s="186" t="s">
        <v>728</v>
      </c>
      <c r="C49" s="187">
        <v>1.3034640638799999</v>
      </c>
      <c r="D49" s="187">
        <v>0.24295808369299998</v>
      </c>
    </row>
    <row r="50" spans="1:4" ht="27.75" customHeight="1" x14ac:dyDescent="0.2">
      <c r="A50" s="185" t="s">
        <v>729</v>
      </c>
      <c r="B50" s="186" t="s">
        <v>728</v>
      </c>
      <c r="C50" s="187">
        <v>0</v>
      </c>
      <c r="D50" s="187">
        <v>0</v>
      </c>
    </row>
    <row r="51" spans="1:4" ht="27.75" customHeight="1" x14ac:dyDescent="0.2">
      <c r="A51" s="185" t="s">
        <v>730</v>
      </c>
      <c r="B51" s="186" t="s">
        <v>728</v>
      </c>
      <c r="C51" s="187">
        <v>0</v>
      </c>
      <c r="D51" s="187">
        <v>0</v>
      </c>
    </row>
    <row r="52" spans="1:4" ht="27.75" customHeight="1" x14ac:dyDescent="0.2">
      <c r="A52" s="185" t="s">
        <v>731</v>
      </c>
      <c r="B52" s="186" t="s">
        <v>728</v>
      </c>
      <c r="C52" s="187">
        <v>0.47655571797599999</v>
      </c>
      <c r="D52" s="187">
        <v>0.45492757197</v>
      </c>
    </row>
    <row r="53" spans="1:4" ht="27.75" customHeight="1" x14ac:dyDescent="0.2">
      <c r="A53" s="185" t="s">
        <v>732</v>
      </c>
      <c r="B53" s="186" t="s">
        <v>728</v>
      </c>
      <c r="C53" s="187">
        <v>4.0259479028800005</v>
      </c>
      <c r="D53" s="187">
        <v>-0.15664726680900001</v>
      </c>
    </row>
    <row r="54" spans="1:4" ht="27.75" customHeight="1" x14ac:dyDescent="0.2">
      <c r="A54" s="185" t="s">
        <v>733</v>
      </c>
      <c r="B54" s="186" t="s">
        <v>728</v>
      </c>
      <c r="C54" s="187">
        <v>-2.3627315544899998</v>
      </c>
      <c r="D54" s="187">
        <v>-0.17234316556900001</v>
      </c>
    </row>
    <row r="55" spans="1:4" ht="27.75" customHeight="1" x14ac:dyDescent="0.2">
      <c r="A55" s="185" t="s">
        <v>734</v>
      </c>
      <c r="B55" s="186" t="s">
        <v>728</v>
      </c>
      <c r="C55" s="187">
        <v>1.4660368742600001</v>
      </c>
      <c r="D55" s="187">
        <v>0.23044578249400002</v>
      </c>
    </row>
    <row r="56" spans="1:4" ht="27.75" customHeight="1" x14ac:dyDescent="0.2">
      <c r="A56" s="185" t="s">
        <v>735</v>
      </c>
      <c r="B56" s="186" t="s">
        <v>728</v>
      </c>
      <c r="C56" s="187">
        <v>1.26070440205</v>
      </c>
      <c r="D56" s="187">
        <v>0.24172433760199999</v>
      </c>
    </row>
    <row r="57" spans="1:4" ht="27.75" customHeight="1" x14ac:dyDescent="0.2">
      <c r="A57" s="185" t="s">
        <v>736</v>
      </c>
      <c r="B57" s="186" t="s">
        <v>728</v>
      </c>
      <c r="C57" s="187">
        <v>-1.73548464686</v>
      </c>
      <c r="D57" s="187">
        <v>0.70868929270399994</v>
      </c>
    </row>
    <row r="58" spans="1:4" ht="27.75" customHeight="1" x14ac:dyDescent="0.2">
      <c r="A58" s="185" t="s">
        <v>737</v>
      </c>
      <c r="B58" s="186" t="s">
        <v>728</v>
      </c>
      <c r="C58" s="187">
        <v>8.7235651894600002E-4</v>
      </c>
      <c r="D58" s="187">
        <v>0</v>
      </c>
    </row>
    <row r="59" spans="1:4" ht="27.75" customHeight="1" x14ac:dyDescent="0.2">
      <c r="A59" s="185" t="s">
        <v>738</v>
      </c>
      <c r="B59" s="186" t="s">
        <v>728</v>
      </c>
      <c r="C59" s="187">
        <v>0.16620355937</v>
      </c>
      <c r="D59" s="187">
        <v>0.13647950408700002</v>
      </c>
    </row>
    <row r="60" spans="1:4" ht="27.75" customHeight="1" x14ac:dyDescent="0.2">
      <c r="A60" s="185" t="s">
        <v>739</v>
      </c>
      <c r="B60" s="186" t="s">
        <v>728</v>
      </c>
      <c r="C60" s="187">
        <v>0.311963249911</v>
      </c>
      <c r="D60" s="187">
        <v>0.45179006580499997</v>
      </c>
    </row>
    <row r="61" spans="1:4" ht="27.75" customHeight="1" x14ac:dyDescent="0.2">
      <c r="A61" s="185" t="s">
        <v>740</v>
      </c>
      <c r="B61" s="186" t="s">
        <v>728</v>
      </c>
      <c r="C61" s="187">
        <v>-0.610692579189</v>
      </c>
      <c r="D61" s="187">
        <v>-2.3435628432900001E-2</v>
      </c>
    </row>
    <row r="62" spans="1:4" ht="27.75" customHeight="1" x14ac:dyDescent="0.2">
      <c r="A62" s="185" t="s">
        <v>741</v>
      </c>
      <c r="B62" s="186" t="s">
        <v>728</v>
      </c>
      <c r="C62" s="187">
        <v>-0.610692579189</v>
      </c>
      <c r="D62" s="187">
        <v>-2.3435628432900001E-2</v>
      </c>
    </row>
    <row r="63" spans="1:4" ht="27.75" customHeight="1" x14ac:dyDescent="0.2">
      <c r="A63" s="185" t="s">
        <v>742</v>
      </c>
      <c r="B63" s="186" t="s">
        <v>728</v>
      </c>
      <c r="C63" s="187">
        <v>9.5702320754799995E-8</v>
      </c>
      <c r="D63" s="187">
        <v>0.36214289371500002</v>
      </c>
    </row>
    <row r="64" spans="1:4" ht="27.75" customHeight="1" x14ac:dyDescent="0.2">
      <c r="A64" s="185" t="s">
        <v>743</v>
      </c>
      <c r="B64" s="186" t="s">
        <v>728</v>
      </c>
      <c r="C64" s="187">
        <v>0.100734529233</v>
      </c>
      <c r="D64" s="187">
        <v>0.39619203515399998</v>
      </c>
    </row>
    <row r="65" spans="1:4" ht="27.75" customHeight="1" x14ac:dyDescent="0.2">
      <c r="A65" s="185" t="s">
        <v>744</v>
      </c>
      <c r="B65" s="186" t="s">
        <v>728</v>
      </c>
      <c r="C65" s="187">
        <v>0.145027442033</v>
      </c>
      <c r="D65" s="187">
        <v>0.40449627944399996</v>
      </c>
    </row>
    <row r="66" spans="1:4" ht="27.75" customHeight="1" x14ac:dyDescent="0.2">
      <c r="A66" s="185" t="s">
        <v>745</v>
      </c>
      <c r="B66" s="186" t="s">
        <v>728</v>
      </c>
      <c r="C66" s="187">
        <v>0</v>
      </c>
      <c r="D66" s="187">
        <v>0</v>
      </c>
    </row>
    <row r="67" spans="1:4" ht="27.75" customHeight="1" x14ac:dyDescent="0.2">
      <c r="A67" s="185" t="s">
        <v>746</v>
      </c>
      <c r="B67" s="186" t="s">
        <v>728</v>
      </c>
      <c r="C67" s="187">
        <v>9.2312398931100006E-2</v>
      </c>
      <c r="D67" s="187">
        <v>1.5005210871599999</v>
      </c>
    </row>
    <row r="68" spans="1:4" ht="27.75" customHeight="1" x14ac:dyDescent="0.2">
      <c r="A68" s="185" t="s">
        <v>747</v>
      </c>
      <c r="B68" s="186" t="s">
        <v>728</v>
      </c>
      <c r="C68" s="187">
        <v>1.7103759693099997E-2</v>
      </c>
      <c r="D68" s="187">
        <v>0.84584591666800002</v>
      </c>
    </row>
    <row r="69" spans="1:4" ht="27.75" customHeight="1" x14ac:dyDescent="0.2">
      <c r="A69" s="185" t="s">
        <v>748</v>
      </c>
      <c r="B69" s="186" t="s">
        <v>728</v>
      </c>
      <c r="C69" s="187">
        <v>0.36592207854199998</v>
      </c>
      <c r="D69" s="187">
        <v>1.03021426063</v>
      </c>
    </row>
    <row r="70" spans="1:4" ht="27.75" customHeight="1" x14ac:dyDescent="0.2">
      <c r="A70" s="185" t="s">
        <v>749</v>
      </c>
      <c r="B70" s="186" t="s">
        <v>728</v>
      </c>
      <c r="C70" s="187">
        <v>8.6077883720699999E-4</v>
      </c>
      <c r="D70" s="187">
        <v>0.458776508759</v>
      </c>
    </row>
    <row r="71" spans="1:4" ht="27.75" customHeight="1" x14ac:dyDescent="0.2">
      <c r="A71" s="185" t="s">
        <v>750</v>
      </c>
      <c r="B71" s="186" t="s">
        <v>728</v>
      </c>
      <c r="C71" s="187">
        <v>1.5083169232500001E-3</v>
      </c>
      <c r="D71" s="187">
        <v>0.76444660789700003</v>
      </c>
    </row>
    <row r="72" spans="1:4" ht="27.75" customHeight="1" x14ac:dyDescent="0.2">
      <c r="A72" s="185" t="s">
        <v>751</v>
      </c>
      <c r="B72" s="186" t="s">
        <v>728</v>
      </c>
      <c r="C72" s="187">
        <v>0.31849933637799999</v>
      </c>
      <c r="D72" s="187">
        <v>1.24163413492</v>
      </c>
    </row>
    <row r="73" spans="1:4" ht="27.75" customHeight="1" x14ac:dyDescent="0.2">
      <c r="A73" s="185" t="s">
        <v>752</v>
      </c>
      <c r="B73" s="186" t="s">
        <v>728</v>
      </c>
      <c r="C73" s="187">
        <v>0.10499435236600001</v>
      </c>
      <c r="D73" s="187">
        <v>3.4519495401199999E-4</v>
      </c>
    </row>
    <row r="74" spans="1:4" ht="27.75" customHeight="1" x14ac:dyDescent="0.2">
      <c r="A74" s="185" t="s">
        <v>753</v>
      </c>
      <c r="B74" s="186" t="s">
        <v>728</v>
      </c>
      <c r="C74" s="187">
        <v>0.22330780458999999</v>
      </c>
      <c r="D74" s="187">
        <v>1.09705048433</v>
      </c>
    </row>
    <row r="75" spans="1:4" ht="27.75" customHeight="1" x14ac:dyDescent="0.2">
      <c r="A75" s="185" t="s">
        <v>754</v>
      </c>
      <c r="B75" s="186" t="s">
        <v>728</v>
      </c>
      <c r="C75" s="187">
        <v>0.22217799609400002</v>
      </c>
      <c r="D75" s="187">
        <v>0.75238089886900006</v>
      </c>
    </row>
    <row r="76" spans="1:4" ht="27.75" customHeight="1" x14ac:dyDescent="0.2">
      <c r="A76" s="185" t="s">
        <v>755</v>
      </c>
      <c r="B76" s="186" t="s">
        <v>728</v>
      </c>
      <c r="C76" s="187">
        <v>0.28997723420999999</v>
      </c>
      <c r="D76" s="187">
        <v>0.57042452104899999</v>
      </c>
    </row>
    <row r="77" spans="1:4" ht="27.75" customHeight="1" x14ac:dyDescent="0.2">
      <c r="A77" s="185" t="s">
        <v>756</v>
      </c>
      <c r="B77" s="186" t="s">
        <v>728</v>
      </c>
      <c r="C77" s="187">
        <v>0.11672498124899999</v>
      </c>
      <c r="D77" s="187">
        <v>1.9576630531799999</v>
      </c>
    </row>
    <row r="78" spans="1:4" ht="27.75" customHeight="1" x14ac:dyDescent="0.2">
      <c r="A78" s="185" t="s">
        <v>757</v>
      </c>
      <c r="B78" s="186" t="s">
        <v>728</v>
      </c>
      <c r="C78" s="187">
        <v>0.43022795012300002</v>
      </c>
      <c r="D78" s="187">
        <v>2.5665056912700002</v>
      </c>
    </row>
    <row r="79" spans="1:4" ht="27.75" customHeight="1" x14ac:dyDescent="0.2">
      <c r="A79" s="185" t="s">
        <v>758</v>
      </c>
      <c r="B79" s="186" t="s">
        <v>728</v>
      </c>
      <c r="C79" s="187">
        <v>2.0461211379900002</v>
      </c>
      <c r="D79" s="187">
        <v>2.3559751174100003</v>
      </c>
    </row>
    <row r="80" spans="1:4" ht="27.75" customHeight="1" x14ac:dyDescent="0.2">
      <c r="A80" s="185" t="s">
        <v>759</v>
      </c>
      <c r="B80" s="186" t="s">
        <v>728</v>
      </c>
      <c r="C80" s="187">
        <v>2.7340392962199997</v>
      </c>
      <c r="D80" s="187">
        <v>1.2423991570799999</v>
      </c>
    </row>
    <row r="81" spans="1:4" ht="27.75" customHeight="1" x14ac:dyDescent="0.2">
      <c r="A81" s="185" t="s">
        <v>760</v>
      </c>
      <c r="B81" s="186" t="s">
        <v>728</v>
      </c>
      <c r="C81" s="187">
        <v>5.0404323735100003E-2</v>
      </c>
      <c r="D81" s="187">
        <v>0.75400811402199996</v>
      </c>
    </row>
    <row r="82" spans="1:4" ht="27.75" customHeight="1" x14ac:dyDescent="0.2">
      <c r="A82" s="185" t="s">
        <v>761</v>
      </c>
      <c r="B82" s="186" t="s">
        <v>728</v>
      </c>
      <c r="C82" s="187">
        <v>5.0404315537300001E-2</v>
      </c>
      <c r="D82" s="187">
        <v>0.75400815542099997</v>
      </c>
    </row>
    <row r="83" spans="1:4" ht="27.75" customHeight="1" x14ac:dyDescent="0.2">
      <c r="A83" s="185" t="s">
        <v>762</v>
      </c>
      <c r="B83" s="186" t="s">
        <v>728</v>
      </c>
      <c r="C83" s="187">
        <v>2.1137474656899999</v>
      </c>
      <c r="D83" s="187">
        <v>-3.27619392749</v>
      </c>
    </row>
    <row r="84" spans="1:4" ht="27.75" customHeight="1" x14ac:dyDescent="0.2">
      <c r="A84" s="185" t="s">
        <v>763</v>
      </c>
      <c r="B84" s="186" t="s">
        <v>728</v>
      </c>
      <c r="C84" s="187">
        <v>6.6005159451899996E-3</v>
      </c>
      <c r="D84" s="187">
        <v>12.5113384223</v>
      </c>
    </row>
    <row r="85" spans="1:4" ht="27.75" customHeight="1" x14ac:dyDescent="0.2">
      <c r="A85" s="185" t="s">
        <v>764</v>
      </c>
      <c r="B85" s="186" t="s">
        <v>728</v>
      </c>
      <c r="C85" s="187">
        <v>9.04776336473E-3</v>
      </c>
      <c r="D85" s="187">
        <v>0.75970591357299999</v>
      </c>
    </row>
    <row r="86" spans="1:4" ht="27.75" customHeight="1" x14ac:dyDescent="0.2">
      <c r="A86" s="185" t="s">
        <v>765</v>
      </c>
      <c r="B86" s="186" t="s">
        <v>728</v>
      </c>
      <c r="C86" s="187">
        <v>1.0084611689100001E-3</v>
      </c>
      <c r="D86" s="187">
        <v>0.78818832101199998</v>
      </c>
    </row>
    <row r="87" spans="1:4" ht="27.75" customHeight="1" x14ac:dyDescent="0.2">
      <c r="A87" s="185" t="s">
        <v>766</v>
      </c>
      <c r="B87" s="186" t="s">
        <v>728</v>
      </c>
      <c r="C87" s="187">
        <v>2.0262484790699999</v>
      </c>
      <c r="D87" s="187">
        <v>1.03642682894</v>
      </c>
    </row>
    <row r="88" spans="1:4" ht="27.75" customHeight="1" x14ac:dyDescent="0.2">
      <c r="A88" s="185" t="s">
        <v>767</v>
      </c>
      <c r="B88" s="186" t="s">
        <v>728</v>
      </c>
      <c r="C88" s="187">
        <v>6.33490243474E-3</v>
      </c>
      <c r="D88" s="187">
        <v>1.0924207964699999</v>
      </c>
    </row>
    <row r="89" spans="1:4" ht="27.75" customHeight="1" x14ac:dyDescent="0.2">
      <c r="A89" s="185" t="s">
        <v>768</v>
      </c>
      <c r="B89" s="186" t="s">
        <v>728</v>
      </c>
      <c r="C89" s="187">
        <v>0.43387073759799999</v>
      </c>
      <c r="D89" s="187">
        <v>4.9533200147700001</v>
      </c>
    </row>
    <row r="90" spans="1:4" ht="27.75" customHeight="1" x14ac:dyDescent="0.2">
      <c r="A90" s="185" t="s">
        <v>769</v>
      </c>
      <c r="B90" s="186" t="s">
        <v>728</v>
      </c>
      <c r="C90" s="187">
        <v>0.53779042481899997</v>
      </c>
      <c r="D90" s="187">
        <v>3.0856391832099996</v>
      </c>
    </row>
    <row r="91" spans="1:4" ht="27.75" customHeight="1" x14ac:dyDescent="0.2">
      <c r="A91" s="185" t="s">
        <v>770</v>
      </c>
      <c r="B91" s="186" t="s">
        <v>728</v>
      </c>
      <c r="C91" s="187">
        <v>9.3718326599899995E-2</v>
      </c>
      <c r="D91" s="187">
        <v>0.85743087527899997</v>
      </c>
    </row>
    <row r="92" spans="1:4" ht="27.75" customHeight="1" x14ac:dyDescent="0.2">
      <c r="A92" s="185" t="s">
        <v>771</v>
      </c>
      <c r="B92" s="186" t="s">
        <v>728</v>
      </c>
      <c r="C92" s="187">
        <v>0.34545554673599999</v>
      </c>
      <c r="D92" s="187">
        <v>-0.49366951000199999</v>
      </c>
    </row>
    <row r="93" spans="1:4" ht="27.75" customHeight="1" x14ac:dyDescent="0.2">
      <c r="A93" s="185" t="s">
        <v>772</v>
      </c>
      <c r="B93" s="186" t="s">
        <v>728</v>
      </c>
      <c r="C93" s="187">
        <v>-6.8560003948699997E-3</v>
      </c>
      <c r="D93" s="187">
        <v>1.25984851144</v>
      </c>
    </row>
    <row r="94" spans="1:4" ht="27.75" customHeight="1" x14ac:dyDescent="0.2">
      <c r="A94" s="185" t="s">
        <v>773</v>
      </c>
      <c r="B94" s="186" t="s">
        <v>728</v>
      </c>
      <c r="C94" s="187">
        <v>0.52389816156500002</v>
      </c>
      <c r="D94" s="187">
        <v>8.8437715812299998E-5</v>
      </c>
    </row>
    <row r="95" spans="1:4" ht="27.75" customHeight="1" x14ac:dyDescent="0.2">
      <c r="A95" s="185" t="s">
        <v>774</v>
      </c>
      <c r="B95" s="186" t="s">
        <v>728</v>
      </c>
      <c r="C95" s="187">
        <v>0.91320610263400004</v>
      </c>
      <c r="D95" s="187">
        <v>0.62570958964000001</v>
      </c>
    </row>
    <row r="96" spans="1:4" ht="27.75" customHeight="1" x14ac:dyDescent="0.2">
      <c r="A96" s="185" t="s">
        <v>775</v>
      </c>
      <c r="B96" s="186" t="s">
        <v>728</v>
      </c>
      <c r="C96" s="187">
        <v>0.50027054225199996</v>
      </c>
      <c r="D96" s="187">
        <v>4.2983856214699996</v>
      </c>
    </row>
    <row r="97" spans="1:4" ht="27.75" customHeight="1" x14ac:dyDescent="0.2">
      <c r="A97" s="185" t="s">
        <v>776</v>
      </c>
      <c r="B97" s="186" t="s">
        <v>728</v>
      </c>
      <c r="C97" s="187">
        <v>5.1136355011800003E-3</v>
      </c>
      <c r="D97" s="187">
        <v>1.7298303257299998</v>
      </c>
    </row>
    <row r="98" spans="1:4" ht="27.75" customHeight="1" x14ac:dyDescent="0.2">
      <c r="A98" s="185" t="s">
        <v>777</v>
      </c>
      <c r="B98" s="186" t="s">
        <v>728</v>
      </c>
      <c r="C98" s="187">
        <v>0.12371136183800001</v>
      </c>
      <c r="D98" s="187">
        <v>1.57492881727</v>
      </c>
    </row>
    <row r="99" spans="1:4" ht="27.75" customHeight="1" x14ac:dyDescent="0.2">
      <c r="A99" s="185" t="s">
        <v>778</v>
      </c>
      <c r="B99" s="186" t="s">
        <v>728</v>
      </c>
      <c r="C99" s="187">
        <v>0.34003568344399998</v>
      </c>
      <c r="D99" s="187">
        <v>1.43982294313</v>
      </c>
    </row>
    <row r="100" spans="1:4" ht="27.75" customHeight="1" x14ac:dyDescent="0.2">
      <c r="A100" s="185" t="s">
        <v>779</v>
      </c>
      <c r="B100" s="186" t="s">
        <v>728</v>
      </c>
      <c r="C100" s="187">
        <v>0.14771188414299999</v>
      </c>
      <c r="D100" s="187">
        <v>0.38449401888699997</v>
      </c>
    </row>
    <row r="101" spans="1:4" ht="27.75" customHeight="1" x14ac:dyDescent="0.2">
      <c r="A101" s="185" t="s">
        <v>780</v>
      </c>
      <c r="B101" s="186" t="s">
        <v>728</v>
      </c>
      <c r="C101" s="187">
        <v>3.3024434952799997E-2</v>
      </c>
      <c r="D101" s="187">
        <v>0.37505970150500001</v>
      </c>
    </row>
    <row r="102" spans="1:4" ht="27.75" customHeight="1" x14ac:dyDescent="0.2">
      <c r="A102" s="185" t="s">
        <v>781</v>
      </c>
      <c r="B102" s="186" t="s">
        <v>728</v>
      </c>
      <c r="C102" s="187">
        <v>8.7038066733899994E-2</v>
      </c>
      <c r="D102" s="187">
        <v>0.71217509107800003</v>
      </c>
    </row>
    <row r="103" spans="1:4" ht="27.75" customHeight="1" x14ac:dyDescent="0.2">
      <c r="A103" s="185" t="s">
        <v>782</v>
      </c>
      <c r="B103" s="186" t="s">
        <v>783</v>
      </c>
      <c r="C103" s="187">
        <v>6.6251362190499999E-2</v>
      </c>
      <c r="D103" s="187">
        <v>1.9355100830400001E-3</v>
      </c>
    </row>
    <row r="104" spans="1:4" ht="27.75" customHeight="1" x14ac:dyDescent="0.2">
      <c r="A104" s="185" t="s">
        <v>784</v>
      </c>
      <c r="B104" s="186" t="s">
        <v>783</v>
      </c>
      <c r="C104" s="187">
        <v>0.28339655997099999</v>
      </c>
      <c r="D104" s="187">
        <v>-4.6193222412099999E-2</v>
      </c>
    </row>
    <row r="105" spans="1:4" ht="27.75" customHeight="1" x14ac:dyDescent="0.2">
      <c r="A105" s="185" t="s">
        <v>785</v>
      </c>
      <c r="B105" s="186" t="s">
        <v>783</v>
      </c>
      <c r="C105" s="187">
        <v>-0.81218201253599998</v>
      </c>
      <c r="D105" s="187">
        <v>0</v>
      </c>
    </row>
    <row r="106" spans="1:4" ht="27.75" customHeight="1" x14ac:dyDescent="0.2">
      <c r="A106" s="185" t="s">
        <v>786</v>
      </c>
      <c r="B106" s="186" t="s">
        <v>783</v>
      </c>
      <c r="C106" s="187">
        <v>8.2289401247800001E-2</v>
      </c>
      <c r="D106" s="187">
        <v>4.9797753684699998E-2</v>
      </c>
    </row>
    <row r="107" spans="1:4" ht="27.75" customHeight="1" x14ac:dyDescent="0.2">
      <c r="A107" s="185" t="s">
        <v>787</v>
      </c>
      <c r="B107" s="186" t="s">
        <v>783</v>
      </c>
      <c r="C107" s="187">
        <v>-1.50170331177</v>
      </c>
      <c r="D107" s="187">
        <v>0</v>
      </c>
    </row>
    <row r="108" spans="1:4" ht="27.75" customHeight="1" x14ac:dyDescent="0.2">
      <c r="A108" s="185" t="s">
        <v>788</v>
      </c>
      <c r="B108" s="186" t="s">
        <v>783</v>
      </c>
      <c r="C108" s="187">
        <v>-2.6722311407600001</v>
      </c>
      <c r="D108" s="187">
        <v>0</v>
      </c>
    </row>
    <row r="109" spans="1:4" ht="27.75" customHeight="1" x14ac:dyDescent="0.2">
      <c r="A109" s="185" t="s">
        <v>789</v>
      </c>
      <c r="B109" s="186" t="s">
        <v>783</v>
      </c>
      <c r="C109" s="187">
        <v>5.7342640236100001E-2</v>
      </c>
      <c r="D109" s="187">
        <v>9.2122797964100001E-2</v>
      </c>
    </row>
    <row r="110" spans="1:4" ht="27.75" customHeight="1" x14ac:dyDescent="0.2">
      <c r="A110" s="185" t="s">
        <v>790</v>
      </c>
      <c r="B110" s="186" t="s">
        <v>783</v>
      </c>
      <c r="C110" s="187">
        <v>8.8514567349299994E-2</v>
      </c>
      <c r="D110" s="187">
        <v>9.2148582713900001E-2</v>
      </c>
    </row>
    <row r="111" spans="1:4" ht="27.75" customHeight="1" x14ac:dyDescent="0.2">
      <c r="A111" s="185" t="s">
        <v>791</v>
      </c>
      <c r="B111" s="186" t="s">
        <v>783</v>
      </c>
      <c r="C111" s="187">
        <v>-1.42928356289</v>
      </c>
      <c r="D111" s="187">
        <v>0</v>
      </c>
    </row>
    <row r="112" spans="1:4" ht="27.75" customHeight="1" x14ac:dyDescent="0.2">
      <c r="A112" s="185" t="s">
        <v>792</v>
      </c>
      <c r="B112" s="186" t="s">
        <v>783</v>
      </c>
      <c r="C112" s="187">
        <v>0.458566649311</v>
      </c>
      <c r="D112" s="187">
        <v>1.58122539543</v>
      </c>
    </row>
    <row r="113" spans="1:4" ht="27.75" customHeight="1" x14ac:dyDescent="0.2">
      <c r="A113" s="185" t="s">
        <v>793</v>
      </c>
      <c r="B113" s="186" t="s">
        <v>783</v>
      </c>
      <c r="C113" s="187">
        <v>0.12647498028099999</v>
      </c>
      <c r="D113" s="187">
        <v>0.103977908814</v>
      </c>
    </row>
    <row r="114" spans="1:4" ht="27.75" customHeight="1" x14ac:dyDescent="0.2">
      <c r="A114" s="185" t="s">
        <v>794</v>
      </c>
      <c r="B114" s="186" t="s">
        <v>795</v>
      </c>
      <c r="C114" s="187">
        <v>0</v>
      </c>
      <c r="D114" s="187">
        <v>0</v>
      </c>
    </row>
    <row r="115" spans="1:4" ht="27.75" customHeight="1" x14ac:dyDescent="0.2">
      <c r="A115" s="185" t="s">
        <v>796</v>
      </c>
      <c r="B115" s="186" t="s">
        <v>795</v>
      </c>
      <c r="C115" s="187">
        <v>0.101835699857</v>
      </c>
      <c r="D115" s="187">
        <v>0.199882338282</v>
      </c>
    </row>
    <row r="116" spans="1:4" ht="27.75" customHeight="1" x14ac:dyDescent="0.2">
      <c r="A116" s="185" t="s">
        <v>797</v>
      </c>
      <c r="B116" s="186" t="s">
        <v>795</v>
      </c>
      <c r="C116" s="187">
        <v>2.3325086563999999</v>
      </c>
      <c r="D116" s="187">
        <v>0.35180748474099999</v>
      </c>
    </row>
    <row r="117" spans="1:4" ht="27.75" customHeight="1" x14ac:dyDescent="0.2">
      <c r="A117" s="185" t="s">
        <v>798</v>
      </c>
      <c r="B117" s="186" t="s">
        <v>795</v>
      </c>
      <c r="C117" s="187">
        <v>0.30080362221899998</v>
      </c>
      <c r="D117" s="187">
        <v>1.58694421789</v>
      </c>
    </row>
    <row r="118" spans="1:4" ht="27.75" customHeight="1" x14ac:dyDescent="0.2">
      <c r="A118" s="185" t="s">
        <v>799</v>
      </c>
      <c r="B118" s="186" t="s">
        <v>795</v>
      </c>
      <c r="C118" s="187">
        <v>3.0220179761499999</v>
      </c>
      <c r="D118" s="187">
        <v>1.1547507590200001</v>
      </c>
    </row>
    <row r="119" spans="1:4" ht="27.75" customHeight="1" x14ac:dyDescent="0.2">
      <c r="A119" s="185" t="s">
        <v>800</v>
      </c>
      <c r="B119" s="186" t="s">
        <v>795</v>
      </c>
      <c r="C119" s="187">
        <v>0.63472164402299991</v>
      </c>
      <c r="D119" s="187">
        <v>0.48765299379599997</v>
      </c>
    </row>
    <row r="120" spans="1:4" ht="27.75" customHeight="1" x14ac:dyDescent="0.2">
      <c r="A120" s="185" t="s">
        <v>801</v>
      </c>
      <c r="B120" s="186" t="s">
        <v>795</v>
      </c>
      <c r="C120" s="187">
        <v>0.91225495218499997</v>
      </c>
      <c r="D120" s="187">
        <v>0.41108585455899999</v>
      </c>
    </row>
    <row r="121" spans="1:4" ht="27.75" customHeight="1" x14ac:dyDescent="0.2">
      <c r="A121" s="185" t="s">
        <v>802</v>
      </c>
      <c r="B121" s="186" t="s">
        <v>795</v>
      </c>
      <c r="C121" s="187">
        <v>2.7772310900599999</v>
      </c>
      <c r="D121" s="187">
        <v>2.9742350611299999</v>
      </c>
    </row>
    <row r="122" spans="1:4" ht="27.75" customHeight="1" x14ac:dyDescent="0.2">
      <c r="A122" s="185" t="s">
        <v>803</v>
      </c>
      <c r="B122" s="186" t="s">
        <v>795</v>
      </c>
      <c r="C122" s="187">
        <v>4.7928979768500002E-4</v>
      </c>
      <c r="D122" s="187">
        <v>1.0722585190499998</v>
      </c>
    </row>
    <row r="123" spans="1:4" ht="27.75" customHeight="1" x14ac:dyDescent="0.2">
      <c r="A123" s="185" t="s">
        <v>804</v>
      </c>
      <c r="B123" s="186" t="s">
        <v>795</v>
      </c>
      <c r="C123" s="187">
        <v>6.4961018442500004E-2</v>
      </c>
      <c r="D123" s="187">
        <v>0.80824543102599999</v>
      </c>
    </row>
    <row r="124" spans="1:4" ht="27.75" customHeight="1" x14ac:dyDescent="0.2">
      <c r="A124" s="185" t="s">
        <v>805</v>
      </c>
      <c r="B124" s="186" t="s">
        <v>795</v>
      </c>
      <c r="C124" s="187">
        <v>1.56644058198</v>
      </c>
      <c r="D124" s="187">
        <v>3.44897402985</v>
      </c>
    </row>
    <row r="125" spans="1:4" ht="27.75" customHeight="1" x14ac:dyDescent="0.2">
      <c r="A125" s="185" t="s">
        <v>806</v>
      </c>
      <c r="B125" s="186" t="s">
        <v>795</v>
      </c>
      <c r="C125" s="187">
        <v>8.7477648070600003E-2</v>
      </c>
      <c r="D125" s="187">
        <v>0.68351269841500006</v>
      </c>
    </row>
    <row r="126" spans="1:4" ht="27.75" customHeight="1" x14ac:dyDescent="0.2">
      <c r="A126" s="185" t="s">
        <v>807</v>
      </c>
      <c r="B126" s="186" t="s">
        <v>795</v>
      </c>
      <c r="C126" s="187">
        <v>-1.3045084748899998E-4</v>
      </c>
      <c r="D126" s="187">
        <v>0.105263367707</v>
      </c>
    </row>
    <row r="127" spans="1:4" ht="27.75" customHeight="1" x14ac:dyDescent="0.2">
      <c r="A127" s="185" t="s">
        <v>808</v>
      </c>
      <c r="B127" s="186" t="s">
        <v>795</v>
      </c>
      <c r="C127" s="187">
        <v>5.4112407436999995E-3</v>
      </c>
      <c r="D127" s="187">
        <v>1.3936186312100001</v>
      </c>
    </row>
    <row r="128" spans="1:4" ht="27.75" customHeight="1" x14ac:dyDescent="0.2">
      <c r="A128" s="185" t="s">
        <v>809</v>
      </c>
      <c r="B128" s="186" t="s">
        <v>795</v>
      </c>
      <c r="C128" s="187">
        <v>0.117599008996</v>
      </c>
      <c r="D128" s="187">
        <v>1.80302466812</v>
      </c>
    </row>
    <row r="129" spans="1:4" ht="27.75" customHeight="1" x14ac:dyDescent="0.2">
      <c r="A129" s="185" t="s">
        <v>810</v>
      </c>
      <c r="B129" s="186" t="s">
        <v>795</v>
      </c>
      <c r="C129" s="187">
        <v>0.13546155681700001</v>
      </c>
      <c r="D129" s="187">
        <v>4.7354248021000007</v>
      </c>
    </row>
    <row r="130" spans="1:4" ht="27.75" customHeight="1" x14ac:dyDescent="0.2">
      <c r="A130" s="185" t="s">
        <v>811</v>
      </c>
      <c r="B130" s="186" t="s">
        <v>795</v>
      </c>
      <c r="C130" s="187">
        <v>0.187000821225</v>
      </c>
      <c r="D130" s="187">
        <v>1.7625641850699998</v>
      </c>
    </row>
    <row r="131" spans="1:4" ht="27.75" customHeight="1" x14ac:dyDescent="0.2">
      <c r="A131" s="185" t="s">
        <v>812</v>
      </c>
      <c r="B131" s="186" t="s">
        <v>795</v>
      </c>
      <c r="C131" s="187">
        <v>2.0774437243599999E-3</v>
      </c>
      <c r="D131" s="187">
        <v>0.75555819273799996</v>
      </c>
    </row>
    <row r="132" spans="1:4" ht="27.75" customHeight="1" x14ac:dyDescent="0.2">
      <c r="A132" s="185" t="s">
        <v>813</v>
      </c>
      <c r="B132" s="186" t="s">
        <v>795</v>
      </c>
      <c r="C132" s="187">
        <v>2.9168690817699999E-2</v>
      </c>
      <c r="D132" s="187">
        <v>3.41479427836</v>
      </c>
    </row>
    <row r="133" spans="1:4" ht="27.75" customHeight="1" x14ac:dyDescent="0.2">
      <c r="A133" s="185" t="s">
        <v>814</v>
      </c>
      <c r="B133" s="186" t="s">
        <v>795</v>
      </c>
      <c r="C133" s="187">
        <v>3.7276890735900001</v>
      </c>
      <c r="D133" s="187">
        <v>0.90376616589600001</v>
      </c>
    </row>
    <row r="134" spans="1:4" ht="27.75" customHeight="1" x14ac:dyDescent="0.2">
      <c r="A134" s="185" t="s">
        <v>815</v>
      </c>
      <c r="B134" s="186" t="s">
        <v>795</v>
      </c>
      <c r="C134" s="187">
        <v>0.37242848186600003</v>
      </c>
      <c r="D134" s="187">
        <v>1.00264194318</v>
      </c>
    </row>
    <row r="135" spans="1:4" ht="27.75" customHeight="1" x14ac:dyDescent="0.2">
      <c r="A135" s="185" t="s">
        <v>816</v>
      </c>
      <c r="B135" s="186" t="s">
        <v>795</v>
      </c>
      <c r="C135" s="187">
        <v>0.18534696435999998</v>
      </c>
      <c r="D135" s="187">
        <v>0.60799359318799995</v>
      </c>
    </row>
    <row r="136" spans="1:4" ht="27.75" customHeight="1" x14ac:dyDescent="0.2">
      <c r="A136" s="185" t="s">
        <v>817</v>
      </c>
      <c r="B136" s="186" t="s">
        <v>795</v>
      </c>
      <c r="C136" s="187">
        <v>0.16032892470900001</v>
      </c>
      <c r="D136" s="187">
        <v>0.45305803542500001</v>
      </c>
    </row>
    <row r="137" spans="1:4" ht="27.75" customHeight="1" x14ac:dyDescent="0.2">
      <c r="A137" s="185" t="s">
        <v>818</v>
      </c>
      <c r="B137" s="186" t="s">
        <v>795</v>
      </c>
      <c r="C137" s="187">
        <v>1.4146893086099999</v>
      </c>
      <c r="D137" s="187">
        <v>1.76499170398</v>
      </c>
    </row>
    <row r="138" spans="1:4" ht="27.75" customHeight="1" x14ac:dyDescent="0.2">
      <c r="A138" s="185" t="s">
        <v>819</v>
      </c>
      <c r="B138" s="186" t="s">
        <v>795</v>
      </c>
      <c r="C138" s="187">
        <v>0.281100930162</v>
      </c>
      <c r="D138" s="187">
        <v>0.54508960751699997</v>
      </c>
    </row>
    <row r="139" spans="1:4" ht="27.75" customHeight="1" x14ac:dyDescent="0.2">
      <c r="A139" s="185" t="s">
        <v>820</v>
      </c>
      <c r="B139" s="186" t="s">
        <v>795</v>
      </c>
      <c r="C139" s="187">
        <v>0.21306882996900001</v>
      </c>
      <c r="D139" s="187">
        <v>3.5554168960600001</v>
      </c>
    </row>
    <row r="140" spans="1:4" ht="27.75" customHeight="1" x14ac:dyDescent="0.2">
      <c r="A140" s="185" t="s">
        <v>821</v>
      </c>
      <c r="B140" s="186" t="s">
        <v>795</v>
      </c>
      <c r="C140" s="187">
        <v>3.1208556909300002E-2</v>
      </c>
      <c r="D140" s="187">
        <v>1.4134007015300001</v>
      </c>
    </row>
    <row r="141" spans="1:4" ht="27.75" customHeight="1" x14ac:dyDescent="0.2">
      <c r="A141" s="185" t="s">
        <v>822</v>
      </c>
      <c r="B141" s="186" t="s">
        <v>795</v>
      </c>
      <c r="C141" s="187">
        <v>4.0868553493699999E-2</v>
      </c>
      <c r="D141" s="187">
        <v>1.4297397283800002</v>
      </c>
    </row>
    <row r="142" spans="1:4" ht="27.75" customHeight="1" x14ac:dyDescent="0.2">
      <c r="A142" s="185" t="s">
        <v>823</v>
      </c>
      <c r="B142" s="186" t="s">
        <v>795</v>
      </c>
      <c r="C142" s="187">
        <v>9.5297311291300008E-2</v>
      </c>
      <c r="D142" s="187">
        <v>1.2529067502800002</v>
      </c>
    </row>
    <row r="143" spans="1:4" ht="27.75" customHeight="1" x14ac:dyDescent="0.2">
      <c r="A143" s="185" t="s">
        <v>824</v>
      </c>
      <c r="B143" s="186" t="s">
        <v>795</v>
      </c>
      <c r="C143" s="187">
        <v>0.41666164140900003</v>
      </c>
      <c r="D143" s="187">
        <v>0.48446941625900003</v>
      </c>
    </row>
    <row r="144" spans="1:4" ht="27.75" customHeight="1" x14ac:dyDescent="0.2">
      <c r="A144" s="185" t="s">
        <v>825</v>
      </c>
      <c r="B144" s="186" t="s">
        <v>795</v>
      </c>
      <c r="C144" s="187">
        <v>3.68071978323E-2</v>
      </c>
      <c r="D144" s="187">
        <v>1.9924908904399998</v>
      </c>
    </row>
    <row r="145" spans="1:4" ht="27.75" customHeight="1" x14ac:dyDescent="0.2">
      <c r="A145" s="185" t="s">
        <v>826</v>
      </c>
      <c r="B145" s="186" t="s">
        <v>795</v>
      </c>
      <c r="C145" s="187">
        <v>7.3132545776800006E-2</v>
      </c>
      <c r="D145" s="187">
        <v>0.10092543499699999</v>
      </c>
    </row>
    <row r="146" spans="1:4" ht="27.75" customHeight="1" x14ac:dyDescent="0.2">
      <c r="A146" s="185" t="s">
        <v>827</v>
      </c>
      <c r="B146" s="186" t="s">
        <v>795</v>
      </c>
      <c r="C146" s="187">
        <v>-1.7629738051699998E-3</v>
      </c>
      <c r="D146" s="187">
        <v>4.3355303513299992</v>
      </c>
    </row>
    <row r="147" spans="1:4" ht="27.75" customHeight="1" x14ac:dyDescent="0.2">
      <c r="A147" s="185" t="s">
        <v>828</v>
      </c>
      <c r="B147" s="186" t="s">
        <v>829</v>
      </c>
      <c r="C147" s="187">
        <v>0</v>
      </c>
      <c r="D147" s="187">
        <v>0</v>
      </c>
    </row>
    <row r="148" spans="1:4" ht="27.75" customHeight="1" x14ac:dyDescent="0.2">
      <c r="A148" s="185" t="s">
        <v>830</v>
      </c>
      <c r="B148" s="186" t="s">
        <v>829</v>
      </c>
      <c r="C148" s="187">
        <v>0</v>
      </c>
      <c r="D148" s="187">
        <v>0</v>
      </c>
    </row>
    <row r="149" spans="1:4" ht="27.75" customHeight="1" x14ac:dyDescent="0.2">
      <c r="A149" s="185" t="s">
        <v>831</v>
      </c>
      <c r="B149" s="186" t="s">
        <v>829</v>
      </c>
      <c r="C149" s="187">
        <v>0</v>
      </c>
      <c r="D149" s="187">
        <v>0</v>
      </c>
    </row>
    <row r="150" spans="1:4" ht="27.75" customHeight="1" x14ac:dyDescent="0.2">
      <c r="A150" s="185" t="s">
        <v>832</v>
      </c>
      <c r="B150" s="186" t="s">
        <v>829</v>
      </c>
      <c r="C150" s="187">
        <v>0</v>
      </c>
      <c r="D150" s="187">
        <v>0</v>
      </c>
    </row>
    <row r="151" spans="1:4" ht="27.75" customHeight="1" x14ac:dyDescent="0.2">
      <c r="A151" s="185" t="s">
        <v>833</v>
      </c>
      <c r="B151" s="186" t="s">
        <v>829</v>
      </c>
      <c r="C151" s="187">
        <v>0</v>
      </c>
      <c r="D151" s="187">
        <v>0</v>
      </c>
    </row>
    <row r="152" spans="1:4" ht="27.75" customHeight="1" x14ac:dyDescent="0.2">
      <c r="A152" s="185" t="s">
        <v>834</v>
      </c>
      <c r="B152" s="186" t="s">
        <v>829</v>
      </c>
      <c r="C152" s="187">
        <v>2.06673509153E-2</v>
      </c>
      <c r="D152" s="187">
        <v>0</v>
      </c>
    </row>
    <row r="153" spans="1:4" ht="27.75" customHeight="1" x14ac:dyDescent="0.2">
      <c r="A153" s="185" t="s">
        <v>835</v>
      </c>
      <c r="B153" s="186" t="s">
        <v>829</v>
      </c>
      <c r="C153" s="187">
        <v>1.3102461764</v>
      </c>
      <c r="D153" s="187">
        <v>2.9774372503000001E-4</v>
      </c>
    </row>
    <row r="154" spans="1:4" ht="27.75" customHeight="1" x14ac:dyDescent="0.2">
      <c r="A154" s="185" t="s">
        <v>836</v>
      </c>
      <c r="B154" s="186" t="s">
        <v>829</v>
      </c>
      <c r="C154" s="187">
        <v>3.7186877672600001</v>
      </c>
      <c r="D154" s="187">
        <v>1.1780468384999999E-5</v>
      </c>
    </row>
    <row r="155" spans="1:4" ht="27.75" customHeight="1" x14ac:dyDescent="0.2">
      <c r="A155" s="185" t="s">
        <v>837</v>
      </c>
      <c r="B155" s="186" t="s">
        <v>829</v>
      </c>
      <c r="C155" s="187">
        <v>2.3044286719999998</v>
      </c>
      <c r="D155" s="187">
        <v>2.1670920311500003E-2</v>
      </c>
    </row>
    <row r="156" spans="1:4" ht="27.75" customHeight="1" x14ac:dyDescent="0.2">
      <c r="A156" s="185" t="s">
        <v>838</v>
      </c>
      <c r="B156" s="186" t="s">
        <v>829</v>
      </c>
      <c r="C156" s="187">
        <v>0.59485834800400006</v>
      </c>
      <c r="D156" s="187">
        <v>4.5620098224599996E-2</v>
      </c>
    </row>
    <row r="157" spans="1:4" ht="27.75" customHeight="1" x14ac:dyDescent="0.2">
      <c r="A157" s="185" t="s">
        <v>839</v>
      </c>
      <c r="B157" s="186" t="s">
        <v>829</v>
      </c>
      <c r="C157" s="187">
        <v>0.68885716988599999</v>
      </c>
      <c r="D157" s="187">
        <v>0</v>
      </c>
    </row>
    <row r="158" spans="1:4" ht="27.75" customHeight="1" x14ac:dyDescent="0.2">
      <c r="A158" s="185" t="s">
        <v>840</v>
      </c>
      <c r="B158" s="186" t="s">
        <v>829</v>
      </c>
      <c r="C158" s="187">
        <v>3.2891832733000004E-2</v>
      </c>
      <c r="D158" s="187">
        <v>0.26361885453799999</v>
      </c>
    </row>
    <row r="159" spans="1:4" ht="27.75" customHeight="1" x14ac:dyDescent="0.2">
      <c r="A159" s="185" t="s">
        <v>841</v>
      </c>
      <c r="B159" s="186" t="s">
        <v>829</v>
      </c>
      <c r="C159" s="187">
        <v>2.6062361757899999E-2</v>
      </c>
      <c r="D159" s="187">
        <v>0</v>
      </c>
    </row>
    <row r="160" spans="1:4" ht="27.75" customHeight="1" x14ac:dyDescent="0.2">
      <c r="A160" s="185" t="s">
        <v>842</v>
      </c>
      <c r="B160" s="186" t="s">
        <v>829</v>
      </c>
      <c r="C160" s="187">
        <v>0</v>
      </c>
      <c r="D160" s="187">
        <v>0</v>
      </c>
    </row>
    <row r="161" spans="1:4" ht="27.75" customHeight="1" x14ac:dyDescent="0.2">
      <c r="A161" s="185" t="s">
        <v>843</v>
      </c>
      <c r="B161" s="186" t="s">
        <v>829</v>
      </c>
      <c r="C161" s="187">
        <v>2.8629207189699999E-2</v>
      </c>
      <c r="D161" s="187">
        <v>0.30978514442800004</v>
      </c>
    </row>
    <row r="162" spans="1:4" ht="27.75" customHeight="1" x14ac:dyDescent="0.2">
      <c r="A162" s="185" t="s">
        <v>844</v>
      </c>
      <c r="B162" s="186" t="s">
        <v>829</v>
      </c>
      <c r="C162" s="187">
        <v>0.38496087208799995</v>
      </c>
      <c r="D162" s="187">
        <v>1.5515429319900001E-2</v>
      </c>
    </row>
    <row r="163" spans="1:4" ht="27.75" customHeight="1" x14ac:dyDescent="0.2">
      <c r="A163" s="185" t="s">
        <v>845</v>
      </c>
      <c r="B163" s="186" t="s">
        <v>829</v>
      </c>
      <c r="C163" s="187">
        <v>0.477996719987</v>
      </c>
      <c r="D163" s="187">
        <v>0.24516020931599999</v>
      </c>
    </row>
    <row r="164" spans="1:4" ht="27.75" customHeight="1" x14ac:dyDescent="0.2">
      <c r="A164" s="185" t="s">
        <v>846</v>
      </c>
      <c r="B164" s="186" t="s">
        <v>829</v>
      </c>
      <c r="C164" s="187">
        <v>2.7930430667699999E-3</v>
      </c>
      <c r="D164" s="187">
        <v>0</v>
      </c>
    </row>
    <row r="165" spans="1:4" ht="27.75" customHeight="1" x14ac:dyDescent="0.2">
      <c r="A165" s="185" t="s">
        <v>847</v>
      </c>
      <c r="B165" s="186" t="s">
        <v>829</v>
      </c>
      <c r="C165" s="187">
        <v>0.15280532744399999</v>
      </c>
      <c r="D165" s="187">
        <v>0.23427723342300003</v>
      </c>
    </row>
    <row r="166" spans="1:4" ht="27.75" customHeight="1" x14ac:dyDescent="0.2">
      <c r="A166" s="185" t="s">
        <v>848</v>
      </c>
      <c r="B166" s="186" t="s">
        <v>829</v>
      </c>
      <c r="C166" s="187">
        <v>0.30101391844800002</v>
      </c>
      <c r="D166" s="187">
        <v>0.30698213170600003</v>
      </c>
    </row>
    <row r="167" spans="1:4" ht="27.75" customHeight="1" x14ac:dyDescent="0.2">
      <c r="A167" s="185" t="s">
        <v>849</v>
      </c>
      <c r="B167" s="186" t="s">
        <v>850</v>
      </c>
      <c r="C167" s="187">
        <v>1.5752336488500001E-3</v>
      </c>
      <c r="D167" s="187">
        <v>0</v>
      </c>
    </row>
    <row r="168" spans="1:4" ht="27.75" customHeight="1" x14ac:dyDescent="0.2">
      <c r="A168" s="185" t="s">
        <v>851</v>
      </c>
      <c r="B168" s="186" t="s">
        <v>850</v>
      </c>
      <c r="C168" s="187">
        <v>0.81546206029699997</v>
      </c>
      <c r="D168" s="187">
        <v>1.7626140005199999</v>
      </c>
    </row>
    <row r="169" spans="1:4" ht="27.75" customHeight="1" x14ac:dyDescent="0.2">
      <c r="A169" s="185" t="s">
        <v>852</v>
      </c>
      <c r="B169" s="186" t="s">
        <v>850</v>
      </c>
      <c r="C169" s="187">
        <v>0</v>
      </c>
      <c r="D169" s="187">
        <v>4.8899197068699995E-2</v>
      </c>
    </row>
    <row r="170" spans="1:4" ht="27.75" customHeight="1" x14ac:dyDescent="0.2">
      <c r="A170" s="185" t="s">
        <v>853</v>
      </c>
      <c r="B170" s="186" t="s">
        <v>850</v>
      </c>
      <c r="C170" s="187">
        <v>0</v>
      </c>
      <c r="D170" s="187">
        <v>0</v>
      </c>
    </row>
    <row r="171" spans="1:4" ht="27.75" customHeight="1" x14ac:dyDescent="0.2">
      <c r="A171" s="185" t="s">
        <v>854</v>
      </c>
      <c r="B171" s="186" t="s">
        <v>850</v>
      </c>
      <c r="C171" s="187">
        <v>0.27104502260200003</v>
      </c>
      <c r="D171" s="187">
        <v>4.1220630558400001E-2</v>
      </c>
    </row>
    <row r="172" spans="1:4" ht="27.75" customHeight="1" x14ac:dyDescent="0.2">
      <c r="A172" s="185" t="s">
        <v>855</v>
      </c>
      <c r="B172" s="186" t="s">
        <v>850</v>
      </c>
      <c r="C172" s="187">
        <v>0.75907149037900001</v>
      </c>
      <c r="D172" s="187">
        <v>3.3766937961599998E-2</v>
      </c>
    </row>
    <row r="173" spans="1:4" ht="27.75" customHeight="1" x14ac:dyDescent="0.2">
      <c r="A173" s="185" t="s">
        <v>856</v>
      </c>
      <c r="B173" s="186" t="s">
        <v>850</v>
      </c>
      <c r="C173" s="187">
        <v>0.27218059859599997</v>
      </c>
      <c r="D173" s="187">
        <v>2.3130168811100003</v>
      </c>
    </row>
    <row r="174" spans="1:4" ht="27.75" customHeight="1" x14ac:dyDescent="0.2">
      <c r="A174" s="185" t="s">
        <v>857</v>
      </c>
      <c r="B174" s="186" t="s">
        <v>850</v>
      </c>
      <c r="C174" s="187">
        <v>1.5517569855700002</v>
      </c>
      <c r="D174" s="187">
        <v>8.2630460027900003</v>
      </c>
    </row>
    <row r="175" spans="1:4" ht="27.75" customHeight="1" x14ac:dyDescent="0.2">
      <c r="A175" s="185" t="s">
        <v>858</v>
      </c>
      <c r="B175" s="186" t="s">
        <v>850</v>
      </c>
      <c r="C175" s="187">
        <v>0.18666558591899998</v>
      </c>
      <c r="D175" s="187">
        <v>3.3184077957700002</v>
      </c>
    </row>
    <row r="176" spans="1:4" ht="27.75" customHeight="1" x14ac:dyDescent="0.2">
      <c r="A176" s="185" t="s">
        <v>859</v>
      </c>
      <c r="B176" s="186" t="s">
        <v>850</v>
      </c>
      <c r="C176" s="187">
        <v>0.30658287939899997</v>
      </c>
      <c r="D176" s="187">
        <v>0.24534469115600002</v>
      </c>
    </row>
    <row r="177" spans="1:4" ht="27.75" customHeight="1" x14ac:dyDescent="0.2">
      <c r="A177" s="185" t="s">
        <v>860</v>
      </c>
      <c r="B177" s="186" t="s">
        <v>850</v>
      </c>
      <c r="C177" s="187">
        <v>0.29757635558899997</v>
      </c>
      <c r="D177" s="187">
        <v>0.25692752894699999</v>
      </c>
    </row>
    <row r="178" spans="1:4" ht="27.75" customHeight="1" x14ac:dyDescent="0.2">
      <c r="A178" s="185" t="s">
        <v>861</v>
      </c>
      <c r="B178" s="186" t="s">
        <v>850</v>
      </c>
      <c r="C178" s="187">
        <v>0.10116556317900001</v>
      </c>
      <c r="D178" s="187">
        <v>4.3028239216799999</v>
      </c>
    </row>
    <row r="179" spans="1:4" ht="27.75" customHeight="1" x14ac:dyDescent="0.2">
      <c r="A179" s="185" t="s">
        <v>862</v>
      </c>
      <c r="B179" s="186" t="s">
        <v>850</v>
      </c>
      <c r="C179" s="187">
        <v>6.5403050109999999E-2</v>
      </c>
      <c r="D179" s="187">
        <v>3.12784706446</v>
      </c>
    </row>
    <row r="180" spans="1:4" ht="27.75" customHeight="1" x14ac:dyDescent="0.2">
      <c r="A180" s="185" t="s">
        <v>863</v>
      </c>
      <c r="B180" s="186" t="s">
        <v>850</v>
      </c>
      <c r="C180" s="187">
        <v>1.0182842064800001E-2</v>
      </c>
      <c r="D180" s="187">
        <v>0</v>
      </c>
    </row>
    <row r="181" spans="1:4" ht="27.75" customHeight="1" x14ac:dyDescent="0.2">
      <c r="A181" s="185" t="s">
        <v>864</v>
      </c>
      <c r="B181" s="186" t="s">
        <v>850</v>
      </c>
      <c r="C181" s="187">
        <v>-6.9487768949300002E-3</v>
      </c>
      <c r="D181" s="187">
        <v>4.2311772443800004</v>
      </c>
    </row>
    <row r="182" spans="1:4" ht="27.75" customHeight="1" x14ac:dyDescent="0.2">
      <c r="A182" s="185" t="s">
        <v>865</v>
      </c>
      <c r="B182" s="186" t="s">
        <v>850</v>
      </c>
      <c r="C182" s="187">
        <v>0.22746982003799998</v>
      </c>
      <c r="D182" s="187">
        <v>9.6161024745500008</v>
      </c>
    </row>
    <row r="183" spans="1:4" ht="27.75" customHeight="1" x14ac:dyDescent="0.2">
      <c r="A183" s="185" t="s">
        <v>866</v>
      </c>
      <c r="B183" s="186" t="s">
        <v>850</v>
      </c>
      <c r="C183" s="187">
        <v>0.24516896135900001</v>
      </c>
      <c r="D183" s="187">
        <v>0.55915098699900001</v>
      </c>
    </row>
    <row r="184" spans="1:4" ht="27.75" customHeight="1" x14ac:dyDescent="0.2">
      <c r="A184" s="185" t="s">
        <v>867</v>
      </c>
      <c r="B184" s="186" t="s">
        <v>850</v>
      </c>
      <c r="C184" s="187">
        <v>6.6732870492399995E-2</v>
      </c>
      <c r="D184" s="187">
        <v>2.7682498834500002</v>
      </c>
    </row>
    <row r="185" spans="1:4" ht="27.75" customHeight="1" x14ac:dyDescent="0.2">
      <c r="A185" s="185" t="s">
        <v>868</v>
      </c>
      <c r="B185" s="186" t="s">
        <v>850</v>
      </c>
      <c r="C185" s="187">
        <v>2.3152604349799999E-3</v>
      </c>
      <c r="D185" s="187">
        <v>9.9233121354699999E-2</v>
      </c>
    </row>
    <row r="186" spans="1:4" ht="27.75" customHeight="1" x14ac:dyDescent="0.2">
      <c r="A186" s="185" t="s">
        <v>869</v>
      </c>
      <c r="B186" s="186" t="s">
        <v>850</v>
      </c>
      <c r="C186" s="187">
        <v>0</v>
      </c>
      <c r="D186" s="187">
        <v>0.23054870842899999</v>
      </c>
    </row>
    <row r="187" spans="1:4" ht="27.75" customHeight="1" x14ac:dyDescent="0.2">
      <c r="A187" s="185" t="s">
        <v>870</v>
      </c>
      <c r="B187" s="186" t="s">
        <v>850</v>
      </c>
      <c r="C187" s="187">
        <v>0</v>
      </c>
      <c r="D187" s="187">
        <v>0.23015569028900001</v>
      </c>
    </row>
    <row r="188" spans="1:4" ht="27.75" customHeight="1" x14ac:dyDescent="0.2">
      <c r="A188" s="185" t="s">
        <v>871</v>
      </c>
      <c r="B188" s="186" t="s">
        <v>850</v>
      </c>
      <c r="C188" s="187">
        <v>9.5540017310299999E-2</v>
      </c>
      <c r="D188" s="187">
        <v>2.1794889659800001</v>
      </c>
    </row>
    <row r="189" spans="1:4" ht="27.75" customHeight="1" x14ac:dyDescent="0.2">
      <c r="A189" s="185" t="s">
        <v>872</v>
      </c>
      <c r="B189" s="186" t="s">
        <v>850</v>
      </c>
      <c r="C189" s="187">
        <v>0.27268232362100003</v>
      </c>
      <c r="D189" s="187">
        <v>2.8446224475899999</v>
      </c>
    </row>
    <row r="190" spans="1:4" ht="27.75" customHeight="1" x14ac:dyDescent="0.2">
      <c r="A190" s="185" t="s">
        <v>873</v>
      </c>
      <c r="B190" s="186" t="s">
        <v>850</v>
      </c>
      <c r="C190" s="187">
        <v>6.9727552327300005E-2</v>
      </c>
      <c r="D190" s="187">
        <v>2.6367927583899999</v>
      </c>
    </row>
    <row r="191" spans="1:4" ht="27.75" customHeight="1" x14ac:dyDescent="0.2">
      <c r="A191" s="185" t="s">
        <v>874</v>
      </c>
      <c r="B191" s="186" t="s">
        <v>850</v>
      </c>
      <c r="C191" s="187">
        <v>4.1672376292800004E-2</v>
      </c>
      <c r="D191" s="187">
        <v>0.49149546198399996</v>
      </c>
    </row>
    <row r="192" spans="1:4" ht="27.75" customHeight="1" x14ac:dyDescent="0.2">
      <c r="A192" s="185" t="s">
        <v>875</v>
      </c>
      <c r="B192" s="186" t="s">
        <v>850</v>
      </c>
      <c r="C192" s="187">
        <v>0.22247418128300001</v>
      </c>
      <c r="D192" s="187">
        <v>3.7217030740199997</v>
      </c>
    </row>
    <row r="193" spans="1:4" ht="27.75" customHeight="1" x14ac:dyDescent="0.2">
      <c r="A193" s="185" t="s">
        <v>876</v>
      </c>
      <c r="B193" s="186" t="s">
        <v>850</v>
      </c>
      <c r="C193" s="187">
        <v>5.8885048321500003E-2</v>
      </c>
      <c r="D193" s="187">
        <v>2.6576354792400001</v>
      </c>
    </row>
    <row r="194" spans="1:4" ht="27.75" customHeight="1" x14ac:dyDescent="0.2">
      <c r="A194" s="185" t="s">
        <v>877</v>
      </c>
      <c r="B194" s="186" t="s">
        <v>850</v>
      </c>
      <c r="C194" s="187">
        <v>8.9889711197199997E-3</v>
      </c>
      <c r="D194" s="187">
        <v>0.17252802471999998</v>
      </c>
    </row>
    <row r="195" spans="1:4" ht="27.75" customHeight="1" x14ac:dyDescent="0.2">
      <c r="A195" s="185" t="s">
        <v>878</v>
      </c>
      <c r="B195" s="186" t="s">
        <v>850</v>
      </c>
      <c r="C195" s="187">
        <v>0.219851226717</v>
      </c>
      <c r="D195" s="187">
        <v>3.16513136843</v>
      </c>
    </row>
    <row r="196" spans="1:4" ht="27.75" customHeight="1" x14ac:dyDescent="0.2">
      <c r="A196" s="185" t="s">
        <v>879</v>
      </c>
      <c r="B196" s="186" t="s">
        <v>850</v>
      </c>
      <c r="C196" s="187">
        <v>7.5957589127000004E-4</v>
      </c>
      <c r="D196" s="187">
        <v>3.2977524519899997</v>
      </c>
    </row>
    <row r="197" spans="1:4" ht="27.75" customHeight="1" x14ac:dyDescent="0.2">
      <c r="A197" s="185" t="s">
        <v>880</v>
      </c>
      <c r="B197" s="186" t="s">
        <v>850</v>
      </c>
      <c r="C197" s="187">
        <v>0.24697290504200001</v>
      </c>
      <c r="D197" s="187">
        <v>0.73514081382499996</v>
      </c>
    </row>
    <row r="198" spans="1:4" ht="27.75" customHeight="1" x14ac:dyDescent="0.2">
      <c r="A198" s="185" t="s">
        <v>881</v>
      </c>
      <c r="B198" s="186" t="s">
        <v>850</v>
      </c>
      <c r="C198" s="187">
        <v>0.74999061671300005</v>
      </c>
      <c r="D198" s="187">
        <v>2.6724815241699997</v>
      </c>
    </row>
    <row r="199" spans="1:4" ht="27.75" customHeight="1" x14ac:dyDescent="0.2">
      <c r="A199" s="185" t="s">
        <v>882</v>
      </c>
      <c r="B199" s="186" t="s">
        <v>883</v>
      </c>
      <c r="C199" s="187">
        <v>0</v>
      </c>
      <c r="D199" s="187">
        <v>0</v>
      </c>
    </row>
    <row r="200" spans="1:4" ht="27.75" customHeight="1" x14ac:dyDescent="0.2">
      <c r="A200" s="185" t="s">
        <v>884</v>
      </c>
      <c r="B200" s="186" t="s">
        <v>883</v>
      </c>
      <c r="C200" s="187">
        <v>7.12723201807E-4</v>
      </c>
      <c r="D200" s="187">
        <v>-7.6228199031899996E-6</v>
      </c>
    </row>
    <row r="201" spans="1:4" ht="27.75" customHeight="1" x14ac:dyDescent="0.2">
      <c r="A201" s="185" t="s">
        <v>885</v>
      </c>
      <c r="B201" s="186" t="s">
        <v>883</v>
      </c>
      <c r="C201" s="187">
        <v>0</v>
      </c>
      <c r="D201" s="187">
        <v>0</v>
      </c>
    </row>
    <row r="202" spans="1:4" ht="27.75" customHeight="1" x14ac:dyDescent="0.2">
      <c r="A202" s="185" t="s">
        <v>886</v>
      </c>
      <c r="B202" s="186" t="s">
        <v>883</v>
      </c>
      <c r="C202" s="187">
        <v>1.50208031761E-2</v>
      </c>
      <c r="D202" s="187">
        <v>2.8406532075000001E-3</v>
      </c>
    </row>
    <row r="203" spans="1:4" ht="27.75" customHeight="1" x14ac:dyDescent="0.2">
      <c r="A203" s="185" t="s">
        <v>887</v>
      </c>
      <c r="B203" s="186" t="s">
        <v>883</v>
      </c>
      <c r="C203" s="187">
        <v>0</v>
      </c>
      <c r="D203" s="187">
        <v>0</v>
      </c>
    </row>
    <row r="204" spans="1:4" ht="27.75" customHeight="1" x14ac:dyDescent="0.2">
      <c r="A204" s="185" t="s">
        <v>888</v>
      </c>
      <c r="B204" s="186" t="s">
        <v>883</v>
      </c>
      <c r="C204" s="187">
        <v>3.0998874599300004E-4</v>
      </c>
      <c r="D204" s="187">
        <v>9.8112766475599998E-6</v>
      </c>
    </row>
    <row r="205" spans="1:4" ht="27.75" customHeight="1" x14ac:dyDescent="0.2">
      <c r="A205" s="185" t="s">
        <v>889</v>
      </c>
      <c r="B205" s="186" t="s">
        <v>883</v>
      </c>
      <c r="C205" s="187">
        <v>1.18813135612</v>
      </c>
      <c r="D205" s="187">
        <v>2.03391819103E-2</v>
      </c>
    </row>
    <row r="206" spans="1:4" ht="27.75" customHeight="1" x14ac:dyDescent="0.2">
      <c r="A206" s="185" t="s">
        <v>890</v>
      </c>
      <c r="B206" s="186" t="s">
        <v>883</v>
      </c>
      <c r="C206" s="187">
        <v>0</v>
      </c>
      <c r="D206" s="187">
        <v>0</v>
      </c>
    </row>
    <row r="207" spans="1:4" ht="27.75" customHeight="1" x14ac:dyDescent="0.2">
      <c r="A207" s="185" t="s">
        <v>891</v>
      </c>
      <c r="B207" s="186" t="s">
        <v>883</v>
      </c>
      <c r="C207" s="187">
        <v>0</v>
      </c>
      <c r="D207" s="187">
        <v>9.2190740858900007E-3</v>
      </c>
    </row>
    <row r="208" spans="1:4" ht="27.75" customHeight="1" x14ac:dyDescent="0.2">
      <c r="A208" s="185" t="s">
        <v>892</v>
      </c>
      <c r="B208" s="186" t="s">
        <v>883</v>
      </c>
      <c r="C208" s="187">
        <v>-1.12747215326E-4</v>
      </c>
      <c r="D208" s="187">
        <v>0</v>
      </c>
    </row>
    <row r="209" spans="1:4" ht="27.75" customHeight="1" x14ac:dyDescent="0.2">
      <c r="A209" s="185" t="s">
        <v>893</v>
      </c>
      <c r="B209" s="186" t="s">
        <v>883</v>
      </c>
      <c r="C209" s="187">
        <v>3.2944143222399997</v>
      </c>
      <c r="D209" s="187">
        <v>0.24376462332599999</v>
      </c>
    </row>
    <row r="210" spans="1:4" ht="27.75" customHeight="1" x14ac:dyDescent="0.2">
      <c r="A210" s="185" t="s">
        <v>894</v>
      </c>
      <c r="B210" s="186" t="s">
        <v>883</v>
      </c>
      <c r="C210" s="187">
        <v>0.180547453602</v>
      </c>
      <c r="D210" s="187">
        <v>0.18117352551299998</v>
      </c>
    </row>
    <row r="211" spans="1:4" ht="27.75" customHeight="1" x14ac:dyDescent="0.2">
      <c r="A211" s="185" t="s">
        <v>895</v>
      </c>
      <c r="B211" s="186" t="s">
        <v>883</v>
      </c>
      <c r="C211" s="187">
        <v>6.7734988533000001E-4</v>
      </c>
      <c r="D211" s="187">
        <v>0.19784336573</v>
      </c>
    </row>
    <row r="212" spans="1:4" ht="27.75" customHeight="1" x14ac:dyDescent="0.2">
      <c r="A212" s="185" t="s">
        <v>896</v>
      </c>
      <c r="B212" s="186" t="s">
        <v>883</v>
      </c>
      <c r="C212" s="187">
        <v>4.0339137395699998E-2</v>
      </c>
      <c r="D212" s="187">
        <v>0.14541211156299999</v>
      </c>
    </row>
    <row r="213" spans="1:4" ht="27.75" customHeight="1" x14ac:dyDescent="0.2">
      <c r="A213" s="185" t="s">
        <v>897</v>
      </c>
      <c r="B213" s="186" t="s">
        <v>883</v>
      </c>
      <c r="C213" s="187">
        <v>6.1964774772600005E-2</v>
      </c>
      <c r="D213" s="187">
        <v>0.26639671146799998</v>
      </c>
    </row>
    <row r="214" spans="1:4" ht="27.75" customHeight="1" x14ac:dyDescent="0.2">
      <c r="A214" s="185" t="s">
        <v>898</v>
      </c>
      <c r="B214" s="186" t="s">
        <v>883</v>
      </c>
      <c r="C214" s="187">
        <v>0.14760653836099999</v>
      </c>
      <c r="D214" s="187">
        <v>0.259983095266</v>
      </c>
    </row>
    <row r="215" spans="1:4" ht="27.75" customHeight="1" x14ac:dyDescent="0.2">
      <c r="A215" s="185" t="s">
        <v>899</v>
      </c>
      <c r="B215" s="186" t="s">
        <v>883</v>
      </c>
      <c r="C215" s="187">
        <v>6.0835289092399996E-3</v>
      </c>
      <c r="D215" s="187">
        <v>1.3525404181100002E-4</v>
      </c>
    </row>
    <row r="216" spans="1:4" ht="27.75" customHeight="1" x14ac:dyDescent="0.2">
      <c r="A216" s="185" t="s">
        <v>900</v>
      </c>
      <c r="B216" s="186" t="s">
        <v>883</v>
      </c>
      <c r="C216" s="187">
        <v>0</v>
      </c>
      <c r="D216" s="187">
        <v>0.20823327976300002</v>
      </c>
    </row>
    <row r="217" spans="1:4" ht="27.75" customHeight="1" x14ac:dyDescent="0.2">
      <c r="A217" s="185" t="s">
        <v>901</v>
      </c>
      <c r="B217" s="186" t="s">
        <v>883</v>
      </c>
      <c r="C217" s="187">
        <v>0.113686278429</v>
      </c>
      <c r="D217" s="187">
        <v>0.11814914013400001</v>
      </c>
    </row>
    <row r="218" spans="1:4" ht="27.75" customHeight="1" x14ac:dyDescent="0.2">
      <c r="A218" s="185" t="s">
        <v>902</v>
      </c>
      <c r="B218" s="186" t="s">
        <v>883</v>
      </c>
      <c r="C218" s="187">
        <v>1.7332671291400002E-2</v>
      </c>
      <c r="D218" s="187">
        <v>7.7688460307099999E-3</v>
      </c>
    </row>
    <row r="219" spans="1:4" ht="27.75" customHeight="1" x14ac:dyDescent="0.2">
      <c r="A219" s="185" t="s">
        <v>903</v>
      </c>
      <c r="B219" s="186" t="s">
        <v>883</v>
      </c>
      <c r="C219" s="187">
        <v>1.52671647729E-4</v>
      </c>
      <c r="D219" s="187">
        <v>-7.7547489251099999E-6</v>
      </c>
    </row>
    <row r="220" spans="1:4" ht="27.75" customHeight="1" x14ac:dyDescent="0.2">
      <c r="A220" s="185" t="s">
        <v>904</v>
      </c>
      <c r="B220" s="186" t="s">
        <v>883</v>
      </c>
      <c r="C220" s="187">
        <v>6.1538642756400003E-2</v>
      </c>
      <c r="D220" s="187">
        <v>0.31827448042500001</v>
      </c>
    </row>
    <row r="221" spans="1:4" ht="27.75" customHeight="1" x14ac:dyDescent="0.2">
      <c r="A221" s="185" t="s">
        <v>905</v>
      </c>
      <c r="B221" s="186" t="s">
        <v>883</v>
      </c>
      <c r="C221" s="187">
        <v>0</v>
      </c>
      <c r="D221" s="187">
        <v>0</v>
      </c>
    </row>
    <row r="222" spans="1:4" ht="27.75" customHeight="1" x14ac:dyDescent="0.2">
      <c r="A222" s="185" t="s">
        <v>906</v>
      </c>
      <c r="B222" s="186" t="s">
        <v>883</v>
      </c>
      <c r="C222" s="187">
        <v>7.9281358315499997E-2</v>
      </c>
      <c r="D222" s="187">
        <v>2.8931926036699997E-2</v>
      </c>
    </row>
    <row r="223" spans="1:4" ht="27.75" customHeight="1" x14ac:dyDescent="0.2">
      <c r="A223" s="185" t="s">
        <v>907</v>
      </c>
      <c r="B223" s="186" t="s">
        <v>883</v>
      </c>
      <c r="C223" s="187">
        <v>2.1151624244499998</v>
      </c>
      <c r="D223" s="187">
        <v>2.3625267303300004</v>
      </c>
    </row>
    <row r="224" spans="1:4" ht="27.75" customHeight="1" x14ac:dyDescent="0.2">
      <c r="A224" s="185" t="s">
        <v>908</v>
      </c>
      <c r="B224" s="186" t="s">
        <v>883</v>
      </c>
      <c r="C224" s="187">
        <v>8.4092427214799995E-2</v>
      </c>
      <c r="D224" s="187">
        <v>0.15402235522800001</v>
      </c>
    </row>
    <row r="225" spans="1:4" ht="27.75" customHeight="1" x14ac:dyDescent="0.2">
      <c r="A225" s="185" t="s">
        <v>909</v>
      </c>
      <c r="B225" s="186" t="s">
        <v>883</v>
      </c>
      <c r="C225" s="187">
        <v>5.28357959184E-2</v>
      </c>
      <c r="D225" s="187">
        <v>9.3239942912800005E-3</v>
      </c>
    </row>
    <row r="226" spans="1:4" ht="27.75" customHeight="1" x14ac:dyDescent="0.2">
      <c r="A226" s="185" t="s">
        <v>910</v>
      </c>
      <c r="B226" s="186" t="s">
        <v>911</v>
      </c>
      <c r="C226" s="187">
        <v>5.1996103497100002E-2</v>
      </c>
      <c r="D226" s="187">
        <v>0.31310345867400002</v>
      </c>
    </row>
    <row r="227" spans="1:4" ht="27.75" customHeight="1" x14ac:dyDescent="0.2">
      <c r="A227" s="185" t="s">
        <v>912</v>
      </c>
      <c r="B227" s="186" t="s">
        <v>911</v>
      </c>
      <c r="C227" s="187">
        <v>2.8450468828700001E-2</v>
      </c>
      <c r="D227" s="187">
        <v>0.38067795561200002</v>
      </c>
    </row>
    <row r="228" spans="1:4" ht="27.75" customHeight="1" x14ac:dyDescent="0.2">
      <c r="A228" s="185" t="s">
        <v>913</v>
      </c>
      <c r="B228" s="186" t="s">
        <v>911</v>
      </c>
      <c r="C228" s="187">
        <v>6.2854086130200007E-2</v>
      </c>
      <c r="D228" s="187">
        <v>0.163228304234</v>
      </c>
    </row>
    <row r="229" spans="1:4" ht="27.75" customHeight="1" x14ac:dyDescent="0.2">
      <c r="A229" s="185" t="s">
        <v>914</v>
      </c>
      <c r="B229" s="186" t="s">
        <v>911</v>
      </c>
      <c r="C229" s="187">
        <v>7.5580738086899997E-3</v>
      </c>
      <c r="D229" s="187">
        <v>0.44591609818599998</v>
      </c>
    </row>
    <row r="230" spans="1:4" ht="27.75" customHeight="1" x14ac:dyDescent="0.2">
      <c r="A230" s="185" t="s">
        <v>915</v>
      </c>
      <c r="B230" s="186" t="s">
        <v>911</v>
      </c>
      <c r="C230" s="187">
        <v>3.0801275008800002E-2</v>
      </c>
      <c r="D230" s="187">
        <v>0.26362785215600004</v>
      </c>
    </row>
    <row r="231" spans="1:4" ht="27.75" customHeight="1" x14ac:dyDescent="0.2">
      <c r="A231" s="185" t="s">
        <v>916</v>
      </c>
      <c r="B231" s="186" t="s">
        <v>911</v>
      </c>
      <c r="C231" s="187">
        <v>5.9469136913500004E-2</v>
      </c>
      <c r="D231" s="187">
        <v>0.274723643628</v>
      </c>
    </row>
    <row r="232" spans="1:4" ht="27.75" customHeight="1" x14ac:dyDescent="0.2">
      <c r="A232" s="185" t="s">
        <v>917</v>
      </c>
      <c r="B232" s="186" t="s">
        <v>918</v>
      </c>
      <c r="C232" s="187">
        <v>-5.4837557604000002E-4</v>
      </c>
      <c r="D232" s="187">
        <v>1.9413020445600001E-2</v>
      </c>
    </row>
    <row r="233" spans="1:4" ht="27.75" customHeight="1" x14ac:dyDescent="0.2">
      <c r="A233" s="185" t="s">
        <v>919</v>
      </c>
      <c r="B233" s="186" t="s">
        <v>918</v>
      </c>
      <c r="C233" s="187">
        <v>5.5214240587499998E-2</v>
      </c>
      <c r="D233" s="187">
        <v>0.28513294253299998</v>
      </c>
    </row>
    <row r="234" spans="1:4" ht="27.75" customHeight="1" x14ac:dyDescent="0.2">
      <c r="A234" s="185" t="s">
        <v>920</v>
      </c>
      <c r="B234" s="186" t="s">
        <v>918</v>
      </c>
      <c r="C234" s="187">
        <v>5.3318904253899999E-2</v>
      </c>
      <c r="D234" s="187">
        <v>0.27544373903800001</v>
      </c>
    </row>
    <row r="235" spans="1:4" ht="27.75" customHeight="1" x14ac:dyDescent="0.2">
      <c r="A235" s="185" t="s">
        <v>921</v>
      </c>
      <c r="B235" s="186" t="s">
        <v>918</v>
      </c>
      <c r="C235" s="187">
        <v>0</v>
      </c>
      <c r="D235" s="187">
        <v>0</v>
      </c>
    </row>
    <row r="236" spans="1:4" ht="27.75" customHeight="1" x14ac:dyDescent="0.2">
      <c r="A236" s="185" t="s">
        <v>922</v>
      </c>
      <c r="B236" s="186" t="s">
        <v>918</v>
      </c>
      <c r="C236" s="187">
        <v>2.3997313787900001E-2</v>
      </c>
      <c r="D236" s="187">
        <v>1.4866416939800001E-3</v>
      </c>
    </row>
    <row r="237" spans="1:4" ht="27.75" customHeight="1" x14ac:dyDescent="0.2">
      <c r="A237" s="185" t="s">
        <v>923</v>
      </c>
      <c r="B237" s="186" t="s">
        <v>918</v>
      </c>
      <c r="C237" s="187">
        <v>2.40043069996E-2</v>
      </c>
      <c r="D237" s="187">
        <v>1.4879966862700001E-3</v>
      </c>
    </row>
    <row r="238" spans="1:4" ht="27.75" customHeight="1" x14ac:dyDescent="0.2">
      <c r="A238" s="185" t="s">
        <v>924</v>
      </c>
      <c r="B238" s="186" t="s">
        <v>918</v>
      </c>
      <c r="C238" s="187">
        <v>5.4371842660699998E-2</v>
      </c>
      <c r="D238" s="187">
        <v>0.28088151345400003</v>
      </c>
    </row>
    <row r="239" spans="1:4" ht="27.75" customHeight="1" x14ac:dyDescent="0.2">
      <c r="A239" s="185" t="s">
        <v>925</v>
      </c>
      <c r="B239" s="186" t="s">
        <v>918</v>
      </c>
      <c r="C239" s="187">
        <v>9.4160847179699997E-2</v>
      </c>
      <c r="D239" s="187">
        <v>-1.5107955958299999E-2</v>
      </c>
    </row>
    <row r="240" spans="1:4" ht="27.75" customHeight="1" x14ac:dyDescent="0.2">
      <c r="A240" s="185" t="s">
        <v>926</v>
      </c>
      <c r="B240" s="186" t="s">
        <v>918</v>
      </c>
      <c r="C240" s="187">
        <v>0.21512725493499998</v>
      </c>
      <c r="D240" s="187">
        <v>1.8313627694099999E-2</v>
      </c>
    </row>
    <row r="241" spans="1:4" ht="27.75" customHeight="1" x14ac:dyDescent="0.2">
      <c r="A241" s="185" t="s">
        <v>927</v>
      </c>
      <c r="B241" s="186" t="s">
        <v>918</v>
      </c>
      <c r="C241" s="187">
        <v>0</v>
      </c>
      <c r="D241" s="187">
        <v>1.67891006286E-2</v>
      </c>
    </row>
    <row r="242" spans="1:4" ht="27.75" customHeight="1" x14ac:dyDescent="0.2">
      <c r="A242" s="185" t="s">
        <v>928</v>
      </c>
      <c r="B242" s="186" t="s">
        <v>918</v>
      </c>
      <c r="C242" s="187">
        <v>2.2001891507599999E-3</v>
      </c>
      <c r="D242" s="187">
        <v>0</v>
      </c>
    </row>
    <row r="243" spans="1:4" ht="27.75" customHeight="1" x14ac:dyDescent="0.2">
      <c r="A243" s="185" t="s">
        <v>929</v>
      </c>
      <c r="B243" s="186" t="s">
        <v>918</v>
      </c>
      <c r="C243" s="187">
        <v>2.2001891507599999E-3</v>
      </c>
      <c r="D243" s="187">
        <v>0</v>
      </c>
    </row>
    <row r="244" spans="1:4" ht="27.75" customHeight="1" x14ac:dyDescent="0.2">
      <c r="A244" s="185" t="s">
        <v>930</v>
      </c>
      <c r="B244" s="186" t="s">
        <v>918</v>
      </c>
      <c r="C244" s="187">
        <v>2.2001891507599999E-3</v>
      </c>
      <c r="D244" s="187">
        <v>0</v>
      </c>
    </row>
    <row r="245" spans="1:4" ht="27.75" customHeight="1" x14ac:dyDescent="0.2">
      <c r="A245" s="185" t="s">
        <v>931</v>
      </c>
      <c r="B245" s="186" t="s">
        <v>918</v>
      </c>
      <c r="C245" s="187">
        <v>0</v>
      </c>
      <c r="D245" s="187">
        <v>0</v>
      </c>
    </row>
    <row r="246" spans="1:4" ht="27.75" customHeight="1" x14ac:dyDescent="0.2">
      <c r="A246" s="185" t="s">
        <v>932</v>
      </c>
      <c r="B246" s="186" t="s">
        <v>918</v>
      </c>
      <c r="C246" s="187">
        <v>9.94555776648E-3</v>
      </c>
      <c r="D246" s="187">
        <v>0.87467216352200006</v>
      </c>
    </row>
    <row r="247" spans="1:4" ht="27.75" customHeight="1" x14ac:dyDescent="0.2">
      <c r="A247" s="185" t="s">
        <v>933</v>
      </c>
      <c r="B247" s="186" t="s">
        <v>918</v>
      </c>
      <c r="C247" s="187">
        <v>3.8330841113600002E-2</v>
      </c>
      <c r="D247" s="187">
        <v>0.30121766021399998</v>
      </c>
    </row>
    <row r="248" spans="1:4" ht="27.75" customHeight="1" x14ac:dyDescent="0.2">
      <c r="A248" s="185" t="s">
        <v>934</v>
      </c>
      <c r="B248" s="186" t="s">
        <v>918</v>
      </c>
      <c r="C248" s="187">
        <v>1.15343829819E-2</v>
      </c>
      <c r="D248" s="187">
        <v>0.34411163705000003</v>
      </c>
    </row>
    <row r="249" spans="1:4" ht="27.75" customHeight="1" x14ac:dyDescent="0.2">
      <c r="A249" s="185" t="s">
        <v>935</v>
      </c>
      <c r="B249" s="186" t="s">
        <v>918</v>
      </c>
      <c r="C249" s="187">
        <v>2.5348662879700001E-2</v>
      </c>
      <c r="D249" s="187">
        <v>1.56012619933E-3</v>
      </c>
    </row>
    <row r="250" spans="1:4" ht="27.75" customHeight="1" x14ac:dyDescent="0.2">
      <c r="A250" s="185" t="s">
        <v>936</v>
      </c>
      <c r="B250" s="186" t="s">
        <v>918</v>
      </c>
      <c r="C250" s="187">
        <v>0.18208436626100002</v>
      </c>
      <c r="D250" s="187">
        <v>3.4256906287600003E-2</v>
      </c>
    </row>
    <row r="251" spans="1:4" ht="27.75" customHeight="1" x14ac:dyDescent="0.2">
      <c r="A251" s="185" t="s">
        <v>937</v>
      </c>
      <c r="B251" s="186" t="s">
        <v>918</v>
      </c>
      <c r="C251" s="187">
        <v>0.17455344744199999</v>
      </c>
      <c r="D251" s="187">
        <v>0.23970744107700001</v>
      </c>
    </row>
    <row r="252" spans="1:4" ht="27.75" customHeight="1" x14ac:dyDescent="0.2">
      <c r="A252" s="185" t="s">
        <v>938</v>
      </c>
      <c r="B252" s="186" t="s">
        <v>918</v>
      </c>
      <c r="C252" s="187">
        <v>0</v>
      </c>
      <c r="D252" s="187">
        <v>2.4485403606999998E-2</v>
      </c>
    </row>
    <row r="253" spans="1:4" ht="27.75" customHeight="1" x14ac:dyDescent="0.2">
      <c r="A253" s="185" t="s">
        <v>939</v>
      </c>
      <c r="B253" s="186" t="s">
        <v>918</v>
      </c>
      <c r="C253" s="187">
        <v>1.14951959417E-3</v>
      </c>
      <c r="D253" s="187">
        <v>0.33583496474300001</v>
      </c>
    </row>
    <row r="254" spans="1:4" ht="27.75" customHeight="1" x14ac:dyDescent="0.2">
      <c r="A254" s="185" t="s">
        <v>940</v>
      </c>
      <c r="B254" s="186" t="s">
        <v>918</v>
      </c>
      <c r="C254" s="187">
        <v>0.10035906957</v>
      </c>
      <c r="D254" s="187">
        <v>0.48568807774900002</v>
      </c>
    </row>
    <row r="255" spans="1:4" ht="27.75" customHeight="1" x14ac:dyDescent="0.2">
      <c r="A255" s="185" t="s">
        <v>941</v>
      </c>
      <c r="B255" s="186" t="s">
        <v>918</v>
      </c>
      <c r="C255" s="187">
        <v>2.1624312455300002E-3</v>
      </c>
      <c r="D255" s="187">
        <v>0.87049416866700002</v>
      </c>
    </row>
    <row r="256" spans="1:4" ht="27.75" customHeight="1" x14ac:dyDescent="0.2">
      <c r="A256" s="185" t="s">
        <v>942</v>
      </c>
      <c r="B256" s="186" t="s">
        <v>918</v>
      </c>
      <c r="C256" s="187">
        <v>6.4209102137399998E-3</v>
      </c>
      <c r="D256" s="187">
        <v>3.04596733E-2</v>
      </c>
    </row>
    <row r="257" spans="1:4" ht="27.75" customHeight="1" x14ac:dyDescent="0.2">
      <c r="A257" s="185" t="s">
        <v>943</v>
      </c>
      <c r="B257" s="186" t="s">
        <v>918</v>
      </c>
      <c r="C257" s="187">
        <v>0.111521191987</v>
      </c>
      <c r="D257" s="187">
        <v>0.33642149684799999</v>
      </c>
    </row>
    <row r="258" spans="1:4" ht="27.75" customHeight="1" x14ac:dyDescent="0.2">
      <c r="A258" s="185" t="s">
        <v>944</v>
      </c>
      <c r="B258" s="186" t="s">
        <v>918</v>
      </c>
      <c r="C258" s="187">
        <v>0</v>
      </c>
      <c r="D258" s="187">
        <v>0.11319827495900001</v>
      </c>
    </row>
    <row r="259" spans="1:4" ht="27.75" customHeight="1" x14ac:dyDescent="0.2">
      <c r="A259" s="185" t="s">
        <v>945</v>
      </c>
      <c r="B259" s="186" t="s">
        <v>918</v>
      </c>
      <c r="C259" s="187">
        <v>0.11955315598000001</v>
      </c>
      <c r="D259" s="187">
        <v>0.33467836131399997</v>
      </c>
    </row>
    <row r="260" spans="1:4" ht="27.75" customHeight="1" x14ac:dyDescent="0.2">
      <c r="A260" s="185" t="s">
        <v>946</v>
      </c>
      <c r="B260" s="186" t="s">
        <v>918</v>
      </c>
      <c r="C260" s="187">
        <v>3.4874931800799999E-3</v>
      </c>
      <c r="D260" s="187">
        <v>1.10610055777</v>
      </c>
    </row>
    <row r="261" spans="1:4" ht="27.75" customHeight="1" x14ac:dyDescent="0.2">
      <c r="A261" s="185" t="s">
        <v>947</v>
      </c>
      <c r="B261" s="186" t="s">
        <v>918</v>
      </c>
      <c r="C261" s="187">
        <v>0.11921139267600001</v>
      </c>
      <c r="D261" s="187">
        <v>0.87661418349300002</v>
      </c>
    </row>
    <row r="262" spans="1:4" ht="27.75" customHeight="1" x14ac:dyDescent="0.2">
      <c r="A262" s="185" t="s">
        <v>948</v>
      </c>
      <c r="B262" s="186" t="s">
        <v>918</v>
      </c>
      <c r="C262" s="187">
        <v>0.78540945078799995</v>
      </c>
      <c r="D262" s="187">
        <v>0.813129548388</v>
      </c>
    </row>
    <row r="263" spans="1:4" ht="27.75" customHeight="1" x14ac:dyDescent="0.2">
      <c r="A263" s="185" t="s">
        <v>949</v>
      </c>
      <c r="B263" s="186" t="s">
        <v>918</v>
      </c>
      <c r="C263" s="187">
        <v>5.17756406719E-3</v>
      </c>
      <c r="D263" s="187">
        <v>0.33897859969999999</v>
      </c>
    </row>
    <row r="264" spans="1:4" ht="27.75" customHeight="1" x14ac:dyDescent="0.2">
      <c r="A264" s="185" t="s">
        <v>950</v>
      </c>
      <c r="B264" s="186" t="s">
        <v>918</v>
      </c>
      <c r="C264" s="187">
        <v>3.7106671726599996E-2</v>
      </c>
      <c r="D264" s="187">
        <v>0.80467246413299998</v>
      </c>
    </row>
    <row r="265" spans="1:4" ht="27.75" customHeight="1" x14ac:dyDescent="0.2">
      <c r="A265" s="185" t="s">
        <v>951</v>
      </c>
      <c r="B265" s="186" t="s">
        <v>918</v>
      </c>
      <c r="C265" s="187">
        <v>0.115871430543</v>
      </c>
      <c r="D265" s="187">
        <v>1.6820412817900001</v>
      </c>
    </row>
    <row r="266" spans="1:4" ht="27.75" customHeight="1" x14ac:dyDescent="0.2">
      <c r="A266" s="185" t="s">
        <v>952</v>
      </c>
      <c r="B266" s="186" t="s">
        <v>918</v>
      </c>
      <c r="C266" s="187">
        <v>0.25096518439999999</v>
      </c>
      <c r="D266" s="187">
        <v>1.1329530862100001</v>
      </c>
    </row>
    <row r="267" spans="1:4" ht="27.75" customHeight="1" x14ac:dyDescent="0.2">
      <c r="A267" s="185" t="s">
        <v>953</v>
      </c>
      <c r="B267" s="186" t="s">
        <v>918</v>
      </c>
      <c r="C267" s="187">
        <v>2.9444081483700005E-4</v>
      </c>
      <c r="D267" s="187">
        <v>0.33194845818800001</v>
      </c>
    </row>
    <row r="268" spans="1:4" ht="27.75" customHeight="1" x14ac:dyDescent="0.2">
      <c r="A268" s="185" t="s">
        <v>954</v>
      </c>
      <c r="B268" s="186" t="s">
        <v>918</v>
      </c>
      <c r="C268" s="187">
        <v>0.11631738708499999</v>
      </c>
      <c r="D268" s="187">
        <v>0.56720347755299994</v>
      </c>
    </row>
    <row r="269" spans="1:4" ht="27.75" customHeight="1" x14ac:dyDescent="0.2">
      <c r="A269" s="185" t="s">
        <v>955</v>
      </c>
      <c r="B269" s="186" t="s">
        <v>918</v>
      </c>
      <c r="C269" s="187">
        <v>3.0456605553499998E-4</v>
      </c>
      <c r="D269" s="187">
        <v>4.9000515229000001E-2</v>
      </c>
    </row>
    <row r="270" spans="1:4" ht="27.75" customHeight="1" x14ac:dyDescent="0.2">
      <c r="A270" s="185" t="s">
        <v>956</v>
      </c>
      <c r="B270" s="186" t="s">
        <v>918</v>
      </c>
      <c r="C270" s="187">
        <v>-1.20043579464E-2</v>
      </c>
      <c r="D270" s="187">
        <v>1.3825704797599998</v>
      </c>
    </row>
    <row r="271" spans="1:4" ht="27.75" customHeight="1" x14ac:dyDescent="0.2">
      <c r="A271" s="185" t="s">
        <v>957</v>
      </c>
      <c r="B271" s="186" t="s">
        <v>918</v>
      </c>
      <c r="C271" s="187">
        <v>6.4399998468700009E-2</v>
      </c>
      <c r="D271" s="187">
        <v>0.57887758191900007</v>
      </c>
    </row>
    <row r="272" spans="1:4" ht="27.75" customHeight="1" x14ac:dyDescent="0.2">
      <c r="A272" s="185" t="s">
        <v>958</v>
      </c>
      <c r="B272" s="186" t="s">
        <v>918</v>
      </c>
      <c r="C272" s="187">
        <v>4.1758221779600004E-4</v>
      </c>
      <c r="D272" s="187">
        <v>1.03070303847</v>
      </c>
    </row>
    <row r="273" spans="1:4" ht="27.75" customHeight="1" x14ac:dyDescent="0.2">
      <c r="A273" s="185" t="s">
        <v>959</v>
      </c>
      <c r="B273" s="186" t="s">
        <v>918</v>
      </c>
      <c r="C273" s="187">
        <v>1.90352711733E-3</v>
      </c>
      <c r="D273" s="187">
        <v>0.35276631245399998</v>
      </c>
    </row>
    <row r="274" spans="1:4" ht="27.75" customHeight="1" x14ac:dyDescent="0.2">
      <c r="A274" s="185" t="s">
        <v>960</v>
      </c>
      <c r="B274" s="186" t="s">
        <v>918</v>
      </c>
      <c r="C274" s="187">
        <v>7.6627423289099994E-2</v>
      </c>
      <c r="D274" s="187">
        <v>0.827285583893</v>
      </c>
    </row>
    <row r="275" spans="1:4" ht="27.75" customHeight="1" x14ac:dyDescent="0.2">
      <c r="A275" s="185" t="s">
        <v>961</v>
      </c>
      <c r="B275" s="186" t="s">
        <v>918</v>
      </c>
      <c r="C275" s="187">
        <v>0</v>
      </c>
      <c r="D275" s="187">
        <v>0</v>
      </c>
    </row>
    <row r="276" spans="1:4" ht="27.75" customHeight="1" x14ac:dyDescent="0.2">
      <c r="A276" s="185" t="s">
        <v>962</v>
      </c>
      <c r="B276" s="186" t="s">
        <v>963</v>
      </c>
      <c r="C276" s="187">
        <v>5.9338760839800005E-2</v>
      </c>
      <c r="D276" s="187">
        <v>5.7008981382100001E-3</v>
      </c>
    </row>
    <row r="277" spans="1:4" ht="27.75" customHeight="1" x14ac:dyDescent="0.2">
      <c r="A277" s="185" t="s">
        <v>964</v>
      </c>
      <c r="B277" s="186" t="s">
        <v>963</v>
      </c>
      <c r="C277" s="187">
        <v>2.3367670719399998E-2</v>
      </c>
      <c r="D277" s="187">
        <v>0.90596781290599993</v>
      </c>
    </row>
    <row r="278" spans="1:4" ht="27.75" customHeight="1" x14ac:dyDescent="0.2">
      <c r="A278" s="185" t="s">
        <v>965</v>
      </c>
      <c r="B278" s="186" t="s">
        <v>963</v>
      </c>
      <c r="C278" s="187">
        <v>4.6719198045700001E-3</v>
      </c>
      <c r="D278" s="187">
        <v>0.18745670277100002</v>
      </c>
    </row>
    <row r="279" spans="1:4" ht="27.75" customHeight="1" x14ac:dyDescent="0.2">
      <c r="A279" s="185" t="s">
        <v>966</v>
      </c>
      <c r="B279" s="186" t="s">
        <v>963</v>
      </c>
      <c r="C279" s="187">
        <v>5.3335257759900001E-2</v>
      </c>
      <c r="D279" s="187">
        <v>0.20692606613100001</v>
      </c>
    </row>
    <row r="280" spans="1:4" ht="27.75" customHeight="1" x14ac:dyDescent="0.2">
      <c r="A280" s="185" t="s">
        <v>967</v>
      </c>
      <c r="B280" s="186" t="s">
        <v>963</v>
      </c>
      <c r="C280" s="187">
        <v>0</v>
      </c>
      <c r="D280" s="187">
        <v>3.9121895309200003E-2</v>
      </c>
    </row>
    <row r="281" spans="1:4" ht="27.75" customHeight="1" x14ac:dyDescent="0.2">
      <c r="A281" s="185" t="s">
        <v>968</v>
      </c>
      <c r="B281" s="186" t="s">
        <v>963</v>
      </c>
      <c r="C281" s="187">
        <v>1.4498307016300001</v>
      </c>
      <c r="D281" s="187">
        <v>2.19101808428</v>
      </c>
    </row>
    <row r="282" spans="1:4" ht="27.75" customHeight="1" x14ac:dyDescent="0.2">
      <c r="A282" s="185" t="s">
        <v>969</v>
      </c>
      <c r="B282" s="186" t="s">
        <v>963</v>
      </c>
      <c r="C282" s="187">
        <v>2.4698505787500002E-2</v>
      </c>
      <c r="D282" s="187">
        <v>9.0096408600999989E-2</v>
      </c>
    </row>
    <row r="283" spans="1:4" ht="27.75" customHeight="1" x14ac:dyDescent="0.2">
      <c r="A283" s="185" t="s">
        <v>970</v>
      </c>
      <c r="B283" s="186" t="s">
        <v>963</v>
      </c>
      <c r="C283" s="187">
        <v>4.7559377765100004E-2</v>
      </c>
      <c r="D283" s="187">
        <v>0.14302655160699998</v>
      </c>
    </row>
    <row r="284" spans="1:4" ht="27.75" customHeight="1" x14ac:dyDescent="0.2">
      <c r="A284" s="185" t="s">
        <v>971</v>
      </c>
      <c r="B284" s="186" t="s">
        <v>963</v>
      </c>
      <c r="C284" s="187">
        <v>8.0009328021200005E-2</v>
      </c>
      <c r="D284" s="187">
        <v>1.75752582343</v>
      </c>
    </row>
    <row r="285" spans="1:4" ht="27.75" customHeight="1" x14ac:dyDescent="0.2">
      <c r="A285" s="185" t="s">
        <v>972</v>
      </c>
      <c r="B285" s="186" t="s">
        <v>963</v>
      </c>
      <c r="C285" s="187">
        <v>0.64137697182700004</v>
      </c>
      <c r="D285" s="187">
        <v>2.8559307763100001</v>
      </c>
    </row>
    <row r="286" spans="1:4" ht="27.75" customHeight="1" x14ac:dyDescent="0.2">
      <c r="A286" s="185" t="s">
        <v>973</v>
      </c>
      <c r="B286" s="186" t="s">
        <v>963</v>
      </c>
      <c r="C286" s="187">
        <v>0.10171163813600001</v>
      </c>
      <c r="D286" s="187">
        <v>0.34739221825900002</v>
      </c>
    </row>
    <row r="287" spans="1:4" ht="27.75" customHeight="1" x14ac:dyDescent="0.2">
      <c r="A287" s="185" t="s">
        <v>974</v>
      </c>
      <c r="B287" s="186" t="s">
        <v>963</v>
      </c>
      <c r="C287" s="187">
        <v>1.9143460867000001E-2</v>
      </c>
      <c r="D287" s="187">
        <v>0.26959035801200004</v>
      </c>
    </row>
    <row r="288" spans="1:4" ht="27.75" customHeight="1" x14ac:dyDescent="0.2">
      <c r="A288" s="185" t="s">
        <v>975</v>
      </c>
      <c r="B288" s="186" t="s">
        <v>963</v>
      </c>
      <c r="C288" s="187">
        <v>0.32538017477100001</v>
      </c>
      <c r="D288" s="187">
        <v>5.9110278729299998E-2</v>
      </c>
    </row>
    <row r="289" spans="1:4" ht="27.75" customHeight="1" x14ac:dyDescent="0.2">
      <c r="A289" s="185" t="s">
        <v>976</v>
      </c>
      <c r="B289" s="186" t="s">
        <v>963</v>
      </c>
      <c r="C289" s="187">
        <v>0.50984463088699994</v>
      </c>
      <c r="D289" s="187">
        <v>2.4009512443100003</v>
      </c>
    </row>
    <row r="290" spans="1:4" ht="27.75" customHeight="1" x14ac:dyDescent="0.2">
      <c r="A290" s="185" t="s">
        <v>977</v>
      </c>
      <c r="B290" s="186" t="s">
        <v>963</v>
      </c>
      <c r="C290" s="187">
        <v>0.15627316496800001</v>
      </c>
      <c r="D290" s="187">
        <v>0.369530299512</v>
      </c>
    </row>
    <row r="291" spans="1:4" ht="27.75" customHeight="1" x14ac:dyDescent="0.2">
      <c r="A291" s="185" t="s">
        <v>978</v>
      </c>
      <c r="B291" s="186" t="s">
        <v>963</v>
      </c>
      <c r="C291" s="187">
        <v>0.15340746151600002</v>
      </c>
      <c r="D291" s="187">
        <v>3.3074040422699999E-2</v>
      </c>
    </row>
    <row r="292" spans="1:4" ht="27.75" customHeight="1" x14ac:dyDescent="0.2">
      <c r="A292" s="185" t="s">
        <v>979</v>
      </c>
      <c r="B292" s="186" t="s">
        <v>963</v>
      </c>
      <c r="C292" s="187">
        <v>0.18234121819500002</v>
      </c>
      <c r="D292" s="187">
        <v>2.460527243</v>
      </c>
    </row>
    <row r="293" spans="1:4" ht="27.75" customHeight="1" x14ac:dyDescent="0.2">
      <c r="A293" s="185" t="s">
        <v>980</v>
      </c>
      <c r="B293" s="186" t="s">
        <v>963</v>
      </c>
      <c r="C293" s="187">
        <v>0.114180671355</v>
      </c>
      <c r="D293" s="187">
        <v>0.73496105390599997</v>
      </c>
    </row>
    <row r="294" spans="1:4" ht="27.75" customHeight="1" x14ac:dyDescent="0.2">
      <c r="A294" s="185" t="s">
        <v>981</v>
      </c>
      <c r="B294" s="186" t="s">
        <v>963</v>
      </c>
      <c r="C294" s="187">
        <v>1.8354070339700001E-2</v>
      </c>
      <c r="D294" s="187">
        <v>0.52688774835200003</v>
      </c>
    </row>
    <row r="295" spans="1:4" ht="27.75" customHeight="1" x14ac:dyDescent="0.2">
      <c r="A295" s="185" t="s">
        <v>982</v>
      </c>
      <c r="B295" s="186" t="s">
        <v>963</v>
      </c>
      <c r="C295" s="187">
        <v>8.4063700294399996E-2</v>
      </c>
      <c r="D295" s="187">
        <v>1.78129806624</v>
      </c>
    </row>
    <row r="296" spans="1:4" ht="27.75" customHeight="1" x14ac:dyDescent="0.2">
      <c r="A296" s="185" t="s">
        <v>983</v>
      </c>
      <c r="B296" s="186" t="s">
        <v>963</v>
      </c>
      <c r="C296" s="187">
        <v>5.8564812215800004E-2</v>
      </c>
      <c r="D296" s="187">
        <v>0.27259332503100003</v>
      </c>
    </row>
    <row r="297" spans="1:4" ht="27.75" customHeight="1" x14ac:dyDescent="0.2">
      <c r="A297" s="185" t="s">
        <v>984</v>
      </c>
      <c r="B297" s="186" t="s">
        <v>985</v>
      </c>
      <c r="C297" s="187">
        <v>0.14131712735999999</v>
      </c>
      <c r="D297" s="187">
        <v>1.3230255842199998</v>
      </c>
    </row>
    <row r="298" spans="1:4" ht="27.75" customHeight="1" x14ac:dyDescent="0.2">
      <c r="A298" s="185" t="s">
        <v>986</v>
      </c>
      <c r="B298" s="186" t="s">
        <v>985</v>
      </c>
      <c r="C298" s="187">
        <v>0.479485272997</v>
      </c>
      <c r="D298" s="187">
        <v>0.73041838923800007</v>
      </c>
    </row>
    <row r="299" spans="1:4" ht="27.75" customHeight="1" x14ac:dyDescent="0.2">
      <c r="A299" s="185" t="s">
        <v>987</v>
      </c>
      <c r="B299" s="186" t="s">
        <v>985</v>
      </c>
      <c r="C299" s="187">
        <v>0.294776957866</v>
      </c>
      <c r="D299" s="187">
        <v>1.0689198177700001</v>
      </c>
    </row>
    <row r="300" spans="1:4" ht="27.75" customHeight="1" x14ac:dyDescent="0.2">
      <c r="A300" s="185" t="s">
        <v>988</v>
      </c>
      <c r="B300" s="186" t="s">
        <v>985</v>
      </c>
      <c r="C300" s="187">
        <v>3.4831155884800001E-4</v>
      </c>
      <c r="D300" s="187">
        <v>7.9074362272899999E-4</v>
      </c>
    </row>
    <row r="301" spans="1:4" ht="27.75" customHeight="1" x14ac:dyDescent="0.2">
      <c r="A301" s="185" t="s">
        <v>989</v>
      </c>
      <c r="B301" s="186" t="s">
        <v>985</v>
      </c>
      <c r="C301" s="187">
        <v>8.4328588210099989E-2</v>
      </c>
      <c r="D301" s="187">
        <v>0.25925040432899998</v>
      </c>
    </row>
    <row r="302" spans="1:4" ht="27.75" customHeight="1" x14ac:dyDescent="0.2">
      <c r="A302" s="185" t="s">
        <v>990</v>
      </c>
      <c r="B302" s="186" t="s">
        <v>985</v>
      </c>
      <c r="C302" s="187">
        <v>0.10106462281999999</v>
      </c>
      <c r="D302" s="187">
        <v>0.261864517149</v>
      </c>
    </row>
    <row r="303" spans="1:4" ht="27.75" customHeight="1" x14ac:dyDescent="0.2">
      <c r="A303" s="185" t="s">
        <v>991</v>
      </c>
      <c r="B303" s="186" t="s">
        <v>985</v>
      </c>
      <c r="C303" s="187">
        <v>0.18577790616199999</v>
      </c>
      <c r="D303" s="187">
        <v>0.27372181122</v>
      </c>
    </row>
    <row r="304" spans="1:4" ht="27.75" customHeight="1" x14ac:dyDescent="0.2">
      <c r="A304" s="185" t="s">
        <v>992</v>
      </c>
      <c r="B304" s="186" t="s">
        <v>993</v>
      </c>
      <c r="C304" s="187">
        <v>3.4921625333900003E-2</v>
      </c>
      <c r="D304" s="187">
        <v>6.4382239158100013E-2</v>
      </c>
    </row>
    <row r="305" spans="1:4" ht="27.75" customHeight="1" x14ac:dyDescent="0.2">
      <c r="A305" s="185" t="s">
        <v>994</v>
      </c>
      <c r="B305" s="186" t="s">
        <v>993</v>
      </c>
      <c r="C305" s="187">
        <v>0.21640780174899998</v>
      </c>
      <c r="D305" s="187">
        <v>1.5955784365600001</v>
      </c>
    </row>
    <row r="306" spans="1:4" ht="27.75" customHeight="1" x14ac:dyDescent="0.2">
      <c r="A306" s="185" t="s">
        <v>995</v>
      </c>
      <c r="B306" s="186" t="s">
        <v>993</v>
      </c>
      <c r="C306" s="187">
        <v>4.2220148267799996E-2</v>
      </c>
      <c r="D306" s="187">
        <v>0.29630367910200001</v>
      </c>
    </row>
    <row r="307" spans="1:4" ht="27.75" customHeight="1" x14ac:dyDescent="0.2">
      <c r="A307" s="185" t="s">
        <v>996</v>
      </c>
      <c r="B307" s="186" t="s">
        <v>993</v>
      </c>
      <c r="C307" s="187">
        <v>8.8837540970899992E-2</v>
      </c>
      <c r="D307" s="187">
        <v>0.51589399524800006</v>
      </c>
    </row>
    <row r="308" spans="1:4" ht="27.75" customHeight="1" x14ac:dyDescent="0.2">
      <c r="A308" s="185" t="s">
        <v>997</v>
      </c>
      <c r="B308" s="186" t="s">
        <v>993</v>
      </c>
      <c r="C308" s="187">
        <v>0.26289338824899999</v>
      </c>
      <c r="D308" s="187">
        <v>1.66645135568</v>
      </c>
    </row>
    <row r="309" spans="1:4" ht="27.75" customHeight="1" x14ac:dyDescent="0.2">
      <c r="A309" s="185" t="s">
        <v>998</v>
      </c>
      <c r="B309" s="186" t="s">
        <v>999</v>
      </c>
      <c r="C309" s="187">
        <v>0</v>
      </c>
      <c r="D309" s="187">
        <v>0</v>
      </c>
    </row>
    <row r="310" spans="1:4" ht="27.75" customHeight="1" x14ac:dyDescent="0.2">
      <c r="A310" s="185" t="s">
        <v>1000</v>
      </c>
      <c r="B310" s="186" t="s">
        <v>999</v>
      </c>
      <c r="C310" s="187">
        <v>9.5227476053599998E-3</v>
      </c>
      <c r="D310" s="187">
        <v>4.3526885895399997E-3</v>
      </c>
    </row>
    <row r="311" spans="1:4" ht="27.75" customHeight="1" x14ac:dyDescent="0.2">
      <c r="A311" s="185" t="s">
        <v>1001</v>
      </c>
      <c r="B311" s="186" t="s">
        <v>999</v>
      </c>
      <c r="C311" s="187">
        <v>0.16944545703200001</v>
      </c>
      <c r="D311" s="187">
        <v>0.17250775865000001</v>
      </c>
    </row>
    <row r="312" spans="1:4" ht="27.75" customHeight="1" x14ac:dyDescent="0.2">
      <c r="A312" s="185" t="s">
        <v>1002</v>
      </c>
      <c r="B312" s="186" t="s">
        <v>999</v>
      </c>
      <c r="C312" s="187">
        <v>0</v>
      </c>
      <c r="D312" s="187">
        <v>0</v>
      </c>
    </row>
    <row r="313" spans="1:4" ht="27.75" customHeight="1" x14ac:dyDescent="0.2">
      <c r="A313" s="185" t="s">
        <v>1003</v>
      </c>
      <c r="B313" s="186" t="s">
        <v>999</v>
      </c>
      <c r="C313" s="187">
        <v>0.14948503454600001</v>
      </c>
      <c r="D313" s="187">
        <v>7.29178934423E-2</v>
      </c>
    </row>
    <row r="314" spans="1:4" ht="27.75" customHeight="1" x14ac:dyDescent="0.2">
      <c r="A314" s="185" t="s">
        <v>1004</v>
      </c>
      <c r="B314" s="186" t="s">
        <v>999</v>
      </c>
      <c r="C314" s="187">
        <v>0.5980134419769999</v>
      </c>
      <c r="D314" s="187">
        <v>0.43974582222800002</v>
      </c>
    </row>
    <row r="315" spans="1:4" ht="27.75" customHeight="1" x14ac:dyDescent="0.2">
      <c r="A315" s="185" t="s">
        <v>1005</v>
      </c>
      <c r="B315" s="186" t="s">
        <v>999</v>
      </c>
      <c r="C315" s="187">
        <v>5.24371753426E-2</v>
      </c>
      <c r="D315" s="187">
        <v>8.6118849198299999E-2</v>
      </c>
    </row>
    <row r="316" spans="1:4" ht="27.75" customHeight="1" x14ac:dyDescent="0.2">
      <c r="A316" s="185" t="s">
        <v>1006</v>
      </c>
      <c r="B316" s="186" t="s">
        <v>1007</v>
      </c>
      <c r="C316" s="187">
        <v>0.539246406761</v>
      </c>
      <c r="D316" s="187">
        <v>1.5705872916700001E-6</v>
      </c>
    </row>
    <row r="317" spans="1:4" ht="27.75" customHeight="1" x14ac:dyDescent="0.2">
      <c r="A317" s="185" t="s">
        <v>1008</v>
      </c>
      <c r="B317" s="186" t="s">
        <v>1007</v>
      </c>
      <c r="C317" s="187">
        <v>-0.18354665192199998</v>
      </c>
      <c r="D317" s="187">
        <v>0</v>
      </c>
    </row>
    <row r="318" spans="1:4" ht="27.75" customHeight="1" x14ac:dyDescent="0.2">
      <c r="A318" s="185" t="s">
        <v>1009</v>
      </c>
      <c r="B318" s="186" t="s">
        <v>1007</v>
      </c>
      <c r="C318" s="187">
        <v>0</v>
      </c>
      <c r="D318" s="187">
        <v>-0.18950405451300001</v>
      </c>
    </row>
    <row r="319" spans="1:4" ht="27.75" customHeight="1" x14ac:dyDescent="0.2">
      <c r="A319" s="185" t="s">
        <v>1010</v>
      </c>
      <c r="B319" s="186" t="s">
        <v>1007</v>
      </c>
      <c r="C319" s="187">
        <v>-1.3591965369400001E-2</v>
      </c>
      <c r="D319" s="187">
        <v>0.48118881056599999</v>
      </c>
    </row>
    <row r="320" spans="1:4" ht="27.75" customHeight="1" x14ac:dyDescent="0.2">
      <c r="A320" s="185" t="s">
        <v>1011</v>
      </c>
      <c r="B320" s="186" t="s">
        <v>1007</v>
      </c>
      <c r="C320" s="187">
        <v>0.89352593814800008</v>
      </c>
      <c r="D320" s="187">
        <v>3.5797880868500005E-2</v>
      </c>
    </row>
    <row r="321" spans="1:4" ht="27.75" customHeight="1" x14ac:dyDescent="0.2">
      <c r="A321" s="185" t="s">
        <v>1012</v>
      </c>
      <c r="B321" s="186" t="s">
        <v>1007</v>
      </c>
      <c r="C321" s="187">
        <v>0.65208361425799999</v>
      </c>
      <c r="D321" s="187">
        <v>1.71831026607E-2</v>
      </c>
    </row>
    <row r="322" spans="1:4" ht="27.75" customHeight="1" x14ac:dyDescent="0.2">
      <c r="A322" s="185" t="s">
        <v>1013</v>
      </c>
      <c r="B322" s="186" t="s">
        <v>1007</v>
      </c>
      <c r="C322" s="187">
        <v>3.8312200060500001E-3</v>
      </c>
      <c r="D322" s="187">
        <v>0.13330623572399999</v>
      </c>
    </row>
    <row r="323" spans="1:4" ht="27.75" customHeight="1" x14ac:dyDescent="0.2">
      <c r="A323" s="185" t="s">
        <v>1014</v>
      </c>
      <c r="B323" s="186" t="s">
        <v>1007</v>
      </c>
      <c r="C323" s="187">
        <v>0</v>
      </c>
      <c r="D323" s="187">
        <v>0</v>
      </c>
    </row>
    <row r="324" spans="1:4" ht="27.75" customHeight="1" x14ac:dyDescent="0.2">
      <c r="A324" s="185" t="s">
        <v>1015</v>
      </c>
      <c r="B324" s="186" t="s">
        <v>1007</v>
      </c>
      <c r="C324" s="187">
        <v>2.5665011142E-2</v>
      </c>
      <c r="D324" s="187">
        <v>0.52282614628700008</v>
      </c>
    </row>
    <row r="325" spans="1:4" ht="27.75" customHeight="1" x14ac:dyDescent="0.2">
      <c r="A325" s="185" t="s">
        <v>1016</v>
      </c>
      <c r="B325" s="186" t="s">
        <v>1007</v>
      </c>
      <c r="C325" s="187">
        <v>7.4920781109399995E-2</v>
      </c>
      <c r="D325" s="187">
        <v>0.13567867727300001</v>
      </c>
    </row>
    <row r="326" spans="1:4" ht="27.75" customHeight="1" x14ac:dyDescent="0.2">
      <c r="A326" s="185" t="s">
        <v>1017</v>
      </c>
      <c r="B326" s="186" t="s">
        <v>1007</v>
      </c>
      <c r="C326" s="187">
        <v>5.4096986830100002E-2</v>
      </c>
      <c r="D326" s="187">
        <v>0.12532621764900001</v>
      </c>
    </row>
    <row r="327" spans="1:4" ht="27.75" customHeight="1" x14ac:dyDescent="0.2">
      <c r="A327" s="185" t="s">
        <v>1018</v>
      </c>
      <c r="B327" s="186" t="s">
        <v>1007</v>
      </c>
      <c r="C327" s="187">
        <v>-1.35965158624E-2</v>
      </c>
      <c r="D327" s="187">
        <v>0.36396054245800002</v>
      </c>
    </row>
    <row r="328" spans="1:4" ht="27.75" customHeight="1" x14ac:dyDescent="0.2">
      <c r="A328" s="185" t="s">
        <v>1019</v>
      </c>
      <c r="B328" s="186" t="s">
        <v>1007</v>
      </c>
      <c r="C328" s="187">
        <v>8.9901931613200009E-2</v>
      </c>
      <c r="D328" s="187">
        <v>0.90497577959600006</v>
      </c>
    </row>
    <row r="329" spans="1:4" ht="27.75" customHeight="1" x14ac:dyDescent="0.2">
      <c r="A329" s="185" t="s">
        <v>1020</v>
      </c>
      <c r="B329" s="186" t="s">
        <v>1007</v>
      </c>
      <c r="C329" s="187">
        <v>2.6146654169899999E-2</v>
      </c>
      <c r="D329" s="187">
        <v>0.46894786280599998</v>
      </c>
    </row>
    <row r="330" spans="1:4" ht="27.75" customHeight="1" x14ac:dyDescent="0.2">
      <c r="A330" s="185" t="s">
        <v>1021</v>
      </c>
      <c r="B330" s="186" t="s">
        <v>1007</v>
      </c>
      <c r="C330" s="187">
        <v>4.0432849851799995E-3</v>
      </c>
      <c r="D330" s="187">
        <v>-0.48881891502000002</v>
      </c>
    </row>
    <row r="331" spans="1:4" ht="27.75" customHeight="1" x14ac:dyDescent="0.2">
      <c r="A331" s="185" t="s">
        <v>1022</v>
      </c>
      <c r="B331" s="186" t="s">
        <v>1023</v>
      </c>
      <c r="C331" s="187">
        <v>0.28029581993500002</v>
      </c>
      <c r="D331" s="187">
        <v>6.7670623552500003E-2</v>
      </c>
    </row>
    <row r="332" spans="1:4" ht="27.75" customHeight="1" x14ac:dyDescent="0.2">
      <c r="A332" s="185" t="s">
        <v>1024</v>
      </c>
      <c r="B332" s="186" t="s">
        <v>1023</v>
      </c>
      <c r="C332" s="187">
        <v>0</v>
      </c>
      <c r="D332" s="187">
        <v>0</v>
      </c>
    </row>
    <row r="333" spans="1:4" ht="27.75" customHeight="1" x14ac:dyDescent="0.2">
      <c r="A333" s="185" t="s">
        <v>1025</v>
      </c>
      <c r="B333" s="186" t="s">
        <v>1023</v>
      </c>
      <c r="C333" s="187">
        <v>0.115343671801</v>
      </c>
      <c r="D333" s="187">
        <v>1.52945769885E-2</v>
      </c>
    </row>
    <row r="334" spans="1:4" ht="27.75" customHeight="1" x14ac:dyDescent="0.2">
      <c r="A334" s="185" t="s">
        <v>1026</v>
      </c>
      <c r="B334" s="186" t="s">
        <v>1023</v>
      </c>
      <c r="C334" s="187">
        <v>1.7897746680699999E-2</v>
      </c>
      <c r="D334" s="187">
        <v>9.5793016638499994E-3</v>
      </c>
    </row>
    <row r="335" spans="1:4" ht="27.75" customHeight="1" x14ac:dyDescent="0.2">
      <c r="A335" s="185" t="s">
        <v>1027</v>
      </c>
      <c r="B335" s="186" t="s">
        <v>1023</v>
      </c>
      <c r="C335" s="187">
        <v>5.9281236793599999E-2</v>
      </c>
      <c r="D335" s="187">
        <v>0.40349407591100001</v>
      </c>
    </row>
    <row r="336" spans="1:4" ht="27.75" customHeight="1" x14ac:dyDescent="0.2">
      <c r="A336" s="185" t="s">
        <v>1028</v>
      </c>
      <c r="B336" s="186" t="s">
        <v>1023</v>
      </c>
      <c r="C336" s="187">
        <v>4.9446655949600002E-2</v>
      </c>
      <c r="D336" s="187">
        <v>7.7269382447999996E-2</v>
      </c>
    </row>
    <row r="337" spans="1:4" ht="27.75" customHeight="1" x14ac:dyDescent="0.2">
      <c r="A337" s="185" t="s">
        <v>1029</v>
      </c>
      <c r="B337" s="186" t="s">
        <v>1023</v>
      </c>
      <c r="C337" s="187">
        <v>5.4008983907900002E-2</v>
      </c>
      <c r="D337" s="187">
        <v>8.3169116545899993E-2</v>
      </c>
    </row>
    <row r="338" spans="1:4" ht="27.75" customHeight="1" x14ac:dyDescent="0.2">
      <c r="A338" s="185" t="s">
        <v>1030</v>
      </c>
      <c r="B338" s="186" t="s">
        <v>1023</v>
      </c>
      <c r="C338" s="187">
        <v>7.4497468823600005E-2</v>
      </c>
      <c r="D338" s="187">
        <v>7.0638116791599995E-2</v>
      </c>
    </row>
    <row r="339" spans="1:4" ht="27.75" customHeight="1" x14ac:dyDescent="0.2">
      <c r="A339" s="185" t="s">
        <v>1031</v>
      </c>
      <c r="B339" s="186" t="s">
        <v>1032</v>
      </c>
      <c r="C339" s="187">
        <v>0.70817875505999994</v>
      </c>
      <c r="D339" s="187">
        <v>8.6710839104699997E-2</v>
      </c>
    </row>
    <row r="340" spans="1:4" ht="27.75" customHeight="1" x14ac:dyDescent="0.2">
      <c r="A340" s="185" t="s">
        <v>1033</v>
      </c>
      <c r="B340" s="186" t="s">
        <v>1032</v>
      </c>
      <c r="C340" s="187">
        <v>0</v>
      </c>
      <c r="D340" s="187">
        <v>1.9422332956800001</v>
      </c>
    </row>
    <row r="341" spans="1:4" ht="27.75" customHeight="1" x14ac:dyDescent="0.2">
      <c r="A341" s="185" t="s">
        <v>1034</v>
      </c>
      <c r="B341" s="186" t="s">
        <v>1032</v>
      </c>
      <c r="C341" s="187">
        <v>0</v>
      </c>
      <c r="D341" s="187">
        <v>0</v>
      </c>
    </row>
    <row r="342" spans="1:4" ht="27.75" customHeight="1" x14ac:dyDescent="0.2">
      <c r="A342" s="185" t="s">
        <v>1035</v>
      </c>
      <c r="B342" s="186" t="s">
        <v>1032</v>
      </c>
      <c r="C342" s="187">
        <v>1.9757409565700001E-2</v>
      </c>
      <c r="D342" s="187">
        <v>0.95682991101600001</v>
      </c>
    </row>
    <row r="343" spans="1:4" ht="27.75" customHeight="1" x14ac:dyDescent="0.2">
      <c r="A343" s="185" t="s">
        <v>1036</v>
      </c>
      <c r="B343" s="186" t="s">
        <v>1032</v>
      </c>
      <c r="C343" s="187">
        <v>0.42025116299199999</v>
      </c>
      <c r="D343" s="187">
        <v>0.83955137987499995</v>
      </c>
    </row>
    <row r="344" spans="1:4" ht="27.75" customHeight="1" x14ac:dyDescent="0.2">
      <c r="A344" s="185" t="s">
        <v>1037</v>
      </c>
      <c r="B344" s="186" t="s">
        <v>1032</v>
      </c>
      <c r="C344" s="187">
        <v>0.42025116048200001</v>
      </c>
      <c r="D344" s="187">
        <v>0.83955138181200006</v>
      </c>
    </row>
    <row r="345" spans="1:4" ht="27.75" customHeight="1" x14ac:dyDescent="0.2">
      <c r="A345" s="185" t="s">
        <v>1038</v>
      </c>
      <c r="B345" s="186" t="s">
        <v>1032</v>
      </c>
      <c r="C345" s="187">
        <v>0.63288806547300003</v>
      </c>
      <c r="D345" s="187">
        <v>0.54750233450500008</v>
      </c>
    </row>
    <row r="346" spans="1:4" ht="27.75" customHeight="1" x14ac:dyDescent="0.2">
      <c r="A346" s="185" t="s">
        <v>1039</v>
      </c>
      <c r="B346" s="186" t="s">
        <v>1032</v>
      </c>
      <c r="C346" s="187">
        <v>1.1874367528E-2</v>
      </c>
      <c r="D346" s="187">
        <v>0.137308468362</v>
      </c>
    </row>
    <row r="347" spans="1:4" ht="27.75" customHeight="1" x14ac:dyDescent="0.2">
      <c r="A347" s="185" t="s">
        <v>1040</v>
      </c>
      <c r="B347" s="186" t="s">
        <v>1032</v>
      </c>
      <c r="C347" s="187">
        <v>0.10795853674100001</v>
      </c>
      <c r="D347" s="187">
        <v>1.18725687694</v>
      </c>
    </row>
    <row r="348" spans="1:4" ht="27.75" customHeight="1" x14ac:dyDescent="0.2">
      <c r="A348" s="185" t="s">
        <v>1041</v>
      </c>
      <c r="B348" s="186" t="s">
        <v>1032</v>
      </c>
      <c r="C348" s="187">
        <v>1.8537362965800001E-2</v>
      </c>
      <c r="D348" s="187">
        <v>0.66097014014400002</v>
      </c>
    </row>
    <row r="349" spans="1:4" ht="27.75" customHeight="1" x14ac:dyDescent="0.2">
      <c r="A349" s="185" t="s">
        <v>1042</v>
      </c>
      <c r="B349" s="186" t="s">
        <v>1032</v>
      </c>
      <c r="C349" s="187">
        <v>0.46195588553200001</v>
      </c>
      <c r="D349" s="187">
        <v>0.79687484484000004</v>
      </c>
    </row>
    <row r="350" spans="1:4" ht="27.75" customHeight="1" x14ac:dyDescent="0.2">
      <c r="A350" s="185" t="s">
        <v>1043</v>
      </c>
      <c r="B350" s="186" t="s">
        <v>1032</v>
      </c>
      <c r="C350" s="187">
        <v>0.39901913791099997</v>
      </c>
      <c r="D350" s="187">
        <v>2.35551024944</v>
      </c>
    </row>
    <row r="351" spans="1:4" ht="27.75" customHeight="1" x14ac:dyDescent="0.2">
      <c r="A351" s="185" t="s">
        <v>1044</v>
      </c>
      <c r="B351" s="186" t="s">
        <v>1032</v>
      </c>
      <c r="C351" s="187">
        <v>9.4599440653000008E-2</v>
      </c>
      <c r="D351" s="187">
        <v>0.53695437406000002</v>
      </c>
    </row>
    <row r="352" spans="1:4" ht="27.75" customHeight="1" x14ac:dyDescent="0.2">
      <c r="A352" s="185" t="s">
        <v>1045</v>
      </c>
      <c r="B352" s="186" t="s">
        <v>1032</v>
      </c>
      <c r="C352" s="187">
        <v>0.51293782284300005</v>
      </c>
      <c r="D352" s="187">
        <v>0.72754425152800006</v>
      </c>
    </row>
    <row r="353" spans="1:4" ht="27.75" customHeight="1" x14ac:dyDescent="0.2">
      <c r="A353" s="185" t="s">
        <v>1046</v>
      </c>
      <c r="B353" s="186" t="s">
        <v>1032</v>
      </c>
      <c r="C353" s="187">
        <v>4.5165453933400004E-2</v>
      </c>
      <c r="D353" s="187">
        <v>0.25449529806800003</v>
      </c>
    </row>
    <row r="354" spans="1:4" ht="27.75" customHeight="1" x14ac:dyDescent="0.2">
      <c r="A354" s="185" t="s">
        <v>1047</v>
      </c>
      <c r="B354" s="186" t="s">
        <v>1032</v>
      </c>
      <c r="C354" s="187">
        <v>0.16753735330300001</v>
      </c>
      <c r="D354" s="187">
        <v>0.89668694280399996</v>
      </c>
    </row>
    <row r="355" spans="1:4" ht="27.75" customHeight="1" x14ac:dyDescent="0.2">
      <c r="A355" s="185" t="s">
        <v>1048</v>
      </c>
      <c r="B355" s="186" t="s">
        <v>1032</v>
      </c>
      <c r="C355" s="187">
        <v>0.307858675084</v>
      </c>
      <c r="D355" s="187">
        <v>3.2171625831899999</v>
      </c>
    </row>
    <row r="356" spans="1:4" ht="27.75" customHeight="1" x14ac:dyDescent="0.2">
      <c r="A356" s="185" t="s">
        <v>1049</v>
      </c>
      <c r="B356" s="186" t="s">
        <v>1032</v>
      </c>
      <c r="C356" s="187">
        <v>0.162465042137</v>
      </c>
      <c r="D356" s="187">
        <v>1.7373766967199999</v>
      </c>
    </row>
    <row r="357" spans="1:4" ht="27.75" customHeight="1" x14ac:dyDescent="0.2">
      <c r="A357" s="185" t="s">
        <v>1050</v>
      </c>
      <c r="B357" s="186" t="s">
        <v>1032</v>
      </c>
      <c r="C357" s="187">
        <v>0.86923944978800005</v>
      </c>
      <c r="D357" s="187">
        <v>0.94742503775499998</v>
      </c>
    </row>
    <row r="358" spans="1:4" ht="27.75" customHeight="1" x14ac:dyDescent="0.2">
      <c r="A358" s="185" t="s">
        <v>1051</v>
      </c>
      <c r="B358" s="186" t="s">
        <v>1032</v>
      </c>
      <c r="C358" s="187">
        <v>0.28665102194600001</v>
      </c>
      <c r="D358" s="187">
        <v>1.0144981512</v>
      </c>
    </row>
    <row r="359" spans="1:4" ht="27.75" customHeight="1" x14ac:dyDescent="0.2">
      <c r="A359" s="185" t="s">
        <v>1052</v>
      </c>
      <c r="B359" s="186" t="s">
        <v>1032</v>
      </c>
      <c r="C359" s="187">
        <v>0.50141944839300001</v>
      </c>
      <c r="D359" s="187">
        <v>1.48672206888</v>
      </c>
    </row>
    <row r="360" spans="1:4" ht="27.75" customHeight="1" x14ac:dyDescent="0.2">
      <c r="A360" s="185" t="s">
        <v>1053</v>
      </c>
      <c r="B360" s="186" t="s">
        <v>1032</v>
      </c>
      <c r="C360" s="187">
        <v>2.5096260785499998</v>
      </c>
      <c r="D360" s="187">
        <v>0.90897014123199993</v>
      </c>
    </row>
    <row r="361" spans="1:4" ht="27.75" customHeight="1" x14ac:dyDescent="0.2">
      <c r="A361" s="185" t="s">
        <v>1054</v>
      </c>
      <c r="B361" s="186" t="s">
        <v>1032</v>
      </c>
      <c r="C361" s="187">
        <v>4.3224512286900003E-2</v>
      </c>
      <c r="D361" s="187">
        <v>6.8530565370300001E-2</v>
      </c>
    </row>
    <row r="362" spans="1:4" ht="27.75" customHeight="1" x14ac:dyDescent="0.2">
      <c r="A362" s="185" t="s">
        <v>1055</v>
      </c>
      <c r="B362" s="186" t="s">
        <v>1032</v>
      </c>
      <c r="C362" s="187">
        <v>0.17274683014199999</v>
      </c>
      <c r="D362" s="187">
        <v>0.66812735212399998</v>
      </c>
    </row>
    <row r="363" spans="1:4" ht="27.75" customHeight="1" x14ac:dyDescent="0.2">
      <c r="A363" s="185" t="s">
        <v>1056</v>
      </c>
      <c r="B363" s="186" t="s">
        <v>1032</v>
      </c>
      <c r="C363" s="187">
        <v>0.249227465211</v>
      </c>
      <c r="D363" s="187">
        <v>1.01945711483</v>
      </c>
    </row>
    <row r="364" spans="1:4" ht="27.75" customHeight="1" x14ac:dyDescent="0.2">
      <c r="A364" s="185" t="s">
        <v>1057</v>
      </c>
      <c r="B364" s="186" t="s">
        <v>1032</v>
      </c>
      <c r="C364" s="187">
        <v>4.9110807900600004E-2</v>
      </c>
      <c r="D364" s="187">
        <v>2.8103585997899998</v>
      </c>
    </row>
    <row r="365" spans="1:4" ht="27.75" customHeight="1" x14ac:dyDescent="0.2">
      <c r="A365" s="185" t="s">
        <v>1058</v>
      </c>
      <c r="B365" s="186" t="s">
        <v>1032</v>
      </c>
      <c r="C365" s="187">
        <v>0.67212794529300002</v>
      </c>
      <c r="D365" s="187">
        <v>1.4304617430000002</v>
      </c>
    </row>
    <row r="366" spans="1:4" ht="27.75" customHeight="1" x14ac:dyDescent="0.2">
      <c r="A366" s="185" t="s">
        <v>1059</v>
      </c>
      <c r="B366" s="186" t="s">
        <v>1032</v>
      </c>
      <c r="C366" s="187">
        <v>1.7596566490600001</v>
      </c>
      <c r="D366" s="187">
        <v>1.2803602088299999</v>
      </c>
    </row>
    <row r="367" spans="1:4" ht="27.75" customHeight="1" x14ac:dyDescent="0.2">
      <c r="A367" s="185" t="s">
        <v>1060</v>
      </c>
      <c r="B367" s="186" t="s">
        <v>1032</v>
      </c>
      <c r="C367" s="187">
        <v>4.0021937067200003E-2</v>
      </c>
      <c r="D367" s="187">
        <v>3.4234786179900003</v>
      </c>
    </row>
    <row r="368" spans="1:4" ht="27.75" customHeight="1" x14ac:dyDescent="0.2">
      <c r="A368" s="185" t="s">
        <v>1061</v>
      </c>
      <c r="B368" s="186" t="s">
        <v>1032</v>
      </c>
      <c r="C368" s="187">
        <v>0.61370264531899998</v>
      </c>
      <c r="D368" s="187">
        <v>3.2622745714100003</v>
      </c>
    </row>
    <row r="369" spans="1:4" ht="27.75" customHeight="1" x14ac:dyDescent="0.2">
      <c r="A369" s="185" t="s">
        <v>1062</v>
      </c>
      <c r="B369" s="186" t="s">
        <v>1032</v>
      </c>
      <c r="C369" s="187">
        <v>0.498178853624</v>
      </c>
      <c r="D369" s="187">
        <v>0.99938540214499993</v>
      </c>
    </row>
    <row r="370" spans="1:4" ht="27.75" customHeight="1" x14ac:dyDescent="0.2">
      <c r="A370" s="185" t="s">
        <v>1063</v>
      </c>
      <c r="B370" s="186" t="s">
        <v>1032</v>
      </c>
      <c r="C370" s="187">
        <v>0.17584486344800002</v>
      </c>
      <c r="D370" s="187">
        <v>0.94919171792000001</v>
      </c>
    </row>
    <row r="371" spans="1:4" ht="27.75" customHeight="1" x14ac:dyDescent="0.2">
      <c r="A371" s="185" t="s">
        <v>1064</v>
      </c>
      <c r="B371" s="186" t="s">
        <v>1032</v>
      </c>
      <c r="C371" s="187">
        <v>4.3998885592799998E-2</v>
      </c>
      <c r="D371" s="187">
        <v>1.75186475254E-2</v>
      </c>
    </row>
    <row r="372" spans="1:4" ht="27.75" customHeight="1" x14ac:dyDescent="0.2">
      <c r="A372" s="185" t="s">
        <v>1065</v>
      </c>
      <c r="B372" s="186" t="s">
        <v>1032</v>
      </c>
      <c r="C372" s="187">
        <v>0.61425570617799996</v>
      </c>
      <c r="D372" s="187">
        <v>3.8617086848</v>
      </c>
    </row>
    <row r="373" spans="1:4" ht="27.75" customHeight="1" x14ac:dyDescent="0.2">
      <c r="A373" s="185" t="s">
        <v>1066</v>
      </c>
      <c r="B373" s="186" t="s">
        <v>1032</v>
      </c>
      <c r="C373" s="187">
        <v>4.0512841782499995</v>
      </c>
      <c r="D373" s="187">
        <v>2.41912404745</v>
      </c>
    </row>
    <row r="374" spans="1:4" ht="27.75" customHeight="1" x14ac:dyDescent="0.2">
      <c r="A374" s="185" t="s">
        <v>1067</v>
      </c>
      <c r="B374" s="186" t="s">
        <v>1032</v>
      </c>
      <c r="C374" s="187">
        <v>0.14403511265399999</v>
      </c>
      <c r="D374" s="187">
        <v>0.695671632815</v>
      </c>
    </row>
    <row r="375" spans="1:4" ht="27.75" customHeight="1" x14ac:dyDescent="0.2">
      <c r="A375" s="185" t="s">
        <v>1068</v>
      </c>
      <c r="B375" s="186" t="s">
        <v>1032</v>
      </c>
      <c r="C375" s="187">
        <v>2.8226300681900001</v>
      </c>
      <c r="D375" s="187">
        <v>2.9753747579000001</v>
      </c>
    </row>
    <row r="376" spans="1:4" ht="27.75" customHeight="1" x14ac:dyDescent="0.2">
      <c r="A376" s="185" t="s">
        <v>1069</v>
      </c>
      <c r="B376" s="186" t="s">
        <v>1032</v>
      </c>
      <c r="C376" s="187">
        <v>0.38609454528600001</v>
      </c>
      <c r="D376" s="187">
        <v>3.0083018454899997</v>
      </c>
    </row>
    <row r="377" spans="1:4" ht="27.75" customHeight="1" x14ac:dyDescent="0.2">
      <c r="A377" s="185" t="s">
        <v>1070</v>
      </c>
      <c r="B377" s="186" t="s">
        <v>1032</v>
      </c>
      <c r="C377" s="187">
        <v>5.5361419361499999E-2</v>
      </c>
      <c r="D377" s="187">
        <v>0.89602775358800002</v>
      </c>
    </row>
    <row r="378" spans="1:4" ht="27.75" customHeight="1" x14ac:dyDescent="0.2">
      <c r="A378" s="185" t="s">
        <v>1071</v>
      </c>
      <c r="B378" s="186" t="s">
        <v>1032</v>
      </c>
      <c r="C378" s="187">
        <v>0</v>
      </c>
      <c r="D378" s="187">
        <v>0.47800181809999998</v>
      </c>
    </row>
    <row r="379" spans="1:4" ht="27.75" customHeight="1" x14ac:dyDescent="0.2">
      <c r="A379" s="185" t="s">
        <v>1072</v>
      </c>
      <c r="B379" s="186" t="s">
        <v>1032</v>
      </c>
      <c r="C379" s="187">
        <v>0.18704268246500003</v>
      </c>
      <c r="D379" s="187">
        <v>0.33988929417399999</v>
      </c>
    </row>
    <row r="380" spans="1:4" ht="27.75" customHeight="1" x14ac:dyDescent="0.2">
      <c r="A380" s="185" t="s">
        <v>1073</v>
      </c>
      <c r="B380" s="186" t="s">
        <v>1032</v>
      </c>
      <c r="C380" s="187">
        <v>9.3222357116999992E-3</v>
      </c>
      <c r="D380" s="187">
        <v>4.6145672197900001E-2</v>
      </c>
    </row>
    <row r="381" spans="1:4" ht="27.75" customHeight="1" x14ac:dyDescent="0.2">
      <c r="A381" s="185" t="s">
        <v>1074</v>
      </c>
      <c r="B381" s="186" t="s">
        <v>1032</v>
      </c>
      <c r="C381" s="187">
        <v>0.15010997104599999</v>
      </c>
      <c r="D381" s="187">
        <v>0.201109081828</v>
      </c>
    </row>
    <row r="382" spans="1:4" ht="27.75" customHeight="1" x14ac:dyDescent="0.2">
      <c r="A382" s="185" t="s">
        <v>1075</v>
      </c>
      <c r="B382" s="186" t="s">
        <v>1032</v>
      </c>
      <c r="C382" s="187">
        <v>0.56931844032900003</v>
      </c>
      <c r="D382" s="187">
        <v>2.4762234298600001</v>
      </c>
    </row>
    <row r="383" spans="1:4" ht="27.75" customHeight="1" x14ac:dyDescent="0.2">
      <c r="A383" s="185" t="s">
        <v>1076</v>
      </c>
      <c r="B383" s="186" t="s">
        <v>1032</v>
      </c>
      <c r="C383" s="187">
        <v>0.886736180185</v>
      </c>
      <c r="D383" s="187">
        <v>5.7673819422400001</v>
      </c>
    </row>
    <row r="384" spans="1:4" ht="27.75" customHeight="1" x14ac:dyDescent="0.2">
      <c r="A384" s="185" t="s">
        <v>1077</v>
      </c>
      <c r="B384" s="186" t="s">
        <v>1032</v>
      </c>
      <c r="C384" s="187">
        <v>0.109727708792</v>
      </c>
      <c r="D384" s="187">
        <v>2.9503067835000003</v>
      </c>
    </row>
    <row r="385" spans="1:4" ht="27.75" customHeight="1" x14ac:dyDescent="0.2">
      <c r="A385" s="185" t="s">
        <v>1078</v>
      </c>
      <c r="B385" s="186" t="s">
        <v>1032</v>
      </c>
      <c r="C385" s="187">
        <v>0.588435587541</v>
      </c>
      <c r="D385" s="187">
        <v>2.65988447845</v>
      </c>
    </row>
    <row r="386" spans="1:4" ht="27.75" customHeight="1" x14ac:dyDescent="0.2">
      <c r="A386" s="185" t="s">
        <v>1079</v>
      </c>
      <c r="B386" s="186" t="s">
        <v>1032</v>
      </c>
      <c r="C386" s="187">
        <v>0.10450678126600001</v>
      </c>
      <c r="D386" s="187">
        <v>0.97418578556900004</v>
      </c>
    </row>
    <row r="387" spans="1:4" ht="27.75" customHeight="1" x14ac:dyDescent="0.2">
      <c r="A387" s="185" t="s">
        <v>1080</v>
      </c>
      <c r="B387" s="186" t="s">
        <v>1032</v>
      </c>
      <c r="C387" s="187">
        <v>2.7247656428700001E-2</v>
      </c>
      <c r="D387" s="187">
        <v>0.20172636298500002</v>
      </c>
    </row>
    <row r="388" spans="1:4" ht="27.75" customHeight="1" x14ac:dyDescent="0.2">
      <c r="A388" s="185" t="s">
        <v>1081</v>
      </c>
      <c r="B388" s="186" t="s">
        <v>1032</v>
      </c>
      <c r="C388" s="187">
        <v>0.29904066211999997</v>
      </c>
      <c r="D388" s="187">
        <v>3.0533269333600002</v>
      </c>
    </row>
    <row r="389" spans="1:4" ht="27.75" customHeight="1" x14ac:dyDescent="0.2">
      <c r="A389" s="185" t="s">
        <v>1082</v>
      </c>
      <c r="B389" s="186" t="s">
        <v>1032</v>
      </c>
      <c r="C389" s="187">
        <v>3.89211750419E-2</v>
      </c>
      <c r="D389" s="187">
        <v>1.7767418407</v>
      </c>
    </row>
    <row r="390" spans="1:4" ht="27.75" customHeight="1" x14ac:dyDescent="0.2">
      <c r="A390" s="185" t="s">
        <v>1083</v>
      </c>
      <c r="B390" s="186" t="s">
        <v>1032</v>
      </c>
      <c r="C390" s="187">
        <v>0.81900595538100007</v>
      </c>
      <c r="D390" s="187">
        <v>0.99341519691500002</v>
      </c>
    </row>
    <row r="391" spans="1:4" ht="27.75" customHeight="1" x14ac:dyDescent="0.2">
      <c r="A391" s="185" t="s">
        <v>1084</v>
      </c>
      <c r="B391" s="186" t="s">
        <v>1085</v>
      </c>
      <c r="C391" s="187">
        <v>8.0618849817599997E-3</v>
      </c>
      <c r="D391" s="187">
        <v>0</v>
      </c>
    </row>
    <row r="392" spans="1:4" ht="27.75" customHeight="1" x14ac:dyDescent="0.2">
      <c r="A392" s="185" t="s">
        <v>1086</v>
      </c>
      <c r="B392" s="186" t="s">
        <v>1085</v>
      </c>
      <c r="C392" s="187">
        <v>1.9601808966899999E-2</v>
      </c>
      <c r="D392" s="187">
        <v>0</v>
      </c>
    </row>
    <row r="393" spans="1:4" ht="27.75" customHeight="1" x14ac:dyDescent="0.2">
      <c r="A393" s="185" t="s">
        <v>1087</v>
      </c>
      <c r="B393" s="186" t="s">
        <v>1085</v>
      </c>
      <c r="C393" s="187">
        <v>0</v>
      </c>
      <c r="D393" s="187">
        <v>0</v>
      </c>
    </row>
    <row r="394" spans="1:4" ht="27.75" customHeight="1" x14ac:dyDescent="0.2">
      <c r="A394" s="185" t="s">
        <v>1088</v>
      </c>
      <c r="B394" s="186" t="s">
        <v>1085</v>
      </c>
      <c r="C394" s="187">
        <v>0</v>
      </c>
      <c r="D394" s="187">
        <v>3.4830003770200003E-3</v>
      </c>
    </row>
    <row r="395" spans="1:4" ht="27.75" customHeight="1" x14ac:dyDescent="0.2">
      <c r="A395" s="185" t="s">
        <v>1089</v>
      </c>
      <c r="B395" s="186" t="s">
        <v>1085</v>
      </c>
      <c r="C395" s="187">
        <v>1.7493692062399999E-3</v>
      </c>
      <c r="D395" s="187">
        <v>0</v>
      </c>
    </row>
    <row r="396" spans="1:4" ht="27.75" customHeight="1" x14ac:dyDescent="0.2">
      <c r="A396" s="185" t="s">
        <v>1090</v>
      </c>
      <c r="B396" s="186" t="s">
        <v>1085</v>
      </c>
      <c r="C396" s="187">
        <v>-1.4883941468299999E-4</v>
      </c>
      <c r="D396" s="187">
        <v>0</v>
      </c>
    </row>
    <row r="397" spans="1:4" ht="27.75" customHeight="1" x14ac:dyDescent="0.2">
      <c r="A397" s="185" t="s">
        <v>1091</v>
      </c>
      <c r="B397" s="186" t="s">
        <v>1085</v>
      </c>
      <c r="C397" s="187">
        <v>0.29860015374499999</v>
      </c>
      <c r="D397" s="187">
        <v>2.52792826272E-2</v>
      </c>
    </row>
    <row r="398" spans="1:4" ht="27.75" customHeight="1" x14ac:dyDescent="0.2">
      <c r="A398" s="185" t="s">
        <v>1092</v>
      </c>
      <c r="B398" s="186" t="s">
        <v>1085</v>
      </c>
      <c r="C398" s="187">
        <v>0.27713109770300004</v>
      </c>
      <c r="D398" s="187">
        <v>1.2436361911000001E-2</v>
      </c>
    </row>
    <row r="399" spans="1:4" ht="27.75" customHeight="1" x14ac:dyDescent="0.2">
      <c r="A399" s="185" t="s">
        <v>1093</v>
      </c>
      <c r="B399" s="186" t="s">
        <v>1085</v>
      </c>
      <c r="C399" s="187">
        <v>5.5870975250699999E-2</v>
      </c>
      <c r="D399" s="187">
        <v>1.1463595866000001E-2</v>
      </c>
    </row>
    <row r="400" spans="1:4" ht="27.75" customHeight="1" x14ac:dyDescent="0.2">
      <c r="A400" s="185" t="s">
        <v>1094</v>
      </c>
      <c r="B400" s="186" t="s">
        <v>1085</v>
      </c>
      <c r="C400" s="187">
        <v>0.28074749488100004</v>
      </c>
      <c r="D400" s="187">
        <v>5.58396833919E-2</v>
      </c>
    </row>
    <row r="401" spans="1:4" ht="27.75" customHeight="1" x14ac:dyDescent="0.2">
      <c r="A401" s="185" t="s">
        <v>1095</v>
      </c>
      <c r="B401" s="186" t="s">
        <v>1085</v>
      </c>
      <c r="C401" s="187">
        <v>0.52051167441599999</v>
      </c>
      <c r="D401" s="187">
        <v>7.0140529280899991E-2</v>
      </c>
    </row>
    <row r="402" spans="1:4" ht="27.75" customHeight="1" x14ac:dyDescent="0.2">
      <c r="A402" s="185" t="s">
        <v>1096</v>
      </c>
      <c r="B402" s="186" t="s">
        <v>1085</v>
      </c>
      <c r="C402" s="187">
        <v>1.6077270164300002</v>
      </c>
      <c r="D402" s="187">
        <v>3.3672351022900004E-2</v>
      </c>
    </row>
    <row r="403" spans="1:4" ht="27.75" customHeight="1" x14ac:dyDescent="0.2">
      <c r="A403" s="185" t="s">
        <v>1097</v>
      </c>
      <c r="B403" s="186" t="s">
        <v>1085</v>
      </c>
      <c r="C403" s="187">
        <v>0.55238191058800001</v>
      </c>
      <c r="D403" s="187">
        <v>0.26526135783299998</v>
      </c>
    </row>
    <row r="404" spans="1:4" ht="27.75" customHeight="1" x14ac:dyDescent="0.2">
      <c r="A404" s="185" t="s">
        <v>1098</v>
      </c>
      <c r="B404" s="186" t="s">
        <v>1085</v>
      </c>
      <c r="C404" s="187">
        <v>7.6686142631900004E-4</v>
      </c>
      <c r="D404" s="187">
        <v>0.41480437300800005</v>
      </c>
    </row>
    <row r="405" spans="1:4" ht="27.75" customHeight="1" x14ac:dyDescent="0.2">
      <c r="A405" s="185" t="s">
        <v>1099</v>
      </c>
      <c r="B405" s="186" t="s">
        <v>1085</v>
      </c>
      <c r="C405" s="187">
        <v>0.316452665661</v>
      </c>
      <c r="D405" s="187">
        <v>8.6481442866100002E-4</v>
      </c>
    </row>
    <row r="406" spans="1:4" ht="27.75" customHeight="1" x14ac:dyDescent="0.2">
      <c r="A406" s="185" t="s">
        <v>1100</v>
      </c>
      <c r="B406" s="186" t="s">
        <v>1085</v>
      </c>
      <c r="C406" s="187">
        <v>6.2439145930800001E-2</v>
      </c>
      <c r="D406" s="187">
        <v>0.21614301220999999</v>
      </c>
    </row>
    <row r="407" spans="1:4" ht="27.75" customHeight="1" x14ac:dyDescent="0.2">
      <c r="A407" s="185" t="s">
        <v>1101</v>
      </c>
      <c r="B407" s="186" t="s">
        <v>1085</v>
      </c>
      <c r="C407" s="187">
        <v>2.4075770793199999E-2</v>
      </c>
      <c r="D407" s="187">
        <v>4.7526465268500004E-3</v>
      </c>
    </row>
    <row r="408" spans="1:4" ht="27.75" customHeight="1" x14ac:dyDescent="0.2">
      <c r="A408" s="185" t="s">
        <v>1102</v>
      </c>
      <c r="B408" s="186" t="s">
        <v>1103</v>
      </c>
      <c r="C408" s="187">
        <v>-0.59940755692299996</v>
      </c>
      <c r="D408" s="187">
        <v>1.9394247139800001E-2</v>
      </c>
    </row>
    <row r="409" spans="1:4" ht="27.75" customHeight="1" x14ac:dyDescent="0.2">
      <c r="A409" s="185" t="s">
        <v>1104</v>
      </c>
      <c r="B409" s="186" t="s">
        <v>1103</v>
      </c>
      <c r="C409" s="187">
        <v>-0.59940755692299996</v>
      </c>
      <c r="D409" s="187">
        <v>1.9394247139800001E-2</v>
      </c>
    </row>
    <row r="410" spans="1:4" ht="27.75" customHeight="1" x14ac:dyDescent="0.2">
      <c r="A410" s="185" t="s">
        <v>1105</v>
      </c>
      <c r="B410" s="186" t="s">
        <v>1103</v>
      </c>
      <c r="C410" s="187">
        <v>0.51819818227500003</v>
      </c>
      <c r="D410" s="187">
        <v>2.3929430360400002E-3</v>
      </c>
    </row>
    <row r="411" spans="1:4" ht="27.75" customHeight="1" x14ac:dyDescent="0.2">
      <c r="A411" s="185" t="s">
        <v>1106</v>
      </c>
      <c r="B411" s="186" t="s">
        <v>1103</v>
      </c>
      <c r="C411" s="187">
        <v>0.98197508866999994</v>
      </c>
      <c r="D411" s="187">
        <v>4.79329184186E-3</v>
      </c>
    </row>
    <row r="412" spans="1:4" ht="27.75" customHeight="1" x14ac:dyDescent="0.2">
      <c r="A412" s="185" t="s">
        <v>1107</v>
      </c>
      <c r="B412" s="186" t="s">
        <v>1103</v>
      </c>
      <c r="C412" s="187">
        <v>6.8840480815899998E-3</v>
      </c>
      <c r="D412" s="187">
        <v>9.6771643442899999E-2</v>
      </c>
    </row>
    <row r="413" spans="1:4" ht="27.75" customHeight="1" x14ac:dyDescent="0.2">
      <c r="A413" s="185" t="s">
        <v>1108</v>
      </c>
      <c r="B413" s="186" t="s">
        <v>1103</v>
      </c>
      <c r="C413" s="187">
        <v>-0.59938974305199999</v>
      </c>
      <c r="D413" s="187">
        <v>1.9393667732099999E-2</v>
      </c>
    </row>
    <row r="414" spans="1:4" ht="27.75" customHeight="1" x14ac:dyDescent="0.2">
      <c r="A414" s="185" t="s">
        <v>1109</v>
      </c>
      <c r="B414" s="186" t="s">
        <v>1103</v>
      </c>
      <c r="C414" s="187">
        <v>-0.57340751668799994</v>
      </c>
      <c r="D414" s="187">
        <v>1.94057432418E-2</v>
      </c>
    </row>
    <row r="415" spans="1:4" ht="27.75" customHeight="1" x14ac:dyDescent="0.2">
      <c r="A415" s="185" t="s">
        <v>1110</v>
      </c>
      <c r="B415" s="186" t="s">
        <v>1103</v>
      </c>
      <c r="C415" s="187">
        <v>0.50645178502300003</v>
      </c>
      <c r="D415" s="187">
        <v>0.15382843084199999</v>
      </c>
    </row>
    <row r="416" spans="1:4" ht="27.75" customHeight="1" x14ac:dyDescent="0.2">
      <c r="A416" s="185" t="s">
        <v>1111</v>
      </c>
      <c r="B416" s="186" t="s">
        <v>1103</v>
      </c>
      <c r="C416" s="187">
        <v>1.6029567441000002E-2</v>
      </c>
      <c r="D416" s="187">
        <v>0.28084492319999999</v>
      </c>
    </row>
    <row r="417" spans="1:4" ht="27.75" customHeight="1" x14ac:dyDescent="0.2">
      <c r="A417" s="185" t="s">
        <v>1112</v>
      </c>
      <c r="B417" s="186" t="s">
        <v>1103</v>
      </c>
      <c r="C417" s="187">
        <v>0.92157898929799997</v>
      </c>
      <c r="D417" s="187">
        <v>4.4802047204999997E-3</v>
      </c>
    </row>
    <row r="418" spans="1:4" ht="27.75" customHeight="1" x14ac:dyDescent="0.2">
      <c r="A418" s="185" t="s">
        <v>1113</v>
      </c>
      <c r="B418" s="186" t="s">
        <v>1103</v>
      </c>
      <c r="C418" s="187">
        <v>-1.1026494719E-2</v>
      </c>
      <c r="D418" s="187">
        <v>0</v>
      </c>
    </row>
    <row r="419" spans="1:4" ht="27.75" customHeight="1" x14ac:dyDescent="0.2">
      <c r="A419" s="185" t="s">
        <v>1114</v>
      </c>
      <c r="B419" s="186" t="s">
        <v>1103</v>
      </c>
      <c r="C419" s="187">
        <v>0</v>
      </c>
      <c r="D419" s="187">
        <v>2.7583437414299998E-4</v>
      </c>
    </row>
    <row r="420" spans="1:4" ht="27.75" customHeight="1" x14ac:dyDescent="0.2">
      <c r="A420" s="185" t="s">
        <v>1115</v>
      </c>
      <c r="B420" s="186" t="s">
        <v>1103</v>
      </c>
      <c r="C420" s="187">
        <v>0</v>
      </c>
      <c r="D420" s="187">
        <v>0</v>
      </c>
    </row>
    <row r="421" spans="1:4" ht="27.75" customHeight="1" x14ac:dyDescent="0.2">
      <c r="A421" s="185" t="s">
        <v>1116</v>
      </c>
      <c r="B421" s="186" t="s">
        <v>1103</v>
      </c>
      <c r="C421" s="187">
        <v>0</v>
      </c>
      <c r="D421" s="187">
        <v>0</v>
      </c>
    </row>
    <row r="422" spans="1:4" ht="27.75" customHeight="1" x14ac:dyDescent="0.2">
      <c r="A422" s="185" t="s">
        <v>1117</v>
      </c>
      <c r="B422" s="186" t="s">
        <v>1103</v>
      </c>
      <c r="C422" s="187">
        <v>3.0607727790999999E-2</v>
      </c>
      <c r="D422" s="187">
        <v>0.15759274529300002</v>
      </c>
    </row>
    <row r="423" spans="1:4" ht="27.75" customHeight="1" x14ac:dyDescent="0.2">
      <c r="A423" s="185" t="s">
        <v>1118</v>
      </c>
      <c r="B423" s="186" t="s">
        <v>1103</v>
      </c>
      <c r="C423" s="187">
        <v>-0.54233041746099997</v>
      </c>
      <c r="D423" s="187">
        <v>1.9378857009000001E-2</v>
      </c>
    </row>
    <row r="424" spans="1:4" ht="27.75" customHeight="1" x14ac:dyDescent="0.2">
      <c r="A424" s="185" t="s">
        <v>1119</v>
      </c>
      <c r="B424" s="186" t="s">
        <v>1103</v>
      </c>
      <c r="C424" s="187">
        <v>0.111232630042</v>
      </c>
      <c r="D424" s="187">
        <v>0.59511006369200004</v>
      </c>
    </row>
    <row r="425" spans="1:4" ht="27.75" customHeight="1" x14ac:dyDescent="0.2">
      <c r="A425" s="185" t="s">
        <v>1120</v>
      </c>
      <c r="B425" s="186" t="s">
        <v>1103</v>
      </c>
      <c r="C425" s="187">
        <v>1.68680843074E-2</v>
      </c>
      <c r="D425" s="187">
        <v>0.50791592695499999</v>
      </c>
    </row>
    <row r="426" spans="1:4" ht="27.75" customHeight="1" x14ac:dyDescent="0.2">
      <c r="A426" s="185" t="s">
        <v>1121</v>
      </c>
      <c r="B426" s="186" t="s">
        <v>1103</v>
      </c>
      <c r="C426" s="187">
        <v>0.25771792615599998</v>
      </c>
      <c r="D426" s="187">
        <v>0.22299106137499999</v>
      </c>
    </row>
    <row r="427" spans="1:4" ht="27.75" customHeight="1" x14ac:dyDescent="0.2">
      <c r="A427" s="185" t="s">
        <v>1122</v>
      </c>
      <c r="B427" s="186" t="s">
        <v>1103</v>
      </c>
      <c r="C427" s="187">
        <v>0.141109766143</v>
      </c>
      <c r="D427" s="187">
        <v>0.36589027548299996</v>
      </c>
    </row>
    <row r="428" spans="1:4" ht="27.75" customHeight="1" x14ac:dyDescent="0.2">
      <c r="A428" s="185" t="s">
        <v>1123</v>
      </c>
      <c r="B428" s="186" t="s">
        <v>1103</v>
      </c>
      <c r="C428" s="187">
        <v>0.241901173138</v>
      </c>
      <c r="D428" s="187">
        <v>2.5010807342799999</v>
      </c>
    </row>
    <row r="429" spans="1:4" ht="27.75" customHeight="1" x14ac:dyDescent="0.2">
      <c r="A429" s="185" t="s">
        <v>1124</v>
      </c>
      <c r="B429" s="186" t="s">
        <v>1103</v>
      </c>
      <c r="C429" s="187">
        <v>0.80314452009199999</v>
      </c>
      <c r="D429" s="187">
        <v>1.3051618379800001</v>
      </c>
    </row>
    <row r="430" spans="1:4" ht="27.75" customHeight="1" x14ac:dyDescent="0.2">
      <c r="A430" s="185" t="s">
        <v>1125</v>
      </c>
      <c r="B430" s="186" t="s">
        <v>1103</v>
      </c>
      <c r="C430" s="187">
        <v>7.2667462624400006E-2</v>
      </c>
      <c r="D430" s="187">
        <v>0.80271923327599992</v>
      </c>
    </row>
    <row r="431" spans="1:4" ht="27.75" customHeight="1" x14ac:dyDescent="0.2">
      <c r="A431" s="185" t="s">
        <v>1126</v>
      </c>
      <c r="B431" s="186" t="s">
        <v>1103</v>
      </c>
      <c r="C431" s="187">
        <v>0.13553097077699999</v>
      </c>
      <c r="D431" s="187">
        <v>0.31385577218999999</v>
      </c>
    </row>
    <row r="432" spans="1:4" ht="27.75" customHeight="1" x14ac:dyDescent="0.2">
      <c r="A432" s="185" t="s">
        <v>1127</v>
      </c>
      <c r="B432" s="186" t="s">
        <v>1103</v>
      </c>
      <c r="C432" s="187">
        <v>2.59874449877E-2</v>
      </c>
      <c r="D432" s="187">
        <v>0.29826657244600002</v>
      </c>
    </row>
    <row r="433" spans="1:4" ht="27.75" customHeight="1" x14ac:dyDescent="0.2">
      <c r="A433" s="185" t="s">
        <v>1128</v>
      </c>
      <c r="B433" s="186" t="s">
        <v>1103</v>
      </c>
      <c r="C433" s="187">
        <v>1.32593342308</v>
      </c>
      <c r="D433" s="187">
        <v>-0.28897723697799998</v>
      </c>
    </row>
    <row r="434" spans="1:4" ht="27.75" customHeight="1" x14ac:dyDescent="0.2">
      <c r="A434" s="185" t="s">
        <v>1129</v>
      </c>
      <c r="B434" s="186" t="s">
        <v>1103</v>
      </c>
      <c r="C434" s="187">
        <v>8.7315693617799991E-2</v>
      </c>
      <c r="D434" s="187">
        <v>0.75085185914300001</v>
      </c>
    </row>
    <row r="435" spans="1:4" ht="27.75" customHeight="1" x14ac:dyDescent="0.2">
      <c r="A435" s="185" t="s">
        <v>1130</v>
      </c>
      <c r="B435" s="186" t="s">
        <v>1103</v>
      </c>
      <c r="C435" s="187">
        <v>0.155078811013</v>
      </c>
      <c r="D435" s="187">
        <v>0.31406074386499999</v>
      </c>
    </row>
    <row r="436" spans="1:4" ht="27.75" customHeight="1" x14ac:dyDescent="0.2">
      <c r="A436" s="185" t="s">
        <v>1131</v>
      </c>
      <c r="B436" s="186" t="s">
        <v>1103</v>
      </c>
      <c r="C436" s="187">
        <v>1.8688578806599999E-2</v>
      </c>
      <c r="D436" s="187">
        <v>0.30307860425799998</v>
      </c>
    </row>
    <row r="437" spans="1:4" ht="27.75" customHeight="1" x14ac:dyDescent="0.2">
      <c r="A437" s="185" t="s">
        <v>1132</v>
      </c>
      <c r="B437" s="186" t="s">
        <v>1103</v>
      </c>
      <c r="C437" s="187">
        <v>1.94663223169</v>
      </c>
      <c r="D437" s="187">
        <v>0.67421411839400003</v>
      </c>
    </row>
    <row r="438" spans="1:4" ht="27.75" customHeight="1" x14ac:dyDescent="0.2">
      <c r="A438" s="185" t="s">
        <v>1133</v>
      </c>
      <c r="B438" s="186" t="s">
        <v>1103</v>
      </c>
      <c r="C438" s="187">
        <v>1.8331539892199999E-2</v>
      </c>
      <c r="D438" s="187">
        <v>0.28133916733799996</v>
      </c>
    </row>
    <row r="439" spans="1:4" ht="27.75" customHeight="1" x14ac:dyDescent="0.2">
      <c r="A439" s="185" t="s">
        <v>1134</v>
      </c>
      <c r="B439" s="186" t="s">
        <v>1103</v>
      </c>
      <c r="C439" s="187">
        <v>2.40640377937E-4</v>
      </c>
      <c r="D439" s="187">
        <v>0.209577448813</v>
      </c>
    </row>
    <row r="440" spans="1:4" ht="27.75" customHeight="1" x14ac:dyDescent="0.2">
      <c r="A440" s="185" t="s">
        <v>1135</v>
      </c>
      <c r="B440" s="186" t="s">
        <v>1103</v>
      </c>
      <c r="C440" s="187">
        <v>0.27181410730300004</v>
      </c>
      <c r="D440" s="187">
        <v>0.50469878701100002</v>
      </c>
    </row>
    <row r="441" spans="1:4" ht="27.75" customHeight="1" x14ac:dyDescent="0.2">
      <c r="A441" s="185" t="s">
        <v>1136</v>
      </c>
      <c r="B441" s="186" t="s">
        <v>1103</v>
      </c>
      <c r="C441" s="187">
        <v>0.10529826301999999</v>
      </c>
      <c r="D441" s="187">
        <v>0.60548000652900003</v>
      </c>
    </row>
    <row r="442" spans="1:4" ht="27.75" customHeight="1" x14ac:dyDescent="0.2">
      <c r="A442" s="185" t="s">
        <v>1137</v>
      </c>
      <c r="B442" s="186" t="s">
        <v>1103</v>
      </c>
      <c r="C442" s="187">
        <v>3.2534087162699996E-2</v>
      </c>
      <c r="D442" s="187">
        <v>0.10445551829699999</v>
      </c>
    </row>
    <row r="443" spans="1:4" ht="27.75" customHeight="1" x14ac:dyDescent="0.2">
      <c r="A443" s="185" t="s">
        <v>1138</v>
      </c>
      <c r="B443" s="186" t="s">
        <v>1103</v>
      </c>
      <c r="C443" s="187">
        <v>0</v>
      </c>
      <c r="D443" s="187">
        <v>0.12118701853899999</v>
      </c>
    </row>
    <row r="444" spans="1:4" ht="27.75" customHeight="1" x14ac:dyDescent="0.2">
      <c r="A444" s="185" t="s">
        <v>1139</v>
      </c>
      <c r="B444" s="186" t="s">
        <v>1103</v>
      </c>
      <c r="C444" s="187">
        <v>0.30315361864099999</v>
      </c>
      <c r="D444" s="187">
        <v>0.18809859168599999</v>
      </c>
    </row>
    <row r="445" spans="1:4" ht="27.75" customHeight="1" x14ac:dyDescent="0.2">
      <c r="A445" s="185" t="s">
        <v>1140</v>
      </c>
      <c r="B445" s="186" t="s">
        <v>1103</v>
      </c>
      <c r="C445" s="187">
        <v>9.7176347711800004E-2</v>
      </c>
      <c r="D445" s="187">
        <v>0.58220510465300002</v>
      </c>
    </row>
    <row r="446" spans="1:4" ht="27.75" customHeight="1" x14ac:dyDescent="0.2">
      <c r="A446" s="185" t="s">
        <v>1141</v>
      </c>
      <c r="B446" s="186" t="s">
        <v>1103</v>
      </c>
      <c r="C446" s="187">
        <v>2.2252534902599999E-2</v>
      </c>
      <c r="D446" s="187">
        <v>0.23817663327299998</v>
      </c>
    </row>
    <row r="447" spans="1:4" ht="27.75" customHeight="1" x14ac:dyDescent="0.2">
      <c r="A447" s="185" t="s">
        <v>1142</v>
      </c>
      <c r="B447" s="186" t="s">
        <v>1103</v>
      </c>
      <c r="C447" s="187">
        <v>2.2252534902599999E-2</v>
      </c>
      <c r="D447" s="187">
        <v>0.23817663327299998</v>
      </c>
    </row>
    <row r="448" spans="1:4" ht="27.75" customHeight="1" x14ac:dyDescent="0.2">
      <c r="A448" s="185" t="s">
        <v>1143</v>
      </c>
      <c r="B448" s="186" t="s">
        <v>1103</v>
      </c>
      <c r="C448" s="187">
        <v>3.33902160002E-2</v>
      </c>
      <c r="D448" s="187">
        <v>0.51699459691799998</v>
      </c>
    </row>
    <row r="449" spans="1:4" ht="27.75" customHeight="1" x14ac:dyDescent="0.2">
      <c r="A449" s="185" t="s">
        <v>1144</v>
      </c>
      <c r="B449" s="186" t="s">
        <v>1103</v>
      </c>
      <c r="C449" s="187">
        <v>1.2242917248E-2</v>
      </c>
      <c r="D449" s="187">
        <v>0.124014260802</v>
      </c>
    </row>
    <row r="450" spans="1:4" ht="27.75" customHeight="1" x14ac:dyDescent="0.2">
      <c r="A450" s="185" t="s">
        <v>1145</v>
      </c>
      <c r="B450" s="186" t="s">
        <v>1103</v>
      </c>
      <c r="C450" s="187">
        <v>1.8739532491199997E-2</v>
      </c>
      <c r="D450" s="187">
        <v>0.60718710310599999</v>
      </c>
    </row>
    <row r="451" spans="1:4" ht="27.75" customHeight="1" x14ac:dyDescent="0.2">
      <c r="A451" s="185" t="s">
        <v>1146</v>
      </c>
      <c r="B451" s="186" t="s">
        <v>1103</v>
      </c>
      <c r="C451" s="187">
        <v>1.22075717339E-2</v>
      </c>
      <c r="D451" s="187">
        <v>0.606434814637</v>
      </c>
    </row>
    <row r="452" spans="1:4" ht="27.75" customHeight="1" x14ac:dyDescent="0.2">
      <c r="A452" s="185" t="s">
        <v>1147</v>
      </c>
      <c r="B452" s="186" t="s">
        <v>1103</v>
      </c>
      <c r="C452" s="187">
        <v>8.4387844661099998E-2</v>
      </c>
      <c r="D452" s="187">
        <v>0.77116638982200003</v>
      </c>
    </row>
    <row r="453" spans="1:4" ht="27.75" customHeight="1" x14ac:dyDescent="0.2">
      <c r="A453" s="185" t="s">
        <v>1148</v>
      </c>
      <c r="B453" s="186" t="s">
        <v>1103</v>
      </c>
      <c r="C453" s="187">
        <v>5.1374694645999995E-3</v>
      </c>
      <c r="D453" s="187">
        <v>0.48727258508599997</v>
      </c>
    </row>
    <row r="454" spans="1:4" ht="27.75" customHeight="1" x14ac:dyDescent="0.2">
      <c r="A454" s="185" t="s">
        <v>1149</v>
      </c>
      <c r="B454" s="186" t="s">
        <v>1103</v>
      </c>
      <c r="C454" s="187">
        <v>0.35814618633600004</v>
      </c>
      <c r="D454" s="187">
        <v>0.126949793039</v>
      </c>
    </row>
    <row r="455" spans="1:4" ht="27.75" customHeight="1" x14ac:dyDescent="0.2">
      <c r="A455" s="185" t="s">
        <v>1150</v>
      </c>
      <c r="B455" s="186" t="s">
        <v>1103</v>
      </c>
      <c r="C455" s="187">
        <v>0.109400604729</v>
      </c>
      <c r="D455" s="187">
        <v>0.50053274771800005</v>
      </c>
    </row>
    <row r="456" spans="1:4" ht="27.75" customHeight="1" x14ac:dyDescent="0.2">
      <c r="A456" s="185" t="s">
        <v>1151</v>
      </c>
      <c r="B456" s="186" t="s">
        <v>1103</v>
      </c>
      <c r="C456" s="187">
        <v>0.39478640528600001</v>
      </c>
      <c r="D456" s="187">
        <v>0.76148186902500004</v>
      </c>
    </row>
    <row r="457" spans="1:4" ht="27.75" customHeight="1" x14ac:dyDescent="0.2">
      <c r="A457" s="185" t="s">
        <v>1152</v>
      </c>
      <c r="B457" s="186" t="s">
        <v>1103</v>
      </c>
      <c r="C457" s="187">
        <v>0.377093326688</v>
      </c>
      <c r="D457" s="187">
        <v>5.7413049257799997E-2</v>
      </c>
    </row>
    <row r="458" spans="1:4" ht="27.75" customHeight="1" x14ac:dyDescent="0.2">
      <c r="A458" s="185" t="s">
        <v>1153</v>
      </c>
      <c r="B458" s="186" t="s">
        <v>1103</v>
      </c>
      <c r="C458" s="187">
        <v>9.5917070907300006E-2</v>
      </c>
      <c r="D458" s="187">
        <v>0.71848895376999999</v>
      </c>
    </row>
    <row r="459" spans="1:4" ht="27.75" customHeight="1" x14ac:dyDescent="0.2">
      <c r="A459" s="185" t="s">
        <v>1154</v>
      </c>
      <c r="B459" s="186" t="s">
        <v>1103</v>
      </c>
      <c r="C459" s="187">
        <v>3.5624772738699999</v>
      </c>
      <c r="D459" s="187">
        <v>0.21907042894000001</v>
      </c>
    </row>
    <row r="460" spans="1:4" ht="27.75" customHeight="1" x14ac:dyDescent="0.2">
      <c r="A460" s="185" t="s">
        <v>1155</v>
      </c>
      <c r="B460" s="186" t="s">
        <v>1103</v>
      </c>
      <c r="C460" s="187">
        <v>-0.96497210816699996</v>
      </c>
      <c r="D460" s="187">
        <v>1.5471654976200001E-2</v>
      </c>
    </row>
    <row r="461" spans="1:4" ht="27.75" customHeight="1" x14ac:dyDescent="0.2">
      <c r="A461" s="185" t="s">
        <v>1156</v>
      </c>
      <c r="B461" s="186" t="s">
        <v>1103</v>
      </c>
      <c r="C461" s="187">
        <v>8.0932241845799988E-2</v>
      </c>
      <c r="D461" s="187">
        <v>1.2890824222000001</v>
      </c>
    </row>
    <row r="462" spans="1:4" ht="27.75" customHeight="1" x14ac:dyDescent="0.2">
      <c r="A462" s="185" t="s">
        <v>1157</v>
      </c>
      <c r="B462" s="186" t="s">
        <v>1103</v>
      </c>
      <c r="C462" s="187">
        <v>4.4066039116699998E-2</v>
      </c>
      <c r="D462" s="187">
        <v>0.28776427757299999</v>
      </c>
    </row>
    <row r="463" spans="1:4" ht="27.75" customHeight="1" x14ac:dyDescent="0.2">
      <c r="A463" s="185" t="s">
        <v>1158</v>
      </c>
      <c r="B463" s="186" t="s">
        <v>1103</v>
      </c>
      <c r="C463" s="187">
        <v>1.8957017538399998E-2</v>
      </c>
      <c r="D463" s="187">
        <v>0.168207231436</v>
      </c>
    </row>
    <row r="464" spans="1:4" ht="27.75" customHeight="1" x14ac:dyDescent="0.2">
      <c r="A464" s="185" t="s">
        <v>1159</v>
      </c>
      <c r="B464" s="186" t="s">
        <v>1103</v>
      </c>
      <c r="C464" s="187">
        <v>1.97563282638</v>
      </c>
      <c r="D464" s="187">
        <v>0.30951941004200001</v>
      </c>
    </row>
    <row r="465" spans="1:4" ht="27.75" customHeight="1" x14ac:dyDescent="0.2">
      <c r="A465" s="185" t="s">
        <v>1160</v>
      </c>
      <c r="B465" s="186" t="s">
        <v>1103</v>
      </c>
      <c r="C465" s="187">
        <v>1.3466604922600001</v>
      </c>
      <c r="D465" s="187">
        <v>0.30718072919200001</v>
      </c>
    </row>
    <row r="466" spans="1:4" ht="27.75" customHeight="1" x14ac:dyDescent="0.2">
      <c r="A466" s="185" t="s">
        <v>1161</v>
      </c>
      <c r="B466" s="186" t="s">
        <v>1103</v>
      </c>
      <c r="C466" s="187">
        <v>1.4180064972800001E-2</v>
      </c>
      <c r="D466" s="187">
        <v>1.2091993391</v>
      </c>
    </row>
    <row r="467" spans="1:4" ht="27.75" customHeight="1" x14ac:dyDescent="0.2">
      <c r="A467" s="185" t="s">
        <v>1162</v>
      </c>
      <c r="B467" s="186" t="s">
        <v>1103</v>
      </c>
      <c r="C467" s="187">
        <v>3.2602119969999999</v>
      </c>
      <c r="D467" s="187">
        <v>0.74191372100999997</v>
      </c>
    </row>
    <row r="468" spans="1:4" ht="27.75" customHeight="1" x14ac:dyDescent="0.2">
      <c r="A468" s="185" t="s">
        <v>1163</v>
      </c>
      <c r="B468" s="186" t="s">
        <v>1103</v>
      </c>
      <c r="C468" s="187">
        <v>0.330119662428</v>
      </c>
      <c r="D468" s="187">
        <v>0.32659078624400001</v>
      </c>
    </row>
    <row r="469" spans="1:4" ht="27.75" customHeight="1" x14ac:dyDescent="0.2">
      <c r="A469" s="185" t="s">
        <v>1164</v>
      </c>
      <c r="B469" s="186" t="s">
        <v>1103</v>
      </c>
      <c r="C469" s="187">
        <v>6.1438745630600006E-2</v>
      </c>
      <c r="D469" s="187">
        <v>0.40342656630399998</v>
      </c>
    </row>
    <row r="470" spans="1:4" ht="27.75" customHeight="1" x14ac:dyDescent="0.2">
      <c r="A470" s="185" t="s">
        <v>1165</v>
      </c>
      <c r="B470" s="186" t="s">
        <v>1103</v>
      </c>
      <c r="C470" s="187">
        <v>0.222850472089</v>
      </c>
      <c r="D470" s="187">
        <v>0.298541273735</v>
      </c>
    </row>
    <row r="471" spans="1:4" ht="27.75" customHeight="1" x14ac:dyDescent="0.2">
      <c r="A471" s="185" t="s">
        <v>1166</v>
      </c>
      <c r="B471" s="186" t="s">
        <v>1103</v>
      </c>
      <c r="C471" s="187">
        <v>0.155034099102</v>
      </c>
      <c r="D471" s="187">
        <v>0.25926842527600003</v>
      </c>
    </row>
    <row r="472" spans="1:4" ht="27.75" customHeight="1" x14ac:dyDescent="0.2">
      <c r="A472" s="185" t="s">
        <v>1167</v>
      </c>
      <c r="B472" s="186" t="s">
        <v>1103</v>
      </c>
      <c r="C472" s="187">
        <v>2.8322284744499999E-2</v>
      </c>
      <c r="D472" s="187">
        <v>6.3269043299299998E-2</v>
      </c>
    </row>
    <row r="473" spans="1:4" ht="27.75" customHeight="1" x14ac:dyDescent="0.2">
      <c r="A473" s="185" t="s">
        <v>1168</v>
      </c>
      <c r="B473" s="186" t="s">
        <v>1103</v>
      </c>
      <c r="C473" s="187">
        <v>0.14960631667900001</v>
      </c>
      <c r="D473" s="187">
        <v>0.48714848352000001</v>
      </c>
    </row>
    <row r="474" spans="1:4" ht="27.75" customHeight="1" x14ac:dyDescent="0.2">
      <c r="A474" s="185" t="s">
        <v>1169</v>
      </c>
      <c r="B474" s="186" t="s">
        <v>1103</v>
      </c>
      <c r="C474" s="187">
        <v>0.58122273159099991</v>
      </c>
      <c r="D474" s="187">
        <v>0.59626430306099998</v>
      </c>
    </row>
    <row r="475" spans="1:4" ht="27.75" customHeight="1" x14ac:dyDescent="0.2">
      <c r="A475" s="185" t="s">
        <v>1170</v>
      </c>
      <c r="B475" s="186" t="s">
        <v>1103</v>
      </c>
      <c r="C475" s="187">
        <v>0.64773222848500001</v>
      </c>
      <c r="D475" s="187">
        <v>0.41815910875600004</v>
      </c>
    </row>
    <row r="476" spans="1:4" ht="27.75" customHeight="1" x14ac:dyDescent="0.2">
      <c r="A476" s="185" t="s">
        <v>1171</v>
      </c>
      <c r="B476" s="186" t="s">
        <v>1103</v>
      </c>
      <c r="C476" s="187">
        <v>3.2060506521200001</v>
      </c>
      <c r="D476" s="187">
        <v>0.34956373160800003</v>
      </c>
    </row>
    <row r="477" spans="1:4" ht="27.75" customHeight="1" x14ac:dyDescent="0.2">
      <c r="A477" s="185" t="s">
        <v>1172</v>
      </c>
      <c r="B477" s="186" t="s">
        <v>1103</v>
      </c>
      <c r="C477" s="187">
        <v>5.7483036818100006E-3</v>
      </c>
      <c r="D477" s="187">
        <v>0.30411273139399997</v>
      </c>
    </row>
    <row r="478" spans="1:4" ht="27.75" customHeight="1" x14ac:dyDescent="0.2">
      <c r="A478" s="185" t="s">
        <v>1173</v>
      </c>
      <c r="B478" s="186" t="s">
        <v>1103</v>
      </c>
      <c r="C478" s="187">
        <v>4.2679514829200002E-2</v>
      </c>
      <c r="D478" s="187">
        <v>0.12454037186099999</v>
      </c>
    </row>
    <row r="479" spans="1:4" ht="27.75" customHeight="1" x14ac:dyDescent="0.2">
      <c r="A479" s="185" t="s">
        <v>1174</v>
      </c>
      <c r="B479" s="186" t="s">
        <v>1103</v>
      </c>
      <c r="C479" s="187">
        <v>3.2779441186799999E-3</v>
      </c>
      <c r="D479" s="187">
        <v>8.3240490274199996E-2</v>
      </c>
    </row>
    <row r="480" spans="1:4" ht="27.75" customHeight="1" x14ac:dyDescent="0.2">
      <c r="A480" s="185" t="s">
        <v>1175</v>
      </c>
      <c r="B480" s="186" t="s">
        <v>1103</v>
      </c>
      <c r="C480" s="187">
        <v>8.8516142166399997E-2</v>
      </c>
      <c r="D480" s="187">
        <v>0.60485119547199995</v>
      </c>
    </row>
    <row r="481" spans="1:4" ht="27.75" customHeight="1" x14ac:dyDescent="0.2">
      <c r="A481" s="185" t="s">
        <v>1176</v>
      </c>
      <c r="B481" s="186" t="s">
        <v>1103</v>
      </c>
      <c r="C481" s="187">
        <v>1.31566799629</v>
      </c>
      <c r="D481" s="187">
        <v>2.4691782546400001</v>
      </c>
    </row>
    <row r="482" spans="1:4" ht="27.75" customHeight="1" x14ac:dyDescent="0.2">
      <c r="A482" s="185" t="s">
        <v>1177</v>
      </c>
      <c r="B482" s="186" t="s">
        <v>1103</v>
      </c>
      <c r="C482" s="187">
        <v>0.94364705414200001</v>
      </c>
      <c r="D482" s="187">
        <v>1.2485112094499999</v>
      </c>
    </row>
    <row r="483" spans="1:4" ht="27.75" customHeight="1" x14ac:dyDescent="0.2">
      <c r="A483" s="185" t="s">
        <v>1178</v>
      </c>
      <c r="B483" s="186" t="s">
        <v>1103</v>
      </c>
      <c r="C483" s="187">
        <v>0.126893207048</v>
      </c>
      <c r="D483" s="187">
        <v>0.168570073638</v>
      </c>
    </row>
    <row r="484" spans="1:4" ht="27.75" customHeight="1" x14ac:dyDescent="0.2">
      <c r="A484" s="185" t="s">
        <v>1179</v>
      </c>
      <c r="B484" s="186" t="s">
        <v>1103</v>
      </c>
      <c r="C484" s="187">
        <v>0.21774460559700001</v>
      </c>
      <c r="D484" s="187">
        <v>0.53443081783199997</v>
      </c>
    </row>
    <row r="485" spans="1:4" ht="27.75" customHeight="1" x14ac:dyDescent="0.2">
      <c r="A485" s="185" t="s">
        <v>1180</v>
      </c>
      <c r="B485" s="186" t="s">
        <v>1103</v>
      </c>
      <c r="C485" s="187">
        <v>2.2782381562099999E-2</v>
      </c>
      <c r="D485" s="187">
        <v>0.179357836607</v>
      </c>
    </row>
    <row r="486" spans="1:4" ht="27.75" customHeight="1" x14ac:dyDescent="0.2">
      <c r="A486" s="185" t="s">
        <v>1181</v>
      </c>
      <c r="B486" s="186" t="s">
        <v>1103</v>
      </c>
      <c r="C486" s="187">
        <v>3.7093791638099997E-2</v>
      </c>
      <c r="D486" s="187">
        <v>0.309968491698</v>
      </c>
    </row>
    <row r="487" spans="1:4" ht="27.75" customHeight="1" x14ac:dyDescent="0.2">
      <c r="A487" s="185" t="s">
        <v>1182</v>
      </c>
      <c r="B487" s="186" t="s">
        <v>1103</v>
      </c>
      <c r="C487" s="187">
        <v>0.15779825341599998</v>
      </c>
      <c r="D487" s="187">
        <v>0.56402993508700006</v>
      </c>
    </row>
    <row r="488" spans="1:4" ht="27.75" customHeight="1" x14ac:dyDescent="0.2">
      <c r="A488" s="185" t="s">
        <v>1183</v>
      </c>
      <c r="B488" s="186" t="s">
        <v>1103</v>
      </c>
      <c r="C488" s="187">
        <v>8.2102476129399998E-2</v>
      </c>
      <c r="D488" s="187">
        <v>0.27525683269199996</v>
      </c>
    </row>
    <row r="489" spans="1:4" ht="27.75" customHeight="1" x14ac:dyDescent="0.2">
      <c r="A489" s="185" t="s">
        <v>1184</v>
      </c>
      <c r="B489" s="186" t="s">
        <v>1185</v>
      </c>
      <c r="C489" s="187">
        <v>0</v>
      </c>
      <c r="D489" s="187">
        <v>0</v>
      </c>
    </row>
    <row r="490" spans="1:4" ht="27.75" customHeight="1" x14ac:dyDescent="0.2">
      <c r="A490" s="185" t="s">
        <v>1186</v>
      </c>
      <c r="B490" s="186" t="s">
        <v>1185</v>
      </c>
      <c r="C490" s="187">
        <v>2.74120936144E-3</v>
      </c>
      <c r="D490" s="187">
        <v>8.0937091180600003E-3</v>
      </c>
    </row>
    <row r="491" spans="1:4" ht="27.75" customHeight="1" x14ac:dyDescent="0.2">
      <c r="A491" s="185" t="s">
        <v>1187</v>
      </c>
      <c r="B491" s="186" t="s">
        <v>1185</v>
      </c>
      <c r="C491" s="187">
        <v>1.6153900108399999E-3</v>
      </c>
      <c r="D491" s="187">
        <v>1.44296404167E-2</v>
      </c>
    </row>
    <row r="492" spans="1:4" ht="27.75" customHeight="1" x14ac:dyDescent="0.2">
      <c r="A492" s="185" t="s">
        <v>1188</v>
      </c>
      <c r="B492" s="186" t="s">
        <v>1185</v>
      </c>
      <c r="C492" s="187">
        <v>2.4108293431600002E-2</v>
      </c>
      <c r="D492" s="187">
        <v>7.1702151229700003E-3</v>
      </c>
    </row>
    <row r="493" spans="1:4" ht="27.75" customHeight="1" x14ac:dyDescent="0.2">
      <c r="A493" s="185" t="s">
        <v>1189</v>
      </c>
      <c r="B493" s="186" t="s">
        <v>1185</v>
      </c>
      <c r="C493" s="187">
        <v>5.48992822906E-3</v>
      </c>
      <c r="D493" s="187">
        <v>2.0431552270899999E-2</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4"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firstHeader>&amp;LUn-scaled [nodal /network group] costs</first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H1204"/>
  <sheetViews>
    <sheetView zoomScale="90" zoomScaleNormal="90" zoomScaleSheetLayoutView="100" workbookViewId="0"/>
  </sheetViews>
  <sheetFormatPr defaultColWidth="11.5703125" defaultRowHeight="12.75" x14ac:dyDescent="0.2"/>
  <cols>
    <col min="1" max="1" width="13.85546875" style="4" customWidth="1"/>
    <col min="2" max="2" width="37.42578125" style="4" bestFit="1" customWidth="1"/>
    <col min="3" max="3" width="19" style="5" customWidth="1"/>
    <col min="4" max="4" width="5.28515625" style="4" bestFit="1" customWidth="1"/>
    <col min="5" max="5" width="4.7109375" style="4" customWidth="1"/>
    <col min="6" max="6" width="29.140625" style="4" bestFit="1" customWidth="1"/>
    <col min="7" max="7" width="11.5703125" style="4"/>
    <col min="8" max="8" width="64.5703125" style="4" bestFit="1" customWidth="1"/>
    <col min="9" max="16384" width="11.5703125" style="4"/>
  </cols>
  <sheetData>
    <row r="1" spans="1:8" ht="26.25" customHeight="1" x14ac:dyDescent="0.35">
      <c r="A1" s="41" t="s">
        <v>18</v>
      </c>
      <c r="H1" s="43"/>
    </row>
    <row r="2" spans="1:8" ht="12.75" customHeight="1" x14ac:dyDescent="0.2">
      <c r="A2" s="41"/>
    </row>
    <row r="3" spans="1:8" ht="12.75" customHeight="1" x14ac:dyDescent="0.2">
      <c r="A3" s="41"/>
    </row>
    <row r="4" spans="1:8" ht="12.75" customHeight="1" x14ac:dyDescent="0.2">
      <c r="A4" s="41"/>
    </row>
    <row r="5" spans="1:8" ht="12.75" customHeight="1" x14ac:dyDescent="0.2">
      <c r="A5" s="41"/>
    </row>
    <row r="6" spans="1:8" ht="12.75" customHeight="1" x14ac:dyDescent="0.2">
      <c r="A6" s="41"/>
    </row>
    <row r="7" spans="1:8" ht="12.75" customHeight="1" x14ac:dyDescent="0.2">
      <c r="A7" s="41"/>
    </row>
    <row r="8" spans="1:8" ht="12.75" customHeight="1" x14ac:dyDescent="0.2">
      <c r="A8" s="41"/>
    </row>
    <row r="9" spans="1:8" ht="12.75" customHeight="1" x14ac:dyDescent="0.2">
      <c r="A9" s="41"/>
    </row>
    <row r="10" spans="1:8" ht="12.75" customHeight="1" x14ac:dyDescent="0.2">
      <c r="A10" s="41"/>
    </row>
    <row r="11" spans="1:8" ht="12.75" customHeight="1" x14ac:dyDescent="0.2">
      <c r="A11" s="41"/>
    </row>
    <row r="12" spans="1:8" ht="12.75" customHeight="1" x14ac:dyDescent="0.2">
      <c r="A12" s="41"/>
    </row>
    <row r="13" spans="1:8" ht="12.75" customHeight="1" x14ac:dyDescent="0.2">
      <c r="A13" s="41"/>
    </row>
    <row r="14" spans="1:8" ht="12.75" customHeight="1" x14ac:dyDescent="0.2">
      <c r="A14" s="41"/>
    </row>
    <row r="15" spans="1:8" ht="12.75" customHeight="1" x14ac:dyDescent="0.2">
      <c r="A15" s="41"/>
    </row>
    <row r="16" spans="1:8" ht="12.75" customHeight="1" x14ac:dyDescent="0.2">
      <c r="A16" s="41"/>
    </row>
    <row r="17" spans="1:8" ht="12.75" customHeight="1" x14ac:dyDescent="0.2">
      <c r="A17" s="41"/>
    </row>
    <row r="18" spans="1:8" ht="12.75" customHeight="1" x14ac:dyDescent="0.2">
      <c r="A18" s="41"/>
    </row>
    <row r="19" spans="1:8" ht="12.75" customHeight="1" x14ac:dyDescent="0.2">
      <c r="A19" s="41"/>
    </row>
    <row r="20" spans="1:8" ht="12.75" customHeight="1" x14ac:dyDescent="0.2">
      <c r="A20" s="41"/>
    </row>
    <row r="21" spans="1:8" ht="12.75" customHeight="1" x14ac:dyDescent="0.2">
      <c r="A21" s="41"/>
    </row>
    <row r="22" spans="1:8" ht="12.75" customHeight="1" x14ac:dyDescent="0.2">
      <c r="A22" s="41"/>
    </row>
    <row r="23" spans="1:8" ht="12.75" customHeight="1" x14ac:dyDescent="0.2">
      <c r="A23" s="41"/>
    </row>
    <row r="24" spans="1:8" ht="12.75" customHeight="1" x14ac:dyDescent="0.2">
      <c r="A24" s="41"/>
    </row>
    <row r="25" spans="1:8" ht="12.75" customHeight="1" x14ac:dyDescent="0.2">
      <c r="A25" s="41"/>
    </row>
    <row r="26" spans="1:8" ht="12.75" customHeight="1" x14ac:dyDescent="0.2">
      <c r="A26" s="41"/>
    </row>
    <row r="27" spans="1:8" ht="12.75" customHeight="1" x14ac:dyDescent="0.2">
      <c r="A27" s="41"/>
    </row>
    <row r="28" spans="1:8" s="3" customFormat="1" ht="51" x14ac:dyDescent="0.2">
      <c r="A28" s="7" t="s">
        <v>32</v>
      </c>
      <c r="B28" s="7" t="s">
        <v>33</v>
      </c>
      <c r="C28" s="7" t="s">
        <v>34</v>
      </c>
      <c r="D28" s="6"/>
      <c r="E28" s="6"/>
      <c r="F28" s="7" t="s">
        <v>252</v>
      </c>
      <c r="G28" s="7" t="s">
        <v>253</v>
      </c>
      <c r="H28" s="7" t="s">
        <v>254</v>
      </c>
    </row>
    <row r="29" spans="1:8" x14ac:dyDescent="0.2">
      <c r="A29" s="44">
        <v>3</v>
      </c>
      <c r="B29" s="19" t="s">
        <v>35</v>
      </c>
      <c r="C29" s="45" t="s">
        <v>386</v>
      </c>
      <c r="F29" s="4" t="s">
        <v>387</v>
      </c>
      <c r="G29" s="16">
        <v>43626</v>
      </c>
      <c r="H29" s="4" t="s">
        <v>388</v>
      </c>
    </row>
    <row r="30" spans="1:8" x14ac:dyDescent="0.2">
      <c r="A30" s="44">
        <v>4</v>
      </c>
      <c r="B30" s="19" t="s">
        <v>35</v>
      </c>
      <c r="C30" s="45" t="s">
        <v>386</v>
      </c>
      <c r="F30" s="4" t="s">
        <v>389</v>
      </c>
      <c r="G30" s="16">
        <v>43626</v>
      </c>
      <c r="H30" s="4" t="s">
        <v>388</v>
      </c>
    </row>
    <row r="31" spans="1:8" x14ac:dyDescent="0.2">
      <c r="A31" s="44">
        <v>5</v>
      </c>
      <c r="B31" s="19" t="s">
        <v>36</v>
      </c>
      <c r="C31" s="45" t="s">
        <v>386</v>
      </c>
      <c r="F31" s="4" t="s">
        <v>390</v>
      </c>
      <c r="G31" s="16">
        <v>43626</v>
      </c>
      <c r="H31" s="4" t="s">
        <v>388</v>
      </c>
    </row>
    <row r="32" spans="1:8" x14ac:dyDescent="0.2">
      <c r="A32" s="44">
        <v>6</v>
      </c>
      <c r="B32" s="19" t="s">
        <v>37</v>
      </c>
      <c r="C32" s="45" t="s">
        <v>386</v>
      </c>
      <c r="F32" s="4" t="s">
        <v>391</v>
      </c>
      <c r="G32" s="16">
        <v>43626</v>
      </c>
      <c r="H32" s="4" t="s">
        <v>392</v>
      </c>
    </row>
    <row r="33" spans="1:8" x14ac:dyDescent="0.2">
      <c r="A33" s="44">
        <v>7</v>
      </c>
      <c r="B33" s="19" t="s">
        <v>37</v>
      </c>
      <c r="C33" s="45" t="s">
        <v>386</v>
      </c>
      <c r="G33" s="16"/>
      <c r="H33" s="17"/>
    </row>
    <row r="34" spans="1:8" x14ac:dyDescent="0.2">
      <c r="A34" s="44">
        <v>8</v>
      </c>
      <c r="B34" s="19" t="s">
        <v>37</v>
      </c>
      <c r="C34" s="45" t="s">
        <v>386</v>
      </c>
      <c r="F34" s="17"/>
      <c r="G34" s="16"/>
    </row>
    <row r="35" spans="1:8" x14ac:dyDescent="0.2">
      <c r="A35" s="44">
        <v>9</v>
      </c>
      <c r="B35" s="19" t="s">
        <v>37</v>
      </c>
      <c r="C35" s="45" t="s">
        <v>386</v>
      </c>
      <c r="G35" s="16"/>
      <c r="H35" s="17"/>
    </row>
    <row r="36" spans="1:8" x14ac:dyDescent="0.2">
      <c r="A36" s="44">
        <v>10</v>
      </c>
      <c r="B36" s="19" t="s">
        <v>37</v>
      </c>
      <c r="C36" s="45" t="s">
        <v>386</v>
      </c>
      <c r="G36" s="16"/>
      <c r="H36" s="17"/>
    </row>
    <row r="37" spans="1:8" x14ac:dyDescent="0.2">
      <c r="A37" s="44">
        <v>11</v>
      </c>
      <c r="B37" s="19" t="s">
        <v>37</v>
      </c>
      <c r="C37" s="45" t="s">
        <v>386</v>
      </c>
      <c r="G37" s="16"/>
    </row>
    <row r="38" spans="1:8" x14ac:dyDescent="0.2">
      <c r="A38" s="44">
        <v>12</v>
      </c>
      <c r="B38" s="19" t="s">
        <v>37</v>
      </c>
      <c r="C38" s="45" t="s">
        <v>386</v>
      </c>
      <c r="G38" s="16"/>
    </row>
    <row r="39" spans="1:8" x14ac:dyDescent="0.2">
      <c r="A39" s="44">
        <v>13</v>
      </c>
      <c r="B39" s="19" t="s">
        <v>38</v>
      </c>
      <c r="C39" s="45" t="s">
        <v>386</v>
      </c>
      <c r="G39" s="16"/>
    </row>
    <row r="40" spans="1:8" x14ac:dyDescent="0.2">
      <c r="A40" s="44">
        <v>15</v>
      </c>
      <c r="B40" s="19" t="s">
        <v>38</v>
      </c>
      <c r="C40" s="45" t="s">
        <v>386</v>
      </c>
      <c r="G40" s="16"/>
    </row>
    <row r="41" spans="1:8" x14ac:dyDescent="0.2">
      <c r="A41" s="44">
        <v>16</v>
      </c>
      <c r="B41" s="19" t="s">
        <v>39</v>
      </c>
      <c r="C41" s="45" t="s">
        <v>386</v>
      </c>
      <c r="G41" s="16"/>
    </row>
    <row r="42" spans="1:8" x14ac:dyDescent="0.2">
      <c r="A42" s="44">
        <v>17</v>
      </c>
      <c r="B42" s="19" t="s">
        <v>39</v>
      </c>
      <c r="C42" s="45" t="s">
        <v>386</v>
      </c>
      <c r="G42" s="16"/>
    </row>
    <row r="43" spans="1:8" x14ac:dyDescent="0.2">
      <c r="A43" s="44">
        <v>18</v>
      </c>
      <c r="B43" s="19" t="s">
        <v>39</v>
      </c>
      <c r="C43" s="45" t="s">
        <v>386</v>
      </c>
      <c r="G43" s="16"/>
    </row>
    <row r="44" spans="1:8" x14ac:dyDescent="0.2">
      <c r="A44" s="44">
        <v>19</v>
      </c>
      <c r="B44" s="19" t="s">
        <v>39</v>
      </c>
      <c r="C44" s="45" t="s">
        <v>386</v>
      </c>
      <c r="G44" s="16"/>
    </row>
    <row r="45" spans="1:8" x14ac:dyDescent="0.2">
      <c r="A45" s="44">
        <v>20</v>
      </c>
      <c r="B45" s="19" t="s">
        <v>39</v>
      </c>
      <c r="C45" s="45" t="s">
        <v>386</v>
      </c>
      <c r="G45" s="16"/>
    </row>
    <row r="46" spans="1:8" x14ac:dyDescent="0.2">
      <c r="A46" s="44">
        <v>21</v>
      </c>
      <c r="B46" s="19" t="s">
        <v>39</v>
      </c>
      <c r="C46" s="45" t="s">
        <v>386</v>
      </c>
      <c r="G46" s="16"/>
    </row>
    <row r="47" spans="1:8" x14ac:dyDescent="0.2">
      <c r="A47" s="44">
        <v>22</v>
      </c>
      <c r="B47" s="19" t="s">
        <v>39</v>
      </c>
      <c r="C47" s="45" t="s">
        <v>386</v>
      </c>
      <c r="G47" s="16"/>
    </row>
    <row r="48" spans="1:8" x14ac:dyDescent="0.2">
      <c r="A48" s="44">
        <v>23</v>
      </c>
      <c r="B48" s="19" t="s">
        <v>40</v>
      </c>
      <c r="C48" s="45" t="s">
        <v>386</v>
      </c>
      <c r="G48" s="16"/>
    </row>
    <row r="49" spans="1:7" x14ac:dyDescent="0.2">
      <c r="A49" s="44">
        <v>24</v>
      </c>
      <c r="B49" s="19" t="s">
        <v>40</v>
      </c>
      <c r="C49" s="45" t="s">
        <v>386</v>
      </c>
      <c r="G49" s="16"/>
    </row>
    <row r="50" spans="1:7" x14ac:dyDescent="0.2">
      <c r="A50" s="44">
        <v>25</v>
      </c>
      <c r="B50" s="19" t="s">
        <v>40</v>
      </c>
      <c r="C50" s="45" t="s">
        <v>386</v>
      </c>
      <c r="G50" s="16"/>
    </row>
    <row r="51" spans="1:7" x14ac:dyDescent="0.2">
      <c r="A51" s="44">
        <v>26</v>
      </c>
      <c r="B51" s="19" t="s">
        <v>40</v>
      </c>
      <c r="C51" s="45" t="s">
        <v>386</v>
      </c>
      <c r="G51" s="16"/>
    </row>
    <row r="52" spans="1:7" x14ac:dyDescent="0.2">
      <c r="A52" s="44">
        <v>28</v>
      </c>
      <c r="B52" s="19" t="s">
        <v>40</v>
      </c>
      <c r="C52" s="45" t="s">
        <v>386</v>
      </c>
      <c r="G52" s="16"/>
    </row>
    <row r="53" spans="1:7" x14ac:dyDescent="0.2">
      <c r="A53" s="44">
        <v>29</v>
      </c>
      <c r="B53" s="19" t="s">
        <v>40</v>
      </c>
      <c r="C53" s="45" t="s">
        <v>386</v>
      </c>
      <c r="G53" s="16"/>
    </row>
    <row r="54" spans="1:7" x14ac:dyDescent="0.2">
      <c r="A54" s="44">
        <v>30</v>
      </c>
      <c r="B54" s="19" t="s">
        <v>40</v>
      </c>
      <c r="C54" s="45" t="s">
        <v>386</v>
      </c>
      <c r="G54" s="16"/>
    </row>
    <row r="55" spans="1:7" x14ac:dyDescent="0.2">
      <c r="A55" s="44">
        <v>31</v>
      </c>
      <c r="B55" s="19" t="s">
        <v>40</v>
      </c>
      <c r="C55" s="45" t="s">
        <v>386</v>
      </c>
      <c r="G55" s="16"/>
    </row>
    <row r="56" spans="1:7" x14ac:dyDescent="0.2">
      <c r="A56" s="44">
        <v>32</v>
      </c>
      <c r="B56" s="19" t="s">
        <v>40</v>
      </c>
      <c r="C56" s="45" t="s">
        <v>386</v>
      </c>
      <c r="G56" s="16"/>
    </row>
    <row r="57" spans="1:7" x14ac:dyDescent="0.2">
      <c r="A57" s="44">
        <v>33</v>
      </c>
      <c r="B57" s="19" t="s">
        <v>40</v>
      </c>
      <c r="C57" s="45" t="s">
        <v>386</v>
      </c>
      <c r="G57" s="16"/>
    </row>
    <row r="58" spans="1:7" x14ac:dyDescent="0.2">
      <c r="A58" s="44">
        <v>34</v>
      </c>
      <c r="B58" s="19" t="s">
        <v>40</v>
      </c>
      <c r="C58" s="45" t="s">
        <v>386</v>
      </c>
      <c r="G58" s="16"/>
    </row>
    <row r="59" spans="1:7" x14ac:dyDescent="0.2">
      <c r="A59" s="44">
        <v>35</v>
      </c>
      <c r="B59" s="19" t="s">
        <v>40</v>
      </c>
      <c r="C59" s="45" t="s">
        <v>386</v>
      </c>
      <c r="G59" s="16"/>
    </row>
    <row r="60" spans="1:7" x14ac:dyDescent="0.2">
      <c r="A60" s="44">
        <v>36</v>
      </c>
      <c r="B60" s="19" t="s">
        <v>40</v>
      </c>
      <c r="C60" s="45" t="s">
        <v>386</v>
      </c>
      <c r="G60" s="16"/>
    </row>
    <row r="61" spans="1:7" x14ac:dyDescent="0.2">
      <c r="A61" s="44">
        <v>37</v>
      </c>
      <c r="B61" s="19" t="s">
        <v>40</v>
      </c>
      <c r="C61" s="45" t="s">
        <v>386</v>
      </c>
      <c r="G61" s="16"/>
    </row>
    <row r="62" spans="1:7" x14ac:dyDescent="0.2">
      <c r="A62" s="44">
        <v>38</v>
      </c>
      <c r="B62" s="19" t="s">
        <v>40</v>
      </c>
      <c r="C62" s="45" t="s">
        <v>386</v>
      </c>
      <c r="G62" s="16"/>
    </row>
    <row r="63" spans="1:7" x14ac:dyDescent="0.2">
      <c r="A63" s="44">
        <v>39</v>
      </c>
      <c r="B63" s="19" t="s">
        <v>40</v>
      </c>
      <c r="C63" s="45" t="s">
        <v>386</v>
      </c>
      <c r="G63" s="16"/>
    </row>
    <row r="64" spans="1:7" x14ac:dyDescent="0.2">
      <c r="A64" s="44">
        <v>40</v>
      </c>
      <c r="B64" s="19" t="s">
        <v>39</v>
      </c>
      <c r="C64" s="45" t="s">
        <v>386</v>
      </c>
      <c r="G64" s="16"/>
    </row>
    <row r="65" spans="1:7" x14ac:dyDescent="0.2">
      <c r="A65" s="44">
        <v>41</v>
      </c>
      <c r="B65" s="19" t="s">
        <v>41</v>
      </c>
      <c r="C65" s="45" t="s">
        <v>386</v>
      </c>
      <c r="G65" s="16"/>
    </row>
    <row r="66" spans="1:7" x14ac:dyDescent="0.2">
      <c r="A66" s="44">
        <v>42</v>
      </c>
      <c r="B66" s="19" t="s">
        <v>42</v>
      </c>
      <c r="C66" s="45" t="s">
        <v>386</v>
      </c>
      <c r="G66" s="16"/>
    </row>
    <row r="67" spans="1:7" x14ac:dyDescent="0.2">
      <c r="A67" s="44">
        <v>43</v>
      </c>
      <c r="B67" s="19" t="s">
        <v>42</v>
      </c>
      <c r="C67" s="45" t="s">
        <v>386</v>
      </c>
      <c r="G67" s="16"/>
    </row>
    <row r="68" spans="1:7" x14ac:dyDescent="0.2">
      <c r="A68" s="44">
        <v>44</v>
      </c>
      <c r="B68" s="19" t="s">
        <v>41</v>
      </c>
      <c r="C68" s="45" t="s">
        <v>386</v>
      </c>
      <c r="G68" s="16"/>
    </row>
    <row r="69" spans="1:7" x14ac:dyDescent="0.2">
      <c r="A69" s="44">
        <v>45</v>
      </c>
      <c r="B69" s="19" t="s">
        <v>43</v>
      </c>
      <c r="C69" s="45" t="s">
        <v>386</v>
      </c>
      <c r="G69" s="16"/>
    </row>
    <row r="70" spans="1:7" x14ac:dyDescent="0.2">
      <c r="A70" s="44">
        <v>46</v>
      </c>
      <c r="B70" s="19" t="s">
        <v>44</v>
      </c>
      <c r="C70" s="45" t="s">
        <v>386</v>
      </c>
      <c r="G70" s="16"/>
    </row>
    <row r="71" spans="1:7" x14ac:dyDescent="0.2">
      <c r="A71" s="44">
        <v>47</v>
      </c>
      <c r="B71" s="19" t="s">
        <v>45</v>
      </c>
      <c r="C71" s="45" t="s">
        <v>386</v>
      </c>
      <c r="G71" s="16"/>
    </row>
    <row r="72" spans="1:7" x14ac:dyDescent="0.2">
      <c r="A72" s="44">
        <v>48</v>
      </c>
      <c r="B72" s="19" t="s">
        <v>46</v>
      </c>
      <c r="C72" s="45" t="s">
        <v>386</v>
      </c>
      <c r="G72" s="16"/>
    </row>
    <row r="73" spans="1:7" x14ac:dyDescent="0.2">
      <c r="A73" s="44">
        <v>49</v>
      </c>
      <c r="B73" s="19" t="s">
        <v>39</v>
      </c>
      <c r="C73" s="45" t="s">
        <v>386</v>
      </c>
      <c r="G73" s="16"/>
    </row>
    <row r="74" spans="1:7" x14ac:dyDescent="0.2">
      <c r="A74" s="44">
        <v>50</v>
      </c>
      <c r="B74" s="19" t="s">
        <v>47</v>
      </c>
      <c r="C74" s="45" t="s">
        <v>386</v>
      </c>
      <c r="G74" s="16"/>
    </row>
    <row r="75" spans="1:7" x14ac:dyDescent="0.2">
      <c r="A75" s="44">
        <v>51</v>
      </c>
      <c r="B75" s="19" t="s">
        <v>48</v>
      </c>
      <c r="C75" s="45" t="s">
        <v>393</v>
      </c>
      <c r="G75" s="16"/>
    </row>
    <row r="76" spans="1:7" x14ac:dyDescent="0.2">
      <c r="A76" s="44">
        <v>52</v>
      </c>
      <c r="B76" s="19" t="s">
        <v>49</v>
      </c>
      <c r="C76" s="45" t="s">
        <v>386</v>
      </c>
      <c r="G76" s="16"/>
    </row>
    <row r="77" spans="1:7" x14ac:dyDescent="0.2">
      <c r="A77" s="44">
        <v>53</v>
      </c>
      <c r="B77" s="19" t="s">
        <v>49</v>
      </c>
      <c r="C77" s="45" t="s">
        <v>386</v>
      </c>
      <c r="G77" s="16"/>
    </row>
    <row r="78" spans="1:7" x14ac:dyDescent="0.2">
      <c r="A78" s="44">
        <v>55</v>
      </c>
      <c r="B78" s="19" t="s">
        <v>49</v>
      </c>
      <c r="C78" s="45" t="s">
        <v>386</v>
      </c>
      <c r="G78" s="16"/>
    </row>
    <row r="79" spans="1:7" x14ac:dyDescent="0.2">
      <c r="A79" s="44">
        <v>56</v>
      </c>
      <c r="B79" s="19" t="s">
        <v>49</v>
      </c>
      <c r="C79" s="45" t="s">
        <v>386</v>
      </c>
      <c r="G79" s="16"/>
    </row>
    <row r="80" spans="1:7" x14ac:dyDescent="0.2">
      <c r="A80" s="44">
        <v>57</v>
      </c>
      <c r="B80" s="19" t="s">
        <v>49</v>
      </c>
      <c r="C80" s="45" t="s">
        <v>386</v>
      </c>
      <c r="G80" s="16"/>
    </row>
    <row r="81" spans="1:7" x14ac:dyDescent="0.2">
      <c r="A81" s="44">
        <v>58</v>
      </c>
      <c r="B81" s="19" t="s">
        <v>86</v>
      </c>
      <c r="C81" s="45" t="s">
        <v>393</v>
      </c>
      <c r="G81" s="16"/>
    </row>
    <row r="82" spans="1:7" x14ac:dyDescent="0.2">
      <c r="A82" s="44">
        <v>59</v>
      </c>
      <c r="B82" s="19" t="s">
        <v>49</v>
      </c>
      <c r="C82" s="45" t="s">
        <v>386</v>
      </c>
      <c r="G82" s="16"/>
    </row>
    <row r="83" spans="1:7" x14ac:dyDescent="0.2">
      <c r="A83" s="44">
        <v>60</v>
      </c>
      <c r="B83" s="19" t="s">
        <v>49</v>
      </c>
      <c r="C83" s="45" t="s">
        <v>386</v>
      </c>
      <c r="G83" s="16"/>
    </row>
    <row r="84" spans="1:7" x14ac:dyDescent="0.2">
      <c r="A84" s="44">
        <v>62</v>
      </c>
      <c r="B84" s="19" t="s">
        <v>50</v>
      </c>
      <c r="C84" s="45" t="s">
        <v>386</v>
      </c>
      <c r="G84" s="16"/>
    </row>
    <row r="85" spans="1:7" x14ac:dyDescent="0.2">
      <c r="A85" s="44">
        <v>63</v>
      </c>
      <c r="B85" s="19" t="s">
        <v>42</v>
      </c>
      <c r="C85" s="45" t="s">
        <v>386</v>
      </c>
      <c r="G85" s="16"/>
    </row>
    <row r="86" spans="1:7" x14ac:dyDescent="0.2">
      <c r="A86" s="44">
        <v>64</v>
      </c>
      <c r="B86" s="19" t="s">
        <v>49</v>
      </c>
      <c r="C86" s="45" t="s">
        <v>386</v>
      </c>
      <c r="G86" s="16"/>
    </row>
    <row r="87" spans="1:7" x14ac:dyDescent="0.2">
      <c r="A87" s="44">
        <v>65</v>
      </c>
      <c r="B87" s="19" t="s">
        <v>51</v>
      </c>
      <c r="C87" s="45" t="s">
        <v>386</v>
      </c>
      <c r="G87" s="16"/>
    </row>
    <row r="88" spans="1:7" x14ac:dyDescent="0.2">
      <c r="A88" s="44">
        <v>66</v>
      </c>
      <c r="B88" s="19" t="s">
        <v>51</v>
      </c>
      <c r="C88" s="45" t="s">
        <v>386</v>
      </c>
      <c r="G88" s="16"/>
    </row>
    <row r="89" spans="1:7" x14ac:dyDescent="0.2">
      <c r="A89" s="44">
        <v>67</v>
      </c>
      <c r="B89" s="19" t="s">
        <v>52</v>
      </c>
      <c r="C89" s="45" t="s">
        <v>386</v>
      </c>
      <c r="G89" s="16"/>
    </row>
    <row r="90" spans="1:7" x14ac:dyDescent="0.2">
      <c r="A90" s="44">
        <v>71</v>
      </c>
      <c r="B90" s="19" t="s">
        <v>52</v>
      </c>
      <c r="C90" s="45" t="s">
        <v>386</v>
      </c>
      <c r="G90" s="16"/>
    </row>
    <row r="91" spans="1:7" x14ac:dyDescent="0.2">
      <c r="A91" s="44">
        <v>72</v>
      </c>
      <c r="B91" s="19" t="s">
        <v>52</v>
      </c>
      <c r="C91" s="45" t="s">
        <v>386</v>
      </c>
      <c r="G91" s="16"/>
    </row>
    <row r="92" spans="1:7" x14ac:dyDescent="0.2">
      <c r="A92" s="44">
        <v>73</v>
      </c>
      <c r="B92" s="19" t="s">
        <v>52</v>
      </c>
      <c r="C92" s="45" t="s">
        <v>386</v>
      </c>
      <c r="G92" s="16"/>
    </row>
    <row r="93" spans="1:7" x14ac:dyDescent="0.2">
      <c r="A93" s="44">
        <v>74</v>
      </c>
      <c r="B93" s="19" t="s">
        <v>53</v>
      </c>
      <c r="C93" s="45" t="s">
        <v>386</v>
      </c>
      <c r="G93" s="16"/>
    </row>
    <row r="94" spans="1:7" x14ac:dyDescent="0.2">
      <c r="A94" s="44">
        <v>75</v>
      </c>
      <c r="B94" s="19" t="s">
        <v>54</v>
      </c>
      <c r="C94" s="45" t="s">
        <v>386</v>
      </c>
      <c r="G94" s="16"/>
    </row>
    <row r="95" spans="1:7" x14ac:dyDescent="0.2">
      <c r="A95" s="44">
        <v>76</v>
      </c>
      <c r="B95" s="19" t="s">
        <v>54</v>
      </c>
      <c r="C95" s="45" t="s">
        <v>386</v>
      </c>
      <c r="G95" s="16"/>
    </row>
    <row r="96" spans="1:7" x14ac:dyDescent="0.2">
      <c r="A96" s="44">
        <v>77</v>
      </c>
      <c r="B96" s="19" t="s">
        <v>54</v>
      </c>
      <c r="C96" s="45" t="s">
        <v>386</v>
      </c>
      <c r="G96" s="16"/>
    </row>
    <row r="97" spans="1:7" x14ac:dyDescent="0.2">
      <c r="A97" s="44">
        <v>78</v>
      </c>
      <c r="B97" s="19" t="s">
        <v>55</v>
      </c>
      <c r="C97" s="45" t="s">
        <v>386</v>
      </c>
      <c r="G97" s="16"/>
    </row>
    <row r="98" spans="1:7" x14ac:dyDescent="0.2">
      <c r="A98" s="44">
        <v>79</v>
      </c>
      <c r="B98" s="19" t="s">
        <v>56</v>
      </c>
      <c r="C98" s="45" t="s">
        <v>393</v>
      </c>
      <c r="G98" s="16"/>
    </row>
    <row r="99" spans="1:7" x14ac:dyDescent="0.2">
      <c r="A99" s="44">
        <v>80</v>
      </c>
      <c r="B99" s="19" t="s">
        <v>57</v>
      </c>
      <c r="C99" s="45" t="s">
        <v>386</v>
      </c>
      <c r="G99" s="16"/>
    </row>
    <row r="100" spans="1:7" x14ac:dyDescent="0.2">
      <c r="A100" s="44">
        <v>81</v>
      </c>
      <c r="B100" s="19" t="s">
        <v>58</v>
      </c>
      <c r="C100" s="45" t="s">
        <v>386</v>
      </c>
      <c r="G100" s="16"/>
    </row>
    <row r="101" spans="1:7" x14ac:dyDescent="0.2">
      <c r="A101" s="44">
        <v>82</v>
      </c>
      <c r="B101" s="19" t="s">
        <v>59</v>
      </c>
      <c r="C101" s="45" t="s">
        <v>386</v>
      </c>
      <c r="G101" s="16"/>
    </row>
    <row r="102" spans="1:7" x14ac:dyDescent="0.2">
      <c r="A102" s="44">
        <v>83</v>
      </c>
      <c r="B102" s="19" t="s">
        <v>59</v>
      </c>
      <c r="C102" s="45" t="s">
        <v>386</v>
      </c>
      <c r="G102" s="16"/>
    </row>
    <row r="103" spans="1:7" x14ac:dyDescent="0.2">
      <c r="A103" s="44">
        <v>84</v>
      </c>
      <c r="B103" s="19" t="s">
        <v>59</v>
      </c>
      <c r="C103" s="45" t="s">
        <v>386</v>
      </c>
      <c r="G103" s="16"/>
    </row>
    <row r="104" spans="1:7" x14ac:dyDescent="0.2">
      <c r="A104" s="44">
        <v>85</v>
      </c>
      <c r="B104" s="19" t="s">
        <v>59</v>
      </c>
      <c r="C104" s="45" t="s">
        <v>386</v>
      </c>
      <c r="G104" s="16"/>
    </row>
    <row r="105" spans="1:7" x14ac:dyDescent="0.2">
      <c r="A105" s="44">
        <v>86</v>
      </c>
      <c r="B105" s="19" t="s">
        <v>59</v>
      </c>
      <c r="C105" s="45" t="s">
        <v>386</v>
      </c>
      <c r="G105" s="16"/>
    </row>
    <row r="106" spans="1:7" x14ac:dyDescent="0.2">
      <c r="A106" s="44">
        <v>87</v>
      </c>
      <c r="B106" s="19" t="s">
        <v>59</v>
      </c>
      <c r="C106" s="45" t="s">
        <v>386</v>
      </c>
      <c r="G106" s="16"/>
    </row>
    <row r="107" spans="1:7" x14ac:dyDescent="0.2">
      <c r="A107" s="44">
        <v>88</v>
      </c>
      <c r="B107" s="19" t="s">
        <v>59</v>
      </c>
      <c r="C107" s="45" t="s">
        <v>386</v>
      </c>
      <c r="G107" s="16"/>
    </row>
    <row r="108" spans="1:7" x14ac:dyDescent="0.2">
      <c r="A108" s="44">
        <v>91</v>
      </c>
      <c r="B108" s="19" t="s">
        <v>60</v>
      </c>
      <c r="C108" s="45" t="s">
        <v>386</v>
      </c>
      <c r="G108" s="16"/>
    </row>
    <row r="109" spans="1:7" x14ac:dyDescent="0.2">
      <c r="A109" s="44">
        <v>92</v>
      </c>
      <c r="B109" s="19" t="s">
        <v>60</v>
      </c>
      <c r="C109" s="45" t="s">
        <v>386</v>
      </c>
      <c r="G109" s="16"/>
    </row>
    <row r="110" spans="1:7" x14ac:dyDescent="0.2">
      <c r="A110" s="44">
        <v>93</v>
      </c>
      <c r="B110" s="19" t="s">
        <v>61</v>
      </c>
      <c r="C110" s="45" t="s">
        <v>393</v>
      </c>
      <c r="G110" s="16"/>
    </row>
    <row r="111" spans="1:7" x14ac:dyDescent="0.2">
      <c r="A111" s="44">
        <v>94</v>
      </c>
      <c r="B111" s="19" t="s">
        <v>60</v>
      </c>
      <c r="C111" s="45" t="s">
        <v>386</v>
      </c>
      <c r="G111" s="16"/>
    </row>
    <row r="112" spans="1:7" x14ac:dyDescent="0.2">
      <c r="A112" s="44">
        <v>95</v>
      </c>
      <c r="B112" s="19" t="s">
        <v>60</v>
      </c>
      <c r="C112" s="45" t="s">
        <v>386</v>
      </c>
      <c r="G112" s="16"/>
    </row>
    <row r="113" spans="1:7" x14ac:dyDescent="0.2">
      <c r="A113" s="44">
        <v>96</v>
      </c>
      <c r="B113" s="19" t="s">
        <v>60</v>
      </c>
      <c r="C113" s="45" t="s">
        <v>386</v>
      </c>
      <c r="G113" s="16"/>
    </row>
    <row r="114" spans="1:7" x14ac:dyDescent="0.2">
      <c r="A114" s="44">
        <v>97</v>
      </c>
      <c r="B114" s="19" t="s">
        <v>62</v>
      </c>
      <c r="C114" s="45" t="s">
        <v>386</v>
      </c>
      <c r="G114" s="16"/>
    </row>
    <row r="115" spans="1:7" x14ac:dyDescent="0.2">
      <c r="A115" s="44">
        <v>98</v>
      </c>
      <c r="B115" s="19" t="s">
        <v>63</v>
      </c>
      <c r="C115" s="45" t="s">
        <v>386</v>
      </c>
      <c r="G115" s="16"/>
    </row>
    <row r="116" spans="1:7" x14ac:dyDescent="0.2">
      <c r="A116" s="44">
        <v>99</v>
      </c>
      <c r="B116" s="19" t="s">
        <v>64</v>
      </c>
      <c r="C116" s="45" t="s">
        <v>386</v>
      </c>
      <c r="G116" s="16"/>
    </row>
    <row r="117" spans="1:7" x14ac:dyDescent="0.2">
      <c r="A117" s="44">
        <v>100</v>
      </c>
      <c r="B117" s="19" t="s">
        <v>64</v>
      </c>
      <c r="C117" s="45" t="s">
        <v>386</v>
      </c>
      <c r="G117" s="16"/>
    </row>
    <row r="118" spans="1:7" x14ac:dyDescent="0.2">
      <c r="A118" s="44">
        <v>101</v>
      </c>
      <c r="B118" s="19" t="s">
        <v>65</v>
      </c>
      <c r="C118" s="45" t="s">
        <v>386</v>
      </c>
      <c r="G118" s="16"/>
    </row>
    <row r="119" spans="1:7" x14ac:dyDescent="0.2">
      <c r="A119" s="44">
        <v>102</v>
      </c>
      <c r="B119" s="19" t="s">
        <v>65</v>
      </c>
      <c r="C119" s="45" t="s">
        <v>386</v>
      </c>
      <c r="G119" s="16"/>
    </row>
    <row r="120" spans="1:7" x14ac:dyDescent="0.2">
      <c r="A120" s="44">
        <v>103</v>
      </c>
      <c r="B120" s="19" t="s">
        <v>65</v>
      </c>
      <c r="C120" s="45" t="s">
        <v>386</v>
      </c>
      <c r="G120" s="16"/>
    </row>
    <row r="121" spans="1:7" x14ac:dyDescent="0.2">
      <c r="A121" s="44">
        <v>104</v>
      </c>
      <c r="B121" s="19" t="s">
        <v>66</v>
      </c>
      <c r="C121" s="45" t="s">
        <v>386</v>
      </c>
      <c r="G121" s="16"/>
    </row>
    <row r="122" spans="1:7" x14ac:dyDescent="0.2">
      <c r="A122" s="44">
        <v>105</v>
      </c>
      <c r="B122" s="19" t="s">
        <v>66</v>
      </c>
      <c r="C122" s="45" t="s">
        <v>386</v>
      </c>
      <c r="G122" s="16"/>
    </row>
    <row r="123" spans="1:7" x14ac:dyDescent="0.2">
      <c r="A123" s="44">
        <v>106</v>
      </c>
      <c r="B123" s="19" t="s">
        <v>66</v>
      </c>
      <c r="C123" s="45" t="s">
        <v>386</v>
      </c>
      <c r="G123" s="16"/>
    </row>
    <row r="124" spans="1:7" x14ac:dyDescent="0.2">
      <c r="A124" s="44">
        <v>107</v>
      </c>
      <c r="B124" s="19" t="s">
        <v>66</v>
      </c>
      <c r="C124" s="45" t="s">
        <v>386</v>
      </c>
      <c r="G124" s="16"/>
    </row>
    <row r="125" spans="1:7" x14ac:dyDescent="0.2">
      <c r="A125" s="44">
        <v>108</v>
      </c>
      <c r="B125" s="19" t="s">
        <v>66</v>
      </c>
      <c r="C125" s="45" t="s">
        <v>386</v>
      </c>
      <c r="G125" s="16"/>
    </row>
    <row r="126" spans="1:7" x14ac:dyDescent="0.2">
      <c r="A126" s="44">
        <v>109</v>
      </c>
      <c r="B126" s="19" t="s">
        <v>66</v>
      </c>
      <c r="C126" s="45" t="s">
        <v>386</v>
      </c>
      <c r="G126" s="16"/>
    </row>
    <row r="127" spans="1:7" x14ac:dyDescent="0.2">
      <c r="A127" s="44">
        <v>110</v>
      </c>
      <c r="B127" s="19" t="s">
        <v>66</v>
      </c>
      <c r="C127" s="45" t="s">
        <v>386</v>
      </c>
      <c r="G127" s="16"/>
    </row>
    <row r="128" spans="1:7" x14ac:dyDescent="0.2">
      <c r="A128" s="44">
        <v>111</v>
      </c>
      <c r="B128" s="19" t="s">
        <v>67</v>
      </c>
      <c r="C128" s="45" t="s">
        <v>386</v>
      </c>
      <c r="G128" s="16"/>
    </row>
    <row r="129" spans="1:7" x14ac:dyDescent="0.2">
      <c r="A129" s="44">
        <v>112</v>
      </c>
      <c r="B129" s="19" t="s">
        <v>68</v>
      </c>
      <c r="C129" s="45" t="s">
        <v>386</v>
      </c>
      <c r="G129" s="16"/>
    </row>
    <row r="130" spans="1:7" x14ac:dyDescent="0.2">
      <c r="A130" s="44">
        <v>113</v>
      </c>
      <c r="B130" s="19" t="s">
        <v>68</v>
      </c>
      <c r="C130" s="45" t="s">
        <v>386</v>
      </c>
      <c r="G130" s="16"/>
    </row>
    <row r="131" spans="1:7" x14ac:dyDescent="0.2">
      <c r="A131" s="44">
        <v>115</v>
      </c>
      <c r="B131" s="19" t="s">
        <v>68</v>
      </c>
      <c r="C131" s="45" t="s">
        <v>386</v>
      </c>
      <c r="G131" s="16"/>
    </row>
    <row r="132" spans="1:7" x14ac:dyDescent="0.2">
      <c r="A132" s="44">
        <v>116</v>
      </c>
      <c r="B132" s="19" t="s">
        <v>68</v>
      </c>
      <c r="C132" s="45" t="s">
        <v>386</v>
      </c>
      <c r="G132" s="16"/>
    </row>
    <row r="133" spans="1:7" x14ac:dyDescent="0.2">
      <c r="A133" s="44">
        <v>117</v>
      </c>
      <c r="B133" s="19" t="s">
        <v>68</v>
      </c>
      <c r="C133" s="45" t="s">
        <v>386</v>
      </c>
      <c r="G133" s="16"/>
    </row>
    <row r="134" spans="1:7" x14ac:dyDescent="0.2">
      <c r="A134" s="44">
        <v>118</v>
      </c>
      <c r="B134" s="19" t="s">
        <v>69</v>
      </c>
      <c r="C134" s="45" t="s">
        <v>386</v>
      </c>
      <c r="G134" s="16"/>
    </row>
    <row r="135" spans="1:7" x14ac:dyDescent="0.2">
      <c r="A135" s="44">
        <v>119</v>
      </c>
      <c r="B135" s="19" t="s">
        <v>69</v>
      </c>
      <c r="C135" s="45" t="s">
        <v>386</v>
      </c>
      <c r="G135" s="16"/>
    </row>
    <row r="136" spans="1:7" x14ac:dyDescent="0.2">
      <c r="A136" s="44">
        <v>120</v>
      </c>
      <c r="B136" s="19" t="s">
        <v>42</v>
      </c>
      <c r="C136" s="45" t="s">
        <v>386</v>
      </c>
      <c r="G136" s="16"/>
    </row>
    <row r="137" spans="1:7" x14ac:dyDescent="0.2">
      <c r="A137" s="44">
        <v>121</v>
      </c>
      <c r="B137" s="19" t="s">
        <v>70</v>
      </c>
      <c r="C137" s="45" t="s">
        <v>393</v>
      </c>
      <c r="G137" s="16"/>
    </row>
    <row r="138" spans="1:7" x14ac:dyDescent="0.2">
      <c r="A138" s="44">
        <v>122</v>
      </c>
      <c r="B138" s="19" t="s">
        <v>71</v>
      </c>
      <c r="C138" s="45" t="s">
        <v>393</v>
      </c>
      <c r="G138" s="16"/>
    </row>
    <row r="139" spans="1:7" x14ac:dyDescent="0.2">
      <c r="A139" s="44">
        <v>123</v>
      </c>
      <c r="B139" s="19" t="s">
        <v>72</v>
      </c>
      <c r="C139" s="45" t="s">
        <v>393</v>
      </c>
      <c r="G139" s="16"/>
    </row>
    <row r="140" spans="1:7" x14ac:dyDescent="0.2">
      <c r="A140" s="44">
        <v>124</v>
      </c>
      <c r="B140" s="19" t="s">
        <v>72</v>
      </c>
      <c r="C140" s="45" t="s">
        <v>393</v>
      </c>
      <c r="G140" s="16"/>
    </row>
    <row r="141" spans="1:7" x14ac:dyDescent="0.2">
      <c r="A141" s="44">
        <v>125</v>
      </c>
      <c r="B141" s="19" t="s">
        <v>72</v>
      </c>
      <c r="C141" s="45" t="s">
        <v>393</v>
      </c>
      <c r="G141" s="16"/>
    </row>
    <row r="142" spans="1:7" x14ac:dyDescent="0.2">
      <c r="A142" s="44">
        <v>126</v>
      </c>
      <c r="B142" s="19" t="s">
        <v>73</v>
      </c>
      <c r="C142" s="45" t="s">
        <v>393</v>
      </c>
      <c r="G142" s="16"/>
    </row>
    <row r="143" spans="1:7" x14ac:dyDescent="0.2">
      <c r="A143" s="44">
        <v>127</v>
      </c>
      <c r="B143" s="19" t="s">
        <v>74</v>
      </c>
      <c r="C143" s="45" t="s">
        <v>393</v>
      </c>
      <c r="G143" s="16"/>
    </row>
    <row r="144" spans="1:7" x14ac:dyDescent="0.2">
      <c r="A144" s="44">
        <v>128</v>
      </c>
      <c r="B144" s="19" t="s">
        <v>75</v>
      </c>
      <c r="C144" s="45" t="s">
        <v>393</v>
      </c>
      <c r="G144" s="16"/>
    </row>
    <row r="145" spans="1:7" x14ac:dyDescent="0.2">
      <c r="A145" s="44">
        <v>129</v>
      </c>
      <c r="B145" s="19" t="s">
        <v>74</v>
      </c>
      <c r="C145" s="45" t="s">
        <v>393</v>
      </c>
      <c r="G145" s="16"/>
    </row>
    <row r="146" spans="1:7" x14ac:dyDescent="0.2">
      <c r="A146" s="44">
        <v>130</v>
      </c>
      <c r="B146" s="19" t="s">
        <v>76</v>
      </c>
      <c r="C146" s="45" t="s">
        <v>393</v>
      </c>
      <c r="G146" s="16"/>
    </row>
    <row r="147" spans="1:7" x14ac:dyDescent="0.2">
      <c r="A147" s="44">
        <v>131</v>
      </c>
      <c r="B147" s="19" t="s">
        <v>76</v>
      </c>
      <c r="C147" s="45" t="s">
        <v>393</v>
      </c>
      <c r="G147" s="16"/>
    </row>
    <row r="148" spans="1:7" x14ac:dyDescent="0.2">
      <c r="A148" s="44">
        <v>132</v>
      </c>
      <c r="B148" s="19" t="s">
        <v>77</v>
      </c>
      <c r="C148" s="45" t="s">
        <v>393</v>
      </c>
      <c r="G148" s="16"/>
    </row>
    <row r="149" spans="1:7" x14ac:dyDescent="0.2">
      <c r="A149" s="44">
        <v>133</v>
      </c>
      <c r="B149" s="19" t="s">
        <v>77</v>
      </c>
      <c r="C149" s="45" t="s">
        <v>393</v>
      </c>
      <c r="G149" s="16"/>
    </row>
    <row r="150" spans="1:7" x14ac:dyDescent="0.2">
      <c r="A150" s="44">
        <v>134</v>
      </c>
      <c r="B150" s="19" t="s">
        <v>77</v>
      </c>
      <c r="C150" s="45" t="s">
        <v>393</v>
      </c>
      <c r="G150" s="16"/>
    </row>
    <row r="151" spans="1:7" x14ac:dyDescent="0.2">
      <c r="A151" s="44">
        <v>135</v>
      </c>
      <c r="B151" s="19" t="s">
        <v>77</v>
      </c>
      <c r="C151" s="45" t="s">
        <v>393</v>
      </c>
      <c r="G151" s="16"/>
    </row>
    <row r="152" spans="1:7" x14ac:dyDescent="0.2">
      <c r="A152" s="44">
        <v>136</v>
      </c>
      <c r="B152" s="19" t="s">
        <v>77</v>
      </c>
      <c r="C152" s="45" t="s">
        <v>393</v>
      </c>
      <c r="G152" s="16"/>
    </row>
    <row r="153" spans="1:7" x14ac:dyDescent="0.2">
      <c r="A153" s="44">
        <v>137</v>
      </c>
      <c r="B153" s="19" t="s">
        <v>77</v>
      </c>
      <c r="C153" s="45" t="s">
        <v>393</v>
      </c>
      <c r="G153" s="16"/>
    </row>
    <row r="154" spans="1:7" x14ac:dyDescent="0.2">
      <c r="A154" s="44">
        <v>138</v>
      </c>
      <c r="B154" s="19" t="s">
        <v>77</v>
      </c>
      <c r="C154" s="45" t="s">
        <v>393</v>
      </c>
      <c r="G154" s="16"/>
    </row>
    <row r="155" spans="1:7" x14ac:dyDescent="0.2">
      <c r="A155" s="44">
        <v>140</v>
      </c>
      <c r="B155" s="19" t="s">
        <v>61</v>
      </c>
      <c r="C155" s="45" t="s">
        <v>393</v>
      </c>
      <c r="G155" s="16"/>
    </row>
    <row r="156" spans="1:7" x14ac:dyDescent="0.2">
      <c r="A156" s="44">
        <v>141</v>
      </c>
      <c r="B156" s="19" t="s">
        <v>78</v>
      </c>
      <c r="C156" s="45" t="s">
        <v>393</v>
      </c>
      <c r="G156" s="16"/>
    </row>
    <row r="157" spans="1:7" x14ac:dyDescent="0.2">
      <c r="A157" s="44">
        <v>142</v>
      </c>
      <c r="B157" s="19" t="s">
        <v>78</v>
      </c>
      <c r="C157" s="45" t="s">
        <v>393</v>
      </c>
      <c r="G157" s="16"/>
    </row>
    <row r="158" spans="1:7" x14ac:dyDescent="0.2">
      <c r="A158" s="44">
        <v>143</v>
      </c>
      <c r="B158" s="19" t="s">
        <v>64</v>
      </c>
      <c r="C158" s="45" t="s">
        <v>386</v>
      </c>
      <c r="G158" s="16"/>
    </row>
    <row r="159" spans="1:7" x14ac:dyDescent="0.2">
      <c r="A159" s="44">
        <v>144</v>
      </c>
      <c r="B159" s="19" t="s">
        <v>79</v>
      </c>
      <c r="C159" s="45" t="s">
        <v>393</v>
      </c>
      <c r="G159" s="16"/>
    </row>
    <row r="160" spans="1:7" x14ac:dyDescent="0.2">
      <c r="A160" s="44">
        <v>145</v>
      </c>
      <c r="B160" s="19" t="s">
        <v>79</v>
      </c>
      <c r="C160" s="45" t="s">
        <v>393</v>
      </c>
      <c r="G160" s="16"/>
    </row>
    <row r="161" spans="1:7" x14ac:dyDescent="0.2">
      <c r="A161" s="44">
        <v>146</v>
      </c>
      <c r="B161" s="19" t="s">
        <v>79</v>
      </c>
      <c r="C161" s="45" t="s">
        <v>393</v>
      </c>
      <c r="G161" s="16"/>
    </row>
    <row r="162" spans="1:7" x14ac:dyDescent="0.2">
      <c r="A162" s="44">
        <v>147</v>
      </c>
      <c r="B162" s="19" t="s">
        <v>79</v>
      </c>
      <c r="C162" s="45" t="s">
        <v>393</v>
      </c>
      <c r="G162" s="16"/>
    </row>
    <row r="163" spans="1:7" x14ac:dyDescent="0.2">
      <c r="A163" s="44">
        <v>148</v>
      </c>
      <c r="B163" s="19" t="s">
        <v>80</v>
      </c>
      <c r="C163" s="45" t="s">
        <v>386</v>
      </c>
      <c r="G163" s="16"/>
    </row>
    <row r="164" spans="1:7" x14ac:dyDescent="0.2">
      <c r="A164" s="44">
        <v>149</v>
      </c>
      <c r="B164" s="19" t="s">
        <v>81</v>
      </c>
      <c r="C164" s="45" t="s">
        <v>393</v>
      </c>
      <c r="G164" s="16"/>
    </row>
    <row r="165" spans="1:7" x14ac:dyDescent="0.2">
      <c r="A165" s="44">
        <v>150</v>
      </c>
      <c r="B165" s="19" t="s">
        <v>73</v>
      </c>
      <c r="C165" s="45" t="s">
        <v>393</v>
      </c>
      <c r="G165" s="16"/>
    </row>
    <row r="166" spans="1:7" x14ac:dyDescent="0.2">
      <c r="A166" s="44">
        <v>151</v>
      </c>
      <c r="B166" s="19" t="s">
        <v>73</v>
      </c>
      <c r="C166" s="45" t="s">
        <v>393</v>
      </c>
      <c r="G166" s="16"/>
    </row>
    <row r="167" spans="1:7" x14ac:dyDescent="0.2">
      <c r="A167" s="44">
        <v>152</v>
      </c>
      <c r="B167" s="19" t="s">
        <v>73</v>
      </c>
      <c r="C167" s="45" t="s">
        <v>393</v>
      </c>
      <c r="G167" s="16"/>
    </row>
    <row r="168" spans="1:7" x14ac:dyDescent="0.2">
      <c r="A168" s="44">
        <v>153</v>
      </c>
      <c r="B168" s="19" t="s">
        <v>73</v>
      </c>
      <c r="C168" s="45" t="s">
        <v>393</v>
      </c>
      <c r="G168" s="16"/>
    </row>
    <row r="169" spans="1:7" x14ac:dyDescent="0.2">
      <c r="A169" s="44">
        <v>154</v>
      </c>
      <c r="B169" s="19" t="s">
        <v>73</v>
      </c>
      <c r="C169" s="45" t="s">
        <v>393</v>
      </c>
      <c r="G169" s="16"/>
    </row>
    <row r="170" spans="1:7" x14ac:dyDescent="0.2">
      <c r="A170" s="44">
        <v>155</v>
      </c>
      <c r="B170" s="19" t="s">
        <v>61</v>
      </c>
      <c r="C170" s="45" t="s">
        <v>393</v>
      </c>
      <c r="G170" s="16"/>
    </row>
    <row r="171" spans="1:7" x14ac:dyDescent="0.2">
      <c r="A171" s="44">
        <v>156</v>
      </c>
      <c r="B171" s="19" t="s">
        <v>73</v>
      </c>
      <c r="C171" s="45" t="s">
        <v>393</v>
      </c>
      <c r="G171" s="16"/>
    </row>
    <row r="172" spans="1:7" x14ac:dyDescent="0.2">
      <c r="A172" s="44">
        <v>157</v>
      </c>
      <c r="B172" s="19" t="s">
        <v>73</v>
      </c>
      <c r="C172" s="45" t="s">
        <v>393</v>
      </c>
      <c r="G172" s="16"/>
    </row>
    <row r="173" spans="1:7" x14ac:dyDescent="0.2">
      <c r="A173" s="44">
        <v>158</v>
      </c>
      <c r="B173" s="19" t="s">
        <v>73</v>
      </c>
      <c r="C173" s="45" t="s">
        <v>393</v>
      </c>
      <c r="G173" s="16"/>
    </row>
    <row r="174" spans="1:7" x14ac:dyDescent="0.2">
      <c r="A174" s="44">
        <v>159</v>
      </c>
      <c r="B174" s="19" t="s">
        <v>49</v>
      </c>
      <c r="C174" s="45" t="s">
        <v>386</v>
      </c>
      <c r="G174" s="16"/>
    </row>
    <row r="175" spans="1:7" x14ac:dyDescent="0.2">
      <c r="A175" s="44">
        <v>160</v>
      </c>
      <c r="B175" s="19" t="s">
        <v>73</v>
      </c>
      <c r="C175" s="45" t="s">
        <v>393</v>
      </c>
      <c r="G175" s="16"/>
    </row>
    <row r="176" spans="1:7" x14ac:dyDescent="0.2">
      <c r="A176" s="44">
        <v>161</v>
      </c>
      <c r="B176" s="19" t="s">
        <v>73</v>
      </c>
      <c r="C176" s="45" t="s">
        <v>393</v>
      </c>
      <c r="G176" s="16"/>
    </row>
    <row r="177" spans="1:7" x14ac:dyDescent="0.2">
      <c r="A177" s="44">
        <v>162</v>
      </c>
      <c r="B177" s="19" t="s">
        <v>73</v>
      </c>
      <c r="C177" s="45" t="s">
        <v>393</v>
      </c>
      <c r="G177" s="16"/>
    </row>
    <row r="178" spans="1:7" x14ac:dyDescent="0.2">
      <c r="A178" s="44">
        <v>163</v>
      </c>
      <c r="B178" s="19" t="s">
        <v>73</v>
      </c>
      <c r="C178" s="45" t="s">
        <v>393</v>
      </c>
      <c r="G178" s="16"/>
    </row>
    <row r="179" spans="1:7" x14ac:dyDescent="0.2">
      <c r="A179" s="44">
        <v>164</v>
      </c>
      <c r="B179" s="19" t="s">
        <v>73</v>
      </c>
      <c r="C179" s="45" t="s">
        <v>393</v>
      </c>
      <c r="G179" s="16"/>
    </row>
    <row r="180" spans="1:7" x14ac:dyDescent="0.2">
      <c r="A180" s="44">
        <v>165</v>
      </c>
      <c r="B180" s="19" t="s">
        <v>73</v>
      </c>
      <c r="C180" s="45" t="s">
        <v>393</v>
      </c>
      <c r="G180" s="16"/>
    </row>
    <row r="181" spans="1:7" x14ac:dyDescent="0.2">
      <c r="A181" s="44">
        <v>166</v>
      </c>
      <c r="B181" s="19" t="s">
        <v>73</v>
      </c>
      <c r="C181" s="45" t="s">
        <v>393</v>
      </c>
      <c r="G181" s="16"/>
    </row>
    <row r="182" spans="1:7" x14ac:dyDescent="0.2">
      <c r="A182" s="44">
        <v>167</v>
      </c>
      <c r="B182" s="19" t="s">
        <v>73</v>
      </c>
      <c r="C182" s="45" t="s">
        <v>393</v>
      </c>
      <c r="G182" s="16"/>
    </row>
    <row r="183" spans="1:7" x14ac:dyDescent="0.2">
      <c r="A183" s="44">
        <v>168</v>
      </c>
      <c r="B183" s="19" t="s">
        <v>73</v>
      </c>
      <c r="C183" s="45" t="s">
        <v>393</v>
      </c>
      <c r="G183" s="16"/>
    </row>
    <row r="184" spans="1:7" x14ac:dyDescent="0.2">
      <c r="A184" s="44">
        <v>169</v>
      </c>
      <c r="B184" s="19" t="s">
        <v>73</v>
      </c>
      <c r="C184" s="45" t="s">
        <v>393</v>
      </c>
      <c r="G184" s="16"/>
    </row>
    <row r="185" spans="1:7" x14ac:dyDescent="0.2">
      <c r="A185" s="44">
        <v>170</v>
      </c>
      <c r="B185" s="19" t="s">
        <v>73</v>
      </c>
      <c r="C185" s="45" t="s">
        <v>393</v>
      </c>
      <c r="G185" s="16"/>
    </row>
    <row r="186" spans="1:7" x14ac:dyDescent="0.2">
      <c r="A186" s="44">
        <v>171</v>
      </c>
      <c r="B186" s="19" t="s">
        <v>73</v>
      </c>
      <c r="C186" s="45" t="s">
        <v>393</v>
      </c>
      <c r="G186" s="16"/>
    </row>
    <row r="187" spans="1:7" x14ac:dyDescent="0.2">
      <c r="A187" s="44">
        <v>172</v>
      </c>
      <c r="B187" s="19" t="s">
        <v>73</v>
      </c>
      <c r="C187" s="45" t="s">
        <v>393</v>
      </c>
      <c r="G187" s="16"/>
    </row>
    <row r="188" spans="1:7" x14ac:dyDescent="0.2">
      <c r="A188" s="44">
        <v>173</v>
      </c>
      <c r="B188" s="19" t="s">
        <v>73</v>
      </c>
      <c r="C188" s="45" t="s">
        <v>393</v>
      </c>
      <c r="G188" s="16"/>
    </row>
    <row r="189" spans="1:7" x14ac:dyDescent="0.2">
      <c r="A189" s="44">
        <v>174</v>
      </c>
      <c r="B189" s="19" t="s">
        <v>73</v>
      </c>
      <c r="C189" s="45" t="s">
        <v>393</v>
      </c>
      <c r="G189" s="16"/>
    </row>
    <row r="190" spans="1:7" x14ac:dyDescent="0.2">
      <c r="A190" s="44">
        <v>175</v>
      </c>
      <c r="B190" s="19" t="s">
        <v>73</v>
      </c>
      <c r="C190" s="45" t="s">
        <v>393</v>
      </c>
      <c r="G190" s="16"/>
    </row>
    <row r="191" spans="1:7" x14ac:dyDescent="0.2">
      <c r="A191" s="44">
        <v>176</v>
      </c>
      <c r="B191" s="19" t="s">
        <v>73</v>
      </c>
      <c r="C191" s="45" t="s">
        <v>393</v>
      </c>
      <c r="G191" s="16"/>
    </row>
    <row r="192" spans="1:7" x14ac:dyDescent="0.2">
      <c r="A192" s="44">
        <v>177</v>
      </c>
      <c r="B192" s="19" t="s">
        <v>73</v>
      </c>
      <c r="C192" s="45" t="s">
        <v>393</v>
      </c>
      <c r="G192" s="16"/>
    </row>
    <row r="193" spans="1:7" x14ac:dyDescent="0.2">
      <c r="A193" s="44">
        <v>178</v>
      </c>
      <c r="B193" s="19" t="s">
        <v>82</v>
      </c>
      <c r="C193" s="45" t="s">
        <v>393</v>
      </c>
      <c r="G193" s="16"/>
    </row>
    <row r="194" spans="1:7" x14ac:dyDescent="0.2">
      <c r="A194" s="44">
        <v>179</v>
      </c>
      <c r="B194" s="19" t="s">
        <v>73</v>
      </c>
      <c r="C194" s="45" t="s">
        <v>393</v>
      </c>
    </row>
    <row r="195" spans="1:7" x14ac:dyDescent="0.2">
      <c r="A195" s="44">
        <v>180</v>
      </c>
      <c r="B195" s="19" t="s">
        <v>73</v>
      </c>
      <c r="C195" s="45" t="s">
        <v>393</v>
      </c>
    </row>
    <row r="196" spans="1:7" x14ac:dyDescent="0.2">
      <c r="A196" s="44">
        <v>181</v>
      </c>
      <c r="B196" s="19" t="s">
        <v>73</v>
      </c>
      <c r="C196" s="45" t="s">
        <v>393</v>
      </c>
    </row>
    <row r="197" spans="1:7" x14ac:dyDescent="0.2">
      <c r="A197" s="44">
        <v>182</v>
      </c>
      <c r="B197" s="19" t="s">
        <v>73</v>
      </c>
      <c r="C197" s="45" t="s">
        <v>393</v>
      </c>
    </row>
    <row r="198" spans="1:7" x14ac:dyDescent="0.2">
      <c r="A198" s="44">
        <v>183</v>
      </c>
      <c r="B198" s="19" t="s">
        <v>73</v>
      </c>
      <c r="C198" s="45" t="s">
        <v>393</v>
      </c>
    </row>
    <row r="199" spans="1:7" x14ac:dyDescent="0.2">
      <c r="A199" s="44">
        <v>184</v>
      </c>
      <c r="B199" s="19" t="s">
        <v>73</v>
      </c>
      <c r="C199" s="45" t="s">
        <v>393</v>
      </c>
    </row>
    <row r="200" spans="1:7" x14ac:dyDescent="0.2">
      <c r="A200" s="44">
        <v>185</v>
      </c>
      <c r="B200" s="19" t="s">
        <v>73</v>
      </c>
      <c r="C200" s="45" t="s">
        <v>393</v>
      </c>
    </row>
    <row r="201" spans="1:7" x14ac:dyDescent="0.2">
      <c r="A201" s="44">
        <v>186</v>
      </c>
      <c r="B201" s="19" t="s">
        <v>73</v>
      </c>
      <c r="C201" s="45" t="s">
        <v>393</v>
      </c>
    </row>
    <row r="202" spans="1:7" x14ac:dyDescent="0.2">
      <c r="A202" s="44">
        <v>187</v>
      </c>
      <c r="B202" s="19" t="s">
        <v>73</v>
      </c>
      <c r="C202" s="45" t="s">
        <v>393</v>
      </c>
    </row>
    <row r="203" spans="1:7" x14ac:dyDescent="0.2">
      <c r="A203" s="44">
        <v>188</v>
      </c>
      <c r="B203" s="19" t="s">
        <v>73</v>
      </c>
      <c r="C203" s="45" t="s">
        <v>393</v>
      </c>
    </row>
    <row r="204" spans="1:7" x14ac:dyDescent="0.2">
      <c r="A204" s="44">
        <v>189</v>
      </c>
      <c r="B204" s="19" t="s">
        <v>73</v>
      </c>
      <c r="C204" s="45" t="s">
        <v>393</v>
      </c>
    </row>
    <row r="205" spans="1:7" x14ac:dyDescent="0.2">
      <c r="A205" s="44">
        <v>190</v>
      </c>
      <c r="B205" s="19" t="s">
        <v>73</v>
      </c>
      <c r="C205" s="45" t="s">
        <v>393</v>
      </c>
    </row>
    <row r="206" spans="1:7" x14ac:dyDescent="0.2">
      <c r="A206" s="44">
        <v>191</v>
      </c>
      <c r="B206" s="19" t="s">
        <v>73</v>
      </c>
      <c r="C206" s="45" t="s">
        <v>393</v>
      </c>
    </row>
    <row r="207" spans="1:7" x14ac:dyDescent="0.2">
      <c r="A207" s="44">
        <v>192</v>
      </c>
      <c r="B207" s="19" t="s">
        <v>73</v>
      </c>
      <c r="C207" s="45" t="s">
        <v>393</v>
      </c>
    </row>
    <row r="208" spans="1:7" x14ac:dyDescent="0.2">
      <c r="A208" s="44">
        <v>193</v>
      </c>
      <c r="B208" s="19" t="s">
        <v>73</v>
      </c>
      <c r="C208" s="45" t="s">
        <v>393</v>
      </c>
    </row>
    <row r="209" spans="1:3" x14ac:dyDescent="0.2">
      <c r="A209" s="44">
        <v>194</v>
      </c>
      <c r="B209" s="19" t="s">
        <v>73</v>
      </c>
      <c r="C209" s="45" t="s">
        <v>393</v>
      </c>
    </row>
    <row r="210" spans="1:3" x14ac:dyDescent="0.2">
      <c r="A210" s="44">
        <v>195</v>
      </c>
      <c r="B210" s="19" t="s">
        <v>73</v>
      </c>
      <c r="C210" s="45" t="s">
        <v>393</v>
      </c>
    </row>
    <row r="211" spans="1:3" x14ac:dyDescent="0.2">
      <c r="A211" s="44">
        <v>196</v>
      </c>
      <c r="B211" s="19" t="s">
        <v>73</v>
      </c>
      <c r="C211" s="45" t="s">
        <v>393</v>
      </c>
    </row>
    <row r="212" spans="1:3" x14ac:dyDescent="0.2">
      <c r="A212" s="44">
        <v>197</v>
      </c>
      <c r="B212" s="19" t="s">
        <v>73</v>
      </c>
      <c r="C212" s="45" t="s">
        <v>393</v>
      </c>
    </row>
    <row r="213" spans="1:3" x14ac:dyDescent="0.2">
      <c r="A213" s="44">
        <v>198</v>
      </c>
      <c r="B213" s="19" t="s">
        <v>73</v>
      </c>
      <c r="C213" s="45" t="s">
        <v>393</v>
      </c>
    </row>
    <row r="214" spans="1:3" x14ac:dyDescent="0.2">
      <c r="A214" s="44">
        <v>199</v>
      </c>
      <c r="B214" s="19" t="s">
        <v>73</v>
      </c>
      <c r="C214" s="45" t="s">
        <v>393</v>
      </c>
    </row>
    <row r="215" spans="1:3" x14ac:dyDescent="0.2">
      <c r="A215" s="44">
        <v>201</v>
      </c>
      <c r="B215" s="19" t="s">
        <v>73</v>
      </c>
      <c r="C215" s="45" t="s">
        <v>393</v>
      </c>
    </row>
    <row r="216" spans="1:3" x14ac:dyDescent="0.2">
      <c r="A216" s="44">
        <v>202</v>
      </c>
      <c r="B216" s="19" t="s">
        <v>73</v>
      </c>
      <c r="C216" s="45" t="s">
        <v>393</v>
      </c>
    </row>
    <row r="217" spans="1:3" x14ac:dyDescent="0.2">
      <c r="A217" s="44">
        <v>203</v>
      </c>
      <c r="B217" s="19" t="s">
        <v>73</v>
      </c>
      <c r="C217" s="45" t="s">
        <v>393</v>
      </c>
    </row>
    <row r="218" spans="1:3" x14ac:dyDescent="0.2">
      <c r="A218" s="44">
        <v>204</v>
      </c>
      <c r="B218" s="19" t="s">
        <v>73</v>
      </c>
      <c r="C218" s="45" t="s">
        <v>393</v>
      </c>
    </row>
    <row r="219" spans="1:3" x14ac:dyDescent="0.2">
      <c r="A219" s="44">
        <v>205</v>
      </c>
      <c r="B219" s="19" t="s">
        <v>73</v>
      </c>
      <c r="C219" s="45" t="s">
        <v>393</v>
      </c>
    </row>
    <row r="220" spans="1:3" x14ac:dyDescent="0.2">
      <c r="A220" s="44">
        <v>206</v>
      </c>
      <c r="B220" s="19" t="s">
        <v>73</v>
      </c>
      <c r="C220" s="45" t="s">
        <v>393</v>
      </c>
    </row>
    <row r="221" spans="1:3" x14ac:dyDescent="0.2">
      <c r="A221" s="44">
        <v>207</v>
      </c>
      <c r="B221" s="19" t="s">
        <v>73</v>
      </c>
      <c r="C221" s="45" t="s">
        <v>393</v>
      </c>
    </row>
    <row r="222" spans="1:3" x14ac:dyDescent="0.2">
      <c r="A222" s="44">
        <v>208</v>
      </c>
      <c r="B222" s="19" t="s">
        <v>73</v>
      </c>
      <c r="C222" s="45" t="s">
        <v>393</v>
      </c>
    </row>
    <row r="223" spans="1:3" x14ac:dyDescent="0.2">
      <c r="A223" s="44">
        <v>209</v>
      </c>
      <c r="B223" s="19" t="s">
        <v>73</v>
      </c>
      <c r="C223" s="45" t="s">
        <v>393</v>
      </c>
    </row>
    <row r="224" spans="1:3" x14ac:dyDescent="0.2">
      <c r="A224" s="44">
        <v>210</v>
      </c>
      <c r="B224" s="19" t="s">
        <v>73</v>
      </c>
      <c r="C224" s="45" t="s">
        <v>393</v>
      </c>
    </row>
    <row r="225" spans="1:3" x14ac:dyDescent="0.2">
      <c r="A225" s="44">
        <v>211</v>
      </c>
      <c r="B225" s="19" t="s">
        <v>73</v>
      </c>
      <c r="C225" s="45" t="s">
        <v>393</v>
      </c>
    </row>
    <row r="226" spans="1:3" x14ac:dyDescent="0.2">
      <c r="A226" s="44">
        <v>212</v>
      </c>
      <c r="B226" s="19" t="s">
        <v>73</v>
      </c>
      <c r="C226" s="45" t="s">
        <v>393</v>
      </c>
    </row>
    <row r="227" spans="1:3" x14ac:dyDescent="0.2">
      <c r="A227" s="44">
        <v>213</v>
      </c>
      <c r="B227" s="19" t="s">
        <v>73</v>
      </c>
      <c r="C227" s="45" t="s">
        <v>393</v>
      </c>
    </row>
    <row r="228" spans="1:3" x14ac:dyDescent="0.2">
      <c r="A228" s="44">
        <v>214</v>
      </c>
      <c r="B228" s="19" t="s">
        <v>73</v>
      </c>
      <c r="C228" s="45" t="s">
        <v>393</v>
      </c>
    </row>
    <row r="229" spans="1:3" x14ac:dyDescent="0.2">
      <c r="A229" s="44">
        <v>215</v>
      </c>
      <c r="B229" s="19" t="s">
        <v>73</v>
      </c>
      <c r="C229" s="45" t="s">
        <v>393</v>
      </c>
    </row>
    <row r="230" spans="1:3" x14ac:dyDescent="0.2">
      <c r="A230" s="44">
        <v>216</v>
      </c>
      <c r="B230" s="19" t="s">
        <v>73</v>
      </c>
      <c r="C230" s="45" t="s">
        <v>393</v>
      </c>
    </row>
    <row r="231" spans="1:3" x14ac:dyDescent="0.2">
      <c r="A231" s="44">
        <v>217</v>
      </c>
      <c r="B231" s="19" t="s">
        <v>73</v>
      </c>
      <c r="C231" s="45" t="s">
        <v>393</v>
      </c>
    </row>
    <row r="232" spans="1:3" x14ac:dyDescent="0.2">
      <c r="A232" s="44">
        <v>218</v>
      </c>
      <c r="B232" s="19" t="s">
        <v>73</v>
      </c>
      <c r="C232" s="45" t="s">
        <v>393</v>
      </c>
    </row>
    <row r="233" spans="1:3" x14ac:dyDescent="0.2">
      <c r="A233" s="44">
        <v>219</v>
      </c>
      <c r="B233" s="19" t="s">
        <v>73</v>
      </c>
      <c r="C233" s="45" t="s">
        <v>393</v>
      </c>
    </row>
    <row r="234" spans="1:3" x14ac:dyDescent="0.2">
      <c r="A234" s="44">
        <v>220</v>
      </c>
      <c r="B234" s="19" t="s">
        <v>73</v>
      </c>
      <c r="C234" s="45" t="s">
        <v>393</v>
      </c>
    </row>
    <row r="235" spans="1:3" x14ac:dyDescent="0.2">
      <c r="A235" s="44">
        <v>221</v>
      </c>
      <c r="B235" s="19" t="s">
        <v>73</v>
      </c>
      <c r="C235" s="45" t="s">
        <v>393</v>
      </c>
    </row>
    <row r="236" spans="1:3" x14ac:dyDescent="0.2">
      <c r="A236" s="44">
        <v>222</v>
      </c>
      <c r="B236" s="19" t="s">
        <v>73</v>
      </c>
      <c r="C236" s="45" t="s">
        <v>393</v>
      </c>
    </row>
    <row r="237" spans="1:3" x14ac:dyDescent="0.2">
      <c r="A237" s="44">
        <v>223</v>
      </c>
      <c r="B237" s="19" t="s">
        <v>73</v>
      </c>
      <c r="C237" s="45" t="s">
        <v>393</v>
      </c>
    </row>
    <row r="238" spans="1:3" x14ac:dyDescent="0.2">
      <c r="A238" s="44">
        <v>224</v>
      </c>
      <c r="B238" s="19" t="s">
        <v>73</v>
      </c>
      <c r="C238" s="45" t="s">
        <v>393</v>
      </c>
    </row>
    <row r="239" spans="1:3" x14ac:dyDescent="0.2">
      <c r="A239" s="44">
        <v>225</v>
      </c>
      <c r="B239" s="19" t="s">
        <v>73</v>
      </c>
      <c r="C239" s="45" t="s">
        <v>393</v>
      </c>
    </row>
    <row r="240" spans="1:3" x14ac:dyDescent="0.2">
      <c r="A240" s="44">
        <v>226</v>
      </c>
      <c r="B240" s="19" t="s">
        <v>73</v>
      </c>
      <c r="C240" s="45" t="s">
        <v>393</v>
      </c>
    </row>
    <row r="241" spans="1:3" x14ac:dyDescent="0.2">
      <c r="A241" s="44">
        <v>227</v>
      </c>
      <c r="B241" s="19" t="s">
        <v>73</v>
      </c>
      <c r="C241" s="45" t="s">
        <v>393</v>
      </c>
    </row>
    <row r="242" spans="1:3" x14ac:dyDescent="0.2">
      <c r="A242" s="44">
        <v>228</v>
      </c>
      <c r="B242" s="19" t="s">
        <v>83</v>
      </c>
      <c r="C242" s="45" t="s">
        <v>386</v>
      </c>
    </row>
    <row r="243" spans="1:3" x14ac:dyDescent="0.2">
      <c r="A243" s="44">
        <v>229</v>
      </c>
      <c r="B243" s="19" t="s">
        <v>83</v>
      </c>
      <c r="C243" s="45" t="s">
        <v>386</v>
      </c>
    </row>
    <row r="244" spans="1:3" x14ac:dyDescent="0.2">
      <c r="A244" s="44">
        <v>230</v>
      </c>
      <c r="B244" s="19" t="s">
        <v>73</v>
      </c>
      <c r="C244" s="45" t="s">
        <v>386</v>
      </c>
    </row>
    <row r="245" spans="1:3" x14ac:dyDescent="0.2">
      <c r="A245" s="44">
        <v>231</v>
      </c>
      <c r="B245" s="19" t="s">
        <v>61</v>
      </c>
      <c r="C245" s="45" t="s">
        <v>393</v>
      </c>
    </row>
    <row r="246" spans="1:3" x14ac:dyDescent="0.2">
      <c r="A246" s="44">
        <v>233</v>
      </c>
      <c r="B246" s="19" t="s">
        <v>61</v>
      </c>
      <c r="C246" s="45" t="s">
        <v>393</v>
      </c>
    </row>
    <row r="247" spans="1:3" x14ac:dyDescent="0.2">
      <c r="A247" s="44">
        <v>234</v>
      </c>
      <c r="B247" s="19" t="s">
        <v>61</v>
      </c>
      <c r="C247" s="45" t="s">
        <v>393</v>
      </c>
    </row>
    <row r="248" spans="1:3" x14ac:dyDescent="0.2">
      <c r="A248" s="44">
        <v>235</v>
      </c>
      <c r="B248" s="19" t="s">
        <v>61</v>
      </c>
      <c r="C248" s="45" t="s">
        <v>393</v>
      </c>
    </row>
    <row r="249" spans="1:3" x14ac:dyDescent="0.2">
      <c r="A249" s="44">
        <v>236</v>
      </c>
      <c r="B249" s="19" t="s">
        <v>61</v>
      </c>
      <c r="C249" s="45" t="s">
        <v>393</v>
      </c>
    </row>
    <row r="250" spans="1:3" x14ac:dyDescent="0.2">
      <c r="A250" s="44">
        <v>237</v>
      </c>
      <c r="B250" s="19" t="s">
        <v>61</v>
      </c>
      <c r="C250" s="45" t="s">
        <v>393</v>
      </c>
    </row>
    <row r="251" spans="1:3" x14ac:dyDescent="0.2">
      <c r="A251" s="44">
        <v>238</v>
      </c>
      <c r="B251" s="19" t="s">
        <v>73</v>
      </c>
      <c r="C251" s="45" t="s">
        <v>393</v>
      </c>
    </row>
    <row r="252" spans="1:3" x14ac:dyDescent="0.2">
      <c r="A252" s="44">
        <v>241</v>
      </c>
      <c r="B252" s="19" t="s">
        <v>84</v>
      </c>
      <c r="C252" s="45" t="s">
        <v>393</v>
      </c>
    </row>
    <row r="253" spans="1:3" x14ac:dyDescent="0.2">
      <c r="A253" s="44">
        <v>242</v>
      </c>
      <c r="B253" s="19" t="s">
        <v>85</v>
      </c>
      <c r="C253" s="45" t="s">
        <v>393</v>
      </c>
    </row>
    <row r="254" spans="1:3" x14ac:dyDescent="0.2">
      <c r="A254" s="44">
        <v>243</v>
      </c>
      <c r="B254" s="19" t="s">
        <v>86</v>
      </c>
      <c r="C254" s="45" t="s">
        <v>393</v>
      </c>
    </row>
    <row r="255" spans="1:3" x14ac:dyDescent="0.2">
      <c r="A255" s="44">
        <v>244</v>
      </c>
      <c r="B255" s="19" t="s">
        <v>73</v>
      </c>
      <c r="C255" s="45" t="s">
        <v>393</v>
      </c>
    </row>
    <row r="256" spans="1:3" x14ac:dyDescent="0.2">
      <c r="A256" s="44">
        <v>245</v>
      </c>
      <c r="B256" s="19" t="s">
        <v>85</v>
      </c>
      <c r="C256" s="45" t="s">
        <v>393</v>
      </c>
    </row>
    <row r="257" spans="1:3" x14ac:dyDescent="0.2">
      <c r="A257" s="44">
        <v>246</v>
      </c>
      <c r="B257" s="19" t="s">
        <v>87</v>
      </c>
      <c r="C257" s="45" t="s">
        <v>393</v>
      </c>
    </row>
    <row r="258" spans="1:3" x14ac:dyDescent="0.2">
      <c r="A258" s="44">
        <v>247</v>
      </c>
      <c r="B258" s="19" t="s">
        <v>85</v>
      </c>
      <c r="C258" s="45" t="s">
        <v>393</v>
      </c>
    </row>
    <row r="259" spans="1:3" x14ac:dyDescent="0.2">
      <c r="A259" s="44">
        <v>248</v>
      </c>
      <c r="B259" s="19" t="s">
        <v>73</v>
      </c>
      <c r="C259" s="45" t="s">
        <v>393</v>
      </c>
    </row>
    <row r="260" spans="1:3" x14ac:dyDescent="0.2">
      <c r="A260" s="44">
        <v>249</v>
      </c>
      <c r="B260" s="19" t="s">
        <v>85</v>
      </c>
      <c r="C260" s="45" t="s">
        <v>393</v>
      </c>
    </row>
    <row r="261" spans="1:3" x14ac:dyDescent="0.2">
      <c r="A261" s="44">
        <v>250</v>
      </c>
      <c r="B261" s="19" t="s">
        <v>88</v>
      </c>
      <c r="C261" s="45" t="s">
        <v>386</v>
      </c>
    </row>
    <row r="262" spans="1:3" x14ac:dyDescent="0.2">
      <c r="A262" s="44">
        <v>251</v>
      </c>
      <c r="B262" s="19" t="s">
        <v>88</v>
      </c>
      <c r="C262" s="45" t="s">
        <v>386</v>
      </c>
    </row>
    <row r="263" spans="1:3" x14ac:dyDescent="0.2">
      <c r="A263" s="44">
        <v>252</v>
      </c>
      <c r="B263" s="19" t="s">
        <v>88</v>
      </c>
      <c r="C263" s="45" t="s">
        <v>386</v>
      </c>
    </row>
    <row r="264" spans="1:3" x14ac:dyDescent="0.2">
      <c r="A264" s="44">
        <v>253</v>
      </c>
      <c r="B264" s="19" t="s">
        <v>88</v>
      </c>
      <c r="C264" s="45" t="s">
        <v>386</v>
      </c>
    </row>
    <row r="265" spans="1:3" x14ac:dyDescent="0.2">
      <c r="A265" s="44">
        <v>254</v>
      </c>
      <c r="B265" s="19" t="s">
        <v>89</v>
      </c>
      <c r="C265" s="45" t="s">
        <v>393</v>
      </c>
    </row>
    <row r="266" spans="1:3" x14ac:dyDescent="0.2">
      <c r="A266" s="44">
        <v>255</v>
      </c>
      <c r="B266" s="19" t="s">
        <v>90</v>
      </c>
      <c r="C266" s="45" t="s">
        <v>393</v>
      </c>
    </row>
    <row r="267" spans="1:3" x14ac:dyDescent="0.2">
      <c r="A267" s="44">
        <v>257</v>
      </c>
      <c r="B267" s="19" t="s">
        <v>91</v>
      </c>
      <c r="C267" s="45" t="s">
        <v>393</v>
      </c>
    </row>
    <row r="268" spans="1:3" x14ac:dyDescent="0.2">
      <c r="A268" s="44">
        <v>258</v>
      </c>
      <c r="B268" s="19" t="s">
        <v>92</v>
      </c>
      <c r="C268" s="45" t="s">
        <v>393</v>
      </c>
    </row>
    <row r="269" spans="1:3" x14ac:dyDescent="0.2">
      <c r="A269" s="44">
        <v>259</v>
      </c>
      <c r="B269" s="19" t="s">
        <v>93</v>
      </c>
      <c r="C269" s="45" t="s">
        <v>393</v>
      </c>
    </row>
    <row r="270" spans="1:3" x14ac:dyDescent="0.2">
      <c r="A270" s="44">
        <v>260</v>
      </c>
      <c r="B270" s="19" t="s">
        <v>92</v>
      </c>
      <c r="C270" s="45" t="s">
        <v>393</v>
      </c>
    </row>
    <row r="271" spans="1:3" x14ac:dyDescent="0.2">
      <c r="A271" s="44">
        <v>261</v>
      </c>
      <c r="B271" s="19" t="s">
        <v>92</v>
      </c>
      <c r="C271" s="45" t="s">
        <v>393</v>
      </c>
    </row>
    <row r="272" spans="1:3" x14ac:dyDescent="0.2">
      <c r="A272" s="44">
        <v>262</v>
      </c>
      <c r="B272" s="19" t="s">
        <v>92</v>
      </c>
      <c r="C272" s="45" t="s">
        <v>393</v>
      </c>
    </row>
    <row r="273" spans="1:3" x14ac:dyDescent="0.2">
      <c r="A273" s="44">
        <v>263</v>
      </c>
      <c r="B273" s="19" t="s">
        <v>92</v>
      </c>
      <c r="C273" s="45" t="s">
        <v>393</v>
      </c>
    </row>
    <row r="274" spans="1:3" x14ac:dyDescent="0.2">
      <c r="A274" s="44">
        <v>264</v>
      </c>
      <c r="B274" s="19" t="s">
        <v>92</v>
      </c>
      <c r="C274" s="45" t="s">
        <v>393</v>
      </c>
    </row>
    <row r="275" spans="1:3" x14ac:dyDescent="0.2">
      <c r="A275" s="44">
        <v>265</v>
      </c>
      <c r="B275" s="19" t="s">
        <v>94</v>
      </c>
      <c r="C275" s="45" t="s">
        <v>386</v>
      </c>
    </row>
    <row r="276" spans="1:3" x14ac:dyDescent="0.2">
      <c r="A276" s="44">
        <v>266</v>
      </c>
      <c r="B276" s="19" t="s">
        <v>94</v>
      </c>
      <c r="C276" s="45" t="s">
        <v>386</v>
      </c>
    </row>
    <row r="277" spans="1:3" x14ac:dyDescent="0.2">
      <c r="A277" s="44">
        <v>267</v>
      </c>
      <c r="B277" s="19" t="s">
        <v>94</v>
      </c>
      <c r="C277" s="45" t="s">
        <v>386</v>
      </c>
    </row>
    <row r="278" spans="1:3" x14ac:dyDescent="0.2">
      <c r="A278" s="44">
        <v>268</v>
      </c>
      <c r="B278" s="19" t="s">
        <v>94</v>
      </c>
      <c r="C278" s="45" t="s">
        <v>386</v>
      </c>
    </row>
    <row r="279" spans="1:3" x14ac:dyDescent="0.2">
      <c r="A279" s="44">
        <v>269</v>
      </c>
      <c r="B279" s="19" t="s">
        <v>94</v>
      </c>
      <c r="C279" s="45" t="s">
        <v>386</v>
      </c>
    </row>
    <row r="280" spans="1:3" x14ac:dyDescent="0.2">
      <c r="A280" s="44">
        <v>270</v>
      </c>
      <c r="B280" s="19" t="s">
        <v>94</v>
      </c>
      <c r="C280" s="45" t="s">
        <v>386</v>
      </c>
    </row>
    <row r="281" spans="1:3" x14ac:dyDescent="0.2">
      <c r="A281" s="44">
        <v>271</v>
      </c>
      <c r="B281" s="19" t="s">
        <v>94</v>
      </c>
      <c r="C281" s="45" t="s">
        <v>386</v>
      </c>
    </row>
    <row r="282" spans="1:3" x14ac:dyDescent="0.2">
      <c r="A282" s="44">
        <v>272</v>
      </c>
      <c r="B282" s="19" t="s">
        <v>94</v>
      </c>
      <c r="C282" s="45" t="s">
        <v>386</v>
      </c>
    </row>
    <row r="283" spans="1:3" x14ac:dyDescent="0.2">
      <c r="A283" s="44">
        <v>273</v>
      </c>
      <c r="B283" s="19" t="s">
        <v>94</v>
      </c>
      <c r="C283" s="45" t="s">
        <v>386</v>
      </c>
    </row>
    <row r="284" spans="1:3" x14ac:dyDescent="0.2">
      <c r="A284" s="44">
        <v>274</v>
      </c>
      <c r="B284" s="19" t="s">
        <v>94</v>
      </c>
      <c r="C284" s="45" t="s">
        <v>386</v>
      </c>
    </row>
    <row r="285" spans="1:3" x14ac:dyDescent="0.2">
      <c r="A285" s="44">
        <v>276</v>
      </c>
      <c r="B285" s="19" t="s">
        <v>94</v>
      </c>
      <c r="C285" s="45" t="s">
        <v>386</v>
      </c>
    </row>
    <row r="286" spans="1:3" x14ac:dyDescent="0.2">
      <c r="A286" s="44">
        <v>277</v>
      </c>
      <c r="B286" s="19" t="s">
        <v>95</v>
      </c>
      <c r="C286" s="45" t="s">
        <v>386</v>
      </c>
    </row>
    <row r="287" spans="1:3" x14ac:dyDescent="0.2">
      <c r="A287" s="44">
        <v>278</v>
      </c>
      <c r="B287" s="19" t="s">
        <v>96</v>
      </c>
      <c r="C287" s="45" t="s">
        <v>386</v>
      </c>
    </row>
    <row r="288" spans="1:3" x14ac:dyDescent="0.2">
      <c r="A288" s="44">
        <v>279</v>
      </c>
      <c r="B288" s="19" t="s">
        <v>97</v>
      </c>
      <c r="C288" s="45" t="s">
        <v>386</v>
      </c>
    </row>
    <row r="289" spans="1:3" x14ac:dyDescent="0.2">
      <c r="A289" s="44">
        <v>280</v>
      </c>
      <c r="B289" s="19" t="s">
        <v>98</v>
      </c>
      <c r="C289" s="45" t="s">
        <v>386</v>
      </c>
    </row>
    <row r="290" spans="1:3" x14ac:dyDescent="0.2">
      <c r="A290" s="44">
        <v>281</v>
      </c>
      <c r="B290" s="19" t="s">
        <v>99</v>
      </c>
      <c r="C290" s="45" t="s">
        <v>393</v>
      </c>
    </row>
    <row r="291" spans="1:3" x14ac:dyDescent="0.2">
      <c r="A291" s="44">
        <v>283</v>
      </c>
      <c r="B291" s="19" t="s">
        <v>100</v>
      </c>
      <c r="C291" s="45" t="s">
        <v>393</v>
      </c>
    </row>
    <row r="292" spans="1:3" x14ac:dyDescent="0.2">
      <c r="A292" s="44">
        <v>284</v>
      </c>
      <c r="B292" s="19" t="s">
        <v>42</v>
      </c>
      <c r="C292" s="45" t="s">
        <v>386</v>
      </c>
    </row>
    <row r="293" spans="1:3" x14ac:dyDescent="0.2">
      <c r="A293" s="44">
        <v>285</v>
      </c>
      <c r="B293" s="19" t="s">
        <v>42</v>
      </c>
      <c r="C293" s="45" t="s">
        <v>386</v>
      </c>
    </row>
    <row r="294" spans="1:3" x14ac:dyDescent="0.2">
      <c r="A294" s="44">
        <v>286</v>
      </c>
      <c r="B294" s="19" t="s">
        <v>101</v>
      </c>
      <c r="C294" s="45" t="s">
        <v>386</v>
      </c>
    </row>
    <row r="295" spans="1:3" x14ac:dyDescent="0.2">
      <c r="A295" s="44">
        <v>287</v>
      </c>
      <c r="B295" s="19" t="s">
        <v>102</v>
      </c>
      <c r="C295" s="45" t="s">
        <v>386</v>
      </c>
    </row>
    <row r="296" spans="1:3" x14ac:dyDescent="0.2">
      <c r="A296" s="44">
        <v>288</v>
      </c>
      <c r="B296" s="19" t="s">
        <v>103</v>
      </c>
      <c r="C296" s="45" t="s">
        <v>386</v>
      </c>
    </row>
    <row r="297" spans="1:3" x14ac:dyDescent="0.2">
      <c r="A297" s="44">
        <v>289</v>
      </c>
      <c r="B297" s="19" t="s">
        <v>103</v>
      </c>
      <c r="C297" s="45" t="s">
        <v>386</v>
      </c>
    </row>
    <row r="298" spans="1:3" x14ac:dyDescent="0.2">
      <c r="A298" s="44">
        <v>290</v>
      </c>
      <c r="B298" s="19" t="s">
        <v>103</v>
      </c>
      <c r="C298" s="45" t="s">
        <v>386</v>
      </c>
    </row>
    <row r="299" spans="1:3" x14ac:dyDescent="0.2">
      <c r="A299" s="44">
        <v>291</v>
      </c>
      <c r="B299" s="19" t="s">
        <v>103</v>
      </c>
      <c r="C299" s="45" t="s">
        <v>386</v>
      </c>
    </row>
    <row r="300" spans="1:3" x14ac:dyDescent="0.2">
      <c r="A300" s="44">
        <v>292</v>
      </c>
      <c r="B300" s="19" t="s">
        <v>103</v>
      </c>
      <c r="C300" s="45" t="s">
        <v>386</v>
      </c>
    </row>
    <row r="301" spans="1:3" x14ac:dyDescent="0.2">
      <c r="A301" s="44">
        <v>297</v>
      </c>
      <c r="B301" s="19" t="s">
        <v>103</v>
      </c>
      <c r="C301" s="45" t="s">
        <v>386</v>
      </c>
    </row>
    <row r="302" spans="1:3" x14ac:dyDescent="0.2">
      <c r="A302" s="44">
        <v>298</v>
      </c>
      <c r="B302" s="19" t="s">
        <v>103</v>
      </c>
      <c r="C302" s="45" t="s">
        <v>386</v>
      </c>
    </row>
    <row r="303" spans="1:3" x14ac:dyDescent="0.2">
      <c r="A303" s="44">
        <v>299</v>
      </c>
      <c r="B303" s="19" t="s">
        <v>103</v>
      </c>
      <c r="C303" s="45" t="s">
        <v>386</v>
      </c>
    </row>
    <row r="304" spans="1:3" x14ac:dyDescent="0.2">
      <c r="A304" s="44">
        <v>300</v>
      </c>
      <c r="B304" s="19" t="s">
        <v>104</v>
      </c>
      <c r="C304" s="45" t="s">
        <v>393</v>
      </c>
    </row>
    <row r="305" spans="1:3" x14ac:dyDescent="0.2">
      <c r="A305" s="44">
        <v>301</v>
      </c>
      <c r="B305" s="19" t="s">
        <v>105</v>
      </c>
      <c r="C305" s="45" t="s">
        <v>393</v>
      </c>
    </row>
    <row r="306" spans="1:3" x14ac:dyDescent="0.2">
      <c r="A306" s="44">
        <v>302</v>
      </c>
      <c r="B306" s="19" t="s">
        <v>106</v>
      </c>
      <c r="C306" s="45" t="s">
        <v>393</v>
      </c>
    </row>
    <row r="307" spans="1:3" x14ac:dyDescent="0.2">
      <c r="A307" s="44">
        <v>303</v>
      </c>
      <c r="B307" s="19" t="s">
        <v>103</v>
      </c>
      <c r="C307" s="45" t="s">
        <v>386</v>
      </c>
    </row>
    <row r="308" spans="1:3" x14ac:dyDescent="0.2">
      <c r="A308" s="44">
        <v>304</v>
      </c>
      <c r="B308" s="19" t="s">
        <v>103</v>
      </c>
      <c r="C308" s="45" t="s">
        <v>386</v>
      </c>
    </row>
    <row r="309" spans="1:3" x14ac:dyDescent="0.2">
      <c r="A309" s="44">
        <v>305</v>
      </c>
      <c r="B309" s="19" t="s">
        <v>107</v>
      </c>
      <c r="C309" s="45" t="s">
        <v>393</v>
      </c>
    </row>
    <row r="310" spans="1:3" x14ac:dyDescent="0.2">
      <c r="A310" s="44">
        <v>306</v>
      </c>
      <c r="B310" s="19" t="s">
        <v>107</v>
      </c>
      <c r="C310" s="45" t="s">
        <v>393</v>
      </c>
    </row>
    <row r="311" spans="1:3" x14ac:dyDescent="0.2">
      <c r="A311" s="44">
        <v>307</v>
      </c>
      <c r="B311" s="19" t="s">
        <v>107</v>
      </c>
      <c r="C311" s="45" t="s">
        <v>393</v>
      </c>
    </row>
    <row r="312" spans="1:3" x14ac:dyDescent="0.2">
      <c r="A312" s="44">
        <v>308</v>
      </c>
      <c r="B312" s="19" t="s">
        <v>107</v>
      </c>
      <c r="C312" s="45" t="s">
        <v>393</v>
      </c>
    </row>
    <row r="313" spans="1:3" x14ac:dyDescent="0.2">
      <c r="A313" s="44">
        <v>309</v>
      </c>
      <c r="B313" s="19" t="s">
        <v>108</v>
      </c>
      <c r="C313" s="45" t="s">
        <v>393</v>
      </c>
    </row>
    <row r="314" spans="1:3" x14ac:dyDescent="0.2">
      <c r="A314" s="44">
        <v>310</v>
      </c>
      <c r="B314" s="19" t="s">
        <v>109</v>
      </c>
      <c r="C314" s="45" t="s">
        <v>393</v>
      </c>
    </row>
    <row r="315" spans="1:3" x14ac:dyDescent="0.2">
      <c r="A315" s="44">
        <v>312</v>
      </c>
      <c r="B315" s="19" t="s">
        <v>110</v>
      </c>
      <c r="C315" s="45" t="s">
        <v>386</v>
      </c>
    </row>
    <row r="316" spans="1:3" x14ac:dyDescent="0.2">
      <c r="A316" s="44">
        <v>313</v>
      </c>
      <c r="B316" s="19" t="s">
        <v>111</v>
      </c>
      <c r="C316" s="45" t="s">
        <v>386</v>
      </c>
    </row>
    <row r="317" spans="1:3" x14ac:dyDescent="0.2">
      <c r="A317" s="44">
        <v>314</v>
      </c>
      <c r="B317" s="19" t="s">
        <v>112</v>
      </c>
      <c r="C317" s="45" t="s">
        <v>386</v>
      </c>
    </row>
    <row r="318" spans="1:3" x14ac:dyDescent="0.2">
      <c r="A318" s="44">
        <v>315</v>
      </c>
      <c r="B318" s="19" t="s">
        <v>113</v>
      </c>
      <c r="C318" s="45" t="s">
        <v>386</v>
      </c>
    </row>
    <row r="319" spans="1:3" x14ac:dyDescent="0.2">
      <c r="A319" s="44">
        <v>316</v>
      </c>
      <c r="B319" s="19" t="s">
        <v>114</v>
      </c>
      <c r="C319" s="45" t="s">
        <v>393</v>
      </c>
    </row>
    <row r="320" spans="1:3" x14ac:dyDescent="0.2">
      <c r="A320" s="44">
        <v>317</v>
      </c>
      <c r="B320" s="19" t="s">
        <v>114</v>
      </c>
      <c r="C320" s="45" t="s">
        <v>393</v>
      </c>
    </row>
    <row r="321" spans="1:3" x14ac:dyDescent="0.2">
      <c r="A321" s="44">
        <v>318</v>
      </c>
      <c r="B321" s="19" t="s">
        <v>114</v>
      </c>
      <c r="C321" s="45" t="s">
        <v>393</v>
      </c>
    </row>
    <row r="322" spans="1:3" x14ac:dyDescent="0.2">
      <c r="A322" s="44">
        <v>319</v>
      </c>
      <c r="B322" s="19" t="s">
        <v>115</v>
      </c>
      <c r="C322" s="45" t="s">
        <v>393</v>
      </c>
    </row>
    <row r="323" spans="1:3" x14ac:dyDescent="0.2">
      <c r="A323" s="44">
        <v>320</v>
      </c>
      <c r="B323" s="19" t="s">
        <v>114</v>
      </c>
      <c r="C323" s="45" t="s">
        <v>393</v>
      </c>
    </row>
    <row r="324" spans="1:3" x14ac:dyDescent="0.2">
      <c r="A324" s="44">
        <v>321</v>
      </c>
      <c r="B324" s="19" t="s">
        <v>114</v>
      </c>
      <c r="C324" s="45" t="s">
        <v>393</v>
      </c>
    </row>
    <row r="325" spans="1:3" x14ac:dyDescent="0.2">
      <c r="A325" s="44">
        <v>322</v>
      </c>
      <c r="B325" s="19" t="s">
        <v>114</v>
      </c>
      <c r="C325" s="45" t="s">
        <v>393</v>
      </c>
    </row>
    <row r="326" spans="1:3" x14ac:dyDescent="0.2">
      <c r="A326" s="44">
        <v>323</v>
      </c>
      <c r="B326" s="19" t="s">
        <v>114</v>
      </c>
      <c r="C326" s="45" t="s">
        <v>393</v>
      </c>
    </row>
    <row r="327" spans="1:3" x14ac:dyDescent="0.2">
      <c r="A327" s="44">
        <v>324</v>
      </c>
      <c r="B327" s="19" t="s">
        <v>116</v>
      </c>
      <c r="C327" s="45" t="s">
        <v>393</v>
      </c>
    </row>
    <row r="328" spans="1:3" x14ac:dyDescent="0.2">
      <c r="A328" s="44">
        <v>325</v>
      </c>
      <c r="B328" s="19" t="s">
        <v>117</v>
      </c>
      <c r="C328" s="45" t="s">
        <v>393</v>
      </c>
    </row>
    <row r="329" spans="1:3" x14ac:dyDescent="0.2">
      <c r="A329" s="44">
        <v>326</v>
      </c>
      <c r="B329" s="19" t="s">
        <v>117</v>
      </c>
      <c r="C329" s="45" t="s">
        <v>393</v>
      </c>
    </row>
    <row r="330" spans="1:3" x14ac:dyDescent="0.2">
      <c r="A330" s="44">
        <v>327</v>
      </c>
      <c r="B330" s="19" t="s">
        <v>117</v>
      </c>
      <c r="C330" s="45" t="s">
        <v>393</v>
      </c>
    </row>
    <row r="331" spans="1:3" x14ac:dyDescent="0.2">
      <c r="A331" s="44">
        <v>328</v>
      </c>
      <c r="B331" s="19" t="s">
        <v>117</v>
      </c>
      <c r="C331" s="45" t="s">
        <v>393</v>
      </c>
    </row>
    <row r="332" spans="1:3" x14ac:dyDescent="0.2">
      <c r="A332" s="44">
        <v>329</v>
      </c>
      <c r="B332" s="19" t="s">
        <v>117</v>
      </c>
      <c r="C332" s="45" t="s">
        <v>393</v>
      </c>
    </row>
    <row r="333" spans="1:3" x14ac:dyDescent="0.2">
      <c r="A333" s="44">
        <v>330</v>
      </c>
      <c r="B333" s="19" t="s">
        <v>117</v>
      </c>
      <c r="C333" s="45" t="s">
        <v>393</v>
      </c>
    </row>
    <row r="334" spans="1:3" x14ac:dyDescent="0.2">
      <c r="A334" s="44">
        <v>331</v>
      </c>
      <c r="B334" s="19" t="s">
        <v>117</v>
      </c>
      <c r="C334" s="45" t="s">
        <v>393</v>
      </c>
    </row>
    <row r="335" spans="1:3" x14ac:dyDescent="0.2">
      <c r="A335" s="44">
        <v>332</v>
      </c>
      <c r="B335" s="19" t="s">
        <v>117</v>
      </c>
      <c r="C335" s="45" t="s">
        <v>393</v>
      </c>
    </row>
    <row r="336" spans="1:3" x14ac:dyDescent="0.2">
      <c r="A336" s="44">
        <v>334</v>
      </c>
      <c r="B336" s="19" t="s">
        <v>118</v>
      </c>
      <c r="C336" s="45" t="s">
        <v>393</v>
      </c>
    </row>
    <row r="337" spans="1:3" x14ac:dyDescent="0.2">
      <c r="A337" s="44">
        <v>335</v>
      </c>
      <c r="B337" s="19" t="s">
        <v>119</v>
      </c>
      <c r="C337" s="45" t="s">
        <v>393</v>
      </c>
    </row>
    <row r="338" spans="1:3" x14ac:dyDescent="0.2">
      <c r="A338" s="44">
        <v>336</v>
      </c>
      <c r="B338" s="19" t="s">
        <v>120</v>
      </c>
      <c r="C338" s="45" t="s">
        <v>386</v>
      </c>
    </row>
    <row r="339" spans="1:3" x14ac:dyDescent="0.2">
      <c r="A339" s="44">
        <v>337</v>
      </c>
      <c r="B339" s="19" t="s">
        <v>120</v>
      </c>
      <c r="C339" s="45" t="s">
        <v>386</v>
      </c>
    </row>
    <row r="340" spans="1:3" x14ac:dyDescent="0.2">
      <c r="A340" s="44">
        <v>338</v>
      </c>
      <c r="B340" s="19" t="s">
        <v>121</v>
      </c>
      <c r="C340" s="45" t="s">
        <v>393</v>
      </c>
    </row>
    <row r="341" spans="1:3" x14ac:dyDescent="0.2">
      <c r="A341" s="44">
        <v>339</v>
      </c>
      <c r="B341" s="19" t="s">
        <v>122</v>
      </c>
      <c r="C341" s="45" t="s">
        <v>386</v>
      </c>
    </row>
    <row r="342" spans="1:3" x14ac:dyDescent="0.2">
      <c r="A342" s="44">
        <v>340</v>
      </c>
      <c r="B342" s="19" t="s">
        <v>122</v>
      </c>
      <c r="C342" s="45" t="s">
        <v>386</v>
      </c>
    </row>
    <row r="343" spans="1:3" x14ac:dyDescent="0.2">
      <c r="A343" s="44">
        <v>341</v>
      </c>
      <c r="B343" s="19" t="s">
        <v>122</v>
      </c>
      <c r="C343" s="45" t="s">
        <v>386</v>
      </c>
    </row>
    <row r="344" spans="1:3" x14ac:dyDescent="0.2">
      <c r="A344" s="44">
        <v>342</v>
      </c>
      <c r="B344" s="19" t="s">
        <v>123</v>
      </c>
      <c r="C344" s="45" t="s">
        <v>386</v>
      </c>
    </row>
    <row r="345" spans="1:3" x14ac:dyDescent="0.2">
      <c r="A345" s="44">
        <v>343</v>
      </c>
      <c r="B345" s="19" t="s">
        <v>124</v>
      </c>
      <c r="C345" s="45" t="s">
        <v>386</v>
      </c>
    </row>
    <row r="346" spans="1:3" x14ac:dyDescent="0.2">
      <c r="A346" s="44">
        <v>344</v>
      </c>
      <c r="B346" s="19" t="s">
        <v>125</v>
      </c>
      <c r="C346" s="45" t="s">
        <v>393</v>
      </c>
    </row>
    <row r="347" spans="1:3" x14ac:dyDescent="0.2">
      <c r="A347" s="44">
        <v>345</v>
      </c>
      <c r="B347" s="19" t="s">
        <v>126</v>
      </c>
      <c r="C347" s="45" t="s">
        <v>386</v>
      </c>
    </row>
    <row r="348" spans="1:3" x14ac:dyDescent="0.2">
      <c r="A348" s="44">
        <v>346</v>
      </c>
      <c r="B348" s="19" t="s">
        <v>127</v>
      </c>
      <c r="C348" s="45" t="s">
        <v>386</v>
      </c>
    </row>
    <row r="349" spans="1:3" x14ac:dyDescent="0.2">
      <c r="A349" s="44">
        <v>347</v>
      </c>
      <c r="B349" s="19" t="s">
        <v>128</v>
      </c>
      <c r="C349" s="45" t="s">
        <v>386</v>
      </c>
    </row>
    <row r="350" spans="1:3" x14ac:dyDescent="0.2">
      <c r="A350" s="44">
        <v>348</v>
      </c>
      <c r="B350" s="19" t="s">
        <v>128</v>
      </c>
      <c r="C350" s="45" t="s">
        <v>386</v>
      </c>
    </row>
    <row r="351" spans="1:3" x14ac:dyDescent="0.2">
      <c r="A351" s="44">
        <v>349</v>
      </c>
      <c r="B351" s="19" t="s">
        <v>73</v>
      </c>
      <c r="C351" s="45" t="s">
        <v>393</v>
      </c>
    </row>
    <row r="352" spans="1:3" x14ac:dyDescent="0.2">
      <c r="A352" s="44">
        <v>350</v>
      </c>
      <c r="B352" s="19" t="s">
        <v>129</v>
      </c>
      <c r="C352" s="45" t="s">
        <v>386</v>
      </c>
    </row>
    <row r="353" spans="1:3" x14ac:dyDescent="0.2">
      <c r="A353" s="44">
        <v>351</v>
      </c>
      <c r="B353" s="19" t="s">
        <v>130</v>
      </c>
      <c r="C353" s="45" t="s">
        <v>393</v>
      </c>
    </row>
    <row r="354" spans="1:3" x14ac:dyDescent="0.2">
      <c r="A354" s="44">
        <v>352</v>
      </c>
      <c r="B354" s="19" t="s">
        <v>131</v>
      </c>
      <c r="C354" s="45" t="s">
        <v>393</v>
      </c>
    </row>
    <row r="355" spans="1:3" x14ac:dyDescent="0.2">
      <c r="A355" s="44">
        <v>353</v>
      </c>
      <c r="B355" s="19" t="s">
        <v>132</v>
      </c>
      <c r="C355" s="45" t="s">
        <v>393</v>
      </c>
    </row>
    <row r="356" spans="1:3" x14ac:dyDescent="0.2">
      <c r="A356" s="44">
        <v>354</v>
      </c>
      <c r="B356" s="19" t="s">
        <v>49</v>
      </c>
      <c r="C356" s="45" t="s">
        <v>386</v>
      </c>
    </row>
    <row r="357" spans="1:3" x14ac:dyDescent="0.2">
      <c r="A357" s="44">
        <v>355</v>
      </c>
      <c r="B357" s="19" t="s">
        <v>133</v>
      </c>
      <c r="C357" s="45" t="s">
        <v>393</v>
      </c>
    </row>
    <row r="358" spans="1:3" x14ac:dyDescent="0.2">
      <c r="A358" s="44">
        <v>357</v>
      </c>
      <c r="B358" s="19" t="s">
        <v>134</v>
      </c>
      <c r="C358" s="45" t="s">
        <v>386</v>
      </c>
    </row>
    <row r="359" spans="1:3" x14ac:dyDescent="0.2">
      <c r="A359" s="44">
        <v>358</v>
      </c>
      <c r="B359" s="19" t="s">
        <v>134</v>
      </c>
      <c r="C359" s="45" t="s">
        <v>386</v>
      </c>
    </row>
    <row r="360" spans="1:3" x14ac:dyDescent="0.2">
      <c r="A360" s="44">
        <v>359</v>
      </c>
      <c r="B360" s="19" t="s">
        <v>134</v>
      </c>
      <c r="C360" s="45" t="s">
        <v>386</v>
      </c>
    </row>
    <row r="361" spans="1:3" x14ac:dyDescent="0.2">
      <c r="A361" s="44">
        <v>360</v>
      </c>
      <c r="B361" s="19" t="s">
        <v>134</v>
      </c>
      <c r="C361" s="45" t="s">
        <v>386</v>
      </c>
    </row>
    <row r="362" spans="1:3" x14ac:dyDescent="0.2">
      <c r="A362" s="44">
        <v>361</v>
      </c>
      <c r="B362" s="19" t="s">
        <v>134</v>
      </c>
      <c r="C362" s="45" t="s">
        <v>386</v>
      </c>
    </row>
    <row r="363" spans="1:3" x14ac:dyDescent="0.2">
      <c r="A363" s="44">
        <v>362</v>
      </c>
      <c r="B363" s="19" t="s">
        <v>134</v>
      </c>
      <c r="C363" s="45" t="s">
        <v>386</v>
      </c>
    </row>
    <row r="364" spans="1:3" x14ac:dyDescent="0.2">
      <c r="A364" s="44">
        <v>363</v>
      </c>
      <c r="B364" s="19" t="s">
        <v>134</v>
      </c>
      <c r="C364" s="45" t="s">
        <v>386</v>
      </c>
    </row>
    <row r="365" spans="1:3" x14ac:dyDescent="0.2">
      <c r="A365" s="44">
        <v>364</v>
      </c>
      <c r="B365" s="19" t="s">
        <v>134</v>
      </c>
      <c r="C365" s="45" t="s">
        <v>386</v>
      </c>
    </row>
    <row r="366" spans="1:3" x14ac:dyDescent="0.2">
      <c r="A366" s="44">
        <v>365</v>
      </c>
      <c r="B366" s="19" t="s">
        <v>134</v>
      </c>
      <c r="C366" s="45" t="s">
        <v>386</v>
      </c>
    </row>
    <row r="367" spans="1:3" x14ac:dyDescent="0.2">
      <c r="A367" s="44">
        <v>366</v>
      </c>
      <c r="B367" s="19" t="s">
        <v>134</v>
      </c>
      <c r="C367" s="45" t="s">
        <v>386</v>
      </c>
    </row>
    <row r="368" spans="1:3" x14ac:dyDescent="0.2">
      <c r="A368" s="44">
        <v>367</v>
      </c>
      <c r="B368" s="19" t="s">
        <v>134</v>
      </c>
      <c r="C368" s="45" t="s">
        <v>386</v>
      </c>
    </row>
    <row r="369" spans="1:3" x14ac:dyDescent="0.2">
      <c r="A369" s="44">
        <v>368</v>
      </c>
      <c r="B369" s="19" t="s">
        <v>134</v>
      </c>
      <c r="C369" s="45" t="s">
        <v>386</v>
      </c>
    </row>
    <row r="370" spans="1:3" x14ac:dyDescent="0.2">
      <c r="A370" s="44">
        <v>369</v>
      </c>
      <c r="B370" s="19" t="s">
        <v>134</v>
      </c>
      <c r="C370" s="45" t="s">
        <v>386</v>
      </c>
    </row>
    <row r="371" spans="1:3" x14ac:dyDescent="0.2">
      <c r="A371" s="44">
        <v>370</v>
      </c>
      <c r="B371" s="19" t="s">
        <v>134</v>
      </c>
      <c r="C371" s="45" t="s">
        <v>386</v>
      </c>
    </row>
    <row r="372" spans="1:3" x14ac:dyDescent="0.2">
      <c r="A372" s="44">
        <v>371</v>
      </c>
      <c r="B372" s="19" t="s">
        <v>134</v>
      </c>
      <c r="C372" s="45" t="s">
        <v>386</v>
      </c>
    </row>
    <row r="373" spans="1:3" x14ac:dyDescent="0.2">
      <c r="A373" s="44">
        <v>372</v>
      </c>
      <c r="B373" s="19" t="s">
        <v>114</v>
      </c>
      <c r="C373" s="45" t="s">
        <v>393</v>
      </c>
    </row>
    <row r="374" spans="1:3" x14ac:dyDescent="0.2">
      <c r="A374" s="44">
        <v>373</v>
      </c>
      <c r="B374" s="19" t="s">
        <v>61</v>
      </c>
      <c r="C374" s="45" t="s">
        <v>393</v>
      </c>
    </row>
    <row r="375" spans="1:3" x14ac:dyDescent="0.2">
      <c r="A375" s="44">
        <v>374</v>
      </c>
      <c r="B375" s="19" t="s">
        <v>61</v>
      </c>
      <c r="C375" s="45" t="s">
        <v>393</v>
      </c>
    </row>
    <row r="376" spans="1:3" x14ac:dyDescent="0.2">
      <c r="A376" s="44">
        <v>375</v>
      </c>
      <c r="B376" s="19" t="s">
        <v>61</v>
      </c>
      <c r="C376" s="45" t="s">
        <v>393</v>
      </c>
    </row>
    <row r="377" spans="1:3" x14ac:dyDescent="0.2">
      <c r="A377" s="44">
        <v>376</v>
      </c>
      <c r="B377" s="19" t="s">
        <v>61</v>
      </c>
      <c r="C377" s="45" t="s">
        <v>393</v>
      </c>
    </row>
    <row r="378" spans="1:3" x14ac:dyDescent="0.2">
      <c r="A378" s="44">
        <v>377</v>
      </c>
      <c r="B378" s="19" t="s">
        <v>61</v>
      </c>
      <c r="C378" s="45" t="s">
        <v>393</v>
      </c>
    </row>
    <row r="379" spans="1:3" x14ac:dyDescent="0.2">
      <c r="A379" s="44">
        <v>378</v>
      </c>
      <c r="B379" s="19" t="s">
        <v>61</v>
      </c>
      <c r="C379" s="45" t="s">
        <v>393</v>
      </c>
    </row>
    <row r="380" spans="1:3" x14ac:dyDescent="0.2">
      <c r="A380" s="44">
        <v>380</v>
      </c>
      <c r="B380" s="19" t="s">
        <v>61</v>
      </c>
      <c r="C380" s="45" t="s">
        <v>393</v>
      </c>
    </row>
    <row r="381" spans="1:3" x14ac:dyDescent="0.2">
      <c r="A381" s="44">
        <v>381</v>
      </c>
      <c r="B381" s="19" t="s">
        <v>61</v>
      </c>
      <c r="C381" s="45" t="s">
        <v>393</v>
      </c>
    </row>
    <row r="382" spans="1:3" x14ac:dyDescent="0.2">
      <c r="A382" s="44">
        <v>382</v>
      </c>
      <c r="B382" s="19" t="s">
        <v>61</v>
      </c>
      <c r="C382" s="45" t="s">
        <v>393</v>
      </c>
    </row>
    <row r="383" spans="1:3" x14ac:dyDescent="0.2">
      <c r="A383" s="44">
        <v>384</v>
      </c>
      <c r="B383" s="19" t="s">
        <v>73</v>
      </c>
      <c r="C383" s="45" t="s">
        <v>393</v>
      </c>
    </row>
    <row r="384" spans="1:3" x14ac:dyDescent="0.2">
      <c r="A384" s="44">
        <v>385</v>
      </c>
      <c r="B384" s="19" t="s">
        <v>61</v>
      </c>
      <c r="C384" s="45" t="s">
        <v>393</v>
      </c>
    </row>
    <row r="385" spans="1:3" x14ac:dyDescent="0.2">
      <c r="A385" s="44">
        <v>386</v>
      </c>
      <c r="B385" s="19" t="s">
        <v>42</v>
      </c>
      <c r="C385" s="45" t="s">
        <v>386</v>
      </c>
    </row>
    <row r="386" spans="1:3" x14ac:dyDescent="0.2">
      <c r="A386" s="44">
        <v>387</v>
      </c>
      <c r="B386" s="19" t="s">
        <v>66</v>
      </c>
      <c r="C386" s="45" t="s">
        <v>386</v>
      </c>
    </row>
    <row r="387" spans="1:3" x14ac:dyDescent="0.2">
      <c r="A387" s="44">
        <v>388</v>
      </c>
      <c r="B387" s="19" t="s">
        <v>61</v>
      </c>
      <c r="C387" s="45" t="s">
        <v>393</v>
      </c>
    </row>
    <row r="388" spans="1:3" x14ac:dyDescent="0.2">
      <c r="A388" s="44">
        <v>389</v>
      </c>
      <c r="B388" s="19" t="s">
        <v>52</v>
      </c>
      <c r="C388" s="45" t="s">
        <v>386</v>
      </c>
    </row>
    <row r="389" spans="1:3" x14ac:dyDescent="0.2">
      <c r="A389" s="44">
        <v>390</v>
      </c>
      <c r="B389" s="19" t="s">
        <v>61</v>
      </c>
      <c r="C389" s="45" t="s">
        <v>393</v>
      </c>
    </row>
    <row r="390" spans="1:3" x14ac:dyDescent="0.2">
      <c r="A390" s="44">
        <v>391</v>
      </c>
      <c r="B390" s="19" t="s">
        <v>135</v>
      </c>
      <c r="C390" s="45" t="s">
        <v>386</v>
      </c>
    </row>
    <row r="391" spans="1:3" x14ac:dyDescent="0.2">
      <c r="A391" s="44">
        <v>392</v>
      </c>
      <c r="B391" s="19" t="s">
        <v>136</v>
      </c>
      <c r="C391" s="45" t="s">
        <v>393</v>
      </c>
    </row>
    <row r="392" spans="1:3" x14ac:dyDescent="0.2">
      <c r="A392" s="44">
        <v>393</v>
      </c>
      <c r="B392" s="19" t="s">
        <v>137</v>
      </c>
      <c r="C392" s="45" t="s">
        <v>393</v>
      </c>
    </row>
    <row r="393" spans="1:3" x14ac:dyDescent="0.2">
      <c r="A393" s="44">
        <v>394</v>
      </c>
      <c r="B393" s="19" t="s">
        <v>93</v>
      </c>
      <c r="C393" s="45" t="s">
        <v>393</v>
      </c>
    </row>
    <row r="394" spans="1:3" x14ac:dyDescent="0.2">
      <c r="A394" s="44">
        <v>395</v>
      </c>
      <c r="B394" s="19" t="s">
        <v>138</v>
      </c>
      <c r="C394" s="45" t="s">
        <v>393</v>
      </c>
    </row>
    <row r="395" spans="1:3" x14ac:dyDescent="0.2">
      <c r="A395" s="44">
        <v>396</v>
      </c>
      <c r="B395" s="19" t="s">
        <v>71</v>
      </c>
      <c r="C395" s="45" t="s">
        <v>393</v>
      </c>
    </row>
    <row r="396" spans="1:3" x14ac:dyDescent="0.2">
      <c r="A396" s="44">
        <v>397</v>
      </c>
      <c r="B396" s="19" t="s">
        <v>139</v>
      </c>
      <c r="C396" s="45" t="s">
        <v>393</v>
      </c>
    </row>
    <row r="397" spans="1:3" x14ac:dyDescent="0.2">
      <c r="A397" s="44">
        <v>398</v>
      </c>
      <c r="B397" s="19" t="s">
        <v>140</v>
      </c>
      <c r="C397" s="45" t="s">
        <v>393</v>
      </c>
    </row>
    <row r="398" spans="1:3" x14ac:dyDescent="0.2">
      <c r="A398" s="44">
        <v>399</v>
      </c>
      <c r="B398" s="19" t="s">
        <v>141</v>
      </c>
      <c r="C398" s="45" t="s">
        <v>386</v>
      </c>
    </row>
    <row r="399" spans="1:3" x14ac:dyDescent="0.2">
      <c r="A399" s="44">
        <v>400</v>
      </c>
      <c r="B399" s="19" t="s">
        <v>92</v>
      </c>
      <c r="C399" s="45" t="s">
        <v>393</v>
      </c>
    </row>
    <row r="400" spans="1:3" x14ac:dyDescent="0.2">
      <c r="A400" s="44">
        <v>401</v>
      </c>
      <c r="B400" s="19" t="s">
        <v>142</v>
      </c>
      <c r="C400" s="45" t="s">
        <v>386</v>
      </c>
    </row>
    <row r="401" spans="1:3" x14ac:dyDescent="0.2">
      <c r="A401" s="44">
        <v>403</v>
      </c>
      <c r="B401" s="19" t="s">
        <v>48</v>
      </c>
      <c r="C401" s="45" t="s">
        <v>393</v>
      </c>
    </row>
    <row r="402" spans="1:3" x14ac:dyDescent="0.2">
      <c r="A402" s="44">
        <v>404</v>
      </c>
      <c r="B402" s="19" t="s">
        <v>143</v>
      </c>
      <c r="C402" s="45" t="s">
        <v>393</v>
      </c>
    </row>
    <row r="403" spans="1:3" x14ac:dyDescent="0.2">
      <c r="A403" s="44">
        <v>405</v>
      </c>
      <c r="B403" s="19" t="s">
        <v>144</v>
      </c>
      <c r="C403" s="45" t="s">
        <v>386</v>
      </c>
    </row>
    <row r="404" spans="1:3" x14ac:dyDescent="0.2">
      <c r="A404" s="44">
        <v>406</v>
      </c>
      <c r="B404" s="19" t="s">
        <v>145</v>
      </c>
      <c r="C404" s="45" t="s">
        <v>386</v>
      </c>
    </row>
    <row r="405" spans="1:3" x14ac:dyDescent="0.2">
      <c r="A405" s="44">
        <v>407</v>
      </c>
      <c r="B405" s="19" t="s">
        <v>146</v>
      </c>
      <c r="C405" s="45" t="s">
        <v>386</v>
      </c>
    </row>
    <row r="406" spans="1:3" x14ac:dyDescent="0.2">
      <c r="A406" s="44">
        <v>408</v>
      </c>
      <c r="B406" s="19" t="s">
        <v>147</v>
      </c>
      <c r="C406" s="45" t="s">
        <v>386</v>
      </c>
    </row>
    <row r="407" spans="1:3" x14ac:dyDescent="0.2">
      <c r="A407" s="44">
        <v>409</v>
      </c>
      <c r="B407" s="19" t="s">
        <v>148</v>
      </c>
      <c r="C407" s="45" t="s">
        <v>386</v>
      </c>
    </row>
    <row r="408" spans="1:3" x14ac:dyDescent="0.2">
      <c r="A408" s="44">
        <v>410</v>
      </c>
      <c r="B408" s="19" t="s">
        <v>149</v>
      </c>
      <c r="C408" s="45" t="s">
        <v>386</v>
      </c>
    </row>
    <row r="409" spans="1:3" x14ac:dyDescent="0.2">
      <c r="A409" s="44">
        <v>411</v>
      </c>
      <c r="B409" s="19" t="s">
        <v>150</v>
      </c>
      <c r="C409" s="45" t="s">
        <v>386</v>
      </c>
    </row>
    <row r="410" spans="1:3" x14ac:dyDescent="0.2">
      <c r="A410" s="44">
        <v>412</v>
      </c>
      <c r="B410" s="19" t="s">
        <v>151</v>
      </c>
      <c r="C410" s="45" t="s">
        <v>386</v>
      </c>
    </row>
    <row r="411" spans="1:3" x14ac:dyDescent="0.2">
      <c r="A411" s="44">
        <v>413</v>
      </c>
      <c r="B411" s="19" t="s">
        <v>152</v>
      </c>
      <c r="C411" s="45" t="s">
        <v>386</v>
      </c>
    </row>
    <row r="412" spans="1:3" x14ac:dyDescent="0.2">
      <c r="A412" s="44">
        <v>414</v>
      </c>
      <c r="B412" s="19" t="s">
        <v>153</v>
      </c>
      <c r="C412" s="45" t="s">
        <v>386</v>
      </c>
    </row>
    <row r="413" spans="1:3" x14ac:dyDescent="0.2">
      <c r="A413" s="44">
        <v>415</v>
      </c>
      <c r="B413" s="19" t="s">
        <v>154</v>
      </c>
      <c r="C413" s="45" t="s">
        <v>386</v>
      </c>
    </row>
    <row r="414" spans="1:3" x14ac:dyDescent="0.2">
      <c r="A414" s="44">
        <v>416</v>
      </c>
      <c r="B414" s="19" t="s">
        <v>155</v>
      </c>
      <c r="C414" s="45" t="s">
        <v>386</v>
      </c>
    </row>
    <row r="415" spans="1:3" x14ac:dyDescent="0.2">
      <c r="A415" s="44">
        <v>417</v>
      </c>
      <c r="B415" s="19" t="s">
        <v>156</v>
      </c>
      <c r="C415" s="45" t="s">
        <v>386</v>
      </c>
    </row>
    <row r="416" spans="1:3" x14ac:dyDescent="0.2">
      <c r="A416" s="44">
        <v>418</v>
      </c>
      <c r="B416" s="19" t="s">
        <v>157</v>
      </c>
      <c r="C416" s="45" t="s">
        <v>386</v>
      </c>
    </row>
    <row r="417" spans="1:3" x14ac:dyDescent="0.2">
      <c r="A417" s="44">
        <v>419</v>
      </c>
      <c r="B417" s="19" t="s">
        <v>158</v>
      </c>
      <c r="C417" s="45" t="s">
        <v>386</v>
      </c>
    </row>
    <row r="418" spans="1:3" x14ac:dyDescent="0.2">
      <c r="A418" s="44">
        <v>420</v>
      </c>
      <c r="B418" s="19" t="s">
        <v>159</v>
      </c>
      <c r="C418" s="45" t="s">
        <v>386</v>
      </c>
    </row>
    <row r="419" spans="1:3" x14ac:dyDescent="0.2">
      <c r="A419" s="44">
        <v>421</v>
      </c>
      <c r="B419" s="19" t="s">
        <v>160</v>
      </c>
      <c r="C419" s="45" t="s">
        <v>386</v>
      </c>
    </row>
    <row r="420" spans="1:3" x14ac:dyDescent="0.2">
      <c r="A420" s="44">
        <v>422</v>
      </c>
      <c r="B420" s="19" t="s">
        <v>161</v>
      </c>
      <c r="C420" s="45" t="s">
        <v>386</v>
      </c>
    </row>
    <row r="421" spans="1:3" x14ac:dyDescent="0.2">
      <c r="A421" s="44">
        <v>423</v>
      </c>
      <c r="B421" s="19" t="s">
        <v>162</v>
      </c>
      <c r="C421" s="45" t="s">
        <v>386</v>
      </c>
    </row>
    <row r="422" spans="1:3" x14ac:dyDescent="0.2">
      <c r="A422" s="44">
        <v>424</v>
      </c>
      <c r="B422" s="19" t="s">
        <v>163</v>
      </c>
      <c r="C422" s="45" t="s">
        <v>386</v>
      </c>
    </row>
    <row r="423" spans="1:3" x14ac:dyDescent="0.2">
      <c r="A423" s="44">
        <v>425</v>
      </c>
      <c r="B423" s="19" t="s">
        <v>164</v>
      </c>
      <c r="C423" s="45" t="s">
        <v>393</v>
      </c>
    </row>
    <row r="424" spans="1:3" x14ac:dyDescent="0.2">
      <c r="A424" s="44">
        <v>426</v>
      </c>
      <c r="B424" s="19" t="s">
        <v>73</v>
      </c>
      <c r="C424" s="45" t="s">
        <v>393</v>
      </c>
    </row>
    <row r="425" spans="1:3" x14ac:dyDescent="0.2">
      <c r="A425" s="44">
        <v>427</v>
      </c>
      <c r="B425" s="19" t="s">
        <v>165</v>
      </c>
      <c r="C425" s="45" t="s">
        <v>393</v>
      </c>
    </row>
    <row r="426" spans="1:3" x14ac:dyDescent="0.2">
      <c r="A426" s="44">
        <v>428</v>
      </c>
      <c r="B426" s="19" t="s">
        <v>166</v>
      </c>
      <c r="C426" s="45" t="s">
        <v>167</v>
      </c>
    </row>
    <row r="427" spans="1:3" x14ac:dyDescent="0.2">
      <c r="A427" s="44">
        <v>429</v>
      </c>
      <c r="B427" s="19" t="s">
        <v>168</v>
      </c>
      <c r="C427" s="45" t="s">
        <v>167</v>
      </c>
    </row>
    <row r="428" spans="1:3" x14ac:dyDescent="0.2">
      <c r="A428" s="44">
        <v>430</v>
      </c>
      <c r="B428" s="19" t="s">
        <v>169</v>
      </c>
      <c r="C428" s="45" t="s">
        <v>167</v>
      </c>
    </row>
    <row r="429" spans="1:3" x14ac:dyDescent="0.2">
      <c r="A429" s="44">
        <v>431</v>
      </c>
      <c r="B429" s="19" t="s">
        <v>170</v>
      </c>
      <c r="C429" s="45" t="s">
        <v>167</v>
      </c>
    </row>
    <row r="430" spans="1:3" x14ac:dyDescent="0.2">
      <c r="A430" s="44">
        <v>432</v>
      </c>
      <c r="B430" s="19" t="s">
        <v>73</v>
      </c>
      <c r="C430" s="45" t="s">
        <v>393</v>
      </c>
    </row>
    <row r="431" spans="1:3" x14ac:dyDescent="0.2">
      <c r="A431" s="44">
        <v>434</v>
      </c>
      <c r="B431" s="19" t="s">
        <v>171</v>
      </c>
      <c r="C431" s="45" t="s">
        <v>386</v>
      </c>
    </row>
    <row r="432" spans="1:3" x14ac:dyDescent="0.2">
      <c r="A432" s="44">
        <v>435</v>
      </c>
      <c r="B432" s="19" t="s">
        <v>172</v>
      </c>
      <c r="C432" s="45" t="s">
        <v>393</v>
      </c>
    </row>
    <row r="433" spans="1:3" x14ac:dyDescent="0.2">
      <c r="A433" s="44">
        <v>436</v>
      </c>
      <c r="B433" s="19" t="s">
        <v>173</v>
      </c>
      <c r="C433" s="45" t="s">
        <v>393</v>
      </c>
    </row>
    <row r="434" spans="1:3" x14ac:dyDescent="0.2">
      <c r="A434" s="44">
        <v>437</v>
      </c>
      <c r="B434" s="19" t="s">
        <v>174</v>
      </c>
      <c r="C434" s="45" t="s">
        <v>393</v>
      </c>
    </row>
    <row r="435" spans="1:3" x14ac:dyDescent="0.2">
      <c r="A435" s="44">
        <v>439</v>
      </c>
      <c r="B435" s="19" t="s">
        <v>175</v>
      </c>
      <c r="C435" s="45" t="s">
        <v>393</v>
      </c>
    </row>
    <row r="436" spans="1:3" x14ac:dyDescent="0.2">
      <c r="A436" s="44">
        <v>440</v>
      </c>
      <c r="B436" s="19" t="s">
        <v>176</v>
      </c>
      <c r="C436" s="45" t="s">
        <v>393</v>
      </c>
    </row>
    <row r="437" spans="1:3" x14ac:dyDescent="0.2">
      <c r="A437" s="44">
        <v>441</v>
      </c>
      <c r="B437" s="19" t="s">
        <v>77</v>
      </c>
      <c r="C437" s="45" t="s">
        <v>393</v>
      </c>
    </row>
    <row r="438" spans="1:3" x14ac:dyDescent="0.2">
      <c r="A438" s="44">
        <v>442</v>
      </c>
      <c r="B438" s="19" t="s">
        <v>73</v>
      </c>
      <c r="C438" s="45" t="s">
        <v>393</v>
      </c>
    </row>
    <row r="439" spans="1:3" x14ac:dyDescent="0.2">
      <c r="A439" s="44">
        <v>443</v>
      </c>
      <c r="B439" s="19" t="s">
        <v>114</v>
      </c>
      <c r="C439" s="45" t="s">
        <v>393</v>
      </c>
    </row>
    <row r="440" spans="1:3" x14ac:dyDescent="0.2">
      <c r="A440" s="44">
        <v>444</v>
      </c>
      <c r="B440" s="19" t="s">
        <v>117</v>
      </c>
      <c r="C440" s="45" t="s">
        <v>393</v>
      </c>
    </row>
    <row r="441" spans="1:3" x14ac:dyDescent="0.2">
      <c r="A441" s="44">
        <v>444</v>
      </c>
      <c r="B441" s="19" t="s">
        <v>117</v>
      </c>
      <c r="C441" s="45" t="s">
        <v>393</v>
      </c>
    </row>
    <row r="442" spans="1:3" x14ac:dyDescent="0.2">
      <c r="A442" s="44">
        <v>445</v>
      </c>
      <c r="B442" s="19" t="s">
        <v>177</v>
      </c>
      <c r="C442" s="45" t="s">
        <v>393</v>
      </c>
    </row>
    <row r="443" spans="1:3" x14ac:dyDescent="0.2">
      <c r="A443" s="44">
        <v>446</v>
      </c>
      <c r="B443" s="19" t="s">
        <v>177</v>
      </c>
      <c r="C443" s="45" t="s">
        <v>393</v>
      </c>
    </row>
    <row r="444" spans="1:3" x14ac:dyDescent="0.2">
      <c r="A444" s="44">
        <v>447</v>
      </c>
      <c r="B444" s="19" t="s">
        <v>88</v>
      </c>
      <c r="C444" s="45" t="s">
        <v>393</v>
      </c>
    </row>
    <row r="445" spans="1:3" x14ac:dyDescent="0.2">
      <c r="A445" s="44">
        <v>448</v>
      </c>
      <c r="B445" s="19" t="s">
        <v>88</v>
      </c>
      <c r="C445" s="45" t="s">
        <v>393</v>
      </c>
    </row>
    <row r="446" spans="1:3" x14ac:dyDescent="0.2">
      <c r="A446" s="44">
        <v>449</v>
      </c>
      <c r="B446" s="19" t="s">
        <v>88</v>
      </c>
      <c r="C446" s="45" t="s">
        <v>393</v>
      </c>
    </row>
    <row r="447" spans="1:3" x14ac:dyDescent="0.2">
      <c r="A447" s="44">
        <v>450</v>
      </c>
      <c r="B447" s="19" t="s">
        <v>88</v>
      </c>
      <c r="C447" s="45" t="s">
        <v>393</v>
      </c>
    </row>
    <row r="448" spans="1:3" x14ac:dyDescent="0.2">
      <c r="A448" s="44">
        <v>451</v>
      </c>
      <c r="B448" s="19" t="s">
        <v>88</v>
      </c>
      <c r="C448" s="45" t="s">
        <v>393</v>
      </c>
    </row>
    <row r="449" spans="1:3" x14ac:dyDescent="0.2">
      <c r="A449" s="44">
        <v>452</v>
      </c>
      <c r="B449" s="19" t="s">
        <v>88</v>
      </c>
      <c r="C449" s="45" t="s">
        <v>393</v>
      </c>
    </row>
    <row r="450" spans="1:3" x14ac:dyDescent="0.2">
      <c r="A450" s="44">
        <v>453</v>
      </c>
      <c r="B450" s="19" t="s">
        <v>88</v>
      </c>
      <c r="C450" s="45" t="s">
        <v>393</v>
      </c>
    </row>
    <row r="451" spans="1:3" x14ac:dyDescent="0.2">
      <c r="A451" s="44">
        <v>454</v>
      </c>
      <c r="B451" s="19" t="s">
        <v>88</v>
      </c>
      <c r="C451" s="45" t="s">
        <v>393</v>
      </c>
    </row>
    <row r="452" spans="1:3" x14ac:dyDescent="0.2">
      <c r="A452" s="44">
        <v>455</v>
      </c>
      <c r="B452" s="19" t="s">
        <v>88</v>
      </c>
      <c r="C452" s="45" t="s">
        <v>393</v>
      </c>
    </row>
    <row r="453" spans="1:3" x14ac:dyDescent="0.2">
      <c r="A453" s="44">
        <v>456</v>
      </c>
      <c r="B453" s="19" t="s">
        <v>88</v>
      </c>
      <c r="C453" s="45" t="s">
        <v>393</v>
      </c>
    </row>
    <row r="454" spans="1:3" x14ac:dyDescent="0.2">
      <c r="A454" s="44">
        <v>459</v>
      </c>
      <c r="B454" s="19" t="s">
        <v>88</v>
      </c>
      <c r="C454" s="45" t="s">
        <v>393</v>
      </c>
    </row>
    <row r="455" spans="1:3" x14ac:dyDescent="0.2">
      <c r="A455" s="44">
        <v>460</v>
      </c>
      <c r="B455" s="19" t="s">
        <v>178</v>
      </c>
      <c r="C455" s="45" t="s">
        <v>386</v>
      </c>
    </row>
    <row r="456" spans="1:3" x14ac:dyDescent="0.2">
      <c r="A456" s="44">
        <v>461</v>
      </c>
      <c r="B456" s="19" t="s">
        <v>178</v>
      </c>
      <c r="C456" s="45" t="s">
        <v>386</v>
      </c>
    </row>
    <row r="457" spans="1:3" x14ac:dyDescent="0.2">
      <c r="A457" s="44">
        <v>462</v>
      </c>
      <c r="B457" s="19" t="s">
        <v>179</v>
      </c>
      <c r="C457" s="45" t="s">
        <v>386</v>
      </c>
    </row>
    <row r="458" spans="1:3" x14ac:dyDescent="0.2">
      <c r="A458" s="44">
        <v>463</v>
      </c>
      <c r="B458" s="19" t="s">
        <v>180</v>
      </c>
      <c r="C458" s="45" t="s">
        <v>386</v>
      </c>
    </row>
    <row r="459" spans="1:3" x14ac:dyDescent="0.2">
      <c r="A459" s="44">
        <v>464</v>
      </c>
      <c r="B459" s="19" t="s">
        <v>181</v>
      </c>
      <c r="C459" s="45" t="s">
        <v>393</v>
      </c>
    </row>
    <row r="460" spans="1:3" x14ac:dyDescent="0.2">
      <c r="A460" s="44">
        <v>465</v>
      </c>
      <c r="B460" s="19" t="s">
        <v>182</v>
      </c>
      <c r="C460" s="45" t="s">
        <v>393</v>
      </c>
    </row>
    <row r="461" spans="1:3" x14ac:dyDescent="0.2">
      <c r="A461" s="44">
        <v>466</v>
      </c>
      <c r="B461" s="19" t="s">
        <v>183</v>
      </c>
      <c r="C461" s="45" t="s">
        <v>393</v>
      </c>
    </row>
    <row r="462" spans="1:3" x14ac:dyDescent="0.2">
      <c r="A462" s="44">
        <v>467</v>
      </c>
      <c r="B462" s="19" t="s">
        <v>183</v>
      </c>
      <c r="C462" s="45" t="s">
        <v>393</v>
      </c>
    </row>
    <row r="463" spans="1:3" x14ac:dyDescent="0.2">
      <c r="A463" s="44">
        <v>468</v>
      </c>
      <c r="B463" s="19" t="s">
        <v>183</v>
      </c>
      <c r="C463" s="45" t="s">
        <v>393</v>
      </c>
    </row>
    <row r="464" spans="1:3" x14ac:dyDescent="0.2">
      <c r="A464" s="44">
        <v>469</v>
      </c>
      <c r="B464" s="19" t="s">
        <v>183</v>
      </c>
      <c r="C464" s="45" t="s">
        <v>393</v>
      </c>
    </row>
    <row r="465" spans="1:3" x14ac:dyDescent="0.2">
      <c r="A465" s="44">
        <v>470</v>
      </c>
      <c r="B465" s="19" t="s">
        <v>183</v>
      </c>
      <c r="C465" s="45" t="s">
        <v>393</v>
      </c>
    </row>
    <row r="466" spans="1:3" x14ac:dyDescent="0.2">
      <c r="A466" s="44">
        <v>473</v>
      </c>
      <c r="B466" s="19" t="s">
        <v>184</v>
      </c>
      <c r="C466" s="45" t="s">
        <v>393</v>
      </c>
    </row>
    <row r="467" spans="1:3" x14ac:dyDescent="0.2">
      <c r="A467" s="44">
        <v>474</v>
      </c>
      <c r="B467" s="19" t="s">
        <v>185</v>
      </c>
      <c r="C467" s="45" t="s">
        <v>386</v>
      </c>
    </row>
    <row r="468" spans="1:3" x14ac:dyDescent="0.2">
      <c r="A468" s="44">
        <v>475</v>
      </c>
      <c r="B468" s="19" t="s">
        <v>186</v>
      </c>
      <c r="C468" s="45" t="s">
        <v>393</v>
      </c>
    </row>
    <row r="469" spans="1:3" x14ac:dyDescent="0.2">
      <c r="A469" s="44">
        <v>476</v>
      </c>
      <c r="B469" s="19" t="s">
        <v>187</v>
      </c>
      <c r="C469" s="45" t="s">
        <v>386</v>
      </c>
    </row>
    <row r="470" spans="1:3" x14ac:dyDescent="0.2">
      <c r="A470" s="44">
        <v>477</v>
      </c>
      <c r="B470" s="19" t="s">
        <v>187</v>
      </c>
      <c r="C470" s="45" t="s">
        <v>386</v>
      </c>
    </row>
    <row r="471" spans="1:3" x14ac:dyDescent="0.2">
      <c r="A471" s="44">
        <v>478</v>
      </c>
      <c r="B471" s="19" t="s">
        <v>117</v>
      </c>
      <c r="C471" s="45" t="s">
        <v>393</v>
      </c>
    </row>
    <row r="472" spans="1:3" x14ac:dyDescent="0.2">
      <c r="A472" s="44">
        <v>479</v>
      </c>
      <c r="B472" s="19" t="s">
        <v>175</v>
      </c>
      <c r="C472" s="45" t="s">
        <v>393</v>
      </c>
    </row>
    <row r="473" spans="1:3" x14ac:dyDescent="0.2">
      <c r="A473" s="44">
        <v>480</v>
      </c>
      <c r="B473" s="19" t="s">
        <v>175</v>
      </c>
      <c r="C473" s="45" t="s">
        <v>393</v>
      </c>
    </row>
    <row r="474" spans="1:3" x14ac:dyDescent="0.2">
      <c r="A474" s="44">
        <v>481</v>
      </c>
      <c r="B474" s="19" t="s">
        <v>175</v>
      </c>
      <c r="C474" s="45" t="s">
        <v>393</v>
      </c>
    </row>
    <row r="475" spans="1:3" x14ac:dyDescent="0.2">
      <c r="A475" s="44">
        <v>482</v>
      </c>
      <c r="B475" s="19" t="s">
        <v>188</v>
      </c>
      <c r="C475" s="45" t="s">
        <v>189</v>
      </c>
    </row>
    <row r="476" spans="1:3" x14ac:dyDescent="0.2">
      <c r="A476" s="44">
        <v>483</v>
      </c>
      <c r="B476" s="19" t="s">
        <v>190</v>
      </c>
      <c r="C476" s="45" t="s">
        <v>189</v>
      </c>
    </row>
    <row r="477" spans="1:3" x14ac:dyDescent="0.2">
      <c r="A477" s="44">
        <v>484</v>
      </c>
      <c r="B477" s="19" t="s">
        <v>191</v>
      </c>
      <c r="C477" s="45" t="s">
        <v>189</v>
      </c>
    </row>
    <row r="478" spans="1:3" x14ac:dyDescent="0.2">
      <c r="A478" s="44">
        <v>485</v>
      </c>
      <c r="B478" s="19" t="s">
        <v>192</v>
      </c>
      <c r="C478" s="45" t="s">
        <v>189</v>
      </c>
    </row>
    <row r="479" spans="1:3" x14ac:dyDescent="0.2">
      <c r="A479" s="44">
        <v>486</v>
      </c>
      <c r="B479" s="19" t="s">
        <v>193</v>
      </c>
      <c r="C479" s="45" t="s">
        <v>189</v>
      </c>
    </row>
    <row r="480" spans="1:3" x14ac:dyDescent="0.2">
      <c r="A480" s="44">
        <v>487</v>
      </c>
      <c r="B480" s="19" t="s">
        <v>194</v>
      </c>
      <c r="C480" s="45" t="s">
        <v>189</v>
      </c>
    </row>
    <row r="481" spans="1:3" x14ac:dyDescent="0.2">
      <c r="A481" s="44">
        <v>488</v>
      </c>
      <c r="B481" s="19" t="s">
        <v>195</v>
      </c>
      <c r="C481" s="45" t="s">
        <v>189</v>
      </c>
    </row>
    <row r="482" spans="1:3" x14ac:dyDescent="0.2">
      <c r="A482" s="44">
        <v>489</v>
      </c>
      <c r="B482" s="19" t="s">
        <v>196</v>
      </c>
      <c r="C482" s="45" t="s">
        <v>189</v>
      </c>
    </row>
    <row r="483" spans="1:3" x14ac:dyDescent="0.2">
      <c r="A483" s="44">
        <v>490</v>
      </c>
      <c r="B483" s="19" t="s">
        <v>197</v>
      </c>
      <c r="C483" s="45" t="s">
        <v>189</v>
      </c>
    </row>
    <row r="484" spans="1:3" x14ac:dyDescent="0.2">
      <c r="A484" s="44">
        <v>491</v>
      </c>
      <c r="B484" s="19" t="s">
        <v>198</v>
      </c>
      <c r="C484" s="45" t="s">
        <v>189</v>
      </c>
    </row>
    <row r="485" spans="1:3" x14ac:dyDescent="0.2">
      <c r="A485" s="44">
        <v>492</v>
      </c>
      <c r="B485" s="19" t="s">
        <v>199</v>
      </c>
      <c r="C485" s="45" t="s">
        <v>189</v>
      </c>
    </row>
    <row r="486" spans="1:3" x14ac:dyDescent="0.2">
      <c r="A486" s="44">
        <v>493</v>
      </c>
      <c r="B486" s="19" t="s">
        <v>200</v>
      </c>
      <c r="C486" s="45" t="s">
        <v>189</v>
      </c>
    </row>
    <row r="487" spans="1:3" x14ac:dyDescent="0.2">
      <c r="A487" s="44">
        <v>494</v>
      </c>
      <c r="B487" s="19" t="s">
        <v>201</v>
      </c>
      <c r="C487" s="45" t="s">
        <v>189</v>
      </c>
    </row>
    <row r="488" spans="1:3" x14ac:dyDescent="0.2">
      <c r="A488" s="44">
        <v>495</v>
      </c>
      <c r="B488" s="19" t="s">
        <v>202</v>
      </c>
      <c r="C488" s="45" t="s">
        <v>189</v>
      </c>
    </row>
    <row r="489" spans="1:3" x14ac:dyDescent="0.2">
      <c r="A489" s="44">
        <v>496</v>
      </c>
      <c r="B489" s="19" t="s">
        <v>203</v>
      </c>
      <c r="C489" s="45" t="s">
        <v>189</v>
      </c>
    </row>
    <row r="490" spans="1:3" x14ac:dyDescent="0.2">
      <c r="A490" s="44">
        <v>497</v>
      </c>
      <c r="B490" s="19" t="s">
        <v>204</v>
      </c>
      <c r="C490" s="45" t="s">
        <v>189</v>
      </c>
    </row>
    <row r="491" spans="1:3" x14ac:dyDescent="0.2">
      <c r="A491" s="44">
        <v>498</v>
      </c>
      <c r="B491" s="19" t="s">
        <v>205</v>
      </c>
      <c r="C491" s="45" t="s">
        <v>189</v>
      </c>
    </row>
    <row r="492" spans="1:3" x14ac:dyDescent="0.2">
      <c r="A492" s="44">
        <v>701</v>
      </c>
      <c r="B492" s="19" t="s">
        <v>206</v>
      </c>
      <c r="C492" s="45" t="s">
        <v>386</v>
      </c>
    </row>
    <row r="493" spans="1:3" x14ac:dyDescent="0.2">
      <c r="A493" s="44">
        <v>702</v>
      </c>
      <c r="B493" s="19" t="s">
        <v>206</v>
      </c>
      <c r="C493" s="45" t="s">
        <v>386</v>
      </c>
    </row>
    <row r="494" spans="1:3" x14ac:dyDescent="0.2">
      <c r="A494" s="44">
        <v>703</v>
      </c>
      <c r="B494" s="19" t="s">
        <v>140</v>
      </c>
      <c r="C494" s="45" t="s">
        <v>386</v>
      </c>
    </row>
    <row r="495" spans="1:3" x14ac:dyDescent="0.2">
      <c r="A495" s="44">
        <v>704</v>
      </c>
      <c r="B495" s="19" t="s">
        <v>140</v>
      </c>
      <c r="C495" s="45" t="s">
        <v>386</v>
      </c>
    </row>
    <row r="496" spans="1:3" x14ac:dyDescent="0.2">
      <c r="A496" s="44">
        <v>705</v>
      </c>
      <c r="B496" s="19" t="s">
        <v>140</v>
      </c>
      <c r="C496" s="45" t="s">
        <v>386</v>
      </c>
    </row>
    <row r="497" spans="1:3" x14ac:dyDescent="0.2">
      <c r="A497" s="44">
        <v>706</v>
      </c>
      <c r="B497" s="19" t="s">
        <v>140</v>
      </c>
      <c r="C497" s="45" t="s">
        <v>386</v>
      </c>
    </row>
    <row r="498" spans="1:3" x14ac:dyDescent="0.2">
      <c r="A498" s="44">
        <v>707</v>
      </c>
      <c r="B498" s="19" t="s">
        <v>140</v>
      </c>
      <c r="C498" s="45" t="s">
        <v>386</v>
      </c>
    </row>
    <row r="499" spans="1:3" x14ac:dyDescent="0.2">
      <c r="A499" s="44">
        <v>708</v>
      </c>
      <c r="B499" s="19" t="s">
        <v>140</v>
      </c>
      <c r="C499" s="45" t="s">
        <v>386</v>
      </c>
    </row>
    <row r="500" spans="1:3" x14ac:dyDescent="0.2">
      <c r="A500" s="44">
        <v>709</v>
      </c>
      <c r="B500" s="19" t="s">
        <v>140</v>
      </c>
      <c r="C500" s="45" t="s">
        <v>386</v>
      </c>
    </row>
    <row r="501" spans="1:3" x14ac:dyDescent="0.2">
      <c r="A501" s="44">
        <v>710</v>
      </c>
      <c r="B501" s="19" t="s">
        <v>140</v>
      </c>
      <c r="C501" s="45" t="s">
        <v>386</v>
      </c>
    </row>
    <row r="502" spans="1:3" x14ac:dyDescent="0.2">
      <c r="A502" s="44">
        <v>711</v>
      </c>
      <c r="B502" s="19" t="s">
        <v>140</v>
      </c>
      <c r="C502" s="45" t="s">
        <v>386</v>
      </c>
    </row>
    <row r="503" spans="1:3" x14ac:dyDescent="0.2">
      <c r="A503" s="44">
        <v>712</v>
      </c>
      <c r="B503" s="19" t="s">
        <v>207</v>
      </c>
      <c r="C503" s="45" t="s">
        <v>386</v>
      </c>
    </row>
    <row r="504" spans="1:3" x14ac:dyDescent="0.2">
      <c r="A504" s="44">
        <v>713</v>
      </c>
      <c r="B504" s="19" t="s">
        <v>207</v>
      </c>
      <c r="C504" s="45" t="s">
        <v>386</v>
      </c>
    </row>
    <row r="505" spans="1:3" x14ac:dyDescent="0.2">
      <c r="A505" s="44">
        <v>714</v>
      </c>
      <c r="B505" s="19" t="s">
        <v>207</v>
      </c>
      <c r="C505" s="45" t="s">
        <v>386</v>
      </c>
    </row>
    <row r="506" spans="1:3" x14ac:dyDescent="0.2">
      <c r="A506" s="44">
        <v>715</v>
      </c>
      <c r="B506" s="19" t="s">
        <v>207</v>
      </c>
      <c r="C506" s="45" t="s">
        <v>386</v>
      </c>
    </row>
    <row r="507" spans="1:3" x14ac:dyDescent="0.2">
      <c r="A507" s="44">
        <v>716</v>
      </c>
      <c r="B507" s="19" t="s">
        <v>208</v>
      </c>
      <c r="C507" s="45" t="s">
        <v>386</v>
      </c>
    </row>
    <row r="508" spans="1:3" x14ac:dyDescent="0.2">
      <c r="A508" s="44">
        <v>717</v>
      </c>
      <c r="B508" s="19" t="s">
        <v>208</v>
      </c>
      <c r="C508" s="45" t="s">
        <v>386</v>
      </c>
    </row>
    <row r="509" spans="1:3" x14ac:dyDescent="0.2">
      <c r="A509" s="44">
        <v>718</v>
      </c>
      <c r="B509" s="19" t="s">
        <v>209</v>
      </c>
      <c r="C509" s="45" t="s">
        <v>386</v>
      </c>
    </row>
    <row r="510" spans="1:3" x14ac:dyDescent="0.2">
      <c r="A510" s="44">
        <v>719</v>
      </c>
      <c r="B510" s="19" t="s">
        <v>209</v>
      </c>
      <c r="C510" s="45" t="s">
        <v>386</v>
      </c>
    </row>
    <row r="511" spans="1:3" x14ac:dyDescent="0.2">
      <c r="A511" s="44">
        <v>720</v>
      </c>
      <c r="B511" s="19" t="s">
        <v>74</v>
      </c>
      <c r="C511" s="45" t="s">
        <v>393</v>
      </c>
    </row>
    <row r="512" spans="1:3" x14ac:dyDescent="0.2">
      <c r="A512" s="44">
        <v>721</v>
      </c>
      <c r="B512" s="19" t="s">
        <v>210</v>
      </c>
      <c r="C512" s="45" t="s">
        <v>393</v>
      </c>
    </row>
    <row r="513" spans="1:3" x14ac:dyDescent="0.2">
      <c r="A513" s="44">
        <v>722</v>
      </c>
      <c r="B513" s="19" t="s">
        <v>210</v>
      </c>
      <c r="C513" s="45" t="s">
        <v>393</v>
      </c>
    </row>
    <row r="514" spans="1:3" x14ac:dyDescent="0.2">
      <c r="A514" s="44">
        <v>723</v>
      </c>
      <c r="B514" s="19" t="s">
        <v>210</v>
      </c>
      <c r="C514" s="45" t="s">
        <v>393</v>
      </c>
    </row>
    <row r="515" spans="1:3" x14ac:dyDescent="0.2">
      <c r="A515" s="44">
        <v>724</v>
      </c>
      <c r="B515" s="19" t="s">
        <v>210</v>
      </c>
      <c r="C515" s="45" t="s">
        <v>393</v>
      </c>
    </row>
    <row r="516" spans="1:3" x14ac:dyDescent="0.2">
      <c r="A516" s="44">
        <v>725</v>
      </c>
      <c r="B516" s="19" t="s">
        <v>210</v>
      </c>
      <c r="C516" s="45" t="s">
        <v>393</v>
      </c>
    </row>
    <row r="517" spans="1:3" x14ac:dyDescent="0.2">
      <c r="A517" s="44">
        <v>726</v>
      </c>
      <c r="B517" s="19" t="s">
        <v>210</v>
      </c>
      <c r="C517" s="45" t="s">
        <v>393</v>
      </c>
    </row>
    <row r="518" spans="1:3" x14ac:dyDescent="0.2">
      <c r="A518" s="44">
        <v>727</v>
      </c>
      <c r="B518" s="19" t="s">
        <v>210</v>
      </c>
      <c r="C518" s="45" t="s">
        <v>393</v>
      </c>
    </row>
    <row r="519" spans="1:3" x14ac:dyDescent="0.2">
      <c r="A519" s="44">
        <v>728</v>
      </c>
      <c r="B519" s="19" t="s">
        <v>211</v>
      </c>
      <c r="C519" s="45" t="s">
        <v>393</v>
      </c>
    </row>
    <row r="520" spans="1:3" x14ac:dyDescent="0.2">
      <c r="A520" s="44">
        <v>729</v>
      </c>
      <c r="B520" s="19" t="s">
        <v>210</v>
      </c>
      <c r="C520" s="45" t="s">
        <v>393</v>
      </c>
    </row>
    <row r="521" spans="1:3" x14ac:dyDescent="0.2">
      <c r="A521" s="44">
        <v>730</v>
      </c>
      <c r="B521" s="19" t="s">
        <v>211</v>
      </c>
      <c r="C521" s="45" t="s">
        <v>393</v>
      </c>
    </row>
    <row r="522" spans="1:3" x14ac:dyDescent="0.2">
      <c r="A522" s="44">
        <v>731</v>
      </c>
      <c r="B522" s="19" t="s">
        <v>210</v>
      </c>
      <c r="C522" s="45" t="s">
        <v>393</v>
      </c>
    </row>
    <row r="523" spans="1:3" x14ac:dyDescent="0.2">
      <c r="A523" s="44">
        <v>732</v>
      </c>
      <c r="B523" s="19" t="s">
        <v>211</v>
      </c>
      <c r="C523" s="45" t="s">
        <v>393</v>
      </c>
    </row>
    <row r="524" spans="1:3" x14ac:dyDescent="0.2">
      <c r="A524" s="44">
        <v>733</v>
      </c>
      <c r="B524" s="19" t="s">
        <v>210</v>
      </c>
      <c r="C524" s="45" t="s">
        <v>393</v>
      </c>
    </row>
    <row r="525" spans="1:3" x14ac:dyDescent="0.2">
      <c r="A525" s="44">
        <v>734</v>
      </c>
      <c r="B525" s="19" t="s">
        <v>211</v>
      </c>
      <c r="C525" s="45" t="s">
        <v>393</v>
      </c>
    </row>
    <row r="526" spans="1:3" x14ac:dyDescent="0.2">
      <c r="A526" s="44">
        <v>735</v>
      </c>
      <c r="B526" s="19" t="s">
        <v>210</v>
      </c>
      <c r="C526" s="45" t="s">
        <v>393</v>
      </c>
    </row>
    <row r="527" spans="1:3" x14ac:dyDescent="0.2">
      <c r="A527" s="44">
        <v>736</v>
      </c>
      <c r="B527" s="19" t="s">
        <v>211</v>
      </c>
      <c r="C527" s="45" t="s">
        <v>393</v>
      </c>
    </row>
    <row r="528" spans="1:3" x14ac:dyDescent="0.2">
      <c r="A528" s="44">
        <v>737</v>
      </c>
      <c r="B528" s="19" t="s">
        <v>210</v>
      </c>
      <c r="C528" s="45" t="s">
        <v>393</v>
      </c>
    </row>
    <row r="529" spans="1:3" x14ac:dyDescent="0.2">
      <c r="A529" s="44">
        <v>738</v>
      </c>
      <c r="B529" s="19" t="s">
        <v>211</v>
      </c>
      <c r="C529" s="45" t="s">
        <v>393</v>
      </c>
    </row>
    <row r="530" spans="1:3" x14ac:dyDescent="0.2">
      <c r="A530" s="44">
        <v>739</v>
      </c>
      <c r="B530" s="19" t="s">
        <v>210</v>
      </c>
      <c r="C530" s="45" t="s">
        <v>393</v>
      </c>
    </row>
    <row r="531" spans="1:3" x14ac:dyDescent="0.2">
      <c r="A531" s="44">
        <v>740</v>
      </c>
      <c r="B531" s="19" t="s">
        <v>211</v>
      </c>
      <c r="C531" s="45" t="s">
        <v>393</v>
      </c>
    </row>
    <row r="532" spans="1:3" x14ac:dyDescent="0.2">
      <c r="A532" s="44">
        <v>741</v>
      </c>
      <c r="B532" s="19" t="s">
        <v>210</v>
      </c>
      <c r="C532" s="45" t="s">
        <v>393</v>
      </c>
    </row>
    <row r="533" spans="1:3" x14ac:dyDescent="0.2">
      <c r="A533" s="44">
        <v>742</v>
      </c>
      <c r="B533" s="19" t="s">
        <v>211</v>
      </c>
      <c r="C533" s="45" t="s">
        <v>393</v>
      </c>
    </row>
    <row r="534" spans="1:3" x14ac:dyDescent="0.2">
      <c r="A534" s="44">
        <v>743</v>
      </c>
      <c r="B534" s="19" t="s">
        <v>210</v>
      </c>
      <c r="C534" s="45" t="s">
        <v>393</v>
      </c>
    </row>
    <row r="535" spans="1:3" x14ac:dyDescent="0.2">
      <c r="A535" s="44">
        <v>744</v>
      </c>
      <c r="B535" s="19" t="s">
        <v>211</v>
      </c>
      <c r="C535" s="45" t="s">
        <v>393</v>
      </c>
    </row>
    <row r="536" spans="1:3" x14ac:dyDescent="0.2">
      <c r="A536" s="44">
        <v>745</v>
      </c>
      <c r="B536" s="19" t="s">
        <v>210</v>
      </c>
      <c r="C536" s="45" t="s">
        <v>393</v>
      </c>
    </row>
    <row r="537" spans="1:3" x14ac:dyDescent="0.2">
      <c r="A537" s="44">
        <v>746</v>
      </c>
      <c r="B537" s="19" t="s">
        <v>211</v>
      </c>
      <c r="C537" s="45" t="s">
        <v>393</v>
      </c>
    </row>
    <row r="538" spans="1:3" x14ac:dyDescent="0.2">
      <c r="A538" s="44">
        <v>747</v>
      </c>
      <c r="B538" s="19" t="s">
        <v>210</v>
      </c>
      <c r="C538" s="45" t="s">
        <v>393</v>
      </c>
    </row>
    <row r="539" spans="1:3" x14ac:dyDescent="0.2">
      <c r="A539" s="44">
        <v>748</v>
      </c>
      <c r="B539" s="19" t="s">
        <v>210</v>
      </c>
      <c r="C539" s="45" t="s">
        <v>393</v>
      </c>
    </row>
    <row r="540" spans="1:3" x14ac:dyDescent="0.2">
      <c r="A540" s="44">
        <v>749</v>
      </c>
      <c r="B540" s="19" t="s">
        <v>211</v>
      </c>
      <c r="C540" s="45" t="s">
        <v>393</v>
      </c>
    </row>
    <row r="541" spans="1:3" x14ac:dyDescent="0.2">
      <c r="A541" s="44">
        <v>752</v>
      </c>
      <c r="B541" s="19" t="s">
        <v>210</v>
      </c>
      <c r="C541" s="45" t="s">
        <v>393</v>
      </c>
    </row>
    <row r="542" spans="1:3" x14ac:dyDescent="0.2">
      <c r="A542" s="44">
        <v>753</v>
      </c>
      <c r="B542" s="19" t="s">
        <v>212</v>
      </c>
      <c r="C542" s="45" t="s">
        <v>393</v>
      </c>
    </row>
    <row r="543" spans="1:3" x14ac:dyDescent="0.2">
      <c r="A543" s="44">
        <v>754</v>
      </c>
      <c r="B543" s="19" t="s">
        <v>210</v>
      </c>
      <c r="C543" s="45" t="s">
        <v>393</v>
      </c>
    </row>
    <row r="544" spans="1:3" x14ac:dyDescent="0.2">
      <c r="A544" s="44">
        <v>755</v>
      </c>
      <c r="B544" s="19" t="s">
        <v>212</v>
      </c>
      <c r="C544" s="45" t="s">
        <v>393</v>
      </c>
    </row>
    <row r="545" spans="1:3" x14ac:dyDescent="0.2">
      <c r="A545" s="44">
        <v>756</v>
      </c>
      <c r="B545" s="19" t="s">
        <v>210</v>
      </c>
      <c r="C545" s="45" t="s">
        <v>393</v>
      </c>
    </row>
    <row r="546" spans="1:3" x14ac:dyDescent="0.2">
      <c r="A546" s="44">
        <v>757</v>
      </c>
      <c r="B546" s="19" t="s">
        <v>212</v>
      </c>
      <c r="C546" s="45" t="s">
        <v>393</v>
      </c>
    </row>
    <row r="547" spans="1:3" x14ac:dyDescent="0.2">
      <c r="A547" s="44">
        <v>758</v>
      </c>
      <c r="B547" s="19" t="s">
        <v>210</v>
      </c>
      <c r="C547" s="45" t="s">
        <v>393</v>
      </c>
    </row>
    <row r="548" spans="1:3" x14ac:dyDescent="0.2">
      <c r="A548" s="44">
        <v>759</v>
      </c>
      <c r="B548" s="19" t="s">
        <v>212</v>
      </c>
      <c r="C548" s="45" t="s">
        <v>393</v>
      </c>
    </row>
    <row r="549" spans="1:3" x14ac:dyDescent="0.2">
      <c r="A549" s="44">
        <v>760</v>
      </c>
      <c r="B549" s="19" t="s">
        <v>210</v>
      </c>
      <c r="C549" s="45" t="s">
        <v>393</v>
      </c>
    </row>
    <row r="550" spans="1:3" x14ac:dyDescent="0.2">
      <c r="A550" s="44">
        <v>761</v>
      </c>
      <c r="B550" s="19" t="s">
        <v>212</v>
      </c>
      <c r="C550" s="45" t="s">
        <v>393</v>
      </c>
    </row>
    <row r="551" spans="1:3" x14ac:dyDescent="0.2">
      <c r="A551" s="44">
        <v>762</v>
      </c>
      <c r="B551" s="19" t="s">
        <v>210</v>
      </c>
      <c r="C551" s="45" t="s">
        <v>393</v>
      </c>
    </row>
    <row r="552" spans="1:3" x14ac:dyDescent="0.2">
      <c r="A552" s="44">
        <v>763</v>
      </c>
      <c r="B552" s="19" t="s">
        <v>212</v>
      </c>
      <c r="C552" s="45" t="s">
        <v>393</v>
      </c>
    </row>
    <row r="553" spans="1:3" x14ac:dyDescent="0.2">
      <c r="A553" s="44">
        <v>764</v>
      </c>
      <c r="B553" s="19" t="s">
        <v>210</v>
      </c>
      <c r="C553" s="45" t="s">
        <v>393</v>
      </c>
    </row>
    <row r="554" spans="1:3" x14ac:dyDescent="0.2">
      <c r="A554" s="44">
        <v>765</v>
      </c>
      <c r="B554" s="19" t="s">
        <v>212</v>
      </c>
      <c r="C554" s="45" t="s">
        <v>393</v>
      </c>
    </row>
    <row r="555" spans="1:3" x14ac:dyDescent="0.2">
      <c r="A555" s="44">
        <v>766</v>
      </c>
      <c r="B555" s="19" t="s">
        <v>210</v>
      </c>
      <c r="C555" s="45" t="s">
        <v>393</v>
      </c>
    </row>
    <row r="556" spans="1:3" x14ac:dyDescent="0.2">
      <c r="A556" s="44">
        <v>767</v>
      </c>
      <c r="B556" s="19" t="s">
        <v>212</v>
      </c>
      <c r="C556" s="45" t="s">
        <v>393</v>
      </c>
    </row>
    <row r="557" spans="1:3" x14ac:dyDescent="0.2">
      <c r="A557" s="44">
        <v>768</v>
      </c>
      <c r="B557" s="19" t="s">
        <v>210</v>
      </c>
      <c r="C557" s="45" t="s">
        <v>393</v>
      </c>
    </row>
    <row r="558" spans="1:3" x14ac:dyDescent="0.2">
      <c r="A558" s="44">
        <v>769</v>
      </c>
      <c r="B558" s="19" t="s">
        <v>212</v>
      </c>
      <c r="C558" s="45" t="s">
        <v>393</v>
      </c>
    </row>
    <row r="559" spans="1:3" x14ac:dyDescent="0.2">
      <c r="A559" s="44">
        <v>770</v>
      </c>
      <c r="B559" s="19" t="s">
        <v>213</v>
      </c>
      <c r="C559" s="45" t="s">
        <v>393</v>
      </c>
    </row>
    <row r="560" spans="1:3" x14ac:dyDescent="0.2">
      <c r="A560" s="44">
        <v>775</v>
      </c>
      <c r="B560" s="19" t="s">
        <v>214</v>
      </c>
      <c r="C560" s="45" t="s">
        <v>386</v>
      </c>
    </row>
    <row r="561" spans="1:3" x14ac:dyDescent="0.2">
      <c r="A561" s="44">
        <v>776</v>
      </c>
      <c r="B561" s="19" t="s">
        <v>214</v>
      </c>
      <c r="C561" s="45" t="s">
        <v>386</v>
      </c>
    </row>
    <row r="562" spans="1:3" x14ac:dyDescent="0.2">
      <c r="A562" s="44">
        <v>781</v>
      </c>
      <c r="B562" s="19" t="s">
        <v>210</v>
      </c>
      <c r="C562" s="45" t="s">
        <v>386</v>
      </c>
    </row>
    <row r="563" spans="1:3" x14ac:dyDescent="0.2">
      <c r="A563" s="44">
        <v>782</v>
      </c>
      <c r="B563" s="19" t="s">
        <v>210</v>
      </c>
      <c r="C563" s="45" t="s">
        <v>393</v>
      </c>
    </row>
    <row r="564" spans="1:3" x14ac:dyDescent="0.2">
      <c r="A564" s="44">
        <v>783</v>
      </c>
      <c r="B564" s="19" t="s">
        <v>210</v>
      </c>
      <c r="C564" s="45" t="s">
        <v>393</v>
      </c>
    </row>
    <row r="565" spans="1:3" x14ac:dyDescent="0.2">
      <c r="A565" s="44">
        <v>784</v>
      </c>
      <c r="B565" s="19" t="s">
        <v>210</v>
      </c>
      <c r="C565" s="45" t="s">
        <v>393</v>
      </c>
    </row>
    <row r="566" spans="1:3" x14ac:dyDescent="0.2">
      <c r="A566" s="44">
        <v>785</v>
      </c>
      <c r="B566" s="19" t="s">
        <v>210</v>
      </c>
      <c r="C566" s="45" t="s">
        <v>393</v>
      </c>
    </row>
    <row r="567" spans="1:3" x14ac:dyDescent="0.2">
      <c r="A567" s="44">
        <v>786</v>
      </c>
      <c r="B567" s="19" t="s">
        <v>210</v>
      </c>
      <c r="C567" s="45" t="s">
        <v>393</v>
      </c>
    </row>
    <row r="568" spans="1:3" x14ac:dyDescent="0.2">
      <c r="A568" s="44">
        <v>787</v>
      </c>
      <c r="B568" s="19" t="s">
        <v>215</v>
      </c>
      <c r="C568" s="45" t="s">
        <v>393</v>
      </c>
    </row>
    <row r="569" spans="1:3" x14ac:dyDescent="0.2">
      <c r="A569" s="44">
        <v>788</v>
      </c>
      <c r="B569" s="19" t="s">
        <v>216</v>
      </c>
      <c r="C569" s="45" t="s">
        <v>393</v>
      </c>
    </row>
    <row r="570" spans="1:3" x14ac:dyDescent="0.2">
      <c r="A570" s="44">
        <v>789</v>
      </c>
      <c r="B570" s="19" t="s">
        <v>217</v>
      </c>
      <c r="C570" s="45" t="s">
        <v>393</v>
      </c>
    </row>
    <row r="571" spans="1:3" x14ac:dyDescent="0.2">
      <c r="A571" s="44">
        <v>790</v>
      </c>
      <c r="B571" s="19" t="s">
        <v>218</v>
      </c>
      <c r="C571" s="45" t="s">
        <v>393</v>
      </c>
    </row>
    <row r="572" spans="1:3" x14ac:dyDescent="0.2">
      <c r="A572" s="44">
        <v>791</v>
      </c>
      <c r="B572" s="19" t="s">
        <v>219</v>
      </c>
      <c r="C572" s="45" t="s">
        <v>393</v>
      </c>
    </row>
    <row r="573" spans="1:3" x14ac:dyDescent="0.2">
      <c r="A573" s="44">
        <v>792</v>
      </c>
      <c r="B573" s="19" t="s">
        <v>220</v>
      </c>
      <c r="C573" s="45" t="s">
        <v>393</v>
      </c>
    </row>
    <row r="574" spans="1:3" x14ac:dyDescent="0.2">
      <c r="A574" s="44">
        <v>793</v>
      </c>
      <c r="B574" s="19" t="s">
        <v>210</v>
      </c>
      <c r="C574" s="45" t="s">
        <v>393</v>
      </c>
    </row>
    <row r="575" spans="1:3" x14ac:dyDescent="0.2">
      <c r="A575" s="44">
        <v>794</v>
      </c>
      <c r="B575" s="19" t="s">
        <v>211</v>
      </c>
      <c r="C575" s="45" t="s">
        <v>393</v>
      </c>
    </row>
    <row r="576" spans="1:3" x14ac:dyDescent="0.2">
      <c r="A576" s="44">
        <v>801</v>
      </c>
      <c r="B576" s="19" t="s">
        <v>137</v>
      </c>
      <c r="C576" s="45" t="s">
        <v>393</v>
      </c>
    </row>
    <row r="577" spans="1:3" x14ac:dyDescent="0.2">
      <c r="A577" s="44">
        <v>802</v>
      </c>
      <c r="B577" s="19" t="s">
        <v>221</v>
      </c>
      <c r="C577" s="45" t="s">
        <v>393</v>
      </c>
    </row>
    <row r="578" spans="1:3" x14ac:dyDescent="0.2">
      <c r="A578" s="44">
        <v>803</v>
      </c>
      <c r="B578" s="19" t="s">
        <v>222</v>
      </c>
      <c r="C578" s="45" t="s">
        <v>386</v>
      </c>
    </row>
    <row r="579" spans="1:3" x14ac:dyDescent="0.2">
      <c r="A579" s="44">
        <v>804</v>
      </c>
      <c r="B579" s="19" t="s">
        <v>221</v>
      </c>
      <c r="C579" s="45" t="s">
        <v>393</v>
      </c>
    </row>
    <row r="580" spans="1:3" x14ac:dyDescent="0.2">
      <c r="A580" s="44">
        <v>805</v>
      </c>
      <c r="B580" s="19" t="s">
        <v>222</v>
      </c>
      <c r="C580" s="45" t="s">
        <v>386</v>
      </c>
    </row>
    <row r="581" spans="1:3" x14ac:dyDescent="0.2">
      <c r="A581" s="44">
        <v>806</v>
      </c>
      <c r="B581" s="19" t="s">
        <v>221</v>
      </c>
      <c r="C581" s="45" t="s">
        <v>393</v>
      </c>
    </row>
    <row r="582" spans="1:3" x14ac:dyDescent="0.2">
      <c r="A582" s="44">
        <v>807</v>
      </c>
      <c r="B582" s="19" t="s">
        <v>222</v>
      </c>
      <c r="C582" s="45" t="s">
        <v>386</v>
      </c>
    </row>
    <row r="583" spans="1:3" x14ac:dyDescent="0.2">
      <c r="A583" s="44">
        <v>808</v>
      </c>
      <c r="B583" s="19" t="s">
        <v>221</v>
      </c>
      <c r="C583" s="45" t="s">
        <v>393</v>
      </c>
    </row>
    <row r="584" spans="1:3" x14ac:dyDescent="0.2">
      <c r="A584" s="44">
        <v>809</v>
      </c>
      <c r="B584" s="19" t="s">
        <v>222</v>
      </c>
      <c r="C584" s="45" t="s">
        <v>386</v>
      </c>
    </row>
    <row r="585" spans="1:3" x14ac:dyDescent="0.2">
      <c r="A585" s="44">
        <v>810</v>
      </c>
      <c r="B585" s="19" t="s">
        <v>221</v>
      </c>
      <c r="C585" s="45" t="s">
        <v>393</v>
      </c>
    </row>
    <row r="586" spans="1:3" x14ac:dyDescent="0.2">
      <c r="A586" s="44">
        <v>811</v>
      </c>
      <c r="B586" s="19" t="s">
        <v>222</v>
      </c>
      <c r="C586" s="45" t="s">
        <v>386</v>
      </c>
    </row>
    <row r="587" spans="1:3" x14ac:dyDescent="0.2">
      <c r="A587" s="44">
        <v>812</v>
      </c>
      <c r="B587" s="19" t="s">
        <v>221</v>
      </c>
      <c r="C587" s="45" t="s">
        <v>393</v>
      </c>
    </row>
    <row r="588" spans="1:3" x14ac:dyDescent="0.2">
      <c r="A588" s="44">
        <v>813</v>
      </c>
      <c r="B588" s="19" t="s">
        <v>222</v>
      </c>
      <c r="C588" s="45" t="s">
        <v>386</v>
      </c>
    </row>
    <row r="589" spans="1:3" x14ac:dyDescent="0.2">
      <c r="A589" s="44">
        <v>814</v>
      </c>
      <c r="B589" s="19" t="s">
        <v>221</v>
      </c>
      <c r="C589" s="45" t="s">
        <v>393</v>
      </c>
    </row>
    <row r="590" spans="1:3" x14ac:dyDescent="0.2">
      <c r="A590" s="44">
        <v>815</v>
      </c>
      <c r="B590" s="19" t="s">
        <v>222</v>
      </c>
      <c r="C590" s="45" t="s">
        <v>386</v>
      </c>
    </row>
    <row r="591" spans="1:3" x14ac:dyDescent="0.2">
      <c r="A591" s="44">
        <v>816</v>
      </c>
      <c r="B591" s="19" t="s">
        <v>221</v>
      </c>
      <c r="C591" s="45" t="s">
        <v>393</v>
      </c>
    </row>
    <row r="592" spans="1:3" x14ac:dyDescent="0.2">
      <c r="A592" s="44">
        <v>817</v>
      </c>
      <c r="B592" s="19" t="s">
        <v>222</v>
      </c>
      <c r="C592" s="45" t="s">
        <v>386</v>
      </c>
    </row>
    <row r="593" spans="1:3" x14ac:dyDescent="0.2">
      <c r="A593" s="44">
        <v>818</v>
      </c>
      <c r="B593" s="19" t="s">
        <v>221</v>
      </c>
      <c r="C593" s="45" t="s">
        <v>393</v>
      </c>
    </row>
    <row r="594" spans="1:3" x14ac:dyDescent="0.2">
      <c r="A594" s="44">
        <v>819</v>
      </c>
      <c r="B594" s="19" t="s">
        <v>222</v>
      </c>
      <c r="C594" s="45" t="s">
        <v>386</v>
      </c>
    </row>
    <row r="595" spans="1:3" x14ac:dyDescent="0.2">
      <c r="A595" s="44">
        <v>820</v>
      </c>
      <c r="B595" s="19" t="s">
        <v>221</v>
      </c>
      <c r="C595" s="45" t="s">
        <v>393</v>
      </c>
    </row>
    <row r="596" spans="1:3" x14ac:dyDescent="0.2">
      <c r="A596" s="44">
        <v>821</v>
      </c>
      <c r="B596" s="19" t="s">
        <v>222</v>
      </c>
      <c r="C596" s="45" t="s">
        <v>386</v>
      </c>
    </row>
    <row r="597" spans="1:3" x14ac:dyDescent="0.2">
      <c r="A597" s="44">
        <v>822</v>
      </c>
      <c r="B597" s="19" t="s">
        <v>221</v>
      </c>
      <c r="C597" s="45" t="s">
        <v>393</v>
      </c>
    </row>
    <row r="598" spans="1:3" x14ac:dyDescent="0.2">
      <c r="A598" s="44">
        <v>823</v>
      </c>
      <c r="B598" s="19" t="s">
        <v>222</v>
      </c>
      <c r="C598" s="45" t="s">
        <v>386</v>
      </c>
    </row>
    <row r="599" spans="1:3" x14ac:dyDescent="0.2">
      <c r="A599" s="44">
        <v>824</v>
      </c>
      <c r="B599" s="19" t="s">
        <v>221</v>
      </c>
      <c r="C599" s="45" t="s">
        <v>393</v>
      </c>
    </row>
    <row r="600" spans="1:3" x14ac:dyDescent="0.2">
      <c r="A600" s="44">
        <v>825</v>
      </c>
      <c r="B600" s="19" t="s">
        <v>222</v>
      </c>
      <c r="C600" s="45" t="s">
        <v>386</v>
      </c>
    </row>
    <row r="601" spans="1:3" x14ac:dyDescent="0.2">
      <c r="A601" s="44">
        <v>826</v>
      </c>
      <c r="B601" s="19" t="s">
        <v>221</v>
      </c>
      <c r="C601" s="45" t="s">
        <v>393</v>
      </c>
    </row>
    <row r="602" spans="1:3" x14ac:dyDescent="0.2">
      <c r="A602" s="44">
        <v>827</v>
      </c>
      <c r="B602" s="19" t="s">
        <v>222</v>
      </c>
      <c r="C602" s="45" t="s">
        <v>386</v>
      </c>
    </row>
    <row r="603" spans="1:3" x14ac:dyDescent="0.2">
      <c r="A603" s="44">
        <v>828</v>
      </c>
      <c r="B603" s="19" t="s">
        <v>221</v>
      </c>
      <c r="C603" s="45" t="s">
        <v>393</v>
      </c>
    </row>
    <row r="604" spans="1:3" x14ac:dyDescent="0.2">
      <c r="A604" s="44">
        <v>829</v>
      </c>
      <c r="B604" s="19" t="s">
        <v>222</v>
      </c>
      <c r="C604" s="45" t="s">
        <v>386</v>
      </c>
    </row>
    <row r="605" spans="1:3" x14ac:dyDescent="0.2">
      <c r="A605" s="44">
        <v>830</v>
      </c>
      <c r="B605" s="19" t="s">
        <v>221</v>
      </c>
      <c r="C605" s="45" t="s">
        <v>393</v>
      </c>
    </row>
    <row r="606" spans="1:3" x14ac:dyDescent="0.2">
      <c r="A606" s="44">
        <v>831</v>
      </c>
      <c r="B606" s="19" t="s">
        <v>222</v>
      </c>
      <c r="C606" s="45" t="s">
        <v>386</v>
      </c>
    </row>
    <row r="607" spans="1:3" x14ac:dyDescent="0.2">
      <c r="A607" s="44">
        <v>832</v>
      </c>
      <c r="B607" s="19" t="s">
        <v>221</v>
      </c>
      <c r="C607" s="45" t="s">
        <v>393</v>
      </c>
    </row>
    <row r="608" spans="1:3" x14ac:dyDescent="0.2">
      <c r="A608" s="44">
        <v>833</v>
      </c>
      <c r="B608" s="19" t="s">
        <v>222</v>
      </c>
      <c r="C608" s="45" t="s">
        <v>386</v>
      </c>
    </row>
    <row r="609" spans="1:3" x14ac:dyDescent="0.2">
      <c r="A609" s="44">
        <v>834</v>
      </c>
      <c r="B609" s="19" t="s">
        <v>221</v>
      </c>
      <c r="C609" s="45" t="s">
        <v>393</v>
      </c>
    </row>
    <row r="610" spans="1:3" x14ac:dyDescent="0.2">
      <c r="A610" s="44">
        <v>835</v>
      </c>
      <c r="B610" s="19" t="s">
        <v>222</v>
      </c>
      <c r="C610" s="45" t="s">
        <v>386</v>
      </c>
    </row>
    <row r="611" spans="1:3" x14ac:dyDescent="0.2">
      <c r="A611" s="44">
        <v>836</v>
      </c>
      <c r="B611" s="19" t="s">
        <v>221</v>
      </c>
      <c r="C611" s="45" t="s">
        <v>393</v>
      </c>
    </row>
    <row r="612" spans="1:3" x14ac:dyDescent="0.2">
      <c r="A612" s="44">
        <v>837</v>
      </c>
      <c r="B612" s="19" t="s">
        <v>222</v>
      </c>
      <c r="C612" s="45" t="s">
        <v>386</v>
      </c>
    </row>
    <row r="613" spans="1:3" x14ac:dyDescent="0.2">
      <c r="A613" s="44">
        <v>838</v>
      </c>
      <c r="B613" s="19" t="s">
        <v>221</v>
      </c>
      <c r="C613" s="45" t="s">
        <v>393</v>
      </c>
    </row>
    <row r="614" spans="1:3" x14ac:dyDescent="0.2">
      <c r="A614" s="44">
        <v>839</v>
      </c>
      <c r="B614" s="19" t="s">
        <v>222</v>
      </c>
      <c r="C614" s="45" t="s">
        <v>386</v>
      </c>
    </row>
    <row r="615" spans="1:3" x14ac:dyDescent="0.2">
      <c r="A615" s="44">
        <v>840</v>
      </c>
      <c r="B615" s="19" t="s">
        <v>221</v>
      </c>
      <c r="C615" s="45" t="s">
        <v>393</v>
      </c>
    </row>
    <row r="616" spans="1:3" x14ac:dyDescent="0.2">
      <c r="A616" s="44">
        <v>841</v>
      </c>
      <c r="B616" s="19" t="s">
        <v>222</v>
      </c>
      <c r="C616" s="45" t="s">
        <v>386</v>
      </c>
    </row>
    <row r="617" spans="1:3" x14ac:dyDescent="0.2">
      <c r="A617" s="44">
        <v>842</v>
      </c>
      <c r="B617" s="19" t="s">
        <v>221</v>
      </c>
      <c r="C617" s="45" t="s">
        <v>393</v>
      </c>
    </row>
    <row r="618" spans="1:3" x14ac:dyDescent="0.2">
      <c r="A618" s="44">
        <v>843</v>
      </c>
      <c r="B618" s="19" t="s">
        <v>222</v>
      </c>
      <c r="C618" s="45" t="s">
        <v>386</v>
      </c>
    </row>
    <row r="619" spans="1:3" x14ac:dyDescent="0.2">
      <c r="A619" s="44">
        <v>844</v>
      </c>
      <c r="B619" s="19" t="s">
        <v>221</v>
      </c>
      <c r="C619" s="45" t="s">
        <v>393</v>
      </c>
    </row>
    <row r="620" spans="1:3" x14ac:dyDescent="0.2">
      <c r="A620" s="44">
        <v>845</v>
      </c>
      <c r="B620" s="19" t="s">
        <v>222</v>
      </c>
      <c r="C620" s="45" t="s">
        <v>386</v>
      </c>
    </row>
    <row r="621" spans="1:3" x14ac:dyDescent="0.2">
      <c r="A621" s="44">
        <v>846</v>
      </c>
      <c r="B621" s="19" t="s">
        <v>221</v>
      </c>
      <c r="C621" s="45" t="s">
        <v>393</v>
      </c>
    </row>
    <row r="622" spans="1:3" x14ac:dyDescent="0.2">
      <c r="A622" s="44">
        <v>847</v>
      </c>
      <c r="B622" s="19" t="s">
        <v>222</v>
      </c>
      <c r="C622" s="45" t="s">
        <v>386</v>
      </c>
    </row>
    <row r="623" spans="1:3" x14ac:dyDescent="0.2">
      <c r="A623" s="44">
        <v>848</v>
      </c>
      <c r="B623" s="19" t="s">
        <v>221</v>
      </c>
      <c r="C623" s="45" t="s">
        <v>393</v>
      </c>
    </row>
    <row r="624" spans="1:3" x14ac:dyDescent="0.2">
      <c r="A624" s="44">
        <v>849</v>
      </c>
      <c r="B624" s="19" t="s">
        <v>222</v>
      </c>
      <c r="C624" s="45" t="s">
        <v>386</v>
      </c>
    </row>
    <row r="625" spans="1:3" x14ac:dyDescent="0.2">
      <c r="A625" s="44">
        <v>850</v>
      </c>
      <c r="B625" s="19" t="s">
        <v>222</v>
      </c>
      <c r="C625" s="45" t="s">
        <v>386</v>
      </c>
    </row>
    <row r="626" spans="1:3" x14ac:dyDescent="0.2">
      <c r="A626" s="44">
        <v>851</v>
      </c>
      <c r="B626" s="19" t="s">
        <v>222</v>
      </c>
      <c r="C626" s="45" t="s">
        <v>386</v>
      </c>
    </row>
    <row r="627" spans="1:3" x14ac:dyDescent="0.2">
      <c r="A627" s="44">
        <v>852</v>
      </c>
      <c r="B627" s="19" t="s">
        <v>221</v>
      </c>
      <c r="C627" s="45" t="s">
        <v>393</v>
      </c>
    </row>
    <row r="628" spans="1:3" x14ac:dyDescent="0.2">
      <c r="A628" s="44">
        <v>853</v>
      </c>
      <c r="B628" s="19" t="s">
        <v>221</v>
      </c>
      <c r="C628" s="45" t="s">
        <v>393</v>
      </c>
    </row>
    <row r="629" spans="1:3" x14ac:dyDescent="0.2">
      <c r="A629" s="44">
        <v>854</v>
      </c>
      <c r="B629" s="19" t="s">
        <v>221</v>
      </c>
      <c r="C629" s="45" t="s">
        <v>393</v>
      </c>
    </row>
    <row r="630" spans="1:3" x14ac:dyDescent="0.2">
      <c r="A630" s="44">
        <v>855</v>
      </c>
      <c r="B630" s="19" t="s">
        <v>221</v>
      </c>
      <c r="C630" s="45" t="s">
        <v>393</v>
      </c>
    </row>
    <row r="631" spans="1:3" x14ac:dyDescent="0.2">
      <c r="A631" s="44">
        <v>856</v>
      </c>
      <c r="B631" s="19" t="s">
        <v>221</v>
      </c>
      <c r="C631" s="45" t="s">
        <v>393</v>
      </c>
    </row>
    <row r="632" spans="1:3" x14ac:dyDescent="0.2">
      <c r="A632" s="44">
        <v>857</v>
      </c>
      <c r="B632" s="19" t="s">
        <v>221</v>
      </c>
      <c r="C632" s="45" t="s">
        <v>393</v>
      </c>
    </row>
    <row r="633" spans="1:3" x14ac:dyDescent="0.2">
      <c r="A633" s="44">
        <v>858</v>
      </c>
      <c r="B633" s="19" t="s">
        <v>221</v>
      </c>
      <c r="C633" s="45" t="s">
        <v>393</v>
      </c>
    </row>
    <row r="634" spans="1:3" x14ac:dyDescent="0.2">
      <c r="A634" s="44">
        <v>859</v>
      </c>
      <c r="B634" s="19" t="s">
        <v>221</v>
      </c>
      <c r="C634" s="45" t="s">
        <v>393</v>
      </c>
    </row>
    <row r="635" spans="1:3" x14ac:dyDescent="0.2">
      <c r="A635" s="44">
        <v>860</v>
      </c>
      <c r="B635" s="19" t="s">
        <v>221</v>
      </c>
      <c r="C635" s="45" t="s">
        <v>393</v>
      </c>
    </row>
    <row r="636" spans="1:3" x14ac:dyDescent="0.2">
      <c r="A636" s="44">
        <v>861</v>
      </c>
      <c r="B636" s="19" t="s">
        <v>221</v>
      </c>
      <c r="C636" s="45" t="s">
        <v>393</v>
      </c>
    </row>
    <row r="637" spans="1:3" x14ac:dyDescent="0.2">
      <c r="A637" s="44">
        <v>862</v>
      </c>
      <c r="B637" s="19" t="s">
        <v>221</v>
      </c>
      <c r="C637" s="45" t="s">
        <v>393</v>
      </c>
    </row>
    <row r="638" spans="1:3" x14ac:dyDescent="0.2">
      <c r="A638" s="44">
        <v>863</v>
      </c>
      <c r="B638" s="19" t="s">
        <v>221</v>
      </c>
      <c r="C638" s="45" t="s">
        <v>393</v>
      </c>
    </row>
    <row r="639" spans="1:3" x14ac:dyDescent="0.2">
      <c r="A639" s="44">
        <v>864</v>
      </c>
      <c r="B639" s="19" t="s">
        <v>221</v>
      </c>
      <c r="C639" s="45" t="s">
        <v>393</v>
      </c>
    </row>
    <row r="640" spans="1:3" x14ac:dyDescent="0.2">
      <c r="A640" s="44">
        <v>865</v>
      </c>
      <c r="B640" s="19" t="s">
        <v>221</v>
      </c>
      <c r="C640" s="45" t="s">
        <v>393</v>
      </c>
    </row>
    <row r="641" spans="1:3" x14ac:dyDescent="0.2">
      <c r="A641" s="44">
        <v>866</v>
      </c>
      <c r="B641" s="19" t="s">
        <v>222</v>
      </c>
      <c r="C641" s="45" t="s">
        <v>386</v>
      </c>
    </row>
    <row r="642" spans="1:3" x14ac:dyDescent="0.2">
      <c r="A642" s="44">
        <v>867</v>
      </c>
      <c r="B642" s="19" t="s">
        <v>221</v>
      </c>
      <c r="C642" s="45" t="s">
        <v>393</v>
      </c>
    </row>
    <row r="643" spans="1:3" x14ac:dyDescent="0.2">
      <c r="A643" s="44">
        <v>868</v>
      </c>
      <c r="B643" s="19" t="s">
        <v>222</v>
      </c>
      <c r="C643" s="45" t="s">
        <v>386</v>
      </c>
    </row>
    <row r="644" spans="1:3" x14ac:dyDescent="0.2">
      <c r="A644" s="44">
        <v>869</v>
      </c>
      <c r="B644" s="19" t="s">
        <v>221</v>
      </c>
      <c r="C644" s="45" t="s">
        <v>393</v>
      </c>
    </row>
    <row r="645" spans="1:3" x14ac:dyDescent="0.2">
      <c r="A645" s="44">
        <v>870</v>
      </c>
      <c r="B645" s="19" t="s">
        <v>222</v>
      </c>
      <c r="C645" s="45" t="s">
        <v>386</v>
      </c>
    </row>
    <row r="646" spans="1:3" x14ac:dyDescent="0.2">
      <c r="A646" s="44">
        <v>871</v>
      </c>
      <c r="B646" s="19" t="s">
        <v>221</v>
      </c>
      <c r="C646" s="45" t="s">
        <v>393</v>
      </c>
    </row>
    <row r="647" spans="1:3" x14ac:dyDescent="0.2">
      <c r="A647" s="44">
        <v>872</v>
      </c>
      <c r="B647" s="19" t="s">
        <v>222</v>
      </c>
      <c r="C647" s="45" t="s">
        <v>386</v>
      </c>
    </row>
    <row r="648" spans="1:3" x14ac:dyDescent="0.2">
      <c r="A648" s="44">
        <v>873</v>
      </c>
      <c r="B648" s="19" t="s">
        <v>221</v>
      </c>
      <c r="C648" s="45" t="s">
        <v>393</v>
      </c>
    </row>
    <row r="649" spans="1:3" x14ac:dyDescent="0.2">
      <c r="A649" s="44">
        <v>874</v>
      </c>
      <c r="B649" s="19" t="s">
        <v>222</v>
      </c>
      <c r="C649" s="45" t="s">
        <v>386</v>
      </c>
    </row>
    <row r="650" spans="1:3" x14ac:dyDescent="0.2">
      <c r="A650" s="44">
        <v>875</v>
      </c>
      <c r="B650" s="19" t="s">
        <v>221</v>
      </c>
      <c r="C650" s="45" t="s">
        <v>393</v>
      </c>
    </row>
    <row r="651" spans="1:3" x14ac:dyDescent="0.2">
      <c r="A651" s="44">
        <v>876</v>
      </c>
      <c r="B651" s="19" t="s">
        <v>222</v>
      </c>
      <c r="C651" s="45" t="s">
        <v>386</v>
      </c>
    </row>
    <row r="652" spans="1:3" x14ac:dyDescent="0.2">
      <c r="A652" s="44">
        <v>877</v>
      </c>
      <c r="B652" s="19" t="s">
        <v>221</v>
      </c>
      <c r="C652" s="45" t="s">
        <v>393</v>
      </c>
    </row>
    <row r="653" spans="1:3" x14ac:dyDescent="0.2">
      <c r="A653" s="44">
        <v>878</v>
      </c>
      <c r="B653" s="19" t="s">
        <v>222</v>
      </c>
      <c r="C653" s="45" t="s">
        <v>386</v>
      </c>
    </row>
    <row r="654" spans="1:3" x14ac:dyDescent="0.2">
      <c r="A654" s="44">
        <v>879</v>
      </c>
      <c r="B654" s="19" t="s">
        <v>221</v>
      </c>
      <c r="C654" s="45" t="s">
        <v>393</v>
      </c>
    </row>
    <row r="655" spans="1:3" x14ac:dyDescent="0.2">
      <c r="A655" s="44">
        <v>880</v>
      </c>
      <c r="B655" s="19" t="s">
        <v>222</v>
      </c>
      <c r="C655" s="45" t="s">
        <v>386</v>
      </c>
    </row>
    <row r="656" spans="1:3" x14ac:dyDescent="0.2">
      <c r="A656" s="44">
        <v>881</v>
      </c>
      <c r="B656" s="19" t="s">
        <v>221</v>
      </c>
      <c r="C656" s="45" t="s">
        <v>393</v>
      </c>
    </row>
    <row r="657" spans="1:3" x14ac:dyDescent="0.2">
      <c r="A657" s="44">
        <v>882</v>
      </c>
      <c r="B657" s="19" t="s">
        <v>222</v>
      </c>
      <c r="C657" s="45" t="s">
        <v>386</v>
      </c>
    </row>
    <row r="658" spans="1:3" x14ac:dyDescent="0.2">
      <c r="A658" s="44">
        <v>883</v>
      </c>
      <c r="B658" s="19" t="s">
        <v>221</v>
      </c>
      <c r="C658" s="45" t="s">
        <v>393</v>
      </c>
    </row>
    <row r="659" spans="1:3" x14ac:dyDescent="0.2">
      <c r="A659" s="44">
        <v>884</v>
      </c>
      <c r="B659" s="19" t="s">
        <v>222</v>
      </c>
      <c r="C659" s="45" t="s">
        <v>386</v>
      </c>
    </row>
    <row r="660" spans="1:3" x14ac:dyDescent="0.2">
      <c r="A660" s="44">
        <v>885</v>
      </c>
      <c r="B660" s="19" t="s">
        <v>221</v>
      </c>
      <c r="C660" s="45" t="s">
        <v>393</v>
      </c>
    </row>
    <row r="661" spans="1:3" x14ac:dyDescent="0.2">
      <c r="A661" s="44">
        <v>886</v>
      </c>
      <c r="B661" s="19" t="s">
        <v>222</v>
      </c>
      <c r="C661" s="45" t="s">
        <v>386</v>
      </c>
    </row>
    <row r="662" spans="1:3" x14ac:dyDescent="0.2">
      <c r="A662" s="44">
        <v>887</v>
      </c>
      <c r="B662" s="19" t="s">
        <v>221</v>
      </c>
      <c r="C662" s="45" t="s">
        <v>393</v>
      </c>
    </row>
    <row r="663" spans="1:3" x14ac:dyDescent="0.2">
      <c r="A663" s="44">
        <v>888</v>
      </c>
      <c r="B663" s="19" t="s">
        <v>222</v>
      </c>
      <c r="C663" s="45" t="s">
        <v>386</v>
      </c>
    </row>
    <row r="664" spans="1:3" x14ac:dyDescent="0.2">
      <c r="A664" s="44">
        <v>889</v>
      </c>
      <c r="B664" s="19" t="s">
        <v>221</v>
      </c>
      <c r="C664" s="45" t="s">
        <v>393</v>
      </c>
    </row>
    <row r="665" spans="1:3" x14ac:dyDescent="0.2">
      <c r="A665" s="44">
        <v>890</v>
      </c>
      <c r="B665" s="19" t="s">
        <v>222</v>
      </c>
      <c r="C665" s="45" t="s">
        <v>386</v>
      </c>
    </row>
    <row r="666" spans="1:3" x14ac:dyDescent="0.2">
      <c r="A666" s="44">
        <v>891</v>
      </c>
      <c r="B666" s="19" t="s">
        <v>222</v>
      </c>
      <c r="C666" s="45" t="s">
        <v>386</v>
      </c>
    </row>
    <row r="667" spans="1:3" x14ac:dyDescent="0.2">
      <c r="A667" s="44">
        <v>892</v>
      </c>
      <c r="B667" s="19" t="s">
        <v>222</v>
      </c>
      <c r="C667" s="45" t="s">
        <v>386</v>
      </c>
    </row>
    <row r="668" spans="1:3" x14ac:dyDescent="0.2">
      <c r="A668" s="44">
        <v>893</v>
      </c>
      <c r="B668" s="19" t="s">
        <v>222</v>
      </c>
      <c r="C668" s="45" t="s">
        <v>386</v>
      </c>
    </row>
    <row r="669" spans="1:3" x14ac:dyDescent="0.2">
      <c r="A669" s="44">
        <v>894</v>
      </c>
      <c r="B669" s="19" t="s">
        <v>179</v>
      </c>
      <c r="C669" s="45" t="s">
        <v>386</v>
      </c>
    </row>
    <row r="670" spans="1:3" x14ac:dyDescent="0.2">
      <c r="A670" s="44">
        <v>895</v>
      </c>
      <c r="B670" s="19" t="s">
        <v>179</v>
      </c>
      <c r="C670" s="45" t="s">
        <v>386</v>
      </c>
    </row>
    <row r="671" spans="1:3" x14ac:dyDescent="0.2">
      <c r="A671" s="44">
        <v>896</v>
      </c>
      <c r="B671" s="19" t="s">
        <v>179</v>
      </c>
      <c r="C671" s="45" t="s">
        <v>386</v>
      </c>
    </row>
    <row r="672" spans="1:3" x14ac:dyDescent="0.2">
      <c r="A672" s="44">
        <v>897</v>
      </c>
      <c r="B672" s="19" t="s">
        <v>222</v>
      </c>
      <c r="C672" s="45" t="s">
        <v>386</v>
      </c>
    </row>
    <row r="673" spans="1:3" x14ac:dyDescent="0.2">
      <c r="A673" s="44">
        <v>898</v>
      </c>
      <c r="B673" s="19" t="s">
        <v>222</v>
      </c>
      <c r="C673" s="45" t="s">
        <v>386</v>
      </c>
    </row>
    <row r="674" spans="1:3" x14ac:dyDescent="0.2">
      <c r="A674" s="44">
        <v>899</v>
      </c>
      <c r="B674" s="19" t="s">
        <v>223</v>
      </c>
      <c r="C674" s="45" t="s">
        <v>386</v>
      </c>
    </row>
    <row r="675" spans="1:3" x14ac:dyDescent="0.2">
      <c r="A675" s="44">
        <v>900</v>
      </c>
      <c r="B675" s="19" t="s">
        <v>223</v>
      </c>
      <c r="C675" s="45" t="s">
        <v>386</v>
      </c>
    </row>
    <row r="676" spans="1:3" x14ac:dyDescent="0.2">
      <c r="A676" s="44">
        <v>901</v>
      </c>
      <c r="B676" s="19" t="s">
        <v>223</v>
      </c>
      <c r="C676" s="45" t="s">
        <v>386</v>
      </c>
    </row>
    <row r="677" spans="1:3" x14ac:dyDescent="0.2">
      <c r="A677" s="44">
        <v>902</v>
      </c>
      <c r="B677" s="19" t="s">
        <v>223</v>
      </c>
      <c r="C677" s="45" t="s">
        <v>386</v>
      </c>
    </row>
    <row r="678" spans="1:3" x14ac:dyDescent="0.2">
      <c r="A678" s="44">
        <v>903</v>
      </c>
      <c r="B678" s="19" t="s">
        <v>223</v>
      </c>
      <c r="C678" s="45" t="s">
        <v>386</v>
      </c>
    </row>
    <row r="679" spans="1:3" x14ac:dyDescent="0.2">
      <c r="A679" s="44">
        <v>904</v>
      </c>
      <c r="B679" s="19" t="s">
        <v>224</v>
      </c>
      <c r="C679" s="45" t="s">
        <v>386</v>
      </c>
    </row>
    <row r="680" spans="1:3" x14ac:dyDescent="0.2">
      <c r="A680" s="44">
        <v>905</v>
      </c>
      <c r="B680" s="19" t="s">
        <v>224</v>
      </c>
      <c r="C680" s="45" t="s">
        <v>386</v>
      </c>
    </row>
    <row r="681" spans="1:3" x14ac:dyDescent="0.2">
      <c r="A681" s="44">
        <v>906</v>
      </c>
      <c r="B681" s="19" t="s">
        <v>224</v>
      </c>
      <c r="C681" s="45" t="s">
        <v>386</v>
      </c>
    </row>
    <row r="682" spans="1:3" x14ac:dyDescent="0.2">
      <c r="A682" s="44">
        <v>907</v>
      </c>
      <c r="B682" s="19" t="s">
        <v>225</v>
      </c>
      <c r="C682" s="45" t="s">
        <v>386</v>
      </c>
    </row>
    <row r="683" spans="1:3" x14ac:dyDescent="0.2">
      <c r="A683" s="44">
        <v>908</v>
      </c>
      <c r="B683" s="19" t="s">
        <v>225</v>
      </c>
      <c r="C683" s="45" t="s">
        <v>386</v>
      </c>
    </row>
    <row r="684" spans="1:3" x14ac:dyDescent="0.2">
      <c r="A684" s="44">
        <v>909</v>
      </c>
      <c r="B684" s="19" t="s">
        <v>225</v>
      </c>
      <c r="C684" s="45" t="s">
        <v>386</v>
      </c>
    </row>
    <row r="685" spans="1:3" x14ac:dyDescent="0.2">
      <c r="A685" s="44">
        <v>910</v>
      </c>
      <c r="B685" s="19" t="s">
        <v>225</v>
      </c>
      <c r="C685" s="45" t="s">
        <v>386</v>
      </c>
    </row>
    <row r="686" spans="1:3" x14ac:dyDescent="0.2">
      <c r="A686" s="44">
        <v>911</v>
      </c>
      <c r="B686" s="19" t="s">
        <v>225</v>
      </c>
      <c r="C686" s="45" t="s">
        <v>386</v>
      </c>
    </row>
    <row r="687" spans="1:3" x14ac:dyDescent="0.2">
      <c r="A687" s="44">
        <v>912</v>
      </c>
      <c r="B687" s="19" t="s">
        <v>225</v>
      </c>
      <c r="C687" s="45" t="s">
        <v>386</v>
      </c>
    </row>
    <row r="688" spans="1:3" x14ac:dyDescent="0.2">
      <c r="A688" s="44">
        <v>913</v>
      </c>
      <c r="B688" s="19" t="s">
        <v>225</v>
      </c>
      <c r="C688" s="45" t="s">
        <v>386</v>
      </c>
    </row>
    <row r="689" spans="1:3" x14ac:dyDescent="0.2">
      <c r="A689" s="44">
        <v>914</v>
      </c>
      <c r="B689" s="19" t="s">
        <v>226</v>
      </c>
      <c r="C689" s="45" t="s">
        <v>393</v>
      </c>
    </row>
    <row r="690" spans="1:3" x14ac:dyDescent="0.2">
      <c r="A690" s="44">
        <v>915</v>
      </c>
      <c r="B690" s="19" t="s">
        <v>179</v>
      </c>
      <c r="C690" s="45" t="s">
        <v>393</v>
      </c>
    </row>
    <row r="691" spans="1:3" x14ac:dyDescent="0.2">
      <c r="A691" s="44">
        <v>916</v>
      </c>
      <c r="B691" s="19" t="s">
        <v>179</v>
      </c>
      <c r="C691" s="45" t="s">
        <v>393</v>
      </c>
    </row>
    <row r="692" spans="1:3" x14ac:dyDescent="0.2">
      <c r="A692" s="44">
        <v>917</v>
      </c>
      <c r="B692" s="19" t="s">
        <v>179</v>
      </c>
      <c r="C692" s="45" t="s">
        <v>393</v>
      </c>
    </row>
    <row r="693" spans="1:3" x14ac:dyDescent="0.2">
      <c r="A693" s="44">
        <v>918</v>
      </c>
      <c r="B693" s="19" t="s">
        <v>114</v>
      </c>
      <c r="C693" s="45" t="s">
        <v>393</v>
      </c>
    </row>
    <row r="694" spans="1:3" x14ac:dyDescent="0.2">
      <c r="A694" s="44">
        <v>919</v>
      </c>
      <c r="B694" s="19" t="s">
        <v>227</v>
      </c>
      <c r="C694" s="45" t="s">
        <v>393</v>
      </c>
    </row>
    <row r="695" spans="1:3" x14ac:dyDescent="0.2">
      <c r="A695" s="44">
        <v>920</v>
      </c>
      <c r="B695" s="19" t="s">
        <v>227</v>
      </c>
      <c r="C695" s="45" t="s">
        <v>393</v>
      </c>
    </row>
    <row r="696" spans="1:3" x14ac:dyDescent="0.2">
      <c r="A696" s="44">
        <v>922</v>
      </c>
      <c r="B696" s="19" t="s">
        <v>137</v>
      </c>
      <c r="C696" s="45" t="s">
        <v>393</v>
      </c>
    </row>
    <row r="697" spans="1:3" x14ac:dyDescent="0.2">
      <c r="A697" s="44">
        <v>923</v>
      </c>
      <c r="B697" s="19" t="s">
        <v>137</v>
      </c>
      <c r="C697" s="45" t="s">
        <v>393</v>
      </c>
    </row>
    <row r="698" spans="1:3" x14ac:dyDescent="0.2">
      <c r="A698" s="44">
        <v>924</v>
      </c>
      <c r="B698" s="19" t="s">
        <v>137</v>
      </c>
      <c r="C698" s="45" t="s">
        <v>393</v>
      </c>
    </row>
    <row r="699" spans="1:3" x14ac:dyDescent="0.2">
      <c r="A699" s="44">
        <v>925</v>
      </c>
      <c r="B699" s="19" t="s">
        <v>228</v>
      </c>
      <c r="C699" s="45" t="s">
        <v>167</v>
      </c>
    </row>
    <row r="700" spans="1:3" x14ac:dyDescent="0.2">
      <c r="A700" s="44">
        <v>926</v>
      </c>
      <c r="B700" s="19" t="s">
        <v>168</v>
      </c>
      <c r="C700" s="45" t="s">
        <v>167</v>
      </c>
    </row>
    <row r="701" spans="1:3" x14ac:dyDescent="0.2">
      <c r="A701" s="44">
        <v>927</v>
      </c>
      <c r="B701" s="19" t="s">
        <v>170</v>
      </c>
      <c r="C701" s="45" t="s">
        <v>167</v>
      </c>
    </row>
    <row r="702" spans="1:3" x14ac:dyDescent="0.2">
      <c r="A702" s="44">
        <v>928</v>
      </c>
      <c r="B702" s="19" t="s">
        <v>169</v>
      </c>
      <c r="C702" s="45" t="s">
        <v>167</v>
      </c>
    </row>
    <row r="703" spans="1:3" x14ac:dyDescent="0.2">
      <c r="A703" s="44">
        <v>929</v>
      </c>
      <c r="B703" s="19" t="s">
        <v>223</v>
      </c>
      <c r="C703" s="45" t="s">
        <v>386</v>
      </c>
    </row>
    <row r="704" spans="1:3" x14ac:dyDescent="0.2">
      <c r="A704" s="44">
        <v>930</v>
      </c>
      <c r="B704" s="19" t="s">
        <v>223</v>
      </c>
      <c r="C704" s="45" t="s">
        <v>386</v>
      </c>
    </row>
    <row r="705" spans="1:3" x14ac:dyDescent="0.2">
      <c r="A705" s="44">
        <v>931</v>
      </c>
      <c r="B705" s="19" t="s">
        <v>223</v>
      </c>
      <c r="C705" s="45" t="s">
        <v>386</v>
      </c>
    </row>
    <row r="706" spans="1:3" x14ac:dyDescent="0.2">
      <c r="A706" s="44">
        <v>932</v>
      </c>
      <c r="B706" s="19" t="s">
        <v>229</v>
      </c>
      <c r="C706" s="45" t="s">
        <v>393</v>
      </c>
    </row>
    <row r="707" spans="1:3" x14ac:dyDescent="0.2">
      <c r="A707" s="44">
        <v>933</v>
      </c>
      <c r="B707" s="19" t="s">
        <v>221</v>
      </c>
      <c r="C707" s="45" t="s">
        <v>393</v>
      </c>
    </row>
    <row r="708" spans="1:3" x14ac:dyDescent="0.2">
      <c r="A708" s="44">
        <v>934</v>
      </c>
      <c r="B708" s="19" t="s">
        <v>222</v>
      </c>
      <c r="C708" s="45" t="s">
        <v>386</v>
      </c>
    </row>
    <row r="709" spans="1:3" x14ac:dyDescent="0.2">
      <c r="A709" s="44">
        <v>935</v>
      </c>
      <c r="B709" s="19" t="s">
        <v>230</v>
      </c>
      <c r="C709" s="45" t="s">
        <v>393</v>
      </c>
    </row>
    <row r="710" spans="1:3" x14ac:dyDescent="0.2">
      <c r="A710" s="44">
        <v>936</v>
      </c>
      <c r="B710" s="19" t="s">
        <v>230</v>
      </c>
      <c r="C710" s="45" t="s">
        <v>393</v>
      </c>
    </row>
    <row r="711" spans="1:3" x14ac:dyDescent="0.2">
      <c r="A711" s="44">
        <v>937</v>
      </c>
      <c r="B711" s="19" t="s">
        <v>230</v>
      </c>
      <c r="C711" s="45" t="s">
        <v>393</v>
      </c>
    </row>
    <row r="712" spans="1:3" x14ac:dyDescent="0.2">
      <c r="A712" s="44">
        <v>938</v>
      </c>
      <c r="B712" s="19" t="s">
        <v>230</v>
      </c>
      <c r="C712" s="45" t="s">
        <v>393</v>
      </c>
    </row>
    <row r="713" spans="1:3" x14ac:dyDescent="0.2">
      <c r="A713" s="44">
        <v>939</v>
      </c>
      <c r="B713" s="19" t="s">
        <v>230</v>
      </c>
      <c r="C713" s="45" t="s">
        <v>393</v>
      </c>
    </row>
    <row r="714" spans="1:3" x14ac:dyDescent="0.2">
      <c r="A714" s="44">
        <v>940</v>
      </c>
      <c r="B714" s="19" t="s">
        <v>231</v>
      </c>
      <c r="C714" s="45" t="s">
        <v>189</v>
      </c>
    </row>
    <row r="715" spans="1:3" x14ac:dyDescent="0.2">
      <c r="A715" s="44">
        <v>941</v>
      </c>
      <c r="B715" s="19" t="s">
        <v>232</v>
      </c>
      <c r="C715" s="45" t="s">
        <v>189</v>
      </c>
    </row>
    <row r="716" spans="1:3" x14ac:dyDescent="0.2">
      <c r="A716" s="44">
        <v>942</v>
      </c>
      <c r="B716" s="19" t="s">
        <v>82</v>
      </c>
      <c r="C716" s="45" t="s">
        <v>393</v>
      </c>
    </row>
    <row r="717" spans="1:3" x14ac:dyDescent="0.2">
      <c r="A717" s="44">
        <v>943</v>
      </c>
      <c r="B717" s="19" t="s">
        <v>73</v>
      </c>
      <c r="C717" s="45" t="s">
        <v>393</v>
      </c>
    </row>
    <row r="718" spans="1:3" x14ac:dyDescent="0.2">
      <c r="A718" s="44">
        <v>944</v>
      </c>
      <c r="B718" s="19" t="s">
        <v>73</v>
      </c>
      <c r="C718" s="45" t="s">
        <v>393</v>
      </c>
    </row>
    <row r="719" spans="1:3" x14ac:dyDescent="0.2">
      <c r="A719" s="44">
        <v>945</v>
      </c>
      <c r="B719" s="19" t="s">
        <v>73</v>
      </c>
      <c r="C719" s="45" t="s">
        <v>393</v>
      </c>
    </row>
    <row r="720" spans="1:3" x14ac:dyDescent="0.2">
      <c r="A720" s="44">
        <v>946</v>
      </c>
      <c r="B720" s="19" t="s">
        <v>73</v>
      </c>
      <c r="C720" s="45" t="s">
        <v>393</v>
      </c>
    </row>
    <row r="721" spans="1:3" x14ac:dyDescent="0.2">
      <c r="A721" s="44">
        <v>947</v>
      </c>
      <c r="B721" s="19" t="s">
        <v>233</v>
      </c>
      <c r="C721" s="45" t="s">
        <v>393</v>
      </c>
    </row>
    <row r="722" spans="1:3" x14ac:dyDescent="0.2">
      <c r="A722" s="44">
        <v>948</v>
      </c>
      <c r="B722" s="19" t="s">
        <v>234</v>
      </c>
      <c r="C722" s="45" t="s">
        <v>393</v>
      </c>
    </row>
    <row r="723" spans="1:3" x14ac:dyDescent="0.2">
      <c r="A723" s="44">
        <v>949</v>
      </c>
      <c r="B723" s="19" t="s">
        <v>284</v>
      </c>
      <c r="C723" s="45" t="s">
        <v>393</v>
      </c>
    </row>
    <row r="724" spans="1:3" x14ac:dyDescent="0.2">
      <c r="A724" s="44">
        <v>950</v>
      </c>
      <c r="B724" s="19" t="s">
        <v>285</v>
      </c>
      <c r="C724" s="45" t="s">
        <v>386</v>
      </c>
    </row>
    <row r="725" spans="1:3" x14ac:dyDescent="0.2">
      <c r="A725" s="44">
        <v>951</v>
      </c>
      <c r="B725" s="19" t="s">
        <v>286</v>
      </c>
      <c r="C725" s="45" t="s">
        <v>386</v>
      </c>
    </row>
    <row r="726" spans="1:3" x14ac:dyDescent="0.2">
      <c r="A726" s="44">
        <v>952</v>
      </c>
      <c r="B726" s="19" t="s">
        <v>287</v>
      </c>
      <c r="C726" s="45" t="s">
        <v>393</v>
      </c>
    </row>
    <row r="727" spans="1:3" x14ac:dyDescent="0.2">
      <c r="A727" s="44">
        <v>953</v>
      </c>
      <c r="B727" s="19" t="s">
        <v>235</v>
      </c>
      <c r="C727" s="45" t="s">
        <v>393</v>
      </c>
    </row>
    <row r="728" spans="1:3" x14ac:dyDescent="0.2">
      <c r="A728" s="44">
        <v>954</v>
      </c>
      <c r="B728" s="19" t="s">
        <v>236</v>
      </c>
      <c r="C728" s="45" t="s">
        <v>393</v>
      </c>
    </row>
    <row r="729" spans="1:3" x14ac:dyDescent="0.2">
      <c r="A729" s="44">
        <v>955</v>
      </c>
      <c r="B729" s="19" t="s">
        <v>237</v>
      </c>
      <c r="C729" s="45" t="s">
        <v>393</v>
      </c>
    </row>
    <row r="730" spans="1:3" x14ac:dyDescent="0.2">
      <c r="A730" s="44">
        <v>956</v>
      </c>
      <c r="B730" s="19" t="s">
        <v>238</v>
      </c>
      <c r="C730" s="45" t="s">
        <v>393</v>
      </c>
    </row>
    <row r="731" spans="1:3" x14ac:dyDescent="0.2">
      <c r="A731" s="44">
        <v>957</v>
      </c>
      <c r="B731" s="19" t="s">
        <v>239</v>
      </c>
      <c r="C731" s="45" t="s">
        <v>393</v>
      </c>
    </row>
    <row r="732" spans="1:3" x14ac:dyDescent="0.2">
      <c r="A732" s="44">
        <v>958</v>
      </c>
      <c r="B732" s="19" t="s">
        <v>240</v>
      </c>
      <c r="C732" s="45" t="s">
        <v>393</v>
      </c>
    </row>
    <row r="733" spans="1:3" x14ac:dyDescent="0.2">
      <c r="A733" s="44">
        <v>959</v>
      </c>
      <c r="B733" s="19" t="s">
        <v>241</v>
      </c>
      <c r="C733" s="45" t="s">
        <v>393</v>
      </c>
    </row>
    <row r="734" spans="1:3" x14ac:dyDescent="0.2">
      <c r="A734" s="44">
        <v>960</v>
      </c>
      <c r="B734" s="19" t="s">
        <v>242</v>
      </c>
      <c r="C734" s="45" t="s">
        <v>393</v>
      </c>
    </row>
    <row r="735" spans="1:3" x14ac:dyDescent="0.2">
      <c r="A735" s="44">
        <v>961</v>
      </c>
      <c r="B735" s="19" t="s">
        <v>243</v>
      </c>
      <c r="C735" s="45" t="s">
        <v>393</v>
      </c>
    </row>
    <row r="736" spans="1:3" x14ac:dyDescent="0.2">
      <c r="A736" s="44">
        <v>962</v>
      </c>
      <c r="B736" s="19" t="s">
        <v>244</v>
      </c>
      <c r="C736" s="45" t="s">
        <v>393</v>
      </c>
    </row>
    <row r="737" spans="1:3" x14ac:dyDescent="0.2">
      <c r="A737" s="44">
        <v>963</v>
      </c>
      <c r="B737" s="19" t="s">
        <v>245</v>
      </c>
      <c r="C737" s="45" t="s">
        <v>393</v>
      </c>
    </row>
    <row r="738" spans="1:3" x14ac:dyDescent="0.2">
      <c r="A738" s="44">
        <v>964</v>
      </c>
      <c r="B738" s="19" t="s">
        <v>246</v>
      </c>
      <c r="C738" s="45" t="s">
        <v>393</v>
      </c>
    </row>
    <row r="739" spans="1:3" x14ac:dyDescent="0.2">
      <c r="A739" s="44">
        <v>965</v>
      </c>
      <c r="B739" s="19" t="s">
        <v>247</v>
      </c>
      <c r="C739" s="45" t="s">
        <v>393</v>
      </c>
    </row>
    <row r="740" spans="1:3" x14ac:dyDescent="0.2">
      <c r="A740" s="44">
        <v>966</v>
      </c>
      <c r="B740" s="19" t="s">
        <v>94</v>
      </c>
      <c r="C740" s="45" t="s">
        <v>386</v>
      </c>
    </row>
    <row r="741" spans="1:3" x14ac:dyDescent="0.2">
      <c r="A741" s="44">
        <v>967</v>
      </c>
      <c r="B741" s="19" t="s">
        <v>106</v>
      </c>
      <c r="C741" s="45" t="s">
        <v>393</v>
      </c>
    </row>
    <row r="742" spans="1:3" x14ac:dyDescent="0.2">
      <c r="A742" s="44">
        <v>968</v>
      </c>
      <c r="B742" s="19" t="s">
        <v>106</v>
      </c>
      <c r="C742" s="45" t="s">
        <v>393</v>
      </c>
    </row>
    <row r="743" spans="1:3" x14ac:dyDescent="0.2">
      <c r="A743" s="44">
        <v>969</v>
      </c>
      <c r="B743" s="19" t="s">
        <v>247</v>
      </c>
      <c r="C743" s="45" t="s">
        <v>393</v>
      </c>
    </row>
    <row r="744" spans="1:3" x14ac:dyDescent="0.2">
      <c r="A744" s="44">
        <v>970</v>
      </c>
      <c r="B744" s="19" t="s">
        <v>61</v>
      </c>
      <c r="C744" s="45" t="s">
        <v>393</v>
      </c>
    </row>
    <row r="745" spans="1:3" x14ac:dyDescent="0.2">
      <c r="A745" s="44">
        <v>971</v>
      </c>
      <c r="B745" s="19" t="s">
        <v>248</v>
      </c>
      <c r="C745" s="45" t="s">
        <v>393</v>
      </c>
    </row>
    <row r="746" spans="1:3" x14ac:dyDescent="0.2">
      <c r="A746" s="44">
        <v>972</v>
      </c>
      <c r="B746" s="19" t="s">
        <v>259</v>
      </c>
      <c r="C746" s="45" t="s">
        <v>393</v>
      </c>
    </row>
    <row r="747" spans="1:3" x14ac:dyDescent="0.2">
      <c r="A747" s="44">
        <v>973</v>
      </c>
      <c r="B747" s="19" t="s">
        <v>104</v>
      </c>
      <c r="C747" s="45" t="s">
        <v>393</v>
      </c>
    </row>
    <row r="748" spans="1:3" x14ac:dyDescent="0.2">
      <c r="A748" s="44">
        <v>974</v>
      </c>
      <c r="B748" s="19" t="s">
        <v>130</v>
      </c>
      <c r="C748" s="45" t="s">
        <v>393</v>
      </c>
    </row>
    <row r="749" spans="1:3" x14ac:dyDescent="0.2">
      <c r="A749" s="44">
        <v>975</v>
      </c>
      <c r="B749" s="19" t="s">
        <v>288</v>
      </c>
      <c r="C749" s="45" t="s">
        <v>393</v>
      </c>
    </row>
    <row r="750" spans="1:3" x14ac:dyDescent="0.2">
      <c r="A750" s="44">
        <v>976</v>
      </c>
      <c r="B750" s="19" t="s">
        <v>289</v>
      </c>
      <c r="C750" s="45" t="s">
        <v>393</v>
      </c>
    </row>
    <row r="751" spans="1:3" x14ac:dyDescent="0.2">
      <c r="A751" s="44">
        <v>978</v>
      </c>
      <c r="B751" s="19" t="s">
        <v>88</v>
      </c>
      <c r="C751" s="45" t="s">
        <v>386</v>
      </c>
    </row>
    <row r="752" spans="1:3" x14ac:dyDescent="0.2">
      <c r="A752" s="44">
        <v>979</v>
      </c>
      <c r="B752" s="19" t="s">
        <v>127</v>
      </c>
      <c r="C752" s="45" t="s">
        <v>386</v>
      </c>
    </row>
    <row r="753" spans="1:3" x14ac:dyDescent="0.2">
      <c r="A753" s="44">
        <v>980</v>
      </c>
      <c r="B753" s="19" t="s">
        <v>249</v>
      </c>
      <c r="C753" s="45" t="s">
        <v>393</v>
      </c>
    </row>
    <row r="754" spans="1:3" x14ac:dyDescent="0.2">
      <c r="A754" s="44">
        <v>981</v>
      </c>
      <c r="B754" s="19" t="s">
        <v>250</v>
      </c>
      <c r="C754" s="45" t="s">
        <v>386</v>
      </c>
    </row>
    <row r="755" spans="1:3" x14ac:dyDescent="0.2">
      <c r="A755" s="44">
        <v>982</v>
      </c>
      <c r="B755" s="19" t="s">
        <v>290</v>
      </c>
      <c r="C755" s="45" t="s">
        <v>393</v>
      </c>
    </row>
    <row r="756" spans="1:3" x14ac:dyDescent="0.2">
      <c r="A756" s="44">
        <v>983</v>
      </c>
      <c r="B756" s="19" t="s">
        <v>291</v>
      </c>
      <c r="C756" s="45" t="s">
        <v>393</v>
      </c>
    </row>
    <row r="757" spans="1:3" x14ac:dyDescent="0.2">
      <c r="A757" s="44">
        <v>984</v>
      </c>
      <c r="B757" s="19" t="s">
        <v>334</v>
      </c>
      <c r="C757" s="45" t="s">
        <v>393</v>
      </c>
    </row>
    <row r="758" spans="1:3" x14ac:dyDescent="0.2">
      <c r="A758" s="44">
        <v>985</v>
      </c>
      <c r="B758" s="19" t="s">
        <v>335</v>
      </c>
      <c r="C758" s="45" t="s">
        <v>393</v>
      </c>
    </row>
    <row r="759" spans="1:3" x14ac:dyDescent="0.2">
      <c r="A759" s="44">
        <v>989</v>
      </c>
      <c r="B759" s="19" t="s">
        <v>143</v>
      </c>
      <c r="C759" s="45" t="s">
        <v>393</v>
      </c>
    </row>
    <row r="760" spans="1:3" x14ac:dyDescent="0.2">
      <c r="A760" s="44">
        <v>990</v>
      </c>
      <c r="B760" s="19" t="s">
        <v>144</v>
      </c>
      <c r="C760" s="45" t="s">
        <v>386</v>
      </c>
    </row>
    <row r="761" spans="1:3" x14ac:dyDescent="0.2">
      <c r="A761" s="44">
        <v>991</v>
      </c>
      <c r="B761" s="19" t="s">
        <v>94</v>
      </c>
      <c r="C761" s="45" t="s">
        <v>386</v>
      </c>
    </row>
    <row r="762" spans="1:3" x14ac:dyDescent="0.2">
      <c r="A762" s="44">
        <v>996</v>
      </c>
      <c r="B762" s="19" t="s">
        <v>174</v>
      </c>
      <c r="C762" s="45" t="s">
        <v>393</v>
      </c>
    </row>
    <row r="763" spans="1:3" x14ac:dyDescent="0.2">
      <c r="A763" s="44">
        <v>997</v>
      </c>
      <c r="B763" s="19" t="s">
        <v>251</v>
      </c>
      <c r="C763" s="45" t="s">
        <v>393</v>
      </c>
    </row>
    <row r="768" spans="1:3" x14ac:dyDescent="0.2">
      <c r="C768" s="4"/>
    </row>
    <row r="769" spans="3:3" x14ac:dyDescent="0.2">
      <c r="C769" s="4"/>
    </row>
    <row r="770" spans="3:3" x14ac:dyDescent="0.2">
      <c r="C770" s="4"/>
    </row>
    <row r="771" spans="3:3" x14ac:dyDescent="0.2">
      <c r="C771" s="4"/>
    </row>
    <row r="772" spans="3:3" x14ac:dyDescent="0.2">
      <c r="C772" s="4"/>
    </row>
    <row r="773" spans="3:3" x14ac:dyDescent="0.2">
      <c r="C773" s="4"/>
    </row>
    <row r="774" spans="3:3" x14ac:dyDescent="0.2">
      <c r="C774" s="4"/>
    </row>
    <row r="775" spans="3:3" x14ac:dyDescent="0.2">
      <c r="C775" s="4"/>
    </row>
    <row r="776" spans="3:3" x14ac:dyDescent="0.2">
      <c r="C776" s="4"/>
    </row>
    <row r="777" spans="3:3" x14ac:dyDescent="0.2">
      <c r="C777" s="4"/>
    </row>
    <row r="778" spans="3:3" x14ac:dyDescent="0.2">
      <c r="C778" s="4"/>
    </row>
    <row r="779" spans="3:3" x14ac:dyDescent="0.2">
      <c r="C779" s="4"/>
    </row>
    <row r="780" spans="3:3" x14ac:dyDescent="0.2">
      <c r="C780" s="4"/>
    </row>
    <row r="781" spans="3:3" x14ac:dyDescent="0.2">
      <c r="C781" s="4"/>
    </row>
    <row r="782" spans="3:3" x14ac:dyDescent="0.2">
      <c r="C782" s="4"/>
    </row>
    <row r="783" spans="3:3" x14ac:dyDescent="0.2">
      <c r="C783" s="4"/>
    </row>
    <row r="784" spans="3:3" x14ac:dyDescent="0.2">
      <c r="C784" s="4"/>
    </row>
    <row r="785" spans="3:3" x14ac:dyDescent="0.2">
      <c r="C785" s="4"/>
    </row>
    <row r="786" spans="3:3" x14ac:dyDescent="0.2">
      <c r="C786" s="4"/>
    </row>
    <row r="787" spans="3:3" x14ac:dyDescent="0.2">
      <c r="C787" s="4"/>
    </row>
    <row r="788" spans="3:3" x14ac:dyDescent="0.2">
      <c r="C788" s="4"/>
    </row>
    <row r="789" spans="3:3" x14ac:dyDescent="0.2">
      <c r="C789" s="4"/>
    </row>
    <row r="790" spans="3:3" x14ac:dyDescent="0.2">
      <c r="C790" s="4"/>
    </row>
    <row r="791" spans="3:3" x14ac:dyDescent="0.2">
      <c r="C791" s="4"/>
    </row>
    <row r="792" spans="3:3" x14ac:dyDescent="0.2">
      <c r="C792" s="4"/>
    </row>
    <row r="793" spans="3:3" x14ac:dyDescent="0.2">
      <c r="C793" s="4"/>
    </row>
    <row r="794" spans="3:3" x14ac:dyDescent="0.2">
      <c r="C794" s="4"/>
    </row>
    <row r="795" spans="3:3" x14ac:dyDescent="0.2">
      <c r="C795" s="4"/>
    </row>
    <row r="796" spans="3:3" x14ac:dyDescent="0.2">
      <c r="C796" s="4"/>
    </row>
    <row r="797" spans="3:3" x14ac:dyDescent="0.2">
      <c r="C797" s="4"/>
    </row>
    <row r="798" spans="3:3" x14ac:dyDescent="0.2">
      <c r="C798" s="4"/>
    </row>
    <row r="799" spans="3:3" x14ac:dyDescent="0.2">
      <c r="C799" s="4"/>
    </row>
    <row r="800" spans="3:3" x14ac:dyDescent="0.2">
      <c r="C800" s="4"/>
    </row>
    <row r="801" spans="3:3" x14ac:dyDescent="0.2">
      <c r="C801" s="4"/>
    </row>
    <row r="802" spans="3:3" x14ac:dyDescent="0.2">
      <c r="C802" s="4"/>
    </row>
    <row r="803" spans="3:3" x14ac:dyDescent="0.2">
      <c r="C803" s="4"/>
    </row>
    <row r="804" spans="3:3" x14ac:dyDescent="0.2">
      <c r="C804" s="4"/>
    </row>
    <row r="805" spans="3:3" x14ac:dyDescent="0.2">
      <c r="C805" s="4"/>
    </row>
    <row r="806" spans="3:3" x14ac:dyDescent="0.2">
      <c r="C806" s="4"/>
    </row>
    <row r="807" spans="3:3" x14ac:dyDescent="0.2">
      <c r="C807" s="4"/>
    </row>
    <row r="808" spans="3:3" x14ac:dyDescent="0.2">
      <c r="C808" s="4"/>
    </row>
    <row r="809" spans="3:3" x14ac:dyDescent="0.2">
      <c r="C809" s="4"/>
    </row>
    <row r="810" spans="3:3" x14ac:dyDescent="0.2">
      <c r="C810" s="4"/>
    </row>
    <row r="811" spans="3:3" x14ac:dyDescent="0.2">
      <c r="C811" s="4"/>
    </row>
    <row r="812" spans="3:3" x14ac:dyDescent="0.2">
      <c r="C812" s="4"/>
    </row>
    <row r="813" spans="3:3" x14ac:dyDescent="0.2">
      <c r="C813" s="4"/>
    </row>
    <row r="814" spans="3:3" x14ac:dyDescent="0.2">
      <c r="C814" s="4"/>
    </row>
    <row r="815" spans="3:3" x14ac:dyDescent="0.2">
      <c r="C815" s="4"/>
    </row>
    <row r="816" spans="3:3" x14ac:dyDescent="0.2">
      <c r="C816" s="4"/>
    </row>
    <row r="817" spans="3:3" x14ac:dyDescent="0.2">
      <c r="C817" s="4"/>
    </row>
    <row r="818" spans="3:3" x14ac:dyDescent="0.2">
      <c r="C818" s="4"/>
    </row>
    <row r="819" spans="3:3" x14ac:dyDescent="0.2">
      <c r="C819" s="4"/>
    </row>
    <row r="820" spans="3:3" x14ac:dyDescent="0.2">
      <c r="C820" s="4"/>
    </row>
    <row r="821" spans="3:3" x14ac:dyDescent="0.2">
      <c r="C821" s="4"/>
    </row>
    <row r="822" spans="3:3" x14ac:dyDescent="0.2">
      <c r="C822" s="4"/>
    </row>
    <row r="823" spans="3:3" x14ac:dyDescent="0.2">
      <c r="C823" s="4"/>
    </row>
    <row r="824" spans="3:3" x14ac:dyDescent="0.2">
      <c r="C824" s="4"/>
    </row>
    <row r="825" spans="3:3" x14ac:dyDescent="0.2">
      <c r="C825" s="4"/>
    </row>
    <row r="826" spans="3:3" x14ac:dyDescent="0.2">
      <c r="C826" s="4"/>
    </row>
    <row r="827" spans="3:3" x14ac:dyDescent="0.2">
      <c r="C827" s="4"/>
    </row>
    <row r="828" spans="3:3" x14ac:dyDescent="0.2">
      <c r="C828" s="4"/>
    </row>
    <row r="829" spans="3:3" x14ac:dyDescent="0.2">
      <c r="C829" s="4"/>
    </row>
    <row r="830" spans="3:3" x14ac:dyDescent="0.2">
      <c r="C830" s="4"/>
    </row>
    <row r="831" spans="3:3" x14ac:dyDescent="0.2">
      <c r="C831" s="4"/>
    </row>
    <row r="832" spans="3:3" x14ac:dyDescent="0.2">
      <c r="C832" s="4"/>
    </row>
    <row r="833" spans="3:3" x14ac:dyDescent="0.2">
      <c r="C833" s="4"/>
    </row>
    <row r="834" spans="3:3" x14ac:dyDescent="0.2">
      <c r="C834" s="4"/>
    </row>
    <row r="835" spans="3:3" x14ac:dyDescent="0.2">
      <c r="C835" s="4"/>
    </row>
    <row r="836" spans="3:3" x14ac:dyDescent="0.2">
      <c r="C836" s="4"/>
    </row>
    <row r="837" spans="3:3" x14ac:dyDescent="0.2">
      <c r="C837" s="4"/>
    </row>
    <row r="838" spans="3:3" x14ac:dyDescent="0.2">
      <c r="C838" s="4"/>
    </row>
    <row r="839" spans="3:3" x14ac:dyDescent="0.2">
      <c r="C839" s="4"/>
    </row>
    <row r="840" spans="3:3" x14ac:dyDescent="0.2">
      <c r="C840" s="4"/>
    </row>
    <row r="841" spans="3:3" x14ac:dyDescent="0.2">
      <c r="C841" s="4"/>
    </row>
    <row r="842" spans="3:3" x14ac:dyDescent="0.2">
      <c r="C842" s="4"/>
    </row>
    <row r="843" spans="3:3" x14ac:dyDescent="0.2">
      <c r="C843" s="4"/>
    </row>
    <row r="844" spans="3:3" x14ac:dyDescent="0.2">
      <c r="C844" s="4"/>
    </row>
    <row r="845" spans="3:3" x14ac:dyDescent="0.2">
      <c r="C845" s="4"/>
    </row>
    <row r="846" spans="3:3" x14ac:dyDescent="0.2">
      <c r="C846" s="4"/>
    </row>
    <row r="847" spans="3:3" x14ac:dyDescent="0.2">
      <c r="C847" s="4"/>
    </row>
    <row r="848" spans="3:3" x14ac:dyDescent="0.2">
      <c r="C848" s="4"/>
    </row>
    <row r="849" spans="3:3" x14ac:dyDescent="0.2">
      <c r="C849" s="4"/>
    </row>
    <row r="850" spans="3:3" x14ac:dyDescent="0.2">
      <c r="C850" s="4"/>
    </row>
    <row r="851" spans="3:3" x14ac:dyDescent="0.2">
      <c r="C851" s="4"/>
    </row>
    <row r="852" spans="3:3" x14ac:dyDescent="0.2">
      <c r="C852" s="4"/>
    </row>
    <row r="853" spans="3:3" x14ac:dyDescent="0.2">
      <c r="C853" s="4"/>
    </row>
    <row r="854" spans="3:3" x14ac:dyDescent="0.2">
      <c r="C854" s="4"/>
    </row>
    <row r="855" spans="3:3" x14ac:dyDescent="0.2">
      <c r="C855" s="4"/>
    </row>
    <row r="856" spans="3:3" x14ac:dyDescent="0.2">
      <c r="C856" s="4"/>
    </row>
    <row r="857" spans="3:3" x14ac:dyDescent="0.2">
      <c r="C857" s="4"/>
    </row>
    <row r="858" spans="3:3" x14ac:dyDescent="0.2">
      <c r="C858" s="4"/>
    </row>
    <row r="859" spans="3:3" x14ac:dyDescent="0.2">
      <c r="C859" s="4"/>
    </row>
    <row r="860" spans="3:3" x14ac:dyDescent="0.2">
      <c r="C860" s="4"/>
    </row>
    <row r="861" spans="3:3" x14ac:dyDescent="0.2">
      <c r="C861" s="4"/>
    </row>
    <row r="862" spans="3:3" x14ac:dyDescent="0.2">
      <c r="C862" s="4"/>
    </row>
    <row r="863" spans="3:3" x14ac:dyDescent="0.2">
      <c r="C863" s="4"/>
    </row>
    <row r="864" spans="3:3" x14ac:dyDescent="0.2">
      <c r="C864" s="4"/>
    </row>
    <row r="865" spans="3:3" x14ac:dyDescent="0.2">
      <c r="C865" s="4"/>
    </row>
    <row r="866" spans="3:3" x14ac:dyDescent="0.2">
      <c r="C866" s="4"/>
    </row>
    <row r="867" spans="3:3" x14ac:dyDescent="0.2">
      <c r="C867" s="4"/>
    </row>
    <row r="868" spans="3:3" x14ac:dyDescent="0.2">
      <c r="C868" s="4"/>
    </row>
    <row r="869" spans="3:3" x14ac:dyDescent="0.2">
      <c r="C869" s="4"/>
    </row>
    <row r="870" spans="3:3" x14ac:dyDescent="0.2">
      <c r="C870" s="4"/>
    </row>
    <row r="871" spans="3:3" x14ac:dyDescent="0.2">
      <c r="C871" s="4"/>
    </row>
    <row r="872" spans="3:3" x14ac:dyDescent="0.2">
      <c r="C872" s="4"/>
    </row>
    <row r="873" spans="3:3" x14ac:dyDescent="0.2">
      <c r="C873" s="4"/>
    </row>
    <row r="874" spans="3:3" x14ac:dyDescent="0.2">
      <c r="C874" s="4"/>
    </row>
    <row r="875" spans="3:3" x14ac:dyDescent="0.2">
      <c r="C875" s="4"/>
    </row>
    <row r="876" spans="3:3" x14ac:dyDescent="0.2">
      <c r="C876" s="4"/>
    </row>
    <row r="877" spans="3:3" x14ac:dyDescent="0.2">
      <c r="C877" s="4"/>
    </row>
    <row r="878" spans="3:3" x14ac:dyDescent="0.2">
      <c r="C878" s="4"/>
    </row>
    <row r="879" spans="3:3" x14ac:dyDescent="0.2">
      <c r="C879" s="4"/>
    </row>
    <row r="880" spans="3:3" x14ac:dyDescent="0.2">
      <c r="C880" s="4"/>
    </row>
    <row r="881" spans="3:3" x14ac:dyDescent="0.2">
      <c r="C881" s="4"/>
    </row>
    <row r="882" spans="3:3" x14ac:dyDescent="0.2">
      <c r="C882" s="4"/>
    </row>
    <row r="883" spans="3:3" x14ac:dyDescent="0.2">
      <c r="C883" s="4"/>
    </row>
    <row r="884" spans="3:3" x14ac:dyDescent="0.2">
      <c r="C884" s="4"/>
    </row>
    <row r="885" spans="3:3" x14ac:dyDescent="0.2">
      <c r="C885" s="4"/>
    </row>
    <row r="886" spans="3:3" x14ac:dyDescent="0.2">
      <c r="C886" s="4"/>
    </row>
    <row r="887" spans="3:3" x14ac:dyDescent="0.2">
      <c r="C887" s="4"/>
    </row>
    <row r="888" spans="3:3" x14ac:dyDescent="0.2">
      <c r="C888" s="4"/>
    </row>
    <row r="889" spans="3:3" x14ac:dyDescent="0.2">
      <c r="C889" s="4"/>
    </row>
    <row r="890" spans="3:3" x14ac:dyDescent="0.2">
      <c r="C890" s="4"/>
    </row>
    <row r="891" spans="3:3" x14ac:dyDescent="0.2">
      <c r="C891" s="4"/>
    </row>
    <row r="892" spans="3:3" x14ac:dyDescent="0.2">
      <c r="C892" s="4"/>
    </row>
    <row r="893" spans="3:3" x14ac:dyDescent="0.2">
      <c r="C893" s="4"/>
    </row>
    <row r="894" spans="3:3" x14ac:dyDescent="0.2">
      <c r="C894" s="4"/>
    </row>
    <row r="895" spans="3:3" x14ac:dyDescent="0.2">
      <c r="C895" s="4"/>
    </row>
    <row r="896" spans="3:3" x14ac:dyDescent="0.2">
      <c r="C896" s="4"/>
    </row>
    <row r="897" spans="3:3" x14ac:dyDescent="0.2">
      <c r="C897" s="4"/>
    </row>
    <row r="898" spans="3:3" x14ac:dyDescent="0.2">
      <c r="C898" s="4"/>
    </row>
    <row r="899" spans="3:3" x14ac:dyDescent="0.2">
      <c r="C899" s="4"/>
    </row>
    <row r="900" spans="3:3" x14ac:dyDescent="0.2">
      <c r="C900" s="4"/>
    </row>
    <row r="901" spans="3:3" x14ac:dyDescent="0.2">
      <c r="C901" s="4"/>
    </row>
    <row r="902" spans="3:3" x14ac:dyDescent="0.2">
      <c r="C902" s="4"/>
    </row>
    <row r="903" spans="3:3" x14ac:dyDescent="0.2">
      <c r="C903" s="4"/>
    </row>
    <row r="904" spans="3:3" x14ac:dyDescent="0.2">
      <c r="C904" s="4"/>
    </row>
    <row r="905" spans="3:3" x14ac:dyDescent="0.2">
      <c r="C905" s="4"/>
    </row>
    <row r="906" spans="3:3" x14ac:dyDescent="0.2">
      <c r="C906" s="4"/>
    </row>
    <row r="907" spans="3:3" x14ac:dyDescent="0.2">
      <c r="C907" s="4"/>
    </row>
    <row r="908" spans="3:3" x14ac:dyDescent="0.2">
      <c r="C908" s="4"/>
    </row>
    <row r="909" spans="3:3" x14ac:dyDescent="0.2">
      <c r="C909" s="4"/>
    </row>
    <row r="910" spans="3:3" x14ac:dyDescent="0.2">
      <c r="C910" s="4"/>
    </row>
    <row r="911" spans="3:3" x14ac:dyDescent="0.2">
      <c r="C911" s="4"/>
    </row>
    <row r="912" spans="3:3" x14ac:dyDescent="0.2">
      <c r="C912" s="4"/>
    </row>
    <row r="913" spans="3:3" x14ac:dyDescent="0.2">
      <c r="C913" s="4"/>
    </row>
    <row r="914" spans="3:3" x14ac:dyDescent="0.2">
      <c r="C914" s="4"/>
    </row>
    <row r="915" spans="3:3" x14ac:dyDescent="0.2">
      <c r="C915" s="4"/>
    </row>
    <row r="916" spans="3:3" x14ac:dyDescent="0.2">
      <c r="C916" s="4"/>
    </row>
    <row r="917" spans="3:3" x14ac:dyDescent="0.2">
      <c r="C917" s="4"/>
    </row>
    <row r="918" spans="3:3" x14ac:dyDescent="0.2">
      <c r="C918" s="4"/>
    </row>
    <row r="919" spans="3:3" x14ac:dyDescent="0.2">
      <c r="C919" s="4"/>
    </row>
    <row r="920" spans="3:3" x14ac:dyDescent="0.2">
      <c r="C920" s="4"/>
    </row>
    <row r="921" spans="3:3" x14ac:dyDescent="0.2">
      <c r="C921" s="4"/>
    </row>
    <row r="922" spans="3:3" x14ac:dyDescent="0.2">
      <c r="C922" s="4"/>
    </row>
    <row r="923" spans="3:3" x14ac:dyDescent="0.2">
      <c r="C923" s="4"/>
    </row>
    <row r="924" spans="3:3" x14ac:dyDescent="0.2">
      <c r="C924" s="4"/>
    </row>
    <row r="925" spans="3:3" x14ac:dyDescent="0.2">
      <c r="C925" s="4"/>
    </row>
    <row r="926" spans="3:3" x14ac:dyDescent="0.2">
      <c r="C926" s="4"/>
    </row>
    <row r="927" spans="3:3" x14ac:dyDescent="0.2">
      <c r="C927" s="4"/>
    </row>
    <row r="928" spans="3:3" x14ac:dyDescent="0.2">
      <c r="C928" s="4"/>
    </row>
    <row r="929" spans="3:3" x14ac:dyDescent="0.2">
      <c r="C929" s="4"/>
    </row>
    <row r="930" spans="3:3" x14ac:dyDescent="0.2">
      <c r="C930" s="4"/>
    </row>
    <row r="931" spans="3:3" x14ac:dyDescent="0.2">
      <c r="C931" s="4"/>
    </row>
    <row r="932" spans="3:3" x14ac:dyDescent="0.2">
      <c r="C932" s="4"/>
    </row>
    <row r="933" spans="3:3" x14ac:dyDescent="0.2">
      <c r="C933" s="4"/>
    </row>
    <row r="934" spans="3:3" x14ac:dyDescent="0.2">
      <c r="C934" s="4"/>
    </row>
    <row r="935" spans="3:3" x14ac:dyDescent="0.2">
      <c r="C935" s="4"/>
    </row>
    <row r="936" spans="3:3" x14ac:dyDescent="0.2">
      <c r="C936" s="4"/>
    </row>
    <row r="937" spans="3:3" x14ac:dyDescent="0.2">
      <c r="C937" s="4"/>
    </row>
    <row r="938" spans="3:3" x14ac:dyDescent="0.2">
      <c r="C938" s="4"/>
    </row>
    <row r="939" spans="3:3" x14ac:dyDescent="0.2">
      <c r="C939" s="4"/>
    </row>
    <row r="940" spans="3:3" x14ac:dyDescent="0.2">
      <c r="C940" s="4"/>
    </row>
    <row r="941" spans="3:3" x14ac:dyDescent="0.2">
      <c r="C941" s="4"/>
    </row>
    <row r="942" spans="3:3" x14ac:dyDescent="0.2">
      <c r="C942" s="4"/>
    </row>
    <row r="943" spans="3:3" x14ac:dyDescent="0.2">
      <c r="C943" s="4"/>
    </row>
    <row r="944" spans="3:3" x14ac:dyDescent="0.2">
      <c r="C944" s="4"/>
    </row>
    <row r="945" spans="3:3" x14ac:dyDescent="0.2">
      <c r="C945" s="4"/>
    </row>
    <row r="946" spans="3:3" x14ac:dyDescent="0.2">
      <c r="C946" s="4"/>
    </row>
    <row r="947" spans="3:3" x14ac:dyDescent="0.2">
      <c r="C947" s="4"/>
    </row>
    <row r="948" spans="3:3" x14ac:dyDescent="0.2">
      <c r="C948" s="4"/>
    </row>
    <row r="949" spans="3:3" x14ac:dyDescent="0.2">
      <c r="C949" s="4"/>
    </row>
    <row r="950" spans="3:3" x14ac:dyDescent="0.2">
      <c r="C950" s="4"/>
    </row>
    <row r="951" spans="3:3" x14ac:dyDescent="0.2">
      <c r="C951" s="4"/>
    </row>
    <row r="952" spans="3:3" x14ac:dyDescent="0.2">
      <c r="C952" s="4"/>
    </row>
    <row r="953" spans="3:3" x14ac:dyDescent="0.2">
      <c r="C953" s="4"/>
    </row>
    <row r="954" spans="3:3" x14ac:dyDescent="0.2">
      <c r="C954" s="4"/>
    </row>
    <row r="955" spans="3:3" x14ac:dyDescent="0.2">
      <c r="C955" s="4"/>
    </row>
    <row r="956" spans="3:3" x14ac:dyDescent="0.2">
      <c r="C956" s="4"/>
    </row>
    <row r="957" spans="3:3" x14ac:dyDescent="0.2">
      <c r="C957" s="4"/>
    </row>
    <row r="958" spans="3:3" x14ac:dyDescent="0.2">
      <c r="C958" s="4"/>
    </row>
    <row r="959" spans="3:3" x14ac:dyDescent="0.2">
      <c r="C959" s="4"/>
    </row>
    <row r="960" spans="3:3" x14ac:dyDescent="0.2">
      <c r="C960" s="4"/>
    </row>
    <row r="961" spans="3:3" x14ac:dyDescent="0.2">
      <c r="C961" s="4"/>
    </row>
    <row r="962" spans="3:3" x14ac:dyDescent="0.2">
      <c r="C962" s="4"/>
    </row>
    <row r="963" spans="3:3" x14ac:dyDescent="0.2">
      <c r="C963" s="4"/>
    </row>
    <row r="964" spans="3:3" x14ac:dyDescent="0.2">
      <c r="C964" s="4"/>
    </row>
    <row r="965" spans="3:3" x14ac:dyDescent="0.2">
      <c r="C965" s="4"/>
    </row>
    <row r="966" spans="3:3" x14ac:dyDescent="0.2">
      <c r="C966" s="4"/>
    </row>
    <row r="967" spans="3:3" x14ac:dyDescent="0.2">
      <c r="C967" s="4"/>
    </row>
    <row r="968" spans="3:3" x14ac:dyDescent="0.2">
      <c r="C968" s="4"/>
    </row>
    <row r="969" spans="3:3" x14ac:dyDescent="0.2">
      <c r="C969" s="4"/>
    </row>
    <row r="970" spans="3:3" x14ac:dyDescent="0.2">
      <c r="C970" s="4"/>
    </row>
    <row r="971" spans="3:3" x14ac:dyDescent="0.2">
      <c r="C971" s="4"/>
    </row>
    <row r="972" spans="3:3" x14ac:dyDescent="0.2">
      <c r="C972" s="4"/>
    </row>
    <row r="973" spans="3:3" x14ac:dyDescent="0.2">
      <c r="C973" s="4"/>
    </row>
    <row r="974" spans="3:3" x14ac:dyDescent="0.2">
      <c r="C974" s="4"/>
    </row>
    <row r="975" spans="3:3" x14ac:dyDescent="0.2">
      <c r="C975" s="4"/>
    </row>
    <row r="976" spans="3:3" x14ac:dyDescent="0.2">
      <c r="C976" s="4"/>
    </row>
    <row r="977" spans="3:3" x14ac:dyDescent="0.2">
      <c r="C977" s="4"/>
    </row>
    <row r="978" spans="3:3" x14ac:dyDescent="0.2">
      <c r="C978" s="4"/>
    </row>
    <row r="979" spans="3:3" x14ac:dyDescent="0.2">
      <c r="C979" s="4"/>
    </row>
    <row r="980" spans="3:3" x14ac:dyDescent="0.2">
      <c r="C980" s="4"/>
    </row>
    <row r="981" spans="3:3" x14ac:dyDescent="0.2">
      <c r="C981" s="4"/>
    </row>
    <row r="982" spans="3:3" x14ac:dyDescent="0.2">
      <c r="C982" s="4"/>
    </row>
    <row r="983" spans="3:3" x14ac:dyDescent="0.2">
      <c r="C983" s="4"/>
    </row>
    <row r="984" spans="3:3" x14ac:dyDescent="0.2">
      <c r="C984" s="4"/>
    </row>
    <row r="985" spans="3:3" x14ac:dyDescent="0.2">
      <c r="C985" s="4"/>
    </row>
    <row r="986" spans="3:3" x14ac:dyDescent="0.2">
      <c r="C986" s="4"/>
    </row>
    <row r="987" spans="3:3" x14ac:dyDescent="0.2">
      <c r="C987" s="4"/>
    </row>
    <row r="988" spans="3:3" x14ac:dyDescent="0.2">
      <c r="C988" s="4"/>
    </row>
    <row r="989" spans="3:3" x14ac:dyDescent="0.2">
      <c r="C989" s="4"/>
    </row>
    <row r="990" spans="3:3" x14ac:dyDescent="0.2">
      <c r="C990" s="4"/>
    </row>
    <row r="991" spans="3:3" x14ac:dyDescent="0.2">
      <c r="C991" s="4"/>
    </row>
    <row r="992" spans="3:3" x14ac:dyDescent="0.2">
      <c r="C992" s="4"/>
    </row>
    <row r="993" spans="3:3" x14ac:dyDescent="0.2">
      <c r="C993" s="4"/>
    </row>
    <row r="994" spans="3:3" x14ac:dyDescent="0.2">
      <c r="C994" s="4"/>
    </row>
    <row r="995" spans="3:3" x14ac:dyDescent="0.2">
      <c r="C995" s="4"/>
    </row>
    <row r="996" spans="3:3" x14ac:dyDescent="0.2">
      <c r="C996" s="4"/>
    </row>
    <row r="997" spans="3:3" x14ac:dyDescent="0.2">
      <c r="C997" s="4"/>
    </row>
    <row r="998" spans="3:3" x14ac:dyDescent="0.2">
      <c r="C998" s="4"/>
    </row>
    <row r="999" spans="3:3" x14ac:dyDescent="0.2">
      <c r="C999" s="4"/>
    </row>
    <row r="1000" spans="3:3" x14ac:dyDescent="0.2">
      <c r="C1000" s="4"/>
    </row>
    <row r="1001" spans="3:3" x14ac:dyDescent="0.2">
      <c r="C1001" s="4"/>
    </row>
    <row r="1002" spans="3:3" x14ac:dyDescent="0.2">
      <c r="C1002" s="4"/>
    </row>
    <row r="1003" spans="3:3" x14ac:dyDescent="0.2">
      <c r="C1003" s="4"/>
    </row>
    <row r="1004" spans="3:3" x14ac:dyDescent="0.2">
      <c r="C1004" s="4"/>
    </row>
    <row r="1005" spans="3:3" x14ac:dyDescent="0.2">
      <c r="C1005" s="4"/>
    </row>
    <row r="1006" spans="3:3" x14ac:dyDescent="0.2">
      <c r="C1006" s="4"/>
    </row>
    <row r="1007" spans="3:3" x14ac:dyDescent="0.2">
      <c r="C1007" s="4"/>
    </row>
    <row r="1008" spans="3:3" x14ac:dyDescent="0.2">
      <c r="C1008" s="4"/>
    </row>
    <row r="1009" spans="3:3" x14ac:dyDescent="0.2">
      <c r="C1009" s="4"/>
    </row>
    <row r="1010" spans="3:3" x14ac:dyDescent="0.2">
      <c r="C1010" s="4"/>
    </row>
    <row r="1011" spans="3:3" x14ac:dyDescent="0.2">
      <c r="C1011" s="4"/>
    </row>
    <row r="1012" spans="3:3" x14ac:dyDescent="0.2">
      <c r="C1012" s="4"/>
    </row>
    <row r="1013" spans="3:3" x14ac:dyDescent="0.2">
      <c r="C1013" s="4"/>
    </row>
    <row r="1014" spans="3:3" x14ac:dyDescent="0.2">
      <c r="C1014" s="4"/>
    </row>
    <row r="1015" spans="3:3" x14ac:dyDescent="0.2">
      <c r="C1015" s="4"/>
    </row>
    <row r="1016" spans="3:3" x14ac:dyDescent="0.2">
      <c r="C1016" s="4"/>
    </row>
    <row r="1017" spans="3:3" x14ac:dyDescent="0.2">
      <c r="C1017" s="4"/>
    </row>
    <row r="1018" spans="3:3" x14ac:dyDescent="0.2">
      <c r="C1018" s="4"/>
    </row>
    <row r="1019" spans="3:3" x14ac:dyDescent="0.2">
      <c r="C1019" s="4"/>
    </row>
    <row r="1020" spans="3:3" x14ac:dyDescent="0.2">
      <c r="C1020" s="4"/>
    </row>
    <row r="1021" spans="3:3" x14ac:dyDescent="0.2">
      <c r="C1021" s="4"/>
    </row>
    <row r="1022" spans="3:3" x14ac:dyDescent="0.2">
      <c r="C1022" s="4"/>
    </row>
    <row r="1023" spans="3:3" x14ac:dyDescent="0.2">
      <c r="C1023" s="4"/>
    </row>
    <row r="1024" spans="3:3" x14ac:dyDescent="0.2">
      <c r="C1024" s="4"/>
    </row>
    <row r="1025" spans="3:3" x14ac:dyDescent="0.2">
      <c r="C1025" s="4"/>
    </row>
    <row r="1026" spans="3:3" x14ac:dyDescent="0.2">
      <c r="C1026" s="4"/>
    </row>
    <row r="1027" spans="3:3" x14ac:dyDescent="0.2">
      <c r="C1027" s="4"/>
    </row>
    <row r="1028" spans="3:3" x14ac:dyDescent="0.2">
      <c r="C1028" s="4"/>
    </row>
    <row r="1029" spans="3:3" x14ac:dyDescent="0.2">
      <c r="C1029" s="4"/>
    </row>
    <row r="1030" spans="3:3" x14ac:dyDescent="0.2">
      <c r="C1030" s="4"/>
    </row>
    <row r="1031" spans="3:3" x14ac:dyDescent="0.2">
      <c r="C1031" s="4"/>
    </row>
    <row r="1032" spans="3:3" x14ac:dyDescent="0.2">
      <c r="C1032" s="4"/>
    </row>
    <row r="1033" spans="3:3" x14ac:dyDescent="0.2">
      <c r="C1033" s="4"/>
    </row>
    <row r="1034" spans="3:3" x14ac:dyDescent="0.2">
      <c r="C1034" s="4"/>
    </row>
    <row r="1035" spans="3:3" x14ac:dyDescent="0.2">
      <c r="C1035" s="4"/>
    </row>
    <row r="1036" spans="3:3" x14ac:dyDescent="0.2">
      <c r="C1036" s="4"/>
    </row>
    <row r="1037" spans="3:3" x14ac:dyDescent="0.2">
      <c r="C1037" s="4"/>
    </row>
    <row r="1038" spans="3:3" x14ac:dyDescent="0.2">
      <c r="C1038" s="4"/>
    </row>
    <row r="1039" spans="3:3" x14ac:dyDescent="0.2">
      <c r="C1039" s="4"/>
    </row>
    <row r="1040" spans="3:3" x14ac:dyDescent="0.2">
      <c r="C1040" s="4"/>
    </row>
    <row r="1041" spans="3:3" x14ac:dyDescent="0.2">
      <c r="C1041" s="4"/>
    </row>
    <row r="1042" spans="3:3" x14ac:dyDescent="0.2">
      <c r="C1042" s="4"/>
    </row>
    <row r="1043" spans="3:3" x14ac:dyDescent="0.2">
      <c r="C1043" s="4"/>
    </row>
    <row r="1044" spans="3:3" x14ac:dyDescent="0.2">
      <c r="C1044" s="4"/>
    </row>
    <row r="1045" spans="3:3" x14ac:dyDescent="0.2">
      <c r="C1045" s="4"/>
    </row>
    <row r="1046" spans="3:3" x14ac:dyDescent="0.2">
      <c r="C1046" s="4"/>
    </row>
    <row r="1047" spans="3:3" x14ac:dyDescent="0.2">
      <c r="C1047" s="4"/>
    </row>
    <row r="1048" spans="3:3" x14ac:dyDescent="0.2">
      <c r="C1048" s="4"/>
    </row>
    <row r="1049" spans="3:3" x14ac:dyDescent="0.2">
      <c r="C1049" s="4"/>
    </row>
    <row r="1050" spans="3:3" x14ac:dyDescent="0.2">
      <c r="C1050" s="4"/>
    </row>
    <row r="1051" spans="3:3" x14ac:dyDescent="0.2">
      <c r="C1051" s="4"/>
    </row>
    <row r="1052" spans="3:3" x14ac:dyDescent="0.2">
      <c r="C1052" s="4"/>
    </row>
    <row r="1053" spans="3:3" x14ac:dyDescent="0.2">
      <c r="C1053" s="4"/>
    </row>
    <row r="1054" spans="3:3" x14ac:dyDescent="0.2">
      <c r="C1054" s="4"/>
    </row>
    <row r="1055" spans="3:3" x14ac:dyDescent="0.2">
      <c r="C1055" s="4"/>
    </row>
    <row r="1056" spans="3:3" x14ac:dyDescent="0.2">
      <c r="C1056" s="4"/>
    </row>
    <row r="1057" spans="3:3" x14ac:dyDescent="0.2">
      <c r="C1057" s="4"/>
    </row>
    <row r="1058" spans="3:3" x14ac:dyDescent="0.2">
      <c r="C1058" s="4"/>
    </row>
    <row r="1059" spans="3:3" x14ac:dyDescent="0.2">
      <c r="C1059" s="4"/>
    </row>
    <row r="1060" spans="3:3" x14ac:dyDescent="0.2">
      <c r="C1060" s="4"/>
    </row>
    <row r="1061" spans="3:3" x14ac:dyDescent="0.2">
      <c r="C1061" s="4"/>
    </row>
    <row r="1062" spans="3:3" x14ac:dyDescent="0.2">
      <c r="C1062" s="4"/>
    </row>
    <row r="1063" spans="3:3" x14ac:dyDescent="0.2">
      <c r="C1063" s="4"/>
    </row>
    <row r="1064" spans="3:3" x14ac:dyDescent="0.2">
      <c r="C1064" s="4"/>
    </row>
    <row r="1065" spans="3:3" x14ac:dyDescent="0.2">
      <c r="C1065" s="4"/>
    </row>
    <row r="1066" spans="3:3" x14ac:dyDescent="0.2">
      <c r="C1066" s="4"/>
    </row>
    <row r="1067" spans="3:3" x14ac:dyDescent="0.2">
      <c r="C1067" s="4"/>
    </row>
    <row r="1068" spans="3:3" x14ac:dyDescent="0.2">
      <c r="C1068" s="4"/>
    </row>
    <row r="1069" spans="3:3" x14ac:dyDescent="0.2">
      <c r="C1069" s="4"/>
    </row>
    <row r="1070" spans="3:3" x14ac:dyDescent="0.2">
      <c r="C1070" s="4"/>
    </row>
    <row r="1071" spans="3:3" x14ac:dyDescent="0.2">
      <c r="C1071" s="4"/>
    </row>
    <row r="1072" spans="3:3" x14ac:dyDescent="0.2">
      <c r="C1072" s="4"/>
    </row>
    <row r="1073" spans="3:3" x14ac:dyDescent="0.2">
      <c r="C1073" s="4"/>
    </row>
    <row r="1074" spans="3:3" x14ac:dyDescent="0.2">
      <c r="C1074" s="4"/>
    </row>
    <row r="1075" spans="3:3" x14ac:dyDescent="0.2">
      <c r="C1075" s="4"/>
    </row>
    <row r="1076" spans="3:3" x14ac:dyDescent="0.2">
      <c r="C1076" s="4"/>
    </row>
    <row r="1077" spans="3:3" x14ac:dyDescent="0.2">
      <c r="C1077" s="4"/>
    </row>
    <row r="1078" spans="3:3" x14ac:dyDescent="0.2">
      <c r="C1078" s="4"/>
    </row>
    <row r="1079" spans="3:3" x14ac:dyDescent="0.2">
      <c r="C1079" s="4"/>
    </row>
    <row r="1080" spans="3:3" x14ac:dyDescent="0.2">
      <c r="C1080" s="4"/>
    </row>
    <row r="1081" spans="3:3" x14ac:dyDescent="0.2">
      <c r="C1081" s="4"/>
    </row>
    <row r="1082" spans="3:3" x14ac:dyDescent="0.2">
      <c r="C1082" s="4"/>
    </row>
    <row r="1083" spans="3:3" x14ac:dyDescent="0.2">
      <c r="C1083" s="4"/>
    </row>
    <row r="1084" spans="3:3" x14ac:dyDescent="0.2">
      <c r="C1084" s="4"/>
    </row>
    <row r="1085" spans="3:3" x14ac:dyDescent="0.2">
      <c r="C1085" s="4"/>
    </row>
    <row r="1086" spans="3:3" x14ac:dyDescent="0.2">
      <c r="C1086" s="4"/>
    </row>
    <row r="1087" spans="3:3" x14ac:dyDescent="0.2">
      <c r="C1087" s="4"/>
    </row>
    <row r="1088" spans="3:3" x14ac:dyDescent="0.2">
      <c r="C1088" s="4"/>
    </row>
    <row r="1089" spans="3:3" x14ac:dyDescent="0.2">
      <c r="C1089" s="4"/>
    </row>
    <row r="1090" spans="3:3" x14ac:dyDescent="0.2">
      <c r="C1090" s="4"/>
    </row>
    <row r="1091" spans="3:3" x14ac:dyDescent="0.2">
      <c r="C1091" s="4"/>
    </row>
    <row r="1092" spans="3:3" x14ac:dyDescent="0.2">
      <c r="C1092" s="4"/>
    </row>
    <row r="1093" spans="3:3" x14ac:dyDescent="0.2">
      <c r="C1093" s="4"/>
    </row>
    <row r="1094" spans="3:3" x14ac:dyDescent="0.2">
      <c r="C1094" s="4"/>
    </row>
    <row r="1095" spans="3:3" x14ac:dyDescent="0.2">
      <c r="C1095" s="4"/>
    </row>
    <row r="1096" spans="3:3" x14ac:dyDescent="0.2">
      <c r="C1096" s="4"/>
    </row>
    <row r="1097" spans="3:3" x14ac:dyDescent="0.2">
      <c r="C1097" s="4"/>
    </row>
    <row r="1098" spans="3:3" x14ac:dyDescent="0.2">
      <c r="C1098" s="4"/>
    </row>
    <row r="1099" spans="3:3" x14ac:dyDescent="0.2">
      <c r="C1099" s="4"/>
    </row>
    <row r="1100" spans="3:3" x14ac:dyDescent="0.2">
      <c r="C1100" s="4"/>
    </row>
    <row r="1101" spans="3:3" x14ac:dyDescent="0.2">
      <c r="C1101" s="4"/>
    </row>
    <row r="1102" spans="3:3" x14ac:dyDescent="0.2">
      <c r="C1102" s="4"/>
    </row>
    <row r="1103" spans="3:3" x14ac:dyDescent="0.2">
      <c r="C1103" s="4"/>
    </row>
    <row r="1104" spans="3:3" x14ac:dyDescent="0.2">
      <c r="C1104" s="4"/>
    </row>
    <row r="1105" spans="3:3" x14ac:dyDescent="0.2">
      <c r="C1105" s="4"/>
    </row>
    <row r="1106" spans="3:3" x14ac:dyDescent="0.2">
      <c r="C1106" s="4"/>
    </row>
    <row r="1107" spans="3:3" x14ac:dyDescent="0.2">
      <c r="C1107" s="4"/>
    </row>
    <row r="1108" spans="3:3" x14ac:dyDescent="0.2">
      <c r="C1108" s="4"/>
    </row>
    <row r="1109" spans="3:3" x14ac:dyDescent="0.2">
      <c r="C1109" s="4"/>
    </row>
    <row r="1110" spans="3:3" x14ac:dyDescent="0.2">
      <c r="C1110" s="4"/>
    </row>
    <row r="1111" spans="3:3" x14ac:dyDescent="0.2">
      <c r="C1111" s="4"/>
    </row>
    <row r="1112" spans="3:3" x14ac:dyDescent="0.2">
      <c r="C1112" s="4"/>
    </row>
    <row r="1113" spans="3:3" x14ac:dyDescent="0.2">
      <c r="C1113" s="4"/>
    </row>
    <row r="1114" spans="3:3" x14ac:dyDescent="0.2">
      <c r="C1114" s="4"/>
    </row>
    <row r="1115" spans="3:3" x14ac:dyDescent="0.2">
      <c r="C1115" s="4"/>
    </row>
    <row r="1116" spans="3:3" x14ac:dyDescent="0.2">
      <c r="C1116" s="4"/>
    </row>
    <row r="1117" spans="3:3" x14ac:dyDescent="0.2">
      <c r="C1117" s="4"/>
    </row>
    <row r="1118" spans="3:3" x14ac:dyDescent="0.2">
      <c r="C1118" s="4"/>
    </row>
    <row r="1119" spans="3:3" x14ac:dyDescent="0.2">
      <c r="C1119" s="4"/>
    </row>
    <row r="1120" spans="3:3" x14ac:dyDescent="0.2">
      <c r="C1120" s="4"/>
    </row>
    <row r="1121" spans="3:3" x14ac:dyDescent="0.2">
      <c r="C1121" s="4"/>
    </row>
    <row r="1122" spans="3:3" x14ac:dyDescent="0.2">
      <c r="C1122" s="4"/>
    </row>
    <row r="1123" spans="3:3" x14ac:dyDescent="0.2">
      <c r="C1123" s="4"/>
    </row>
    <row r="1124" spans="3:3" x14ac:dyDescent="0.2">
      <c r="C1124" s="4"/>
    </row>
    <row r="1125" spans="3:3" x14ac:dyDescent="0.2">
      <c r="C1125" s="4"/>
    </row>
    <row r="1126" spans="3:3" x14ac:dyDescent="0.2">
      <c r="C1126" s="4"/>
    </row>
    <row r="1127" spans="3:3" x14ac:dyDescent="0.2">
      <c r="C1127" s="4"/>
    </row>
    <row r="1128" spans="3:3" x14ac:dyDescent="0.2">
      <c r="C1128" s="4"/>
    </row>
    <row r="1129" spans="3:3" x14ac:dyDescent="0.2">
      <c r="C1129" s="4"/>
    </row>
    <row r="1130" spans="3:3" x14ac:dyDescent="0.2">
      <c r="C1130" s="4"/>
    </row>
    <row r="1131" spans="3:3" x14ac:dyDescent="0.2">
      <c r="C1131" s="4"/>
    </row>
    <row r="1132" spans="3:3" x14ac:dyDescent="0.2">
      <c r="C1132" s="4"/>
    </row>
    <row r="1133" spans="3:3" x14ac:dyDescent="0.2">
      <c r="C1133" s="4"/>
    </row>
    <row r="1134" spans="3:3" x14ac:dyDescent="0.2">
      <c r="C1134" s="4"/>
    </row>
    <row r="1135" spans="3:3" x14ac:dyDescent="0.2">
      <c r="C1135" s="4"/>
    </row>
    <row r="1136" spans="3:3" x14ac:dyDescent="0.2">
      <c r="C1136" s="4"/>
    </row>
    <row r="1137" spans="3:3" x14ac:dyDescent="0.2">
      <c r="C1137" s="4"/>
    </row>
    <row r="1138" spans="3:3" x14ac:dyDescent="0.2">
      <c r="C1138" s="4"/>
    </row>
    <row r="1139" spans="3:3" x14ac:dyDescent="0.2">
      <c r="C1139" s="4"/>
    </row>
    <row r="1140" spans="3:3" x14ac:dyDescent="0.2">
      <c r="C1140" s="4"/>
    </row>
    <row r="1141" spans="3:3" x14ac:dyDescent="0.2">
      <c r="C1141" s="4"/>
    </row>
    <row r="1142" spans="3:3" x14ac:dyDescent="0.2">
      <c r="C1142" s="4"/>
    </row>
    <row r="1143" spans="3:3" x14ac:dyDescent="0.2">
      <c r="C1143" s="4"/>
    </row>
    <row r="1144" spans="3:3" x14ac:dyDescent="0.2">
      <c r="C1144" s="4"/>
    </row>
    <row r="1145" spans="3:3" x14ac:dyDescent="0.2">
      <c r="C1145" s="4"/>
    </row>
    <row r="1146" spans="3:3" x14ac:dyDescent="0.2">
      <c r="C1146" s="4"/>
    </row>
    <row r="1147" spans="3:3" x14ac:dyDescent="0.2">
      <c r="C1147" s="4"/>
    </row>
    <row r="1148" spans="3:3" x14ac:dyDescent="0.2">
      <c r="C1148" s="4"/>
    </row>
    <row r="1149" spans="3:3" x14ac:dyDescent="0.2">
      <c r="C1149" s="4"/>
    </row>
    <row r="1150" spans="3:3" x14ac:dyDescent="0.2">
      <c r="C1150" s="4"/>
    </row>
    <row r="1151" spans="3:3" x14ac:dyDescent="0.2">
      <c r="C1151" s="4"/>
    </row>
    <row r="1152" spans="3:3" x14ac:dyDescent="0.2">
      <c r="C1152" s="4"/>
    </row>
    <row r="1153" spans="3:3" x14ac:dyDescent="0.2">
      <c r="C1153" s="4"/>
    </row>
    <row r="1154" spans="3:3" x14ac:dyDescent="0.2">
      <c r="C1154" s="4"/>
    </row>
    <row r="1155" spans="3:3" x14ac:dyDescent="0.2">
      <c r="C1155" s="4"/>
    </row>
    <row r="1156" spans="3:3" x14ac:dyDescent="0.2">
      <c r="C1156" s="4"/>
    </row>
    <row r="1157" spans="3:3" x14ac:dyDescent="0.2">
      <c r="C1157" s="4"/>
    </row>
    <row r="1158" spans="3:3" x14ac:dyDescent="0.2">
      <c r="C1158" s="4"/>
    </row>
    <row r="1159" spans="3:3" x14ac:dyDescent="0.2">
      <c r="C1159" s="4"/>
    </row>
    <row r="1160" spans="3:3" x14ac:dyDescent="0.2">
      <c r="C1160" s="4"/>
    </row>
    <row r="1161" spans="3:3" x14ac:dyDescent="0.2">
      <c r="C1161" s="4"/>
    </row>
    <row r="1162" spans="3:3" x14ac:dyDescent="0.2">
      <c r="C1162" s="4"/>
    </row>
    <row r="1163" spans="3:3" x14ac:dyDescent="0.2">
      <c r="C1163" s="4"/>
    </row>
    <row r="1164" spans="3:3" x14ac:dyDescent="0.2">
      <c r="C1164" s="4"/>
    </row>
    <row r="1165" spans="3:3" x14ac:dyDescent="0.2">
      <c r="C1165" s="4"/>
    </row>
    <row r="1166" spans="3:3" x14ac:dyDescent="0.2">
      <c r="C1166" s="4"/>
    </row>
    <row r="1167" spans="3:3" x14ac:dyDescent="0.2">
      <c r="C1167" s="4"/>
    </row>
    <row r="1168" spans="3:3" x14ac:dyDescent="0.2">
      <c r="C1168" s="4"/>
    </row>
    <row r="1169" spans="3:3" x14ac:dyDescent="0.2">
      <c r="C1169" s="4"/>
    </row>
    <row r="1170" spans="3:3" x14ac:dyDescent="0.2">
      <c r="C1170" s="4"/>
    </row>
    <row r="1171" spans="3:3" x14ac:dyDescent="0.2">
      <c r="C1171" s="4"/>
    </row>
    <row r="1172" spans="3:3" x14ac:dyDescent="0.2">
      <c r="C1172" s="4"/>
    </row>
    <row r="1173" spans="3:3" x14ac:dyDescent="0.2">
      <c r="C1173" s="4"/>
    </row>
    <row r="1174" spans="3:3" x14ac:dyDescent="0.2">
      <c r="C1174" s="4"/>
    </row>
    <row r="1175" spans="3:3" x14ac:dyDescent="0.2">
      <c r="C1175" s="4"/>
    </row>
    <row r="1176" spans="3:3" x14ac:dyDescent="0.2">
      <c r="C1176" s="4"/>
    </row>
    <row r="1177" spans="3:3" x14ac:dyDescent="0.2">
      <c r="C1177" s="4"/>
    </row>
    <row r="1178" spans="3:3" x14ac:dyDescent="0.2">
      <c r="C1178" s="4"/>
    </row>
    <row r="1179" spans="3:3" x14ac:dyDescent="0.2">
      <c r="C1179" s="4"/>
    </row>
    <row r="1180" spans="3:3" x14ac:dyDescent="0.2">
      <c r="C1180" s="4"/>
    </row>
    <row r="1181" spans="3:3" x14ac:dyDescent="0.2">
      <c r="C1181" s="4"/>
    </row>
    <row r="1182" spans="3:3" x14ac:dyDescent="0.2">
      <c r="C1182" s="4"/>
    </row>
    <row r="1183" spans="3:3" x14ac:dyDescent="0.2">
      <c r="C1183" s="4"/>
    </row>
    <row r="1184" spans="3:3" x14ac:dyDescent="0.2">
      <c r="C1184" s="4"/>
    </row>
    <row r="1185" spans="3:3" x14ac:dyDescent="0.2">
      <c r="C1185" s="4"/>
    </row>
    <row r="1186" spans="3:3" x14ac:dyDescent="0.2">
      <c r="C1186" s="4"/>
    </row>
    <row r="1187" spans="3:3" x14ac:dyDescent="0.2">
      <c r="C1187" s="4"/>
    </row>
    <row r="1188" spans="3:3" x14ac:dyDescent="0.2">
      <c r="C1188" s="4"/>
    </row>
    <row r="1189" spans="3:3" x14ac:dyDescent="0.2">
      <c r="C1189" s="4"/>
    </row>
    <row r="1190" spans="3:3" x14ac:dyDescent="0.2">
      <c r="C1190" s="4"/>
    </row>
    <row r="1191" spans="3:3" x14ac:dyDescent="0.2">
      <c r="C1191" s="4"/>
    </row>
    <row r="1192" spans="3:3" x14ac:dyDescent="0.2">
      <c r="C1192" s="4"/>
    </row>
    <row r="1193" spans="3:3" x14ac:dyDescent="0.2">
      <c r="C1193" s="4"/>
    </row>
    <row r="1194" spans="3:3" x14ac:dyDescent="0.2">
      <c r="C1194" s="4"/>
    </row>
    <row r="1195" spans="3:3" x14ac:dyDescent="0.2">
      <c r="C1195" s="4"/>
    </row>
    <row r="1196" spans="3:3" x14ac:dyDescent="0.2">
      <c r="C1196" s="4"/>
    </row>
    <row r="1197" spans="3:3" x14ac:dyDescent="0.2">
      <c r="C1197" s="4"/>
    </row>
    <row r="1198" spans="3:3" x14ac:dyDescent="0.2">
      <c r="C1198" s="4"/>
    </row>
    <row r="1199" spans="3:3" x14ac:dyDescent="0.2">
      <c r="C1199" s="4"/>
    </row>
    <row r="1200" spans="3:3" x14ac:dyDescent="0.2">
      <c r="C1200" s="4"/>
    </row>
    <row r="1201" spans="3:3" x14ac:dyDescent="0.2">
      <c r="C1201" s="4"/>
    </row>
    <row r="1202" spans="3:3" x14ac:dyDescent="0.2">
      <c r="C1202" s="4"/>
    </row>
    <row r="1203" spans="3:3" x14ac:dyDescent="0.2">
      <c r="C1203" s="4"/>
    </row>
    <row r="1204" spans="3:3" x14ac:dyDescent="0.2">
      <c r="C1204" s="4"/>
    </row>
  </sheetData>
  <hyperlinks>
    <hyperlink ref="A1" location="Overview!A1" display="Back to Overview" xr:uid="{00000000-0004-0000-0B00-000000000000}"/>
  </hyperlinks>
  <pageMargins left="0.74803149606299213" right="0.74803149606299213" top="0.98425196850393704" bottom="0.98425196850393704" header="0.51181102362204722" footer="0.51181102362204722"/>
  <pageSetup paperSize="9" scale="47" fitToHeight="0" orientation="portrait" r:id="rId1"/>
  <headerFooter differentFirst="1" scaleWithDoc="0">
    <firstHeader>&amp;LSSC TPP Unit Rate Lookup Table</first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F22"/>
  <sheetViews>
    <sheetView zoomScale="90" zoomScaleNormal="90" workbookViewId="0">
      <selection activeCell="F5" sqref="F5"/>
    </sheetView>
  </sheetViews>
  <sheetFormatPr defaultColWidth="27.7109375" defaultRowHeight="15" x14ac:dyDescent="0.3"/>
  <cols>
    <col min="1" max="1" width="41.42578125" style="149" customWidth="1"/>
    <col min="2" max="6" width="17.5703125" style="149" customWidth="1"/>
    <col min="7" max="16384" width="27.7109375" style="149"/>
  </cols>
  <sheetData>
    <row r="1" spans="1:6" x14ac:dyDescent="0.3">
      <c r="A1" s="175" t="s">
        <v>18</v>
      </c>
      <c r="B1" s="175"/>
    </row>
    <row r="2" spans="1:6" ht="36.75" customHeight="1" x14ac:dyDescent="0.3">
      <c r="A2" s="221" t="str">
        <f>Overview!B4&amp; " - Effective from "&amp;Overview!C4&amp;" - "&amp;Overview!E4&amp;" Residual Charging Bands"</f>
        <v>Northern Powergrid (Yorkshire) Plc - Effective from 2026/27 - Final Residual Charging Bands</v>
      </c>
      <c r="B2" s="222"/>
      <c r="C2" s="222"/>
      <c r="D2" s="222"/>
      <c r="E2" s="222"/>
      <c r="F2" s="223"/>
    </row>
    <row r="4" spans="1:6" ht="45" x14ac:dyDescent="0.3">
      <c r="A4" s="176" t="s">
        <v>563</v>
      </c>
      <c r="B4" s="176" t="s">
        <v>564</v>
      </c>
      <c r="C4" s="176" t="s">
        <v>565</v>
      </c>
      <c r="D4" s="176" t="s">
        <v>566</v>
      </c>
      <c r="E4" s="176" t="s">
        <v>567</v>
      </c>
      <c r="F4" s="159" t="s">
        <v>568</v>
      </c>
    </row>
    <row r="5" spans="1:6" ht="27" customHeight="1" x14ac:dyDescent="0.3">
      <c r="A5" s="177" t="s">
        <v>370</v>
      </c>
      <c r="B5" s="178" t="s">
        <v>569</v>
      </c>
      <c r="C5" s="178" t="s">
        <v>570</v>
      </c>
      <c r="D5" s="179" t="s">
        <v>570</v>
      </c>
      <c r="E5" s="179" t="s">
        <v>570</v>
      </c>
      <c r="F5" s="180">
        <v>19.165619255278873</v>
      </c>
    </row>
    <row r="6" spans="1:6" ht="27" customHeight="1" x14ac:dyDescent="0.3">
      <c r="A6" s="253" t="s">
        <v>571</v>
      </c>
      <c r="B6" s="178">
        <v>1</v>
      </c>
      <c r="C6" s="178" t="s">
        <v>572</v>
      </c>
      <c r="D6" s="181">
        <v>0</v>
      </c>
      <c r="E6" s="181">
        <v>3986</v>
      </c>
      <c r="F6" s="180">
        <v>20.856112261642714</v>
      </c>
    </row>
    <row r="7" spans="1:6" ht="27" customHeight="1" x14ac:dyDescent="0.3">
      <c r="A7" s="254"/>
      <c r="B7" s="178">
        <v>2</v>
      </c>
      <c r="C7" s="178" t="s">
        <v>572</v>
      </c>
      <c r="D7" s="181">
        <v>3986</v>
      </c>
      <c r="E7" s="181">
        <v>13677</v>
      </c>
      <c r="F7" s="180">
        <v>52.071101182667519</v>
      </c>
    </row>
    <row r="8" spans="1:6" ht="27" customHeight="1" x14ac:dyDescent="0.3">
      <c r="A8" s="254"/>
      <c r="B8" s="178">
        <v>3</v>
      </c>
      <c r="C8" s="178" t="s">
        <v>572</v>
      </c>
      <c r="D8" s="181">
        <v>13677</v>
      </c>
      <c r="E8" s="181">
        <v>27543</v>
      </c>
      <c r="F8" s="180">
        <v>108.92261635772012</v>
      </c>
    </row>
    <row r="9" spans="1:6" ht="27" customHeight="1" x14ac:dyDescent="0.3">
      <c r="A9" s="255"/>
      <c r="B9" s="178">
        <v>4</v>
      </c>
      <c r="C9" s="178" t="s">
        <v>572</v>
      </c>
      <c r="D9" s="181">
        <v>27543</v>
      </c>
      <c r="E9" s="181" t="s">
        <v>1388</v>
      </c>
      <c r="F9" s="180">
        <v>302.85001613725547</v>
      </c>
    </row>
    <row r="10" spans="1:6" ht="27" customHeight="1" x14ac:dyDescent="0.3">
      <c r="A10" s="253" t="s">
        <v>573</v>
      </c>
      <c r="B10" s="178">
        <v>1</v>
      </c>
      <c r="C10" s="178" t="s">
        <v>574</v>
      </c>
      <c r="D10" s="181">
        <v>0</v>
      </c>
      <c r="E10" s="181">
        <v>90</v>
      </c>
      <c r="F10" s="180">
        <v>506.25154723811539</v>
      </c>
    </row>
    <row r="11" spans="1:6" ht="27" customHeight="1" x14ac:dyDescent="0.3">
      <c r="A11" s="254"/>
      <c r="B11" s="178">
        <v>2</v>
      </c>
      <c r="C11" s="178" t="s">
        <v>574</v>
      </c>
      <c r="D11" s="181">
        <v>90</v>
      </c>
      <c r="E11" s="181">
        <v>150</v>
      </c>
      <c r="F11" s="180">
        <v>1013.0305475242249</v>
      </c>
    </row>
    <row r="12" spans="1:6" ht="27" customHeight="1" x14ac:dyDescent="0.3">
      <c r="A12" s="254"/>
      <c r="B12" s="178">
        <v>3</v>
      </c>
      <c r="C12" s="178" t="s">
        <v>574</v>
      </c>
      <c r="D12" s="181">
        <v>150</v>
      </c>
      <c r="E12" s="181">
        <v>250</v>
      </c>
      <c r="F12" s="180">
        <v>1525.1239102537934</v>
      </c>
    </row>
    <row r="13" spans="1:6" ht="27" customHeight="1" x14ac:dyDescent="0.3">
      <c r="A13" s="255"/>
      <c r="B13" s="178">
        <v>4</v>
      </c>
      <c r="C13" s="178" t="s">
        <v>574</v>
      </c>
      <c r="D13" s="181">
        <v>250</v>
      </c>
      <c r="E13" s="181" t="s">
        <v>1388</v>
      </c>
      <c r="F13" s="180">
        <v>3176.0294484613723</v>
      </c>
    </row>
    <row r="14" spans="1:6" ht="27" customHeight="1" x14ac:dyDescent="0.3">
      <c r="A14" s="253" t="s">
        <v>575</v>
      </c>
      <c r="B14" s="178">
        <v>1</v>
      </c>
      <c r="C14" s="178" t="s">
        <v>574</v>
      </c>
      <c r="D14" s="181">
        <v>0</v>
      </c>
      <c r="E14" s="181">
        <v>500</v>
      </c>
      <c r="F14" s="180">
        <v>3028.6338351054442</v>
      </c>
    </row>
    <row r="15" spans="1:6" ht="27" customHeight="1" x14ac:dyDescent="0.3">
      <c r="A15" s="254"/>
      <c r="B15" s="178">
        <v>2</v>
      </c>
      <c r="C15" s="178" t="s">
        <v>574</v>
      </c>
      <c r="D15" s="181">
        <v>500</v>
      </c>
      <c r="E15" s="181">
        <v>1100</v>
      </c>
      <c r="F15" s="180">
        <v>9076.2360519968224</v>
      </c>
    </row>
    <row r="16" spans="1:6" ht="27" customHeight="1" x14ac:dyDescent="0.3">
      <c r="A16" s="254"/>
      <c r="B16" s="178">
        <v>3</v>
      </c>
      <c r="C16" s="178" t="s">
        <v>574</v>
      </c>
      <c r="D16" s="181">
        <v>1100</v>
      </c>
      <c r="E16" s="181">
        <v>2000</v>
      </c>
      <c r="F16" s="180">
        <v>18559.785464205299</v>
      </c>
    </row>
    <row r="17" spans="1:6" ht="27" customHeight="1" x14ac:dyDescent="0.3">
      <c r="A17" s="255"/>
      <c r="B17" s="178">
        <v>4</v>
      </c>
      <c r="C17" s="178" t="s">
        <v>574</v>
      </c>
      <c r="D17" s="181">
        <v>2000</v>
      </c>
      <c r="E17" s="181" t="s">
        <v>1388</v>
      </c>
      <c r="F17" s="180">
        <v>45256.099008928271</v>
      </c>
    </row>
    <row r="18" spans="1:6" ht="27" customHeight="1" x14ac:dyDescent="0.3">
      <c r="A18" s="256" t="s">
        <v>576</v>
      </c>
      <c r="B18" s="178">
        <v>1</v>
      </c>
      <c r="C18" s="178" t="s">
        <v>574</v>
      </c>
      <c r="D18" s="181">
        <v>0</v>
      </c>
      <c r="E18" s="181">
        <v>3500</v>
      </c>
      <c r="F18" s="180">
        <v>8010.0251131611358</v>
      </c>
    </row>
    <row r="19" spans="1:6" ht="27" customHeight="1" x14ac:dyDescent="0.3">
      <c r="A19" s="257"/>
      <c r="B19" s="178">
        <v>2</v>
      </c>
      <c r="C19" s="178" t="s">
        <v>574</v>
      </c>
      <c r="D19" s="181">
        <v>3500</v>
      </c>
      <c r="E19" s="181">
        <v>11000</v>
      </c>
      <c r="F19" s="180">
        <v>48071.768025931517</v>
      </c>
    </row>
    <row r="20" spans="1:6" ht="27" customHeight="1" x14ac:dyDescent="0.3">
      <c r="A20" s="257"/>
      <c r="B20" s="178">
        <v>3</v>
      </c>
      <c r="C20" s="178" t="s">
        <v>574</v>
      </c>
      <c r="D20" s="181">
        <v>11000</v>
      </c>
      <c r="E20" s="181">
        <v>20000</v>
      </c>
      <c r="F20" s="180">
        <v>132534.86332461381</v>
      </c>
    </row>
    <row r="21" spans="1:6" ht="27" customHeight="1" x14ac:dyDescent="0.3">
      <c r="A21" s="258"/>
      <c r="B21" s="178">
        <v>4</v>
      </c>
      <c r="C21" s="178" t="s">
        <v>574</v>
      </c>
      <c r="D21" s="181">
        <v>20000</v>
      </c>
      <c r="E21" s="181" t="s">
        <v>1388</v>
      </c>
      <c r="F21" s="180">
        <v>376746.2475</v>
      </c>
    </row>
    <row r="22" spans="1:6" ht="21.95" customHeight="1" x14ac:dyDescent="0.3">
      <c r="A22" s="149" t="s">
        <v>577</v>
      </c>
    </row>
  </sheetData>
  <mergeCells count="5">
    <mergeCell ref="A2:F2"/>
    <mergeCell ref="A6:A9"/>
    <mergeCell ref="A10:A13"/>
    <mergeCell ref="A14:A17"/>
    <mergeCell ref="A18:A21"/>
  </mergeCells>
  <phoneticPr fontId="4" type="noConversion"/>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74D4E-FD12-4DAA-B629-1A3572E82704}">
  <dimension ref="A1:F41"/>
  <sheetViews>
    <sheetView showGridLines="0" zoomScale="90" zoomScaleNormal="90" workbookViewId="0"/>
  </sheetViews>
  <sheetFormatPr defaultRowHeight="12.75" x14ac:dyDescent="0.2"/>
  <cols>
    <col min="1" max="1" width="52.7109375" customWidth="1"/>
    <col min="2" max="2" width="52" customWidth="1"/>
    <col min="3" max="3" width="26.85546875" bestFit="1" customWidth="1"/>
  </cols>
  <sheetData>
    <row r="1" spans="1:6" ht="15" x14ac:dyDescent="0.3">
      <c r="A1" s="191" t="s">
        <v>18</v>
      </c>
      <c r="B1" s="175"/>
      <c r="C1" s="149"/>
      <c r="D1" s="149"/>
      <c r="E1" s="149"/>
      <c r="F1" s="149"/>
    </row>
    <row r="2" spans="1:6" ht="42.75" customHeight="1" x14ac:dyDescent="0.2">
      <c r="A2" s="211" t="str">
        <f>Overview!B4&amp; " - Effective from "&amp;Overview!C4&amp;" -"&amp;" TNUoS Mapping"</f>
        <v>Northern Powergrid (Yorkshire) Plc - Effective from 2026/27 - TNUoS Mapping</v>
      </c>
      <c r="B2" s="211"/>
    </row>
    <row r="4" spans="1:6" ht="21.95" customHeight="1" x14ac:dyDescent="0.2">
      <c r="A4" s="176" t="s">
        <v>590</v>
      </c>
      <c r="B4" s="176" t="s">
        <v>591</v>
      </c>
    </row>
    <row r="5" spans="1:6" ht="21.95" customHeight="1" x14ac:dyDescent="0.2">
      <c r="A5" s="185" t="s">
        <v>592</v>
      </c>
      <c r="B5" s="186" t="s">
        <v>593</v>
      </c>
    </row>
    <row r="6" spans="1:6" ht="21.95" customHeight="1" x14ac:dyDescent="0.2">
      <c r="A6" s="189" t="s">
        <v>442</v>
      </c>
      <c r="B6" s="190" t="s">
        <v>594</v>
      </c>
    </row>
    <row r="7" spans="1:6" ht="21.95" customHeight="1" x14ac:dyDescent="0.2">
      <c r="A7" s="189" t="s">
        <v>595</v>
      </c>
      <c r="B7" s="190" t="str">
        <f>$B$6</f>
        <v>n/a (Non-Final Demand Site)</v>
      </c>
    </row>
    <row r="8" spans="1:6" ht="21.95" customHeight="1" x14ac:dyDescent="0.2">
      <c r="A8" s="185" t="s">
        <v>596</v>
      </c>
      <c r="B8" s="186" t="s">
        <v>597</v>
      </c>
    </row>
    <row r="9" spans="1:6" ht="21.95" customHeight="1" x14ac:dyDescent="0.2">
      <c r="A9" s="185" t="s">
        <v>598</v>
      </c>
      <c r="B9" s="186" t="s">
        <v>599</v>
      </c>
    </row>
    <row r="10" spans="1:6" ht="21.95" customHeight="1" x14ac:dyDescent="0.2">
      <c r="A10" s="185" t="s">
        <v>600</v>
      </c>
      <c r="B10" s="186" t="s">
        <v>601</v>
      </c>
    </row>
    <row r="11" spans="1:6" ht="21.95" customHeight="1" x14ac:dyDescent="0.2">
      <c r="A11" s="185" t="s">
        <v>602</v>
      </c>
      <c r="B11" s="186" t="s">
        <v>603</v>
      </c>
    </row>
    <row r="12" spans="1:6" ht="21.95" customHeight="1" x14ac:dyDescent="0.2">
      <c r="A12" s="189" t="s">
        <v>371</v>
      </c>
      <c r="B12" s="190" t="str">
        <f t="shared" ref="B12:B13" si="0">$B$6</f>
        <v>n/a (Non-Final Demand Site)</v>
      </c>
    </row>
    <row r="13" spans="1:6" ht="21.95" customHeight="1" x14ac:dyDescent="0.2">
      <c r="A13" s="189" t="s">
        <v>452</v>
      </c>
      <c r="B13" s="190" t="str">
        <f t="shared" si="0"/>
        <v>n/a (Non-Final Demand Site)</v>
      </c>
    </row>
    <row r="14" spans="1:6" ht="21.95" customHeight="1" x14ac:dyDescent="0.2">
      <c r="A14" s="185" t="s">
        <v>453</v>
      </c>
      <c r="B14" s="186" t="s">
        <v>604</v>
      </c>
    </row>
    <row r="15" spans="1:6" ht="21.95" customHeight="1" x14ac:dyDescent="0.2">
      <c r="A15" s="185" t="s">
        <v>454</v>
      </c>
      <c r="B15" s="186" t="s">
        <v>605</v>
      </c>
    </row>
    <row r="16" spans="1:6" ht="21.95" customHeight="1" x14ac:dyDescent="0.2">
      <c r="A16" s="185" t="s">
        <v>455</v>
      </c>
      <c r="B16" s="186" t="s">
        <v>606</v>
      </c>
    </row>
    <row r="17" spans="1:2" ht="21.95" customHeight="1" x14ac:dyDescent="0.2">
      <c r="A17" s="185" t="s">
        <v>456</v>
      </c>
      <c r="B17" s="186" t="s">
        <v>607</v>
      </c>
    </row>
    <row r="18" spans="1:2" ht="21.95" customHeight="1" x14ac:dyDescent="0.2">
      <c r="A18" s="189" t="s">
        <v>457</v>
      </c>
      <c r="B18" s="190" t="str">
        <f>$B$6</f>
        <v>n/a (Non-Final Demand Site)</v>
      </c>
    </row>
    <row r="19" spans="1:2" ht="21.95" customHeight="1" x14ac:dyDescent="0.2">
      <c r="A19" s="185" t="s">
        <v>458</v>
      </c>
      <c r="B19" s="186" t="s">
        <v>604</v>
      </c>
    </row>
    <row r="20" spans="1:2" ht="21.95" customHeight="1" x14ac:dyDescent="0.2">
      <c r="A20" s="185" t="s">
        <v>459</v>
      </c>
      <c r="B20" s="186" t="s">
        <v>605</v>
      </c>
    </row>
    <row r="21" spans="1:2" ht="21.95" customHeight="1" x14ac:dyDescent="0.2">
      <c r="A21" s="185" t="s">
        <v>460</v>
      </c>
      <c r="B21" s="186" t="s">
        <v>606</v>
      </c>
    </row>
    <row r="22" spans="1:2" ht="21.95" customHeight="1" x14ac:dyDescent="0.2">
      <c r="A22" s="185" t="s">
        <v>461</v>
      </c>
      <c r="B22" s="186" t="s">
        <v>607</v>
      </c>
    </row>
    <row r="23" spans="1:2" ht="21.95" customHeight="1" x14ac:dyDescent="0.2">
      <c r="A23" s="189" t="s">
        <v>462</v>
      </c>
      <c r="B23" s="190" t="str">
        <f>$B$6</f>
        <v>n/a (Non-Final Demand Site)</v>
      </c>
    </row>
    <row r="24" spans="1:2" ht="21.95" customHeight="1" x14ac:dyDescent="0.2">
      <c r="A24" s="185" t="s">
        <v>463</v>
      </c>
      <c r="B24" s="186" t="s">
        <v>608</v>
      </c>
    </row>
    <row r="25" spans="1:2" ht="21.95" customHeight="1" x14ac:dyDescent="0.2">
      <c r="A25" s="185" t="s">
        <v>464</v>
      </c>
      <c r="B25" s="186" t="s">
        <v>609</v>
      </c>
    </row>
    <row r="26" spans="1:2" ht="21.95" customHeight="1" x14ac:dyDescent="0.2">
      <c r="A26" s="185" t="s">
        <v>465</v>
      </c>
      <c r="B26" s="186" t="s">
        <v>610</v>
      </c>
    </row>
    <row r="27" spans="1:2" ht="21.95" customHeight="1" x14ac:dyDescent="0.2">
      <c r="A27" s="185" t="s">
        <v>466</v>
      </c>
      <c r="B27" s="186" t="s">
        <v>611</v>
      </c>
    </row>
    <row r="28" spans="1:2" ht="21.95" customHeight="1" x14ac:dyDescent="0.2">
      <c r="A28" s="189" t="s">
        <v>372</v>
      </c>
      <c r="B28" s="190" t="s">
        <v>612</v>
      </c>
    </row>
    <row r="29" spans="1:2" ht="21.95" customHeight="1" x14ac:dyDescent="0.2">
      <c r="A29" s="189" t="s">
        <v>373</v>
      </c>
      <c r="B29" s="190" t="str">
        <f t="shared" ref="B29:B37" si="1">$B$6</f>
        <v>n/a (Non-Final Demand Site)</v>
      </c>
    </row>
    <row r="30" spans="1:2" ht="21.95" customHeight="1" x14ac:dyDescent="0.2">
      <c r="A30" s="189" t="s">
        <v>374</v>
      </c>
      <c r="B30" s="190" t="str">
        <f t="shared" si="1"/>
        <v>n/a (Non-Final Demand Site)</v>
      </c>
    </row>
    <row r="31" spans="1:2" ht="21.95" customHeight="1" x14ac:dyDescent="0.2">
      <c r="A31" s="189" t="s">
        <v>375</v>
      </c>
      <c r="B31" s="190" t="str">
        <f t="shared" si="1"/>
        <v>n/a (Non-Final Demand Site)</v>
      </c>
    </row>
    <row r="32" spans="1:2" ht="21.95" customHeight="1" x14ac:dyDescent="0.2">
      <c r="A32" s="189" t="s">
        <v>376</v>
      </c>
      <c r="B32" s="190" t="str">
        <f t="shared" si="1"/>
        <v>n/a (Non-Final Demand Site)</v>
      </c>
    </row>
    <row r="33" spans="1:2" ht="21.95" customHeight="1" x14ac:dyDescent="0.2">
      <c r="A33" s="189" t="s">
        <v>377</v>
      </c>
      <c r="B33" s="190" t="str">
        <f t="shared" si="1"/>
        <v>n/a (Non-Final Demand Site)</v>
      </c>
    </row>
    <row r="34" spans="1:2" ht="21.95" customHeight="1" x14ac:dyDescent="0.2">
      <c r="A34" s="189" t="s">
        <v>378</v>
      </c>
      <c r="B34" s="190" t="str">
        <f t="shared" si="1"/>
        <v>n/a (Non-Final Demand Site)</v>
      </c>
    </row>
    <row r="35" spans="1:2" ht="21.95" customHeight="1" x14ac:dyDescent="0.2">
      <c r="A35" s="189" t="s">
        <v>379</v>
      </c>
      <c r="B35" s="190" t="str">
        <f t="shared" si="1"/>
        <v>n/a (Non-Final Demand Site)</v>
      </c>
    </row>
    <row r="36" spans="1:2" ht="21.95" customHeight="1" x14ac:dyDescent="0.2">
      <c r="A36" s="189" t="s">
        <v>380</v>
      </c>
      <c r="B36" s="190" t="str">
        <f t="shared" si="1"/>
        <v>n/a (Non-Final Demand Site)</v>
      </c>
    </row>
    <row r="37" spans="1:2" ht="21.95" customHeight="1" x14ac:dyDescent="0.2">
      <c r="A37" s="189" t="s">
        <v>613</v>
      </c>
      <c r="B37" s="190" t="str">
        <f t="shared" si="1"/>
        <v>n/a (Non-Final Demand Site)</v>
      </c>
    </row>
    <row r="38" spans="1:2" ht="21.95" customHeight="1" x14ac:dyDescent="0.2">
      <c r="A38" s="185" t="s">
        <v>614</v>
      </c>
      <c r="B38" s="186" t="s">
        <v>615</v>
      </c>
    </row>
    <row r="39" spans="1:2" ht="21.95" customHeight="1" x14ac:dyDescent="0.2">
      <c r="A39" s="185" t="s">
        <v>616</v>
      </c>
      <c r="B39" s="186" t="s">
        <v>617</v>
      </c>
    </row>
    <row r="40" spans="1:2" ht="21.95" customHeight="1" x14ac:dyDescent="0.2">
      <c r="A40" s="185" t="s">
        <v>618</v>
      </c>
      <c r="B40" s="186" t="s">
        <v>619</v>
      </c>
    </row>
    <row r="41" spans="1:2" ht="21.95" customHeight="1" x14ac:dyDescent="0.2">
      <c r="A41" s="185" t="s">
        <v>620</v>
      </c>
      <c r="B41" s="186" t="s">
        <v>621</v>
      </c>
    </row>
  </sheetData>
  <mergeCells count="1">
    <mergeCell ref="A2:B2"/>
  </mergeCells>
  <hyperlinks>
    <hyperlink ref="A1" location="Overview!A1" display="Back to Overview" xr:uid="{84B30313-58AE-4513-BD51-8B0449DE5034}"/>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EX24"/>
  <sheetViews>
    <sheetView zoomScale="90" zoomScaleNormal="90" workbookViewId="0"/>
  </sheetViews>
  <sheetFormatPr defaultColWidth="9.140625" defaultRowHeight="12.75" x14ac:dyDescent="0.2"/>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8" max="28" width="25" bestFit="1" customWidth="1"/>
    <col min="29" max="29" width="14.5703125" bestFit="1" customWidth="1"/>
    <col min="37" max="37" width="8.85546875" customWidth="1"/>
  </cols>
  <sheetData>
    <row r="1" spans="1:154" x14ac:dyDescent="0.2">
      <c r="B1" s="18" t="s">
        <v>18</v>
      </c>
    </row>
    <row r="2" spans="1:154" s="23" customFormat="1" ht="21.75" customHeight="1" x14ac:dyDescent="0.2">
      <c r="B2" s="263" t="str">
        <f>Overview!B4&amp; " - Effective from "&amp;Overview!D4&amp;" - "&amp;Overview!E4</f>
        <v>Northern Powergrid (Yorkshire) Plc - Effective from 1 April 2026 - Final</v>
      </c>
      <c r="C2" s="264"/>
      <c r="D2" s="264"/>
      <c r="E2" s="264"/>
      <c r="F2" s="264"/>
      <c r="G2" s="264"/>
      <c r="H2" s="264"/>
      <c r="I2" s="264"/>
      <c r="J2" s="264"/>
      <c r="K2" s="264"/>
      <c r="L2" s="264"/>
      <c r="M2" s="264"/>
      <c r="N2" s="264"/>
      <c r="O2" s="264"/>
      <c r="P2" s="264"/>
      <c r="Q2" s="264"/>
      <c r="R2" s="264"/>
      <c r="S2" s="264"/>
      <c r="T2" s="265"/>
      <c r="U2"/>
      <c r="V2"/>
      <c r="W2"/>
      <c r="X2"/>
      <c r="Y2"/>
      <c r="Z2"/>
      <c r="AA2"/>
      <c r="AB2"/>
      <c r="AC2"/>
      <c r="AD2"/>
      <c r="AE2"/>
      <c r="AF2"/>
      <c r="AG2"/>
      <c r="AH2"/>
      <c r="AI2"/>
      <c r="AJ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row>
    <row r="3" spans="1:154" s="25" customFormat="1" ht="9" customHeight="1" x14ac:dyDescent="0.2">
      <c r="A3" s="24"/>
      <c r="B3" s="24"/>
      <c r="C3" s="24"/>
      <c r="D3" s="24"/>
      <c r="E3" s="24"/>
      <c r="F3" s="24"/>
      <c r="G3" s="24"/>
      <c r="H3" s="24"/>
      <c r="I3" s="24"/>
      <c r="J3" s="24"/>
      <c r="K3" s="24"/>
      <c r="L3"/>
      <c r="M3"/>
      <c r="N3"/>
      <c r="O3"/>
      <c r="P3"/>
      <c r="Q3"/>
      <c r="R3"/>
      <c r="S3"/>
      <c r="T3"/>
      <c r="U3"/>
      <c r="V3"/>
      <c r="W3"/>
      <c r="X3"/>
      <c r="Y3"/>
      <c r="Z3"/>
      <c r="AA3"/>
      <c r="AB3"/>
      <c r="AC3"/>
      <c r="AD3"/>
      <c r="AE3"/>
      <c r="AF3"/>
      <c r="AG3"/>
      <c r="AH3"/>
      <c r="AI3"/>
      <c r="AJ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row>
    <row r="4" spans="1:154" ht="26.25" customHeight="1" x14ac:dyDescent="0.2">
      <c r="B4" s="266" t="s">
        <v>394</v>
      </c>
      <c r="C4" s="267"/>
      <c r="D4" s="267"/>
      <c r="E4" s="267"/>
      <c r="F4" s="267"/>
      <c r="G4" s="267"/>
      <c r="H4" s="267"/>
      <c r="I4" s="268"/>
      <c r="L4" s="266" t="s">
        <v>395</v>
      </c>
      <c r="M4" s="267"/>
      <c r="N4" s="267"/>
      <c r="O4" s="267"/>
      <c r="P4" s="267"/>
      <c r="Q4" s="267"/>
      <c r="R4" s="267"/>
      <c r="S4" s="267"/>
      <c r="T4" s="268"/>
    </row>
    <row r="5" spans="1:154" ht="18" customHeight="1" x14ac:dyDescent="0.2">
      <c r="B5" s="259" t="s">
        <v>326</v>
      </c>
      <c r="C5" s="259"/>
      <c r="D5" s="259"/>
      <c r="E5" s="259"/>
      <c r="F5" s="259"/>
      <c r="G5" s="259"/>
      <c r="H5" s="259"/>
      <c r="I5" s="259"/>
      <c r="L5" s="259" t="s">
        <v>328</v>
      </c>
      <c r="M5" s="259"/>
      <c r="N5" s="259"/>
      <c r="O5" s="259"/>
      <c r="P5" s="259"/>
      <c r="Q5" s="259"/>
      <c r="R5" s="259"/>
      <c r="S5" s="259"/>
      <c r="T5" s="259"/>
    </row>
    <row r="6" spans="1:154" s="26" customFormat="1" ht="27.75" customHeight="1" x14ac:dyDescent="0.2">
      <c r="B6" s="269" t="s">
        <v>332</v>
      </c>
      <c r="C6" s="269"/>
      <c r="D6" s="269"/>
      <c r="E6" s="269"/>
      <c r="F6" s="269"/>
      <c r="G6" s="269"/>
      <c r="H6" s="269"/>
      <c r="I6" s="269"/>
      <c r="L6" s="269" t="s">
        <v>333</v>
      </c>
      <c r="M6" s="269"/>
      <c r="N6" s="269"/>
      <c r="O6" s="269"/>
      <c r="P6" s="269"/>
      <c r="Q6" s="269"/>
      <c r="R6" s="269"/>
      <c r="S6" s="269"/>
      <c r="T6" s="269"/>
      <c r="AB6"/>
      <c r="AC6"/>
      <c r="AD6"/>
      <c r="AE6"/>
      <c r="AF6"/>
      <c r="AG6"/>
      <c r="AH6"/>
      <c r="AI6"/>
    </row>
    <row r="7" spans="1:154" ht="18" customHeight="1" x14ac:dyDescent="0.2">
      <c r="B7" s="259" t="s">
        <v>327</v>
      </c>
      <c r="C7" s="259"/>
      <c r="D7" s="259"/>
      <c r="E7" s="259"/>
      <c r="F7" s="259"/>
      <c r="G7" s="259"/>
      <c r="H7" s="259"/>
      <c r="I7" s="259"/>
      <c r="L7" s="259" t="s">
        <v>329</v>
      </c>
      <c r="M7" s="259"/>
      <c r="N7" s="259"/>
      <c r="O7" s="259"/>
      <c r="P7" s="259"/>
      <c r="Q7" s="259"/>
      <c r="R7" s="259"/>
      <c r="S7" s="259"/>
      <c r="T7" s="259"/>
    </row>
    <row r="8" spans="1:154" ht="8.25" customHeight="1" x14ac:dyDescent="0.2"/>
    <row r="9" spans="1:154" ht="72" customHeight="1" x14ac:dyDescent="0.2">
      <c r="B9" s="27" t="s">
        <v>330</v>
      </c>
      <c r="C9" s="28" t="str">
        <f>'Annex 1 LV, HV and UMS charges'!D11</f>
        <v>Red/black unit charge
p/kWh</v>
      </c>
      <c r="D9" s="28" t="str">
        <f>'Annex 1 LV, HV and UMS charges'!E11</f>
        <v>Amber/yellow unit charge
p/kWh</v>
      </c>
      <c r="E9" s="28" t="str">
        <f>'Annex 1 LV, HV and UMS charges'!F11</f>
        <v>Green unit charge
p/kWh</v>
      </c>
      <c r="F9" s="28" t="str">
        <f>'Annex 1 LV, HV and UMS charges'!G11</f>
        <v>Fixed charge p/MPAN/day</v>
      </c>
      <c r="G9" s="28" t="str">
        <f>'Annex 1 LV, HV and UMS charges'!H11</f>
        <v>Capacity charge p/kVA/day</v>
      </c>
      <c r="H9" s="28" t="str">
        <f>'Annex 1 LV, HV and UMS charges'!I11</f>
        <v>Exceeded capacity charge
p/kVA/day</v>
      </c>
      <c r="I9" s="28" t="str">
        <f>'Annex 1 LV, HV and UMS charges'!J11</f>
        <v>Reactive power charge
p/kVArh</v>
      </c>
      <c r="L9" s="27" t="s">
        <v>331</v>
      </c>
      <c r="M9" s="38" t="str">
        <f>'Annex 2 Designated EHV charges'!I9</f>
        <v>Import
Super Red
unit charge
(p/kWh)</v>
      </c>
      <c r="N9" s="38" t="str">
        <f>'Annex 2 Designated EHV charges'!J9</f>
        <v>Import
fixed charge
(p/day)</v>
      </c>
      <c r="O9" s="38" t="str">
        <f>'Annex 2 Designated EHV charges'!K9</f>
        <v>Import
capacity charge
(p/kVA/day)</v>
      </c>
      <c r="P9" s="38" t="str">
        <f>'Annex 2 Designated EHV charges'!L9</f>
        <v>Import
exceeded capacity charge
(p/kVA/day)</v>
      </c>
      <c r="Q9" s="38" t="str">
        <f>'Annex 2 Designated EHV charges'!M9</f>
        <v>Export
Super Red
unit charge
(p/kWh)</v>
      </c>
      <c r="R9" s="38" t="str">
        <f>'Annex 2 Designated EHV charges'!N9</f>
        <v>Export
fixed charge
(p/day)</v>
      </c>
      <c r="S9" s="38" t="str">
        <f>'Annex 2 Designated EHV charges'!O9</f>
        <v>Export
capacity charge
(p/kVA/day)</v>
      </c>
      <c r="T9" s="38" t="str">
        <f>'Annex 2 Designated EHV charges'!P9</f>
        <v>Export
exceeded capacity charge
(p/kVA/day)</v>
      </c>
    </row>
    <row r="10" spans="1:154" ht="30" customHeight="1" x14ac:dyDescent="0.2">
      <c r="B10" s="20"/>
      <c r="C10" s="46" t="str">
        <f>IFERROR(VLOOKUP($B$10,'Annex 1 LV, HV and UMS charges'!$A:$K,4,FALSE),"")</f>
        <v/>
      </c>
      <c r="D10" s="47" t="str">
        <f>IFERROR(VLOOKUP($B$10,'Annex 1 LV, HV and UMS charges'!$A:$K,5,FALSE),"")</f>
        <v/>
      </c>
      <c r="E10" s="47" t="str">
        <f>IFERROR(VLOOKUP($B$10,'Annex 1 LV, HV and UMS charges'!$A:$K,6,FALSE),"")</f>
        <v/>
      </c>
      <c r="F10" s="48" t="str">
        <f>IFERROR(VLOOKUP($B$10,'Annex 1 LV, HV and UMS charges'!$A:$K,7,FALSE),"")</f>
        <v/>
      </c>
      <c r="G10" s="48" t="str">
        <f>IFERROR(VLOOKUP($B$10,'Annex 1 LV, HV and UMS charges'!$A:$K,8,FALSE),"")</f>
        <v/>
      </c>
      <c r="H10" s="48" t="str">
        <f>IFERROR(VLOOKUP($B$10,'Annex 1 LV, HV and UMS charges'!$A:$K,9,FALSE),"")</f>
        <v/>
      </c>
      <c r="I10" s="48" t="str">
        <f>IFERROR(VLOOKUP($B$10,'Annex 1 LV, HV and UMS charges'!$A:$K,10,FALSE),"")</f>
        <v/>
      </c>
      <c r="L10" s="20"/>
      <c r="M10" s="48" t="str">
        <f>IFERROR(VLOOKUP($L$10,'Annex 2 Designated EHV charges'!$G:$P,3,FALSE),"")</f>
        <v/>
      </c>
      <c r="N10" s="48" t="str">
        <f>IFERROR(VLOOKUP($L$10,'Annex 2 Designated EHV charges'!$G:$P,4,FALSE),"")</f>
        <v/>
      </c>
      <c r="O10" s="48" t="str">
        <f>IFERROR(VLOOKUP($L$10,'Annex 2 Designated EHV charges'!$G:$P,5,FALSE),"")</f>
        <v/>
      </c>
      <c r="P10" s="48" t="str">
        <f>IFERROR(VLOOKUP($L$10,'Annex 2 Designated EHV charges'!$G:$P,6,FALSE),"")</f>
        <v/>
      </c>
      <c r="Q10" s="49" t="str">
        <f>IFERROR(VLOOKUP($L$10,'Annex 2 Designated EHV charges'!$G:$P,7,FALSE),"")</f>
        <v/>
      </c>
      <c r="R10" s="49" t="str">
        <f>IFERROR(VLOOKUP($L$10,'Annex 2 Designated EHV charges'!$G:$P,8,FALSE),"")</f>
        <v/>
      </c>
      <c r="S10" s="49" t="str">
        <f>IFERROR(VLOOKUP($L$10,'Annex 2 Designated EHV charges'!$G:$P,9,FALSE),"")</f>
        <v/>
      </c>
      <c r="T10" s="49" t="str">
        <f>IFERROR(VLOOKUP($L$10,'Annex 2 Designated EHV charges'!$G:$P,10,FALSE),"")</f>
        <v/>
      </c>
    </row>
    <row r="11" spans="1:154" ht="7.5" customHeight="1" x14ac:dyDescent="0.2"/>
    <row r="12" spans="1:154" ht="88.5" customHeight="1" x14ac:dyDescent="0.2">
      <c r="B12" s="30" t="s">
        <v>296</v>
      </c>
      <c r="C12" s="28" t="str">
        <f>C9</f>
        <v>Red/black unit charge
p/kWh</v>
      </c>
      <c r="D12" s="28" t="str">
        <f>D9</f>
        <v>Amber/yellow unit charge
p/kWh</v>
      </c>
      <c r="E12" s="28" t="str">
        <f>E9</f>
        <v>Green unit charge
p/kWh</v>
      </c>
      <c r="F12" s="28" t="s">
        <v>297</v>
      </c>
      <c r="G12" s="28" t="s">
        <v>294</v>
      </c>
      <c r="H12" s="28" t="s">
        <v>359</v>
      </c>
      <c r="I12" s="28" t="s">
        <v>295</v>
      </c>
      <c r="L12" s="30" t="s">
        <v>296</v>
      </c>
      <c r="M12" s="28" t="s">
        <v>316</v>
      </c>
      <c r="N12" s="28" t="s">
        <v>297</v>
      </c>
      <c r="O12" s="28" t="s">
        <v>312</v>
      </c>
      <c r="P12" s="28" t="s">
        <v>359</v>
      </c>
      <c r="Q12" s="29" t="s">
        <v>314</v>
      </c>
      <c r="R12" s="29" t="s">
        <v>297</v>
      </c>
      <c r="S12" s="29" t="s">
        <v>313</v>
      </c>
      <c r="T12" s="29" t="s">
        <v>359</v>
      </c>
    </row>
    <row r="13" spans="1:154" ht="30" customHeight="1" x14ac:dyDescent="0.2">
      <c r="B13" s="31" t="s">
        <v>298</v>
      </c>
      <c r="C13" s="50"/>
      <c r="D13" s="50"/>
      <c r="E13" s="50"/>
      <c r="F13" s="50"/>
      <c r="G13" s="50"/>
      <c r="H13" s="50"/>
      <c r="I13" s="50"/>
      <c r="L13" s="31" t="s">
        <v>298</v>
      </c>
      <c r="M13" s="51"/>
      <c r="N13" s="51"/>
      <c r="O13" s="51"/>
      <c r="P13" s="51"/>
      <c r="Q13" s="52"/>
      <c r="R13" s="52">
        <f>N13</f>
        <v>0</v>
      </c>
      <c r="S13" s="52"/>
      <c r="T13" s="52"/>
    </row>
    <row r="14" spans="1:154" ht="30" customHeight="1" x14ac:dyDescent="0.2">
      <c r="B14" s="32" t="s">
        <v>300</v>
      </c>
      <c r="C14" s="21">
        <f t="shared" ref="C14:I14" si="0">C13</f>
        <v>0</v>
      </c>
      <c r="D14" s="21">
        <f t="shared" si="0"/>
        <v>0</v>
      </c>
      <c r="E14" s="21">
        <f t="shared" si="0"/>
        <v>0</v>
      </c>
      <c r="F14" s="21">
        <f t="shared" si="0"/>
        <v>0</v>
      </c>
      <c r="G14" s="21">
        <f t="shared" si="0"/>
        <v>0</v>
      </c>
      <c r="H14" s="21">
        <f t="shared" si="0"/>
        <v>0</v>
      </c>
      <c r="I14" s="21">
        <f t="shared" si="0"/>
        <v>0</v>
      </c>
      <c r="L14" s="32" t="s">
        <v>300</v>
      </c>
      <c r="M14" s="21">
        <f>M13</f>
        <v>0</v>
      </c>
      <c r="N14" s="21">
        <f t="shared" ref="N14:T14" si="1">N13</f>
        <v>0</v>
      </c>
      <c r="O14" s="21">
        <f t="shared" si="1"/>
        <v>0</v>
      </c>
      <c r="P14" s="21">
        <f t="shared" si="1"/>
        <v>0</v>
      </c>
      <c r="Q14" s="22">
        <f t="shared" si="1"/>
        <v>0</v>
      </c>
      <c r="R14" s="22">
        <f t="shared" si="1"/>
        <v>0</v>
      </c>
      <c r="S14" s="22">
        <f t="shared" si="1"/>
        <v>0</v>
      </c>
      <c r="T14" s="22">
        <f t="shared" si="1"/>
        <v>0</v>
      </c>
    </row>
    <row r="15" spans="1:154" ht="7.5" customHeight="1" x14ac:dyDescent="0.2"/>
    <row r="16" spans="1:154" ht="63.75" customHeight="1" x14ac:dyDescent="0.2">
      <c r="B16" s="30" t="s">
        <v>299</v>
      </c>
      <c r="C16" s="28" t="s">
        <v>309</v>
      </c>
      <c r="D16" s="28" t="s">
        <v>310</v>
      </c>
      <c r="E16" s="28" t="s">
        <v>311</v>
      </c>
      <c r="F16" s="28" t="s">
        <v>305</v>
      </c>
      <c r="G16" s="28" t="s">
        <v>304</v>
      </c>
      <c r="H16" s="28" t="s">
        <v>360</v>
      </c>
      <c r="I16" s="28" t="s">
        <v>303</v>
      </c>
      <c r="L16" s="30" t="s">
        <v>299</v>
      </c>
      <c r="M16" s="28" t="s">
        <v>317</v>
      </c>
      <c r="N16" s="28" t="s">
        <v>315</v>
      </c>
      <c r="O16" s="28" t="s">
        <v>320</v>
      </c>
      <c r="P16" s="28" t="s">
        <v>361</v>
      </c>
      <c r="Q16" s="29" t="s">
        <v>318</v>
      </c>
      <c r="R16" s="29" t="s">
        <v>319</v>
      </c>
      <c r="S16" s="29" t="s">
        <v>321</v>
      </c>
      <c r="T16" s="29" t="s">
        <v>362</v>
      </c>
    </row>
    <row r="17" spans="2:20" ht="30" customHeight="1" x14ac:dyDescent="0.2">
      <c r="B17" s="31" t="s">
        <v>301</v>
      </c>
      <c r="C17" s="53" t="str">
        <f>IFERROR(C10*C13/100,"")</f>
        <v/>
      </c>
      <c r="D17" s="53" t="str">
        <f t="shared" ref="D17:I17" si="2">IFERROR(D10*D13/100,"")</f>
        <v/>
      </c>
      <c r="E17" s="53" t="str">
        <f t="shared" si="2"/>
        <v/>
      </c>
      <c r="F17" s="53" t="str">
        <f t="shared" si="2"/>
        <v/>
      </c>
      <c r="G17" s="53" t="str">
        <f>IFERROR(G10*G13*F13/100,"")</f>
        <v/>
      </c>
      <c r="H17" s="53" t="str">
        <f>IFERROR(H10*H13*F13/100,"")</f>
        <v/>
      </c>
      <c r="I17" s="53" t="str">
        <f t="shared" si="2"/>
        <v/>
      </c>
      <c r="L17" s="33" t="s">
        <v>301</v>
      </c>
      <c r="M17" s="53" t="str">
        <f>IFERROR(M10*M13/100,"")</f>
        <v/>
      </c>
      <c r="N17" s="53" t="str">
        <f>IFERROR(N10*N13/100,"")</f>
        <v/>
      </c>
      <c r="O17" s="53" t="str">
        <f>IFERROR(O10*O13*N13/100,"")</f>
        <v/>
      </c>
      <c r="P17" s="53" t="str">
        <f>IFERROR(P10*P13*N13/100,"")</f>
        <v/>
      </c>
      <c r="Q17" s="54" t="str">
        <f>IFERROR(Q10*Q13/100,"")</f>
        <v/>
      </c>
      <c r="R17" s="54" t="str">
        <f>IFERROR(R10*R13/100,"")</f>
        <v/>
      </c>
      <c r="S17" s="54" t="str">
        <f>IFERROR(S10*S13*R13/100,"")</f>
        <v/>
      </c>
      <c r="T17" s="54" t="str">
        <f>IFERROR(T10*T13*R13/100,"")</f>
        <v/>
      </c>
    </row>
    <row r="18" spans="2:20" ht="30" customHeight="1" x14ac:dyDescent="0.2">
      <c r="B18" s="32" t="s">
        <v>302</v>
      </c>
      <c r="C18" s="36" t="str">
        <f>IFERROR(C10*C14/100,"")</f>
        <v/>
      </c>
      <c r="D18" s="36" t="str">
        <f t="shared" ref="D18:I18" si="3">IFERROR(D10*D14/100,"")</f>
        <v/>
      </c>
      <c r="E18" s="36" t="str">
        <f t="shared" si="3"/>
        <v/>
      </c>
      <c r="F18" s="36" t="str">
        <f t="shared" si="3"/>
        <v/>
      </c>
      <c r="G18" s="36" t="str">
        <f>IFERROR(G10*G14*F14/100,"")</f>
        <v/>
      </c>
      <c r="H18" s="36" t="str">
        <f>IFERROR(H10*H14*F14/100,"")</f>
        <v/>
      </c>
      <c r="I18" s="36" t="str">
        <f t="shared" si="3"/>
        <v/>
      </c>
      <c r="L18" s="34" t="s">
        <v>302</v>
      </c>
      <c r="M18" s="36" t="str">
        <f>IFERROR(M10*M14/100,"")</f>
        <v/>
      </c>
      <c r="N18" s="36" t="str">
        <f>IFERROR(N10*N14/100,"")</f>
        <v/>
      </c>
      <c r="O18" s="36" t="str">
        <f>IFERROR(O10*O14*N14/100,"")</f>
        <v/>
      </c>
      <c r="P18" s="36" t="str">
        <f>IFERROR(P10*P14*N14/100,"")</f>
        <v/>
      </c>
      <c r="Q18" s="37" t="str">
        <f>IFERROR(Q10*Q14/100,"")</f>
        <v/>
      </c>
      <c r="R18" s="37" t="str">
        <f>IFERROR(R10*R14/100,"")</f>
        <v/>
      </c>
      <c r="S18" s="37" t="str">
        <f>IFERROR(S10*S14*R14/100,"")</f>
        <v/>
      </c>
      <c r="T18" s="37" t="str">
        <f>IFERROR(T10*T14*R14/100,"")</f>
        <v/>
      </c>
    </row>
    <row r="19" spans="2:20" ht="7.5" customHeight="1" x14ac:dyDescent="0.2"/>
    <row r="20" spans="2:20" ht="39.75" customHeight="1" x14ac:dyDescent="0.2">
      <c r="C20" s="35" t="s">
        <v>306</v>
      </c>
      <c r="M20" s="28" t="s">
        <v>322</v>
      </c>
      <c r="N20" s="29" t="s">
        <v>323</v>
      </c>
    </row>
    <row r="21" spans="2:20" ht="30" customHeight="1" x14ac:dyDescent="0.2">
      <c r="B21" s="31" t="s">
        <v>301</v>
      </c>
      <c r="C21" s="53">
        <f>SUM(C17:I17)</f>
        <v>0</v>
      </c>
      <c r="L21" s="31" t="s">
        <v>301</v>
      </c>
      <c r="M21" s="53">
        <f>SUM(M17:P17)</f>
        <v>0</v>
      </c>
      <c r="N21" s="54">
        <f>SUM(Q17:T17)</f>
        <v>0</v>
      </c>
    </row>
    <row r="22" spans="2:20" ht="30" customHeight="1" x14ac:dyDescent="0.2">
      <c r="B22" s="32" t="s">
        <v>302</v>
      </c>
      <c r="C22" s="36">
        <f>SUM(C18:I18)</f>
        <v>0</v>
      </c>
      <c r="L22" s="32" t="s">
        <v>302</v>
      </c>
      <c r="M22" s="36">
        <f>SUM(M18:P18)</f>
        <v>0</v>
      </c>
      <c r="N22" s="37">
        <f>SUM(Q18:T18)</f>
        <v>0</v>
      </c>
    </row>
    <row r="24" spans="2:20" ht="30.75" customHeight="1" x14ac:dyDescent="0.2">
      <c r="B24" s="260" t="s">
        <v>324</v>
      </c>
      <c r="C24" s="261"/>
      <c r="D24" s="262"/>
      <c r="L24" s="260" t="s">
        <v>325</v>
      </c>
      <c r="M24" s="261"/>
      <c r="N24" s="262"/>
    </row>
  </sheetData>
  <dataConsolidate/>
  <mergeCells count="11">
    <mergeCell ref="B7:I7"/>
    <mergeCell ref="L7:T7"/>
    <mergeCell ref="B24:D24"/>
    <mergeCell ref="L24:N24"/>
    <mergeCell ref="B2:T2"/>
    <mergeCell ref="B4:I4"/>
    <mergeCell ref="L4:T4"/>
    <mergeCell ref="B5:I5"/>
    <mergeCell ref="L5:T5"/>
    <mergeCell ref="B6:I6"/>
    <mergeCell ref="L6:T6"/>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10:T10 Q12:T14 Q16:T18">
    <cfRule type="expression" dxfId="0" priority="1">
      <formula>$T$10=0</formula>
    </cfRule>
  </conditionalFormatting>
  <hyperlinks>
    <hyperlink ref="B1" location="Overview!A1" display="Back to Overview" xr:uid="{00000000-0004-0000-0D00-000000000000}"/>
  </hyperlinks>
  <pageMargins left="0.70866141732283472" right="0.70866141732283472" top="0.74803149606299213" bottom="0.74803149606299213" header="0.31496062992125984" footer="0.31496062992125984"/>
  <pageSetup paperSize="9" scale="30" orientation="landscape" r:id="rId1"/>
  <drawing r:id="rId2"/>
  <extLst>
    <ext xmlns:x14="http://schemas.microsoft.com/office/spreadsheetml/2009/9/main" uri="{CCE6A557-97BC-4b89-ADB6-D9C93CAAB3DF}">
      <x14:dataValidations xmlns:xm="http://schemas.microsoft.com/office/excel/2006/main" xWindow="1101" yWindow="521" count="2">
        <x14:dataValidation type="list" errorStyle="information" allowBlank="1" showInputMessage="1" showErrorMessage="1" promptTitle="Tariff selection" prompt="Choose tariff from drop down list" xr:uid="{00000000-0002-0000-0D00-000000000000}">
          <x14:formula1>
            <xm:f>'Annex 1 LV, HV and UMS charges'!$A$12:$A$71</xm:f>
          </x14:formula1>
          <xm:sqref>B10</xm:sqref>
        </x14:dataValidation>
        <x14:dataValidation type="list" errorStyle="information" allowBlank="1" showInputMessage="1" showErrorMessage="1" promptTitle="Choose site" prompt="Select the EHV site that you would like to calculate charges." xr:uid="{00000000-0002-0000-0D00-000001000000}">
          <x14:formula1>
            <xm:f>'Annex 2 Designated EHV charges'!$G$10:$G$177</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18</vt:i4>
      </vt:variant>
    </vt:vector>
  </HeadingPairs>
  <TitlesOfParts>
    <vt:vector size="33" baseType="lpstr">
      <vt:lpstr>Overview</vt:lpstr>
      <vt:lpstr>Annex 1 LV, HV and UMS charges</vt:lpstr>
      <vt:lpstr>Annex 2 Designated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TNUoS Mapping</vt:lpstr>
      <vt:lpstr>Charge Calculator</vt:lpstr>
      <vt:lpstr>'Annex 1 LV, HV and UMS charges'!Print_Area</vt:lpstr>
      <vt:lpstr>'Annex 2 Designated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2 Designated EHV charges'!Print_Titles</vt:lpstr>
      <vt:lpstr>'Annex 2a Import'!Print_Titles</vt:lpstr>
      <vt:lpstr>'Annex 2b Export'!Print_Titles</vt:lpstr>
      <vt:lpstr>'Annex 4 LDNO charges'!Print_Titles</vt:lpstr>
      <vt:lpstr>'Annex 5 LLFs'!Print_Titles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Burke, Kara (Northern Powergrid)</cp:lastModifiedBy>
  <cp:lastPrinted>2025-10-13T09:40:38Z</cp:lastPrinted>
  <dcterms:created xsi:type="dcterms:W3CDTF">2009-11-12T11:38:00Z</dcterms:created>
  <dcterms:modified xsi:type="dcterms:W3CDTF">2026-01-20T12:01:11Z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AD03\kara.burke</vt:lpwstr>
  </property>
  <property fmtid="{D5CDD505-2E9C-101B-9397-08002B2CF9AE}" pid="4" name="DLPManualFileClassificationLastModificationDate">
    <vt:lpwstr>1541670830</vt:lpwstr>
  </property>
  <property fmtid="{D5CDD505-2E9C-101B-9397-08002B2CF9AE}" pid="5" name="DLPManualFileClassificationVersion">
    <vt:lpwstr>11.0.400.15</vt:lpwstr>
  </property>
</Properties>
</file>