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24226"/>
  <mc:AlternateContent xmlns:mc="http://schemas.openxmlformats.org/markup-compatibility/2006">
    <mc:Choice Requires="x15">
      <x15ac:absPath xmlns:x15ac="http://schemas.microsoft.com/office/spreadsheetml/2010/11/ac" url="https://imperiallondon-my.sharepoint.com/personal/lwb25_ic_ac_uk/Documents/RESEARCH PROJECT/.MUKERC/.CWE/Code Run Folder/Input/Network Prices/Distribution/2026/"/>
    </mc:Choice>
  </mc:AlternateContent>
  <xr:revisionPtr revIDLastSave="7" documentId="13_ncr:1_{1144078C-996F-4CE8-B6D2-EDD6B92A15FF}" xr6:coauthVersionLast="47" xr6:coauthVersionMax="47" xr10:uidLastSave="{E7D42731-ADDD-4E22-8326-9A85714084EF}"/>
  <bookViews>
    <workbookView xWindow="-98" yWindow="-98" windowWidth="22695" windowHeight="14476" tabRatio="862" firstSheet="7" activeTab="12" xr2:uid="{00000000-000D-0000-FFFF-FFFF00000000}"/>
  </bookViews>
  <sheets>
    <sheet name="Overview" sheetId="1" r:id="rId1"/>
    <sheet name="Annex 1 LV, HV and UMS charges" sheetId="2" r:id="rId2"/>
    <sheet name="Annex 2 Designated EHV charges" sheetId="12" r:id="rId3"/>
    <sheet name="Annex 2a Import" sheetId="13" r:id="rId4"/>
    <sheet name="Annex 2b Export" sheetId="14" r:id="rId5"/>
    <sheet name="Annex 3 Preserved charges" sheetId="4" r:id="rId6"/>
    <sheet name="Annex 4 LDNO charges" sheetId="5" r:id="rId7"/>
    <sheet name="Annex 5 LLFs" sheetId="6" r:id="rId8"/>
    <sheet name="Annex 6 New or Amended EHV" sheetId="8" r:id="rId9"/>
    <sheet name="Annex 7 Pass-Through Costs" sheetId="24" r:id="rId10"/>
    <sheet name="Nodal prices" sheetId="7" r:id="rId11"/>
    <sheet name="SSC unit rate lookup" sheetId="20" r:id="rId12"/>
    <sheet name="Residual Charging Bands" sheetId="26" r:id="rId13"/>
    <sheet name="TNUoS Mapping" sheetId="27" r:id="rId14"/>
    <sheet name="Charge Calculator" sheetId="15" r:id="rId15"/>
  </sheets>
  <definedNames>
    <definedName name="_xlnm._FilterDatabase" localSheetId="2" hidden="1">'Annex 2 Designated EHV charges'!$A$9:$P$114</definedName>
    <definedName name="_xlnm._FilterDatabase" localSheetId="6" hidden="1">'Annex 4 LDNO charges'!$A$11:$J$201</definedName>
    <definedName name="_xlnm._FilterDatabase" localSheetId="9" hidden="1">'Annex 7 Pass-Through Costs'!$A$4:$G$164</definedName>
    <definedName name="_xlnm._FilterDatabase" localSheetId="10" hidden="1">'Nodal prices'!$A$4:$D$4</definedName>
    <definedName name="_xlnm._FilterDatabase" localSheetId="11" hidden="1">'SSC unit rate lookup'!$A$28:$D$764</definedName>
    <definedName name="OLE_LINK1" localSheetId="5">'Annex 3 Preserved charges'!#REF!</definedName>
    <definedName name="_xlnm.Print_Area" localSheetId="1">'Annex 1 LV, HV and UMS charges'!$A$2:$K$43</definedName>
    <definedName name="_xlnm.Print_Area" localSheetId="2">'Annex 2 Designated EHV charges'!$A$2:$P$114</definedName>
    <definedName name="_xlnm.Print_Area" localSheetId="3">'Annex 2a Import'!$A$2:$H$150</definedName>
    <definedName name="_xlnm.Print_Area" localSheetId="4">'Annex 2b Export'!$A$2:$H$140</definedName>
    <definedName name="_xlnm.Print_Area" localSheetId="5">'Annex 3 Preserved charges'!$A$2:$J$17</definedName>
    <definedName name="_xlnm.Print_Area" localSheetId="6">'Annex 4 LDNO charges'!$A$2:$J$201</definedName>
    <definedName name="_xlnm.Print_Area" localSheetId="7">'Annex 5 LLFs'!$A$3:$G$199</definedName>
    <definedName name="_xlnm.Print_Area" localSheetId="8">'Annex 6 New or Amended EHV'!$A$2:$S$28</definedName>
    <definedName name="_xlnm.Print_Area" localSheetId="9">'Annex 7 Pass-Through Costs'!$A$2:$E$164</definedName>
    <definedName name="_xlnm.Print_Area" localSheetId="10">'Nodal prices'!$A$2:$D$27</definedName>
    <definedName name="_xlnm.Print_Titles" localSheetId="1">'Annex 1 LV, HV and UMS charges'!$2:$11</definedName>
    <definedName name="_xlnm.Print_Titles" localSheetId="2">'Annex 2 Designated EHV charges'!$9:$9</definedName>
    <definedName name="_xlnm.Print_Titles" localSheetId="3">'Annex 2a Import'!$2:$4</definedName>
    <definedName name="_xlnm.Print_Titles" localSheetId="4">'Annex 2b Export'!$2:$4</definedName>
    <definedName name="_xlnm.Print_Titles" localSheetId="6">'Annex 4 LDNO charges'!$11:$11</definedName>
    <definedName name="_xlnm.Print_Titles" localSheetId="7">'Annex 5 LLFs'!$120:$120</definedName>
    <definedName name="_xlnm.Print_Titles" localSheetId="8">'Annex 6 New or Amended EHV'!$4:$5</definedName>
    <definedName name="_xlnm.Print_Titles" localSheetId="9">'Annex 7 Pass-Through Costs'!$4:$4</definedName>
    <definedName name="_xlnm.Print_Titles" localSheetId="10">'Nodal prices'!$2:$4</definedName>
    <definedName name="_xlnm.Print_Titles" localSheetId="11">'SSC unit rate lookup'!$28:$28</definedName>
    <definedName name="Z_5032A364_B81A_48DA_88DA_AB3B86B47EE9_.wvu.PrintArea" localSheetId="1" hidden="1">'Annex 1 LV, HV and UMS charges'!$A$2:$K$43</definedName>
    <definedName name="Z_5032A364_B81A_48DA_88DA_AB3B86B47EE9_.wvu.PrintArea" localSheetId="2" hidden="1">'Annex 2 Designated EHV charges'!$A$2:$I$19</definedName>
    <definedName name="Z_5032A364_B81A_48DA_88DA_AB3B86B47EE9_.wvu.PrintArea" localSheetId="5" hidden="1">'Annex 3 Preserved charges'!$A$2:$J$17</definedName>
    <definedName name="Z_5032A364_B81A_48DA_88DA_AB3B86B47EE9_.wvu.PrintArea" localSheetId="6" hidden="1">'Annex 4 LDNO charges'!$A$2:$I$9</definedName>
    <definedName name="Z_5032A364_B81A_48DA_88DA_AB3B86B47EE9_.wvu.PrintArea" localSheetId="7" hidden="1">'Annex 5 LLFs'!$A$3:$F$185</definedName>
    <definedName name="Z_5032A364_B81A_48DA_88DA_AB3B86B47EE9_.wvu.PrintArea" localSheetId="8" hidden="1">'Annex 6 New or Amended EHV'!$A$1:$P$28</definedName>
    <definedName name="Z_5032A364_B81A_48DA_88DA_AB3B86B47EE9_.wvu.PrintArea" localSheetId="9" hidden="1">'Annex 7 Pass-Through Costs'!$A$2:$D$5</definedName>
    <definedName name="Z_5032A364_B81A_48DA_88DA_AB3B86B47EE9_.wvu.PrintArea" localSheetId="10" hidden="1">'Nodal prices'!$A$2:$D$27</definedName>
    <definedName name="Z_5032A364_B81A_48DA_88DA_AB3B86B47EE9_.wvu.PrintTitles" localSheetId="1" hidden="1">'Annex 1 LV, HV and UMS charges'!$2:$11</definedName>
    <definedName name="Z_5032A364_B81A_48DA_88DA_AB3B86B47EE9_.wvu.PrintTitles" localSheetId="2" hidden="1">'Annex 2 Designated EHV charges'!$2:$9</definedName>
    <definedName name="Z_5032A364_B81A_48DA_88DA_AB3B86B47EE9_.wvu.PrintTitles" localSheetId="6" hidden="1">'Annex 4 LDNO charges'!$2:$9</definedName>
    <definedName name="Z_5032A364_B81A_48DA_88DA_AB3B86B47EE9_.wvu.PrintTitles" localSheetId="8" hidden="1">'Annex 6 New or Amended EHV'!$4:$5</definedName>
    <definedName name="Z_5032A364_B81A_48DA_88DA_AB3B86B47EE9_.wvu.PrintTitles" localSheetId="9" hidden="1">'Annex 7 Pass-Through Costs'!$2:$4</definedName>
    <definedName name="Z_5032A364_B81A_48DA_88DA_AB3B86B47EE9_.wvu.PrintTitles" localSheetId="10" hidden="1">'Nodal prices'!$2:$4</definedName>
  </definedNames>
  <calcPr calcId="191029"/>
  <customWorkbookViews>
    <customWorkbookView name="Oliver Day - Personal View" guid="{5032A364-B81A-48DA-88DA-AB3B86B47EE9}" mergeInterval="0" personalView="1" maximized="1" xWindow="1" yWindow="1" windowWidth="1280" windowHeight="807" tabRatio="854" activeSheetId="5" showComments="commIndAndComment"/>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4" i="26" l="1"/>
  <c r="I15" i="26"/>
  <c r="I16" i="26"/>
  <c r="I17" i="26"/>
  <c r="I6" i="26"/>
  <c r="I7" i="26"/>
  <c r="I8" i="26"/>
  <c r="I9" i="26"/>
  <c r="I10" i="26"/>
  <c r="I11" i="26"/>
  <c r="I12" i="26"/>
  <c r="I13" i="26"/>
  <c r="A5" i="14" a="1"/>
  <c r="A5" i="13" a="1"/>
  <c r="A6" i="13" l="1" a="1"/>
  <c r="A7" i="13" s="1" a="1"/>
  <c r="A6" i="14" a="1"/>
  <c r="B5" i="14"/>
  <c r="A7" i="14" l="1" a="1"/>
  <c r="A8" i="14" s="1" a="1"/>
  <c r="A8" i="13" a="1"/>
  <c r="A9" i="13" l="1" a="1"/>
  <c r="A9" i="14" a="1"/>
  <c r="A10" i="14" l="1" a="1"/>
  <c r="A10" i="13" a="1"/>
  <c r="A11" i="13" l="1" a="1"/>
  <c r="A11" i="14" a="1"/>
  <c r="A12" i="13" l="1" a="1"/>
  <c r="A12" i="14" a="1"/>
  <c r="A13" i="14" l="1" a="1"/>
  <c r="A13" i="13" a="1"/>
  <c r="A14" i="13" l="1" a="1"/>
  <c r="A15" i="13" s="1" a="1"/>
  <c r="A16" i="13" s="1" a="1"/>
  <c r="A17" i="13" s="1" a="1"/>
  <c r="A18" i="13" s="1" a="1"/>
  <c r="A19" i="13" s="1" a="1"/>
  <c r="A20" i="13" s="1" a="1"/>
  <c r="A21" i="13" s="1" a="1"/>
  <c r="A22" i="13" s="1" a="1"/>
  <c r="A23" i="13" s="1" a="1"/>
  <c r="A24" i="13" s="1" a="1"/>
  <c r="A25" i="13" s="1" a="1"/>
  <c r="A26" i="13" s="1" a="1"/>
  <c r="A27" i="13" s="1" a="1"/>
  <c r="A28" i="13" s="1" a="1"/>
  <c r="A29" i="13" s="1" a="1"/>
  <c r="A30" i="13" s="1" a="1"/>
  <c r="A31" i="13" s="1" a="1"/>
  <c r="A32" i="13" s="1" a="1"/>
  <c r="A33" i="13" s="1" a="1"/>
  <c r="A34" i="13" s="1" a="1"/>
  <c r="A35" i="13" s="1" a="1"/>
  <c r="A14" i="14" a="1"/>
  <c r="A15" i="14" s="1" a="1"/>
  <c r="A16" i="14" l="1" a="1"/>
  <c r="A36" i="13" a="1"/>
  <c r="A37" i="13" s="1" a="1"/>
  <c r="A38" i="13" s="1" a="1"/>
  <c r="A39" i="13" s="1" a="1"/>
  <c r="A40" i="13" s="1" a="1"/>
  <c r="A41" i="13" s="1" a="1"/>
  <c r="A42" i="13" s="1" a="1"/>
  <c r="A43" i="13" s="1" a="1"/>
  <c r="A44" i="13" s="1" a="1"/>
  <c r="A45" i="13" s="1" a="1"/>
  <c r="A46" i="13" s="1" a="1"/>
  <c r="A47" i="13" s="1" a="1"/>
  <c r="A48" i="13" s="1" a="1"/>
  <c r="A49" i="13" s="1" a="1"/>
  <c r="A50" i="13" s="1" a="1"/>
  <c r="A51" i="13" s="1" a="1"/>
  <c r="A52" i="13" s="1" a="1"/>
  <c r="A53" i="13" s="1" a="1"/>
  <c r="A54" i="13" s="1" a="1"/>
  <c r="A55" i="13" s="1" a="1"/>
  <c r="A56" i="13" s="1" a="1"/>
  <c r="A57" i="13" s="1" a="1"/>
  <c r="A58" i="13" s="1" a="1"/>
  <c r="A59" i="13" s="1" a="1"/>
  <c r="A60" i="13" s="1" a="1"/>
  <c r="A61" i="13" s="1" a="1"/>
  <c r="A62" i="13" s="1" a="1"/>
  <c r="A63" i="13" s="1" a="1"/>
  <c r="A64" i="13" s="1" a="1"/>
  <c r="A65" i="13" s="1" a="1"/>
  <c r="A66" i="13" s="1" a="1"/>
  <c r="A67" i="13" s="1" a="1"/>
  <c r="A68" i="13" s="1" a="1"/>
  <c r="A69" i="13" s="1" a="1"/>
  <c r="A70" i="13" s="1" a="1"/>
  <c r="A71" i="13" s="1" a="1"/>
  <c r="A72" i="13" s="1" a="1"/>
  <c r="A73" i="13" s="1" a="1"/>
  <c r="A74" i="13" s="1" a="1"/>
  <c r="A75" i="13" s="1" a="1"/>
  <c r="A76" i="13" s="1" a="1"/>
  <c r="A77" i="13" s="1" a="1"/>
  <c r="A78" i="13" s="1" a="1"/>
  <c r="A79" i="13" s="1" a="1"/>
  <c r="A80" i="13" s="1" a="1"/>
  <c r="A81" i="13" s="1" a="1"/>
  <c r="A82" i="13" s="1" a="1"/>
  <c r="A83" i="13" s="1" a="1"/>
  <c r="A84" i="13" s="1" a="1"/>
  <c r="A85" i="13" s="1" a="1"/>
  <c r="A86" i="13" s="1" a="1"/>
  <c r="A87" i="13" s="1" a="1"/>
  <c r="A88" i="13" s="1" a="1"/>
  <c r="A89" i="13" s="1" a="1"/>
  <c r="A90" i="13" s="1" a="1"/>
  <c r="A91" i="13" s="1" a="1"/>
  <c r="A92" i="13" s="1" a="1"/>
  <c r="A93" i="13" s="1" a="1"/>
  <c r="A94" i="13" s="1" a="1"/>
  <c r="A95" i="13" s="1" a="1"/>
  <c r="A96" i="13" s="1" a="1"/>
  <c r="A97" i="13" s="1" a="1"/>
  <c r="A98" i="13" s="1" a="1"/>
  <c r="A99" i="13" s="1" a="1"/>
  <c r="A100" i="13" s="1" a="1"/>
  <c r="A101" i="13" s="1" a="1"/>
  <c r="A102" i="13" s="1" a="1"/>
  <c r="A103" i="13" s="1" a="1"/>
  <c r="A104" i="13" s="1" a="1"/>
  <c r="A105" i="13" s="1" a="1"/>
  <c r="A106" i="13" s="1" a="1"/>
  <c r="A107" i="13" s="1" a="1"/>
  <c r="A108" i="13" l="1" a="1"/>
  <c r="A17" i="14" a="1"/>
  <c r="A18" i="14" l="1" a="1"/>
  <c r="A19" i="14" s="1" a="1"/>
  <c r="A20" i="14" s="1" a="1"/>
  <c r="A21" i="14" s="1" a="1"/>
  <c r="A22" i="14" s="1" a="1"/>
  <c r="A23" i="14" s="1" a="1"/>
  <c r="A24" i="14" s="1" a="1"/>
  <c r="A25" i="14" s="1" a="1"/>
  <c r="A26" i="14" s="1" a="1"/>
  <c r="A27" i="14" s="1" a="1"/>
  <c r="A28" i="14" s="1" a="1"/>
  <c r="A29" i="14" s="1" a="1"/>
  <c r="A30" i="14" s="1" a="1"/>
  <c r="A31" i="14" s="1" a="1"/>
  <c r="A32" i="14" s="1" a="1"/>
  <c r="A33" i="14" s="1" a="1"/>
  <c r="A34" i="14" s="1" a="1"/>
  <c r="A35" i="14" s="1" a="1"/>
  <c r="A36" i="14" s="1" a="1"/>
  <c r="A37" i="14" s="1" a="1"/>
  <c r="A38" i="14" s="1" a="1"/>
  <c r="A39" i="14" s="1" a="1"/>
  <c r="A40" i="14" s="1" a="1"/>
  <c r="A41" i="14" s="1" a="1"/>
  <c r="A42" i="14" s="1" a="1"/>
  <c r="A43" i="14" s="1" a="1"/>
  <c r="A44" i="14" s="1" a="1"/>
  <c r="A45" i="14" s="1" a="1"/>
  <c r="A46" i="14" s="1" a="1"/>
  <c r="A47" i="14" s="1" a="1"/>
  <c r="A48" i="14" s="1" a="1"/>
  <c r="A49" i="14" s="1" a="1"/>
  <c r="A50" i="14" s="1" a="1"/>
  <c r="A51" i="14" s="1" a="1"/>
  <c r="A52" i="14" s="1" a="1"/>
  <c r="A53" i="14" s="1" a="1"/>
  <c r="A54" i="14" s="1" a="1"/>
  <c r="A55" i="14" s="1" a="1"/>
  <c r="A56" i="14" s="1" a="1"/>
  <c r="A57" i="14" s="1" a="1"/>
  <c r="A58" i="14" s="1" a="1"/>
  <c r="A59" i="14" s="1" a="1"/>
  <c r="A60" i="14" s="1" a="1"/>
  <c r="A61" i="14" s="1" a="1"/>
  <c r="A62" i="14" s="1" a="1"/>
  <c r="A63" i="14" s="1" a="1"/>
  <c r="A64" i="14" s="1" a="1"/>
  <c r="A65" i="14" s="1" a="1"/>
  <c r="A66" i="14" s="1" a="1"/>
  <c r="A67" i="14" s="1" a="1"/>
  <c r="A68" i="14" s="1" a="1"/>
  <c r="A69" i="14" s="1" a="1"/>
  <c r="A70" i="14" s="1" a="1"/>
  <c r="A71" i="14" s="1" a="1"/>
  <c r="A72" i="14" s="1" a="1"/>
  <c r="A73" i="14" s="1" a="1"/>
  <c r="A74" i="14" s="1" a="1"/>
  <c r="A75" i="14" s="1" a="1"/>
  <c r="A76" i="14" s="1" a="1"/>
  <c r="A109" i="13" a="1"/>
  <c r="A110" i="13" l="1" a="1"/>
  <c r="A111" i="13" s="1" a="1"/>
  <c r="A112" i="13" s="1" a="1"/>
  <c r="A113" i="13" s="1" a="1"/>
  <c r="A114" i="13" s="1" a="1"/>
  <c r="A115" i="13" s="1" a="1"/>
  <c r="A116" i="13" s="1" a="1"/>
  <c r="A117" i="13" s="1" a="1"/>
  <c r="A118" i="13" s="1" a="1"/>
  <c r="A119" i="13" s="1" a="1"/>
  <c r="A120" i="13" s="1" a="1"/>
  <c r="A121" i="13" s="1" a="1"/>
  <c r="A122" i="13" s="1" a="1"/>
  <c r="A123" i="13" s="1" a="1"/>
  <c r="A124" i="13" s="1" a="1"/>
  <c r="A125" i="13" s="1" a="1"/>
  <c r="A126" i="13" s="1" a="1"/>
  <c r="A127" i="13" s="1" a="1"/>
  <c r="A128" i="13" s="1" a="1"/>
  <c r="A129" i="13" s="1" a="1"/>
  <c r="A130" i="13" s="1" a="1"/>
  <c r="A131" i="13" s="1" a="1"/>
  <c r="A132" i="13" s="1" a="1"/>
  <c r="A133" i="13" s="1" a="1"/>
  <c r="A134" i="13" s="1" a="1"/>
  <c r="A135" i="13" s="1" a="1"/>
  <c r="A136" i="13" s="1" a="1"/>
  <c r="A137" i="13" s="1" a="1"/>
  <c r="A138" i="13" s="1" a="1"/>
  <c r="A139" i="13" s="1" a="1"/>
  <c r="A140" i="13" s="1" a="1"/>
  <c r="A141" i="13" s="1" a="1"/>
  <c r="A142" i="13" s="1" a="1"/>
  <c r="A143" i="13" s="1" a="1"/>
  <c r="A144" i="13" s="1" a="1"/>
  <c r="A145" i="13" s="1" a="1"/>
  <c r="A146" i="13" s="1" a="1"/>
  <c r="A147" i="13" s="1" a="1"/>
  <c r="A148" i="13" s="1" a="1"/>
  <c r="A149" i="13" s="1" a="1"/>
  <c r="A150" i="13" s="1" a="1"/>
  <c r="A151" i="13" s="1" a="1"/>
  <c r="A152" i="13" s="1" a="1"/>
  <c r="A153" i="13" s="1" a="1"/>
  <c r="A154" i="13" s="1" a="1"/>
  <c r="A155" i="13" s="1" a="1"/>
  <c r="A156" i="13" s="1" a="1"/>
  <c r="A157" i="13" s="1" a="1"/>
  <c r="A158" i="13" s="1" a="1"/>
  <c r="A159" i="13" s="1" a="1"/>
  <c r="A160" i="13" s="1" a="1"/>
  <c r="A161" i="13" s="1" a="1"/>
  <c r="A162" i="13" s="1" a="1"/>
  <c r="A163" i="13" s="1" a="1"/>
  <c r="A164" i="13" s="1" a="1"/>
  <c r="A165" i="13" s="1" a="1"/>
  <c r="A166" i="13" s="1" a="1"/>
  <c r="A167" i="13" s="1" a="1"/>
  <c r="A168" i="13" s="1" a="1"/>
  <c r="A169" i="13" s="1" a="1"/>
  <c r="A170" i="13" s="1" a="1"/>
  <c r="A171" i="13" s="1" a="1"/>
  <c r="A172" i="13" s="1" a="1"/>
  <c r="A173" i="13" s="1" a="1"/>
  <c r="A174" i="13" s="1" a="1"/>
  <c r="A175" i="13" s="1" a="1"/>
  <c r="A176" i="13" s="1" a="1"/>
  <c r="A177" i="13" s="1" a="1"/>
  <c r="A178" i="13" s="1" a="1"/>
  <c r="A179" i="13" s="1" a="1"/>
  <c r="A180" i="13" s="1" a="1"/>
  <c r="A181" i="13" s="1" a="1"/>
  <c r="A182" i="13" s="1" a="1"/>
  <c r="A183" i="13" s="1" a="1"/>
  <c r="A184" i="13" s="1" a="1"/>
  <c r="A185" i="13" s="1" a="1"/>
  <c r="A186" i="13" s="1" a="1"/>
  <c r="A187" i="13" s="1" a="1"/>
  <c r="A188" i="13" s="1" a="1"/>
  <c r="A189" i="13" s="1" a="1"/>
  <c r="A190" i="13" s="1" a="1"/>
  <c r="A191" i="13" s="1" a="1"/>
  <c r="A192" i="13" s="1" a="1"/>
  <c r="A193" i="13" s="1" a="1"/>
  <c r="A194" i="13" s="1" a="1"/>
  <c r="A195" i="13" s="1" a="1"/>
  <c r="A196" i="13" s="1" a="1"/>
  <c r="A197" i="13" s="1" a="1"/>
  <c r="A198" i="13" s="1" a="1"/>
  <c r="A199" i="13" s="1" a="1"/>
  <c r="A200" i="13" s="1" a="1"/>
  <c r="A201" i="13" s="1" a="1"/>
  <c r="A202" i="13" s="1" a="1"/>
  <c r="A203" i="13" s="1" a="1"/>
  <c r="A204" i="13" s="1" a="1"/>
  <c r="A205" i="13" s="1" a="1"/>
  <c r="A206" i="13" s="1" a="1"/>
  <c r="A207" i="13" s="1" a="1"/>
  <c r="A208" i="13" s="1" a="1"/>
  <c r="A209" i="13" s="1" a="1"/>
  <c r="A210" i="13" s="1" a="1"/>
  <c r="A211" i="13" s="1" a="1"/>
  <c r="A212" i="13" s="1" a="1"/>
  <c r="A213" i="13" s="1" a="1"/>
  <c r="A214" i="13" s="1" a="1"/>
  <c r="A215" i="13" s="1" a="1"/>
  <c r="A216" i="13" s="1" a="1"/>
  <c r="A217" i="13" s="1" a="1"/>
  <c r="A218" i="13" s="1" a="1"/>
  <c r="A219" i="13" s="1" a="1"/>
  <c r="A220" i="13" s="1" a="1"/>
  <c r="A221" i="13" s="1" a="1"/>
  <c r="A222" i="13" s="1" a="1"/>
  <c r="A223" i="13" s="1" a="1"/>
  <c r="A224" i="13" s="1" a="1"/>
  <c r="A225" i="13" s="1" a="1"/>
  <c r="A226" i="13" s="1" a="1"/>
  <c r="A227" i="13" s="1" a="1"/>
  <c r="A228" i="13" s="1" a="1"/>
  <c r="A229" i="13" s="1" a="1"/>
  <c r="A230" i="13" s="1" a="1"/>
  <c r="A231" i="13" s="1" a="1"/>
  <c r="A232" i="13" s="1" a="1"/>
  <c r="A233" i="13" s="1" a="1"/>
  <c r="A234" i="13" s="1" a="1"/>
  <c r="A235" i="13" s="1" a="1"/>
  <c r="A236" i="13" s="1" a="1"/>
  <c r="A237" i="13" s="1" a="1"/>
  <c r="A238" i="13" s="1" a="1"/>
  <c r="A239" i="13" s="1" a="1"/>
  <c r="A240" i="13" s="1" a="1"/>
  <c r="A241" i="13" s="1" a="1"/>
  <c r="A242" i="13" s="1" a="1"/>
  <c r="A243" i="13" s="1" a="1"/>
  <c r="A244" i="13" s="1" a="1"/>
  <c r="A245" i="13" s="1" a="1"/>
  <c r="A246" i="13" s="1" a="1"/>
  <c r="A247" i="13" s="1" a="1"/>
  <c r="A248" i="13" s="1" a="1"/>
  <c r="A249" i="13" s="1" a="1"/>
  <c r="A250" i="13" s="1" a="1"/>
  <c r="A251" i="13" s="1" a="1"/>
  <c r="A252" i="13" s="1" a="1"/>
  <c r="A253" i="13" s="1" a="1"/>
  <c r="A254" i="13" s="1" a="1"/>
  <c r="A77" i="14" a="1"/>
  <c r="F76" i="14"/>
  <c r="G76" i="14"/>
  <c r="B76" i="14"/>
  <c r="H76" i="14"/>
  <c r="C76" i="14"/>
  <c r="D76" i="14"/>
  <c r="E76" i="14"/>
  <c r="A78" i="14" l="1" a="1"/>
  <c r="G77" i="14"/>
  <c r="H77" i="14"/>
  <c r="E77" i="14"/>
  <c r="B77" i="14"/>
  <c r="D77" i="14"/>
  <c r="C77" i="14"/>
  <c r="F77" i="14"/>
  <c r="A79" i="14" l="1" a="1"/>
  <c r="B78" i="14"/>
  <c r="D78" i="14"/>
  <c r="C78" i="14"/>
  <c r="E78" i="14"/>
  <c r="F78" i="14"/>
  <c r="H78" i="14"/>
  <c r="G78" i="14"/>
  <c r="A80" i="14" l="1" a="1"/>
  <c r="B79" i="14"/>
  <c r="A81" i="14" l="1" a="1"/>
  <c r="B80" i="14"/>
  <c r="T10" i="15"/>
  <c r="S10" i="15"/>
  <c r="R10" i="15"/>
  <c r="Q10" i="15"/>
  <c r="P10" i="15"/>
  <c r="O10" i="15"/>
  <c r="N10" i="15"/>
  <c r="M10" i="15"/>
  <c r="D9" i="15"/>
  <c r="E9" i="15"/>
  <c r="F9" i="15"/>
  <c r="G9" i="15"/>
  <c r="H9" i="15"/>
  <c r="I9" i="15"/>
  <c r="C9" i="15"/>
  <c r="A82" i="14" l="1" a="1"/>
  <c r="B81" i="14"/>
  <c r="B6" i="24"/>
  <c r="C6" i="24"/>
  <c r="B7" i="24"/>
  <c r="C7" i="24"/>
  <c r="B8" i="24"/>
  <c r="C8" i="24"/>
  <c r="B9" i="24"/>
  <c r="C9" i="24"/>
  <c r="B10" i="24"/>
  <c r="C10" i="24"/>
  <c r="B11" i="24"/>
  <c r="C11" i="24"/>
  <c r="B12" i="24"/>
  <c r="C12" i="24"/>
  <c r="B13" i="24"/>
  <c r="C13" i="24"/>
  <c r="B14" i="24"/>
  <c r="C14" i="24"/>
  <c r="B15" i="24"/>
  <c r="C15" i="24"/>
  <c r="B16" i="24"/>
  <c r="C16" i="24"/>
  <c r="B17" i="24"/>
  <c r="C17" i="24"/>
  <c r="B18" i="24"/>
  <c r="C18" i="24"/>
  <c r="B19" i="24"/>
  <c r="C19" i="24"/>
  <c r="B20" i="24"/>
  <c r="C20" i="24"/>
  <c r="B21" i="24"/>
  <c r="C21" i="24"/>
  <c r="B22" i="24"/>
  <c r="C22" i="24"/>
  <c r="B23" i="24"/>
  <c r="C23" i="24"/>
  <c r="B24" i="24"/>
  <c r="C24" i="24"/>
  <c r="B25" i="24"/>
  <c r="C25" i="24"/>
  <c r="B26" i="24"/>
  <c r="C26" i="24"/>
  <c r="B27" i="24"/>
  <c r="C27" i="24"/>
  <c r="B28" i="24"/>
  <c r="C28" i="24"/>
  <c r="B29" i="24"/>
  <c r="C29" i="24"/>
  <c r="B30" i="24"/>
  <c r="C30" i="24"/>
  <c r="B31" i="24"/>
  <c r="C31" i="24"/>
  <c r="B32" i="24"/>
  <c r="C32" i="24"/>
  <c r="B33" i="24"/>
  <c r="C33" i="24"/>
  <c r="B34" i="24"/>
  <c r="C34" i="24"/>
  <c r="B35" i="24"/>
  <c r="C35" i="24"/>
  <c r="B36" i="24"/>
  <c r="C36" i="24"/>
  <c r="B37" i="24"/>
  <c r="C37" i="24"/>
  <c r="B38" i="24"/>
  <c r="C38" i="24"/>
  <c r="B39" i="24"/>
  <c r="C39" i="24"/>
  <c r="B40" i="24"/>
  <c r="C40" i="24"/>
  <c r="B41" i="24"/>
  <c r="C41" i="24"/>
  <c r="B42" i="24"/>
  <c r="C42" i="24"/>
  <c r="B43" i="24"/>
  <c r="C43" i="24"/>
  <c r="B44" i="24"/>
  <c r="C44" i="24"/>
  <c r="B45" i="24"/>
  <c r="C45" i="24"/>
  <c r="B46" i="24"/>
  <c r="C46" i="24"/>
  <c r="B47" i="24"/>
  <c r="C47" i="24"/>
  <c r="B48" i="24"/>
  <c r="C48" i="24"/>
  <c r="B49" i="24"/>
  <c r="C49" i="24"/>
  <c r="B50" i="24"/>
  <c r="C50" i="24"/>
  <c r="B51" i="24"/>
  <c r="C51" i="24"/>
  <c r="B52" i="24"/>
  <c r="C52" i="24"/>
  <c r="B53" i="24"/>
  <c r="C53" i="24"/>
  <c r="B54" i="24"/>
  <c r="C54" i="24"/>
  <c r="B55" i="24"/>
  <c r="C55" i="24"/>
  <c r="B56" i="24"/>
  <c r="C56" i="24"/>
  <c r="B57" i="24"/>
  <c r="C57" i="24"/>
  <c r="B58" i="24"/>
  <c r="C58" i="24"/>
  <c r="B59" i="24"/>
  <c r="C59" i="24"/>
  <c r="B60" i="24"/>
  <c r="C60" i="24"/>
  <c r="B61" i="24"/>
  <c r="C61" i="24"/>
  <c r="B62" i="24"/>
  <c r="C62" i="24"/>
  <c r="B63" i="24"/>
  <c r="C63" i="24"/>
  <c r="B64" i="24"/>
  <c r="C64" i="24"/>
  <c r="B65" i="24"/>
  <c r="C65" i="24"/>
  <c r="B66" i="24"/>
  <c r="C66" i="24"/>
  <c r="B67" i="24"/>
  <c r="C67" i="24"/>
  <c r="B68" i="24"/>
  <c r="C68" i="24"/>
  <c r="B69" i="24"/>
  <c r="C69" i="24"/>
  <c r="B70" i="24"/>
  <c r="C70" i="24"/>
  <c r="B71" i="24"/>
  <c r="C71" i="24"/>
  <c r="B72" i="24"/>
  <c r="C72" i="24"/>
  <c r="B73" i="24"/>
  <c r="C73" i="24"/>
  <c r="B74" i="24"/>
  <c r="C74" i="24"/>
  <c r="B75" i="24"/>
  <c r="C75" i="24"/>
  <c r="B76" i="24"/>
  <c r="C76" i="24"/>
  <c r="B77" i="24"/>
  <c r="C77" i="24"/>
  <c r="B78" i="24"/>
  <c r="C78" i="24"/>
  <c r="B79" i="24"/>
  <c r="C79" i="24"/>
  <c r="B80" i="24"/>
  <c r="C80" i="24"/>
  <c r="B81" i="24"/>
  <c r="C81" i="24"/>
  <c r="B82" i="24"/>
  <c r="C82" i="24"/>
  <c r="B83" i="24"/>
  <c r="C83" i="24"/>
  <c r="B84" i="24"/>
  <c r="C84" i="24"/>
  <c r="B85" i="24"/>
  <c r="C85" i="24"/>
  <c r="B86" i="24"/>
  <c r="C86" i="24"/>
  <c r="B87" i="24"/>
  <c r="C87" i="24"/>
  <c r="B88" i="24"/>
  <c r="C88" i="24"/>
  <c r="B89" i="24"/>
  <c r="C89" i="24"/>
  <c r="B90" i="24"/>
  <c r="C90" i="24"/>
  <c r="B91" i="24"/>
  <c r="C91" i="24"/>
  <c r="B92" i="24"/>
  <c r="C92" i="24"/>
  <c r="B93" i="24"/>
  <c r="C93" i="24"/>
  <c r="B94" i="24"/>
  <c r="C94" i="24"/>
  <c r="B95" i="24"/>
  <c r="C95" i="24"/>
  <c r="B96" i="24"/>
  <c r="C96" i="24"/>
  <c r="B97" i="24"/>
  <c r="C97" i="24"/>
  <c r="B98" i="24"/>
  <c r="C98" i="24"/>
  <c r="B99" i="24"/>
  <c r="C99" i="24"/>
  <c r="B100" i="24"/>
  <c r="C100" i="24"/>
  <c r="B101" i="24"/>
  <c r="C101" i="24"/>
  <c r="B102" i="24"/>
  <c r="C102" i="24"/>
  <c r="B103" i="24"/>
  <c r="C103" i="24"/>
  <c r="B104" i="24"/>
  <c r="C104" i="24"/>
  <c r="B105" i="24"/>
  <c r="C105" i="24"/>
  <c r="B106" i="24"/>
  <c r="C106" i="24"/>
  <c r="B107" i="24"/>
  <c r="C107" i="24"/>
  <c r="B108" i="24"/>
  <c r="C108" i="24"/>
  <c r="B109" i="24"/>
  <c r="C109" i="24"/>
  <c r="B110" i="24"/>
  <c r="C110" i="24"/>
  <c r="B111" i="24"/>
  <c r="C111" i="24"/>
  <c r="B112" i="24"/>
  <c r="C112" i="24"/>
  <c r="B113" i="24"/>
  <c r="C113" i="24"/>
  <c r="B114" i="24"/>
  <c r="C114" i="24"/>
  <c r="B115" i="24"/>
  <c r="C115" i="24"/>
  <c r="B116" i="24"/>
  <c r="C116" i="24"/>
  <c r="B117" i="24"/>
  <c r="C117" i="24"/>
  <c r="B118" i="24"/>
  <c r="C118" i="24"/>
  <c r="B119" i="24"/>
  <c r="C119" i="24"/>
  <c r="B120" i="24"/>
  <c r="C120" i="24"/>
  <c r="B121" i="24"/>
  <c r="C121" i="24"/>
  <c r="B122" i="24"/>
  <c r="C122" i="24"/>
  <c r="B123" i="24"/>
  <c r="C123" i="24"/>
  <c r="B124" i="24"/>
  <c r="C124" i="24"/>
  <c r="B125" i="24"/>
  <c r="C125" i="24"/>
  <c r="B126" i="24"/>
  <c r="C126" i="24"/>
  <c r="B127" i="24"/>
  <c r="C127" i="24"/>
  <c r="B128" i="24"/>
  <c r="C128" i="24"/>
  <c r="B129" i="24"/>
  <c r="C129" i="24"/>
  <c r="B130" i="24"/>
  <c r="C130" i="24"/>
  <c r="B131" i="24"/>
  <c r="C131" i="24"/>
  <c r="B132" i="24"/>
  <c r="C132" i="24"/>
  <c r="B133" i="24"/>
  <c r="C133" i="24"/>
  <c r="B134" i="24"/>
  <c r="C134" i="24"/>
  <c r="B135" i="24"/>
  <c r="C135" i="24"/>
  <c r="B136" i="24"/>
  <c r="C136" i="24"/>
  <c r="B137" i="24"/>
  <c r="C137" i="24"/>
  <c r="B138" i="24"/>
  <c r="C138" i="24"/>
  <c r="B139" i="24"/>
  <c r="C139" i="24"/>
  <c r="B140" i="24"/>
  <c r="C140" i="24"/>
  <c r="B141" i="24"/>
  <c r="C141" i="24"/>
  <c r="B142" i="24"/>
  <c r="C142" i="24"/>
  <c r="B143" i="24"/>
  <c r="C143" i="24"/>
  <c r="B144" i="24"/>
  <c r="C144" i="24"/>
  <c r="B145" i="24"/>
  <c r="C145" i="24"/>
  <c r="B146" i="24"/>
  <c r="C146" i="24"/>
  <c r="B147" i="24"/>
  <c r="C147" i="24"/>
  <c r="B148" i="24"/>
  <c r="C148" i="24"/>
  <c r="B149" i="24"/>
  <c r="C149" i="24"/>
  <c r="B150" i="24"/>
  <c r="C150" i="24"/>
  <c r="B151" i="24"/>
  <c r="C151" i="24"/>
  <c r="B152" i="24"/>
  <c r="C152" i="24"/>
  <c r="B153" i="24"/>
  <c r="C153" i="24"/>
  <c r="B154" i="24"/>
  <c r="C154" i="24"/>
  <c r="B155" i="24"/>
  <c r="C155" i="24"/>
  <c r="B156" i="24"/>
  <c r="C156" i="24"/>
  <c r="B157" i="24"/>
  <c r="C157" i="24"/>
  <c r="B158" i="24"/>
  <c r="C158" i="24"/>
  <c r="B159" i="24"/>
  <c r="C159" i="24"/>
  <c r="B160" i="24"/>
  <c r="C160" i="24"/>
  <c r="B161" i="24"/>
  <c r="C161" i="24"/>
  <c r="B162" i="24"/>
  <c r="C162" i="24"/>
  <c r="A83" i="14" l="1" a="1"/>
  <c r="A84" i="14" s="1" a="1"/>
  <c r="A85" i="14" s="1" a="1"/>
  <c r="A86" i="14" s="1" a="1"/>
  <c r="A87" i="14" s="1" a="1"/>
  <c r="A88" i="14" s="1" a="1"/>
  <c r="A89" i="14" s="1" a="1"/>
  <c r="A90" i="14" s="1" a="1"/>
  <c r="A91" i="14" s="1" a="1"/>
  <c r="A92" i="14" s="1" a="1"/>
  <c r="A93" i="14" s="1" a="1"/>
  <c r="A94" i="14" s="1" a="1"/>
  <c r="A95" i="14" s="1" a="1"/>
  <c r="A96" i="14" s="1" a="1"/>
  <c r="A97" i="14" s="1" a="1"/>
  <c r="A98" i="14" s="1" a="1"/>
  <c r="A99" i="14" s="1" a="1"/>
  <c r="A100" i="14" s="1" a="1"/>
  <c r="A101" i="14" s="1" a="1"/>
  <c r="A102" i="14" s="1" a="1"/>
  <c r="A103" i="14" s="1" a="1"/>
  <c r="A104" i="14" s="1" a="1"/>
  <c r="A105" i="14" s="1" a="1"/>
  <c r="A106" i="14" s="1" a="1"/>
  <c r="A107" i="14" s="1" a="1"/>
  <c r="A108" i="14" s="1" a="1"/>
  <c r="A109" i="14" s="1" a="1"/>
  <c r="A110" i="14" s="1" a="1"/>
  <c r="A111" i="14" s="1" a="1"/>
  <c r="A112" i="14" s="1" a="1"/>
  <c r="A113" i="14" s="1" a="1"/>
  <c r="A114" i="14" s="1" a="1"/>
  <c r="A115" i="14" s="1" a="1"/>
  <c r="A116" i="14" s="1" a="1"/>
  <c r="A117" i="14" s="1" a="1"/>
  <c r="A118" i="14" s="1" a="1"/>
  <c r="A119" i="14" s="1" a="1"/>
  <c r="A120" i="14" s="1" a="1"/>
  <c r="A121" i="14" s="1" a="1"/>
  <c r="A122" i="14" s="1" a="1"/>
  <c r="A123" i="14" s="1" a="1"/>
  <c r="A124" i="14" s="1" a="1"/>
  <c r="A125" i="14" s="1" a="1"/>
  <c r="A126" i="14" s="1" a="1"/>
  <c r="A127" i="14" s="1" a="1"/>
  <c r="A128" i="14" s="1" a="1"/>
  <c r="A129" i="14" s="1" a="1"/>
  <c r="A130" i="14" s="1" a="1"/>
  <c r="A131" i="14" s="1" a="1"/>
  <c r="A132" i="14" s="1" a="1"/>
  <c r="A133" i="14" s="1" a="1"/>
  <c r="A134" i="14" s="1" a="1"/>
  <c r="A135" i="14" s="1" a="1"/>
  <c r="A136" i="14" s="1" a="1"/>
  <c r="A137" i="14" s="1" a="1"/>
  <c r="A138" i="14" s="1" a="1"/>
  <c r="A139" i="14" s="1" a="1"/>
  <c r="A140" i="14" s="1" a="1"/>
  <c r="A141" i="14" s="1" a="1"/>
  <c r="A142" i="14" s="1" a="1"/>
  <c r="A143" i="14" s="1" a="1"/>
  <c r="A144" i="14" s="1" a="1"/>
  <c r="A145" i="14" s="1" a="1"/>
  <c r="A146" i="14" s="1" a="1"/>
  <c r="A147" i="14" s="1" a="1"/>
  <c r="A148" i="14" s="1" a="1"/>
  <c r="A149" i="14" s="1" a="1"/>
  <c r="A150" i="14" s="1" a="1"/>
  <c r="A151" i="14" s="1" a="1"/>
  <c r="A152" i="14" s="1" a="1"/>
  <c r="A153" i="14" s="1" a="1"/>
  <c r="A154" i="14" s="1" a="1"/>
  <c r="A155" i="14" s="1" a="1"/>
  <c r="A156" i="14" s="1" a="1"/>
  <c r="A157" i="14" s="1" a="1"/>
  <c r="A158" i="14" s="1" a="1"/>
  <c r="A159" i="14" s="1" a="1"/>
  <c r="A160" i="14" s="1" a="1"/>
  <c r="A161" i="14" s="1" a="1"/>
  <c r="A162" i="14" s="1" a="1"/>
  <c r="A163" i="14" s="1" a="1"/>
  <c r="A164" i="14" s="1" a="1"/>
  <c r="A165" i="14" s="1" a="1"/>
  <c r="A166" i="14" s="1" a="1"/>
  <c r="A167" i="14" s="1" a="1"/>
  <c r="A168" i="14" s="1" a="1"/>
  <c r="A169" i="14" s="1" a="1"/>
  <c r="A170" i="14" s="1" a="1"/>
  <c r="A171" i="14" s="1" a="1"/>
  <c r="A172" i="14" s="1" a="1"/>
  <c r="A173" i="14" s="1" a="1"/>
  <c r="A174" i="14" s="1" a="1"/>
  <c r="A175" i="14" s="1" a="1"/>
  <c r="A176" i="14" s="1" a="1"/>
  <c r="A177" i="14" s="1" a="1"/>
  <c r="A178" i="14" s="1" a="1"/>
  <c r="A179" i="14" s="1" a="1"/>
  <c r="A180" i="14" s="1" a="1"/>
  <c r="A181" i="14" s="1" a="1"/>
  <c r="A182" i="14" s="1" a="1"/>
  <c r="A183" i="14" s="1" a="1"/>
  <c r="A184" i="14" s="1" a="1"/>
  <c r="A185" i="14" s="1" a="1"/>
  <c r="A186" i="14" s="1" a="1"/>
  <c r="A187" i="14" s="1" a="1"/>
  <c r="A188" i="14" s="1" a="1"/>
  <c r="A189" i="14" s="1" a="1"/>
  <c r="A190" i="14" s="1" a="1"/>
  <c r="A191" i="14" s="1" a="1"/>
  <c r="A192" i="14" s="1" a="1"/>
  <c r="A193" i="14" s="1" a="1"/>
  <c r="A194" i="14" s="1" a="1"/>
  <c r="A195" i="14" s="1" a="1"/>
  <c r="A196" i="14" s="1" a="1"/>
  <c r="A197" i="14" s="1" a="1"/>
  <c r="A198" i="14" s="1" a="1"/>
  <c r="A199" i="14" s="1" a="1"/>
  <c r="A200" i="14" s="1" a="1"/>
  <c r="A201" i="14" s="1" a="1"/>
  <c r="A202" i="14" s="1" a="1"/>
  <c r="A203" i="14" s="1" a="1"/>
  <c r="A204" i="14" s="1" a="1"/>
  <c r="A205" i="14" s="1" a="1"/>
  <c r="A206" i="14" s="1" a="1"/>
  <c r="A207" i="14" s="1" a="1"/>
  <c r="A208" i="14" s="1" a="1"/>
  <c r="A209" i="14" s="1" a="1"/>
  <c r="A210" i="14" s="1" a="1"/>
  <c r="A211" i="14" s="1" a="1"/>
  <c r="A212" i="14" s="1" a="1"/>
  <c r="A213" i="14" s="1" a="1"/>
  <c r="A214" i="14" s="1" a="1"/>
  <c r="A215" i="14" s="1" a="1"/>
  <c r="A216" i="14" s="1" a="1"/>
  <c r="A217" i="14" s="1" a="1"/>
  <c r="A218" i="14" s="1" a="1"/>
  <c r="A219" i="14" s="1" a="1"/>
  <c r="A220" i="14" s="1" a="1"/>
  <c r="A221" i="14" s="1" a="1"/>
  <c r="A222" i="14" s="1" a="1"/>
  <c r="A223" i="14" s="1" a="1"/>
  <c r="A224" i="14" s="1" a="1"/>
  <c r="A225" i="14" s="1" a="1"/>
  <c r="A226" i="14" s="1" a="1"/>
  <c r="A227" i="14" s="1" a="1"/>
  <c r="A228" i="14" s="1" a="1"/>
  <c r="A229" i="14" s="1" a="1"/>
  <c r="A230" i="14" s="1" a="1"/>
  <c r="A231" i="14" s="1" a="1"/>
  <c r="A232" i="14" s="1" a="1"/>
  <c r="A233" i="14" s="1" a="1"/>
  <c r="A234" i="14" s="1" a="1"/>
  <c r="A235" i="14" s="1" a="1"/>
  <c r="A236" i="14" s="1" a="1"/>
  <c r="A237" i="14" s="1" a="1"/>
  <c r="A238" i="14" s="1" a="1"/>
  <c r="A239" i="14" s="1" a="1"/>
  <c r="A240" i="14" s="1" a="1"/>
  <c r="A241" i="14" s="1" a="1"/>
  <c r="A242" i="14" s="1" a="1"/>
  <c r="A243" i="14" s="1" a="1"/>
  <c r="A244" i="14" s="1" a="1"/>
  <c r="A245" i="14" s="1" a="1"/>
  <c r="A246" i="14" s="1" a="1"/>
  <c r="A247" i="14" s="1" a="1"/>
  <c r="A248" i="14" s="1" a="1"/>
  <c r="A249" i="14" s="1" a="1"/>
  <c r="A250" i="14" s="1" a="1"/>
  <c r="A251" i="14" s="1" a="1"/>
  <c r="A252" i="14" s="1" a="1"/>
  <c r="A253" i="14" s="1" a="1"/>
  <c r="A254" i="14" s="1" a="1"/>
  <c r="B82" i="14"/>
  <c r="C5" i="24"/>
  <c r="B5" i="24"/>
  <c r="A2" i="27" l="1"/>
  <c r="A2" i="14" l="1"/>
  <c r="A2" i="13"/>
  <c r="A2" i="12" l="1"/>
  <c r="B109" i="13" s="1"/>
  <c r="B37" i="27"/>
  <c r="B36" i="27"/>
  <c r="B35" i="27"/>
  <c r="B34" i="27"/>
  <c r="B33" i="27"/>
  <c r="B32" i="27"/>
  <c r="B31" i="27"/>
  <c r="B30" i="27"/>
  <c r="B29" i="27"/>
  <c r="B23" i="27"/>
  <c r="B18" i="27"/>
  <c r="B13" i="27"/>
  <c r="B12" i="27"/>
  <c r="B7" i="27"/>
  <c r="A2" i="26"/>
  <c r="E107" i="13" l="1"/>
  <c r="F107" i="13"/>
  <c r="G107" i="13"/>
  <c r="H107" i="13"/>
  <c r="B107" i="13"/>
  <c r="G108" i="13"/>
  <c r="H108" i="13"/>
  <c r="B108" i="13"/>
  <c r="E108" i="13"/>
  <c r="F108" i="13"/>
  <c r="E109" i="13"/>
  <c r="F109" i="13"/>
  <c r="G109" i="13"/>
  <c r="H109" i="13"/>
  <c r="A2" i="24"/>
  <c r="E12" i="15" l="1"/>
  <c r="D12" i="15"/>
  <c r="C12" i="15"/>
  <c r="B13" i="1" l="1"/>
  <c r="I14" i="15" l="1"/>
  <c r="H14" i="15"/>
  <c r="B2" i="15" l="1"/>
  <c r="A2" i="7"/>
  <c r="A17" i="8"/>
  <c r="A4" i="8"/>
  <c r="A3" i="6"/>
  <c r="A2" i="5"/>
  <c r="A2" i="4" l="1"/>
  <c r="A2" i="2" l="1"/>
  <c r="G10" i="15" s="1"/>
  <c r="I10" i="15" l="1"/>
  <c r="H10" i="15"/>
  <c r="B11" i="1"/>
  <c r="B9" i="1"/>
  <c r="H17" i="15" l="1"/>
  <c r="R9" i="15"/>
  <c r="S9" i="15"/>
  <c r="T9" i="15"/>
  <c r="Q9" i="15"/>
  <c r="N9" i="15"/>
  <c r="O9" i="15"/>
  <c r="P9" i="15"/>
  <c r="M9" i="15"/>
  <c r="Q5" i="8" l="1"/>
  <c r="K5" i="8"/>
  <c r="L5" i="8"/>
  <c r="M5" i="8"/>
  <c r="N5" i="8"/>
  <c r="O5" i="8"/>
  <c r="P5" i="8"/>
  <c r="J5" i="8"/>
  <c r="F4" i="14"/>
  <c r="G4" i="14"/>
  <c r="H4" i="14"/>
  <c r="E4" i="14"/>
  <c r="F4" i="13"/>
  <c r="G4" i="13"/>
  <c r="H4" i="13"/>
  <c r="E4" i="13"/>
  <c r="C14" i="15" l="1"/>
  <c r="F5" i="13" l="1"/>
  <c r="E5" i="13"/>
  <c r="G5" i="13"/>
  <c r="H5" i="13"/>
  <c r="H5" i="14"/>
  <c r="G5" i="14"/>
  <c r="F5" i="14"/>
  <c r="E5" i="14"/>
  <c r="D5" i="14"/>
  <c r="C5" i="14"/>
  <c r="D5" i="13"/>
  <c r="C5" i="13"/>
  <c r="B5" i="13"/>
  <c r="E6" i="13" l="1"/>
  <c r="F6" i="13"/>
  <c r="G6" i="13"/>
  <c r="H6" i="13"/>
  <c r="E6" i="14"/>
  <c r="F6" i="14"/>
  <c r="G6" i="14"/>
  <c r="H6" i="14"/>
  <c r="D6" i="14"/>
  <c r="B6" i="14"/>
  <c r="C6" i="14"/>
  <c r="B6" i="13"/>
  <c r="C6" i="13"/>
  <c r="D6" i="13"/>
  <c r="R13" i="15"/>
  <c r="R14" i="15" s="1"/>
  <c r="N14" i="15"/>
  <c r="O14" i="15"/>
  <c r="P14" i="15"/>
  <c r="Q14" i="15"/>
  <c r="S14" i="15"/>
  <c r="T14" i="15"/>
  <c r="M14" i="15"/>
  <c r="Q17" i="15"/>
  <c r="P17" i="15"/>
  <c r="O17" i="15"/>
  <c r="N17" i="15"/>
  <c r="M17" i="15"/>
  <c r="D14" i="15"/>
  <c r="E14" i="15"/>
  <c r="F14" i="15"/>
  <c r="H18" i="15" s="1"/>
  <c r="G14" i="15"/>
  <c r="E7" i="13" l="1"/>
  <c r="F7" i="13"/>
  <c r="G7" i="13"/>
  <c r="H7" i="13"/>
  <c r="E7" i="14"/>
  <c r="F7" i="14"/>
  <c r="G7" i="14"/>
  <c r="H7" i="14"/>
  <c r="C7" i="14"/>
  <c r="D7" i="14"/>
  <c r="B7" i="14"/>
  <c r="C7" i="13"/>
  <c r="D7" i="13"/>
  <c r="B7" i="13"/>
  <c r="S17" i="15"/>
  <c r="T18" i="15"/>
  <c r="R17" i="15"/>
  <c r="P18" i="15"/>
  <c r="M21" i="15"/>
  <c r="T17" i="15"/>
  <c r="M18" i="15"/>
  <c r="Q18" i="15"/>
  <c r="N18" i="15"/>
  <c r="S18" i="15"/>
  <c r="O18" i="15"/>
  <c r="R18" i="15"/>
  <c r="E8" i="13" l="1"/>
  <c r="F8" i="13"/>
  <c r="G8" i="13"/>
  <c r="H8" i="13"/>
  <c r="G8" i="14"/>
  <c r="E8" i="14"/>
  <c r="F8" i="14"/>
  <c r="H8" i="14"/>
  <c r="D8" i="14"/>
  <c r="B8" i="14"/>
  <c r="C8" i="14"/>
  <c r="B8" i="13"/>
  <c r="D8" i="13"/>
  <c r="C8" i="13"/>
  <c r="N21" i="15"/>
  <c r="M22" i="15"/>
  <c r="N22" i="15"/>
  <c r="E10" i="15"/>
  <c r="C10" i="15"/>
  <c r="C17" i="15" s="1"/>
  <c r="F10" i="15"/>
  <c r="D10" i="15"/>
  <c r="E9" i="13" l="1"/>
  <c r="F9" i="13"/>
  <c r="G9" i="13"/>
  <c r="H9" i="13"/>
  <c r="E9" i="14"/>
  <c r="H9" i="14"/>
  <c r="F9" i="14"/>
  <c r="G9" i="14"/>
  <c r="B9" i="14"/>
  <c r="C9" i="14"/>
  <c r="D9" i="14"/>
  <c r="B9" i="13"/>
  <c r="D9" i="13"/>
  <c r="C9" i="13"/>
  <c r="C18" i="15"/>
  <c r="G17" i="15"/>
  <c r="G18" i="15"/>
  <c r="D17" i="15"/>
  <c r="D18" i="15"/>
  <c r="E18" i="15"/>
  <c r="E17" i="15"/>
  <c r="F17" i="15"/>
  <c r="F18" i="15"/>
  <c r="I17" i="15"/>
  <c r="I18" i="15"/>
  <c r="G10" i="14" l="1"/>
  <c r="E10" i="14"/>
  <c r="F10" i="14"/>
  <c r="H10" i="14"/>
  <c r="B10" i="13"/>
  <c r="E10" i="13"/>
  <c r="F10" i="13"/>
  <c r="G10" i="13"/>
  <c r="H10" i="13"/>
  <c r="C21" i="15"/>
  <c r="C22" i="15"/>
  <c r="B10" i="14"/>
  <c r="C10" i="14"/>
  <c r="D10" i="14"/>
  <c r="C10" i="13"/>
  <c r="D10" i="13"/>
  <c r="D12" i="13" l="1"/>
  <c r="E11" i="13"/>
  <c r="F11" i="13"/>
  <c r="G11" i="13"/>
  <c r="H11" i="13"/>
  <c r="E11" i="14"/>
  <c r="H11" i="14"/>
  <c r="F11" i="14"/>
  <c r="G11" i="14"/>
  <c r="C11" i="14"/>
  <c r="D11" i="14"/>
  <c r="B11" i="14"/>
  <c r="B11" i="13"/>
  <c r="C11" i="13"/>
  <c r="D11" i="13"/>
  <c r="G12" i="14" l="1"/>
  <c r="E12" i="14"/>
  <c r="F12" i="14"/>
  <c r="H12" i="14"/>
  <c r="B12" i="13"/>
  <c r="B12" i="14"/>
  <c r="C12" i="13"/>
  <c r="D12" i="14"/>
  <c r="D13" i="13"/>
  <c r="C12" i="14"/>
  <c r="E12" i="13"/>
  <c r="F12" i="13"/>
  <c r="G12" i="13"/>
  <c r="H12" i="13"/>
  <c r="E13" i="14" l="1"/>
  <c r="H13" i="14"/>
  <c r="F13" i="14"/>
  <c r="G13" i="14"/>
  <c r="B14" i="13"/>
  <c r="B13" i="13"/>
  <c r="C13" i="13"/>
  <c r="B13" i="14"/>
  <c r="C14" i="14"/>
  <c r="D13" i="14"/>
  <c r="E13" i="13"/>
  <c r="F13" i="13"/>
  <c r="G13" i="13"/>
  <c r="H13" i="13"/>
  <c r="C13" i="14"/>
  <c r="B15" i="14" l="1"/>
  <c r="E14" i="13"/>
  <c r="F14" i="13"/>
  <c r="G14" i="13"/>
  <c r="H14" i="13"/>
  <c r="B14" i="14"/>
  <c r="D14" i="13"/>
  <c r="C14" i="13"/>
  <c r="D14" i="14"/>
  <c r="G14" i="14"/>
  <c r="F14" i="14"/>
  <c r="H14" i="14"/>
  <c r="E14" i="14"/>
  <c r="E15" i="13" l="1"/>
  <c r="F15" i="13"/>
  <c r="G15" i="13"/>
  <c r="H15" i="13"/>
  <c r="D15" i="14"/>
  <c r="C15" i="14"/>
  <c r="B15" i="13"/>
  <c r="B16" i="13"/>
  <c r="D15" i="13"/>
  <c r="C15" i="13"/>
  <c r="E15" i="14"/>
  <c r="H15" i="14"/>
  <c r="F15" i="14"/>
  <c r="G15" i="14"/>
  <c r="G16" i="14" l="1"/>
  <c r="E16" i="14"/>
  <c r="F16" i="14"/>
  <c r="H16" i="14"/>
  <c r="D16" i="14"/>
  <c r="C17" i="13"/>
  <c r="D16" i="13"/>
  <c r="C16" i="13"/>
  <c r="D17" i="14"/>
  <c r="C16" i="14"/>
  <c r="B16" i="14"/>
  <c r="E16" i="13"/>
  <c r="F16" i="13"/>
  <c r="G16" i="13"/>
  <c r="H16" i="13"/>
  <c r="B18" i="13" l="1"/>
  <c r="C18" i="14"/>
  <c r="C17" i="14"/>
  <c r="B17" i="14"/>
  <c r="E17" i="13"/>
  <c r="F17" i="13"/>
  <c r="G17" i="13"/>
  <c r="H17" i="13"/>
  <c r="D17" i="13"/>
  <c r="B17" i="13"/>
  <c r="E17" i="14"/>
  <c r="H17" i="14"/>
  <c r="G17" i="14"/>
  <c r="F17" i="14"/>
  <c r="D18" i="14" l="1"/>
  <c r="B18" i="14"/>
  <c r="D19" i="13"/>
  <c r="D18" i="13"/>
  <c r="C18" i="13"/>
  <c r="G18" i="14"/>
  <c r="E18" i="14"/>
  <c r="F18" i="14"/>
  <c r="H18" i="14"/>
  <c r="E18" i="13"/>
  <c r="F18" i="13"/>
  <c r="G18" i="13"/>
  <c r="H18" i="13"/>
  <c r="G20" i="14" l="1"/>
  <c r="H20" i="14"/>
  <c r="E20" i="14"/>
  <c r="F20" i="14"/>
  <c r="D20" i="13"/>
  <c r="E19" i="13"/>
  <c r="F19" i="13"/>
  <c r="G19" i="13"/>
  <c r="H19" i="13"/>
  <c r="E19" i="14"/>
  <c r="H19" i="14"/>
  <c r="F19" i="14"/>
  <c r="G19" i="14"/>
  <c r="C19" i="14"/>
  <c r="C19" i="13"/>
  <c r="B19" i="14"/>
  <c r="B19" i="13"/>
  <c r="D19" i="14"/>
  <c r="D20" i="14"/>
  <c r="B20" i="14"/>
  <c r="C20" i="14"/>
  <c r="C20" i="13" l="1"/>
  <c r="E20" i="13"/>
  <c r="F20" i="13"/>
  <c r="G20" i="13"/>
  <c r="H20" i="13"/>
  <c r="E21" i="14"/>
  <c r="H21" i="14"/>
  <c r="F21" i="14"/>
  <c r="G21" i="14"/>
  <c r="B20" i="13"/>
  <c r="B21" i="14"/>
  <c r="C21" i="14"/>
  <c r="D21" i="14"/>
  <c r="E22" i="13" l="1"/>
  <c r="F22" i="13"/>
  <c r="G22" i="13"/>
  <c r="H22" i="13"/>
  <c r="B21" i="13"/>
  <c r="G22" i="14"/>
  <c r="E22" i="14"/>
  <c r="F22" i="14"/>
  <c r="H22" i="14"/>
  <c r="E21" i="13"/>
  <c r="F21" i="13"/>
  <c r="G21" i="13"/>
  <c r="H21" i="13"/>
  <c r="C21" i="13"/>
  <c r="D21" i="13"/>
  <c r="B22" i="14"/>
  <c r="C22" i="14"/>
  <c r="D22" i="14"/>
  <c r="C22" i="13"/>
  <c r="D22" i="13"/>
  <c r="B22" i="13"/>
  <c r="E23" i="14" l="1"/>
  <c r="H23" i="14"/>
  <c r="F23" i="14"/>
  <c r="G23" i="14"/>
  <c r="E23" i="13"/>
  <c r="F23" i="13"/>
  <c r="G23" i="13"/>
  <c r="H23" i="13"/>
  <c r="C23" i="14"/>
  <c r="D23" i="14"/>
  <c r="B23" i="14"/>
  <c r="B23" i="13"/>
  <c r="C23" i="13"/>
  <c r="D23" i="13"/>
  <c r="B25" i="13" l="1"/>
  <c r="E24" i="13"/>
  <c r="F24" i="13"/>
  <c r="G24" i="13"/>
  <c r="H24" i="13"/>
  <c r="G24" i="14"/>
  <c r="E24" i="14"/>
  <c r="F24" i="14"/>
  <c r="H24" i="14"/>
  <c r="D24" i="14"/>
  <c r="B24" i="14"/>
  <c r="C24" i="14"/>
  <c r="C24" i="13"/>
  <c r="D24" i="13"/>
  <c r="B24" i="13"/>
  <c r="D25" i="13" l="1"/>
  <c r="C25" i="13"/>
  <c r="D26" i="13"/>
  <c r="E25" i="14"/>
  <c r="H25" i="14"/>
  <c r="F25" i="14"/>
  <c r="G25" i="14"/>
  <c r="E25" i="13"/>
  <c r="F25" i="13"/>
  <c r="G25" i="13"/>
  <c r="H25" i="13"/>
  <c r="B25" i="14"/>
  <c r="C25" i="14"/>
  <c r="D25" i="14"/>
  <c r="B26" i="13" l="1"/>
  <c r="G26" i="14"/>
  <c r="E26" i="14"/>
  <c r="F26" i="14"/>
  <c r="H26" i="14"/>
  <c r="C26" i="13"/>
  <c r="E26" i="13"/>
  <c r="F26" i="13"/>
  <c r="G26" i="13"/>
  <c r="H26" i="13"/>
  <c r="C27" i="13"/>
  <c r="B26" i="14"/>
  <c r="C26" i="14"/>
  <c r="D26" i="14"/>
  <c r="E27" i="14" l="1"/>
  <c r="H27" i="14"/>
  <c r="F27" i="14"/>
  <c r="G27" i="14"/>
  <c r="D27" i="13"/>
  <c r="B27" i="13"/>
  <c r="E27" i="13"/>
  <c r="F27" i="13"/>
  <c r="G27" i="13"/>
  <c r="H27" i="13"/>
  <c r="D28" i="13"/>
  <c r="C27" i="14"/>
  <c r="D27" i="14"/>
  <c r="B27" i="14"/>
  <c r="D29" i="13" l="1"/>
  <c r="B28" i="13"/>
  <c r="C28" i="13"/>
  <c r="G28" i="14"/>
  <c r="E28" i="14"/>
  <c r="F28" i="14"/>
  <c r="H28" i="14"/>
  <c r="E28" i="13"/>
  <c r="F28" i="13"/>
  <c r="G28" i="13"/>
  <c r="H28" i="13"/>
  <c r="D28" i="14"/>
  <c r="B28" i="14"/>
  <c r="C28" i="14"/>
  <c r="B29" i="13" l="1"/>
  <c r="E29" i="14"/>
  <c r="H29" i="14"/>
  <c r="F29" i="14"/>
  <c r="G29" i="14"/>
  <c r="C29" i="13"/>
  <c r="C30" i="13"/>
  <c r="E29" i="13"/>
  <c r="F29" i="13"/>
  <c r="G29" i="13"/>
  <c r="H29" i="13"/>
  <c r="B29" i="14"/>
  <c r="C29" i="14"/>
  <c r="D29" i="14"/>
  <c r="G30" i="14" l="1"/>
  <c r="F30" i="14"/>
  <c r="H30" i="14"/>
  <c r="E30" i="14"/>
  <c r="E30" i="13"/>
  <c r="F30" i="13"/>
  <c r="G30" i="13"/>
  <c r="H30" i="13"/>
  <c r="B30" i="13"/>
  <c r="D30" i="13"/>
  <c r="B30" i="14"/>
  <c r="C30" i="14"/>
  <c r="D30" i="14"/>
  <c r="E32" i="13" l="1"/>
  <c r="F32" i="13"/>
  <c r="G32" i="13"/>
  <c r="H32" i="13"/>
  <c r="E31" i="14"/>
  <c r="H31" i="14"/>
  <c r="F31" i="14"/>
  <c r="G31" i="14"/>
  <c r="B31" i="13"/>
  <c r="D31" i="13"/>
  <c r="C31" i="13"/>
  <c r="E31" i="13"/>
  <c r="F31" i="13"/>
  <c r="G31" i="13"/>
  <c r="H31" i="13"/>
  <c r="C31" i="14"/>
  <c r="D31" i="14"/>
  <c r="B31" i="14"/>
  <c r="C32" i="13"/>
  <c r="D32" i="13"/>
  <c r="B32" i="13"/>
  <c r="E33" i="13" l="1"/>
  <c r="F33" i="13"/>
  <c r="G33" i="13"/>
  <c r="H33" i="13"/>
  <c r="G32" i="14"/>
  <c r="E32" i="14"/>
  <c r="F32" i="14"/>
  <c r="H32" i="14"/>
  <c r="D32" i="14"/>
  <c r="B32" i="14"/>
  <c r="C32" i="14"/>
  <c r="B33" i="13"/>
  <c r="C33" i="13"/>
  <c r="D33" i="13"/>
  <c r="E34" i="13" l="1"/>
  <c r="F34" i="13"/>
  <c r="G34" i="13"/>
  <c r="H34" i="13"/>
  <c r="E33" i="14"/>
  <c r="H33" i="14"/>
  <c r="G33" i="14"/>
  <c r="F33" i="14"/>
  <c r="B33" i="14"/>
  <c r="C33" i="14"/>
  <c r="D33" i="14"/>
  <c r="C34" i="13"/>
  <c r="D34" i="13"/>
  <c r="B34" i="13"/>
  <c r="E35" i="13" l="1"/>
  <c r="F35" i="13"/>
  <c r="G35" i="13"/>
  <c r="H35" i="13"/>
  <c r="G34" i="14"/>
  <c r="E34" i="14"/>
  <c r="F34" i="14"/>
  <c r="H34" i="14"/>
  <c r="B34" i="14"/>
  <c r="C34" i="14"/>
  <c r="D34" i="14"/>
  <c r="B35" i="13"/>
  <c r="C35" i="13"/>
  <c r="D35" i="13"/>
  <c r="E36" i="13" l="1"/>
  <c r="F36" i="13"/>
  <c r="G36" i="13"/>
  <c r="H36" i="13"/>
  <c r="E35" i="14"/>
  <c r="H35" i="14"/>
  <c r="F35" i="14"/>
  <c r="G35" i="14"/>
  <c r="C35" i="14"/>
  <c r="D35" i="14"/>
  <c r="B35" i="14"/>
  <c r="D36" i="13"/>
  <c r="C36" i="13"/>
  <c r="B36" i="13"/>
  <c r="B38" i="13" l="1"/>
  <c r="E37" i="13"/>
  <c r="F37" i="13"/>
  <c r="G37" i="13"/>
  <c r="H37" i="13"/>
  <c r="G36" i="14"/>
  <c r="H36" i="14"/>
  <c r="E36" i="14"/>
  <c r="F36" i="14"/>
  <c r="D36" i="14"/>
  <c r="B36" i="14"/>
  <c r="C36" i="14"/>
  <c r="C37" i="13"/>
  <c r="B37" i="13"/>
  <c r="D37" i="13"/>
  <c r="D38" i="13" l="1"/>
  <c r="C38" i="13"/>
  <c r="B39" i="13"/>
  <c r="E37" i="14"/>
  <c r="H37" i="14"/>
  <c r="F37" i="14"/>
  <c r="G37" i="14"/>
  <c r="E38" i="13"/>
  <c r="F38" i="13"/>
  <c r="G38" i="13"/>
  <c r="H38" i="13"/>
  <c r="B37" i="14"/>
  <c r="C37" i="14"/>
  <c r="D37" i="14"/>
  <c r="G38" i="14" l="1"/>
  <c r="E38" i="14"/>
  <c r="F38" i="14"/>
  <c r="H38" i="14"/>
  <c r="C39" i="13"/>
  <c r="D39" i="13"/>
  <c r="E39" i="13"/>
  <c r="F39" i="13"/>
  <c r="G39" i="13"/>
  <c r="H39" i="13"/>
  <c r="B40" i="13"/>
  <c r="B38" i="14"/>
  <c r="C38" i="14"/>
  <c r="D38" i="14"/>
  <c r="D40" i="13" l="1"/>
  <c r="C40" i="13"/>
  <c r="E39" i="14"/>
  <c r="H39" i="14"/>
  <c r="F39" i="14"/>
  <c r="G39" i="14"/>
  <c r="E40" i="13"/>
  <c r="F40" i="13"/>
  <c r="G40" i="13"/>
  <c r="H40" i="13"/>
  <c r="C39" i="14"/>
  <c r="D39" i="14"/>
  <c r="B39" i="14"/>
  <c r="E42" i="13" l="1"/>
  <c r="F42" i="13"/>
  <c r="G42" i="13"/>
  <c r="H42" i="13"/>
  <c r="G40" i="14"/>
  <c r="E40" i="14"/>
  <c r="F40" i="14"/>
  <c r="H40" i="14"/>
  <c r="D41" i="13"/>
  <c r="E41" i="13"/>
  <c r="F41" i="13"/>
  <c r="G41" i="13"/>
  <c r="H41" i="13"/>
  <c r="B41" i="13"/>
  <c r="C41" i="13"/>
  <c r="D40" i="14"/>
  <c r="B40" i="14"/>
  <c r="C40" i="14"/>
  <c r="C42" i="13"/>
  <c r="B42" i="13"/>
  <c r="D42" i="13"/>
  <c r="E41" i="14" l="1"/>
  <c r="H41" i="14"/>
  <c r="F41" i="14"/>
  <c r="G41" i="14"/>
  <c r="E43" i="13"/>
  <c r="F43" i="13"/>
  <c r="G43" i="13"/>
  <c r="H43" i="13"/>
  <c r="B41" i="14"/>
  <c r="C41" i="14"/>
  <c r="D41" i="14"/>
  <c r="D43" i="13"/>
  <c r="C43" i="13"/>
  <c r="B43" i="13"/>
  <c r="E44" i="13" l="1"/>
  <c r="F44" i="13"/>
  <c r="G44" i="13"/>
  <c r="H44" i="13"/>
  <c r="G42" i="14"/>
  <c r="E42" i="14"/>
  <c r="F42" i="14"/>
  <c r="H42" i="14"/>
  <c r="C42" i="14"/>
  <c r="B42" i="14"/>
  <c r="D42" i="14"/>
  <c r="B44" i="13"/>
  <c r="C44" i="13"/>
  <c r="D44" i="13"/>
  <c r="C45" i="13" l="1"/>
  <c r="E45" i="13"/>
  <c r="F45" i="13"/>
  <c r="G45" i="13"/>
  <c r="H45" i="13"/>
  <c r="E43" i="14"/>
  <c r="H43" i="14"/>
  <c r="F43" i="14"/>
  <c r="G43" i="14"/>
  <c r="B45" i="13"/>
  <c r="D43" i="14"/>
  <c r="C43" i="14"/>
  <c r="B43" i="14"/>
  <c r="D45" i="13"/>
  <c r="E46" i="13" l="1"/>
  <c r="F46" i="13"/>
  <c r="G46" i="13"/>
  <c r="H46" i="13"/>
  <c r="G44" i="14"/>
  <c r="E44" i="14"/>
  <c r="F44" i="14"/>
  <c r="H44" i="14"/>
  <c r="B44" i="14"/>
  <c r="C44" i="14"/>
  <c r="D44" i="14"/>
  <c r="C46" i="13"/>
  <c r="D46" i="13"/>
  <c r="B46" i="13"/>
  <c r="D47" i="13" l="1"/>
  <c r="E47" i="13"/>
  <c r="F47" i="13"/>
  <c r="G47" i="13"/>
  <c r="H47" i="13"/>
  <c r="E45" i="14"/>
  <c r="H45" i="14"/>
  <c r="F45" i="14"/>
  <c r="G45" i="14"/>
  <c r="B45" i="14"/>
  <c r="C45" i="14"/>
  <c r="D45" i="14"/>
  <c r="B47" i="13"/>
  <c r="C47" i="13"/>
  <c r="E48" i="13" l="1"/>
  <c r="F48" i="13"/>
  <c r="G48" i="13"/>
  <c r="H48" i="13"/>
  <c r="G46" i="14"/>
  <c r="F46" i="14"/>
  <c r="H46" i="14"/>
  <c r="E46" i="14"/>
  <c r="C48" i="13"/>
  <c r="D48" i="13"/>
  <c r="C46" i="14"/>
  <c r="D46" i="14"/>
  <c r="B46" i="14"/>
  <c r="B48" i="13"/>
  <c r="E49" i="13" l="1"/>
  <c r="F49" i="13"/>
  <c r="G49" i="13"/>
  <c r="H49" i="13"/>
  <c r="E47" i="14"/>
  <c r="H47" i="14"/>
  <c r="F47" i="14"/>
  <c r="G47" i="14"/>
  <c r="D47" i="14"/>
  <c r="B47" i="14"/>
  <c r="C47" i="14"/>
  <c r="D49" i="13"/>
  <c r="C49" i="13"/>
  <c r="B49" i="13"/>
  <c r="E50" i="13" l="1"/>
  <c r="F50" i="13"/>
  <c r="G50" i="13"/>
  <c r="H50" i="13"/>
  <c r="G48" i="14"/>
  <c r="E48" i="14"/>
  <c r="F48" i="14"/>
  <c r="H48" i="14"/>
  <c r="C50" i="13"/>
  <c r="B50" i="13"/>
  <c r="B48" i="14"/>
  <c r="C48" i="14"/>
  <c r="D48" i="14"/>
  <c r="D50" i="13"/>
  <c r="C51" i="13" l="1"/>
  <c r="E51" i="13"/>
  <c r="F51" i="13"/>
  <c r="G51" i="13"/>
  <c r="H51" i="13"/>
  <c r="E49" i="14"/>
  <c r="H49" i="14"/>
  <c r="G49" i="14"/>
  <c r="F49" i="14"/>
  <c r="B49" i="14"/>
  <c r="D49" i="14"/>
  <c r="C49" i="14"/>
  <c r="D51" i="13"/>
  <c r="B51" i="13"/>
  <c r="E52" i="13" l="1"/>
  <c r="F52" i="13"/>
  <c r="G52" i="13"/>
  <c r="H52" i="13"/>
  <c r="G50" i="14"/>
  <c r="E50" i="14"/>
  <c r="F50" i="14"/>
  <c r="H50" i="14"/>
  <c r="C52" i="13"/>
  <c r="B52" i="13"/>
  <c r="D52" i="13"/>
  <c r="C50" i="14"/>
  <c r="B50" i="14"/>
  <c r="D50" i="14"/>
  <c r="E51" i="14" l="1"/>
  <c r="H51" i="14"/>
  <c r="F51" i="14"/>
  <c r="G51" i="14"/>
  <c r="E53" i="13"/>
  <c r="F53" i="13"/>
  <c r="G53" i="13"/>
  <c r="H53" i="13"/>
  <c r="C53" i="13"/>
  <c r="D51" i="14"/>
  <c r="B51" i="14"/>
  <c r="C51" i="14"/>
  <c r="B53" i="13"/>
  <c r="D53" i="13"/>
  <c r="C54" i="13" l="1"/>
  <c r="E54" i="13"/>
  <c r="F54" i="13"/>
  <c r="G54" i="13"/>
  <c r="H54" i="13"/>
  <c r="G52" i="14"/>
  <c r="H52" i="14"/>
  <c r="E52" i="14"/>
  <c r="F52" i="14"/>
  <c r="D52" i="14"/>
  <c r="B52" i="14"/>
  <c r="C52" i="14"/>
  <c r="B54" i="13"/>
  <c r="D54" i="13"/>
  <c r="C55" i="13" l="1"/>
  <c r="E55" i="13"/>
  <c r="F55" i="13"/>
  <c r="G55" i="13"/>
  <c r="H55" i="13"/>
  <c r="E53" i="14"/>
  <c r="H53" i="14"/>
  <c r="F53" i="14"/>
  <c r="G53" i="14"/>
  <c r="B53" i="14"/>
  <c r="C53" i="14"/>
  <c r="D53" i="14"/>
  <c r="B55" i="13"/>
  <c r="D55" i="13"/>
  <c r="C56" i="13" l="1"/>
  <c r="E56" i="13"/>
  <c r="F56" i="13"/>
  <c r="G56" i="13"/>
  <c r="H56" i="13"/>
  <c r="G54" i="14"/>
  <c r="E54" i="14"/>
  <c r="F54" i="14"/>
  <c r="H54" i="14"/>
  <c r="D56" i="13"/>
  <c r="C54" i="14"/>
  <c r="B54" i="14"/>
  <c r="D54" i="14"/>
  <c r="B56" i="13"/>
  <c r="C57" i="13" l="1"/>
  <c r="E57" i="13"/>
  <c r="F57" i="13"/>
  <c r="G57" i="13"/>
  <c r="H57" i="13"/>
  <c r="E55" i="14"/>
  <c r="H55" i="14"/>
  <c r="F55" i="14"/>
  <c r="G55" i="14"/>
  <c r="D57" i="13"/>
  <c r="C55" i="14"/>
  <c r="D55" i="14"/>
  <c r="B55" i="14"/>
  <c r="B57" i="13"/>
  <c r="C58" i="13" l="1"/>
  <c r="E58" i="13"/>
  <c r="F58" i="13"/>
  <c r="G58" i="13"/>
  <c r="H58" i="13"/>
  <c r="G56" i="14"/>
  <c r="E56" i="14"/>
  <c r="F56" i="14"/>
  <c r="H56" i="14"/>
  <c r="D58" i="13"/>
  <c r="D56" i="14"/>
  <c r="B56" i="14"/>
  <c r="C56" i="14"/>
  <c r="B58" i="13"/>
  <c r="D59" i="13" l="1"/>
  <c r="E59" i="13"/>
  <c r="F59" i="13"/>
  <c r="G59" i="13"/>
  <c r="H59" i="13"/>
  <c r="E57" i="14"/>
  <c r="H57" i="14"/>
  <c r="F57" i="14"/>
  <c r="G57" i="14"/>
  <c r="C59" i="13"/>
  <c r="B57" i="14"/>
  <c r="C57" i="14"/>
  <c r="D57" i="14"/>
  <c r="B59" i="13"/>
  <c r="E60" i="13" l="1"/>
  <c r="F60" i="13"/>
  <c r="G60" i="13"/>
  <c r="H60" i="13"/>
  <c r="G58" i="14"/>
  <c r="E58" i="14"/>
  <c r="F58" i="14"/>
  <c r="H58" i="14"/>
  <c r="B58" i="14"/>
  <c r="C58" i="14"/>
  <c r="D58" i="14"/>
  <c r="B60" i="13"/>
  <c r="C60" i="13"/>
  <c r="D60" i="13"/>
  <c r="C61" i="13" l="1"/>
  <c r="E61" i="13"/>
  <c r="F61" i="13"/>
  <c r="G61" i="13"/>
  <c r="H61" i="13"/>
  <c r="E59" i="14"/>
  <c r="H59" i="14"/>
  <c r="F59" i="14"/>
  <c r="G59" i="14"/>
  <c r="C59" i="14"/>
  <c r="D59" i="14"/>
  <c r="B59" i="14"/>
  <c r="B61" i="13"/>
  <c r="D61" i="13"/>
  <c r="C62" i="13" l="1"/>
  <c r="E62" i="13"/>
  <c r="F62" i="13"/>
  <c r="G62" i="13"/>
  <c r="H62" i="13"/>
  <c r="G60" i="14"/>
  <c r="E60" i="14"/>
  <c r="F60" i="14"/>
  <c r="H60" i="14"/>
  <c r="D60" i="14"/>
  <c r="B60" i="14"/>
  <c r="C60" i="14"/>
  <c r="B62" i="13"/>
  <c r="D62" i="13"/>
  <c r="E61" i="14" l="1"/>
  <c r="H61" i="14"/>
  <c r="F61" i="14"/>
  <c r="G61" i="14"/>
  <c r="C63" i="13"/>
  <c r="E63" i="13"/>
  <c r="F63" i="13"/>
  <c r="G63" i="13"/>
  <c r="H63" i="13"/>
  <c r="B63" i="13"/>
  <c r="B61" i="14"/>
  <c r="C61" i="14"/>
  <c r="D61" i="14"/>
  <c r="D63" i="13"/>
  <c r="E64" i="13" l="1"/>
  <c r="F64" i="13"/>
  <c r="G64" i="13"/>
  <c r="H64" i="13"/>
  <c r="G62" i="14"/>
  <c r="F62" i="14"/>
  <c r="H62" i="14"/>
  <c r="E62" i="14"/>
  <c r="B62" i="14"/>
  <c r="C62" i="14"/>
  <c r="D62" i="14"/>
  <c r="B64" i="13"/>
  <c r="C64" i="13"/>
  <c r="D64" i="13"/>
  <c r="E65" i="13" l="1"/>
  <c r="F65" i="13"/>
  <c r="G65" i="13"/>
  <c r="H65" i="13"/>
  <c r="E63" i="14"/>
  <c r="H63" i="14"/>
  <c r="F63" i="14"/>
  <c r="G63" i="14"/>
  <c r="B65" i="13"/>
  <c r="D65" i="13"/>
  <c r="C63" i="14"/>
  <c r="D63" i="14"/>
  <c r="B63" i="14"/>
  <c r="C65" i="13"/>
  <c r="C66" i="13" l="1"/>
  <c r="E66" i="13"/>
  <c r="F66" i="13"/>
  <c r="G66" i="13"/>
  <c r="H66" i="13"/>
  <c r="G64" i="14"/>
  <c r="E64" i="14"/>
  <c r="F64" i="14"/>
  <c r="H64" i="14"/>
  <c r="D64" i="14"/>
  <c r="B64" i="14"/>
  <c r="C64" i="14"/>
  <c r="B66" i="13"/>
  <c r="D66" i="13"/>
  <c r="C67" i="13" l="1"/>
  <c r="E67" i="13"/>
  <c r="F67" i="13"/>
  <c r="G67" i="13"/>
  <c r="H67" i="13"/>
  <c r="E65" i="14"/>
  <c r="H65" i="14"/>
  <c r="G65" i="14"/>
  <c r="F65" i="14"/>
  <c r="B67" i="13"/>
  <c r="B65" i="14"/>
  <c r="C65" i="14"/>
  <c r="D65" i="14"/>
  <c r="D67" i="13"/>
  <c r="C68" i="13" l="1"/>
  <c r="E68" i="13"/>
  <c r="F68" i="13"/>
  <c r="G68" i="13"/>
  <c r="H68" i="13"/>
  <c r="G66" i="14"/>
  <c r="E66" i="14"/>
  <c r="F66" i="14"/>
  <c r="H66" i="14"/>
  <c r="B66" i="14"/>
  <c r="C66" i="14"/>
  <c r="D66" i="14"/>
  <c r="B68" i="13"/>
  <c r="D68" i="13"/>
  <c r="E69" i="13" l="1"/>
  <c r="F69" i="13"/>
  <c r="G69" i="13"/>
  <c r="H69" i="13"/>
  <c r="E67" i="14"/>
  <c r="H67" i="14"/>
  <c r="F67" i="14"/>
  <c r="G67" i="14"/>
  <c r="B69" i="13"/>
  <c r="C67" i="14"/>
  <c r="D67" i="14"/>
  <c r="B67" i="14"/>
  <c r="C69" i="13"/>
  <c r="D69" i="13"/>
  <c r="C70" i="13" l="1"/>
  <c r="E70" i="13"/>
  <c r="F70" i="13"/>
  <c r="G70" i="13"/>
  <c r="H70" i="13"/>
  <c r="G68" i="14"/>
  <c r="H68" i="14"/>
  <c r="E68" i="14"/>
  <c r="F68" i="14"/>
  <c r="D68" i="14"/>
  <c r="B68" i="14"/>
  <c r="C68" i="14"/>
  <c r="B70" i="13"/>
  <c r="D70" i="13"/>
  <c r="D71" i="13" l="1"/>
  <c r="E71" i="13"/>
  <c r="F71" i="13"/>
  <c r="G71" i="13"/>
  <c r="H71" i="13"/>
  <c r="E69" i="14"/>
  <c r="H69" i="14"/>
  <c r="F69" i="14"/>
  <c r="G69" i="14"/>
  <c r="B71" i="13"/>
  <c r="B69" i="14"/>
  <c r="C69" i="14"/>
  <c r="D69" i="14"/>
  <c r="C71" i="13"/>
  <c r="C72" i="13" l="1"/>
  <c r="E72" i="13"/>
  <c r="F72" i="13"/>
  <c r="G72" i="13"/>
  <c r="H72" i="13"/>
  <c r="G70" i="14"/>
  <c r="E70" i="14"/>
  <c r="F70" i="14"/>
  <c r="H70" i="14"/>
  <c r="B70" i="14"/>
  <c r="C70" i="14"/>
  <c r="D70" i="14"/>
  <c r="D72" i="13"/>
  <c r="B72" i="13"/>
  <c r="C73" i="13" l="1"/>
  <c r="E73" i="13"/>
  <c r="F73" i="13"/>
  <c r="G73" i="13"/>
  <c r="H73" i="13"/>
  <c r="E71" i="14"/>
  <c r="H71" i="14"/>
  <c r="F71" i="14"/>
  <c r="G71" i="14"/>
  <c r="B73" i="13"/>
  <c r="D73" i="13"/>
  <c r="C71" i="14"/>
  <c r="D71" i="14"/>
  <c r="B71" i="14"/>
  <c r="C74" i="13" l="1"/>
  <c r="E74" i="13"/>
  <c r="F74" i="13"/>
  <c r="G74" i="13"/>
  <c r="H74" i="13"/>
  <c r="G72" i="14"/>
  <c r="E72" i="14"/>
  <c r="F72" i="14"/>
  <c r="H72" i="14"/>
  <c r="D72" i="14"/>
  <c r="B72" i="14"/>
  <c r="C72" i="14"/>
  <c r="D74" i="13"/>
  <c r="B74" i="13"/>
  <c r="D75" i="13" l="1"/>
  <c r="E75" i="13"/>
  <c r="F75" i="13"/>
  <c r="G75" i="13"/>
  <c r="H75" i="13"/>
  <c r="E73" i="14"/>
  <c r="H73" i="14"/>
  <c r="F73" i="14"/>
  <c r="G73" i="14"/>
  <c r="B75" i="13"/>
  <c r="B73" i="14"/>
  <c r="C73" i="14"/>
  <c r="D73" i="14"/>
  <c r="C75" i="13"/>
  <c r="E76" i="13" l="1"/>
  <c r="F76" i="13"/>
  <c r="G76" i="13"/>
  <c r="H76" i="13"/>
  <c r="G74" i="14"/>
  <c r="E74" i="14"/>
  <c r="F74" i="14"/>
  <c r="H74" i="14"/>
  <c r="B74" i="14"/>
  <c r="C74" i="14"/>
  <c r="D74" i="14"/>
  <c r="C76" i="13"/>
  <c r="B76" i="13"/>
  <c r="D76" i="13"/>
  <c r="C77" i="13" l="1"/>
  <c r="E77" i="13"/>
  <c r="F77" i="13"/>
  <c r="G77" i="13"/>
  <c r="H77" i="13"/>
  <c r="E75" i="14"/>
  <c r="H75" i="14"/>
  <c r="F75" i="14"/>
  <c r="G75" i="14"/>
  <c r="B77" i="13"/>
  <c r="C75" i="14"/>
  <c r="D75" i="14"/>
  <c r="B75" i="14"/>
  <c r="D77" i="13"/>
  <c r="C78" i="13" l="1"/>
  <c r="E78" i="13"/>
  <c r="F78" i="13"/>
  <c r="G78" i="13"/>
  <c r="H78" i="13"/>
  <c r="B78" i="13"/>
  <c r="D78" i="13"/>
  <c r="C79" i="13" l="1"/>
  <c r="E79" i="13"/>
  <c r="F79" i="13"/>
  <c r="G79" i="13"/>
  <c r="H79" i="13"/>
  <c r="B79" i="13"/>
  <c r="D79" i="13"/>
  <c r="E80" i="13" l="1"/>
  <c r="G80" i="13"/>
  <c r="F80" i="13"/>
  <c r="H80" i="13"/>
  <c r="B80" i="13"/>
  <c r="D80" i="13"/>
  <c r="C80" i="13"/>
  <c r="E81" i="13" l="1"/>
  <c r="F81" i="13"/>
  <c r="G81" i="13"/>
  <c r="H81" i="13"/>
  <c r="E79" i="14"/>
  <c r="H79" i="14"/>
  <c r="F79" i="14"/>
  <c r="G79" i="14"/>
  <c r="D79" i="14"/>
  <c r="C79" i="14"/>
  <c r="B81" i="13"/>
  <c r="C81" i="13"/>
  <c r="D81" i="13"/>
  <c r="E82" i="13" l="1"/>
  <c r="G82" i="13"/>
  <c r="F82" i="13"/>
  <c r="H82" i="13"/>
  <c r="G80" i="14"/>
  <c r="E80" i="14"/>
  <c r="F80" i="14"/>
  <c r="H80" i="14"/>
  <c r="C80" i="14"/>
  <c r="D80" i="14"/>
  <c r="C82" i="13"/>
  <c r="B82" i="13"/>
  <c r="D82" i="13"/>
  <c r="E83" i="13" l="1"/>
  <c r="F83" i="13"/>
  <c r="G83" i="13"/>
  <c r="H83" i="13"/>
  <c r="E81" i="14"/>
  <c r="H81" i="14"/>
  <c r="G81" i="14"/>
  <c r="F81" i="14"/>
  <c r="C81" i="14"/>
  <c r="D81" i="14"/>
  <c r="D83" i="13"/>
  <c r="C83" i="13"/>
  <c r="B83" i="13"/>
  <c r="G82" i="14" l="1"/>
  <c r="E82" i="14"/>
  <c r="F82" i="14"/>
  <c r="H82" i="14"/>
  <c r="E84" i="13"/>
  <c r="G84" i="13"/>
  <c r="F84" i="13"/>
  <c r="H84" i="13"/>
  <c r="C82" i="14"/>
  <c r="D82" i="14"/>
  <c r="D84" i="13"/>
  <c r="C84" i="13"/>
  <c r="B84" i="13"/>
  <c r="E85" i="13" l="1"/>
  <c r="F85" i="13"/>
  <c r="G85" i="13"/>
  <c r="H85" i="13"/>
  <c r="E83" i="14"/>
  <c r="H83" i="14"/>
  <c r="F83" i="14"/>
  <c r="G83" i="14"/>
  <c r="D83" i="14"/>
  <c r="B83" i="14"/>
  <c r="C83" i="14"/>
  <c r="D85" i="13"/>
  <c r="B85" i="13"/>
  <c r="C85" i="13"/>
  <c r="E86" i="13" l="1"/>
  <c r="G86" i="13"/>
  <c r="H86" i="13"/>
  <c r="F86" i="13"/>
  <c r="G84" i="14"/>
  <c r="H84" i="14"/>
  <c r="E84" i="14"/>
  <c r="F84" i="14"/>
  <c r="B84" i="14"/>
  <c r="C84" i="14"/>
  <c r="D84" i="14"/>
  <c r="D86" i="13"/>
  <c r="C86" i="13"/>
  <c r="B86" i="13"/>
  <c r="E87" i="13" l="1"/>
  <c r="F87" i="13"/>
  <c r="G87" i="13"/>
  <c r="H87" i="13"/>
  <c r="E85" i="14"/>
  <c r="H85" i="14"/>
  <c r="F85" i="14"/>
  <c r="G85" i="14"/>
  <c r="B85" i="14"/>
  <c r="D85" i="14"/>
  <c r="C85" i="14"/>
  <c r="C87" i="13"/>
  <c r="D87" i="13"/>
  <c r="B87" i="13"/>
  <c r="E88" i="13" l="1"/>
  <c r="G88" i="13"/>
  <c r="F88" i="13"/>
  <c r="H88" i="13"/>
  <c r="G86" i="14"/>
  <c r="E86" i="14"/>
  <c r="F86" i="14"/>
  <c r="H86" i="14"/>
  <c r="C86" i="14"/>
  <c r="B86" i="14"/>
  <c r="D86" i="14"/>
  <c r="C88" i="13"/>
  <c r="B88" i="13"/>
  <c r="D88" i="13"/>
  <c r="D89" i="13" l="1"/>
  <c r="E89" i="13"/>
  <c r="F89" i="13"/>
  <c r="G89" i="13"/>
  <c r="H89" i="13"/>
  <c r="E87" i="14"/>
  <c r="H87" i="14"/>
  <c r="F87" i="14"/>
  <c r="G87" i="14"/>
  <c r="D87" i="14"/>
  <c r="B87" i="14"/>
  <c r="C87" i="14"/>
  <c r="C89" i="13"/>
  <c r="B89" i="13"/>
  <c r="H90" i="13" l="1"/>
  <c r="E90" i="13"/>
  <c r="F90" i="13"/>
  <c r="G90" i="13"/>
  <c r="G88" i="14"/>
  <c r="E88" i="14"/>
  <c r="F88" i="14"/>
  <c r="H88" i="14"/>
  <c r="D88" i="14"/>
  <c r="B88" i="14"/>
  <c r="C88" i="14"/>
  <c r="C90" i="13"/>
  <c r="B90" i="13"/>
  <c r="D90" i="13"/>
  <c r="C91" i="13" l="1"/>
  <c r="E91" i="13"/>
  <c r="F91" i="13"/>
  <c r="G91" i="13"/>
  <c r="H91" i="13"/>
  <c r="E89" i="14"/>
  <c r="H89" i="14"/>
  <c r="F89" i="14"/>
  <c r="G89" i="14"/>
  <c r="B89" i="14"/>
  <c r="C89" i="14"/>
  <c r="D89" i="14"/>
  <c r="D91" i="13"/>
  <c r="B91" i="13"/>
  <c r="C92" i="13" l="1"/>
  <c r="E92" i="13"/>
  <c r="F92" i="13"/>
  <c r="G92" i="13"/>
  <c r="H92" i="13"/>
  <c r="G90" i="14"/>
  <c r="E90" i="14"/>
  <c r="F90" i="14"/>
  <c r="H90" i="14"/>
  <c r="C90" i="14"/>
  <c r="B90" i="14"/>
  <c r="D90" i="14"/>
  <c r="B92" i="13"/>
  <c r="D92" i="13"/>
  <c r="E93" i="13" l="1"/>
  <c r="F93" i="13"/>
  <c r="G93" i="13"/>
  <c r="H93" i="13"/>
  <c r="E91" i="14"/>
  <c r="H91" i="14"/>
  <c r="F91" i="14"/>
  <c r="G91" i="14"/>
  <c r="D91" i="14"/>
  <c r="B91" i="14"/>
  <c r="C91" i="14"/>
  <c r="D93" i="13"/>
  <c r="C93" i="13"/>
  <c r="B93" i="13"/>
  <c r="F94" i="13" l="1"/>
  <c r="G94" i="13"/>
  <c r="H94" i="13"/>
  <c r="E94" i="13"/>
  <c r="G92" i="14"/>
  <c r="E92" i="14"/>
  <c r="F92" i="14"/>
  <c r="H92" i="14"/>
  <c r="C92" i="14"/>
  <c r="D92" i="14"/>
  <c r="B92" i="14"/>
  <c r="D94" i="13"/>
  <c r="C94" i="13"/>
  <c r="B94" i="13"/>
  <c r="D95" i="13" l="1"/>
  <c r="E95" i="13"/>
  <c r="F95" i="13"/>
  <c r="G95" i="13"/>
  <c r="H95" i="13"/>
  <c r="E93" i="14"/>
  <c r="H93" i="14"/>
  <c r="F93" i="14"/>
  <c r="G93" i="14"/>
  <c r="B93" i="14"/>
  <c r="C93" i="14"/>
  <c r="D93" i="14"/>
  <c r="C95" i="13"/>
  <c r="B95" i="13"/>
  <c r="H96" i="13" l="1"/>
  <c r="E96" i="13"/>
  <c r="F96" i="13"/>
  <c r="G96" i="13"/>
  <c r="G94" i="14"/>
  <c r="F94" i="14"/>
  <c r="H94" i="14"/>
  <c r="E94" i="14"/>
  <c r="C94" i="14"/>
  <c r="B94" i="14"/>
  <c r="D94" i="14"/>
  <c r="D96" i="13"/>
  <c r="B96" i="13"/>
  <c r="C96" i="13"/>
  <c r="C97" i="13" l="1"/>
  <c r="E97" i="13"/>
  <c r="F97" i="13"/>
  <c r="G97" i="13"/>
  <c r="H97" i="13"/>
  <c r="E95" i="14"/>
  <c r="H95" i="14"/>
  <c r="F95" i="14"/>
  <c r="G95" i="14"/>
  <c r="D95" i="14"/>
  <c r="C95" i="14"/>
  <c r="B95" i="14"/>
  <c r="D97" i="13"/>
  <c r="B97" i="13"/>
  <c r="G96" i="14" l="1"/>
  <c r="E96" i="14"/>
  <c r="F96" i="14"/>
  <c r="H96" i="14"/>
  <c r="E98" i="13"/>
  <c r="F98" i="13"/>
  <c r="G98" i="13"/>
  <c r="H98" i="13"/>
  <c r="C96" i="14"/>
  <c r="D96" i="14"/>
  <c r="B96" i="14"/>
  <c r="D98" i="13"/>
  <c r="C98" i="13"/>
  <c r="B98" i="13"/>
  <c r="D99" i="13" l="1"/>
  <c r="E99" i="13"/>
  <c r="F99" i="13"/>
  <c r="G99" i="13"/>
  <c r="H99" i="13"/>
  <c r="E97" i="14"/>
  <c r="H97" i="14"/>
  <c r="G97" i="14"/>
  <c r="F97" i="14"/>
  <c r="B97" i="14"/>
  <c r="D97" i="14"/>
  <c r="C97" i="14"/>
  <c r="C99" i="13"/>
  <c r="B99" i="13"/>
  <c r="G98" i="14" l="1"/>
  <c r="E98" i="14"/>
  <c r="F98" i="14"/>
  <c r="H98" i="14"/>
  <c r="G100" i="13"/>
  <c r="H100" i="13"/>
  <c r="E100" i="13"/>
  <c r="F100" i="13"/>
  <c r="C98" i="14"/>
  <c r="D98" i="14"/>
  <c r="B98" i="14"/>
  <c r="D100" i="13"/>
  <c r="C100" i="13"/>
  <c r="B100" i="13"/>
  <c r="E101" i="13" l="1"/>
  <c r="F101" i="13"/>
  <c r="G101" i="13"/>
  <c r="H101" i="13"/>
  <c r="E99" i="14"/>
  <c r="H99" i="14"/>
  <c r="F99" i="14"/>
  <c r="G99" i="14"/>
  <c r="D99" i="14"/>
  <c r="C99" i="14"/>
  <c r="B99" i="14"/>
  <c r="C101" i="13"/>
  <c r="D101" i="13"/>
  <c r="B101" i="13"/>
  <c r="E102" i="13" l="1"/>
  <c r="F102" i="13"/>
  <c r="H102" i="13"/>
  <c r="G102" i="13"/>
  <c r="G100" i="14"/>
  <c r="H100" i="14"/>
  <c r="E100" i="14"/>
  <c r="F100" i="14"/>
  <c r="B100" i="14"/>
  <c r="D100" i="14"/>
  <c r="C100" i="14"/>
  <c r="C102" i="13"/>
  <c r="B102" i="13"/>
  <c r="D102" i="13"/>
  <c r="E103" i="13" l="1"/>
  <c r="G103" i="13"/>
  <c r="H103" i="13"/>
  <c r="F103" i="13"/>
  <c r="E101" i="14"/>
  <c r="H101" i="14"/>
  <c r="F101" i="14"/>
  <c r="G101" i="14"/>
  <c r="B101" i="14"/>
  <c r="D101" i="14"/>
  <c r="C101" i="14"/>
  <c r="B103" i="13"/>
  <c r="D103" i="13"/>
  <c r="C103" i="13"/>
  <c r="D104" i="13" l="1"/>
  <c r="E104" i="13"/>
  <c r="F104" i="13"/>
  <c r="G104" i="13"/>
  <c r="H104" i="13"/>
  <c r="G102" i="14"/>
  <c r="E102" i="14"/>
  <c r="F102" i="14"/>
  <c r="H102" i="14"/>
  <c r="C102" i="14"/>
  <c r="D102" i="14"/>
  <c r="B102" i="14"/>
  <c r="C104" i="13"/>
  <c r="B104" i="13"/>
  <c r="G105" i="13" l="1"/>
  <c r="H105" i="13"/>
  <c r="E105" i="13"/>
  <c r="F105" i="13"/>
  <c r="E103" i="14"/>
  <c r="H103" i="14"/>
  <c r="F103" i="14"/>
  <c r="G103" i="14"/>
  <c r="D103" i="14"/>
  <c r="B103" i="14"/>
  <c r="C103" i="14"/>
  <c r="D105" i="13"/>
  <c r="C105" i="13"/>
  <c r="B105" i="13"/>
  <c r="D106" i="13" l="1"/>
  <c r="E106" i="13"/>
  <c r="F106" i="13"/>
  <c r="G106" i="13"/>
  <c r="H106" i="13"/>
  <c r="G104" i="14"/>
  <c r="E104" i="14"/>
  <c r="F104" i="14"/>
  <c r="H104" i="14"/>
  <c r="D104" i="14"/>
  <c r="B104" i="14"/>
  <c r="C104" i="14"/>
  <c r="C106" i="13"/>
  <c r="B106" i="13"/>
  <c r="E105" i="14" l="1"/>
  <c r="H105" i="14"/>
  <c r="F105" i="14"/>
  <c r="G105" i="14"/>
  <c r="B105" i="14"/>
  <c r="D105" i="14"/>
  <c r="C105" i="14"/>
  <c r="D107" i="13"/>
  <c r="C107" i="13"/>
  <c r="G106" i="14" l="1"/>
  <c r="E106" i="14"/>
  <c r="F106" i="14"/>
  <c r="H106" i="14"/>
  <c r="C106" i="14"/>
  <c r="B106" i="14"/>
  <c r="D106" i="14"/>
  <c r="C108" i="13"/>
  <c r="D108" i="13"/>
  <c r="E107" i="14" l="1"/>
  <c r="H107" i="14"/>
  <c r="F107" i="14"/>
  <c r="G107" i="14"/>
  <c r="D107" i="14"/>
  <c r="B107" i="14"/>
  <c r="C107" i="14"/>
  <c r="C109" i="13"/>
  <c r="D109" i="13"/>
  <c r="E110" i="13" l="1"/>
  <c r="B110" i="13"/>
  <c r="G108" i="14"/>
  <c r="E108" i="14"/>
  <c r="F108" i="14"/>
  <c r="H108" i="14"/>
  <c r="D108" i="14"/>
  <c r="B108" i="14"/>
  <c r="C108" i="14"/>
  <c r="D110" i="13"/>
  <c r="C110" i="13"/>
  <c r="G110" i="13"/>
  <c r="F110" i="13"/>
  <c r="H110" i="13"/>
  <c r="D111" i="13" l="1"/>
  <c r="B111" i="13"/>
  <c r="E109" i="14"/>
  <c r="H109" i="14"/>
  <c r="F109" i="14"/>
  <c r="G109" i="14"/>
  <c r="B109" i="14"/>
  <c r="C109" i="14"/>
  <c r="D109" i="14"/>
  <c r="G111" i="13"/>
  <c r="C111" i="13"/>
  <c r="H111" i="13"/>
  <c r="F111" i="13"/>
  <c r="E111" i="13"/>
  <c r="H112" i="13" l="1"/>
  <c r="B112" i="13"/>
  <c r="G110" i="14"/>
  <c r="F110" i="14"/>
  <c r="H110" i="14"/>
  <c r="E110" i="14"/>
  <c r="C110" i="14"/>
  <c r="B110" i="14"/>
  <c r="D110" i="14"/>
  <c r="F112" i="13"/>
  <c r="E112" i="13"/>
  <c r="D112" i="13"/>
  <c r="C112" i="13"/>
  <c r="G112" i="13"/>
  <c r="D113" i="13" l="1"/>
  <c r="B113" i="13"/>
  <c r="E111" i="14"/>
  <c r="H111" i="14"/>
  <c r="F111" i="14"/>
  <c r="G111" i="14"/>
  <c r="D111" i="14"/>
  <c r="B111" i="14"/>
  <c r="C111" i="14"/>
  <c r="E113" i="13"/>
  <c r="C113" i="13"/>
  <c r="G113" i="13"/>
  <c r="D114" i="13"/>
  <c r="H113" i="13"/>
  <c r="F113" i="13"/>
  <c r="G112" i="14" l="1"/>
  <c r="E112" i="14"/>
  <c r="F112" i="14"/>
  <c r="H112" i="14"/>
  <c r="C112" i="14"/>
  <c r="B112" i="14"/>
  <c r="D112" i="14"/>
  <c r="F114" i="13"/>
  <c r="G114" i="13"/>
  <c r="E114" i="13"/>
  <c r="C114" i="13"/>
  <c r="B114" i="13"/>
  <c r="H114" i="13"/>
  <c r="F115" i="13"/>
  <c r="E113" i="14" l="1"/>
  <c r="H113" i="14"/>
  <c r="G113" i="14"/>
  <c r="F113" i="14"/>
  <c r="B113" i="14"/>
  <c r="C113" i="14"/>
  <c r="D113" i="14"/>
  <c r="E115" i="13"/>
  <c r="C115" i="13"/>
  <c r="B115" i="13"/>
  <c r="H115" i="13"/>
  <c r="D115" i="13"/>
  <c r="H116" i="13"/>
  <c r="G115" i="13"/>
  <c r="G114" i="14" l="1"/>
  <c r="E114" i="14"/>
  <c r="F114" i="14"/>
  <c r="H114" i="14"/>
  <c r="C114" i="14"/>
  <c r="B114" i="14"/>
  <c r="D114" i="14"/>
  <c r="E117" i="13"/>
  <c r="D116" i="13"/>
  <c r="G116" i="13"/>
  <c r="E116" i="13"/>
  <c r="F116" i="13"/>
  <c r="C116" i="13"/>
  <c r="B116" i="13"/>
  <c r="E115" i="14" l="1"/>
  <c r="H115" i="14"/>
  <c r="F115" i="14"/>
  <c r="G115" i="14"/>
  <c r="D115" i="14"/>
  <c r="C115" i="14"/>
  <c r="B115" i="14"/>
  <c r="F117" i="13"/>
  <c r="H117" i="13"/>
  <c r="G117" i="13"/>
  <c r="D117" i="13"/>
  <c r="B117" i="13"/>
  <c r="C117" i="13"/>
  <c r="G118" i="13"/>
  <c r="G116" i="14" l="1"/>
  <c r="H116" i="14"/>
  <c r="E116" i="14"/>
  <c r="F116" i="14"/>
  <c r="B116" i="14"/>
  <c r="C116" i="14"/>
  <c r="D116" i="14"/>
  <c r="E118" i="13"/>
  <c r="F118" i="13"/>
  <c r="C118" i="13"/>
  <c r="B118" i="13"/>
  <c r="D118" i="13"/>
  <c r="H118" i="13"/>
  <c r="E117" i="14" l="1"/>
  <c r="H117" i="14"/>
  <c r="F117" i="14"/>
  <c r="G117" i="14"/>
  <c r="B117" i="14"/>
  <c r="C117" i="14"/>
  <c r="D117" i="14"/>
  <c r="E119" i="13"/>
  <c r="G119" i="13"/>
  <c r="C119" i="13"/>
  <c r="H119" i="13"/>
  <c r="F119" i="13"/>
  <c r="B119" i="13"/>
  <c r="D119" i="13"/>
  <c r="C120" i="13"/>
  <c r="E120" i="13"/>
  <c r="F120" i="13"/>
  <c r="D120" i="13"/>
  <c r="G120" i="13"/>
  <c r="H120" i="13"/>
  <c r="B120" i="13"/>
  <c r="G118" i="14" l="1"/>
  <c r="E118" i="14"/>
  <c r="F118" i="14"/>
  <c r="H118" i="14"/>
  <c r="C118" i="14"/>
  <c r="B118" i="14"/>
  <c r="D118" i="14"/>
  <c r="C121" i="13"/>
  <c r="D121" i="13"/>
  <c r="H121" i="13"/>
  <c r="F121" i="13"/>
  <c r="E121" i="13"/>
  <c r="G121" i="13"/>
  <c r="B121" i="13"/>
  <c r="E119" i="14" l="1"/>
  <c r="H119" i="14"/>
  <c r="F119" i="14"/>
  <c r="G119" i="14"/>
  <c r="D119" i="14"/>
  <c r="C119" i="14"/>
  <c r="B119" i="14"/>
  <c r="C122" i="13"/>
  <c r="G122" i="13"/>
  <c r="F122" i="13"/>
  <c r="E122" i="13"/>
  <c r="H122" i="13"/>
  <c r="D122" i="13"/>
  <c r="B122" i="13"/>
  <c r="G120" i="14" l="1"/>
  <c r="E120" i="14"/>
  <c r="F120" i="14"/>
  <c r="H120" i="14"/>
  <c r="B120" i="14"/>
  <c r="C120" i="14"/>
  <c r="D120" i="14"/>
  <c r="C123" i="13"/>
  <c r="F123" i="13"/>
  <c r="G123" i="13"/>
  <c r="E123" i="13"/>
  <c r="H123" i="13"/>
  <c r="D123" i="13"/>
  <c r="B123" i="13"/>
  <c r="E121" i="14" l="1"/>
  <c r="H121" i="14"/>
  <c r="F121" i="14"/>
  <c r="G121" i="14"/>
  <c r="B121" i="14"/>
  <c r="C121" i="14"/>
  <c r="D121" i="14"/>
  <c r="C124" i="13"/>
  <c r="E124" i="13"/>
  <c r="G124" i="13"/>
  <c r="F124" i="13"/>
  <c r="H124" i="13"/>
  <c r="D124" i="13"/>
  <c r="B124" i="13"/>
  <c r="G122" i="14" l="1"/>
  <c r="E122" i="14"/>
  <c r="F122" i="14"/>
  <c r="H122" i="14"/>
  <c r="C122" i="14"/>
  <c r="D122" i="14"/>
  <c r="B122" i="14"/>
  <c r="C125" i="13"/>
  <c r="D125" i="13"/>
  <c r="H125" i="13"/>
  <c r="G125" i="13"/>
  <c r="F125" i="13"/>
  <c r="E125" i="13"/>
  <c r="B125" i="13"/>
  <c r="E123" i="14" l="1"/>
  <c r="H123" i="14"/>
  <c r="F123" i="14"/>
  <c r="G123" i="14"/>
  <c r="D123" i="14"/>
  <c r="B123" i="14"/>
  <c r="C123" i="14"/>
  <c r="C126" i="13"/>
  <c r="G126" i="13"/>
  <c r="H126" i="13"/>
  <c r="F126" i="13"/>
  <c r="E126" i="13"/>
  <c r="D126" i="13"/>
  <c r="B126" i="13"/>
  <c r="G124" i="14" l="1"/>
  <c r="E124" i="14"/>
  <c r="F124" i="14"/>
  <c r="H124" i="14"/>
  <c r="B124" i="14"/>
  <c r="C124" i="14"/>
  <c r="D124" i="14"/>
  <c r="C127" i="13"/>
  <c r="F127" i="13"/>
  <c r="H127" i="13"/>
  <c r="G127" i="13"/>
  <c r="D127" i="13"/>
  <c r="E127" i="13"/>
  <c r="B127" i="13"/>
  <c r="E125" i="14" l="1"/>
  <c r="H125" i="14"/>
  <c r="F125" i="14"/>
  <c r="G125" i="14"/>
  <c r="B125" i="14"/>
  <c r="D125" i="14"/>
  <c r="C125" i="14"/>
  <c r="E128" i="13"/>
  <c r="H128" i="13"/>
  <c r="G128" i="13"/>
  <c r="C128" i="13"/>
  <c r="F128" i="13"/>
  <c r="D128" i="13"/>
  <c r="B128" i="13"/>
  <c r="G126" i="14" l="1"/>
  <c r="F126" i="14"/>
  <c r="H126" i="14"/>
  <c r="E126" i="14"/>
  <c r="C126" i="14"/>
  <c r="B126" i="14"/>
  <c r="D126" i="14"/>
  <c r="D129" i="13"/>
  <c r="H129" i="13"/>
  <c r="G129" i="13"/>
  <c r="C129" i="13"/>
  <c r="E129" i="13"/>
  <c r="F129" i="13"/>
  <c r="B129" i="13"/>
  <c r="E127" i="14" l="1"/>
  <c r="H127" i="14"/>
  <c r="F127" i="14"/>
  <c r="G127" i="14"/>
  <c r="D127" i="14"/>
  <c r="B127" i="14"/>
  <c r="C127" i="14"/>
  <c r="C130" i="13"/>
  <c r="G130" i="13"/>
  <c r="D130" i="13"/>
  <c r="H130" i="13"/>
  <c r="E130" i="13"/>
  <c r="F130" i="13"/>
  <c r="B130" i="13"/>
  <c r="G128" i="14" l="1"/>
  <c r="E128" i="14"/>
  <c r="F128" i="14"/>
  <c r="H128" i="14"/>
  <c r="D128" i="14"/>
  <c r="B128" i="14"/>
  <c r="C128" i="14"/>
  <c r="C131" i="13"/>
  <c r="F131" i="13"/>
  <c r="D131" i="13"/>
  <c r="H131" i="13"/>
  <c r="E131" i="13"/>
  <c r="G131" i="13"/>
  <c r="B131" i="13"/>
  <c r="E129" i="14" l="1"/>
  <c r="H129" i="14"/>
  <c r="G129" i="14"/>
  <c r="F129" i="14"/>
  <c r="B129" i="14"/>
  <c r="C129" i="14"/>
  <c r="D129" i="14"/>
  <c r="C132" i="13"/>
  <c r="E132" i="13"/>
  <c r="D132" i="13"/>
  <c r="H132" i="13"/>
  <c r="F132" i="13"/>
  <c r="G132" i="13"/>
  <c r="B132" i="13"/>
  <c r="G130" i="14" l="1"/>
  <c r="E130" i="14"/>
  <c r="F130" i="14"/>
  <c r="H130" i="14"/>
  <c r="C130" i="14"/>
  <c r="B130" i="14"/>
  <c r="D130" i="14"/>
  <c r="C133" i="13"/>
  <c r="D133" i="13"/>
  <c r="H133" i="13"/>
  <c r="E133" i="13"/>
  <c r="F133" i="13"/>
  <c r="G133" i="13"/>
  <c r="B133" i="13"/>
  <c r="E131" i="14" l="1"/>
  <c r="H131" i="14"/>
  <c r="F131" i="14"/>
  <c r="G131" i="14"/>
  <c r="D131" i="14"/>
  <c r="B131" i="14"/>
  <c r="C131" i="14"/>
  <c r="C134" i="13"/>
  <c r="G134" i="13"/>
  <c r="E134" i="13"/>
  <c r="D134" i="13"/>
  <c r="H134" i="13"/>
  <c r="F134" i="13"/>
  <c r="B134" i="13"/>
  <c r="G132" i="14" l="1"/>
  <c r="H132" i="14"/>
  <c r="E132" i="14"/>
  <c r="F132" i="14"/>
  <c r="C132" i="14"/>
  <c r="D132" i="14"/>
  <c r="B132" i="14"/>
  <c r="C135" i="13"/>
  <c r="F135" i="13"/>
  <c r="E135" i="13"/>
  <c r="D135" i="13"/>
  <c r="G135" i="13"/>
  <c r="H135" i="13"/>
  <c r="B135" i="13"/>
  <c r="E133" i="14" l="1"/>
  <c r="H133" i="14"/>
  <c r="F133" i="14"/>
  <c r="G133" i="14"/>
  <c r="B133" i="14"/>
  <c r="C133" i="14"/>
  <c r="D133" i="14"/>
  <c r="C136" i="13"/>
  <c r="E136" i="13"/>
  <c r="F136" i="13"/>
  <c r="D136" i="13"/>
  <c r="G136" i="13"/>
  <c r="H136" i="13"/>
  <c r="B136" i="13"/>
  <c r="G134" i="14" l="1"/>
  <c r="E134" i="14"/>
  <c r="F134" i="14"/>
  <c r="H134" i="14"/>
  <c r="C134" i="14"/>
  <c r="B134" i="14"/>
  <c r="D134" i="14"/>
  <c r="C137" i="13"/>
  <c r="D137" i="13"/>
  <c r="H137" i="13"/>
  <c r="F137" i="13"/>
  <c r="E137" i="13"/>
  <c r="G137" i="13"/>
  <c r="B137" i="13"/>
  <c r="E135" i="14" l="1"/>
  <c r="H135" i="14"/>
  <c r="F135" i="14"/>
  <c r="G135" i="14"/>
  <c r="D135" i="14"/>
  <c r="C135" i="14"/>
  <c r="B135" i="14"/>
  <c r="C138" i="13"/>
  <c r="G138" i="13"/>
  <c r="F138" i="13"/>
  <c r="E138" i="13"/>
  <c r="D138" i="13"/>
  <c r="H138" i="13"/>
  <c r="B138" i="13"/>
  <c r="G136" i="14" l="1"/>
  <c r="E136" i="14"/>
  <c r="F136" i="14"/>
  <c r="H136" i="14"/>
  <c r="B136" i="14"/>
  <c r="C136" i="14"/>
  <c r="D136" i="14"/>
  <c r="F139" i="13"/>
  <c r="G139" i="13"/>
  <c r="C139" i="13"/>
  <c r="E139" i="13"/>
  <c r="H139" i="13"/>
  <c r="D139" i="13"/>
  <c r="B139" i="13"/>
  <c r="E137" i="14" l="1"/>
  <c r="H137" i="14"/>
  <c r="F137" i="14"/>
  <c r="G137" i="14"/>
  <c r="B137" i="14"/>
  <c r="C137" i="14"/>
  <c r="D137" i="14"/>
  <c r="E140" i="13"/>
  <c r="C140" i="13"/>
  <c r="G140" i="13"/>
  <c r="F140" i="13"/>
  <c r="H140" i="13"/>
  <c r="D140" i="13"/>
  <c r="B140" i="13"/>
  <c r="G138" i="14" l="1"/>
  <c r="E138" i="14"/>
  <c r="F138" i="14"/>
  <c r="H138" i="14"/>
  <c r="C138" i="14"/>
  <c r="D138" i="14"/>
  <c r="B138" i="14"/>
  <c r="C141" i="13"/>
  <c r="D141" i="13"/>
  <c r="H141" i="13"/>
  <c r="G141" i="13"/>
  <c r="F141" i="13"/>
  <c r="E141" i="13"/>
  <c r="B141" i="13"/>
  <c r="E139" i="14" l="1"/>
  <c r="H139" i="14"/>
  <c r="F139" i="14"/>
  <c r="G139" i="14"/>
  <c r="D139" i="14"/>
  <c r="B139" i="14"/>
  <c r="C139" i="14"/>
  <c r="C142" i="13"/>
  <c r="G142" i="13"/>
  <c r="H142" i="13"/>
  <c r="F142" i="13"/>
  <c r="D142" i="13"/>
  <c r="E142" i="13"/>
  <c r="B142" i="13"/>
  <c r="G140" i="14" l="1"/>
  <c r="E140" i="14"/>
  <c r="F140" i="14"/>
  <c r="H140" i="14"/>
  <c r="B140" i="14"/>
  <c r="C140" i="14"/>
  <c r="D140" i="14"/>
  <c r="C143" i="13"/>
  <c r="F143" i="13"/>
  <c r="H143" i="13"/>
  <c r="G143" i="13"/>
  <c r="E143" i="13"/>
  <c r="D143" i="13"/>
  <c r="B143" i="13"/>
  <c r="E141" i="14" l="1"/>
  <c r="H141" i="14"/>
  <c r="F141" i="14"/>
  <c r="G141" i="14"/>
  <c r="B141" i="14"/>
  <c r="D141" i="14"/>
  <c r="C141" i="14"/>
  <c r="C144" i="13"/>
  <c r="E144" i="13"/>
  <c r="H144" i="13"/>
  <c r="G144" i="13"/>
  <c r="D144" i="13"/>
  <c r="F144" i="13"/>
  <c r="B144" i="13"/>
  <c r="G142" i="14" l="1"/>
  <c r="F142" i="14"/>
  <c r="H142" i="14"/>
  <c r="E142" i="14"/>
  <c r="C142" i="14"/>
  <c r="B142" i="14"/>
  <c r="D142" i="14"/>
  <c r="C145" i="13"/>
  <c r="D145" i="13"/>
  <c r="H145" i="13"/>
  <c r="G145" i="13"/>
  <c r="F145" i="13"/>
  <c r="E145" i="13"/>
  <c r="B145" i="13"/>
  <c r="E143" i="14" l="1"/>
  <c r="H143" i="14"/>
  <c r="F143" i="14"/>
  <c r="G143" i="14"/>
  <c r="D143" i="14"/>
  <c r="B143" i="14"/>
  <c r="C143" i="14"/>
  <c r="C146" i="13"/>
  <c r="G146" i="13"/>
  <c r="D146" i="13"/>
  <c r="H146" i="13"/>
  <c r="E146" i="13"/>
  <c r="F146" i="13"/>
  <c r="B146" i="13"/>
  <c r="E144" i="14" l="1"/>
  <c r="F144" i="14"/>
  <c r="G144" i="14"/>
  <c r="H144" i="14"/>
  <c r="D144" i="14"/>
  <c r="B144" i="14"/>
  <c r="C144" i="14"/>
  <c r="C147" i="13"/>
  <c r="F147" i="13"/>
  <c r="D147" i="13"/>
  <c r="H147" i="13"/>
  <c r="E147" i="13"/>
  <c r="G147" i="13"/>
  <c r="B147" i="13"/>
  <c r="E145" i="14" l="1"/>
  <c r="H145" i="14"/>
  <c r="F145" i="14"/>
  <c r="G145" i="14"/>
  <c r="B145" i="14"/>
  <c r="C145" i="14"/>
  <c r="D145" i="14"/>
  <c r="C148" i="13"/>
  <c r="E148" i="13"/>
  <c r="D148" i="13"/>
  <c r="H148" i="13"/>
  <c r="F148" i="13"/>
  <c r="G148" i="13"/>
  <c r="B148" i="13"/>
  <c r="E146" i="14" l="1"/>
  <c r="F146" i="14"/>
  <c r="G146" i="14"/>
  <c r="H146" i="14"/>
  <c r="C146" i="14"/>
  <c r="B146" i="14"/>
  <c r="D146" i="14"/>
  <c r="D149" i="13"/>
  <c r="H149" i="13"/>
  <c r="E149" i="13"/>
  <c r="C149" i="13"/>
  <c r="F149" i="13"/>
  <c r="G149" i="13"/>
  <c r="B149" i="13"/>
  <c r="E147" i="14" l="1"/>
  <c r="H147" i="14"/>
  <c r="F147" i="14"/>
  <c r="G147" i="14"/>
  <c r="D147" i="14"/>
  <c r="B147" i="14"/>
  <c r="C147" i="14"/>
  <c r="C150" i="13"/>
  <c r="G150" i="13"/>
  <c r="E150" i="13"/>
  <c r="D150" i="13"/>
  <c r="F150" i="13"/>
  <c r="H150" i="13"/>
  <c r="B150" i="13"/>
  <c r="E148" i="14" l="1"/>
  <c r="F148" i="14"/>
  <c r="G148" i="14"/>
  <c r="H148" i="14"/>
  <c r="C148" i="14"/>
  <c r="D148" i="14"/>
  <c r="B148" i="14"/>
  <c r="F151" i="13"/>
  <c r="E151" i="13"/>
  <c r="D151" i="13"/>
  <c r="C151" i="13"/>
  <c r="H151" i="13"/>
  <c r="G151" i="13"/>
  <c r="B151" i="13"/>
  <c r="E149" i="14" l="1"/>
  <c r="H149" i="14"/>
  <c r="F149" i="14"/>
  <c r="G149" i="14"/>
  <c r="B149" i="14"/>
  <c r="C149" i="14"/>
  <c r="D149" i="14"/>
  <c r="C152" i="13"/>
  <c r="E152" i="13"/>
  <c r="F152" i="13"/>
  <c r="D152" i="13"/>
  <c r="G152" i="13"/>
  <c r="H152" i="13"/>
  <c r="B152" i="13"/>
  <c r="G150" i="14" l="1"/>
  <c r="H150" i="14"/>
  <c r="E150" i="14"/>
  <c r="F150" i="14"/>
  <c r="C150" i="14"/>
  <c r="B150" i="14"/>
  <c r="D150" i="14"/>
  <c r="C153" i="13"/>
  <c r="D153" i="13"/>
  <c r="H153" i="13"/>
  <c r="F153" i="13"/>
  <c r="E153" i="13"/>
  <c r="G153" i="13"/>
  <c r="B153" i="13"/>
  <c r="E151" i="14" l="1"/>
  <c r="H151" i="14"/>
  <c r="F151" i="14"/>
  <c r="G151" i="14"/>
  <c r="D151" i="14"/>
  <c r="C151" i="14"/>
  <c r="B151" i="14"/>
  <c r="C154" i="13"/>
  <c r="G154" i="13"/>
  <c r="F154" i="13"/>
  <c r="E154" i="13"/>
  <c r="H154" i="13"/>
  <c r="D154" i="13"/>
  <c r="B154" i="13"/>
  <c r="E152" i="14" l="1"/>
  <c r="F152" i="14"/>
  <c r="G152" i="14"/>
  <c r="H152" i="14"/>
  <c r="B152" i="14"/>
  <c r="C152" i="14"/>
  <c r="D152" i="14"/>
  <c r="C155" i="13"/>
  <c r="F155" i="13"/>
  <c r="G155" i="13"/>
  <c r="E155" i="13"/>
  <c r="D155" i="13"/>
  <c r="H155" i="13"/>
  <c r="B155" i="13"/>
  <c r="E153" i="14" l="1"/>
  <c r="H153" i="14"/>
  <c r="F153" i="14"/>
  <c r="G153" i="14"/>
  <c r="B153" i="14"/>
  <c r="C153" i="14"/>
  <c r="D153" i="14"/>
  <c r="C156" i="13"/>
  <c r="E156" i="13"/>
  <c r="G156" i="13"/>
  <c r="F156" i="13"/>
  <c r="H156" i="13"/>
  <c r="D156" i="13"/>
  <c r="B156" i="13"/>
  <c r="E154" i="14" l="1"/>
  <c r="F154" i="14"/>
  <c r="G154" i="14"/>
  <c r="H154" i="14"/>
  <c r="C154" i="14"/>
  <c r="D154" i="14"/>
  <c r="B154" i="14"/>
  <c r="C157" i="13"/>
  <c r="D157" i="13"/>
  <c r="H157" i="13"/>
  <c r="G157" i="13"/>
  <c r="F157" i="13"/>
  <c r="E157" i="13"/>
  <c r="B157" i="13"/>
  <c r="E155" i="14" l="1"/>
  <c r="H155" i="14"/>
  <c r="F155" i="14"/>
  <c r="G155" i="14"/>
  <c r="D155" i="14"/>
  <c r="B155" i="14"/>
  <c r="C155" i="14"/>
  <c r="C158" i="13"/>
  <c r="G158" i="13"/>
  <c r="H158" i="13"/>
  <c r="F158" i="13"/>
  <c r="D158" i="13"/>
  <c r="E158" i="13"/>
  <c r="B158" i="13"/>
  <c r="E156" i="14" l="1"/>
  <c r="F156" i="14"/>
  <c r="G156" i="14"/>
  <c r="H156" i="14"/>
  <c r="B156" i="14"/>
  <c r="C156" i="14"/>
  <c r="D156" i="14"/>
  <c r="C159" i="13"/>
  <c r="F159" i="13"/>
  <c r="H159" i="13"/>
  <c r="G159" i="13"/>
  <c r="D159" i="13"/>
  <c r="E159" i="13"/>
  <c r="B159" i="13"/>
  <c r="E157" i="14" l="1"/>
  <c r="H157" i="14"/>
  <c r="F157" i="14"/>
  <c r="G157" i="14"/>
  <c r="B157" i="14"/>
  <c r="D157" i="14"/>
  <c r="C157" i="14"/>
  <c r="E160" i="13"/>
  <c r="H160" i="13"/>
  <c r="C160" i="13"/>
  <c r="G160" i="13"/>
  <c r="F160" i="13"/>
  <c r="D160" i="13"/>
  <c r="B160" i="13"/>
  <c r="G158" i="14" l="1"/>
  <c r="H158" i="14"/>
  <c r="E158" i="14"/>
  <c r="F158" i="14"/>
  <c r="C158" i="14"/>
  <c r="B158" i="14"/>
  <c r="D158" i="14"/>
  <c r="D161" i="13"/>
  <c r="H161" i="13"/>
  <c r="C161" i="13"/>
  <c r="G161" i="13"/>
  <c r="E161" i="13"/>
  <c r="F161" i="13"/>
  <c r="B161" i="13"/>
  <c r="E159" i="14" l="1"/>
  <c r="H159" i="14"/>
  <c r="F159" i="14"/>
  <c r="G159" i="14"/>
  <c r="B159" i="14"/>
  <c r="C159" i="14"/>
  <c r="D159" i="14"/>
  <c r="C162" i="13"/>
  <c r="G162" i="13"/>
  <c r="D162" i="13"/>
  <c r="H162" i="13"/>
  <c r="E162" i="13"/>
  <c r="F162" i="13"/>
  <c r="B162" i="13"/>
  <c r="E160" i="14" l="1"/>
  <c r="F160" i="14"/>
  <c r="G160" i="14"/>
  <c r="H160" i="14"/>
  <c r="B160" i="14"/>
  <c r="C160" i="14"/>
  <c r="D160" i="14"/>
  <c r="C163" i="13"/>
  <c r="F163" i="13"/>
  <c r="D163" i="13"/>
  <c r="H163" i="13"/>
  <c r="E163" i="13"/>
  <c r="G163" i="13"/>
  <c r="B163" i="13"/>
  <c r="E161" i="14" l="1"/>
  <c r="H161" i="14"/>
  <c r="F161" i="14"/>
  <c r="G161" i="14"/>
  <c r="C161" i="14"/>
  <c r="D161" i="14"/>
  <c r="B161" i="14"/>
  <c r="C164" i="13"/>
  <c r="E164" i="13"/>
  <c r="D164" i="13"/>
  <c r="H164" i="13"/>
  <c r="F164" i="13"/>
  <c r="G164" i="13"/>
  <c r="B164" i="13"/>
  <c r="E162" i="14" l="1"/>
  <c r="F162" i="14"/>
  <c r="G162" i="14"/>
  <c r="H162" i="14"/>
  <c r="D162" i="14"/>
  <c r="B162" i="14"/>
  <c r="C162" i="14"/>
  <c r="C165" i="13"/>
  <c r="D165" i="13"/>
  <c r="H165" i="13"/>
  <c r="E165" i="13"/>
  <c r="F165" i="13"/>
  <c r="G165" i="13"/>
  <c r="B165" i="13"/>
  <c r="E163" i="14" l="1"/>
  <c r="H163" i="14"/>
  <c r="F163" i="14"/>
  <c r="G163" i="14"/>
  <c r="B163" i="14"/>
  <c r="C163" i="14"/>
  <c r="D163" i="14"/>
  <c r="C166" i="13"/>
  <c r="G166" i="13"/>
  <c r="E166" i="13"/>
  <c r="D166" i="13"/>
  <c r="F166" i="13"/>
  <c r="H166" i="13"/>
  <c r="B166" i="13"/>
  <c r="E164" i="14" l="1"/>
  <c r="F164" i="14"/>
  <c r="G164" i="14"/>
  <c r="H164" i="14"/>
  <c r="B164" i="14"/>
  <c r="C164" i="14"/>
  <c r="D164" i="14"/>
  <c r="C167" i="13"/>
  <c r="F167" i="13"/>
  <c r="E167" i="13"/>
  <c r="D167" i="13"/>
  <c r="G167" i="13"/>
  <c r="H167" i="13"/>
  <c r="B167" i="13"/>
  <c r="E165" i="14" l="1"/>
  <c r="H165" i="14"/>
  <c r="F165" i="14"/>
  <c r="G165" i="14"/>
  <c r="C165" i="14"/>
  <c r="D165" i="14"/>
  <c r="B165" i="14"/>
  <c r="C168" i="13"/>
  <c r="E168" i="13"/>
  <c r="F168" i="13"/>
  <c r="D168" i="13"/>
  <c r="H168" i="13"/>
  <c r="G168" i="13"/>
  <c r="B168" i="13"/>
  <c r="G166" i="14" l="1"/>
  <c r="H166" i="14"/>
  <c r="E166" i="14"/>
  <c r="F166" i="14"/>
  <c r="D166" i="14"/>
  <c r="B166" i="14"/>
  <c r="C166" i="14"/>
  <c r="C169" i="13"/>
  <c r="D169" i="13"/>
  <c r="H169" i="13"/>
  <c r="F169" i="13"/>
  <c r="E169" i="13"/>
  <c r="G169" i="13"/>
  <c r="B169" i="13"/>
  <c r="E167" i="14" l="1"/>
  <c r="H167" i="14"/>
  <c r="G167" i="14"/>
  <c r="F167" i="14"/>
  <c r="B167" i="14"/>
  <c r="C167" i="14"/>
  <c r="D167" i="14"/>
  <c r="C170" i="13"/>
  <c r="G170" i="13"/>
  <c r="F170" i="13"/>
  <c r="E170" i="13"/>
  <c r="H170" i="13"/>
  <c r="D170" i="13"/>
  <c r="B170" i="13"/>
  <c r="E168" i="14" l="1"/>
  <c r="F168" i="14"/>
  <c r="G168" i="14"/>
  <c r="H168" i="14"/>
  <c r="B168" i="14"/>
  <c r="C168" i="14"/>
  <c r="D168" i="14"/>
  <c r="F171" i="13"/>
  <c r="G171" i="13"/>
  <c r="E171" i="13"/>
  <c r="H171" i="13"/>
  <c r="D171" i="13"/>
  <c r="C171" i="13"/>
  <c r="B171" i="13"/>
  <c r="E169" i="14" l="1"/>
  <c r="H169" i="14"/>
  <c r="F169" i="14"/>
  <c r="G169" i="14"/>
  <c r="C169" i="14"/>
  <c r="D169" i="14"/>
  <c r="B169" i="14"/>
  <c r="E172" i="13"/>
  <c r="G172" i="13"/>
  <c r="F172" i="13"/>
  <c r="C172" i="13"/>
  <c r="D172" i="13"/>
  <c r="H172" i="13"/>
  <c r="B172" i="13"/>
  <c r="F170" i="14" l="1"/>
  <c r="G170" i="14"/>
  <c r="H170" i="14"/>
  <c r="E170" i="14"/>
  <c r="D170" i="14"/>
  <c r="B170" i="14"/>
  <c r="C170" i="14"/>
  <c r="C173" i="13"/>
  <c r="D173" i="13"/>
  <c r="H173" i="13"/>
  <c r="G173" i="13"/>
  <c r="F173" i="13"/>
  <c r="E173" i="13"/>
  <c r="B173" i="13"/>
  <c r="E171" i="14" l="1"/>
  <c r="H171" i="14"/>
  <c r="F171" i="14"/>
  <c r="G171" i="14"/>
  <c r="B171" i="14"/>
  <c r="C171" i="14"/>
  <c r="D171" i="14"/>
  <c r="C174" i="13"/>
  <c r="G174" i="13"/>
  <c r="H174" i="13"/>
  <c r="F174" i="13"/>
  <c r="D174" i="13"/>
  <c r="E174" i="13"/>
  <c r="B174" i="13"/>
  <c r="E172" i="14" l="1"/>
  <c r="F172" i="14"/>
  <c r="H172" i="14"/>
  <c r="G172" i="14"/>
  <c r="B172" i="14"/>
  <c r="C172" i="14"/>
  <c r="D172" i="14"/>
  <c r="C175" i="13"/>
  <c r="F175" i="13"/>
  <c r="H175" i="13"/>
  <c r="G175" i="13"/>
  <c r="D175" i="13"/>
  <c r="E175" i="13"/>
  <c r="B175" i="13"/>
  <c r="E173" i="14" l="1"/>
  <c r="H173" i="14"/>
  <c r="F173" i="14"/>
  <c r="G173" i="14"/>
  <c r="C173" i="14"/>
  <c r="D173" i="14"/>
  <c r="B173" i="14"/>
  <c r="C176" i="13"/>
  <c r="E176" i="13"/>
  <c r="H176" i="13"/>
  <c r="G176" i="13"/>
  <c r="D176" i="13"/>
  <c r="F176" i="13"/>
  <c r="B176" i="13"/>
  <c r="G174" i="14" l="1"/>
  <c r="H174" i="14"/>
  <c r="E174" i="14"/>
  <c r="F174" i="14"/>
  <c r="D174" i="14"/>
  <c r="B174" i="14"/>
  <c r="C174" i="14"/>
  <c r="C177" i="13"/>
  <c r="D177" i="13"/>
  <c r="H177" i="13"/>
  <c r="G177" i="13"/>
  <c r="F177" i="13"/>
  <c r="E177" i="13"/>
  <c r="B177" i="13"/>
  <c r="H175" i="14" l="1"/>
  <c r="F175" i="14"/>
  <c r="G175" i="14"/>
  <c r="E175" i="14"/>
  <c r="B175" i="14"/>
  <c r="C175" i="14"/>
  <c r="D175" i="14"/>
  <c r="C178" i="13"/>
  <c r="G178" i="13"/>
  <c r="D178" i="13"/>
  <c r="H178" i="13"/>
  <c r="E178" i="13"/>
  <c r="F178" i="13"/>
  <c r="B178" i="13"/>
  <c r="H176" i="14" l="1"/>
  <c r="E176" i="14"/>
  <c r="F176" i="14"/>
  <c r="G176" i="14"/>
  <c r="B176" i="14"/>
  <c r="C176" i="14"/>
  <c r="D176" i="14"/>
  <c r="C179" i="13"/>
  <c r="F179" i="13"/>
  <c r="D179" i="13"/>
  <c r="H179" i="13"/>
  <c r="E179" i="13"/>
  <c r="G179" i="13"/>
  <c r="B179" i="13"/>
  <c r="E177" i="14" l="1"/>
  <c r="G177" i="14"/>
  <c r="H177" i="14"/>
  <c r="F177" i="14"/>
  <c r="C177" i="14"/>
  <c r="D177" i="14"/>
  <c r="B177" i="14"/>
  <c r="C180" i="13"/>
  <c r="E180" i="13"/>
  <c r="D180" i="13"/>
  <c r="H180" i="13"/>
  <c r="F180" i="13"/>
  <c r="G180" i="13"/>
  <c r="B180" i="13"/>
  <c r="H178" i="14" l="1"/>
  <c r="E178" i="14"/>
  <c r="F178" i="14"/>
  <c r="G178" i="14"/>
  <c r="D178" i="14"/>
  <c r="B178" i="14"/>
  <c r="C178" i="14"/>
  <c r="D181" i="13"/>
  <c r="H181" i="13"/>
  <c r="E181" i="13"/>
  <c r="C181" i="13"/>
  <c r="G181" i="13"/>
  <c r="F181" i="13"/>
  <c r="B181" i="13"/>
  <c r="E179" i="14" l="1"/>
  <c r="G179" i="14"/>
  <c r="H179" i="14"/>
  <c r="F179" i="14"/>
  <c r="B179" i="14"/>
  <c r="C179" i="14"/>
  <c r="D179" i="14"/>
  <c r="C182" i="13"/>
  <c r="G182" i="13"/>
  <c r="E182" i="13"/>
  <c r="D182" i="13"/>
  <c r="F182" i="13"/>
  <c r="H182" i="13"/>
  <c r="B182" i="13"/>
  <c r="H180" i="14" l="1"/>
  <c r="E180" i="14"/>
  <c r="F180" i="14"/>
  <c r="G180" i="14"/>
  <c r="B180" i="14"/>
  <c r="C180" i="14"/>
  <c r="D180" i="14"/>
  <c r="F183" i="13"/>
  <c r="C183" i="13"/>
  <c r="E183" i="13"/>
  <c r="D183" i="13"/>
  <c r="G183" i="13"/>
  <c r="H183" i="13"/>
  <c r="B183" i="13"/>
  <c r="E181" i="14" l="1"/>
  <c r="G181" i="14"/>
  <c r="H181" i="14"/>
  <c r="F181" i="14"/>
  <c r="C181" i="14"/>
  <c r="D181" i="14"/>
  <c r="B181" i="14"/>
  <c r="C184" i="13"/>
  <c r="E184" i="13"/>
  <c r="F184" i="13"/>
  <c r="D184" i="13"/>
  <c r="G184" i="13"/>
  <c r="H184" i="13"/>
  <c r="B184" i="13"/>
  <c r="H182" i="14" l="1"/>
  <c r="E182" i="14"/>
  <c r="G182" i="14"/>
  <c r="F182" i="14"/>
  <c r="D182" i="14"/>
  <c r="B182" i="14"/>
  <c r="C182" i="14"/>
  <c r="C185" i="13"/>
  <c r="D185" i="13"/>
  <c r="H185" i="13"/>
  <c r="F185" i="13"/>
  <c r="E185" i="13"/>
  <c r="G185" i="13"/>
  <c r="B185" i="13"/>
  <c r="E183" i="14" l="1"/>
  <c r="G183" i="14"/>
  <c r="H183" i="14"/>
  <c r="F183" i="14"/>
  <c r="B183" i="14"/>
  <c r="C183" i="14"/>
  <c r="D183" i="14"/>
  <c r="C186" i="13"/>
  <c r="G186" i="13"/>
  <c r="F186" i="13"/>
  <c r="E186" i="13"/>
  <c r="H186" i="13"/>
  <c r="D186" i="13"/>
  <c r="B186" i="13"/>
  <c r="H184" i="14" l="1"/>
  <c r="E184" i="14"/>
  <c r="F184" i="14"/>
  <c r="G184" i="14"/>
  <c r="B184" i="14"/>
  <c r="C184" i="14"/>
  <c r="D184" i="14"/>
  <c r="C187" i="13"/>
  <c r="F187" i="13"/>
  <c r="G187" i="13"/>
  <c r="E187" i="13"/>
  <c r="H187" i="13"/>
  <c r="D187" i="13"/>
  <c r="B187" i="13"/>
  <c r="E185" i="14" l="1"/>
  <c r="G185" i="14"/>
  <c r="H185" i="14"/>
  <c r="F185" i="14"/>
  <c r="C185" i="14"/>
  <c r="D185" i="14"/>
  <c r="B185" i="14"/>
  <c r="C188" i="13"/>
  <c r="E188" i="13"/>
  <c r="G188" i="13"/>
  <c r="F188" i="13"/>
  <c r="H188" i="13"/>
  <c r="D188" i="13"/>
  <c r="B188" i="13"/>
  <c r="H186" i="14" l="1"/>
  <c r="E186" i="14"/>
  <c r="F186" i="14"/>
  <c r="G186" i="14"/>
  <c r="D186" i="14"/>
  <c r="B186" i="14"/>
  <c r="C186" i="14"/>
  <c r="C189" i="13"/>
  <c r="D189" i="13"/>
  <c r="H189" i="13"/>
  <c r="G189" i="13"/>
  <c r="F189" i="13"/>
  <c r="E189" i="13"/>
  <c r="B189" i="13"/>
  <c r="E187" i="14" l="1"/>
  <c r="G187" i="14"/>
  <c r="H187" i="14"/>
  <c r="F187" i="14"/>
  <c r="B187" i="14"/>
  <c r="C187" i="14"/>
  <c r="D187" i="14"/>
  <c r="C190" i="13"/>
  <c r="G190" i="13"/>
  <c r="H190" i="13"/>
  <c r="F190" i="13"/>
  <c r="D190" i="13"/>
  <c r="E190" i="13"/>
  <c r="B190" i="13"/>
  <c r="H188" i="14" l="1"/>
  <c r="E188" i="14"/>
  <c r="F188" i="14"/>
  <c r="G188" i="14"/>
  <c r="B188" i="14"/>
  <c r="C188" i="14"/>
  <c r="D188" i="14"/>
  <c r="C191" i="13"/>
  <c r="F191" i="13"/>
  <c r="H191" i="13"/>
  <c r="G191" i="13"/>
  <c r="D191" i="13"/>
  <c r="E191" i="13"/>
  <c r="B191" i="13"/>
  <c r="E189" i="14" l="1"/>
  <c r="G189" i="14"/>
  <c r="H189" i="14"/>
  <c r="F189" i="14"/>
  <c r="C189" i="14"/>
  <c r="D189" i="14"/>
  <c r="B189" i="14"/>
  <c r="E192" i="13"/>
  <c r="H192" i="13"/>
  <c r="G192" i="13"/>
  <c r="C192" i="13"/>
  <c r="D192" i="13"/>
  <c r="F192" i="13"/>
  <c r="B192" i="13"/>
  <c r="H190" i="14" l="1"/>
  <c r="E190" i="14"/>
  <c r="F190" i="14"/>
  <c r="G190" i="14"/>
  <c r="D190" i="14"/>
  <c r="B190" i="14"/>
  <c r="C190" i="14"/>
  <c r="D193" i="13"/>
  <c r="H193" i="13"/>
  <c r="G193" i="13"/>
  <c r="E193" i="13"/>
  <c r="F193" i="13"/>
  <c r="C193" i="13"/>
  <c r="B193" i="13"/>
  <c r="E191" i="14" l="1"/>
  <c r="G191" i="14"/>
  <c r="H191" i="14"/>
  <c r="F191" i="14"/>
  <c r="B191" i="14"/>
  <c r="C191" i="14"/>
  <c r="D191" i="14"/>
  <c r="C194" i="13"/>
  <c r="G194" i="13"/>
  <c r="D194" i="13"/>
  <c r="H194" i="13"/>
  <c r="F194" i="13"/>
  <c r="E194" i="13"/>
  <c r="B194" i="13"/>
  <c r="H192" i="14" l="1"/>
  <c r="E192" i="14"/>
  <c r="F192" i="14"/>
  <c r="G192" i="14"/>
  <c r="B192" i="14"/>
  <c r="C192" i="14"/>
  <c r="D192" i="14"/>
  <c r="C195" i="13"/>
  <c r="F195" i="13"/>
  <c r="D195" i="13"/>
  <c r="H195" i="13"/>
  <c r="E195" i="13"/>
  <c r="G195" i="13"/>
  <c r="B195" i="13"/>
  <c r="E193" i="14" l="1"/>
  <c r="G193" i="14"/>
  <c r="H193" i="14"/>
  <c r="F193" i="14"/>
  <c r="D193" i="14"/>
  <c r="C193" i="14"/>
  <c r="B193" i="14"/>
  <c r="C196" i="13"/>
  <c r="E196" i="13"/>
  <c r="D196" i="13"/>
  <c r="H196" i="13"/>
  <c r="F196" i="13"/>
  <c r="G196" i="13"/>
  <c r="B196" i="13"/>
  <c r="H194" i="14" l="1"/>
  <c r="E194" i="14"/>
  <c r="F194" i="14"/>
  <c r="G194" i="14"/>
  <c r="B194" i="14"/>
  <c r="D194" i="14"/>
  <c r="C194" i="14"/>
  <c r="C197" i="13"/>
  <c r="D197" i="13"/>
  <c r="H197" i="13"/>
  <c r="E197" i="13"/>
  <c r="F197" i="13"/>
  <c r="G197" i="13"/>
  <c r="B197" i="13"/>
  <c r="E195" i="14" l="1"/>
  <c r="G195" i="14"/>
  <c r="H195" i="14"/>
  <c r="F195" i="14"/>
  <c r="B195" i="14"/>
  <c r="C195" i="14"/>
  <c r="D195" i="14"/>
  <c r="C198" i="13"/>
  <c r="G198" i="13"/>
  <c r="E198" i="13"/>
  <c r="D198" i="13"/>
  <c r="H198" i="13"/>
  <c r="F198" i="13"/>
  <c r="B198" i="13"/>
  <c r="H196" i="14" l="1"/>
  <c r="E196" i="14"/>
  <c r="F196" i="14"/>
  <c r="G196" i="14"/>
  <c r="C196" i="14"/>
  <c r="D196" i="14"/>
  <c r="B196" i="14"/>
  <c r="C199" i="13"/>
  <c r="F199" i="13"/>
  <c r="E199" i="13"/>
  <c r="D199" i="13"/>
  <c r="G199" i="13"/>
  <c r="H199" i="13"/>
  <c r="B199" i="13"/>
  <c r="E197" i="14" l="1"/>
  <c r="G197" i="14"/>
  <c r="H197" i="14"/>
  <c r="F197" i="14"/>
  <c r="D197" i="14"/>
  <c r="B197" i="14"/>
  <c r="C197" i="14"/>
  <c r="C200" i="13"/>
  <c r="E200" i="13"/>
  <c r="F200" i="13"/>
  <c r="D200" i="13"/>
  <c r="G200" i="13"/>
  <c r="H200" i="13"/>
  <c r="B200" i="13"/>
  <c r="H198" i="14" l="1"/>
  <c r="E198" i="14"/>
  <c r="F198" i="14"/>
  <c r="G198" i="14"/>
  <c r="C198" i="14"/>
  <c r="B198" i="14"/>
  <c r="D198" i="14"/>
  <c r="C201" i="13"/>
  <c r="D201" i="13"/>
  <c r="H201" i="13"/>
  <c r="F201" i="13"/>
  <c r="E201" i="13"/>
  <c r="G201" i="13"/>
  <c r="B201" i="13"/>
  <c r="E199" i="14" l="1"/>
  <c r="G199" i="14"/>
  <c r="H199" i="14"/>
  <c r="F199" i="14"/>
  <c r="B199" i="14"/>
  <c r="D199" i="14"/>
  <c r="C199" i="14"/>
  <c r="C202" i="13"/>
  <c r="G202" i="13"/>
  <c r="F202" i="13"/>
  <c r="E202" i="13"/>
  <c r="D202" i="13"/>
  <c r="H202" i="13"/>
  <c r="B202" i="13"/>
  <c r="H200" i="14" l="1"/>
  <c r="E200" i="14"/>
  <c r="F200" i="14"/>
  <c r="G200" i="14"/>
  <c r="C200" i="14"/>
  <c r="B200" i="14"/>
  <c r="D200" i="14"/>
  <c r="F203" i="13"/>
  <c r="G203" i="13"/>
  <c r="C203" i="13"/>
  <c r="E203" i="13"/>
  <c r="H203" i="13"/>
  <c r="D203" i="13"/>
  <c r="B203" i="13"/>
  <c r="E201" i="14" l="1"/>
  <c r="G201" i="14"/>
  <c r="H201" i="14"/>
  <c r="F201" i="14"/>
  <c r="D201" i="14"/>
  <c r="C201" i="14"/>
  <c r="B201" i="14"/>
  <c r="E204" i="13"/>
  <c r="C204" i="13"/>
  <c r="G204" i="13"/>
  <c r="F204" i="13"/>
  <c r="H204" i="13"/>
  <c r="D204" i="13"/>
  <c r="B204" i="13"/>
  <c r="H202" i="14" l="1"/>
  <c r="E202" i="14"/>
  <c r="F202" i="14"/>
  <c r="G202" i="14"/>
  <c r="D202" i="14"/>
  <c r="B202" i="14"/>
  <c r="C202" i="14"/>
  <c r="C205" i="13"/>
  <c r="D205" i="13"/>
  <c r="H205" i="13"/>
  <c r="G205" i="13"/>
  <c r="F205" i="13"/>
  <c r="E205" i="13"/>
  <c r="B205" i="13"/>
  <c r="E203" i="14" l="1"/>
  <c r="G203" i="14"/>
  <c r="F203" i="14"/>
  <c r="H203" i="14"/>
  <c r="B203" i="14"/>
  <c r="C203" i="14"/>
  <c r="D203" i="14"/>
  <c r="C206" i="13"/>
  <c r="G206" i="13"/>
  <c r="H206" i="13"/>
  <c r="F206" i="13"/>
  <c r="D206" i="13"/>
  <c r="E206" i="13"/>
  <c r="B206" i="13"/>
  <c r="H204" i="14" l="1"/>
  <c r="G204" i="14"/>
  <c r="E204" i="14"/>
  <c r="F204" i="14"/>
  <c r="C204" i="14"/>
  <c r="D204" i="14"/>
  <c r="B204" i="14"/>
  <c r="C207" i="13"/>
  <c r="F207" i="13"/>
  <c r="H207" i="13"/>
  <c r="G207" i="13"/>
  <c r="D207" i="13"/>
  <c r="E207" i="13"/>
  <c r="B207" i="13"/>
  <c r="E205" i="14" l="1"/>
  <c r="G205" i="14"/>
  <c r="F205" i="14"/>
  <c r="H205" i="14"/>
  <c r="D205" i="14"/>
  <c r="B205" i="14"/>
  <c r="C205" i="14"/>
  <c r="C208" i="13"/>
  <c r="E208" i="13"/>
  <c r="H208" i="13"/>
  <c r="G208" i="13"/>
  <c r="D208" i="13"/>
  <c r="F208" i="13"/>
  <c r="B208" i="13"/>
  <c r="H206" i="14" l="1"/>
  <c r="E206" i="14"/>
  <c r="F206" i="14"/>
  <c r="G206" i="14"/>
  <c r="C206" i="14"/>
  <c r="D206" i="14"/>
  <c r="B206" i="14"/>
  <c r="C209" i="13"/>
  <c r="D209" i="13"/>
  <c r="H209" i="13"/>
  <c r="G209" i="13"/>
  <c r="E209" i="13"/>
  <c r="F209" i="13"/>
  <c r="B209" i="13"/>
  <c r="E207" i="14" l="1"/>
  <c r="G207" i="14"/>
  <c r="F207" i="14"/>
  <c r="H207" i="14"/>
  <c r="B207" i="14"/>
  <c r="D207" i="14"/>
  <c r="C207" i="14"/>
  <c r="C210" i="13"/>
  <c r="G210" i="13"/>
  <c r="D210" i="13"/>
  <c r="H210" i="13"/>
  <c r="E210" i="13"/>
  <c r="F210" i="13"/>
  <c r="B210" i="13"/>
  <c r="H208" i="14" l="1"/>
  <c r="E208" i="14"/>
  <c r="F208" i="14"/>
  <c r="G208" i="14"/>
  <c r="C208" i="14"/>
  <c r="B208" i="14"/>
  <c r="D208" i="14"/>
  <c r="C211" i="13"/>
  <c r="F211" i="13"/>
  <c r="D211" i="13"/>
  <c r="H211" i="13"/>
  <c r="G211" i="13"/>
  <c r="E211" i="13"/>
  <c r="B211" i="13"/>
  <c r="E209" i="14" l="1"/>
  <c r="F209" i="14"/>
  <c r="G209" i="14"/>
  <c r="H209" i="14"/>
  <c r="D209" i="14"/>
  <c r="C209" i="14"/>
  <c r="B209" i="14"/>
  <c r="C212" i="13"/>
  <c r="E212" i="13"/>
  <c r="D212" i="13"/>
  <c r="H212" i="13"/>
  <c r="F212" i="13"/>
  <c r="G212" i="13"/>
  <c r="B212" i="13"/>
  <c r="H210" i="14" l="1"/>
  <c r="G210" i="14"/>
  <c r="E210" i="14"/>
  <c r="F210" i="14"/>
  <c r="B210" i="14"/>
  <c r="D210" i="14"/>
  <c r="C210" i="14"/>
  <c r="D213" i="13"/>
  <c r="H213" i="13"/>
  <c r="E213" i="13"/>
  <c r="C213" i="13"/>
  <c r="F213" i="13"/>
  <c r="G213" i="13"/>
  <c r="B213" i="13"/>
  <c r="E211" i="14" l="1"/>
  <c r="F211" i="14"/>
  <c r="G211" i="14"/>
  <c r="H211" i="14"/>
  <c r="B211" i="14"/>
  <c r="C211" i="14"/>
  <c r="D211" i="14"/>
  <c r="C214" i="13"/>
  <c r="G214" i="13"/>
  <c r="E214" i="13"/>
  <c r="D214" i="13"/>
  <c r="F214" i="13"/>
  <c r="H214" i="13"/>
  <c r="B214" i="13"/>
  <c r="H212" i="14" l="1"/>
  <c r="E212" i="14"/>
  <c r="F212" i="14"/>
  <c r="G212" i="14"/>
  <c r="C212" i="14"/>
  <c r="D212" i="14"/>
  <c r="B212" i="14"/>
  <c r="F215" i="13"/>
  <c r="E215" i="13"/>
  <c r="D215" i="13"/>
  <c r="C215" i="13"/>
  <c r="H215" i="13"/>
  <c r="G215" i="13"/>
  <c r="B215" i="13"/>
  <c r="E213" i="14" l="1"/>
  <c r="G213" i="14"/>
  <c r="H213" i="14"/>
  <c r="F213" i="14"/>
  <c r="D213" i="14"/>
  <c r="B213" i="14"/>
  <c r="C213" i="14"/>
  <c r="C216" i="13"/>
  <c r="E216" i="13"/>
  <c r="F216" i="13"/>
  <c r="D216" i="13"/>
  <c r="G216" i="13"/>
  <c r="H216" i="13"/>
  <c r="B216" i="13"/>
  <c r="H214" i="14" l="1"/>
  <c r="E214" i="14"/>
  <c r="F214" i="14"/>
  <c r="G214" i="14"/>
  <c r="C214" i="14"/>
  <c r="B214" i="14"/>
  <c r="D214" i="14"/>
  <c r="C217" i="13"/>
  <c r="D217" i="13"/>
  <c r="H217" i="13"/>
  <c r="F217" i="13"/>
  <c r="E217" i="13"/>
  <c r="G217" i="13"/>
  <c r="B217" i="13"/>
  <c r="E215" i="14" l="1"/>
  <c r="F215" i="14"/>
  <c r="G215" i="14"/>
  <c r="H215" i="14"/>
  <c r="B215" i="14"/>
  <c r="D215" i="14"/>
  <c r="C215" i="14"/>
  <c r="C218" i="13"/>
  <c r="G218" i="13"/>
  <c r="F218" i="13"/>
  <c r="E218" i="13"/>
  <c r="H218" i="13"/>
  <c r="D218" i="13"/>
  <c r="B218" i="13"/>
  <c r="H216" i="14" l="1"/>
  <c r="E216" i="14"/>
  <c r="F216" i="14"/>
  <c r="G216" i="14"/>
  <c r="C216" i="14"/>
  <c r="B216" i="14"/>
  <c r="D216" i="14"/>
  <c r="C219" i="13"/>
  <c r="F219" i="13"/>
  <c r="G219" i="13"/>
  <c r="E219" i="13"/>
  <c r="D219" i="13"/>
  <c r="H219" i="13"/>
  <c r="B219" i="13"/>
  <c r="E217" i="14" l="1"/>
  <c r="F217" i="14"/>
  <c r="G217" i="14"/>
  <c r="H217" i="14"/>
  <c r="D217" i="14"/>
  <c r="C217" i="14"/>
  <c r="B217" i="14"/>
  <c r="C220" i="13"/>
  <c r="E220" i="13"/>
  <c r="G220" i="13"/>
  <c r="F220" i="13"/>
  <c r="H220" i="13"/>
  <c r="D220" i="13"/>
  <c r="B220" i="13"/>
  <c r="H218" i="14" l="1"/>
  <c r="G218" i="14"/>
  <c r="E218" i="14"/>
  <c r="F218" i="14"/>
  <c r="D218" i="14"/>
  <c r="B218" i="14"/>
  <c r="C218" i="14"/>
  <c r="C221" i="13"/>
  <c r="D221" i="13"/>
  <c r="H221" i="13"/>
  <c r="G221" i="13"/>
  <c r="F221" i="13"/>
  <c r="E221" i="13"/>
  <c r="B221" i="13"/>
  <c r="E219" i="14" l="1"/>
  <c r="F219" i="14"/>
  <c r="G219" i="14"/>
  <c r="H219" i="14"/>
  <c r="B219" i="14"/>
  <c r="C219" i="14"/>
  <c r="D219" i="14"/>
  <c r="C222" i="13"/>
  <c r="G222" i="13"/>
  <c r="H222" i="13"/>
  <c r="F222" i="13"/>
  <c r="D222" i="13"/>
  <c r="E222" i="13"/>
  <c r="B222" i="13"/>
  <c r="H220" i="14" l="1"/>
  <c r="E220" i="14"/>
  <c r="F220" i="14"/>
  <c r="G220" i="14"/>
  <c r="C220" i="14"/>
  <c r="D220" i="14"/>
  <c r="B220" i="14"/>
  <c r="C223" i="13"/>
  <c r="F223" i="13"/>
  <c r="G223" i="13"/>
  <c r="D223" i="13"/>
  <c r="E223" i="13"/>
  <c r="H223" i="13"/>
  <c r="B223" i="13"/>
  <c r="F221" i="14" l="1"/>
  <c r="G221" i="14"/>
  <c r="H221" i="14"/>
  <c r="E221" i="14"/>
  <c r="D221" i="14"/>
  <c r="B221" i="14"/>
  <c r="C221" i="14"/>
  <c r="E224" i="13"/>
  <c r="C224" i="13"/>
  <c r="G224" i="13"/>
  <c r="H224" i="13"/>
  <c r="D224" i="13"/>
  <c r="F224" i="13"/>
  <c r="B224" i="13"/>
  <c r="H222" i="14" l="1"/>
  <c r="E222" i="14"/>
  <c r="F222" i="14"/>
  <c r="G222" i="14"/>
  <c r="C222" i="14"/>
  <c r="D222" i="14"/>
  <c r="B222" i="14"/>
  <c r="D225" i="13"/>
  <c r="H225" i="13"/>
  <c r="C225" i="13"/>
  <c r="G225" i="13"/>
  <c r="F225" i="13"/>
  <c r="E225" i="13"/>
  <c r="B225" i="13"/>
  <c r="G223" i="14" l="1"/>
  <c r="H223" i="14"/>
  <c r="E223" i="14"/>
  <c r="F223" i="14"/>
  <c r="B223" i="14"/>
  <c r="D223" i="14"/>
  <c r="C223" i="14"/>
  <c r="C226" i="13"/>
  <c r="G226" i="13"/>
  <c r="H226" i="13"/>
  <c r="E226" i="13"/>
  <c r="F226" i="13"/>
  <c r="D226" i="13"/>
  <c r="B226" i="13"/>
  <c r="H224" i="14" l="1"/>
  <c r="E224" i="14"/>
  <c r="F224" i="14"/>
  <c r="G224" i="14"/>
  <c r="C224" i="14"/>
  <c r="B224" i="14"/>
  <c r="D224" i="14"/>
  <c r="C227" i="13"/>
  <c r="F227" i="13"/>
  <c r="H227" i="13"/>
  <c r="G227" i="13"/>
  <c r="D227" i="13"/>
  <c r="E227" i="13"/>
  <c r="B227" i="13"/>
  <c r="H225" i="14" l="1"/>
  <c r="E225" i="14"/>
  <c r="F225" i="14"/>
  <c r="G225" i="14"/>
  <c r="D225" i="14"/>
  <c r="C225" i="14"/>
  <c r="B225" i="14"/>
  <c r="C228" i="13"/>
  <c r="E228" i="13"/>
  <c r="H228" i="13"/>
  <c r="F228" i="13"/>
  <c r="D228" i="13"/>
  <c r="G228" i="13"/>
  <c r="B228" i="13"/>
  <c r="H226" i="14" l="1"/>
  <c r="E226" i="14"/>
  <c r="F226" i="14"/>
  <c r="G226" i="14"/>
  <c r="B226" i="14"/>
  <c r="D226" i="14"/>
  <c r="C226" i="14"/>
  <c r="C229" i="13"/>
  <c r="D229" i="13"/>
  <c r="H229" i="13"/>
  <c r="E229" i="13"/>
  <c r="F229" i="13"/>
  <c r="G229" i="13"/>
  <c r="B229" i="13"/>
  <c r="E227" i="14" l="1"/>
  <c r="F227" i="14"/>
  <c r="G227" i="14"/>
  <c r="H227" i="14"/>
  <c r="B227" i="14"/>
  <c r="C227" i="14"/>
  <c r="D227" i="14"/>
  <c r="C230" i="13"/>
  <c r="G230" i="13"/>
  <c r="D230" i="13"/>
  <c r="F230" i="13"/>
  <c r="H230" i="13"/>
  <c r="E230" i="13"/>
  <c r="B230" i="13"/>
  <c r="H228" i="14" l="1"/>
  <c r="E228" i="14"/>
  <c r="F228" i="14"/>
  <c r="G228" i="14"/>
  <c r="C228" i="14"/>
  <c r="D228" i="14"/>
  <c r="B228" i="14"/>
  <c r="C231" i="13"/>
  <c r="F231" i="13"/>
  <c r="D231" i="13"/>
  <c r="H231" i="13"/>
  <c r="E231" i="13"/>
  <c r="G231" i="13"/>
  <c r="B231" i="13"/>
  <c r="E229" i="14" l="1"/>
  <c r="F229" i="14"/>
  <c r="G229" i="14"/>
  <c r="H229" i="14"/>
  <c r="D229" i="14"/>
  <c r="B229" i="14"/>
  <c r="C229" i="14"/>
  <c r="C232" i="13"/>
  <c r="E232" i="13"/>
  <c r="D232" i="13"/>
  <c r="F232" i="13"/>
  <c r="G232" i="13"/>
  <c r="H232" i="13"/>
  <c r="B232" i="13"/>
  <c r="H230" i="14" l="1"/>
  <c r="F230" i="14"/>
  <c r="G230" i="14"/>
  <c r="E230" i="14"/>
  <c r="C230" i="14"/>
  <c r="B230" i="14"/>
  <c r="D230" i="14"/>
  <c r="C233" i="13"/>
  <c r="D233" i="13"/>
  <c r="H233" i="13"/>
  <c r="E233" i="13"/>
  <c r="G233" i="13"/>
  <c r="F233" i="13"/>
  <c r="B233" i="13"/>
  <c r="E231" i="14" l="1"/>
  <c r="F231" i="14"/>
  <c r="G231" i="14"/>
  <c r="H231" i="14"/>
  <c r="B231" i="14"/>
  <c r="D231" i="14"/>
  <c r="C231" i="14"/>
  <c r="C234" i="13"/>
  <c r="G234" i="13"/>
  <c r="E234" i="13"/>
  <c r="F234" i="13"/>
  <c r="H234" i="13"/>
  <c r="D234" i="13"/>
  <c r="B234" i="13"/>
  <c r="H232" i="14" l="1"/>
  <c r="G232" i="14"/>
  <c r="E232" i="14"/>
  <c r="F232" i="14"/>
  <c r="C232" i="14"/>
  <c r="B232" i="14"/>
  <c r="D232" i="14"/>
  <c r="F235" i="13"/>
  <c r="C235" i="13"/>
  <c r="E235" i="13"/>
  <c r="H235" i="13"/>
  <c r="G235" i="13"/>
  <c r="D235" i="13"/>
  <c r="B235" i="13"/>
  <c r="E233" i="14" l="1"/>
  <c r="F233" i="14"/>
  <c r="G233" i="14"/>
  <c r="H233" i="14"/>
  <c r="D233" i="14"/>
  <c r="C233" i="14"/>
  <c r="B233" i="14"/>
  <c r="E236" i="13"/>
  <c r="C236" i="13"/>
  <c r="F236" i="13"/>
  <c r="G236" i="13"/>
  <c r="H236" i="13"/>
  <c r="D236" i="13"/>
  <c r="B236" i="13"/>
  <c r="H234" i="14" l="1"/>
  <c r="E234" i="14"/>
  <c r="F234" i="14"/>
  <c r="G234" i="14"/>
  <c r="D234" i="14"/>
  <c r="B234" i="14"/>
  <c r="C234" i="14"/>
  <c r="C237" i="13"/>
  <c r="D237" i="13"/>
  <c r="H237" i="13"/>
  <c r="F237" i="13"/>
  <c r="G237" i="13"/>
  <c r="E237" i="13"/>
  <c r="B237" i="13"/>
  <c r="E235" i="14" l="1"/>
  <c r="F235" i="14"/>
  <c r="G235" i="14"/>
  <c r="H235" i="14"/>
  <c r="B235" i="14"/>
  <c r="C235" i="14"/>
  <c r="D235" i="14"/>
  <c r="C238" i="13"/>
  <c r="G238" i="13"/>
  <c r="F238" i="13"/>
  <c r="D238" i="13"/>
  <c r="H238" i="13"/>
  <c r="E238" i="13"/>
  <c r="B238" i="13"/>
  <c r="E236" i="14" l="1"/>
  <c r="F236" i="14"/>
  <c r="G236" i="14"/>
  <c r="H236" i="14"/>
  <c r="C236" i="14"/>
  <c r="D236" i="14"/>
  <c r="B236" i="14"/>
  <c r="C239" i="13"/>
  <c r="F239" i="13"/>
  <c r="G239" i="13"/>
  <c r="H239" i="13"/>
  <c r="D239" i="13"/>
  <c r="E239" i="13"/>
  <c r="B239" i="13"/>
  <c r="E237" i="14" l="1"/>
  <c r="F237" i="14"/>
  <c r="G237" i="14"/>
  <c r="H237" i="14"/>
  <c r="D237" i="14"/>
  <c r="B237" i="14"/>
  <c r="C237" i="14"/>
  <c r="C240" i="13"/>
  <c r="E240" i="13"/>
  <c r="G240" i="13"/>
  <c r="D240" i="13"/>
  <c r="H240" i="13"/>
  <c r="F240" i="13"/>
  <c r="B240" i="13"/>
  <c r="E238" i="14" l="1"/>
  <c r="F238" i="14"/>
  <c r="G238" i="14"/>
  <c r="H238" i="14"/>
  <c r="C238" i="14"/>
  <c r="D238" i="14"/>
  <c r="B238" i="14"/>
  <c r="C241" i="13"/>
  <c r="D241" i="13"/>
  <c r="H241" i="13"/>
  <c r="G241" i="13"/>
  <c r="E241" i="13"/>
  <c r="F241" i="13"/>
  <c r="B241" i="13"/>
  <c r="E239" i="14" l="1"/>
  <c r="F239" i="14"/>
  <c r="G239" i="14"/>
  <c r="H239" i="14"/>
  <c r="B239" i="14"/>
  <c r="D239" i="14"/>
  <c r="C239" i="14"/>
  <c r="C242" i="13"/>
  <c r="G242" i="13"/>
  <c r="H242" i="13"/>
  <c r="E242" i="13"/>
  <c r="D242" i="13"/>
  <c r="F242" i="13"/>
  <c r="B242" i="13"/>
  <c r="E240" i="14" l="1"/>
  <c r="F240" i="14"/>
  <c r="G240" i="14"/>
  <c r="H240" i="14"/>
  <c r="C240" i="14"/>
  <c r="B240" i="14"/>
  <c r="D240" i="14"/>
  <c r="C243" i="13"/>
  <c r="F243" i="13"/>
  <c r="H243" i="13"/>
  <c r="D243" i="13"/>
  <c r="E243" i="13"/>
  <c r="G243" i="13"/>
  <c r="B243" i="13"/>
  <c r="E241" i="14" l="1"/>
  <c r="F241" i="14"/>
  <c r="G241" i="14"/>
  <c r="H241" i="14"/>
  <c r="B241" i="14"/>
  <c r="D241" i="14"/>
  <c r="C241" i="14"/>
  <c r="C244" i="13"/>
  <c r="E244" i="13"/>
  <c r="H244" i="13"/>
  <c r="F244" i="13"/>
  <c r="D244" i="13"/>
  <c r="G244" i="13"/>
  <c r="B244" i="13"/>
  <c r="E242" i="14" l="1"/>
  <c r="F242" i="14"/>
  <c r="G242" i="14"/>
  <c r="H242" i="14"/>
  <c r="C242" i="14"/>
  <c r="D242" i="14"/>
  <c r="B242" i="14"/>
  <c r="C245" i="13"/>
  <c r="D245" i="13"/>
  <c r="H245" i="13"/>
  <c r="E245" i="13"/>
  <c r="F245" i="13"/>
  <c r="G245" i="13"/>
  <c r="B245" i="13"/>
  <c r="E243" i="14" l="1"/>
  <c r="F243" i="14"/>
  <c r="G243" i="14"/>
  <c r="H243" i="14"/>
  <c r="D243" i="14"/>
  <c r="B243" i="14"/>
  <c r="C243" i="14"/>
  <c r="C246" i="13"/>
  <c r="G246" i="13"/>
  <c r="D246" i="13"/>
  <c r="F246" i="13"/>
  <c r="E246" i="13"/>
  <c r="H246" i="13"/>
  <c r="B246" i="13"/>
  <c r="E244" i="14" l="1"/>
  <c r="F244" i="14"/>
  <c r="G244" i="14"/>
  <c r="H244" i="14"/>
  <c r="C244" i="14"/>
  <c r="B244" i="14"/>
  <c r="D244" i="14"/>
  <c r="C247" i="13"/>
  <c r="F247" i="13"/>
  <c r="D247" i="13"/>
  <c r="E247" i="13"/>
  <c r="G247" i="13"/>
  <c r="H247" i="13"/>
  <c r="B247" i="13"/>
  <c r="E245" i="14" l="1"/>
  <c r="F245" i="14"/>
  <c r="G245" i="14"/>
  <c r="H245" i="14"/>
  <c r="B245" i="14"/>
  <c r="D245" i="14"/>
  <c r="C245" i="14"/>
  <c r="C248" i="13"/>
  <c r="E248" i="13"/>
  <c r="D248" i="13"/>
  <c r="G248" i="13"/>
  <c r="F248" i="13"/>
  <c r="H248" i="13"/>
  <c r="B248" i="13"/>
  <c r="E246" i="14" l="1"/>
  <c r="F246" i="14"/>
  <c r="G246" i="14"/>
  <c r="H246" i="14"/>
  <c r="C246" i="14"/>
  <c r="D246" i="14"/>
  <c r="B246" i="14"/>
  <c r="C249" i="13"/>
  <c r="D249" i="13"/>
  <c r="H249" i="13"/>
  <c r="E249" i="13"/>
  <c r="F249" i="13"/>
  <c r="G249" i="13"/>
  <c r="B249" i="13"/>
  <c r="E247" i="14" l="1"/>
  <c r="F247" i="14"/>
  <c r="G247" i="14"/>
  <c r="H247" i="14"/>
  <c r="D247" i="14"/>
  <c r="B247" i="14"/>
  <c r="C247" i="14"/>
  <c r="C250" i="13"/>
  <c r="G250" i="13"/>
  <c r="E250" i="13"/>
  <c r="H250" i="13"/>
  <c r="F250" i="13"/>
  <c r="D250" i="13"/>
  <c r="B250" i="13"/>
  <c r="E248" i="14" l="1"/>
  <c r="F248" i="14"/>
  <c r="G248" i="14"/>
  <c r="H248" i="14"/>
  <c r="C248" i="14"/>
  <c r="B248" i="14"/>
  <c r="D248" i="14"/>
  <c r="C251" i="13"/>
  <c r="F251" i="13"/>
  <c r="E251" i="13"/>
  <c r="G251" i="13"/>
  <c r="H251" i="13"/>
  <c r="D251" i="13"/>
  <c r="B251" i="13"/>
  <c r="E249" i="14" l="1"/>
  <c r="F249" i="14"/>
  <c r="G249" i="14"/>
  <c r="H249" i="14"/>
  <c r="B249" i="14"/>
  <c r="D249" i="14"/>
  <c r="C249" i="14"/>
  <c r="C252" i="13"/>
  <c r="E252" i="13"/>
  <c r="F252" i="13"/>
  <c r="H252" i="13"/>
  <c r="G252" i="13"/>
  <c r="D252" i="13"/>
  <c r="B252" i="13"/>
  <c r="E250" i="14" l="1"/>
  <c r="F250" i="14"/>
  <c r="G250" i="14"/>
  <c r="H250" i="14"/>
  <c r="C250" i="14"/>
  <c r="D250" i="14"/>
  <c r="B250" i="14"/>
  <c r="C253" i="13"/>
  <c r="D253" i="13"/>
  <c r="H253" i="13"/>
  <c r="F253" i="13"/>
  <c r="G253" i="13"/>
  <c r="E253" i="13"/>
  <c r="B253" i="13"/>
  <c r="E251" i="14" l="1"/>
  <c r="F251" i="14"/>
  <c r="G251" i="14"/>
  <c r="H251" i="14"/>
  <c r="D251" i="14"/>
  <c r="B251" i="14"/>
  <c r="C251" i="14"/>
  <c r="C254" i="13"/>
  <c r="G254" i="13"/>
  <c r="F254" i="13"/>
  <c r="H254" i="13"/>
  <c r="D254" i="13"/>
  <c r="E254" i="13"/>
  <c r="B254" i="13"/>
  <c r="E252" i="14" l="1"/>
  <c r="F252" i="14"/>
  <c r="G252" i="14"/>
  <c r="H252" i="14"/>
  <c r="B252" i="14"/>
  <c r="C252" i="14"/>
  <c r="D252" i="14"/>
  <c r="E253" i="14" l="1"/>
  <c r="F253" i="14"/>
  <c r="G253" i="14"/>
  <c r="H253" i="14"/>
  <c r="B253" i="14"/>
  <c r="C253" i="14"/>
  <c r="D253" i="14"/>
  <c r="E254" i="14" l="1"/>
  <c r="F254" i="14"/>
  <c r="G254" i="14"/>
  <c r="H254" i="14"/>
  <c r="C254" i="14"/>
  <c r="D254" i="14"/>
  <c r="B254" i="1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<sst xmlns="http://schemas.openxmlformats.org/spreadsheetml/2006/main" count="4127" uniqueCount="1941">
  <si>
    <t>Geographical name</t>
  </si>
  <si>
    <t>Notes:</t>
  </si>
  <si>
    <t>Period 1</t>
  </si>
  <si>
    <t>Period 2</t>
  </si>
  <si>
    <t>Period 3</t>
  </si>
  <si>
    <t>Period 4</t>
  </si>
  <si>
    <t>Site</t>
  </si>
  <si>
    <t>Demand</t>
  </si>
  <si>
    <t>Generation</t>
  </si>
  <si>
    <t>Time periods</t>
  </si>
  <si>
    <t>Notes</t>
  </si>
  <si>
    <t>All the above times are in UK Clock time</t>
  </si>
  <si>
    <t>Saturday and Sunday
All Year</t>
  </si>
  <si>
    <t>List of data tables in this workbook</t>
  </si>
  <si>
    <t>Worksheet</t>
  </si>
  <si>
    <t>Information</t>
  </si>
  <si>
    <t>Back to Overview</t>
  </si>
  <si>
    <t xml:space="preserve">Annex 3 contains details of any preserved and additional charges that are valid at this time. </t>
  </si>
  <si>
    <t>Status</t>
  </si>
  <si>
    <t>Effective From</t>
  </si>
  <si>
    <t>PCs</t>
  </si>
  <si>
    <t>Fixed charge p/MPAN/day</t>
  </si>
  <si>
    <t>Capacity charge p/kVA/day</t>
  </si>
  <si>
    <t>Notes to users of this spreadsheet</t>
  </si>
  <si>
    <t>Notes to DNOs populating this spreadsheet</t>
  </si>
  <si>
    <t>Annex 5 LLFs</t>
  </si>
  <si>
    <t>Name</t>
  </si>
  <si>
    <t>Nodal prices</t>
  </si>
  <si>
    <t>Reactive power charge
p/kVArh</t>
  </si>
  <si>
    <t>Local charge 1
£/kVA</t>
  </si>
  <si>
    <t>Remote charge 1
£/kVA</t>
  </si>
  <si>
    <t>Import MPANs/MSIDs</t>
  </si>
  <si>
    <t>Export MPANs/MSIDs</t>
  </si>
  <si>
    <t>Annex 3 Preserved charges</t>
  </si>
  <si>
    <t>Annex 4 LDNO charges</t>
  </si>
  <si>
    <t xml:space="preserve">DNOs must endeavour to maintain consistency in the structure of this spreadsheet.
Any changes to the structure must be noted in the 'Notes to users of this spreadsheet'
</t>
  </si>
  <si>
    <t>Generic demand and generation LLFs</t>
  </si>
  <si>
    <t>Metered voltage</t>
  </si>
  <si>
    <t>Low-voltage network</t>
  </si>
  <si>
    <t>Low-voltage substation</t>
  </si>
  <si>
    <t>High-voltage network</t>
  </si>
  <si>
    <t>High-voltage substation</t>
  </si>
  <si>
    <t>33kV generic</t>
  </si>
  <si>
    <t>132kV generic</t>
  </si>
  <si>
    <t>EHV site specific LLFs</t>
  </si>
  <si>
    <t>Node/Zone ID</t>
  </si>
  <si>
    <t>Import
Unique Identifier</t>
  </si>
  <si>
    <t>Export
Unique Identifier</t>
  </si>
  <si>
    <t>Export Unique Identifier</t>
  </si>
  <si>
    <t>Import
fixed charge
(p/day)</t>
  </si>
  <si>
    <t>Export
fixed charge
(p/day)</t>
  </si>
  <si>
    <t>Red Time Band</t>
  </si>
  <si>
    <t>Amber Time Band</t>
  </si>
  <si>
    <t>Green Time Band</t>
  </si>
  <si>
    <t>Monday to Friday 
(Including Bank Holidays)
All Year</t>
  </si>
  <si>
    <t>Monday to Friday 
(Including Bank Holidays)
November to February Inclusive</t>
  </si>
  <si>
    <t>Super Red Time Band</t>
  </si>
  <si>
    <t>Black Time Band</t>
  </si>
  <si>
    <t>Yellow Time Band</t>
  </si>
  <si>
    <t>Time Periods for Designated EHV Properties</t>
  </si>
  <si>
    <t xml:space="preserve">Please use this spreadsheet with reference to the LC14 use of system charging statement. </t>
  </si>
  <si>
    <t>Note: The list of MPANs / MSIDs provided may be incomplete; the DNO reserves the right to apply the listed charges to any other MPANs / MSIDs associated with the site.
Note: This table is automatically populated based on the content of the tab entitled 'Annex 2 EHV Charges'. The timebands are as shown in Annex 2.</t>
  </si>
  <si>
    <t>Maximum import or export capacity
kVA</t>
  </si>
  <si>
    <t>Excess reactive units 
kVArh</t>
  </si>
  <si>
    <t>Tariff components</t>
  </si>
  <si>
    <t>Number of days in consumption period
i.e. 365 if one year</t>
  </si>
  <si>
    <t>Enter current consumption details</t>
  </si>
  <si>
    <t>Charge components</t>
  </si>
  <si>
    <t>Enter forecast consumption details 
(if different)</t>
  </si>
  <si>
    <t>Current consumption period charges</t>
  </si>
  <si>
    <t>Forecast consumption period charges</t>
  </si>
  <si>
    <t>Reactive power charge
£</t>
  </si>
  <si>
    <t>Capacity charge
£</t>
  </si>
  <si>
    <t>Fixed charge
£</t>
  </si>
  <si>
    <t>Total charge
£</t>
  </si>
  <si>
    <t>Charge calculator is a tool to help you estimate your distribution charges using current consumption data and forecast consumption data.</t>
  </si>
  <si>
    <t>Charge calculator</t>
  </si>
  <si>
    <t>Unit 1
£</t>
  </si>
  <si>
    <t>Unit 2
£</t>
  </si>
  <si>
    <t>Unit 3
£</t>
  </si>
  <si>
    <t>Maximum import capacity
kVA</t>
  </si>
  <si>
    <t>Maximum export capacity
kVA</t>
  </si>
  <si>
    <t>Export
Super Red
kWh</t>
  </si>
  <si>
    <t>Import
fixed charge
£</t>
  </si>
  <si>
    <t>Import
super red
kWh</t>
  </si>
  <si>
    <t>Import 
super red charge
£</t>
  </si>
  <si>
    <t>Export super red charge
£</t>
  </si>
  <si>
    <t>Export fixed charge
£</t>
  </si>
  <si>
    <t>Import
capacity charge
£</t>
  </si>
  <si>
    <t>Export capacity charge
£</t>
  </si>
  <si>
    <t>Import total charge
£</t>
  </si>
  <si>
    <t>Export total charge
£</t>
  </si>
  <si>
    <t>These charges are estimates based on tariff selected and consumption values entered.</t>
  </si>
  <si>
    <t>These charges are estimates based on site selected and consumption values entered.</t>
  </si>
  <si>
    <t>Step 1, Choose your tariff using the drop down list in cell B10</t>
  </si>
  <si>
    <t>Step 3, Enter a forecast of consumption if required in cells C14:I14</t>
  </si>
  <si>
    <t>Step 3, Enter a forecast of consumption if required in cells M14:T14</t>
  </si>
  <si>
    <r>
      <rPr>
        <sz val="12"/>
        <rFont val="Arial"/>
        <family val="2"/>
      </rPr>
      <t>Tariff details</t>
    </r>
    <r>
      <rPr>
        <sz val="10"/>
        <rFont val="Arial"/>
        <family val="2"/>
      </rPr>
      <t xml:space="preserve">
Choose tariff name from drop down box below</t>
    </r>
  </si>
  <si>
    <r>
      <rPr>
        <sz val="12"/>
        <rFont val="Arial"/>
        <family val="2"/>
      </rPr>
      <t>Site details</t>
    </r>
    <r>
      <rPr>
        <sz val="10"/>
        <rFont val="Arial"/>
        <family val="2"/>
      </rPr>
      <t xml:space="preserve">
Choose the site name from the drop down box below</t>
    </r>
  </si>
  <si>
    <t>Import
LLF
period 2</t>
  </si>
  <si>
    <t>Import
LLF
period 1</t>
  </si>
  <si>
    <t>Import
LLF
period 3</t>
  </si>
  <si>
    <t>Import
LLF
period 4</t>
  </si>
  <si>
    <t>Export
LLF
period 1</t>
  </si>
  <si>
    <t>Export
LLF
period 2</t>
  </si>
  <si>
    <t>Export
LLF
period 3</t>
  </si>
  <si>
    <t>Export
LLF
period 4</t>
  </si>
  <si>
    <t>Import
capacity charge
(p/kVA/day)</t>
  </si>
  <si>
    <t>Export
capacity charge
(p/kVA/day)</t>
  </si>
  <si>
    <t>Import
Super Red
unit charge
(p/kWh)</t>
  </si>
  <si>
    <t>Export
Super Red
unit charge
(p/kWh)</t>
  </si>
  <si>
    <t>The drop down list on the charge calculator can be expanded by unprotecting the charge calculator sheet and selecting 'data', 'data validation...' and then expanding the 'source' data range. The sheet can then be protected.</t>
  </si>
  <si>
    <t>Final</t>
  </si>
  <si>
    <t>Company and Licence name, charging year, effective from, status</t>
  </si>
  <si>
    <t>Company and Licence name</t>
  </si>
  <si>
    <t>Year</t>
  </si>
  <si>
    <t>Tariff name</t>
  </si>
  <si>
    <t>Exceeded capacity charge
p/kVA/day</t>
  </si>
  <si>
    <t>Import
exceeded capacity charge
(p/kVA/day)</t>
  </si>
  <si>
    <t>Export
exceeded capacity charge
(p/kVA/day)</t>
  </si>
  <si>
    <t>Average daily exceeded capacity
kVA</t>
  </si>
  <si>
    <t>Exceeded capacity charge
£</t>
  </si>
  <si>
    <t>Import exceeded capacity charge
£</t>
  </si>
  <si>
    <t>Export exceeded capacity charge
£</t>
  </si>
  <si>
    <t>Annex 6 - Charges for New or Amended Designated EHV Properties</t>
  </si>
  <si>
    <t>Annex 5 has been intentionally left blank as this charging statement is published a complete year before the LLFs have been audited.
The line loss factors that are approved by the BSC Panel for the applicable year and consequently published on the Elexon website will take precedence and be used in Settlement. This annex will be re-published with these values once they are available.</t>
  </si>
  <si>
    <t>Annex 6  Charges for New or Amended Designated EHV Properties</t>
  </si>
  <si>
    <t>Effective from date</t>
  </si>
  <si>
    <t>Domestic Aggregated</t>
  </si>
  <si>
    <t>Non-Domestic Aggregated (related MPAN)</t>
  </si>
  <si>
    <t>Unmetered Supplies</t>
  </si>
  <si>
    <t>LV Generation Aggregated</t>
  </si>
  <si>
    <t>LV Sub Generation Aggregated</t>
  </si>
  <si>
    <t>LV Generation Site Specific</t>
  </si>
  <si>
    <t>LV Generation Site Specific no RP charge</t>
  </si>
  <si>
    <t>LV Sub Generation Site Specific</t>
  </si>
  <si>
    <t>LV Sub Generation Site Specific no RP charge</t>
  </si>
  <si>
    <t>HV Generation Site Specific</t>
  </si>
  <si>
    <t>HV Generation Site Specific no RP charge</t>
  </si>
  <si>
    <t>Time Bands for LV and HV Designated Properties</t>
  </si>
  <si>
    <t>Time Bands for Unmetered Properties</t>
  </si>
  <si>
    <t>Red/black unit charge
p/kWh</t>
  </si>
  <si>
    <t>Green unit charge
p/kWh</t>
  </si>
  <si>
    <t>Amber/yellow unit charge
p/kWh</t>
  </si>
  <si>
    <t>Annex 1 contains the charges to LV and HV Designated Properties and Unmetered Supplies.</t>
  </si>
  <si>
    <t>LV and HV designated properties and Unmetered Supplies tariff calculator</t>
  </si>
  <si>
    <t>EHV designated property calculator</t>
  </si>
  <si>
    <t>Red unit charge
p/kWh</t>
  </si>
  <si>
    <t>Black unit charge
p/kWh</t>
  </si>
  <si>
    <t>Amber unit charge
p/kWh</t>
  </si>
  <si>
    <t>Yellow unit charge
p/kWh</t>
  </si>
  <si>
    <t>Fixed charge 
p/MPAN/day</t>
  </si>
  <si>
    <t>Capacity charge 
p/kVA/day</t>
  </si>
  <si>
    <t>Exceeded Capacity charge 
p/kVA/day</t>
  </si>
  <si>
    <t>n/a</t>
  </si>
  <si>
    <t>Annex 1 LV, HV and Unmetered Supplies charges</t>
  </si>
  <si>
    <t>Standard Settlement Configuration Id</t>
  </si>
  <si>
    <t>Standard Settlement Configuration Desc</t>
  </si>
  <si>
    <t>10-hour OP</t>
  </si>
  <si>
    <t>10-hour OP + w/e</t>
  </si>
  <si>
    <t>10.5-hour OP</t>
  </si>
  <si>
    <t>11 Hour OP</t>
  </si>
  <si>
    <t>11.5-hour OP</t>
  </si>
  <si>
    <t>11-hour OP</t>
  </si>
  <si>
    <t>8.5-hour OP</t>
  </si>
  <si>
    <t>9-hour OP</t>
  </si>
  <si>
    <t>11-hour OP + Summer</t>
  </si>
  <si>
    <t>11-hour OP + w/e</t>
  </si>
  <si>
    <t>11-hour OP + w/e &amp; Summer</t>
  </si>
  <si>
    <t>11-hour OP + weekends</t>
  </si>
  <si>
    <t>12-hour  OP + w/e &amp; Summer</t>
  </si>
  <si>
    <t>12-hour night</t>
  </si>
  <si>
    <t>12-hour OP</t>
  </si>
  <si>
    <t>Key Meter pseudo 2-rate</t>
  </si>
  <si>
    <t>8-hour OP (see also SSC 427)</t>
  </si>
  <si>
    <t>12-hour OP + Summer</t>
  </si>
  <si>
    <t>12.5-hour OP</t>
  </si>
  <si>
    <t>12.5-hour OP + Summer</t>
  </si>
  <si>
    <t>12.5-hour OP + w/e</t>
  </si>
  <si>
    <t>12.5-hour OP + w/e &amp; Summer</t>
  </si>
  <si>
    <t>14-hour E7</t>
  </si>
  <si>
    <t>14-hour Off Peak</t>
  </si>
  <si>
    <t>14-hour OP + Sun</t>
  </si>
  <si>
    <t>14.5-hour OP</t>
  </si>
  <si>
    <t>14.5-hour OP + Summer</t>
  </si>
  <si>
    <t>split 7-hour E7</t>
  </si>
  <si>
    <t>14.5-hour OP + w/e</t>
  </si>
  <si>
    <t>14.5-hour OP + w/e &amp; Summer</t>
  </si>
  <si>
    <t>15-hour OP</t>
  </si>
  <si>
    <t>15-hour OP + w/e &amp; Summer</t>
  </si>
  <si>
    <t>15.5-hour OP</t>
  </si>
  <si>
    <t>15.5-hour OP + Summer</t>
  </si>
  <si>
    <t>15.5-hour OP + w/e</t>
  </si>
  <si>
    <t>15.5-hour OP + w/e &amp; Summer</t>
  </si>
  <si>
    <t>2-rate terms</t>
  </si>
  <si>
    <t>2-rate SToD</t>
  </si>
  <si>
    <t>2-rate variable SToD</t>
  </si>
  <si>
    <t>7-hour E7</t>
  </si>
  <si>
    <t>3-rate SToD</t>
  </si>
  <si>
    <t>Dom/Non-dom Seasonal (link SSC 0342)</t>
  </si>
  <si>
    <t>3-rate variable</t>
  </si>
  <si>
    <t>4-rate SToD</t>
  </si>
  <si>
    <t>5-rate SToD</t>
  </si>
  <si>
    <t>6-rate SToD</t>
  </si>
  <si>
    <t>7-hour OP (see also SSC 0185)</t>
  </si>
  <si>
    <t>Smart 7, heating</t>
  </si>
  <si>
    <t>7-hour E7 (Cornwall &amp; def reinforcement)</t>
  </si>
  <si>
    <t>Supertariff heating</t>
  </si>
  <si>
    <t>7-hour E7 (differential switching)</t>
  </si>
  <si>
    <t>7-hour night</t>
  </si>
  <si>
    <t>Economy 7 Day &amp; Night</t>
  </si>
  <si>
    <t>7-hour OP</t>
  </si>
  <si>
    <t>7-hour variable E7 (Menter B)</t>
  </si>
  <si>
    <t>7-hour variable E7 (Menter A)</t>
  </si>
  <si>
    <t>8-hour E7</t>
  </si>
  <si>
    <t>8-hour night</t>
  </si>
  <si>
    <t>10-hour night</t>
  </si>
  <si>
    <t>8-hour OP</t>
  </si>
  <si>
    <t>8-hour OP + Summer</t>
  </si>
  <si>
    <t>8-hour OP + w/e</t>
  </si>
  <si>
    <t>8-hour OP + w/e &amp; Summer</t>
  </si>
  <si>
    <t>8-hour OP + weekends</t>
  </si>
  <si>
    <t>9-hour night</t>
  </si>
  <si>
    <t>9-hour night (differential switching)</t>
  </si>
  <si>
    <t>9-hour OP + w/e</t>
  </si>
  <si>
    <t>Boiler</t>
  </si>
  <si>
    <t>Budget Warmth</t>
  </si>
  <si>
    <t>Flexiheat Day/Evening/Weekend</t>
  </si>
  <si>
    <t>Flexiheat (weather) Day/Evening/Weekend</t>
  </si>
  <si>
    <t>Superdeal Day/Night</t>
  </si>
  <si>
    <t>Domestic heating tariff</t>
  </si>
  <si>
    <t>Superdeal (weather) Day/Night</t>
  </si>
  <si>
    <t>E10 type 1 (general purpose)</t>
  </si>
  <si>
    <t>7-hour OP (see also SSC 186)</t>
  </si>
  <si>
    <t>Domestic E9 A</t>
  </si>
  <si>
    <t>13-hour OP</t>
  </si>
  <si>
    <t>Evening/night</t>
  </si>
  <si>
    <t>Evening/Weekend</t>
  </si>
  <si>
    <t>12-hour Evening/Weekend</t>
  </si>
  <si>
    <t>Domestic E9 B</t>
  </si>
  <si>
    <t>Evening/Weekend E7</t>
  </si>
  <si>
    <t>3-rate heating, (link SSC 0343)</t>
  </si>
  <si>
    <t>Grain Drying</t>
  </si>
  <si>
    <t>Grain drying</t>
  </si>
  <si>
    <t>Heating</t>
  </si>
  <si>
    <t>Local Authority Heating</t>
  </si>
  <si>
    <t>Dom &amp; Non-dom Seasonal (link SSC 0128)</t>
  </si>
  <si>
    <t>3-rate heating, water heating</t>
  </si>
  <si>
    <t>7-hour E7, Day + Night (link SSC 0345)</t>
  </si>
  <si>
    <t>7-hour E7, Day + Night (link SSC 0344)</t>
  </si>
  <si>
    <t>Non-Standard OP (8+3 hour)</t>
  </si>
  <si>
    <t>Non-Standard OP</t>
  </si>
  <si>
    <t>Warmwise heating</t>
  </si>
  <si>
    <t>Flexiheat heating</t>
  </si>
  <si>
    <t>Flexiheat (weather) heating</t>
  </si>
  <si>
    <t>Superdeal heating</t>
  </si>
  <si>
    <t>Smart 7, Day/Night</t>
  </si>
  <si>
    <t>split 10-hour Heatwise</t>
  </si>
  <si>
    <t>Summer &amp; Winter w/e</t>
  </si>
  <si>
    <t>Summer Unrestricted</t>
  </si>
  <si>
    <t>Unrestricted</t>
  </si>
  <si>
    <t>Warmwise Day/Night</t>
  </si>
  <si>
    <t>9-hour heating</t>
  </si>
  <si>
    <t>12-hour OP + w/e</t>
  </si>
  <si>
    <t>15-hour OP + w/e</t>
  </si>
  <si>
    <t>E10 type 1(heating circuit)</t>
  </si>
  <si>
    <t>Redring Boiler (general purpose)</t>
  </si>
  <si>
    <t>Redring Boiler (heating circuit)</t>
  </si>
  <si>
    <t>Cyclocontrol 3</t>
  </si>
  <si>
    <t>Cyclocontrol 4</t>
  </si>
  <si>
    <t>Cyclocontrol 5</t>
  </si>
  <si>
    <t>Cyclocontrol 6</t>
  </si>
  <si>
    <t>Cyclocontrol 7</t>
  </si>
  <si>
    <t>Cyclocontrol 8</t>
  </si>
  <si>
    <t>Cyclocontrol 9</t>
  </si>
  <si>
    <t>Cyclocontrol 10</t>
  </si>
  <si>
    <t>Cyclocontrol 11</t>
  </si>
  <si>
    <t>Cyclocontrol 12</t>
  </si>
  <si>
    <t>Cyclocontrol 13</t>
  </si>
  <si>
    <t>Cyclocontrol 14</t>
  </si>
  <si>
    <t>Cyclocontrol 15</t>
  </si>
  <si>
    <t>Cyclocontrol 16</t>
  </si>
  <si>
    <t>Cyclocontrol 17</t>
  </si>
  <si>
    <t>Cyclocontrol 18</t>
  </si>
  <si>
    <t>Cyclocontrol 19</t>
  </si>
  <si>
    <t>Cyclocontrol 20</t>
  </si>
  <si>
    <t>Cyclocontrol 21</t>
  </si>
  <si>
    <t>Superdeal (weather) heating</t>
  </si>
  <si>
    <t>Day/Night (White meter)</t>
  </si>
  <si>
    <t>Unmetered Type A ("flat" profile)</t>
  </si>
  <si>
    <t>Unmetered B ("dusk-to-dawn")</t>
  </si>
  <si>
    <t>Unmetered C ("half-night &amp; pre-dawn")</t>
  </si>
  <si>
    <t>Unmetered D ("dawn-to-dusk")</t>
  </si>
  <si>
    <t>12 Hour OP</t>
  </si>
  <si>
    <t>Domestic 3-rate heating</t>
  </si>
  <si>
    <t>3-Rate Seasonal</t>
  </si>
  <si>
    <t>Lifestyle Tariff</t>
  </si>
  <si>
    <t>Split 7-hour E7</t>
  </si>
  <si>
    <t>3-rate ToW</t>
  </si>
  <si>
    <t>7-hour variable E7</t>
  </si>
  <si>
    <t>12 Hours OP</t>
  </si>
  <si>
    <t>8 Hours OP</t>
  </si>
  <si>
    <t>10.5 Hours OP</t>
  </si>
  <si>
    <t>Weekender Tariff (V1)</t>
  </si>
  <si>
    <t>Weekender Tariff (V2)</t>
  </si>
  <si>
    <t>Maximum Demand Register</t>
  </si>
  <si>
    <t>Economy 7 - all purpose tariff G63</t>
  </si>
  <si>
    <t>split 7hr o/p</t>
  </si>
  <si>
    <t>Split 7hr E7</t>
  </si>
  <si>
    <t>14.5 hr o/p</t>
  </si>
  <si>
    <t>Micro-PV Export Import Profile Class 1</t>
  </si>
  <si>
    <t>Micro-PV Export Import Profile Class 2</t>
  </si>
  <si>
    <t>Micro-PV Export Import Profile Class 3</t>
  </si>
  <si>
    <t>Micro-PV Export Import Profile Class 4</t>
  </si>
  <si>
    <t>Micro-PV Export Import Profile Class 5</t>
  </si>
  <si>
    <t>Micro-PV Export Import Profile Class 6</t>
  </si>
  <si>
    <t>Micro-PV Export Import Profile Class 7</t>
  </si>
  <si>
    <t>Micro-PV Export Import Profile Class 8</t>
  </si>
  <si>
    <t>Micro-CHP Export Import Profile Class 1</t>
  </si>
  <si>
    <t>Micro-CHP Export Import Profile Class 2</t>
  </si>
  <si>
    <t>Micro-CHP Export Import Profile Class 3</t>
  </si>
  <si>
    <t>Micro-CHP Export Import Profile Class 4</t>
  </si>
  <si>
    <t>Micro-CHP Export Import Profile Class 5</t>
  </si>
  <si>
    <t>Micro-CHP Export Import Profile Class 6</t>
  </si>
  <si>
    <t>Micro-CHP Export Import Profile Class 7</t>
  </si>
  <si>
    <t>Micro-CHP Export Import Profile Class 8</t>
  </si>
  <si>
    <t>Other Sml Export SSC any import Profile</t>
  </si>
  <si>
    <t>8.5-hour OP + w/e</t>
  </si>
  <si>
    <t>16-hour OP + w/e</t>
  </si>
  <si>
    <t>20-hour OP + w/e</t>
  </si>
  <si>
    <t>20-hour OP + w/e + summer</t>
  </si>
  <si>
    <t>8.5 hour WM</t>
  </si>
  <si>
    <t>8.5 hour WM Heating</t>
  </si>
  <si>
    <t>Weathercall heating</t>
  </si>
  <si>
    <t>18-hour dynamic</t>
  </si>
  <si>
    <t>Crop&amp;Air Conditioning</t>
  </si>
  <si>
    <t>E7 accompanying Birmingam W'call</t>
  </si>
  <si>
    <t>Birmingham Weathercall</t>
  </si>
  <si>
    <t>E7 accompanying Manchester W'call</t>
  </si>
  <si>
    <t>Manchester Weathercall</t>
  </si>
  <si>
    <t>E7 accompanying Anglesey W'call</t>
  </si>
  <si>
    <t>Anglesey Weathercall</t>
  </si>
  <si>
    <t>Two rate with 8 hours night</t>
  </si>
  <si>
    <t>Dynamic</t>
  </si>
  <si>
    <t>11 Hours OP</t>
  </si>
  <si>
    <t>8 Hours OP + Weekends</t>
  </si>
  <si>
    <t>15 Hours OP + Weekends</t>
  </si>
  <si>
    <t>15 Hours Nov - April/24 Hours May - Oct</t>
  </si>
  <si>
    <t>2 rate</t>
  </si>
  <si>
    <t>Unmetered Type A ("flat " profile)</t>
  </si>
  <si>
    <t>Seasonal ToD</t>
  </si>
  <si>
    <t>Split 10 hr E10</t>
  </si>
  <si>
    <t>NHH Export Hydro Profile Class</t>
  </si>
  <si>
    <t>NHH Export Wind Profile Class</t>
  </si>
  <si>
    <t>Smart Meter 3 Rate Time of Day</t>
  </si>
  <si>
    <t>10 hour Evening/Weekend</t>
  </si>
  <si>
    <t>General Purpose 2 Rate (paired wth 0950)</t>
  </si>
  <si>
    <t>E10 Heating Single Rate (prd wth 0949)</t>
  </si>
  <si>
    <t>E9 Heating</t>
  </si>
  <si>
    <t>General Purpose 2 Rate (paired wth 0951)</t>
  </si>
  <si>
    <t>Two rate with 20 hours night</t>
  </si>
  <si>
    <t>Three Rate Peak Day Other</t>
  </si>
  <si>
    <t>4 rate weekday/2 rate weekend</t>
  </si>
  <si>
    <t>4 Rate Weekday/2 rate Weekend (BST)</t>
  </si>
  <si>
    <t>Unrestricted with  Weekday Peak</t>
  </si>
  <si>
    <t>Unrestricted with Peak</t>
  </si>
  <si>
    <t>Economy 7 with Weekday Peak</t>
  </si>
  <si>
    <t>Economy 7 with Peak</t>
  </si>
  <si>
    <t>Evening Weekend and Weekday Peak (smart)</t>
  </si>
  <si>
    <t>Evening Weekend with Peak</t>
  </si>
  <si>
    <t>Evening Weekend Night and Peak</t>
  </si>
  <si>
    <t>Evening Weekend with Night (BST)</t>
  </si>
  <si>
    <t>3 Rate with Weekday Peak</t>
  </si>
  <si>
    <t>Smart meter trial - time of use 3 rate</t>
  </si>
  <si>
    <t>2 Rate Saturday Off Peak</t>
  </si>
  <si>
    <t>Saturday Off Peak (9-5)</t>
  </si>
  <si>
    <t>Sunday Off Peak (9-5)</t>
  </si>
  <si>
    <t>General Purpose 2 Rate (paired with 0980</t>
  </si>
  <si>
    <t>E10 Heating Single Rate (prd with 0981)</t>
  </si>
  <si>
    <t>Evening Saver</t>
  </si>
  <si>
    <t>Comfort Booster</t>
  </si>
  <si>
    <t>Saturday Off Peak (24 Hrs)</t>
  </si>
  <si>
    <t>Sunday Off Peak (24 Hrs)</t>
  </si>
  <si>
    <t>Evening/Weekend - BST</t>
  </si>
  <si>
    <t>Common Decode</t>
  </si>
  <si>
    <t>Change implemented</t>
  </si>
  <si>
    <t>Date</t>
  </si>
  <si>
    <t>Comments</t>
  </si>
  <si>
    <t>U</t>
  </si>
  <si>
    <t>G</t>
  </si>
  <si>
    <t>Notes updated</t>
  </si>
  <si>
    <t>Updated to reflect DCP 268 which delinks all tariffs from the TPR bands</t>
  </si>
  <si>
    <t>A</t>
  </si>
  <si>
    <t>A/R</t>
  </si>
  <si>
    <t>Code O changed to A/R</t>
  </si>
  <si>
    <t>Code 1 &amp; 2 changed to A</t>
  </si>
  <si>
    <t>Removed TPR</t>
  </si>
  <si>
    <t>Removed TPR lookup element as this no longer effects which rate to apply</t>
  </si>
  <si>
    <t>LDNO LV: Non-Domestic Aggregated (related MPAN)</t>
  </si>
  <si>
    <t>LDNO LV: Unmetered Supplies</t>
  </si>
  <si>
    <t>LDNO LV: LV Generation Aggregated</t>
  </si>
  <si>
    <t>LDNO LV: LV Generation Site Specific</t>
  </si>
  <si>
    <t>LDNO HV: Non-Domestic Aggregated (related MPAN)</t>
  </si>
  <si>
    <t>LDNO HV: Unmetered Supplies</t>
  </si>
  <si>
    <t>LDNO HV: LV Generation Aggregated</t>
  </si>
  <si>
    <t>LDNO HV: LV Sub Generation Aggregated</t>
  </si>
  <si>
    <t>LDNO HV: LV Generation Site Specific</t>
  </si>
  <si>
    <t>LDNO HV: LV Sub Generation Site Specific</t>
  </si>
  <si>
    <t>LDNO HV: HV Generation Site Specific</t>
  </si>
  <si>
    <t>LDNO HVplus: Non-Domestic Aggregated (related MPAN)</t>
  </si>
  <si>
    <t>LDNO HVplus: Unmetered Supplies</t>
  </si>
  <si>
    <t>LDNO HVplus: LV Generation Aggregated</t>
  </si>
  <si>
    <t>LDNO HVplus: LV Sub Generation Aggregated</t>
  </si>
  <si>
    <t>LDNO HVplus: LV Generation Site Specific</t>
  </si>
  <si>
    <t>LDNO HVplus: LV Sub Generation Site Specific</t>
  </si>
  <si>
    <t>LDNO HVplus: HV Generation Site Specific</t>
  </si>
  <si>
    <t>LDNO EHV: Non-Domestic Aggregated (related MPAN)</t>
  </si>
  <si>
    <t>LDNO EHV: Unmetered Supplies</t>
  </si>
  <si>
    <t>LDNO EHV: LV Generation Aggregated</t>
  </si>
  <si>
    <t>LDNO EHV: LV Sub Generation Aggregated</t>
  </si>
  <si>
    <t>LDNO EHV: LV Generation Site Specific</t>
  </si>
  <si>
    <t>LDNO EHV: LV Sub Generation Site Specific</t>
  </si>
  <si>
    <t>LDNO EHV: HV Generation Site Specific</t>
  </si>
  <si>
    <t>LDNO 132kV/EHV: Non-Domestic Aggregated (related MPAN)</t>
  </si>
  <si>
    <t>LDNO 132kV/EHV: Unmetered Supplies</t>
  </si>
  <si>
    <t>LDNO 132kV/EHV: LV Generation Aggregated</t>
  </si>
  <si>
    <t>LDNO 132kV/EHV: LV Sub Generation Aggregated</t>
  </si>
  <si>
    <t>LDNO 132kV/EHV: LV Generation Site Specific</t>
  </si>
  <si>
    <t>LDNO 132kV/EHV: LV Sub Generation Site Specific</t>
  </si>
  <si>
    <t>LDNO 132kV/EHV: HV Generation Site Specific</t>
  </si>
  <si>
    <t>LDNO 132kV: Non-Domestic Aggregated (related MPAN)</t>
  </si>
  <si>
    <t>LDNO 132kV: Unmetered Supplies</t>
  </si>
  <si>
    <t>LDNO 132kV: LV Generation Aggregated</t>
  </si>
  <si>
    <t>LDNO 132kV: LV Sub Generation Aggregated</t>
  </si>
  <si>
    <t>LDNO 132kV: LV Generation Site Specific</t>
  </si>
  <si>
    <t>LDNO 132kV: LV Sub Generation Site Specific</t>
  </si>
  <si>
    <t>LDNO 132kV: HV Generation Site Specific</t>
  </si>
  <si>
    <t>LDNO 0000: Non-Domestic Aggregated (related MPAN)</t>
  </si>
  <si>
    <t>LDNO 0000: Unmetered Supplies</t>
  </si>
  <si>
    <t>LDNO 0000: LV Generation Aggregated</t>
  </si>
  <si>
    <t>LDNO 0000: LV Sub Generation Aggregated</t>
  </si>
  <si>
    <t>LDNO 0000: LV Generation Site Specific</t>
  </si>
  <si>
    <t>LDNO 0000: LV Sub Generation Site Specific</t>
  </si>
  <si>
    <t>LDNO 0000: HV Generation Site Specific</t>
  </si>
  <si>
    <t>Unique billing identifier</t>
  </si>
  <si>
    <t>Supplier of Last Resort 
Fixed charge adder*
p/MPAN/day</t>
  </si>
  <si>
    <t>Annex 7  Fixed adders for Supplier of Last Resort and Eligible Bad Debt pass-through costs</t>
  </si>
  <si>
    <t>Annex 7 contains the fixed adders to recover Supplier of Last Resort and Eligible Bad Debt pass-through costs.
The Excess Supplier of Last Resort fixed adder relates to an increase to previously published charges only.</t>
  </si>
  <si>
    <t>Domestic Aggregated (Related MPAN)</t>
  </si>
  <si>
    <t>LV Site Specific No Residual</t>
  </si>
  <si>
    <t>LV Site Specific Band 1</t>
  </si>
  <si>
    <t>LV Site Specific Band 2</t>
  </si>
  <si>
    <t>LV Site Specific Band 3</t>
  </si>
  <si>
    <t>LV Site Specific Band 4</t>
  </si>
  <si>
    <t>LV Sub Site Specific No Residual</t>
  </si>
  <si>
    <t>LV Sub Site Specific Band 1</t>
  </si>
  <si>
    <t>LV Sub Site Specific Band 2</t>
  </si>
  <si>
    <t>LV Sub Site Specific Band 3</t>
  </si>
  <si>
    <t>LV Sub Site Specific Band 4</t>
  </si>
  <si>
    <t>HV Site Specific No Residual</t>
  </si>
  <si>
    <t>HV Site Specific Band 1</t>
  </si>
  <si>
    <t>HV Site Specific Band 2</t>
  </si>
  <si>
    <t>HV Site Specific Band 3</t>
  </si>
  <si>
    <t>HV Site Specific Band 4</t>
  </si>
  <si>
    <t>LDNO LV: LV Site Specific No Residual</t>
  </si>
  <si>
    <t>LDNO LV: LV Site Specific Band 1</t>
  </si>
  <si>
    <t>LDNO LV: LV Site Specific Band 2</t>
  </si>
  <si>
    <t>LDNO LV: LV Site Specific Band 3</t>
  </si>
  <si>
    <t>LDNO LV: LV Site Specific Band 4</t>
  </si>
  <si>
    <t>LDNO HV: Domestic Aggregated (Related MPAN)</t>
  </si>
  <si>
    <t>LDNO HV: LV Site Specific No Residual</t>
  </si>
  <si>
    <t>LDNO HV: LV Site Specific Band 1</t>
  </si>
  <si>
    <t>LDNO HV: LV Site Specific Band 2</t>
  </si>
  <si>
    <t>LDNO HV: LV Site Specific Band 3</t>
  </si>
  <si>
    <t>LDNO HV: LV Site Specific Band 4</t>
  </si>
  <si>
    <t>LDNO HV: LV Sub Site Specific No Residual</t>
  </si>
  <si>
    <t>LDNO HV: LV Sub Site Specific Band 1</t>
  </si>
  <si>
    <t>LDNO HV: LV Sub Site Specific Band 2</t>
  </si>
  <si>
    <t>LDNO HV: LV Sub Site Specific Band 3</t>
  </si>
  <si>
    <t>LDNO HV: LV Sub Site Specific Band 4</t>
  </si>
  <si>
    <t>LDNO HV: HV Site Specific No Residual</t>
  </si>
  <si>
    <t>LDNO HV: HV Site Specific Band 1</t>
  </si>
  <si>
    <t>LDNO HV: HV Site Specific Band 2</t>
  </si>
  <si>
    <t>LDNO HV: HV Site Specific Band 3</t>
  </si>
  <si>
    <t>LDNO HV: HV Site Specific Band 4</t>
  </si>
  <si>
    <t>LDNO 0000: LV Site Specific No Residual</t>
  </si>
  <si>
    <t>LDNO 0000: LV Site Specific Band 1</t>
  </si>
  <si>
    <t>LDNO 0000: LV Site Specific Band 2</t>
  </si>
  <si>
    <t>LDNO 0000: LV Site Specific Band 3</t>
  </si>
  <si>
    <t>LDNO 0000: LV Site Specific Band 4</t>
  </si>
  <si>
    <t>LDNO 0000: LV Sub Site Specific No Residual</t>
  </si>
  <si>
    <t>LDNO 0000: LV Sub Site Specific Band 1</t>
  </si>
  <si>
    <t>LDNO 0000: LV Sub Site Specific Band 2</t>
  </si>
  <si>
    <t>LDNO 0000: LV Sub Site Specific Band 3</t>
  </si>
  <si>
    <t>LDNO 0000: LV Sub Site Specific Band 4</t>
  </si>
  <si>
    <t>LDNO 0000: HV Site Specific No Residual</t>
  </si>
  <si>
    <t>LDNO 0000: HV Site Specific Band 1</t>
  </si>
  <si>
    <t>LDNO 0000: HV Site Specific Band 2</t>
  </si>
  <si>
    <t>LDNO 0000: HV Site Specific Band 3</t>
  </si>
  <si>
    <t>LDNO 0000: HV Site Specific Band 4</t>
  </si>
  <si>
    <t>LDNO 132kV: LV Site Specific No Residual</t>
  </si>
  <si>
    <t>LDNO 132kV: LV Site Specific Band 1</t>
  </si>
  <si>
    <t>LDNO 132kV: LV Site Specific Band 2</t>
  </si>
  <si>
    <t>LDNO 132kV: LV Site Specific Band 3</t>
  </si>
  <si>
    <t>LDNO 132kV: LV Site Specific Band 4</t>
  </si>
  <si>
    <t>LDNO 132kV: LV Sub Site Specific No Residual</t>
  </si>
  <si>
    <t>LDNO 132kV: LV Sub Site Specific Band 1</t>
  </si>
  <si>
    <t>LDNO 132kV: LV Sub Site Specific Band 2</t>
  </si>
  <si>
    <t>LDNO 132kV: LV Sub Site Specific Band 3</t>
  </si>
  <si>
    <t>LDNO 132kV: LV Sub Site Specific Band 4</t>
  </si>
  <si>
    <t>LDNO 132kV: HV Site Specific No Residual</t>
  </si>
  <si>
    <t>LDNO 132kV: HV Site Specific Band 1</t>
  </si>
  <si>
    <t>LDNO 132kV: HV Site Specific Band 2</t>
  </si>
  <si>
    <t>LDNO 132kV: HV Site Specific Band 3</t>
  </si>
  <si>
    <t>LDNO 132kV: HV Site Specific Band 4</t>
  </si>
  <si>
    <t>LDNO 132kV/EHV: LV Site Specific No Residual</t>
  </si>
  <si>
    <t>LDNO 132kV/EHV: LV Site Specific Band 1</t>
  </si>
  <si>
    <t>LDNO 132kV/EHV: LV Site Specific Band 2</t>
  </si>
  <si>
    <t>LDNO 132kV/EHV: LV Site Specific Band 3</t>
  </si>
  <si>
    <t>LDNO 132kV/EHV: LV Site Specific Band 4</t>
  </si>
  <si>
    <t>LDNO 132kV/EHV: LV Sub Site Specific No Residual</t>
  </si>
  <si>
    <t>LDNO 132kV/EHV: LV Sub Site Specific Band 1</t>
  </si>
  <si>
    <t>LDNO 132kV/EHV: LV Sub Site Specific Band 2</t>
  </si>
  <si>
    <t>LDNO 132kV/EHV: LV Sub Site Specific Band 3</t>
  </si>
  <si>
    <t>LDNO 132kV/EHV: LV Sub Site Specific Band 4</t>
  </si>
  <si>
    <t>LDNO 132kV/EHV: HV Site Specific No Residual</t>
  </si>
  <si>
    <t>LDNO 132kV/EHV: HV Site Specific Band 1</t>
  </si>
  <si>
    <t>LDNO 132kV/EHV: HV Site Specific Band 2</t>
  </si>
  <si>
    <t>LDNO 132kV/EHV: HV Site Specific Band 3</t>
  </si>
  <si>
    <t>LDNO 132kV/EHV: HV Site Specific Band 4</t>
  </si>
  <si>
    <t>LDNO EHV: LV Site Specific No Residual</t>
  </si>
  <si>
    <t>LDNO EHV: LV Site Specific Band 1</t>
  </si>
  <si>
    <t>LDNO EHV: LV Site Specific Band 2</t>
  </si>
  <si>
    <t>LDNO EHV: LV Site Specific Band 3</t>
  </si>
  <si>
    <t>LDNO EHV: LV Site Specific Band 4</t>
  </si>
  <si>
    <t>LDNO EHV: LV Sub Site Specific No Residual</t>
  </si>
  <si>
    <t>LDNO EHV: LV Sub Site Specific Band 1</t>
  </si>
  <si>
    <t>LDNO EHV: LV Sub Site Specific Band 2</t>
  </si>
  <si>
    <t>LDNO EHV: LV Sub Site Specific Band 3</t>
  </si>
  <si>
    <t>LDNO EHV: LV Sub Site Specific Band 4</t>
  </si>
  <si>
    <t>LDNO EHV: HV Site Specific No Residual</t>
  </si>
  <si>
    <t>LDNO EHV: HV Site Specific Band 1</t>
  </si>
  <si>
    <t>LDNO EHV: HV Site Specific Band 2</t>
  </si>
  <si>
    <t>LDNO EHV: HV Site Specific Band 3</t>
  </si>
  <si>
    <t>LDNO EHV: HV Site Specific Band 4</t>
  </si>
  <si>
    <t>LDNO HVplus: LV Site Specific No Residual</t>
  </si>
  <si>
    <t>LDNO HVplus: LV Site Specific Band 1</t>
  </si>
  <si>
    <t>LDNO HVplus: LV Site Specific Band 2</t>
  </si>
  <si>
    <t>LDNO HVplus: LV Site Specific Band 3</t>
  </si>
  <si>
    <t>LDNO HVplus: LV Site Specific Band 4</t>
  </si>
  <si>
    <t>LDNO HVplus: LV Sub Site Specific No Residual</t>
  </si>
  <si>
    <t>LDNO HVplus: LV Sub Site Specific Band 1</t>
  </si>
  <si>
    <t>LDNO HVplus: LV Sub Site Specific Band 2</t>
  </si>
  <si>
    <t>LDNO HVplus: LV Sub Site Specific Band 3</t>
  </si>
  <si>
    <t>LDNO HVplus: LV Sub Site Specific Band 4</t>
  </si>
  <si>
    <t>LDNO HVplus: HV Site Specific No Residual</t>
  </si>
  <si>
    <t>LDNO HVplus: HV Site Specific Band 1</t>
  </si>
  <si>
    <t>LDNO HVplus: HV Site Specific Band 2</t>
  </si>
  <si>
    <t>LDNO HVplus: HV Site Specific Band 3</t>
  </si>
  <si>
    <t>LDNO HVplus: HV Site Specific Band 4</t>
  </si>
  <si>
    <t>Residual Charging Bandings</t>
  </si>
  <si>
    <t>Band</t>
  </si>
  <si>
    <t>Contains the four Residual charging band allocation for Customers</t>
  </si>
  <si>
    <t>Single band</t>
  </si>
  <si>
    <t>-</t>
  </si>
  <si>
    <t>Voltage of Connection</t>
  </si>
  <si>
    <t>Units</t>
  </si>
  <si>
    <t>kWh</t>
  </si>
  <si>
    <t>kVA</t>
  </si>
  <si>
    <t>∞</t>
  </si>
  <si>
    <t>Lower Threshold*</t>
  </si>
  <si>
    <t>Upper Threshold*</t>
  </si>
  <si>
    <t>* All boundaries are inclusive of the upper threshold and exclusive of the lower threshold i.e. Lower &lt; x ≤ Upper.</t>
  </si>
  <si>
    <t>Designated Properties connected at LV, billing with no MIC</t>
  </si>
  <si>
    <t>Designated EHV Properties</t>
  </si>
  <si>
    <t>Designated Properties connected at HV</t>
  </si>
  <si>
    <t>Designated Properties connected at LV, billing with MIC</t>
  </si>
  <si>
    <t>Residual Charging Band</t>
  </si>
  <si>
    <t>Non-Domestic Aggregated or CT No Residual</t>
  </si>
  <si>
    <t>Non-Domestic Aggregated or CT Band 1</t>
  </si>
  <si>
    <t>Non-Domestic Aggregated or CT Band 2</t>
  </si>
  <si>
    <t>Non-Domestic Aggregated or CT Band 3</t>
  </si>
  <si>
    <t>Non-Domestic Aggregated or CT Band 4</t>
  </si>
  <si>
    <t>LDNO LV: Domestic Aggregated or CT with Residual</t>
  </si>
  <si>
    <t>LDNO LV: Non-Domestic Aggregated or CT No Residual</t>
  </si>
  <si>
    <t>LDNO LV: Non-Domestic Aggregated or CT Band 1</t>
  </si>
  <si>
    <t>LDNO LV: Non-Domestic Aggregated or CT Band 2</t>
  </si>
  <si>
    <t>LDNO LV: Non-Domestic Aggregated or CT Band 3</t>
  </si>
  <si>
    <t>LDNO LV: Non-Domestic Aggregated or CT Band 4</t>
  </si>
  <si>
    <t>LDNO HV: Domestic Aggregated or CT with Residual</t>
  </si>
  <si>
    <t>LDNO HV: Non-Domestic Aggregated or CT No Residual</t>
  </si>
  <si>
    <t>LDNO HV: Non-Domestic Aggregated or CT Band 1</t>
  </si>
  <si>
    <t>LDNO HV: Non-Domestic Aggregated or CT Band 2</t>
  </si>
  <si>
    <t>LDNO HV: Non-Domestic Aggregated or CT Band 3</t>
  </si>
  <si>
    <t>LDNO HV: Non-Domestic Aggregated or CT Band 4</t>
  </si>
  <si>
    <t>LDNO HVplus: Domestic Aggregated or CT with Residual</t>
  </si>
  <si>
    <t>LDNO HVplus: Non-Domestic Aggregated or CT No Residual</t>
  </si>
  <si>
    <t>LDNO HVplus: Non-Domestic Aggregated or CT Band 1</t>
  </si>
  <si>
    <t>LDNO HVplus: Non-Domestic Aggregated or CT Band 2</t>
  </si>
  <si>
    <t>LDNO HVplus: Non-Domestic Aggregated or CT Band 3</t>
  </si>
  <si>
    <t>LDNO HVplus: Non-Domestic Aggregated or CT Band 4</t>
  </si>
  <si>
    <t>LDNO EHV: Domestic Aggregated or CT with Residual</t>
  </si>
  <si>
    <t>LDNO EHV: Non-Domestic Aggregated or CT No Residual</t>
  </si>
  <si>
    <t>LDNO EHV: Non-Domestic Aggregated or CT Band 1</t>
  </si>
  <si>
    <t>LDNO EHV: Non-Domestic Aggregated or CT Band 2</t>
  </si>
  <si>
    <t>LDNO EHV: Non-Domestic Aggregated or CT Band 3</t>
  </si>
  <si>
    <t>LDNO EHV: Non-Domestic Aggregated or CT Band 4</t>
  </si>
  <si>
    <t>LDNO 132kV/EHV: Domestic Aggregated or CT with Residual</t>
  </si>
  <si>
    <t>LDNO 132kV/EHV: Non-Domestic Aggregated or CT No Residual</t>
  </si>
  <si>
    <t>LDNO 132kV/EHV: Non-Domestic Aggregated or CT Band 1</t>
  </si>
  <si>
    <t>LDNO 132kV/EHV: Non-Domestic Aggregated or CT Band 2</t>
  </si>
  <si>
    <t>LDNO 132kV/EHV: Non-Domestic Aggregated or CT Band 3</t>
  </si>
  <si>
    <t>LDNO 132kV/EHV: Non-Domestic Aggregated or CT Band 4</t>
  </si>
  <si>
    <t>LDNO 132kV: Domestic Aggregated or CT with Residual</t>
  </si>
  <si>
    <t>LDNO 132kV: Non-Domestic Aggregated or CT No Residual</t>
  </si>
  <si>
    <t>LDNO 132kV: Non-Domestic Aggregated or CT Band 1</t>
  </si>
  <si>
    <t>LDNO 132kV: Non-Domestic Aggregated or CT Band 2</t>
  </si>
  <si>
    <t>LDNO 132kV: Non-Domestic Aggregated or CT Band 3</t>
  </si>
  <si>
    <t>LDNO 132kV: Non-Domestic Aggregated or CT Band 4</t>
  </si>
  <si>
    <t>LDNO 0000: Domestic Aggregated or CT with Residual</t>
  </si>
  <si>
    <t>LDNO 0000: Non-Domestic Aggregated or CT No Residual</t>
  </si>
  <si>
    <t>LDNO 0000: Non-Domestic Aggregated or CT Band 1</t>
  </si>
  <si>
    <t>LDNO 0000: Non-Domestic Aggregated or CT Band 2</t>
  </si>
  <si>
    <t>LDNO 0000: Non-Domestic Aggregated or CT Band 3</t>
  </si>
  <si>
    <t>LDNO 0000: Non-Domestic Aggregated or CT Band 4</t>
  </si>
  <si>
    <t>LDNO LV: Domestic Aggregated (related MPAN)</t>
  </si>
  <si>
    <t>LDNO HVplus: Domestic Aggregated (related MPAN)</t>
  </si>
  <si>
    <t>LDNO EHV: Domestic Aggregated (related MPAN)</t>
  </si>
  <si>
    <t>LDNO 132kV/EHV: Domestic Aggregated (related MPAN)</t>
  </si>
  <si>
    <t>LDNO 132kV: Domestic Aggregated (related MPAN)</t>
  </si>
  <si>
    <t>LDNO 0000: Domestic Aggregated (related MPAN)</t>
  </si>
  <si>
    <t>Domestic Aggregated or CT with Residual</t>
  </si>
  <si>
    <t>DUoS Tariff name</t>
  </si>
  <si>
    <t>TNUoS Site Charging Band</t>
  </si>
  <si>
    <t>Domestic</t>
  </si>
  <si>
    <t>n/a (Non-Final Demand Site)</t>
  </si>
  <si>
    <t>LV_NoMIC_1</t>
  </si>
  <si>
    <t>LV_NoMIC_2</t>
  </si>
  <si>
    <t>LV_NoMIC_3</t>
  </si>
  <si>
    <t>LV_NoMIC_4</t>
  </si>
  <si>
    <t>LV1</t>
  </si>
  <si>
    <t>LV2</t>
  </si>
  <si>
    <t>LV3</t>
  </si>
  <si>
    <t>LV4</t>
  </si>
  <si>
    <t>HV1</t>
  </si>
  <si>
    <t>HV2</t>
  </si>
  <si>
    <t>HV3</t>
  </si>
  <si>
    <t>HV4</t>
  </si>
  <si>
    <t>n/a (p/kWh charge)</t>
  </si>
  <si>
    <t>EHV1</t>
  </si>
  <si>
    <t>EHV2</t>
  </si>
  <si>
    <t>EHV3</t>
  </si>
  <si>
    <t>EHV4</t>
  </si>
  <si>
    <t>Designated EHV Site Specific No Residual</t>
  </si>
  <si>
    <t>Designated EHV Site Specific Band 1</t>
  </si>
  <si>
    <t>Designated EHV Site Specific Band 2</t>
  </si>
  <si>
    <t>Designated EHV Site Specific Band 3</t>
  </si>
  <si>
    <t>Designated EHV Site Specific Band 4</t>
  </si>
  <si>
    <t>Annex 2 Designated EHV charges</t>
  </si>
  <si>
    <t>SSC unit rate lookup</t>
  </si>
  <si>
    <t>Contains a mapping of Standard Settlement Configurations to common decodings</t>
  </si>
  <si>
    <t>TNUoS Mapping</t>
  </si>
  <si>
    <t>Contains a mapping of DUoS Tariffs to TNUoS Site Charging Bands</t>
  </si>
  <si>
    <t>*Supplier of Last Resort pass-through costs allocated to all domestic tariffs with a fixed charge (including LDNO)</t>
  </si>
  <si>
    <t>**Eligible Bad Debt pass-through costs allocated to all metered demand tariffs (including LDNO)</t>
  </si>
  <si>
    <t>South Eastern Power Networks</t>
  </si>
  <si>
    <t>16:00 - 19:00</t>
  </si>
  <si>
    <t>07:00 - 16:00
19:00 - 23:00</t>
  </si>
  <si>
    <t>00:00 - 07:00
23:00 - 24:00</t>
  </si>
  <si>
    <t>00:00 - 24:00</t>
  </si>
  <si>
    <t>Monday to Friday 
(Including Bank Holidays)
March to October Inclusive</t>
  </si>
  <si>
    <t>07:00 - 23:00</t>
  </si>
  <si>
    <t>Period 5</t>
  </si>
  <si>
    <t>Winter Peak</t>
  </si>
  <si>
    <t>Summer Peak</t>
  </si>
  <si>
    <t>Winter Shoulder</t>
  </si>
  <si>
    <t>Night</t>
  </si>
  <si>
    <t>Other</t>
  </si>
  <si>
    <t>Monday to Friday 
November to February</t>
  </si>
  <si>
    <t>16:00 - 20:00</t>
  </si>
  <si>
    <t>07:00 - 16:00</t>
  </si>
  <si>
    <t>Monday to Friday
June to August</t>
  </si>
  <si>
    <t>07:00 - 20:00</t>
  </si>
  <si>
    <t>Monday to Friday
March</t>
  </si>
  <si>
    <t>All Year</t>
  </si>
  <si>
    <t>00:00 - 07:00</t>
  </si>
  <si>
    <t>All Other Times</t>
  </si>
  <si>
    <t>Eligible Bad Debt
Fixed charge adder**
p/MPAN/day</t>
  </si>
  <si>
    <t xml:space="preserve">Contains the underlying nodal costs used to calculate the current EDCM charges. </t>
  </si>
  <si>
    <t>Note: The DNO reserves the right to apply the listed charges to any other MPANs/MSIDs associated with the site. This includes reallocating charges to a traded MPAN at the same site where another MPAN has been disconnected or de-energised.</t>
  </si>
  <si>
    <t>Import
LLF
period 5</t>
  </si>
  <si>
    <t>Export
LLF
period 5</t>
  </si>
  <si>
    <t xml:space="preserve">Note: The DNO reserves the right to apply the listed charges to any other MPANs/MSIDs associated with the site. This includes reallocating charges to a traded MPAN at the same site where another MPAN has been disconnected or de-energised. If sites appear in both Annex 2 and Annex 6, the charges in Annex 6 take precedence.
Where an existing Designated EHV Property is modified and energised in the charging year, we may revise the EDCM charges for the modified Designated EHV Property. </t>
  </si>
  <si>
    <t>Residual Charge per MPAN (£/year)</t>
  </si>
  <si>
    <t>Step 2, After selecting a tariff in step 1, Cells C12-I12 will generate headings, please enter your consumption in cells C13:I13 underneath each heading generated (if no heading leave cell blank)</t>
  </si>
  <si>
    <t>Step 2, After selecting a tariff in step 1, Cells M12-T12 will generate headings, please enter your consumption in cells M13:T13 underneath each heading generated (if no heading leave cell blank)</t>
  </si>
  <si>
    <t>Step 1, Choose your tariff using the drop down list in cell L10. Please note, this calculator returns tariffs from Annex 2 only. If your site has a new or amended tariff in Annex 6 this will need to be entered manually.</t>
  </si>
  <si>
    <t>CVA site specific LLFs</t>
  </si>
  <si>
    <t>MSID</t>
  </si>
  <si>
    <t>Open LLFCs/ DUoS Tariff IDs</t>
  </si>
  <si>
    <t>Closed LLFCs/ DUoS Tariff IDs</t>
  </si>
  <si>
    <t>Supercustomer preserved charges/additional LLFCs/ DUoS Tariff IDs</t>
  </si>
  <si>
    <t>Site Specific preserved charges/additional LLFCs/ DUoS Tariff IDs</t>
  </si>
  <si>
    <t>LLFC/ DUoS Tariff ID</t>
  </si>
  <si>
    <t>Open LLFCs/ DUoS Tariff IDs / LDNO unique billing identifier</t>
  </si>
  <si>
    <t>South Eastern Power Networks has no Preserved NHH Tariffs/Additional LLFCs/DUoS Tariff IDs</t>
  </si>
  <si>
    <t>South Eastern Power Networks has no Preserved HH Tariffs/Additional LLFCs/DUoS Tariff IDs</t>
  </si>
  <si>
    <t>Metered voltage, respective periods and associated LLFCs/DUoS Tariff IDs</t>
  </si>
  <si>
    <t>Associated LLFC/DUoS Tariff ID</t>
  </si>
  <si>
    <t>2026/27</t>
  </si>
  <si>
    <t>1 April 2026</t>
  </si>
  <si>
    <t>0, 1, 2</t>
  </si>
  <si>
    <t>0, 3, 4, 5-8</t>
  </si>
  <si>
    <t>201, N01</t>
  </si>
  <si>
    <t>202, N02</t>
  </si>
  <si>
    <t>203, N03</t>
  </si>
  <si>
    <t>204, N04</t>
  </si>
  <si>
    <t xml:space="preserve">350, 351, 352, 353, 354 </t>
  </si>
  <si>
    <t>0, 1 or 8</t>
  </si>
  <si>
    <t>100, 300</t>
  </si>
  <si>
    <t>355, 356, 357, 358, 359, 360, 361, 362, 363, 364, 365, 366</t>
  </si>
  <si>
    <t>A00</t>
  </si>
  <si>
    <t>B00</t>
  </si>
  <si>
    <t>C00</t>
  </si>
  <si>
    <t>C01</t>
  </si>
  <si>
    <t>C02</t>
  </si>
  <si>
    <t>C03</t>
  </si>
  <si>
    <t>C04</t>
  </si>
  <si>
    <t>D00</t>
  </si>
  <si>
    <t>E00</t>
  </si>
  <si>
    <t>E01</t>
  </si>
  <si>
    <t>E02</t>
  </si>
  <si>
    <t>E03</t>
  </si>
  <si>
    <t>E04</t>
  </si>
  <si>
    <t>U00</t>
  </si>
  <si>
    <t>F00</t>
  </si>
  <si>
    <t>G00</t>
  </si>
  <si>
    <t>A10</t>
  </si>
  <si>
    <t>B10</t>
  </si>
  <si>
    <t>C10</t>
  </si>
  <si>
    <t>C11</t>
  </si>
  <si>
    <t>C12</t>
  </si>
  <si>
    <t>C13</t>
  </si>
  <si>
    <t>C14</t>
  </si>
  <si>
    <t>D10</t>
  </si>
  <si>
    <t>E10</t>
  </si>
  <si>
    <t>E11</t>
  </si>
  <si>
    <t>E12</t>
  </si>
  <si>
    <t>E13</t>
  </si>
  <si>
    <t>E14</t>
  </si>
  <si>
    <t>J10</t>
  </si>
  <si>
    <t>J11</t>
  </si>
  <si>
    <t>J12</t>
  </si>
  <si>
    <t>J13</t>
  </si>
  <si>
    <t>J14</t>
  </si>
  <si>
    <t>K10</t>
  </si>
  <si>
    <t>K11</t>
  </si>
  <si>
    <t>K12</t>
  </si>
  <si>
    <t>K13</t>
  </si>
  <si>
    <t>K14</t>
  </si>
  <si>
    <t>U10</t>
  </si>
  <si>
    <t>F10</t>
  </si>
  <si>
    <t>H10</t>
  </si>
  <si>
    <t>G10</t>
  </si>
  <si>
    <t>L10</t>
  </si>
  <si>
    <t>M10</t>
  </si>
  <si>
    <t>A20</t>
  </si>
  <si>
    <t>B20</t>
  </si>
  <si>
    <t>C20</t>
  </si>
  <si>
    <t>C21</t>
  </si>
  <si>
    <t>C22</t>
  </si>
  <si>
    <t>C23</t>
  </si>
  <si>
    <t>C24</t>
  </si>
  <si>
    <t>D20</t>
  </si>
  <si>
    <t>E20</t>
  </si>
  <si>
    <t>E21</t>
  </si>
  <si>
    <t>E22</t>
  </si>
  <si>
    <t>E23</t>
  </si>
  <si>
    <t>E24</t>
  </si>
  <si>
    <t>J20</t>
  </si>
  <si>
    <t>J21</t>
  </si>
  <si>
    <t>J22</t>
  </si>
  <si>
    <t>J23</t>
  </si>
  <si>
    <t>J24</t>
  </si>
  <si>
    <t>K20</t>
  </si>
  <si>
    <t>K21</t>
  </si>
  <si>
    <t>K22</t>
  </si>
  <si>
    <t>K23</t>
  </si>
  <si>
    <t>K24</t>
  </si>
  <si>
    <t>U20</t>
  </si>
  <si>
    <t>F20</t>
  </si>
  <si>
    <t>H20</t>
  </si>
  <si>
    <t>G20</t>
  </si>
  <si>
    <t>L20</t>
  </si>
  <si>
    <t>M20</t>
  </si>
  <si>
    <t>A30</t>
  </si>
  <si>
    <t>B30</t>
  </si>
  <si>
    <t>C30</t>
  </si>
  <si>
    <t>C31</t>
  </si>
  <si>
    <t>C32</t>
  </si>
  <si>
    <t>C33</t>
  </si>
  <si>
    <t>C34</t>
  </si>
  <si>
    <t>D30</t>
  </si>
  <si>
    <t>E30</t>
  </si>
  <si>
    <t>E31</t>
  </si>
  <si>
    <t>E32</t>
  </si>
  <si>
    <t>E33</t>
  </si>
  <si>
    <t>E34</t>
  </si>
  <si>
    <t>J30</t>
  </si>
  <si>
    <t>J31</t>
  </si>
  <si>
    <t>J32</t>
  </si>
  <si>
    <t>J33</t>
  </si>
  <si>
    <t>J34</t>
  </si>
  <si>
    <t>K30</t>
  </si>
  <si>
    <t>K31</t>
  </si>
  <si>
    <t>K32</t>
  </si>
  <si>
    <t>K33</t>
  </si>
  <si>
    <t>K34</t>
  </si>
  <si>
    <t>U30</t>
  </si>
  <si>
    <t>F30</t>
  </si>
  <si>
    <t>H30</t>
  </si>
  <si>
    <t>G30</t>
  </si>
  <si>
    <t>L30</t>
  </si>
  <si>
    <t>M30</t>
  </si>
  <si>
    <t>A40</t>
  </si>
  <si>
    <t>B40</t>
  </si>
  <si>
    <t>C40</t>
  </si>
  <si>
    <t>C41</t>
  </si>
  <si>
    <t>C42</t>
  </si>
  <si>
    <t>C43</t>
  </si>
  <si>
    <t>C44</t>
  </si>
  <si>
    <t>D40</t>
  </si>
  <si>
    <t>E40</t>
  </si>
  <si>
    <t>E41</t>
  </si>
  <si>
    <t>E42</t>
  </si>
  <si>
    <t>E43</t>
  </si>
  <si>
    <t>E44</t>
  </si>
  <si>
    <t>J40</t>
  </si>
  <si>
    <t>J41</t>
  </si>
  <si>
    <t>J42</t>
  </si>
  <si>
    <t>J43</t>
  </si>
  <si>
    <t>J44</t>
  </si>
  <si>
    <t>K40</t>
  </si>
  <si>
    <t>K41</t>
  </si>
  <si>
    <t>K42</t>
  </si>
  <si>
    <t>K43</t>
  </si>
  <si>
    <t>K44</t>
  </si>
  <si>
    <t>U40</t>
  </si>
  <si>
    <t>F40</t>
  </si>
  <si>
    <t>H40</t>
  </si>
  <si>
    <t>G40</t>
  </si>
  <si>
    <t>L40</t>
  </si>
  <si>
    <t>M40</t>
  </si>
  <si>
    <t>A50</t>
  </si>
  <si>
    <t>B50</t>
  </si>
  <si>
    <t>C50</t>
  </si>
  <si>
    <t>C51</t>
  </si>
  <si>
    <t>C52</t>
  </si>
  <si>
    <t>C53</t>
  </si>
  <si>
    <t>C54</t>
  </si>
  <si>
    <t>D50</t>
  </si>
  <si>
    <t>E50</t>
  </si>
  <si>
    <t>E51</t>
  </si>
  <si>
    <t>E52</t>
  </si>
  <si>
    <t>E53</t>
  </si>
  <si>
    <t>E54</t>
  </si>
  <si>
    <t>J50</t>
  </si>
  <si>
    <t>J51</t>
  </si>
  <si>
    <t>J52</t>
  </si>
  <si>
    <t>J53</t>
  </si>
  <si>
    <t>J54</t>
  </si>
  <si>
    <t>K50</t>
  </si>
  <si>
    <t>K51</t>
  </si>
  <si>
    <t>K52</t>
  </si>
  <si>
    <t>K53</t>
  </si>
  <si>
    <t>K54</t>
  </si>
  <si>
    <t>U50</t>
  </si>
  <si>
    <t>F50</t>
  </si>
  <si>
    <t>H50</t>
  </si>
  <si>
    <t>G50</t>
  </si>
  <si>
    <t>L50</t>
  </si>
  <si>
    <t>M50</t>
  </si>
  <si>
    <t>A60</t>
  </si>
  <si>
    <t>B60</t>
  </si>
  <si>
    <t>C60</t>
  </si>
  <si>
    <t>C61</t>
  </si>
  <si>
    <t>C62</t>
  </si>
  <si>
    <t>C63</t>
  </si>
  <si>
    <t>C64</t>
  </si>
  <si>
    <t>D60</t>
  </si>
  <si>
    <t>E60</t>
  </si>
  <si>
    <t>E61</t>
  </si>
  <si>
    <t>E62</t>
  </si>
  <si>
    <t>E63</t>
  </si>
  <si>
    <t>E64</t>
  </si>
  <si>
    <t>J60</t>
  </si>
  <si>
    <t>J61</t>
  </si>
  <si>
    <t>J62</t>
  </si>
  <si>
    <t>J63</t>
  </si>
  <si>
    <t>J64</t>
  </si>
  <si>
    <t>K60</t>
  </si>
  <si>
    <t>K61</t>
  </si>
  <si>
    <t>K62</t>
  </si>
  <si>
    <t>K63</t>
  </si>
  <si>
    <t>K64</t>
  </si>
  <si>
    <t>U60</t>
  </si>
  <si>
    <t>F60</t>
  </si>
  <si>
    <t>H60</t>
  </si>
  <si>
    <t>G60</t>
  </si>
  <si>
    <t>L60</t>
  </si>
  <si>
    <t>M60</t>
  </si>
  <si>
    <t>B&amp;RLTD</t>
  </si>
  <si>
    <t>BEDDIN</t>
  </si>
  <si>
    <t>BP_OIL</t>
  </si>
  <si>
    <t>CHESDC</t>
  </si>
  <si>
    <t>DIGREA</t>
  </si>
  <si>
    <t>EUROTU</t>
  </si>
  <si>
    <t>GAT_AF</t>
  </si>
  <si>
    <t>GAT_BF</t>
  </si>
  <si>
    <t>GATWEV</t>
  </si>
  <si>
    <t>KNGSPN</t>
  </si>
  <si>
    <t>NP_LAB</t>
  </si>
  <si>
    <t>NR_3BR</t>
  </si>
  <si>
    <t>NR_AFD</t>
  </si>
  <si>
    <t>NR_ASH</t>
  </si>
  <si>
    <t>NR_BRI</t>
  </si>
  <si>
    <t>NR_BYF</t>
  </si>
  <si>
    <t>NR_CAN</t>
  </si>
  <si>
    <t>NR_CRO</t>
  </si>
  <si>
    <t>NR_DOR</t>
  </si>
  <si>
    <t>NR_EAS</t>
  </si>
  <si>
    <t>NR_FOK</t>
  </si>
  <si>
    <t>NR_HAS</t>
  </si>
  <si>
    <t>NR_LEA</t>
  </si>
  <si>
    <t>NR_MAI</t>
  </si>
  <si>
    <t>NR_NOR</t>
  </si>
  <si>
    <t>NR_QUE</t>
  </si>
  <si>
    <t>NR_SIT</t>
  </si>
  <si>
    <t>NR_THA</t>
  </si>
  <si>
    <t>NR_TUN</t>
  </si>
  <si>
    <t>PFIZER</t>
  </si>
  <si>
    <t>SENTIV</t>
  </si>
  <si>
    <t>THAMEM</t>
  </si>
  <si>
    <t>THAMES</t>
  </si>
  <si>
    <t>TWHK66</t>
  </si>
  <si>
    <t>ANMSTR</t>
  </si>
  <si>
    <t>ASHBYS</t>
  </si>
  <si>
    <t>BEDERF</t>
  </si>
  <si>
    <t>BESAYL</t>
  </si>
  <si>
    <t>BNTLEY</t>
  </si>
  <si>
    <t>BNTLY2</t>
  </si>
  <si>
    <t>BOBBNG</t>
  </si>
  <si>
    <t>BRAMBS</t>
  </si>
  <si>
    <t>BRELLE</t>
  </si>
  <si>
    <t>BRETSH</t>
  </si>
  <si>
    <t>BRKHST</t>
  </si>
  <si>
    <t>BROABS</t>
  </si>
  <si>
    <t>BTBRKS</t>
  </si>
  <si>
    <t>CAPELG</t>
  </si>
  <si>
    <t>CLYHLL</t>
  </si>
  <si>
    <t>CRYENG</t>
  </si>
  <si>
    <t>CWSTBS</t>
  </si>
  <si>
    <t>DARENT</t>
  </si>
  <si>
    <t>DSCPRK</t>
  </si>
  <si>
    <t>FORDSF</t>
  </si>
  <si>
    <t>FRWOOD</t>
  </si>
  <si>
    <t>GATWBS</t>
  </si>
  <si>
    <t>GLASSN</t>
  </si>
  <si>
    <t>GROVEH</t>
  </si>
  <si>
    <t>GUSTON</t>
  </si>
  <si>
    <t>HADLOW</t>
  </si>
  <si>
    <t>HANSTA</t>
  </si>
  <si>
    <t>HLLMBY</t>
  </si>
  <si>
    <t>HORAMS</t>
  </si>
  <si>
    <t>KENTI2</t>
  </si>
  <si>
    <t>KENTIS</t>
  </si>
  <si>
    <t>KM3CHP</t>
  </si>
  <si>
    <t>KNTSFM</t>
  </si>
  <si>
    <t>KNWLTN</t>
  </si>
  <si>
    <t>LBOURN</t>
  </si>
  <si>
    <t>LCHEYI</t>
  </si>
  <si>
    <t>LENHAM</t>
  </si>
  <si>
    <t>LGHTON</t>
  </si>
  <si>
    <t>MARSHB</t>
  </si>
  <si>
    <t>MLEHLL</t>
  </si>
  <si>
    <t>MLMAYN</t>
  </si>
  <si>
    <t>MVVRID</t>
  </si>
  <si>
    <t>NEWHVN</t>
  </si>
  <si>
    <t>NEWRID</t>
  </si>
  <si>
    <t>OAKLND</t>
  </si>
  <si>
    <t>OLDRSF</t>
  </si>
  <si>
    <t>ORCHRD</t>
  </si>
  <si>
    <t>PADWSF</t>
  </si>
  <si>
    <t>POSHWF</t>
  </si>
  <si>
    <t>POTMBS</t>
  </si>
  <si>
    <t>PRIORS</t>
  </si>
  <si>
    <t>PSHLEY</t>
  </si>
  <si>
    <t>SELLSF</t>
  </si>
  <si>
    <t>SEVIND</t>
  </si>
  <si>
    <t>SHEPHM</t>
  </si>
  <si>
    <t>SHORHM</t>
  </si>
  <si>
    <t>SOLEES</t>
  </si>
  <si>
    <t>STAREN</t>
  </si>
  <si>
    <t>SYCAMR</t>
  </si>
  <si>
    <t>THAER1</t>
  </si>
  <si>
    <t>THAER2</t>
  </si>
  <si>
    <t>THAER3</t>
  </si>
  <si>
    <t>THAER4</t>
  </si>
  <si>
    <t>THANET</t>
  </si>
  <si>
    <t>THORNE</t>
  </si>
  <si>
    <t>TONGSF</t>
  </si>
  <si>
    <t>WDLNDS</t>
  </si>
  <si>
    <t>WIDHFM</t>
  </si>
  <si>
    <t>WLBEES</t>
  </si>
  <si>
    <t>WRGALL</t>
  </si>
  <si>
    <t>WSTWDX</t>
  </si>
  <si>
    <t>MSID: 1027</t>
  </si>
  <si>
    <t>MSID: 7478</t>
  </si>
  <si>
    <t>MSID: 7441</t>
  </si>
  <si>
    <t>MSID: 7435</t>
  </si>
  <si>
    <t>MSID: 7160</t>
  </si>
  <si>
    <t>MSID: 7104</t>
  </si>
  <si>
    <t>MSID: 7246</t>
  </si>
  <si>
    <t>MSID: 7479</t>
  </si>
  <si>
    <t>MSID: 7442</t>
  </si>
  <si>
    <t>MSID: 7436</t>
  </si>
  <si>
    <t>ENET</t>
  </si>
  <si>
    <t>1900035000482;1900035425153</t>
  </si>
  <si>
    <t>1900070745640;1900070745650;1900070745669;1900070745678</t>
  </si>
  <si>
    <t>1900017426438;1900017426447</t>
  </si>
  <si>
    <t>1900091200323;1900091200332</t>
  </si>
  <si>
    <t>1900017427938;1900017427947;1900060576620</t>
  </si>
  <si>
    <t>1900060690231;1900060690240</t>
  </si>
  <si>
    <t>1900060219819;1900060219855</t>
  </si>
  <si>
    <t>1900060219720;1900060219794</t>
  </si>
  <si>
    <t>1900090497281;1900090497290;1900090497306;1900090497315</t>
  </si>
  <si>
    <t>1900090872672;1900090872681</t>
  </si>
  <si>
    <t>1900090876979;1900090876988</t>
  </si>
  <si>
    <t>1900061003393;1900090466576</t>
  </si>
  <si>
    <t>1900060866064;1900060866082</t>
  </si>
  <si>
    <t>1900091523301;1900092049178</t>
  </si>
  <si>
    <t>1900091523310;1900092037980</t>
  </si>
  <si>
    <t>1900004383769;1900031426056</t>
  </si>
  <si>
    <t>1900060442174;1900060512032</t>
  </si>
  <si>
    <t>1900091718313;1900092210410</t>
  </si>
  <si>
    <t>1900091085110;1900091349724;1900091349733</t>
  </si>
  <si>
    <t>1900091121257;1900091121275</t>
  </si>
  <si>
    <t>1900091121266;1900091121284</t>
  </si>
  <si>
    <t>1900070394466;1900070467983</t>
  </si>
  <si>
    <t>0, 8</t>
  </si>
  <si>
    <t>ADDG51</t>
  </si>
  <si>
    <t>Addington Grid 11kV</t>
  </si>
  <si>
    <t>ADDL51</t>
  </si>
  <si>
    <t>Addington Local 11kV</t>
  </si>
  <si>
    <t>ADDL52</t>
  </si>
  <si>
    <t>ANGM51</t>
  </si>
  <si>
    <t>Angmering 11kV</t>
  </si>
  <si>
    <t>ANGM52</t>
  </si>
  <si>
    <t>CASH71</t>
  </si>
  <si>
    <t>Ashford Central 6.6kV</t>
  </si>
  <si>
    <t>EASH51</t>
  </si>
  <si>
    <t>Ashford East 11kV</t>
  </si>
  <si>
    <t>WASH71</t>
  </si>
  <si>
    <t>Ashford West 6.6kV</t>
  </si>
  <si>
    <t>ASHI51</t>
  </si>
  <si>
    <t>Ashington 11kV</t>
  </si>
  <si>
    <t>ASTD51</t>
  </si>
  <si>
    <t>Ashtead 11kV</t>
  </si>
  <si>
    <t>AYLF71</t>
  </si>
  <si>
    <t>Aylesford 6.6kV</t>
  </si>
  <si>
    <t>BALO51</t>
  </si>
  <si>
    <t>Baldslow 11kV</t>
  </si>
  <si>
    <t>BANS51</t>
  </si>
  <si>
    <t>Banstead 11kV</t>
  </si>
  <si>
    <t>BARM51</t>
  </si>
  <si>
    <t>Barming 11kV</t>
  </si>
  <si>
    <t>BSMG71</t>
  </si>
  <si>
    <t>Bensham Grove 6.6kV</t>
  </si>
  <si>
    <t>BSMG72</t>
  </si>
  <si>
    <t>BERR51</t>
  </si>
  <si>
    <t>Berrylands 11kV</t>
  </si>
  <si>
    <t>BTCH51</t>
  </si>
  <si>
    <t>Betchworth 11kV</t>
  </si>
  <si>
    <t>BTCH52</t>
  </si>
  <si>
    <t>BETL51</t>
  </si>
  <si>
    <t>Betteshanger Local 11kV</t>
  </si>
  <si>
    <t>BEXH51</t>
  </si>
  <si>
    <t>Bexhill Town 11kV</t>
  </si>
  <si>
    <t>BIGH51</t>
  </si>
  <si>
    <t>Biggin Hill 11kV</t>
  </si>
  <si>
    <t>BTWN51</t>
  </si>
  <si>
    <t>Brighton Town 11kV</t>
  </si>
  <si>
    <t>BTWN52</t>
  </si>
  <si>
    <t>BRDK51</t>
  </si>
  <si>
    <t>Broad Oak 11kV</t>
  </si>
  <si>
    <t>BKWD51</t>
  </si>
  <si>
    <t>Brookwood 11kV</t>
  </si>
  <si>
    <t>BURG51</t>
  </si>
  <si>
    <t>Burgess Hill 11kV</t>
  </si>
  <si>
    <t>BUXT51</t>
  </si>
  <si>
    <t>Buxted 11kV</t>
  </si>
  <si>
    <t>BYFL51</t>
  </si>
  <si>
    <t>Byfleet 11kV</t>
  </si>
  <si>
    <t>BYFL52</t>
  </si>
  <si>
    <t>CERL51</t>
  </si>
  <si>
    <t>C.E.R.L. 11kV</t>
  </si>
  <si>
    <t>CANL51</t>
  </si>
  <si>
    <t>Canterbury Local 11kV</t>
  </si>
  <si>
    <t>CNTT51</t>
  </si>
  <si>
    <t>Canterbury Town 11kV</t>
  </si>
  <si>
    <t>CNTT52</t>
  </si>
  <si>
    <t>CAPL51</t>
  </si>
  <si>
    <t>Capel 11kV</t>
  </si>
  <si>
    <t>CAPL52</t>
  </si>
  <si>
    <t>CRHM51</t>
  </si>
  <si>
    <t>Caterham 11kV</t>
  </si>
  <si>
    <t>CRHM52</t>
  </si>
  <si>
    <t>CHRT51</t>
  </si>
  <si>
    <t>Chartham 11kV</t>
  </si>
  <si>
    <t>CHTH51</t>
  </si>
  <si>
    <t>Chatham Hill 11kV</t>
  </si>
  <si>
    <t>CHTW51</t>
  </si>
  <si>
    <t>Chatham West 11kV</t>
  </si>
  <si>
    <t>CHTW52</t>
  </si>
  <si>
    <t>CHER51</t>
  </si>
  <si>
    <t>Chertsey 11kV</t>
  </si>
  <si>
    <t>CHER52</t>
  </si>
  <si>
    <t>CBHM51</t>
  </si>
  <si>
    <t>Cobham Kent 11kV</t>
  </si>
  <si>
    <t>COBM51</t>
  </si>
  <si>
    <t>Cobham Surrey 11kV</t>
  </si>
  <si>
    <t>COUN51</t>
  </si>
  <si>
    <t>Coulsdon 33/11kV</t>
  </si>
  <si>
    <t>COWF51</t>
  </si>
  <si>
    <t>Cowfold 11kV</t>
  </si>
  <si>
    <t>CRNB51</t>
  </si>
  <si>
    <t>Cranbrook 11kV</t>
  </si>
  <si>
    <t>CRAN51</t>
  </si>
  <si>
    <t>Cranleigh 11kV</t>
  </si>
  <si>
    <t>CINE51</t>
  </si>
  <si>
    <t>Crawley Ind East 11kV</t>
  </si>
  <si>
    <t>CINW51</t>
  </si>
  <si>
    <t>Crawley Industrial West 11kV</t>
  </si>
  <si>
    <t>CTWN51</t>
  </si>
  <si>
    <t>Crawley Town 11kV</t>
  </si>
  <si>
    <t>XWAY51</t>
  </si>
  <si>
    <t>Crossways 11KV</t>
  </si>
  <si>
    <t>CRWT71</t>
  </si>
  <si>
    <t>Crowborough Town 6.6kV</t>
  </si>
  <si>
    <t>CROW51</t>
  </si>
  <si>
    <t>Crowhurst 11kV</t>
  </si>
  <si>
    <t>CCRY51</t>
  </si>
  <si>
    <t>Croydon Central 11kV</t>
  </si>
  <si>
    <t>CROY51</t>
  </si>
  <si>
    <t>Croydon Grid 11kV</t>
  </si>
  <si>
    <t>CROY52</t>
  </si>
  <si>
    <t>DWSD71</t>
  </si>
  <si>
    <t>D.W.S. 6.6kV</t>
  </si>
  <si>
    <t>DART31</t>
  </si>
  <si>
    <t>Dartford Grid 33kV</t>
  </si>
  <si>
    <t>DEAL51</t>
  </si>
  <si>
    <t>Deal 11kV</t>
  </si>
  <si>
    <t>DORT51</t>
  </si>
  <si>
    <t>Dorking Town 11kV</t>
  </si>
  <si>
    <t>DOVR51</t>
  </si>
  <si>
    <t>Dover 11kV</t>
  </si>
  <si>
    <t>DOVR52</t>
  </si>
  <si>
    <t>DYMC51</t>
  </si>
  <si>
    <t>Dymchurch 11kV</t>
  </si>
  <si>
    <t>ECRY71</t>
  </si>
  <si>
    <t>East Croydon 6.6kV</t>
  </si>
  <si>
    <t>EGRN51</t>
  </si>
  <si>
    <t>East Grinstead 11kV</t>
  </si>
  <si>
    <t>EGRN52</t>
  </si>
  <si>
    <t>EBOU51</t>
  </si>
  <si>
    <t>Eastbourne 11kV</t>
  </si>
  <si>
    <t>EPRS71</t>
  </si>
  <si>
    <t>Eastchurch Prison 6.6kV</t>
  </si>
  <si>
    <t>EPRS72</t>
  </si>
  <si>
    <t>EBBS51</t>
  </si>
  <si>
    <t>Ebbsfleet 11KV</t>
  </si>
  <si>
    <t>EBBG31</t>
  </si>
  <si>
    <t>Ebbsfleet Grid 33kV</t>
  </si>
  <si>
    <t>EDEN51</t>
  </si>
  <si>
    <t>Edenbridge 11kV</t>
  </si>
  <si>
    <t>EFFI51</t>
  </si>
  <si>
    <t>Effingham 11kV</t>
  </si>
  <si>
    <t>EPSN51</t>
  </si>
  <si>
    <t>Epsom 11kV</t>
  </si>
  <si>
    <t>ESHR51</t>
  </si>
  <si>
    <t>Esher 11kV</t>
  </si>
  <si>
    <t>EWEL51</t>
  </si>
  <si>
    <t>Ewell 11kV</t>
  </si>
  <si>
    <t>EWEL52</t>
  </si>
  <si>
    <t>FARN51</t>
  </si>
  <si>
    <t>Farningham 11kV</t>
  </si>
  <si>
    <t>FAVM51</t>
  </si>
  <si>
    <t>Faversham 11kV</t>
  </si>
  <si>
    <t>FAVM52</t>
  </si>
  <si>
    <t>EFLK51</t>
  </si>
  <si>
    <t>Folkestone East 11kV</t>
  </si>
  <si>
    <t>FROW51</t>
  </si>
  <si>
    <t>Forest Row 11kV</t>
  </si>
  <si>
    <t>ELMS51</t>
  </si>
  <si>
    <t>Four Elms 11kV</t>
  </si>
  <si>
    <t>GATA51</t>
  </si>
  <si>
    <t>Gatwick Airport AF 11kV</t>
  </si>
  <si>
    <t>GODG51</t>
  </si>
  <si>
    <t>Goddards Green 11kV</t>
  </si>
  <si>
    <t>GOUD51</t>
  </si>
  <si>
    <t>Goudhurst 11kV</t>
  </si>
  <si>
    <t>GRAN51</t>
  </si>
  <si>
    <t>Grain 11kV</t>
  </si>
  <si>
    <t>GRVS51</t>
  </si>
  <si>
    <t>Gravesend South 11kV</t>
  </si>
  <si>
    <t>GRVT71</t>
  </si>
  <si>
    <t>Gravesend Town 6.6kV</t>
  </si>
  <si>
    <t>GRVW51</t>
  </si>
  <si>
    <t>Gravesend West 11kV</t>
  </si>
  <si>
    <t>GROL51</t>
  </si>
  <si>
    <t>Grovehurst Local 11kV</t>
  </si>
  <si>
    <t>GUIL71</t>
  </si>
  <si>
    <t>Guildford 6.6kV</t>
  </si>
  <si>
    <t>GUIA51</t>
  </si>
  <si>
    <t>Guildford 'A' 11kV</t>
  </si>
  <si>
    <t>GUIB51</t>
  </si>
  <si>
    <t>Guildford 'B' 11kV</t>
  </si>
  <si>
    <t>HAIL51</t>
  </si>
  <si>
    <t>Hailsham 11kV</t>
  </si>
  <si>
    <t>HALL51</t>
  </si>
  <si>
    <t>Halling 11kV</t>
  </si>
  <si>
    <t>HAMM51</t>
  </si>
  <si>
    <t>Ham 11kV</t>
  </si>
  <si>
    <t>HMDP51</t>
  </si>
  <si>
    <t>Hampden Park 11kV</t>
  </si>
  <si>
    <t>HAMP51</t>
  </si>
  <si>
    <t>Hampton 11kV</t>
  </si>
  <si>
    <t>HANG51</t>
  </si>
  <si>
    <t>Hangleton 11kV</t>
  </si>
  <si>
    <t>HANG52</t>
  </si>
  <si>
    <t>HARR51</t>
  </si>
  <si>
    <t>Harrietsham 11kV</t>
  </si>
  <si>
    <t>HASL51</t>
  </si>
  <si>
    <t>Hastings Local 11kV</t>
  </si>
  <si>
    <t>HASL52</t>
  </si>
  <si>
    <t>HAWK51</t>
  </si>
  <si>
    <t>Hawkhurst 11kV</t>
  </si>
  <si>
    <t>HAYW51</t>
  </si>
  <si>
    <t>Haywards Heath 11kV</t>
  </si>
  <si>
    <t>HCRN71</t>
  </si>
  <si>
    <t>Headcorn 6.6kV</t>
  </si>
  <si>
    <t>HRBT51</t>
  </si>
  <si>
    <t>Herne Bay 11kV</t>
  </si>
  <si>
    <t>HORM51</t>
  </si>
  <si>
    <t>Horam 11kV</t>
  </si>
  <si>
    <t>HORL51</t>
  </si>
  <si>
    <t>Horley 33/11</t>
  </si>
  <si>
    <t>HRSB51</t>
  </si>
  <si>
    <t>Horsebridge 11kV</t>
  </si>
  <si>
    <t>HRSL51</t>
  </si>
  <si>
    <t>Horsell 11kV</t>
  </si>
  <si>
    <t>HORS51</t>
  </si>
  <si>
    <t>Horsham Grid 11kV</t>
  </si>
  <si>
    <t>HSPP51</t>
  </si>
  <si>
    <t>Hurstpierpoint 11kV</t>
  </si>
  <si>
    <t>HYTH51</t>
  </si>
  <si>
    <t>Hythe Main 11kV</t>
  </si>
  <si>
    <t>JARV71</t>
  </si>
  <si>
    <t>Jarvis Brook 6.6kV</t>
  </si>
  <si>
    <t>KEMP51</t>
  </si>
  <si>
    <t>Kemp Town 11kV</t>
  </si>
  <si>
    <t>KNRD71</t>
  </si>
  <si>
    <t>Kenardington 6.6kV</t>
  </si>
  <si>
    <t>KINO51</t>
  </si>
  <si>
    <t>Kingsnorth Grid 11kV</t>
  </si>
  <si>
    <t>KIGO51</t>
  </si>
  <si>
    <t>Kingston 11kV</t>
  </si>
  <si>
    <t>KIGO52</t>
  </si>
  <si>
    <t>KITO11</t>
  </si>
  <si>
    <t>Kingston 132kV</t>
  </si>
  <si>
    <t>KITO12</t>
  </si>
  <si>
    <t>LEAD51</t>
  </si>
  <si>
    <t>Leatherhead Town 11kV</t>
  </si>
  <si>
    <t>CLEW51</t>
  </si>
  <si>
    <t>Lewes Central 11kV</t>
  </si>
  <si>
    <t>LTWN51</t>
  </si>
  <si>
    <t>Lewes Town 11kV</t>
  </si>
  <si>
    <t>LEYS71</t>
  </si>
  <si>
    <t>Leysdown 6.6kV</t>
  </si>
  <si>
    <t>LTWA51</t>
  </si>
  <si>
    <t>Lightweight Aggregates 11kV</t>
  </si>
  <si>
    <t>LTCH71</t>
  </si>
  <si>
    <t>Little Chart 6.6kV</t>
  </si>
  <si>
    <t>LITC51</t>
  </si>
  <si>
    <t>Little Common 11kV</t>
  </si>
  <si>
    <t>LITC52</t>
  </si>
  <si>
    <t>LTHA51</t>
  </si>
  <si>
    <t>Littlehampton 11kV</t>
  </si>
  <si>
    <t>LNGF51</t>
  </si>
  <si>
    <t>Longfield 11kV</t>
  </si>
  <si>
    <t>LRDW51</t>
  </si>
  <si>
    <t>Lordswood 11KV</t>
  </si>
  <si>
    <t>MAIN51</t>
  </si>
  <si>
    <t>Maidstone Grid North 11kV</t>
  </si>
  <si>
    <t>MAIS51</t>
  </si>
  <si>
    <t>Maidstone Grid South 11kV</t>
  </si>
  <si>
    <t>MANT51</t>
  </si>
  <si>
    <t>Manston 11kV</t>
  </si>
  <si>
    <t>MARD51</t>
  </si>
  <si>
    <t>Marden 11kV</t>
  </si>
  <si>
    <t>MARG51</t>
  </si>
  <si>
    <t>Margate 11kV</t>
  </si>
  <si>
    <t>MARG52</t>
  </si>
  <si>
    <t>MEAD51</t>
  </si>
  <si>
    <t>Meads 11kV</t>
  </si>
  <si>
    <t>MEDW51</t>
  </si>
  <si>
    <t>Medway 11kV</t>
  </si>
  <si>
    <t>MERW51</t>
  </si>
  <si>
    <t>Mereworth 11kV</t>
  </si>
  <si>
    <t>MERR51</t>
  </si>
  <si>
    <t>Merrow 11kV</t>
  </si>
  <si>
    <t>MNST71</t>
  </si>
  <si>
    <t>Minster 6.6kV</t>
  </si>
  <si>
    <t>MNST72</t>
  </si>
  <si>
    <t>MOLS51</t>
  </si>
  <si>
    <t>Molesey 11kV</t>
  </si>
  <si>
    <t>MORH51</t>
  </si>
  <si>
    <t>Morehall 132/11kV</t>
  </si>
  <si>
    <t>MOUL51</t>
  </si>
  <si>
    <t>Moulsecoomb 11kV</t>
  </si>
  <si>
    <t>MNTF51</t>
  </si>
  <si>
    <t>Mountfield 11kV</t>
  </si>
  <si>
    <t>NEWT51</t>
  </si>
  <si>
    <t>Newhaven Town 11kV</t>
  </si>
  <si>
    <t>NWIC51</t>
  </si>
  <si>
    <t>Newick 11kV</t>
  </si>
  <si>
    <t>NINL51</t>
  </si>
  <si>
    <t>Ninfield Local 11kV</t>
  </si>
  <si>
    <t>NORB71</t>
  </si>
  <si>
    <t>Norbury 6.6kV</t>
  </si>
  <si>
    <t>NORB72</t>
  </si>
  <si>
    <t>NORK51</t>
  </si>
  <si>
    <t>Nork 11kV</t>
  </si>
  <si>
    <t>NCHM51</t>
  </si>
  <si>
    <t>North Cheam 11kV</t>
  </si>
  <si>
    <t>NCHS51</t>
  </si>
  <si>
    <t>North Chessington 11kV</t>
  </si>
  <si>
    <t>NSEV51</t>
  </si>
  <si>
    <t>North Sevenoaks 11kV</t>
  </si>
  <si>
    <t>NSHO51</t>
  </si>
  <si>
    <t>North Shoreham 11kV</t>
  </si>
  <si>
    <t>NWOR51</t>
  </si>
  <si>
    <t>North Worthing 11kV</t>
  </si>
  <si>
    <t>NTHM51</t>
  </si>
  <si>
    <t>Northiam 11kV</t>
  </si>
  <si>
    <t>NUTF51</t>
  </si>
  <si>
    <t>Nutfield 11kV</t>
  </si>
  <si>
    <t>OCKL51</t>
  </si>
  <si>
    <t>Ocklynge 11kV</t>
  </si>
  <si>
    <t>OWOK51</t>
  </si>
  <si>
    <t>Old Woking 11kV</t>
  </si>
  <si>
    <t>ORPI51</t>
  </si>
  <si>
    <t>Orpington 11kV</t>
  </si>
  <si>
    <t>ORPI52</t>
  </si>
  <si>
    <t>OXTD51</t>
  </si>
  <si>
    <t>Oxted 11kV</t>
  </si>
  <si>
    <t>PADW51</t>
  </si>
  <si>
    <t>Paddock Wood 11kV</t>
  </si>
  <si>
    <t>PEAC51</t>
  </si>
  <si>
    <t>Peacehaven 11kV</t>
  </si>
  <si>
    <t>PENS51</t>
  </si>
  <si>
    <t>Penshurst 11kV</t>
  </si>
  <si>
    <t>PETW51</t>
  </si>
  <si>
    <t>Petts Wood 11kV</t>
  </si>
  <si>
    <t>PEVB51</t>
  </si>
  <si>
    <t>Pevensey Bay 11kV</t>
  </si>
  <si>
    <t>POLT51</t>
  </si>
  <si>
    <t>Polegate Town 11kV</t>
  </si>
  <si>
    <t>PORT51</t>
  </si>
  <si>
    <t>Portslade 11kV</t>
  </si>
  <si>
    <t>PRLG51</t>
  </si>
  <si>
    <t>Prologis 11kV</t>
  </si>
  <si>
    <t>PRLG52</t>
  </si>
  <si>
    <t>PULB51</t>
  </si>
  <si>
    <t>Pulborough 11kV</t>
  </si>
  <si>
    <t>PULO51</t>
  </si>
  <si>
    <t>Purley Local 11kV</t>
  </si>
  <si>
    <t>QNBR71</t>
  </si>
  <si>
    <t>Queenborough 6.6kV</t>
  </si>
  <si>
    <t>QPRK51</t>
  </si>
  <si>
    <t>Queens Park 11kV</t>
  </si>
  <si>
    <t>RAIN51</t>
  </si>
  <si>
    <t>Rainham 11kV</t>
  </si>
  <si>
    <t>RNMK51</t>
  </si>
  <si>
    <t>Rainham Mark 11kV</t>
  </si>
  <si>
    <t>RNMK52</t>
  </si>
  <si>
    <t>RAMS51</t>
  </si>
  <si>
    <t>Ramsgate 11kV</t>
  </si>
  <si>
    <t>RAMS52</t>
  </si>
  <si>
    <t>REDH51</t>
  </si>
  <si>
    <t>Redhill Primary 11kV</t>
  </si>
  <si>
    <t>REIG51</t>
  </si>
  <si>
    <t>Reigate 11kV</t>
  </si>
  <si>
    <t>RICH51</t>
  </si>
  <si>
    <t>Richborough 11kV</t>
  </si>
  <si>
    <t>RICM51</t>
  </si>
  <si>
    <t>Richmond 11kV</t>
  </si>
  <si>
    <t>RICM52</t>
  </si>
  <si>
    <t>RIPE51</t>
  </si>
  <si>
    <t>Ripe 11kV</t>
  </si>
  <si>
    <t>RBTS51</t>
  </si>
  <si>
    <t>Robertsbridge 11kV</t>
  </si>
  <si>
    <t>ROMN51</t>
  </si>
  <si>
    <t>Romney Warren 11kV</t>
  </si>
  <si>
    <t>RSHV71</t>
  </si>
  <si>
    <t>Rosherville 6.6kV</t>
  </si>
  <si>
    <t>ROTT51</t>
  </si>
  <si>
    <t>Rottingdean 11kV</t>
  </si>
  <si>
    <t>RUST51</t>
  </si>
  <si>
    <t>Rusthall 11kV</t>
  </si>
  <si>
    <t>RUXL51</t>
  </si>
  <si>
    <t>Ruxley 11kV</t>
  </si>
  <si>
    <t>RYEP51</t>
  </si>
  <si>
    <t>Rye 11kV</t>
  </si>
  <si>
    <t>SEAF51</t>
  </si>
  <si>
    <t>Seaford 11kV</t>
  </si>
  <si>
    <t>SELH71</t>
  </si>
  <si>
    <t>Selhurst 6.6kV</t>
  </si>
  <si>
    <t>SELH72</t>
  </si>
  <si>
    <t>SELS51</t>
  </si>
  <si>
    <t>Selsdon 11kV</t>
  </si>
  <si>
    <t>SEVI51</t>
  </si>
  <si>
    <t>Sevington 11kV</t>
  </si>
  <si>
    <t>SHAL51</t>
  </si>
  <si>
    <t>Shalford 11kV</t>
  </si>
  <si>
    <t>SHAR51</t>
  </si>
  <si>
    <t>Sharnal Street 11kV</t>
  </si>
  <si>
    <t>SHEN71</t>
  </si>
  <si>
    <t>Sheerness 6.6kV</t>
  </si>
  <si>
    <t>SHEE31</t>
  </si>
  <si>
    <t>Sheerness Grid 33kV</t>
  </si>
  <si>
    <t>SHEP51</t>
  </si>
  <si>
    <t>Shepway 11kV</t>
  </si>
  <si>
    <t>SHRL51</t>
  </si>
  <si>
    <t>Shirley 11kV</t>
  </si>
  <si>
    <t>SING71</t>
  </si>
  <si>
    <t>Singleton 6.6kV</t>
  </si>
  <si>
    <t>SITO51</t>
  </si>
  <si>
    <t>Sittingbourne Town 11kV</t>
  </si>
  <si>
    <t>SITW51</t>
  </si>
  <si>
    <t>Sittingbourne West 11kV</t>
  </si>
  <si>
    <t>SITW52</t>
  </si>
  <si>
    <t>SMTH51</t>
  </si>
  <si>
    <t>Smeeth 11kV</t>
  </si>
  <si>
    <t>SOMP51</t>
  </si>
  <si>
    <t>Sompting 11kV</t>
  </si>
  <si>
    <t>SHOV51</t>
  </si>
  <si>
    <t>South Hove 11kV</t>
  </si>
  <si>
    <t>SORP51</t>
  </si>
  <si>
    <t>South Orpington 11kV</t>
  </si>
  <si>
    <t>SORP52</t>
  </si>
  <si>
    <t>SWOR51</t>
  </si>
  <si>
    <t>South Worthing 11kV</t>
  </si>
  <si>
    <t>STHG51</t>
  </si>
  <si>
    <t>Southgate 11kV</t>
  </si>
  <si>
    <t>SWAT51</t>
  </si>
  <si>
    <t>Southwater 11kV</t>
  </si>
  <si>
    <t>SWIC51</t>
  </si>
  <si>
    <t>Southwick 11kV</t>
  </si>
  <si>
    <t>SWIC52</t>
  </si>
  <si>
    <t>CREL51</t>
  </si>
  <si>
    <t>SPN 0001</t>
  </si>
  <si>
    <t>CRNR31</t>
  </si>
  <si>
    <t>SPN 0002</t>
  </si>
  <si>
    <t>ABNR31</t>
  </si>
  <si>
    <t>SPN 0003</t>
  </si>
  <si>
    <t>SHAM81</t>
  </si>
  <si>
    <t>SPN 0004</t>
  </si>
  <si>
    <t>FINR31</t>
  </si>
  <si>
    <t>SPN 0005</t>
  </si>
  <si>
    <t>BHWG31</t>
  </si>
  <si>
    <t>SPN 0006</t>
  </si>
  <si>
    <t>PLBG3A</t>
  </si>
  <si>
    <t>SPN 0007</t>
  </si>
  <si>
    <t>GATB31</t>
  </si>
  <si>
    <t>SPN 0008</t>
  </si>
  <si>
    <t>TBNR31</t>
  </si>
  <si>
    <t>SPN 0009</t>
  </si>
  <si>
    <t>TBNR33</t>
  </si>
  <si>
    <t>THWO11</t>
  </si>
  <si>
    <t>SPN 0010</t>
  </si>
  <si>
    <t>THWO12</t>
  </si>
  <si>
    <t>THNR31</t>
  </si>
  <si>
    <t>SPN 0011</t>
  </si>
  <si>
    <t>PFIZ51</t>
  </si>
  <si>
    <t>SPN 0012</t>
  </si>
  <si>
    <t>WCPV31</t>
  </si>
  <si>
    <t>SPN 0013</t>
  </si>
  <si>
    <t>CANR31</t>
  </si>
  <si>
    <t>SPN 0014</t>
  </si>
  <si>
    <t>KNPV31</t>
  </si>
  <si>
    <t>SPN 0015</t>
  </si>
  <si>
    <t>SFRM51</t>
  </si>
  <si>
    <t>SPN 0016</t>
  </si>
  <si>
    <t>KFWF31</t>
  </si>
  <si>
    <t>SPN 0017</t>
  </si>
  <si>
    <t>ALLG51</t>
  </si>
  <si>
    <t>SPN 0018</t>
  </si>
  <si>
    <t>MANR31</t>
  </si>
  <si>
    <t>SPN 0019</t>
  </si>
  <si>
    <t>CHES51</t>
  </si>
  <si>
    <t>SPN 0021</t>
  </si>
  <si>
    <t>LENR31</t>
  </si>
  <si>
    <t>SPN 0022</t>
  </si>
  <si>
    <t>LENR32</t>
  </si>
  <si>
    <t>GROV31</t>
  </si>
  <si>
    <t>SPN 0025</t>
  </si>
  <si>
    <t>SINR31</t>
  </si>
  <si>
    <t>SPN 0026</t>
  </si>
  <si>
    <t>QBNR31</t>
  </si>
  <si>
    <t>SPN 0028</t>
  </si>
  <si>
    <t>NHEA31</t>
  </si>
  <si>
    <t>SPN 0029</t>
  </si>
  <si>
    <t>ORPV31</t>
  </si>
  <si>
    <t>SPN 0030</t>
  </si>
  <si>
    <t>TWAH71</t>
  </si>
  <si>
    <t>SPN 0033</t>
  </si>
  <si>
    <t>MOGD51</t>
  </si>
  <si>
    <t>SPN 0034</t>
  </si>
  <si>
    <t>HANR3A</t>
  </si>
  <si>
    <t>SPN 0037</t>
  </si>
  <si>
    <t>EBNR31</t>
  </si>
  <si>
    <t>SPN 0038</t>
  </si>
  <si>
    <t>LCHY31</t>
  </si>
  <si>
    <t>SPN 0039</t>
  </si>
  <si>
    <t>NERF31</t>
  </si>
  <si>
    <t>SPN 0040</t>
  </si>
  <si>
    <t>STAN51</t>
  </si>
  <si>
    <t>SPN 0041</t>
  </si>
  <si>
    <t>DONR31</t>
  </si>
  <si>
    <t>SPN 0043</t>
  </si>
  <si>
    <t>DONR32</t>
  </si>
  <si>
    <t>NFNR31</t>
  </si>
  <si>
    <t>SPN 0044</t>
  </si>
  <si>
    <t>TWNR31</t>
  </si>
  <si>
    <t>SPN 0045</t>
  </si>
  <si>
    <t>TWNR32</t>
  </si>
  <si>
    <t>EURO11</t>
  </si>
  <si>
    <t>SPN 0046</t>
  </si>
  <si>
    <t>FONR31</t>
  </si>
  <si>
    <t>SPN 0047</t>
  </si>
  <si>
    <t>LHPV31</t>
  </si>
  <si>
    <t>SPN 0048</t>
  </si>
  <si>
    <t>ASNR31</t>
  </si>
  <si>
    <t>SPN 0049</t>
  </si>
  <si>
    <t>ORMN31</t>
  </si>
  <si>
    <t>SPN 0050</t>
  </si>
  <si>
    <t>BYNR31</t>
  </si>
  <si>
    <t>SPN 0051</t>
  </si>
  <si>
    <t>LIPV31</t>
  </si>
  <si>
    <t>SPN 0052</t>
  </si>
  <si>
    <t>MONK51</t>
  </si>
  <si>
    <t>SPN 0053</t>
  </si>
  <si>
    <t>MAPV31</t>
  </si>
  <si>
    <t>SPN 0054</t>
  </si>
  <si>
    <t>NHEB31</t>
  </si>
  <si>
    <t>SPN 0055</t>
  </si>
  <si>
    <t>HASP31</t>
  </si>
  <si>
    <t>SPN 0057</t>
  </si>
  <si>
    <t>NINP31</t>
  </si>
  <si>
    <t>SPN 0058</t>
  </si>
  <si>
    <t>KRPV31</t>
  </si>
  <si>
    <t>SPN 0059</t>
  </si>
  <si>
    <t>PASF31</t>
  </si>
  <si>
    <t>SPN 0060</t>
  </si>
  <si>
    <t>MOLE91</t>
  </si>
  <si>
    <t>SPN 0061</t>
  </si>
  <si>
    <t>CALC31</t>
  </si>
  <si>
    <t>SPN 0062</t>
  </si>
  <si>
    <t>PADK31</t>
  </si>
  <si>
    <t>SPN 0063</t>
  </si>
  <si>
    <t>MAHR31</t>
  </si>
  <si>
    <t>SPN 0064</t>
  </si>
  <si>
    <t>HOSF31</t>
  </si>
  <si>
    <t>SPN 0065</t>
  </si>
  <si>
    <t>OWHT31</t>
  </si>
  <si>
    <t>SPN 0066</t>
  </si>
  <si>
    <t>ARLP31</t>
  </si>
  <si>
    <t>SPN 0067</t>
  </si>
  <si>
    <t>HOTF31</t>
  </si>
  <si>
    <t>SPN 0068</t>
  </si>
  <si>
    <t>RIPV31</t>
  </si>
  <si>
    <t>SPN 0069</t>
  </si>
  <si>
    <t>KTWF31</t>
  </si>
  <si>
    <t>SPN 0070</t>
  </si>
  <si>
    <t>RDHG51</t>
  </si>
  <si>
    <t>SPN 0071</t>
  </si>
  <si>
    <t>RGPV31</t>
  </si>
  <si>
    <t>SPN 0072</t>
  </si>
  <si>
    <t>ASWP31</t>
  </si>
  <si>
    <t>SPN 0073</t>
  </si>
  <si>
    <t>GCAP31</t>
  </si>
  <si>
    <t>SPN 0074</t>
  </si>
  <si>
    <t>LTHD31</t>
  </si>
  <si>
    <t>SPN 0075</t>
  </si>
  <si>
    <t>ORCF31</t>
  </si>
  <si>
    <t>SPN 0077</t>
  </si>
  <si>
    <t>ASHP31</t>
  </si>
  <si>
    <t>SPN 0078</t>
  </si>
  <si>
    <t>BOBB31</t>
  </si>
  <si>
    <t>SPN 0079</t>
  </si>
  <si>
    <t>SESF31</t>
  </si>
  <si>
    <t>SPN 0080</t>
  </si>
  <si>
    <t>CAPG31</t>
  </si>
  <si>
    <t>SPN 0081</t>
  </si>
  <si>
    <t>SRDW31</t>
  </si>
  <si>
    <t>SPN 0082</t>
  </si>
  <si>
    <t>TGCP31</t>
  </si>
  <si>
    <t>SPN 0083</t>
  </si>
  <si>
    <t>AREP31</t>
  </si>
  <si>
    <t>SPN 0084</t>
  </si>
  <si>
    <t>CWDC11</t>
  </si>
  <si>
    <t>SPN 0085</t>
  </si>
  <si>
    <t>CWDC12</t>
  </si>
  <si>
    <t>SHWF31</t>
  </si>
  <si>
    <t>SPN 0086</t>
  </si>
  <si>
    <t>BRBS31</t>
  </si>
  <si>
    <t>SPN 0087</t>
  </si>
  <si>
    <t>WHSF31</t>
  </si>
  <si>
    <t>SPN 0088</t>
  </si>
  <si>
    <t>LTHP31</t>
  </si>
  <si>
    <t>SPN 0089</t>
  </si>
  <si>
    <t>BERF31</t>
  </si>
  <si>
    <t>SPN 0090</t>
  </si>
  <si>
    <t>BRWG31</t>
  </si>
  <si>
    <t>SPN 0091</t>
  </si>
  <si>
    <t>ASWN91</t>
  </si>
  <si>
    <t>SPN 0092</t>
  </si>
  <si>
    <t>GLBS11</t>
  </si>
  <si>
    <t>SPN 0094</t>
  </si>
  <si>
    <t>AYBS31</t>
  </si>
  <si>
    <t>SPN 0095</t>
  </si>
  <si>
    <t>WOKS51</t>
  </si>
  <si>
    <t>SPN 0098</t>
  </si>
  <si>
    <t>WOKS52</t>
  </si>
  <si>
    <t>NRWF31</t>
  </si>
  <si>
    <t>SPN 0099</t>
  </si>
  <si>
    <t>KMAR11</t>
  </si>
  <si>
    <t>SPN 0100</t>
  </si>
  <si>
    <t>STSG51</t>
  </si>
  <si>
    <t>SPN 0101</t>
  </si>
  <si>
    <t>COBS31</t>
  </si>
  <si>
    <t>SPN 0102</t>
  </si>
  <si>
    <t>LOQR81</t>
  </si>
  <si>
    <t>SPN 0103</t>
  </si>
  <si>
    <t>NBRB31</t>
  </si>
  <si>
    <t>SPN 0104</t>
  </si>
  <si>
    <t>SPRG71</t>
  </si>
  <si>
    <t>Spurgeons Bridge 6.6kV</t>
  </si>
  <si>
    <t>SPRG72</t>
  </si>
  <si>
    <t>HELI51</t>
  </si>
  <si>
    <t>St Helier 11kV</t>
  </si>
  <si>
    <t>SPET51</t>
  </si>
  <si>
    <t>St Peters 11kV</t>
  </si>
  <si>
    <t>SPET52</t>
  </si>
  <si>
    <t>STNF51</t>
  </si>
  <si>
    <t>Stanford 11kV</t>
  </si>
  <si>
    <t>STPL71</t>
  </si>
  <si>
    <t>Staplehurst 6.6kV</t>
  </si>
  <si>
    <t>STLX71</t>
  </si>
  <si>
    <t>Steel Cross 6.6kV</t>
  </si>
  <si>
    <t>SRAD51</t>
  </si>
  <si>
    <t>Stelrad 11kV</t>
  </si>
  <si>
    <t>STEG51</t>
  </si>
  <si>
    <t>Steyning 11kV</t>
  </si>
  <si>
    <t>STNE51</t>
  </si>
  <si>
    <t>Stone 11kV</t>
  </si>
  <si>
    <t>SMRS51</t>
  </si>
  <si>
    <t>Stonemarshes 11kV</t>
  </si>
  <si>
    <t>STRD51</t>
  </si>
  <si>
    <t>Strood 11kV</t>
  </si>
  <si>
    <t>SUFK71</t>
  </si>
  <si>
    <t>Suffolk Road 6.6kV</t>
  </si>
  <si>
    <t>SUND51</t>
  </si>
  <si>
    <t>Sundridge 11kV</t>
  </si>
  <si>
    <t>SURB51</t>
  </si>
  <si>
    <t>Surbiton 11kV</t>
  </si>
  <si>
    <t>SUTA51</t>
  </si>
  <si>
    <t>Sutton A 11kV</t>
  </si>
  <si>
    <t>SUTA52</t>
  </si>
  <si>
    <t>SUTB51</t>
  </si>
  <si>
    <t>Sutton B 11kV</t>
  </si>
  <si>
    <t>SWNL51</t>
  </si>
  <si>
    <t>Swanley 11kV</t>
  </si>
  <si>
    <t>SWAN51</t>
  </si>
  <si>
    <t>Swanscombe 11kV</t>
  </si>
  <si>
    <t>TEDD51</t>
  </si>
  <si>
    <t>Teddington 11kV</t>
  </si>
  <si>
    <t>TENT71</t>
  </si>
  <si>
    <t>Tenterden 6.6kV</t>
  </si>
  <si>
    <t>THAN51</t>
  </si>
  <si>
    <t>Thanet 11kV</t>
  </si>
  <si>
    <t>DROV51</t>
  </si>
  <si>
    <t>The Droveway 11kV</t>
  </si>
  <si>
    <t>TICH51</t>
  </si>
  <si>
    <t>Ticehurst 11kV</t>
  </si>
  <si>
    <t>TICH52</t>
  </si>
  <si>
    <t>ETON71</t>
  </si>
  <si>
    <t>Tonbridge East 6.6kV</t>
  </si>
  <si>
    <t>ETON72</t>
  </si>
  <si>
    <t>TTWN71</t>
  </si>
  <si>
    <t>Tonbridge Town 6.6kV</t>
  </si>
  <si>
    <t>TOWN71</t>
  </si>
  <si>
    <t>Townsend Hook 6.6kV</t>
  </si>
  <si>
    <t>TUWG51</t>
  </si>
  <si>
    <t>Tunbridge Wells Grid 11kV</t>
  </si>
  <si>
    <t>TUNT51</t>
  </si>
  <si>
    <t>Tunbridge Wells Town 11kV</t>
  </si>
  <si>
    <t>TUNT52</t>
  </si>
  <si>
    <t>TUNT71</t>
  </si>
  <si>
    <t>Tunbridge Wells Town 6.6kV</t>
  </si>
  <si>
    <t>TWCH51</t>
  </si>
  <si>
    <t>Twickenham 11kV</t>
  </si>
  <si>
    <t>TWCH52</t>
  </si>
  <si>
    <t>UCKF51</t>
  </si>
  <si>
    <t>Uckfield 11kV</t>
  </si>
  <si>
    <t>WADH71</t>
  </si>
  <si>
    <t>Wadhurst 6.6kV</t>
  </si>
  <si>
    <t>WALT51</t>
  </si>
  <si>
    <t>Walton 11kV</t>
  </si>
  <si>
    <t>WARE51</t>
  </si>
  <si>
    <t>Warehorne 11kV</t>
  </si>
  <si>
    <t>WATS51</t>
  </si>
  <si>
    <t>Waterside 11kV</t>
  </si>
  <si>
    <t>WCRY51</t>
  </si>
  <si>
    <t>West Croydon 11kV</t>
  </si>
  <si>
    <t>WHTH51</t>
  </si>
  <si>
    <t>West Hoathly 11kV</t>
  </si>
  <si>
    <t>WWEY51</t>
  </si>
  <si>
    <t>West Weybridge 11kV</t>
  </si>
  <si>
    <t>WWIC51</t>
  </si>
  <si>
    <t>West Wickham 11kV</t>
  </si>
  <si>
    <t>WWOR51</t>
  </si>
  <si>
    <t>West Worthing 11kV</t>
  </si>
  <si>
    <t>WSTG51</t>
  </si>
  <si>
    <t>Westgate 11kV</t>
  </si>
  <si>
    <t>WEYB51</t>
  </si>
  <si>
    <t>Weybridge 11kV</t>
  </si>
  <si>
    <t>WHIT51</t>
  </si>
  <si>
    <t>Whitstable 11kV</t>
  </si>
  <si>
    <t>WING51</t>
  </si>
  <si>
    <t>Wingham 11kV</t>
  </si>
  <si>
    <t>WITH51</t>
  </si>
  <si>
    <t>Withdean 11kV</t>
  </si>
  <si>
    <t>WTSM71</t>
  </si>
  <si>
    <t>Wittersham 6.6kV</t>
  </si>
  <si>
    <t>WOKG51</t>
  </si>
  <si>
    <t>Woking 11kV</t>
  </si>
  <si>
    <t>WTWN51</t>
  </si>
  <si>
    <t>Worthing Town 11kV</t>
  </si>
  <si>
    <t>WTWN52</t>
  </si>
  <si>
    <t>WRTM51</t>
  </si>
  <si>
    <t>Wrotham Heath 11kV</t>
  </si>
  <si>
    <t>01/04/2026</t>
  </si>
  <si>
    <t>LONGDC</t>
  </si>
  <si>
    <t>1900091637072;1900091057568;1900060219544</t>
  </si>
  <si>
    <t>1900091637081;1900091057559</t>
  </si>
  <si>
    <t>1, 2, 70, 71, 72, 73, 74, 100, 199, 200, 201, 202, 203, 204, 300, 350, 351, 352, 353, 354, 355, 356, 357, 358, 359, 360, 361, 362, 363, 364, 365, 366, 932, 980, 981, N01, N02, N03, N04</t>
  </si>
  <si>
    <t>80, 81, 82, 83, 84, 984, 985</t>
  </si>
  <si>
    <t>90, 91, 92, 93, 94, 988, 989</t>
  </si>
  <si>
    <t>771, 791, 792</t>
  </si>
  <si>
    <t>796, 797</t>
  </si>
  <si>
    <t>798, 799</t>
  </si>
  <si>
    <t>NEWHVN - Import</t>
  </si>
  <si>
    <t>BRKHST - Import</t>
  </si>
  <si>
    <t>KNWLTN - Import</t>
  </si>
  <si>
    <t>DSCPRK - Import</t>
  </si>
  <si>
    <t>OLDRSF - Import</t>
  </si>
  <si>
    <t>WSTWDX - Import</t>
  </si>
  <si>
    <t>SYCAMR - Import</t>
  </si>
  <si>
    <t>LENHAM - Import</t>
  </si>
  <si>
    <t>ASHBYS - Import</t>
  </si>
  <si>
    <t>BTBRKS - Import</t>
  </si>
  <si>
    <t>FRWOOD - Import</t>
  </si>
  <si>
    <t>HADLOW - Import</t>
  </si>
  <si>
    <t>HLLMBY - Import</t>
  </si>
  <si>
    <t>KENTI2 - Import</t>
  </si>
  <si>
    <t>LBOURN - Import</t>
  </si>
  <si>
    <t>LGHTON - Import</t>
  </si>
  <si>
    <t>MLMAYN - Import</t>
  </si>
  <si>
    <t>THORNE - Import</t>
  </si>
  <si>
    <t>MLEHLL - Import</t>
  </si>
  <si>
    <t>OAKLND - Import</t>
  </si>
  <si>
    <t>WIDHFM - Import</t>
  </si>
  <si>
    <t>PADWSF - Import</t>
  </si>
  <si>
    <t>SOLEES - Import</t>
  </si>
  <si>
    <t>HORAMS - Import</t>
  </si>
  <si>
    <t>WDLNDS - Import</t>
  </si>
  <si>
    <t>PSHLEY - Import</t>
  </si>
  <si>
    <t>POSHWF - Import</t>
  </si>
  <si>
    <t>TONGSF - Import</t>
  </si>
  <si>
    <t>WLBEES - Import</t>
  </si>
  <si>
    <t>BNTLY2 - Import</t>
  </si>
  <si>
    <t>GUSTON - Import</t>
  </si>
  <si>
    <t>SHEPHM - Import</t>
  </si>
  <si>
    <t>DIGREA - Import</t>
  </si>
  <si>
    <t>B&amp;RLTD - Import</t>
  </si>
  <si>
    <t>BP_OIL - Import</t>
  </si>
  <si>
    <t>NP_LAB - Import</t>
  </si>
  <si>
    <t>THAMEM - Import</t>
  </si>
  <si>
    <t>TWHK66 - Import</t>
  </si>
  <si>
    <t>BEDERF - Import</t>
  </si>
  <si>
    <t>BESAYL - Import</t>
  </si>
  <si>
    <t>BRAMBS - Import</t>
  </si>
  <si>
    <t>BRELLE - Import</t>
  </si>
  <si>
    <t>GLASSN - Import</t>
  </si>
  <si>
    <t>NEWRID - Import</t>
  </si>
  <si>
    <t>KM3CHP - Import</t>
  </si>
  <si>
    <t>NR_AFD - Import</t>
  </si>
  <si>
    <t>NR_BRI - Import</t>
  </si>
  <si>
    <t>NR_BYF - Import</t>
  </si>
  <si>
    <t>NR_CAN - Import</t>
  </si>
  <si>
    <t>NR_CRO - Import</t>
  </si>
  <si>
    <t>NR_DOR - Import</t>
  </si>
  <si>
    <t>NR_EAS - Import</t>
  </si>
  <si>
    <t>NR_FOK - Import</t>
  </si>
  <si>
    <t>NR_HAS - Import</t>
  </si>
  <si>
    <t>NR_LEA - Import</t>
  </si>
  <si>
    <t>NR_MAI - Import</t>
  </si>
  <si>
    <t>NR_NOR - Import</t>
  </si>
  <si>
    <t>NR_QUE - Import</t>
  </si>
  <si>
    <t>NR_SIT - Import</t>
  </si>
  <si>
    <t>NR_THA - Import</t>
  </si>
  <si>
    <t>NR_3BR - Import</t>
  </si>
  <si>
    <t>NR_TUN - Import</t>
  </si>
  <si>
    <t>GAT_AF - Import</t>
  </si>
  <si>
    <t>GAT_BF - Import</t>
  </si>
  <si>
    <t>BRETSH - Import</t>
  </si>
  <si>
    <t>ANMSTR - Import</t>
  </si>
  <si>
    <t>EUROTU - Import</t>
  </si>
  <si>
    <t>GROVEH - Import</t>
  </si>
  <si>
    <t>HANSTA - Import</t>
  </si>
  <si>
    <t>KENTIS - Import</t>
  </si>
  <si>
    <t>LCHEYI - Import</t>
  </si>
  <si>
    <t>NR_ASH - Import</t>
  </si>
  <si>
    <t>STAREN - Import</t>
  </si>
  <si>
    <t>THAMES - Import</t>
  </si>
  <si>
    <t>WRGALL - Import</t>
  </si>
  <si>
    <t>SENTIV - Import</t>
  </si>
  <si>
    <t>BEDDIN - Import</t>
  </si>
  <si>
    <t>BNTLEY - Import</t>
  </si>
  <si>
    <t>BOBBNG - Import</t>
  </si>
  <si>
    <t>CAPELG - Import</t>
  </si>
  <si>
    <t>CLYHLL - Import</t>
  </si>
  <si>
    <t>FORDSF - Import</t>
  </si>
  <si>
    <t>MARSHB - Import</t>
  </si>
  <si>
    <t>MVVRID - Import</t>
  </si>
  <si>
    <t>ORCHRD - Import</t>
  </si>
  <si>
    <t>PRIORS - Import</t>
  </si>
  <si>
    <t>SELLSF - Import</t>
  </si>
  <si>
    <t>GATWBS - Import</t>
  </si>
  <si>
    <t>GATWEV - Import</t>
  </si>
  <si>
    <t>POTMBS - Import</t>
  </si>
  <si>
    <t>Dartford _J DSCP</t>
  </si>
  <si>
    <t>Bromley DSCP</t>
  </si>
  <si>
    <t>Shoreham Power Station - Export</t>
  </si>
  <si>
    <t>Shoreham Power Station - Import</t>
  </si>
  <si>
    <t>Sevington District Energy</t>
  </si>
  <si>
    <t>Kents Farm Battery Storage Import</t>
  </si>
  <si>
    <t>Kents Farm Battery Storage Export</t>
  </si>
  <si>
    <t>Croydon Energy Limited - Factory Lane Import</t>
  </si>
  <si>
    <t>Croydon Energy Limited - Factory Lane - Export</t>
  </si>
  <si>
    <t>Broadditch Energy Storage Import</t>
  </si>
  <si>
    <t>Broadditch Energy Storage Export</t>
  </si>
  <si>
    <t>THAMEM - Export</t>
  </si>
  <si>
    <t>TWHK66 - Export</t>
  </si>
  <si>
    <t>BEDERF - Export</t>
  </si>
  <si>
    <t>BESAYL - Export</t>
  </si>
  <si>
    <t>BRAMBS - Export</t>
  </si>
  <si>
    <t>BRELLE - Export</t>
  </si>
  <si>
    <t>GLASSN - Export</t>
  </si>
  <si>
    <t>NEWRID - Export</t>
  </si>
  <si>
    <t>KM3CHP - Export</t>
  </si>
  <si>
    <t>NEWHVN - Export</t>
  </si>
  <si>
    <t>HORAMS - Export</t>
  </si>
  <si>
    <t>WDLNDS - Export</t>
  </si>
  <si>
    <t>PSHLEY - Export</t>
  </si>
  <si>
    <t>DSCPRK - Export</t>
  </si>
  <si>
    <t>BOBBNG - Export</t>
  </si>
  <si>
    <t>CAPELG - Export</t>
  </si>
  <si>
    <t>FORDSF - Export</t>
  </si>
  <si>
    <t>GUSTON - Export</t>
  </si>
  <si>
    <t>MARSHB - Export</t>
  </si>
  <si>
    <t>MVVRID - Export</t>
  </si>
  <si>
    <t>TONGSF - Export</t>
  </si>
  <si>
    <t>BNTLY2 - Export</t>
  </si>
  <si>
    <t>BNTLEY - Export</t>
  </si>
  <si>
    <t>WIDHFM - Export</t>
  </si>
  <si>
    <t>WLBEES - Export</t>
  </si>
  <si>
    <t>CLYHLL - Export</t>
  </si>
  <si>
    <t>PRIORS - Export</t>
  </si>
  <si>
    <t>SHEPHM - Export</t>
  </si>
  <si>
    <t>POSHWF - Export</t>
  </si>
  <si>
    <t>SELLSF - Export</t>
  </si>
  <si>
    <t>LCHEYI - Export</t>
  </si>
  <si>
    <t>KENTIS - Export</t>
  </si>
  <si>
    <t>PFIZER - Export</t>
  </si>
  <si>
    <t>AYLESF - Export</t>
  </si>
  <si>
    <t>BRETSH - Export</t>
  </si>
  <si>
    <t>GROVEH - Export</t>
  </si>
  <si>
    <t>HANSTA - Export</t>
  </si>
  <si>
    <t>STAREN - Export</t>
  </si>
  <si>
    <t>WRGALL - Export</t>
  </si>
  <si>
    <t>THAMES - Export</t>
  </si>
  <si>
    <t>KNWLTN - Export</t>
  </si>
  <si>
    <t>LENHAM - Export</t>
  </si>
  <si>
    <t>SYCAMR - Export</t>
  </si>
  <si>
    <t>BRKHST - Export</t>
  </si>
  <si>
    <t>OLDRSF - Export</t>
  </si>
  <si>
    <t>WSTWDX - Export</t>
  </si>
  <si>
    <t>ASHBYS - Export</t>
  </si>
  <si>
    <t>BTBRKS - Export</t>
  </si>
  <si>
    <t>FRWOOD - Export</t>
  </si>
  <si>
    <t>HADLOW - Export</t>
  </si>
  <si>
    <t>HLLMBY - Export</t>
  </si>
  <si>
    <t>KENTI2 - Export</t>
  </si>
  <si>
    <t>LBOURN - Export</t>
  </si>
  <si>
    <t>LGHTON - Export</t>
  </si>
  <si>
    <t>MLMAYN - Export</t>
  </si>
  <si>
    <t>THORNE - Export</t>
  </si>
  <si>
    <t>MLEHLL - Export</t>
  </si>
  <si>
    <t>OAKLND - Export</t>
  </si>
  <si>
    <t>ORCHRD - Export</t>
  </si>
  <si>
    <t>PADWSF - Export</t>
  </si>
  <si>
    <t>SOLEES - Export</t>
  </si>
  <si>
    <t>GATWBS - Export</t>
  </si>
  <si>
    <t>ANMSTR - Export</t>
  </si>
  <si>
    <t>POTMBS - Export</t>
  </si>
  <si>
    <t>These line loss factors are illustrative based on the latest calculated values and are published in good faith.  However, the line loss factors that are approved by the BSC Panel for the applicable year and consequently published on the Elexon website will take precedence and will be used in Settlement if they differ from these values.</t>
  </si>
  <si>
    <t>THAEAR - Import</t>
  </si>
  <si>
    <t>THAEAR - Export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</si>
</sst>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43" formatCode="_-* #,##0.00_-;\-* #,##0.00_-;_-* &quot;-&quot;??_-;_-@_-"/>
    <numFmt numFmtId="164" formatCode="0.00_ ;[Red]\-0.00\ "/>
    <numFmt numFmtId="165" formatCode="0.000"/>
    <numFmt numFmtId="166" formatCode="#,##0.000"/>
    <numFmt numFmtId="167" formatCode="_(?,???,??0.000_);[Red]\(?,???,??0.000\);_(?,???,???.???_)"/>
    <numFmt numFmtId="168" formatCode="_(?,???,??0.00_);[Red]\(?,???,??0.00\);_(?,???,???.??_)"/>
    <numFmt numFmtId="169" formatCode="#"/>
    <numFmt numFmtId="170" formatCode="\ _(???,???,??0.000_);[Red]\ \(???,???,??0.000\);"/>
    <numFmt numFmtId="171" formatCode="\ _(???,???,??0.00_);[Red]\ \(???,???,??0.00\);"/>
    <numFmt numFmtId="172" formatCode="0.000_ ;[Red]\-0.000\ "/>
    <numFmt numFmtId="173" formatCode="0.00;[Red]\-0.00;?;"/>
    <numFmt numFmtId="174" formatCode="#,##0;\-#,##0;;"/>
    <numFmt numFmtId="175" formatCode="000"/>
    <numFmt numFmtId="176" formatCode="#,##0;[Red]\-#,##0;;"/>
    <numFmt numFmtId="177" formatCode="0.000;[Red]\-0.000;?;"/>
    <numFmt numFmtId="178" formatCode="0.000_ ;\-0.000\ "/>
    <numFmt numFmtId="179" formatCode="0000"/>
    <numFmt numFmtId="180" formatCode="0.00;\(0.00\);"/>
    <numFmt numFmtId="181" formatCode="&quot;£&quot;#,##0.00"/>
    <numFmt numFmtId="182" formatCode="0.000;[Red]\-0.000;?"/>
    <numFmt numFmtId="183" formatCode="#,##0.000;[Red]\-#,##0.000;"/>
    <numFmt numFmtId="184" formatCode="#,##0.00;[Red]\-#,##0.00;"/>
    <numFmt numFmtId="185" formatCode="#,##0;\-#,##0;\-"/>
  </numFmts>
  <fonts count="39" x14ac:knownFonts="1">
    <font>
      <sz val="10"/>
      <name val="Arial"/>
    </font>
    <font>
      <sz val="11"/>
      <color theme="1"/>
      <name val="Calibri"/>
      <family val="2"/>
      <scheme val="minor"/>
    </font>
    <font>
      <sz val="10"/>
      <color theme="1"/>
      <name val="Arial"/>
      <family val="2"/>
    </font>
    <font>
      <sz val="10"/>
      <color theme="1"/>
      <name val="Arial"/>
      <family val="2"/>
    </font>
    <font>
      <sz val="10"/>
      <color indexed="8"/>
      <name val="Arial"/>
      <family val="2"/>
    </font>
    <font>
      <sz val="8"/>
      <name val="Arial"/>
      <family val="2"/>
    </font>
    <font>
      <sz val="10"/>
      <name val="Arial"/>
      <family val="2"/>
    </font>
    <font>
      <b/>
      <sz val="10"/>
      <name val="Arial"/>
      <family val="2"/>
    </font>
    <font>
      <sz val="14"/>
      <name val="Arial"/>
      <family val="2"/>
    </font>
    <font>
      <b/>
      <sz val="8"/>
      <name val="Arial"/>
      <family val="2"/>
    </font>
    <font>
      <sz val="8"/>
      <name val="Arial"/>
      <family val="2"/>
    </font>
    <font>
      <b/>
      <sz val="11"/>
      <color theme="3"/>
      <name val="Arial"/>
      <family val="2"/>
    </font>
    <font>
      <sz val="9"/>
      <color rgb="FF3F3F76"/>
      <name val="Arial"/>
      <family val="2"/>
    </font>
    <font>
      <u/>
      <sz val="10"/>
      <color theme="10"/>
      <name val="Arial"/>
      <family val="2"/>
    </font>
    <font>
      <u/>
      <sz val="10"/>
      <color theme="10"/>
      <name val="Arial"/>
      <family val="2"/>
    </font>
    <font>
      <sz val="11"/>
      <name val="Arial"/>
      <family val="2"/>
    </font>
    <font>
      <b/>
      <sz val="9"/>
      <color rgb="FF3F3F76"/>
      <name val="Arial"/>
      <family val="2"/>
    </font>
    <font>
      <b/>
      <sz val="14"/>
      <color theme="3"/>
      <name val="Arial"/>
      <family val="2"/>
    </font>
    <font>
      <sz val="10"/>
      <color indexed="8"/>
      <name val="Calibri"/>
      <family val="2"/>
    </font>
    <font>
      <b/>
      <sz val="13"/>
      <color theme="3"/>
      <name val="Arial"/>
      <family val="2"/>
    </font>
    <font>
      <sz val="11"/>
      <color theme="0"/>
      <name val="Arial"/>
      <family val="2"/>
    </font>
    <font>
      <b/>
      <sz val="11"/>
      <name val="Arial"/>
      <family val="2"/>
    </font>
    <font>
      <b/>
      <sz val="11"/>
      <color theme="0"/>
      <name val="Arial"/>
      <family val="2"/>
    </font>
    <font>
      <b/>
      <sz val="10"/>
      <color indexed="8"/>
      <name val="Arial"/>
      <family val="2"/>
    </font>
    <font>
      <sz val="10"/>
      <color theme="0"/>
      <name val="Arial"/>
      <family val="2"/>
    </font>
    <font>
      <b/>
      <sz val="10"/>
      <color theme="0"/>
      <name val="Arial"/>
      <family val="2"/>
    </font>
    <font>
      <b/>
      <sz val="12"/>
      <color theme="3"/>
      <name val="Arial"/>
      <family val="2"/>
    </font>
    <font>
      <sz val="12"/>
      <name val="Arial"/>
      <family val="2"/>
    </font>
    <font>
      <sz val="11"/>
      <color theme="1"/>
      <name val="Calibri"/>
      <family val="2"/>
      <scheme val="minor"/>
    </font>
    <font>
      <sz val="10"/>
      <color rgb="FF9C6500"/>
      <name val="Arial"/>
      <family val="2"/>
    </font>
    <font>
      <b/>
      <sz val="8"/>
      <color theme="0"/>
      <name val="Arial"/>
      <family val="2"/>
    </font>
    <font>
      <b/>
      <sz val="18"/>
      <name val="Arial"/>
      <family val="2"/>
    </font>
    <font>
      <b/>
      <sz val="11"/>
      <color indexed="8"/>
      <name val="Arial"/>
      <family val="2"/>
    </font>
    <font>
      <sz val="10"/>
      <color rgb="FF000000"/>
      <name val="Arial"/>
      <family val="2"/>
    </font>
    <font>
      <b/>
      <sz val="12"/>
      <name val="Arial"/>
      <family val="2"/>
    </font>
    <font>
      <sz val="8"/>
      <name val="Arial"/>
      <family val="2"/>
    </font>
    <font>
      <b/>
      <sz val="11"/>
      <color theme="0"/>
      <name val="Calibri"/>
      <family val="2"/>
      <scheme val="minor"/>
    </font>
    <font>
      <strike/>
      <sz val="10"/>
      <name val="Arial"/>
      <family val="2"/>
    </font>
    <font>
      <strike/>
      <sz val="10"/>
      <color indexed="8"/>
      <name val="Arial"/>
      <family val="2"/>
    </font>
  </fonts>
  <fills count="41">
    <fill>
      <patternFill patternType="none"/>
    </fill>
    <fill>
      <patternFill patternType="gray125"/>
    </fill>
    <fill>
      <patternFill patternType="solid">
        <fgColor indexed="9"/>
        <bgColor indexed="64"/>
      </patternFill>
    </fill>
    <fill>
      <patternFill patternType="solid">
        <fgColor indexed="22"/>
        <bgColor indexed="55"/>
      </patternFill>
    </fill>
    <fill>
      <patternFill patternType="solid">
        <fgColor indexed="22"/>
        <bgColor indexed="64"/>
      </patternFill>
    </fill>
    <fill>
      <patternFill patternType="solid">
        <fgColor rgb="FFFFCC99"/>
      </patternFill>
    </fill>
    <fill>
      <patternFill patternType="solid">
        <fgColor theme="4" tint="0.59999389629810485"/>
        <bgColor indexed="65"/>
      </patternFill>
    </fill>
    <fill>
      <patternFill patternType="solid">
        <fgColor indexed="47"/>
        <bgColor indexed="64"/>
      </patternFill>
    </fill>
    <fill>
      <patternFill patternType="solid">
        <fgColor indexed="41"/>
        <bgColor indexed="64"/>
      </patternFill>
    </fill>
    <fill>
      <patternFill patternType="solid">
        <fgColor indexed="42"/>
        <bgColor indexed="64"/>
      </patternFill>
    </fill>
    <fill>
      <patternFill patternType="solid">
        <fgColor indexed="43"/>
        <bgColor indexed="64"/>
      </patternFill>
    </fill>
    <fill>
      <patternFill patternType="solid">
        <fgColor rgb="FFFFCC99"/>
        <bgColor indexed="64"/>
      </patternFill>
    </fill>
    <fill>
      <patternFill patternType="solid">
        <fgColor indexed="26"/>
        <bgColor indexed="64"/>
      </patternFill>
    </fill>
    <fill>
      <patternFill patternType="solid">
        <fgColor theme="2" tint="-9.9978637043366805E-2"/>
        <bgColor indexed="64"/>
      </patternFill>
    </fill>
    <fill>
      <patternFill patternType="solid">
        <fgColor theme="2"/>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0"/>
        <bgColor indexed="64"/>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
      <patternFill patternType="solid">
        <fgColor theme="1"/>
        <bgColor indexed="64"/>
      </patternFill>
    </fill>
    <fill>
      <patternFill patternType="solid">
        <fgColor rgb="FFFFFF00"/>
        <bgColor indexed="64"/>
      </patternFill>
    </fill>
    <fill>
      <patternFill patternType="solid">
        <fgColor theme="8" tint="0.79998168889431442"/>
        <bgColor indexed="64"/>
      </patternFill>
    </fill>
    <fill>
      <patternFill patternType="solid">
        <fgColor theme="4"/>
      </patternFill>
    </fill>
    <fill>
      <patternFill patternType="solid">
        <fgColor theme="5" tint="0.39997558519241921"/>
        <bgColor indexed="65"/>
      </patternFill>
    </fill>
    <fill>
      <patternFill patternType="solid">
        <fgColor theme="7"/>
      </patternFill>
    </fill>
    <fill>
      <patternFill patternType="solid">
        <fgColor theme="7" tint="0.59999389629810485"/>
        <bgColor indexed="65"/>
      </patternFill>
    </fill>
    <fill>
      <patternFill patternType="solid">
        <fgColor theme="9"/>
      </patternFill>
    </fill>
    <fill>
      <patternFill patternType="solid">
        <fgColor theme="9" tint="0.39997558519241921"/>
        <bgColor indexed="64"/>
      </patternFill>
    </fill>
    <fill>
      <patternFill patternType="solid">
        <fgColor rgb="FFCCFFCC"/>
        <bgColor indexed="64"/>
      </patternFill>
    </fill>
    <fill>
      <patternFill patternType="solid">
        <fgColor rgb="FFB4FFCC"/>
        <bgColor indexed="64"/>
      </patternFill>
    </fill>
    <fill>
      <patternFill patternType="solid">
        <fgColor rgb="FFFFBE82"/>
        <bgColor indexed="64"/>
      </patternFill>
    </fill>
    <fill>
      <patternFill patternType="solid">
        <fgColor rgb="FF8CFFCC"/>
        <bgColor indexed="64"/>
      </patternFill>
    </fill>
    <fill>
      <patternFill patternType="solid">
        <fgColor rgb="FFB8D2BB"/>
        <bgColor indexed="64"/>
      </patternFill>
    </fill>
    <fill>
      <patternFill patternType="solid">
        <fgColor rgb="FFFFEB9C"/>
      </patternFill>
    </fill>
    <fill>
      <patternFill patternType="solid">
        <fgColor theme="4" tint="0.79998168889431442"/>
        <bgColor indexed="64"/>
      </patternFill>
    </fill>
    <fill>
      <patternFill patternType="solid">
        <fgColor rgb="FFCCFFFF"/>
        <bgColor indexed="64"/>
      </patternFill>
    </fill>
    <fill>
      <patternFill patternType="solid">
        <fgColor rgb="FFD9D9D9"/>
        <bgColor indexed="64"/>
      </patternFill>
    </fill>
    <fill>
      <patternFill patternType="solid">
        <fgColor rgb="FFFFFFFF"/>
        <bgColor indexed="64"/>
      </patternFill>
    </fill>
    <fill>
      <patternFill patternType="solid">
        <fgColor rgb="FF4B86CD"/>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7F7F7F"/>
      </left>
      <right style="thin">
        <color rgb="FF7F7F7F"/>
      </right>
      <top style="thin">
        <color rgb="FF7F7F7F"/>
      </top>
      <bottom style="thin">
        <color rgb="FF7F7F7F"/>
      </bottom>
      <diagonal/>
    </border>
    <border>
      <left/>
      <right/>
      <top/>
      <bottom style="thin">
        <color indexed="64"/>
      </bottom>
      <diagonal/>
    </border>
    <border>
      <left/>
      <right/>
      <top/>
      <bottom style="thick">
        <color theme="4" tint="0.499984740745262"/>
      </bottom>
      <diagonal/>
    </border>
    <border>
      <left/>
      <right/>
      <top/>
      <bottom style="medium">
        <color theme="4" tint="0.3999755851924192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21">
    <xf numFmtId="0" fontId="0" fillId="0" borderId="0"/>
    <xf numFmtId="0" fontId="11" fillId="0" borderId="0" applyNumberFormat="0" applyFill="0" applyBorder="0" applyAlignment="0" applyProtection="0"/>
    <xf numFmtId="0" fontId="12" fillId="5" borderId="7" applyNumberFormat="0" applyAlignment="0" applyProtection="0"/>
    <xf numFmtId="0" fontId="13" fillId="0" borderId="0" applyNumberFormat="0" applyFill="0" applyBorder="0" applyAlignment="0" applyProtection="0">
      <alignment vertical="top"/>
      <protection locked="0"/>
    </xf>
    <xf numFmtId="0" fontId="19" fillId="0" borderId="9" applyNumberFormat="0" applyFill="0" applyAlignment="0" applyProtection="0"/>
    <xf numFmtId="0" fontId="11" fillId="0" borderId="10" applyNumberFormat="0" applyFill="0" applyAlignment="0" applyProtection="0"/>
    <xf numFmtId="0" fontId="6" fillId="0" borderId="0"/>
    <xf numFmtId="43" fontId="6" fillId="0" borderId="0" applyFont="0" applyFill="0" applyBorder="0" applyAlignment="0" applyProtection="0"/>
    <xf numFmtId="0" fontId="24" fillId="24" borderId="0" applyNumberFormat="0" applyBorder="0" applyAlignment="0" applyProtection="0"/>
    <xf numFmtId="0" fontId="3" fillId="6" borderId="0" applyNumberFormat="0" applyBorder="0" applyAlignment="0" applyProtection="0"/>
    <xf numFmtId="0" fontId="24" fillId="25" borderId="0" applyNumberFormat="0" applyBorder="0" applyAlignment="0" applyProtection="0"/>
    <xf numFmtId="0" fontId="24" fillId="26" borderId="0" applyNumberFormat="0" applyBorder="0" applyAlignment="0" applyProtection="0"/>
    <xf numFmtId="0" fontId="3" fillId="27" borderId="0" applyNumberFormat="0" applyBorder="0" applyAlignment="0" applyProtection="0"/>
    <xf numFmtId="0" fontId="24" fillId="28" borderId="0" applyNumberFormat="0" applyBorder="0" applyAlignment="0" applyProtection="0"/>
    <xf numFmtId="0" fontId="28" fillId="0" borderId="0"/>
    <xf numFmtId="0" fontId="29" fillId="35" borderId="0" applyNumberFormat="0" applyBorder="0" applyAlignment="0" applyProtection="0"/>
    <xf numFmtId="0" fontId="4" fillId="0" borderId="0"/>
    <xf numFmtId="0" fontId="2" fillId="6" borderId="0" applyNumberFormat="0" applyBorder="0" applyAlignment="0" applyProtection="0"/>
    <xf numFmtId="0" fontId="2" fillId="27" borderId="0" applyNumberFormat="0" applyBorder="0" applyAlignment="0" applyProtection="0"/>
    <xf numFmtId="0" fontId="1" fillId="0" borderId="0" applyNumberFormat="0" applyFill="0" applyBorder="0" applyAlignment="0" applyProtection="0">
      <alignment horizontal="left"/>
    </xf>
    <xf numFmtId="49" fontId="36" fillId="40" borderId="0" applyNumberFormat="0" applyBorder="0" applyAlignment="0">
      <alignment horizontal="left" vertical="center" wrapText="1"/>
    </xf>
  </cellStyleXfs>
  <cellXfs count="304">
    <xf numFmtId="0" fontId="0" fillId="0" borderId="0" xfId="0"/>
    <xf numFmtId="0" fontId="6" fillId="0" borderId="1" xfId="0" applyFont="1" applyBorder="1" applyAlignment="1">
      <alignment vertical="center" wrapText="1"/>
    </xf>
    <xf numFmtId="0" fontId="0" fillId="2" borderId="0" xfId="0" applyFill="1" applyAlignment="1">
      <alignment vertical="center"/>
    </xf>
    <xf numFmtId="0" fontId="0" fillId="2" borderId="0" xfId="0" applyFill="1" applyAlignment="1">
      <alignment horizontal="center" vertical="center"/>
    </xf>
    <xf numFmtId="0" fontId="0" fillId="2" borderId="0" xfId="0" applyFill="1"/>
    <xf numFmtId="164" fontId="0" fillId="2" borderId="0" xfId="0" applyNumberFormat="1" applyFill="1" applyAlignment="1">
      <alignment horizontal="center" vertical="center"/>
    </xf>
    <xf numFmtId="165" fontId="0" fillId="2" borderId="0" xfId="0" applyNumberFormat="1" applyFill="1" applyAlignment="1">
      <alignment horizontal="center" vertical="center"/>
    </xf>
    <xf numFmtId="0" fontId="0" fillId="2" borderId="1" xfId="0" applyFill="1" applyBorder="1" applyAlignment="1">
      <alignment vertical="center"/>
    </xf>
    <xf numFmtId="0" fontId="0" fillId="2" borderId="1" xfId="0" applyFill="1" applyBorder="1" applyAlignment="1">
      <alignment horizontal="center" vertical="center"/>
    </xf>
    <xf numFmtId="2" fontId="0" fillId="2" borderId="0" xfId="0" applyNumberFormat="1" applyFill="1" applyAlignment="1">
      <alignment horizontal="center" vertical="center"/>
    </xf>
    <xf numFmtId="166" fontId="0" fillId="2" borderId="0" xfId="0" applyNumberFormat="1" applyFill="1" applyAlignment="1">
      <alignment horizontal="center" vertical="center"/>
    </xf>
    <xf numFmtId="0" fontId="8" fillId="2" borderId="0" xfId="0" applyFont="1" applyFill="1" applyAlignment="1">
      <alignment vertical="center"/>
    </xf>
    <xf numFmtId="0" fontId="6" fillId="0" borderId="0" xfId="0" applyFont="1" applyAlignment="1">
      <alignment wrapText="1"/>
    </xf>
    <xf numFmtId="0" fontId="14" fillId="2" borderId="0" xfId="3" applyFont="1" applyFill="1" applyAlignment="1" applyProtection="1">
      <alignment vertical="center"/>
    </xf>
    <xf numFmtId="0" fontId="7" fillId="7" borderId="1" xfId="0" applyFont="1" applyFill="1" applyBorder="1" applyAlignment="1">
      <alignment horizontal="center" vertical="center" wrapText="1"/>
    </xf>
    <xf numFmtId="0" fontId="6" fillId="0" borderId="1" xfId="0" quotePrefix="1" applyFont="1" applyBorder="1" applyAlignment="1">
      <alignment horizontal="left" vertical="top" wrapText="1"/>
    </xf>
    <xf numFmtId="0" fontId="7" fillId="7" borderId="1" xfId="0" applyFont="1" applyFill="1" applyBorder="1" applyAlignment="1" applyProtection="1">
      <alignment vertical="center" wrapText="1"/>
      <protection locked="0"/>
    </xf>
    <xf numFmtId="0" fontId="15" fillId="4" borderId="1" xfId="0" applyFont="1" applyFill="1" applyBorder="1" applyAlignment="1" applyProtection="1">
      <alignment horizontal="center" vertical="center" wrapText="1"/>
      <protection locked="0"/>
    </xf>
    <xf numFmtId="167" fontId="0" fillId="9" borderId="1" xfId="0" applyNumberFormat="1" applyFill="1" applyBorder="1" applyAlignment="1" applyProtection="1">
      <alignment horizontal="center" vertical="center"/>
      <protection locked="0"/>
    </xf>
    <xf numFmtId="168" fontId="0" fillId="10" borderId="1" xfId="0" applyNumberFormat="1" applyFill="1" applyBorder="1" applyAlignment="1" applyProtection="1">
      <alignment horizontal="center" vertical="center"/>
      <protection locked="0"/>
    </xf>
    <xf numFmtId="0" fontId="7" fillId="7" borderId="1" xfId="0" applyFont="1" applyFill="1" applyBorder="1" applyAlignment="1" applyProtection="1">
      <alignment horizontal="center" vertical="center" wrapText="1"/>
      <protection locked="0"/>
    </xf>
    <xf numFmtId="0" fontId="6" fillId="4" borderId="1" xfId="0" applyFont="1" applyFill="1" applyBorder="1" applyAlignment="1">
      <alignment horizontal="center" vertical="center" wrapText="1"/>
    </xf>
    <xf numFmtId="0" fontId="6" fillId="0" borderId="6" xfId="0" applyFont="1" applyBorder="1" applyAlignment="1">
      <alignment horizontal="center" vertical="center" wrapText="1"/>
    </xf>
    <xf numFmtId="0" fontId="6" fillId="2" borderId="0" xfId="0" applyFont="1" applyFill="1" applyAlignment="1">
      <alignment vertical="center"/>
    </xf>
    <xf numFmtId="0" fontId="0" fillId="0" borderId="0" xfId="0" applyProtection="1">
      <protection locked="0"/>
    </xf>
    <xf numFmtId="169" fontId="6" fillId="3" borderId="1" xfId="0" applyNumberFormat="1" applyFont="1" applyFill="1" applyBorder="1" applyAlignment="1" applyProtection="1">
      <alignment horizontal="center" vertical="center"/>
      <protection locked="0"/>
    </xf>
    <xf numFmtId="49" fontId="15" fillId="8" borderId="1" xfId="0" applyNumberFormat="1" applyFont="1" applyFill="1" applyBorder="1" applyAlignment="1" applyProtection="1">
      <alignment horizontal="center" vertical="center" wrapText="1"/>
      <protection locked="0"/>
    </xf>
    <xf numFmtId="0" fontId="7" fillId="7" borderId="1" xfId="0" quotePrefix="1" applyFont="1" applyFill="1" applyBorder="1" applyAlignment="1">
      <alignment horizontal="center" vertical="center" wrapText="1"/>
    </xf>
    <xf numFmtId="49" fontId="16" fillId="5" borderId="7" xfId="2" applyNumberFormat="1" applyFont="1" applyAlignment="1" applyProtection="1">
      <alignment horizontal="center" vertical="center" wrapText="1"/>
      <protection locked="0"/>
    </xf>
    <xf numFmtId="170" fontId="18" fillId="14" borderId="1" xfId="0" applyNumberFormat="1" applyFont="1" applyFill="1" applyBorder="1" applyAlignment="1" applyProtection="1">
      <alignment horizontal="center" vertical="center"/>
      <protection locked="0"/>
    </xf>
    <xf numFmtId="171" fontId="18" fillId="14" borderId="1" xfId="0" applyNumberFormat="1" applyFont="1" applyFill="1" applyBorder="1" applyAlignment="1" applyProtection="1">
      <alignment horizontal="center" vertical="center"/>
      <protection locked="0"/>
    </xf>
    <xf numFmtId="0" fontId="7" fillId="13" borderId="1" xfId="0" quotePrefix="1" applyFont="1" applyFill="1" applyBorder="1" applyAlignment="1">
      <alignment horizontal="center" vertical="center" wrapText="1"/>
    </xf>
    <xf numFmtId="171" fontId="18" fillId="15" borderId="1" xfId="0" applyNumberFormat="1" applyFont="1" applyFill="1" applyBorder="1" applyAlignment="1" applyProtection="1">
      <alignment horizontal="center" vertical="center"/>
      <protection locked="0"/>
    </xf>
    <xf numFmtId="0" fontId="7" fillId="16" borderId="1" xfId="0" quotePrefix="1" applyFont="1" applyFill="1" applyBorder="1" applyAlignment="1">
      <alignment horizontal="center" vertical="center" wrapText="1"/>
    </xf>
    <xf numFmtId="49" fontId="6" fillId="9" borderId="1" xfId="0" applyNumberFormat="1" applyFont="1" applyFill="1" applyBorder="1" applyAlignment="1" applyProtection="1">
      <alignment horizontal="left" vertical="top" wrapText="1"/>
      <protection locked="0"/>
    </xf>
    <xf numFmtId="49" fontId="0" fillId="9" borderId="1" xfId="0" applyNumberFormat="1" applyFill="1" applyBorder="1" applyAlignment="1" applyProtection="1">
      <alignment horizontal="left" vertical="top" wrapText="1"/>
      <protection locked="0"/>
    </xf>
    <xf numFmtId="49" fontId="0" fillId="14" borderId="1" xfId="0" applyNumberFormat="1" applyFill="1" applyBorder="1" applyAlignment="1" applyProtection="1">
      <alignment horizontal="left" vertical="top" wrapText="1"/>
      <protection locked="0"/>
    </xf>
    <xf numFmtId="49" fontId="21" fillId="8" borderId="1" xfId="0" applyNumberFormat="1" applyFont="1" applyFill="1" applyBorder="1" applyAlignment="1" applyProtection="1">
      <alignment horizontal="center" vertical="center" wrapText="1"/>
      <protection locked="0"/>
    </xf>
    <xf numFmtId="172" fontId="21" fillId="9" borderId="1" xfId="0" applyNumberFormat="1" applyFont="1" applyFill="1" applyBorder="1" applyAlignment="1" applyProtection="1">
      <alignment horizontal="center" vertical="center"/>
      <protection locked="0"/>
    </xf>
    <xf numFmtId="172" fontId="21" fillId="3" borderId="1" xfId="0" applyNumberFormat="1" applyFont="1" applyFill="1" applyBorder="1" applyAlignment="1" applyProtection="1">
      <alignment horizontal="center" vertical="center"/>
      <protection locked="0"/>
    </xf>
    <xf numFmtId="0" fontId="21" fillId="8" borderId="1" xfId="0" applyFont="1" applyFill="1" applyBorder="1" applyAlignment="1" applyProtection="1">
      <alignment horizontal="center" vertical="center" wrapText="1"/>
      <protection locked="0"/>
    </xf>
    <xf numFmtId="3" fontId="21" fillId="8" borderId="1" xfId="0" applyNumberFormat="1" applyFont="1" applyFill="1" applyBorder="1" applyAlignment="1" applyProtection="1">
      <alignment horizontal="center" vertical="center" wrapText="1"/>
      <protection locked="0"/>
    </xf>
    <xf numFmtId="164" fontId="21" fillId="10" borderId="1" xfId="0" applyNumberFormat="1" applyFont="1" applyFill="1" applyBorder="1" applyAlignment="1" applyProtection="1">
      <alignment horizontal="center" vertical="center"/>
      <protection locked="0"/>
    </xf>
    <xf numFmtId="164" fontId="21" fillId="3" borderId="1" xfId="0" applyNumberFormat="1" applyFont="1" applyFill="1" applyBorder="1" applyAlignment="1" applyProtection="1">
      <alignment horizontal="center" vertical="center"/>
      <protection locked="0"/>
    </xf>
    <xf numFmtId="49" fontId="6" fillId="9" borderId="1" xfId="0" quotePrefix="1" applyNumberFormat="1" applyFont="1" applyFill="1" applyBorder="1" applyAlignment="1" applyProtection="1">
      <alignment horizontal="left" vertical="center" wrapText="1"/>
      <protection locked="0"/>
    </xf>
    <xf numFmtId="49" fontId="6" fillId="9" borderId="1" xfId="0" applyNumberFormat="1" applyFont="1" applyFill="1" applyBorder="1" applyAlignment="1" applyProtection="1">
      <alignment horizontal="left" vertical="center" wrapText="1"/>
      <protection locked="0"/>
    </xf>
    <xf numFmtId="49" fontId="0" fillId="9" borderId="1" xfId="0" applyNumberFormat="1" applyFill="1" applyBorder="1" applyAlignment="1" applyProtection="1">
      <alignment horizontal="left" vertical="center" wrapText="1"/>
      <protection locked="0"/>
    </xf>
    <xf numFmtId="0" fontId="0" fillId="17" borderId="0" xfId="0" applyFill="1"/>
    <xf numFmtId="0" fontId="13" fillId="2" borderId="0" xfId="3" applyFill="1" applyAlignment="1" applyProtection="1">
      <alignment vertical="center"/>
    </xf>
    <xf numFmtId="0" fontId="6" fillId="2" borderId="8" xfId="6" quotePrefix="1" applyFill="1" applyBorder="1" applyAlignment="1">
      <alignment vertical="center" wrapText="1"/>
    </xf>
    <xf numFmtId="0" fontId="6" fillId="2" borderId="0" xfId="6" applyFill="1" applyAlignment="1">
      <alignment vertical="center"/>
    </xf>
    <xf numFmtId="0" fontId="8" fillId="2" borderId="0" xfId="6" applyFont="1" applyFill="1" applyAlignment="1">
      <alignment vertical="center"/>
    </xf>
    <xf numFmtId="0" fontId="7" fillId="7" borderId="1" xfId="6" quotePrefix="1" applyFont="1" applyFill="1" applyBorder="1" applyAlignment="1">
      <alignment horizontal="center" vertical="center" wrapText="1"/>
    </xf>
    <xf numFmtId="0" fontId="7" fillId="7" borderId="1" xfId="6" applyFont="1" applyFill="1" applyBorder="1" applyAlignment="1">
      <alignment horizontal="center" vertical="center" wrapText="1"/>
    </xf>
    <xf numFmtId="49" fontId="23" fillId="7" borderId="1" xfId="6" applyNumberFormat="1" applyFont="1" applyFill="1" applyBorder="1" applyAlignment="1">
      <alignment horizontal="center" vertical="center" wrapText="1"/>
    </xf>
    <xf numFmtId="49" fontId="7" fillId="7" borderId="1" xfId="6" applyNumberFormat="1" applyFont="1" applyFill="1" applyBorder="1" applyAlignment="1">
      <alignment horizontal="center" vertical="center" wrapText="1"/>
    </xf>
    <xf numFmtId="1" fontId="6" fillId="9" borderId="1" xfId="6" applyNumberFormat="1" applyFill="1" applyBorder="1" applyAlignment="1" applyProtection="1">
      <alignment horizontal="left" vertical="center" wrapText="1"/>
      <protection locked="0"/>
    </xf>
    <xf numFmtId="0" fontId="6" fillId="9" borderId="1" xfId="6" applyFill="1" applyBorder="1" applyAlignment="1" applyProtection="1">
      <alignment horizontal="left" vertical="center" wrapText="1"/>
      <protection locked="0"/>
    </xf>
    <xf numFmtId="0" fontId="6" fillId="2" borderId="0" xfId="6" applyFill="1" applyAlignment="1">
      <alignment horizontal="center" vertical="center"/>
    </xf>
    <xf numFmtId="166" fontId="6" fillId="2" borderId="0" xfId="6" applyNumberFormat="1" applyFill="1" applyAlignment="1">
      <alignment horizontal="center" vertical="center"/>
    </xf>
    <xf numFmtId="0" fontId="6" fillId="2" borderId="0" xfId="6" applyFill="1"/>
    <xf numFmtId="172" fontId="4" fillId="12" borderId="1" xfId="6" applyNumberFormat="1" applyFont="1" applyFill="1" applyBorder="1" applyAlignment="1" applyProtection="1">
      <alignment horizontal="center" vertical="center"/>
      <protection locked="0"/>
    </xf>
    <xf numFmtId="164" fontId="4" fillId="12" borderId="1" xfId="6" applyNumberFormat="1" applyFont="1" applyFill="1" applyBorder="1" applyAlignment="1" applyProtection="1">
      <alignment horizontal="center" vertical="center"/>
      <protection locked="0"/>
    </xf>
    <xf numFmtId="172" fontId="4" fillId="9" borderId="1" xfId="6" applyNumberFormat="1" applyFont="1" applyFill="1" applyBorder="1" applyAlignment="1" applyProtection="1">
      <alignment horizontal="center" vertical="center"/>
      <protection locked="0"/>
    </xf>
    <xf numFmtId="164" fontId="4" fillId="9" borderId="1" xfId="6" applyNumberFormat="1" applyFont="1" applyFill="1" applyBorder="1" applyAlignment="1" applyProtection="1">
      <alignment horizontal="center" vertical="center"/>
      <protection locked="0"/>
    </xf>
    <xf numFmtId="0" fontId="6" fillId="0" borderId="0" xfId="0" applyFont="1" applyProtection="1">
      <protection locked="0"/>
    </xf>
    <xf numFmtId="49" fontId="11" fillId="6" borderId="0" xfId="1" quotePrefix="1" applyNumberFormat="1" applyFill="1" applyAlignment="1" applyProtection="1">
      <alignment horizontal="left" vertical="center" wrapText="1"/>
      <protection locked="0"/>
    </xf>
    <xf numFmtId="49" fontId="11" fillId="6" borderId="0" xfId="1" applyNumberFormat="1" applyFill="1" applyAlignment="1" applyProtection="1">
      <alignment vertical="center" wrapText="1"/>
      <protection locked="0"/>
    </xf>
    <xf numFmtId="49" fontId="19" fillId="0" borderId="0" xfId="4" applyNumberFormat="1" applyBorder="1" applyAlignment="1" applyProtection="1">
      <alignment vertical="center"/>
      <protection locked="0"/>
    </xf>
    <xf numFmtId="49" fontId="11" fillId="6" borderId="0" xfId="1" applyNumberFormat="1" applyFill="1" applyBorder="1" applyAlignment="1" applyProtection="1">
      <alignment vertical="center" wrapText="1"/>
      <protection locked="0"/>
    </xf>
    <xf numFmtId="49" fontId="11" fillId="0" borderId="0" xfId="5" applyNumberFormat="1" applyBorder="1" applyAlignment="1" applyProtection="1">
      <alignment vertical="center"/>
      <protection locked="0"/>
    </xf>
    <xf numFmtId="49" fontId="11" fillId="0" borderId="0" xfId="5" quotePrefix="1" applyNumberFormat="1" applyBorder="1" applyAlignment="1" applyProtection="1">
      <alignment horizontal="left" vertical="center"/>
      <protection locked="0"/>
    </xf>
    <xf numFmtId="49" fontId="23" fillId="7" borderId="1" xfId="0" applyNumberFormat="1" applyFont="1" applyFill="1" applyBorder="1" applyAlignment="1">
      <alignment horizontal="center" vertical="center" wrapText="1"/>
    </xf>
    <xf numFmtId="0" fontId="13" fillId="0" borderId="0" xfId="3" applyAlignment="1" applyProtection="1">
      <alignment horizontal="left" vertical="top"/>
    </xf>
    <xf numFmtId="0" fontId="7" fillId="7" borderId="6" xfId="0" applyFont="1" applyFill="1" applyBorder="1" applyAlignment="1" applyProtection="1">
      <alignment vertical="center" wrapText="1"/>
      <protection locked="0"/>
    </xf>
    <xf numFmtId="0" fontId="0" fillId="17" borderId="0" xfId="0" applyFill="1" applyAlignment="1">
      <alignment vertical="center"/>
    </xf>
    <xf numFmtId="0" fontId="25" fillId="20" borderId="1" xfId="0" applyFont="1" applyFill="1" applyBorder="1" applyAlignment="1" applyProtection="1">
      <alignment horizontal="center" vertical="center" wrapText="1"/>
      <protection locked="0"/>
    </xf>
    <xf numFmtId="0" fontId="25" fillId="18" borderId="1" xfId="0" applyFont="1" applyFill="1" applyBorder="1" applyAlignment="1" applyProtection="1">
      <alignment horizontal="center" vertical="center" wrapText="1"/>
      <protection locked="0"/>
    </xf>
    <xf numFmtId="0" fontId="25" fillId="21" borderId="1" xfId="0" applyFont="1" applyFill="1" applyBorder="1" applyAlignment="1" applyProtection="1">
      <alignment horizontal="center" vertical="center" wrapText="1"/>
      <protection locked="0"/>
    </xf>
    <xf numFmtId="0" fontId="7" fillId="22" borderId="1" xfId="0" applyFont="1" applyFill="1" applyBorder="1" applyAlignment="1" applyProtection="1">
      <alignment horizontal="center" vertical="center" wrapText="1"/>
      <protection locked="0"/>
    </xf>
    <xf numFmtId="0" fontId="6" fillId="0" borderId="1" xfId="0" applyFont="1" applyBorder="1" applyAlignment="1">
      <alignment horizontal="center" vertical="center" wrapText="1"/>
    </xf>
    <xf numFmtId="0" fontId="17" fillId="17" borderId="0" xfId="1" applyNumberFormat="1" applyFont="1" applyFill="1" applyBorder="1" applyAlignment="1">
      <alignment horizontal="center" vertical="center" wrapText="1"/>
    </xf>
    <xf numFmtId="0" fontId="8" fillId="17" borderId="0" xfId="6" applyFont="1" applyFill="1" applyAlignment="1">
      <alignment vertical="center"/>
    </xf>
    <xf numFmtId="0" fontId="17" fillId="17" borderId="0" xfId="1" applyNumberFormat="1" applyFont="1" applyFill="1" applyBorder="1" applyAlignment="1" applyProtection="1">
      <alignment horizontal="center" vertical="center" wrapText="1"/>
    </xf>
    <xf numFmtId="0" fontId="17" fillId="17" borderId="12" xfId="1" applyNumberFormat="1" applyFont="1" applyFill="1" applyBorder="1" applyAlignment="1">
      <alignment horizontal="center" vertical="center" wrapText="1"/>
    </xf>
    <xf numFmtId="0" fontId="17" fillId="17" borderId="0" xfId="1" applyNumberFormat="1" applyFont="1" applyFill="1" applyBorder="1" applyAlignment="1">
      <alignment vertical="center" wrapText="1"/>
    </xf>
    <xf numFmtId="0" fontId="7" fillId="17" borderId="4" xfId="0" applyFont="1" applyFill="1" applyBorder="1" applyAlignment="1">
      <alignment horizontal="left" vertical="center" wrapText="1"/>
    </xf>
    <xf numFmtId="0" fontId="6" fillId="17" borderId="4" xfId="0" applyFont="1" applyFill="1" applyBorder="1" applyAlignment="1">
      <alignment horizontal="center" vertical="center" wrapText="1"/>
    </xf>
    <xf numFmtId="0" fontId="6" fillId="17" borderId="8" xfId="0" applyFont="1" applyFill="1" applyBorder="1" applyAlignment="1">
      <alignment horizontal="center" vertical="center" wrapText="1"/>
    </xf>
    <xf numFmtId="0" fontId="17" fillId="17" borderId="8" xfId="1" applyNumberFormat="1" applyFont="1" applyFill="1" applyBorder="1" applyAlignment="1">
      <alignment horizontal="center" vertical="center" wrapText="1"/>
    </xf>
    <xf numFmtId="172" fontId="21" fillId="19" borderId="3" xfId="0" applyNumberFormat="1" applyFont="1" applyFill="1" applyBorder="1" applyAlignment="1" applyProtection="1">
      <alignment horizontal="center" vertical="center" wrapText="1"/>
      <protection locked="0"/>
    </xf>
    <xf numFmtId="0" fontId="13" fillId="0" borderId="0" xfId="3" applyAlignment="1" applyProtection="1"/>
    <xf numFmtId="0" fontId="13" fillId="2" borderId="0" xfId="3" applyFill="1" applyAlignment="1" applyProtection="1">
      <alignment vertical="center"/>
      <protection hidden="1"/>
    </xf>
    <xf numFmtId="175" fontId="6" fillId="9" borderId="1" xfId="6" applyNumberFormat="1" applyFill="1" applyBorder="1" applyAlignment="1">
      <alignment horizontal="center" vertical="center" wrapText="1"/>
    </xf>
    <xf numFmtId="0" fontId="6" fillId="9" borderId="1" xfId="6" applyFill="1" applyBorder="1" applyAlignment="1">
      <alignment horizontal="left" vertical="center" wrapText="1"/>
    </xf>
    <xf numFmtId="1" fontId="6" fillId="9" borderId="1" xfId="6" applyNumberFormat="1" applyFill="1" applyBorder="1" applyAlignment="1">
      <alignment horizontal="left" vertical="center" wrapText="1"/>
    </xf>
    <xf numFmtId="172" fontId="4" fillId="23" borderId="1" xfId="6" applyNumberFormat="1" applyFont="1" applyFill="1" applyBorder="1" applyAlignment="1">
      <alignment horizontal="center" vertical="center"/>
    </xf>
    <xf numFmtId="165" fontId="4" fillId="12" borderId="1" xfId="6" applyNumberFormat="1" applyFont="1" applyFill="1" applyBorder="1" applyAlignment="1">
      <alignment horizontal="center" vertical="center"/>
    </xf>
    <xf numFmtId="43" fontId="4" fillId="12" borderId="1" xfId="7" applyFont="1" applyFill="1" applyBorder="1" applyAlignment="1" applyProtection="1">
      <alignment horizontal="center" vertical="center"/>
    </xf>
    <xf numFmtId="164" fontId="4" fillId="12" borderId="1" xfId="6" applyNumberFormat="1" applyFont="1" applyFill="1" applyBorder="1" applyAlignment="1">
      <alignment horizontal="center" vertical="center"/>
    </xf>
    <xf numFmtId="0" fontId="6" fillId="11" borderId="1" xfId="13" applyFont="1" applyFill="1" applyBorder="1" applyAlignment="1" applyProtection="1">
      <alignment vertical="center"/>
      <protection locked="0"/>
    </xf>
    <xf numFmtId="174" fontId="6" fillId="31" borderId="1" xfId="10" applyNumberFormat="1" applyFont="1" applyFill="1" applyBorder="1" applyAlignment="1" applyProtection="1">
      <alignment vertical="center"/>
      <protection locked="0"/>
    </xf>
    <xf numFmtId="173" fontId="3" fillId="30" borderId="1" xfId="9" applyNumberFormat="1" applyFill="1" applyBorder="1" applyAlignment="1" applyProtection="1">
      <alignment vertical="center"/>
    </xf>
    <xf numFmtId="174" fontId="6" fillId="30" borderId="1" xfId="9" applyNumberFormat="1" applyFont="1" applyFill="1" applyBorder="1" applyAlignment="1" applyProtection="1">
      <alignment vertical="center"/>
      <protection locked="0"/>
    </xf>
    <xf numFmtId="174" fontId="6" fillId="33" borderId="1" xfId="9" applyNumberFormat="1" applyFont="1" applyFill="1" applyBorder="1" applyAlignment="1" applyProtection="1">
      <alignment vertical="center"/>
      <protection locked="0"/>
    </xf>
    <xf numFmtId="174" fontId="6" fillId="34" borderId="1" xfId="10" applyNumberFormat="1" applyFont="1" applyFill="1" applyBorder="1" applyAlignment="1" applyProtection="1">
      <alignment vertical="center"/>
      <protection locked="0"/>
    </xf>
    <xf numFmtId="0" fontId="17" fillId="0" borderId="0" xfId="1" applyNumberFormat="1" applyFont="1" applyFill="1" applyBorder="1" applyAlignment="1" applyProtection="1">
      <alignment horizontal="center" vertical="center" wrapText="1"/>
    </xf>
    <xf numFmtId="0" fontId="0" fillId="0" borderId="0" xfId="0" applyAlignment="1">
      <alignment vertical="center"/>
    </xf>
    <xf numFmtId="0" fontId="0" fillId="0" borderId="0" xfId="0" applyAlignment="1">
      <alignment wrapText="1"/>
    </xf>
    <xf numFmtId="0" fontId="7" fillId="7" borderId="6" xfId="0" applyFont="1" applyFill="1" applyBorder="1" applyAlignment="1">
      <alignment horizontal="left" vertical="center" wrapText="1"/>
    </xf>
    <xf numFmtId="0" fontId="6" fillId="11" borderId="1" xfId="8" quotePrefix="1" applyFont="1" applyFill="1" applyBorder="1" applyAlignment="1" applyProtection="1">
      <alignment horizontal="center" vertical="center" wrapText="1"/>
    </xf>
    <xf numFmtId="0" fontId="6" fillId="32" borderId="1" xfId="11" quotePrefix="1" applyFont="1" applyFill="1" applyBorder="1" applyAlignment="1" applyProtection="1">
      <alignment horizontal="center" vertical="center" wrapText="1"/>
    </xf>
    <xf numFmtId="173" fontId="3" fillId="33" borderId="1" xfId="12" applyNumberFormat="1" applyFill="1" applyBorder="1" applyAlignment="1" applyProtection="1">
      <alignment vertical="center"/>
    </xf>
    <xf numFmtId="0" fontId="7" fillId="7" borderId="1" xfId="0" applyFont="1" applyFill="1" applyBorder="1" applyAlignment="1">
      <alignment horizontal="left" vertical="center" wrapText="1"/>
    </xf>
    <xf numFmtId="0" fontId="6" fillId="11" borderId="1" xfId="13" applyFont="1" applyFill="1" applyBorder="1" applyAlignment="1" applyProtection="1">
      <alignment vertical="center" wrapText="1"/>
    </xf>
    <xf numFmtId="0" fontId="6" fillId="29" borderId="1" xfId="13" applyFont="1" applyFill="1" applyBorder="1" applyAlignment="1" applyProtection="1">
      <alignment vertical="center" wrapText="1"/>
    </xf>
    <xf numFmtId="0" fontId="2" fillId="11" borderId="1" xfId="13" applyFont="1" applyFill="1" applyBorder="1" applyAlignment="1" applyProtection="1">
      <alignment vertical="center" wrapText="1"/>
    </xf>
    <xf numFmtId="0" fontId="2" fillId="29" borderId="1" xfId="13" applyFont="1" applyFill="1" applyBorder="1" applyAlignment="1" applyProtection="1">
      <alignment vertical="center" wrapText="1"/>
    </xf>
    <xf numFmtId="0" fontId="6" fillId="7" borderId="1" xfId="0" applyFont="1" applyFill="1" applyBorder="1" applyAlignment="1">
      <alignment horizontal="center" vertical="center" wrapText="1"/>
    </xf>
    <xf numFmtId="174" fontId="3" fillId="30" borderId="1" xfId="9" applyNumberFormat="1" applyFill="1" applyBorder="1" applyAlignment="1" applyProtection="1">
      <alignment vertical="center"/>
      <protection locked="0"/>
    </xf>
    <xf numFmtId="176" fontId="3" fillId="30" borderId="1" xfId="9" applyNumberFormat="1" applyFill="1" applyBorder="1" applyAlignment="1" applyProtection="1">
      <alignment vertical="center"/>
    </xf>
    <xf numFmtId="176" fontId="3" fillId="33" borderId="1" xfId="9" applyNumberFormat="1" applyFill="1" applyBorder="1" applyAlignment="1" applyProtection="1">
      <alignment vertical="center"/>
    </xf>
    <xf numFmtId="176" fontId="6" fillId="31" borderId="1" xfId="10" applyNumberFormat="1" applyFont="1" applyFill="1" applyBorder="1" applyAlignment="1" applyProtection="1">
      <alignment vertical="center"/>
    </xf>
    <xf numFmtId="176" fontId="6" fillId="34" borderId="1" xfId="10" applyNumberFormat="1" applyFont="1" applyFill="1" applyBorder="1" applyAlignment="1" applyProtection="1">
      <alignment vertical="center"/>
    </xf>
    <xf numFmtId="177" fontId="3" fillId="30" borderId="5" xfId="9" applyNumberFormat="1" applyFill="1" applyBorder="1" applyAlignment="1" applyProtection="1">
      <alignment vertical="center"/>
    </xf>
    <xf numFmtId="177" fontId="3" fillId="30" borderId="1" xfId="9" applyNumberFormat="1" applyFill="1" applyBorder="1" applyAlignment="1" applyProtection="1">
      <alignment vertical="center"/>
    </xf>
    <xf numFmtId="2" fontId="7" fillId="7" borderId="1" xfId="6" applyNumberFormat="1" applyFont="1" applyFill="1" applyBorder="1" applyAlignment="1">
      <alignment horizontal="center" vertical="center" wrapText="1"/>
    </xf>
    <xf numFmtId="49" fontId="6" fillId="11" borderId="1" xfId="8" quotePrefix="1" applyNumberFormat="1" applyFont="1" applyFill="1" applyBorder="1" applyAlignment="1" applyProtection="1">
      <alignment horizontal="center" vertical="center" wrapText="1"/>
    </xf>
    <xf numFmtId="49" fontId="6" fillId="32" borderId="1" xfId="11" quotePrefix="1" applyNumberFormat="1" applyFont="1" applyFill="1" applyBorder="1" applyAlignment="1" applyProtection="1">
      <alignment horizontal="center" vertical="center" wrapText="1"/>
    </xf>
    <xf numFmtId="49" fontId="11" fillId="6" borderId="0" xfId="1" applyNumberFormat="1" applyFill="1" applyAlignment="1" applyProtection="1">
      <alignment horizontal="center" vertical="center" wrapText="1"/>
      <protection locked="0"/>
    </xf>
    <xf numFmtId="49" fontId="11" fillId="6" borderId="0" xfId="1" quotePrefix="1" applyNumberFormat="1" applyFill="1" applyAlignment="1" applyProtection="1">
      <alignment horizontal="center" vertical="center" wrapText="1"/>
      <protection locked="0"/>
    </xf>
    <xf numFmtId="49" fontId="23" fillId="7" borderId="1" xfId="6" quotePrefix="1" applyNumberFormat="1" applyFont="1" applyFill="1" applyBorder="1" applyAlignment="1">
      <alignment horizontal="center" vertical="center" wrapText="1"/>
    </xf>
    <xf numFmtId="0" fontId="14" fillId="0" borderId="0" xfId="3" applyFont="1" applyFill="1" applyBorder="1" applyAlignment="1" applyProtection="1">
      <alignment vertical="center"/>
    </xf>
    <xf numFmtId="49" fontId="19" fillId="0" borderId="0" xfId="4" quotePrefix="1" applyNumberFormat="1" applyBorder="1" applyAlignment="1" applyProtection="1">
      <alignment horizontal="left" vertical="center"/>
      <protection locked="0"/>
    </xf>
    <xf numFmtId="164" fontId="21" fillId="10" borderId="1" xfId="0" applyNumberFormat="1" applyFont="1" applyFill="1" applyBorder="1" applyAlignment="1">
      <alignment horizontal="center" vertical="center"/>
    </xf>
    <xf numFmtId="178" fontId="22" fillId="18" borderId="1" xfId="0" applyNumberFormat="1" applyFont="1" applyFill="1" applyBorder="1" applyAlignment="1" applyProtection="1">
      <alignment horizontal="center" vertical="center"/>
      <protection locked="0"/>
    </xf>
    <xf numFmtId="178" fontId="21" fillId="19" borderId="1" xfId="0" applyNumberFormat="1" applyFont="1" applyFill="1" applyBorder="1" applyAlignment="1" applyProtection="1">
      <alignment horizontal="center" vertical="center"/>
      <protection locked="0"/>
    </xf>
    <xf numFmtId="178" fontId="22" fillId="20" borderId="1" xfId="0" applyNumberFormat="1" applyFont="1" applyFill="1" applyBorder="1" applyAlignment="1" applyProtection="1">
      <alignment horizontal="center" vertical="center"/>
      <protection locked="0"/>
    </xf>
    <xf numFmtId="178" fontId="22" fillId="21" borderId="1" xfId="0" applyNumberFormat="1" applyFont="1" applyFill="1" applyBorder="1" applyAlignment="1" applyProtection="1">
      <alignment horizontal="center" vertical="center"/>
      <protection locked="0"/>
    </xf>
    <xf numFmtId="178" fontId="21" fillId="22" borderId="1" xfId="0" applyNumberFormat="1" applyFont="1" applyFill="1" applyBorder="1" applyAlignment="1" applyProtection="1">
      <alignment horizontal="center" vertical="center"/>
      <protection locked="0"/>
    </xf>
    <xf numFmtId="178" fontId="30" fillId="18" borderId="1" xfId="0" applyNumberFormat="1" applyFont="1" applyFill="1" applyBorder="1" applyAlignment="1" applyProtection="1">
      <alignment horizontal="center" vertical="center" wrapText="1"/>
      <protection locked="0"/>
    </xf>
    <xf numFmtId="178" fontId="9" fillId="19" borderId="1" xfId="0" applyNumberFormat="1" applyFont="1" applyFill="1" applyBorder="1" applyAlignment="1" applyProtection="1">
      <alignment horizontal="center" vertical="center" wrapText="1"/>
      <protection locked="0"/>
    </xf>
    <xf numFmtId="178" fontId="30" fillId="20" borderId="1" xfId="0" applyNumberFormat="1" applyFont="1" applyFill="1" applyBorder="1" applyAlignment="1" applyProtection="1">
      <alignment horizontal="center" vertical="center" wrapText="1"/>
      <protection locked="0"/>
    </xf>
    <xf numFmtId="164" fontId="9" fillId="3" borderId="1" xfId="0" applyNumberFormat="1" applyFont="1" applyFill="1" applyBorder="1" applyAlignment="1" applyProtection="1">
      <alignment horizontal="center" vertical="center"/>
      <protection locked="0"/>
    </xf>
    <xf numFmtId="172" fontId="9" fillId="3" borderId="1" xfId="0" applyNumberFormat="1" applyFont="1" applyFill="1" applyBorder="1" applyAlignment="1" applyProtection="1">
      <alignment horizontal="center" vertical="center"/>
      <protection locked="0"/>
    </xf>
    <xf numFmtId="172" fontId="9" fillId="9" borderId="1" xfId="0" applyNumberFormat="1" applyFont="1" applyFill="1" applyBorder="1" applyAlignment="1" applyProtection="1">
      <alignment horizontal="center" vertical="center"/>
      <protection locked="0"/>
    </xf>
    <xf numFmtId="178" fontId="30" fillId="21" borderId="1" xfId="0" applyNumberFormat="1" applyFont="1" applyFill="1" applyBorder="1" applyAlignment="1" applyProtection="1">
      <alignment horizontal="center" vertical="center" wrapText="1"/>
      <protection locked="0"/>
    </xf>
    <xf numFmtId="178" fontId="9" fillId="22" borderId="1" xfId="0" applyNumberFormat="1" applyFont="1" applyFill="1" applyBorder="1" applyAlignment="1" applyProtection="1">
      <alignment horizontal="center" vertical="center" wrapText="1"/>
      <protection locked="0"/>
    </xf>
    <xf numFmtId="164" fontId="9" fillId="10" borderId="1" xfId="0" applyNumberFormat="1" applyFont="1" applyFill="1" applyBorder="1" applyAlignment="1" applyProtection="1">
      <alignment horizontal="center" vertical="center" wrapText="1"/>
      <protection locked="0"/>
    </xf>
    <xf numFmtId="164" fontId="9" fillId="10" borderId="1" xfId="0" applyNumberFormat="1" applyFont="1" applyFill="1" applyBorder="1" applyAlignment="1">
      <alignment horizontal="center" vertical="center" wrapText="1"/>
    </xf>
    <xf numFmtId="172" fontId="9" fillId="9" borderId="1" xfId="0" applyNumberFormat="1" applyFont="1" applyFill="1" applyBorder="1" applyAlignment="1" applyProtection="1">
      <alignment horizontal="center" vertical="center" wrapText="1"/>
      <protection locked="0"/>
    </xf>
    <xf numFmtId="0" fontId="6" fillId="0" borderId="0" xfId="6"/>
    <xf numFmtId="0" fontId="6" fillId="0" borderId="0" xfId="6" applyAlignment="1">
      <alignment horizontal="left"/>
    </xf>
    <xf numFmtId="0" fontId="31" fillId="0" borderId="0" xfId="6" applyFont="1"/>
    <xf numFmtId="0" fontId="13" fillId="0" borderId="0" xfId="3" applyFill="1" applyAlignment="1" applyProtection="1">
      <alignment horizontal="left" vertical="center"/>
    </xf>
    <xf numFmtId="0" fontId="6" fillId="0" borderId="0" xfId="6" applyAlignment="1">
      <alignment horizontal="center" vertical="center" wrapText="1"/>
    </xf>
    <xf numFmtId="0" fontId="6" fillId="0" borderId="0" xfId="6" applyAlignment="1">
      <alignment horizontal="center" vertical="top" wrapText="1"/>
    </xf>
    <xf numFmtId="0" fontId="6" fillId="36" borderId="0" xfId="6" applyFill="1" applyAlignment="1">
      <alignment horizontal="left"/>
    </xf>
    <xf numFmtId="14" fontId="6" fillId="0" borderId="0" xfId="6" applyNumberFormat="1"/>
    <xf numFmtId="0" fontId="6" fillId="0" borderId="0" xfId="6" quotePrefix="1" applyAlignment="1">
      <alignment horizontal="left"/>
    </xf>
    <xf numFmtId="0" fontId="6" fillId="36" borderId="0" xfId="6" applyFill="1" applyAlignment="1">
      <alignment horizontal="left" vertical="center"/>
    </xf>
    <xf numFmtId="179" fontId="6" fillId="36" borderId="0" xfId="6" applyNumberFormat="1" applyFill="1" applyAlignment="1">
      <alignment horizontal="left"/>
    </xf>
    <xf numFmtId="0" fontId="21" fillId="17" borderId="1" xfId="0" applyFont="1" applyFill="1" applyBorder="1" applyAlignment="1" applyProtection="1">
      <alignment horizontal="center" vertical="center" wrapText="1"/>
      <protection locked="0"/>
    </xf>
    <xf numFmtId="0" fontId="7" fillId="11" borderId="1" xfId="0" applyFont="1" applyFill="1" applyBorder="1" applyAlignment="1">
      <alignment vertical="center" wrapText="1"/>
    </xf>
    <xf numFmtId="0" fontId="32" fillId="0" borderId="1" xfId="16" applyFont="1" applyBorder="1" applyAlignment="1">
      <alignment horizontal="center" vertical="center" wrapText="1"/>
    </xf>
    <xf numFmtId="2" fontId="21" fillId="10" borderId="1" xfId="0" applyNumberFormat="1" applyFont="1" applyFill="1" applyBorder="1" applyAlignment="1" applyProtection="1">
      <alignment horizontal="center" vertical="center"/>
      <protection locked="0"/>
    </xf>
    <xf numFmtId="2" fontId="21" fillId="3" borderId="1" xfId="0" applyNumberFormat="1" applyFont="1" applyFill="1" applyBorder="1" applyAlignment="1" applyProtection="1">
      <alignment horizontal="center" vertical="center"/>
      <protection locked="0"/>
    </xf>
    <xf numFmtId="0" fontId="7" fillId="7" borderId="1" xfId="0" applyFont="1" applyFill="1" applyBorder="1" applyAlignment="1">
      <alignment vertical="center" wrapText="1"/>
    </xf>
    <xf numFmtId="2" fontId="21" fillId="3" borderId="1" xfId="0" applyNumberFormat="1" applyFont="1" applyFill="1" applyBorder="1" applyAlignment="1">
      <alignment horizontal="center" vertical="center"/>
    </xf>
    <xf numFmtId="2" fontId="21" fillId="10" borderId="1" xfId="0" applyNumberFormat="1" applyFont="1" applyFill="1" applyBorder="1" applyAlignment="1">
      <alignment horizontal="center" vertical="center"/>
    </xf>
    <xf numFmtId="0" fontId="21" fillId="0" borderId="1" xfId="0" applyFont="1" applyBorder="1" applyAlignment="1">
      <alignment horizontal="center" vertical="center" wrapText="1"/>
    </xf>
    <xf numFmtId="0" fontId="6" fillId="2" borderId="0" xfId="6" quotePrefix="1" applyFill="1" applyAlignment="1">
      <alignment horizontal="center" vertical="center" wrapText="1"/>
    </xf>
    <xf numFmtId="0" fontId="13" fillId="0" borderId="0" xfId="3" applyAlignment="1" applyProtection="1">
      <alignment horizontal="left" vertical="top" wrapText="1"/>
    </xf>
    <xf numFmtId="3" fontId="21" fillId="0" borderId="1" xfId="0" applyNumberFormat="1" applyFont="1" applyBorder="1" applyAlignment="1" applyProtection="1">
      <alignment horizontal="center" vertical="center" wrapText="1"/>
      <protection locked="0"/>
    </xf>
    <xf numFmtId="0" fontId="21" fillId="0" borderId="1" xfId="0" applyFont="1" applyBorder="1" applyAlignment="1" applyProtection="1">
      <alignment horizontal="center" vertical="center" wrapText="1"/>
      <protection locked="0"/>
    </xf>
    <xf numFmtId="0" fontId="7" fillId="7" borderId="1" xfId="0" applyFont="1" applyFill="1" applyBorder="1" applyAlignment="1" applyProtection="1">
      <alignment horizontal="center" vertical="center"/>
      <protection locked="0"/>
    </xf>
    <xf numFmtId="0" fontId="7" fillId="7" borderId="1" xfId="0" applyFont="1" applyFill="1" applyBorder="1" applyAlignment="1" applyProtection="1">
      <alignment vertical="center"/>
      <protection locked="0"/>
    </xf>
    <xf numFmtId="0" fontId="15" fillId="8" borderId="1" xfId="0" applyFont="1" applyFill="1" applyBorder="1" applyAlignment="1" applyProtection="1">
      <alignment horizontal="center" vertical="center"/>
      <protection locked="0"/>
    </xf>
    <xf numFmtId="49" fontId="21" fillId="0" borderId="1" xfId="0" quotePrefix="1" applyNumberFormat="1" applyFont="1" applyBorder="1" applyAlignment="1" applyProtection="1">
      <alignment horizontal="center" vertical="center" wrapText="1"/>
      <protection locked="0"/>
    </xf>
    <xf numFmtId="180" fontId="21" fillId="3" borderId="1" xfId="0" applyNumberFormat="1" applyFont="1" applyFill="1" applyBorder="1" applyAlignment="1" applyProtection="1">
      <alignment horizontal="center" vertical="center"/>
      <protection locked="0"/>
    </xf>
    <xf numFmtId="181" fontId="15" fillId="8" borderId="1" xfId="0" applyNumberFormat="1" applyFont="1" applyFill="1" applyBorder="1" applyAlignment="1" applyProtection="1">
      <alignment horizontal="center" vertical="center"/>
      <protection locked="0"/>
    </xf>
    <xf numFmtId="3" fontId="15" fillId="8" borderId="1" xfId="0" applyNumberFormat="1" applyFont="1" applyFill="1" applyBorder="1" applyAlignment="1" applyProtection="1">
      <alignment horizontal="center" vertical="center"/>
      <protection locked="0"/>
    </xf>
    <xf numFmtId="3" fontId="15" fillId="37" borderId="1" xfId="0" applyNumberFormat="1" applyFont="1" applyFill="1" applyBorder="1" applyAlignment="1" applyProtection="1">
      <alignment horizontal="center" vertical="center"/>
      <protection locked="0"/>
    </xf>
    <xf numFmtId="0" fontId="7" fillId="0" borderId="1" xfId="0" applyFont="1" applyBorder="1" applyAlignment="1">
      <alignment horizontal="left" vertical="center" wrapText="1" indent="1"/>
    </xf>
    <xf numFmtId="0" fontId="7" fillId="0" borderId="6" xfId="0" applyFont="1" applyBorder="1" applyAlignment="1">
      <alignment horizontal="left" vertical="center" wrapText="1" indent="1"/>
    </xf>
    <xf numFmtId="0" fontId="6" fillId="17" borderId="1" xfId="0" applyFont="1" applyFill="1" applyBorder="1" applyAlignment="1">
      <alignment horizontal="center" vertical="center" wrapText="1"/>
    </xf>
    <xf numFmtId="0" fontId="6" fillId="4" borderId="1" xfId="0" applyFont="1" applyFill="1" applyBorder="1" applyAlignment="1">
      <alignment vertical="center" wrapText="1"/>
    </xf>
    <xf numFmtId="0" fontId="6" fillId="0" borderId="2" xfId="0" applyFont="1" applyBorder="1" applyAlignment="1">
      <alignment vertical="center" wrapText="1"/>
    </xf>
    <xf numFmtId="0" fontId="6" fillId="2" borderId="0" xfId="0" applyFont="1" applyFill="1"/>
    <xf numFmtId="1" fontId="6" fillId="39" borderId="0" xfId="6" applyNumberFormat="1" applyFill="1" applyAlignment="1">
      <alignment horizontal="left" vertical="center" wrapText="1"/>
    </xf>
    <xf numFmtId="0" fontId="6" fillId="39" borderId="0" xfId="6" applyFill="1" applyAlignment="1">
      <alignment horizontal="left" vertical="center" wrapText="1"/>
    </xf>
    <xf numFmtId="172" fontId="4" fillId="39" borderId="0" xfId="6" applyNumberFormat="1" applyFont="1" applyFill="1" applyAlignment="1">
      <alignment horizontal="center" vertical="center"/>
    </xf>
    <xf numFmtId="165" fontId="4" fillId="39" borderId="0" xfId="6" applyNumberFormat="1" applyFont="1" applyFill="1" applyAlignment="1">
      <alignment horizontal="center" vertical="center"/>
    </xf>
    <xf numFmtId="43" fontId="4" fillId="39" borderId="0" xfId="7" applyFont="1" applyFill="1" applyBorder="1" applyAlignment="1" applyProtection="1">
      <alignment horizontal="center" vertical="center"/>
    </xf>
    <xf numFmtId="164" fontId="4" fillId="39" borderId="0" xfId="6" applyNumberFormat="1" applyFont="1" applyFill="1" applyAlignment="1">
      <alignment horizontal="center" vertical="center"/>
    </xf>
    <xf numFmtId="0" fontId="6" fillId="9" borderId="1" xfId="6" applyFill="1" applyBorder="1" applyAlignment="1" applyProtection="1">
      <alignment horizontal="center" vertical="center" wrapText="1"/>
      <protection locked="0"/>
    </xf>
    <xf numFmtId="0" fontId="7" fillId="7" borderId="2" xfId="0" quotePrefix="1" applyFont="1" applyFill="1" applyBorder="1" applyAlignment="1">
      <alignment horizontal="center" vertical="center" wrapText="1"/>
    </xf>
    <xf numFmtId="49" fontId="23" fillId="7" borderId="2" xfId="0" applyNumberFormat="1" applyFont="1" applyFill="1" applyBorder="1" applyAlignment="1">
      <alignment horizontal="center" vertical="center" wrapText="1"/>
    </xf>
    <xf numFmtId="49" fontId="23" fillId="7" borderId="2" xfId="6" applyNumberFormat="1" applyFont="1" applyFill="1" applyBorder="1" applyAlignment="1">
      <alignment horizontal="center" vertical="center" wrapText="1"/>
    </xf>
    <xf numFmtId="2" fontId="0" fillId="2" borderId="1" xfId="0" applyNumberFormat="1" applyFill="1" applyBorder="1" applyAlignment="1">
      <alignment horizontal="center" vertical="center"/>
    </xf>
    <xf numFmtId="0" fontId="33" fillId="0" borderId="1" xfId="0" applyFont="1" applyBorder="1" applyAlignment="1">
      <alignment vertical="center"/>
    </xf>
    <xf numFmtId="0" fontId="33" fillId="38" borderId="1" xfId="0" applyFont="1" applyFill="1" applyBorder="1" applyAlignment="1">
      <alignment vertical="center"/>
    </xf>
    <xf numFmtId="182" fontId="3" fillId="30" borderId="1" xfId="9" applyNumberFormat="1" applyFill="1" applyBorder="1" applyAlignment="1" applyProtection="1">
      <alignment vertical="center"/>
    </xf>
    <xf numFmtId="182" fontId="3" fillId="33" borderId="1" xfId="12" applyNumberFormat="1" applyFill="1" applyBorder="1" applyAlignment="1" applyProtection="1">
      <alignment vertical="center"/>
    </xf>
    <xf numFmtId="0" fontId="21" fillId="8" borderId="1" xfId="0" applyFont="1" applyFill="1" applyBorder="1" applyAlignment="1">
      <alignment horizontal="center" vertical="center" wrapText="1"/>
    </xf>
    <xf numFmtId="0" fontId="21" fillId="0" borderId="1" xfId="0" quotePrefix="1" applyFont="1" applyBorder="1" applyAlignment="1">
      <alignment horizontal="center" vertical="center" wrapText="1"/>
    </xf>
    <xf numFmtId="174" fontId="6" fillId="31" borderId="1" xfId="10" applyNumberFormat="1" applyFont="1" applyFill="1" applyBorder="1" applyAlignment="1" applyProtection="1">
      <alignment vertical="center"/>
    </xf>
    <xf numFmtId="164" fontId="4" fillId="23" borderId="1" xfId="6" applyNumberFormat="1" applyFont="1" applyFill="1" applyBorder="1" applyAlignment="1">
      <alignment horizontal="center" vertical="center"/>
    </xf>
    <xf numFmtId="184" fontId="4" fillId="12" borderId="1" xfId="6" applyNumberFormat="1" applyFont="1" applyFill="1" applyBorder="1" applyAlignment="1" applyProtection="1">
      <alignment horizontal="center" vertical="center"/>
      <protection locked="0"/>
    </xf>
    <xf numFmtId="183" fontId="4" fillId="9" borderId="1" xfId="6" applyNumberFormat="1" applyFont="1" applyFill="1" applyBorder="1" applyAlignment="1" applyProtection="1">
      <alignment horizontal="center" vertical="center"/>
      <protection locked="0"/>
    </xf>
    <xf numFmtId="184" fontId="4" fillId="9" borderId="1" xfId="6" applyNumberFormat="1" applyFont="1" applyFill="1" applyBorder="1" applyAlignment="1" applyProtection="1">
      <alignment horizontal="center" vertical="center"/>
      <protection locked="0"/>
    </xf>
    <xf numFmtId="14" fontId="6" fillId="9" borderId="1" xfId="0" quotePrefix="1" applyNumberFormat="1" applyFont="1" applyFill="1" applyBorder="1" applyAlignment="1" applyProtection="1">
      <alignment horizontal="left" vertical="center" wrapText="1"/>
      <protection locked="0"/>
    </xf>
    <xf numFmtId="165" fontId="4" fillId="12" borderId="1" xfId="6" applyNumberFormat="1" applyFont="1" applyFill="1" applyBorder="1" applyAlignment="1" applyProtection="1">
      <alignment horizontal="center" vertical="center"/>
      <protection locked="0"/>
    </xf>
    <xf numFmtId="49" fontId="6" fillId="9" borderId="1" xfId="0" quotePrefix="1" applyNumberFormat="1" applyFont="1" applyFill="1" applyBorder="1" applyAlignment="1" applyProtection="1">
      <alignment horizontal="center" vertical="center" wrapText="1"/>
      <protection locked="0"/>
    </xf>
    <xf numFmtId="49" fontId="6" fillId="9" borderId="1" xfId="0" applyNumberFormat="1" applyFont="1" applyFill="1" applyBorder="1" applyAlignment="1" applyProtection="1">
      <alignment horizontal="center" vertical="center" wrapText="1"/>
      <protection locked="0"/>
    </xf>
    <xf numFmtId="0" fontId="0" fillId="0" borderId="1" xfId="0" applyBorder="1" applyAlignment="1">
      <alignment vertical="center" wrapText="1"/>
    </xf>
    <xf numFmtId="165" fontId="0" fillId="0" borderId="1" xfId="0" applyNumberFormat="1" applyBorder="1" applyAlignment="1">
      <alignment horizontal="center" vertical="center"/>
    </xf>
    <xf numFmtId="0" fontId="0" fillId="0" borderId="1" xfId="0" applyBorder="1" applyAlignment="1">
      <alignment horizontal="center" vertical="center"/>
    </xf>
    <xf numFmtId="1" fontId="0" fillId="0" borderId="1" xfId="0" applyNumberFormat="1" applyBorder="1" applyAlignment="1">
      <alignment horizontal="center" vertical="center"/>
    </xf>
    <xf numFmtId="165" fontId="0" fillId="0" borderId="2" xfId="0" applyNumberFormat="1" applyBorder="1" applyAlignment="1">
      <alignment horizontal="center" vertical="center"/>
    </xf>
    <xf numFmtId="185" fontId="21" fillId="9" borderId="1" xfId="0" applyNumberFormat="1" applyFont="1" applyFill="1" applyBorder="1" applyAlignment="1" applyProtection="1">
      <alignment horizontal="center" vertical="center"/>
      <protection locked="0"/>
    </xf>
    <xf numFmtId="49" fontId="37" fillId="9" borderId="1" xfId="0" quotePrefix="1" applyNumberFormat="1" applyFont="1" applyFill="1" applyBorder="1" applyAlignment="1" applyProtection="1">
      <alignment horizontal="left" vertical="center" wrapText="1"/>
      <protection locked="0"/>
    </xf>
    <xf numFmtId="175" fontId="37" fillId="9" borderId="1" xfId="6" applyNumberFormat="1" applyFont="1" applyFill="1" applyBorder="1" applyAlignment="1">
      <alignment horizontal="center" vertical="center" wrapText="1"/>
    </xf>
    <xf numFmtId="1" fontId="37" fillId="9" borderId="1" xfId="6" applyNumberFormat="1" applyFont="1" applyFill="1" applyBorder="1" applyAlignment="1" applyProtection="1">
      <alignment horizontal="left" vertical="center" wrapText="1"/>
      <protection locked="0"/>
    </xf>
    <xf numFmtId="49" fontId="37" fillId="9" borderId="1" xfId="0" applyNumberFormat="1" applyFont="1" applyFill="1" applyBorder="1" applyAlignment="1" applyProtection="1">
      <alignment horizontal="left" vertical="center" wrapText="1"/>
      <protection locked="0"/>
    </xf>
    <xf numFmtId="0" fontId="37" fillId="9" borderId="1" xfId="6" applyFont="1" applyFill="1" applyBorder="1" applyAlignment="1" applyProtection="1">
      <alignment horizontal="left" vertical="center" wrapText="1"/>
      <protection locked="0"/>
    </xf>
    <xf numFmtId="0" fontId="37" fillId="9" borderId="1" xfId="6" applyFont="1" applyFill="1" applyBorder="1" applyAlignment="1" applyProtection="1">
      <alignment horizontal="center" vertical="center" wrapText="1"/>
      <protection locked="0"/>
    </xf>
    <xf numFmtId="172" fontId="38" fillId="12" borderId="1" xfId="6" applyNumberFormat="1" applyFont="1" applyFill="1" applyBorder="1" applyAlignment="1" applyProtection="1">
      <alignment horizontal="center" vertical="center"/>
      <protection locked="0"/>
    </xf>
    <xf numFmtId="164" fontId="38" fillId="12" borderId="1" xfId="6" applyNumberFormat="1" applyFont="1" applyFill="1" applyBorder="1" applyAlignment="1" applyProtection="1">
      <alignment horizontal="center" vertical="center"/>
      <protection locked="0"/>
    </xf>
    <xf numFmtId="172" fontId="38" fillId="9" borderId="1" xfId="6" applyNumberFormat="1" applyFont="1" applyFill="1" applyBorder="1" applyAlignment="1" applyProtection="1">
      <alignment horizontal="center" vertical="center"/>
      <protection locked="0"/>
    </xf>
    <xf numFmtId="164" fontId="38" fillId="9" borderId="1" xfId="6" applyNumberFormat="1" applyFont="1" applyFill="1" applyBorder="1" applyAlignment="1" applyProtection="1">
      <alignment horizontal="center" vertical="center"/>
      <protection locked="0"/>
    </xf>
    <xf numFmtId="14" fontId="37" fillId="9" borderId="1" xfId="0" quotePrefix="1" applyNumberFormat="1" applyFont="1" applyFill="1" applyBorder="1" applyAlignment="1" applyProtection="1">
      <alignment horizontal="left" vertical="center" wrapText="1"/>
      <protection locked="0"/>
    </xf>
    <xf numFmtId="49" fontId="37" fillId="9" borderId="1" xfId="0" quotePrefix="1" applyNumberFormat="1" applyFont="1" applyFill="1" applyBorder="1" applyAlignment="1" applyProtection="1">
      <alignment horizontal="center" vertical="center" wrapText="1"/>
      <protection locked="0"/>
    </xf>
    <xf numFmtId="49" fontId="37" fillId="9" borderId="1" xfId="0" applyNumberFormat="1" applyFont="1" applyFill="1" applyBorder="1" applyAlignment="1" applyProtection="1">
      <alignment horizontal="center" vertical="center" wrapText="1"/>
      <protection locked="0"/>
    </xf>
    <xf numFmtId="183" fontId="38" fillId="9" borderId="1" xfId="6" applyNumberFormat="1" applyFont="1" applyFill="1" applyBorder="1" applyAlignment="1" applyProtection="1">
      <alignment horizontal="center" vertical="center"/>
      <protection locked="0"/>
    </xf>
    <xf numFmtId="184" fontId="38" fillId="9" borderId="1" xfId="6" applyNumberFormat="1" applyFont="1" applyFill="1" applyBorder="1" applyAlignment="1" applyProtection="1">
      <alignment horizontal="center" vertical="center"/>
      <protection locked="0"/>
    </xf>
    <xf numFmtId="0" fontId="15" fillId="0" borderId="0" xfId="0" quotePrefix="1" applyFont="1" applyAlignment="1">
      <alignment horizontal="left" vertical="top" wrapText="1"/>
    </xf>
    <xf numFmtId="49" fontId="11" fillId="6" borderId="0" xfId="1" applyNumberFormat="1" applyFill="1" applyAlignment="1" applyProtection="1">
      <alignment horizontal="left" vertical="center" wrapText="1"/>
      <protection locked="0"/>
    </xf>
    <xf numFmtId="0" fontId="6" fillId="0" borderId="0" xfId="0" quotePrefix="1" applyFont="1" applyAlignment="1">
      <alignment horizontal="left" wrapText="1"/>
    </xf>
    <xf numFmtId="0" fontId="20" fillId="0" borderId="0" xfId="0" quotePrefix="1" applyFont="1" applyAlignment="1">
      <alignment horizontal="left" vertical="top" wrapText="1"/>
    </xf>
    <xf numFmtId="0" fontId="6" fillId="0" borderId="0" xfId="0" quotePrefix="1" applyFont="1" applyAlignment="1" applyProtection="1">
      <alignment horizontal="left" vertical="top" wrapText="1"/>
      <protection locked="0"/>
    </xf>
    <xf numFmtId="0" fontId="6" fillId="0" borderId="0" xfId="0" applyFont="1" applyAlignment="1" applyProtection="1">
      <alignment horizontal="left" vertical="top" wrapText="1"/>
      <protection locked="0"/>
    </xf>
    <xf numFmtId="49" fontId="11" fillId="6" borderId="0" xfId="1" applyNumberFormat="1" applyFill="1" applyAlignment="1" applyProtection="1">
      <alignment horizontal="center" vertical="center" wrapText="1"/>
      <protection locked="0"/>
    </xf>
    <xf numFmtId="0" fontId="17" fillId="6" borderId="1" xfId="1" applyNumberFormat="1" applyFont="1" applyFill="1" applyBorder="1" applyAlignment="1">
      <alignment horizontal="center" vertical="center" wrapText="1"/>
    </xf>
    <xf numFmtId="172" fontId="21" fillId="19" borderId="3" xfId="0" applyNumberFormat="1" applyFont="1" applyFill="1" applyBorder="1" applyAlignment="1" applyProtection="1">
      <alignment horizontal="center" vertical="center"/>
      <protection locked="0"/>
    </xf>
    <xf numFmtId="172" fontId="21" fillId="19" borderId="5" xfId="0" applyNumberFormat="1" applyFont="1" applyFill="1" applyBorder="1" applyAlignment="1" applyProtection="1">
      <alignment horizontal="center" vertical="center"/>
      <protection locked="0"/>
    </xf>
    <xf numFmtId="0" fontId="6" fillId="0" borderId="1" xfId="0" applyFont="1" applyBorder="1" applyAlignment="1">
      <alignment horizontal="center" vertical="center" wrapText="1"/>
    </xf>
    <xf numFmtId="0" fontId="7" fillId="7" borderId="3" xfId="0" applyFont="1" applyFill="1" applyBorder="1" applyAlignment="1" applyProtection="1">
      <alignment horizontal="center" vertical="center" wrapText="1"/>
      <protection locked="0"/>
    </xf>
    <xf numFmtId="0" fontId="7" fillId="7" borderId="5" xfId="0" applyFont="1" applyFill="1" applyBorder="1" applyAlignment="1" applyProtection="1">
      <alignment horizontal="center" vertical="center" wrapText="1"/>
      <protection locked="0"/>
    </xf>
    <xf numFmtId="0" fontId="7" fillId="0" borderId="1" xfId="0" applyFont="1" applyBorder="1" applyAlignment="1">
      <alignment horizontal="left" vertical="center" wrapText="1" indent="1"/>
    </xf>
    <xf numFmtId="0" fontId="6" fillId="4" borderId="1" xfId="0" applyFont="1" applyFill="1" applyBorder="1" applyAlignment="1">
      <alignment horizontal="center" vertical="center" wrapText="1"/>
    </xf>
    <xf numFmtId="0" fontId="6" fillId="0" borderId="3" xfId="0" applyFont="1" applyBorder="1" applyAlignment="1">
      <alignment horizontal="left" vertical="center" wrapText="1" indent="1"/>
    </xf>
    <xf numFmtId="0" fontId="6" fillId="0" borderId="4" xfId="0" applyFont="1" applyBorder="1" applyAlignment="1">
      <alignment horizontal="left" vertical="center" wrapText="1" indent="1"/>
    </xf>
    <xf numFmtId="0" fontId="6" fillId="0" borderId="5" xfId="0" applyFont="1" applyBorder="1" applyAlignment="1">
      <alignment horizontal="left" vertical="center" wrapText="1" indent="1"/>
    </xf>
    <xf numFmtId="0" fontId="7" fillId="0" borderId="3" xfId="0" applyFont="1" applyBorder="1" applyAlignment="1">
      <alignment horizontal="left" vertical="center" wrapText="1" indent="1"/>
    </xf>
    <xf numFmtId="0" fontId="7" fillId="0" borderId="5" xfId="0" applyFont="1" applyBorder="1" applyAlignment="1">
      <alignment horizontal="left" vertical="center" wrapText="1" indent="1"/>
    </xf>
    <xf numFmtId="0" fontId="6" fillId="2" borderId="8" xfId="6" quotePrefix="1" applyFill="1" applyBorder="1" applyAlignment="1">
      <alignment horizontal="center" vertical="center" wrapText="1"/>
    </xf>
    <xf numFmtId="0" fontId="17" fillId="6" borderId="3" xfId="1" applyNumberFormat="1" applyFont="1" applyFill="1" applyBorder="1" applyAlignment="1">
      <alignment horizontal="center" vertical="center" wrapText="1"/>
    </xf>
    <xf numFmtId="0" fontId="17" fillId="6" borderId="4" xfId="1" applyNumberFormat="1" applyFont="1" applyFill="1" applyBorder="1" applyAlignment="1">
      <alignment horizontal="center" vertical="center" wrapText="1"/>
    </xf>
    <xf numFmtId="0" fontId="17" fillId="6" borderId="5" xfId="1" applyNumberFormat="1" applyFont="1" applyFill="1" applyBorder="1" applyAlignment="1">
      <alignment horizontal="center" vertical="center" wrapText="1"/>
    </xf>
    <xf numFmtId="0" fontId="7" fillId="7" borderId="11" xfId="0" applyFont="1" applyFill="1" applyBorder="1" applyAlignment="1" applyProtection="1">
      <alignment horizontal="center" vertical="center" wrapText="1"/>
      <protection locked="0"/>
    </xf>
    <xf numFmtId="0" fontId="7" fillId="7" borderId="0" xfId="0" applyFont="1" applyFill="1" applyAlignment="1" applyProtection="1">
      <alignment horizontal="center" vertical="center" wrapText="1"/>
      <protection locked="0"/>
    </xf>
    <xf numFmtId="0" fontId="25" fillId="18" borderId="1" xfId="0" applyFont="1" applyFill="1" applyBorder="1" applyAlignment="1" applyProtection="1">
      <alignment horizontal="center" vertical="center" wrapText="1"/>
      <protection locked="0"/>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6" fillId="0" borderId="5" xfId="0" applyFont="1" applyBorder="1" applyAlignment="1">
      <alignment horizontal="center" vertical="center" wrapText="1"/>
    </xf>
    <xf numFmtId="0" fontId="6" fillId="2" borderId="8" xfId="6" quotePrefix="1" applyFill="1" applyBorder="1" applyAlignment="1">
      <alignment horizontal="left" vertical="center" wrapText="1"/>
    </xf>
    <xf numFmtId="0" fontId="34" fillId="0" borderId="16" xfId="0" applyFont="1" applyBorder="1" applyAlignment="1">
      <alignment horizontal="center" vertical="center" wrapText="1"/>
    </xf>
    <xf numFmtId="0" fontId="34" fillId="0" borderId="17" xfId="0" applyFont="1" applyBorder="1" applyAlignment="1">
      <alignment horizontal="center" vertical="center" wrapText="1"/>
    </xf>
    <xf numFmtId="172" fontId="34" fillId="0" borderId="18" xfId="0" applyNumberFormat="1" applyFont="1" applyBorder="1" applyAlignment="1">
      <alignment horizontal="center" vertical="center" wrapText="1"/>
    </xf>
    <xf numFmtId="0" fontId="34" fillId="0" borderId="11" xfId="0" applyFont="1" applyBorder="1" applyAlignment="1">
      <alignment horizontal="center" vertical="center" wrapText="1"/>
    </xf>
    <xf numFmtId="0" fontId="34" fillId="0" borderId="0" xfId="0" applyFont="1" applyAlignment="1">
      <alignment horizontal="center" vertical="center" wrapText="1"/>
    </xf>
    <xf numFmtId="172" fontId="34" fillId="0" borderId="12" xfId="0" applyNumberFormat="1" applyFont="1" applyBorder="1" applyAlignment="1">
      <alignment horizontal="center" vertical="center" wrapText="1"/>
    </xf>
    <xf numFmtId="0" fontId="34" fillId="0" borderId="13" xfId="0" applyFont="1" applyBorder="1" applyAlignment="1">
      <alignment horizontal="center" vertical="center" wrapText="1"/>
    </xf>
    <xf numFmtId="0" fontId="34" fillId="0" borderId="8" xfId="0" applyFont="1" applyBorder="1" applyAlignment="1">
      <alignment horizontal="center" vertical="center" wrapText="1"/>
    </xf>
    <xf numFmtId="172" fontId="34" fillId="0" borderId="14" xfId="0" applyNumberFormat="1" applyFont="1" applyBorder="1" applyAlignment="1">
      <alignment horizontal="center" vertical="center" wrapText="1"/>
    </xf>
    <xf numFmtId="0" fontId="34" fillId="0" borderId="18" xfId="0" applyFont="1" applyBorder="1" applyAlignment="1">
      <alignment horizontal="center" vertical="center" wrapText="1"/>
    </xf>
    <xf numFmtId="0" fontId="34" fillId="0" borderId="12" xfId="0" applyFont="1" applyBorder="1" applyAlignment="1">
      <alignment horizontal="center" vertical="center" wrapText="1"/>
    </xf>
    <xf numFmtId="0" fontId="34" fillId="0" borderId="14" xfId="0" applyFont="1" applyBorder="1" applyAlignment="1">
      <alignment horizontal="center" vertical="center" wrapText="1"/>
    </xf>
    <xf numFmtId="0" fontId="7" fillId="7" borderId="1" xfId="0" applyFont="1" applyFill="1" applyBorder="1" applyAlignment="1">
      <alignment horizontal="center" vertical="center" wrapText="1"/>
    </xf>
    <xf numFmtId="0" fontId="9" fillId="0" borderId="1" xfId="0" applyFont="1" applyBorder="1" applyAlignment="1">
      <alignment vertical="top" wrapText="1"/>
    </xf>
    <xf numFmtId="0" fontId="17" fillId="6" borderId="1" xfId="1" applyNumberFormat="1" applyFont="1" applyFill="1" applyBorder="1" applyAlignment="1" applyProtection="1">
      <alignment horizontal="center" vertical="center" wrapText="1"/>
    </xf>
    <xf numFmtId="0" fontId="7" fillId="7" borderId="1" xfId="0" quotePrefix="1" applyFont="1" applyFill="1" applyBorder="1" applyAlignment="1" applyProtection="1">
      <alignment horizontal="center" vertical="center" wrapText="1"/>
      <protection locked="0"/>
    </xf>
    <xf numFmtId="0" fontId="6" fillId="0" borderId="0" xfId="0" applyFont="1" applyAlignment="1">
      <alignment horizontal="left" vertical="center" wrapText="1" indent="1"/>
    </xf>
    <xf numFmtId="0" fontId="6" fillId="0" borderId="1" xfId="0" applyFont="1" applyBorder="1" applyAlignment="1">
      <alignment horizontal="left" vertical="center" wrapText="1" indent="1"/>
    </xf>
    <xf numFmtId="0" fontId="7" fillId="7" borderId="1" xfId="0" applyFont="1" applyFill="1" applyBorder="1" applyAlignment="1" applyProtection="1">
      <alignment horizontal="center" vertical="center" wrapText="1"/>
      <protection locked="0"/>
    </xf>
    <xf numFmtId="0" fontId="6" fillId="2" borderId="0" xfId="0" quotePrefix="1" applyFont="1" applyFill="1" applyAlignment="1">
      <alignment horizontal="left" vertical="center" wrapText="1"/>
    </xf>
    <xf numFmtId="0" fontId="29" fillId="17" borderId="0" xfId="15" quotePrefix="1" applyFill="1" applyBorder="1" applyAlignment="1">
      <alignment horizontal="left" vertical="top" wrapText="1"/>
    </xf>
    <xf numFmtId="0" fontId="7" fillId="7" borderId="6" xfId="0" applyFont="1" applyFill="1" applyBorder="1" applyAlignment="1" applyProtection="1">
      <alignment vertical="center" wrapText="1"/>
      <protection locked="0"/>
    </xf>
    <xf numFmtId="0" fontId="7" fillId="7" borderId="15" xfId="0" applyFont="1" applyFill="1" applyBorder="1" applyAlignment="1" applyProtection="1">
      <alignment vertical="center" wrapText="1"/>
      <protection locked="0"/>
    </xf>
    <xf numFmtId="0" fontId="7" fillId="7" borderId="2" xfId="0" applyFont="1" applyFill="1" applyBorder="1" applyAlignment="1" applyProtection="1">
      <alignment vertical="center" wrapText="1"/>
      <protection locked="0"/>
    </xf>
    <xf numFmtId="0" fontId="7" fillId="7" borderId="6" xfId="0" applyFont="1" applyFill="1" applyBorder="1" applyAlignment="1" applyProtection="1">
      <alignment vertical="center"/>
      <protection locked="0"/>
    </xf>
    <xf numFmtId="0" fontId="7" fillId="7" borderId="15" xfId="0" applyFont="1" applyFill="1" applyBorder="1" applyAlignment="1" applyProtection="1">
      <alignment vertical="center"/>
      <protection locked="0"/>
    </xf>
    <xf numFmtId="0" fontId="7" fillId="7" borderId="2" xfId="0" applyFont="1" applyFill="1" applyBorder="1" applyAlignment="1" applyProtection="1">
      <alignment vertical="center"/>
      <protection locked="0"/>
    </xf>
    <xf numFmtId="0" fontId="26" fillId="6" borderId="3" xfId="1" applyNumberFormat="1" applyFont="1" applyFill="1" applyBorder="1" applyAlignment="1" applyProtection="1">
      <alignment horizontal="center" vertical="center" wrapText="1"/>
    </xf>
    <xf numFmtId="0" fontId="26" fillId="6" borderId="4" xfId="1" applyNumberFormat="1" applyFont="1" applyFill="1" applyBorder="1" applyAlignment="1" applyProtection="1">
      <alignment horizontal="center" vertical="center" wrapText="1"/>
    </xf>
    <xf numFmtId="0" fontId="26" fillId="6" borderId="5" xfId="1" applyNumberFormat="1" applyFont="1" applyFill="1" applyBorder="1" applyAlignment="1" applyProtection="1">
      <alignment horizontal="center" vertical="center" wrapText="1"/>
    </xf>
    <xf numFmtId="0" fontId="7" fillId="7" borderId="3" xfId="0" applyFont="1" applyFill="1" applyBorder="1" applyAlignment="1">
      <alignment horizontal="left" vertical="center" wrapText="1"/>
    </xf>
    <xf numFmtId="0" fontId="7" fillId="7" borderId="4" xfId="0" applyFont="1" applyFill="1" applyBorder="1" applyAlignment="1">
      <alignment horizontal="left" vertical="center" wrapText="1"/>
    </xf>
    <xf numFmtId="0" fontId="7" fillId="7" borderId="5" xfId="0" applyFont="1" applyFill="1" applyBorder="1" applyAlignment="1">
      <alignment horizontal="left" vertical="center" wrapText="1"/>
    </xf>
    <xf numFmtId="0" fontId="26" fillId="6" borderId="3" xfId="1" applyNumberFormat="1" applyFont="1" applyFill="1" applyBorder="1" applyAlignment="1" applyProtection="1">
      <alignment horizontal="left" vertical="center" wrapText="1"/>
    </xf>
    <xf numFmtId="0" fontId="26" fillId="6" borderId="4" xfId="1" applyNumberFormat="1" applyFont="1" applyFill="1" applyBorder="1" applyAlignment="1" applyProtection="1">
      <alignment horizontal="left" vertical="center" wrapText="1"/>
    </xf>
    <xf numFmtId="0" fontId="26" fillId="6" borderId="5" xfId="1" applyNumberFormat="1" applyFont="1" applyFill="1" applyBorder="1" applyAlignment="1" applyProtection="1">
      <alignment horizontal="left" vertical="center" wrapText="1"/>
    </xf>
    <xf numFmtId="0" fontId="6" fillId="0" borderId="0" xfId="0" quotePrefix="1" applyFont="1" applyAlignment="1">
      <alignment horizontal="left"/>
    </xf>
  </cellXfs>
  <cellStyles count="21">
    <cellStyle name="40% - Accent1" xfId="9" builtinId="31"/>
    <cellStyle name="40% - Accent1 2" xfId="17" xr:uid="{00000000-0005-0000-0000-000001000000}"/>
    <cellStyle name="40% - Accent4" xfId="12" builtinId="43"/>
    <cellStyle name="40% - Accent4 2" xfId="18" xr:uid="{00000000-0005-0000-0000-000003000000}"/>
    <cellStyle name="60% - Accent2" xfId="10" builtinId="36"/>
    <cellStyle name="Accent1" xfId="8" builtinId="29"/>
    <cellStyle name="Accent4" xfId="11" builtinId="41"/>
    <cellStyle name="Accent6" xfId="13" builtinId="49"/>
    <cellStyle name="ColumnHeading_CEPATNEI" xfId="20" xr:uid="{91664C40-D679-4CE7-A4A2-DFFEE411D4A6}"/>
    <cellStyle name="Comma 2" xfId="7" xr:uid="{00000000-0005-0000-0000-000008000000}"/>
    <cellStyle name="Heading 2" xfId="4" builtinId="17"/>
    <cellStyle name="Heading 3" xfId="5" builtinId="18"/>
    <cellStyle name="Heading 4" xfId="1" builtinId="19"/>
    <cellStyle name="Hyperlink" xfId="3" builtinId="8"/>
    <cellStyle name="Input" xfId="2" builtinId="20"/>
    <cellStyle name="Neutral" xfId="15" builtinId="28"/>
    <cellStyle name="Normal" xfId="0" builtinId="0"/>
    <cellStyle name="Normal 2" xfId="6" xr:uid="{00000000-0005-0000-0000-000010000000}"/>
    <cellStyle name="Normal 3" xfId="14" xr:uid="{00000000-0005-0000-0000-000011000000}"/>
    <cellStyle name="Normal_Sheet1" xfId="16" xr:uid="{00000000-0005-0000-0000-000012000000}"/>
    <cellStyle name="Text_CEPATNEI" xfId="19" xr:uid="{00000000-0005-0000-0000-000013000000}"/>
  </cellStyles>
  <dxfs count="3">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s>
  <tableStyles count="0" defaultTableStyle="TableStyleMedium9" defaultPivotStyle="PivotStyleLight16"/>
  <colors>
    <mruColors>
      <color rgb="FFFFFFFF"/>
      <color rgb="FFCCFFCC"/>
      <color rgb="FFFFCC99"/>
      <color rgb="FFFFBE82"/>
      <color rgb="FFB4FFCC"/>
      <color rgb="FFB8D2BB"/>
      <color rgb="FF91FFCC"/>
      <color rgb="FF8CFFCC"/>
      <color rgb="FFCCFFFF"/>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0</xdr:col>
      <xdr:colOff>74084</xdr:colOff>
      <xdr:row>1</xdr:row>
      <xdr:rowOff>9524</xdr:rowOff>
    </xdr:from>
    <xdr:to>
      <xdr:col>5</xdr:col>
      <xdr:colOff>328083</xdr:colOff>
      <xdr:row>26</xdr:row>
      <xdr:rowOff>66674</xdr:rowOff>
    </xdr:to>
    <xdr:sp macro="" textlink="">
      <xdr:nvSpPr>
        <xdr:cNvPr id="2" name="Rectangle 1">
          <a:extLst>
            <a:ext uri="{FF2B5EF4-FFF2-40B4-BE49-F238E27FC236}">
              <a16:creationId xmlns:a16="http://schemas.microsoft.com/office/drawing/2014/main" id="{00000000-0008-0000-0B00-000002000000}"/>
            </a:ext>
          </a:extLst>
        </xdr:cNvPr>
        <xdr:cNvSpPr/>
      </xdr:nvSpPr>
      <xdr:spPr>
        <a:xfrm>
          <a:off x="74084" y="348191"/>
          <a:ext cx="5609166" cy="4025900"/>
        </a:xfrm>
        <a:prstGeom prst="rect">
          <a:avLst/>
        </a:prstGeom>
        <a:solidFill>
          <a:srgbClr val="CCFFFF"/>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GB" sz="900" b="1">
              <a:solidFill>
                <a:sysClr val="windowText" lastClr="000000"/>
              </a:solidFill>
            </a:rPr>
            <a:t>Notes:</a:t>
          </a:r>
        </a:p>
        <a:p>
          <a:r>
            <a:rPr lang="en-GB" sz="900">
              <a:solidFill>
                <a:sysClr val="windowText" lastClr="000000"/>
              </a:solidFill>
              <a:effectLst/>
              <a:latin typeface="+mn-lt"/>
              <a:ea typeface="+mn-ea"/>
              <a:cs typeface="+mn-cs"/>
            </a:rPr>
            <a:t>There are a few governing rules that should be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Specific notes for application of or tariffss:</a:t>
          </a:r>
        </a:p>
        <a:p>
          <a:pPr lvl="1"/>
          <a:r>
            <a:rPr lang="en-GB" sz="900">
              <a:solidFill>
                <a:sysClr val="windowText" lastClr="000000"/>
              </a:solidFill>
              <a:effectLst/>
              <a:latin typeface="+mn-lt"/>
              <a:ea typeface="+mn-ea"/>
              <a:cs typeface="+mn-cs"/>
            </a:rPr>
            <a:t>All tariffs are all delinked and set time bands are applied in place of the TPR’s timebands.</a:t>
          </a:r>
        </a:p>
        <a:p>
          <a:endParaRPr lang="en-GB" sz="900">
            <a:solidFill>
              <a:sysClr val="windowText" lastClr="000000"/>
            </a:solidFill>
            <a:effectLst/>
            <a:latin typeface="+mn-lt"/>
            <a:ea typeface="+mn-ea"/>
            <a:cs typeface="+mn-cs"/>
          </a:endParaRP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The following rules apply when allocating tariffs in DNO areas.</a:t>
          </a:r>
        </a:p>
        <a:p>
          <a:pPr lvl="1"/>
          <a:r>
            <a:rPr lang="en-GB" sz="900">
              <a:solidFill>
                <a:sysClr val="windowText" lastClr="000000"/>
              </a:solidFill>
              <a:effectLst/>
              <a:latin typeface="+mn-lt"/>
              <a:ea typeface="+mn-ea"/>
              <a:cs typeface="+mn-cs"/>
            </a:rPr>
            <a:t>1, G and U should be applied straight to the appropriate SSC  to identify generation and UMS tariffs.</a:t>
          </a:r>
        </a:p>
        <a:p>
          <a:pPr lvl="1"/>
          <a:r>
            <a:rPr lang="en-GB" sz="900">
              <a:solidFill>
                <a:sysClr val="windowText" lastClr="000000"/>
              </a:solidFill>
              <a:effectLst/>
              <a:latin typeface="+mn-lt"/>
              <a:ea typeface="+mn-ea"/>
              <a:cs typeface="+mn-cs"/>
            </a:rPr>
            <a:t>Then considering the SSC</a:t>
          </a:r>
          <a:r>
            <a:rPr lang="en-GB" sz="900" baseline="0">
              <a:solidFill>
                <a:sysClr val="windowText" lastClr="000000"/>
              </a:solidFill>
              <a:effectLst/>
              <a:latin typeface="+mn-lt"/>
              <a:ea typeface="+mn-ea"/>
              <a:cs typeface="+mn-cs"/>
            </a:rPr>
            <a:t> </a:t>
          </a:r>
          <a:r>
            <a:rPr lang="en-GB" sz="900">
              <a:solidFill>
                <a:sysClr val="windowText" lastClr="000000"/>
              </a:solidFill>
              <a:effectLst/>
              <a:latin typeface="+mn-lt"/>
              <a:ea typeface="+mn-ea"/>
              <a:cs typeface="+mn-cs"/>
            </a:rPr>
            <a:t>alongside the PC.</a:t>
          </a:r>
        </a:p>
        <a:p>
          <a:pPr lvl="1"/>
          <a:r>
            <a:rPr lang="en-GB" sz="900">
              <a:solidFill>
                <a:sysClr val="windowText" lastClr="000000"/>
              </a:solidFill>
              <a:effectLst/>
              <a:latin typeface="+mn-lt"/>
              <a:ea typeface="+mn-ea"/>
              <a:cs typeface="+mn-cs"/>
            </a:rPr>
            <a:t>2, PC1s should be labelled Domestic Aggregated.</a:t>
          </a:r>
        </a:p>
        <a:p>
          <a:pPr lvl="1"/>
          <a:r>
            <a:rPr lang="en-GB" sz="900">
              <a:solidFill>
                <a:sysClr val="windowText" lastClr="000000"/>
              </a:solidFill>
              <a:effectLst/>
              <a:latin typeface="+mn-lt"/>
              <a:ea typeface="+mn-ea"/>
              <a:cs typeface="+mn-cs"/>
            </a:rPr>
            <a:t>3, PC2s with SSCs with A/R should be labelled Domestic Aggregated (related MPAN).</a:t>
          </a:r>
        </a:p>
        <a:p>
          <a:pPr lvl="1"/>
          <a:r>
            <a:rPr lang="en-GB" sz="900">
              <a:solidFill>
                <a:sysClr val="windowText" lastClr="000000"/>
              </a:solidFill>
              <a:effectLst/>
              <a:latin typeface="+mn-lt"/>
              <a:ea typeface="+mn-ea"/>
              <a:cs typeface="+mn-cs"/>
            </a:rPr>
            <a:t>4, Remaining PC2s should be labelled Domestic Aggregated.</a:t>
          </a:r>
        </a:p>
        <a:p>
          <a:pPr lvl="1"/>
          <a:r>
            <a:rPr lang="en-GB" sz="900">
              <a:solidFill>
                <a:sysClr val="windowText" lastClr="000000"/>
              </a:solidFill>
              <a:effectLst/>
              <a:latin typeface="+mn-lt"/>
              <a:ea typeface="+mn-ea"/>
              <a:cs typeface="+mn-cs"/>
            </a:rPr>
            <a:t>5, PC3s should be labelled Non Domestic Aggregated.</a:t>
          </a:r>
        </a:p>
        <a:p>
          <a:pPr lvl="1"/>
          <a:r>
            <a:rPr lang="en-GB" sz="900">
              <a:solidFill>
                <a:sysClr val="windowText" lastClr="000000"/>
              </a:solidFill>
              <a:effectLst/>
              <a:latin typeface="+mn-lt"/>
              <a:ea typeface="+mn-ea"/>
              <a:cs typeface="+mn-cs"/>
            </a:rPr>
            <a:t>6, PC4s with SSCs with A/R should be labelled Non Domestic Aggregated (related MPAN).</a:t>
          </a:r>
        </a:p>
        <a:p>
          <a:pPr lvl="1"/>
          <a:r>
            <a:rPr lang="en-GB" sz="900">
              <a:solidFill>
                <a:sysClr val="windowText" lastClr="000000"/>
              </a:solidFill>
              <a:effectLst/>
              <a:latin typeface="+mn-lt"/>
              <a:ea typeface="+mn-ea"/>
              <a:cs typeface="+mn-cs"/>
            </a:rPr>
            <a:t>7, Remaining PC4s should be labelled Non Domestic Aggregated.</a:t>
          </a:r>
        </a:p>
        <a:p>
          <a:pPr lvl="1"/>
          <a:r>
            <a:rPr lang="en-GB" sz="900">
              <a:solidFill>
                <a:sysClr val="windowText" lastClr="000000"/>
              </a:solidFill>
              <a:effectLst/>
              <a:latin typeface="+mn-lt"/>
              <a:ea typeface="+mn-ea"/>
              <a:cs typeface="+mn-cs"/>
            </a:rPr>
            <a:t>8, PC5 – 8s should be labelled</a:t>
          </a:r>
          <a:r>
            <a:rPr lang="en-GB" sz="900" baseline="0">
              <a:solidFill>
                <a:sysClr val="windowText" lastClr="000000"/>
              </a:solidFill>
              <a:effectLst/>
              <a:latin typeface="+mn-lt"/>
              <a:ea typeface="+mn-ea"/>
              <a:cs typeface="+mn-cs"/>
            </a:rPr>
            <a:t> </a:t>
          </a:r>
          <a:r>
            <a:rPr lang="en-GB" sz="900">
              <a:solidFill>
                <a:sysClr val="windowText" lastClr="000000"/>
              </a:solidFill>
              <a:effectLst/>
              <a:latin typeface="+mn-lt"/>
              <a:ea typeface="+mn-ea"/>
              <a:cs typeface="+mn-cs"/>
            </a:rPr>
            <a:t>Non Domestic Aggregated.</a:t>
          </a:r>
        </a:p>
        <a:p>
          <a:r>
            <a:rPr lang="en-GB" sz="900">
              <a:solidFill>
                <a:sysClr val="windowText" lastClr="000000"/>
              </a:solidFill>
              <a:effectLst/>
              <a:latin typeface="+mn-lt"/>
              <a:ea typeface="+mn-ea"/>
              <a:cs typeface="+mn-cs"/>
            </a:rPr>
            <a:t> </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Common decode:</a:t>
          </a:r>
        </a:p>
        <a:p>
          <a:pPr lvl="1"/>
          <a:r>
            <a:rPr lang="en-GB" sz="900">
              <a:solidFill>
                <a:sysClr val="windowText" lastClr="000000"/>
              </a:solidFill>
              <a:effectLst/>
              <a:latin typeface="+mn-lt"/>
              <a:ea typeface="+mn-ea"/>
              <a:cs typeface="+mn-cs"/>
            </a:rPr>
            <a:t>A: Aggregated - replaces the Day &amp; Night rates (1 &amp; 2)</a:t>
          </a:r>
        </a:p>
        <a:p>
          <a:pPr lvl="1"/>
          <a:r>
            <a:rPr lang="en-GB" sz="900">
              <a:solidFill>
                <a:sysClr val="windowText" lastClr="000000"/>
              </a:solidFill>
              <a:effectLst/>
              <a:latin typeface="+mn-lt"/>
              <a:ea typeface="+mn-ea"/>
              <a:cs typeface="+mn-cs"/>
            </a:rPr>
            <a:t>A/R: Aggregated if on PC1</a:t>
          </a:r>
          <a:r>
            <a:rPr lang="en-GB" sz="900" baseline="0">
              <a:solidFill>
                <a:sysClr val="windowText" lastClr="000000"/>
              </a:solidFill>
              <a:effectLst/>
              <a:latin typeface="+mn-lt"/>
              <a:ea typeface="+mn-ea"/>
              <a:cs typeface="+mn-cs"/>
            </a:rPr>
            <a:t> / PC3 / PC5 / PC6 / PC7 / PC8 </a:t>
          </a:r>
          <a:r>
            <a:rPr lang="en-GB" sz="900">
              <a:solidFill>
                <a:sysClr val="windowText" lastClr="000000"/>
              </a:solidFill>
              <a:effectLst/>
              <a:latin typeface="+mn-lt"/>
              <a:ea typeface="+mn-ea"/>
              <a:cs typeface="+mn-cs"/>
            </a:rPr>
            <a:t> or Aggregated (related MPAN) if on PC2 / PC4</a:t>
          </a:r>
        </a:p>
        <a:p>
          <a:pPr lvl="1"/>
          <a:r>
            <a:rPr lang="en-GB" sz="900">
              <a:solidFill>
                <a:sysClr val="windowText" lastClr="000000"/>
              </a:solidFill>
              <a:effectLst/>
              <a:latin typeface="+mn-lt"/>
              <a:ea typeface="+mn-ea"/>
              <a:cs typeface="+mn-cs"/>
            </a:rPr>
            <a:t>G: Generation</a:t>
          </a:r>
        </a:p>
        <a:p>
          <a:pPr lvl="1"/>
          <a:r>
            <a:rPr lang="en-GB" sz="900">
              <a:solidFill>
                <a:sysClr val="windowText" lastClr="000000"/>
              </a:solidFill>
              <a:effectLst/>
              <a:latin typeface="+mn-lt"/>
              <a:ea typeface="+mn-ea"/>
              <a:cs typeface="+mn-cs"/>
            </a:rPr>
            <a:t>U: Unmetered</a:t>
          </a:r>
          <a:r>
            <a:rPr lang="en-GB" sz="900" baseline="0">
              <a:solidFill>
                <a:sysClr val="windowText" lastClr="000000"/>
              </a:solidFill>
              <a:effectLst/>
              <a:latin typeface="+mn-lt"/>
              <a:ea typeface="+mn-ea"/>
              <a:cs typeface="+mn-cs"/>
            </a:rPr>
            <a:t> Supplies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25401</xdr:colOff>
      <xdr:row>24</xdr:row>
      <xdr:rowOff>117476</xdr:rowOff>
    </xdr:from>
    <xdr:to>
      <xdr:col>9</xdr:col>
      <xdr:colOff>92076</xdr:colOff>
      <xdr:row>26</xdr:row>
      <xdr:rowOff>28575</xdr:rowOff>
    </xdr:to>
    <xdr:sp macro="" textlink="">
      <xdr:nvSpPr>
        <xdr:cNvPr id="2" name="TextBox 1">
          <a:extLst>
            <a:ext uri="{FF2B5EF4-FFF2-40B4-BE49-F238E27FC236}">
              <a16:creationId xmlns:a16="http://schemas.microsoft.com/office/drawing/2014/main" id="{00000000-0008-0000-0D00-000002000000}"/>
            </a:ext>
          </a:extLst>
        </xdr:cNvPr>
        <xdr:cNvSpPr txBox="1"/>
      </xdr:nvSpPr>
      <xdr:spPr>
        <a:xfrm>
          <a:off x="187326" y="9185276"/>
          <a:ext cx="8248650" cy="1054099"/>
        </a:xfrm>
        <a:prstGeom prst="rect">
          <a:avLst/>
        </a:prstGeom>
        <a:solidFill>
          <a:srgbClr val="CCFFCC"/>
        </a:solidFill>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t"/>
        <a:lstStyle/>
        <a:p>
          <a:r>
            <a:rPr lang="en-GB" sz="1100">
              <a:solidFill>
                <a:sysClr val="windowText" lastClr="000000"/>
              </a:solidFill>
            </a:rPr>
            <a:t>Note:</a:t>
          </a:r>
        </a:p>
        <a:p>
          <a:r>
            <a:rPr lang="en-GB" sz="1100" i="1">
              <a:solidFill>
                <a:schemeClr val="dk1"/>
              </a:solidFill>
              <a:effectLst/>
              <a:latin typeface="+mn-lt"/>
              <a:ea typeface="+mn-ea"/>
              <a:cs typeface="+mn-cs"/>
            </a:rPr>
            <a:t>For the purpose of forecasting the exceeded capacity charge, the input in this calculator uses the average daily exceeded capacity as this reduces the calculators complexity, however as per the Use of System Charging Statement, the exceeded portion of the capacity will be charged at the exceeded capacity charge p/kVA/day rate, based on the difference between the MIC/MEC and the actual capacity used.  This will be charged for the full duration of the month in which the breach occurs.</a:t>
          </a:r>
          <a:endParaRPr lang="en-GB" sz="1100">
            <a:solidFill>
              <a:schemeClr val="dk1"/>
            </a:solidFill>
            <a:effectLst/>
            <a:latin typeface="+mn-lt"/>
            <a:ea typeface="+mn-ea"/>
            <a:cs typeface="+mn-cs"/>
          </a:endParaRPr>
        </a:p>
        <a:p>
          <a:endParaRPr lang="en-GB"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printerSettings" Target="../printerSettings/printerSettings16.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pageSetUpPr fitToPage="1"/>
  </sheetPr>
  <dimension ref="A1:H28"/>
  <sheetViews>
    <sheetView showGridLines="0" zoomScaleNormal="100" zoomScaleSheetLayoutView="100" workbookViewId="0"/>
  </sheetViews>
  <sheetFormatPr defaultRowHeight="12.75" x14ac:dyDescent="0.35"/>
  <cols>
    <col min="1" max="1" width="70.265625" customWidth="1"/>
    <col min="2" max="2" width="42.1328125" customWidth="1"/>
    <col min="3" max="3" width="28" customWidth="1"/>
    <col min="4" max="4" width="18.1328125" customWidth="1"/>
    <col min="5" max="5" width="21.59765625" customWidth="1"/>
  </cols>
  <sheetData>
    <row r="1" spans="1:8" x14ac:dyDescent="0.35">
      <c r="A1" s="24"/>
      <c r="B1" s="24"/>
      <c r="C1" s="24"/>
      <c r="D1" s="24"/>
      <c r="E1" s="24"/>
    </row>
    <row r="2" spans="1:8" ht="16.899999999999999" x14ac:dyDescent="0.35">
      <c r="A2" s="133" t="s">
        <v>113</v>
      </c>
      <c r="B2" s="65"/>
      <c r="C2" s="65"/>
      <c r="D2" s="65"/>
      <c r="E2" s="65"/>
    </row>
    <row r="3" spans="1:8" ht="13.9" x14ac:dyDescent="0.35">
      <c r="A3" s="65"/>
      <c r="B3" s="130" t="s">
        <v>114</v>
      </c>
      <c r="C3" s="129" t="s">
        <v>115</v>
      </c>
      <c r="D3" s="129" t="s">
        <v>19</v>
      </c>
      <c r="E3" s="129" t="s">
        <v>18</v>
      </c>
    </row>
    <row r="4" spans="1:8" ht="13.9" x14ac:dyDescent="0.35">
      <c r="A4" s="66" t="s">
        <v>113</v>
      </c>
      <c r="B4" s="28" t="s">
        <v>665</v>
      </c>
      <c r="C4" s="28" t="s">
        <v>709</v>
      </c>
      <c r="D4" s="28" t="s">
        <v>710</v>
      </c>
      <c r="E4" s="28" t="s">
        <v>112</v>
      </c>
    </row>
    <row r="5" spans="1:8" x14ac:dyDescent="0.35">
      <c r="A5" s="65"/>
      <c r="B5" s="65"/>
      <c r="C5" s="65"/>
      <c r="D5" s="65"/>
      <c r="E5" s="65"/>
    </row>
    <row r="6" spans="1:8" ht="16.899999999999999" x14ac:dyDescent="0.35">
      <c r="A6" s="68" t="s">
        <v>13</v>
      </c>
      <c r="B6" s="65"/>
      <c r="C6" s="65"/>
      <c r="D6" s="65"/>
      <c r="E6" s="65"/>
    </row>
    <row r="7" spans="1:8" ht="13.9" x14ac:dyDescent="0.35">
      <c r="A7" s="69" t="s">
        <v>14</v>
      </c>
      <c r="B7" s="237" t="s">
        <v>15</v>
      </c>
      <c r="C7" s="237"/>
      <c r="D7" s="237"/>
      <c r="E7" s="237"/>
    </row>
    <row r="8" spans="1:8" ht="30" customHeight="1" x14ac:dyDescent="0.35">
      <c r="A8" s="73" t="s">
        <v>155</v>
      </c>
      <c r="B8" s="236" t="s">
        <v>144</v>
      </c>
      <c r="C8" s="236"/>
      <c r="D8" s="236"/>
      <c r="E8" s="236"/>
    </row>
    <row r="9" spans="1:8" ht="30" customHeight="1" x14ac:dyDescent="0.35">
      <c r="A9" s="73" t="s">
        <v>658</v>
      </c>
      <c r="B9" s="236" t="str">
        <f>"Annex 2 contains the charges to Designated EHV Properties and charges applied to LDNOs with Designated EHV Properties/end-users embedded in networks within the " &amp;B4 &amp;" Licence area."</f>
        <v>Annex 2 contains the charges to Designated EHV Properties and charges applied to LDNOs with Designated EHV Properties/end-users embedded in networks within the South Eastern Power Networks Licence area.</v>
      </c>
      <c r="C9" s="236"/>
      <c r="D9" s="236"/>
      <c r="E9" s="236"/>
    </row>
    <row r="10" spans="1:8" ht="30" customHeight="1" x14ac:dyDescent="0.35">
      <c r="A10" s="73" t="s">
        <v>33</v>
      </c>
      <c r="B10" s="236" t="s">
        <v>17</v>
      </c>
      <c r="C10" s="236"/>
      <c r="D10" s="236"/>
      <c r="E10" s="236"/>
    </row>
    <row r="11" spans="1:8" ht="61.5" customHeight="1" x14ac:dyDescent="0.35">
      <c r="A11" s="73" t="s">
        <v>34</v>
      </c>
      <c r="B11" s="236" t="str">
        <f>"Annex 4 contains charges that are levied on the owner of an embedded network within the "&amp;B4&amp;" Licence area. "&amp;"Electricity suppliers and consumers who have properties connected to an embedded network should contact the embedded network owner to determine their distribution charges."&amp;" The charges listed in this table are not payable by domestic consumers, business consumers or electricity suppliers."</f>
        <v>Annex 4 contains charges that are levied on the owner of an embedded network within the South Eastern Power Networks Licence area. Electricity suppliers and consumers who have properties connected to an embedded network should contact the embedded network owner to determine their distribution charges. The charges listed in this table are not payable by domestic consumers, business consumers or electricity suppliers.</v>
      </c>
      <c r="C11" s="236"/>
      <c r="D11" s="236"/>
      <c r="E11" s="236"/>
      <c r="F11" s="239"/>
      <c r="G11" s="239"/>
      <c r="H11" s="239"/>
    </row>
    <row r="12" spans="1:8" ht="86.25" customHeight="1" x14ac:dyDescent="0.35">
      <c r="A12" s="73" t="s">
        <v>25</v>
      </c>
      <c r="B12" s="236" t="s">
        <v>125</v>
      </c>
      <c r="C12" s="236"/>
      <c r="D12" s="236"/>
      <c r="E12" s="236"/>
    </row>
    <row r="13" spans="1:8" ht="47.25" customHeight="1" x14ac:dyDescent="0.35">
      <c r="A13" s="73" t="s">
        <v>126</v>
      </c>
      <c r="B13" s="236" t="str">
        <f>"Annex 6 contains the charges for new or amended Designated EHV Properties and charges applied to LDNOs with new or amended Designated EHV Properties/end-users embedded in networks within the " &amp;B4 &amp;" Licence area."</f>
        <v>Annex 6 contains the charges for new or amended Designated EHV Properties and charges applied to LDNOs with new or amended Designated EHV Properties/end-users embedded in networks within the South Eastern Power Networks Licence area.</v>
      </c>
      <c r="C13" s="236"/>
      <c r="D13" s="236"/>
      <c r="E13" s="236"/>
    </row>
    <row r="14" spans="1:8" ht="33.75" customHeight="1" x14ac:dyDescent="0.35">
      <c r="A14" s="172" t="s">
        <v>446</v>
      </c>
      <c r="B14" s="236" t="s">
        <v>447</v>
      </c>
      <c r="C14" s="236"/>
      <c r="D14" s="236"/>
      <c r="E14" s="236"/>
    </row>
    <row r="15" spans="1:8" ht="29.25" customHeight="1" x14ac:dyDescent="0.35">
      <c r="A15" s="73" t="s">
        <v>27</v>
      </c>
      <c r="B15" s="236" t="s">
        <v>688</v>
      </c>
      <c r="C15" s="236"/>
      <c r="D15" s="236"/>
      <c r="E15" s="236"/>
    </row>
    <row r="16" spans="1:8" ht="29.25" customHeight="1" x14ac:dyDescent="0.35">
      <c r="A16" s="172" t="s">
        <v>659</v>
      </c>
      <c r="B16" s="236" t="s">
        <v>660</v>
      </c>
      <c r="C16" s="236"/>
      <c r="D16" s="236"/>
      <c r="E16" s="236"/>
    </row>
    <row r="17" spans="1:5" ht="29.25" customHeight="1" x14ac:dyDescent="0.35">
      <c r="A17" s="73" t="s">
        <v>560</v>
      </c>
      <c r="B17" s="236" t="s">
        <v>562</v>
      </c>
      <c r="C17" s="236"/>
      <c r="D17" s="236"/>
      <c r="E17" s="236"/>
    </row>
    <row r="18" spans="1:5" ht="29.25" customHeight="1" x14ac:dyDescent="0.35">
      <c r="A18" s="73" t="s">
        <v>661</v>
      </c>
      <c r="B18" s="236" t="s">
        <v>662</v>
      </c>
      <c r="C18" s="236"/>
      <c r="D18" s="236"/>
      <c r="E18" s="236"/>
    </row>
    <row r="19" spans="1:5" ht="30" customHeight="1" x14ac:dyDescent="0.35">
      <c r="A19" s="73" t="s">
        <v>76</v>
      </c>
      <c r="B19" s="236" t="s">
        <v>75</v>
      </c>
      <c r="C19" s="236"/>
      <c r="D19" s="236"/>
      <c r="E19" s="236"/>
    </row>
    <row r="20" spans="1:5" x14ac:dyDescent="0.35">
      <c r="A20" s="65"/>
      <c r="B20" s="65"/>
      <c r="C20" s="65"/>
      <c r="D20" s="65"/>
      <c r="E20" s="65"/>
    </row>
    <row r="21" spans="1:5" ht="13.9" x14ac:dyDescent="0.35">
      <c r="A21" s="70" t="s">
        <v>23</v>
      </c>
      <c r="B21" s="65"/>
      <c r="C21" s="65"/>
      <c r="D21" s="65"/>
      <c r="E21" s="65"/>
    </row>
    <row r="22" spans="1:5" ht="13.9" x14ac:dyDescent="0.35">
      <c r="A22" s="69"/>
      <c r="B22" s="242"/>
      <c r="C22" s="242"/>
      <c r="D22" s="242"/>
      <c r="E22" s="242"/>
    </row>
    <row r="23" spans="1:5" ht="32.25" customHeight="1" x14ac:dyDescent="0.35">
      <c r="A23" s="240" t="s">
        <v>60</v>
      </c>
      <c r="B23" s="241"/>
      <c r="C23" s="241"/>
      <c r="D23" s="241"/>
      <c r="E23" s="241"/>
    </row>
    <row r="24" spans="1:5" x14ac:dyDescent="0.35">
      <c r="A24" s="65"/>
      <c r="B24" s="65"/>
      <c r="C24" s="65"/>
      <c r="D24" s="65"/>
      <c r="E24" s="65"/>
    </row>
    <row r="25" spans="1:5" ht="13.9" x14ac:dyDescent="0.35">
      <c r="A25" s="71" t="s">
        <v>24</v>
      </c>
      <c r="B25" s="65"/>
      <c r="C25" s="65"/>
      <c r="D25" s="65"/>
      <c r="E25" s="65"/>
    </row>
    <row r="26" spans="1:5" ht="13.9" x14ac:dyDescent="0.35">
      <c r="A26" s="67"/>
      <c r="B26" s="242"/>
      <c r="C26" s="242"/>
      <c r="D26" s="242"/>
      <c r="E26" s="242"/>
    </row>
    <row r="27" spans="1:5" ht="28.5" customHeight="1" x14ac:dyDescent="0.35">
      <c r="A27" s="240" t="s">
        <v>35</v>
      </c>
      <c r="B27" s="241"/>
      <c r="C27" s="241"/>
      <c r="D27" s="241"/>
      <c r="E27" s="241"/>
    </row>
    <row r="28" spans="1:5" ht="28.5" customHeight="1" x14ac:dyDescent="0.35">
      <c r="A28" s="238" t="s">
        <v>111</v>
      </c>
      <c r="B28" s="238"/>
      <c r="C28" s="238"/>
      <c r="D28" s="238"/>
      <c r="E28" s="238"/>
    </row>
  </sheetData>
  <customSheetViews>
    <customSheetView guid="{5032A364-B81A-48DA-88DA-AB3B86B47EE9}">
      <selection activeCell="A12" sqref="A12"/>
      <pageMargins left="0.7" right="0.7" top="0.75" bottom="0.75" header="0.3" footer="0.3"/>
    </customSheetView>
  </customSheetViews>
  <mergeCells count="19">
    <mergeCell ref="A28:E28"/>
    <mergeCell ref="F11:H11"/>
    <mergeCell ref="A23:E23"/>
    <mergeCell ref="A27:E27"/>
    <mergeCell ref="B12:E12"/>
    <mergeCell ref="B15:E15"/>
    <mergeCell ref="B13:E13"/>
    <mergeCell ref="B19:E19"/>
    <mergeCell ref="B22:E22"/>
    <mergeCell ref="B26:E26"/>
    <mergeCell ref="B14:E14"/>
    <mergeCell ref="B17:E17"/>
    <mergeCell ref="B16:E16"/>
    <mergeCell ref="B18:E18"/>
    <mergeCell ref="B8:E8"/>
    <mergeCell ref="B9:E9"/>
    <mergeCell ref="B10:E10"/>
    <mergeCell ref="B11:E11"/>
    <mergeCell ref="B7:E7"/>
  </mergeCells>
  <hyperlinks>
    <hyperlink ref="A8" location="'Annex 1 LV, HV and UMS charges'!A1" display="Annex 1 LV, HV and Unmetered Supplies charges" xr:uid="{00000000-0004-0000-0000-000000000000}"/>
    <hyperlink ref="A9" location="'Annex 2 Designated EHV charges'!A1" display="Annex 2 Designated EHV charges" xr:uid="{00000000-0004-0000-0000-000001000000}"/>
    <hyperlink ref="A10" location="'Annex 3 Preserved charges'!A1" display="Annex 3 Preserved charges" xr:uid="{00000000-0004-0000-0000-000002000000}"/>
    <hyperlink ref="A11" location="'Annex 4 LDNO charges'!A1" display="Annex 4 LDNO charges" xr:uid="{00000000-0004-0000-0000-000003000000}"/>
    <hyperlink ref="A12" location="'Annex 5 LLFs'!A1" display="Annex 5 LLFs" xr:uid="{00000000-0004-0000-0000-000004000000}"/>
    <hyperlink ref="A15" location="'Nodal prices'!A1" display="Nodal prices" xr:uid="{00000000-0004-0000-0000-000005000000}"/>
    <hyperlink ref="A13" location="'Annex 6 New or Amended EHV'!A1" display="Annex 6  Charges for New or Amended Designated EHV Properties" xr:uid="{00000000-0004-0000-0000-000006000000}"/>
    <hyperlink ref="A19" location="'Charge Calculator'!B10" display="Charge calculator" xr:uid="{00000000-0004-0000-0000-000007000000}"/>
    <hyperlink ref="A14" location="'Annex 7 Pass-Through Costs'!A1" display="Annex 7  Fixed adders for Supplier of Last Resort and Eligible Bad Debt pass-through costs" xr:uid="{00000000-0004-0000-0000-000008000000}"/>
    <hyperlink ref="A17" location="'Residual Charging Bands'!A1" display="Residual Charging Bandings" xr:uid="{00000000-0004-0000-0000-000009000000}"/>
    <hyperlink ref="A16" location="'SSC unit rate lookup'!A1" display="SSC unit rate lookup" xr:uid="{1137C865-7AA7-4BB5-88BB-3FDAFDFC8644}"/>
    <hyperlink ref="A18" location="'TNUoS Mapping'!A1" display="TNUoS Mapping" xr:uid="{7B39D133-5C8D-462E-8E9D-07F5E99313CF}"/>
  </hyperlinks>
  <pageMargins left="0.70866141732283472" right="0.70866141732283472" top="0.74803149606299213" bottom="0.74803149606299213" header="0.31496062992125984" footer="0.31496062992125984"/>
  <pageSetup paperSize="9" scale="64"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M44"/>
  <sheetViews>
    <sheetView topLeftCell="A21" zoomScale="70" zoomScaleNormal="70" zoomScaleSheetLayoutView="100" workbookViewId="0">
      <selection activeCell="G31" sqref="G31:G34"/>
    </sheetView>
  </sheetViews>
  <sheetFormatPr defaultColWidth="9.1328125" defaultRowHeight="27.75" customHeight="1" x14ac:dyDescent="0.35"/>
  <cols>
    <col min="1" max="1" width="49" style="2" bestFit="1" customWidth="1"/>
    <col min="2" max="2" width="17.59765625" style="3" customWidth="1"/>
    <col min="3" max="3" width="9.1328125" style="2" customWidth="1"/>
    <col min="4" max="4" width="17.59765625" style="2" customWidth="1"/>
    <col min="5" max="7" width="17.59765625" style="3" customWidth="1"/>
    <col min="8" max="9" width="17.59765625" style="9" customWidth="1"/>
    <col min="10" max="10" width="17.59765625" style="5" customWidth="1"/>
    <col min="11" max="11" width="17.59765625" style="6" customWidth="1"/>
    <col min="12" max="12" width="15.59765625" style="4" customWidth="1"/>
    <col min="13" max="17" width="15.59765625" style="2" customWidth="1"/>
    <col min="18" max="16384" width="9.1328125" style="2"/>
  </cols>
  <sheetData>
    <row r="1" spans="1:13" ht="27.75" customHeight="1" x14ac:dyDescent="0.35">
      <c r="A1" s="92" t="s">
        <v>16</v>
      </c>
      <c r="B1" s="49"/>
      <c r="C1" s="49"/>
      <c r="D1" s="49"/>
      <c r="E1" s="49"/>
      <c r="F1" s="49"/>
      <c r="G1" s="49"/>
      <c r="H1" s="49"/>
      <c r="I1" s="49"/>
      <c r="J1" s="49"/>
      <c r="K1" s="49"/>
    </row>
    <row r="2" spans="1:13" ht="27" customHeight="1" x14ac:dyDescent="0.35">
      <c r="A2" s="243" t="str">
        <f>Overview!B4&amp; " - Effective from "&amp;Overview!D4&amp;" - "&amp;Overview!E4&amp;" LV and HV charges"</f>
        <v>South Eastern Power Networks - Effective from 1 April 2026 - Final LV and HV charges</v>
      </c>
      <c r="B2" s="243"/>
      <c r="C2" s="243"/>
      <c r="D2" s="243"/>
      <c r="E2" s="243"/>
      <c r="F2" s="243"/>
      <c r="G2" s="243"/>
      <c r="H2" s="243"/>
      <c r="I2" s="243"/>
      <c r="J2" s="243"/>
      <c r="K2" s="243"/>
    </row>
    <row r="3" spans="1:13" s="75" customFormat="1" ht="15" customHeight="1" x14ac:dyDescent="0.35">
      <c r="A3" s="81"/>
      <c r="B3" s="81"/>
      <c r="C3" s="81"/>
      <c r="D3" s="81"/>
      <c r="E3" s="81"/>
      <c r="F3" s="81"/>
      <c r="G3" s="81"/>
      <c r="H3" s="81"/>
      <c r="I3" s="81"/>
      <c r="J3" s="81"/>
      <c r="K3" s="81"/>
      <c r="L3" s="4"/>
      <c r="M3" s="2"/>
    </row>
    <row r="4" spans="1:13" ht="27" customHeight="1" x14ac:dyDescent="0.35">
      <c r="A4" s="243" t="s">
        <v>139</v>
      </c>
      <c r="B4" s="243"/>
      <c r="C4" s="243"/>
      <c r="D4" s="243"/>
      <c r="E4" s="243"/>
      <c r="F4" s="81"/>
      <c r="G4" s="243" t="s">
        <v>140</v>
      </c>
      <c r="H4" s="243"/>
      <c r="I4" s="243"/>
      <c r="J4" s="243"/>
      <c r="K4" s="243"/>
    </row>
    <row r="5" spans="1:13" ht="28.5" customHeight="1" x14ac:dyDescent="0.35">
      <c r="A5" s="74" t="s">
        <v>9</v>
      </c>
      <c r="B5" s="77" t="s">
        <v>51</v>
      </c>
      <c r="C5" s="244" t="s">
        <v>52</v>
      </c>
      <c r="D5" s="245"/>
      <c r="E5" s="76" t="s">
        <v>53</v>
      </c>
      <c r="F5" s="81"/>
      <c r="G5" s="247"/>
      <c r="H5" s="248"/>
      <c r="I5" s="78" t="s">
        <v>57</v>
      </c>
      <c r="J5" s="79" t="s">
        <v>58</v>
      </c>
      <c r="K5" s="76" t="s">
        <v>53</v>
      </c>
    </row>
    <row r="6" spans="1:13" ht="65.25" customHeight="1" x14ac:dyDescent="0.35">
      <c r="A6" s="184" t="s">
        <v>54</v>
      </c>
      <c r="B6" s="22" t="s">
        <v>666</v>
      </c>
      <c r="C6" s="246" t="s">
        <v>667</v>
      </c>
      <c r="D6" s="246"/>
      <c r="E6" s="185" t="s">
        <v>668</v>
      </c>
      <c r="F6" s="81"/>
      <c r="G6" s="249" t="s">
        <v>55</v>
      </c>
      <c r="H6" s="249"/>
      <c r="I6" s="22" t="s">
        <v>666</v>
      </c>
      <c r="J6" s="80" t="s">
        <v>667</v>
      </c>
      <c r="K6" s="185" t="s">
        <v>668</v>
      </c>
    </row>
    <row r="7" spans="1:13" ht="65.25" customHeight="1" x14ac:dyDescent="0.35">
      <c r="A7" s="184" t="s">
        <v>12</v>
      </c>
      <c r="B7" s="21"/>
      <c r="C7" s="250"/>
      <c r="D7" s="250"/>
      <c r="E7" s="80" t="s">
        <v>669</v>
      </c>
      <c r="F7" s="81"/>
      <c r="G7" s="249" t="s">
        <v>670</v>
      </c>
      <c r="H7" s="249"/>
      <c r="I7" s="21"/>
      <c r="J7" s="80" t="s">
        <v>671</v>
      </c>
      <c r="K7" s="185" t="s">
        <v>668</v>
      </c>
    </row>
    <row r="8" spans="1:13" ht="65.25" customHeight="1" x14ac:dyDescent="0.35">
      <c r="A8" s="183" t="s">
        <v>10</v>
      </c>
      <c r="B8" s="251" t="s">
        <v>11</v>
      </c>
      <c r="C8" s="252"/>
      <c r="D8" s="252"/>
      <c r="E8" s="253"/>
      <c r="F8" s="81"/>
      <c r="G8" s="254" t="s">
        <v>12</v>
      </c>
      <c r="H8" s="255"/>
      <c r="I8" s="21"/>
      <c r="J8" s="21"/>
      <c r="K8" s="80" t="s">
        <v>669</v>
      </c>
    </row>
    <row r="9" spans="1:13" s="75" customFormat="1" ht="65.25" customHeight="1" x14ac:dyDescent="0.35">
      <c r="F9" s="81"/>
      <c r="G9" s="249" t="s">
        <v>10</v>
      </c>
      <c r="H9" s="249"/>
      <c r="I9" s="251" t="s">
        <v>11</v>
      </c>
      <c r="J9" s="252"/>
      <c r="K9" s="253"/>
      <c r="L9" s="47"/>
    </row>
    <row r="10" spans="1:13" s="75" customFormat="1" ht="12.75" customHeight="1" x14ac:dyDescent="0.35">
      <c r="A10" s="81"/>
      <c r="B10" s="81"/>
      <c r="C10" s="81"/>
      <c r="D10" s="81"/>
      <c r="E10" s="81"/>
      <c r="F10" s="81"/>
      <c r="G10" s="81"/>
      <c r="H10" s="81"/>
      <c r="I10" s="81"/>
      <c r="J10" s="81"/>
      <c r="K10" s="81"/>
      <c r="L10" s="47"/>
    </row>
    <row r="11" spans="1:13" ht="78.75" customHeight="1" x14ac:dyDescent="0.35">
      <c r="A11" s="27" t="s">
        <v>116</v>
      </c>
      <c r="B11" s="14" t="s">
        <v>699</v>
      </c>
      <c r="C11" s="14" t="s">
        <v>20</v>
      </c>
      <c r="D11" s="52" t="s">
        <v>141</v>
      </c>
      <c r="E11" s="52" t="s">
        <v>143</v>
      </c>
      <c r="F11" s="52" t="s">
        <v>142</v>
      </c>
      <c r="G11" s="14" t="s">
        <v>21</v>
      </c>
      <c r="H11" s="14" t="s">
        <v>22</v>
      </c>
      <c r="I11" s="27" t="s">
        <v>117</v>
      </c>
      <c r="J11" s="14" t="s">
        <v>28</v>
      </c>
      <c r="K11" s="14" t="s">
        <v>700</v>
      </c>
    </row>
    <row r="12" spans="1:13" ht="32.25" customHeight="1" x14ac:dyDescent="0.35">
      <c r="A12" s="16" t="s">
        <v>631</v>
      </c>
      <c r="B12" s="37">
        <v>1</v>
      </c>
      <c r="C12" s="178" t="s">
        <v>711</v>
      </c>
      <c r="D12" s="135">
        <v>21.23</v>
      </c>
      <c r="E12" s="136">
        <v>0.76800000000000002</v>
      </c>
      <c r="F12" s="137">
        <v>0.23799999999999999</v>
      </c>
      <c r="G12" s="42">
        <v>9.56</v>
      </c>
      <c r="H12" s="43"/>
      <c r="I12" s="43"/>
      <c r="J12" s="39"/>
      <c r="K12" s="40" t="s">
        <v>719</v>
      </c>
      <c r="L12" s="188"/>
    </row>
    <row r="13" spans="1:13" ht="32.25" customHeight="1" x14ac:dyDescent="0.35">
      <c r="A13" s="16" t="s">
        <v>448</v>
      </c>
      <c r="B13" s="37">
        <v>2</v>
      </c>
      <c r="C13" s="174">
        <v>2</v>
      </c>
      <c r="D13" s="135">
        <v>21.23</v>
      </c>
      <c r="E13" s="136">
        <v>0.76800000000000002</v>
      </c>
      <c r="F13" s="137">
        <v>0.23799999999999999</v>
      </c>
      <c r="G13" s="43"/>
      <c r="H13" s="43"/>
      <c r="I13" s="43"/>
      <c r="J13" s="39"/>
      <c r="K13" s="40"/>
      <c r="L13" s="188"/>
    </row>
    <row r="14" spans="1:13" ht="42" customHeight="1" x14ac:dyDescent="0.35">
      <c r="A14" s="16" t="s">
        <v>578</v>
      </c>
      <c r="B14" s="41">
        <v>199</v>
      </c>
      <c r="C14" s="162" t="s">
        <v>712</v>
      </c>
      <c r="D14" s="135">
        <v>15.864000000000001</v>
      </c>
      <c r="E14" s="136">
        <v>0.57399999999999995</v>
      </c>
      <c r="F14" s="137">
        <v>0.17799999999999999</v>
      </c>
      <c r="G14" s="42">
        <v>9.3000000000000007</v>
      </c>
      <c r="H14" s="43"/>
      <c r="I14" s="43"/>
      <c r="J14" s="39"/>
      <c r="K14" s="40"/>
      <c r="L14" s="188"/>
    </row>
    <row r="15" spans="1:13" ht="42" customHeight="1" x14ac:dyDescent="0.35">
      <c r="A15" s="16" t="s">
        <v>579</v>
      </c>
      <c r="B15" s="41" t="s">
        <v>713</v>
      </c>
      <c r="C15" s="162" t="s">
        <v>712</v>
      </c>
      <c r="D15" s="135">
        <v>15.864000000000001</v>
      </c>
      <c r="E15" s="136">
        <v>0.57399999999999995</v>
      </c>
      <c r="F15" s="137">
        <v>0.17799999999999999</v>
      </c>
      <c r="G15" s="42">
        <v>10.039999999999999</v>
      </c>
      <c r="H15" s="43"/>
      <c r="I15" s="43"/>
      <c r="J15" s="39"/>
      <c r="K15" s="40"/>
      <c r="L15" s="188"/>
    </row>
    <row r="16" spans="1:13" ht="42" customHeight="1" x14ac:dyDescent="0.35">
      <c r="A16" s="16" t="s">
        <v>580</v>
      </c>
      <c r="B16" s="41" t="s">
        <v>714</v>
      </c>
      <c r="C16" s="162" t="s">
        <v>712</v>
      </c>
      <c r="D16" s="135">
        <v>15.864000000000001</v>
      </c>
      <c r="E16" s="136">
        <v>0.57399999999999995</v>
      </c>
      <c r="F16" s="137">
        <v>0.17799999999999999</v>
      </c>
      <c r="G16" s="42">
        <v>11.5</v>
      </c>
      <c r="H16" s="43"/>
      <c r="I16" s="43"/>
      <c r="J16" s="39"/>
      <c r="K16" s="40"/>
      <c r="L16" s="188"/>
    </row>
    <row r="17" spans="1:12" ht="42" customHeight="1" x14ac:dyDescent="0.35">
      <c r="A17" s="16" t="s">
        <v>581</v>
      </c>
      <c r="B17" s="41" t="s">
        <v>715</v>
      </c>
      <c r="C17" s="162" t="s">
        <v>712</v>
      </c>
      <c r="D17" s="135">
        <v>15.864000000000001</v>
      </c>
      <c r="E17" s="136">
        <v>0.57399999999999995</v>
      </c>
      <c r="F17" s="137">
        <v>0.17799999999999999</v>
      </c>
      <c r="G17" s="42">
        <v>13.91</v>
      </c>
      <c r="H17" s="43"/>
      <c r="I17" s="43"/>
      <c r="J17" s="39"/>
      <c r="K17" s="40"/>
      <c r="L17" s="188"/>
    </row>
    <row r="18" spans="1:12" ht="42" customHeight="1" x14ac:dyDescent="0.35">
      <c r="A18" s="16" t="s">
        <v>582</v>
      </c>
      <c r="B18" s="41" t="s">
        <v>716</v>
      </c>
      <c r="C18" s="162" t="s">
        <v>712</v>
      </c>
      <c r="D18" s="135">
        <v>15.864000000000001</v>
      </c>
      <c r="E18" s="136">
        <v>0.57399999999999995</v>
      </c>
      <c r="F18" s="137">
        <v>0.17799999999999999</v>
      </c>
      <c r="G18" s="42">
        <v>22.2</v>
      </c>
      <c r="H18" s="43"/>
      <c r="I18" s="43"/>
      <c r="J18" s="39"/>
      <c r="K18" s="40"/>
      <c r="L18" s="188"/>
    </row>
    <row r="19" spans="1:12" ht="32.25" customHeight="1" x14ac:dyDescent="0.35">
      <c r="A19" s="16" t="s">
        <v>129</v>
      </c>
      <c r="B19" s="37">
        <v>200</v>
      </c>
      <c r="C19" s="174">
        <v>4</v>
      </c>
      <c r="D19" s="135">
        <v>15.864000000000001</v>
      </c>
      <c r="E19" s="136">
        <v>0.57399999999999995</v>
      </c>
      <c r="F19" s="137">
        <v>0.17799999999999999</v>
      </c>
      <c r="G19" s="43"/>
      <c r="H19" s="43"/>
      <c r="I19" s="43"/>
      <c r="J19" s="39"/>
      <c r="K19" s="40"/>
      <c r="L19" s="188"/>
    </row>
    <row r="20" spans="1:12" ht="32.25" customHeight="1" x14ac:dyDescent="0.35">
      <c r="A20" s="16" t="s">
        <v>449</v>
      </c>
      <c r="B20" s="40">
        <v>70</v>
      </c>
      <c r="C20" s="174">
        <v>0</v>
      </c>
      <c r="D20" s="135">
        <v>11.311</v>
      </c>
      <c r="E20" s="136">
        <v>0.38900000000000001</v>
      </c>
      <c r="F20" s="137">
        <v>0.121</v>
      </c>
      <c r="G20" s="42">
        <v>20.81</v>
      </c>
      <c r="H20" s="42">
        <v>8.57</v>
      </c>
      <c r="I20" s="134">
        <v>8.57</v>
      </c>
      <c r="J20" s="38">
        <v>0.36099999999999999</v>
      </c>
      <c r="K20" s="40"/>
      <c r="L20" s="188"/>
    </row>
    <row r="21" spans="1:12" ht="32.25" customHeight="1" x14ac:dyDescent="0.35">
      <c r="A21" s="16" t="s">
        <v>450</v>
      </c>
      <c r="B21" s="40">
        <v>71</v>
      </c>
      <c r="C21" s="174">
        <v>0</v>
      </c>
      <c r="D21" s="135">
        <v>11.311</v>
      </c>
      <c r="E21" s="136">
        <v>0.38900000000000001</v>
      </c>
      <c r="F21" s="137">
        <v>0.121</v>
      </c>
      <c r="G21" s="42">
        <v>46.56</v>
      </c>
      <c r="H21" s="42">
        <v>8.57</v>
      </c>
      <c r="I21" s="134">
        <v>8.57</v>
      </c>
      <c r="J21" s="38">
        <v>0.36099999999999999</v>
      </c>
      <c r="K21" s="40"/>
      <c r="L21" s="188"/>
    </row>
    <row r="22" spans="1:12" ht="32.25" customHeight="1" x14ac:dyDescent="0.35">
      <c r="A22" s="16" t="s">
        <v>451</v>
      </c>
      <c r="B22" s="40">
        <v>72</v>
      </c>
      <c r="C22" s="174">
        <v>0</v>
      </c>
      <c r="D22" s="135">
        <v>11.311</v>
      </c>
      <c r="E22" s="136">
        <v>0.38900000000000001</v>
      </c>
      <c r="F22" s="137">
        <v>0.121</v>
      </c>
      <c r="G22" s="42">
        <v>65.81</v>
      </c>
      <c r="H22" s="42">
        <v>8.57</v>
      </c>
      <c r="I22" s="134">
        <v>8.57</v>
      </c>
      <c r="J22" s="38">
        <v>0.36099999999999999</v>
      </c>
      <c r="K22" s="40"/>
      <c r="L22" s="188"/>
    </row>
    <row r="23" spans="1:12" ht="32.25" customHeight="1" x14ac:dyDescent="0.35">
      <c r="A23" s="16" t="s">
        <v>452</v>
      </c>
      <c r="B23" s="40">
        <v>73</v>
      </c>
      <c r="C23" s="174">
        <v>0</v>
      </c>
      <c r="D23" s="135">
        <v>11.311</v>
      </c>
      <c r="E23" s="136">
        <v>0.38900000000000001</v>
      </c>
      <c r="F23" s="137">
        <v>0.121</v>
      </c>
      <c r="G23" s="42">
        <v>89.87</v>
      </c>
      <c r="H23" s="42">
        <v>8.57</v>
      </c>
      <c r="I23" s="134">
        <v>8.57</v>
      </c>
      <c r="J23" s="38">
        <v>0.36099999999999999</v>
      </c>
      <c r="K23" s="40"/>
      <c r="L23" s="188"/>
    </row>
    <row r="24" spans="1:12" ht="32.25" customHeight="1" x14ac:dyDescent="0.35">
      <c r="A24" s="16" t="s">
        <v>453</v>
      </c>
      <c r="B24" s="40">
        <v>74</v>
      </c>
      <c r="C24" s="174">
        <v>0</v>
      </c>
      <c r="D24" s="135">
        <v>11.311</v>
      </c>
      <c r="E24" s="136">
        <v>0.38900000000000001</v>
      </c>
      <c r="F24" s="137">
        <v>0.121</v>
      </c>
      <c r="G24" s="42">
        <v>182.28</v>
      </c>
      <c r="H24" s="42">
        <v>8.57</v>
      </c>
      <c r="I24" s="134">
        <v>8.57</v>
      </c>
      <c r="J24" s="38">
        <v>0.36099999999999999</v>
      </c>
      <c r="K24" s="40"/>
      <c r="L24" s="188"/>
    </row>
    <row r="25" spans="1:12" ht="32.25" customHeight="1" x14ac:dyDescent="0.35">
      <c r="A25" s="16" t="s">
        <v>454</v>
      </c>
      <c r="B25" s="40">
        <v>80</v>
      </c>
      <c r="C25" s="174">
        <v>0</v>
      </c>
      <c r="D25" s="135">
        <v>6.923</v>
      </c>
      <c r="E25" s="136">
        <v>0.215</v>
      </c>
      <c r="F25" s="137">
        <v>6.8000000000000005E-2</v>
      </c>
      <c r="G25" s="42">
        <v>17.37</v>
      </c>
      <c r="H25" s="42">
        <v>7.39</v>
      </c>
      <c r="I25" s="134">
        <v>7.39</v>
      </c>
      <c r="J25" s="38">
        <v>0.214</v>
      </c>
      <c r="K25" s="40"/>
      <c r="L25" s="188"/>
    </row>
    <row r="26" spans="1:12" ht="32.25" customHeight="1" x14ac:dyDescent="0.35">
      <c r="A26" s="16" t="s">
        <v>455</v>
      </c>
      <c r="B26" s="40">
        <v>81</v>
      </c>
      <c r="C26" s="174">
        <v>0</v>
      </c>
      <c r="D26" s="135">
        <v>6.923</v>
      </c>
      <c r="E26" s="136">
        <v>0.215</v>
      </c>
      <c r="F26" s="137">
        <v>6.8000000000000005E-2</v>
      </c>
      <c r="G26" s="42">
        <v>43.13</v>
      </c>
      <c r="H26" s="42">
        <v>7.39</v>
      </c>
      <c r="I26" s="134">
        <v>7.39</v>
      </c>
      <c r="J26" s="38">
        <v>0.214</v>
      </c>
      <c r="K26" s="40"/>
      <c r="L26" s="188"/>
    </row>
    <row r="27" spans="1:12" ht="32.25" customHeight="1" x14ac:dyDescent="0.35">
      <c r="A27" s="16" t="s">
        <v>456</v>
      </c>
      <c r="B27" s="40">
        <v>82</v>
      </c>
      <c r="C27" s="174">
        <v>0</v>
      </c>
      <c r="D27" s="135">
        <v>6.923</v>
      </c>
      <c r="E27" s="136">
        <v>0.215</v>
      </c>
      <c r="F27" s="137">
        <v>6.8000000000000005E-2</v>
      </c>
      <c r="G27" s="42">
        <v>62.38</v>
      </c>
      <c r="H27" s="42">
        <v>7.39</v>
      </c>
      <c r="I27" s="134">
        <v>7.39</v>
      </c>
      <c r="J27" s="38">
        <v>0.214</v>
      </c>
      <c r="K27" s="40"/>
      <c r="L27" s="188"/>
    </row>
    <row r="28" spans="1:12" ht="32.25" customHeight="1" x14ac:dyDescent="0.35">
      <c r="A28" s="16" t="s">
        <v>457</v>
      </c>
      <c r="B28" s="40">
        <v>83</v>
      </c>
      <c r="C28" s="174">
        <v>0</v>
      </c>
      <c r="D28" s="135">
        <v>6.923</v>
      </c>
      <c r="E28" s="136">
        <v>0.215</v>
      </c>
      <c r="F28" s="137">
        <v>6.8000000000000005E-2</v>
      </c>
      <c r="G28" s="42">
        <v>86.44</v>
      </c>
      <c r="H28" s="42">
        <v>7.39</v>
      </c>
      <c r="I28" s="134">
        <v>7.39</v>
      </c>
      <c r="J28" s="38">
        <v>0.214</v>
      </c>
      <c r="K28" s="40"/>
      <c r="L28" s="188"/>
    </row>
    <row r="29" spans="1:12" ht="32.25" customHeight="1" x14ac:dyDescent="0.35">
      <c r="A29" s="16" t="s">
        <v>458</v>
      </c>
      <c r="B29" s="40">
        <v>84</v>
      </c>
      <c r="C29" s="174">
        <v>0</v>
      </c>
      <c r="D29" s="135">
        <v>6.923</v>
      </c>
      <c r="E29" s="136">
        <v>0.215</v>
      </c>
      <c r="F29" s="137">
        <v>6.8000000000000005E-2</v>
      </c>
      <c r="G29" s="42">
        <v>178.84</v>
      </c>
      <c r="H29" s="42">
        <v>7.39</v>
      </c>
      <c r="I29" s="134">
        <v>7.39</v>
      </c>
      <c r="J29" s="38">
        <v>0.214</v>
      </c>
      <c r="K29" s="40"/>
      <c r="L29" s="188"/>
    </row>
    <row r="30" spans="1:12" ht="32.25" customHeight="1" x14ac:dyDescent="0.35">
      <c r="A30" s="16" t="s">
        <v>459</v>
      </c>
      <c r="B30" s="40">
        <v>90</v>
      </c>
      <c r="C30" s="174">
        <v>0</v>
      </c>
      <c r="D30" s="135">
        <v>6.01</v>
      </c>
      <c r="E30" s="136">
        <v>0.17699999999999999</v>
      </c>
      <c r="F30" s="137">
        <v>5.6000000000000001E-2</v>
      </c>
      <c r="G30" s="42">
        <v>175.83</v>
      </c>
      <c r="H30" s="42">
        <v>6.66</v>
      </c>
      <c r="I30" s="134">
        <v>6.66</v>
      </c>
      <c r="J30" s="38">
        <v>0.186</v>
      </c>
      <c r="K30" s="40"/>
      <c r="L30" s="188"/>
    </row>
    <row r="31" spans="1:12" ht="32.25" customHeight="1" x14ac:dyDescent="0.35">
      <c r="A31" s="16" t="s">
        <v>460</v>
      </c>
      <c r="B31" s="40">
        <v>91</v>
      </c>
      <c r="C31" s="174">
        <v>0</v>
      </c>
      <c r="D31" s="135">
        <v>6.01</v>
      </c>
      <c r="E31" s="136">
        <v>0.17699999999999999</v>
      </c>
      <c r="F31" s="137">
        <v>5.6000000000000001E-2</v>
      </c>
      <c r="G31" s="42">
        <v>360.69</v>
      </c>
      <c r="H31" s="42">
        <v>6.66</v>
      </c>
      <c r="I31" s="134">
        <v>6.66</v>
      </c>
      <c r="J31" s="38">
        <v>0.186</v>
      </c>
      <c r="K31" s="40"/>
      <c r="L31" s="188"/>
    </row>
    <row r="32" spans="1:12" ht="32.25" customHeight="1" x14ac:dyDescent="0.35">
      <c r="A32" s="16" t="s">
        <v>461</v>
      </c>
      <c r="B32" s="40">
        <v>92</v>
      </c>
      <c r="C32" s="174">
        <v>0</v>
      </c>
      <c r="D32" s="135">
        <v>6.01</v>
      </c>
      <c r="E32" s="136">
        <v>0.17699999999999999</v>
      </c>
      <c r="F32" s="137">
        <v>5.6000000000000001E-2</v>
      </c>
      <c r="G32" s="42">
        <v>636.85</v>
      </c>
      <c r="H32" s="42">
        <v>6.66</v>
      </c>
      <c r="I32" s="134">
        <v>6.66</v>
      </c>
      <c r="J32" s="38">
        <v>0.186</v>
      </c>
      <c r="K32" s="40"/>
      <c r="L32" s="188"/>
    </row>
    <row r="33" spans="1:12" ht="32.25" customHeight="1" x14ac:dyDescent="0.35">
      <c r="A33" s="16" t="s">
        <v>462</v>
      </c>
      <c r="B33" s="40">
        <v>93</v>
      </c>
      <c r="C33" s="174">
        <v>0</v>
      </c>
      <c r="D33" s="135">
        <v>6.01</v>
      </c>
      <c r="E33" s="136">
        <v>0.17699999999999999</v>
      </c>
      <c r="F33" s="137">
        <v>5.6000000000000001E-2</v>
      </c>
      <c r="G33" s="42">
        <v>832.37</v>
      </c>
      <c r="H33" s="42">
        <v>6.66</v>
      </c>
      <c r="I33" s="134">
        <v>6.66</v>
      </c>
      <c r="J33" s="38">
        <v>0.186</v>
      </c>
      <c r="K33" s="40"/>
      <c r="L33" s="188"/>
    </row>
    <row r="34" spans="1:12" ht="32.25" customHeight="1" x14ac:dyDescent="0.35">
      <c r="A34" s="16" t="s">
        <v>463</v>
      </c>
      <c r="B34" s="40">
        <v>94</v>
      </c>
      <c r="C34" s="174">
        <v>0</v>
      </c>
      <c r="D34" s="135">
        <v>6.01</v>
      </c>
      <c r="E34" s="136">
        <v>0.17699999999999999</v>
      </c>
      <c r="F34" s="137">
        <v>5.6000000000000001E-2</v>
      </c>
      <c r="G34" s="42">
        <v>2071.8000000000002</v>
      </c>
      <c r="H34" s="42">
        <v>6.66</v>
      </c>
      <c r="I34" s="134">
        <v>6.66</v>
      </c>
      <c r="J34" s="38">
        <v>0.186</v>
      </c>
      <c r="K34" s="40"/>
      <c r="L34" s="188"/>
    </row>
    <row r="35" spans="1:12" ht="83.25" customHeight="1" x14ac:dyDescent="0.35">
      <c r="A35" s="16" t="s">
        <v>130</v>
      </c>
      <c r="B35" s="40" t="s">
        <v>717</v>
      </c>
      <c r="C35" s="174" t="s">
        <v>718</v>
      </c>
      <c r="D35" s="138">
        <v>57.600999999999999</v>
      </c>
      <c r="E35" s="139">
        <v>2.5659999999999998</v>
      </c>
      <c r="F35" s="137">
        <v>2.0409999999999999</v>
      </c>
      <c r="G35" s="43"/>
      <c r="H35" s="43"/>
      <c r="I35" s="43"/>
      <c r="J35" s="39"/>
      <c r="K35" s="40" t="s">
        <v>720</v>
      </c>
      <c r="L35" s="188"/>
    </row>
    <row r="36" spans="1:12" ht="27.75" customHeight="1" x14ac:dyDescent="0.35">
      <c r="A36" s="16" t="s">
        <v>131</v>
      </c>
      <c r="B36" s="41">
        <v>932</v>
      </c>
      <c r="C36" s="173" t="s">
        <v>1049</v>
      </c>
      <c r="D36" s="135">
        <v>-12.382</v>
      </c>
      <c r="E36" s="136">
        <v>-0.44800000000000001</v>
      </c>
      <c r="F36" s="137">
        <v>-0.13900000000000001</v>
      </c>
      <c r="G36" s="42">
        <v>0</v>
      </c>
      <c r="H36" s="43"/>
      <c r="I36" s="43"/>
      <c r="J36" s="39"/>
      <c r="K36" s="40"/>
      <c r="L36" s="188"/>
    </row>
    <row r="37" spans="1:12" ht="27.75" customHeight="1" x14ac:dyDescent="0.35">
      <c r="A37" s="16" t="s">
        <v>132</v>
      </c>
      <c r="B37" s="40"/>
      <c r="C37" s="174">
        <v>0</v>
      </c>
      <c r="D37" s="135">
        <v>-10.023999999999999</v>
      </c>
      <c r="E37" s="136">
        <v>-0.35</v>
      </c>
      <c r="F37" s="137">
        <v>-0.109</v>
      </c>
      <c r="G37" s="42">
        <v>0</v>
      </c>
      <c r="H37" s="43"/>
      <c r="I37" s="43"/>
      <c r="J37" s="39"/>
      <c r="K37" s="40"/>
      <c r="L37" s="188"/>
    </row>
    <row r="38" spans="1:12" ht="27.75" customHeight="1" x14ac:dyDescent="0.35">
      <c r="A38" s="16" t="s">
        <v>133</v>
      </c>
      <c r="B38" s="40">
        <v>980</v>
      </c>
      <c r="C38" s="174">
        <v>0</v>
      </c>
      <c r="D38" s="135">
        <v>-12.382</v>
      </c>
      <c r="E38" s="136">
        <v>-0.44800000000000001</v>
      </c>
      <c r="F38" s="137">
        <v>-0.13900000000000001</v>
      </c>
      <c r="G38" s="42">
        <v>0</v>
      </c>
      <c r="H38" s="43"/>
      <c r="I38" s="43"/>
      <c r="J38" s="38">
        <v>0.41199999999999998</v>
      </c>
      <c r="K38" s="40"/>
      <c r="L38" s="188"/>
    </row>
    <row r="39" spans="1:12" ht="27.75" customHeight="1" x14ac:dyDescent="0.35">
      <c r="A39" s="16" t="s">
        <v>134</v>
      </c>
      <c r="B39" s="40">
        <v>981</v>
      </c>
      <c r="C39" s="174">
        <v>0</v>
      </c>
      <c r="D39" s="135">
        <v>-12.382</v>
      </c>
      <c r="E39" s="136">
        <v>-0.44800000000000001</v>
      </c>
      <c r="F39" s="137">
        <v>-0.13900000000000001</v>
      </c>
      <c r="G39" s="42">
        <v>0</v>
      </c>
      <c r="H39" s="43"/>
      <c r="I39" s="43"/>
      <c r="J39" s="39"/>
      <c r="K39" s="40"/>
      <c r="L39" s="188"/>
    </row>
    <row r="40" spans="1:12" ht="27.75" customHeight="1" x14ac:dyDescent="0.35">
      <c r="A40" s="16" t="s">
        <v>135</v>
      </c>
      <c r="B40" s="40">
        <v>984</v>
      </c>
      <c r="C40" s="174">
        <v>0</v>
      </c>
      <c r="D40" s="135">
        <v>-10.023999999999999</v>
      </c>
      <c r="E40" s="136">
        <v>-0.35</v>
      </c>
      <c r="F40" s="137">
        <v>-0.109</v>
      </c>
      <c r="G40" s="42">
        <v>0</v>
      </c>
      <c r="H40" s="43"/>
      <c r="I40" s="43"/>
      <c r="J40" s="38">
        <v>0.312</v>
      </c>
      <c r="K40" s="40"/>
      <c r="L40" s="188"/>
    </row>
    <row r="41" spans="1:12" ht="27.75" customHeight="1" x14ac:dyDescent="0.35">
      <c r="A41" s="16" t="s">
        <v>136</v>
      </c>
      <c r="B41" s="40">
        <v>985</v>
      </c>
      <c r="C41" s="174">
        <v>0</v>
      </c>
      <c r="D41" s="135">
        <v>-10.023999999999999</v>
      </c>
      <c r="E41" s="136">
        <v>-0.35</v>
      </c>
      <c r="F41" s="137">
        <v>-0.109</v>
      </c>
      <c r="G41" s="42">
        <v>0</v>
      </c>
      <c r="H41" s="43"/>
      <c r="I41" s="43"/>
      <c r="J41" s="39"/>
      <c r="K41" s="40"/>
      <c r="L41" s="188"/>
    </row>
    <row r="42" spans="1:12" ht="27.75" customHeight="1" x14ac:dyDescent="0.35">
      <c r="A42" s="16" t="s">
        <v>137</v>
      </c>
      <c r="B42" s="40">
        <v>988</v>
      </c>
      <c r="C42" s="174">
        <v>0</v>
      </c>
      <c r="D42" s="135">
        <v>-7.0069999999999997</v>
      </c>
      <c r="E42" s="136">
        <v>-0.218</v>
      </c>
      <c r="F42" s="137">
        <v>-6.9000000000000006E-2</v>
      </c>
      <c r="G42" s="42">
        <v>12.47</v>
      </c>
      <c r="H42" s="43"/>
      <c r="I42" s="43"/>
      <c r="J42" s="38">
        <v>0.27100000000000002</v>
      </c>
      <c r="K42" s="40"/>
      <c r="L42" s="188"/>
    </row>
    <row r="43" spans="1:12" ht="27.75" customHeight="1" x14ac:dyDescent="0.35">
      <c r="A43" s="16" t="s">
        <v>138</v>
      </c>
      <c r="B43" s="40">
        <v>989</v>
      </c>
      <c r="C43" s="174">
        <v>0</v>
      </c>
      <c r="D43" s="135">
        <v>-7.0069999999999997</v>
      </c>
      <c r="E43" s="136">
        <v>-0.218</v>
      </c>
      <c r="F43" s="137">
        <v>-6.9000000000000006E-2</v>
      </c>
      <c r="G43" s="42">
        <v>12.47</v>
      </c>
      <c r="H43" s="43"/>
      <c r="I43" s="43"/>
      <c r="J43" s="39"/>
      <c r="K43" s="40"/>
      <c r="L43" s="188"/>
    </row>
    <row r="44" spans="1:12" ht="27.75" customHeight="1" x14ac:dyDescent="0.35">
      <c r="C44" s="3"/>
    </row>
  </sheetData>
  <customSheetViews>
    <customSheetView guid="{5032A364-B81A-48DA-88DA-AB3B86B47EE9}" scale="80" fitToPage="1">
      <pageMargins left="0.39370078740157483" right="0.35433070866141736" top="0.86614173228346458" bottom="0.74803149606299213" header="0.43307086614173229" footer="0.51181102362204722"/>
      <pageSetup paperSize="9" scale="48" fitToHeight="0" orientation="portrait" r:id="rId1"/>
      <headerFooter scaleWithDoc="0">
        <oddHeader>&amp;L&amp;"Arial,Bold"
Annex 1&amp;"Arial,Regular" - Schedule of Charges for use of the Distribution System by LV and HV Designated Properties</oddHeader>
        <oddFooter>&amp;C&amp;P of &amp;N</oddFooter>
      </headerFooter>
    </customSheetView>
  </customSheetViews>
  <mergeCells count="13">
    <mergeCell ref="C7:D7"/>
    <mergeCell ref="B8:E8"/>
    <mergeCell ref="G9:H9"/>
    <mergeCell ref="I9:K9"/>
    <mergeCell ref="G7:H7"/>
    <mergeCell ref="G8:H8"/>
    <mergeCell ref="A2:K2"/>
    <mergeCell ref="C5:D5"/>
    <mergeCell ref="C6:D6"/>
    <mergeCell ref="G5:H5"/>
    <mergeCell ref="G6:H6"/>
    <mergeCell ref="G4:K4"/>
    <mergeCell ref="A4:E4"/>
  </mergeCells>
  <phoneticPr fontId="5" type="noConversion"/>
  <hyperlinks>
    <hyperlink ref="A1" location="Overview!A1" display="Back to Overview" xr:uid="{00000000-0004-0000-0100-000000000000}"/>
  </hyperlinks>
  <pageMargins left="0.39370078740157483" right="0.35433070866141736" top="0.86614173228346458" bottom="0.74803149606299213" header="0.43307086614173229" footer="0.51181102362204722"/>
  <pageSetup paperSize="9" scale="45" fitToHeight="0" orientation="portrait" r:id="rId2"/>
  <headerFooter scaleWithDoc="0">
    <oddHeader>&amp;L&amp;"Arial,Bold"
&amp;"Arial,Regular"Annex 1 - Schedule of Charges for use of the Distribution System by LV and HV Designated Properties</oddHeader>
    <oddFooter>&amp;C&amp;P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P114"/>
  <sheetViews>
    <sheetView zoomScale="85" zoomScaleNormal="85" zoomScaleSheetLayoutView="100" workbookViewId="0"/>
  </sheetViews>
  <sheetFormatPr defaultColWidth="9.1328125" defaultRowHeight="12.75" x14ac:dyDescent="0.35"/>
  <cols>
    <col min="1" max="1" width="14.73046875" style="50" customWidth="1"/>
    <col min="2" max="2" width="7.86328125" style="50" customWidth="1"/>
    <col min="3" max="3" width="14.73046875" style="50" customWidth="1"/>
    <col min="4" max="4" width="14.73046875" style="58" customWidth="1"/>
    <col min="5" max="5" width="7.86328125" style="58" customWidth="1"/>
    <col min="6" max="6" width="14.73046875" style="58" customWidth="1"/>
    <col min="7" max="7" width="30.73046875" style="58" customWidth="1"/>
    <col min="8" max="8" width="14.73046875" style="58" customWidth="1"/>
    <col min="9" max="9" width="14.73046875" style="59" customWidth="1"/>
    <col min="10" max="11" width="14.73046875" style="60" customWidth="1"/>
    <col min="12" max="16" width="14.73046875" style="50" customWidth="1"/>
    <col min="17" max="16384" width="9.1328125" style="50"/>
  </cols>
  <sheetData>
    <row r="1" spans="1:16" ht="32.25" customHeight="1" x14ac:dyDescent="0.35">
      <c r="A1" s="48" t="s">
        <v>16</v>
      </c>
      <c r="B1" s="48"/>
      <c r="C1" s="256" t="s">
        <v>689</v>
      </c>
      <c r="D1" s="256"/>
      <c r="E1" s="256"/>
      <c r="F1" s="256" t="s">
        <v>689</v>
      </c>
      <c r="G1" s="256"/>
      <c r="H1" s="256"/>
      <c r="I1" s="256"/>
      <c r="J1" s="256"/>
      <c r="K1" s="256"/>
      <c r="L1" s="256"/>
      <c r="M1" s="256"/>
      <c r="N1" s="256"/>
      <c r="O1" s="256"/>
      <c r="P1" s="256"/>
    </row>
    <row r="2" spans="1:16" s="51" customFormat="1" ht="30" customHeight="1" x14ac:dyDescent="0.35">
      <c r="A2" s="257" t="str">
        <f>Overview!B4&amp; " - Effective from "&amp;Overview!D4&amp;" - "&amp;Overview!E4&amp;" Designated EHV charges"</f>
        <v>South Eastern Power Networks - Effective from 1 April 2026 - Final Designated EHV charges</v>
      </c>
      <c r="B2" s="258"/>
      <c r="C2" s="258"/>
      <c r="D2" s="258"/>
      <c r="E2" s="258"/>
      <c r="F2" s="258"/>
      <c r="G2" s="258"/>
      <c r="H2" s="258"/>
      <c r="I2" s="258"/>
      <c r="J2" s="258"/>
      <c r="K2" s="258"/>
      <c r="L2" s="258"/>
      <c r="M2" s="258"/>
      <c r="N2" s="258"/>
      <c r="O2" s="258"/>
      <c r="P2" s="259"/>
    </row>
    <row r="3" spans="1:16" s="82" customFormat="1" ht="12.75" customHeight="1" x14ac:dyDescent="0.35">
      <c r="A3" s="81"/>
      <c r="B3" s="81"/>
      <c r="C3" s="81"/>
      <c r="D3" s="81"/>
      <c r="E3" s="81"/>
      <c r="F3" s="81"/>
      <c r="G3" s="81"/>
      <c r="H3" s="81"/>
      <c r="I3" s="81"/>
      <c r="J3" s="81"/>
      <c r="K3" s="81"/>
      <c r="L3" s="81"/>
      <c r="M3" s="81"/>
      <c r="N3" s="81"/>
      <c r="O3" s="81"/>
    </row>
    <row r="4" spans="1:16" s="82" customFormat="1" ht="25.5" customHeight="1" x14ac:dyDescent="0.35">
      <c r="A4" s="243" t="s">
        <v>59</v>
      </c>
      <c r="B4" s="243"/>
      <c r="C4" s="243"/>
      <c r="D4" s="243"/>
      <c r="E4" s="243"/>
      <c r="F4" s="243"/>
      <c r="G4" s="81"/>
      <c r="H4" s="81"/>
      <c r="I4" s="81"/>
      <c r="J4" s="81"/>
      <c r="K4" s="81"/>
      <c r="L4" s="81"/>
      <c r="M4" s="81"/>
      <c r="N4" s="81"/>
      <c r="O4" s="81"/>
    </row>
    <row r="5" spans="1:16" s="82" customFormat="1" ht="25.5" customHeight="1" x14ac:dyDescent="0.35">
      <c r="A5" s="260" t="s">
        <v>9</v>
      </c>
      <c r="B5" s="261"/>
      <c r="C5" s="261"/>
      <c r="D5" s="262" t="s">
        <v>56</v>
      </c>
      <c r="E5" s="262"/>
      <c r="F5" s="262"/>
      <c r="G5" s="81"/>
      <c r="H5" s="81"/>
      <c r="I5" s="81"/>
      <c r="J5" s="81"/>
      <c r="K5" s="81"/>
      <c r="L5" s="81"/>
      <c r="M5" s="81"/>
      <c r="N5" s="81"/>
      <c r="O5" s="81"/>
    </row>
    <row r="6" spans="1:16" s="82" customFormat="1" ht="48" customHeight="1" x14ac:dyDescent="0.35">
      <c r="A6" s="249" t="s">
        <v>55</v>
      </c>
      <c r="B6" s="249"/>
      <c r="C6" s="249"/>
      <c r="D6" s="263" t="s">
        <v>666</v>
      </c>
      <c r="E6" s="264"/>
      <c r="F6" s="265"/>
      <c r="G6" s="81"/>
      <c r="H6" s="81"/>
      <c r="I6" s="81"/>
      <c r="J6" s="81"/>
      <c r="K6" s="81"/>
      <c r="L6" s="81"/>
      <c r="M6" s="81"/>
      <c r="N6" s="81"/>
      <c r="O6" s="81"/>
    </row>
    <row r="7" spans="1:16" s="82" customFormat="1" ht="25.5" customHeight="1" x14ac:dyDescent="0.35">
      <c r="A7" s="249" t="s">
        <v>10</v>
      </c>
      <c r="B7" s="249"/>
      <c r="C7" s="249"/>
      <c r="D7" s="246" t="s">
        <v>11</v>
      </c>
      <c r="E7" s="246"/>
      <c r="F7" s="246"/>
      <c r="G7" s="81"/>
      <c r="H7" s="81"/>
      <c r="I7" s="81"/>
      <c r="J7" s="81"/>
      <c r="K7" s="81"/>
      <c r="L7" s="81"/>
      <c r="M7" s="81"/>
      <c r="N7" s="81"/>
      <c r="O7" s="81"/>
    </row>
    <row r="8" spans="1:16" s="82" customFormat="1" ht="17.649999999999999" x14ac:dyDescent="0.35">
      <c r="A8" s="81"/>
      <c r="B8" s="81"/>
      <c r="C8" s="81"/>
      <c r="D8" s="81"/>
      <c r="E8" s="81"/>
      <c r="F8" s="81"/>
      <c r="G8" s="81"/>
      <c r="H8" s="81"/>
      <c r="I8" s="81"/>
      <c r="J8" s="81"/>
      <c r="K8" s="81"/>
      <c r="L8" s="81"/>
      <c r="M8" s="81"/>
      <c r="N8" s="81"/>
      <c r="O8" s="81"/>
    </row>
    <row r="9" spans="1:16" ht="52.5" x14ac:dyDescent="0.35">
      <c r="A9" s="52" t="s">
        <v>46</v>
      </c>
      <c r="B9" s="53" t="s">
        <v>703</v>
      </c>
      <c r="C9" s="52" t="s">
        <v>31</v>
      </c>
      <c r="D9" s="52" t="s">
        <v>48</v>
      </c>
      <c r="E9" s="53" t="s">
        <v>703</v>
      </c>
      <c r="F9" s="52" t="s">
        <v>32</v>
      </c>
      <c r="G9" s="54" t="s">
        <v>26</v>
      </c>
      <c r="H9" s="54" t="s">
        <v>577</v>
      </c>
      <c r="I9" s="55" t="s">
        <v>109</v>
      </c>
      <c r="J9" s="54" t="s">
        <v>49</v>
      </c>
      <c r="K9" s="54" t="s">
        <v>107</v>
      </c>
      <c r="L9" s="131" t="s">
        <v>118</v>
      </c>
      <c r="M9" s="55" t="s">
        <v>110</v>
      </c>
      <c r="N9" s="54" t="s">
        <v>50</v>
      </c>
      <c r="O9" s="54" t="s">
        <v>108</v>
      </c>
      <c r="P9" s="131" t="s">
        <v>119</v>
      </c>
    </row>
    <row r="10" spans="1:16" ht="30" customHeight="1" x14ac:dyDescent="0.35">
      <c r="A10" s="44" t="s">
        <v>911</v>
      </c>
      <c r="B10" s="93">
        <v>834</v>
      </c>
      <c r="C10" s="56" t="s">
        <v>1027</v>
      </c>
      <c r="D10" s="45"/>
      <c r="E10" s="93"/>
      <c r="F10" s="56"/>
      <c r="G10" s="57" t="s">
        <v>911</v>
      </c>
      <c r="H10" s="195">
        <v>1</v>
      </c>
      <c r="I10" s="61">
        <v>3.0830000000000002</v>
      </c>
      <c r="J10" s="62">
        <v>2924.71</v>
      </c>
      <c r="K10" s="62">
        <v>3.76</v>
      </c>
      <c r="L10" s="62">
        <v>3.76</v>
      </c>
      <c r="M10" s="63"/>
      <c r="N10" s="64"/>
      <c r="O10" s="64"/>
      <c r="P10" s="64"/>
    </row>
    <row r="11" spans="1:16" ht="54.95" customHeight="1" x14ac:dyDescent="0.35">
      <c r="A11" s="44" t="s">
        <v>912</v>
      </c>
      <c r="B11" s="93">
        <v>889</v>
      </c>
      <c r="C11" s="56" t="s">
        <v>1028</v>
      </c>
      <c r="D11" s="45"/>
      <c r="E11" s="93"/>
      <c r="F11" s="56"/>
      <c r="G11" s="57" t="s">
        <v>912</v>
      </c>
      <c r="H11" s="195">
        <v>2</v>
      </c>
      <c r="I11" s="61">
        <v>0</v>
      </c>
      <c r="J11" s="62">
        <v>12381.31</v>
      </c>
      <c r="K11" s="62">
        <v>1.54</v>
      </c>
      <c r="L11" s="62">
        <v>1.54</v>
      </c>
      <c r="M11" s="63"/>
      <c r="N11" s="64"/>
      <c r="O11" s="64"/>
      <c r="P11" s="64"/>
    </row>
    <row r="12" spans="1:16" ht="30" customHeight="1" x14ac:dyDescent="0.35">
      <c r="A12" s="44" t="s">
        <v>913</v>
      </c>
      <c r="B12" s="93">
        <v>835</v>
      </c>
      <c r="C12" s="56" t="s">
        <v>1029</v>
      </c>
      <c r="D12" s="45"/>
      <c r="E12" s="93"/>
      <c r="F12" s="56"/>
      <c r="G12" s="57" t="s">
        <v>913</v>
      </c>
      <c r="H12" s="195">
        <v>1</v>
      </c>
      <c r="I12" s="61">
        <v>0</v>
      </c>
      <c r="J12" s="62">
        <v>2924.71</v>
      </c>
      <c r="K12" s="62">
        <v>1.27</v>
      </c>
      <c r="L12" s="62">
        <v>1.27</v>
      </c>
      <c r="M12" s="63"/>
      <c r="N12" s="64"/>
      <c r="O12" s="64"/>
      <c r="P12" s="64"/>
    </row>
    <row r="13" spans="1:16" ht="15" customHeight="1" x14ac:dyDescent="0.35">
      <c r="A13" s="44" t="s">
        <v>914</v>
      </c>
      <c r="B13" s="93"/>
      <c r="C13" s="56" t="s">
        <v>1026</v>
      </c>
      <c r="D13" s="45"/>
      <c r="E13" s="93"/>
      <c r="F13" s="56"/>
      <c r="G13" s="57" t="s">
        <v>914</v>
      </c>
      <c r="H13" s="195">
        <v>3</v>
      </c>
      <c r="I13" s="61">
        <v>6.0000000000000001E-3</v>
      </c>
      <c r="J13" s="62">
        <v>30489.61</v>
      </c>
      <c r="K13" s="62">
        <v>0.99</v>
      </c>
      <c r="L13" s="62">
        <v>0.99</v>
      </c>
      <c r="M13" s="63"/>
      <c r="N13" s="64"/>
      <c r="O13" s="64"/>
      <c r="P13" s="64"/>
    </row>
    <row r="14" spans="1:16" ht="30" customHeight="1" x14ac:dyDescent="0.35">
      <c r="A14" s="44" t="s">
        <v>915</v>
      </c>
      <c r="B14" s="93">
        <v>833</v>
      </c>
      <c r="C14" s="56" t="s">
        <v>1030</v>
      </c>
      <c r="D14" s="45"/>
      <c r="E14" s="93"/>
      <c r="F14" s="56"/>
      <c r="G14" s="57" t="s">
        <v>915</v>
      </c>
      <c r="H14" s="195">
        <v>4</v>
      </c>
      <c r="I14" s="61">
        <v>0</v>
      </c>
      <c r="J14" s="62">
        <v>64636.84</v>
      </c>
      <c r="K14" s="62">
        <v>2.19</v>
      </c>
      <c r="L14" s="62">
        <v>2.19</v>
      </c>
      <c r="M14" s="63"/>
      <c r="N14" s="64"/>
      <c r="O14" s="64"/>
      <c r="P14" s="64"/>
    </row>
    <row r="15" spans="1:16" ht="15" customHeight="1" x14ac:dyDescent="0.35">
      <c r="A15" s="44" t="s">
        <v>916</v>
      </c>
      <c r="B15" s="93">
        <v>874</v>
      </c>
      <c r="C15" s="56">
        <v>1900060219605</v>
      </c>
      <c r="D15" s="45"/>
      <c r="E15" s="93"/>
      <c r="F15" s="56"/>
      <c r="G15" s="57" t="s">
        <v>916</v>
      </c>
      <c r="H15" s="195">
        <v>4</v>
      </c>
      <c r="I15" s="61">
        <v>0</v>
      </c>
      <c r="J15" s="62">
        <v>171681.47</v>
      </c>
      <c r="K15" s="62">
        <v>0.74</v>
      </c>
      <c r="L15" s="62">
        <v>0.74</v>
      </c>
      <c r="M15" s="63"/>
      <c r="N15" s="64"/>
      <c r="O15" s="64"/>
      <c r="P15" s="64"/>
    </row>
    <row r="16" spans="1:16" ht="42" customHeight="1" x14ac:dyDescent="0.35">
      <c r="A16" s="221" t="s">
        <v>917</v>
      </c>
      <c r="B16" s="222">
        <v>869</v>
      </c>
      <c r="C16" s="223" t="s">
        <v>1031</v>
      </c>
      <c r="D16" s="224"/>
      <c r="E16" s="222"/>
      <c r="F16" s="223"/>
      <c r="G16" s="225" t="s">
        <v>917</v>
      </c>
      <c r="H16" s="226">
        <v>3</v>
      </c>
      <c r="I16" s="227">
        <v>1.5880000000000001</v>
      </c>
      <c r="J16" s="228">
        <v>34658.589999999997</v>
      </c>
      <c r="K16" s="228">
        <v>2.3199999999999998</v>
      </c>
      <c r="L16" s="228">
        <v>2.3199999999999998</v>
      </c>
      <c r="M16" s="229"/>
      <c r="N16" s="230"/>
      <c r="O16" s="230"/>
      <c r="P16" s="230"/>
    </row>
    <row r="17" spans="1:16" ht="30" customHeight="1" x14ac:dyDescent="0.35">
      <c r="A17" s="221" t="s">
        <v>918</v>
      </c>
      <c r="B17" s="222">
        <v>870</v>
      </c>
      <c r="C17" s="223" t="s">
        <v>1032</v>
      </c>
      <c r="D17" s="224"/>
      <c r="E17" s="222"/>
      <c r="F17" s="223"/>
      <c r="G17" s="225" t="s">
        <v>918</v>
      </c>
      <c r="H17" s="226">
        <v>3</v>
      </c>
      <c r="I17" s="227">
        <v>0.69899999999999995</v>
      </c>
      <c r="J17" s="228">
        <v>33778.28</v>
      </c>
      <c r="K17" s="228">
        <v>2.13</v>
      </c>
      <c r="L17" s="228">
        <v>2.13</v>
      </c>
      <c r="M17" s="229"/>
      <c r="N17" s="230"/>
      <c r="O17" s="230"/>
      <c r="P17" s="230"/>
    </row>
    <row r="18" spans="1:16" ht="15" customHeight="1" x14ac:dyDescent="0.35">
      <c r="A18" s="44" t="s">
        <v>919</v>
      </c>
      <c r="B18" s="93">
        <v>924</v>
      </c>
      <c r="C18" s="56">
        <v>1900092421070</v>
      </c>
      <c r="D18" s="45"/>
      <c r="E18" s="93"/>
      <c r="F18" s="56"/>
      <c r="G18" s="57" t="s">
        <v>919</v>
      </c>
      <c r="H18" s="195">
        <v>1</v>
      </c>
      <c r="I18" s="61">
        <v>0.89300000000000002</v>
      </c>
      <c r="J18" s="62">
        <v>2932.18</v>
      </c>
      <c r="K18" s="62">
        <v>1.58</v>
      </c>
      <c r="L18" s="62">
        <v>1.58</v>
      </c>
      <c r="M18" s="63"/>
      <c r="N18" s="64"/>
      <c r="O18" s="64"/>
      <c r="P18" s="64"/>
    </row>
    <row r="19" spans="1:16" ht="15" customHeight="1" x14ac:dyDescent="0.35">
      <c r="A19" s="44" t="s">
        <v>920</v>
      </c>
      <c r="B19" s="93"/>
      <c r="C19" s="56" t="s">
        <v>1016</v>
      </c>
      <c r="D19" s="45"/>
      <c r="E19" s="93"/>
      <c r="F19" s="56"/>
      <c r="G19" s="57" t="s">
        <v>920</v>
      </c>
      <c r="H19" s="195">
        <v>4</v>
      </c>
      <c r="I19" s="61">
        <v>0</v>
      </c>
      <c r="J19" s="62">
        <v>62199.79</v>
      </c>
      <c r="K19" s="62">
        <v>2.83</v>
      </c>
      <c r="L19" s="62">
        <v>2.83</v>
      </c>
      <c r="M19" s="63"/>
      <c r="N19" s="64"/>
      <c r="O19" s="64"/>
      <c r="P19" s="64"/>
    </row>
    <row r="20" spans="1:16" ht="15" customHeight="1" x14ac:dyDescent="0.35">
      <c r="A20" s="221" t="s">
        <v>921</v>
      </c>
      <c r="B20" s="222">
        <v>837</v>
      </c>
      <c r="C20" s="223">
        <v>1900047386380</v>
      </c>
      <c r="D20" s="224"/>
      <c r="E20" s="222"/>
      <c r="F20" s="223"/>
      <c r="G20" s="225" t="s">
        <v>921</v>
      </c>
      <c r="H20" s="226">
        <v>1</v>
      </c>
      <c r="I20" s="227">
        <v>2.548</v>
      </c>
      <c r="J20" s="228">
        <v>3318.47</v>
      </c>
      <c r="K20" s="228">
        <v>3.09</v>
      </c>
      <c r="L20" s="228">
        <v>3.09</v>
      </c>
      <c r="M20" s="229"/>
      <c r="N20" s="230"/>
      <c r="O20" s="230"/>
      <c r="P20" s="230"/>
    </row>
    <row r="21" spans="1:16" ht="15" customHeight="1" x14ac:dyDescent="0.35">
      <c r="A21" s="44" t="s">
        <v>922</v>
      </c>
      <c r="B21" s="93">
        <v>866</v>
      </c>
      <c r="C21" s="56">
        <v>1900060219145</v>
      </c>
      <c r="D21" s="45"/>
      <c r="E21" s="93"/>
      <c r="F21" s="56"/>
      <c r="G21" s="57" t="s">
        <v>922</v>
      </c>
      <c r="H21" s="195">
        <v>4</v>
      </c>
      <c r="I21" s="61">
        <v>0.71099999999999997</v>
      </c>
      <c r="J21" s="62">
        <v>63537.2</v>
      </c>
      <c r="K21" s="62">
        <v>2.2599999999999998</v>
      </c>
      <c r="L21" s="62">
        <v>2.2599999999999998</v>
      </c>
      <c r="M21" s="63"/>
      <c r="N21" s="64"/>
      <c r="O21" s="64"/>
      <c r="P21" s="64"/>
    </row>
    <row r="22" spans="1:16" ht="15" customHeight="1" x14ac:dyDescent="0.35">
      <c r="A22" s="44" t="s">
        <v>923</v>
      </c>
      <c r="B22" s="93">
        <v>851</v>
      </c>
      <c r="C22" s="56">
        <v>1900060219377</v>
      </c>
      <c r="D22" s="45"/>
      <c r="E22" s="93"/>
      <c r="F22" s="56"/>
      <c r="G22" s="57" t="s">
        <v>923</v>
      </c>
      <c r="H22" s="195">
        <v>3</v>
      </c>
      <c r="I22" s="61">
        <v>2.1179999999999999</v>
      </c>
      <c r="J22" s="62">
        <v>33778.28</v>
      </c>
      <c r="K22" s="62">
        <v>2.38</v>
      </c>
      <c r="L22" s="62">
        <v>2.38</v>
      </c>
      <c r="M22" s="63"/>
      <c r="N22" s="64"/>
      <c r="O22" s="64"/>
      <c r="P22" s="64"/>
    </row>
    <row r="23" spans="1:16" ht="15" customHeight="1" x14ac:dyDescent="0.35">
      <c r="A23" s="44" t="s">
        <v>924</v>
      </c>
      <c r="B23" s="93">
        <v>879</v>
      </c>
      <c r="C23" s="56">
        <v>1900070068129</v>
      </c>
      <c r="D23" s="45"/>
      <c r="E23" s="93"/>
      <c r="F23" s="56"/>
      <c r="G23" s="57" t="s">
        <v>924</v>
      </c>
      <c r="H23" s="195">
        <v>3</v>
      </c>
      <c r="I23" s="61">
        <v>0.30099999999999999</v>
      </c>
      <c r="J23" s="62">
        <v>33778.28</v>
      </c>
      <c r="K23" s="62">
        <v>3.36</v>
      </c>
      <c r="L23" s="62">
        <v>3.36</v>
      </c>
      <c r="M23" s="63"/>
      <c r="N23" s="64"/>
      <c r="O23" s="64"/>
      <c r="P23" s="64"/>
    </row>
    <row r="24" spans="1:16" ht="15" customHeight="1" x14ac:dyDescent="0.35">
      <c r="A24" s="44" t="s">
        <v>925</v>
      </c>
      <c r="B24" s="93">
        <v>852</v>
      </c>
      <c r="C24" s="56">
        <v>1900060218675</v>
      </c>
      <c r="D24" s="45"/>
      <c r="E24" s="93"/>
      <c r="F24" s="56"/>
      <c r="G24" s="57" t="s">
        <v>925</v>
      </c>
      <c r="H24" s="195">
        <v>4</v>
      </c>
      <c r="I24" s="61">
        <v>0.84499999999999997</v>
      </c>
      <c r="J24" s="62">
        <v>63537.2</v>
      </c>
      <c r="K24" s="62">
        <v>2.4900000000000002</v>
      </c>
      <c r="L24" s="62">
        <v>2.4900000000000002</v>
      </c>
      <c r="M24" s="63"/>
      <c r="N24" s="64"/>
      <c r="O24" s="64"/>
      <c r="P24" s="64"/>
    </row>
    <row r="25" spans="1:16" ht="15" customHeight="1" x14ac:dyDescent="0.35">
      <c r="A25" s="44" t="s">
        <v>926</v>
      </c>
      <c r="B25" s="93">
        <v>853</v>
      </c>
      <c r="C25" s="56">
        <v>1900060218727</v>
      </c>
      <c r="D25" s="45"/>
      <c r="E25" s="93"/>
      <c r="F25" s="56"/>
      <c r="G25" s="57" t="s">
        <v>926</v>
      </c>
      <c r="H25" s="195">
        <v>4</v>
      </c>
      <c r="I25" s="61">
        <v>0.68200000000000005</v>
      </c>
      <c r="J25" s="62">
        <v>63537.2</v>
      </c>
      <c r="K25" s="62">
        <v>2.2799999999999998</v>
      </c>
      <c r="L25" s="62">
        <v>2.2799999999999998</v>
      </c>
      <c r="M25" s="63"/>
      <c r="N25" s="64"/>
      <c r="O25" s="64"/>
      <c r="P25" s="64"/>
    </row>
    <row r="26" spans="1:16" ht="15" customHeight="1" x14ac:dyDescent="0.35">
      <c r="A26" s="221" t="s">
        <v>927</v>
      </c>
      <c r="B26" s="222">
        <v>854</v>
      </c>
      <c r="C26" s="223">
        <v>1900060218790</v>
      </c>
      <c r="D26" s="224"/>
      <c r="E26" s="222"/>
      <c r="F26" s="223"/>
      <c r="G26" s="225" t="s">
        <v>927</v>
      </c>
      <c r="H26" s="226">
        <v>2</v>
      </c>
      <c r="I26" s="227">
        <v>0.128</v>
      </c>
      <c r="J26" s="228">
        <v>13076.04</v>
      </c>
      <c r="K26" s="228">
        <v>2.4300000000000002</v>
      </c>
      <c r="L26" s="228">
        <v>2.4300000000000002</v>
      </c>
      <c r="M26" s="229"/>
      <c r="N26" s="230"/>
      <c r="O26" s="230"/>
      <c r="P26" s="230"/>
    </row>
    <row r="27" spans="1:16" ht="15" customHeight="1" x14ac:dyDescent="0.35">
      <c r="A27" s="44" t="s">
        <v>928</v>
      </c>
      <c r="B27" s="93">
        <v>855</v>
      </c>
      <c r="C27" s="56">
        <v>1900060218815</v>
      </c>
      <c r="D27" s="45"/>
      <c r="E27" s="93"/>
      <c r="F27" s="56"/>
      <c r="G27" s="57" t="s">
        <v>928</v>
      </c>
      <c r="H27" s="195">
        <v>4</v>
      </c>
      <c r="I27" s="61">
        <v>1.2999999999999999E-2</v>
      </c>
      <c r="J27" s="62">
        <v>63091.39</v>
      </c>
      <c r="K27" s="62">
        <v>2.0499999999999998</v>
      </c>
      <c r="L27" s="62">
        <v>2.0499999999999998</v>
      </c>
      <c r="M27" s="63"/>
      <c r="N27" s="64"/>
      <c r="O27" s="64"/>
      <c r="P27" s="64"/>
    </row>
    <row r="28" spans="1:16" ht="15" customHeight="1" x14ac:dyDescent="0.35">
      <c r="A28" s="221" t="s">
        <v>929</v>
      </c>
      <c r="B28" s="222">
        <v>856</v>
      </c>
      <c r="C28" s="223">
        <v>1900060219303</v>
      </c>
      <c r="D28" s="224"/>
      <c r="E28" s="222"/>
      <c r="F28" s="223"/>
      <c r="G28" s="225" t="s">
        <v>929</v>
      </c>
      <c r="H28" s="226">
        <v>2</v>
      </c>
      <c r="I28" s="227">
        <v>4.8970000000000002</v>
      </c>
      <c r="J28" s="228">
        <v>13076.04</v>
      </c>
      <c r="K28" s="228">
        <v>2.46</v>
      </c>
      <c r="L28" s="228">
        <v>2.46</v>
      </c>
      <c r="M28" s="229"/>
      <c r="N28" s="230"/>
      <c r="O28" s="230"/>
      <c r="P28" s="230"/>
    </row>
    <row r="29" spans="1:16" ht="15" customHeight="1" x14ac:dyDescent="0.35">
      <c r="A29" s="44" t="s">
        <v>930</v>
      </c>
      <c r="B29" s="93">
        <v>857</v>
      </c>
      <c r="C29" s="56">
        <v>1900060218912</v>
      </c>
      <c r="D29" s="45"/>
      <c r="E29" s="93"/>
      <c r="F29" s="56"/>
      <c r="G29" s="57" t="s">
        <v>930</v>
      </c>
      <c r="H29" s="195">
        <v>2</v>
      </c>
      <c r="I29" s="61">
        <v>0.45600000000000002</v>
      </c>
      <c r="J29" s="62">
        <v>13076.04</v>
      </c>
      <c r="K29" s="62">
        <v>3.49</v>
      </c>
      <c r="L29" s="62">
        <v>3.49</v>
      </c>
      <c r="M29" s="63"/>
      <c r="N29" s="64"/>
      <c r="O29" s="64"/>
      <c r="P29" s="64"/>
    </row>
    <row r="30" spans="1:16" ht="15" customHeight="1" x14ac:dyDescent="0.35">
      <c r="A30" s="44" t="s">
        <v>931</v>
      </c>
      <c r="B30" s="93">
        <v>858</v>
      </c>
      <c r="C30" s="56">
        <v>1900060218959</v>
      </c>
      <c r="D30" s="45"/>
      <c r="E30" s="93"/>
      <c r="F30" s="56"/>
      <c r="G30" s="57" t="s">
        <v>931</v>
      </c>
      <c r="H30" s="195">
        <v>2</v>
      </c>
      <c r="I30" s="61">
        <v>1.0129999999999999</v>
      </c>
      <c r="J30" s="62">
        <v>13076.04</v>
      </c>
      <c r="K30" s="62">
        <v>1.82</v>
      </c>
      <c r="L30" s="62">
        <v>1.82</v>
      </c>
      <c r="M30" s="63"/>
      <c r="N30" s="64"/>
      <c r="O30" s="64"/>
      <c r="P30" s="64"/>
    </row>
    <row r="31" spans="1:16" ht="15" customHeight="1" x14ac:dyDescent="0.35">
      <c r="A31" s="44" t="s">
        <v>932</v>
      </c>
      <c r="B31" s="93">
        <v>859</v>
      </c>
      <c r="C31" s="56">
        <v>1900060218986</v>
      </c>
      <c r="D31" s="45"/>
      <c r="E31" s="93"/>
      <c r="F31" s="56"/>
      <c r="G31" s="57" t="s">
        <v>932</v>
      </c>
      <c r="H31" s="195">
        <v>2</v>
      </c>
      <c r="I31" s="61">
        <v>0.377</v>
      </c>
      <c r="J31" s="62">
        <v>18491.68</v>
      </c>
      <c r="K31" s="62">
        <v>1.91</v>
      </c>
      <c r="L31" s="62">
        <v>1.91</v>
      </c>
      <c r="M31" s="63"/>
      <c r="N31" s="64"/>
      <c r="O31" s="64"/>
      <c r="P31" s="64"/>
    </row>
    <row r="32" spans="1:16" ht="15" customHeight="1" x14ac:dyDescent="0.35">
      <c r="A32" s="44" t="s">
        <v>933</v>
      </c>
      <c r="B32" s="93">
        <v>860</v>
      </c>
      <c r="C32" s="56">
        <v>1900060219001</v>
      </c>
      <c r="D32" s="45"/>
      <c r="E32" s="93"/>
      <c r="F32" s="56"/>
      <c r="G32" s="57" t="s">
        <v>933</v>
      </c>
      <c r="H32" s="195">
        <v>4</v>
      </c>
      <c r="I32" s="61">
        <v>2.5539999999999998</v>
      </c>
      <c r="J32" s="62">
        <v>63091.39</v>
      </c>
      <c r="K32" s="62">
        <v>2.56</v>
      </c>
      <c r="L32" s="62">
        <v>2.56</v>
      </c>
      <c r="M32" s="63"/>
      <c r="N32" s="64"/>
      <c r="O32" s="64"/>
      <c r="P32" s="64"/>
    </row>
    <row r="33" spans="1:16" ht="15" customHeight="1" x14ac:dyDescent="0.35">
      <c r="A33" s="44" t="s">
        <v>934</v>
      </c>
      <c r="B33" s="93">
        <v>861</v>
      </c>
      <c r="C33" s="56">
        <v>1900060219535</v>
      </c>
      <c r="D33" s="45"/>
      <c r="E33" s="93"/>
      <c r="F33" s="56"/>
      <c r="G33" s="57" t="s">
        <v>934</v>
      </c>
      <c r="H33" s="195">
        <v>3</v>
      </c>
      <c r="I33" s="61">
        <v>6.4669999999999996</v>
      </c>
      <c r="J33" s="62">
        <v>33778.28</v>
      </c>
      <c r="K33" s="62">
        <v>2.25</v>
      </c>
      <c r="L33" s="62">
        <v>2.25</v>
      </c>
      <c r="M33" s="63"/>
      <c r="N33" s="64"/>
      <c r="O33" s="64"/>
      <c r="P33" s="64"/>
    </row>
    <row r="34" spans="1:16" ht="15" customHeight="1" x14ac:dyDescent="0.35">
      <c r="A34" s="44" t="s">
        <v>935</v>
      </c>
      <c r="B34" s="93">
        <v>862</v>
      </c>
      <c r="C34" s="56">
        <v>1900060219891</v>
      </c>
      <c r="D34" s="45"/>
      <c r="E34" s="93"/>
      <c r="F34" s="56"/>
      <c r="G34" s="57" t="s">
        <v>935</v>
      </c>
      <c r="H34" s="195">
        <v>4</v>
      </c>
      <c r="I34" s="61">
        <v>0</v>
      </c>
      <c r="J34" s="62">
        <v>63983</v>
      </c>
      <c r="K34" s="62">
        <v>1.64</v>
      </c>
      <c r="L34" s="62">
        <v>1.64</v>
      </c>
      <c r="M34" s="63"/>
      <c r="N34" s="64"/>
      <c r="O34" s="64"/>
      <c r="P34" s="64"/>
    </row>
    <row r="35" spans="1:16" ht="15" customHeight="1" x14ac:dyDescent="0.35">
      <c r="A35" s="44" t="s">
        <v>936</v>
      </c>
      <c r="B35" s="93">
        <v>863</v>
      </c>
      <c r="C35" s="56">
        <v>1900060219084</v>
      </c>
      <c r="D35" s="45"/>
      <c r="E35" s="93"/>
      <c r="F35" s="56"/>
      <c r="G35" s="57" t="s">
        <v>936</v>
      </c>
      <c r="H35" s="195">
        <v>1</v>
      </c>
      <c r="I35" s="61">
        <v>0</v>
      </c>
      <c r="J35" s="62">
        <v>3001.92</v>
      </c>
      <c r="K35" s="62">
        <v>2.2200000000000002</v>
      </c>
      <c r="L35" s="62">
        <v>2.2200000000000002</v>
      </c>
      <c r="M35" s="63"/>
      <c r="N35" s="64"/>
      <c r="O35" s="64"/>
      <c r="P35" s="64"/>
    </row>
    <row r="36" spans="1:16" ht="30" customHeight="1" x14ac:dyDescent="0.35">
      <c r="A36" s="44" t="s">
        <v>937</v>
      </c>
      <c r="B36" s="93">
        <v>864</v>
      </c>
      <c r="C36" s="56" t="s">
        <v>1033</v>
      </c>
      <c r="D36" s="45"/>
      <c r="E36" s="93"/>
      <c r="F36" s="56"/>
      <c r="G36" s="57" t="s">
        <v>937</v>
      </c>
      <c r="H36" s="195">
        <v>3</v>
      </c>
      <c r="I36" s="61">
        <v>0.08</v>
      </c>
      <c r="J36" s="62">
        <v>33778.28</v>
      </c>
      <c r="K36" s="62">
        <v>1.76</v>
      </c>
      <c r="L36" s="62">
        <v>1.76</v>
      </c>
      <c r="M36" s="63"/>
      <c r="N36" s="64"/>
      <c r="O36" s="64"/>
      <c r="P36" s="64"/>
    </row>
    <row r="37" spans="1:16" ht="30" customHeight="1" x14ac:dyDescent="0.35">
      <c r="A37" s="44" t="s">
        <v>938</v>
      </c>
      <c r="B37" s="93">
        <v>865</v>
      </c>
      <c r="C37" s="56" t="s">
        <v>1034</v>
      </c>
      <c r="D37" s="45"/>
      <c r="E37" s="93"/>
      <c r="F37" s="56"/>
      <c r="G37" s="57" t="s">
        <v>938</v>
      </c>
      <c r="H37" s="195">
        <v>2</v>
      </c>
      <c r="I37" s="61">
        <v>2.5110000000000001</v>
      </c>
      <c r="J37" s="62">
        <v>13076.04</v>
      </c>
      <c r="K37" s="62">
        <v>2.34</v>
      </c>
      <c r="L37" s="62">
        <v>2.34</v>
      </c>
      <c r="M37" s="63"/>
      <c r="N37" s="64"/>
      <c r="O37" s="64"/>
      <c r="P37" s="64"/>
    </row>
    <row r="38" spans="1:16" ht="15" customHeight="1" x14ac:dyDescent="0.35">
      <c r="A38" s="44" t="s">
        <v>939</v>
      </c>
      <c r="B38" s="93">
        <v>867</v>
      </c>
      <c r="C38" s="56">
        <v>1900060219206</v>
      </c>
      <c r="D38" s="45"/>
      <c r="E38" s="93"/>
      <c r="F38" s="56"/>
      <c r="G38" s="57" t="s">
        <v>939</v>
      </c>
      <c r="H38" s="195">
        <v>3</v>
      </c>
      <c r="I38" s="61">
        <v>8.4510000000000005</v>
      </c>
      <c r="J38" s="62">
        <v>33778.28</v>
      </c>
      <c r="K38" s="62">
        <v>3.35</v>
      </c>
      <c r="L38" s="62">
        <v>3.35</v>
      </c>
      <c r="M38" s="63"/>
      <c r="N38" s="64"/>
      <c r="O38" s="64"/>
      <c r="P38" s="64"/>
    </row>
    <row r="39" spans="1:16" ht="15" customHeight="1" x14ac:dyDescent="0.35">
      <c r="A39" s="221" t="s">
        <v>940</v>
      </c>
      <c r="B39" s="222">
        <v>881</v>
      </c>
      <c r="C39" s="223">
        <v>1900060219544</v>
      </c>
      <c r="D39" s="224"/>
      <c r="E39" s="222"/>
      <c r="F39" s="223"/>
      <c r="G39" s="225" t="s">
        <v>940</v>
      </c>
      <c r="H39" s="226">
        <v>2</v>
      </c>
      <c r="I39" s="227">
        <v>3.0000000000000001E-3</v>
      </c>
      <c r="J39" s="228">
        <v>15384.08</v>
      </c>
      <c r="K39" s="228">
        <v>0.83</v>
      </c>
      <c r="L39" s="228">
        <v>0.83</v>
      </c>
      <c r="M39" s="229"/>
      <c r="N39" s="230"/>
      <c r="O39" s="230"/>
      <c r="P39" s="230"/>
    </row>
    <row r="40" spans="1:16" ht="54.95" customHeight="1" x14ac:dyDescent="0.35">
      <c r="A40" s="44" t="s">
        <v>941</v>
      </c>
      <c r="B40" s="93">
        <v>888</v>
      </c>
      <c r="C40" s="56" t="s">
        <v>1035</v>
      </c>
      <c r="D40" s="45"/>
      <c r="E40" s="93"/>
      <c r="F40" s="56"/>
      <c r="G40" s="57" t="s">
        <v>941</v>
      </c>
      <c r="H40" s="195">
        <v>4</v>
      </c>
      <c r="I40" s="61">
        <v>0</v>
      </c>
      <c r="J40" s="62">
        <v>148554.49</v>
      </c>
      <c r="K40" s="62">
        <v>1.26</v>
      </c>
      <c r="L40" s="62">
        <v>1.26</v>
      </c>
      <c r="M40" s="63"/>
      <c r="N40" s="64"/>
      <c r="O40" s="64"/>
      <c r="P40" s="64"/>
    </row>
    <row r="41" spans="1:16" ht="30" customHeight="1" x14ac:dyDescent="0.35">
      <c r="A41" s="44" t="s">
        <v>942</v>
      </c>
      <c r="B41" s="93">
        <v>838</v>
      </c>
      <c r="C41" s="56" t="s">
        <v>1036</v>
      </c>
      <c r="D41" s="45" t="s">
        <v>942</v>
      </c>
      <c r="E41" s="93">
        <v>691</v>
      </c>
      <c r="F41" s="56" t="s">
        <v>1037</v>
      </c>
      <c r="G41" s="57" t="s">
        <v>942</v>
      </c>
      <c r="H41" s="195">
        <v>4</v>
      </c>
      <c r="I41" s="61">
        <v>0.60499999999999998</v>
      </c>
      <c r="J41" s="62">
        <v>68256.94</v>
      </c>
      <c r="K41" s="62">
        <v>1.64</v>
      </c>
      <c r="L41" s="62">
        <v>1.64</v>
      </c>
      <c r="M41" s="63">
        <v>-0.58099999999999996</v>
      </c>
      <c r="N41" s="64">
        <v>4542.8599999999997</v>
      </c>
      <c r="O41" s="64">
        <v>0.05</v>
      </c>
      <c r="P41" s="64">
        <v>0.05</v>
      </c>
    </row>
    <row r="42" spans="1:16" ht="15" customHeight="1" x14ac:dyDescent="0.35">
      <c r="A42" s="44" t="s">
        <v>943</v>
      </c>
      <c r="B42" s="93">
        <v>884</v>
      </c>
      <c r="C42" s="56">
        <v>1900016424857</v>
      </c>
      <c r="D42" s="45" t="s">
        <v>943</v>
      </c>
      <c r="E42" s="93">
        <v>732</v>
      </c>
      <c r="F42" s="56">
        <v>1900060576611</v>
      </c>
      <c r="G42" s="57" t="s">
        <v>943</v>
      </c>
      <c r="H42" s="195">
        <v>2</v>
      </c>
      <c r="I42" s="61">
        <v>1.018</v>
      </c>
      <c r="J42" s="62">
        <v>16781.41</v>
      </c>
      <c r="K42" s="62">
        <v>3.04</v>
      </c>
      <c r="L42" s="62">
        <v>3.04</v>
      </c>
      <c r="M42" s="63">
        <v>-0.62</v>
      </c>
      <c r="N42" s="64">
        <v>2696.9</v>
      </c>
      <c r="O42" s="64">
        <v>0.05</v>
      </c>
      <c r="P42" s="64">
        <v>0.05</v>
      </c>
    </row>
    <row r="43" spans="1:16" ht="15" customHeight="1" x14ac:dyDescent="0.35">
      <c r="A43" s="44" t="s">
        <v>944</v>
      </c>
      <c r="B43" s="93">
        <v>839</v>
      </c>
      <c r="C43" s="56">
        <v>1900091206176</v>
      </c>
      <c r="D43" s="45" t="s">
        <v>944</v>
      </c>
      <c r="E43" s="93">
        <v>692</v>
      </c>
      <c r="F43" s="56">
        <v>1900091206194</v>
      </c>
      <c r="G43" s="57" t="s">
        <v>944</v>
      </c>
      <c r="H43" s="195">
        <v>2</v>
      </c>
      <c r="I43" s="61">
        <v>6.1719999999999997</v>
      </c>
      <c r="J43" s="62">
        <v>12523.88</v>
      </c>
      <c r="K43" s="62">
        <v>2.0499999999999998</v>
      </c>
      <c r="L43" s="62">
        <v>2.0499999999999998</v>
      </c>
      <c r="M43" s="63">
        <v>-6.1769999999999996</v>
      </c>
      <c r="N43" s="64">
        <v>54.31</v>
      </c>
      <c r="O43" s="64">
        <v>0.05</v>
      </c>
      <c r="P43" s="64">
        <v>0.05</v>
      </c>
    </row>
    <row r="44" spans="1:16" ht="15" customHeight="1" x14ac:dyDescent="0.35">
      <c r="A44" s="44" t="s">
        <v>945</v>
      </c>
      <c r="B44" s="93">
        <v>873</v>
      </c>
      <c r="C44" s="56">
        <v>1900091919588</v>
      </c>
      <c r="D44" s="45" t="s">
        <v>945</v>
      </c>
      <c r="E44" s="93">
        <v>780</v>
      </c>
      <c r="F44" s="56">
        <v>1900091919597</v>
      </c>
      <c r="G44" s="57" t="s">
        <v>945</v>
      </c>
      <c r="H44" s="195"/>
      <c r="I44" s="61">
        <v>3.1059999999999999</v>
      </c>
      <c r="J44" s="62">
        <v>15.34</v>
      </c>
      <c r="K44" s="62">
        <v>0.97</v>
      </c>
      <c r="L44" s="62">
        <v>0.97</v>
      </c>
      <c r="M44" s="63">
        <v>-2.9809999999999999</v>
      </c>
      <c r="N44" s="64">
        <v>430.47</v>
      </c>
      <c r="O44" s="64">
        <v>0.05</v>
      </c>
      <c r="P44" s="64">
        <v>0.05</v>
      </c>
    </row>
    <row r="45" spans="1:16" ht="15" customHeight="1" x14ac:dyDescent="0.35">
      <c r="A45" s="44" t="s">
        <v>946</v>
      </c>
      <c r="B45" s="93">
        <v>809</v>
      </c>
      <c r="C45" s="56">
        <v>1900091216963</v>
      </c>
      <c r="D45" s="45" t="s">
        <v>946</v>
      </c>
      <c r="E45" s="93">
        <v>741</v>
      </c>
      <c r="F45" s="56">
        <v>1900091216972</v>
      </c>
      <c r="G45" s="57" t="s">
        <v>946</v>
      </c>
      <c r="H45" s="195"/>
      <c r="I45" s="61">
        <v>2.2080000000000002</v>
      </c>
      <c r="J45" s="62">
        <v>14.27</v>
      </c>
      <c r="K45" s="62">
        <v>3.4</v>
      </c>
      <c r="L45" s="62">
        <v>3.4</v>
      </c>
      <c r="M45" s="63">
        <v>0</v>
      </c>
      <c r="N45" s="64">
        <v>1455.11</v>
      </c>
      <c r="O45" s="64">
        <v>0.05</v>
      </c>
      <c r="P45" s="64">
        <v>0.05</v>
      </c>
    </row>
    <row r="46" spans="1:16" ht="15" customHeight="1" x14ac:dyDescent="0.35">
      <c r="A46" s="44" t="s">
        <v>947</v>
      </c>
      <c r="B46" s="93">
        <v>840</v>
      </c>
      <c r="C46" s="56">
        <v>1900091482588</v>
      </c>
      <c r="D46" s="45" t="s">
        <v>947</v>
      </c>
      <c r="E46" s="93">
        <v>693</v>
      </c>
      <c r="F46" s="56">
        <v>1900091482597</v>
      </c>
      <c r="G46" s="57" t="s">
        <v>947</v>
      </c>
      <c r="H46" s="195"/>
      <c r="I46" s="61">
        <v>2.5999999999999999E-2</v>
      </c>
      <c r="J46" s="62">
        <v>518.30999999999995</v>
      </c>
      <c r="K46" s="62">
        <v>1.2</v>
      </c>
      <c r="L46" s="62">
        <v>1.2</v>
      </c>
      <c r="M46" s="63">
        <v>-0.45200000000000001</v>
      </c>
      <c r="N46" s="64">
        <v>3682.76</v>
      </c>
      <c r="O46" s="64">
        <v>0.05</v>
      </c>
      <c r="P46" s="64">
        <v>0.05</v>
      </c>
    </row>
    <row r="47" spans="1:16" ht="15" customHeight="1" x14ac:dyDescent="0.35">
      <c r="A47" s="44" t="s">
        <v>948</v>
      </c>
      <c r="B47" s="93">
        <v>841</v>
      </c>
      <c r="C47" s="56">
        <v>1900091632775</v>
      </c>
      <c r="D47" s="45" t="s">
        <v>948</v>
      </c>
      <c r="E47" s="93">
        <v>694</v>
      </c>
      <c r="F47" s="56">
        <v>1900091632784</v>
      </c>
      <c r="G47" s="57" t="s">
        <v>948</v>
      </c>
      <c r="H47" s="195"/>
      <c r="I47" s="61">
        <v>0.06</v>
      </c>
      <c r="J47" s="62">
        <v>719.03</v>
      </c>
      <c r="K47" s="62">
        <v>0.98</v>
      </c>
      <c r="L47" s="62">
        <v>0.98</v>
      </c>
      <c r="M47" s="63">
        <v>-0.129</v>
      </c>
      <c r="N47" s="64">
        <v>719.03</v>
      </c>
      <c r="O47" s="64">
        <v>0.05</v>
      </c>
      <c r="P47" s="64">
        <v>0.05</v>
      </c>
    </row>
    <row r="48" spans="1:16" ht="15" customHeight="1" x14ac:dyDescent="0.35">
      <c r="A48" s="44" t="s">
        <v>949</v>
      </c>
      <c r="B48" s="93">
        <v>890</v>
      </c>
      <c r="C48" s="56">
        <v>1900091343778</v>
      </c>
      <c r="D48" s="45" t="s">
        <v>949</v>
      </c>
      <c r="E48" s="93">
        <v>713</v>
      </c>
      <c r="F48" s="56">
        <v>1900091343787</v>
      </c>
      <c r="G48" s="57" t="s">
        <v>949</v>
      </c>
      <c r="H48" s="195"/>
      <c r="I48" s="61">
        <v>2.843</v>
      </c>
      <c r="J48" s="62">
        <v>12.71</v>
      </c>
      <c r="K48" s="62">
        <v>2.66</v>
      </c>
      <c r="L48" s="62">
        <v>2.66</v>
      </c>
      <c r="M48" s="63">
        <v>0</v>
      </c>
      <c r="N48" s="64">
        <v>1271.45</v>
      </c>
      <c r="O48" s="64">
        <v>0.05</v>
      </c>
      <c r="P48" s="64">
        <v>0.05</v>
      </c>
    </row>
    <row r="49" spans="1:16" ht="15" customHeight="1" x14ac:dyDescent="0.35">
      <c r="A49" s="44" t="s">
        <v>950</v>
      </c>
      <c r="B49" s="93">
        <v>830</v>
      </c>
      <c r="C49" s="56">
        <v>1900091463646</v>
      </c>
      <c r="D49" s="45" t="s">
        <v>950</v>
      </c>
      <c r="E49" s="93">
        <v>712</v>
      </c>
      <c r="F49" s="56">
        <v>1900091463655</v>
      </c>
      <c r="G49" s="57" t="s">
        <v>950</v>
      </c>
      <c r="H49" s="195"/>
      <c r="I49" s="61">
        <v>2.835</v>
      </c>
      <c r="J49" s="62">
        <v>9.86</v>
      </c>
      <c r="K49" s="62">
        <v>2.96</v>
      </c>
      <c r="L49" s="62">
        <v>2.96</v>
      </c>
      <c r="M49" s="63">
        <v>0</v>
      </c>
      <c r="N49" s="64">
        <v>828.5</v>
      </c>
      <c r="O49" s="64">
        <v>0.05</v>
      </c>
      <c r="P49" s="64">
        <v>0.05</v>
      </c>
    </row>
    <row r="50" spans="1:16" ht="15" customHeight="1" x14ac:dyDescent="0.35">
      <c r="A50" s="44" t="s">
        <v>951</v>
      </c>
      <c r="B50" s="93">
        <v>891</v>
      </c>
      <c r="C50" s="56">
        <v>1900091395508</v>
      </c>
      <c r="D50" s="45" t="s">
        <v>951</v>
      </c>
      <c r="E50" s="93">
        <v>705</v>
      </c>
      <c r="F50" s="56">
        <v>1900091395517</v>
      </c>
      <c r="G50" s="57" t="s">
        <v>951</v>
      </c>
      <c r="H50" s="195"/>
      <c r="I50" s="61">
        <v>0.08</v>
      </c>
      <c r="J50" s="62">
        <v>6.94</v>
      </c>
      <c r="K50" s="62">
        <v>2.75</v>
      </c>
      <c r="L50" s="62">
        <v>2.75</v>
      </c>
      <c r="M50" s="63">
        <v>0</v>
      </c>
      <c r="N50" s="64">
        <v>1387.95</v>
      </c>
      <c r="O50" s="64">
        <v>0.05</v>
      </c>
      <c r="P50" s="64">
        <v>0.05</v>
      </c>
    </row>
    <row r="51" spans="1:16" ht="15" customHeight="1" x14ac:dyDescent="0.35">
      <c r="A51" s="44" t="s">
        <v>952</v>
      </c>
      <c r="B51" s="93">
        <v>842</v>
      </c>
      <c r="C51" s="56">
        <v>1900091566810</v>
      </c>
      <c r="D51" s="45" t="s">
        <v>952</v>
      </c>
      <c r="E51" s="93">
        <v>695</v>
      </c>
      <c r="F51" s="56">
        <v>1900091566820</v>
      </c>
      <c r="G51" s="57" t="s">
        <v>952</v>
      </c>
      <c r="H51" s="195"/>
      <c r="I51" s="61">
        <v>0.129</v>
      </c>
      <c r="J51" s="62">
        <v>507.07</v>
      </c>
      <c r="K51" s="62">
        <v>1.18</v>
      </c>
      <c r="L51" s="62">
        <v>1.18</v>
      </c>
      <c r="M51" s="63">
        <v>-0.47299999999999998</v>
      </c>
      <c r="N51" s="64">
        <v>507.07</v>
      </c>
      <c r="O51" s="64">
        <v>0.05</v>
      </c>
      <c r="P51" s="64">
        <v>0.05</v>
      </c>
    </row>
    <row r="52" spans="1:16" ht="15" customHeight="1" x14ac:dyDescent="0.35">
      <c r="A52" s="44" t="s">
        <v>953</v>
      </c>
      <c r="B52" s="93">
        <v>843</v>
      </c>
      <c r="C52" s="56">
        <v>1900091523116</v>
      </c>
      <c r="D52" s="45" t="s">
        <v>953</v>
      </c>
      <c r="E52" s="93">
        <v>696</v>
      </c>
      <c r="F52" s="56">
        <v>1900091523125</v>
      </c>
      <c r="G52" s="57" t="s">
        <v>953</v>
      </c>
      <c r="H52" s="195"/>
      <c r="I52" s="61">
        <v>2E-3</v>
      </c>
      <c r="J52" s="62">
        <v>44.43</v>
      </c>
      <c r="K52" s="62">
        <v>1.19</v>
      </c>
      <c r="L52" s="62">
        <v>1.19</v>
      </c>
      <c r="M52" s="63">
        <v>-0.192</v>
      </c>
      <c r="N52" s="64">
        <v>947.83</v>
      </c>
      <c r="O52" s="64">
        <v>0.05</v>
      </c>
      <c r="P52" s="64">
        <v>0.05</v>
      </c>
    </row>
    <row r="53" spans="1:16" ht="30" customHeight="1" x14ac:dyDescent="0.35">
      <c r="A53" s="44" t="s">
        <v>954</v>
      </c>
      <c r="B53" s="93">
        <v>871</v>
      </c>
      <c r="C53" s="56" t="s">
        <v>1038</v>
      </c>
      <c r="D53" s="45" t="s">
        <v>954</v>
      </c>
      <c r="E53" s="93">
        <v>726</v>
      </c>
      <c r="F53" s="56" t="s">
        <v>1039</v>
      </c>
      <c r="G53" s="57" t="s">
        <v>954</v>
      </c>
      <c r="H53" s="195"/>
      <c r="I53" s="61">
        <v>0.17699999999999999</v>
      </c>
      <c r="J53" s="62">
        <v>33.549999999999997</v>
      </c>
      <c r="K53" s="62">
        <v>1.49</v>
      </c>
      <c r="L53" s="62">
        <v>1.49</v>
      </c>
      <c r="M53" s="63"/>
      <c r="N53" s="64"/>
      <c r="O53" s="64"/>
      <c r="P53" s="64"/>
    </row>
    <row r="54" spans="1:16" ht="15" customHeight="1" x14ac:dyDescent="0.35">
      <c r="A54" s="44" t="s">
        <v>955</v>
      </c>
      <c r="B54" s="93">
        <v>802</v>
      </c>
      <c r="C54" s="56">
        <v>1900090834409</v>
      </c>
      <c r="D54" s="45" t="s">
        <v>955</v>
      </c>
      <c r="E54" s="93">
        <v>738</v>
      </c>
      <c r="F54" s="56">
        <v>1900090834418</v>
      </c>
      <c r="G54" s="57" t="s">
        <v>955</v>
      </c>
      <c r="H54" s="195">
        <v>2</v>
      </c>
      <c r="I54" s="61">
        <v>1.272</v>
      </c>
      <c r="J54" s="62">
        <v>14740.94</v>
      </c>
      <c r="K54" s="62">
        <v>5.13</v>
      </c>
      <c r="L54" s="62">
        <v>5.13</v>
      </c>
      <c r="M54" s="63">
        <v>-6.1529999999999996</v>
      </c>
      <c r="N54" s="64">
        <v>7595.43</v>
      </c>
      <c r="O54" s="64">
        <v>0.05</v>
      </c>
      <c r="P54" s="64">
        <v>0.05</v>
      </c>
    </row>
    <row r="55" spans="1:16" ht="15" customHeight="1" x14ac:dyDescent="0.35">
      <c r="A55" s="44" t="s">
        <v>956</v>
      </c>
      <c r="B55" s="93"/>
      <c r="C55" s="56" t="s">
        <v>1017</v>
      </c>
      <c r="D55" s="45" t="s">
        <v>956</v>
      </c>
      <c r="E55" s="93"/>
      <c r="F55" s="56" t="s">
        <v>1023</v>
      </c>
      <c r="G55" s="57" t="s">
        <v>956</v>
      </c>
      <c r="H55" s="195"/>
      <c r="I55" s="61">
        <v>0.76500000000000001</v>
      </c>
      <c r="J55" s="62">
        <v>491.1</v>
      </c>
      <c r="K55" s="62">
        <v>1.1200000000000001</v>
      </c>
      <c r="L55" s="62">
        <v>1.1200000000000001</v>
      </c>
      <c r="M55" s="63">
        <v>-0.97499999999999998</v>
      </c>
      <c r="N55" s="64">
        <v>491.1</v>
      </c>
      <c r="O55" s="64">
        <v>0.05</v>
      </c>
      <c r="P55" s="64">
        <v>0.05</v>
      </c>
    </row>
    <row r="56" spans="1:16" ht="15" customHeight="1" x14ac:dyDescent="0.35">
      <c r="A56" s="44" t="s">
        <v>957</v>
      </c>
      <c r="B56" s="93">
        <v>810</v>
      </c>
      <c r="C56" s="56">
        <v>1900091199350</v>
      </c>
      <c r="D56" s="45" t="s">
        <v>957</v>
      </c>
      <c r="E56" s="93">
        <v>742</v>
      </c>
      <c r="F56" s="56">
        <v>1900091199379</v>
      </c>
      <c r="G56" s="57" t="s">
        <v>957</v>
      </c>
      <c r="H56" s="195"/>
      <c r="I56" s="61">
        <v>0</v>
      </c>
      <c r="J56" s="62">
        <v>19.2</v>
      </c>
      <c r="K56" s="62">
        <v>0.94</v>
      </c>
      <c r="L56" s="62">
        <v>0.94</v>
      </c>
      <c r="M56" s="63">
        <v>0</v>
      </c>
      <c r="N56" s="64">
        <v>426.61</v>
      </c>
      <c r="O56" s="64">
        <v>0.05</v>
      </c>
      <c r="P56" s="64">
        <v>0.05</v>
      </c>
    </row>
    <row r="57" spans="1:16" ht="15" customHeight="1" x14ac:dyDescent="0.35">
      <c r="A57" s="44" t="s">
        <v>958</v>
      </c>
      <c r="B57" s="93">
        <v>893</v>
      </c>
      <c r="C57" s="56">
        <v>1900091353298</v>
      </c>
      <c r="D57" s="45" t="s">
        <v>958</v>
      </c>
      <c r="E57" s="93">
        <v>706</v>
      </c>
      <c r="F57" s="56">
        <v>1900091353303</v>
      </c>
      <c r="G57" s="57" t="s">
        <v>958</v>
      </c>
      <c r="H57" s="195"/>
      <c r="I57" s="61">
        <v>4.4630000000000001</v>
      </c>
      <c r="J57" s="62">
        <v>1.24</v>
      </c>
      <c r="K57" s="62">
        <v>5.3</v>
      </c>
      <c r="L57" s="62">
        <v>5.3</v>
      </c>
      <c r="M57" s="63">
        <v>0</v>
      </c>
      <c r="N57" s="64">
        <v>1011.16</v>
      </c>
      <c r="O57" s="64">
        <v>0.05</v>
      </c>
      <c r="P57" s="64">
        <v>0.05</v>
      </c>
    </row>
    <row r="58" spans="1:16" ht="15" customHeight="1" x14ac:dyDescent="0.35">
      <c r="A58" s="44" t="s">
        <v>959</v>
      </c>
      <c r="B58" s="93">
        <v>894</v>
      </c>
      <c r="C58" s="56">
        <v>1900091343750</v>
      </c>
      <c r="D58" s="45" t="s">
        <v>959</v>
      </c>
      <c r="E58" s="93">
        <v>716</v>
      </c>
      <c r="F58" s="56">
        <v>1900091343769</v>
      </c>
      <c r="G58" s="57" t="s">
        <v>959</v>
      </c>
      <c r="H58" s="195"/>
      <c r="I58" s="61">
        <v>1.337</v>
      </c>
      <c r="J58" s="62">
        <v>13.16</v>
      </c>
      <c r="K58" s="62">
        <v>3.43</v>
      </c>
      <c r="L58" s="62">
        <v>3.43</v>
      </c>
      <c r="M58" s="63">
        <v>0</v>
      </c>
      <c r="N58" s="64">
        <v>1316.3</v>
      </c>
      <c r="O58" s="64">
        <v>0.05</v>
      </c>
      <c r="P58" s="64">
        <v>0.05</v>
      </c>
    </row>
    <row r="59" spans="1:16" ht="15" customHeight="1" x14ac:dyDescent="0.35">
      <c r="A59" s="44" t="s">
        <v>960</v>
      </c>
      <c r="B59" s="93"/>
      <c r="C59" s="56" t="s">
        <v>1018</v>
      </c>
      <c r="D59" s="45" t="s">
        <v>960</v>
      </c>
      <c r="E59" s="93"/>
      <c r="F59" s="56" t="s">
        <v>1024</v>
      </c>
      <c r="G59" s="57" t="s">
        <v>960</v>
      </c>
      <c r="H59" s="195"/>
      <c r="I59" s="61">
        <v>1.6E-2</v>
      </c>
      <c r="J59" s="62">
        <v>163.68</v>
      </c>
      <c r="K59" s="62">
        <v>0.94</v>
      </c>
      <c r="L59" s="62">
        <v>0.94</v>
      </c>
      <c r="M59" s="63">
        <v>-7.0000000000000001E-3</v>
      </c>
      <c r="N59" s="64">
        <v>436.47</v>
      </c>
      <c r="O59" s="64">
        <v>0.05</v>
      </c>
      <c r="P59" s="64">
        <v>0.05</v>
      </c>
    </row>
    <row r="60" spans="1:16" ht="15" customHeight="1" x14ac:dyDescent="0.35">
      <c r="A60" s="44" t="s">
        <v>961</v>
      </c>
      <c r="B60" s="93"/>
      <c r="C60" s="56" t="s">
        <v>1026</v>
      </c>
      <c r="D60" s="45" t="s">
        <v>961</v>
      </c>
      <c r="E60" s="93"/>
      <c r="F60" s="56" t="s">
        <v>1026</v>
      </c>
      <c r="G60" s="57" t="s">
        <v>961</v>
      </c>
      <c r="H60" s="195"/>
      <c r="I60" s="61">
        <v>1E-3</v>
      </c>
      <c r="J60" s="62">
        <v>49.61</v>
      </c>
      <c r="K60" s="62">
        <v>0.56000000000000005</v>
      </c>
      <c r="L60" s="62">
        <v>0.56000000000000005</v>
      </c>
      <c r="M60" s="63">
        <v>-3.2000000000000001E-2</v>
      </c>
      <c r="N60" s="64">
        <v>49.61</v>
      </c>
      <c r="O60" s="64">
        <v>0.05</v>
      </c>
      <c r="P60" s="64">
        <v>0.05</v>
      </c>
    </row>
    <row r="61" spans="1:16" ht="15" customHeight="1" x14ac:dyDescent="0.35">
      <c r="A61" s="221" t="s">
        <v>962</v>
      </c>
      <c r="B61" s="222">
        <v>836</v>
      </c>
      <c r="C61" s="223">
        <v>1900091057568</v>
      </c>
      <c r="D61" s="224" t="s">
        <v>962</v>
      </c>
      <c r="E61" s="222">
        <v>767</v>
      </c>
      <c r="F61" s="223">
        <v>1900091057559</v>
      </c>
      <c r="G61" s="225" t="s">
        <v>962</v>
      </c>
      <c r="H61" s="226">
        <v>1</v>
      </c>
      <c r="I61" s="227">
        <v>3.0000000000000001E-3</v>
      </c>
      <c r="J61" s="228">
        <v>2729.55</v>
      </c>
      <c r="K61" s="228">
        <v>0.8</v>
      </c>
      <c r="L61" s="228">
        <v>0.8</v>
      </c>
      <c r="M61" s="229">
        <v>-3.0000000000000001E-3</v>
      </c>
      <c r="N61" s="230">
        <v>3058.42</v>
      </c>
      <c r="O61" s="230">
        <v>0.05</v>
      </c>
      <c r="P61" s="230">
        <v>0.05</v>
      </c>
    </row>
    <row r="62" spans="1:16" ht="15" customHeight="1" x14ac:dyDescent="0.35">
      <c r="A62" s="221" t="s">
        <v>963</v>
      </c>
      <c r="B62" s="222">
        <v>804</v>
      </c>
      <c r="C62" s="223">
        <v>1900091637072</v>
      </c>
      <c r="D62" s="224" t="s">
        <v>963</v>
      </c>
      <c r="E62" s="222">
        <v>704</v>
      </c>
      <c r="F62" s="223">
        <v>1900091637081</v>
      </c>
      <c r="G62" s="225" t="s">
        <v>963</v>
      </c>
      <c r="H62" s="226">
        <v>3</v>
      </c>
      <c r="I62" s="227">
        <v>3.0000000000000001E-3</v>
      </c>
      <c r="J62" s="228">
        <v>34280.94</v>
      </c>
      <c r="K62" s="228">
        <v>0.78</v>
      </c>
      <c r="L62" s="228">
        <v>0.78</v>
      </c>
      <c r="M62" s="229">
        <v>-3.0000000000000001E-3</v>
      </c>
      <c r="N62" s="230">
        <v>1867.78</v>
      </c>
      <c r="O62" s="230">
        <v>0.05</v>
      </c>
      <c r="P62" s="230">
        <v>0.05</v>
      </c>
    </row>
    <row r="63" spans="1:16" ht="15" customHeight="1" x14ac:dyDescent="0.35">
      <c r="A63" s="44" t="s">
        <v>964</v>
      </c>
      <c r="B63" s="93">
        <v>895</v>
      </c>
      <c r="C63" s="56">
        <v>1900091361962</v>
      </c>
      <c r="D63" s="45" t="s">
        <v>964</v>
      </c>
      <c r="E63" s="93">
        <v>707</v>
      </c>
      <c r="F63" s="56">
        <v>1900091361971</v>
      </c>
      <c r="G63" s="57" t="s">
        <v>964</v>
      </c>
      <c r="H63" s="195"/>
      <c r="I63" s="61">
        <v>0.33300000000000002</v>
      </c>
      <c r="J63" s="62">
        <v>16.2</v>
      </c>
      <c r="K63" s="62">
        <v>1.21</v>
      </c>
      <c r="L63" s="62">
        <v>1.21</v>
      </c>
      <c r="M63" s="63">
        <v>0</v>
      </c>
      <c r="N63" s="64">
        <v>925.74</v>
      </c>
      <c r="O63" s="64">
        <v>0.05</v>
      </c>
      <c r="P63" s="64">
        <v>0.05</v>
      </c>
    </row>
    <row r="64" spans="1:16" ht="15" customHeight="1" x14ac:dyDescent="0.35">
      <c r="A64" s="44" t="s">
        <v>965</v>
      </c>
      <c r="B64" s="93">
        <v>811</v>
      </c>
      <c r="C64" s="56">
        <v>1900091200388</v>
      </c>
      <c r="D64" s="45" t="s">
        <v>965</v>
      </c>
      <c r="E64" s="93">
        <v>743</v>
      </c>
      <c r="F64" s="56">
        <v>1900091200397</v>
      </c>
      <c r="G64" s="57" t="s">
        <v>965</v>
      </c>
      <c r="H64" s="195"/>
      <c r="I64" s="61">
        <v>0</v>
      </c>
      <c r="J64" s="62">
        <v>26.36</v>
      </c>
      <c r="K64" s="62">
        <v>1.58</v>
      </c>
      <c r="L64" s="62">
        <v>1.58</v>
      </c>
      <c r="M64" s="63">
        <v>0</v>
      </c>
      <c r="N64" s="64">
        <v>1318.2</v>
      </c>
      <c r="O64" s="64">
        <v>0.05</v>
      </c>
      <c r="P64" s="64">
        <v>0.05</v>
      </c>
    </row>
    <row r="65" spans="1:16" ht="15" customHeight="1" x14ac:dyDescent="0.35">
      <c r="A65" s="44" t="s">
        <v>966</v>
      </c>
      <c r="B65" s="93">
        <v>907</v>
      </c>
      <c r="C65" s="56">
        <v>1900092421061</v>
      </c>
      <c r="D65" s="45" t="s">
        <v>966</v>
      </c>
      <c r="E65" s="93">
        <v>768</v>
      </c>
      <c r="F65" s="56">
        <v>1900092421113</v>
      </c>
      <c r="G65" s="57" t="s">
        <v>966</v>
      </c>
      <c r="H65" s="195"/>
      <c r="I65" s="61">
        <v>0.89300000000000002</v>
      </c>
      <c r="J65" s="62">
        <v>385.49</v>
      </c>
      <c r="K65" s="62">
        <v>1.23</v>
      </c>
      <c r="L65" s="62">
        <v>1.23</v>
      </c>
      <c r="M65" s="63">
        <v>-1.2130000000000001</v>
      </c>
      <c r="N65" s="64">
        <v>550.70000000000005</v>
      </c>
      <c r="O65" s="64">
        <v>0.05</v>
      </c>
      <c r="P65" s="64">
        <v>0.05</v>
      </c>
    </row>
    <row r="66" spans="1:16" ht="30" customHeight="1" x14ac:dyDescent="0.35">
      <c r="A66" s="44" t="s">
        <v>967</v>
      </c>
      <c r="B66" s="93">
        <v>844</v>
      </c>
      <c r="C66" s="56" t="s">
        <v>1040</v>
      </c>
      <c r="D66" s="45" t="s">
        <v>967</v>
      </c>
      <c r="E66" s="93">
        <v>697</v>
      </c>
      <c r="F66" s="56" t="s">
        <v>1041</v>
      </c>
      <c r="G66" s="57" t="s">
        <v>967</v>
      </c>
      <c r="H66" s="195"/>
      <c r="I66" s="61">
        <v>5.3999999999999999E-2</v>
      </c>
      <c r="J66" s="62">
        <v>609.26</v>
      </c>
      <c r="K66" s="62">
        <v>2.2999999999999998</v>
      </c>
      <c r="L66" s="62">
        <v>2.2999999999999998</v>
      </c>
      <c r="M66" s="63">
        <v>-2.0449999999999999</v>
      </c>
      <c r="N66" s="64">
        <v>609.26</v>
      </c>
      <c r="O66" s="64">
        <v>0.05</v>
      </c>
      <c r="P66" s="64">
        <v>0.05</v>
      </c>
    </row>
    <row r="67" spans="1:16" ht="15" customHeight="1" x14ac:dyDescent="0.35">
      <c r="A67" s="44" t="s">
        <v>968</v>
      </c>
      <c r="B67" s="93">
        <v>875</v>
      </c>
      <c r="C67" s="56">
        <v>1900060225185</v>
      </c>
      <c r="D67" s="45" t="s">
        <v>968</v>
      </c>
      <c r="E67" s="93">
        <v>727</v>
      </c>
      <c r="F67" s="56">
        <v>1900060225194</v>
      </c>
      <c r="G67" s="57" t="s">
        <v>968</v>
      </c>
      <c r="H67" s="195">
        <v>4</v>
      </c>
      <c r="I67" s="61">
        <v>6.5000000000000002E-2</v>
      </c>
      <c r="J67" s="62">
        <v>62870.25</v>
      </c>
      <c r="K67" s="62">
        <v>0.95</v>
      </c>
      <c r="L67" s="62">
        <v>0.95</v>
      </c>
      <c r="M67" s="63">
        <v>-8.5000000000000006E-2</v>
      </c>
      <c r="N67" s="64">
        <v>351.99</v>
      </c>
      <c r="O67" s="64">
        <v>0.05</v>
      </c>
      <c r="P67" s="64">
        <v>0.05</v>
      </c>
    </row>
    <row r="68" spans="1:16" ht="15" customHeight="1" x14ac:dyDescent="0.35">
      <c r="A68" s="44" t="s">
        <v>969</v>
      </c>
      <c r="B68" s="93">
        <v>831</v>
      </c>
      <c r="C68" s="56">
        <v>1900091338040</v>
      </c>
      <c r="D68" s="45" t="s">
        <v>969</v>
      </c>
      <c r="E68" s="93">
        <v>708</v>
      </c>
      <c r="F68" s="56">
        <v>1900091338059</v>
      </c>
      <c r="G68" s="57" t="s">
        <v>969</v>
      </c>
      <c r="H68" s="195"/>
      <c r="I68" s="61">
        <v>1.6220000000000001</v>
      </c>
      <c r="J68" s="62">
        <v>23</v>
      </c>
      <c r="K68" s="62">
        <v>1.78</v>
      </c>
      <c r="L68" s="62">
        <v>1.78</v>
      </c>
      <c r="M68" s="63">
        <v>0</v>
      </c>
      <c r="N68" s="64">
        <v>2299.9299999999998</v>
      </c>
      <c r="O68" s="64">
        <v>0.05</v>
      </c>
      <c r="P68" s="64">
        <v>0.05</v>
      </c>
    </row>
    <row r="69" spans="1:16" ht="15" customHeight="1" x14ac:dyDescent="0.35">
      <c r="A69" s="44" t="s">
        <v>970</v>
      </c>
      <c r="B69" s="93">
        <v>812</v>
      </c>
      <c r="C69" s="56">
        <v>1900091217043</v>
      </c>
      <c r="D69" s="45" t="s">
        <v>970</v>
      </c>
      <c r="E69" s="93">
        <v>744</v>
      </c>
      <c r="F69" s="56">
        <v>1900091217052</v>
      </c>
      <c r="G69" s="57" t="s">
        <v>970</v>
      </c>
      <c r="H69" s="195"/>
      <c r="I69" s="61">
        <v>4.3499999999999996</v>
      </c>
      <c r="J69" s="62">
        <v>2.62</v>
      </c>
      <c r="K69" s="62">
        <v>3.12</v>
      </c>
      <c r="L69" s="62">
        <v>3.12</v>
      </c>
      <c r="M69" s="63">
        <v>0</v>
      </c>
      <c r="N69" s="64">
        <v>989.65</v>
      </c>
      <c r="O69" s="64">
        <v>0.05</v>
      </c>
      <c r="P69" s="64">
        <v>0.05</v>
      </c>
    </row>
    <row r="70" spans="1:16" ht="30" customHeight="1" x14ac:dyDescent="0.35">
      <c r="A70" s="44" t="s">
        <v>971</v>
      </c>
      <c r="B70" s="93">
        <v>876</v>
      </c>
      <c r="C70" s="56" t="s">
        <v>1042</v>
      </c>
      <c r="D70" s="45" t="s">
        <v>971</v>
      </c>
      <c r="E70" s="93">
        <v>728</v>
      </c>
      <c r="F70" s="56" t="s">
        <v>1043</v>
      </c>
      <c r="G70" s="57" t="s">
        <v>971</v>
      </c>
      <c r="H70" s="195"/>
      <c r="I70" s="61">
        <v>5.6369999999999996</v>
      </c>
      <c r="J70" s="62">
        <v>3</v>
      </c>
      <c r="K70" s="62">
        <v>0.93</v>
      </c>
      <c r="L70" s="62">
        <v>0.93</v>
      </c>
      <c r="M70" s="63">
        <v>-3.9860000000000002</v>
      </c>
      <c r="N70" s="64">
        <v>119.94</v>
      </c>
      <c r="O70" s="64">
        <v>0.05</v>
      </c>
      <c r="P70" s="64">
        <v>0.05</v>
      </c>
    </row>
    <row r="71" spans="1:16" ht="15" customHeight="1" x14ac:dyDescent="0.35">
      <c r="A71" s="44" t="s">
        <v>972</v>
      </c>
      <c r="B71" s="93">
        <v>813</v>
      </c>
      <c r="C71" s="56">
        <v>1900091217070</v>
      </c>
      <c r="D71" s="45" t="s">
        <v>972</v>
      </c>
      <c r="E71" s="93">
        <v>745</v>
      </c>
      <c r="F71" s="56">
        <v>1900091217080</v>
      </c>
      <c r="G71" s="57" t="s">
        <v>972</v>
      </c>
      <c r="H71" s="195"/>
      <c r="I71" s="61">
        <v>0</v>
      </c>
      <c r="J71" s="62">
        <v>14.93</v>
      </c>
      <c r="K71" s="62">
        <v>1.3</v>
      </c>
      <c r="L71" s="62">
        <v>1.3</v>
      </c>
      <c r="M71" s="63">
        <v>0</v>
      </c>
      <c r="N71" s="64">
        <v>1203.5999999999999</v>
      </c>
      <c r="O71" s="64">
        <v>0.05</v>
      </c>
      <c r="P71" s="64">
        <v>0.05</v>
      </c>
    </row>
    <row r="72" spans="1:16" ht="15" customHeight="1" x14ac:dyDescent="0.35">
      <c r="A72" s="44" t="s">
        <v>973</v>
      </c>
      <c r="B72" s="93">
        <v>824</v>
      </c>
      <c r="C72" s="56">
        <v>1900091200068</v>
      </c>
      <c r="D72" s="45" t="s">
        <v>973</v>
      </c>
      <c r="E72" s="93">
        <v>701</v>
      </c>
      <c r="F72" s="56">
        <v>1900091200077</v>
      </c>
      <c r="G72" s="57" t="s">
        <v>973</v>
      </c>
      <c r="H72" s="195"/>
      <c r="I72" s="61">
        <v>0</v>
      </c>
      <c r="J72" s="62">
        <v>20.23</v>
      </c>
      <c r="K72" s="62">
        <v>4.58</v>
      </c>
      <c r="L72" s="62">
        <v>4.58</v>
      </c>
      <c r="M72" s="63">
        <v>0</v>
      </c>
      <c r="N72" s="64">
        <v>2629.84</v>
      </c>
      <c r="O72" s="64">
        <v>0.05</v>
      </c>
      <c r="P72" s="64">
        <v>0.05</v>
      </c>
    </row>
    <row r="73" spans="1:16" ht="15" customHeight="1" x14ac:dyDescent="0.35">
      <c r="A73" s="44" t="s">
        <v>974</v>
      </c>
      <c r="B73" s="93">
        <v>814</v>
      </c>
      <c r="C73" s="56">
        <v>1900091199519</v>
      </c>
      <c r="D73" s="45" t="s">
        <v>974</v>
      </c>
      <c r="E73" s="93">
        <v>746</v>
      </c>
      <c r="F73" s="56">
        <v>1900091199528</v>
      </c>
      <c r="G73" s="57" t="s">
        <v>974</v>
      </c>
      <c r="H73" s="195">
        <v>1</v>
      </c>
      <c r="I73" s="61">
        <v>0</v>
      </c>
      <c r="J73" s="62">
        <v>2542.71</v>
      </c>
      <c r="K73" s="62">
        <v>0.81</v>
      </c>
      <c r="L73" s="62">
        <v>0.81</v>
      </c>
      <c r="M73" s="63">
        <v>0</v>
      </c>
      <c r="N73" s="64">
        <v>434.05</v>
      </c>
      <c r="O73" s="64">
        <v>0.05</v>
      </c>
      <c r="P73" s="64">
        <v>0.05</v>
      </c>
    </row>
    <row r="74" spans="1:16" ht="15" customHeight="1" x14ac:dyDescent="0.35">
      <c r="A74" s="44" t="s">
        <v>975</v>
      </c>
      <c r="B74" s="93">
        <v>877</v>
      </c>
      <c r="C74" s="56">
        <v>1900070122273</v>
      </c>
      <c r="D74" s="45" t="s">
        <v>975</v>
      </c>
      <c r="E74" s="93">
        <v>722</v>
      </c>
      <c r="F74" s="56">
        <v>1900070122343</v>
      </c>
      <c r="G74" s="57" t="s">
        <v>975</v>
      </c>
      <c r="H74" s="195">
        <v>1</v>
      </c>
      <c r="I74" s="61">
        <v>0</v>
      </c>
      <c r="J74" s="62">
        <v>2552.83</v>
      </c>
      <c r="K74" s="62">
        <v>0.82</v>
      </c>
      <c r="L74" s="62">
        <v>0.82</v>
      </c>
      <c r="M74" s="63"/>
      <c r="N74" s="64"/>
      <c r="O74" s="64"/>
      <c r="P74" s="64"/>
    </row>
    <row r="75" spans="1:16" ht="15" customHeight="1" x14ac:dyDescent="0.35">
      <c r="A75" s="44" t="s">
        <v>976</v>
      </c>
      <c r="B75" s="93">
        <v>846</v>
      </c>
      <c r="C75" s="56">
        <v>1900091669720</v>
      </c>
      <c r="D75" s="45" t="s">
        <v>976</v>
      </c>
      <c r="E75" s="93">
        <v>699</v>
      </c>
      <c r="F75" s="56">
        <v>1900091669739</v>
      </c>
      <c r="G75" s="57" t="s">
        <v>976</v>
      </c>
      <c r="H75" s="195">
        <v>2</v>
      </c>
      <c r="I75" s="61">
        <v>0</v>
      </c>
      <c r="J75" s="62">
        <v>12525.01</v>
      </c>
      <c r="K75" s="62">
        <v>0.9</v>
      </c>
      <c r="L75" s="62">
        <v>0.9</v>
      </c>
      <c r="M75" s="63">
        <v>-3.0000000000000001E-3</v>
      </c>
      <c r="N75" s="64">
        <v>3227.05</v>
      </c>
      <c r="O75" s="64">
        <v>0.05</v>
      </c>
      <c r="P75" s="64">
        <v>0.05</v>
      </c>
    </row>
    <row r="76" spans="1:16" ht="15" customHeight="1" x14ac:dyDescent="0.35">
      <c r="A76" s="44" t="s">
        <v>977</v>
      </c>
      <c r="B76" s="93"/>
      <c r="C76" s="56" t="s">
        <v>1019</v>
      </c>
      <c r="D76" s="45" t="s">
        <v>977</v>
      </c>
      <c r="E76" s="93"/>
      <c r="F76" s="56" t="s">
        <v>1025</v>
      </c>
      <c r="G76" s="57" t="s">
        <v>977</v>
      </c>
      <c r="H76" s="195"/>
      <c r="I76" s="61">
        <v>0.56499999999999995</v>
      </c>
      <c r="J76" s="62">
        <v>1169.76</v>
      </c>
      <c r="K76" s="62">
        <v>1.1200000000000001</v>
      </c>
      <c r="L76" s="62">
        <v>1.1200000000000001</v>
      </c>
      <c r="M76" s="63">
        <v>-0.96699999999999997</v>
      </c>
      <c r="N76" s="64">
        <v>1231.69</v>
      </c>
      <c r="O76" s="64">
        <v>0.05</v>
      </c>
      <c r="P76" s="64">
        <v>0.05</v>
      </c>
    </row>
    <row r="77" spans="1:16" ht="15" customHeight="1" x14ac:dyDescent="0.35">
      <c r="A77" s="44" t="s">
        <v>978</v>
      </c>
      <c r="B77" s="93">
        <v>803</v>
      </c>
      <c r="C77" s="56">
        <v>1900091091930</v>
      </c>
      <c r="D77" s="45" t="s">
        <v>978</v>
      </c>
      <c r="E77" s="93">
        <v>735</v>
      </c>
      <c r="F77" s="56">
        <v>1900091091940</v>
      </c>
      <c r="G77" s="57" t="s">
        <v>978</v>
      </c>
      <c r="H77" s="195"/>
      <c r="I77" s="61">
        <v>0</v>
      </c>
      <c r="J77" s="62">
        <v>20.399999999999999</v>
      </c>
      <c r="K77" s="62">
        <v>4.97</v>
      </c>
      <c r="L77" s="62">
        <v>4.97</v>
      </c>
      <c r="M77" s="63">
        <v>0</v>
      </c>
      <c r="N77" s="64">
        <v>1928.09</v>
      </c>
      <c r="O77" s="64">
        <v>0.05</v>
      </c>
      <c r="P77" s="64">
        <v>0.05</v>
      </c>
    </row>
    <row r="78" spans="1:16" ht="15" customHeight="1" x14ac:dyDescent="0.35">
      <c r="A78" s="44" t="s">
        <v>979</v>
      </c>
      <c r="B78" s="93">
        <v>815</v>
      </c>
      <c r="C78" s="56">
        <v>1900091171267</v>
      </c>
      <c r="D78" s="45" t="s">
        <v>979</v>
      </c>
      <c r="E78" s="93">
        <v>747</v>
      </c>
      <c r="F78" s="56">
        <v>1900091171276</v>
      </c>
      <c r="G78" s="57" t="s">
        <v>979</v>
      </c>
      <c r="H78" s="195"/>
      <c r="I78" s="61">
        <v>0.20100000000000001</v>
      </c>
      <c r="J78" s="62">
        <v>9.75</v>
      </c>
      <c r="K78" s="62">
        <v>2.1800000000000002</v>
      </c>
      <c r="L78" s="62">
        <v>2.1800000000000002</v>
      </c>
      <c r="M78" s="63">
        <v>0</v>
      </c>
      <c r="N78" s="64">
        <v>914.07</v>
      </c>
      <c r="O78" s="64">
        <v>0.05</v>
      </c>
      <c r="P78" s="64">
        <v>0.05</v>
      </c>
    </row>
    <row r="79" spans="1:16" ht="15" customHeight="1" x14ac:dyDescent="0.35">
      <c r="A79" s="44" t="s">
        <v>980</v>
      </c>
      <c r="B79" s="93">
        <v>878</v>
      </c>
      <c r="C79" s="56">
        <v>1900090194653</v>
      </c>
      <c r="D79" s="45" t="s">
        <v>980</v>
      </c>
      <c r="E79" s="93">
        <v>721</v>
      </c>
      <c r="F79" s="56">
        <v>1900090194644</v>
      </c>
      <c r="G79" s="57" t="s">
        <v>980</v>
      </c>
      <c r="H79" s="195"/>
      <c r="I79" s="61">
        <v>0.94399999999999995</v>
      </c>
      <c r="J79" s="62">
        <v>9.32</v>
      </c>
      <c r="K79" s="62">
        <v>1.25</v>
      </c>
      <c r="L79" s="62">
        <v>1.25</v>
      </c>
      <c r="M79" s="63">
        <v>0</v>
      </c>
      <c r="N79" s="64">
        <v>1209.21</v>
      </c>
      <c r="O79" s="64">
        <v>0.05</v>
      </c>
      <c r="P79" s="64">
        <v>0.05</v>
      </c>
    </row>
    <row r="80" spans="1:16" ht="15" customHeight="1" x14ac:dyDescent="0.35">
      <c r="A80" s="44" t="s">
        <v>981</v>
      </c>
      <c r="B80" s="93">
        <v>808</v>
      </c>
      <c r="C80" s="56">
        <v>1900091081560</v>
      </c>
      <c r="D80" s="45" t="s">
        <v>981</v>
      </c>
      <c r="E80" s="93">
        <v>736</v>
      </c>
      <c r="F80" s="56">
        <v>1900091081570</v>
      </c>
      <c r="G80" s="57" t="s">
        <v>981</v>
      </c>
      <c r="H80" s="195"/>
      <c r="I80" s="61">
        <v>2.2730000000000001</v>
      </c>
      <c r="J80" s="62">
        <v>19.29</v>
      </c>
      <c r="K80" s="62">
        <v>2.46</v>
      </c>
      <c r="L80" s="62">
        <v>2.46</v>
      </c>
      <c r="M80" s="63">
        <v>0</v>
      </c>
      <c r="N80" s="64">
        <v>1929.2</v>
      </c>
      <c r="O80" s="64">
        <v>0.05</v>
      </c>
      <c r="P80" s="64">
        <v>0.05</v>
      </c>
    </row>
    <row r="81" spans="1:16" ht="15" customHeight="1" x14ac:dyDescent="0.35">
      <c r="A81" s="44" t="s">
        <v>982</v>
      </c>
      <c r="B81" s="93">
        <v>816</v>
      </c>
      <c r="C81" s="56">
        <v>1900091200138</v>
      </c>
      <c r="D81" s="45" t="s">
        <v>982</v>
      </c>
      <c r="E81" s="93">
        <v>748</v>
      </c>
      <c r="F81" s="56">
        <v>1900091200147</v>
      </c>
      <c r="G81" s="57" t="s">
        <v>982</v>
      </c>
      <c r="H81" s="195"/>
      <c r="I81" s="61">
        <v>2.5510000000000002</v>
      </c>
      <c r="J81" s="62">
        <v>15.39</v>
      </c>
      <c r="K81" s="62">
        <v>4.76</v>
      </c>
      <c r="L81" s="62">
        <v>4.76</v>
      </c>
      <c r="M81" s="63">
        <v>0</v>
      </c>
      <c r="N81" s="64">
        <v>1077.53</v>
      </c>
      <c r="O81" s="64">
        <v>0.05</v>
      </c>
      <c r="P81" s="64">
        <v>0.05</v>
      </c>
    </row>
    <row r="82" spans="1:16" ht="15" customHeight="1" x14ac:dyDescent="0.35">
      <c r="A82" s="44" t="s">
        <v>983</v>
      </c>
      <c r="B82" s="93">
        <v>896</v>
      </c>
      <c r="C82" s="56">
        <v>1900091310596</v>
      </c>
      <c r="D82" s="45" t="s">
        <v>983</v>
      </c>
      <c r="E82" s="93">
        <v>709</v>
      </c>
      <c r="F82" s="56">
        <v>1900091310601</v>
      </c>
      <c r="G82" s="57" t="s">
        <v>983</v>
      </c>
      <c r="H82" s="195"/>
      <c r="I82" s="61">
        <v>0</v>
      </c>
      <c r="J82" s="62">
        <v>28.77</v>
      </c>
      <c r="K82" s="62">
        <v>1.21</v>
      </c>
      <c r="L82" s="62">
        <v>1.21</v>
      </c>
      <c r="M82" s="63">
        <v>0</v>
      </c>
      <c r="N82" s="64">
        <v>1173.8599999999999</v>
      </c>
      <c r="O82" s="64">
        <v>0.05</v>
      </c>
      <c r="P82" s="64">
        <v>0.05</v>
      </c>
    </row>
    <row r="83" spans="1:16" ht="15" customHeight="1" x14ac:dyDescent="0.35">
      <c r="A83" s="44" t="s">
        <v>984</v>
      </c>
      <c r="B83" s="93">
        <v>819</v>
      </c>
      <c r="C83" s="56">
        <v>1900091183402</v>
      </c>
      <c r="D83" s="45" t="s">
        <v>984</v>
      </c>
      <c r="E83" s="93">
        <v>751</v>
      </c>
      <c r="F83" s="56">
        <v>1900091183411</v>
      </c>
      <c r="G83" s="57" t="s">
        <v>984</v>
      </c>
      <c r="H83" s="195"/>
      <c r="I83" s="61">
        <v>5.0000000000000001E-3</v>
      </c>
      <c r="J83" s="62">
        <v>3.54</v>
      </c>
      <c r="K83" s="62">
        <v>2.08</v>
      </c>
      <c r="L83" s="62">
        <v>2.08</v>
      </c>
      <c r="M83" s="63">
        <v>0</v>
      </c>
      <c r="N83" s="64">
        <v>442.27</v>
      </c>
      <c r="O83" s="64">
        <v>0.05</v>
      </c>
      <c r="P83" s="64">
        <v>0.05</v>
      </c>
    </row>
    <row r="84" spans="1:16" ht="15" customHeight="1" x14ac:dyDescent="0.35">
      <c r="A84" s="44" t="s">
        <v>985</v>
      </c>
      <c r="B84" s="93">
        <v>817</v>
      </c>
      <c r="C84" s="56">
        <v>1900091079241</v>
      </c>
      <c r="D84" s="45" t="s">
        <v>985</v>
      </c>
      <c r="E84" s="93">
        <v>749</v>
      </c>
      <c r="F84" s="56">
        <v>1900091079232</v>
      </c>
      <c r="G84" s="57" t="s">
        <v>985</v>
      </c>
      <c r="H84" s="195"/>
      <c r="I84" s="61">
        <v>0</v>
      </c>
      <c r="J84" s="62">
        <v>1.99</v>
      </c>
      <c r="K84" s="62">
        <v>2.85</v>
      </c>
      <c r="L84" s="62">
        <v>2.85</v>
      </c>
      <c r="M84" s="63">
        <v>0</v>
      </c>
      <c r="N84" s="64">
        <v>955.85</v>
      </c>
      <c r="O84" s="64">
        <v>0.05</v>
      </c>
      <c r="P84" s="64">
        <v>0.05</v>
      </c>
    </row>
    <row r="85" spans="1:16" ht="15" customHeight="1" x14ac:dyDescent="0.35">
      <c r="A85" s="44" t="s">
        <v>986</v>
      </c>
      <c r="B85" s="93">
        <v>897</v>
      </c>
      <c r="C85" s="56">
        <v>1900091199138</v>
      </c>
      <c r="D85" s="45" t="s">
        <v>986</v>
      </c>
      <c r="E85" s="93">
        <v>710</v>
      </c>
      <c r="F85" s="56">
        <v>1900091199147</v>
      </c>
      <c r="G85" s="57" t="s">
        <v>986</v>
      </c>
      <c r="H85" s="195"/>
      <c r="I85" s="61">
        <v>0</v>
      </c>
      <c r="J85" s="62">
        <v>2438.4499999999998</v>
      </c>
      <c r="K85" s="62">
        <v>0.71</v>
      </c>
      <c r="L85" s="62">
        <v>0.71</v>
      </c>
      <c r="M85" s="63">
        <v>0</v>
      </c>
      <c r="N85" s="64">
        <v>12826.27</v>
      </c>
      <c r="O85" s="64">
        <v>0.05</v>
      </c>
      <c r="P85" s="64">
        <v>0.05</v>
      </c>
    </row>
    <row r="86" spans="1:16" ht="15" customHeight="1" x14ac:dyDescent="0.35">
      <c r="A86" s="44" t="s">
        <v>987</v>
      </c>
      <c r="B86" s="93">
        <v>800</v>
      </c>
      <c r="C86" s="56">
        <v>1900090585014</v>
      </c>
      <c r="D86" s="45" t="s">
        <v>987</v>
      </c>
      <c r="E86" s="93">
        <v>700</v>
      </c>
      <c r="F86" s="56">
        <v>1900090585005</v>
      </c>
      <c r="G86" s="57" t="s">
        <v>987</v>
      </c>
      <c r="H86" s="195"/>
      <c r="I86" s="61">
        <v>1.913</v>
      </c>
      <c r="J86" s="62">
        <v>55.73</v>
      </c>
      <c r="K86" s="62">
        <v>1.19</v>
      </c>
      <c r="L86" s="62">
        <v>1.19</v>
      </c>
      <c r="M86" s="63">
        <v>-2.2839999999999998</v>
      </c>
      <c r="N86" s="64">
        <v>390.08</v>
      </c>
      <c r="O86" s="64">
        <v>0.05</v>
      </c>
      <c r="P86" s="64">
        <v>0.05</v>
      </c>
    </row>
    <row r="87" spans="1:16" ht="30" customHeight="1" x14ac:dyDescent="0.35">
      <c r="A87" s="44" t="s">
        <v>988</v>
      </c>
      <c r="B87" s="93">
        <v>845</v>
      </c>
      <c r="C87" s="56" t="s">
        <v>1044</v>
      </c>
      <c r="D87" s="45" t="s">
        <v>988</v>
      </c>
      <c r="E87" s="93">
        <v>698</v>
      </c>
      <c r="F87" s="56">
        <v>1900091718322</v>
      </c>
      <c r="G87" s="57" t="s">
        <v>988</v>
      </c>
      <c r="H87" s="195">
        <v>1</v>
      </c>
      <c r="I87" s="61">
        <v>5.3999999999999999E-2</v>
      </c>
      <c r="J87" s="62">
        <v>2536.2600000000002</v>
      </c>
      <c r="K87" s="62">
        <v>1.32</v>
      </c>
      <c r="L87" s="62">
        <v>1.32</v>
      </c>
      <c r="M87" s="63">
        <v>0</v>
      </c>
      <c r="N87" s="64">
        <v>2124.36</v>
      </c>
      <c r="O87" s="64">
        <v>0.05</v>
      </c>
      <c r="P87" s="64">
        <v>0.05</v>
      </c>
    </row>
    <row r="88" spans="1:16" ht="15" customHeight="1" x14ac:dyDescent="0.35">
      <c r="A88" s="44" t="s">
        <v>989</v>
      </c>
      <c r="B88" s="93">
        <v>820</v>
      </c>
      <c r="C88" s="56">
        <v>1900091197414</v>
      </c>
      <c r="D88" s="45" t="s">
        <v>989</v>
      </c>
      <c r="E88" s="93">
        <v>752</v>
      </c>
      <c r="F88" s="56">
        <v>1900091197423</v>
      </c>
      <c r="G88" s="57" t="s">
        <v>989</v>
      </c>
      <c r="H88" s="195"/>
      <c r="I88" s="61">
        <v>2.548</v>
      </c>
      <c r="J88" s="62">
        <v>8.1300000000000008</v>
      </c>
      <c r="K88" s="62">
        <v>2.97</v>
      </c>
      <c r="L88" s="62">
        <v>2.97</v>
      </c>
      <c r="M88" s="63">
        <v>0</v>
      </c>
      <c r="N88" s="64">
        <v>893.54</v>
      </c>
      <c r="O88" s="64">
        <v>0.05</v>
      </c>
      <c r="P88" s="64">
        <v>0.05</v>
      </c>
    </row>
    <row r="89" spans="1:16" ht="15" customHeight="1" x14ac:dyDescent="0.35">
      <c r="A89" s="44" t="s">
        <v>990</v>
      </c>
      <c r="B89" s="93">
        <v>805</v>
      </c>
      <c r="C89" s="56">
        <v>1900091024517</v>
      </c>
      <c r="D89" s="45" t="s">
        <v>990</v>
      </c>
      <c r="E89" s="93">
        <v>739</v>
      </c>
      <c r="F89" s="56">
        <v>1900091024526</v>
      </c>
      <c r="G89" s="57" t="s">
        <v>990</v>
      </c>
      <c r="H89" s="195"/>
      <c r="I89" s="61">
        <v>4.9000000000000002E-2</v>
      </c>
      <c r="J89" s="62">
        <v>6.04</v>
      </c>
      <c r="K89" s="62">
        <v>2.5</v>
      </c>
      <c r="L89" s="62">
        <v>2.5</v>
      </c>
      <c r="M89" s="63">
        <v>0</v>
      </c>
      <c r="N89" s="64">
        <v>1207.67</v>
      </c>
      <c r="O89" s="64">
        <v>0.05</v>
      </c>
      <c r="P89" s="64">
        <v>0.05</v>
      </c>
    </row>
    <row r="90" spans="1:16" ht="42" customHeight="1" x14ac:dyDescent="0.35">
      <c r="A90" s="44" t="s">
        <v>991</v>
      </c>
      <c r="B90" s="93">
        <v>898</v>
      </c>
      <c r="C90" s="56">
        <v>1900091085120</v>
      </c>
      <c r="D90" s="45" t="s">
        <v>991</v>
      </c>
      <c r="E90" s="93">
        <v>753</v>
      </c>
      <c r="F90" s="56" t="s">
        <v>1045</v>
      </c>
      <c r="G90" s="57" t="s">
        <v>991</v>
      </c>
      <c r="H90" s="195"/>
      <c r="I90" s="61">
        <v>0.08</v>
      </c>
      <c r="J90" s="62">
        <v>7.65</v>
      </c>
      <c r="K90" s="62">
        <v>2.4500000000000002</v>
      </c>
      <c r="L90" s="62">
        <v>2.4500000000000002</v>
      </c>
      <c r="M90" s="63">
        <v>0</v>
      </c>
      <c r="N90" s="64">
        <v>1377.17</v>
      </c>
      <c r="O90" s="64">
        <v>0.05</v>
      </c>
      <c r="P90" s="64">
        <v>0.05</v>
      </c>
    </row>
    <row r="91" spans="1:16" ht="15" customHeight="1" x14ac:dyDescent="0.35">
      <c r="A91" s="44" t="s">
        <v>992</v>
      </c>
      <c r="B91" s="93">
        <v>822</v>
      </c>
      <c r="C91" s="56">
        <v>1900091216634</v>
      </c>
      <c r="D91" s="45" t="s">
        <v>992</v>
      </c>
      <c r="E91" s="93">
        <v>754</v>
      </c>
      <c r="F91" s="56">
        <v>1900091216643</v>
      </c>
      <c r="G91" s="57" t="s">
        <v>992</v>
      </c>
      <c r="H91" s="195"/>
      <c r="I91" s="61">
        <v>4.3639999999999999</v>
      </c>
      <c r="J91" s="62">
        <v>6.19</v>
      </c>
      <c r="K91" s="62">
        <v>2.73</v>
      </c>
      <c r="L91" s="62">
        <v>2.73</v>
      </c>
      <c r="M91" s="63">
        <v>0</v>
      </c>
      <c r="N91" s="64">
        <v>980.04</v>
      </c>
      <c r="O91" s="64">
        <v>0.05</v>
      </c>
      <c r="P91" s="64">
        <v>0.05</v>
      </c>
    </row>
    <row r="92" spans="1:16" ht="15" customHeight="1" x14ac:dyDescent="0.35">
      <c r="A92" s="44" t="s">
        <v>993</v>
      </c>
      <c r="B92" s="93">
        <v>827</v>
      </c>
      <c r="C92" s="56">
        <v>1900091227307</v>
      </c>
      <c r="D92" s="45" t="s">
        <v>993</v>
      </c>
      <c r="E92" s="93">
        <v>719</v>
      </c>
      <c r="F92" s="56">
        <v>1900091227316</v>
      </c>
      <c r="G92" s="57" t="s">
        <v>993</v>
      </c>
      <c r="H92" s="195"/>
      <c r="I92" s="61">
        <v>1E-3</v>
      </c>
      <c r="J92" s="62">
        <v>8.74</v>
      </c>
      <c r="K92" s="62">
        <v>0.99</v>
      </c>
      <c r="L92" s="62">
        <v>0.99</v>
      </c>
      <c r="M92" s="63">
        <v>0</v>
      </c>
      <c r="N92" s="64">
        <v>437.06</v>
      </c>
      <c r="O92" s="64">
        <v>0.05</v>
      </c>
      <c r="P92" s="64">
        <v>0.05</v>
      </c>
    </row>
    <row r="93" spans="1:16" ht="15" customHeight="1" x14ac:dyDescent="0.35">
      <c r="A93" s="44" t="s">
        <v>994</v>
      </c>
      <c r="B93" s="93">
        <v>925</v>
      </c>
      <c r="C93" s="56">
        <v>1900092272791</v>
      </c>
      <c r="D93" s="45" t="s">
        <v>994</v>
      </c>
      <c r="E93" s="93">
        <v>785</v>
      </c>
      <c r="F93" s="56">
        <v>1900092272807</v>
      </c>
      <c r="G93" s="57" t="s">
        <v>994</v>
      </c>
      <c r="H93" s="195"/>
      <c r="I93" s="61">
        <v>0.54100000000000004</v>
      </c>
      <c r="J93" s="62">
        <v>943.4</v>
      </c>
      <c r="K93" s="62">
        <v>0.98</v>
      </c>
      <c r="L93" s="62">
        <v>0.98</v>
      </c>
      <c r="M93" s="63">
        <v>-0.57099999999999995</v>
      </c>
      <c r="N93" s="64">
        <v>943.4</v>
      </c>
      <c r="O93" s="64">
        <v>0.05</v>
      </c>
      <c r="P93" s="64">
        <v>0.05</v>
      </c>
    </row>
    <row r="94" spans="1:16" ht="15" customHeight="1" x14ac:dyDescent="0.35">
      <c r="A94" s="44" t="s">
        <v>995</v>
      </c>
      <c r="B94" s="93">
        <v>899</v>
      </c>
      <c r="C94" s="56">
        <v>1900091319942</v>
      </c>
      <c r="D94" s="45" t="s">
        <v>995</v>
      </c>
      <c r="E94" s="93">
        <v>717</v>
      </c>
      <c r="F94" s="56">
        <v>1900091320006</v>
      </c>
      <c r="G94" s="57" t="s">
        <v>995</v>
      </c>
      <c r="H94" s="195"/>
      <c r="I94" s="61">
        <v>0.33500000000000002</v>
      </c>
      <c r="J94" s="62">
        <v>6.16</v>
      </c>
      <c r="K94" s="62">
        <v>1.92</v>
      </c>
      <c r="L94" s="62">
        <v>1.92</v>
      </c>
      <c r="M94" s="63">
        <v>0</v>
      </c>
      <c r="N94" s="64">
        <v>925.72</v>
      </c>
      <c r="O94" s="64">
        <v>0.05</v>
      </c>
      <c r="P94" s="64">
        <v>0.05</v>
      </c>
    </row>
    <row r="95" spans="1:16" ht="15" customHeight="1" x14ac:dyDescent="0.35">
      <c r="A95" s="44" t="s">
        <v>996</v>
      </c>
      <c r="B95" s="93">
        <v>826</v>
      </c>
      <c r="C95" s="56">
        <v>1900091178954</v>
      </c>
      <c r="D95" s="45" t="s">
        <v>996</v>
      </c>
      <c r="E95" s="93">
        <v>703</v>
      </c>
      <c r="F95" s="56">
        <v>1900091178963</v>
      </c>
      <c r="G95" s="57" t="s">
        <v>996</v>
      </c>
      <c r="H95" s="195"/>
      <c r="I95" s="61">
        <v>0</v>
      </c>
      <c r="J95" s="62">
        <v>17.850000000000001</v>
      </c>
      <c r="K95" s="62">
        <v>1.75</v>
      </c>
      <c r="L95" s="62">
        <v>1.75</v>
      </c>
      <c r="M95" s="63">
        <v>0</v>
      </c>
      <c r="N95" s="64">
        <v>1784.7</v>
      </c>
      <c r="O95" s="64">
        <v>0.05</v>
      </c>
      <c r="P95" s="64">
        <v>0.05</v>
      </c>
    </row>
    <row r="96" spans="1:16" ht="15" customHeight="1" x14ac:dyDescent="0.35">
      <c r="A96" s="44" t="s">
        <v>997</v>
      </c>
      <c r="B96" s="93">
        <v>900</v>
      </c>
      <c r="C96" s="56">
        <v>1900091360950</v>
      </c>
      <c r="D96" s="45" t="s">
        <v>997</v>
      </c>
      <c r="E96" s="93">
        <v>720</v>
      </c>
      <c r="F96" s="56">
        <v>1900091360969</v>
      </c>
      <c r="G96" s="57" t="s">
        <v>997</v>
      </c>
      <c r="H96" s="195"/>
      <c r="I96" s="61">
        <v>0</v>
      </c>
      <c r="J96" s="62">
        <v>5.35</v>
      </c>
      <c r="K96" s="62">
        <v>1.51</v>
      </c>
      <c r="L96" s="62">
        <v>1.51</v>
      </c>
      <c r="M96" s="63">
        <v>0</v>
      </c>
      <c r="N96" s="64">
        <v>1037.24</v>
      </c>
      <c r="O96" s="64">
        <v>0.05</v>
      </c>
      <c r="P96" s="64">
        <v>0.05</v>
      </c>
    </row>
    <row r="97" spans="1:16" ht="15" customHeight="1" x14ac:dyDescent="0.35">
      <c r="A97" s="44" t="s">
        <v>998</v>
      </c>
      <c r="B97" s="93"/>
      <c r="C97" s="56" t="s">
        <v>1020</v>
      </c>
      <c r="D97" s="45" t="s">
        <v>998</v>
      </c>
      <c r="E97" s="93"/>
      <c r="F97" s="56" t="s">
        <v>1020</v>
      </c>
      <c r="G97" s="57" t="s">
        <v>998</v>
      </c>
      <c r="H97" s="195"/>
      <c r="I97" s="61">
        <v>5.069</v>
      </c>
      <c r="J97" s="62">
        <v>2.4300000000000002</v>
      </c>
      <c r="K97" s="62">
        <v>2.84</v>
      </c>
      <c r="L97" s="62">
        <v>2.84</v>
      </c>
      <c r="M97" s="63">
        <v>-5.0190000000000001</v>
      </c>
      <c r="N97" s="64">
        <v>194.45</v>
      </c>
      <c r="O97" s="64">
        <v>0.05</v>
      </c>
      <c r="P97" s="64">
        <v>0.05</v>
      </c>
    </row>
    <row r="98" spans="1:16" ht="15" customHeight="1" x14ac:dyDescent="0.35">
      <c r="A98" s="44" t="s">
        <v>999</v>
      </c>
      <c r="B98" s="93">
        <v>832</v>
      </c>
      <c r="C98" s="56">
        <v>1900091420128</v>
      </c>
      <c r="D98" s="45" t="s">
        <v>999</v>
      </c>
      <c r="E98" s="93">
        <v>718</v>
      </c>
      <c r="F98" s="56">
        <v>1900091420137</v>
      </c>
      <c r="G98" s="57" t="s">
        <v>999</v>
      </c>
      <c r="H98" s="195"/>
      <c r="I98" s="61">
        <v>0.21</v>
      </c>
      <c r="J98" s="62">
        <v>68.73</v>
      </c>
      <c r="K98" s="62">
        <v>1.92</v>
      </c>
      <c r="L98" s="62">
        <v>1.92</v>
      </c>
      <c r="M98" s="63">
        <v>0</v>
      </c>
      <c r="N98" s="64">
        <v>2577.21</v>
      </c>
      <c r="O98" s="64">
        <v>0.05</v>
      </c>
      <c r="P98" s="64">
        <v>0.05</v>
      </c>
    </row>
    <row r="99" spans="1:16" ht="15" customHeight="1" x14ac:dyDescent="0.35">
      <c r="A99" s="221" t="s">
        <v>1000</v>
      </c>
      <c r="B99" s="222"/>
      <c r="C99" s="223" t="s">
        <v>1021</v>
      </c>
      <c r="D99" s="224" t="s">
        <v>1000</v>
      </c>
      <c r="E99" s="222"/>
      <c r="F99" s="223" t="s">
        <v>1021</v>
      </c>
      <c r="G99" s="225" t="s">
        <v>1000</v>
      </c>
      <c r="H99" s="226">
        <v>2</v>
      </c>
      <c r="I99" s="227">
        <v>3.0000000000000001E-3</v>
      </c>
      <c r="J99" s="228">
        <v>12540.83</v>
      </c>
      <c r="K99" s="228">
        <v>1.56</v>
      </c>
      <c r="L99" s="228">
        <v>1.56</v>
      </c>
      <c r="M99" s="229">
        <v>-0.84099999999999997</v>
      </c>
      <c r="N99" s="230">
        <v>14231.14</v>
      </c>
      <c r="O99" s="230">
        <v>0.05</v>
      </c>
      <c r="P99" s="230">
        <v>0.05</v>
      </c>
    </row>
    <row r="100" spans="1:16" ht="30" customHeight="1" x14ac:dyDescent="0.35">
      <c r="A100" s="44" t="s">
        <v>1001</v>
      </c>
      <c r="B100" s="93">
        <v>823</v>
      </c>
      <c r="C100" s="56" t="s">
        <v>1046</v>
      </c>
      <c r="D100" s="45" t="s">
        <v>1001</v>
      </c>
      <c r="E100" s="93">
        <v>755</v>
      </c>
      <c r="F100" s="56" t="s">
        <v>1047</v>
      </c>
      <c r="G100" s="57" t="s">
        <v>1001</v>
      </c>
      <c r="H100" s="195"/>
      <c r="I100" s="61">
        <v>5.2999999999999999E-2</v>
      </c>
      <c r="J100" s="62">
        <v>55.05</v>
      </c>
      <c r="K100" s="62">
        <v>1.65</v>
      </c>
      <c r="L100" s="62">
        <v>1.65</v>
      </c>
      <c r="M100" s="63">
        <v>0</v>
      </c>
      <c r="N100" s="64">
        <v>2311.9699999999998</v>
      </c>
      <c r="O100" s="64">
        <v>0.05</v>
      </c>
      <c r="P100" s="64">
        <v>0.05</v>
      </c>
    </row>
    <row r="101" spans="1:16" ht="15" customHeight="1" x14ac:dyDescent="0.35">
      <c r="A101" s="44" t="s">
        <v>1002</v>
      </c>
      <c r="B101" s="93">
        <v>883</v>
      </c>
      <c r="C101" s="56">
        <v>1900060830217</v>
      </c>
      <c r="D101" s="45" t="s">
        <v>1002</v>
      </c>
      <c r="E101" s="93">
        <v>729</v>
      </c>
      <c r="F101" s="56">
        <v>1900060830226</v>
      </c>
      <c r="G101" s="57" t="s">
        <v>1002</v>
      </c>
      <c r="H101" s="195">
        <v>1</v>
      </c>
      <c r="I101" s="61">
        <v>0.19500000000000001</v>
      </c>
      <c r="J101" s="62">
        <v>4565.66</v>
      </c>
      <c r="K101" s="62">
        <v>2.38</v>
      </c>
      <c r="L101" s="62">
        <v>2.38</v>
      </c>
      <c r="M101" s="63"/>
      <c r="N101" s="64"/>
      <c r="O101" s="64"/>
      <c r="P101" s="64"/>
    </row>
    <row r="102" spans="1:16" ht="15" customHeight="1" x14ac:dyDescent="0.35">
      <c r="A102" s="44" t="s">
        <v>1003</v>
      </c>
      <c r="B102" s="93">
        <v>807</v>
      </c>
      <c r="C102" s="56">
        <v>1900091090096</v>
      </c>
      <c r="D102" s="45" t="s">
        <v>1003</v>
      </c>
      <c r="E102" s="93">
        <v>737</v>
      </c>
      <c r="F102" s="56">
        <v>1900091090101</v>
      </c>
      <c r="G102" s="57" t="s">
        <v>1003</v>
      </c>
      <c r="H102" s="195"/>
      <c r="I102" s="61">
        <v>1.3220000000000001</v>
      </c>
      <c r="J102" s="62">
        <v>88.71</v>
      </c>
      <c r="K102" s="62">
        <v>1.65</v>
      </c>
      <c r="L102" s="62">
        <v>1.65</v>
      </c>
      <c r="M102" s="63">
        <v>0</v>
      </c>
      <c r="N102" s="64">
        <v>3193.48</v>
      </c>
      <c r="O102" s="64">
        <v>0.05</v>
      </c>
      <c r="P102" s="64">
        <v>0.05</v>
      </c>
    </row>
    <row r="103" spans="1:16" ht="15" customHeight="1" x14ac:dyDescent="0.35">
      <c r="A103" s="44" t="s">
        <v>1004</v>
      </c>
      <c r="B103" s="93">
        <v>850</v>
      </c>
      <c r="C103" s="56">
        <v>1900090417081</v>
      </c>
      <c r="D103" s="45" t="s">
        <v>1004</v>
      </c>
      <c r="E103" s="93">
        <v>733</v>
      </c>
      <c r="F103" s="56">
        <v>1900090417160</v>
      </c>
      <c r="G103" s="57" t="s">
        <v>1004</v>
      </c>
      <c r="H103" s="195">
        <v>2</v>
      </c>
      <c r="I103" s="61">
        <v>0</v>
      </c>
      <c r="J103" s="62">
        <v>14832.1</v>
      </c>
      <c r="K103" s="62">
        <v>1.8</v>
      </c>
      <c r="L103" s="62">
        <v>1.8</v>
      </c>
      <c r="M103" s="63">
        <v>-1.256</v>
      </c>
      <c r="N103" s="64">
        <v>2647.67</v>
      </c>
      <c r="O103" s="64">
        <v>0.05</v>
      </c>
      <c r="P103" s="64">
        <v>0.05</v>
      </c>
    </row>
    <row r="104" spans="1:16" ht="15" customHeight="1" x14ac:dyDescent="0.35">
      <c r="A104" s="44" t="s">
        <v>1005</v>
      </c>
      <c r="B104" s="93">
        <v>850</v>
      </c>
      <c r="C104" s="56">
        <v>1900090417106</v>
      </c>
      <c r="D104" s="45" t="s">
        <v>1005</v>
      </c>
      <c r="E104" s="93">
        <v>733</v>
      </c>
      <c r="F104" s="56">
        <v>1900090417189</v>
      </c>
      <c r="G104" s="57" t="s">
        <v>1005</v>
      </c>
      <c r="H104" s="195">
        <v>2</v>
      </c>
      <c r="I104" s="61">
        <v>0</v>
      </c>
      <c r="J104" s="62">
        <v>14832.1</v>
      </c>
      <c r="K104" s="62">
        <v>1.75</v>
      </c>
      <c r="L104" s="62">
        <v>1.75</v>
      </c>
      <c r="M104" s="63">
        <v>-1.256</v>
      </c>
      <c r="N104" s="64">
        <v>2647.67</v>
      </c>
      <c r="O104" s="64">
        <v>0.05</v>
      </c>
      <c r="P104" s="64">
        <v>0.05</v>
      </c>
    </row>
    <row r="105" spans="1:16" ht="15" customHeight="1" x14ac:dyDescent="0.35">
      <c r="A105" s="221" t="s">
        <v>1006</v>
      </c>
      <c r="B105" s="222">
        <v>850</v>
      </c>
      <c r="C105" s="223">
        <v>1900090417133</v>
      </c>
      <c r="D105" s="224" t="s">
        <v>1006</v>
      </c>
      <c r="E105" s="222">
        <v>733</v>
      </c>
      <c r="F105" s="223">
        <v>1900090417212</v>
      </c>
      <c r="G105" s="225" t="s">
        <v>1006</v>
      </c>
      <c r="H105" s="226">
        <v>2</v>
      </c>
      <c r="I105" s="227">
        <v>0</v>
      </c>
      <c r="J105" s="228">
        <v>15841.24</v>
      </c>
      <c r="K105" s="228">
        <v>1.79</v>
      </c>
      <c r="L105" s="228">
        <v>1.79</v>
      </c>
      <c r="M105" s="229">
        <v>-1.256</v>
      </c>
      <c r="N105" s="230">
        <v>3656.81</v>
      </c>
      <c r="O105" s="230">
        <v>0.05</v>
      </c>
      <c r="P105" s="230">
        <v>0.05</v>
      </c>
    </row>
    <row r="106" spans="1:16" ht="15" customHeight="1" x14ac:dyDescent="0.35">
      <c r="A106" s="44" t="s">
        <v>1007</v>
      </c>
      <c r="B106" s="93">
        <v>850</v>
      </c>
      <c r="C106" s="56">
        <v>1900090417151</v>
      </c>
      <c r="D106" s="45" t="s">
        <v>1007</v>
      </c>
      <c r="E106" s="93">
        <v>733</v>
      </c>
      <c r="F106" s="56">
        <v>1900090417230</v>
      </c>
      <c r="G106" s="57" t="s">
        <v>1007</v>
      </c>
      <c r="H106" s="195">
        <v>1</v>
      </c>
      <c r="I106" s="61">
        <v>0</v>
      </c>
      <c r="J106" s="62">
        <v>3016.16</v>
      </c>
      <c r="K106" s="62">
        <v>2.23</v>
      </c>
      <c r="L106" s="62">
        <v>2.23</v>
      </c>
      <c r="M106" s="63">
        <v>-1.256</v>
      </c>
      <c r="N106" s="64">
        <v>485.21</v>
      </c>
      <c r="O106" s="64">
        <v>0.05</v>
      </c>
      <c r="P106" s="64">
        <v>0.05</v>
      </c>
    </row>
    <row r="107" spans="1:16" ht="15" customHeight="1" x14ac:dyDescent="0.35">
      <c r="A107" s="44" t="s">
        <v>1008</v>
      </c>
      <c r="B107" s="93"/>
      <c r="C107" s="56" t="s">
        <v>1022</v>
      </c>
      <c r="D107" s="45" t="s">
        <v>1008</v>
      </c>
      <c r="E107" s="93"/>
      <c r="F107" s="56" t="s">
        <v>1022</v>
      </c>
      <c r="G107" s="57" t="s">
        <v>1008</v>
      </c>
      <c r="H107" s="195">
        <v>1</v>
      </c>
      <c r="I107" s="61">
        <v>0</v>
      </c>
      <c r="J107" s="62">
        <v>2554.48</v>
      </c>
      <c r="K107" s="62">
        <v>1.29</v>
      </c>
      <c r="L107" s="62">
        <v>1.29</v>
      </c>
      <c r="M107" s="63">
        <v>0</v>
      </c>
      <c r="N107" s="64">
        <v>2478.23</v>
      </c>
      <c r="O107" s="64">
        <v>0.05</v>
      </c>
      <c r="P107" s="64">
        <v>0.05</v>
      </c>
    </row>
    <row r="108" spans="1:16" ht="15" customHeight="1" x14ac:dyDescent="0.35">
      <c r="A108" s="44" t="s">
        <v>1009</v>
      </c>
      <c r="B108" s="93">
        <v>818</v>
      </c>
      <c r="C108" s="56">
        <v>1900091171364</v>
      </c>
      <c r="D108" s="45" t="s">
        <v>1009</v>
      </c>
      <c r="E108" s="93">
        <v>750</v>
      </c>
      <c r="F108" s="56">
        <v>1900091171373</v>
      </c>
      <c r="G108" s="57" t="s">
        <v>1009</v>
      </c>
      <c r="H108" s="195"/>
      <c r="I108" s="61">
        <v>0</v>
      </c>
      <c r="J108" s="62">
        <v>30.01</v>
      </c>
      <c r="K108" s="62">
        <v>1.63</v>
      </c>
      <c r="L108" s="62">
        <v>1.63</v>
      </c>
      <c r="M108" s="63">
        <v>0</v>
      </c>
      <c r="N108" s="64">
        <v>3121.32</v>
      </c>
      <c r="O108" s="64">
        <v>0.05</v>
      </c>
      <c r="P108" s="64">
        <v>0.05</v>
      </c>
    </row>
    <row r="109" spans="1:16" ht="15" customHeight="1" x14ac:dyDescent="0.35">
      <c r="A109" s="44" t="s">
        <v>1010</v>
      </c>
      <c r="B109" s="93">
        <v>828</v>
      </c>
      <c r="C109" s="56">
        <v>1900091363000</v>
      </c>
      <c r="D109" s="45" t="s">
        <v>1010</v>
      </c>
      <c r="E109" s="93">
        <v>711</v>
      </c>
      <c r="F109" s="56">
        <v>1900091363019</v>
      </c>
      <c r="G109" s="57" t="s">
        <v>1010</v>
      </c>
      <c r="H109" s="195">
        <v>1</v>
      </c>
      <c r="I109" s="61">
        <v>6.8000000000000005E-2</v>
      </c>
      <c r="J109" s="62">
        <v>2576.77</v>
      </c>
      <c r="K109" s="62">
        <v>1.91</v>
      </c>
      <c r="L109" s="62">
        <v>1.91</v>
      </c>
      <c r="M109" s="63">
        <v>0</v>
      </c>
      <c r="N109" s="64">
        <v>3563.5</v>
      </c>
      <c r="O109" s="64">
        <v>0.05</v>
      </c>
      <c r="P109" s="64">
        <v>0.05</v>
      </c>
    </row>
    <row r="110" spans="1:16" ht="15" customHeight="1" x14ac:dyDescent="0.35">
      <c r="A110" s="44" t="s">
        <v>1011</v>
      </c>
      <c r="B110" s="93">
        <v>825</v>
      </c>
      <c r="C110" s="56">
        <v>1900091207124</v>
      </c>
      <c r="D110" s="45" t="s">
        <v>1011</v>
      </c>
      <c r="E110" s="93">
        <v>702</v>
      </c>
      <c r="F110" s="56">
        <v>1900091207133</v>
      </c>
      <c r="G110" s="57" t="s">
        <v>1011</v>
      </c>
      <c r="H110" s="195"/>
      <c r="I110" s="61">
        <v>0.128</v>
      </c>
      <c r="J110" s="62">
        <v>34.18</v>
      </c>
      <c r="K110" s="62">
        <v>2.0099999999999998</v>
      </c>
      <c r="L110" s="62">
        <v>2.0099999999999998</v>
      </c>
      <c r="M110" s="63">
        <v>0</v>
      </c>
      <c r="N110" s="64">
        <v>4101.5600000000004</v>
      </c>
      <c r="O110" s="64">
        <v>0.05</v>
      </c>
      <c r="P110" s="64">
        <v>0.05</v>
      </c>
    </row>
    <row r="111" spans="1:16" ht="15" customHeight="1" x14ac:dyDescent="0.35">
      <c r="A111" s="44" t="s">
        <v>1012</v>
      </c>
      <c r="B111" s="93">
        <v>821</v>
      </c>
      <c r="C111" s="56">
        <v>1900091478493</v>
      </c>
      <c r="D111" s="45" t="s">
        <v>1012</v>
      </c>
      <c r="E111" s="93">
        <v>714</v>
      </c>
      <c r="F111" s="56">
        <v>1900091478509</v>
      </c>
      <c r="G111" s="57" t="s">
        <v>1012</v>
      </c>
      <c r="H111" s="195"/>
      <c r="I111" s="61">
        <v>6.077</v>
      </c>
      <c r="J111" s="62">
        <v>25.92</v>
      </c>
      <c r="K111" s="62">
        <v>3.44</v>
      </c>
      <c r="L111" s="62">
        <v>3.44</v>
      </c>
      <c r="M111" s="63">
        <v>0</v>
      </c>
      <c r="N111" s="64">
        <v>2073.56</v>
      </c>
      <c r="O111" s="64">
        <v>0.05</v>
      </c>
      <c r="P111" s="64">
        <v>0.05</v>
      </c>
    </row>
    <row r="112" spans="1:16" ht="15" customHeight="1" x14ac:dyDescent="0.35">
      <c r="A112" s="44" t="s">
        <v>1013</v>
      </c>
      <c r="B112" s="93">
        <v>829</v>
      </c>
      <c r="C112" s="56">
        <v>1900091315238</v>
      </c>
      <c r="D112" s="45" t="s">
        <v>1013</v>
      </c>
      <c r="E112" s="93">
        <v>715</v>
      </c>
      <c r="F112" s="56">
        <v>1900091315229</v>
      </c>
      <c r="G112" s="57" t="s">
        <v>1013</v>
      </c>
      <c r="H112" s="195"/>
      <c r="I112" s="61">
        <v>4.8470000000000004</v>
      </c>
      <c r="J112" s="62">
        <v>4.41</v>
      </c>
      <c r="K112" s="62">
        <v>3.82</v>
      </c>
      <c r="L112" s="62">
        <v>3.82</v>
      </c>
      <c r="M112" s="63">
        <v>0</v>
      </c>
      <c r="N112" s="64">
        <v>441.39</v>
      </c>
      <c r="O112" s="64">
        <v>0.05</v>
      </c>
      <c r="P112" s="64">
        <v>0.05</v>
      </c>
    </row>
    <row r="113" spans="1:16" ht="30" customHeight="1" x14ac:dyDescent="0.35">
      <c r="A113" s="44" t="s">
        <v>1014</v>
      </c>
      <c r="B113" s="93">
        <v>887</v>
      </c>
      <c r="C113" s="56">
        <v>1900070394457</v>
      </c>
      <c r="D113" s="45" t="s">
        <v>1014</v>
      </c>
      <c r="E113" s="93">
        <v>731</v>
      </c>
      <c r="F113" s="56" t="s">
        <v>1048</v>
      </c>
      <c r="G113" s="57" t="s">
        <v>1014</v>
      </c>
      <c r="H113" s="195"/>
      <c r="I113" s="61">
        <v>3.5990000000000002</v>
      </c>
      <c r="J113" s="62">
        <v>3055.53</v>
      </c>
      <c r="K113" s="62">
        <v>0.78</v>
      </c>
      <c r="L113" s="62">
        <v>0.78</v>
      </c>
      <c r="M113" s="63"/>
      <c r="N113" s="64"/>
      <c r="O113" s="64"/>
      <c r="P113" s="64"/>
    </row>
    <row r="114" spans="1:16" ht="15" customHeight="1" x14ac:dyDescent="0.35">
      <c r="A114" s="44" t="s">
        <v>1015</v>
      </c>
      <c r="B114" s="93">
        <v>806</v>
      </c>
      <c r="C114" s="56">
        <v>1900091086531</v>
      </c>
      <c r="D114" s="45" t="s">
        <v>1015</v>
      </c>
      <c r="E114" s="93">
        <v>740</v>
      </c>
      <c r="F114" s="56">
        <v>1900091086540</v>
      </c>
      <c r="G114" s="57" t="s">
        <v>1015</v>
      </c>
      <c r="H114" s="195"/>
      <c r="I114" s="61">
        <v>0.76500000000000001</v>
      </c>
      <c r="J114" s="62">
        <v>19.29</v>
      </c>
      <c r="K114" s="62">
        <v>1.64</v>
      </c>
      <c r="L114" s="62">
        <v>1.64</v>
      </c>
      <c r="M114" s="63">
        <v>0</v>
      </c>
      <c r="N114" s="64">
        <v>1929.2</v>
      </c>
      <c r="O114" s="64">
        <v>0.05</v>
      </c>
      <c r="P114" s="64">
        <v>0.05</v>
      </c>
    </row>
  </sheetData>
  <mergeCells count="9">
    <mergeCell ref="C1:P1"/>
    <mergeCell ref="A2:P2"/>
    <mergeCell ref="D7:F7"/>
    <mergeCell ref="A5:C5"/>
    <mergeCell ref="A6:C6"/>
    <mergeCell ref="A7:C7"/>
    <mergeCell ref="A4:F4"/>
    <mergeCell ref="D5:F5"/>
    <mergeCell ref="D6:F6"/>
  </mergeCells>
  <hyperlinks>
    <hyperlink ref="A1" location="Overview!A1" display="Back to Overview" xr:uid="{00000000-0004-0000-0200-000000000000}"/>
  </hyperlinks>
  <pageMargins left="0.39370078740157483" right="0.35433070866141736" top="0.86614173228346458" bottom="0.55118110236220474" header="0.27559055118110237" footer="0.27559055118110237"/>
  <pageSetup paperSize="9" scale="59" fitToHeight="0" orientation="landscape" r:id="rId1"/>
  <headerFooter scaleWithDoc="0">
    <oddHeader>&amp;L
Annex 2 - Schedule of Charges for use of the Distribution System by Designated EHV Properties (including LDNOs with Designated EHV Properties/end-users)</oddHeader>
    <oddFooter>&amp;L&amp;8Note: The DNO reserves the right to apply the listed charges to any other MPANs/MSIDs associated with the site. This includes reallocating charges to a traded MPAN at the same site where another MPAN has been disconnected or de-energised.&amp;R&amp;8&amp;P of &amp;N</oddFooter>
    <firstHeader>&amp;L
Annex 2 -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site.&amp;R&amp;8&amp;P of &amp;N</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pageSetUpPr fitToPage="1"/>
  </sheetPr>
  <dimension ref="A1:N254"/>
  <sheetViews>
    <sheetView zoomScale="90" zoomScaleNormal="90" zoomScaleSheetLayoutView="100" workbookViewId="0">
      <selection sqref="A1:H1"/>
    </sheetView>
  </sheetViews>
  <sheetFormatPr defaultColWidth="9.1328125" defaultRowHeight="12.75" x14ac:dyDescent="0.35"/>
  <cols>
    <col min="1" max="1" width="14.73046875" style="50" customWidth="1"/>
    <col min="2" max="2" width="8.73046875" style="50" customWidth="1"/>
    <col min="3" max="3" width="15.73046875" style="58" bestFit="1" customWidth="1"/>
    <col min="4" max="4" width="50.73046875" style="58" customWidth="1"/>
    <col min="5" max="5" width="14.73046875" style="59" customWidth="1"/>
    <col min="6" max="7" width="14.73046875" style="60" customWidth="1"/>
    <col min="8" max="8" width="14.73046875" style="50" customWidth="1"/>
    <col min="9" max="9" width="15.59765625" style="50" customWidth="1"/>
    <col min="10" max="13" width="9.1328125" style="50"/>
    <col min="14" max="14" width="9.3984375" style="50" bestFit="1" customWidth="1"/>
    <col min="15" max="16384" width="9.1328125" style="50"/>
  </cols>
  <sheetData>
    <row r="1" spans="1:14" ht="66.75" customHeight="1" x14ac:dyDescent="0.35">
      <c r="A1" s="266" t="s">
        <v>61</v>
      </c>
      <c r="B1" s="266"/>
      <c r="C1" s="266"/>
      <c r="D1" s="266"/>
      <c r="E1" s="266"/>
      <c r="F1" s="266"/>
      <c r="G1" s="266"/>
      <c r="H1" s="266"/>
    </row>
    <row r="2" spans="1:14" s="51" customFormat="1" ht="25.5" customHeight="1" x14ac:dyDescent="0.35">
      <c r="A2" s="257" t="str">
        <f>Overview!B4&amp; " - Effective from "&amp;Overview!D4&amp;" - "&amp;Overview!E4&amp;" Designated EHV import charges"</f>
        <v>South Eastern Power Networks - Effective from 1 April 2026 - Final Designated EHV import charges</v>
      </c>
      <c r="B2" s="258"/>
      <c r="C2" s="258"/>
      <c r="D2" s="258"/>
      <c r="E2" s="258"/>
      <c r="F2" s="258"/>
      <c r="G2" s="258"/>
      <c r="H2" s="259"/>
    </row>
    <row r="3" spans="1:14" s="82" customFormat="1" ht="17.649999999999999" x14ac:dyDescent="0.35">
      <c r="A3" s="86"/>
      <c r="B3" s="86"/>
      <c r="C3" s="86"/>
      <c r="D3" s="87"/>
      <c r="E3" s="88"/>
      <c r="F3" s="88"/>
      <c r="G3" s="89"/>
      <c r="H3" s="89"/>
      <c r="I3" s="81"/>
      <c r="J3" s="81"/>
      <c r="K3" s="81"/>
      <c r="L3" s="81"/>
      <c r="M3" s="81"/>
      <c r="N3" s="81"/>
    </row>
    <row r="4" spans="1:14" ht="60.75" customHeight="1" x14ac:dyDescent="0.35">
      <c r="A4" s="52" t="s">
        <v>46</v>
      </c>
      <c r="B4" s="53" t="s">
        <v>703</v>
      </c>
      <c r="C4" s="52" t="s">
        <v>31</v>
      </c>
      <c r="D4" s="54" t="s">
        <v>26</v>
      </c>
      <c r="E4" s="126" t="str">
        <f>'Annex 2 Designated EHV charges'!I9</f>
        <v>Import
Super Red
unit charge
(p/kWh)</v>
      </c>
      <c r="F4" s="126" t="str">
        <f>'Annex 2 Designated EHV charges'!J9</f>
        <v>Import
fixed charge
(p/day)</v>
      </c>
      <c r="G4" s="126" t="str">
        <f>'Annex 2 Designated EHV charges'!K9</f>
        <v>Import
capacity charge
(p/kVA/day)</v>
      </c>
      <c r="H4" s="126" t="str">
        <f>'Annex 2 Designated EHV charges'!L9</f>
        <v>Import
exceeded capacity charge
(p/kVA/day)</v>
      </c>
    </row>
    <row r="5" spans="1:14" ht="12.75" customHeight="1" x14ac:dyDescent="0.35">
      <c r="A5" s="94" t="str" cm="1">
        <f t="array" ref="A5">IFERROR(INDEX('Annex 2 Designated EHV charges'!$A$10:$A$200, MATCH(0, IF(ISBLANK('Annex 2 Designated EHV charges'!$A$10:$A$200),1, COUNTIF(A$4:$A4, 'Annex 2 Designated EHV charges'!$A$10:$A$200)), 0)),"")</f>
        <v>B&amp;RLTD</v>
      </c>
      <c r="B5" s="94">
        <f>IF($A5="","",VLOOKUP($A5,'Annex 2 Designated EHV charges'!$A:$O,2,0))</f>
        <v>834</v>
      </c>
      <c r="C5" s="95" t="str">
        <f>IF($A5="","",VLOOKUP($A5,'Annex 2 Designated EHV charges'!$A:$O,3,0))</f>
        <v>1900035000482;1900035425153</v>
      </c>
      <c r="D5" s="94" t="str">
        <f>IF($A5="","",VLOOKUP($A5,'Annex 2 Designated EHV charges'!$A:$O,7,0))</f>
        <v>B&amp;RLTD</v>
      </c>
      <c r="E5" s="97">
        <f>IFERROR(IF(VLOOKUP($A5,'Annex 2 Designated EHV charges'!$A:$O,9,FALSE)=0,"",VLOOKUP($A5,'Annex 2 Designated EHV charges'!$A:$O,9,FALSE)),"")</f>
        <v>3.0830000000000002</v>
      </c>
      <c r="F5" s="98">
        <f>IFERROR(IF(VLOOKUP($A5,'Annex 2 Designated EHV charges'!$A:$O,10,FALSE)=0,"",VLOOKUP($A5,'Annex 2 Designated EHV charges'!$A:$O,10,FALSE)),"")</f>
        <v>2924.71</v>
      </c>
      <c r="G5" s="99">
        <f>IFERROR(IF(VLOOKUP($A5,'Annex 2 Designated EHV charges'!$A:$O,11,FALSE)=0,"",VLOOKUP($A5,'Annex 2 Designated EHV charges'!$A:$O,11,FALSE)),"")</f>
        <v>3.76</v>
      </c>
      <c r="H5" s="99">
        <f>IFERROR(IF(VLOOKUP($A5,'Annex 2 Designated EHV charges'!$A:$O,12,FALSE)=0,"",VLOOKUP($A5,'Annex 2 Designated EHV charges'!$A:$O,12,FALSE)),"")</f>
        <v>3.76</v>
      </c>
    </row>
    <row r="6" spans="1:14" ht="12.75" customHeight="1" x14ac:dyDescent="0.35">
      <c r="A6" s="94" t="str" cm="1">
        <f t="array" ref="A6">IFERROR(INDEX('Annex 2 Designated EHV charges'!$A$10:$A$200, MATCH(0, IF(ISBLANK('Annex 2 Designated EHV charges'!$A$10:$A$200),1, COUNTIF(A$4:$A5, 'Annex 2 Designated EHV charges'!$A$10:$A$200)), 0)),"")</f>
        <v>BEDDIN</v>
      </c>
      <c r="B6" s="94">
        <f>IF($A6="","",VLOOKUP($A6,'Annex 2 Designated EHV charges'!$A:$O,2,0))</f>
        <v>889</v>
      </c>
      <c r="C6" s="95" t="str">
        <f>IF($A6="","",VLOOKUP($A6,'Annex 2 Designated EHV charges'!$A:$O,3,0))</f>
        <v>1900070745640;1900070745650;1900070745669;1900070745678</v>
      </c>
      <c r="D6" s="94" t="str">
        <f>IF($A6="","",VLOOKUP($A6,'Annex 2 Designated EHV charges'!$A:$O,7,0))</f>
        <v>BEDDIN</v>
      </c>
      <c r="E6" s="97" t="str">
        <f>IFERROR(IF(VLOOKUP($A6,'Annex 2 Designated EHV charges'!$A:$O,9,FALSE)=0,"",VLOOKUP($A6,'Annex 2 Designated EHV charges'!$A:$O,9,FALSE)),"")</f>
        <v/>
      </c>
      <c r="F6" s="98">
        <f>IFERROR(IF(VLOOKUP($A6,'Annex 2 Designated EHV charges'!$A:$O,10,FALSE)=0,"",VLOOKUP($A6,'Annex 2 Designated EHV charges'!$A:$O,10,FALSE)),"")</f>
        <v>12381.31</v>
      </c>
      <c r="G6" s="99">
        <f>IFERROR(IF(VLOOKUP($A6,'Annex 2 Designated EHV charges'!$A:$O,11,FALSE)=0,"",VLOOKUP($A6,'Annex 2 Designated EHV charges'!$A:$O,11,FALSE)),"")</f>
        <v>1.54</v>
      </c>
      <c r="H6" s="99">
        <f>IFERROR(IF(VLOOKUP($A6,'Annex 2 Designated EHV charges'!$A:$O,12,FALSE)=0,"",VLOOKUP($A6,'Annex 2 Designated EHV charges'!$A:$O,12,FALSE)),"")</f>
        <v>1.54</v>
      </c>
    </row>
    <row r="7" spans="1:14" ht="12.75" customHeight="1" x14ac:dyDescent="0.35">
      <c r="A7" s="94" t="str" cm="1">
        <f t="array" ref="A7">IFERROR(INDEX('Annex 2 Designated EHV charges'!$A$10:$A$200, MATCH(0, IF(ISBLANK('Annex 2 Designated EHV charges'!$A$10:$A$200),1, COUNTIF(A$4:$A6, 'Annex 2 Designated EHV charges'!$A$10:$A$200)), 0)),"")</f>
        <v>BP_OIL</v>
      </c>
      <c r="B7" s="94">
        <f>IF($A7="","",VLOOKUP($A7,'Annex 2 Designated EHV charges'!$A:$O,2,0))</f>
        <v>835</v>
      </c>
      <c r="C7" s="95" t="str">
        <f>IF($A7="","",VLOOKUP($A7,'Annex 2 Designated EHV charges'!$A:$O,3,0))</f>
        <v>1900017426438;1900017426447</v>
      </c>
      <c r="D7" s="94" t="str">
        <f>IF($A7="","",VLOOKUP($A7,'Annex 2 Designated EHV charges'!$A:$O,7,0))</f>
        <v>BP_OIL</v>
      </c>
      <c r="E7" s="97" t="str">
        <f>IFERROR(IF(VLOOKUP($A7,'Annex 2 Designated EHV charges'!$A:$O,9,FALSE)=0,"",VLOOKUP($A7,'Annex 2 Designated EHV charges'!$A:$O,9,FALSE)),"")</f>
        <v/>
      </c>
      <c r="F7" s="98">
        <f>IFERROR(IF(VLOOKUP($A7,'Annex 2 Designated EHV charges'!$A:$O,10,FALSE)=0,"",VLOOKUP($A7,'Annex 2 Designated EHV charges'!$A:$O,10,FALSE)),"")</f>
        <v>2924.71</v>
      </c>
      <c r="G7" s="99">
        <f>IFERROR(IF(VLOOKUP($A7,'Annex 2 Designated EHV charges'!$A:$O,11,FALSE)=0,"",VLOOKUP($A7,'Annex 2 Designated EHV charges'!$A:$O,11,FALSE)),"")</f>
        <v>1.27</v>
      </c>
      <c r="H7" s="99">
        <f>IFERROR(IF(VLOOKUP($A7,'Annex 2 Designated EHV charges'!$A:$O,12,FALSE)=0,"",VLOOKUP($A7,'Annex 2 Designated EHV charges'!$A:$O,12,FALSE)),"")</f>
        <v>1.27</v>
      </c>
    </row>
    <row r="8" spans="1:14" ht="12.75" customHeight="1" x14ac:dyDescent="0.35">
      <c r="A8" s="94" t="str" cm="1">
        <f t="array" ref="A8">IFERROR(INDEX('Annex 2 Designated EHV charges'!$A$10:$A$200, MATCH(0, IF(ISBLANK('Annex 2 Designated EHV charges'!$A$10:$A$200),1, COUNTIF(A$4:$A7, 'Annex 2 Designated EHV charges'!$A$10:$A$200)), 0)),"")</f>
        <v>CHESDC</v>
      </c>
      <c r="B8" s="94">
        <f>IF($A8="","",VLOOKUP($A8,'Annex 2 Designated EHV charges'!$A:$O,2,0))</f>
        <v>0</v>
      </c>
      <c r="C8" s="95" t="str">
        <f>IF($A8="","",VLOOKUP($A8,'Annex 2 Designated EHV charges'!$A:$O,3,0))</f>
        <v>ENET</v>
      </c>
      <c r="D8" s="94" t="str">
        <f>IF($A8="","",VLOOKUP($A8,'Annex 2 Designated EHV charges'!$A:$O,7,0))</f>
        <v>CHESDC</v>
      </c>
      <c r="E8" s="97">
        <f>IFERROR(IF(VLOOKUP($A8,'Annex 2 Designated EHV charges'!$A:$O,9,FALSE)=0,"",VLOOKUP($A8,'Annex 2 Designated EHV charges'!$A:$O,9,FALSE)),"")</f>
        <v>6.0000000000000001E-3</v>
      </c>
      <c r="F8" s="98">
        <f>IFERROR(IF(VLOOKUP($A8,'Annex 2 Designated EHV charges'!$A:$O,10,FALSE)=0,"",VLOOKUP($A8,'Annex 2 Designated EHV charges'!$A:$O,10,FALSE)),"")</f>
        <v>30489.61</v>
      </c>
      <c r="G8" s="99">
        <f>IFERROR(IF(VLOOKUP($A8,'Annex 2 Designated EHV charges'!$A:$O,11,FALSE)=0,"",VLOOKUP($A8,'Annex 2 Designated EHV charges'!$A:$O,11,FALSE)),"")</f>
        <v>0.99</v>
      </c>
      <c r="H8" s="99">
        <f>IFERROR(IF(VLOOKUP($A8,'Annex 2 Designated EHV charges'!$A:$O,12,FALSE)=0,"",VLOOKUP($A8,'Annex 2 Designated EHV charges'!$A:$O,12,FALSE)),"")</f>
        <v>0.99</v>
      </c>
    </row>
    <row r="9" spans="1:14" ht="12.75" customHeight="1" x14ac:dyDescent="0.35">
      <c r="A9" s="94" t="str" cm="1">
        <f t="array" ref="A9">IFERROR(INDEX('Annex 2 Designated EHV charges'!$A$10:$A$200, MATCH(0, IF(ISBLANK('Annex 2 Designated EHV charges'!$A$10:$A$200),1, COUNTIF(A$4:$A8, 'Annex 2 Designated EHV charges'!$A$10:$A$200)), 0)),"")</f>
        <v>DIGREA</v>
      </c>
      <c r="B9" s="94">
        <f>IF($A9="","",VLOOKUP($A9,'Annex 2 Designated EHV charges'!$A:$O,2,0))</f>
        <v>833</v>
      </c>
      <c r="C9" s="95" t="str">
        <f>IF($A9="","",VLOOKUP($A9,'Annex 2 Designated EHV charges'!$A:$O,3,0))</f>
        <v>1900091200323;1900091200332</v>
      </c>
      <c r="D9" s="94" t="str">
        <f>IF($A9="","",VLOOKUP($A9,'Annex 2 Designated EHV charges'!$A:$O,7,0))</f>
        <v>DIGREA</v>
      </c>
      <c r="E9" s="97" t="str">
        <f>IFERROR(IF(VLOOKUP($A9,'Annex 2 Designated EHV charges'!$A:$O,9,FALSE)=0,"",VLOOKUP($A9,'Annex 2 Designated EHV charges'!$A:$O,9,FALSE)),"")</f>
        <v/>
      </c>
      <c r="F9" s="98">
        <f>IFERROR(IF(VLOOKUP($A9,'Annex 2 Designated EHV charges'!$A:$O,10,FALSE)=0,"",VLOOKUP($A9,'Annex 2 Designated EHV charges'!$A:$O,10,FALSE)),"")</f>
        <v>64636.84</v>
      </c>
      <c r="G9" s="99">
        <f>IFERROR(IF(VLOOKUP($A9,'Annex 2 Designated EHV charges'!$A:$O,11,FALSE)=0,"",VLOOKUP($A9,'Annex 2 Designated EHV charges'!$A:$O,11,FALSE)),"")</f>
        <v>2.19</v>
      </c>
      <c r="H9" s="99">
        <f>IFERROR(IF(VLOOKUP($A9,'Annex 2 Designated EHV charges'!$A:$O,12,FALSE)=0,"",VLOOKUP($A9,'Annex 2 Designated EHV charges'!$A:$O,12,FALSE)),"")</f>
        <v>2.19</v>
      </c>
    </row>
    <row r="10" spans="1:14" ht="12.75" customHeight="1" x14ac:dyDescent="0.35">
      <c r="A10" s="94" t="str" cm="1">
        <f t="array" ref="A10">IFERROR(INDEX('Annex 2 Designated EHV charges'!$A$10:$A$200, MATCH(0, IF(ISBLANK('Annex 2 Designated EHV charges'!$A$10:$A$200),1, COUNTIF(A$4:$A9, 'Annex 2 Designated EHV charges'!$A$10:$A$200)), 0)),"")</f>
        <v>EUROTU</v>
      </c>
      <c r="B10" s="94">
        <f>IF($A10="","",VLOOKUP($A10,'Annex 2 Designated EHV charges'!$A:$O,2,0))</f>
        <v>874</v>
      </c>
      <c r="C10" s="95">
        <f>IF($A10="","",VLOOKUP($A10,'Annex 2 Designated EHV charges'!$A:$O,3,0))</f>
        <v>1900060219605</v>
      </c>
      <c r="D10" s="94" t="str">
        <f>IF($A10="","",VLOOKUP($A10,'Annex 2 Designated EHV charges'!$A:$O,7,0))</f>
        <v>EUROTU</v>
      </c>
      <c r="E10" s="97" t="str">
        <f>IFERROR(IF(VLOOKUP($A10,'Annex 2 Designated EHV charges'!$A:$O,9,FALSE)=0,"",VLOOKUP($A10,'Annex 2 Designated EHV charges'!$A:$O,9,FALSE)),"")</f>
        <v/>
      </c>
      <c r="F10" s="98">
        <f>IFERROR(IF(VLOOKUP($A10,'Annex 2 Designated EHV charges'!$A:$O,10,FALSE)=0,"",VLOOKUP($A10,'Annex 2 Designated EHV charges'!$A:$O,10,FALSE)),"")</f>
        <v>171681.47</v>
      </c>
      <c r="G10" s="99">
        <f>IFERROR(IF(VLOOKUP($A10,'Annex 2 Designated EHV charges'!$A:$O,11,FALSE)=0,"",VLOOKUP($A10,'Annex 2 Designated EHV charges'!$A:$O,11,FALSE)),"")</f>
        <v>0.74</v>
      </c>
      <c r="H10" s="99">
        <f>IFERROR(IF(VLOOKUP($A10,'Annex 2 Designated EHV charges'!$A:$O,12,FALSE)=0,"",VLOOKUP($A10,'Annex 2 Designated EHV charges'!$A:$O,12,FALSE)),"")</f>
        <v>0.74</v>
      </c>
    </row>
    <row r="11" spans="1:14" ht="12.75" customHeight="1" x14ac:dyDescent="0.35">
      <c r="A11" s="94" t="str" cm="1">
        <f t="array" ref="A11">IFERROR(INDEX('Annex 2 Designated EHV charges'!$A$10:$A$200, MATCH(0, IF(ISBLANK('Annex 2 Designated EHV charges'!$A$10:$A$200),1, COUNTIF(A$4:$A10, 'Annex 2 Designated EHV charges'!$A$10:$A$200)), 0)),"")</f>
        <v>GAT_AF</v>
      </c>
      <c r="B11" s="94">
        <f>IF($A11="","",VLOOKUP($A11,'Annex 2 Designated EHV charges'!$A:$O,2,0))</f>
        <v>869</v>
      </c>
      <c r="C11" s="95" t="str">
        <f>IF($A11="","",VLOOKUP($A11,'Annex 2 Designated EHV charges'!$A:$O,3,0))</f>
        <v>1900017427938;1900017427947;1900060576620</v>
      </c>
      <c r="D11" s="94" t="str">
        <f>IF($A11="","",VLOOKUP($A11,'Annex 2 Designated EHV charges'!$A:$O,7,0))</f>
        <v>GAT_AF</v>
      </c>
      <c r="E11" s="97">
        <f>IFERROR(IF(VLOOKUP($A11,'Annex 2 Designated EHV charges'!$A:$O,9,FALSE)=0,"",VLOOKUP($A11,'Annex 2 Designated EHV charges'!$A:$O,9,FALSE)),"")</f>
        <v>1.5880000000000001</v>
      </c>
      <c r="F11" s="98">
        <f>IFERROR(IF(VLOOKUP($A11,'Annex 2 Designated EHV charges'!$A:$O,10,FALSE)=0,"",VLOOKUP($A11,'Annex 2 Designated EHV charges'!$A:$O,10,FALSE)),"")</f>
        <v>34658.589999999997</v>
      </c>
      <c r="G11" s="99">
        <f>IFERROR(IF(VLOOKUP($A11,'Annex 2 Designated EHV charges'!$A:$O,11,FALSE)=0,"",VLOOKUP($A11,'Annex 2 Designated EHV charges'!$A:$O,11,FALSE)),"")</f>
        <v>2.3199999999999998</v>
      </c>
      <c r="H11" s="99">
        <f>IFERROR(IF(VLOOKUP($A11,'Annex 2 Designated EHV charges'!$A:$O,12,FALSE)=0,"",VLOOKUP($A11,'Annex 2 Designated EHV charges'!$A:$O,12,FALSE)),"")</f>
        <v>2.3199999999999998</v>
      </c>
    </row>
    <row r="12" spans="1:14" ht="12.75" customHeight="1" x14ac:dyDescent="0.35">
      <c r="A12" s="94" t="str" cm="1">
        <f t="array" ref="A12">IFERROR(INDEX('Annex 2 Designated EHV charges'!$A$10:$A$200, MATCH(0, IF(ISBLANK('Annex 2 Designated EHV charges'!$A$10:$A$200),1, COUNTIF(A$4:$A11, 'Annex 2 Designated EHV charges'!$A$10:$A$200)), 0)),"")</f>
        <v>GAT_BF</v>
      </c>
      <c r="B12" s="94">
        <f>IF($A12="","",VLOOKUP($A12,'Annex 2 Designated EHV charges'!$A:$O,2,0))</f>
        <v>870</v>
      </c>
      <c r="C12" s="95" t="str">
        <f>IF($A12="","",VLOOKUP($A12,'Annex 2 Designated EHV charges'!$A:$O,3,0))</f>
        <v>1900060690231;1900060690240</v>
      </c>
      <c r="D12" s="94" t="str">
        <f>IF($A12="","",VLOOKUP($A12,'Annex 2 Designated EHV charges'!$A:$O,7,0))</f>
        <v>GAT_BF</v>
      </c>
      <c r="E12" s="97">
        <f>IFERROR(IF(VLOOKUP($A12,'Annex 2 Designated EHV charges'!$A:$O,9,FALSE)=0,"",VLOOKUP($A12,'Annex 2 Designated EHV charges'!$A:$O,9,FALSE)),"")</f>
        <v>0.69899999999999995</v>
      </c>
      <c r="F12" s="98">
        <f>IFERROR(IF(VLOOKUP($A12,'Annex 2 Designated EHV charges'!$A:$O,10,FALSE)=0,"",VLOOKUP($A12,'Annex 2 Designated EHV charges'!$A:$O,10,FALSE)),"")</f>
        <v>33778.28</v>
      </c>
      <c r="G12" s="99">
        <f>IFERROR(IF(VLOOKUP($A12,'Annex 2 Designated EHV charges'!$A:$O,11,FALSE)=0,"",VLOOKUP($A12,'Annex 2 Designated EHV charges'!$A:$O,11,FALSE)),"")</f>
        <v>2.13</v>
      </c>
      <c r="H12" s="99">
        <f>IFERROR(IF(VLOOKUP($A12,'Annex 2 Designated EHV charges'!$A:$O,12,FALSE)=0,"",VLOOKUP($A12,'Annex 2 Designated EHV charges'!$A:$O,12,FALSE)),"")</f>
        <v>2.13</v>
      </c>
    </row>
    <row r="13" spans="1:14" ht="12.75" customHeight="1" x14ac:dyDescent="0.35">
      <c r="A13" s="94" t="str" cm="1">
        <f t="array" ref="A13">IFERROR(INDEX('Annex 2 Designated EHV charges'!$A$10:$A$200, MATCH(0, IF(ISBLANK('Annex 2 Designated EHV charges'!$A$10:$A$200),1, COUNTIF(A$4:$A12, 'Annex 2 Designated EHV charges'!$A$10:$A$200)), 0)),"")</f>
        <v>GATWEV</v>
      </c>
      <c r="B13" s="94">
        <f>IF($A13="","",VLOOKUP($A13,'Annex 2 Designated EHV charges'!$A:$O,2,0))</f>
        <v>924</v>
      </c>
      <c r="C13" s="95">
        <f>IF($A13="","",VLOOKUP($A13,'Annex 2 Designated EHV charges'!$A:$O,3,0))</f>
        <v>1900092421070</v>
      </c>
      <c r="D13" s="94" t="str">
        <f>IF($A13="","",VLOOKUP($A13,'Annex 2 Designated EHV charges'!$A:$O,7,0))</f>
        <v>GATWEV</v>
      </c>
      <c r="E13" s="97">
        <f>IFERROR(IF(VLOOKUP($A13,'Annex 2 Designated EHV charges'!$A:$O,9,FALSE)=0,"",VLOOKUP($A13,'Annex 2 Designated EHV charges'!$A:$O,9,FALSE)),"")</f>
        <v>0.89300000000000002</v>
      </c>
      <c r="F13" s="98">
        <f>IFERROR(IF(VLOOKUP($A13,'Annex 2 Designated EHV charges'!$A:$O,10,FALSE)=0,"",VLOOKUP($A13,'Annex 2 Designated EHV charges'!$A:$O,10,FALSE)),"")</f>
        <v>2932.18</v>
      </c>
      <c r="G13" s="99">
        <f>IFERROR(IF(VLOOKUP($A13,'Annex 2 Designated EHV charges'!$A:$O,11,FALSE)=0,"",VLOOKUP($A13,'Annex 2 Designated EHV charges'!$A:$O,11,FALSE)),"")</f>
        <v>1.58</v>
      </c>
      <c r="H13" s="99">
        <f>IFERROR(IF(VLOOKUP($A13,'Annex 2 Designated EHV charges'!$A:$O,12,FALSE)=0,"",VLOOKUP($A13,'Annex 2 Designated EHV charges'!$A:$O,12,FALSE)),"")</f>
        <v>1.58</v>
      </c>
    </row>
    <row r="14" spans="1:14" ht="12.75" customHeight="1" x14ac:dyDescent="0.35">
      <c r="A14" s="94" t="str" cm="1">
        <f t="array" ref="A14">IFERROR(INDEX('Annex 2 Designated EHV charges'!$A$10:$A$200, MATCH(0, IF(ISBLANK('Annex 2 Designated EHV charges'!$A$10:$A$200),1, COUNTIF(A$4:$A13, 'Annex 2 Designated EHV charges'!$A$10:$A$200)), 0)),"")</f>
        <v>KNGSPN</v>
      </c>
      <c r="B14" s="94">
        <f>IF($A14="","",VLOOKUP($A14,'Annex 2 Designated EHV charges'!$A:$O,2,0))</f>
        <v>0</v>
      </c>
      <c r="C14" s="95" t="str">
        <f>IF($A14="","",VLOOKUP($A14,'Annex 2 Designated EHV charges'!$A:$O,3,0))</f>
        <v>MSID: 1027</v>
      </c>
      <c r="D14" s="94" t="str">
        <f>IF($A14="","",VLOOKUP($A14,'Annex 2 Designated EHV charges'!$A:$O,7,0))</f>
        <v>KNGSPN</v>
      </c>
      <c r="E14" s="97" t="str">
        <f>IFERROR(IF(VLOOKUP($A14,'Annex 2 Designated EHV charges'!$A:$O,9,FALSE)=0,"",VLOOKUP($A14,'Annex 2 Designated EHV charges'!$A:$O,9,FALSE)),"")</f>
        <v/>
      </c>
      <c r="F14" s="98">
        <f>IFERROR(IF(VLOOKUP($A14,'Annex 2 Designated EHV charges'!$A:$O,10,FALSE)=0,"",VLOOKUP($A14,'Annex 2 Designated EHV charges'!$A:$O,10,FALSE)),"")</f>
        <v>62199.79</v>
      </c>
      <c r="G14" s="99">
        <f>IFERROR(IF(VLOOKUP($A14,'Annex 2 Designated EHV charges'!$A:$O,11,FALSE)=0,"",VLOOKUP($A14,'Annex 2 Designated EHV charges'!$A:$O,11,FALSE)),"")</f>
        <v>2.83</v>
      </c>
      <c r="H14" s="99">
        <f>IFERROR(IF(VLOOKUP($A14,'Annex 2 Designated EHV charges'!$A:$O,12,FALSE)=0,"",VLOOKUP($A14,'Annex 2 Designated EHV charges'!$A:$O,12,FALSE)),"")</f>
        <v>2.83</v>
      </c>
    </row>
    <row r="15" spans="1:14" ht="12.75" customHeight="1" x14ac:dyDescent="0.35">
      <c r="A15" s="94" t="str" cm="1">
        <f t="array" ref="A15">IFERROR(INDEX('Annex 2 Designated EHV charges'!$A$10:$A$200, MATCH(0, IF(ISBLANK('Annex 2 Designated EHV charges'!$A$10:$A$200),1, COUNTIF(A$4:$A14, 'Annex 2 Designated EHV charges'!$A$10:$A$200)), 0)),"")</f>
        <v>NP_LAB</v>
      </c>
      <c r="B15" s="94">
        <f>IF($A15="","",VLOOKUP($A15,'Annex 2 Designated EHV charges'!$A:$O,2,0))</f>
        <v>837</v>
      </c>
      <c r="C15" s="95">
        <f>IF($A15="","",VLOOKUP($A15,'Annex 2 Designated EHV charges'!$A:$O,3,0))</f>
        <v>1900047386380</v>
      </c>
      <c r="D15" s="94" t="str">
        <f>IF($A15="","",VLOOKUP($A15,'Annex 2 Designated EHV charges'!$A:$O,7,0))</f>
        <v>NP_LAB</v>
      </c>
      <c r="E15" s="97">
        <f>IFERROR(IF(VLOOKUP($A15,'Annex 2 Designated EHV charges'!$A:$O,9,FALSE)=0,"",VLOOKUP($A15,'Annex 2 Designated EHV charges'!$A:$O,9,FALSE)),"")</f>
        <v>2.548</v>
      </c>
      <c r="F15" s="98">
        <f>IFERROR(IF(VLOOKUP($A15,'Annex 2 Designated EHV charges'!$A:$O,10,FALSE)=0,"",VLOOKUP($A15,'Annex 2 Designated EHV charges'!$A:$O,10,FALSE)),"")</f>
        <v>3318.47</v>
      </c>
      <c r="G15" s="99">
        <f>IFERROR(IF(VLOOKUP($A15,'Annex 2 Designated EHV charges'!$A:$O,11,FALSE)=0,"",VLOOKUP($A15,'Annex 2 Designated EHV charges'!$A:$O,11,FALSE)),"")</f>
        <v>3.09</v>
      </c>
      <c r="H15" s="99">
        <f>IFERROR(IF(VLOOKUP($A15,'Annex 2 Designated EHV charges'!$A:$O,12,FALSE)=0,"",VLOOKUP($A15,'Annex 2 Designated EHV charges'!$A:$O,12,FALSE)),"")</f>
        <v>3.09</v>
      </c>
    </row>
    <row r="16" spans="1:14" ht="12.75" customHeight="1" x14ac:dyDescent="0.35">
      <c r="A16" s="94" t="str" cm="1">
        <f t="array" ref="A16">IFERROR(INDEX('Annex 2 Designated EHV charges'!$A$10:$A$200, MATCH(0, IF(ISBLANK('Annex 2 Designated EHV charges'!$A$10:$A$200),1, COUNTIF(A$4:$A15, 'Annex 2 Designated EHV charges'!$A$10:$A$200)), 0)),"")</f>
        <v>NR_3BR</v>
      </c>
      <c r="B16" s="94">
        <f>IF($A16="","",VLOOKUP($A16,'Annex 2 Designated EHV charges'!$A:$O,2,0))</f>
        <v>866</v>
      </c>
      <c r="C16" s="95">
        <f>IF($A16="","",VLOOKUP($A16,'Annex 2 Designated EHV charges'!$A:$O,3,0))</f>
        <v>1900060219145</v>
      </c>
      <c r="D16" s="94" t="str">
        <f>IF($A16="","",VLOOKUP($A16,'Annex 2 Designated EHV charges'!$A:$O,7,0))</f>
        <v>NR_3BR</v>
      </c>
      <c r="E16" s="97">
        <f>IFERROR(IF(VLOOKUP($A16,'Annex 2 Designated EHV charges'!$A:$O,9,FALSE)=0,"",VLOOKUP($A16,'Annex 2 Designated EHV charges'!$A:$O,9,FALSE)),"")</f>
        <v>0.71099999999999997</v>
      </c>
      <c r="F16" s="98">
        <f>IFERROR(IF(VLOOKUP($A16,'Annex 2 Designated EHV charges'!$A:$O,10,FALSE)=0,"",VLOOKUP($A16,'Annex 2 Designated EHV charges'!$A:$O,10,FALSE)),"")</f>
        <v>63537.2</v>
      </c>
      <c r="G16" s="99">
        <f>IFERROR(IF(VLOOKUP($A16,'Annex 2 Designated EHV charges'!$A:$O,11,FALSE)=0,"",VLOOKUP($A16,'Annex 2 Designated EHV charges'!$A:$O,11,FALSE)),"")</f>
        <v>2.2599999999999998</v>
      </c>
      <c r="H16" s="99">
        <f>IFERROR(IF(VLOOKUP($A16,'Annex 2 Designated EHV charges'!$A:$O,12,FALSE)=0,"",VLOOKUP($A16,'Annex 2 Designated EHV charges'!$A:$O,12,FALSE)),"")</f>
        <v>2.2599999999999998</v>
      </c>
    </row>
    <row r="17" spans="1:8" ht="12.75" customHeight="1" x14ac:dyDescent="0.35">
      <c r="A17" s="94" t="str" cm="1">
        <f t="array" ref="A17">IFERROR(INDEX('Annex 2 Designated EHV charges'!$A$10:$A$200, MATCH(0, IF(ISBLANK('Annex 2 Designated EHV charges'!$A$10:$A$200),1, COUNTIF(A$4:$A16, 'Annex 2 Designated EHV charges'!$A$10:$A$200)), 0)),"")</f>
        <v>NR_AFD</v>
      </c>
      <c r="B17" s="94">
        <f>IF($A17="","",VLOOKUP($A17,'Annex 2 Designated EHV charges'!$A:$O,2,0))</f>
        <v>851</v>
      </c>
      <c r="C17" s="95">
        <f>IF($A17="","",VLOOKUP($A17,'Annex 2 Designated EHV charges'!$A:$O,3,0))</f>
        <v>1900060219377</v>
      </c>
      <c r="D17" s="94" t="str">
        <f>IF($A17="","",VLOOKUP($A17,'Annex 2 Designated EHV charges'!$A:$O,7,0))</f>
        <v>NR_AFD</v>
      </c>
      <c r="E17" s="97">
        <f>IFERROR(IF(VLOOKUP($A17,'Annex 2 Designated EHV charges'!$A:$O,9,FALSE)=0,"",VLOOKUP($A17,'Annex 2 Designated EHV charges'!$A:$O,9,FALSE)),"")</f>
        <v>2.1179999999999999</v>
      </c>
      <c r="F17" s="98">
        <f>IFERROR(IF(VLOOKUP($A17,'Annex 2 Designated EHV charges'!$A:$O,10,FALSE)=0,"",VLOOKUP($A17,'Annex 2 Designated EHV charges'!$A:$O,10,FALSE)),"")</f>
        <v>33778.28</v>
      </c>
      <c r="G17" s="99">
        <f>IFERROR(IF(VLOOKUP($A17,'Annex 2 Designated EHV charges'!$A:$O,11,FALSE)=0,"",VLOOKUP($A17,'Annex 2 Designated EHV charges'!$A:$O,11,FALSE)),"")</f>
        <v>2.38</v>
      </c>
      <c r="H17" s="99">
        <f>IFERROR(IF(VLOOKUP($A17,'Annex 2 Designated EHV charges'!$A:$O,12,FALSE)=0,"",VLOOKUP($A17,'Annex 2 Designated EHV charges'!$A:$O,12,FALSE)),"")</f>
        <v>2.38</v>
      </c>
    </row>
    <row r="18" spans="1:8" ht="12.75" customHeight="1" x14ac:dyDescent="0.35">
      <c r="A18" s="94" t="str" cm="1">
        <f t="array" ref="A18">IFERROR(INDEX('Annex 2 Designated EHV charges'!$A$10:$A$200, MATCH(0, IF(ISBLANK('Annex 2 Designated EHV charges'!$A$10:$A$200),1, COUNTIF(A$4:$A17, 'Annex 2 Designated EHV charges'!$A$10:$A$200)), 0)),"")</f>
        <v>NR_ASH</v>
      </c>
      <c r="B18" s="94">
        <f>IF($A18="","",VLOOKUP($A18,'Annex 2 Designated EHV charges'!$A:$O,2,0))</f>
        <v>879</v>
      </c>
      <c r="C18" s="95">
        <f>IF($A18="","",VLOOKUP($A18,'Annex 2 Designated EHV charges'!$A:$O,3,0))</f>
        <v>1900070068129</v>
      </c>
      <c r="D18" s="94" t="str">
        <f>IF($A18="","",VLOOKUP($A18,'Annex 2 Designated EHV charges'!$A:$O,7,0))</f>
        <v>NR_ASH</v>
      </c>
      <c r="E18" s="97">
        <f>IFERROR(IF(VLOOKUP($A18,'Annex 2 Designated EHV charges'!$A:$O,9,FALSE)=0,"",VLOOKUP($A18,'Annex 2 Designated EHV charges'!$A:$O,9,FALSE)),"")</f>
        <v>0.30099999999999999</v>
      </c>
      <c r="F18" s="98">
        <f>IFERROR(IF(VLOOKUP($A18,'Annex 2 Designated EHV charges'!$A:$O,10,FALSE)=0,"",VLOOKUP($A18,'Annex 2 Designated EHV charges'!$A:$O,10,FALSE)),"")</f>
        <v>33778.28</v>
      </c>
      <c r="G18" s="99">
        <f>IFERROR(IF(VLOOKUP($A18,'Annex 2 Designated EHV charges'!$A:$O,11,FALSE)=0,"",VLOOKUP($A18,'Annex 2 Designated EHV charges'!$A:$O,11,FALSE)),"")</f>
        <v>3.36</v>
      </c>
      <c r="H18" s="99">
        <f>IFERROR(IF(VLOOKUP($A18,'Annex 2 Designated EHV charges'!$A:$O,12,FALSE)=0,"",VLOOKUP($A18,'Annex 2 Designated EHV charges'!$A:$O,12,FALSE)),"")</f>
        <v>3.36</v>
      </c>
    </row>
    <row r="19" spans="1:8" ht="12.75" customHeight="1" x14ac:dyDescent="0.35">
      <c r="A19" s="94" t="str" cm="1">
        <f t="array" ref="A19">IFERROR(INDEX('Annex 2 Designated EHV charges'!$A$10:$A$200, MATCH(0, IF(ISBLANK('Annex 2 Designated EHV charges'!$A$10:$A$200),1, COUNTIF(A$4:$A18, 'Annex 2 Designated EHV charges'!$A$10:$A$200)), 0)),"")</f>
        <v>NR_BRI</v>
      </c>
      <c r="B19" s="94">
        <f>IF($A19="","",VLOOKUP($A19,'Annex 2 Designated EHV charges'!$A:$O,2,0))</f>
        <v>852</v>
      </c>
      <c r="C19" s="95">
        <f>IF($A19="","",VLOOKUP($A19,'Annex 2 Designated EHV charges'!$A:$O,3,0))</f>
        <v>1900060218675</v>
      </c>
      <c r="D19" s="94" t="str">
        <f>IF($A19="","",VLOOKUP($A19,'Annex 2 Designated EHV charges'!$A:$O,7,0))</f>
        <v>NR_BRI</v>
      </c>
      <c r="E19" s="97">
        <f>IFERROR(IF(VLOOKUP($A19,'Annex 2 Designated EHV charges'!$A:$O,9,FALSE)=0,"",VLOOKUP($A19,'Annex 2 Designated EHV charges'!$A:$O,9,FALSE)),"")</f>
        <v>0.84499999999999997</v>
      </c>
      <c r="F19" s="98">
        <f>IFERROR(IF(VLOOKUP($A19,'Annex 2 Designated EHV charges'!$A:$O,10,FALSE)=0,"",VLOOKUP($A19,'Annex 2 Designated EHV charges'!$A:$O,10,FALSE)),"")</f>
        <v>63537.2</v>
      </c>
      <c r="G19" s="99">
        <f>IFERROR(IF(VLOOKUP($A19,'Annex 2 Designated EHV charges'!$A:$O,11,FALSE)=0,"",VLOOKUP($A19,'Annex 2 Designated EHV charges'!$A:$O,11,FALSE)),"")</f>
        <v>2.4900000000000002</v>
      </c>
      <c r="H19" s="99">
        <f>IFERROR(IF(VLOOKUP($A19,'Annex 2 Designated EHV charges'!$A:$O,12,FALSE)=0,"",VLOOKUP($A19,'Annex 2 Designated EHV charges'!$A:$O,12,FALSE)),"")</f>
        <v>2.4900000000000002</v>
      </c>
    </row>
    <row r="20" spans="1:8" ht="12.75" customHeight="1" x14ac:dyDescent="0.35">
      <c r="A20" s="94" t="str" cm="1">
        <f t="array" ref="A20">IFERROR(INDEX('Annex 2 Designated EHV charges'!$A$10:$A$200, MATCH(0, IF(ISBLANK('Annex 2 Designated EHV charges'!$A$10:$A$200),1, COUNTIF(A$4:$A19, 'Annex 2 Designated EHV charges'!$A$10:$A$200)), 0)),"")</f>
        <v>NR_BYF</v>
      </c>
      <c r="B20" s="94">
        <f>IF($A20="","",VLOOKUP($A20,'Annex 2 Designated EHV charges'!$A:$O,2,0))</f>
        <v>853</v>
      </c>
      <c r="C20" s="95">
        <f>IF($A20="","",VLOOKUP($A20,'Annex 2 Designated EHV charges'!$A:$O,3,0))</f>
        <v>1900060218727</v>
      </c>
      <c r="D20" s="94" t="str">
        <f>IF($A20="","",VLOOKUP($A20,'Annex 2 Designated EHV charges'!$A:$O,7,0))</f>
        <v>NR_BYF</v>
      </c>
      <c r="E20" s="97">
        <f>IFERROR(IF(VLOOKUP($A20,'Annex 2 Designated EHV charges'!$A:$O,9,FALSE)=0,"",VLOOKUP($A20,'Annex 2 Designated EHV charges'!$A:$O,9,FALSE)),"")</f>
        <v>0.68200000000000005</v>
      </c>
      <c r="F20" s="98">
        <f>IFERROR(IF(VLOOKUP($A20,'Annex 2 Designated EHV charges'!$A:$O,10,FALSE)=0,"",VLOOKUP($A20,'Annex 2 Designated EHV charges'!$A:$O,10,FALSE)),"")</f>
        <v>63537.2</v>
      </c>
      <c r="G20" s="99">
        <f>IFERROR(IF(VLOOKUP($A20,'Annex 2 Designated EHV charges'!$A:$O,11,FALSE)=0,"",VLOOKUP($A20,'Annex 2 Designated EHV charges'!$A:$O,11,FALSE)),"")</f>
        <v>2.2799999999999998</v>
      </c>
      <c r="H20" s="99">
        <f>IFERROR(IF(VLOOKUP($A20,'Annex 2 Designated EHV charges'!$A:$O,12,FALSE)=0,"",VLOOKUP($A20,'Annex 2 Designated EHV charges'!$A:$O,12,FALSE)),"")</f>
        <v>2.2799999999999998</v>
      </c>
    </row>
    <row r="21" spans="1:8" ht="12.75" customHeight="1" x14ac:dyDescent="0.35">
      <c r="A21" s="94" t="str" cm="1">
        <f t="array" ref="A21">IFERROR(INDEX('Annex 2 Designated EHV charges'!$A$10:$A$200, MATCH(0, IF(ISBLANK('Annex 2 Designated EHV charges'!$A$10:$A$200),1, COUNTIF(A$4:$A20, 'Annex 2 Designated EHV charges'!$A$10:$A$200)), 0)),"")</f>
        <v>NR_CAN</v>
      </c>
      <c r="B21" s="94">
        <f>IF($A21="","",VLOOKUP($A21,'Annex 2 Designated EHV charges'!$A:$O,2,0))</f>
        <v>854</v>
      </c>
      <c r="C21" s="95">
        <f>IF($A21="","",VLOOKUP($A21,'Annex 2 Designated EHV charges'!$A:$O,3,0))</f>
        <v>1900060218790</v>
      </c>
      <c r="D21" s="94" t="str">
        <f>IF($A21="","",VLOOKUP($A21,'Annex 2 Designated EHV charges'!$A:$O,7,0))</f>
        <v>NR_CAN</v>
      </c>
      <c r="E21" s="97">
        <f>IFERROR(IF(VLOOKUP($A21,'Annex 2 Designated EHV charges'!$A:$O,9,FALSE)=0,"",VLOOKUP($A21,'Annex 2 Designated EHV charges'!$A:$O,9,FALSE)),"")</f>
        <v>0.128</v>
      </c>
      <c r="F21" s="98">
        <f>IFERROR(IF(VLOOKUP($A21,'Annex 2 Designated EHV charges'!$A:$O,10,FALSE)=0,"",VLOOKUP($A21,'Annex 2 Designated EHV charges'!$A:$O,10,FALSE)),"")</f>
        <v>13076.04</v>
      </c>
      <c r="G21" s="99">
        <f>IFERROR(IF(VLOOKUP($A21,'Annex 2 Designated EHV charges'!$A:$O,11,FALSE)=0,"",VLOOKUP($A21,'Annex 2 Designated EHV charges'!$A:$O,11,FALSE)),"")</f>
        <v>2.4300000000000002</v>
      </c>
      <c r="H21" s="99">
        <f>IFERROR(IF(VLOOKUP($A21,'Annex 2 Designated EHV charges'!$A:$O,12,FALSE)=0,"",VLOOKUP($A21,'Annex 2 Designated EHV charges'!$A:$O,12,FALSE)),"")</f>
        <v>2.4300000000000002</v>
      </c>
    </row>
    <row r="22" spans="1:8" ht="12.75" customHeight="1" x14ac:dyDescent="0.35">
      <c r="A22" s="94" t="str" cm="1">
        <f t="array" ref="A22">IFERROR(INDEX('Annex 2 Designated EHV charges'!$A$10:$A$200, MATCH(0, IF(ISBLANK('Annex 2 Designated EHV charges'!$A$10:$A$200),1, COUNTIF(A$4:$A21, 'Annex 2 Designated EHV charges'!$A$10:$A$200)), 0)),"")</f>
        <v>NR_CRO</v>
      </c>
      <c r="B22" s="94">
        <f>IF($A22="","",VLOOKUP($A22,'Annex 2 Designated EHV charges'!$A:$O,2,0))</f>
        <v>855</v>
      </c>
      <c r="C22" s="95">
        <f>IF($A22="","",VLOOKUP($A22,'Annex 2 Designated EHV charges'!$A:$O,3,0))</f>
        <v>1900060218815</v>
      </c>
      <c r="D22" s="94" t="str">
        <f>IF($A22="","",VLOOKUP($A22,'Annex 2 Designated EHV charges'!$A:$O,7,0))</f>
        <v>NR_CRO</v>
      </c>
      <c r="E22" s="97">
        <f>IFERROR(IF(VLOOKUP($A22,'Annex 2 Designated EHV charges'!$A:$O,9,FALSE)=0,"",VLOOKUP($A22,'Annex 2 Designated EHV charges'!$A:$O,9,FALSE)),"")</f>
        <v>1.2999999999999999E-2</v>
      </c>
      <c r="F22" s="98">
        <f>IFERROR(IF(VLOOKUP($A22,'Annex 2 Designated EHV charges'!$A:$O,10,FALSE)=0,"",VLOOKUP($A22,'Annex 2 Designated EHV charges'!$A:$O,10,FALSE)),"")</f>
        <v>63091.39</v>
      </c>
      <c r="G22" s="99">
        <f>IFERROR(IF(VLOOKUP($A22,'Annex 2 Designated EHV charges'!$A:$O,11,FALSE)=0,"",VLOOKUP($A22,'Annex 2 Designated EHV charges'!$A:$O,11,FALSE)),"")</f>
        <v>2.0499999999999998</v>
      </c>
      <c r="H22" s="99">
        <f>IFERROR(IF(VLOOKUP($A22,'Annex 2 Designated EHV charges'!$A:$O,12,FALSE)=0,"",VLOOKUP($A22,'Annex 2 Designated EHV charges'!$A:$O,12,FALSE)),"")</f>
        <v>2.0499999999999998</v>
      </c>
    </row>
    <row r="23" spans="1:8" ht="12.75" customHeight="1" x14ac:dyDescent="0.35">
      <c r="A23" s="94" t="str" cm="1">
        <f t="array" ref="A23">IFERROR(INDEX('Annex 2 Designated EHV charges'!$A$10:$A$200, MATCH(0, IF(ISBLANK('Annex 2 Designated EHV charges'!$A$10:$A$200),1, COUNTIF(A$4:$A22, 'Annex 2 Designated EHV charges'!$A$10:$A$200)), 0)),"")</f>
        <v>NR_DOR</v>
      </c>
      <c r="B23" s="94">
        <f>IF($A23="","",VLOOKUP($A23,'Annex 2 Designated EHV charges'!$A:$O,2,0))</f>
        <v>856</v>
      </c>
      <c r="C23" s="95">
        <f>IF($A23="","",VLOOKUP($A23,'Annex 2 Designated EHV charges'!$A:$O,3,0))</f>
        <v>1900060219303</v>
      </c>
      <c r="D23" s="94" t="str">
        <f>IF($A23="","",VLOOKUP($A23,'Annex 2 Designated EHV charges'!$A:$O,7,0))</f>
        <v>NR_DOR</v>
      </c>
      <c r="E23" s="97">
        <f>IFERROR(IF(VLOOKUP($A23,'Annex 2 Designated EHV charges'!$A:$O,9,FALSE)=0,"",VLOOKUP($A23,'Annex 2 Designated EHV charges'!$A:$O,9,FALSE)),"")</f>
        <v>4.8970000000000002</v>
      </c>
      <c r="F23" s="98">
        <f>IFERROR(IF(VLOOKUP($A23,'Annex 2 Designated EHV charges'!$A:$O,10,FALSE)=0,"",VLOOKUP($A23,'Annex 2 Designated EHV charges'!$A:$O,10,FALSE)),"")</f>
        <v>13076.04</v>
      </c>
      <c r="G23" s="99">
        <f>IFERROR(IF(VLOOKUP($A23,'Annex 2 Designated EHV charges'!$A:$O,11,FALSE)=0,"",VLOOKUP($A23,'Annex 2 Designated EHV charges'!$A:$O,11,FALSE)),"")</f>
        <v>2.46</v>
      </c>
      <c r="H23" s="99">
        <f>IFERROR(IF(VLOOKUP($A23,'Annex 2 Designated EHV charges'!$A:$O,12,FALSE)=0,"",VLOOKUP($A23,'Annex 2 Designated EHV charges'!$A:$O,12,FALSE)),"")</f>
        <v>2.46</v>
      </c>
    </row>
    <row r="24" spans="1:8" ht="12.75" customHeight="1" x14ac:dyDescent="0.35">
      <c r="A24" s="94" t="str" cm="1">
        <f t="array" ref="A24">IFERROR(INDEX('Annex 2 Designated EHV charges'!$A$10:$A$200, MATCH(0, IF(ISBLANK('Annex 2 Designated EHV charges'!$A$10:$A$200),1, COUNTIF(A$4:$A23, 'Annex 2 Designated EHV charges'!$A$10:$A$200)), 0)),"")</f>
        <v>NR_EAS</v>
      </c>
      <c r="B24" s="94">
        <f>IF($A24="","",VLOOKUP($A24,'Annex 2 Designated EHV charges'!$A:$O,2,0))</f>
        <v>857</v>
      </c>
      <c r="C24" s="95">
        <f>IF($A24="","",VLOOKUP($A24,'Annex 2 Designated EHV charges'!$A:$O,3,0))</f>
        <v>1900060218912</v>
      </c>
      <c r="D24" s="94" t="str">
        <f>IF($A24="","",VLOOKUP($A24,'Annex 2 Designated EHV charges'!$A:$O,7,0))</f>
        <v>NR_EAS</v>
      </c>
      <c r="E24" s="97">
        <f>IFERROR(IF(VLOOKUP($A24,'Annex 2 Designated EHV charges'!$A:$O,9,FALSE)=0,"",VLOOKUP($A24,'Annex 2 Designated EHV charges'!$A:$O,9,FALSE)),"")</f>
        <v>0.45600000000000002</v>
      </c>
      <c r="F24" s="98">
        <f>IFERROR(IF(VLOOKUP($A24,'Annex 2 Designated EHV charges'!$A:$O,10,FALSE)=0,"",VLOOKUP($A24,'Annex 2 Designated EHV charges'!$A:$O,10,FALSE)),"")</f>
        <v>13076.04</v>
      </c>
      <c r="G24" s="99">
        <f>IFERROR(IF(VLOOKUP($A24,'Annex 2 Designated EHV charges'!$A:$O,11,FALSE)=0,"",VLOOKUP($A24,'Annex 2 Designated EHV charges'!$A:$O,11,FALSE)),"")</f>
        <v>3.49</v>
      </c>
      <c r="H24" s="99">
        <f>IFERROR(IF(VLOOKUP($A24,'Annex 2 Designated EHV charges'!$A:$O,12,FALSE)=0,"",VLOOKUP($A24,'Annex 2 Designated EHV charges'!$A:$O,12,FALSE)),"")</f>
        <v>3.49</v>
      </c>
    </row>
    <row r="25" spans="1:8" ht="12.75" customHeight="1" x14ac:dyDescent="0.35">
      <c r="A25" s="94" t="str" cm="1">
        <f t="array" ref="A25">IFERROR(INDEX('Annex 2 Designated EHV charges'!$A$10:$A$200, MATCH(0, IF(ISBLANK('Annex 2 Designated EHV charges'!$A$10:$A$200),1, COUNTIF(A$4:$A24, 'Annex 2 Designated EHV charges'!$A$10:$A$200)), 0)),"")</f>
        <v>NR_FOK</v>
      </c>
      <c r="B25" s="94">
        <f>IF($A25="","",VLOOKUP($A25,'Annex 2 Designated EHV charges'!$A:$O,2,0))</f>
        <v>858</v>
      </c>
      <c r="C25" s="95">
        <f>IF($A25="","",VLOOKUP($A25,'Annex 2 Designated EHV charges'!$A:$O,3,0))</f>
        <v>1900060218959</v>
      </c>
      <c r="D25" s="94" t="str">
        <f>IF($A25="","",VLOOKUP($A25,'Annex 2 Designated EHV charges'!$A:$O,7,0))</f>
        <v>NR_FOK</v>
      </c>
      <c r="E25" s="97">
        <f>IFERROR(IF(VLOOKUP($A25,'Annex 2 Designated EHV charges'!$A:$O,9,FALSE)=0,"",VLOOKUP($A25,'Annex 2 Designated EHV charges'!$A:$O,9,FALSE)),"")</f>
        <v>1.0129999999999999</v>
      </c>
      <c r="F25" s="98">
        <f>IFERROR(IF(VLOOKUP($A25,'Annex 2 Designated EHV charges'!$A:$O,10,FALSE)=0,"",VLOOKUP($A25,'Annex 2 Designated EHV charges'!$A:$O,10,FALSE)),"")</f>
        <v>13076.04</v>
      </c>
      <c r="G25" s="99">
        <f>IFERROR(IF(VLOOKUP($A25,'Annex 2 Designated EHV charges'!$A:$O,11,FALSE)=0,"",VLOOKUP($A25,'Annex 2 Designated EHV charges'!$A:$O,11,FALSE)),"")</f>
        <v>1.82</v>
      </c>
      <c r="H25" s="99">
        <f>IFERROR(IF(VLOOKUP($A25,'Annex 2 Designated EHV charges'!$A:$O,12,FALSE)=0,"",VLOOKUP($A25,'Annex 2 Designated EHV charges'!$A:$O,12,FALSE)),"")</f>
        <v>1.82</v>
      </c>
    </row>
    <row r="26" spans="1:8" ht="12.75" customHeight="1" x14ac:dyDescent="0.35">
      <c r="A26" s="94" t="str" cm="1">
        <f t="array" ref="A26">IFERROR(INDEX('Annex 2 Designated EHV charges'!$A$10:$A$200, MATCH(0, IF(ISBLANK('Annex 2 Designated EHV charges'!$A$10:$A$200),1, COUNTIF(A$4:$A25, 'Annex 2 Designated EHV charges'!$A$10:$A$200)), 0)),"")</f>
        <v>NR_HAS</v>
      </c>
      <c r="B26" s="94">
        <f>IF($A26="","",VLOOKUP($A26,'Annex 2 Designated EHV charges'!$A:$O,2,0))</f>
        <v>859</v>
      </c>
      <c r="C26" s="95">
        <f>IF($A26="","",VLOOKUP($A26,'Annex 2 Designated EHV charges'!$A:$O,3,0))</f>
        <v>1900060218986</v>
      </c>
      <c r="D26" s="94" t="str">
        <f>IF($A26="","",VLOOKUP($A26,'Annex 2 Designated EHV charges'!$A:$O,7,0))</f>
        <v>NR_HAS</v>
      </c>
      <c r="E26" s="97">
        <f>IFERROR(IF(VLOOKUP($A26,'Annex 2 Designated EHV charges'!$A:$O,9,FALSE)=0,"",VLOOKUP($A26,'Annex 2 Designated EHV charges'!$A:$O,9,FALSE)),"")</f>
        <v>0.377</v>
      </c>
      <c r="F26" s="98">
        <f>IFERROR(IF(VLOOKUP($A26,'Annex 2 Designated EHV charges'!$A:$O,10,FALSE)=0,"",VLOOKUP($A26,'Annex 2 Designated EHV charges'!$A:$O,10,FALSE)),"")</f>
        <v>18491.68</v>
      </c>
      <c r="G26" s="99">
        <f>IFERROR(IF(VLOOKUP($A26,'Annex 2 Designated EHV charges'!$A:$O,11,FALSE)=0,"",VLOOKUP($A26,'Annex 2 Designated EHV charges'!$A:$O,11,FALSE)),"")</f>
        <v>1.91</v>
      </c>
      <c r="H26" s="99">
        <f>IFERROR(IF(VLOOKUP($A26,'Annex 2 Designated EHV charges'!$A:$O,12,FALSE)=0,"",VLOOKUP($A26,'Annex 2 Designated EHV charges'!$A:$O,12,FALSE)),"")</f>
        <v>1.91</v>
      </c>
    </row>
    <row r="27" spans="1:8" ht="12.75" customHeight="1" x14ac:dyDescent="0.35">
      <c r="A27" s="94" t="str" cm="1">
        <f t="array" ref="A27">IFERROR(INDEX('Annex 2 Designated EHV charges'!$A$10:$A$200, MATCH(0, IF(ISBLANK('Annex 2 Designated EHV charges'!$A$10:$A$200),1, COUNTIF(A$4:$A26, 'Annex 2 Designated EHV charges'!$A$10:$A$200)), 0)),"")</f>
        <v>NR_LEA</v>
      </c>
      <c r="B27" s="94">
        <f>IF($A27="","",VLOOKUP($A27,'Annex 2 Designated EHV charges'!$A:$O,2,0))</f>
        <v>860</v>
      </c>
      <c r="C27" s="95">
        <f>IF($A27="","",VLOOKUP($A27,'Annex 2 Designated EHV charges'!$A:$O,3,0))</f>
        <v>1900060219001</v>
      </c>
      <c r="D27" s="94" t="str">
        <f>IF($A27="","",VLOOKUP($A27,'Annex 2 Designated EHV charges'!$A:$O,7,0))</f>
        <v>NR_LEA</v>
      </c>
      <c r="E27" s="97">
        <f>IFERROR(IF(VLOOKUP($A27,'Annex 2 Designated EHV charges'!$A:$O,9,FALSE)=0,"",VLOOKUP($A27,'Annex 2 Designated EHV charges'!$A:$O,9,FALSE)),"")</f>
        <v>2.5539999999999998</v>
      </c>
      <c r="F27" s="98">
        <f>IFERROR(IF(VLOOKUP($A27,'Annex 2 Designated EHV charges'!$A:$O,10,FALSE)=0,"",VLOOKUP($A27,'Annex 2 Designated EHV charges'!$A:$O,10,FALSE)),"")</f>
        <v>63091.39</v>
      </c>
      <c r="G27" s="99">
        <f>IFERROR(IF(VLOOKUP($A27,'Annex 2 Designated EHV charges'!$A:$O,11,FALSE)=0,"",VLOOKUP($A27,'Annex 2 Designated EHV charges'!$A:$O,11,FALSE)),"")</f>
        <v>2.56</v>
      </c>
      <c r="H27" s="99">
        <f>IFERROR(IF(VLOOKUP($A27,'Annex 2 Designated EHV charges'!$A:$O,12,FALSE)=0,"",VLOOKUP($A27,'Annex 2 Designated EHV charges'!$A:$O,12,FALSE)),"")</f>
        <v>2.56</v>
      </c>
    </row>
    <row r="28" spans="1:8" ht="12.75" customHeight="1" x14ac:dyDescent="0.35">
      <c r="A28" s="94" t="str" cm="1">
        <f t="array" ref="A28">IFERROR(INDEX('Annex 2 Designated EHV charges'!$A$10:$A$200, MATCH(0, IF(ISBLANK('Annex 2 Designated EHV charges'!$A$10:$A$200),1, COUNTIF(A$4:$A27, 'Annex 2 Designated EHV charges'!$A$10:$A$200)), 0)),"")</f>
        <v>NR_MAI</v>
      </c>
      <c r="B28" s="94">
        <f>IF($A28="","",VLOOKUP($A28,'Annex 2 Designated EHV charges'!$A:$O,2,0))</f>
        <v>861</v>
      </c>
      <c r="C28" s="95">
        <f>IF($A28="","",VLOOKUP($A28,'Annex 2 Designated EHV charges'!$A:$O,3,0))</f>
        <v>1900060219535</v>
      </c>
      <c r="D28" s="94" t="str">
        <f>IF($A28="","",VLOOKUP($A28,'Annex 2 Designated EHV charges'!$A:$O,7,0))</f>
        <v>NR_MAI</v>
      </c>
      <c r="E28" s="97">
        <f>IFERROR(IF(VLOOKUP($A28,'Annex 2 Designated EHV charges'!$A:$O,9,FALSE)=0,"",VLOOKUP($A28,'Annex 2 Designated EHV charges'!$A:$O,9,FALSE)),"")</f>
        <v>6.4669999999999996</v>
      </c>
      <c r="F28" s="98">
        <f>IFERROR(IF(VLOOKUP($A28,'Annex 2 Designated EHV charges'!$A:$O,10,FALSE)=0,"",VLOOKUP($A28,'Annex 2 Designated EHV charges'!$A:$O,10,FALSE)),"")</f>
        <v>33778.28</v>
      </c>
      <c r="G28" s="99">
        <f>IFERROR(IF(VLOOKUP($A28,'Annex 2 Designated EHV charges'!$A:$O,11,FALSE)=0,"",VLOOKUP($A28,'Annex 2 Designated EHV charges'!$A:$O,11,FALSE)),"")</f>
        <v>2.25</v>
      </c>
      <c r="H28" s="99">
        <f>IFERROR(IF(VLOOKUP($A28,'Annex 2 Designated EHV charges'!$A:$O,12,FALSE)=0,"",VLOOKUP($A28,'Annex 2 Designated EHV charges'!$A:$O,12,FALSE)),"")</f>
        <v>2.25</v>
      </c>
    </row>
    <row r="29" spans="1:8" ht="12.75" customHeight="1" x14ac:dyDescent="0.35">
      <c r="A29" s="94" t="str" cm="1">
        <f t="array" ref="A29">IFERROR(INDEX('Annex 2 Designated EHV charges'!$A$10:$A$200, MATCH(0, IF(ISBLANK('Annex 2 Designated EHV charges'!$A$10:$A$200),1, COUNTIF(A$4:$A28, 'Annex 2 Designated EHV charges'!$A$10:$A$200)), 0)),"")</f>
        <v>NR_NOR</v>
      </c>
      <c r="B29" s="94">
        <f>IF($A29="","",VLOOKUP($A29,'Annex 2 Designated EHV charges'!$A:$O,2,0))</f>
        <v>862</v>
      </c>
      <c r="C29" s="95">
        <f>IF($A29="","",VLOOKUP($A29,'Annex 2 Designated EHV charges'!$A:$O,3,0))</f>
        <v>1900060219891</v>
      </c>
      <c r="D29" s="94" t="str">
        <f>IF($A29="","",VLOOKUP($A29,'Annex 2 Designated EHV charges'!$A:$O,7,0))</f>
        <v>NR_NOR</v>
      </c>
      <c r="E29" s="97" t="str">
        <f>IFERROR(IF(VLOOKUP($A29,'Annex 2 Designated EHV charges'!$A:$O,9,FALSE)=0,"",VLOOKUP($A29,'Annex 2 Designated EHV charges'!$A:$O,9,FALSE)),"")</f>
        <v/>
      </c>
      <c r="F29" s="98">
        <f>IFERROR(IF(VLOOKUP($A29,'Annex 2 Designated EHV charges'!$A:$O,10,FALSE)=0,"",VLOOKUP($A29,'Annex 2 Designated EHV charges'!$A:$O,10,FALSE)),"")</f>
        <v>63983</v>
      </c>
      <c r="G29" s="99">
        <f>IFERROR(IF(VLOOKUP($A29,'Annex 2 Designated EHV charges'!$A:$O,11,FALSE)=0,"",VLOOKUP($A29,'Annex 2 Designated EHV charges'!$A:$O,11,FALSE)),"")</f>
        <v>1.64</v>
      </c>
      <c r="H29" s="99">
        <f>IFERROR(IF(VLOOKUP($A29,'Annex 2 Designated EHV charges'!$A:$O,12,FALSE)=0,"",VLOOKUP($A29,'Annex 2 Designated EHV charges'!$A:$O,12,FALSE)),"")</f>
        <v>1.64</v>
      </c>
    </row>
    <row r="30" spans="1:8" ht="12.75" customHeight="1" x14ac:dyDescent="0.35">
      <c r="A30" s="94" t="str" cm="1">
        <f t="array" ref="A30">IFERROR(INDEX('Annex 2 Designated EHV charges'!$A$10:$A$200, MATCH(0, IF(ISBLANK('Annex 2 Designated EHV charges'!$A$10:$A$200),1, COUNTIF(A$4:$A29, 'Annex 2 Designated EHV charges'!$A$10:$A$200)), 0)),"")</f>
        <v>NR_QUE</v>
      </c>
      <c r="B30" s="94">
        <f>IF($A30="","",VLOOKUP($A30,'Annex 2 Designated EHV charges'!$A:$O,2,0))</f>
        <v>863</v>
      </c>
      <c r="C30" s="95">
        <f>IF($A30="","",VLOOKUP($A30,'Annex 2 Designated EHV charges'!$A:$O,3,0))</f>
        <v>1900060219084</v>
      </c>
      <c r="D30" s="94" t="str">
        <f>IF($A30="","",VLOOKUP($A30,'Annex 2 Designated EHV charges'!$A:$O,7,0))</f>
        <v>NR_QUE</v>
      </c>
      <c r="E30" s="97" t="str">
        <f>IFERROR(IF(VLOOKUP($A30,'Annex 2 Designated EHV charges'!$A:$O,9,FALSE)=0,"",VLOOKUP($A30,'Annex 2 Designated EHV charges'!$A:$O,9,FALSE)),"")</f>
        <v/>
      </c>
      <c r="F30" s="98">
        <f>IFERROR(IF(VLOOKUP($A30,'Annex 2 Designated EHV charges'!$A:$O,10,FALSE)=0,"",VLOOKUP($A30,'Annex 2 Designated EHV charges'!$A:$O,10,FALSE)),"")</f>
        <v>3001.92</v>
      </c>
      <c r="G30" s="99">
        <f>IFERROR(IF(VLOOKUP($A30,'Annex 2 Designated EHV charges'!$A:$O,11,FALSE)=0,"",VLOOKUP($A30,'Annex 2 Designated EHV charges'!$A:$O,11,FALSE)),"")</f>
        <v>2.2200000000000002</v>
      </c>
      <c r="H30" s="99">
        <f>IFERROR(IF(VLOOKUP($A30,'Annex 2 Designated EHV charges'!$A:$O,12,FALSE)=0,"",VLOOKUP($A30,'Annex 2 Designated EHV charges'!$A:$O,12,FALSE)),"")</f>
        <v>2.2200000000000002</v>
      </c>
    </row>
    <row r="31" spans="1:8" ht="12.75" customHeight="1" x14ac:dyDescent="0.35">
      <c r="A31" s="94" t="str" cm="1">
        <f t="array" ref="A31">IFERROR(INDEX('Annex 2 Designated EHV charges'!$A$10:$A$200, MATCH(0, IF(ISBLANK('Annex 2 Designated EHV charges'!$A$10:$A$200),1, COUNTIF(A$4:$A30, 'Annex 2 Designated EHV charges'!$A$10:$A$200)), 0)),"")</f>
        <v>NR_SIT</v>
      </c>
      <c r="B31" s="94">
        <f>IF($A31="","",VLOOKUP($A31,'Annex 2 Designated EHV charges'!$A:$O,2,0))</f>
        <v>864</v>
      </c>
      <c r="C31" s="95" t="str">
        <f>IF($A31="","",VLOOKUP($A31,'Annex 2 Designated EHV charges'!$A:$O,3,0))</f>
        <v>1900060219819;1900060219855</v>
      </c>
      <c r="D31" s="94" t="str">
        <f>IF($A31="","",VLOOKUP($A31,'Annex 2 Designated EHV charges'!$A:$O,7,0))</f>
        <v>NR_SIT</v>
      </c>
      <c r="E31" s="97">
        <f>IFERROR(IF(VLOOKUP($A31,'Annex 2 Designated EHV charges'!$A:$O,9,FALSE)=0,"",VLOOKUP($A31,'Annex 2 Designated EHV charges'!$A:$O,9,FALSE)),"")</f>
        <v>0.08</v>
      </c>
      <c r="F31" s="98">
        <f>IFERROR(IF(VLOOKUP($A31,'Annex 2 Designated EHV charges'!$A:$O,10,FALSE)=0,"",VLOOKUP($A31,'Annex 2 Designated EHV charges'!$A:$O,10,FALSE)),"")</f>
        <v>33778.28</v>
      </c>
      <c r="G31" s="99">
        <f>IFERROR(IF(VLOOKUP($A31,'Annex 2 Designated EHV charges'!$A:$O,11,FALSE)=0,"",VLOOKUP($A31,'Annex 2 Designated EHV charges'!$A:$O,11,FALSE)),"")</f>
        <v>1.76</v>
      </c>
      <c r="H31" s="99">
        <f>IFERROR(IF(VLOOKUP($A31,'Annex 2 Designated EHV charges'!$A:$O,12,FALSE)=0,"",VLOOKUP($A31,'Annex 2 Designated EHV charges'!$A:$O,12,FALSE)),"")</f>
        <v>1.76</v>
      </c>
    </row>
    <row r="32" spans="1:8" ht="12.75" customHeight="1" x14ac:dyDescent="0.35">
      <c r="A32" s="94" t="str" cm="1">
        <f t="array" ref="A32">IFERROR(INDEX('Annex 2 Designated EHV charges'!$A$10:$A$200, MATCH(0, IF(ISBLANK('Annex 2 Designated EHV charges'!$A$10:$A$200),1, COUNTIF(A$4:$A31, 'Annex 2 Designated EHV charges'!$A$10:$A$200)), 0)),"")</f>
        <v>NR_THA</v>
      </c>
      <c r="B32" s="94">
        <f>IF($A32="","",VLOOKUP($A32,'Annex 2 Designated EHV charges'!$A:$O,2,0))</f>
        <v>865</v>
      </c>
      <c r="C32" s="95" t="str">
        <f>IF($A32="","",VLOOKUP($A32,'Annex 2 Designated EHV charges'!$A:$O,3,0))</f>
        <v>1900060219720;1900060219794</v>
      </c>
      <c r="D32" s="94" t="str">
        <f>IF($A32="","",VLOOKUP($A32,'Annex 2 Designated EHV charges'!$A:$O,7,0))</f>
        <v>NR_THA</v>
      </c>
      <c r="E32" s="97">
        <f>IFERROR(IF(VLOOKUP($A32,'Annex 2 Designated EHV charges'!$A:$O,9,FALSE)=0,"",VLOOKUP($A32,'Annex 2 Designated EHV charges'!$A:$O,9,FALSE)),"")</f>
        <v>2.5110000000000001</v>
      </c>
      <c r="F32" s="98">
        <f>IFERROR(IF(VLOOKUP($A32,'Annex 2 Designated EHV charges'!$A:$O,10,FALSE)=0,"",VLOOKUP($A32,'Annex 2 Designated EHV charges'!$A:$O,10,FALSE)),"")</f>
        <v>13076.04</v>
      </c>
      <c r="G32" s="99">
        <f>IFERROR(IF(VLOOKUP($A32,'Annex 2 Designated EHV charges'!$A:$O,11,FALSE)=0,"",VLOOKUP($A32,'Annex 2 Designated EHV charges'!$A:$O,11,FALSE)),"")</f>
        <v>2.34</v>
      </c>
      <c r="H32" s="99">
        <f>IFERROR(IF(VLOOKUP($A32,'Annex 2 Designated EHV charges'!$A:$O,12,FALSE)=0,"",VLOOKUP($A32,'Annex 2 Designated EHV charges'!$A:$O,12,FALSE)),"")</f>
        <v>2.34</v>
      </c>
    </row>
    <row r="33" spans="1:8" ht="12.75" customHeight="1" x14ac:dyDescent="0.35">
      <c r="A33" s="94" t="str" cm="1">
        <f t="array" ref="A33">IFERROR(INDEX('Annex 2 Designated EHV charges'!$A$10:$A$200, MATCH(0, IF(ISBLANK('Annex 2 Designated EHV charges'!$A$10:$A$200),1, COUNTIF(A$4:$A32, 'Annex 2 Designated EHV charges'!$A$10:$A$200)), 0)),"")</f>
        <v>NR_TUN</v>
      </c>
      <c r="B33" s="94">
        <f>IF($A33="","",VLOOKUP($A33,'Annex 2 Designated EHV charges'!$A:$O,2,0))</f>
        <v>867</v>
      </c>
      <c r="C33" s="95">
        <f>IF($A33="","",VLOOKUP($A33,'Annex 2 Designated EHV charges'!$A:$O,3,0))</f>
        <v>1900060219206</v>
      </c>
      <c r="D33" s="94" t="str">
        <f>IF($A33="","",VLOOKUP($A33,'Annex 2 Designated EHV charges'!$A:$O,7,0))</f>
        <v>NR_TUN</v>
      </c>
      <c r="E33" s="97">
        <f>IFERROR(IF(VLOOKUP($A33,'Annex 2 Designated EHV charges'!$A:$O,9,FALSE)=0,"",VLOOKUP($A33,'Annex 2 Designated EHV charges'!$A:$O,9,FALSE)),"")</f>
        <v>8.4510000000000005</v>
      </c>
      <c r="F33" s="98">
        <f>IFERROR(IF(VLOOKUP($A33,'Annex 2 Designated EHV charges'!$A:$O,10,FALSE)=0,"",VLOOKUP($A33,'Annex 2 Designated EHV charges'!$A:$O,10,FALSE)),"")</f>
        <v>33778.28</v>
      </c>
      <c r="G33" s="99">
        <f>IFERROR(IF(VLOOKUP($A33,'Annex 2 Designated EHV charges'!$A:$O,11,FALSE)=0,"",VLOOKUP($A33,'Annex 2 Designated EHV charges'!$A:$O,11,FALSE)),"")</f>
        <v>3.35</v>
      </c>
      <c r="H33" s="99">
        <f>IFERROR(IF(VLOOKUP($A33,'Annex 2 Designated EHV charges'!$A:$O,12,FALSE)=0,"",VLOOKUP($A33,'Annex 2 Designated EHV charges'!$A:$O,12,FALSE)),"")</f>
        <v>3.35</v>
      </c>
    </row>
    <row r="34" spans="1:8" ht="12.75" customHeight="1" x14ac:dyDescent="0.35">
      <c r="A34" s="94" t="str" cm="1">
        <f t="array" ref="A34">IFERROR(INDEX('Annex 2 Designated EHV charges'!$A$10:$A$200, MATCH(0, IF(ISBLANK('Annex 2 Designated EHV charges'!$A$10:$A$200),1, COUNTIF(A$4:$A33, 'Annex 2 Designated EHV charges'!$A$10:$A$200)), 0)),"")</f>
        <v>PFIZER</v>
      </c>
      <c r="B34" s="94">
        <f>IF($A34="","",VLOOKUP($A34,'Annex 2 Designated EHV charges'!$A:$O,2,0))</f>
        <v>881</v>
      </c>
      <c r="C34" s="95">
        <f>IF($A34="","",VLOOKUP($A34,'Annex 2 Designated EHV charges'!$A:$O,3,0))</f>
        <v>1900060219544</v>
      </c>
      <c r="D34" s="94" t="str">
        <f>IF($A34="","",VLOOKUP($A34,'Annex 2 Designated EHV charges'!$A:$O,7,0))</f>
        <v>PFIZER</v>
      </c>
      <c r="E34" s="97">
        <f>IFERROR(IF(VLOOKUP($A34,'Annex 2 Designated EHV charges'!$A:$O,9,FALSE)=0,"",VLOOKUP($A34,'Annex 2 Designated EHV charges'!$A:$O,9,FALSE)),"")</f>
        <v>3.0000000000000001E-3</v>
      </c>
      <c r="F34" s="98">
        <f>IFERROR(IF(VLOOKUP($A34,'Annex 2 Designated EHV charges'!$A:$O,10,FALSE)=0,"",VLOOKUP($A34,'Annex 2 Designated EHV charges'!$A:$O,10,FALSE)),"")</f>
        <v>15384.08</v>
      </c>
      <c r="G34" s="99">
        <f>IFERROR(IF(VLOOKUP($A34,'Annex 2 Designated EHV charges'!$A:$O,11,FALSE)=0,"",VLOOKUP($A34,'Annex 2 Designated EHV charges'!$A:$O,11,FALSE)),"")</f>
        <v>0.83</v>
      </c>
      <c r="H34" s="99">
        <f>IFERROR(IF(VLOOKUP($A34,'Annex 2 Designated EHV charges'!$A:$O,12,FALSE)=0,"",VLOOKUP($A34,'Annex 2 Designated EHV charges'!$A:$O,12,FALSE)),"")</f>
        <v>0.83</v>
      </c>
    </row>
    <row r="35" spans="1:8" ht="12.75" customHeight="1" x14ac:dyDescent="0.35">
      <c r="A35" s="94" t="str" cm="1">
        <f t="array" ref="A35">IFERROR(INDEX('Annex 2 Designated EHV charges'!$A$10:$A$200, MATCH(0, IF(ISBLANK('Annex 2 Designated EHV charges'!$A$10:$A$200),1, COUNTIF(A$4:$A34, 'Annex 2 Designated EHV charges'!$A$10:$A$200)), 0)),"")</f>
        <v>SENTIV</v>
      </c>
      <c r="B35" s="94">
        <f>IF($A35="","",VLOOKUP($A35,'Annex 2 Designated EHV charges'!$A:$O,2,0))</f>
        <v>888</v>
      </c>
      <c r="C35" s="95" t="str">
        <f>IF($A35="","",VLOOKUP($A35,'Annex 2 Designated EHV charges'!$A:$O,3,0))</f>
        <v>1900090497281;1900090497290;1900090497306;1900090497315</v>
      </c>
      <c r="D35" s="94" t="str">
        <f>IF($A35="","",VLOOKUP($A35,'Annex 2 Designated EHV charges'!$A:$O,7,0))</f>
        <v>SENTIV</v>
      </c>
      <c r="E35" s="97" t="str">
        <f>IFERROR(IF(VLOOKUP($A35,'Annex 2 Designated EHV charges'!$A:$O,9,FALSE)=0,"",VLOOKUP($A35,'Annex 2 Designated EHV charges'!$A:$O,9,FALSE)),"")</f>
        <v/>
      </c>
      <c r="F35" s="98">
        <f>IFERROR(IF(VLOOKUP($A35,'Annex 2 Designated EHV charges'!$A:$O,10,FALSE)=0,"",VLOOKUP($A35,'Annex 2 Designated EHV charges'!$A:$O,10,FALSE)),"")</f>
        <v>148554.49</v>
      </c>
      <c r="G35" s="99">
        <f>IFERROR(IF(VLOOKUP($A35,'Annex 2 Designated EHV charges'!$A:$O,11,FALSE)=0,"",VLOOKUP($A35,'Annex 2 Designated EHV charges'!$A:$O,11,FALSE)),"")</f>
        <v>1.26</v>
      </c>
      <c r="H35" s="99">
        <f>IFERROR(IF(VLOOKUP($A35,'Annex 2 Designated EHV charges'!$A:$O,12,FALSE)=0,"",VLOOKUP($A35,'Annex 2 Designated EHV charges'!$A:$O,12,FALSE)),"")</f>
        <v>1.26</v>
      </c>
    </row>
    <row r="36" spans="1:8" ht="12.75" customHeight="1" x14ac:dyDescent="0.35">
      <c r="A36" s="94" t="str" cm="1">
        <f t="array" ref="A36">IFERROR(INDEX('Annex 2 Designated EHV charges'!$A$10:$A$200, MATCH(0, IF(ISBLANK('Annex 2 Designated EHV charges'!$A$10:$A$200),1, COUNTIF(A$4:$A35, 'Annex 2 Designated EHV charges'!$A$10:$A$200)), 0)),"")</f>
        <v>THAMEM</v>
      </c>
      <c r="B36" s="94">
        <f>IF($A36="","",VLOOKUP($A36,'Annex 2 Designated EHV charges'!$A:$O,2,0))</f>
        <v>838</v>
      </c>
      <c r="C36" s="95" t="str">
        <f>IF($A36="","",VLOOKUP($A36,'Annex 2 Designated EHV charges'!$A:$O,3,0))</f>
        <v>1900090872672;1900090872681</v>
      </c>
      <c r="D36" s="94" t="str">
        <f>IF($A36="","",VLOOKUP($A36,'Annex 2 Designated EHV charges'!$A:$O,7,0))</f>
        <v>THAMEM</v>
      </c>
      <c r="E36" s="97">
        <f>IFERROR(IF(VLOOKUP($A36,'Annex 2 Designated EHV charges'!$A:$O,9,FALSE)=0,"",VLOOKUP($A36,'Annex 2 Designated EHV charges'!$A:$O,9,FALSE)),"")</f>
        <v>0.60499999999999998</v>
      </c>
      <c r="F36" s="98">
        <f>IFERROR(IF(VLOOKUP($A36,'Annex 2 Designated EHV charges'!$A:$O,10,FALSE)=0,"",VLOOKUP($A36,'Annex 2 Designated EHV charges'!$A:$O,10,FALSE)),"")</f>
        <v>68256.94</v>
      </c>
      <c r="G36" s="99">
        <f>IFERROR(IF(VLOOKUP($A36,'Annex 2 Designated EHV charges'!$A:$O,11,FALSE)=0,"",VLOOKUP($A36,'Annex 2 Designated EHV charges'!$A:$O,11,FALSE)),"")</f>
        <v>1.64</v>
      </c>
      <c r="H36" s="99">
        <f>IFERROR(IF(VLOOKUP($A36,'Annex 2 Designated EHV charges'!$A:$O,12,FALSE)=0,"",VLOOKUP($A36,'Annex 2 Designated EHV charges'!$A:$O,12,FALSE)),"")</f>
        <v>1.64</v>
      </c>
    </row>
    <row r="37" spans="1:8" ht="12.75" customHeight="1" x14ac:dyDescent="0.35">
      <c r="A37" s="94" t="str" cm="1">
        <f t="array" ref="A37">IFERROR(INDEX('Annex 2 Designated EHV charges'!$A$10:$A$200, MATCH(0, IF(ISBLANK('Annex 2 Designated EHV charges'!$A$10:$A$200),1, COUNTIF(A$4:$A36, 'Annex 2 Designated EHV charges'!$A$10:$A$200)), 0)),"")</f>
        <v>THAMES</v>
      </c>
      <c r="B37" s="94">
        <f>IF($A37="","",VLOOKUP($A37,'Annex 2 Designated EHV charges'!$A:$O,2,0))</f>
        <v>884</v>
      </c>
      <c r="C37" s="95">
        <f>IF($A37="","",VLOOKUP($A37,'Annex 2 Designated EHV charges'!$A:$O,3,0))</f>
        <v>1900016424857</v>
      </c>
      <c r="D37" s="94" t="str">
        <f>IF($A37="","",VLOOKUP($A37,'Annex 2 Designated EHV charges'!$A:$O,7,0))</f>
        <v>THAMES</v>
      </c>
      <c r="E37" s="97">
        <f>IFERROR(IF(VLOOKUP($A37,'Annex 2 Designated EHV charges'!$A:$O,9,FALSE)=0,"",VLOOKUP($A37,'Annex 2 Designated EHV charges'!$A:$O,9,FALSE)),"")</f>
        <v>1.018</v>
      </c>
      <c r="F37" s="98">
        <f>IFERROR(IF(VLOOKUP($A37,'Annex 2 Designated EHV charges'!$A:$O,10,FALSE)=0,"",VLOOKUP($A37,'Annex 2 Designated EHV charges'!$A:$O,10,FALSE)),"")</f>
        <v>16781.41</v>
      </c>
      <c r="G37" s="99">
        <f>IFERROR(IF(VLOOKUP($A37,'Annex 2 Designated EHV charges'!$A:$O,11,FALSE)=0,"",VLOOKUP($A37,'Annex 2 Designated EHV charges'!$A:$O,11,FALSE)),"")</f>
        <v>3.04</v>
      </c>
      <c r="H37" s="99">
        <f>IFERROR(IF(VLOOKUP($A37,'Annex 2 Designated EHV charges'!$A:$O,12,FALSE)=0,"",VLOOKUP($A37,'Annex 2 Designated EHV charges'!$A:$O,12,FALSE)),"")</f>
        <v>3.04</v>
      </c>
    </row>
    <row r="38" spans="1:8" ht="12.75" customHeight="1" x14ac:dyDescent="0.35">
      <c r="A38" s="94" t="str" cm="1">
        <f t="array" ref="A38">IFERROR(INDEX('Annex 2 Designated EHV charges'!$A$10:$A$200, MATCH(0, IF(ISBLANK('Annex 2 Designated EHV charges'!$A$10:$A$200),1, COUNTIF(A$4:$A37, 'Annex 2 Designated EHV charges'!$A$10:$A$200)), 0)),"")</f>
        <v>TWHK66</v>
      </c>
      <c r="B38" s="94">
        <f>IF($A38="","",VLOOKUP($A38,'Annex 2 Designated EHV charges'!$A:$O,2,0))</f>
        <v>839</v>
      </c>
      <c r="C38" s="95">
        <f>IF($A38="","",VLOOKUP($A38,'Annex 2 Designated EHV charges'!$A:$O,3,0))</f>
        <v>1900091206176</v>
      </c>
      <c r="D38" s="94" t="str">
        <f>IF($A38="","",VLOOKUP($A38,'Annex 2 Designated EHV charges'!$A:$O,7,0))</f>
        <v>TWHK66</v>
      </c>
      <c r="E38" s="97">
        <f>IFERROR(IF(VLOOKUP($A38,'Annex 2 Designated EHV charges'!$A:$O,9,FALSE)=0,"",VLOOKUP($A38,'Annex 2 Designated EHV charges'!$A:$O,9,FALSE)),"")</f>
        <v>6.1719999999999997</v>
      </c>
      <c r="F38" s="98">
        <f>IFERROR(IF(VLOOKUP($A38,'Annex 2 Designated EHV charges'!$A:$O,10,FALSE)=0,"",VLOOKUP($A38,'Annex 2 Designated EHV charges'!$A:$O,10,FALSE)),"")</f>
        <v>12523.88</v>
      </c>
      <c r="G38" s="99">
        <f>IFERROR(IF(VLOOKUP($A38,'Annex 2 Designated EHV charges'!$A:$O,11,FALSE)=0,"",VLOOKUP($A38,'Annex 2 Designated EHV charges'!$A:$O,11,FALSE)),"")</f>
        <v>2.0499999999999998</v>
      </c>
      <c r="H38" s="99">
        <f>IFERROR(IF(VLOOKUP($A38,'Annex 2 Designated EHV charges'!$A:$O,12,FALSE)=0,"",VLOOKUP($A38,'Annex 2 Designated EHV charges'!$A:$O,12,FALSE)),"")</f>
        <v>2.0499999999999998</v>
      </c>
    </row>
    <row r="39" spans="1:8" ht="12.75" customHeight="1" x14ac:dyDescent="0.35">
      <c r="A39" s="94" t="str" cm="1">
        <f t="array" ref="A39">IFERROR(INDEX('Annex 2 Designated EHV charges'!$A$10:$A$200, MATCH(0, IF(ISBLANK('Annex 2 Designated EHV charges'!$A$10:$A$200),1, COUNTIF(A$4:$A38, 'Annex 2 Designated EHV charges'!$A$10:$A$200)), 0)),"")</f>
        <v>ANMSTR</v>
      </c>
      <c r="B39" s="94">
        <f>IF($A39="","",VLOOKUP($A39,'Annex 2 Designated EHV charges'!$A:$O,2,0))</f>
        <v>873</v>
      </c>
      <c r="C39" s="95">
        <f>IF($A39="","",VLOOKUP($A39,'Annex 2 Designated EHV charges'!$A:$O,3,0))</f>
        <v>1900091919588</v>
      </c>
      <c r="D39" s="94" t="str">
        <f>IF($A39="","",VLOOKUP($A39,'Annex 2 Designated EHV charges'!$A:$O,7,0))</f>
        <v>ANMSTR</v>
      </c>
      <c r="E39" s="97">
        <f>IFERROR(IF(VLOOKUP($A39,'Annex 2 Designated EHV charges'!$A:$O,9,FALSE)=0,"",VLOOKUP($A39,'Annex 2 Designated EHV charges'!$A:$O,9,FALSE)),"")</f>
        <v>3.1059999999999999</v>
      </c>
      <c r="F39" s="98">
        <f>IFERROR(IF(VLOOKUP($A39,'Annex 2 Designated EHV charges'!$A:$O,10,FALSE)=0,"",VLOOKUP($A39,'Annex 2 Designated EHV charges'!$A:$O,10,FALSE)),"")</f>
        <v>15.34</v>
      </c>
      <c r="G39" s="99">
        <f>IFERROR(IF(VLOOKUP($A39,'Annex 2 Designated EHV charges'!$A:$O,11,FALSE)=0,"",VLOOKUP($A39,'Annex 2 Designated EHV charges'!$A:$O,11,FALSE)),"")</f>
        <v>0.97</v>
      </c>
      <c r="H39" s="99">
        <f>IFERROR(IF(VLOOKUP($A39,'Annex 2 Designated EHV charges'!$A:$O,12,FALSE)=0,"",VLOOKUP($A39,'Annex 2 Designated EHV charges'!$A:$O,12,FALSE)),"")</f>
        <v>0.97</v>
      </c>
    </row>
    <row r="40" spans="1:8" ht="12.75" customHeight="1" x14ac:dyDescent="0.35">
      <c r="A40" s="94" t="str" cm="1">
        <f t="array" ref="A40">IFERROR(INDEX('Annex 2 Designated EHV charges'!$A$10:$A$200, MATCH(0, IF(ISBLANK('Annex 2 Designated EHV charges'!$A$10:$A$200),1, COUNTIF(A$4:$A39, 'Annex 2 Designated EHV charges'!$A$10:$A$200)), 0)),"")</f>
        <v>ASHBYS</v>
      </c>
      <c r="B40" s="94">
        <f>IF($A40="","",VLOOKUP($A40,'Annex 2 Designated EHV charges'!$A:$O,2,0))</f>
        <v>809</v>
      </c>
      <c r="C40" s="95">
        <f>IF($A40="","",VLOOKUP($A40,'Annex 2 Designated EHV charges'!$A:$O,3,0))</f>
        <v>1900091216963</v>
      </c>
      <c r="D40" s="94" t="str">
        <f>IF($A40="","",VLOOKUP($A40,'Annex 2 Designated EHV charges'!$A:$O,7,0))</f>
        <v>ASHBYS</v>
      </c>
      <c r="E40" s="97">
        <f>IFERROR(IF(VLOOKUP($A40,'Annex 2 Designated EHV charges'!$A:$O,9,FALSE)=0,"",VLOOKUP($A40,'Annex 2 Designated EHV charges'!$A:$O,9,FALSE)),"")</f>
        <v>2.2080000000000002</v>
      </c>
      <c r="F40" s="98">
        <f>IFERROR(IF(VLOOKUP($A40,'Annex 2 Designated EHV charges'!$A:$O,10,FALSE)=0,"",VLOOKUP($A40,'Annex 2 Designated EHV charges'!$A:$O,10,FALSE)),"")</f>
        <v>14.27</v>
      </c>
      <c r="G40" s="99">
        <f>IFERROR(IF(VLOOKUP($A40,'Annex 2 Designated EHV charges'!$A:$O,11,FALSE)=0,"",VLOOKUP($A40,'Annex 2 Designated EHV charges'!$A:$O,11,FALSE)),"")</f>
        <v>3.4</v>
      </c>
      <c r="H40" s="99">
        <f>IFERROR(IF(VLOOKUP($A40,'Annex 2 Designated EHV charges'!$A:$O,12,FALSE)=0,"",VLOOKUP($A40,'Annex 2 Designated EHV charges'!$A:$O,12,FALSE)),"")</f>
        <v>3.4</v>
      </c>
    </row>
    <row r="41" spans="1:8" ht="12.75" customHeight="1" x14ac:dyDescent="0.35">
      <c r="A41" s="94" t="str" cm="1">
        <f t="array" ref="A41">IFERROR(INDEX('Annex 2 Designated EHV charges'!$A$10:$A$200, MATCH(0, IF(ISBLANK('Annex 2 Designated EHV charges'!$A$10:$A$200),1, COUNTIF(A$4:$A40, 'Annex 2 Designated EHV charges'!$A$10:$A$200)), 0)),"")</f>
        <v>BEDERF</v>
      </c>
      <c r="B41" s="94">
        <f>IF($A41="","",VLOOKUP($A41,'Annex 2 Designated EHV charges'!$A:$O,2,0))</f>
        <v>840</v>
      </c>
      <c r="C41" s="95">
        <f>IF($A41="","",VLOOKUP($A41,'Annex 2 Designated EHV charges'!$A:$O,3,0))</f>
        <v>1900091482588</v>
      </c>
      <c r="D41" s="94" t="str">
        <f>IF($A41="","",VLOOKUP($A41,'Annex 2 Designated EHV charges'!$A:$O,7,0))</f>
        <v>BEDERF</v>
      </c>
      <c r="E41" s="97">
        <f>IFERROR(IF(VLOOKUP($A41,'Annex 2 Designated EHV charges'!$A:$O,9,FALSE)=0,"",VLOOKUP($A41,'Annex 2 Designated EHV charges'!$A:$O,9,FALSE)),"")</f>
        <v>2.5999999999999999E-2</v>
      </c>
      <c r="F41" s="98">
        <f>IFERROR(IF(VLOOKUP($A41,'Annex 2 Designated EHV charges'!$A:$O,10,FALSE)=0,"",VLOOKUP($A41,'Annex 2 Designated EHV charges'!$A:$O,10,FALSE)),"")</f>
        <v>518.30999999999995</v>
      </c>
      <c r="G41" s="99">
        <f>IFERROR(IF(VLOOKUP($A41,'Annex 2 Designated EHV charges'!$A:$O,11,FALSE)=0,"",VLOOKUP($A41,'Annex 2 Designated EHV charges'!$A:$O,11,FALSE)),"")</f>
        <v>1.2</v>
      </c>
      <c r="H41" s="99">
        <f>IFERROR(IF(VLOOKUP($A41,'Annex 2 Designated EHV charges'!$A:$O,12,FALSE)=0,"",VLOOKUP($A41,'Annex 2 Designated EHV charges'!$A:$O,12,FALSE)),"")</f>
        <v>1.2</v>
      </c>
    </row>
    <row r="42" spans="1:8" ht="12.75" customHeight="1" x14ac:dyDescent="0.35">
      <c r="A42" s="94" t="str" cm="1">
        <f t="array" ref="A42">IFERROR(INDEX('Annex 2 Designated EHV charges'!$A$10:$A$200, MATCH(0, IF(ISBLANK('Annex 2 Designated EHV charges'!$A$10:$A$200),1, COUNTIF(A$4:$A41, 'Annex 2 Designated EHV charges'!$A$10:$A$200)), 0)),"")</f>
        <v>BESAYL</v>
      </c>
      <c r="B42" s="94">
        <f>IF($A42="","",VLOOKUP($A42,'Annex 2 Designated EHV charges'!$A:$O,2,0))</f>
        <v>841</v>
      </c>
      <c r="C42" s="95">
        <f>IF($A42="","",VLOOKUP($A42,'Annex 2 Designated EHV charges'!$A:$O,3,0))</f>
        <v>1900091632775</v>
      </c>
      <c r="D42" s="94" t="str">
        <f>IF($A42="","",VLOOKUP($A42,'Annex 2 Designated EHV charges'!$A:$O,7,0))</f>
        <v>BESAYL</v>
      </c>
      <c r="E42" s="97">
        <f>IFERROR(IF(VLOOKUP($A42,'Annex 2 Designated EHV charges'!$A:$O,9,FALSE)=0,"",VLOOKUP($A42,'Annex 2 Designated EHV charges'!$A:$O,9,FALSE)),"")</f>
        <v>0.06</v>
      </c>
      <c r="F42" s="98">
        <f>IFERROR(IF(VLOOKUP($A42,'Annex 2 Designated EHV charges'!$A:$O,10,FALSE)=0,"",VLOOKUP($A42,'Annex 2 Designated EHV charges'!$A:$O,10,FALSE)),"")</f>
        <v>719.03</v>
      </c>
      <c r="G42" s="99">
        <f>IFERROR(IF(VLOOKUP($A42,'Annex 2 Designated EHV charges'!$A:$O,11,FALSE)=0,"",VLOOKUP($A42,'Annex 2 Designated EHV charges'!$A:$O,11,FALSE)),"")</f>
        <v>0.98</v>
      </c>
      <c r="H42" s="99">
        <f>IFERROR(IF(VLOOKUP($A42,'Annex 2 Designated EHV charges'!$A:$O,12,FALSE)=0,"",VLOOKUP($A42,'Annex 2 Designated EHV charges'!$A:$O,12,FALSE)),"")</f>
        <v>0.98</v>
      </c>
    </row>
    <row r="43" spans="1:8" ht="12.75" customHeight="1" x14ac:dyDescent="0.35">
      <c r="A43" s="94" t="str" cm="1">
        <f t="array" ref="A43">IFERROR(INDEX('Annex 2 Designated EHV charges'!$A$10:$A$200, MATCH(0, IF(ISBLANK('Annex 2 Designated EHV charges'!$A$10:$A$200),1, COUNTIF(A$4:$A42, 'Annex 2 Designated EHV charges'!$A$10:$A$200)), 0)),"")</f>
        <v>BNTLEY</v>
      </c>
      <c r="B43" s="94">
        <f>IF($A43="","",VLOOKUP($A43,'Annex 2 Designated EHV charges'!$A:$O,2,0))</f>
        <v>890</v>
      </c>
      <c r="C43" s="95">
        <f>IF($A43="","",VLOOKUP($A43,'Annex 2 Designated EHV charges'!$A:$O,3,0))</f>
        <v>1900091343778</v>
      </c>
      <c r="D43" s="94" t="str">
        <f>IF($A43="","",VLOOKUP($A43,'Annex 2 Designated EHV charges'!$A:$O,7,0))</f>
        <v>BNTLEY</v>
      </c>
      <c r="E43" s="97">
        <f>IFERROR(IF(VLOOKUP($A43,'Annex 2 Designated EHV charges'!$A:$O,9,FALSE)=0,"",VLOOKUP($A43,'Annex 2 Designated EHV charges'!$A:$O,9,FALSE)),"")</f>
        <v>2.843</v>
      </c>
      <c r="F43" s="98">
        <f>IFERROR(IF(VLOOKUP($A43,'Annex 2 Designated EHV charges'!$A:$O,10,FALSE)=0,"",VLOOKUP($A43,'Annex 2 Designated EHV charges'!$A:$O,10,FALSE)),"")</f>
        <v>12.71</v>
      </c>
      <c r="G43" s="99">
        <f>IFERROR(IF(VLOOKUP($A43,'Annex 2 Designated EHV charges'!$A:$O,11,FALSE)=0,"",VLOOKUP($A43,'Annex 2 Designated EHV charges'!$A:$O,11,FALSE)),"")</f>
        <v>2.66</v>
      </c>
      <c r="H43" s="99">
        <f>IFERROR(IF(VLOOKUP($A43,'Annex 2 Designated EHV charges'!$A:$O,12,FALSE)=0,"",VLOOKUP($A43,'Annex 2 Designated EHV charges'!$A:$O,12,FALSE)),"")</f>
        <v>2.66</v>
      </c>
    </row>
    <row r="44" spans="1:8" ht="12.75" customHeight="1" x14ac:dyDescent="0.35">
      <c r="A44" s="94" t="str" cm="1">
        <f t="array" ref="A44">IFERROR(INDEX('Annex 2 Designated EHV charges'!$A$10:$A$200, MATCH(0, IF(ISBLANK('Annex 2 Designated EHV charges'!$A$10:$A$200),1, COUNTIF(A$4:$A43, 'Annex 2 Designated EHV charges'!$A$10:$A$200)), 0)),"")</f>
        <v>BNTLY2</v>
      </c>
      <c r="B44" s="94">
        <f>IF($A44="","",VLOOKUP($A44,'Annex 2 Designated EHV charges'!$A:$O,2,0))</f>
        <v>830</v>
      </c>
      <c r="C44" s="95">
        <f>IF($A44="","",VLOOKUP($A44,'Annex 2 Designated EHV charges'!$A:$O,3,0))</f>
        <v>1900091463646</v>
      </c>
      <c r="D44" s="94" t="str">
        <f>IF($A44="","",VLOOKUP($A44,'Annex 2 Designated EHV charges'!$A:$O,7,0))</f>
        <v>BNTLY2</v>
      </c>
      <c r="E44" s="97">
        <f>IFERROR(IF(VLOOKUP($A44,'Annex 2 Designated EHV charges'!$A:$O,9,FALSE)=0,"",VLOOKUP($A44,'Annex 2 Designated EHV charges'!$A:$O,9,FALSE)),"")</f>
        <v>2.835</v>
      </c>
      <c r="F44" s="98">
        <f>IFERROR(IF(VLOOKUP($A44,'Annex 2 Designated EHV charges'!$A:$O,10,FALSE)=0,"",VLOOKUP($A44,'Annex 2 Designated EHV charges'!$A:$O,10,FALSE)),"")</f>
        <v>9.86</v>
      </c>
      <c r="G44" s="99">
        <f>IFERROR(IF(VLOOKUP($A44,'Annex 2 Designated EHV charges'!$A:$O,11,FALSE)=0,"",VLOOKUP($A44,'Annex 2 Designated EHV charges'!$A:$O,11,FALSE)),"")</f>
        <v>2.96</v>
      </c>
      <c r="H44" s="99">
        <f>IFERROR(IF(VLOOKUP($A44,'Annex 2 Designated EHV charges'!$A:$O,12,FALSE)=0,"",VLOOKUP($A44,'Annex 2 Designated EHV charges'!$A:$O,12,FALSE)),"")</f>
        <v>2.96</v>
      </c>
    </row>
    <row r="45" spans="1:8" ht="12.75" customHeight="1" x14ac:dyDescent="0.35">
      <c r="A45" s="94" t="str" cm="1">
        <f t="array" ref="A45">IFERROR(INDEX('Annex 2 Designated EHV charges'!$A$10:$A$200, MATCH(0, IF(ISBLANK('Annex 2 Designated EHV charges'!$A$10:$A$200),1, COUNTIF(A$4:$A44, 'Annex 2 Designated EHV charges'!$A$10:$A$200)), 0)),"")</f>
        <v>BOBBNG</v>
      </c>
      <c r="B45" s="94">
        <f>IF($A45="","",VLOOKUP($A45,'Annex 2 Designated EHV charges'!$A:$O,2,0))</f>
        <v>891</v>
      </c>
      <c r="C45" s="95">
        <f>IF($A45="","",VLOOKUP($A45,'Annex 2 Designated EHV charges'!$A:$O,3,0))</f>
        <v>1900091395508</v>
      </c>
      <c r="D45" s="94" t="str">
        <f>IF($A45="","",VLOOKUP($A45,'Annex 2 Designated EHV charges'!$A:$O,7,0))</f>
        <v>BOBBNG</v>
      </c>
      <c r="E45" s="97">
        <f>IFERROR(IF(VLOOKUP($A45,'Annex 2 Designated EHV charges'!$A:$O,9,FALSE)=0,"",VLOOKUP($A45,'Annex 2 Designated EHV charges'!$A:$O,9,FALSE)),"")</f>
        <v>0.08</v>
      </c>
      <c r="F45" s="98">
        <f>IFERROR(IF(VLOOKUP($A45,'Annex 2 Designated EHV charges'!$A:$O,10,FALSE)=0,"",VLOOKUP($A45,'Annex 2 Designated EHV charges'!$A:$O,10,FALSE)),"")</f>
        <v>6.94</v>
      </c>
      <c r="G45" s="99">
        <f>IFERROR(IF(VLOOKUP($A45,'Annex 2 Designated EHV charges'!$A:$O,11,FALSE)=0,"",VLOOKUP($A45,'Annex 2 Designated EHV charges'!$A:$O,11,FALSE)),"")</f>
        <v>2.75</v>
      </c>
      <c r="H45" s="99">
        <f>IFERROR(IF(VLOOKUP($A45,'Annex 2 Designated EHV charges'!$A:$O,12,FALSE)=0,"",VLOOKUP($A45,'Annex 2 Designated EHV charges'!$A:$O,12,FALSE)),"")</f>
        <v>2.75</v>
      </c>
    </row>
    <row r="46" spans="1:8" ht="12.75" customHeight="1" x14ac:dyDescent="0.35">
      <c r="A46" s="94" t="str" cm="1">
        <f t="array" ref="A46">IFERROR(INDEX('Annex 2 Designated EHV charges'!$A$10:$A$200, MATCH(0, IF(ISBLANK('Annex 2 Designated EHV charges'!$A$10:$A$200),1, COUNTIF(A$4:$A45, 'Annex 2 Designated EHV charges'!$A$10:$A$200)), 0)),"")</f>
        <v>BRAMBS</v>
      </c>
      <c r="B46" s="94">
        <f>IF($A46="","",VLOOKUP($A46,'Annex 2 Designated EHV charges'!$A:$O,2,0))</f>
        <v>842</v>
      </c>
      <c r="C46" s="95">
        <f>IF($A46="","",VLOOKUP($A46,'Annex 2 Designated EHV charges'!$A:$O,3,0))</f>
        <v>1900091566810</v>
      </c>
      <c r="D46" s="94" t="str">
        <f>IF($A46="","",VLOOKUP($A46,'Annex 2 Designated EHV charges'!$A:$O,7,0))</f>
        <v>BRAMBS</v>
      </c>
      <c r="E46" s="97">
        <f>IFERROR(IF(VLOOKUP($A46,'Annex 2 Designated EHV charges'!$A:$O,9,FALSE)=0,"",VLOOKUP($A46,'Annex 2 Designated EHV charges'!$A:$O,9,FALSE)),"")</f>
        <v>0.129</v>
      </c>
      <c r="F46" s="98">
        <f>IFERROR(IF(VLOOKUP($A46,'Annex 2 Designated EHV charges'!$A:$O,10,FALSE)=0,"",VLOOKUP($A46,'Annex 2 Designated EHV charges'!$A:$O,10,FALSE)),"")</f>
        <v>507.07</v>
      </c>
      <c r="G46" s="99">
        <f>IFERROR(IF(VLOOKUP($A46,'Annex 2 Designated EHV charges'!$A:$O,11,FALSE)=0,"",VLOOKUP($A46,'Annex 2 Designated EHV charges'!$A:$O,11,FALSE)),"")</f>
        <v>1.18</v>
      </c>
      <c r="H46" s="99">
        <f>IFERROR(IF(VLOOKUP($A46,'Annex 2 Designated EHV charges'!$A:$O,12,FALSE)=0,"",VLOOKUP($A46,'Annex 2 Designated EHV charges'!$A:$O,12,FALSE)),"")</f>
        <v>1.18</v>
      </c>
    </row>
    <row r="47" spans="1:8" ht="12.75" customHeight="1" x14ac:dyDescent="0.35">
      <c r="A47" s="94" t="str" cm="1">
        <f t="array" ref="A47">IFERROR(INDEX('Annex 2 Designated EHV charges'!$A$10:$A$200, MATCH(0, IF(ISBLANK('Annex 2 Designated EHV charges'!$A$10:$A$200),1, COUNTIF(A$4:$A46, 'Annex 2 Designated EHV charges'!$A$10:$A$200)), 0)),"")</f>
        <v>BRELLE</v>
      </c>
      <c r="B47" s="94">
        <f>IF($A47="","",VLOOKUP($A47,'Annex 2 Designated EHV charges'!$A:$O,2,0))</f>
        <v>843</v>
      </c>
      <c r="C47" s="95">
        <f>IF($A47="","",VLOOKUP($A47,'Annex 2 Designated EHV charges'!$A:$O,3,0))</f>
        <v>1900091523116</v>
      </c>
      <c r="D47" s="94" t="str">
        <f>IF($A47="","",VLOOKUP($A47,'Annex 2 Designated EHV charges'!$A:$O,7,0))</f>
        <v>BRELLE</v>
      </c>
      <c r="E47" s="97">
        <f>IFERROR(IF(VLOOKUP($A47,'Annex 2 Designated EHV charges'!$A:$O,9,FALSE)=0,"",VLOOKUP($A47,'Annex 2 Designated EHV charges'!$A:$O,9,FALSE)),"")</f>
        <v>2E-3</v>
      </c>
      <c r="F47" s="98">
        <f>IFERROR(IF(VLOOKUP($A47,'Annex 2 Designated EHV charges'!$A:$O,10,FALSE)=0,"",VLOOKUP($A47,'Annex 2 Designated EHV charges'!$A:$O,10,FALSE)),"")</f>
        <v>44.43</v>
      </c>
      <c r="G47" s="99">
        <f>IFERROR(IF(VLOOKUP($A47,'Annex 2 Designated EHV charges'!$A:$O,11,FALSE)=0,"",VLOOKUP($A47,'Annex 2 Designated EHV charges'!$A:$O,11,FALSE)),"")</f>
        <v>1.19</v>
      </c>
      <c r="H47" s="99">
        <f>IFERROR(IF(VLOOKUP($A47,'Annex 2 Designated EHV charges'!$A:$O,12,FALSE)=0,"",VLOOKUP($A47,'Annex 2 Designated EHV charges'!$A:$O,12,FALSE)),"")</f>
        <v>1.19</v>
      </c>
    </row>
    <row r="48" spans="1:8" ht="12.75" customHeight="1" x14ac:dyDescent="0.35">
      <c r="A48" s="94" t="str" cm="1">
        <f t="array" ref="A48">IFERROR(INDEX('Annex 2 Designated EHV charges'!$A$10:$A$200, MATCH(0, IF(ISBLANK('Annex 2 Designated EHV charges'!$A$10:$A$200),1, COUNTIF(A$4:$A47, 'Annex 2 Designated EHV charges'!$A$10:$A$200)), 0)),"")</f>
        <v>BRETSH</v>
      </c>
      <c r="B48" s="94">
        <f>IF($A48="","",VLOOKUP($A48,'Annex 2 Designated EHV charges'!$A:$O,2,0))</f>
        <v>871</v>
      </c>
      <c r="C48" s="95" t="str">
        <f>IF($A48="","",VLOOKUP($A48,'Annex 2 Designated EHV charges'!$A:$O,3,0))</f>
        <v>1900061003393;1900090466576</v>
      </c>
      <c r="D48" s="94" t="str">
        <f>IF($A48="","",VLOOKUP($A48,'Annex 2 Designated EHV charges'!$A:$O,7,0))</f>
        <v>BRETSH</v>
      </c>
      <c r="E48" s="97">
        <f>IFERROR(IF(VLOOKUP($A48,'Annex 2 Designated EHV charges'!$A:$O,9,FALSE)=0,"",VLOOKUP($A48,'Annex 2 Designated EHV charges'!$A:$O,9,FALSE)),"")</f>
        <v>0.17699999999999999</v>
      </c>
      <c r="F48" s="98">
        <f>IFERROR(IF(VLOOKUP($A48,'Annex 2 Designated EHV charges'!$A:$O,10,FALSE)=0,"",VLOOKUP($A48,'Annex 2 Designated EHV charges'!$A:$O,10,FALSE)),"")</f>
        <v>33.549999999999997</v>
      </c>
      <c r="G48" s="99">
        <f>IFERROR(IF(VLOOKUP($A48,'Annex 2 Designated EHV charges'!$A:$O,11,FALSE)=0,"",VLOOKUP($A48,'Annex 2 Designated EHV charges'!$A:$O,11,FALSE)),"")</f>
        <v>1.49</v>
      </c>
      <c r="H48" s="99">
        <f>IFERROR(IF(VLOOKUP($A48,'Annex 2 Designated EHV charges'!$A:$O,12,FALSE)=0,"",VLOOKUP($A48,'Annex 2 Designated EHV charges'!$A:$O,12,FALSE)),"")</f>
        <v>1.49</v>
      </c>
    </row>
    <row r="49" spans="1:8" ht="12.75" customHeight="1" x14ac:dyDescent="0.35">
      <c r="A49" s="94" t="str" cm="1">
        <f t="array" ref="A49">IFERROR(INDEX('Annex 2 Designated EHV charges'!$A$10:$A$200, MATCH(0, IF(ISBLANK('Annex 2 Designated EHV charges'!$A$10:$A$200),1, COUNTIF(A$4:$A48, 'Annex 2 Designated EHV charges'!$A$10:$A$200)), 0)),"")</f>
        <v>BRKHST</v>
      </c>
      <c r="B49" s="94">
        <f>IF($A49="","",VLOOKUP($A49,'Annex 2 Designated EHV charges'!$A:$O,2,0))</f>
        <v>802</v>
      </c>
      <c r="C49" s="95">
        <f>IF($A49="","",VLOOKUP($A49,'Annex 2 Designated EHV charges'!$A:$O,3,0))</f>
        <v>1900090834409</v>
      </c>
      <c r="D49" s="94" t="str">
        <f>IF($A49="","",VLOOKUP($A49,'Annex 2 Designated EHV charges'!$A:$O,7,0))</f>
        <v>BRKHST</v>
      </c>
      <c r="E49" s="97">
        <f>IFERROR(IF(VLOOKUP($A49,'Annex 2 Designated EHV charges'!$A:$O,9,FALSE)=0,"",VLOOKUP($A49,'Annex 2 Designated EHV charges'!$A:$O,9,FALSE)),"")</f>
        <v>1.272</v>
      </c>
      <c r="F49" s="98">
        <f>IFERROR(IF(VLOOKUP($A49,'Annex 2 Designated EHV charges'!$A:$O,10,FALSE)=0,"",VLOOKUP($A49,'Annex 2 Designated EHV charges'!$A:$O,10,FALSE)),"")</f>
        <v>14740.94</v>
      </c>
      <c r="G49" s="99">
        <f>IFERROR(IF(VLOOKUP($A49,'Annex 2 Designated EHV charges'!$A:$O,11,FALSE)=0,"",VLOOKUP($A49,'Annex 2 Designated EHV charges'!$A:$O,11,FALSE)),"")</f>
        <v>5.13</v>
      </c>
      <c r="H49" s="99">
        <f>IFERROR(IF(VLOOKUP($A49,'Annex 2 Designated EHV charges'!$A:$O,12,FALSE)=0,"",VLOOKUP($A49,'Annex 2 Designated EHV charges'!$A:$O,12,FALSE)),"")</f>
        <v>5.13</v>
      </c>
    </row>
    <row r="50" spans="1:8" ht="12.75" customHeight="1" x14ac:dyDescent="0.35">
      <c r="A50" s="94" t="str" cm="1">
        <f t="array" ref="A50">IFERROR(INDEX('Annex 2 Designated EHV charges'!$A$10:$A$200, MATCH(0, IF(ISBLANK('Annex 2 Designated EHV charges'!$A$10:$A$200),1, COUNTIF(A$4:$A49, 'Annex 2 Designated EHV charges'!$A$10:$A$200)), 0)),"")</f>
        <v>BROABS</v>
      </c>
      <c r="B50" s="94">
        <f>IF($A50="","",VLOOKUP($A50,'Annex 2 Designated EHV charges'!$A:$O,2,0))</f>
        <v>0</v>
      </c>
      <c r="C50" s="95" t="str">
        <f>IF($A50="","",VLOOKUP($A50,'Annex 2 Designated EHV charges'!$A:$O,3,0))</f>
        <v>MSID: 7478</v>
      </c>
      <c r="D50" s="94" t="str">
        <f>IF($A50="","",VLOOKUP($A50,'Annex 2 Designated EHV charges'!$A:$O,7,0))</f>
        <v>BROABS</v>
      </c>
      <c r="E50" s="97">
        <f>IFERROR(IF(VLOOKUP($A50,'Annex 2 Designated EHV charges'!$A:$O,9,FALSE)=0,"",VLOOKUP($A50,'Annex 2 Designated EHV charges'!$A:$O,9,FALSE)),"")</f>
        <v>0.76500000000000001</v>
      </c>
      <c r="F50" s="98">
        <f>IFERROR(IF(VLOOKUP($A50,'Annex 2 Designated EHV charges'!$A:$O,10,FALSE)=0,"",VLOOKUP($A50,'Annex 2 Designated EHV charges'!$A:$O,10,FALSE)),"")</f>
        <v>491.1</v>
      </c>
      <c r="G50" s="99">
        <f>IFERROR(IF(VLOOKUP($A50,'Annex 2 Designated EHV charges'!$A:$O,11,FALSE)=0,"",VLOOKUP($A50,'Annex 2 Designated EHV charges'!$A:$O,11,FALSE)),"")</f>
        <v>1.1200000000000001</v>
      </c>
      <c r="H50" s="99">
        <f>IFERROR(IF(VLOOKUP($A50,'Annex 2 Designated EHV charges'!$A:$O,12,FALSE)=0,"",VLOOKUP($A50,'Annex 2 Designated EHV charges'!$A:$O,12,FALSE)),"")</f>
        <v>1.1200000000000001</v>
      </c>
    </row>
    <row r="51" spans="1:8" ht="12.75" customHeight="1" x14ac:dyDescent="0.35">
      <c r="A51" s="94" t="str" cm="1">
        <f t="array" ref="A51">IFERROR(INDEX('Annex 2 Designated EHV charges'!$A$10:$A$200, MATCH(0, IF(ISBLANK('Annex 2 Designated EHV charges'!$A$10:$A$200),1, COUNTIF(A$4:$A50, 'Annex 2 Designated EHV charges'!$A$10:$A$200)), 0)),"")</f>
        <v>BTBRKS</v>
      </c>
      <c r="B51" s="94">
        <f>IF($A51="","",VLOOKUP($A51,'Annex 2 Designated EHV charges'!$A:$O,2,0))</f>
        <v>810</v>
      </c>
      <c r="C51" s="95">
        <f>IF($A51="","",VLOOKUP($A51,'Annex 2 Designated EHV charges'!$A:$O,3,0))</f>
        <v>1900091199350</v>
      </c>
      <c r="D51" s="94" t="str">
        <f>IF($A51="","",VLOOKUP($A51,'Annex 2 Designated EHV charges'!$A:$O,7,0))</f>
        <v>BTBRKS</v>
      </c>
      <c r="E51" s="97" t="str">
        <f>IFERROR(IF(VLOOKUP($A51,'Annex 2 Designated EHV charges'!$A:$O,9,FALSE)=0,"",VLOOKUP($A51,'Annex 2 Designated EHV charges'!$A:$O,9,FALSE)),"")</f>
        <v/>
      </c>
      <c r="F51" s="98">
        <f>IFERROR(IF(VLOOKUP($A51,'Annex 2 Designated EHV charges'!$A:$O,10,FALSE)=0,"",VLOOKUP($A51,'Annex 2 Designated EHV charges'!$A:$O,10,FALSE)),"")</f>
        <v>19.2</v>
      </c>
      <c r="G51" s="99">
        <f>IFERROR(IF(VLOOKUP($A51,'Annex 2 Designated EHV charges'!$A:$O,11,FALSE)=0,"",VLOOKUP($A51,'Annex 2 Designated EHV charges'!$A:$O,11,FALSE)),"")</f>
        <v>0.94</v>
      </c>
      <c r="H51" s="99">
        <f>IFERROR(IF(VLOOKUP($A51,'Annex 2 Designated EHV charges'!$A:$O,12,FALSE)=0,"",VLOOKUP($A51,'Annex 2 Designated EHV charges'!$A:$O,12,FALSE)),"")</f>
        <v>0.94</v>
      </c>
    </row>
    <row r="52" spans="1:8" ht="12.75" customHeight="1" x14ac:dyDescent="0.35">
      <c r="A52" s="94" t="str" cm="1">
        <f t="array" ref="A52">IFERROR(INDEX('Annex 2 Designated EHV charges'!$A$10:$A$200, MATCH(0, IF(ISBLANK('Annex 2 Designated EHV charges'!$A$10:$A$200),1, COUNTIF(A$4:$A51, 'Annex 2 Designated EHV charges'!$A$10:$A$200)), 0)),"")</f>
        <v>CAPELG</v>
      </c>
      <c r="B52" s="94">
        <f>IF($A52="","",VLOOKUP($A52,'Annex 2 Designated EHV charges'!$A:$O,2,0))</f>
        <v>893</v>
      </c>
      <c r="C52" s="95">
        <f>IF($A52="","",VLOOKUP($A52,'Annex 2 Designated EHV charges'!$A:$O,3,0))</f>
        <v>1900091353298</v>
      </c>
      <c r="D52" s="94" t="str">
        <f>IF($A52="","",VLOOKUP($A52,'Annex 2 Designated EHV charges'!$A:$O,7,0))</f>
        <v>CAPELG</v>
      </c>
      <c r="E52" s="97">
        <f>IFERROR(IF(VLOOKUP($A52,'Annex 2 Designated EHV charges'!$A:$O,9,FALSE)=0,"",VLOOKUP($A52,'Annex 2 Designated EHV charges'!$A:$O,9,FALSE)),"")</f>
        <v>4.4630000000000001</v>
      </c>
      <c r="F52" s="98">
        <f>IFERROR(IF(VLOOKUP($A52,'Annex 2 Designated EHV charges'!$A:$O,10,FALSE)=0,"",VLOOKUP($A52,'Annex 2 Designated EHV charges'!$A:$O,10,FALSE)),"")</f>
        <v>1.24</v>
      </c>
      <c r="G52" s="99">
        <f>IFERROR(IF(VLOOKUP($A52,'Annex 2 Designated EHV charges'!$A:$O,11,FALSE)=0,"",VLOOKUP($A52,'Annex 2 Designated EHV charges'!$A:$O,11,FALSE)),"")</f>
        <v>5.3</v>
      </c>
      <c r="H52" s="99">
        <f>IFERROR(IF(VLOOKUP($A52,'Annex 2 Designated EHV charges'!$A:$O,12,FALSE)=0,"",VLOOKUP($A52,'Annex 2 Designated EHV charges'!$A:$O,12,FALSE)),"")</f>
        <v>5.3</v>
      </c>
    </row>
    <row r="53" spans="1:8" ht="12.75" customHeight="1" x14ac:dyDescent="0.35">
      <c r="A53" s="94" t="str" cm="1">
        <f t="array" ref="A53">IFERROR(INDEX('Annex 2 Designated EHV charges'!$A$10:$A$200, MATCH(0, IF(ISBLANK('Annex 2 Designated EHV charges'!$A$10:$A$200),1, COUNTIF(A$4:$A52, 'Annex 2 Designated EHV charges'!$A$10:$A$200)), 0)),"")</f>
        <v>CLYHLL</v>
      </c>
      <c r="B53" s="94">
        <f>IF($A53="","",VLOOKUP($A53,'Annex 2 Designated EHV charges'!$A:$O,2,0))</f>
        <v>894</v>
      </c>
      <c r="C53" s="95">
        <f>IF($A53="","",VLOOKUP($A53,'Annex 2 Designated EHV charges'!$A:$O,3,0))</f>
        <v>1900091343750</v>
      </c>
      <c r="D53" s="94" t="str">
        <f>IF($A53="","",VLOOKUP($A53,'Annex 2 Designated EHV charges'!$A:$O,7,0))</f>
        <v>CLYHLL</v>
      </c>
      <c r="E53" s="97">
        <f>IFERROR(IF(VLOOKUP($A53,'Annex 2 Designated EHV charges'!$A:$O,9,FALSE)=0,"",VLOOKUP($A53,'Annex 2 Designated EHV charges'!$A:$O,9,FALSE)),"")</f>
        <v>1.337</v>
      </c>
      <c r="F53" s="98">
        <f>IFERROR(IF(VLOOKUP($A53,'Annex 2 Designated EHV charges'!$A:$O,10,FALSE)=0,"",VLOOKUP($A53,'Annex 2 Designated EHV charges'!$A:$O,10,FALSE)),"")</f>
        <v>13.16</v>
      </c>
      <c r="G53" s="99">
        <f>IFERROR(IF(VLOOKUP($A53,'Annex 2 Designated EHV charges'!$A:$O,11,FALSE)=0,"",VLOOKUP($A53,'Annex 2 Designated EHV charges'!$A:$O,11,FALSE)),"")</f>
        <v>3.43</v>
      </c>
      <c r="H53" s="99">
        <f>IFERROR(IF(VLOOKUP($A53,'Annex 2 Designated EHV charges'!$A:$O,12,FALSE)=0,"",VLOOKUP($A53,'Annex 2 Designated EHV charges'!$A:$O,12,FALSE)),"")</f>
        <v>3.43</v>
      </c>
    </row>
    <row r="54" spans="1:8" ht="12.75" customHeight="1" x14ac:dyDescent="0.35">
      <c r="A54" s="94" t="str" cm="1">
        <f t="array" ref="A54">IFERROR(INDEX('Annex 2 Designated EHV charges'!$A$10:$A$200, MATCH(0, IF(ISBLANK('Annex 2 Designated EHV charges'!$A$10:$A$200),1, COUNTIF(A$4:$A53, 'Annex 2 Designated EHV charges'!$A$10:$A$200)), 0)),"")</f>
        <v>CRYENG</v>
      </c>
      <c r="B54" s="94">
        <f>IF($A54="","",VLOOKUP($A54,'Annex 2 Designated EHV charges'!$A:$O,2,0))</f>
        <v>0</v>
      </c>
      <c r="C54" s="95" t="str">
        <f>IF($A54="","",VLOOKUP($A54,'Annex 2 Designated EHV charges'!$A:$O,3,0))</f>
        <v>MSID: 7441</v>
      </c>
      <c r="D54" s="94" t="str">
        <f>IF($A54="","",VLOOKUP($A54,'Annex 2 Designated EHV charges'!$A:$O,7,0))</f>
        <v>CRYENG</v>
      </c>
      <c r="E54" s="97">
        <f>IFERROR(IF(VLOOKUP($A54,'Annex 2 Designated EHV charges'!$A:$O,9,FALSE)=0,"",VLOOKUP($A54,'Annex 2 Designated EHV charges'!$A:$O,9,FALSE)),"")</f>
        <v>1.6E-2</v>
      </c>
      <c r="F54" s="98">
        <f>IFERROR(IF(VLOOKUP($A54,'Annex 2 Designated EHV charges'!$A:$O,10,FALSE)=0,"",VLOOKUP($A54,'Annex 2 Designated EHV charges'!$A:$O,10,FALSE)),"")</f>
        <v>163.68</v>
      </c>
      <c r="G54" s="99">
        <f>IFERROR(IF(VLOOKUP($A54,'Annex 2 Designated EHV charges'!$A:$O,11,FALSE)=0,"",VLOOKUP($A54,'Annex 2 Designated EHV charges'!$A:$O,11,FALSE)),"")</f>
        <v>0.94</v>
      </c>
      <c r="H54" s="99">
        <f>IFERROR(IF(VLOOKUP($A54,'Annex 2 Designated EHV charges'!$A:$O,12,FALSE)=0,"",VLOOKUP($A54,'Annex 2 Designated EHV charges'!$A:$O,12,FALSE)),"")</f>
        <v>0.94</v>
      </c>
    </row>
    <row r="55" spans="1:8" ht="12.75" customHeight="1" x14ac:dyDescent="0.35">
      <c r="A55" s="94" t="str" cm="1">
        <f t="array" ref="A55">IFERROR(INDEX('Annex 2 Designated EHV charges'!$A$10:$A$200, MATCH(0, IF(ISBLANK('Annex 2 Designated EHV charges'!$A$10:$A$200),1, COUNTIF(A$4:$A54, 'Annex 2 Designated EHV charges'!$A$10:$A$200)), 0)),"")</f>
        <v>CWSTBS</v>
      </c>
      <c r="B55" s="94">
        <f>IF($A55="","",VLOOKUP($A55,'Annex 2 Designated EHV charges'!$A:$O,2,0))</f>
        <v>0</v>
      </c>
      <c r="C55" s="95" t="str">
        <f>IF($A55="","",VLOOKUP($A55,'Annex 2 Designated EHV charges'!$A:$O,3,0))</f>
        <v>ENET</v>
      </c>
      <c r="D55" s="94" t="str">
        <f>IF($A55="","",VLOOKUP($A55,'Annex 2 Designated EHV charges'!$A:$O,7,0))</f>
        <v>CWSTBS</v>
      </c>
      <c r="E55" s="97">
        <f>IFERROR(IF(VLOOKUP($A55,'Annex 2 Designated EHV charges'!$A:$O,9,FALSE)=0,"",VLOOKUP($A55,'Annex 2 Designated EHV charges'!$A:$O,9,FALSE)),"")</f>
        <v>1E-3</v>
      </c>
      <c r="F55" s="98">
        <f>IFERROR(IF(VLOOKUP($A55,'Annex 2 Designated EHV charges'!$A:$O,10,FALSE)=0,"",VLOOKUP($A55,'Annex 2 Designated EHV charges'!$A:$O,10,FALSE)),"")</f>
        <v>49.61</v>
      </c>
      <c r="G55" s="99">
        <f>IFERROR(IF(VLOOKUP($A55,'Annex 2 Designated EHV charges'!$A:$O,11,FALSE)=0,"",VLOOKUP($A55,'Annex 2 Designated EHV charges'!$A:$O,11,FALSE)),"")</f>
        <v>0.56000000000000005</v>
      </c>
      <c r="H55" s="99">
        <f>IFERROR(IF(VLOOKUP($A55,'Annex 2 Designated EHV charges'!$A:$O,12,FALSE)=0,"",VLOOKUP($A55,'Annex 2 Designated EHV charges'!$A:$O,12,FALSE)),"")</f>
        <v>0.56000000000000005</v>
      </c>
    </row>
    <row r="56" spans="1:8" ht="12.75" customHeight="1" x14ac:dyDescent="0.35">
      <c r="A56" s="94" t="str" cm="1">
        <f t="array" ref="A56">IFERROR(INDEX('Annex 2 Designated EHV charges'!$A$10:$A$200, MATCH(0, IF(ISBLANK('Annex 2 Designated EHV charges'!$A$10:$A$200),1, COUNTIF(A$4:$A55, 'Annex 2 Designated EHV charges'!$A$10:$A$200)), 0)),"")</f>
        <v>DARENT</v>
      </c>
      <c r="B56" s="94">
        <f>IF($A56="","",VLOOKUP($A56,'Annex 2 Designated EHV charges'!$A:$O,2,0))</f>
        <v>836</v>
      </c>
      <c r="C56" s="95">
        <f>IF($A56="","",VLOOKUP($A56,'Annex 2 Designated EHV charges'!$A:$O,3,0))</f>
        <v>1900091057568</v>
      </c>
      <c r="D56" s="94" t="str">
        <f>IF($A56="","",VLOOKUP($A56,'Annex 2 Designated EHV charges'!$A:$O,7,0))</f>
        <v>DARENT</v>
      </c>
      <c r="E56" s="97">
        <f>IFERROR(IF(VLOOKUP($A56,'Annex 2 Designated EHV charges'!$A:$O,9,FALSE)=0,"",VLOOKUP($A56,'Annex 2 Designated EHV charges'!$A:$O,9,FALSE)),"")</f>
        <v>3.0000000000000001E-3</v>
      </c>
      <c r="F56" s="98">
        <f>IFERROR(IF(VLOOKUP($A56,'Annex 2 Designated EHV charges'!$A:$O,10,FALSE)=0,"",VLOOKUP($A56,'Annex 2 Designated EHV charges'!$A:$O,10,FALSE)),"")</f>
        <v>2729.55</v>
      </c>
      <c r="G56" s="99">
        <f>IFERROR(IF(VLOOKUP($A56,'Annex 2 Designated EHV charges'!$A:$O,11,FALSE)=0,"",VLOOKUP($A56,'Annex 2 Designated EHV charges'!$A:$O,11,FALSE)),"")</f>
        <v>0.8</v>
      </c>
      <c r="H56" s="99">
        <f>IFERROR(IF(VLOOKUP($A56,'Annex 2 Designated EHV charges'!$A:$O,12,FALSE)=0,"",VLOOKUP($A56,'Annex 2 Designated EHV charges'!$A:$O,12,FALSE)),"")</f>
        <v>0.8</v>
      </c>
    </row>
    <row r="57" spans="1:8" ht="12.75" customHeight="1" x14ac:dyDescent="0.35">
      <c r="A57" s="94" t="str" cm="1">
        <f t="array" ref="A57">IFERROR(INDEX('Annex 2 Designated EHV charges'!$A$10:$A$200, MATCH(0, IF(ISBLANK('Annex 2 Designated EHV charges'!$A$10:$A$200),1, COUNTIF(A$4:$A56, 'Annex 2 Designated EHV charges'!$A$10:$A$200)), 0)),"")</f>
        <v>DSCPRK</v>
      </c>
      <c r="B57" s="94">
        <f>IF($A57="","",VLOOKUP($A57,'Annex 2 Designated EHV charges'!$A:$O,2,0))</f>
        <v>804</v>
      </c>
      <c r="C57" s="95">
        <f>IF($A57="","",VLOOKUP($A57,'Annex 2 Designated EHV charges'!$A:$O,3,0))</f>
        <v>1900091637072</v>
      </c>
      <c r="D57" s="94" t="str">
        <f>IF($A57="","",VLOOKUP($A57,'Annex 2 Designated EHV charges'!$A:$O,7,0))</f>
        <v>DSCPRK</v>
      </c>
      <c r="E57" s="97">
        <f>IFERROR(IF(VLOOKUP($A57,'Annex 2 Designated EHV charges'!$A:$O,9,FALSE)=0,"",VLOOKUP($A57,'Annex 2 Designated EHV charges'!$A:$O,9,FALSE)),"")</f>
        <v>3.0000000000000001E-3</v>
      </c>
      <c r="F57" s="98">
        <f>IFERROR(IF(VLOOKUP($A57,'Annex 2 Designated EHV charges'!$A:$O,10,FALSE)=0,"",VLOOKUP($A57,'Annex 2 Designated EHV charges'!$A:$O,10,FALSE)),"")</f>
        <v>34280.94</v>
      </c>
      <c r="G57" s="99">
        <f>IFERROR(IF(VLOOKUP($A57,'Annex 2 Designated EHV charges'!$A:$O,11,FALSE)=0,"",VLOOKUP($A57,'Annex 2 Designated EHV charges'!$A:$O,11,FALSE)),"")</f>
        <v>0.78</v>
      </c>
      <c r="H57" s="99">
        <f>IFERROR(IF(VLOOKUP($A57,'Annex 2 Designated EHV charges'!$A:$O,12,FALSE)=0,"",VLOOKUP($A57,'Annex 2 Designated EHV charges'!$A:$O,12,FALSE)),"")</f>
        <v>0.78</v>
      </c>
    </row>
    <row r="58" spans="1:8" ht="12.75" customHeight="1" x14ac:dyDescent="0.35">
      <c r="A58" s="94" t="str" cm="1">
        <f t="array" ref="A58">IFERROR(INDEX('Annex 2 Designated EHV charges'!$A$10:$A$200, MATCH(0, IF(ISBLANK('Annex 2 Designated EHV charges'!$A$10:$A$200),1, COUNTIF(A$4:$A57, 'Annex 2 Designated EHV charges'!$A$10:$A$200)), 0)),"")</f>
        <v>FORDSF</v>
      </c>
      <c r="B58" s="94">
        <f>IF($A58="","",VLOOKUP($A58,'Annex 2 Designated EHV charges'!$A:$O,2,0))</f>
        <v>895</v>
      </c>
      <c r="C58" s="95">
        <f>IF($A58="","",VLOOKUP($A58,'Annex 2 Designated EHV charges'!$A:$O,3,0))</f>
        <v>1900091361962</v>
      </c>
      <c r="D58" s="94" t="str">
        <f>IF($A58="","",VLOOKUP($A58,'Annex 2 Designated EHV charges'!$A:$O,7,0))</f>
        <v>FORDSF</v>
      </c>
      <c r="E58" s="97">
        <f>IFERROR(IF(VLOOKUP($A58,'Annex 2 Designated EHV charges'!$A:$O,9,FALSE)=0,"",VLOOKUP($A58,'Annex 2 Designated EHV charges'!$A:$O,9,FALSE)),"")</f>
        <v>0.33300000000000002</v>
      </c>
      <c r="F58" s="98">
        <f>IFERROR(IF(VLOOKUP($A58,'Annex 2 Designated EHV charges'!$A:$O,10,FALSE)=0,"",VLOOKUP($A58,'Annex 2 Designated EHV charges'!$A:$O,10,FALSE)),"")</f>
        <v>16.2</v>
      </c>
      <c r="G58" s="99">
        <f>IFERROR(IF(VLOOKUP($A58,'Annex 2 Designated EHV charges'!$A:$O,11,FALSE)=0,"",VLOOKUP($A58,'Annex 2 Designated EHV charges'!$A:$O,11,FALSE)),"")</f>
        <v>1.21</v>
      </c>
      <c r="H58" s="99">
        <f>IFERROR(IF(VLOOKUP($A58,'Annex 2 Designated EHV charges'!$A:$O,12,FALSE)=0,"",VLOOKUP($A58,'Annex 2 Designated EHV charges'!$A:$O,12,FALSE)),"")</f>
        <v>1.21</v>
      </c>
    </row>
    <row r="59" spans="1:8" ht="12.75" customHeight="1" x14ac:dyDescent="0.35">
      <c r="A59" s="94" t="str" cm="1">
        <f t="array" ref="A59">IFERROR(INDEX('Annex 2 Designated EHV charges'!$A$10:$A$200, MATCH(0, IF(ISBLANK('Annex 2 Designated EHV charges'!$A$10:$A$200),1, COUNTIF(A$4:$A58, 'Annex 2 Designated EHV charges'!$A$10:$A$200)), 0)),"")</f>
        <v>FRWOOD</v>
      </c>
      <c r="B59" s="94">
        <f>IF($A59="","",VLOOKUP($A59,'Annex 2 Designated EHV charges'!$A:$O,2,0))</f>
        <v>811</v>
      </c>
      <c r="C59" s="95">
        <f>IF($A59="","",VLOOKUP($A59,'Annex 2 Designated EHV charges'!$A:$O,3,0))</f>
        <v>1900091200388</v>
      </c>
      <c r="D59" s="94" t="str">
        <f>IF($A59="","",VLOOKUP($A59,'Annex 2 Designated EHV charges'!$A:$O,7,0))</f>
        <v>FRWOOD</v>
      </c>
      <c r="E59" s="97" t="str">
        <f>IFERROR(IF(VLOOKUP($A59,'Annex 2 Designated EHV charges'!$A:$O,9,FALSE)=0,"",VLOOKUP($A59,'Annex 2 Designated EHV charges'!$A:$O,9,FALSE)),"")</f>
        <v/>
      </c>
      <c r="F59" s="98">
        <f>IFERROR(IF(VLOOKUP($A59,'Annex 2 Designated EHV charges'!$A:$O,10,FALSE)=0,"",VLOOKUP($A59,'Annex 2 Designated EHV charges'!$A:$O,10,FALSE)),"")</f>
        <v>26.36</v>
      </c>
      <c r="G59" s="99">
        <f>IFERROR(IF(VLOOKUP($A59,'Annex 2 Designated EHV charges'!$A:$O,11,FALSE)=0,"",VLOOKUP($A59,'Annex 2 Designated EHV charges'!$A:$O,11,FALSE)),"")</f>
        <v>1.58</v>
      </c>
      <c r="H59" s="99">
        <f>IFERROR(IF(VLOOKUP($A59,'Annex 2 Designated EHV charges'!$A:$O,12,FALSE)=0,"",VLOOKUP($A59,'Annex 2 Designated EHV charges'!$A:$O,12,FALSE)),"")</f>
        <v>1.58</v>
      </c>
    </row>
    <row r="60" spans="1:8" ht="12.75" customHeight="1" x14ac:dyDescent="0.35">
      <c r="A60" s="94" t="str" cm="1">
        <f t="array" ref="A60">IFERROR(INDEX('Annex 2 Designated EHV charges'!$A$10:$A$200, MATCH(0, IF(ISBLANK('Annex 2 Designated EHV charges'!$A$10:$A$200),1, COUNTIF(A$4:$A59, 'Annex 2 Designated EHV charges'!$A$10:$A$200)), 0)),"")</f>
        <v>GATWBS</v>
      </c>
      <c r="B60" s="94">
        <f>IF($A60="","",VLOOKUP($A60,'Annex 2 Designated EHV charges'!$A:$O,2,0))</f>
        <v>907</v>
      </c>
      <c r="C60" s="95">
        <f>IF($A60="","",VLOOKUP($A60,'Annex 2 Designated EHV charges'!$A:$O,3,0))</f>
        <v>1900092421061</v>
      </c>
      <c r="D60" s="94" t="str">
        <f>IF($A60="","",VLOOKUP($A60,'Annex 2 Designated EHV charges'!$A:$O,7,0))</f>
        <v>GATWBS</v>
      </c>
      <c r="E60" s="97">
        <f>IFERROR(IF(VLOOKUP($A60,'Annex 2 Designated EHV charges'!$A:$O,9,FALSE)=0,"",VLOOKUP($A60,'Annex 2 Designated EHV charges'!$A:$O,9,FALSE)),"")</f>
        <v>0.89300000000000002</v>
      </c>
      <c r="F60" s="98">
        <f>IFERROR(IF(VLOOKUP($A60,'Annex 2 Designated EHV charges'!$A:$O,10,FALSE)=0,"",VLOOKUP($A60,'Annex 2 Designated EHV charges'!$A:$O,10,FALSE)),"")</f>
        <v>385.49</v>
      </c>
      <c r="G60" s="99">
        <f>IFERROR(IF(VLOOKUP($A60,'Annex 2 Designated EHV charges'!$A:$O,11,FALSE)=0,"",VLOOKUP($A60,'Annex 2 Designated EHV charges'!$A:$O,11,FALSE)),"")</f>
        <v>1.23</v>
      </c>
      <c r="H60" s="99">
        <f>IFERROR(IF(VLOOKUP($A60,'Annex 2 Designated EHV charges'!$A:$O,12,FALSE)=0,"",VLOOKUP($A60,'Annex 2 Designated EHV charges'!$A:$O,12,FALSE)),"")</f>
        <v>1.23</v>
      </c>
    </row>
    <row r="61" spans="1:8" ht="12.75" customHeight="1" x14ac:dyDescent="0.35">
      <c r="A61" s="94" t="str" cm="1">
        <f t="array" ref="A61">IFERROR(INDEX('Annex 2 Designated EHV charges'!$A$10:$A$200, MATCH(0, IF(ISBLANK('Annex 2 Designated EHV charges'!$A$10:$A$200),1, COUNTIF(A$4:$A60, 'Annex 2 Designated EHV charges'!$A$10:$A$200)), 0)),"")</f>
        <v>GLASSN</v>
      </c>
      <c r="B61" s="94">
        <f>IF($A61="","",VLOOKUP($A61,'Annex 2 Designated EHV charges'!$A:$O,2,0))</f>
        <v>844</v>
      </c>
      <c r="C61" s="95" t="str">
        <f>IF($A61="","",VLOOKUP($A61,'Annex 2 Designated EHV charges'!$A:$O,3,0))</f>
        <v>1900091523301;1900092049178</v>
      </c>
      <c r="D61" s="94" t="str">
        <f>IF($A61="","",VLOOKUP($A61,'Annex 2 Designated EHV charges'!$A:$O,7,0))</f>
        <v>GLASSN</v>
      </c>
      <c r="E61" s="97">
        <f>IFERROR(IF(VLOOKUP($A61,'Annex 2 Designated EHV charges'!$A:$O,9,FALSE)=0,"",VLOOKUP($A61,'Annex 2 Designated EHV charges'!$A:$O,9,FALSE)),"")</f>
        <v>5.3999999999999999E-2</v>
      </c>
      <c r="F61" s="98">
        <f>IFERROR(IF(VLOOKUP($A61,'Annex 2 Designated EHV charges'!$A:$O,10,FALSE)=0,"",VLOOKUP($A61,'Annex 2 Designated EHV charges'!$A:$O,10,FALSE)),"")</f>
        <v>609.26</v>
      </c>
      <c r="G61" s="99">
        <f>IFERROR(IF(VLOOKUP($A61,'Annex 2 Designated EHV charges'!$A:$O,11,FALSE)=0,"",VLOOKUP($A61,'Annex 2 Designated EHV charges'!$A:$O,11,FALSE)),"")</f>
        <v>2.2999999999999998</v>
      </c>
      <c r="H61" s="99">
        <f>IFERROR(IF(VLOOKUP($A61,'Annex 2 Designated EHV charges'!$A:$O,12,FALSE)=0,"",VLOOKUP($A61,'Annex 2 Designated EHV charges'!$A:$O,12,FALSE)),"")</f>
        <v>2.2999999999999998</v>
      </c>
    </row>
    <row r="62" spans="1:8" ht="12.75" customHeight="1" x14ac:dyDescent="0.35">
      <c r="A62" s="94" t="str" cm="1">
        <f t="array" ref="A62">IFERROR(INDEX('Annex 2 Designated EHV charges'!$A$10:$A$200, MATCH(0, IF(ISBLANK('Annex 2 Designated EHV charges'!$A$10:$A$200),1, COUNTIF(A$4:$A61, 'Annex 2 Designated EHV charges'!$A$10:$A$200)), 0)),"")</f>
        <v>GROVEH</v>
      </c>
      <c r="B62" s="94">
        <f>IF($A62="","",VLOOKUP($A62,'Annex 2 Designated EHV charges'!$A:$O,2,0))</f>
        <v>875</v>
      </c>
      <c r="C62" s="95">
        <f>IF($A62="","",VLOOKUP($A62,'Annex 2 Designated EHV charges'!$A:$O,3,0))</f>
        <v>1900060225185</v>
      </c>
      <c r="D62" s="94" t="str">
        <f>IF($A62="","",VLOOKUP($A62,'Annex 2 Designated EHV charges'!$A:$O,7,0))</f>
        <v>GROVEH</v>
      </c>
      <c r="E62" s="97">
        <f>IFERROR(IF(VLOOKUP($A62,'Annex 2 Designated EHV charges'!$A:$O,9,FALSE)=0,"",VLOOKUP($A62,'Annex 2 Designated EHV charges'!$A:$O,9,FALSE)),"")</f>
        <v>6.5000000000000002E-2</v>
      </c>
      <c r="F62" s="98">
        <f>IFERROR(IF(VLOOKUP($A62,'Annex 2 Designated EHV charges'!$A:$O,10,FALSE)=0,"",VLOOKUP($A62,'Annex 2 Designated EHV charges'!$A:$O,10,FALSE)),"")</f>
        <v>62870.25</v>
      </c>
      <c r="G62" s="99">
        <f>IFERROR(IF(VLOOKUP($A62,'Annex 2 Designated EHV charges'!$A:$O,11,FALSE)=0,"",VLOOKUP($A62,'Annex 2 Designated EHV charges'!$A:$O,11,FALSE)),"")</f>
        <v>0.95</v>
      </c>
      <c r="H62" s="99">
        <f>IFERROR(IF(VLOOKUP($A62,'Annex 2 Designated EHV charges'!$A:$O,12,FALSE)=0,"",VLOOKUP($A62,'Annex 2 Designated EHV charges'!$A:$O,12,FALSE)),"")</f>
        <v>0.95</v>
      </c>
    </row>
    <row r="63" spans="1:8" ht="12.75" customHeight="1" x14ac:dyDescent="0.35">
      <c r="A63" s="94" t="str" cm="1">
        <f t="array" ref="A63">IFERROR(INDEX('Annex 2 Designated EHV charges'!$A$10:$A$200, MATCH(0, IF(ISBLANK('Annex 2 Designated EHV charges'!$A$10:$A$200),1, COUNTIF(A$4:$A62, 'Annex 2 Designated EHV charges'!$A$10:$A$200)), 0)),"")</f>
        <v>GUSTON</v>
      </c>
      <c r="B63" s="94">
        <f>IF($A63="","",VLOOKUP($A63,'Annex 2 Designated EHV charges'!$A:$O,2,0))</f>
        <v>831</v>
      </c>
      <c r="C63" s="95">
        <f>IF($A63="","",VLOOKUP($A63,'Annex 2 Designated EHV charges'!$A:$O,3,0))</f>
        <v>1900091338040</v>
      </c>
      <c r="D63" s="94" t="str">
        <f>IF($A63="","",VLOOKUP($A63,'Annex 2 Designated EHV charges'!$A:$O,7,0))</f>
        <v>GUSTON</v>
      </c>
      <c r="E63" s="97">
        <f>IFERROR(IF(VLOOKUP($A63,'Annex 2 Designated EHV charges'!$A:$O,9,FALSE)=0,"",VLOOKUP($A63,'Annex 2 Designated EHV charges'!$A:$O,9,FALSE)),"")</f>
        <v>1.6220000000000001</v>
      </c>
      <c r="F63" s="98">
        <f>IFERROR(IF(VLOOKUP($A63,'Annex 2 Designated EHV charges'!$A:$O,10,FALSE)=0,"",VLOOKUP($A63,'Annex 2 Designated EHV charges'!$A:$O,10,FALSE)),"")</f>
        <v>23</v>
      </c>
      <c r="G63" s="99">
        <f>IFERROR(IF(VLOOKUP($A63,'Annex 2 Designated EHV charges'!$A:$O,11,FALSE)=0,"",VLOOKUP($A63,'Annex 2 Designated EHV charges'!$A:$O,11,FALSE)),"")</f>
        <v>1.78</v>
      </c>
      <c r="H63" s="99">
        <f>IFERROR(IF(VLOOKUP($A63,'Annex 2 Designated EHV charges'!$A:$O,12,FALSE)=0,"",VLOOKUP($A63,'Annex 2 Designated EHV charges'!$A:$O,12,FALSE)),"")</f>
        <v>1.78</v>
      </c>
    </row>
    <row r="64" spans="1:8" ht="12.75" customHeight="1" x14ac:dyDescent="0.35">
      <c r="A64" s="94" t="str" cm="1">
        <f t="array" ref="A64">IFERROR(INDEX('Annex 2 Designated EHV charges'!$A$10:$A$200, MATCH(0, IF(ISBLANK('Annex 2 Designated EHV charges'!$A$10:$A$200),1, COUNTIF(A$4:$A63, 'Annex 2 Designated EHV charges'!$A$10:$A$200)), 0)),"")</f>
        <v>HADLOW</v>
      </c>
      <c r="B64" s="94">
        <f>IF($A64="","",VLOOKUP($A64,'Annex 2 Designated EHV charges'!$A:$O,2,0))</f>
        <v>812</v>
      </c>
      <c r="C64" s="95">
        <f>IF($A64="","",VLOOKUP($A64,'Annex 2 Designated EHV charges'!$A:$O,3,0))</f>
        <v>1900091217043</v>
      </c>
      <c r="D64" s="94" t="str">
        <f>IF($A64="","",VLOOKUP($A64,'Annex 2 Designated EHV charges'!$A:$O,7,0))</f>
        <v>HADLOW</v>
      </c>
      <c r="E64" s="97">
        <f>IFERROR(IF(VLOOKUP($A64,'Annex 2 Designated EHV charges'!$A:$O,9,FALSE)=0,"",VLOOKUP($A64,'Annex 2 Designated EHV charges'!$A:$O,9,FALSE)),"")</f>
        <v>4.3499999999999996</v>
      </c>
      <c r="F64" s="98">
        <f>IFERROR(IF(VLOOKUP($A64,'Annex 2 Designated EHV charges'!$A:$O,10,FALSE)=0,"",VLOOKUP($A64,'Annex 2 Designated EHV charges'!$A:$O,10,FALSE)),"")</f>
        <v>2.62</v>
      </c>
      <c r="G64" s="99">
        <f>IFERROR(IF(VLOOKUP($A64,'Annex 2 Designated EHV charges'!$A:$O,11,FALSE)=0,"",VLOOKUP($A64,'Annex 2 Designated EHV charges'!$A:$O,11,FALSE)),"")</f>
        <v>3.12</v>
      </c>
      <c r="H64" s="99">
        <f>IFERROR(IF(VLOOKUP($A64,'Annex 2 Designated EHV charges'!$A:$O,12,FALSE)=0,"",VLOOKUP($A64,'Annex 2 Designated EHV charges'!$A:$O,12,FALSE)),"")</f>
        <v>3.12</v>
      </c>
    </row>
    <row r="65" spans="1:8" ht="12.75" customHeight="1" x14ac:dyDescent="0.35">
      <c r="A65" s="94" t="str" cm="1">
        <f t="array" ref="A65">IFERROR(INDEX('Annex 2 Designated EHV charges'!$A$10:$A$200, MATCH(0, IF(ISBLANK('Annex 2 Designated EHV charges'!$A$10:$A$200),1, COUNTIF(A$4:$A64, 'Annex 2 Designated EHV charges'!$A$10:$A$200)), 0)),"")</f>
        <v>HANSTA</v>
      </c>
      <c r="B65" s="94">
        <f>IF($A65="","",VLOOKUP($A65,'Annex 2 Designated EHV charges'!$A:$O,2,0))</f>
        <v>876</v>
      </c>
      <c r="C65" s="95" t="str">
        <f>IF($A65="","",VLOOKUP($A65,'Annex 2 Designated EHV charges'!$A:$O,3,0))</f>
        <v>1900004383769;1900031426056</v>
      </c>
      <c r="D65" s="94" t="str">
        <f>IF($A65="","",VLOOKUP($A65,'Annex 2 Designated EHV charges'!$A:$O,7,0))</f>
        <v>HANSTA</v>
      </c>
      <c r="E65" s="97">
        <f>IFERROR(IF(VLOOKUP($A65,'Annex 2 Designated EHV charges'!$A:$O,9,FALSE)=0,"",VLOOKUP($A65,'Annex 2 Designated EHV charges'!$A:$O,9,FALSE)),"")</f>
        <v>5.6369999999999996</v>
      </c>
      <c r="F65" s="98">
        <f>IFERROR(IF(VLOOKUP($A65,'Annex 2 Designated EHV charges'!$A:$O,10,FALSE)=0,"",VLOOKUP($A65,'Annex 2 Designated EHV charges'!$A:$O,10,FALSE)),"")</f>
        <v>3</v>
      </c>
      <c r="G65" s="99">
        <f>IFERROR(IF(VLOOKUP($A65,'Annex 2 Designated EHV charges'!$A:$O,11,FALSE)=0,"",VLOOKUP($A65,'Annex 2 Designated EHV charges'!$A:$O,11,FALSE)),"")</f>
        <v>0.93</v>
      </c>
      <c r="H65" s="99">
        <f>IFERROR(IF(VLOOKUP($A65,'Annex 2 Designated EHV charges'!$A:$O,12,FALSE)=0,"",VLOOKUP($A65,'Annex 2 Designated EHV charges'!$A:$O,12,FALSE)),"")</f>
        <v>0.93</v>
      </c>
    </row>
    <row r="66" spans="1:8" ht="12.75" customHeight="1" x14ac:dyDescent="0.35">
      <c r="A66" s="94" t="str" cm="1">
        <f t="array" ref="A66">IFERROR(INDEX('Annex 2 Designated EHV charges'!$A$10:$A$200, MATCH(0, IF(ISBLANK('Annex 2 Designated EHV charges'!$A$10:$A$200),1, COUNTIF(A$4:$A65, 'Annex 2 Designated EHV charges'!$A$10:$A$200)), 0)),"")</f>
        <v>HLLMBY</v>
      </c>
      <c r="B66" s="94">
        <f>IF($A66="","",VLOOKUP($A66,'Annex 2 Designated EHV charges'!$A:$O,2,0))</f>
        <v>813</v>
      </c>
      <c r="C66" s="95">
        <f>IF($A66="","",VLOOKUP($A66,'Annex 2 Designated EHV charges'!$A:$O,3,0))</f>
        <v>1900091217070</v>
      </c>
      <c r="D66" s="94" t="str">
        <f>IF($A66="","",VLOOKUP($A66,'Annex 2 Designated EHV charges'!$A:$O,7,0))</f>
        <v>HLLMBY</v>
      </c>
      <c r="E66" s="97" t="str">
        <f>IFERROR(IF(VLOOKUP($A66,'Annex 2 Designated EHV charges'!$A:$O,9,FALSE)=0,"",VLOOKUP($A66,'Annex 2 Designated EHV charges'!$A:$O,9,FALSE)),"")</f>
        <v/>
      </c>
      <c r="F66" s="98">
        <f>IFERROR(IF(VLOOKUP($A66,'Annex 2 Designated EHV charges'!$A:$O,10,FALSE)=0,"",VLOOKUP($A66,'Annex 2 Designated EHV charges'!$A:$O,10,FALSE)),"")</f>
        <v>14.93</v>
      </c>
      <c r="G66" s="99">
        <f>IFERROR(IF(VLOOKUP($A66,'Annex 2 Designated EHV charges'!$A:$O,11,FALSE)=0,"",VLOOKUP($A66,'Annex 2 Designated EHV charges'!$A:$O,11,FALSE)),"")</f>
        <v>1.3</v>
      </c>
      <c r="H66" s="99">
        <f>IFERROR(IF(VLOOKUP($A66,'Annex 2 Designated EHV charges'!$A:$O,12,FALSE)=0,"",VLOOKUP($A66,'Annex 2 Designated EHV charges'!$A:$O,12,FALSE)),"")</f>
        <v>1.3</v>
      </c>
    </row>
    <row r="67" spans="1:8" ht="12.75" customHeight="1" x14ac:dyDescent="0.35">
      <c r="A67" s="94" t="str" cm="1">
        <f t="array" ref="A67">IFERROR(INDEX('Annex 2 Designated EHV charges'!$A$10:$A$200, MATCH(0, IF(ISBLANK('Annex 2 Designated EHV charges'!$A$10:$A$200),1, COUNTIF(A$4:$A66, 'Annex 2 Designated EHV charges'!$A$10:$A$200)), 0)),"")</f>
        <v>HORAMS</v>
      </c>
      <c r="B67" s="94">
        <f>IF($A67="","",VLOOKUP($A67,'Annex 2 Designated EHV charges'!$A:$O,2,0))</f>
        <v>824</v>
      </c>
      <c r="C67" s="95">
        <f>IF($A67="","",VLOOKUP($A67,'Annex 2 Designated EHV charges'!$A:$O,3,0))</f>
        <v>1900091200068</v>
      </c>
      <c r="D67" s="94" t="str">
        <f>IF($A67="","",VLOOKUP($A67,'Annex 2 Designated EHV charges'!$A:$O,7,0))</f>
        <v>HORAMS</v>
      </c>
      <c r="E67" s="97" t="str">
        <f>IFERROR(IF(VLOOKUP($A67,'Annex 2 Designated EHV charges'!$A:$O,9,FALSE)=0,"",VLOOKUP($A67,'Annex 2 Designated EHV charges'!$A:$O,9,FALSE)),"")</f>
        <v/>
      </c>
      <c r="F67" s="98">
        <f>IFERROR(IF(VLOOKUP($A67,'Annex 2 Designated EHV charges'!$A:$O,10,FALSE)=0,"",VLOOKUP($A67,'Annex 2 Designated EHV charges'!$A:$O,10,FALSE)),"")</f>
        <v>20.23</v>
      </c>
      <c r="G67" s="99">
        <f>IFERROR(IF(VLOOKUP($A67,'Annex 2 Designated EHV charges'!$A:$O,11,FALSE)=0,"",VLOOKUP($A67,'Annex 2 Designated EHV charges'!$A:$O,11,FALSE)),"")</f>
        <v>4.58</v>
      </c>
      <c r="H67" s="99">
        <f>IFERROR(IF(VLOOKUP($A67,'Annex 2 Designated EHV charges'!$A:$O,12,FALSE)=0,"",VLOOKUP($A67,'Annex 2 Designated EHV charges'!$A:$O,12,FALSE)),"")</f>
        <v>4.58</v>
      </c>
    </row>
    <row r="68" spans="1:8" ht="12.75" customHeight="1" x14ac:dyDescent="0.35">
      <c r="A68" s="94" t="str" cm="1">
        <f t="array" ref="A68">IFERROR(INDEX('Annex 2 Designated EHV charges'!$A$10:$A$200, MATCH(0, IF(ISBLANK('Annex 2 Designated EHV charges'!$A$10:$A$200),1, COUNTIF(A$4:$A67, 'Annex 2 Designated EHV charges'!$A$10:$A$200)), 0)),"")</f>
        <v>KENTI2</v>
      </c>
      <c r="B68" s="94">
        <f>IF($A68="","",VLOOKUP($A68,'Annex 2 Designated EHV charges'!$A:$O,2,0))</f>
        <v>814</v>
      </c>
      <c r="C68" s="95">
        <f>IF($A68="","",VLOOKUP($A68,'Annex 2 Designated EHV charges'!$A:$O,3,0))</f>
        <v>1900091199519</v>
      </c>
      <c r="D68" s="94" t="str">
        <f>IF($A68="","",VLOOKUP($A68,'Annex 2 Designated EHV charges'!$A:$O,7,0))</f>
        <v>KENTI2</v>
      </c>
      <c r="E68" s="97" t="str">
        <f>IFERROR(IF(VLOOKUP($A68,'Annex 2 Designated EHV charges'!$A:$O,9,FALSE)=0,"",VLOOKUP($A68,'Annex 2 Designated EHV charges'!$A:$O,9,FALSE)),"")</f>
        <v/>
      </c>
      <c r="F68" s="98">
        <f>IFERROR(IF(VLOOKUP($A68,'Annex 2 Designated EHV charges'!$A:$O,10,FALSE)=0,"",VLOOKUP($A68,'Annex 2 Designated EHV charges'!$A:$O,10,FALSE)),"")</f>
        <v>2542.71</v>
      </c>
      <c r="G68" s="99">
        <f>IFERROR(IF(VLOOKUP($A68,'Annex 2 Designated EHV charges'!$A:$O,11,FALSE)=0,"",VLOOKUP($A68,'Annex 2 Designated EHV charges'!$A:$O,11,FALSE)),"")</f>
        <v>0.81</v>
      </c>
      <c r="H68" s="99">
        <f>IFERROR(IF(VLOOKUP($A68,'Annex 2 Designated EHV charges'!$A:$O,12,FALSE)=0,"",VLOOKUP($A68,'Annex 2 Designated EHV charges'!$A:$O,12,FALSE)),"")</f>
        <v>0.81</v>
      </c>
    </row>
    <row r="69" spans="1:8" ht="12.75" customHeight="1" x14ac:dyDescent="0.35">
      <c r="A69" s="94" t="str" cm="1">
        <f t="array" ref="A69">IFERROR(INDEX('Annex 2 Designated EHV charges'!$A$10:$A$200, MATCH(0, IF(ISBLANK('Annex 2 Designated EHV charges'!$A$10:$A$200),1, COUNTIF(A$4:$A68, 'Annex 2 Designated EHV charges'!$A$10:$A$200)), 0)),"")</f>
        <v>KENTIS</v>
      </c>
      <c r="B69" s="94">
        <f>IF($A69="","",VLOOKUP($A69,'Annex 2 Designated EHV charges'!$A:$O,2,0))</f>
        <v>877</v>
      </c>
      <c r="C69" s="95">
        <f>IF($A69="","",VLOOKUP($A69,'Annex 2 Designated EHV charges'!$A:$O,3,0))</f>
        <v>1900070122273</v>
      </c>
      <c r="D69" s="94" t="str">
        <f>IF($A69="","",VLOOKUP($A69,'Annex 2 Designated EHV charges'!$A:$O,7,0))</f>
        <v>KENTIS</v>
      </c>
      <c r="E69" s="97" t="str">
        <f>IFERROR(IF(VLOOKUP($A69,'Annex 2 Designated EHV charges'!$A:$O,9,FALSE)=0,"",VLOOKUP($A69,'Annex 2 Designated EHV charges'!$A:$O,9,FALSE)),"")</f>
        <v/>
      </c>
      <c r="F69" s="98">
        <f>IFERROR(IF(VLOOKUP($A69,'Annex 2 Designated EHV charges'!$A:$O,10,FALSE)=0,"",VLOOKUP($A69,'Annex 2 Designated EHV charges'!$A:$O,10,FALSE)),"")</f>
        <v>2552.83</v>
      </c>
      <c r="G69" s="99">
        <f>IFERROR(IF(VLOOKUP($A69,'Annex 2 Designated EHV charges'!$A:$O,11,FALSE)=0,"",VLOOKUP($A69,'Annex 2 Designated EHV charges'!$A:$O,11,FALSE)),"")</f>
        <v>0.82</v>
      </c>
      <c r="H69" s="99">
        <f>IFERROR(IF(VLOOKUP($A69,'Annex 2 Designated EHV charges'!$A:$O,12,FALSE)=0,"",VLOOKUP($A69,'Annex 2 Designated EHV charges'!$A:$O,12,FALSE)),"")</f>
        <v>0.82</v>
      </c>
    </row>
    <row r="70" spans="1:8" ht="12.75" customHeight="1" x14ac:dyDescent="0.35">
      <c r="A70" s="94" t="str" cm="1">
        <f t="array" ref="A70">IFERROR(INDEX('Annex 2 Designated EHV charges'!$A$10:$A$200, MATCH(0, IF(ISBLANK('Annex 2 Designated EHV charges'!$A$10:$A$200),1, COUNTIF(A$4:$A69, 'Annex 2 Designated EHV charges'!$A$10:$A$200)), 0)),"")</f>
        <v>KM3CHP</v>
      </c>
      <c r="B70" s="94">
        <f>IF($A70="","",VLOOKUP($A70,'Annex 2 Designated EHV charges'!$A:$O,2,0))</f>
        <v>846</v>
      </c>
      <c r="C70" s="95">
        <f>IF($A70="","",VLOOKUP($A70,'Annex 2 Designated EHV charges'!$A:$O,3,0))</f>
        <v>1900091669720</v>
      </c>
      <c r="D70" s="94" t="str">
        <f>IF($A70="","",VLOOKUP($A70,'Annex 2 Designated EHV charges'!$A:$O,7,0))</f>
        <v>KM3CHP</v>
      </c>
      <c r="E70" s="97" t="str">
        <f>IFERROR(IF(VLOOKUP($A70,'Annex 2 Designated EHV charges'!$A:$O,9,FALSE)=0,"",VLOOKUP($A70,'Annex 2 Designated EHV charges'!$A:$O,9,FALSE)),"")</f>
        <v/>
      </c>
      <c r="F70" s="98">
        <f>IFERROR(IF(VLOOKUP($A70,'Annex 2 Designated EHV charges'!$A:$O,10,FALSE)=0,"",VLOOKUP($A70,'Annex 2 Designated EHV charges'!$A:$O,10,FALSE)),"")</f>
        <v>12525.01</v>
      </c>
      <c r="G70" s="99">
        <f>IFERROR(IF(VLOOKUP($A70,'Annex 2 Designated EHV charges'!$A:$O,11,FALSE)=0,"",VLOOKUP($A70,'Annex 2 Designated EHV charges'!$A:$O,11,FALSE)),"")</f>
        <v>0.9</v>
      </c>
      <c r="H70" s="99">
        <f>IFERROR(IF(VLOOKUP($A70,'Annex 2 Designated EHV charges'!$A:$O,12,FALSE)=0,"",VLOOKUP($A70,'Annex 2 Designated EHV charges'!$A:$O,12,FALSE)),"")</f>
        <v>0.9</v>
      </c>
    </row>
    <row r="71" spans="1:8" ht="12.75" customHeight="1" x14ac:dyDescent="0.35">
      <c r="A71" s="94" t="str" cm="1">
        <f t="array" ref="A71">IFERROR(INDEX('Annex 2 Designated EHV charges'!$A$10:$A$200, MATCH(0, IF(ISBLANK('Annex 2 Designated EHV charges'!$A$10:$A$200),1, COUNTIF(A$4:$A70, 'Annex 2 Designated EHV charges'!$A$10:$A$200)), 0)),"")</f>
        <v>KNTSFM</v>
      </c>
      <c r="B71" s="94">
        <f>IF($A71="","",VLOOKUP($A71,'Annex 2 Designated EHV charges'!$A:$O,2,0))</f>
        <v>0</v>
      </c>
      <c r="C71" s="95" t="str">
        <f>IF($A71="","",VLOOKUP($A71,'Annex 2 Designated EHV charges'!$A:$O,3,0))</f>
        <v>MSID: 7435</v>
      </c>
      <c r="D71" s="94" t="str">
        <f>IF($A71="","",VLOOKUP($A71,'Annex 2 Designated EHV charges'!$A:$O,7,0))</f>
        <v>KNTSFM</v>
      </c>
      <c r="E71" s="97">
        <f>IFERROR(IF(VLOOKUP($A71,'Annex 2 Designated EHV charges'!$A:$O,9,FALSE)=0,"",VLOOKUP($A71,'Annex 2 Designated EHV charges'!$A:$O,9,FALSE)),"")</f>
        <v>0.56499999999999995</v>
      </c>
      <c r="F71" s="98">
        <f>IFERROR(IF(VLOOKUP($A71,'Annex 2 Designated EHV charges'!$A:$O,10,FALSE)=0,"",VLOOKUP($A71,'Annex 2 Designated EHV charges'!$A:$O,10,FALSE)),"")</f>
        <v>1169.76</v>
      </c>
      <c r="G71" s="99">
        <f>IFERROR(IF(VLOOKUP($A71,'Annex 2 Designated EHV charges'!$A:$O,11,FALSE)=0,"",VLOOKUP($A71,'Annex 2 Designated EHV charges'!$A:$O,11,FALSE)),"")</f>
        <v>1.1200000000000001</v>
      </c>
      <c r="H71" s="99">
        <f>IFERROR(IF(VLOOKUP($A71,'Annex 2 Designated EHV charges'!$A:$O,12,FALSE)=0,"",VLOOKUP($A71,'Annex 2 Designated EHV charges'!$A:$O,12,FALSE)),"")</f>
        <v>1.1200000000000001</v>
      </c>
    </row>
    <row r="72" spans="1:8" ht="12.75" customHeight="1" x14ac:dyDescent="0.35">
      <c r="A72" s="94" t="str" cm="1">
        <f t="array" ref="A72">IFERROR(INDEX('Annex 2 Designated EHV charges'!$A$10:$A$200, MATCH(0, IF(ISBLANK('Annex 2 Designated EHV charges'!$A$10:$A$200),1, COUNTIF(A$4:$A71, 'Annex 2 Designated EHV charges'!$A$10:$A$200)), 0)),"")</f>
        <v>KNWLTN</v>
      </c>
      <c r="B72" s="94">
        <f>IF($A72="","",VLOOKUP($A72,'Annex 2 Designated EHV charges'!$A:$O,2,0))</f>
        <v>803</v>
      </c>
      <c r="C72" s="95">
        <f>IF($A72="","",VLOOKUP($A72,'Annex 2 Designated EHV charges'!$A:$O,3,0))</f>
        <v>1900091091930</v>
      </c>
      <c r="D72" s="94" t="str">
        <f>IF($A72="","",VLOOKUP($A72,'Annex 2 Designated EHV charges'!$A:$O,7,0))</f>
        <v>KNWLTN</v>
      </c>
      <c r="E72" s="97" t="str">
        <f>IFERROR(IF(VLOOKUP($A72,'Annex 2 Designated EHV charges'!$A:$O,9,FALSE)=0,"",VLOOKUP($A72,'Annex 2 Designated EHV charges'!$A:$O,9,FALSE)),"")</f>
        <v/>
      </c>
      <c r="F72" s="98">
        <f>IFERROR(IF(VLOOKUP($A72,'Annex 2 Designated EHV charges'!$A:$O,10,FALSE)=0,"",VLOOKUP($A72,'Annex 2 Designated EHV charges'!$A:$O,10,FALSE)),"")</f>
        <v>20.399999999999999</v>
      </c>
      <c r="G72" s="99">
        <f>IFERROR(IF(VLOOKUP($A72,'Annex 2 Designated EHV charges'!$A:$O,11,FALSE)=0,"",VLOOKUP($A72,'Annex 2 Designated EHV charges'!$A:$O,11,FALSE)),"")</f>
        <v>4.97</v>
      </c>
      <c r="H72" s="99">
        <f>IFERROR(IF(VLOOKUP($A72,'Annex 2 Designated EHV charges'!$A:$O,12,FALSE)=0,"",VLOOKUP($A72,'Annex 2 Designated EHV charges'!$A:$O,12,FALSE)),"")</f>
        <v>4.97</v>
      </c>
    </row>
    <row r="73" spans="1:8" ht="12.75" customHeight="1" x14ac:dyDescent="0.35">
      <c r="A73" s="94" t="str" cm="1">
        <f t="array" ref="A73">IFERROR(INDEX('Annex 2 Designated EHV charges'!$A$10:$A$200, MATCH(0, IF(ISBLANK('Annex 2 Designated EHV charges'!$A$10:$A$200),1, COUNTIF(A$4:$A72, 'Annex 2 Designated EHV charges'!$A$10:$A$200)), 0)),"")</f>
        <v>LBOURN</v>
      </c>
      <c r="B73" s="94">
        <f>IF($A73="","",VLOOKUP($A73,'Annex 2 Designated EHV charges'!$A:$O,2,0))</f>
        <v>815</v>
      </c>
      <c r="C73" s="95">
        <f>IF($A73="","",VLOOKUP($A73,'Annex 2 Designated EHV charges'!$A:$O,3,0))</f>
        <v>1900091171267</v>
      </c>
      <c r="D73" s="94" t="str">
        <f>IF($A73="","",VLOOKUP($A73,'Annex 2 Designated EHV charges'!$A:$O,7,0))</f>
        <v>LBOURN</v>
      </c>
      <c r="E73" s="97">
        <f>IFERROR(IF(VLOOKUP($A73,'Annex 2 Designated EHV charges'!$A:$O,9,FALSE)=0,"",VLOOKUP($A73,'Annex 2 Designated EHV charges'!$A:$O,9,FALSE)),"")</f>
        <v>0.20100000000000001</v>
      </c>
      <c r="F73" s="98">
        <f>IFERROR(IF(VLOOKUP($A73,'Annex 2 Designated EHV charges'!$A:$O,10,FALSE)=0,"",VLOOKUP($A73,'Annex 2 Designated EHV charges'!$A:$O,10,FALSE)),"")</f>
        <v>9.75</v>
      </c>
      <c r="G73" s="99">
        <f>IFERROR(IF(VLOOKUP($A73,'Annex 2 Designated EHV charges'!$A:$O,11,FALSE)=0,"",VLOOKUP($A73,'Annex 2 Designated EHV charges'!$A:$O,11,FALSE)),"")</f>
        <v>2.1800000000000002</v>
      </c>
      <c r="H73" s="99">
        <f>IFERROR(IF(VLOOKUP($A73,'Annex 2 Designated EHV charges'!$A:$O,12,FALSE)=0,"",VLOOKUP($A73,'Annex 2 Designated EHV charges'!$A:$O,12,FALSE)),"")</f>
        <v>2.1800000000000002</v>
      </c>
    </row>
    <row r="74" spans="1:8" ht="12.75" customHeight="1" x14ac:dyDescent="0.35">
      <c r="A74" s="94" t="str" cm="1">
        <f t="array" ref="A74">IFERROR(INDEX('Annex 2 Designated EHV charges'!$A$10:$A$200, MATCH(0, IF(ISBLANK('Annex 2 Designated EHV charges'!$A$10:$A$200),1, COUNTIF(A$4:$A73, 'Annex 2 Designated EHV charges'!$A$10:$A$200)), 0)),"")</f>
        <v>LCHEYI</v>
      </c>
      <c r="B74" s="94">
        <f>IF($A74="","",VLOOKUP($A74,'Annex 2 Designated EHV charges'!$A:$O,2,0))</f>
        <v>878</v>
      </c>
      <c r="C74" s="95">
        <f>IF($A74="","",VLOOKUP($A74,'Annex 2 Designated EHV charges'!$A:$O,3,0))</f>
        <v>1900090194653</v>
      </c>
      <c r="D74" s="94" t="str">
        <f>IF($A74="","",VLOOKUP($A74,'Annex 2 Designated EHV charges'!$A:$O,7,0))</f>
        <v>LCHEYI</v>
      </c>
      <c r="E74" s="97">
        <f>IFERROR(IF(VLOOKUP($A74,'Annex 2 Designated EHV charges'!$A:$O,9,FALSE)=0,"",VLOOKUP($A74,'Annex 2 Designated EHV charges'!$A:$O,9,FALSE)),"")</f>
        <v>0.94399999999999995</v>
      </c>
      <c r="F74" s="98">
        <f>IFERROR(IF(VLOOKUP($A74,'Annex 2 Designated EHV charges'!$A:$O,10,FALSE)=0,"",VLOOKUP($A74,'Annex 2 Designated EHV charges'!$A:$O,10,FALSE)),"")</f>
        <v>9.32</v>
      </c>
      <c r="G74" s="99">
        <f>IFERROR(IF(VLOOKUP($A74,'Annex 2 Designated EHV charges'!$A:$O,11,FALSE)=0,"",VLOOKUP($A74,'Annex 2 Designated EHV charges'!$A:$O,11,FALSE)),"")</f>
        <v>1.25</v>
      </c>
      <c r="H74" s="99">
        <f>IFERROR(IF(VLOOKUP($A74,'Annex 2 Designated EHV charges'!$A:$O,12,FALSE)=0,"",VLOOKUP($A74,'Annex 2 Designated EHV charges'!$A:$O,12,FALSE)),"")</f>
        <v>1.25</v>
      </c>
    </row>
    <row r="75" spans="1:8" ht="12.75" customHeight="1" x14ac:dyDescent="0.35">
      <c r="A75" s="94" t="str" cm="1">
        <f t="array" ref="A75">IFERROR(INDEX('Annex 2 Designated EHV charges'!$A$10:$A$200, MATCH(0, IF(ISBLANK('Annex 2 Designated EHV charges'!$A$10:$A$200),1, COUNTIF(A$4:$A74, 'Annex 2 Designated EHV charges'!$A$10:$A$200)), 0)),"")</f>
        <v>LENHAM</v>
      </c>
      <c r="B75" s="94">
        <f>IF($A75="","",VLOOKUP($A75,'Annex 2 Designated EHV charges'!$A:$O,2,0))</f>
        <v>808</v>
      </c>
      <c r="C75" s="95">
        <f>IF($A75="","",VLOOKUP($A75,'Annex 2 Designated EHV charges'!$A:$O,3,0))</f>
        <v>1900091081560</v>
      </c>
      <c r="D75" s="94" t="str">
        <f>IF($A75="","",VLOOKUP($A75,'Annex 2 Designated EHV charges'!$A:$O,7,0))</f>
        <v>LENHAM</v>
      </c>
      <c r="E75" s="97">
        <f>IFERROR(IF(VLOOKUP($A75,'Annex 2 Designated EHV charges'!$A:$O,9,FALSE)=0,"",VLOOKUP($A75,'Annex 2 Designated EHV charges'!$A:$O,9,FALSE)),"")</f>
        <v>2.2730000000000001</v>
      </c>
      <c r="F75" s="98">
        <f>IFERROR(IF(VLOOKUP($A75,'Annex 2 Designated EHV charges'!$A:$O,10,FALSE)=0,"",VLOOKUP($A75,'Annex 2 Designated EHV charges'!$A:$O,10,FALSE)),"")</f>
        <v>19.29</v>
      </c>
      <c r="G75" s="99">
        <f>IFERROR(IF(VLOOKUP($A75,'Annex 2 Designated EHV charges'!$A:$O,11,FALSE)=0,"",VLOOKUP($A75,'Annex 2 Designated EHV charges'!$A:$O,11,FALSE)),"")</f>
        <v>2.46</v>
      </c>
      <c r="H75" s="99">
        <f>IFERROR(IF(VLOOKUP($A75,'Annex 2 Designated EHV charges'!$A:$O,12,FALSE)=0,"",VLOOKUP($A75,'Annex 2 Designated EHV charges'!$A:$O,12,FALSE)),"")</f>
        <v>2.46</v>
      </c>
    </row>
    <row r="76" spans="1:8" ht="12.75" customHeight="1" x14ac:dyDescent="0.35">
      <c r="A76" s="94" t="str" cm="1">
        <f t="array" ref="A76">IFERROR(INDEX('Annex 2 Designated EHV charges'!$A$10:$A$200, MATCH(0, IF(ISBLANK('Annex 2 Designated EHV charges'!$A$10:$A$200),1, COUNTIF(A$4:$A75, 'Annex 2 Designated EHV charges'!$A$10:$A$200)), 0)),"")</f>
        <v>LGHTON</v>
      </c>
      <c r="B76" s="94">
        <f>IF($A76="","",VLOOKUP($A76,'Annex 2 Designated EHV charges'!$A:$O,2,0))</f>
        <v>816</v>
      </c>
      <c r="C76" s="95">
        <f>IF($A76="","",VLOOKUP($A76,'Annex 2 Designated EHV charges'!$A:$O,3,0))</f>
        <v>1900091200138</v>
      </c>
      <c r="D76" s="94" t="str">
        <f>IF($A76="","",VLOOKUP($A76,'Annex 2 Designated EHV charges'!$A:$O,7,0))</f>
        <v>LGHTON</v>
      </c>
      <c r="E76" s="97">
        <f>IFERROR(IF(VLOOKUP($A76,'Annex 2 Designated EHV charges'!$A:$O,9,FALSE)=0,"",VLOOKUP($A76,'Annex 2 Designated EHV charges'!$A:$O,9,FALSE)),"")</f>
        <v>2.5510000000000002</v>
      </c>
      <c r="F76" s="98">
        <f>IFERROR(IF(VLOOKUP($A76,'Annex 2 Designated EHV charges'!$A:$O,10,FALSE)=0,"",VLOOKUP($A76,'Annex 2 Designated EHV charges'!$A:$O,10,FALSE)),"")</f>
        <v>15.39</v>
      </c>
      <c r="G76" s="99">
        <f>IFERROR(IF(VLOOKUP($A76,'Annex 2 Designated EHV charges'!$A:$O,11,FALSE)=0,"",VLOOKUP($A76,'Annex 2 Designated EHV charges'!$A:$O,11,FALSE)),"")</f>
        <v>4.76</v>
      </c>
      <c r="H76" s="99">
        <f>IFERROR(IF(VLOOKUP($A76,'Annex 2 Designated EHV charges'!$A:$O,12,FALSE)=0,"",VLOOKUP($A76,'Annex 2 Designated EHV charges'!$A:$O,12,FALSE)),"")</f>
        <v>4.76</v>
      </c>
    </row>
    <row r="77" spans="1:8" ht="12.75" customHeight="1" x14ac:dyDescent="0.35">
      <c r="A77" s="94" t="str" cm="1">
        <f t="array" ref="A77">IFERROR(INDEX('Annex 2 Designated EHV charges'!$A$10:$A$200, MATCH(0, IF(ISBLANK('Annex 2 Designated EHV charges'!$A$10:$A$200),1, COUNTIF(A$4:$A76, 'Annex 2 Designated EHV charges'!$A$10:$A$200)), 0)),"")</f>
        <v>MARSHB</v>
      </c>
      <c r="B77" s="94">
        <f>IF($A77="","",VLOOKUP($A77,'Annex 2 Designated EHV charges'!$A:$O,2,0))</f>
        <v>896</v>
      </c>
      <c r="C77" s="95">
        <f>IF($A77="","",VLOOKUP($A77,'Annex 2 Designated EHV charges'!$A:$O,3,0))</f>
        <v>1900091310596</v>
      </c>
      <c r="D77" s="94" t="str">
        <f>IF($A77="","",VLOOKUP($A77,'Annex 2 Designated EHV charges'!$A:$O,7,0))</f>
        <v>MARSHB</v>
      </c>
      <c r="E77" s="97" t="str">
        <f>IFERROR(IF(VLOOKUP($A77,'Annex 2 Designated EHV charges'!$A:$O,9,FALSE)=0,"",VLOOKUP($A77,'Annex 2 Designated EHV charges'!$A:$O,9,FALSE)),"")</f>
        <v/>
      </c>
      <c r="F77" s="98">
        <f>IFERROR(IF(VLOOKUP($A77,'Annex 2 Designated EHV charges'!$A:$O,10,FALSE)=0,"",VLOOKUP($A77,'Annex 2 Designated EHV charges'!$A:$O,10,FALSE)),"")</f>
        <v>28.77</v>
      </c>
      <c r="G77" s="99">
        <f>IFERROR(IF(VLOOKUP($A77,'Annex 2 Designated EHV charges'!$A:$O,11,FALSE)=0,"",VLOOKUP($A77,'Annex 2 Designated EHV charges'!$A:$O,11,FALSE)),"")</f>
        <v>1.21</v>
      </c>
      <c r="H77" s="99">
        <f>IFERROR(IF(VLOOKUP($A77,'Annex 2 Designated EHV charges'!$A:$O,12,FALSE)=0,"",VLOOKUP($A77,'Annex 2 Designated EHV charges'!$A:$O,12,FALSE)),"")</f>
        <v>1.21</v>
      </c>
    </row>
    <row r="78" spans="1:8" ht="12.75" customHeight="1" x14ac:dyDescent="0.35">
      <c r="A78" s="94" t="str" cm="1">
        <f t="array" ref="A78">IFERROR(INDEX('Annex 2 Designated EHV charges'!$A$10:$A$200, MATCH(0, IF(ISBLANK('Annex 2 Designated EHV charges'!$A$10:$A$200),1, COUNTIF(A$4:$A77, 'Annex 2 Designated EHV charges'!$A$10:$A$200)), 0)),"")</f>
        <v>MLEHLL</v>
      </c>
      <c r="B78" s="94">
        <f>IF($A78="","",VLOOKUP($A78,'Annex 2 Designated EHV charges'!$A:$O,2,0))</f>
        <v>819</v>
      </c>
      <c r="C78" s="95">
        <f>IF($A78="","",VLOOKUP($A78,'Annex 2 Designated EHV charges'!$A:$O,3,0))</f>
        <v>1900091183402</v>
      </c>
      <c r="D78" s="94" t="str">
        <f>IF($A78="","",VLOOKUP($A78,'Annex 2 Designated EHV charges'!$A:$O,7,0))</f>
        <v>MLEHLL</v>
      </c>
      <c r="E78" s="97">
        <f>IFERROR(IF(VLOOKUP($A78,'Annex 2 Designated EHV charges'!$A:$O,9,FALSE)=0,"",VLOOKUP($A78,'Annex 2 Designated EHV charges'!$A:$O,9,FALSE)),"")</f>
        <v>5.0000000000000001E-3</v>
      </c>
      <c r="F78" s="98">
        <f>IFERROR(IF(VLOOKUP($A78,'Annex 2 Designated EHV charges'!$A:$O,10,FALSE)=0,"",VLOOKUP($A78,'Annex 2 Designated EHV charges'!$A:$O,10,FALSE)),"")</f>
        <v>3.54</v>
      </c>
      <c r="G78" s="99">
        <f>IFERROR(IF(VLOOKUP($A78,'Annex 2 Designated EHV charges'!$A:$O,11,FALSE)=0,"",VLOOKUP($A78,'Annex 2 Designated EHV charges'!$A:$O,11,FALSE)),"")</f>
        <v>2.08</v>
      </c>
      <c r="H78" s="99">
        <f>IFERROR(IF(VLOOKUP($A78,'Annex 2 Designated EHV charges'!$A:$O,12,FALSE)=0,"",VLOOKUP($A78,'Annex 2 Designated EHV charges'!$A:$O,12,FALSE)),"")</f>
        <v>2.08</v>
      </c>
    </row>
    <row r="79" spans="1:8" ht="12.75" customHeight="1" x14ac:dyDescent="0.35">
      <c r="A79" s="94" t="str" cm="1">
        <f t="array" ref="A79">IFERROR(INDEX('Annex 2 Designated EHV charges'!$A$10:$A$200, MATCH(0, IF(ISBLANK('Annex 2 Designated EHV charges'!$A$10:$A$200),1, COUNTIF(A$4:$A78, 'Annex 2 Designated EHV charges'!$A$10:$A$200)), 0)),"")</f>
        <v>MLMAYN</v>
      </c>
      <c r="B79" s="94">
        <f>IF($A79="","",VLOOKUP($A79,'Annex 2 Designated EHV charges'!$A:$O,2,0))</f>
        <v>817</v>
      </c>
      <c r="C79" s="95">
        <f>IF($A79="","",VLOOKUP($A79,'Annex 2 Designated EHV charges'!$A:$O,3,0))</f>
        <v>1900091079241</v>
      </c>
      <c r="D79" s="94" t="str">
        <f>IF($A79="","",VLOOKUP($A79,'Annex 2 Designated EHV charges'!$A:$O,7,0))</f>
        <v>MLMAYN</v>
      </c>
      <c r="E79" s="97" t="str">
        <f>IFERROR(IF(VLOOKUP($A79,'Annex 2 Designated EHV charges'!$A:$O,9,FALSE)=0,"",VLOOKUP($A79,'Annex 2 Designated EHV charges'!$A:$O,9,FALSE)),"")</f>
        <v/>
      </c>
      <c r="F79" s="98">
        <f>IFERROR(IF(VLOOKUP($A79,'Annex 2 Designated EHV charges'!$A:$O,10,FALSE)=0,"",VLOOKUP($A79,'Annex 2 Designated EHV charges'!$A:$O,10,FALSE)),"")</f>
        <v>1.99</v>
      </c>
      <c r="G79" s="99">
        <f>IFERROR(IF(VLOOKUP($A79,'Annex 2 Designated EHV charges'!$A:$O,11,FALSE)=0,"",VLOOKUP($A79,'Annex 2 Designated EHV charges'!$A:$O,11,FALSE)),"")</f>
        <v>2.85</v>
      </c>
      <c r="H79" s="99">
        <f>IFERROR(IF(VLOOKUP($A79,'Annex 2 Designated EHV charges'!$A:$O,12,FALSE)=0,"",VLOOKUP($A79,'Annex 2 Designated EHV charges'!$A:$O,12,FALSE)),"")</f>
        <v>2.85</v>
      </c>
    </row>
    <row r="80" spans="1:8" ht="12.75" customHeight="1" x14ac:dyDescent="0.35">
      <c r="A80" s="94" t="str" cm="1">
        <f t="array" ref="A80">IFERROR(INDEX('Annex 2 Designated EHV charges'!$A$10:$A$200, MATCH(0, IF(ISBLANK('Annex 2 Designated EHV charges'!$A$10:$A$200),1, COUNTIF(A$4:$A79, 'Annex 2 Designated EHV charges'!$A$10:$A$200)), 0)),"")</f>
        <v>MVVRID</v>
      </c>
      <c r="B80" s="94">
        <f>IF($A80="","",VLOOKUP($A80,'Annex 2 Designated EHV charges'!$A:$O,2,0))</f>
        <v>897</v>
      </c>
      <c r="C80" s="95">
        <f>IF($A80="","",VLOOKUP($A80,'Annex 2 Designated EHV charges'!$A:$O,3,0))</f>
        <v>1900091199138</v>
      </c>
      <c r="D80" s="94" t="str">
        <f>IF($A80="","",VLOOKUP($A80,'Annex 2 Designated EHV charges'!$A:$O,7,0))</f>
        <v>MVVRID</v>
      </c>
      <c r="E80" s="97" t="str">
        <f>IFERROR(IF(VLOOKUP($A80,'Annex 2 Designated EHV charges'!$A:$O,9,FALSE)=0,"",VLOOKUP($A80,'Annex 2 Designated EHV charges'!$A:$O,9,FALSE)),"")</f>
        <v/>
      </c>
      <c r="F80" s="98">
        <f>IFERROR(IF(VLOOKUP($A80,'Annex 2 Designated EHV charges'!$A:$O,10,FALSE)=0,"",VLOOKUP($A80,'Annex 2 Designated EHV charges'!$A:$O,10,FALSE)),"")</f>
        <v>2438.4499999999998</v>
      </c>
      <c r="G80" s="99">
        <f>IFERROR(IF(VLOOKUP($A80,'Annex 2 Designated EHV charges'!$A:$O,11,FALSE)=0,"",VLOOKUP($A80,'Annex 2 Designated EHV charges'!$A:$O,11,FALSE)),"")</f>
        <v>0.71</v>
      </c>
      <c r="H80" s="99">
        <f>IFERROR(IF(VLOOKUP($A80,'Annex 2 Designated EHV charges'!$A:$O,12,FALSE)=0,"",VLOOKUP($A80,'Annex 2 Designated EHV charges'!$A:$O,12,FALSE)),"")</f>
        <v>0.71</v>
      </c>
    </row>
    <row r="81" spans="1:8" ht="12.75" customHeight="1" x14ac:dyDescent="0.35">
      <c r="A81" s="94" t="str" cm="1">
        <f t="array" ref="A81">IFERROR(INDEX('Annex 2 Designated EHV charges'!$A$10:$A$200, MATCH(0, IF(ISBLANK('Annex 2 Designated EHV charges'!$A$10:$A$200),1, COUNTIF(A$4:$A80, 'Annex 2 Designated EHV charges'!$A$10:$A$200)), 0)),"")</f>
        <v>NEWHVN</v>
      </c>
      <c r="B81" s="94">
        <f>IF($A81="","",VLOOKUP($A81,'Annex 2 Designated EHV charges'!$A:$O,2,0))</f>
        <v>800</v>
      </c>
      <c r="C81" s="95">
        <f>IF($A81="","",VLOOKUP($A81,'Annex 2 Designated EHV charges'!$A:$O,3,0))</f>
        <v>1900090585014</v>
      </c>
      <c r="D81" s="94" t="str">
        <f>IF($A81="","",VLOOKUP($A81,'Annex 2 Designated EHV charges'!$A:$O,7,0))</f>
        <v>NEWHVN</v>
      </c>
      <c r="E81" s="97">
        <f>IFERROR(IF(VLOOKUP($A81,'Annex 2 Designated EHV charges'!$A:$O,9,FALSE)=0,"",VLOOKUP($A81,'Annex 2 Designated EHV charges'!$A:$O,9,FALSE)),"")</f>
        <v>1.913</v>
      </c>
      <c r="F81" s="98">
        <f>IFERROR(IF(VLOOKUP($A81,'Annex 2 Designated EHV charges'!$A:$O,10,FALSE)=0,"",VLOOKUP($A81,'Annex 2 Designated EHV charges'!$A:$O,10,FALSE)),"")</f>
        <v>55.73</v>
      </c>
      <c r="G81" s="99">
        <f>IFERROR(IF(VLOOKUP($A81,'Annex 2 Designated EHV charges'!$A:$O,11,FALSE)=0,"",VLOOKUP($A81,'Annex 2 Designated EHV charges'!$A:$O,11,FALSE)),"")</f>
        <v>1.19</v>
      </c>
      <c r="H81" s="99">
        <f>IFERROR(IF(VLOOKUP($A81,'Annex 2 Designated EHV charges'!$A:$O,12,FALSE)=0,"",VLOOKUP($A81,'Annex 2 Designated EHV charges'!$A:$O,12,FALSE)),"")</f>
        <v>1.19</v>
      </c>
    </row>
    <row r="82" spans="1:8" ht="12.75" customHeight="1" x14ac:dyDescent="0.35">
      <c r="A82" s="94" t="str" cm="1">
        <f t="array" ref="A82">IFERROR(INDEX('Annex 2 Designated EHV charges'!$A$10:$A$200, MATCH(0, IF(ISBLANK('Annex 2 Designated EHV charges'!$A$10:$A$200),1, COUNTIF(A$4:$A81, 'Annex 2 Designated EHV charges'!$A$10:$A$200)), 0)),"")</f>
        <v>NEWRID</v>
      </c>
      <c r="B82" s="94">
        <f>IF($A82="","",VLOOKUP($A82,'Annex 2 Designated EHV charges'!$A:$O,2,0))</f>
        <v>845</v>
      </c>
      <c r="C82" s="95" t="str">
        <f>IF($A82="","",VLOOKUP($A82,'Annex 2 Designated EHV charges'!$A:$O,3,0))</f>
        <v>1900091718313;1900092210410</v>
      </c>
      <c r="D82" s="94" t="str">
        <f>IF($A82="","",VLOOKUP($A82,'Annex 2 Designated EHV charges'!$A:$O,7,0))</f>
        <v>NEWRID</v>
      </c>
      <c r="E82" s="97">
        <f>IFERROR(IF(VLOOKUP($A82,'Annex 2 Designated EHV charges'!$A:$O,9,FALSE)=0,"",VLOOKUP($A82,'Annex 2 Designated EHV charges'!$A:$O,9,FALSE)),"")</f>
        <v>5.3999999999999999E-2</v>
      </c>
      <c r="F82" s="98">
        <f>IFERROR(IF(VLOOKUP($A82,'Annex 2 Designated EHV charges'!$A:$O,10,FALSE)=0,"",VLOOKUP($A82,'Annex 2 Designated EHV charges'!$A:$O,10,FALSE)),"")</f>
        <v>2536.2600000000002</v>
      </c>
      <c r="G82" s="99">
        <f>IFERROR(IF(VLOOKUP($A82,'Annex 2 Designated EHV charges'!$A:$O,11,FALSE)=0,"",VLOOKUP($A82,'Annex 2 Designated EHV charges'!$A:$O,11,FALSE)),"")</f>
        <v>1.32</v>
      </c>
      <c r="H82" s="99">
        <f>IFERROR(IF(VLOOKUP($A82,'Annex 2 Designated EHV charges'!$A:$O,12,FALSE)=0,"",VLOOKUP($A82,'Annex 2 Designated EHV charges'!$A:$O,12,FALSE)),"")</f>
        <v>1.32</v>
      </c>
    </row>
    <row r="83" spans="1:8" ht="12.75" customHeight="1" x14ac:dyDescent="0.35">
      <c r="A83" s="94" t="str" cm="1">
        <f t="array" ref="A83">IFERROR(INDEX('Annex 2 Designated EHV charges'!$A$10:$A$200, MATCH(0, IF(ISBLANK('Annex 2 Designated EHV charges'!$A$10:$A$200),1, COUNTIF(A$4:$A82, 'Annex 2 Designated EHV charges'!$A$10:$A$200)), 0)),"")</f>
        <v>OAKLND</v>
      </c>
      <c r="B83" s="94">
        <f>IF($A83="","",VLOOKUP($A83,'Annex 2 Designated EHV charges'!$A:$O,2,0))</f>
        <v>820</v>
      </c>
      <c r="C83" s="95">
        <f>IF($A83="","",VLOOKUP($A83,'Annex 2 Designated EHV charges'!$A:$O,3,0))</f>
        <v>1900091197414</v>
      </c>
      <c r="D83" s="94" t="str">
        <f>IF($A83="","",VLOOKUP($A83,'Annex 2 Designated EHV charges'!$A:$O,7,0))</f>
        <v>OAKLND</v>
      </c>
      <c r="E83" s="97">
        <f>IFERROR(IF(VLOOKUP($A83,'Annex 2 Designated EHV charges'!$A:$O,9,FALSE)=0,"",VLOOKUP($A83,'Annex 2 Designated EHV charges'!$A:$O,9,FALSE)),"")</f>
        <v>2.548</v>
      </c>
      <c r="F83" s="98">
        <f>IFERROR(IF(VLOOKUP($A83,'Annex 2 Designated EHV charges'!$A:$O,10,FALSE)=0,"",VLOOKUP($A83,'Annex 2 Designated EHV charges'!$A:$O,10,FALSE)),"")</f>
        <v>8.1300000000000008</v>
      </c>
      <c r="G83" s="99">
        <f>IFERROR(IF(VLOOKUP($A83,'Annex 2 Designated EHV charges'!$A:$O,11,FALSE)=0,"",VLOOKUP($A83,'Annex 2 Designated EHV charges'!$A:$O,11,FALSE)),"")</f>
        <v>2.97</v>
      </c>
      <c r="H83" s="99">
        <f>IFERROR(IF(VLOOKUP($A83,'Annex 2 Designated EHV charges'!$A:$O,12,FALSE)=0,"",VLOOKUP($A83,'Annex 2 Designated EHV charges'!$A:$O,12,FALSE)),"")</f>
        <v>2.97</v>
      </c>
    </row>
    <row r="84" spans="1:8" ht="12.75" customHeight="1" x14ac:dyDescent="0.35">
      <c r="A84" s="94" t="str" cm="1">
        <f t="array" ref="A84">IFERROR(INDEX('Annex 2 Designated EHV charges'!$A$10:$A$200, MATCH(0, IF(ISBLANK('Annex 2 Designated EHV charges'!$A$10:$A$200),1, COUNTIF(A$4:$A83, 'Annex 2 Designated EHV charges'!$A$10:$A$200)), 0)),"")</f>
        <v>OLDRSF</v>
      </c>
      <c r="B84" s="94">
        <f>IF($A84="","",VLOOKUP($A84,'Annex 2 Designated EHV charges'!$A:$O,2,0))</f>
        <v>805</v>
      </c>
      <c r="C84" s="95">
        <f>IF($A84="","",VLOOKUP($A84,'Annex 2 Designated EHV charges'!$A:$O,3,0))</f>
        <v>1900091024517</v>
      </c>
      <c r="D84" s="94" t="str">
        <f>IF($A84="","",VLOOKUP($A84,'Annex 2 Designated EHV charges'!$A:$O,7,0))</f>
        <v>OLDRSF</v>
      </c>
      <c r="E84" s="97">
        <f>IFERROR(IF(VLOOKUP($A84,'Annex 2 Designated EHV charges'!$A:$O,9,FALSE)=0,"",VLOOKUP($A84,'Annex 2 Designated EHV charges'!$A:$O,9,FALSE)),"")</f>
        <v>4.9000000000000002E-2</v>
      </c>
      <c r="F84" s="98">
        <f>IFERROR(IF(VLOOKUP($A84,'Annex 2 Designated EHV charges'!$A:$O,10,FALSE)=0,"",VLOOKUP($A84,'Annex 2 Designated EHV charges'!$A:$O,10,FALSE)),"")</f>
        <v>6.04</v>
      </c>
      <c r="G84" s="99">
        <f>IFERROR(IF(VLOOKUP($A84,'Annex 2 Designated EHV charges'!$A:$O,11,FALSE)=0,"",VLOOKUP($A84,'Annex 2 Designated EHV charges'!$A:$O,11,FALSE)),"")</f>
        <v>2.5</v>
      </c>
      <c r="H84" s="99">
        <f>IFERROR(IF(VLOOKUP($A84,'Annex 2 Designated EHV charges'!$A:$O,12,FALSE)=0,"",VLOOKUP($A84,'Annex 2 Designated EHV charges'!$A:$O,12,FALSE)),"")</f>
        <v>2.5</v>
      </c>
    </row>
    <row r="85" spans="1:8" ht="12.75" customHeight="1" x14ac:dyDescent="0.35">
      <c r="A85" s="94" t="str" cm="1">
        <f t="array" ref="A85">IFERROR(INDEX('Annex 2 Designated EHV charges'!$A$10:$A$200, MATCH(0, IF(ISBLANK('Annex 2 Designated EHV charges'!$A$10:$A$200),1, COUNTIF(A$4:$A84, 'Annex 2 Designated EHV charges'!$A$10:$A$200)), 0)),"")</f>
        <v>ORCHRD</v>
      </c>
      <c r="B85" s="94">
        <f>IF($A85="","",VLOOKUP($A85,'Annex 2 Designated EHV charges'!$A:$O,2,0))</f>
        <v>898</v>
      </c>
      <c r="C85" s="95">
        <f>IF($A85="","",VLOOKUP($A85,'Annex 2 Designated EHV charges'!$A:$O,3,0))</f>
        <v>1900091085120</v>
      </c>
      <c r="D85" s="94" t="str">
        <f>IF($A85="","",VLOOKUP($A85,'Annex 2 Designated EHV charges'!$A:$O,7,0))</f>
        <v>ORCHRD</v>
      </c>
      <c r="E85" s="97">
        <f>IFERROR(IF(VLOOKUP($A85,'Annex 2 Designated EHV charges'!$A:$O,9,FALSE)=0,"",VLOOKUP($A85,'Annex 2 Designated EHV charges'!$A:$O,9,FALSE)),"")</f>
        <v>0.08</v>
      </c>
      <c r="F85" s="98">
        <f>IFERROR(IF(VLOOKUP($A85,'Annex 2 Designated EHV charges'!$A:$O,10,FALSE)=0,"",VLOOKUP($A85,'Annex 2 Designated EHV charges'!$A:$O,10,FALSE)),"")</f>
        <v>7.65</v>
      </c>
      <c r="G85" s="99">
        <f>IFERROR(IF(VLOOKUP($A85,'Annex 2 Designated EHV charges'!$A:$O,11,FALSE)=0,"",VLOOKUP($A85,'Annex 2 Designated EHV charges'!$A:$O,11,FALSE)),"")</f>
        <v>2.4500000000000002</v>
      </c>
      <c r="H85" s="99">
        <f>IFERROR(IF(VLOOKUP($A85,'Annex 2 Designated EHV charges'!$A:$O,12,FALSE)=0,"",VLOOKUP($A85,'Annex 2 Designated EHV charges'!$A:$O,12,FALSE)),"")</f>
        <v>2.4500000000000002</v>
      </c>
    </row>
    <row r="86" spans="1:8" ht="12.75" customHeight="1" x14ac:dyDescent="0.35">
      <c r="A86" s="94" t="str" cm="1">
        <f t="array" ref="A86">IFERROR(INDEX('Annex 2 Designated EHV charges'!$A$10:$A$200, MATCH(0, IF(ISBLANK('Annex 2 Designated EHV charges'!$A$10:$A$200),1, COUNTIF(A$4:$A85, 'Annex 2 Designated EHV charges'!$A$10:$A$200)), 0)),"")</f>
        <v>PADWSF</v>
      </c>
      <c r="B86" s="94">
        <f>IF($A86="","",VLOOKUP($A86,'Annex 2 Designated EHV charges'!$A:$O,2,0))</f>
        <v>822</v>
      </c>
      <c r="C86" s="95">
        <f>IF($A86="","",VLOOKUP($A86,'Annex 2 Designated EHV charges'!$A:$O,3,0))</f>
        <v>1900091216634</v>
      </c>
      <c r="D86" s="94" t="str">
        <f>IF($A86="","",VLOOKUP($A86,'Annex 2 Designated EHV charges'!$A:$O,7,0))</f>
        <v>PADWSF</v>
      </c>
      <c r="E86" s="97">
        <f>IFERROR(IF(VLOOKUP($A86,'Annex 2 Designated EHV charges'!$A:$O,9,FALSE)=0,"",VLOOKUP($A86,'Annex 2 Designated EHV charges'!$A:$O,9,FALSE)),"")</f>
        <v>4.3639999999999999</v>
      </c>
      <c r="F86" s="98">
        <f>IFERROR(IF(VLOOKUP($A86,'Annex 2 Designated EHV charges'!$A:$O,10,FALSE)=0,"",VLOOKUP($A86,'Annex 2 Designated EHV charges'!$A:$O,10,FALSE)),"")</f>
        <v>6.19</v>
      </c>
      <c r="G86" s="99">
        <f>IFERROR(IF(VLOOKUP($A86,'Annex 2 Designated EHV charges'!$A:$O,11,FALSE)=0,"",VLOOKUP($A86,'Annex 2 Designated EHV charges'!$A:$O,11,FALSE)),"")</f>
        <v>2.73</v>
      </c>
      <c r="H86" s="99">
        <f>IFERROR(IF(VLOOKUP($A86,'Annex 2 Designated EHV charges'!$A:$O,12,FALSE)=0,"",VLOOKUP($A86,'Annex 2 Designated EHV charges'!$A:$O,12,FALSE)),"")</f>
        <v>2.73</v>
      </c>
    </row>
    <row r="87" spans="1:8" ht="12.75" customHeight="1" x14ac:dyDescent="0.35">
      <c r="A87" s="94" t="str" cm="1">
        <f t="array" ref="A87">IFERROR(INDEX('Annex 2 Designated EHV charges'!$A$10:$A$200, MATCH(0, IF(ISBLANK('Annex 2 Designated EHV charges'!$A$10:$A$200),1, COUNTIF(A$4:$A86, 'Annex 2 Designated EHV charges'!$A$10:$A$200)), 0)),"")</f>
        <v>POSHWF</v>
      </c>
      <c r="B87" s="94">
        <f>IF($A87="","",VLOOKUP($A87,'Annex 2 Designated EHV charges'!$A:$O,2,0))</f>
        <v>827</v>
      </c>
      <c r="C87" s="95">
        <f>IF($A87="","",VLOOKUP($A87,'Annex 2 Designated EHV charges'!$A:$O,3,0))</f>
        <v>1900091227307</v>
      </c>
      <c r="D87" s="94" t="str">
        <f>IF($A87="","",VLOOKUP($A87,'Annex 2 Designated EHV charges'!$A:$O,7,0))</f>
        <v>POSHWF</v>
      </c>
      <c r="E87" s="97">
        <f>IFERROR(IF(VLOOKUP($A87,'Annex 2 Designated EHV charges'!$A:$O,9,FALSE)=0,"",VLOOKUP($A87,'Annex 2 Designated EHV charges'!$A:$O,9,FALSE)),"")</f>
        <v>1E-3</v>
      </c>
      <c r="F87" s="98">
        <f>IFERROR(IF(VLOOKUP($A87,'Annex 2 Designated EHV charges'!$A:$O,10,FALSE)=0,"",VLOOKUP($A87,'Annex 2 Designated EHV charges'!$A:$O,10,FALSE)),"")</f>
        <v>8.74</v>
      </c>
      <c r="G87" s="99">
        <f>IFERROR(IF(VLOOKUP($A87,'Annex 2 Designated EHV charges'!$A:$O,11,FALSE)=0,"",VLOOKUP($A87,'Annex 2 Designated EHV charges'!$A:$O,11,FALSE)),"")</f>
        <v>0.99</v>
      </c>
      <c r="H87" s="99">
        <f>IFERROR(IF(VLOOKUP($A87,'Annex 2 Designated EHV charges'!$A:$O,12,FALSE)=0,"",VLOOKUP($A87,'Annex 2 Designated EHV charges'!$A:$O,12,FALSE)),"")</f>
        <v>0.99</v>
      </c>
    </row>
    <row r="88" spans="1:8" ht="12.75" customHeight="1" x14ac:dyDescent="0.35">
      <c r="A88" s="94" t="str" cm="1">
        <f t="array" ref="A88">IFERROR(INDEX('Annex 2 Designated EHV charges'!$A$10:$A$200, MATCH(0, IF(ISBLANK('Annex 2 Designated EHV charges'!$A$10:$A$200),1, COUNTIF(A$4:$A87, 'Annex 2 Designated EHV charges'!$A$10:$A$200)), 0)),"")</f>
        <v>POTMBS</v>
      </c>
      <c r="B88" s="94">
        <f>IF($A88="","",VLOOKUP($A88,'Annex 2 Designated EHV charges'!$A:$O,2,0))</f>
        <v>925</v>
      </c>
      <c r="C88" s="95">
        <f>IF($A88="","",VLOOKUP($A88,'Annex 2 Designated EHV charges'!$A:$O,3,0))</f>
        <v>1900092272791</v>
      </c>
      <c r="D88" s="94" t="str">
        <f>IF($A88="","",VLOOKUP($A88,'Annex 2 Designated EHV charges'!$A:$O,7,0))</f>
        <v>POTMBS</v>
      </c>
      <c r="E88" s="97">
        <f>IFERROR(IF(VLOOKUP($A88,'Annex 2 Designated EHV charges'!$A:$O,9,FALSE)=0,"",VLOOKUP($A88,'Annex 2 Designated EHV charges'!$A:$O,9,FALSE)),"")</f>
        <v>0.54100000000000004</v>
      </c>
      <c r="F88" s="98">
        <f>IFERROR(IF(VLOOKUP($A88,'Annex 2 Designated EHV charges'!$A:$O,10,FALSE)=0,"",VLOOKUP($A88,'Annex 2 Designated EHV charges'!$A:$O,10,FALSE)),"")</f>
        <v>943.4</v>
      </c>
      <c r="G88" s="99">
        <f>IFERROR(IF(VLOOKUP($A88,'Annex 2 Designated EHV charges'!$A:$O,11,FALSE)=0,"",VLOOKUP($A88,'Annex 2 Designated EHV charges'!$A:$O,11,FALSE)),"")</f>
        <v>0.98</v>
      </c>
      <c r="H88" s="99">
        <f>IFERROR(IF(VLOOKUP($A88,'Annex 2 Designated EHV charges'!$A:$O,12,FALSE)=0,"",VLOOKUP($A88,'Annex 2 Designated EHV charges'!$A:$O,12,FALSE)),"")</f>
        <v>0.98</v>
      </c>
    </row>
    <row r="89" spans="1:8" ht="12.75" customHeight="1" x14ac:dyDescent="0.35">
      <c r="A89" s="94" t="str" cm="1">
        <f t="array" ref="A89">IFERROR(INDEX('Annex 2 Designated EHV charges'!$A$10:$A$200, MATCH(0, IF(ISBLANK('Annex 2 Designated EHV charges'!$A$10:$A$200),1, COUNTIF(A$4:$A88, 'Annex 2 Designated EHV charges'!$A$10:$A$200)), 0)),"")</f>
        <v>PRIORS</v>
      </c>
      <c r="B89" s="94">
        <f>IF($A89="","",VLOOKUP($A89,'Annex 2 Designated EHV charges'!$A:$O,2,0))</f>
        <v>899</v>
      </c>
      <c r="C89" s="95">
        <f>IF($A89="","",VLOOKUP($A89,'Annex 2 Designated EHV charges'!$A:$O,3,0))</f>
        <v>1900091319942</v>
      </c>
      <c r="D89" s="94" t="str">
        <f>IF($A89="","",VLOOKUP($A89,'Annex 2 Designated EHV charges'!$A:$O,7,0))</f>
        <v>PRIORS</v>
      </c>
      <c r="E89" s="97">
        <f>IFERROR(IF(VLOOKUP($A89,'Annex 2 Designated EHV charges'!$A:$O,9,FALSE)=0,"",VLOOKUP($A89,'Annex 2 Designated EHV charges'!$A:$O,9,FALSE)),"")</f>
        <v>0.33500000000000002</v>
      </c>
      <c r="F89" s="98">
        <f>IFERROR(IF(VLOOKUP($A89,'Annex 2 Designated EHV charges'!$A:$O,10,FALSE)=0,"",VLOOKUP($A89,'Annex 2 Designated EHV charges'!$A:$O,10,FALSE)),"")</f>
        <v>6.16</v>
      </c>
      <c r="G89" s="99">
        <f>IFERROR(IF(VLOOKUP($A89,'Annex 2 Designated EHV charges'!$A:$O,11,FALSE)=0,"",VLOOKUP($A89,'Annex 2 Designated EHV charges'!$A:$O,11,FALSE)),"")</f>
        <v>1.92</v>
      </c>
      <c r="H89" s="99">
        <f>IFERROR(IF(VLOOKUP($A89,'Annex 2 Designated EHV charges'!$A:$O,12,FALSE)=0,"",VLOOKUP($A89,'Annex 2 Designated EHV charges'!$A:$O,12,FALSE)),"")</f>
        <v>1.92</v>
      </c>
    </row>
    <row r="90" spans="1:8" ht="12.75" customHeight="1" x14ac:dyDescent="0.35">
      <c r="A90" s="94" t="str" cm="1">
        <f t="array" ref="A90">IFERROR(INDEX('Annex 2 Designated EHV charges'!$A$10:$A$200, MATCH(0, IF(ISBLANK('Annex 2 Designated EHV charges'!$A$10:$A$200),1, COUNTIF(A$4:$A89, 'Annex 2 Designated EHV charges'!$A$10:$A$200)), 0)),"")</f>
        <v>PSHLEY</v>
      </c>
      <c r="B90" s="94">
        <f>IF($A90="","",VLOOKUP($A90,'Annex 2 Designated EHV charges'!$A:$O,2,0))</f>
        <v>826</v>
      </c>
      <c r="C90" s="95">
        <f>IF($A90="","",VLOOKUP($A90,'Annex 2 Designated EHV charges'!$A:$O,3,0))</f>
        <v>1900091178954</v>
      </c>
      <c r="D90" s="94" t="str">
        <f>IF($A90="","",VLOOKUP($A90,'Annex 2 Designated EHV charges'!$A:$O,7,0))</f>
        <v>PSHLEY</v>
      </c>
      <c r="E90" s="97" t="str">
        <f>IFERROR(IF(VLOOKUP($A90,'Annex 2 Designated EHV charges'!$A:$O,9,FALSE)=0,"",VLOOKUP($A90,'Annex 2 Designated EHV charges'!$A:$O,9,FALSE)),"")</f>
        <v/>
      </c>
      <c r="F90" s="98">
        <f>IFERROR(IF(VLOOKUP($A90,'Annex 2 Designated EHV charges'!$A:$O,10,FALSE)=0,"",VLOOKUP($A90,'Annex 2 Designated EHV charges'!$A:$O,10,FALSE)),"")</f>
        <v>17.850000000000001</v>
      </c>
      <c r="G90" s="99">
        <f>IFERROR(IF(VLOOKUP($A90,'Annex 2 Designated EHV charges'!$A:$O,11,FALSE)=0,"",VLOOKUP($A90,'Annex 2 Designated EHV charges'!$A:$O,11,FALSE)),"")</f>
        <v>1.75</v>
      </c>
      <c r="H90" s="99">
        <f>IFERROR(IF(VLOOKUP($A90,'Annex 2 Designated EHV charges'!$A:$O,12,FALSE)=0,"",VLOOKUP($A90,'Annex 2 Designated EHV charges'!$A:$O,12,FALSE)),"")</f>
        <v>1.75</v>
      </c>
    </row>
    <row r="91" spans="1:8" ht="12.75" customHeight="1" x14ac:dyDescent="0.35">
      <c r="A91" s="94" t="str" cm="1">
        <f t="array" ref="A91">IFERROR(INDEX('Annex 2 Designated EHV charges'!$A$10:$A$200, MATCH(0, IF(ISBLANK('Annex 2 Designated EHV charges'!$A$10:$A$200),1, COUNTIF(A$4:$A90, 'Annex 2 Designated EHV charges'!$A$10:$A$200)), 0)),"")</f>
        <v>SELLSF</v>
      </c>
      <c r="B91" s="94">
        <f>IF($A91="","",VLOOKUP($A91,'Annex 2 Designated EHV charges'!$A:$O,2,0))</f>
        <v>900</v>
      </c>
      <c r="C91" s="95">
        <f>IF($A91="","",VLOOKUP($A91,'Annex 2 Designated EHV charges'!$A:$O,3,0))</f>
        <v>1900091360950</v>
      </c>
      <c r="D91" s="94" t="str">
        <f>IF($A91="","",VLOOKUP($A91,'Annex 2 Designated EHV charges'!$A:$O,7,0))</f>
        <v>SELLSF</v>
      </c>
      <c r="E91" s="97" t="str">
        <f>IFERROR(IF(VLOOKUP($A91,'Annex 2 Designated EHV charges'!$A:$O,9,FALSE)=0,"",VLOOKUP($A91,'Annex 2 Designated EHV charges'!$A:$O,9,FALSE)),"")</f>
        <v/>
      </c>
      <c r="F91" s="98">
        <f>IFERROR(IF(VLOOKUP($A91,'Annex 2 Designated EHV charges'!$A:$O,10,FALSE)=0,"",VLOOKUP($A91,'Annex 2 Designated EHV charges'!$A:$O,10,FALSE)),"")</f>
        <v>5.35</v>
      </c>
      <c r="G91" s="99">
        <f>IFERROR(IF(VLOOKUP($A91,'Annex 2 Designated EHV charges'!$A:$O,11,FALSE)=0,"",VLOOKUP($A91,'Annex 2 Designated EHV charges'!$A:$O,11,FALSE)),"")</f>
        <v>1.51</v>
      </c>
      <c r="H91" s="99">
        <f>IFERROR(IF(VLOOKUP($A91,'Annex 2 Designated EHV charges'!$A:$O,12,FALSE)=0,"",VLOOKUP($A91,'Annex 2 Designated EHV charges'!$A:$O,12,FALSE)),"")</f>
        <v>1.51</v>
      </c>
    </row>
    <row r="92" spans="1:8" ht="12.75" customHeight="1" x14ac:dyDescent="0.35">
      <c r="A92" s="94" t="str" cm="1">
        <f t="array" ref="A92">IFERROR(INDEX('Annex 2 Designated EHV charges'!$A$10:$A$200, MATCH(0, IF(ISBLANK('Annex 2 Designated EHV charges'!$A$10:$A$200),1, COUNTIF(A$4:$A91, 'Annex 2 Designated EHV charges'!$A$10:$A$200)), 0)),"")</f>
        <v>SEVIND</v>
      </c>
      <c r="B92" s="94">
        <f>IF($A92="","",VLOOKUP($A92,'Annex 2 Designated EHV charges'!$A:$O,2,0))</f>
        <v>0</v>
      </c>
      <c r="C92" s="95" t="str">
        <f>IF($A92="","",VLOOKUP($A92,'Annex 2 Designated EHV charges'!$A:$O,3,0))</f>
        <v>MSID: 7160</v>
      </c>
      <c r="D92" s="94" t="str">
        <f>IF($A92="","",VLOOKUP($A92,'Annex 2 Designated EHV charges'!$A:$O,7,0))</f>
        <v>SEVIND</v>
      </c>
      <c r="E92" s="97">
        <f>IFERROR(IF(VLOOKUP($A92,'Annex 2 Designated EHV charges'!$A:$O,9,FALSE)=0,"",VLOOKUP($A92,'Annex 2 Designated EHV charges'!$A:$O,9,FALSE)),"")</f>
        <v>5.069</v>
      </c>
      <c r="F92" s="98">
        <f>IFERROR(IF(VLOOKUP($A92,'Annex 2 Designated EHV charges'!$A:$O,10,FALSE)=0,"",VLOOKUP($A92,'Annex 2 Designated EHV charges'!$A:$O,10,FALSE)),"")</f>
        <v>2.4300000000000002</v>
      </c>
      <c r="G92" s="99">
        <f>IFERROR(IF(VLOOKUP($A92,'Annex 2 Designated EHV charges'!$A:$O,11,FALSE)=0,"",VLOOKUP($A92,'Annex 2 Designated EHV charges'!$A:$O,11,FALSE)),"")</f>
        <v>2.84</v>
      </c>
      <c r="H92" s="99">
        <f>IFERROR(IF(VLOOKUP($A92,'Annex 2 Designated EHV charges'!$A:$O,12,FALSE)=0,"",VLOOKUP($A92,'Annex 2 Designated EHV charges'!$A:$O,12,FALSE)),"")</f>
        <v>2.84</v>
      </c>
    </row>
    <row r="93" spans="1:8" ht="12.75" customHeight="1" x14ac:dyDescent="0.35">
      <c r="A93" s="94" t="str" cm="1">
        <f t="array" ref="A93">IFERROR(INDEX('Annex 2 Designated EHV charges'!$A$10:$A$200, MATCH(0, IF(ISBLANK('Annex 2 Designated EHV charges'!$A$10:$A$200),1, COUNTIF(A$4:$A92, 'Annex 2 Designated EHV charges'!$A$10:$A$200)), 0)),"")</f>
        <v>SHEPHM</v>
      </c>
      <c r="B93" s="94">
        <f>IF($A93="","",VLOOKUP($A93,'Annex 2 Designated EHV charges'!$A:$O,2,0))</f>
        <v>832</v>
      </c>
      <c r="C93" s="95">
        <f>IF($A93="","",VLOOKUP($A93,'Annex 2 Designated EHV charges'!$A:$O,3,0))</f>
        <v>1900091420128</v>
      </c>
      <c r="D93" s="94" t="str">
        <f>IF($A93="","",VLOOKUP($A93,'Annex 2 Designated EHV charges'!$A:$O,7,0))</f>
        <v>SHEPHM</v>
      </c>
      <c r="E93" s="97">
        <f>IFERROR(IF(VLOOKUP($A93,'Annex 2 Designated EHV charges'!$A:$O,9,FALSE)=0,"",VLOOKUP($A93,'Annex 2 Designated EHV charges'!$A:$O,9,FALSE)),"")</f>
        <v>0.21</v>
      </c>
      <c r="F93" s="98">
        <f>IFERROR(IF(VLOOKUP($A93,'Annex 2 Designated EHV charges'!$A:$O,10,FALSE)=0,"",VLOOKUP($A93,'Annex 2 Designated EHV charges'!$A:$O,10,FALSE)),"")</f>
        <v>68.73</v>
      </c>
      <c r="G93" s="99">
        <f>IFERROR(IF(VLOOKUP($A93,'Annex 2 Designated EHV charges'!$A:$O,11,FALSE)=0,"",VLOOKUP($A93,'Annex 2 Designated EHV charges'!$A:$O,11,FALSE)),"")</f>
        <v>1.92</v>
      </c>
      <c r="H93" s="99">
        <f>IFERROR(IF(VLOOKUP($A93,'Annex 2 Designated EHV charges'!$A:$O,12,FALSE)=0,"",VLOOKUP($A93,'Annex 2 Designated EHV charges'!$A:$O,12,FALSE)),"")</f>
        <v>1.92</v>
      </c>
    </row>
    <row r="94" spans="1:8" ht="12.75" customHeight="1" x14ac:dyDescent="0.35">
      <c r="A94" s="94" t="str" cm="1">
        <f t="array" ref="A94">IFERROR(INDEX('Annex 2 Designated EHV charges'!$A$10:$A$200, MATCH(0, IF(ISBLANK('Annex 2 Designated EHV charges'!$A$10:$A$200),1, COUNTIF(A$4:$A93, 'Annex 2 Designated EHV charges'!$A$10:$A$200)), 0)),"")</f>
        <v>SHORHM</v>
      </c>
      <c r="B94" s="94">
        <f>IF($A94="","",VLOOKUP($A94,'Annex 2 Designated EHV charges'!$A:$O,2,0))</f>
        <v>0</v>
      </c>
      <c r="C94" s="95" t="str">
        <f>IF($A94="","",VLOOKUP($A94,'Annex 2 Designated EHV charges'!$A:$O,3,0))</f>
        <v>MSID: 7104</v>
      </c>
      <c r="D94" s="94" t="str">
        <f>IF($A94="","",VLOOKUP($A94,'Annex 2 Designated EHV charges'!$A:$O,7,0))</f>
        <v>SHORHM</v>
      </c>
      <c r="E94" s="97">
        <f>IFERROR(IF(VLOOKUP($A94,'Annex 2 Designated EHV charges'!$A:$O,9,FALSE)=0,"",VLOOKUP($A94,'Annex 2 Designated EHV charges'!$A:$O,9,FALSE)),"")</f>
        <v>3.0000000000000001E-3</v>
      </c>
      <c r="F94" s="98">
        <f>IFERROR(IF(VLOOKUP($A94,'Annex 2 Designated EHV charges'!$A:$O,10,FALSE)=0,"",VLOOKUP($A94,'Annex 2 Designated EHV charges'!$A:$O,10,FALSE)),"")</f>
        <v>12540.83</v>
      </c>
      <c r="G94" s="99">
        <f>IFERROR(IF(VLOOKUP($A94,'Annex 2 Designated EHV charges'!$A:$O,11,FALSE)=0,"",VLOOKUP($A94,'Annex 2 Designated EHV charges'!$A:$O,11,FALSE)),"")</f>
        <v>1.56</v>
      </c>
      <c r="H94" s="99">
        <f>IFERROR(IF(VLOOKUP($A94,'Annex 2 Designated EHV charges'!$A:$O,12,FALSE)=0,"",VLOOKUP($A94,'Annex 2 Designated EHV charges'!$A:$O,12,FALSE)),"")</f>
        <v>1.56</v>
      </c>
    </row>
    <row r="95" spans="1:8" ht="12.75" customHeight="1" x14ac:dyDescent="0.35">
      <c r="A95" s="94" t="str" cm="1">
        <f t="array" ref="A95">IFERROR(INDEX('Annex 2 Designated EHV charges'!$A$10:$A$200, MATCH(0, IF(ISBLANK('Annex 2 Designated EHV charges'!$A$10:$A$200),1, COUNTIF(A$4:$A94, 'Annex 2 Designated EHV charges'!$A$10:$A$200)), 0)),"")</f>
        <v>SOLEES</v>
      </c>
      <c r="B95" s="94">
        <f>IF($A95="","",VLOOKUP($A95,'Annex 2 Designated EHV charges'!$A:$O,2,0))</f>
        <v>823</v>
      </c>
      <c r="C95" s="95" t="str">
        <f>IF($A95="","",VLOOKUP($A95,'Annex 2 Designated EHV charges'!$A:$O,3,0))</f>
        <v>1900091121257;1900091121275</v>
      </c>
      <c r="D95" s="94" t="str">
        <f>IF($A95="","",VLOOKUP($A95,'Annex 2 Designated EHV charges'!$A:$O,7,0))</f>
        <v>SOLEES</v>
      </c>
      <c r="E95" s="97">
        <f>IFERROR(IF(VLOOKUP($A95,'Annex 2 Designated EHV charges'!$A:$O,9,FALSE)=0,"",VLOOKUP($A95,'Annex 2 Designated EHV charges'!$A:$O,9,FALSE)),"")</f>
        <v>5.2999999999999999E-2</v>
      </c>
      <c r="F95" s="98">
        <f>IFERROR(IF(VLOOKUP($A95,'Annex 2 Designated EHV charges'!$A:$O,10,FALSE)=0,"",VLOOKUP($A95,'Annex 2 Designated EHV charges'!$A:$O,10,FALSE)),"")</f>
        <v>55.05</v>
      </c>
      <c r="G95" s="99">
        <f>IFERROR(IF(VLOOKUP($A95,'Annex 2 Designated EHV charges'!$A:$O,11,FALSE)=0,"",VLOOKUP($A95,'Annex 2 Designated EHV charges'!$A:$O,11,FALSE)),"")</f>
        <v>1.65</v>
      </c>
      <c r="H95" s="99">
        <f>IFERROR(IF(VLOOKUP($A95,'Annex 2 Designated EHV charges'!$A:$O,12,FALSE)=0,"",VLOOKUP($A95,'Annex 2 Designated EHV charges'!$A:$O,12,FALSE)),"")</f>
        <v>1.65</v>
      </c>
    </row>
    <row r="96" spans="1:8" ht="12.75" customHeight="1" x14ac:dyDescent="0.35">
      <c r="A96" s="94" t="str" cm="1">
        <f t="array" ref="A96">IFERROR(INDEX('Annex 2 Designated EHV charges'!$A$10:$A$200, MATCH(0, IF(ISBLANK('Annex 2 Designated EHV charges'!$A$10:$A$200),1, COUNTIF(A$4:$A95, 'Annex 2 Designated EHV charges'!$A$10:$A$200)), 0)),"")</f>
        <v>STAREN</v>
      </c>
      <c r="B96" s="94">
        <f>IF($A96="","",VLOOKUP($A96,'Annex 2 Designated EHV charges'!$A:$O,2,0))</f>
        <v>883</v>
      </c>
      <c r="C96" s="95">
        <f>IF($A96="","",VLOOKUP($A96,'Annex 2 Designated EHV charges'!$A:$O,3,0))</f>
        <v>1900060830217</v>
      </c>
      <c r="D96" s="94" t="str">
        <f>IF($A96="","",VLOOKUP($A96,'Annex 2 Designated EHV charges'!$A:$O,7,0))</f>
        <v>STAREN</v>
      </c>
      <c r="E96" s="97">
        <f>IFERROR(IF(VLOOKUP($A96,'Annex 2 Designated EHV charges'!$A:$O,9,FALSE)=0,"",VLOOKUP($A96,'Annex 2 Designated EHV charges'!$A:$O,9,FALSE)),"")</f>
        <v>0.19500000000000001</v>
      </c>
      <c r="F96" s="98">
        <f>IFERROR(IF(VLOOKUP($A96,'Annex 2 Designated EHV charges'!$A:$O,10,FALSE)=0,"",VLOOKUP($A96,'Annex 2 Designated EHV charges'!$A:$O,10,FALSE)),"")</f>
        <v>4565.66</v>
      </c>
      <c r="G96" s="99">
        <f>IFERROR(IF(VLOOKUP($A96,'Annex 2 Designated EHV charges'!$A:$O,11,FALSE)=0,"",VLOOKUP($A96,'Annex 2 Designated EHV charges'!$A:$O,11,FALSE)),"")</f>
        <v>2.38</v>
      </c>
      <c r="H96" s="99">
        <f>IFERROR(IF(VLOOKUP($A96,'Annex 2 Designated EHV charges'!$A:$O,12,FALSE)=0,"",VLOOKUP($A96,'Annex 2 Designated EHV charges'!$A:$O,12,FALSE)),"")</f>
        <v>2.38</v>
      </c>
    </row>
    <row r="97" spans="1:8" ht="12.75" customHeight="1" x14ac:dyDescent="0.35">
      <c r="A97" s="94" t="str" cm="1">
        <f t="array" ref="A97">IFERROR(INDEX('Annex 2 Designated EHV charges'!$A$10:$A$200, MATCH(0, IF(ISBLANK('Annex 2 Designated EHV charges'!$A$10:$A$200),1, COUNTIF(A$4:$A96, 'Annex 2 Designated EHV charges'!$A$10:$A$200)), 0)),"")</f>
        <v>SYCAMR</v>
      </c>
      <c r="B97" s="94">
        <f>IF($A97="","",VLOOKUP($A97,'Annex 2 Designated EHV charges'!$A:$O,2,0))</f>
        <v>807</v>
      </c>
      <c r="C97" s="95">
        <f>IF($A97="","",VLOOKUP($A97,'Annex 2 Designated EHV charges'!$A:$O,3,0))</f>
        <v>1900091090096</v>
      </c>
      <c r="D97" s="94" t="str">
        <f>IF($A97="","",VLOOKUP($A97,'Annex 2 Designated EHV charges'!$A:$O,7,0))</f>
        <v>SYCAMR</v>
      </c>
      <c r="E97" s="97">
        <f>IFERROR(IF(VLOOKUP($A97,'Annex 2 Designated EHV charges'!$A:$O,9,FALSE)=0,"",VLOOKUP($A97,'Annex 2 Designated EHV charges'!$A:$O,9,FALSE)),"")</f>
        <v>1.3220000000000001</v>
      </c>
      <c r="F97" s="98">
        <f>IFERROR(IF(VLOOKUP($A97,'Annex 2 Designated EHV charges'!$A:$O,10,FALSE)=0,"",VLOOKUP($A97,'Annex 2 Designated EHV charges'!$A:$O,10,FALSE)),"")</f>
        <v>88.71</v>
      </c>
      <c r="G97" s="99">
        <f>IFERROR(IF(VLOOKUP($A97,'Annex 2 Designated EHV charges'!$A:$O,11,FALSE)=0,"",VLOOKUP($A97,'Annex 2 Designated EHV charges'!$A:$O,11,FALSE)),"")</f>
        <v>1.65</v>
      </c>
      <c r="H97" s="99">
        <f>IFERROR(IF(VLOOKUP($A97,'Annex 2 Designated EHV charges'!$A:$O,12,FALSE)=0,"",VLOOKUP($A97,'Annex 2 Designated EHV charges'!$A:$O,12,FALSE)),"")</f>
        <v>1.65</v>
      </c>
    </row>
    <row r="98" spans="1:8" ht="12.75" customHeight="1" x14ac:dyDescent="0.35">
      <c r="A98" s="94" t="str" cm="1">
        <f t="array" ref="A98">IFERROR(INDEX('Annex 2 Designated EHV charges'!$A$10:$A$200, MATCH(0, IF(ISBLANK('Annex 2 Designated EHV charges'!$A$10:$A$200),1, COUNTIF(A$4:$A97, 'Annex 2 Designated EHV charges'!$A$10:$A$200)), 0)),"")</f>
        <v>THAER1</v>
      </c>
      <c r="B98" s="94">
        <f>IF($A98="","",VLOOKUP($A98,'Annex 2 Designated EHV charges'!$A:$O,2,0))</f>
        <v>850</v>
      </c>
      <c r="C98" s="95">
        <f>IF($A98="","",VLOOKUP($A98,'Annex 2 Designated EHV charges'!$A:$O,3,0))</f>
        <v>1900090417081</v>
      </c>
      <c r="D98" s="94" t="str">
        <f>IF($A98="","",VLOOKUP($A98,'Annex 2 Designated EHV charges'!$A:$O,7,0))</f>
        <v>THAER1</v>
      </c>
      <c r="E98" s="97" t="str">
        <f>IFERROR(IF(VLOOKUP($A98,'Annex 2 Designated EHV charges'!$A:$O,9,FALSE)=0,"",VLOOKUP($A98,'Annex 2 Designated EHV charges'!$A:$O,9,FALSE)),"")</f>
        <v/>
      </c>
      <c r="F98" s="98">
        <f>IFERROR(IF(VLOOKUP($A98,'Annex 2 Designated EHV charges'!$A:$O,10,FALSE)=0,"",VLOOKUP($A98,'Annex 2 Designated EHV charges'!$A:$O,10,FALSE)),"")</f>
        <v>14832.1</v>
      </c>
      <c r="G98" s="99">
        <f>IFERROR(IF(VLOOKUP($A98,'Annex 2 Designated EHV charges'!$A:$O,11,FALSE)=0,"",VLOOKUP($A98,'Annex 2 Designated EHV charges'!$A:$O,11,FALSE)),"")</f>
        <v>1.8</v>
      </c>
      <c r="H98" s="99">
        <f>IFERROR(IF(VLOOKUP($A98,'Annex 2 Designated EHV charges'!$A:$O,12,FALSE)=0,"",VLOOKUP($A98,'Annex 2 Designated EHV charges'!$A:$O,12,FALSE)),"")</f>
        <v>1.8</v>
      </c>
    </row>
    <row r="99" spans="1:8" ht="12.75" customHeight="1" x14ac:dyDescent="0.35">
      <c r="A99" s="94" t="str" cm="1">
        <f t="array" ref="A99">IFERROR(INDEX('Annex 2 Designated EHV charges'!$A$10:$A$200, MATCH(0, IF(ISBLANK('Annex 2 Designated EHV charges'!$A$10:$A$200),1, COUNTIF(A$4:$A98, 'Annex 2 Designated EHV charges'!$A$10:$A$200)), 0)),"")</f>
        <v>THAER2</v>
      </c>
      <c r="B99" s="94">
        <f>IF($A99="","",VLOOKUP($A99,'Annex 2 Designated EHV charges'!$A:$O,2,0))</f>
        <v>850</v>
      </c>
      <c r="C99" s="95">
        <f>IF($A99="","",VLOOKUP($A99,'Annex 2 Designated EHV charges'!$A:$O,3,0))</f>
        <v>1900090417106</v>
      </c>
      <c r="D99" s="94" t="str">
        <f>IF($A99="","",VLOOKUP($A99,'Annex 2 Designated EHV charges'!$A:$O,7,0))</f>
        <v>THAER2</v>
      </c>
      <c r="E99" s="97" t="str">
        <f>IFERROR(IF(VLOOKUP($A99,'Annex 2 Designated EHV charges'!$A:$O,9,FALSE)=0,"",VLOOKUP($A99,'Annex 2 Designated EHV charges'!$A:$O,9,FALSE)),"")</f>
        <v/>
      </c>
      <c r="F99" s="98">
        <f>IFERROR(IF(VLOOKUP($A99,'Annex 2 Designated EHV charges'!$A:$O,10,FALSE)=0,"",VLOOKUP($A99,'Annex 2 Designated EHV charges'!$A:$O,10,FALSE)),"")</f>
        <v>14832.1</v>
      </c>
      <c r="G99" s="99">
        <f>IFERROR(IF(VLOOKUP($A99,'Annex 2 Designated EHV charges'!$A:$O,11,FALSE)=0,"",VLOOKUP($A99,'Annex 2 Designated EHV charges'!$A:$O,11,FALSE)),"")</f>
        <v>1.75</v>
      </c>
      <c r="H99" s="99">
        <f>IFERROR(IF(VLOOKUP($A99,'Annex 2 Designated EHV charges'!$A:$O,12,FALSE)=0,"",VLOOKUP($A99,'Annex 2 Designated EHV charges'!$A:$O,12,FALSE)),"")</f>
        <v>1.75</v>
      </c>
    </row>
    <row r="100" spans="1:8" ht="12.75" customHeight="1" x14ac:dyDescent="0.35">
      <c r="A100" s="94" t="str" cm="1">
        <f t="array" ref="A100">IFERROR(INDEX('Annex 2 Designated EHV charges'!$A$10:$A$200, MATCH(0, IF(ISBLANK('Annex 2 Designated EHV charges'!$A$10:$A$200),1, COUNTIF(A$4:$A99, 'Annex 2 Designated EHV charges'!$A$10:$A$200)), 0)),"")</f>
        <v>THAER3</v>
      </c>
      <c r="B100" s="94">
        <f>IF($A100="","",VLOOKUP($A100,'Annex 2 Designated EHV charges'!$A:$O,2,0))</f>
        <v>850</v>
      </c>
      <c r="C100" s="95">
        <f>IF($A100="","",VLOOKUP($A100,'Annex 2 Designated EHV charges'!$A:$O,3,0))</f>
        <v>1900090417133</v>
      </c>
      <c r="D100" s="94" t="str">
        <f>IF($A100="","",VLOOKUP($A100,'Annex 2 Designated EHV charges'!$A:$O,7,0))</f>
        <v>THAER3</v>
      </c>
      <c r="E100" s="97" t="str">
        <f>IFERROR(IF(VLOOKUP($A100,'Annex 2 Designated EHV charges'!$A:$O,9,FALSE)=0,"",VLOOKUP($A100,'Annex 2 Designated EHV charges'!$A:$O,9,FALSE)),"")</f>
        <v/>
      </c>
      <c r="F100" s="98">
        <f>IFERROR(IF(VLOOKUP($A100,'Annex 2 Designated EHV charges'!$A:$O,10,FALSE)=0,"",VLOOKUP($A100,'Annex 2 Designated EHV charges'!$A:$O,10,FALSE)),"")</f>
        <v>15841.24</v>
      </c>
      <c r="G100" s="99">
        <f>IFERROR(IF(VLOOKUP($A100,'Annex 2 Designated EHV charges'!$A:$O,11,FALSE)=0,"",VLOOKUP($A100,'Annex 2 Designated EHV charges'!$A:$O,11,FALSE)),"")</f>
        <v>1.79</v>
      </c>
      <c r="H100" s="99">
        <f>IFERROR(IF(VLOOKUP($A100,'Annex 2 Designated EHV charges'!$A:$O,12,FALSE)=0,"",VLOOKUP($A100,'Annex 2 Designated EHV charges'!$A:$O,12,FALSE)),"")</f>
        <v>1.79</v>
      </c>
    </row>
    <row r="101" spans="1:8" ht="12.75" customHeight="1" x14ac:dyDescent="0.35">
      <c r="A101" s="94" t="str" cm="1">
        <f t="array" ref="A101">IFERROR(INDEX('Annex 2 Designated EHV charges'!$A$10:$A$200, MATCH(0, IF(ISBLANK('Annex 2 Designated EHV charges'!$A$10:$A$200),1, COUNTIF(A$4:$A100, 'Annex 2 Designated EHV charges'!$A$10:$A$200)), 0)),"")</f>
        <v>THAER4</v>
      </c>
      <c r="B101" s="94">
        <f>IF($A101="","",VLOOKUP($A101,'Annex 2 Designated EHV charges'!$A:$O,2,0))</f>
        <v>850</v>
      </c>
      <c r="C101" s="95">
        <f>IF($A101="","",VLOOKUP($A101,'Annex 2 Designated EHV charges'!$A:$O,3,0))</f>
        <v>1900090417151</v>
      </c>
      <c r="D101" s="94" t="str">
        <f>IF($A101="","",VLOOKUP($A101,'Annex 2 Designated EHV charges'!$A:$O,7,0))</f>
        <v>THAER4</v>
      </c>
      <c r="E101" s="97" t="str">
        <f>IFERROR(IF(VLOOKUP($A101,'Annex 2 Designated EHV charges'!$A:$O,9,FALSE)=0,"",VLOOKUP($A101,'Annex 2 Designated EHV charges'!$A:$O,9,FALSE)),"")</f>
        <v/>
      </c>
      <c r="F101" s="98">
        <f>IFERROR(IF(VLOOKUP($A101,'Annex 2 Designated EHV charges'!$A:$O,10,FALSE)=0,"",VLOOKUP($A101,'Annex 2 Designated EHV charges'!$A:$O,10,FALSE)),"")</f>
        <v>3016.16</v>
      </c>
      <c r="G101" s="99">
        <f>IFERROR(IF(VLOOKUP($A101,'Annex 2 Designated EHV charges'!$A:$O,11,FALSE)=0,"",VLOOKUP($A101,'Annex 2 Designated EHV charges'!$A:$O,11,FALSE)),"")</f>
        <v>2.23</v>
      </c>
      <c r="H101" s="99">
        <f>IFERROR(IF(VLOOKUP($A101,'Annex 2 Designated EHV charges'!$A:$O,12,FALSE)=0,"",VLOOKUP($A101,'Annex 2 Designated EHV charges'!$A:$O,12,FALSE)),"")</f>
        <v>2.23</v>
      </c>
    </row>
    <row r="102" spans="1:8" ht="12.75" customHeight="1" x14ac:dyDescent="0.35">
      <c r="A102" s="94" t="str" cm="1">
        <f t="array" ref="A102">IFERROR(INDEX('Annex 2 Designated EHV charges'!$A$10:$A$200, MATCH(0, IF(ISBLANK('Annex 2 Designated EHV charges'!$A$10:$A$200),1, COUNTIF(A$4:$A101, 'Annex 2 Designated EHV charges'!$A$10:$A$200)), 0)),"")</f>
        <v>THANET</v>
      </c>
      <c r="B102" s="94">
        <f>IF($A102="","",VLOOKUP($A102,'Annex 2 Designated EHV charges'!$A:$O,2,0))</f>
        <v>0</v>
      </c>
      <c r="C102" s="95" t="str">
        <f>IF($A102="","",VLOOKUP($A102,'Annex 2 Designated EHV charges'!$A:$O,3,0))</f>
        <v>MSID: 7246</v>
      </c>
      <c r="D102" s="94" t="str">
        <f>IF($A102="","",VLOOKUP($A102,'Annex 2 Designated EHV charges'!$A:$O,7,0))</f>
        <v>THANET</v>
      </c>
      <c r="E102" s="97" t="str">
        <f>IFERROR(IF(VLOOKUP($A102,'Annex 2 Designated EHV charges'!$A:$O,9,FALSE)=0,"",VLOOKUP($A102,'Annex 2 Designated EHV charges'!$A:$O,9,FALSE)),"")</f>
        <v/>
      </c>
      <c r="F102" s="98">
        <f>IFERROR(IF(VLOOKUP($A102,'Annex 2 Designated EHV charges'!$A:$O,10,FALSE)=0,"",VLOOKUP($A102,'Annex 2 Designated EHV charges'!$A:$O,10,FALSE)),"")</f>
        <v>2554.48</v>
      </c>
      <c r="G102" s="99">
        <f>IFERROR(IF(VLOOKUP($A102,'Annex 2 Designated EHV charges'!$A:$O,11,FALSE)=0,"",VLOOKUP($A102,'Annex 2 Designated EHV charges'!$A:$O,11,FALSE)),"")</f>
        <v>1.29</v>
      </c>
      <c r="H102" s="99">
        <f>IFERROR(IF(VLOOKUP($A102,'Annex 2 Designated EHV charges'!$A:$O,12,FALSE)=0,"",VLOOKUP($A102,'Annex 2 Designated EHV charges'!$A:$O,12,FALSE)),"")</f>
        <v>1.29</v>
      </c>
    </row>
    <row r="103" spans="1:8" ht="12.75" customHeight="1" x14ac:dyDescent="0.35">
      <c r="A103" s="94" t="str" cm="1">
        <f t="array" ref="A103">IFERROR(INDEX('Annex 2 Designated EHV charges'!$A$10:$A$200, MATCH(0, IF(ISBLANK('Annex 2 Designated EHV charges'!$A$10:$A$200),1, COUNTIF(A$4:$A102, 'Annex 2 Designated EHV charges'!$A$10:$A$200)), 0)),"")</f>
        <v>THORNE</v>
      </c>
      <c r="B103" s="94">
        <f>IF($A103="","",VLOOKUP($A103,'Annex 2 Designated EHV charges'!$A:$O,2,0))</f>
        <v>818</v>
      </c>
      <c r="C103" s="95">
        <f>IF($A103="","",VLOOKUP($A103,'Annex 2 Designated EHV charges'!$A:$O,3,0))</f>
        <v>1900091171364</v>
      </c>
      <c r="D103" s="94" t="str">
        <f>IF($A103="","",VLOOKUP($A103,'Annex 2 Designated EHV charges'!$A:$O,7,0))</f>
        <v>THORNE</v>
      </c>
      <c r="E103" s="97" t="str">
        <f>IFERROR(IF(VLOOKUP($A103,'Annex 2 Designated EHV charges'!$A:$O,9,FALSE)=0,"",VLOOKUP($A103,'Annex 2 Designated EHV charges'!$A:$O,9,FALSE)),"")</f>
        <v/>
      </c>
      <c r="F103" s="98">
        <f>IFERROR(IF(VLOOKUP($A103,'Annex 2 Designated EHV charges'!$A:$O,10,FALSE)=0,"",VLOOKUP($A103,'Annex 2 Designated EHV charges'!$A:$O,10,FALSE)),"")</f>
        <v>30.01</v>
      </c>
      <c r="G103" s="99">
        <f>IFERROR(IF(VLOOKUP($A103,'Annex 2 Designated EHV charges'!$A:$O,11,FALSE)=0,"",VLOOKUP($A103,'Annex 2 Designated EHV charges'!$A:$O,11,FALSE)),"")</f>
        <v>1.63</v>
      </c>
      <c r="H103" s="99">
        <f>IFERROR(IF(VLOOKUP($A103,'Annex 2 Designated EHV charges'!$A:$O,12,FALSE)=0,"",VLOOKUP($A103,'Annex 2 Designated EHV charges'!$A:$O,12,FALSE)),"")</f>
        <v>1.63</v>
      </c>
    </row>
    <row r="104" spans="1:8" ht="12.75" customHeight="1" x14ac:dyDescent="0.35">
      <c r="A104" s="94" t="str" cm="1">
        <f t="array" ref="A104">IFERROR(INDEX('Annex 2 Designated EHV charges'!$A$10:$A$200, MATCH(0, IF(ISBLANK('Annex 2 Designated EHV charges'!$A$10:$A$200),1, COUNTIF(A$4:$A103, 'Annex 2 Designated EHV charges'!$A$10:$A$200)), 0)),"")</f>
        <v>TONGSF</v>
      </c>
      <c r="B104" s="94">
        <f>IF($A104="","",VLOOKUP($A104,'Annex 2 Designated EHV charges'!$A:$O,2,0))</f>
        <v>828</v>
      </c>
      <c r="C104" s="95">
        <f>IF($A104="","",VLOOKUP($A104,'Annex 2 Designated EHV charges'!$A:$O,3,0))</f>
        <v>1900091363000</v>
      </c>
      <c r="D104" s="94" t="str">
        <f>IF($A104="","",VLOOKUP($A104,'Annex 2 Designated EHV charges'!$A:$O,7,0))</f>
        <v>TONGSF</v>
      </c>
      <c r="E104" s="97">
        <f>IFERROR(IF(VLOOKUP($A104,'Annex 2 Designated EHV charges'!$A:$O,9,FALSE)=0,"",VLOOKUP($A104,'Annex 2 Designated EHV charges'!$A:$O,9,FALSE)),"")</f>
        <v>6.8000000000000005E-2</v>
      </c>
      <c r="F104" s="98">
        <f>IFERROR(IF(VLOOKUP($A104,'Annex 2 Designated EHV charges'!$A:$O,10,FALSE)=0,"",VLOOKUP($A104,'Annex 2 Designated EHV charges'!$A:$O,10,FALSE)),"")</f>
        <v>2576.77</v>
      </c>
      <c r="G104" s="99">
        <f>IFERROR(IF(VLOOKUP($A104,'Annex 2 Designated EHV charges'!$A:$O,11,FALSE)=0,"",VLOOKUP($A104,'Annex 2 Designated EHV charges'!$A:$O,11,FALSE)),"")</f>
        <v>1.91</v>
      </c>
      <c r="H104" s="99">
        <f>IFERROR(IF(VLOOKUP($A104,'Annex 2 Designated EHV charges'!$A:$O,12,FALSE)=0,"",VLOOKUP($A104,'Annex 2 Designated EHV charges'!$A:$O,12,FALSE)),"")</f>
        <v>1.91</v>
      </c>
    </row>
    <row r="105" spans="1:8" ht="12.75" customHeight="1" x14ac:dyDescent="0.35">
      <c r="A105" s="94" t="str" cm="1">
        <f t="array" ref="A105">IFERROR(INDEX('Annex 2 Designated EHV charges'!$A$10:$A$200, MATCH(0, IF(ISBLANK('Annex 2 Designated EHV charges'!$A$10:$A$200),1, COUNTIF(A$4:$A104, 'Annex 2 Designated EHV charges'!$A$10:$A$200)), 0)),"")</f>
        <v>WDLNDS</v>
      </c>
      <c r="B105" s="94">
        <f>IF($A105="","",VLOOKUP($A105,'Annex 2 Designated EHV charges'!$A:$O,2,0))</f>
        <v>825</v>
      </c>
      <c r="C105" s="95">
        <f>IF($A105="","",VLOOKUP($A105,'Annex 2 Designated EHV charges'!$A:$O,3,0))</f>
        <v>1900091207124</v>
      </c>
      <c r="D105" s="94" t="str">
        <f>IF($A105="","",VLOOKUP($A105,'Annex 2 Designated EHV charges'!$A:$O,7,0))</f>
        <v>WDLNDS</v>
      </c>
      <c r="E105" s="97">
        <f>IFERROR(IF(VLOOKUP($A105,'Annex 2 Designated EHV charges'!$A:$O,9,FALSE)=0,"",VLOOKUP($A105,'Annex 2 Designated EHV charges'!$A:$O,9,FALSE)),"")</f>
        <v>0.128</v>
      </c>
      <c r="F105" s="98">
        <f>IFERROR(IF(VLOOKUP($A105,'Annex 2 Designated EHV charges'!$A:$O,10,FALSE)=0,"",VLOOKUP($A105,'Annex 2 Designated EHV charges'!$A:$O,10,FALSE)),"")</f>
        <v>34.18</v>
      </c>
      <c r="G105" s="99">
        <f>IFERROR(IF(VLOOKUP($A105,'Annex 2 Designated EHV charges'!$A:$O,11,FALSE)=0,"",VLOOKUP($A105,'Annex 2 Designated EHV charges'!$A:$O,11,FALSE)),"")</f>
        <v>2.0099999999999998</v>
      </c>
      <c r="H105" s="99">
        <f>IFERROR(IF(VLOOKUP($A105,'Annex 2 Designated EHV charges'!$A:$O,12,FALSE)=0,"",VLOOKUP($A105,'Annex 2 Designated EHV charges'!$A:$O,12,FALSE)),"")</f>
        <v>2.0099999999999998</v>
      </c>
    </row>
    <row r="106" spans="1:8" ht="12.75" customHeight="1" x14ac:dyDescent="0.35">
      <c r="A106" s="94" t="str" cm="1">
        <f t="array" ref="A106">IFERROR(INDEX('Annex 2 Designated EHV charges'!$A$10:$A$200, MATCH(0, IF(ISBLANK('Annex 2 Designated EHV charges'!$A$10:$A$200),1, COUNTIF(A$4:$A105, 'Annex 2 Designated EHV charges'!$A$10:$A$200)), 0)),"")</f>
        <v>WIDHFM</v>
      </c>
      <c r="B106" s="94">
        <f>IF($A106="","",VLOOKUP($A106,'Annex 2 Designated EHV charges'!$A:$O,2,0))</f>
        <v>821</v>
      </c>
      <c r="C106" s="95">
        <f>IF($A106="","",VLOOKUP($A106,'Annex 2 Designated EHV charges'!$A:$O,3,0))</f>
        <v>1900091478493</v>
      </c>
      <c r="D106" s="94" t="str">
        <f>IF($A106="","",VLOOKUP($A106,'Annex 2 Designated EHV charges'!$A:$O,7,0))</f>
        <v>WIDHFM</v>
      </c>
      <c r="E106" s="97">
        <f>IFERROR(IF(VLOOKUP($A106,'Annex 2 Designated EHV charges'!$A:$O,9,FALSE)=0,"",VLOOKUP($A106,'Annex 2 Designated EHV charges'!$A:$O,9,FALSE)),"")</f>
        <v>6.077</v>
      </c>
      <c r="F106" s="98">
        <f>IFERROR(IF(VLOOKUP($A106,'Annex 2 Designated EHV charges'!$A:$O,10,FALSE)=0,"",VLOOKUP($A106,'Annex 2 Designated EHV charges'!$A:$O,10,FALSE)),"")</f>
        <v>25.92</v>
      </c>
      <c r="G106" s="99">
        <f>IFERROR(IF(VLOOKUP($A106,'Annex 2 Designated EHV charges'!$A:$O,11,FALSE)=0,"",VLOOKUP($A106,'Annex 2 Designated EHV charges'!$A:$O,11,FALSE)),"")</f>
        <v>3.44</v>
      </c>
      <c r="H106" s="99">
        <f>IFERROR(IF(VLOOKUP($A106,'Annex 2 Designated EHV charges'!$A:$O,12,FALSE)=0,"",VLOOKUP($A106,'Annex 2 Designated EHV charges'!$A:$O,12,FALSE)),"")</f>
        <v>3.44</v>
      </c>
    </row>
    <row r="107" spans="1:8" ht="12.75" customHeight="1" x14ac:dyDescent="0.35">
      <c r="A107" s="94" t="str" cm="1">
        <f t="array" ref="A107">IFERROR(INDEX('Annex 2 Designated EHV charges'!$A$10:$A$200, MATCH(0, IF(ISBLANK('Annex 2 Designated EHV charges'!$A$10:$A$200),1, COUNTIF(A$4:$A106, 'Annex 2 Designated EHV charges'!$A$10:$A$200)), 0)),"")</f>
        <v>WLBEES</v>
      </c>
      <c r="B107" s="94">
        <f>IF($A107="","",VLOOKUP($A107,'Annex 2 Designated EHV charges'!$A:$O,2,0))</f>
        <v>829</v>
      </c>
      <c r="C107" s="95">
        <f>IF($A107="","",VLOOKUP($A107,'Annex 2 Designated EHV charges'!$A:$O,3,0))</f>
        <v>1900091315238</v>
      </c>
      <c r="D107" s="94" t="str">
        <f>IF($A107="","",VLOOKUP($A107,'Annex 2 Designated EHV charges'!$A:$O,7,0))</f>
        <v>WLBEES</v>
      </c>
      <c r="E107" s="97">
        <f>IFERROR(IF(VLOOKUP($A107,'Annex 2 Designated EHV charges'!$A:$O,9,FALSE)=0,"",VLOOKUP($A107,'Annex 2 Designated EHV charges'!$A:$O,9,FALSE)),"")</f>
        <v>4.8470000000000004</v>
      </c>
      <c r="F107" s="98">
        <f>IFERROR(IF(VLOOKUP($A107,'Annex 2 Designated EHV charges'!$A:$O,10,FALSE)=0,"",VLOOKUP($A107,'Annex 2 Designated EHV charges'!$A:$O,10,FALSE)),"")</f>
        <v>4.41</v>
      </c>
      <c r="G107" s="99">
        <f>IFERROR(IF(VLOOKUP($A107,'Annex 2 Designated EHV charges'!$A:$O,11,FALSE)=0,"",VLOOKUP($A107,'Annex 2 Designated EHV charges'!$A:$O,11,FALSE)),"")</f>
        <v>3.82</v>
      </c>
      <c r="H107" s="99">
        <f>IFERROR(IF(VLOOKUP($A107,'Annex 2 Designated EHV charges'!$A:$O,12,FALSE)=0,"",VLOOKUP($A107,'Annex 2 Designated EHV charges'!$A:$O,12,FALSE)),"")</f>
        <v>3.82</v>
      </c>
    </row>
    <row r="108" spans="1:8" ht="12.75" customHeight="1" x14ac:dyDescent="0.35">
      <c r="A108" s="94" t="str" cm="1">
        <f t="array" ref="A108">IFERROR(INDEX('Annex 2 Designated EHV charges'!$A$10:$A$200, MATCH(0, IF(ISBLANK('Annex 2 Designated EHV charges'!$A$10:$A$200),1, COUNTIF(A$4:$A107, 'Annex 2 Designated EHV charges'!$A$10:$A$200)), 0)),"")</f>
        <v>WRGALL</v>
      </c>
      <c r="B108" s="94">
        <f>IF($A108="","",VLOOKUP($A108,'Annex 2 Designated EHV charges'!$A:$O,2,0))</f>
        <v>887</v>
      </c>
      <c r="C108" s="95">
        <f>IF($A108="","",VLOOKUP($A108,'Annex 2 Designated EHV charges'!$A:$O,3,0))</f>
        <v>1900070394457</v>
      </c>
      <c r="D108" s="94" t="str">
        <f>IF($A108="","",VLOOKUP($A108,'Annex 2 Designated EHV charges'!$A:$O,7,0))</f>
        <v>WRGALL</v>
      </c>
      <c r="E108" s="97">
        <f>IFERROR(IF(VLOOKUP($A108,'Annex 2 Designated EHV charges'!$A:$O,9,FALSE)=0,"",VLOOKUP($A108,'Annex 2 Designated EHV charges'!$A:$O,9,FALSE)),"")</f>
        <v>3.5990000000000002</v>
      </c>
      <c r="F108" s="98">
        <f>IFERROR(IF(VLOOKUP($A108,'Annex 2 Designated EHV charges'!$A:$O,10,FALSE)=0,"",VLOOKUP($A108,'Annex 2 Designated EHV charges'!$A:$O,10,FALSE)),"")</f>
        <v>3055.53</v>
      </c>
      <c r="G108" s="99">
        <f>IFERROR(IF(VLOOKUP($A108,'Annex 2 Designated EHV charges'!$A:$O,11,FALSE)=0,"",VLOOKUP($A108,'Annex 2 Designated EHV charges'!$A:$O,11,FALSE)),"")</f>
        <v>0.78</v>
      </c>
      <c r="H108" s="99">
        <f>IFERROR(IF(VLOOKUP($A108,'Annex 2 Designated EHV charges'!$A:$O,12,FALSE)=0,"",VLOOKUP($A108,'Annex 2 Designated EHV charges'!$A:$O,12,FALSE)),"")</f>
        <v>0.78</v>
      </c>
    </row>
    <row r="109" spans="1:8" ht="12.75" customHeight="1" x14ac:dyDescent="0.35">
      <c r="A109" s="94" t="str" cm="1">
        <f t="array" ref="A109">IFERROR(INDEX('Annex 2 Designated EHV charges'!$A$10:$A$200, MATCH(0, IF(ISBLANK('Annex 2 Designated EHV charges'!$A$10:$A$200),1, COUNTIF(A$4:$A108, 'Annex 2 Designated EHV charges'!$A$10:$A$200)), 0)),"")</f>
        <v>WSTWDX</v>
      </c>
      <c r="B109" s="94">
        <f>IF($A109="","",VLOOKUP($A109,'Annex 2 Designated EHV charges'!$A:$O,2,0))</f>
        <v>806</v>
      </c>
      <c r="C109" s="95">
        <f>IF($A109="","",VLOOKUP($A109,'Annex 2 Designated EHV charges'!$A:$O,3,0))</f>
        <v>1900091086531</v>
      </c>
      <c r="D109" s="94" t="str">
        <f>IF($A109="","",VLOOKUP($A109,'Annex 2 Designated EHV charges'!$A:$O,7,0))</f>
        <v>WSTWDX</v>
      </c>
      <c r="E109" s="97">
        <f>IFERROR(IF(VLOOKUP($A109,'Annex 2 Designated EHV charges'!$A:$O,9,FALSE)=0,"",VLOOKUP($A109,'Annex 2 Designated EHV charges'!$A:$O,9,FALSE)),"")</f>
        <v>0.76500000000000001</v>
      </c>
      <c r="F109" s="98">
        <f>IFERROR(IF(VLOOKUP($A109,'Annex 2 Designated EHV charges'!$A:$O,10,FALSE)=0,"",VLOOKUP($A109,'Annex 2 Designated EHV charges'!$A:$O,10,FALSE)),"")</f>
        <v>19.29</v>
      </c>
      <c r="G109" s="99">
        <f>IFERROR(IF(VLOOKUP($A109,'Annex 2 Designated EHV charges'!$A:$O,11,FALSE)=0,"",VLOOKUP($A109,'Annex 2 Designated EHV charges'!$A:$O,11,FALSE)),"")</f>
        <v>1.64</v>
      </c>
      <c r="H109" s="99">
        <f>IFERROR(IF(VLOOKUP($A109,'Annex 2 Designated EHV charges'!$A:$O,12,FALSE)=0,"",VLOOKUP($A109,'Annex 2 Designated EHV charges'!$A:$O,12,FALSE)),"")</f>
        <v>1.64</v>
      </c>
    </row>
    <row r="110" spans="1:8" ht="12.75" customHeight="1" x14ac:dyDescent="0.35">
      <c r="A110" s="190" t="str" cm="1">
        <f t="array" ref="A110">IFERROR(INDEX('Annex 2 Designated EHV charges'!$A$10:$A$200, MATCH(0, IF(ISBLANK('Annex 2 Designated EHV charges'!$A$10:$A$200),1, COUNTIF(A$4:$A109, 'Annex 2 Designated EHV charges'!$A$10:$A$200)), 0)),"")</f>
        <v/>
      </c>
      <c r="B110" s="190" t="str">
        <f>IF($A110="","",VLOOKUP($A110,'Annex 2 Designated EHV charges'!$A:$O,2,0))</f>
        <v/>
      </c>
      <c r="C110" s="189" t="str">
        <f>IF($A110="","",VLOOKUP($A110,'Annex 2 Designated EHV charges'!$A:$O,3,0))</f>
        <v/>
      </c>
      <c r="D110" s="190" t="str">
        <f>IF($A110="","",VLOOKUP($A110,'Annex 2 Designated EHV charges'!$A:$O,7,0))</f>
        <v/>
      </c>
      <c r="E110" s="192" t="str">
        <f>IFERROR(IF(VLOOKUP($A110,'Annex 2 Designated EHV charges'!$A:$O,8,FALSE)=0,"",VLOOKUP($A110,'Annex 2 Designated EHV charges'!$A:$O,8,FALSE)),"")</f>
        <v/>
      </c>
      <c r="F110" s="193" t="str">
        <f>IFERROR(IF(VLOOKUP($A110,'Annex 2 Designated EHV charges'!$A:$O,9,FALSE)=0,"",VLOOKUP($A110,'Annex 2 Designated EHV charges'!$A:$O,9,FALSE)),"")</f>
        <v/>
      </c>
      <c r="G110" s="194" t="str">
        <f>IFERROR(IF(VLOOKUP($A110,'Annex 2 Designated EHV charges'!$A:$O,10,FALSE)=0,"",VLOOKUP($A110,'Annex 2 Designated EHV charges'!$A:$O,10,FALSE)),"")</f>
        <v/>
      </c>
      <c r="H110" s="194" t="str">
        <f>IFERROR(IF(VLOOKUP($A110,'Annex 2 Designated EHV charges'!$A:$O,11,FALSE)=0,"",VLOOKUP($A110,'Annex 2 Designated EHV charges'!$A:$O,11,FALSE)),"")</f>
        <v/>
      </c>
    </row>
    <row r="111" spans="1:8" ht="12.75" customHeight="1" x14ac:dyDescent="0.35">
      <c r="A111" s="190" t="str" cm="1">
        <f t="array" ref="A111">IFERROR(INDEX('Annex 2 Designated EHV charges'!$A$10:$A$200, MATCH(0, IF(ISBLANK('Annex 2 Designated EHV charges'!$A$10:$A$200),1, COUNTIF(A$4:$A110, 'Annex 2 Designated EHV charges'!$A$10:$A$200)), 0)),"")</f>
        <v/>
      </c>
      <c r="B111" s="190" t="str">
        <f>IF($A111="","",VLOOKUP($A111,'Annex 2 Designated EHV charges'!$A:$O,2,0))</f>
        <v/>
      </c>
      <c r="C111" s="189" t="str">
        <f>IF($A111="","",VLOOKUP($A111,'Annex 2 Designated EHV charges'!$A:$O,3,0))</f>
        <v/>
      </c>
      <c r="D111" s="190" t="str">
        <f>IF($A111="","",VLOOKUP($A111,'Annex 2 Designated EHV charges'!$A:$O,7,0))</f>
        <v/>
      </c>
      <c r="E111" s="192" t="str">
        <f>IFERROR(IF(VLOOKUP($A111,'Annex 2 Designated EHV charges'!$A:$O,8,FALSE)=0,"",VLOOKUP($A111,'Annex 2 Designated EHV charges'!$A:$O,8,FALSE)),"")</f>
        <v/>
      </c>
      <c r="F111" s="193" t="str">
        <f>IFERROR(IF(VLOOKUP($A111,'Annex 2 Designated EHV charges'!$A:$O,9,FALSE)=0,"",VLOOKUP($A111,'Annex 2 Designated EHV charges'!$A:$O,9,FALSE)),"")</f>
        <v/>
      </c>
      <c r="G111" s="194" t="str">
        <f>IFERROR(IF(VLOOKUP($A111,'Annex 2 Designated EHV charges'!$A:$O,10,FALSE)=0,"",VLOOKUP($A111,'Annex 2 Designated EHV charges'!$A:$O,10,FALSE)),"")</f>
        <v/>
      </c>
      <c r="H111" s="194" t="str">
        <f>IFERROR(IF(VLOOKUP($A111,'Annex 2 Designated EHV charges'!$A:$O,11,FALSE)=0,"",VLOOKUP($A111,'Annex 2 Designated EHV charges'!$A:$O,11,FALSE)),"")</f>
        <v/>
      </c>
    </row>
    <row r="112" spans="1:8" ht="12.75" customHeight="1" x14ac:dyDescent="0.35">
      <c r="A112" s="190" t="str" cm="1">
        <f t="array" ref="A112">IFERROR(INDEX('Annex 2 Designated EHV charges'!$A$10:$A$200, MATCH(0, IF(ISBLANK('Annex 2 Designated EHV charges'!$A$10:$A$200),1, COUNTIF(A$4:$A111, 'Annex 2 Designated EHV charges'!$A$10:$A$200)), 0)),"")</f>
        <v/>
      </c>
      <c r="B112" s="190" t="str">
        <f>IF($A112="","",VLOOKUP($A112,'Annex 2 Designated EHV charges'!$A:$O,2,0))</f>
        <v/>
      </c>
      <c r="C112" s="189" t="str">
        <f>IF($A112="","",VLOOKUP($A112,'Annex 2 Designated EHV charges'!$A:$O,3,0))</f>
        <v/>
      </c>
      <c r="D112" s="190" t="str">
        <f>IF($A112="","",VLOOKUP($A112,'Annex 2 Designated EHV charges'!$A:$O,7,0))</f>
        <v/>
      </c>
      <c r="E112" s="192" t="str">
        <f>IFERROR(IF(VLOOKUP($A112,'Annex 2 Designated EHV charges'!$A:$O,8,FALSE)=0,"",VLOOKUP($A112,'Annex 2 Designated EHV charges'!$A:$O,8,FALSE)),"")</f>
        <v/>
      </c>
      <c r="F112" s="193" t="str">
        <f>IFERROR(IF(VLOOKUP($A112,'Annex 2 Designated EHV charges'!$A:$O,9,FALSE)=0,"",VLOOKUP($A112,'Annex 2 Designated EHV charges'!$A:$O,9,FALSE)),"")</f>
        <v/>
      </c>
      <c r="G112" s="194" t="str">
        <f>IFERROR(IF(VLOOKUP($A112,'Annex 2 Designated EHV charges'!$A:$O,10,FALSE)=0,"",VLOOKUP($A112,'Annex 2 Designated EHV charges'!$A:$O,10,FALSE)),"")</f>
        <v/>
      </c>
      <c r="H112" s="194" t="str">
        <f>IFERROR(IF(VLOOKUP($A112,'Annex 2 Designated EHV charges'!$A:$O,11,FALSE)=0,"",VLOOKUP($A112,'Annex 2 Designated EHV charges'!$A:$O,11,FALSE)),"")</f>
        <v/>
      </c>
    </row>
    <row r="113" spans="1:8" ht="12.75" customHeight="1" x14ac:dyDescent="0.35">
      <c r="A113" s="190" t="str" cm="1">
        <f t="array" ref="A113">IFERROR(INDEX('Annex 2 Designated EHV charges'!$A$10:$A$200, MATCH(0, IF(ISBLANK('Annex 2 Designated EHV charges'!$A$10:$A$200),1, COUNTIF(A$4:$A112, 'Annex 2 Designated EHV charges'!$A$10:$A$200)), 0)),"")</f>
        <v/>
      </c>
      <c r="B113" s="190" t="str">
        <f>IF($A113="","",VLOOKUP($A113,'Annex 2 Designated EHV charges'!$A:$O,2,0))</f>
        <v/>
      </c>
      <c r="C113" s="189" t="str">
        <f>IF($A113="","",VLOOKUP($A113,'Annex 2 Designated EHV charges'!$A:$O,3,0))</f>
        <v/>
      </c>
      <c r="D113" s="190" t="str">
        <f>IF($A113="","",VLOOKUP($A113,'Annex 2 Designated EHV charges'!$A:$O,7,0))</f>
        <v/>
      </c>
      <c r="E113" s="192" t="str">
        <f>IFERROR(IF(VLOOKUP($A113,'Annex 2 Designated EHV charges'!$A:$O,8,FALSE)=0,"",VLOOKUP($A113,'Annex 2 Designated EHV charges'!$A:$O,8,FALSE)),"")</f>
        <v/>
      </c>
      <c r="F113" s="193" t="str">
        <f>IFERROR(IF(VLOOKUP($A113,'Annex 2 Designated EHV charges'!$A:$O,9,FALSE)=0,"",VLOOKUP($A113,'Annex 2 Designated EHV charges'!$A:$O,9,FALSE)),"")</f>
        <v/>
      </c>
      <c r="G113" s="194" t="str">
        <f>IFERROR(IF(VLOOKUP($A113,'Annex 2 Designated EHV charges'!$A:$O,10,FALSE)=0,"",VLOOKUP($A113,'Annex 2 Designated EHV charges'!$A:$O,10,FALSE)),"")</f>
        <v/>
      </c>
      <c r="H113" s="194" t="str">
        <f>IFERROR(IF(VLOOKUP($A113,'Annex 2 Designated EHV charges'!$A:$O,11,FALSE)=0,"",VLOOKUP($A113,'Annex 2 Designated EHV charges'!$A:$O,11,FALSE)),"")</f>
        <v/>
      </c>
    </row>
    <row r="114" spans="1:8" ht="12.75" customHeight="1" x14ac:dyDescent="0.35">
      <c r="A114" s="190" t="str" cm="1">
        <f t="array" ref="A114">IFERROR(INDEX('Annex 2 Designated EHV charges'!$A$10:$A$200, MATCH(0, IF(ISBLANK('Annex 2 Designated EHV charges'!$A$10:$A$200),1, COUNTIF(A$4:$A113, 'Annex 2 Designated EHV charges'!$A$10:$A$200)), 0)),"")</f>
        <v/>
      </c>
      <c r="B114" s="190" t="str">
        <f>IF($A114="","",VLOOKUP($A114,'Annex 2 Designated EHV charges'!$A:$O,2,0))</f>
        <v/>
      </c>
      <c r="C114" s="189" t="str">
        <f>IF($A114="","",VLOOKUP($A114,'Annex 2 Designated EHV charges'!$A:$O,3,0))</f>
        <v/>
      </c>
      <c r="D114" s="190" t="str">
        <f>IF($A114="","",VLOOKUP($A114,'Annex 2 Designated EHV charges'!$A:$O,7,0))</f>
        <v/>
      </c>
      <c r="E114" s="192" t="str">
        <f>IFERROR(IF(VLOOKUP($A114,'Annex 2 Designated EHV charges'!$A:$O,8,FALSE)=0,"",VLOOKUP($A114,'Annex 2 Designated EHV charges'!$A:$O,8,FALSE)),"")</f>
        <v/>
      </c>
      <c r="F114" s="193" t="str">
        <f>IFERROR(IF(VLOOKUP($A114,'Annex 2 Designated EHV charges'!$A:$O,9,FALSE)=0,"",VLOOKUP($A114,'Annex 2 Designated EHV charges'!$A:$O,9,FALSE)),"")</f>
        <v/>
      </c>
      <c r="G114" s="194" t="str">
        <f>IFERROR(IF(VLOOKUP($A114,'Annex 2 Designated EHV charges'!$A:$O,10,FALSE)=0,"",VLOOKUP($A114,'Annex 2 Designated EHV charges'!$A:$O,10,FALSE)),"")</f>
        <v/>
      </c>
      <c r="H114" s="194" t="str">
        <f>IFERROR(IF(VLOOKUP($A114,'Annex 2 Designated EHV charges'!$A:$O,11,FALSE)=0,"",VLOOKUP($A114,'Annex 2 Designated EHV charges'!$A:$O,11,FALSE)),"")</f>
        <v/>
      </c>
    </row>
    <row r="115" spans="1:8" ht="12.75" customHeight="1" x14ac:dyDescent="0.35">
      <c r="A115" s="190" t="str" cm="1">
        <f t="array" ref="A115">IFERROR(INDEX('Annex 2 Designated EHV charges'!$A$10:$A$200, MATCH(0, IF(ISBLANK('Annex 2 Designated EHV charges'!$A$10:$A$200),1, COUNTIF(A$4:$A114, 'Annex 2 Designated EHV charges'!$A$10:$A$200)), 0)),"")</f>
        <v/>
      </c>
      <c r="B115" s="190" t="str">
        <f>IF($A115="","",VLOOKUP($A115,'Annex 2 Designated EHV charges'!$A:$O,2,0))</f>
        <v/>
      </c>
      <c r="C115" s="189" t="str">
        <f>IF($A115="","",VLOOKUP($A115,'Annex 2 Designated EHV charges'!$A:$O,3,0))</f>
        <v/>
      </c>
      <c r="D115" s="190" t="str">
        <f>IF($A115="","",VLOOKUP($A115,'Annex 2 Designated EHV charges'!$A:$O,7,0))</f>
        <v/>
      </c>
      <c r="E115" s="192" t="str">
        <f>IFERROR(IF(VLOOKUP($A115,'Annex 2 Designated EHV charges'!$A:$O,8,FALSE)=0,"",VLOOKUP($A115,'Annex 2 Designated EHV charges'!$A:$O,8,FALSE)),"")</f>
        <v/>
      </c>
      <c r="F115" s="193" t="str">
        <f>IFERROR(IF(VLOOKUP($A115,'Annex 2 Designated EHV charges'!$A:$O,9,FALSE)=0,"",VLOOKUP($A115,'Annex 2 Designated EHV charges'!$A:$O,9,FALSE)),"")</f>
        <v/>
      </c>
      <c r="G115" s="194" t="str">
        <f>IFERROR(IF(VLOOKUP($A115,'Annex 2 Designated EHV charges'!$A:$O,10,FALSE)=0,"",VLOOKUP($A115,'Annex 2 Designated EHV charges'!$A:$O,10,FALSE)),"")</f>
        <v/>
      </c>
      <c r="H115" s="194" t="str">
        <f>IFERROR(IF(VLOOKUP($A115,'Annex 2 Designated EHV charges'!$A:$O,11,FALSE)=0,"",VLOOKUP($A115,'Annex 2 Designated EHV charges'!$A:$O,11,FALSE)),"")</f>
        <v/>
      </c>
    </row>
    <row r="116" spans="1:8" ht="12.75" customHeight="1" x14ac:dyDescent="0.35">
      <c r="A116" s="190" t="str" cm="1">
        <f t="array" ref="A116">IFERROR(INDEX('Annex 2 Designated EHV charges'!$A$10:$A$200, MATCH(0, IF(ISBLANK('Annex 2 Designated EHV charges'!$A$10:$A$200),1, COUNTIF(A$4:$A115, 'Annex 2 Designated EHV charges'!$A$10:$A$200)), 0)),"")</f>
        <v/>
      </c>
      <c r="B116" s="190" t="str">
        <f>IF($A116="","",VLOOKUP($A116,'Annex 2 Designated EHV charges'!$A:$O,2,0))</f>
        <v/>
      </c>
      <c r="C116" s="189" t="str">
        <f>IF($A116="","",VLOOKUP($A116,'Annex 2 Designated EHV charges'!$A:$O,3,0))</f>
        <v/>
      </c>
      <c r="D116" s="190" t="str">
        <f>IF($A116="","",VLOOKUP($A116,'Annex 2 Designated EHV charges'!$A:$O,7,0))</f>
        <v/>
      </c>
      <c r="E116" s="192" t="str">
        <f>IFERROR(IF(VLOOKUP($A116,'Annex 2 Designated EHV charges'!$A:$O,8,FALSE)=0,"",VLOOKUP($A116,'Annex 2 Designated EHV charges'!$A:$O,8,FALSE)),"")</f>
        <v/>
      </c>
      <c r="F116" s="193" t="str">
        <f>IFERROR(IF(VLOOKUP($A116,'Annex 2 Designated EHV charges'!$A:$O,9,FALSE)=0,"",VLOOKUP($A116,'Annex 2 Designated EHV charges'!$A:$O,9,FALSE)),"")</f>
        <v/>
      </c>
      <c r="G116" s="194" t="str">
        <f>IFERROR(IF(VLOOKUP($A116,'Annex 2 Designated EHV charges'!$A:$O,10,FALSE)=0,"",VLOOKUP($A116,'Annex 2 Designated EHV charges'!$A:$O,10,FALSE)),"")</f>
        <v/>
      </c>
      <c r="H116" s="194" t="str">
        <f>IFERROR(IF(VLOOKUP($A116,'Annex 2 Designated EHV charges'!$A:$O,11,FALSE)=0,"",VLOOKUP($A116,'Annex 2 Designated EHV charges'!$A:$O,11,FALSE)),"")</f>
        <v/>
      </c>
    </row>
    <row r="117" spans="1:8" ht="12.75" customHeight="1" x14ac:dyDescent="0.35">
      <c r="A117" s="190" t="str" cm="1">
        <f t="array" ref="A117">IFERROR(INDEX('Annex 2 Designated EHV charges'!$A$10:$A$200, MATCH(0, IF(ISBLANK('Annex 2 Designated EHV charges'!$A$10:$A$200),1, COUNTIF(A$4:$A116, 'Annex 2 Designated EHV charges'!$A$10:$A$200)), 0)),"")</f>
        <v/>
      </c>
      <c r="B117" s="190" t="str">
        <f>IF($A117="","",VLOOKUP($A117,'Annex 2 Designated EHV charges'!$A:$O,2,0))</f>
        <v/>
      </c>
      <c r="C117" s="189" t="str">
        <f>IF($A117="","",VLOOKUP($A117,'Annex 2 Designated EHV charges'!$A:$O,3,0))</f>
        <v/>
      </c>
      <c r="D117" s="190" t="str">
        <f>IF($A117="","",VLOOKUP($A117,'Annex 2 Designated EHV charges'!$A:$O,7,0))</f>
        <v/>
      </c>
      <c r="E117" s="192" t="str">
        <f>IFERROR(IF(VLOOKUP($A117,'Annex 2 Designated EHV charges'!$A:$O,8,FALSE)=0,"",VLOOKUP($A117,'Annex 2 Designated EHV charges'!$A:$O,8,FALSE)),"")</f>
        <v/>
      </c>
      <c r="F117" s="193" t="str">
        <f>IFERROR(IF(VLOOKUP($A117,'Annex 2 Designated EHV charges'!$A:$O,9,FALSE)=0,"",VLOOKUP($A117,'Annex 2 Designated EHV charges'!$A:$O,9,FALSE)),"")</f>
        <v/>
      </c>
      <c r="G117" s="194" t="str">
        <f>IFERROR(IF(VLOOKUP($A117,'Annex 2 Designated EHV charges'!$A:$O,10,FALSE)=0,"",VLOOKUP($A117,'Annex 2 Designated EHV charges'!$A:$O,10,FALSE)),"")</f>
        <v/>
      </c>
      <c r="H117" s="194" t="str">
        <f>IFERROR(IF(VLOOKUP($A117,'Annex 2 Designated EHV charges'!$A:$O,11,FALSE)=0,"",VLOOKUP($A117,'Annex 2 Designated EHV charges'!$A:$O,11,FALSE)),"")</f>
        <v/>
      </c>
    </row>
    <row r="118" spans="1:8" ht="12.75" customHeight="1" x14ac:dyDescent="0.35">
      <c r="A118" s="190" t="str" cm="1">
        <f t="array" ref="A118">IFERROR(INDEX('Annex 2 Designated EHV charges'!$A$10:$A$200, MATCH(0, IF(ISBLANK('Annex 2 Designated EHV charges'!$A$10:$A$200),1, COUNTIF(A$4:$A117, 'Annex 2 Designated EHV charges'!$A$10:$A$200)), 0)),"")</f>
        <v/>
      </c>
      <c r="B118" s="190" t="str">
        <f>IF($A118="","",VLOOKUP($A118,'Annex 2 Designated EHV charges'!$A:$O,2,0))</f>
        <v/>
      </c>
      <c r="C118" s="189" t="str">
        <f>IF($A118="","",VLOOKUP($A118,'Annex 2 Designated EHV charges'!$A:$O,3,0))</f>
        <v/>
      </c>
      <c r="D118" s="190" t="str">
        <f>IF($A118="","",VLOOKUP($A118,'Annex 2 Designated EHV charges'!$A:$O,7,0))</f>
        <v/>
      </c>
      <c r="E118" s="192" t="str">
        <f>IFERROR(IF(VLOOKUP($A118,'Annex 2 Designated EHV charges'!$A:$O,8,FALSE)=0,"",VLOOKUP($A118,'Annex 2 Designated EHV charges'!$A:$O,8,FALSE)),"")</f>
        <v/>
      </c>
      <c r="F118" s="193" t="str">
        <f>IFERROR(IF(VLOOKUP($A118,'Annex 2 Designated EHV charges'!$A:$O,9,FALSE)=0,"",VLOOKUP($A118,'Annex 2 Designated EHV charges'!$A:$O,9,FALSE)),"")</f>
        <v/>
      </c>
      <c r="G118" s="194" t="str">
        <f>IFERROR(IF(VLOOKUP($A118,'Annex 2 Designated EHV charges'!$A:$O,10,FALSE)=0,"",VLOOKUP($A118,'Annex 2 Designated EHV charges'!$A:$O,10,FALSE)),"")</f>
        <v/>
      </c>
      <c r="H118" s="194" t="str">
        <f>IFERROR(IF(VLOOKUP($A118,'Annex 2 Designated EHV charges'!$A:$O,11,FALSE)=0,"",VLOOKUP($A118,'Annex 2 Designated EHV charges'!$A:$O,11,FALSE)),"")</f>
        <v/>
      </c>
    </row>
    <row r="119" spans="1:8" ht="12.75" customHeight="1" x14ac:dyDescent="0.35">
      <c r="A119" s="190" t="str" cm="1">
        <f t="array" ref="A119">IFERROR(INDEX('Annex 2 Designated EHV charges'!$A$10:$A$200, MATCH(0, IF(ISBLANK('Annex 2 Designated EHV charges'!$A$10:$A$200),1, COUNTIF(A$4:$A118, 'Annex 2 Designated EHV charges'!$A$10:$A$200)), 0)),"")</f>
        <v/>
      </c>
      <c r="B119" s="190" t="str">
        <f>IF($A119="","",VLOOKUP($A119,'Annex 2 Designated EHV charges'!$A:$O,2,0))</f>
        <v/>
      </c>
      <c r="C119" s="189" t="str">
        <f>IF($A119="","",VLOOKUP($A119,'Annex 2 Designated EHV charges'!$A:$O,3,0))</f>
        <v/>
      </c>
      <c r="D119" s="190" t="str">
        <f>IF($A119="","",VLOOKUP($A119,'Annex 2 Designated EHV charges'!$A:$O,7,0))</f>
        <v/>
      </c>
      <c r="E119" s="192" t="str">
        <f>IFERROR(IF(VLOOKUP($A119,'Annex 2 Designated EHV charges'!$A:$O,8,FALSE)=0,"",VLOOKUP($A119,'Annex 2 Designated EHV charges'!$A:$O,8,FALSE)),"")</f>
        <v/>
      </c>
      <c r="F119" s="193" t="str">
        <f>IFERROR(IF(VLOOKUP($A119,'Annex 2 Designated EHV charges'!$A:$O,9,FALSE)=0,"",VLOOKUP($A119,'Annex 2 Designated EHV charges'!$A:$O,9,FALSE)),"")</f>
        <v/>
      </c>
      <c r="G119" s="194" t="str">
        <f>IFERROR(IF(VLOOKUP($A119,'Annex 2 Designated EHV charges'!$A:$O,10,FALSE)=0,"",VLOOKUP($A119,'Annex 2 Designated EHV charges'!$A:$O,10,FALSE)),"")</f>
        <v/>
      </c>
      <c r="H119" s="194" t="str">
        <f>IFERROR(IF(VLOOKUP($A119,'Annex 2 Designated EHV charges'!$A:$O,11,FALSE)=0,"",VLOOKUP($A119,'Annex 2 Designated EHV charges'!$A:$O,11,FALSE)),"")</f>
        <v/>
      </c>
    </row>
    <row r="120" spans="1:8" ht="12.75" customHeight="1" x14ac:dyDescent="0.35">
      <c r="A120" s="190" t="str" cm="1">
        <f t="array" ref="A120">IFERROR(INDEX('Annex 2 Designated EHV charges'!$A$10:$A$200, MATCH(0, IF(ISBLANK('Annex 2 Designated EHV charges'!$A$10:$A$200),1, COUNTIF(A$4:$A119, 'Annex 2 Designated EHV charges'!$A$10:$A$200)), 0)),"")</f>
        <v/>
      </c>
      <c r="B120" s="190" t="str">
        <f>IF($A120="","",VLOOKUP($A120,'Annex 2 Designated EHV charges'!$A:$O,2,0))</f>
        <v/>
      </c>
      <c r="C120" s="189" t="str">
        <f>IF($A120="","",VLOOKUP($A120,'Annex 2 Designated EHV charges'!$A:$O,3,0))</f>
        <v/>
      </c>
      <c r="D120" s="190" t="str">
        <f>IF($A120="","",VLOOKUP($A120,'Annex 2 Designated EHV charges'!$A:$O,7,0))</f>
        <v/>
      </c>
      <c r="E120" s="192" t="str">
        <f>IFERROR(IF(VLOOKUP($A120,'Annex 2 Designated EHV charges'!$A:$O,8,FALSE)=0,"",VLOOKUP($A120,'Annex 2 Designated EHV charges'!$A:$O,8,FALSE)),"")</f>
        <v/>
      </c>
      <c r="F120" s="193" t="str">
        <f>IFERROR(IF(VLOOKUP($A120,'Annex 2 Designated EHV charges'!$A:$O,9,FALSE)=0,"",VLOOKUP($A120,'Annex 2 Designated EHV charges'!$A:$O,9,FALSE)),"")</f>
        <v/>
      </c>
      <c r="G120" s="194" t="str">
        <f>IFERROR(IF(VLOOKUP($A120,'Annex 2 Designated EHV charges'!$A:$O,10,FALSE)=0,"",VLOOKUP($A120,'Annex 2 Designated EHV charges'!$A:$O,10,FALSE)),"")</f>
        <v/>
      </c>
      <c r="H120" s="194" t="str">
        <f>IFERROR(IF(VLOOKUP($A120,'Annex 2 Designated EHV charges'!$A:$O,11,FALSE)=0,"",VLOOKUP($A120,'Annex 2 Designated EHV charges'!$A:$O,11,FALSE)),"")</f>
        <v/>
      </c>
    </row>
    <row r="121" spans="1:8" ht="12.75" customHeight="1" x14ac:dyDescent="0.35">
      <c r="A121" s="190" t="str" cm="1">
        <f t="array" ref="A121">IFERROR(INDEX('Annex 2 Designated EHV charges'!$A$10:$A$200, MATCH(0, IF(ISBLANK('Annex 2 Designated EHV charges'!$A$10:$A$200),1, COUNTIF(A$4:$A120, 'Annex 2 Designated EHV charges'!$A$10:$A$200)), 0)),"")</f>
        <v/>
      </c>
      <c r="B121" s="190" t="str">
        <f>IF($A121="","",VLOOKUP($A121,'Annex 2 Designated EHV charges'!$A:$O,2,0))</f>
        <v/>
      </c>
      <c r="C121" s="189" t="str">
        <f>IF($A121="","",VLOOKUP($A121,'Annex 2 Designated EHV charges'!$A:$O,3,0))</f>
        <v/>
      </c>
      <c r="D121" s="190" t="str">
        <f>IF($A121="","",VLOOKUP($A121,'Annex 2 Designated EHV charges'!$A:$O,7,0))</f>
        <v/>
      </c>
      <c r="E121" s="192" t="str">
        <f>IFERROR(IF(VLOOKUP($A121,'Annex 2 Designated EHV charges'!$A:$O,8,FALSE)=0,"",VLOOKUP($A121,'Annex 2 Designated EHV charges'!$A:$O,8,FALSE)),"")</f>
        <v/>
      </c>
      <c r="F121" s="193" t="str">
        <f>IFERROR(IF(VLOOKUP($A121,'Annex 2 Designated EHV charges'!$A:$O,9,FALSE)=0,"",VLOOKUP($A121,'Annex 2 Designated EHV charges'!$A:$O,9,FALSE)),"")</f>
        <v/>
      </c>
      <c r="G121" s="194" t="str">
        <f>IFERROR(IF(VLOOKUP($A121,'Annex 2 Designated EHV charges'!$A:$O,10,FALSE)=0,"",VLOOKUP($A121,'Annex 2 Designated EHV charges'!$A:$O,10,FALSE)),"")</f>
        <v/>
      </c>
      <c r="H121" s="194" t="str">
        <f>IFERROR(IF(VLOOKUP($A121,'Annex 2 Designated EHV charges'!$A:$O,11,FALSE)=0,"",VLOOKUP($A121,'Annex 2 Designated EHV charges'!$A:$O,11,FALSE)),"")</f>
        <v/>
      </c>
    </row>
    <row r="122" spans="1:8" ht="12.75" customHeight="1" x14ac:dyDescent="0.35">
      <c r="A122" s="190" t="str" cm="1">
        <f t="array" ref="A122">IFERROR(INDEX('Annex 2 Designated EHV charges'!$A$10:$A$200, MATCH(0, IF(ISBLANK('Annex 2 Designated EHV charges'!$A$10:$A$200),1, COUNTIF(A$4:$A121, 'Annex 2 Designated EHV charges'!$A$10:$A$200)), 0)),"")</f>
        <v/>
      </c>
      <c r="B122" s="190" t="str">
        <f>IF($A122="","",VLOOKUP($A122,'Annex 2 Designated EHV charges'!$A:$O,2,0))</f>
        <v/>
      </c>
      <c r="C122" s="189" t="str">
        <f>IF($A122="","",VLOOKUP($A122,'Annex 2 Designated EHV charges'!$A:$O,3,0))</f>
        <v/>
      </c>
      <c r="D122" s="190" t="str">
        <f>IF($A122="","",VLOOKUP($A122,'Annex 2 Designated EHV charges'!$A:$O,7,0))</f>
        <v/>
      </c>
      <c r="E122" s="192" t="str">
        <f>IFERROR(IF(VLOOKUP($A122,'Annex 2 Designated EHV charges'!$A:$O,8,FALSE)=0,"",VLOOKUP($A122,'Annex 2 Designated EHV charges'!$A:$O,8,FALSE)),"")</f>
        <v/>
      </c>
      <c r="F122" s="193" t="str">
        <f>IFERROR(IF(VLOOKUP($A122,'Annex 2 Designated EHV charges'!$A:$O,9,FALSE)=0,"",VLOOKUP($A122,'Annex 2 Designated EHV charges'!$A:$O,9,FALSE)),"")</f>
        <v/>
      </c>
      <c r="G122" s="194" t="str">
        <f>IFERROR(IF(VLOOKUP($A122,'Annex 2 Designated EHV charges'!$A:$O,10,FALSE)=0,"",VLOOKUP($A122,'Annex 2 Designated EHV charges'!$A:$O,10,FALSE)),"")</f>
        <v/>
      </c>
      <c r="H122" s="194" t="str">
        <f>IFERROR(IF(VLOOKUP($A122,'Annex 2 Designated EHV charges'!$A:$O,11,FALSE)=0,"",VLOOKUP($A122,'Annex 2 Designated EHV charges'!$A:$O,11,FALSE)),"")</f>
        <v/>
      </c>
    </row>
    <row r="123" spans="1:8" ht="12.75" customHeight="1" x14ac:dyDescent="0.35">
      <c r="A123" s="190" t="str" cm="1">
        <f t="array" ref="A123">IFERROR(INDEX('Annex 2 Designated EHV charges'!$A$10:$A$200, MATCH(0, IF(ISBLANK('Annex 2 Designated EHV charges'!$A$10:$A$200),1, COUNTIF(A$4:$A122, 'Annex 2 Designated EHV charges'!$A$10:$A$200)), 0)),"")</f>
        <v/>
      </c>
      <c r="B123" s="190" t="str">
        <f>IF($A123="","",VLOOKUP($A123,'Annex 2 Designated EHV charges'!$A:$O,2,0))</f>
        <v/>
      </c>
      <c r="C123" s="189" t="str">
        <f>IF($A123="","",VLOOKUP($A123,'Annex 2 Designated EHV charges'!$A:$O,3,0))</f>
        <v/>
      </c>
      <c r="D123" s="190" t="str">
        <f>IF($A123="","",VLOOKUP($A123,'Annex 2 Designated EHV charges'!$A:$O,7,0))</f>
        <v/>
      </c>
      <c r="E123" s="192" t="str">
        <f>IFERROR(IF(VLOOKUP($A123,'Annex 2 Designated EHV charges'!$A:$O,8,FALSE)=0,"",VLOOKUP($A123,'Annex 2 Designated EHV charges'!$A:$O,8,FALSE)),"")</f>
        <v/>
      </c>
      <c r="F123" s="193" t="str">
        <f>IFERROR(IF(VLOOKUP($A123,'Annex 2 Designated EHV charges'!$A:$O,9,FALSE)=0,"",VLOOKUP($A123,'Annex 2 Designated EHV charges'!$A:$O,9,FALSE)),"")</f>
        <v/>
      </c>
      <c r="G123" s="194" t="str">
        <f>IFERROR(IF(VLOOKUP($A123,'Annex 2 Designated EHV charges'!$A:$O,10,FALSE)=0,"",VLOOKUP($A123,'Annex 2 Designated EHV charges'!$A:$O,10,FALSE)),"")</f>
        <v/>
      </c>
      <c r="H123" s="194" t="str">
        <f>IFERROR(IF(VLOOKUP($A123,'Annex 2 Designated EHV charges'!$A:$O,11,FALSE)=0,"",VLOOKUP($A123,'Annex 2 Designated EHV charges'!$A:$O,11,FALSE)),"")</f>
        <v/>
      </c>
    </row>
    <row r="124" spans="1:8" ht="12.75" customHeight="1" x14ac:dyDescent="0.35">
      <c r="A124" s="190" t="str" cm="1">
        <f t="array" ref="A124">IFERROR(INDEX('Annex 2 Designated EHV charges'!$A$10:$A$200, MATCH(0, IF(ISBLANK('Annex 2 Designated EHV charges'!$A$10:$A$200),1, COUNTIF(A$4:$A123, 'Annex 2 Designated EHV charges'!$A$10:$A$200)), 0)),"")</f>
        <v/>
      </c>
      <c r="B124" s="190" t="str">
        <f>IF($A124="","",VLOOKUP($A124,'Annex 2 Designated EHV charges'!$A:$O,2,0))</f>
        <v/>
      </c>
      <c r="C124" s="189" t="str">
        <f>IF($A124="","",VLOOKUP($A124,'Annex 2 Designated EHV charges'!$A:$O,3,0))</f>
        <v/>
      </c>
      <c r="D124" s="190" t="str">
        <f>IF($A124="","",VLOOKUP($A124,'Annex 2 Designated EHV charges'!$A:$O,7,0))</f>
        <v/>
      </c>
      <c r="E124" s="192" t="str">
        <f>IFERROR(IF(VLOOKUP($A124,'Annex 2 Designated EHV charges'!$A:$O,8,FALSE)=0,"",VLOOKUP($A124,'Annex 2 Designated EHV charges'!$A:$O,8,FALSE)),"")</f>
        <v/>
      </c>
      <c r="F124" s="193" t="str">
        <f>IFERROR(IF(VLOOKUP($A124,'Annex 2 Designated EHV charges'!$A:$O,9,FALSE)=0,"",VLOOKUP($A124,'Annex 2 Designated EHV charges'!$A:$O,9,FALSE)),"")</f>
        <v/>
      </c>
      <c r="G124" s="194" t="str">
        <f>IFERROR(IF(VLOOKUP($A124,'Annex 2 Designated EHV charges'!$A:$O,10,FALSE)=0,"",VLOOKUP($A124,'Annex 2 Designated EHV charges'!$A:$O,10,FALSE)),"")</f>
        <v/>
      </c>
      <c r="H124" s="194" t="str">
        <f>IFERROR(IF(VLOOKUP($A124,'Annex 2 Designated EHV charges'!$A:$O,11,FALSE)=0,"",VLOOKUP($A124,'Annex 2 Designated EHV charges'!$A:$O,11,FALSE)),"")</f>
        <v/>
      </c>
    </row>
    <row r="125" spans="1:8" ht="12.75" customHeight="1" x14ac:dyDescent="0.35">
      <c r="A125" s="190" t="str" cm="1">
        <f t="array" ref="A125">IFERROR(INDEX('Annex 2 Designated EHV charges'!$A$10:$A$200, MATCH(0, IF(ISBLANK('Annex 2 Designated EHV charges'!$A$10:$A$200),1, COUNTIF(A$4:$A124, 'Annex 2 Designated EHV charges'!$A$10:$A$200)), 0)),"")</f>
        <v/>
      </c>
      <c r="B125" s="190" t="str">
        <f>IF($A125="","",VLOOKUP($A125,'Annex 2 Designated EHV charges'!$A:$O,2,0))</f>
        <v/>
      </c>
      <c r="C125" s="189" t="str">
        <f>IF($A125="","",VLOOKUP($A125,'Annex 2 Designated EHV charges'!$A:$O,3,0))</f>
        <v/>
      </c>
      <c r="D125" s="190" t="str">
        <f>IF($A125="","",VLOOKUP($A125,'Annex 2 Designated EHV charges'!$A:$O,7,0))</f>
        <v/>
      </c>
      <c r="E125" s="192" t="str">
        <f>IFERROR(IF(VLOOKUP($A125,'Annex 2 Designated EHV charges'!$A:$O,8,FALSE)=0,"",VLOOKUP($A125,'Annex 2 Designated EHV charges'!$A:$O,8,FALSE)),"")</f>
        <v/>
      </c>
      <c r="F125" s="193" t="str">
        <f>IFERROR(IF(VLOOKUP($A125,'Annex 2 Designated EHV charges'!$A:$O,9,FALSE)=0,"",VLOOKUP($A125,'Annex 2 Designated EHV charges'!$A:$O,9,FALSE)),"")</f>
        <v/>
      </c>
      <c r="G125" s="194" t="str">
        <f>IFERROR(IF(VLOOKUP($A125,'Annex 2 Designated EHV charges'!$A:$O,10,FALSE)=0,"",VLOOKUP($A125,'Annex 2 Designated EHV charges'!$A:$O,10,FALSE)),"")</f>
        <v/>
      </c>
      <c r="H125" s="194" t="str">
        <f>IFERROR(IF(VLOOKUP($A125,'Annex 2 Designated EHV charges'!$A:$O,11,FALSE)=0,"",VLOOKUP($A125,'Annex 2 Designated EHV charges'!$A:$O,11,FALSE)),"")</f>
        <v/>
      </c>
    </row>
    <row r="126" spans="1:8" ht="12.75" customHeight="1" x14ac:dyDescent="0.35">
      <c r="A126" s="190" t="str" cm="1">
        <f t="array" ref="A126">IFERROR(INDEX('Annex 2 Designated EHV charges'!$A$10:$A$200, MATCH(0, IF(ISBLANK('Annex 2 Designated EHV charges'!$A$10:$A$200),1, COUNTIF(A$4:$A125, 'Annex 2 Designated EHV charges'!$A$10:$A$200)), 0)),"")</f>
        <v/>
      </c>
      <c r="B126" s="190" t="str">
        <f>IF($A126="","",VLOOKUP($A126,'Annex 2 Designated EHV charges'!$A:$O,2,0))</f>
        <v/>
      </c>
      <c r="C126" s="189" t="str">
        <f>IF($A126="","",VLOOKUP($A126,'Annex 2 Designated EHV charges'!$A:$O,3,0))</f>
        <v/>
      </c>
      <c r="D126" s="190" t="str">
        <f>IF($A126="","",VLOOKUP($A126,'Annex 2 Designated EHV charges'!$A:$O,7,0))</f>
        <v/>
      </c>
      <c r="E126" s="192" t="str">
        <f>IFERROR(IF(VLOOKUP($A126,'Annex 2 Designated EHV charges'!$A:$O,8,FALSE)=0,"",VLOOKUP($A126,'Annex 2 Designated EHV charges'!$A:$O,8,FALSE)),"")</f>
        <v/>
      </c>
      <c r="F126" s="193" t="str">
        <f>IFERROR(IF(VLOOKUP($A126,'Annex 2 Designated EHV charges'!$A:$O,9,FALSE)=0,"",VLOOKUP($A126,'Annex 2 Designated EHV charges'!$A:$O,9,FALSE)),"")</f>
        <v/>
      </c>
      <c r="G126" s="194" t="str">
        <f>IFERROR(IF(VLOOKUP($A126,'Annex 2 Designated EHV charges'!$A:$O,10,FALSE)=0,"",VLOOKUP($A126,'Annex 2 Designated EHV charges'!$A:$O,10,FALSE)),"")</f>
        <v/>
      </c>
      <c r="H126" s="194" t="str">
        <f>IFERROR(IF(VLOOKUP($A126,'Annex 2 Designated EHV charges'!$A:$O,11,FALSE)=0,"",VLOOKUP($A126,'Annex 2 Designated EHV charges'!$A:$O,11,FALSE)),"")</f>
        <v/>
      </c>
    </row>
    <row r="127" spans="1:8" ht="12.75" customHeight="1" x14ac:dyDescent="0.35">
      <c r="A127" s="190" t="str" cm="1">
        <f t="array" ref="A127">IFERROR(INDEX('Annex 2 Designated EHV charges'!$A$10:$A$200, MATCH(0, IF(ISBLANK('Annex 2 Designated EHV charges'!$A$10:$A$200),1, COUNTIF(A$4:$A126, 'Annex 2 Designated EHV charges'!$A$10:$A$200)), 0)),"")</f>
        <v/>
      </c>
      <c r="B127" s="190" t="str">
        <f>IF($A127="","",VLOOKUP($A127,'Annex 2 Designated EHV charges'!$A:$O,2,0))</f>
        <v/>
      </c>
      <c r="C127" s="189" t="str">
        <f>IF($A127="","",VLOOKUP($A127,'Annex 2 Designated EHV charges'!$A:$O,3,0))</f>
        <v/>
      </c>
      <c r="D127" s="190" t="str">
        <f>IF($A127="","",VLOOKUP($A127,'Annex 2 Designated EHV charges'!$A:$O,7,0))</f>
        <v/>
      </c>
      <c r="E127" s="192" t="str">
        <f>IFERROR(IF(VLOOKUP($A127,'Annex 2 Designated EHV charges'!$A:$O,8,FALSE)=0,"",VLOOKUP($A127,'Annex 2 Designated EHV charges'!$A:$O,8,FALSE)),"")</f>
        <v/>
      </c>
      <c r="F127" s="193" t="str">
        <f>IFERROR(IF(VLOOKUP($A127,'Annex 2 Designated EHV charges'!$A:$O,9,FALSE)=0,"",VLOOKUP($A127,'Annex 2 Designated EHV charges'!$A:$O,9,FALSE)),"")</f>
        <v/>
      </c>
      <c r="G127" s="194" t="str">
        <f>IFERROR(IF(VLOOKUP($A127,'Annex 2 Designated EHV charges'!$A:$O,10,FALSE)=0,"",VLOOKUP($A127,'Annex 2 Designated EHV charges'!$A:$O,10,FALSE)),"")</f>
        <v/>
      </c>
      <c r="H127" s="194" t="str">
        <f>IFERROR(IF(VLOOKUP($A127,'Annex 2 Designated EHV charges'!$A:$O,11,FALSE)=0,"",VLOOKUP($A127,'Annex 2 Designated EHV charges'!$A:$O,11,FALSE)),"")</f>
        <v/>
      </c>
    </row>
    <row r="128" spans="1:8" ht="12.75" customHeight="1" x14ac:dyDescent="0.35">
      <c r="A128" s="190" t="str" cm="1">
        <f t="array" ref="A128">IFERROR(INDEX('Annex 2 Designated EHV charges'!$A$10:$A$200, MATCH(0, IF(ISBLANK('Annex 2 Designated EHV charges'!$A$10:$A$200),1, COUNTIF(A$4:$A127, 'Annex 2 Designated EHV charges'!$A$10:$A$200)), 0)),"")</f>
        <v/>
      </c>
      <c r="B128" s="190" t="str">
        <f>IF($A128="","",VLOOKUP($A128,'Annex 2 Designated EHV charges'!$A:$O,2,0))</f>
        <v/>
      </c>
      <c r="C128" s="189" t="str">
        <f>IF($A128="","",VLOOKUP($A128,'Annex 2 Designated EHV charges'!$A:$O,3,0))</f>
        <v/>
      </c>
      <c r="D128" s="190" t="str">
        <f>IF($A128="","",VLOOKUP($A128,'Annex 2 Designated EHV charges'!$A:$O,7,0))</f>
        <v/>
      </c>
      <c r="E128" s="192" t="str">
        <f>IFERROR(IF(VLOOKUP($A128,'Annex 2 Designated EHV charges'!$A:$O,8,FALSE)=0,"",VLOOKUP($A128,'Annex 2 Designated EHV charges'!$A:$O,8,FALSE)),"")</f>
        <v/>
      </c>
      <c r="F128" s="193" t="str">
        <f>IFERROR(IF(VLOOKUP($A128,'Annex 2 Designated EHV charges'!$A:$O,9,FALSE)=0,"",VLOOKUP($A128,'Annex 2 Designated EHV charges'!$A:$O,9,FALSE)),"")</f>
        <v/>
      </c>
      <c r="G128" s="194" t="str">
        <f>IFERROR(IF(VLOOKUP($A128,'Annex 2 Designated EHV charges'!$A:$O,10,FALSE)=0,"",VLOOKUP($A128,'Annex 2 Designated EHV charges'!$A:$O,10,FALSE)),"")</f>
        <v/>
      </c>
      <c r="H128" s="194" t="str">
        <f>IFERROR(IF(VLOOKUP($A128,'Annex 2 Designated EHV charges'!$A:$O,11,FALSE)=0,"",VLOOKUP($A128,'Annex 2 Designated EHV charges'!$A:$O,11,FALSE)),"")</f>
        <v/>
      </c>
    </row>
    <row r="129" spans="1:8" ht="12.75" customHeight="1" x14ac:dyDescent="0.35">
      <c r="A129" s="190" t="str" cm="1">
        <f t="array" ref="A129">IFERROR(INDEX('Annex 2 Designated EHV charges'!$A$10:$A$200, MATCH(0, IF(ISBLANK('Annex 2 Designated EHV charges'!$A$10:$A$200),1, COUNTIF(A$4:$A128, 'Annex 2 Designated EHV charges'!$A$10:$A$200)), 0)),"")</f>
        <v/>
      </c>
      <c r="B129" s="190" t="str">
        <f>IF($A129="","",VLOOKUP($A129,'Annex 2 Designated EHV charges'!$A:$O,2,0))</f>
        <v/>
      </c>
      <c r="C129" s="189" t="str">
        <f>IF($A129="","",VLOOKUP($A129,'Annex 2 Designated EHV charges'!$A:$O,3,0))</f>
        <v/>
      </c>
      <c r="D129" s="190" t="str">
        <f>IF($A129="","",VLOOKUP($A129,'Annex 2 Designated EHV charges'!$A:$O,7,0))</f>
        <v/>
      </c>
      <c r="E129" s="192" t="str">
        <f>IFERROR(IF(VLOOKUP($A129,'Annex 2 Designated EHV charges'!$A:$O,8,FALSE)=0,"",VLOOKUP($A129,'Annex 2 Designated EHV charges'!$A:$O,8,FALSE)),"")</f>
        <v/>
      </c>
      <c r="F129" s="193" t="str">
        <f>IFERROR(IF(VLOOKUP($A129,'Annex 2 Designated EHV charges'!$A:$O,9,FALSE)=0,"",VLOOKUP($A129,'Annex 2 Designated EHV charges'!$A:$O,9,FALSE)),"")</f>
        <v/>
      </c>
      <c r="G129" s="194" t="str">
        <f>IFERROR(IF(VLOOKUP($A129,'Annex 2 Designated EHV charges'!$A:$O,10,FALSE)=0,"",VLOOKUP($A129,'Annex 2 Designated EHV charges'!$A:$O,10,FALSE)),"")</f>
        <v/>
      </c>
      <c r="H129" s="194" t="str">
        <f>IFERROR(IF(VLOOKUP($A129,'Annex 2 Designated EHV charges'!$A:$O,11,FALSE)=0,"",VLOOKUP($A129,'Annex 2 Designated EHV charges'!$A:$O,11,FALSE)),"")</f>
        <v/>
      </c>
    </row>
    <row r="130" spans="1:8" ht="12.75" customHeight="1" x14ac:dyDescent="0.35">
      <c r="A130" s="190" t="str" cm="1">
        <f t="array" ref="A130">IFERROR(INDEX('Annex 2 Designated EHV charges'!$A$10:$A$200, MATCH(0, IF(ISBLANK('Annex 2 Designated EHV charges'!$A$10:$A$200),1, COUNTIF(A$4:$A129, 'Annex 2 Designated EHV charges'!$A$10:$A$200)), 0)),"")</f>
        <v/>
      </c>
      <c r="B130" s="190" t="str">
        <f>IF($A130="","",VLOOKUP($A130,'Annex 2 Designated EHV charges'!$A:$O,2,0))</f>
        <v/>
      </c>
      <c r="C130" s="189" t="str">
        <f>IF($A130="","",VLOOKUP($A130,'Annex 2 Designated EHV charges'!$A:$O,3,0))</f>
        <v/>
      </c>
      <c r="D130" s="190" t="str">
        <f>IF($A130="","",VLOOKUP($A130,'Annex 2 Designated EHV charges'!$A:$O,7,0))</f>
        <v/>
      </c>
      <c r="E130" s="192" t="str">
        <f>IFERROR(IF(VLOOKUP($A130,'Annex 2 Designated EHV charges'!$A:$O,8,FALSE)=0,"",VLOOKUP($A130,'Annex 2 Designated EHV charges'!$A:$O,8,FALSE)),"")</f>
        <v/>
      </c>
      <c r="F130" s="193" t="str">
        <f>IFERROR(IF(VLOOKUP($A130,'Annex 2 Designated EHV charges'!$A:$O,9,FALSE)=0,"",VLOOKUP($A130,'Annex 2 Designated EHV charges'!$A:$O,9,FALSE)),"")</f>
        <v/>
      </c>
      <c r="G130" s="194" t="str">
        <f>IFERROR(IF(VLOOKUP($A130,'Annex 2 Designated EHV charges'!$A:$O,10,FALSE)=0,"",VLOOKUP($A130,'Annex 2 Designated EHV charges'!$A:$O,10,FALSE)),"")</f>
        <v/>
      </c>
      <c r="H130" s="194" t="str">
        <f>IFERROR(IF(VLOOKUP($A130,'Annex 2 Designated EHV charges'!$A:$O,11,FALSE)=0,"",VLOOKUP($A130,'Annex 2 Designated EHV charges'!$A:$O,11,FALSE)),"")</f>
        <v/>
      </c>
    </row>
    <row r="131" spans="1:8" ht="12.75" customHeight="1" x14ac:dyDescent="0.35">
      <c r="A131" s="190" t="str" cm="1">
        <f t="array" ref="A131">IFERROR(INDEX('Annex 2 Designated EHV charges'!$A$10:$A$200, MATCH(0, IF(ISBLANK('Annex 2 Designated EHV charges'!$A$10:$A$200),1, COUNTIF(A$4:$A130, 'Annex 2 Designated EHV charges'!$A$10:$A$200)), 0)),"")</f>
        <v/>
      </c>
      <c r="B131" s="190" t="str">
        <f>IF($A131="","",VLOOKUP($A131,'Annex 2 Designated EHV charges'!$A:$O,2,0))</f>
        <v/>
      </c>
      <c r="C131" s="189" t="str">
        <f>IF($A131="","",VLOOKUP($A131,'Annex 2 Designated EHV charges'!$A:$O,3,0))</f>
        <v/>
      </c>
      <c r="D131" s="190" t="str">
        <f>IF($A131="","",VLOOKUP($A131,'Annex 2 Designated EHV charges'!$A:$O,7,0))</f>
        <v/>
      </c>
      <c r="E131" s="192" t="str">
        <f>IFERROR(IF(VLOOKUP($A131,'Annex 2 Designated EHV charges'!$A:$O,8,FALSE)=0,"",VLOOKUP($A131,'Annex 2 Designated EHV charges'!$A:$O,8,FALSE)),"")</f>
        <v/>
      </c>
      <c r="F131" s="193" t="str">
        <f>IFERROR(IF(VLOOKUP($A131,'Annex 2 Designated EHV charges'!$A:$O,9,FALSE)=0,"",VLOOKUP($A131,'Annex 2 Designated EHV charges'!$A:$O,9,FALSE)),"")</f>
        <v/>
      </c>
      <c r="G131" s="194" t="str">
        <f>IFERROR(IF(VLOOKUP($A131,'Annex 2 Designated EHV charges'!$A:$O,10,FALSE)=0,"",VLOOKUP($A131,'Annex 2 Designated EHV charges'!$A:$O,10,FALSE)),"")</f>
        <v/>
      </c>
      <c r="H131" s="194" t="str">
        <f>IFERROR(IF(VLOOKUP($A131,'Annex 2 Designated EHV charges'!$A:$O,11,FALSE)=0,"",VLOOKUP($A131,'Annex 2 Designated EHV charges'!$A:$O,11,FALSE)),"")</f>
        <v/>
      </c>
    </row>
    <row r="132" spans="1:8" ht="12.75" customHeight="1" x14ac:dyDescent="0.35">
      <c r="A132" s="190" t="str" cm="1">
        <f t="array" ref="A132">IFERROR(INDEX('Annex 2 Designated EHV charges'!$A$10:$A$200, MATCH(0, IF(ISBLANK('Annex 2 Designated EHV charges'!$A$10:$A$200),1, COUNTIF(A$4:$A131, 'Annex 2 Designated EHV charges'!$A$10:$A$200)), 0)),"")</f>
        <v/>
      </c>
      <c r="B132" s="190" t="str">
        <f>IF($A132="","",VLOOKUP($A132,'Annex 2 Designated EHV charges'!$A:$O,2,0))</f>
        <v/>
      </c>
      <c r="C132" s="189" t="str">
        <f>IF($A132="","",VLOOKUP($A132,'Annex 2 Designated EHV charges'!$A:$O,3,0))</f>
        <v/>
      </c>
      <c r="D132" s="190" t="str">
        <f>IF($A132="","",VLOOKUP($A132,'Annex 2 Designated EHV charges'!$A:$O,7,0))</f>
        <v/>
      </c>
      <c r="E132" s="192" t="str">
        <f>IFERROR(IF(VLOOKUP($A132,'Annex 2 Designated EHV charges'!$A:$O,8,FALSE)=0,"",VLOOKUP($A132,'Annex 2 Designated EHV charges'!$A:$O,8,FALSE)),"")</f>
        <v/>
      </c>
      <c r="F132" s="193" t="str">
        <f>IFERROR(IF(VLOOKUP($A132,'Annex 2 Designated EHV charges'!$A:$O,9,FALSE)=0,"",VLOOKUP($A132,'Annex 2 Designated EHV charges'!$A:$O,9,FALSE)),"")</f>
        <v/>
      </c>
      <c r="G132" s="194" t="str">
        <f>IFERROR(IF(VLOOKUP($A132,'Annex 2 Designated EHV charges'!$A:$O,10,FALSE)=0,"",VLOOKUP($A132,'Annex 2 Designated EHV charges'!$A:$O,10,FALSE)),"")</f>
        <v/>
      </c>
      <c r="H132" s="194" t="str">
        <f>IFERROR(IF(VLOOKUP($A132,'Annex 2 Designated EHV charges'!$A:$O,11,FALSE)=0,"",VLOOKUP($A132,'Annex 2 Designated EHV charges'!$A:$O,11,FALSE)),"")</f>
        <v/>
      </c>
    </row>
    <row r="133" spans="1:8" ht="12.75" customHeight="1" x14ac:dyDescent="0.35">
      <c r="A133" s="190" t="str" cm="1">
        <f t="array" ref="A133">IFERROR(INDEX('Annex 2 Designated EHV charges'!$A$10:$A$200, MATCH(0, IF(ISBLANK('Annex 2 Designated EHV charges'!$A$10:$A$200),1, COUNTIF(A$4:$A132, 'Annex 2 Designated EHV charges'!$A$10:$A$200)), 0)),"")</f>
        <v/>
      </c>
      <c r="B133" s="190" t="str">
        <f>IF($A133="","",VLOOKUP($A133,'Annex 2 Designated EHV charges'!$A:$O,2,0))</f>
        <v/>
      </c>
      <c r="C133" s="189" t="str">
        <f>IF($A133="","",VLOOKUP($A133,'Annex 2 Designated EHV charges'!$A:$O,3,0))</f>
        <v/>
      </c>
      <c r="D133" s="190" t="str">
        <f>IF($A133="","",VLOOKUP($A133,'Annex 2 Designated EHV charges'!$A:$O,7,0))</f>
        <v/>
      </c>
      <c r="E133" s="192" t="str">
        <f>IFERROR(IF(VLOOKUP($A133,'Annex 2 Designated EHV charges'!$A:$O,8,FALSE)=0,"",VLOOKUP($A133,'Annex 2 Designated EHV charges'!$A:$O,8,FALSE)),"")</f>
        <v/>
      </c>
      <c r="F133" s="193" t="str">
        <f>IFERROR(IF(VLOOKUP($A133,'Annex 2 Designated EHV charges'!$A:$O,9,FALSE)=0,"",VLOOKUP($A133,'Annex 2 Designated EHV charges'!$A:$O,9,FALSE)),"")</f>
        <v/>
      </c>
      <c r="G133" s="194" t="str">
        <f>IFERROR(IF(VLOOKUP($A133,'Annex 2 Designated EHV charges'!$A:$O,10,FALSE)=0,"",VLOOKUP($A133,'Annex 2 Designated EHV charges'!$A:$O,10,FALSE)),"")</f>
        <v/>
      </c>
      <c r="H133" s="194" t="str">
        <f>IFERROR(IF(VLOOKUP($A133,'Annex 2 Designated EHV charges'!$A:$O,11,FALSE)=0,"",VLOOKUP($A133,'Annex 2 Designated EHV charges'!$A:$O,11,FALSE)),"")</f>
        <v/>
      </c>
    </row>
    <row r="134" spans="1:8" ht="12.75" customHeight="1" x14ac:dyDescent="0.35">
      <c r="A134" s="190" t="str" cm="1">
        <f t="array" ref="A134">IFERROR(INDEX('Annex 2 Designated EHV charges'!$A$10:$A$200, MATCH(0, IF(ISBLANK('Annex 2 Designated EHV charges'!$A$10:$A$200),1, COUNTIF(A$4:$A133, 'Annex 2 Designated EHV charges'!$A$10:$A$200)), 0)),"")</f>
        <v/>
      </c>
      <c r="B134" s="190" t="str">
        <f>IF($A134="","",VLOOKUP($A134,'Annex 2 Designated EHV charges'!$A:$O,2,0))</f>
        <v/>
      </c>
      <c r="C134" s="189" t="str">
        <f>IF($A134="","",VLOOKUP($A134,'Annex 2 Designated EHV charges'!$A:$O,3,0))</f>
        <v/>
      </c>
      <c r="D134" s="190" t="str">
        <f>IF($A134="","",VLOOKUP($A134,'Annex 2 Designated EHV charges'!$A:$O,7,0))</f>
        <v/>
      </c>
      <c r="E134" s="192" t="str">
        <f>IFERROR(IF(VLOOKUP($A134,'Annex 2 Designated EHV charges'!$A:$O,8,FALSE)=0,"",VLOOKUP($A134,'Annex 2 Designated EHV charges'!$A:$O,8,FALSE)),"")</f>
        <v/>
      </c>
      <c r="F134" s="193" t="str">
        <f>IFERROR(IF(VLOOKUP($A134,'Annex 2 Designated EHV charges'!$A:$O,9,FALSE)=0,"",VLOOKUP($A134,'Annex 2 Designated EHV charges'!$A:$O,9,FALSE)),"")</f>
        <v/>
      </c>
      <c r="G134" s="194" t="str">
        <f>IFERROR(IF(VLOOKUP($A134,'Annex 2 Designated EHV charges'!$A:$O,10,FALSE)=0,"",VLOOKUP($A134,'Annex 2 Designated EHV charges'!$A:$O,10,FALSE)),"")</f>
        <v/>
      </c>
      <c r="H134" s="194" t="str">
        <f>IFERROR(IF(VLOOKUP($A134,'Annex 2 Designated EHV charges'!$A:$O,11,FALSE)=0,"",VLOOKUP($A134,'Annex 2 Designated EHV charges'!$A:$O,11,FALSE)),"")</f>
        <v/>
      </c>
    </row>
    <row r="135" spans="1:8" ht="12.75" customHeight="1" x14ac:dyDescent="0.35">
      <c r="A135" s="190" t="str" cm="1">
        <f t="array" ref="A135">IFERROR(INDEX('Annex 2 Designated EHV charges'!$A$10:$A$200, MATCH(0, IF(ISBLANK('Annex 2 Designated EHV charges'!$A$10:$A$200),1, COUNTIF(A$4:$A134, 'Annex 2 Designated EHV charges'!$A$10:$A$200)), 0)),"")</f>
        <v/>
      </c>
      <c r="B135" s="190" t="str">
        <f>IF($A135="","",VLOOKUP($A135,'Annex 2 Designated EHV charges'!$A:$O,2,0))</f>
        <v/>
      </c>
      <c r="C135" s="189" t="str">
        <f>IF($A135="","",VLOOKUP($A135,'Annex 2 Designated EHV charges'!$A:$O,3,0))</f>
        <v/>
      </c>
      <c r="D135" s="190" t="str">
        <f>IF($A135="","",VLOOKUP($A135,'Annex 2 Designated EHV charges'!$A:$O,7,0))</f>
        <v/>
      </c>
      <c r="E135" s="192" t="str">
        <f>IFERROR(IF(VLOOKUP($A135,'Annex 2 Designated EHV charges'!$A:$O,8,FALSE)=0,"",VLOOKUP($A135,'Annex 2 Designated EHV charges'!$A:$O,8,FALSE)),"")</f>
        <v/>
      </c>
      <c r="F135" s="193" t="str">
        <f>IFERROR(IF(VLOOKUP($A135,'Annex 2 Designated EHV charges'!$A:$O,9,FALSE)=0,"",VLOOKUP($A135,'Annex 2 Designated EHV charges'!$A:$O,9,FALSE)),"")</f>
        <v/>
      </c>
      <c r="G135" s="194" t="str">
        <f>IFERROR(IF(VLOOKUP($A135,'Annex 2 Designated EHV charges'!$A:$O,10,FALSE)=0,"",VLOOKUP($A135,'Annex 2 Designated EHV charges'!$A:$O,10,FALSE)),"")</f>
        <v/>
      </c>
      <c r="H135" s="194" t="str">
        <f>IFERROR(IF(VLOOKUP($A135,'Annex 2 Designated EHV charges'!$A:$O,11,FALSE)=0,"",VLOOKUP($A135,'Annex 2 Designated EHV charges'!$A:$O,11,FALSE)),"")</f>
        <v/>
      </c>
    </row>
    <row r="136" spans="1:8" ht="12.75" customHeight="1" x14ac:dyDescent="0.35">
      <c r="A136" s="190" t="str" cm="1">
        <f t="array" ref="A136">IFERROR(INDEX('Annex 2 Designated EHV charges'!$A$10:$A$200, MATCH(0, IF(ISBLANK('Annex 2 Designated EHV charges'!$A$10:$A$200),1, COUNTIF(A$4:$A135, 'Annex 2 Designated EHV charges'!$A$10:$A$200)), 0)),"")</f>
        <v/>
      </c>
      <c r="B136" s="190" t="str">
        <f>IF($A136="","",VLOOKUP($A136,'Annex 2 Designated EHV charges'!$A:$O,2,0))</f>
        <v/>
      </c>
      <c r="C136" s="189" t="str">
        <f>IF($A136="","",VLOOKUP($A136,'Annex 2 Designated EHV charges'!$A:$O,3,0))</f>
        <v/>
      </c>
      <c r="D136" s="190" t="str">
        <f>IF($A136="","",VLOOKUP($A136,'Annex 2 Designated EHV charges'!$A:$O,7,0))</f>
        <v/>
      </c>
      <c r="E136" s="192" t="str">
        <f>IFERROR(IF(VLOOKUP($A136,'Annex 2 Designated EHV charges'!$A:$O,8,FALSE)=0,"",VLOOKUP($A136,'Annex 2 Designated EHV charges'!$A:$O,8,FALSE)),"")</f>
        <v/>
      </c>
      <c r="F136" s="193" t="str">
        <f>IFERROR(IF(VLOOKUP($A136,'Annex 2 Designated EHV charges'!$A:$O,9,FALSE)=0,"",VLOOKUP($A136,'Annex 2 Designated EHV charges'!$A:$O,9,FALSE)),"")</f>
        <v/>
      </c>
      <c r="G136" s="194" t="str">
        <f>IFERROR(IF(VLOOKUP($A136,'Annex 2 Designated EHV charges'!$A:$O,10,FALSE)=0,"",VLOOKUP($A136,'Annex 2 Designated EHV charges'!$A:$O,10,FALSE)),"")</f>
        <v/>
      </c>
      <c r="H136" s="194" t="str">
        <f>IFERROR(IF(VLOOKUP($A136,'Annex 2 Designated EHV charges'!$A:$O,11,FALSE)=0,"",VLOOKUP($A136,'Annex 2 Designated EHV charges'!$A:$O,11,FALSE)),"")</f>
        <v/>
      </c>
    </row>
    <row r="137" spans="1:8" ht="12.75" customHeight="1" x14ac:dyDescent="0.35">
      <c r="A137" s="190" t="str" cm="1">
        <f t="array" ref="A137">IFERROR(INDEX('Annex 2 Designated EHV charges'!$A$10:$A$200, MATCH(0, IF(ISBLANK('Annex 2 Designated EHV charges'!$A$10:$A$200),1, COUNTIF(A$4:$A136, 'Annex 2 Designated EHV charges'!$A$10:$A$200)), 0)),"")</f>
        <v/>
      </c>
      <c r="B137" s="190" t="str">
        <f>IF($A137="","",VLOOKUP($A137,'Annex 2 Designated EHV charges'!$A:$O,2,0))</f>
        <v/>
      </c>
      <c r="C137" s="189" t="str">
        <f>IF($A137="","",VLOOKUP($A137,'Annex 2 Designated EHV charges'!$A:$O,3,0))</f>
        <v/>
      </c>
      <c r="D137" s="190" t="str">
        <f>IF($A137="","",VLOOKUP($A137,'Annex 2 Designated EHV charges'!$A:$O,7,0))</f>
        <v/>
      </c>
      <c r="E137" s="192" t="str">
        <f>IFERROR(IF(VLOOKUP($A137,'Annex 2 Designated EHV charges'!$A:$O,8,FALSE)=0,"",VLOOKUP($A137,'Annex 2 Designated EHV charges'!$A:$O,8,FALSE)),"")</f>
        <v/>
      </c>
      <c r="F137" s="193" t="str">
        <f>IFERROR(IF(VLOOKUP($A137,'Annex 2 Designated EHV charges'!$A:$O,9,FALSE)=0,"",VLOOKUP($A137,'Annex 2 Designated EHV charges'!$A:$O,9,FALSE)),"")</f>
        <v/>
      </c>
      <c r="G137" s="194" t="str">
        <f>IFERROR(IF(VLOOKUP($A137,'Annex 2 Designated EHV charges'!$A:$O,10,FALSE)=0,"",VLOOKUP($A137,'Annex 2 Designated EHV charges'!$A:$O,10,FALSE)),"")</f>
        <v/>
      </c>
      <c r="H137" s="194" t="str">
        <f>IFERROR(IF(VLOOKUP($A137,'Annex 2 Designated EHV charges'!$A:$O,11,FALSE)=0,"",VLOOKUP($A137,'Annex 2 Designated EHV charges'!$A:$O,11,FALSE)),"")</f>
        <v/>
      </c>
    </row>
    <row r="138" spans="1:8" ht="12.75" customHeight="1" x14ac:dyDescent="0.35">
      <c r="A138" s="190" t="str" cm="1">
        <f t="array" ref="A138">IFERROR(INDEX('Annex 2 Designated EHV charges'!$A$10:$A$200, MATCH(0, IF(ISBLANK('Annex 2 Designated EHV charges'!$A$10:$A$200),1, COUNTIF(A$4:$A137, 'Annex 2 Designated EHV charges'!$A$10:$A$200)), 0)),"")</f>
        <v/>
      </c>
      <c r="B138" s="190" t="str">
        <f>IF($A138="","",VLOOKUP($A138,'Annex 2 Designated EHV charges'!$A:$O,2,0))</f>
        <v/>
      </c>
      <c r="C138" s="189" t="str">
        <f>IF($A138="","",VLOOKUP($A138,'Annex 2 Designated EHV charges'!$A:$O,3,0))</f>
        <v/>
      </c>
      <c r="D138" s="190" t="str">
        <f>IF($A138="","",VLOOKUP($A138,'Annex 2 Designated EHV charges'!$A:$O,7,0))</f>
        <v/>
      </c>
      <c r="E138" s="192" t="str">
        <f>IFERROR(IF(VLOOKUP($A138,'Annex 2 Designated EHV charges'!$A:$O,8,FALSE)=0,"",VLOOKUP($A138,'Annex 2 Designated EHV charges'!$A:$O,8,FALSE)),"")</f>
        <v/>
      </c>
      <c r="F138" s="193" t="str">
        <f>IFERROR(IF(VLOOKUP($A138,'Annex 2 Designated EHV charges'!$A:$O,9,FALSE)=0,"",VLOOKUP($A138,'Annex 2 Designated EHV charges'!$A:$O,9,FALSE)),"")</f>
        <v/>
      </c>
      <c r="G138" s="194" t="str">
        <f>IFERROR(IF(VLOOKUP($A138,'Annex 2 Designated EHV charges'!$A:$O,10,FALSE)=0,"",VLOOKUP($A138,'Annex 2 Designated EHV charges'!$A:$O,10,FALSE)),"")</f>
        <v/>
      </c>
      <c r="H138" s="194" t="str">
        <f>IFERROR(IF(VLOOKUP($A138,'Annex 2 Designated EHV charges'!$A:$O,11,FALSE)=0,"",VLOOKUP($A138,'Annex 2 Designated EHV charges'!$A:$O,11,FALSE)),"")</f>
        <v/>
      </c>
    </row>
    <row r="139" spans="1:8" ht="12.75" customHeight="1" x14ac:dyDescent="0.35">
      <c r="A139" s="190" t="str" cm="1">
        <f t="array" ref="A139">IFERROR(INDEX('Annex 2 Designated EHV charges'!$A$10:$A$200, MATCH(0, IF(ISBLANK('Annex 2 Designated EHV charges'!$A$10:$A$200),1, COUNTIF(A$4:$A138, 'Annex 2 Designated EHV charges'!$A$10:$A$200)), 0)),"")</f>
        <v/>
      </c>
      <c r="B139" s="190" t="str">
        <f>IF($A139="","",VLOOKUP($A139,'Annex 2 Designated EHV charges'!$A:$O,2,0))</f>
        <v/>
      </c>
      <c r="C139" s="189" t="str">
        <f>IF($A139="","",VLOOKUP($A139,'Annex 2 Designated EHV charges'!$A:$O,3,0))</f>
        <v/>
      </c>
      <c r="D139" s="190" t="str">
        <f>IF($A139="","",VLOOKUP($A139,'Annex 2 Designated EHV charges'!$A:$O,7,0))</f>
        <v/>
      </c>
      <c r="E139" s="192" t="str">
        <f>IFERROR(IF(VLOOKUP($A139,'Annex 2 Designated EHV charges'!$A:$O,8,FALSE)=0,"",VLOOKUP($A139,'Annex 2 Designated EHV charges'!$A:$O,8,FALSE)),"")</f>
        <v/>
      </c>
      <c r="F139" s="193" t="str">
        <f>IFERROR(IF(VLOOKUP($A139,'Annex 2 Designated EHV charges'!$A:$O,9,FALSE)=0,"",VLOOKUP($A139,'Annex 2 Designated EHV charges'!$A:$O,9,FALSE)),"")</f>
        <v/>
      </c>
      <c r="G139" s="194" t="str">
        <f>IFERROR(IF(VLOOKUP($A139,'Annex 2 Designated EHV charges'!$A:$O,10,FALSE)=0,"",VLOOKUP($A139,'Annex 2 Designated EHV charges'!$A:$O,10,FALSE)),"")</f>
        <v/>
      </c>
      <c r="H139" s="194" t="str">
        <f>IFERROR(IF(VLOOKUP($A139,'Annex 2 Designated EHV charges'!$A:$O,11,FALSE)=0,"",VLOOKUP($A139,'Annex 2 Designated EHV charges'!$A:$O,11,FALSE)),"")</f>
        <v/>
      </c>
    </row>
    <row r="140" spans="1:8" ht="12.75" customHeight="1" x14ac:dyDescent="0.35">
      <c r="A140" s="190" t="str" cm="1">
        <f t="array" ref="A140">IFERROR(INDEX('Annex 2 Designated EHV charges'!$A$10:$A$200, MATCH(0, IF(ISBLANK('Annex 2 Designated EHV charges'!$A$10:$A$200),1, COUNTIF(A$4:$A139, 'Annex 2 Designated EHV charges'!$A$10:$A$200)), 0)),"")</f>
        <v/>
      </c>
      <c r="B140" s="190" t="str">
        <f>IF($A140="","",VLOOKUP($A140,'Annex 2 Designated EHV charges'!$A:$O,2,0))</f>
        <v/>
      </c>
      <c r="C140" s="189" t="str">
        <f>IF($A140="","",VLOOKUP($A140,'Annex 2 Designated EHV charges'!$A:$O,3,0))</f>
        <v/>
      </c>
      <c r="D140" s="190" t="str">
        <f>IF($A140="","",VLOOKUP($A140,'Annex 2 Designated EHV charges'!$A:$O,7,0))</f>
        <v/>
      </c>
      <c r="E140" s="192" t="str">
        <f>IFERROR(IF(VLOOKUP($A140,'Annex 2 Designated EHV charges'!$A:$O,8,FALSE)=0,"",VLOOKUP($A140,'Annex 2 Designated EHV charges'!$A:$O,8,FALSE)),"")</f>
        <v/>
      </c>
      <c r="F140" s="193" t="str">
        <f>IFERROR(IF(VLOOKUP($A140,'Annex 2 Designated EHV charges'!$A:$O,9,FALSE)=0,"",VLOOKUP($A140,'Annex 2 Designated EHV charges'!$A:$O,9,FALSE)),"")</f>
        <v/>
      </c>
      <c r="G140" s="194" t="str">
        <f>IFERROR(IF(VLOOKUP($A140,'Annex 2 Designated EHV charges'!$A:$O,10,FALSE)=0,"",VLOOKUP($A140,'Annex 2 Designated EHV charges'!$A:$O,10,FALSE)),"")</f>
        <v/>
      </c>
      <c r="H140" s="194" t="str">
        <f>IFERROR(IF(VLOOKUP($A140,'Annex 2 Designated EHV charges'!$A:$O,11,FALSE)=0,"",VLOOKUP($A140,'Annex 2 Designated EHV charges'!$A:$O,11,FALSE)),"")</f>
        <v/>
      </c>
    </row>
    <row r="141" spans="1:8" ht="12.75" customHeight="1" x14ac:dyDescent="0.35">
      <c r="A141" s="190" t="str" cm="1">
        <f t="array" ref="A141">IFERROR(INDEX('Annex 2 Designated EHV charges'!$A$10:$A$200, MATCH(0, IF(ISBLANK('Annex 2 Designated EHV charges'!$A$10:$A$200),1, COUNTIF(A$4:$A140, 'Annex 2 Designated EHV charges'!$A$10:$A$200)), 0)),"")</f>
        <v/>
      </c>
      <c r="B141" s="190" t="str">
        <f>IF($A141="","",VLOOKUP($A141,'Annex 2 Designated EHV charges'!$A:$O,2,0))</f>
        <v/>
      </c>
      <c r="C141" s="189" t="str">
        <f>IF($A141="","",VLOOKUP($A141,'Annex 2 Designated EHV charges'!$A:$O,3,0))</f>
        <v/>
      </c>
      <c r="D141" s="190" t="str">
        <f>IF($A141="","",VLOOKUP($A141,'Annex 2 Designated EHV charges'!$A:$O,7,0))</f>
        <v/>
      </c>
      <c r="E141" s="192" t="str">
        <f>IFERROR(IF(VLOOKUP($A141,'Annex 2 Designated EHV charges'!$A:$O,8,FALSE)=0,"",VLOOKUP($A141,'Annex 2 Designated EHV charges'!$A:$O,8,FALSE)),"")</f>
        <v/>
      </c>
      <c r="F141" s="193" t="str">
        <f>IFERROR(IF(VLOOKUP($A141,'Annex 2 Designated EHV charges'!$A:$O,9,FALSE)=0,"",VLOOKUP($A141,'Annex 2 Designated EHV charges'!$A:$O,9,FALSE)),"")</f>
        <v/>
      </c>
      <c r="G141" s="194" t="str">
        <f>IFERROR(IF(VLOOKUP($A141,'Annex 2 Designated EHV charges'!$A:$O,10,FALSE)=0,"",VLOOKUP($A141,'Annex 2 Designated EHV charges'!$A:$O,10,FALSE)),"")</f>
        <v/>
      </c>
      <c r="H141" s="194" t="str">
        <f>IFERROR(IF(VLOOKUP($A141,'Annex 2 Designated EHV charges'!$A:$O,11,FALSE)=0,"",VLOOKUP($A141,'Annex 2 Designated EHV charges'!$A:$O,11,FALSE)),"")</f>
        <v/>
      </c>
    </row>
    <row r="142" spans="1:8" ht="12.75" customHeight="1" x14ac:dyDescent="0.35">
      <c r="A142" s="190" t="str" cm="1">
        <f t="array" ref="A142">IFERROR(INDEX('Annex 2 Designated EHV charges'!$A$10:$A$200, MATCH(0, IF(ISBLANK('Annex 2 Designated EHV charges'!$A$10:$A$200),1, COUNTIF(A$4:$A141, 'Annex 2 Designated EHV charges'!$A$10:$A$200)), 0)),"")</f>
        <v/>
      </c>
      <c r="B142" s="190" t="str">
        <f>IF($A142="","",VLOOKUP($A142,'Annex 2 Designated EHV charges'!$A:$O,2,0))</f>
        <v/>
      </c>
      <c r="C142" s="189" t="str">
        <f>IF($A142="","",VLOOKUP($A142,'Annex 2 Designated EHV charges'!$A:$O,3,0))</f>
        <v/>
      </c>
      <c r="D142" s="190" t="str">
        <f>IF($A142="","",VLOOKUP($A142,'Annex 2 Designated EHV charges'!$A:$O,7,0))</f>
        <v/>
      </c>
      <c r="E142" s="192" t="str">
        <f>IFERROR(IF(VLOOKUP($A142,'Annex 2 Designated EHV charges'!$A:$O,8,FALSE)=0,"",VLOOKUP($A142,'Annex 2 Designated EHV charges'!$A:$O,8,FALSE)),"")</f>
        <v/>
      </c>
      <c r="F142" s="193" t="str">
        <f>IFERROR(IF(VLOOKUP($A142,'Annex 2 Designated EHV charges'!$A:$O,9,FALSE)=0,"",VLOOKUP($A142,'Annex 2 Designated EHV charges'!$A:$O,9,FALSE)),"")</f>
        <v/>
      </c>
      <c r="G142" s="194" t="str">
        <f>IFERROR(IF(VLOOKUP($A142,'Annex 2 Designated EHV charges'!$A:$O,10,FALSE)=0,"",VLOOKUP($A142,'Annex 2 Designated EHV charges'!$A:$O,10,FALSE)),"")</f>
        <v/>
      </c>
      <c r="H142" s="194" t="str">
        <f>IFERROR(IF(VLOOKUP($A142,'Annex 2 Designated EHV charges'!$A:$O,11,FALSE)=0,"",VLOOKUP($A142,'Annex 2 Designated EHV charges'!$A:$O,11,FALSE)),"")</f>
        <v/>
      </c>
    </row>
    <row r="143" spans="1:8" ht="12.75" customHeight="1" x14ac:dyDescent="0.35">
      <c r="A143" s="190" t="str" cm="1">
        <f t="array" ref="A143">IFERROR(INDEX('Annex 2 Designated EHV charges'!$A$10:$A$200, MATCH(0, IF(ISBLANK('Annex 2 Designated EHV charges'!$A$10:$A$200),1, COUNTIF(A$4:$A142, 'Annex 2 Designated EHV charges'!$A$10:$A$200)), 0)),"")</f>
        <v/>
      </c>
      <c r="B143" s="190" t="str">
        <f>IF($A143="","",VLOOKUP($A143,'Annex 2 Designated EHV charges'!$A:$O,2,0))</f>
        <v/>
      </c>
      <c r="C143" s="189" t="str">
        <f>IF($A143="","",VLOOKUP($A143,'Annex 2 Designated EHV charges'!$A:$O,3,0))</f>
        <v/>
      </c>
      <c r="D143" s="190" t="str">
        <f>IF($A143="","",VLOOKUP($A143,'Annex 2 Designated EHV charges'!$A:$O,7,0))</f>
        <v/>
      </c>
      <c r="E143" s="192" t="str">
        <f>IFERROR(IF(VLOOKUP($A143,'Annex 2 Designated EHV charges'!$A:$O,8,FALSE)=0,"",VLOOKUP($A143,'Annex 2 Designated EHV charges'!$A:$O,8,FALSE)),"")</f>
        <v/>
      </c>
      <c r="F143" s="193" t="str">
        <f>IFERROR(IF(VLOOKUP($A143,'Annex 2 Designated EHV charges'!$A:$O,9,FALSE)=0,"",VLOOKUP($A143,'Annex 2 Designated EHV charges'!$A:$O,9,FALSE)),"")</f>
        <v/>
      </c>
      <c r="G143" s="194" t="str">
        <f>IFERROR(IF(VLOOKUP($A143,'Annex 2 Designated EHV charges'!$A:$O,10,FALSE)=0,"",VLOOKUP($A143,'Annex 2 Designated EHV charges'!$A:$O,10,FALSE)),"")</f>
        <v/>
      </c>
      <c r="H143" s="194" t="str">
        <f>IFERROR(IF(VLOOKUP($A143,'Annex 2 Designated EHV charges'!$A:$O,11,FALSE)=0,"",VLOOKUP($A143,'Annex 2 Designated EHV charges'!$A:$O,11,FALSE)),"")</f>
        <v/>
      </c>
    </row>
    <row r="144" spans="1:8" x14ac:dyDescent="0.35">
      <c r="A144" s="190" t="str" cm="1">
        <f t="array" ref="A144">IFERROR(INDEX('Annex 2 Designated EHV charges'!$A$10:$A$200, MATCH(0, IF(ISBLANK('Annex 2 Designated EHV charges'!$A$10:$A$200),1, COUNTIF(A$4:$A143, 'Annex 2 Designated EHV charges'!$A$10:$A$200)), 0)),"")</f>
        <v/>
      </c>
      <c r="B144" s="190" t="str">
        <f>IF($A144="","",VLOOKUP($A144,'Annex 2 Designated EHV charges'!$A:$O,2,0))</f>
        <v/>
      </c>
      <c r="C144" s="189" t="str">
        <f>IF($A144="","",VLOOKUP($A144,'Annex 2 Designated EHV charges'!$A:$O,3,0))</f>
        <v/>
      </c>
      <c r="D144" s="190" t="str">
        <f>IF($A144="","",VLOOKUP($A144,'Annex 2 Designated EHV charges'!$A:$O,7,0))</f>
        <v/>
      </c>
      <c r="E144" s="192" t="str">
        <f>IFERROR(IF(VLOOKUP($A144,'Annex 2 Designated EHV charges'!$A:$O,8,FALSE)=0,"",VLOOKUP($A144,'Annex 2 Designated EHV charges'!$A:$O,8,FALSE)),"")</f>
        <v/>
      </c>
      <c r="F144" s="193" t="str">
        <f>IFERROR(IF(VLOOKUP($A144,'Annex 2 Designated EHV charges'!$A:$O,9,FALSE)=0,"",VLOOKUP($A144,'Annex 2 Designated EHV charges'!$A:$O,9,FALSE)),"")</f>
        <v/>
      </c>
      <c r="G144" s="194" t="str">
        <f>IFERROR(IF(VLOOKUP($A144,'Annex 2 Designated EHV charges'!$A:$O,10,FALSE)=0,"",VLOOKUP($A144,'Annex 2 Designated EHV charges'!$A:$O,10,FALSE)),"")</f>
        <v/>
      </c>
      <c r="H144" s="194" t="str">
        <f>IFERROR(IF(VLOOKUP($A144,'Annex 2 Designated EHV charges'!$A:$O,11,FALSE)=0,"",VLOOKUP($A144,'Annex 2 Designated EHV charges'!$A:$O,11,FALSE)),"")</f>
        <v/>
      </c>
    </row>
    <row r="145" spans="1:8" x14ac:dyDescent="0.35">
      <c r="A145" s="190" t="str" cm="1">
        <f t="array" ref="A145">IFERROR(INDEX('Annex 2 Designated EHV charges'!$A$10:$A$200, MATCH(0, IF(ISBLANK('Annex 2 Designated EHV charges'!$A$10:$A$200),1, COUNTIF(A$4:$A144, 'Annex 2 Designated EHV charges'!$A$10:$A$200)), 0)),"")</f>
        <v/>
      </c>
      <c r="B145" s="190" t="str">
        <f>IF($A145="","",VLOOKUP($A145,'Annex 2 Designated EHV charges'!$A:$O,2,0))</f>
        <v/>
      </c>
      <c r="C145" s="189" t="str">
        <f>IF($A145="","",VLOOKUP($A145,'Annex 2 Designated EHV charges'!$A:$O,3,0))</f>
        <v/>
      </c>
      <c r="D145" s="190" t="str">
        <f>IF($A145="","",VLOOKUP($A145,'Annex 2 Designated EHV charges'!$A:$O,7,0))</f>
        <v/>
      </c>
      <c r="E145" s="192" t="str">
        <f>IFERROR(IF(VLOOKUP($A145,'Annex 2 Designated EHV charges'!$A:$O,8,FALSE)=0,"",VLOOKUP($A145,'Annex 2 Designated EHV charges'!$A:$O,8,FALSE)),"")</f>
        <v/>
      </c>
      <c r="F145" s="193" t="str">
        <f>IFERROR(IF(VLOOKUP($A145,'Annex 2 Designated EHV charges'!$A:$O,9,FALSE)=0,"",VLOOKUP($A145,'Annex 2 Designated EHV charges'!$A:$O,9,FALSE)),"")</f>
        <v/>
      </c>
      <c r="G145" s="194" t="str">
        <f>IFERROR(IF(VLOOKUP($A145,'Annex 2 Designated EHV charges'!$A:$O,10,FALSE)=0,"",VLOOKUP($A145,'Annex 2 Designated EHV charges'!$A:$O,10,FALSE)),"")</f>
        <v/>
      </c>
      <c r="H145" s="194" t="str">
        <f>IFERROR(IF(VLOOKUP($A145,'Annex 2 Designated EHV charges'!$A:$O,11,FALSE)=0,"",VLOOKUP($A145,'Annex 2 Designated EHV charges'!$A:$O,11,FALSE)),"")</f>
        <v/>
      </c>
    </row>
    <row r="146" spans="1:8" x14ac:dyDescent="0.35">
      <c r="A146" s="190" t="str" cm="1">
        <f t="array" ref="A146">IFERROR(INDEX('Annex 2 Designated EHV charges'!$A$10:$A$200, MATCH(0, IF(ISBLANK('Annex 2 Designated EHV charges'!$A$10:$A$200),1, COUNTIF(A$4:$A145, 'Annex 2 Designated EHV charges'!$A$10:$A$200)), 0)),"")</f>
        <v/>
      </c>
      <c r="B146" s="190" t="str">
        <f>IF($A146="","",VLOOKUP($A146,'Annex 2 Designated EHV charges'!$A:$O,2,0))</f>
        <v/>
      </c>
      <c r="C146" s="189" t="str">
        <f>IF($A146="","",VLOOKUP($A146,'Annex 2 Designated EHV charges'!$A:$O,3,0))</f>
        <v/>
      </c>
      <c r="D146" s="190" t="str">
        <f>IF($A146="","",VLOOKUP($A146,'Annex 2 Designated EHV charges'!$A:$O,7,0))</f>
        <v/>
      </c>
      <c r="E146" s="192" t="str">
        <f>IFERROR(IF(VLOOKUP($A146,'Annex 2 Designated EHV charges'!$A:$O,8,FALSE)=0,"",VLOOKUP($A146,'Annex 2 Designated EHV charges'!$A:$O,8,FALSE)),"")</f>
        <v/>
      </c>
      <c r="F146" s="193" t="str">
        <f>IFERROR(IF(VLOOKUP($A146,'Annex 2 Designated EHV charges'!$A:$O,9,FALSE)=0,"",VLOOKUP($A146,'Annex 2 Designated EHV charges'!$A:$O,9,FALSE)),"")</f>
        <v/>
      </c>
      <c r="G146" s="194" t="str">
        <f>IFERROR(IF(VLOOKUP($A146,'Annex 2 Designated EHV charges'!$A:$O,10,FALSE)=0,"",VLOOKUP($A146,'Annex 2 Designated EHV charges'!$A:$O,10,FALSE)),"")</f>
        <v/>
      </c>
      <c r="H146" s="194" t="str">
        <f>IFERROR(IF(VLOOKUP($A146,'Annex 2 Designated EHV charges'!$A:$O,11,FALSE)=0,"",VLOOKUP($A146,'Annex 2 Designated EHV charges'!$A:$O,11,FALSE)),"")</f>
        <v/>
      </c>
    </row>
    <row r="147" spans="1:8" x14ac:dyDescent="0.35">
      <c r="A147" s="190" t="str" cm="1">
        <f t="array" ref="A147">IFERROR(INDEX('Annex 2 Designated EHV charges'!$A$10:$A$200, MATCH(0, IF(ISBLANK('Annex 2 Designated EHV charges'!$A$10:$A$200),1, COUNTIF(A$4:$A146, 'Annex 2 Designated EHV charges'!$A$10:$A$200)), 0)),"")</f>
        <v/>
      </c>
      <c r="B147" s="190" t="str">
        <f>IF($A147="","",VLOOKUP($A147,'Annex 2 Designated EHV charges'!$A:$O,2,0))</f>
        <v/>
      </c>
      <c r="C147" s="189" t="str">
        <f>IF($A147="","",VLOOKUP($A147,'Annex 2 Designated EHV charges'!$A:$O,3,0))</f>
        <v/>
      </c>
      <c r="D147" s="190" t="str">
        <f>IF($A147="","",VLOOKUP($A147,'Annex 2 Designated EHV charges'!$A:$O,7,0))</f>
        <v/>
      </c>
      <c r="E147" s="192" t="str">
        <f>IFERROR(IF(VLOOKUP($A147,'Annex 2 Designated EHV charges'!$A:$O,8,FALSE)=0,"",VLOOKUP($A147,'Annex 2 Designated EHV charges'!$A:$O,8,FALSE)),"")</f>
        <v/>
      </c>
      <c r="F147" s="193" t="str">
        <f>IFERROR(IF(VLOOKUP($A147,'Annex 2 Designated EHV charges'!$A:$O,9,FALSE)=0,"",VLOOKUP($A147,'Annex 2 Designated EHV charges'!$A:$O,9,FALSE)),"")</f>
        <v/>
      </c>
      <c r="G147" s="194" t="str">
        <f>IFERROR(IF(VLOOKUP($A147,'Annex 2 Designated EHV charges'!$A:$O,10,FALSE)=0,"",VLOOKUP($A147,'Annex 2 Designated EHV charges'!$A:$O,10,FALSE)),"")</f>
        <v/>
      </c>
      <c r="H147" s="194" t="str">
        <f>IFERROR(IF(VLOOKUP($A147,'Annex 2 Designated EHV charges'!$A:$O,11,FALSE)=0,"",VLOOKUP($A147,'Annex 2 Designated EHV charges'!$A:$O,11,FALSE)),"")</f>
        <v/>
      </c>
    </row>
    <row r="148" spans="1:8" x14ac:dyDescent="0.35">
      <c r="A148" s="190" t="str" cm="1">
        <f t="array" ref="A148">IFERROR(INDEX('Annex 2 Designated EHV charges'!$A$10:$A$200, MATCH(0, IF(ISBLANK('Annex 2 Designated EHV charges'!$A$10:$A$200),1, COUNTIF(A$4:$A147, 'Annex 2 Designated EHV charges'!$A$10:$A$200)), 0)),"")</f>
        <v/>
      </c>
      <c r="B148" s="190" t="str">
        <f>IF($A148="","",VLOOKUP($A148,'Annex 2 Designated EHV charges'!$A:$O,2,0))</f>
        <v/>
      </c>
      <c r="C148" s="189" t="str">
        <f>IF($A148="","",VLOOKUP($A148,'Annex 2 Designated EHV charges'!$A:$O,3,0))</f>
        <v/>
      </c>
      <c r="D148" s="190" t="str">
        <f>IF($A148="","",VLOOKUP($A148,'Annex 2 Designated EHV charges'!$A:$O,7,0))</f>
        <v/>
      </c>
      <c r="E148" s="192" t="str">
        <f>IFERROR(IF(VLOOKUP($A148,'Annex 2 Designated EHV charges'!$A:$O,8,FALSE)=0,"",VLOOKUP($A148,'Annex 2 Designated EHV charges'!$A:$O,8,FALSE)),"")</f>
        <v/>
      </c>
      <c r="F148" s="193" t="str">
        <f>IFERROR(IF(VLOOKUP($A148,'Annex 2 Designated EHV charges'!$A:$O,9,FALSE)=0,"",VLOOKUP($A148,'Annex 2 Designated EHV charges'!$A:$O,9,FALSE)),"")</f>
        <v/>
      </c>
      <c r="G148" s="194" t="str">
        <f>IFERROR(IF(VLOOKUP($A148,'Annex 2 Designated EHV charges'!$A:$O,10,FALSE)=0,"",VLOOKUP($A148,'Annex 2 Designated EHV charges'!$A:$O,10,FALSE)),"")</f>
        <v/>
      </c>
      <c r="H148" s="194" t="str">
        <f>IFERROR(IF(VLOOKUP($A148,'Annex 2 Designated EHV charges'!$A:$O,11,FALSE)=0,"",VLOOKUP($A148,'Annex 2 Designated EHV charges'!$A:$O,11,FALSE)),"")</f>
        <v/>
      </c>
    </row>
    <row r="149" spans="1:8" x14ac:dyDescent="0.35">
      <c r="A149" s="190" t="str" cm="1">
        <f t="array" ref="A149">IFERROR(INDEX('Annex 2 Designated EHV charges'!$A$10:$A$200, MATCH(0, IF(ISBLANK('Annex 2 Designated EHV charges'!$A$10:$A$200),1, COUNTIF(A$4:$A148, 'Annex 2 Designated EHV charges'!$A$10:$A$200)), 0)),"")</f>
        <v/>
      </c>
      <c r="B149" s="190" t="str">
        <f>IF($A149="","",VLOOKUP($A149,'Annex 2 Designated EHV charges'!$A:$O,2,0))</f>
        <v/>
      </c>
      <c r="C149" s="189" t="str">
        <f>IF($A149="","",VLOOKUP($A149,'Annex 2 Designated EHV charges'!$A:$O,3,0))</f>
        <v/>
      </c>
      <c r="D149" s="190" t="str">
        <f>IF($A149="","",VLOOKUP($A149,'Annex 2 Designated EHV charges'!$A:$O,7,0))</f>
        <v/>
      </c>
      <c r="E149" s="192" t="str">
        <f>IFERROR(IF(VLOOKUP($A149,'Annex 2 Designated EHV charges'!$A:$O,8,FALSE)=0,"",VLOOKUP($A149,'Annex 2 Designated EHV charges'!$A:$O,8,FALSE)),"")</f>
        <v/>
      </c>
      <c r="F149" s="193" t="str">
        <f>IFERROR(IF(VLOOKUP($A149,'Annex 2 Designated EHV charges'!$A:$O,9,FALSE)=0,"",VLOOKUP($A149,'Annex 2 Designated EHV charges'!$A:$O,9,FALSE)),"")</f>
        <v/>
      </c>
      <c r="G149" s="194" t="str">
        <f>IFERROR(IF(VLOOKUP($A149,'Annex 2 Designated EHV charges'!$A:$O,10,FALSE)=0,"",VLOOKUP($A149,'Annex 2 Designated EHV charges'!$A:$O,10,FALSE)),"")</f>
        <v/>
      </c>
      <c r="H149" s="194" t="str">
        <f>IFERROR(IF(VLOOKUP($A149,'Annex 2 Designated EHV charges'!$A:$O,11,FALSE)=0,"",VLOOKUP($A149,'Annex 2 Designated EHV charges'!$A:$O,11,FALSE)),"")</f>
        <v/>
      </c>
    </row>
    <row r="150" spans="1:8" x14ac:dyDescent="0.35">
      <c r="A150" s="190" t="str" cm="1">
        <f t="array" ref="A150">IFERROR(INDEX('Annex 2 Designated EHV charges'!$A$10:$A$200, MATCH(0, IF(ISBLANK('Annex 2 Designated EHV charges'!$A$10:$A$200),1, COUNTIF(A$4:$A149, 'Annex 2 Designated EHV charges'!$A$10:$A$200)), 0)),"")</f>
        <v/>
      </c>
      <c r="B150" s="190" t="str">
        <f>IF($A150="","",VLOOKUP($A150,'Annex 2 Designated EHV charges'!$A:$O,2,0))</f>
        <v/>
      </c>
      <c r="C150" s="189" t="str">
        <f>IF($A150="","",VLOOKUP($A150,'Annex 2 Designated EHV charges'!$A:$O,3,0))</f>
        <v/>
      </c>
      <c r="D150" s="190" t="str">
        <f>IF($A150="","",VLOOKUP($A150,'Annex 2 Designated EHV charges'!$A:$O,7,0))</f>
        <v/>
      </c>
      <c r="E150" s="192" t="str">
        <f>IFERROR(IF(VLOOKUP($A150,'Annex 2 Designated EHV charges'!$A:$O,8,FALSE)=0,"",VLOOKUP($A150,'Annex 2 Designated EHV charges'!$A:$O,8,FALSE)),"")</f>
        <v/>
      </c>
      <c r="F150" s="193" t="str">
        <f>IFERROR(IF(VLOOKUP($A150,'Annex 2 Designated EHV charges'!$A:$O,9,FALSE)=0,"",VLOOKUP($A150,'Annex 2 Designated EHV charges'!$A:$O,9,FALSE)),"")</f>
        <v/>
      </c>
      <c r="G150" s="194" t="str">
        <f>IFERROR(IF(VLOOKUP($A150,'Annex 2 Designated EHV charges'!$A:$O,10,FALSE)=0,"",VLOOKUP($A150,'Annex 2 Designated EHV charges'!$A:$O,10,FALSE)),"")</f>
        <v/>
      </c>
      <c r="H150" s="194" t="str">
        <f>IFERROR(IF(VLOOKUP($A150,'Annex 2 Designated EHV charges'!$A:$O,11,FALSE)=0,"",VLOOKUP($A150,'Annex 2 Designated EHV charges'!$A:$O,11,FALSE)),"")</f>
        <v/>
      </c>
    </row>
    <row r="151" spans="1:8" x14ac:dyDescent="0.35">
      <c r="A151" s="190" t="str" cm="1">
        <f t="array" ref="A151">IFERROR(INDEX('Annex 2 Designated EHV charges'!$A$10:$A$200, MATCH(0, IF(ISBLANK('Annex 2 Designated EHV charges'!$A$10:$A$200),1, COUNTIF(A$4:$A150, 'Annex 2 Designated EHV charges'!$A$10:$A$200)), 0)),"")</f>
        <v/>
      </c>
      <c r="B151" s="190" t="str">
        <f>IF($A151="","",VLOOKUP($A151,'Annex 2 Designated EHV charges'!$A:$O,2,0))</f>
        <v/>
      </c>
      <c r="C151" s="189" t="str">
        <f>IF($A151="","",VLOOKUP($A151,'Annex 2 Designated EHV charges'!$A:$O,3,0))</f>
        <v/>
      </c>
      <c r="D151" s="190" t="str">
        <f>IF($A151="","",VLOOKUP($A151,'Annex 2 Designated EHV charges'!$A:$O,7,0))</f>
        <v/>
      </c>
      <c r="E151" s="192" t="str">
        <f>IFERROR(IF(VLOOKUP($A151,'Annex 2 Designated EHV charges'!$A:$O,8,FALSE)=0,"",VLOOKUP($A151,'Annex 2 Designated EHV charges'!$A:$O,8,FALSE)),"")</f>
        <v/>
      </c>
      <c r="F151" s="193" t="str">
        <f>IFERROR(IF(VLOOKUP($A151,'Annex 2 Designated EHV charges'!$A:$O,9,FALSE)=0,"",VLOOKUP($A151,'Annex 2 Designated EHV charges'!$A:$O,9,FALSE)),"")</f>
        <v/>
      </c>
      <c r="G151" s="194" t="str">
        <f>IFERROR(IF(VLOOKUP($A151,'Annex 2 Designated EHV charges'!$A:$O,10,FALSE)=0,"",VLOOKUP($A151,'Annex 2 Designated EHV charges'!$A:$O,10,FALSE)),"")</f>
        <v/>
      </c>
      <c r="H151" s="194" t="str">
        <f>IFERROR(IF(VLOOKUP($A151,'Annex 2 Designated EHV charges'!$A:$O,11,FALSE)=0,"",VLOOKUP($A151,'Annex 2 Designated EHV charges'!$A:$O,11,FALSE)),"")</f>
        <v/>
      </c>
    </row>
    <row r="152" spans="1:8" x14ac:dyDescent="0.35">
      <c r="A152" s="190" t="str" cm="1">
        <f t="array" ref="A152">IFERROR(INDEX('Annex 2 Designated EHV charges'!$A$10:$A$200, MATCH(0, IF(ISBLANK('Annex 2 Designated EHV charges'!$A$10:$A$200),1, COUNTIF(A$4:$A151, 'Annex 2 Designated EHV charges'!$A$10:$A$200)), 0)),"")</f>
        <v/>
      </c>
      <c r="B152" s="190" t="str">
        <f>IF($A152="","",VLOOKUP($A152,'Annex 2 Designated EHV charges'!$A:$O,2,0))</f>
        <v/>
      </c>
      <c r="C152" s="189" t="str">
        <f>IF($A152="","",VLOOKUP($A152,'Annex 2 Designated EHV charges'!$A:$O,3,0))</f>
        <v/>
      </c>
      <c r="D152" s="190" t="str">
        <f>IF($A152="","",VLOOKUP($A152,'Annex 2 Designated EHV charges'!$A:$O,7,0))</f>
        <v/>
      </c>
      <c r="E152" s="192" t="str">
        <f>IFERROR(IF(VLOOKUP($A152,'Annex 2 Designated EHV charges'!$A:$O,8,FALSE)=0,"",VLOOKUP($A152,'Annex 2 Designated EHV charges'!$A:$O,8,FALSE)),"")</f>
        <v/>
      </c>
      <c r="F152" s="193" t="str">
        <f>IFERROR(IF(VLOOKUP($A152,'Annex 2 Designated EHV charges'!$A:$O,9,FALSE)=0,"",VLOOKUP($A152,'Annex 2 Designated EHV charges'!$A:$O,9,FALSE)),"")</f>
        <v/>
      </c>
      <c r="G152" s="194" t="str">
        <f>IFERROR(IF(VLOOKUP($A152,'Annex 2 Designated EHV charges'!$A:$O,10,FALSE)=0,"",VLOOKUP($A152,'Annex 2 Designated EHV charges'!$A:$O,10,FALSE)),"")</f>
        <v/>
      </c>
      <c r="H152" s="194" t="str">
        <f>IFERROR(IF(VLOOKUP($A152,'Annex 2 Designated EHV charges'!$A:$O,11,FALSE)=0,"",VLOOKUP($A152,'Annex 2 Designated EHV charges'!$A:$O,11,FALSE)),"")</f>
        <v/>
      </c>
    </row>
    <row r="153" spans="1:8" x14ac:dyDescent="0.35">
      <c r="A153" s="190" t="str" cm="1">
        <f t="array" ref="A153">IFERROR(INDEX('Annex 2 Designated EHV charges'!$A$10:$A$200, MATCH(0, IF(ISBLANK('Annex 2 Designated EHV charges'!$A$10:$A$200),1, COUNTIF(A$4:$A152, 'Annex 2 Designated EHV charges'!$A$10:$A$200)), 0)),"")</f>
        <v/>
      </c>
      <c r="B153" s="190" t="str">
        <f>IF($A153="","",VLOOKUP($A153,'Annex 2 Designated EHV charges'!$A:$O,2,0))</f>
        <v/>
      </c>
      <c r="C153" s="189" t="str">
        <f>IF($A153="","",VLOOKUP($A153,'Annex 2 Designated EHV charges'!$A:$O,3,0))</f>
        <v/>
      </c>
      <c r="D153" s="190" t="str">
        <f>IF($A153="","",VLOOKUP($A153,'Annex 2 Designated EHV charges'!$A:$O,7,0))</f>
        <v/>
      </c>
      <c r="E153" s="192" t="str">
        <f>IFERROR(IF(VLOOKUP($A153,'Annex 2 Designated EHV charges'!$A:$O,8,FALSE)=0,"",VLOOKUP($A153,'Annex 2 Designated EHV charges'!$A:$O,8,FALSE)),"")</f>
        <v/>
      </c>
      <c r="F153" s="193" t="str">
        <f>IFERROR(IF(VLOOKUP($A153,'Annex 2 Designated EHV charges'!$A:$O,9,FALSE)=0,"",VLOOKUP($A153,'Annex 2 Designated EHV charges'!$A:$O,9,FALSE)),"")</f>
        <v/>
      </c>
      <c r="G153" s="194" t="str">
        <f>IFERROR(IF(VLOOKUP($A153,'Annex 2 Designated EHV charges'!$A:$O,10,FALSE)=0,"",VLOOKUP($A153,'Annex 2 Designated EHV charges'!$A:$O,10,FALSE)),"")</f>
        <v/>
      </c>
      <c r="H153" s="194" t="str">
        <f>IFERROR(IF(VLOOKUP($A153,'Annex 2 Designated EHV charges'!$A:$O,11,FALSE)=0,"",VLOOKUP($A153,'Annex 2 Designated EHV charges'!$A:$O,11,FALSE)),"")</f>
        <v/>
      </c>
    </row>
    <row r="154" spans="1:8" x14ac:dyDescent="0.35">
      <c r="A154" s="190" t="str" cm="1">
        <f t="array" ref="A154">IFERROR(INDEX('Annex 2 Designated EHV charges'!$A$10:$A$200, MATCH(0, IF(ISBLANK('Annex 2 Designated EHV charges'!$A$10:$A$200),1, COUNTIF(A$4:$A153, 'Annex 2 Designated EHV charges'!$A$10:$A$200)), 0)),"")</f>
        <v/>
      </c>
      <c r="B154" s="190" t="str">
        <f>IF($A154="","",VLOOKUP($A154,'Annex 2 Designated EHV charges'!$A:$O,2,0))</f>
        <v/>
      </c>
      <c r="C154" s="189" t="str">
        <f>IF($A154="","",VLOOKUP($A154,'Annex 2 Designated EHV charges'!$A:$O,3,0))</f>
        <v/>
      </c>
      <c r="D154" s="190" t="str">
        <f>IF($A154="","",VLOOKUP($A154,'Annex 2 Designated EHV charges'!$A:$O,7,0))</f>
        <v/>
      </c>
      <c r="E154" s="192" t="str">
        <f>IFERROR(IF(VLOOKUP($A154,'Annex 2 Designated EHV charges'!$A:$O,8,FALSE)=0,"",VLOOKUP($A154,'Annex 2 Designated EHV charges'!$A:$O,8,FALSE)),"")</f>
        <v/>
      </c>
      <c r="F154" s="193" t="str">
        <f>IFERROR(IF(VLOOKUP($A154,'Annex 2 Designated EHV charges'!$A:$O,9,FALSE)=0,"",VLOOKUP($A154,'Annex 2 Designated EHV charges'!$A:$O,9,FALSE)),"")</f>
        <v/>
      </c>
      <c r="G154" s="194" t="str">
        <f>IFERROR(IF(VLOOKUP($A154,'Annex 2 Designated EHV charges'!$A:$O,10,FALSE)=0,"",VLOOKUP($A154,'Annex 2 Designated EHV charges'!$A:$O,10,FALSE)),"")</f>
        <v/>
      </c>
      <c r="H154" s="194" t="str">
        <f>IFERROR(IF(VLOOKUP($A154,'Annex 2 Designated EHV charges'!$A:$O,11,FALSE)=0,"",VLOOKUP($A154,'Annex 2 Designated EHV charges'!$A:$O,11,FALSE)),"")</f>
        <v/>
      </c>
    </row>
    <row r="155" spans="1:8" x14ac:dyDescent="0.35">
      <c r="A155" s="190" t="str" cm="1">
        <f t="array" ref="A155">IFERROR(INDEX('Annex 2 Designated EHV charges'!$A$10:$A$200, MATCH(0, IF(ISBLANK('Annex 2 Designated EHV charges'!$A$10:$A$200),1, COUNTIF(A$4:$A154, 'Annex 2 Designated EHV charges'!$A$10:$A$200)), 0)),"")</f>
        <v/>
      </c>
      <c r="B155" s="190" t="str">
        <f>IF($A155="","",VLOOKUP($A155,'Annex 2 Designated EHV charges'!$A:$O,2,0))</f>
        <v/>
      </c>
      <c r="C155" s="189" t="str">
        <f>IF($A155="","",VLOOKUP($A155,'Annex 2 Designated EHV charges'!$A:$O,3,0))</f>
        <v/>
      </c>
      <c r="D155" s="190" t="str">
        <f>IF($A155="","",VLOOKUP($A155,'Annex 2 Designated EHV charges'!$A:$O,7,0))</f>
        <v/>
      </c>
      <c r="E155" s="192" t="str">
        <f>IFERROR(IF(VLOOKUP($A155,'Annex 2 Designated EHV charges'!$A:$O,8,FALSE)=0,"",VLOOKUP($A155,'Annex 2 Designated EHV charges'!$A:$O,8,FALSE)),"")</f>
        <v/>
      </c>
      <c r="F155" s="193" t="str">
        <f>IFERROR(IF(VLOOKUP($A155,'Annex 2 Designated EHV charges'!$A:$O,9,FALSE)=0,"",VLOOKUP($A155,'Annex 2 Designated EHV charges'!$A:$O,9,FALSE)),"")</f>
        <v/>
      </c>
      <c r="G155" s="194" t="str">
        <f>IFERROR(IF(VLOOKUP($A155,'Annex 2 Designated EHV charges'!$A:$O,10,FALSE)=0,"",VLOOKUP($A155,'Annex 2 Designated EHV charges'!$A:$O,10,FALSE)),"")</f>
        <v/>
      </c>
      <c r="H155" s="194" t="str">
        <f>IFERROR(IF(VLOOKUP($A155,'Annex 2 Designated EHV charges'!$A:$O,11,FALSE)=0,"",VLOOKUP($A155,'Annex 2 Designated EHV charges'!$A:$O,11,FALSE)),"")</f>
        <v/>
      </c>
    </row>
    <row r="156" spans="1:8" x14ac:dyDescent="0.35">
      <c r="A156" s="190" t="str" cm="1">
        <f t="array" ref="A156">IFERROR(INDEX('Annex 2 Designated EHV charges'!$A$10:$A$200, MATCH(0, IF(ISBLANK('Annex 2 Designated EHV charges'!$A$10:$A$200),1, COUNTIF(A$4:$A155, 'Annex 2 Designated EHV charges'!$A$10:$A$200)), 0)),"")</f>
        <v/>
      </c>
      <c r="B156" s="190" t="str">
        <f>IF($A156="","",VLOOKUP($A156,'Annex 2 Designated EHV charges'!$A:$O,2,0))</f>
        <v/>
      </c>
      <c r="C156" s="189" t="str">
        <f>IF($A156="","",VLOOKUP($A156,'Annex 2 Designated EHV charges'!$A:$O,3,0))</f>
        <v/>
      </c>
      <c r="D156" s="190" t="str">
        <f>IF($A156="","",VLOOKUP($A156,'Annex 2 Designated EHV charges'!$A:$O,7,0))</f>
        <v/>
      </c>
      <c r="E156" s="192" t="str">
        <f>IFERROR(IF(VLOOKUP($A156,'Annex 2 Designated EHV charges'!$A:$O,8,FALSE)=0,"",VLOOKUP($A156,'Annex 2 Designated EHV charges'!$A:$O,8,FALSE)),"")</f>
        <v/>
      </c>
      <c r="F156" s="193" t="str">
        <f>IFERROR(IF(VLOOKUP($A156,'Annex 2 Designated EHV charges'!$A:$O,9,FALSE)=0,"",VLOOKUP($A156,'Annex 2 Designated EHV charges'!$A:$O,9,FALSE)),"")</f>
        <v/>
      </c>
      <c r="G156" s="194" t="str">
        <f>IFERROR(IF(VLOOKUP($A156,'Annex 2 Designated EHV charges'!$A:$O,10,FALSE)=0,"",VLOOKUP($A156,'Annex 2 Designated EHV charges'!$A:$O,10,FALSE)),"")</f>
        <v/>
      </c>
      <c r="H156" s="194" t="str">
        <f>IFERROR(IF(VLOOKUP($A156,'Annex 2 Designated EHV charges'!$A:$O,11,FALSE)=0,"",VLOOKUP($A156,'Annex 2 Designated EHV charges'!$A:$O,11,FALSE)),"")</f>
        <v/>
      </c>
    </row>
    <row r="157" spans="1:8" x14ac:dyDescent="0.35">
      <c r="A157" s="190" t="str" cm="1">
        <f t="array" ref="A157">IFERROR(INDEX('Annex 2 Designated EHV charges'!$A$10:$A$200, MATCH(0, IF(ISBLANK('Annex 2 Designated EHV charges'!$A$10:$A$200),1, COUNTIF(A$4:$A156, 'Annex 2 Designated EHV charges'!$A$10:$A$200)), 0)),"")</f>
        <v/>
      </c>
      <c r="B157" s="190" t="str">
        <f>IF($A157="","",VLOOKUP($A157,'Annex 2 Designated EHV charges'!$A:$O,2,0))</f>
        <v/>
      </c>
      <c r="C157" s="189" t="str">
        <f>IF($A157="","",VLOOKUP($A157,'Annex 2 Designated EHV charges'!$A:$O,3,0))</f>
        <v/>
      </c>
      <c r="D157" s="190" t="str">
        <f>IF($A157="","",VLOOKUP($A157,'Annex 2 Designated EHV charges'!$A:$O,7,0))</f>
        <v/>
      </c>
      <c r="E157" s="192" t="str">
        <f>IFERROR(IF(VLOOKUP($A157,'Annex 2 Designated EHV charges'!$A:$O,8,FALSE)=0,"",VLOOKUP($A157,'Annex 2 Designated EHV charges'!$A:$O,8,FALSE)),"")</f>
        <v/>
      </c>
      <c r="F157" s="193" t="str">
        <f>IFERROR(IF(VLOOKUP($A157,'Annex 2 Designated EHV charges'!$A:$O,9,FALSE)=0,"",VLOOKUP($A157,'Annex 2 Designated EHV charges'!$A:$O,9,FALSE)),"")</f>
        <v/>
      </c>
      <c r="G157" s="194" t="str">
        <f>IFERROR(IF(VLOOKUP($A157,'Annex 2 Designated EHV charges'!$A:$O,10,FALSE)=0,"",VLOOKUP($A157,'Annex 2 Designated EHV charges'!$A:$O,10,FALSE)),"")</f>
        <v/>
      </c>
      <c r="H157" s="194" t="str">
        <f>IFERROR(IF(VLOOKUP($A157,'Annex 2 Designated EHV charges'!$A:$O,11,FALSE)=0,"",VLOOKUP($A157,'Annex 2 Designated EHV charges'!$A:$O,11,FALSE)),"")</f>
        <v/>
      </c>
    </row>
    <row r="158" spans="1:8" x14ac:dyDescent="0.35">
      <c r="A158" s="190" t="str" cm="1">
        <f t="array" ref="A158">IFERROR(INDEX('Annex 2 Designated EHV charges'!$A$10:$A$200, MATCH(0, IF(ISBLANK('Annex 2 Designated EHV charges'!$A$10:$A$200),1, COUNTIF(A$4:$A157, 'Annex 2 Designated EHV charges'!$A$10:$A$200)), 0)),"")</f>
        <v/>
      </c>
      <c r="B158" s="190" t="str">
        <f>IF($A158="","",VLOOKUP($A158,'Annex 2 Designated EHV charges'!$A:$O,2,0))</f>
        <v/>
      </c>
      <c r="C158" s="189" t="str">
        <f>IF($A158="","",VLOOKUP($A158,'Annex 2 Designated EHV charges'!$A:$O,3,0))</f>
        <v/>
      </c>
      <c r="D158" s="190" t="str">
        <f>IF($A158="","",VLOOKUP($A158,'Annex 2 Designated EHV charges'!$A:$O,7,0))</f>
        <v/>
      </c>
      <c r="E158" s="192" t="str">
        <f>IFERROR(IF(VLOOKUP($A158,'Annex 2 Designated EHV charges'!$A:$O,8,FALSE)=0,"",VLOOKUP($A158,'Annex 2 Designated EHV charges'!$A:$O,8,FALSE)),"")</f>
        <v/>
      </c>
      <c r="F158" s="193" t="str">
        <f>IFERROR(IF(VLOOKUP($A158,'Annex 2 Designated EHV charges'!$A:$O,9,FALSE)=0,"",VLOOKUP($A158,'Annex 2 Designated EHV charges'!$A:$O,9,FALSE)),"")</f>
        <v/>
      </c>
      <c r="G158" s="194" t="str">
        <f>IFERROR(IF(VLOOKUP($A158,'Annex 2 Designated EHV charges'!$A:$O,10,FALSE)=0,"",VLOOKUP($A158,'Annex 2 Designated EHV charges'!$A:$O,10,FALSE)),"")</f>
        <v/>
      </c>
      <c r="H158" s="194" t="str">
        <f>IFERROR(IF(VLOOKUP($A158,'Annex 2 Designated EHV charges'!$A:$O,11,FALSE)=0,"",VLOOKUP($A158,'Annex 2 Designated EHV charges'!$A:$O,11,FALSE)),"")</f>
        <v/>
      </c>
    </row>
    <row r="159" spans="1:8" x14ac:dyDescent="0.35">
      <c r="A159" s="190" t="str" cm="1">
        <f t="array" ref="A159">IFERROR(INDEX('Annex 2 Designated EHV charges'!$A$10:$A$200, MATCH(0, IF(ISBLANK('Annex 2 Designated EHV charges'!$A$10:$A$200),1, COUNTIF(A$4:$A158, 'Annex 2 Designated EHV charges'!$A$10:$A$200)), 0)),"")</f>
        <v/>
      </c>
      <c r="B159" s="190" t="str">
        <f>IF($A159="","",VLOOKUP($A159,'Annex 2 Designated EHV charges'!$A:$O,2,0))</f>
        <v/>
      </c>
      <c r="C159" s="189" t="str">
        <f>IF($A159="","",VLOOKUP($A159,'Annex 2 Designated EHV charges'!$A:$O,3,0))</f>
        <v/>
      </c>
      <c r="D159" s="190" t="str">
        <f>IF($A159="","",VLOOKUP($A159,'Annex 2 Designated EHV charges'!$A:$O,7,0))</f>
        <v/>
      </c>
      <c r="E159" s="192" t="str">
        <f>IFERROR(IF(VLOOKUP($A159,'Annex 2 Designated EHV charges'!$A:$O,8,FALSE)=0,"",VLOOKUP($A159,'Annex 2 Designated EHV charges'!$A:$O,8,FALSE)),"")</f>
        <v/>
      </c>
      <c r="F159" s="193" t="str">
        <f>IFERROR(IF(VLOOKUP($A159,'Annex 2 Designated EHV charges'!$A:$O,9,FALSE)=0,"",VLOOKUP($A159,'Annex 2 Designated EHV charges'!$A:$O,9,FALSE)),"")</f>
        <v/>
      </c>
      <c r="G159" s="194" t="str">
        <f>IFERROR(IF(VLOOKUP($A159,'Annex 2 Designated EHV charges'!$A:$O,10,FALSE)=0,"",VLOOKUP($A159,'Annex 2 Designated EHV charges'!$A:$O,10,FALSE)),"")</f>
        <v/>
      </c>
      <c r="H159" s="194" t="str">
        <f>IFERROR(IF(VLOOKUP($A159,'Annex 2 Designated EHV charges'!$A:$O,11,FALSE)=0,"",VLOOKUP($A159,'Annex 2 Designated EHV charges'!$A:$O,11,FALSE)),"")</f>
        <v/>
      </c>
    </row>
    <row r="160" spans="1:8" x14ac:dyDescent="0.35">
      <c r="A160" s="190" t="str" cm="1">
        <f t="array" ref="A160">IFERROR(INDEX('Annex 2 Designated EHV charges'!$A$10:$A$200, MATCH(0, IF(ISBLANK('Annex 2 Designated EHV charges'!$A$10:$A$200),1, COUNTIF(A$4:$A159, 'Annex 2 Designated EHV charges'!$A$10:$A$200)), 0)),"")</f>
        <v/>
      </c>
      <c r="B160" s="190" t="str">
        <f>IF($A160="","",VLOOKUP($A160,'Annex 2 Designated EHV charges'!$A:$O,2,0))</f>
        <v/>
      </c>
      <c r="C160" s="189" t="str">
        <f>IF($A160="","",VLOOKUP($A160,'Annex 2 Designated EHV charges'!$A:$O,3,0))</f>
        <v/>
      </c>
      <c r="D160" s="190" t="str">
        <f>IF($A160="","",VLOOKUP($A160,'Annex 2 Designated EHV charges'!$A:$O,7,0))</f>
        <v/>
      </c>
      <c r="E160" s="192" t="str">
        <f>IFERROR(IF(VLOOKUP($A160,'Annex 2 Designated EHV charges'!$A:$O,8,FALSE)=0,"",VLOOKUP($A160,'Annex 2 Designated EHV charges'!$A:$O,8,FALSE)),"")</f>
        <v/>
      </c>
      <c r="F160" s="193" t="str">
        <f>IFERROR(IF(VLOOKUP($A160,'Annex 2 Designated EHV charges'!$A:$O,9,FALSE)=0,"",VLOOKUP($A160,'Annex 2 Designated EHV charges'!$A:$O,9,FALSE)),"")</f>
        <v/>
      </c>
      <c r="G160" s="194" t="str">
        <f>IFERROR(IF(VLOOKUP($A160,'Annex 2 Designated EHV charges'!$A:$O,10,FALSE)=0,"",VLOOKUP($A160,'Annex 2 Designated EHV charges'!$A:$O,10,FALSE)),"")</f>
        <v/>
      </c>
      <c r="H160" s="194" t="str">
        <f>IFERROR(IF(VLOOKUP($A160,'Annex 2 Designated EHV charges'!$A:$O,11,FALSE)=0,"",VLOOKUP($A160,'Annex 2 Designated EHV charges'!$A:$O,11,FALSE)),"")</f>
        <v/>
      </c>
    </row>
    <row r="161" spans="1:8" x14ac:dyDescent="0.35">
      <c r="A161" s="190" t="str" cm="1">
        <f t="array" ref="A161">IFERROR(INDEX('Annex 2 Designated EHV charges'!$A$10:$A$200, MATCH(0, IF(ISBLANK('Annex 2 Designated EHV charges'!$A$10:$A$200),1, COUNTIF(A$4:$A160, 'Annex 2 Designated EHV charges'!$A$10:$A$200)), 0)),"")</f>
        <v/>
      </c>
      <c r="B161" s="190" t="str">
        <f>IF($A161="","",VLOOKUP($A161,'Annex 2 Designated EHV charges'!$A:$O,2,0))</f>
        <v/>
      </c>
      <c r="C161" s="189" t="str">
        <f>IF($A161="","",VLOOKUP($A161,'Annex 2 Designated EHV charges'!$A:$O,3,0))</f>
        <v/>
      </c>
      <c r="D161" s="190" t="str">
        <f>IF($A161="","",VLOOKUP($A161,'Annex 2 Designated EHV charges'!$A:$O,7,0))</f>
        <v/>
      </c>
      <c r="E161" s="192" t="str">
        <f>IFERROR(IF(VLOOKUP($A161,'Annex 2 Designated EHV charges'!$A:$O,8,FALSE)=0,"",VLOOKUP($A161,'Annex 2 Designated EHV charges'!$A:$O,8,FALSE)),"")</f>
        <v/>
      </c>
      <c r="F161" s="193" t="str">
        <f>IFERROR(IF(VLOOKUP($A161,'Annex 2 Designated EHV charges'!$A:$O,9,FALSE)=0,"",VLOOKUP($A161,'Annex 2 Designated EHV charges'!$A:$O,9,FALSE)),"")</f>
        <v/>
      </c>
      <c r="G161" s="194" t="str">
        <f>IFERROR(IF(VLOOKUP($A161,'Annex 2 Designated EHV charges'!$A:$O,10,FALSE)=0,"",VLOOKUP($A161,'Annex 2 Designated EHV charges'!$A:$O,10,FALSE)),"")</f>
        <v/>
      </c>
      <c r="H161" s="194" t="str">
        <f>IFERROR(IF(VLOOKUP($A161,'Annex 2 Designated EHV charges'!$A:$O,11,FALSE)=0,"",VLOOKUP($A161,'Annex 2 Designated EHV charges'!$A:$O,11,FALSE)),"")</f>
        <v/>
      </c>
    </row>
    <row r="162" spans="1:8" x14ac:dyDescent="0.35">
      <c r="A162" s="190" t="str" cm="1">
        <f t="array" ref="A162">IFERROR(INDEX('Annex 2 Designated EHV charges'!$A$10:$A$200, MATCH(0, IF(ISBLANK('Annex 2 Designated EHV charges'!$A$10:$A$200),1, COUNTIF(A$4:$A161, 'Annex 2 Designated EHV charges'!$A$10:$A$200)), 0)),"")</f>
        <v/>
      </c>
      <c r="B162" s="190" t="str">
        <f>IF($A162="","",VLOOKUP($A162,'Annex 2 Designated EHV charges'!$A:$O,2,0))</f>
        <v/>
      </c>
      <c r="C162" s="189" t="str">
        <f>IF($A162="","",VLOOKUP($A162,'Annex 2 Designated EHV charges'!$A:$O,3,0))</f>
        <v/>
      </c>
      <c r="D162" s="190" t="str">
        <f>IF($A162="","",VLOOKUP($A162,'Annex 2 Designated EHV charges'!$A:$O,7,0))</f>
        <v/>
      </c>
      <c r="E162" s="192" t="str">
        <f>IFERROR(IF(VLOOKUP($A162,'Annex 2 Designated EHV charges'!$A:$O,8,FALSE)=0,"",VLOOKUP($A162,'Annex 2 Designated EHV charges'!$A:$O,8,FALSE)),"")</f>
        <v/>
      </c>
      <c r="F162" s="193" t="str">
        <f>IFERROR(IF(VLOOKUP($A162,'Annex 2 Designated EHV charges'!$A:$O,9,FALSE)=0,"",VLOOKUP($A162,'Annex 2 Designated EHV charges'!$A:$O,9,FALSE)),"")</f>
        <v/>
      </c>
      <c r="G162" s="194" t="str">
        <f>IFERROR(IF(VLOOKUP($A162,'Annex 2 Designated EHV charges'!$A:$O,10,FALSE)=0,"",VLOOKUP($A162,'Annex 2 Designated EHV charges'!$A:$O,10,FALSE)),"")</f>
        <v/>
      </c>
      <c r="H162" s="194" t="str">
        <f>IFERROR(IF(VLOOKUP($A162,'Annex 2 Designated EHV charges'!$A:$O,11,FALSE)=0,"",VLOOKUP($A162,'Annex 2 Designated EHV charges'!$A:$O,11,FALSE)),"")</f>
        <v/>
      </c>
    </row>
    <row r="163" spans="1:8" x14ac:dyDescent="0.35">
      <c r="A163" s="190" t="str" cm="1">
        <f t="array" ref="A163">IFERROR(INDEX('Annex 2 Designated EHV charges'!$A$10:$A$200, MATCH(0, IF(ISBLANK('Annex 2 Designated EHV charges'!$A$10:$A$200),1, COUNTIF(A$4:$A162, 'Annex 2 Designated EHV charges'!$A$10:$A$200)), 0)),"")</f>
        <v/>
      </c>
      <c r="B163" s="190" t="str">
        <f>IF($A163="","",VLOOKUP($A163,'Annex 2 Designated EHV charges'!$A:$O,2,0))</f>
        <v/>
      </c>
      <c r="C163" s="189" t="str">
        <f>IF($A163="","",VLOOKUP($A163,'Annex 2 Designated EHV charges'!$A:$O,3,0))</f>
        <v/>
      </c>
      <c r="D163" s="190" t="str">
        <f>IF($A163="","",VLOOKUP($A163,'Annex 2 Designated EHV charges'!$A:$O,7,0))</f>
        <v/>
      </c>
      <c r="E163" s="192" t="str">
        <f>IFERROR(IF(VLOOKUP($A163,'Annex 2 Designated EHV charges'!$A:$O,8,FALSE)=0,"",VLOOKUP($A163,'Annex 2 Designated EHV charges'!$A:$O,8,FALSE)),"")</f>
        <v/>
      </c>
      <c r="F163" s="193" t="str">
        <f>IFERROR(IF(VLOOKUP($A163,'Annex 2 Designated EHV charges'!$A:$O,9,FALSE)=0,"",VLOOKUP($A163,'Annex 2 Designated EHV charges'!$A:$O,9,FALSE)),"")</f>
        <v/>
      </c>
      <c r="G163" s="194" t="str">
        <f>IFERROR(IF(VLOOKUP($A163,'Annex 2 Designated EHV charges'!$A:$O,10,FALSE)=0,"",VLOOKUP($A163,'Annex 2 Designated EHV charges'!$A:$O,10,FALSE)),"")</f>
        <v/>
      </c>
      <c r="H163" s="194" t="str">
        <f>IFERROR(IF(VLOOKUP($A163,'Annex 2 Designated EHV charges'!$A:$O,11,FALSE)=0,"",VLOOKUP($A163,'Annex 2 Designated EHV charges'!$A:$O,11,FALSE)),"")</f>
        <v/>
      </c>
    </row>
    <row r="164" spans="1:8" x14ac:dyDescent="0.35">
      <c r="A164" s="190" t="str" cm="1">
        <f t="array" ref="A164">IFERROR(INDEX('Annex 2 Designated EHV charges'!$A$10:$A$200, MATCH(0, IF(ISBLANK('Annex 2 Designated EHV charges'!$A$10:$A$200),1, COUNTIF(A$4:$A163, 'Annex 2 Designated EHV charges'!$A$10:$A$200)), 0)),"")</f>
        <v/>
      </c>
      <c r="B164" s="190" t="str">
        <f>IF($A164="","",VLOOKUP($A164,'Annex 2 Designated EHV charges'!$A:$O,2,0))</f>
        <v/>
      </c>
      <c r="C164" s="189" t="str">
        <f>IF($A164="","",VLOOKUP($A164,'Annex 2 Designated EHV charges'!$A:$O,3,0))</f>
        <v/>
      </c>
      <c r="D164" s="190" t="str">
        <f>IF($A164="","",VLOOKUP($A164,'Annex 2 Designated EHV charges'!$A:$O,7,0))</f>
        <v/>
      </c>
      <c r="E164" s="192" t="str">
        <f>IFERROR(IF(VLOOKUP($A164,'Annex 2 Designated EHV charges'!$A:$O,8,FALSE)=0,"",VLOOKUP($A164,'Annex 2 Designated EHV charges'!$A:$O,8,FALSE)),"")</f>
        <v/>
      </c>
      <c r="F164" s="193" t="str">
        <f>IFERROR(IF(VLOOKUP($A164,'Annex 2 Designated EHV charges'!$A:$O,9,FALSE)=0,"",VLOOKUP($A164,'Annex 2 Designated EHV charges'!$A:$O,9,FALSE)),"")</f>
        <v/>
      </c>
      <c r="G164" s="194" t="str">
        <f>IFERROR(IF(VLOOKUP($A164,'Annex 2 Designated EHV charges'!$A:$O,10,FALSE)=0,"",VLOOKUP($A164,'Annex 2 Designated EHV charges'!$A:$O,10,FALSE)),"")</f>
        <v/>
      </c>
      <c r="H164" s="194" t="str">
        <f>IFERROR(IF(VLOOKUP($A164,'Annex 2 Designated EHV charges'!$A:$O,11,FALSE)=0,"",VLOOKUP($A164,'Annex 2 Designated EHV charges'!$A:$O,11,FALSE)),"")</f>
        <v/>
      </c>
    </row>
    <row r="165" spans="1:8" x14ac:dyDescent="0.35">
      <c r="A165" s="190" t="str" cm="1">
        <f t="array" ref="A165">IFERROR(INDEX('Annex 2 Designated EHV charges'!$A$10:$A$200, MATCH(0, IF(ISBLANK('Annex 2 Designated EHV charges'!$A$10:$A$200),1, COUNTIF(A$4:$A164, 'Annex 2 Designated EHV charges'!$A$10:$A$200)), 0)),"")</f>
        <v/>
      </c>
      <c r="B165" s="190" t="str">
        <f>IF($A165="","",VLOOKUP($A165,'Annex 2 Designated EHV charges'!$A:$O,2,0))</f>
        <v/>
      </c>
      <c r="C165" s="189" t="str">
        <f>IF($A165="","",VLOOKUP($A165,'Annex 2 Designated EHV charges'!$A:$O,3,0))</f>
        <v/>
      </c>
      <c r="D165" s="190" t="str">
        <f>IF($A165="","",VLOOKUP($A165,'Annex 2 Designated EHV charges'!$A:$O,7,0))</f>
        <v/>
      </c>
      <c r="E165" s="192" t="str">
        <f>IFERROR(IF(VLOOKUP($A165,'Annex 2 Designated EHV charges'!$A:$O,8,FALSE)=0,"",VLOOKUP($A165,'Annex 2 Designated EHV charges'!$A:$O,8,FALSE)),"")</f>
        <v/>
      </c>
      <c r="F165" s="193" t="str">
        <f>IFERROR(IF(VLOOKUP($A165,'Annex 2 Designated EHV charges'!$A:$O,9,FALSE)=0,"",VLOOKUP($A165,'Annex 2 Designated EHV charges'!$A:$O,9,FALSE)),"")</f>
        <v/>
      </c>
      <c r="G165" s="194" t="str">
        <f>IFERROR(IF(VLOOKUP($A165,'Annex 2 Designated EHV charges'!$A:$O,10,FALSE)=0,"",VLOOKUP($A165,'Annex 2 Designated EHV charges'!$A:$O,10,FALSE)),"")</f>
        <v/>
      </c>
      <c r="H165" s="194" t="str">
        <f>IFERROR(IF(VLOOKUP($A165,'Annex 2 Designated EHV charges'!$A:$O,11,FALSE)=0,"",VLOOKUP($A165,'Annex 2 Designated EHV charges'!$A:$O,11,FALSE)),"")</f>
        <v/>
      </c>
    </row>
    <row r="166" spans="1:8" x14ac:dyDescent="0.35">
      <c r="A166" s="190" t="str" cm="1">
        <f t="array" ref="A166">IFERROR(INDEX('Annex 2 Designated EHV charges'!$A$10:$A$200, MATCH(0, IF(ISBLANK('Annex 2 Designated EHV charges'!$A$10:$A$200),1, COUNTIF(A$4:$A165, 'Annex 2 Designated EHV charges'!$A$10:$A$200)), 0)),"")</f>
        <v/>
      </c>
      <c r="B166" s="190" t="str">
        <f>IF($A166="","",VLOOKUP($A166,'Annex 2 Designated EHV charges'!$A:$O,2,0))</f>
        <v/>
      </c>
      <c r="C166" s="189" t="str">
        <f>IF($A166="","",VLOOKUP($A166,'Annex 2 Designated EHV charges'!$A:$O,3,0))</f>
        <v/>
      </c>
      <c r="D166" s="190" t="str">
        <f>IF($A166="","",VLOOKUP($A166,'Annex 2 Designated EHV charges'!$A:$O,7,0))</f>
        <v/>
      </c>
      <c r="E166" s="192" t="str">
        <f>IFERROR(IF(VLOOKUP($A166,'Annex 2 Designated EHV charges'!$A:$O,8,FALSE)=0,"",VLOOKUP($A166,'Annex 2 Designated EHV charges'!$A:$O,8,FALSE)),"")</f>
        <v/>
      </c>
      <c r="F166" s="193" t="str">
        <f>IFERROR(IF(VLOOKUP($A166,'Annex 2 Designated EHV charges'!$A:$O,9,FALSE)=0,"",VLOOKUP($A166,'Annex 2 Designated EHV charges'!$A:$O,9,FALSE)),"")</f>
        <v/>
      </c>
      <c r="G166" s="194" t="str">
        <f>IFERROR(IF(VLOOKUP($A166,'Annex 2 Designated EHV charges'!$A:$O,10,FALSE)=0,"",VLOOKUP($A166,'Annex 2 Designated EHV charges'!$A:$O,10,FALSE)),"")</f>
        <v/>
      </c>
      <c r="H166" s="194" t="str">
        <f>IFERROR(IF(VLOOKUP($A166,'Annex 2 Designated EHV charges'!$A:$O,11,FALSE)=0,"",VLOOKUP($A166,'Annex 2 Designated EHV charges'!$A:$O,11,FALSE)),"")</f>
        <v/>
      </c>
    </row>
    <row r="167" spans="1:8" x14ac:dyDescent="0.35">
      <c r="A167" s="190" t="str" cm="1">
        <f t="array" ref="A167">IFERROR(INDEX('Annex 2 Designated EHV charges'!$A$10:$A$200, MATCH(0, IF(ISBLANK('Annex 2 Designated EHV charges'!$A$10:$A$200),1, COUNTIF(A$4:$A166, 'Annex 2 Designated EHV charges'!$A$10:$A$200)), 0)),"")</f>
        <v/>
      </c>
      <c r="B167" s="190" t="str">
        <f>IF($A167="","",VLOOKUP($A167,'Annex 2 Designated EHV charges'!$A:$O,2,0))</f>
        <v/>
      </c>
      <c r="C167" s="189" t="str">
        <f>IF($A167="","",VLOOKUP($A167,'Annex 2 Designated EHV charges'!$A:$O,3,0))</f>
        <v/>
      </c>
      <c r="D167" s="190" t="str">
        <f>IF($A167="","",VLOOKUP($A167,'Annex 2 Designated EHV charges'!$A:$O,7,0))</f>
        <v/>
      </c>
      <c r="E167" s="192" t="str">
        <f>IFERROR(IF(VLOOKUP($A167,'Annex 2 Designated EHV charges'!$A:$O,8,FALSE)=0,"",VLOOKUP($A167,'Annex 2 Designated EHV charges'!$A:$O,8,FALSE)),"")</f>
        <v/>
      </c>
      <c r="F167" s="193" t="str">
        <f>IFERROR(IF(VLOOKUP($A167,'Annex 2 Designated EHV charges'!$A:$O,9,FALSE)=0,"",VLOOKUP($A167,'Annex 2 Designated EHV charges'!$A:$O,9,FALSE)),"")</f>
        <v/>
      </c>
      <c r="G167" s="194" t="str">
        <f>IFERROR(IF(VLOOKUP($A167,'Annex 2 Designated EHV charges'!$A:$O,10,FALSE)=0,"",VLOOKUP($A167,'Annex 2 Designated EHV charges'!$A:$O,10,FALSE)),"")</f>
        <v/>
      </c>
      <c r="H167" s="194" t="str">
        <f>IFERROR(IF(VLOOKUP($A167,'Annex 2 Designated EHV charges'!$A:$O,11,FALSE)=0,"",VLOOKUP($A167,'Annex 2 Designated EHV charges'!$A:$O,11,FALSE)),"")</f>
        <v/>
      </c>
    </row>
    <row r="168" spans="1:8" x14ac:dyDescent="0.35">
      <c r="A168" s="190" t="str" cm="1">
        <f t="array" ref="A168">IFERROR(INDEX('Annex 2 Designated EHV charges'!$A$10:$A$200, MATCH(0, IF(ISBLANK('Annex 2 Designated EHV charges'!$A$10:$A$200),1, COUNTIF(A$4:$A167, 'Annex 2 Designated EHV charges'!$A$10:$A$200)), 0)),"")</f>
        <v/>
      </c>
      <c r="B168" s="190" t="str">
        <f>IF($A168="","",VLOOKUP($A168,'Annex 2 Designated EHV charges'!$A:$O,2,0))</f>
        <v/>
      </c>
      <c r="C168" s="189" t="str">
        <f>IF($A168="","",VLOOKUP($A168,'Annex 2 Designated EHV charges'!$A:$O,3,0))</f>
        <v/>
      </c>
      <c r="D168" s="190" t="str">
        <f>IF($A168="","",VLOOKUP($A168,'Annex 2 Designated EHV charges'!$A:$O,7,0))</f>
        <v/>
      </c>
      <c r="E168" s="192" t="str">
        <f>IFERROR(IF(VLOOKUP($A168,'Annex 2 Designated EHV charges'!$A:$O,8,FALSE)=0,"",VLOOKUP($A168,'Annex 2 Designated EHV charges'!$A:$O,8,FALSE)),"")</f>
        <v/>
      </c>
      <c r="F168" s="193" t="str">
        <f>IFERROR(IF(VLOOKUP($A168,'Annex 2 Designated EHV charges'!$A:$O,9,FALSE)=0,"",VLOOKUP($A168,'Annex 2 Designated EHV charges'!$A:$O,9,FALSE)),"")</f>
        <v/>
      </c>
      <c r="G168" s="194" t="str">
        <f>IFERROR(IF(VLOOKUP($A168,'Annex 2 Designated EHV charges'!$A:$O,10,FALSE)=0,"",VLOOKUP($A168,'Annex 2 Designated EHV charges'!$A:$O,10,FALSE)),"")</f>
        <v/>
      </c>
      <c r="H168" s="194" t="str">
        <f>IFERROR(IF(VLOOKUP($A168,'Annex 2 Designated EHV charges'!$A:$O,11,FALSE)=0,"",VLOOKUP($A168,'Annex 2 Designated EHV charges'!$A:$O,11,FALSE)),"")</f>
        <v/>
      </c>
    </row>
    <row r="169" spans="1:8" x14ac:dyDescent="0.35">
      <c r="A169" s="190" t="str" cm="1">
        <f t="array" ref="A169">IFERROR(INDEX('Annex 2 Designated EHV charges'!$A$10:$A$200, MATCH(0, IF(ISBLANK('Annex 2 Designated EHV charges'!$A$10:$A$200),1, COUNTIF(A$4:$A168, 'Annex 2 Designated EHV charges'!$A$10:$A$200)), 0)),"")</f>
        <v/>
      </c>
      <c r="B169" s="190" t="str">
        <f>IF($A169="","",VLOOKUP($A169,'Annex 2 Designated EHV charges'!$A:$O,2,0))</f>
        <v/>
      </c>
      <c r="C169" s="189" t="str">
        <f>IF($A169="","",VLOOKUP($A169,'Annex 2 Designated EHV charges'!$A:$O,3,0))</f>
        <v/>
      </c>
      <c r="D169" s="190" t="str">
        <f>IF($A169="","",VLOOKUP($A169,'Annex 2 Designated EHV charges'!$A:$O,7,0))</f>
        <v/>
      </c>
      <c r="E169" s="192" t="str">
        <f>IFERROR(IF(VLOOKUP($A169,'Annex 2 Designated EHV charges'!$A:$O,8,FALSE)=0,"",VLOOKUP($A169,'Annex 2 Designated EHV charges'!$A:$O,8,FALSE)),"")</f>
        <v/>
      </c>
      <c r="F169" s="193" t="str">
        <f>IFERROR(IF(VLOOKUP($A169,'Annex 2 Designated EHV charges'!$A:$O,9,FALSE)=0,"",VLOOKUP($A169,'Annex 2 Designated EHV charges'!$A:$O,9,FALSE)),"")</f>
        <v/>
      </c>
      <c r="G169" s="194" t="str">
        <f>IFERROR(IF(VLOOKUP($A169,'Annex 2 Designated EHV charges'!$A:$O,10,FALSE)=0,"",VLOOKUP($A169,'Annex 2 Designated EHV charges'!$A:$O,10,FALSE)),"")</f>
        <v/>
      </c>
      <c r="H169" s="194" t="str">
        <f>IFERROR(IF(VLOOKUP($A169,'Annex 2 Designated EHV charges'!$A:$O,11,FALSE)=0,"",VLOOKUP($A169,'Annex 2 Designated EHV charges'!$A:$O,11,FALSE)),"")</f>
        <v/>
      </c>
    </row>
    <row r="170" spans="1:8" x14ac:dyDescent="0.35">
      <c r="A170" s="190" t="str" cm="1">
        <f t="array" ref="A170">IFERROR(INDEX('Annex 2 Designated EHV charges'!$A$10:$A$200, MATCH(0, IF(ISBLANK('Annex 2 Designated EHV charges'!$A$10:$A$200),1, COUNTIF(A$4:$A169, 'Annex 2 Designated EHV charges'!$A$10:$A$200)), 0)),"")</f>
        <v/>
      </c>
      <c r="B170" s="190" t="str">
        <f>IF($A170="","",VLOOKUP($A170,'Annex 2 Designated EHV charges'!$A:$O,2,0))</f>
        <v/>
      </c>
      <c r="C170" s="189" t="str">
        <f>IF($A170="","",VLOOKUP($A170,'Annex 2 Designated EHV charges'!$A:$O,3,0))</f>
        <v/>
      </c>
      <c r="D170" s="190" t="str">
        <f>IF($A170="","",VLOOKUP($A170,'Annex 2 Designated EHV charges'!$A:$O,7,0))</f>
        <v/>
      </c>
      <c r="E170" s="192" t="str">
        <f>IFERROR(IF(VLOOKUP($A170,'Annex 2 Designated EHV charges'!$A:$O,8,FALSE)=0,"",VLOOKUP($A170,'Annex 2 Designated EHV charges'!$A:$O,8,FALSE)),"")</f>
        <v/>
      </c>
      <c r="F170" s="193" t="str">
        <f>IFERROR(IF(VLOOKUP($A170,'Annex 2 Designated EHV charges'!$A:$O,9,FALSE)=0,"",VLOOKUP($A170,'Annex 2 Designated EHV charges'!$A:$O,9,FALSE)),"")</f>
        <v/>
      </c>
      <c r="G170" s="194" t="str">
        <f>IFERROR(IF(VLOOKUP($A170,'Annex 2 Designated EHV charges'!$A:$O,10,FALSE)=0,"",VLOOKUP($A170,'Annex 2 Designated EHV charges'!$A:$O,10,FALSE)),"")</f>
        <v/>
      </c>
      <c r="H170" s="194" t="str">
        <f>IFERROR(IF(VLOOKUP($A170,'Annex 2 Designated EHV charges'!$A:$O,11,FALSE)=0,"",VLOOKUP($A170,'Annex 2 Designated EHV charges'!$A:$O,11,FALSE)),"")</f>
        <v/>
      </c>
    </row>
    <row r="171" spans="1:8" x14ac:dyDescent="0.35">
      <c r="A171" s="190" t="str" cm="1">
        <f t="array" ref="A171">IFERROR(INDEX('Annex 2 Designated EHV charges'!$A$10:$A$200, MATCH(0, IF(ISBLANK('Annex 2 Designated EHV charges'!$A$10:$A$200),1, COUNTIF(A$4:$A170, 'Annex 2 Designated EHV charges'!$A$10:$A$200)), 0)),"")</f>
        <v/>
      </c>
      <c r="B171" s="190" t="str">
        <f>IF($A171="","",VLOOKUP($A171,'Annex 2 Designated EHV charges'!$A:$O,2,0))</f>
        <v/>
      </c>
      <c r="C171" s="189" t="str">
        <f>IF($A171="","",VLOOKUP($A171,'Annex 2 Designated EHV charges'!$A:$O,3,0))</f>
        <v/>
      </c>
      <c r="D171" s="190" t="str">
        <f>IF($A171="","",VLOOKUP($A171,'Annex 2 Designated EHV charges'!$A:$O,7,0))</f>
        <v/>
      </c>
      <c r="E171" s="192" t="str">
        <f>IFERROR(IF(VLOOKUP($A171,'Annex 2 Designated EHV charges'!$A:$O,8,FALSE)=0,"",VLOOKUP($A171,'Annex 2 Designated EHV charges'!$A:$O,8,FALSE)),"")</f>
        <v/>
      </c>
      <c r="F171" s="193" t="str">
        <f>IFERROR(IF(VLOOKUP($A171,'Annex 2 Designated EHV charges'!$A:$O,9,FALSE)=0,"",VLOOKUP($A171,'Annex 2 Designated EHV charges'!$A:$O,9,FALSE)),"")</f>
        <v/>
      </c>
      <c r="G171" s="194" t="str">
        <f>IFERROR(IF(VLOOKUP($A171,'Annex 2 Designated EHV charges'!$A:$O,10,FALSE)=0,"",VLOOKUP($A171,'Annex 2 Designated EHV charges'!$A:$O,10,FALSE)),"")</f>
        <v/>
      </c>
      <c r="H171" s="194" t="str">
        <f>IFERROR(IF(VLOOKUP($A171,'Annex 2 Designated EHV charges'!$A:$O,11,FALSE)=0,"",VLOOKUP($A171,'Annex 2 Designated EHV charges'!$A:$O,11,FALSE)),"")</f>
        <v/>
      </c>
    </row>
    <row r="172" spans="1:8" x14ac:dyDescent="0.35">
      <c r="A172" s="190" t="str" cm="1">
        <f t="array" ref="A172">IFERROR(INDEX('Annex 2 Designated EHV charges'!$A$10:$A$200, MATCH(0, IF(ISBLANK('Annex 2 Designated EHV charges'!$A$10:$A$200),1, COUNTIF(A$4:$A171, 'Annex 2 Designated EHV charges'!$A$10:$A$200)), 0)),"")</f>
        <v/>
      </c>
      <c r="B172" s="190" t="str">
        <f>IF($A172="","",VLOOKUP($A172,'Annex 2 Designated EHV charges'!$A:$O,2,0))</f>
        <v/>
      </c>
      <c r="C172" s="189" t="str">
        <f>IF($A172="","",VLOOKUP($A172,'Annex 2 Designated EHV charges'!$A:$O,3,0))</f>
        <v/>
      </c>
      <c r="D172" s="190" t="str">
        <f>IF($A172="","",VLOOKUP($A172,'Annex 2 Designated EHV charges'!$A:$O,7,0))</f>
        <v/>
      </c>
      <c r="E172" s="192" t="str">
        <f>IFERROR(IF(VLOOKUP($A172,'Annex 2 Designated EHV charges'!$A:$O,8,FALSE)=0,"",VLOOKUP($A172,'Annex 2 Designated EHV charges'!$A:$O,8,FALSE)),"")</f>
        <v/>
      </c>
      <c r="F172" s="193" t="str">
        <f>IFERROR(IF(VLOOKUP($A172,'Annex 2 Designated EHV charges'!$A:$O,9,FALSE)=0,"",VLOOKUP($A172,'Annex 2 Designated EHV charges'!$A:$O,9,FALSE)),"")</f>
        <v/>
      </c>
      <c r="G172" s="194" t="str">
        <f>IFERROR(IF(VLOOKUP($A172,'Annex 2 Designated EHV charges'!$A:$O,10,FALSE)=0,"",VLOOKUP($A172,'Annex 2 Designated EHV charges'!$A:$O,10,FALSE)),"")</f>
        <v/>
      </c>
      <c r="H172" s="194" t="str">
        <f>IFERROR(IF(VLOOKUP($A172,'Annex 2 Designated EHV charges'!$A:$O,11,FALSE)=0,"",VLOOKUP($A172,'Annex 2 Designated EHV charges'!$A:$O,11,FALSE)),"")</f>
        <v/>
      </c>
    </row>
    <row r="173" spans="1:8" x14ac:dyDescent="0.35">
      <c r="A173" s="190" t="str" cm="1">
        <f t="array" ref="A173">IFERROR(INDEX('Annex 2 Designated EHV charges'!$A$10:$A$200, MATCH(0, IF(ISBLANK('Annex 2 Designated EHV charges'!$A$10:$A$200),1, COUNTIF(A$4:$A172, 'Annex 2 Designated EHV charges'!$A$10:$A$200)), 0)),"")</f>
        <v/>
      </c>
      <c r="B173" s="190" t="str">
        <f>IF($A173="","",VLOOKUP($A173,'Annex 2 Designated EHV charges'!$A:$O,2,0))</f>
        <v/>
      </c>
      <c r="C173" s="189" t="str">
        <f>IF($A173="","",VLOOKUP($A173,'Annex 2 Designated EHV charges'!$A:$O,3,0))</f>
        <v/>
      </c>
      <c r="D173" s="190" t="str">
        <f>IF($A173="","",VLOOKUP($A173,'Annex 2 Designated EHV charges'!$A:$O,7,0))</f>
        <v/>
      </c>
      <c r="E173" s="192" t="str">
        <f>IFERROR(IF(VLOOKUP($A173,'Annex 2 Designated EHV charges'!$A:$O,8,FALSE)=0,"",VLOOKUP($A173,'Annex 2 Designated EHV charges'!$A:$O,8,FALSE)),"")</f>
        <v/>
      </c>
      <c r="F173" s="193" t="str">
        <f>IFERROR(IF(VLOOKUP($A173,'Annex 2 Designated EHV charges'!$A:$O,9,FALSE)=0,"",VLOOKUP($A173,'Annex 2 Designated EHV charges'!$A:$O,9,FALSE)),"")</f>
        <v/>
      </c>
      <c r="G173" s="194" t="str">
        <f>IFERROR(IF(VLOOKUP($A173,'Annex 2 Designated EHV charges'!$A:$O,10,FALSE)=0,"",VLOOKUP($A173,'Annex 2 Designated EHV charges'!$A:$O,10,FALSE)),"")</f>
        <v/>
      </c>
      <c r="H173" s="194" t="str">
        <f>IFERROR(IF(VLOOKUP($A173,'Annex 2 Designated EHV charges'!$A:$O,11,FALSE)=0,"",VLOOKUP($A173,'Annex 2 Designated EHV charges'!$A:$O,11,FALSE)),"")</f>
        <v/>
      </c>
    </row>
    <row r="174" spans="1:8" x14ac:dyDescent="0.35">
      <c r="A174" s="190" t="str" cm="1">
        <f t="array" ref="A174">IFERROR(INDEX('Annex 2 Designated EHV charges'!$A$10:$A$200, MATCH(0, IF(ISBLANK('Annex 2 Designated EHV charges'!$A$10:$A$200),1, COUNTIF(A$4:$A173, 'Annex 2 Designated EHV charges'!$A$10:$A$200)), 0)),"")</f>
        <v/>
      </c>
      <c r="B174" s="190" t="str">
        <f>IF($A174="","",VLOOKUP($A174,'Annex 2 Designated EHV charges'!$A:$O,2,0))</f>
        <v/>
      </c>
      <c r="C174" s="189" t="str">
        <f>IF($A174="","",VLOOKUP($A174,'Annex 2 Designated EHV charges'!$A:$O,3,0))</f>
        <v/>
      </c>
      <c r="D174" s="190" t="str">
        <f>IF($A174="","",VLOOKUP($A174,'Annex 2 Designated EHV charges'!$A:$O,7,0))</f>
        <v/>
      </c>
      <c r="E174" s="192" t="str">
        <f>IFERROR(IF(VLOOKUP($A174,'Annex 2 Designated EHV charges'!$A:$O,8,FALSE)=0,"",VLOOKUP($A174,'Annex 2 Designated EHV charges'!$A:$O,8,FALSE)),"")</f>
        <v/>
      </c>
      <c r="F174" s="193" t="str">
        <f>IFERROR(IF(VLOOKUP($A174,'Annex 2 Designated EHV charges'!$A:$O,9,FALSE)=0,"",VLOOKUP($A174,'Annex 2 Designated EHV charges'!$A:$O,9,FALSE)),"")</f>
        <v/>
      </c>
      <c r="G174" s="194" t="str">
        <f>IFERROR(IF(VLOOKUP($A174,'Annex 2 Designated EHV charges'!$A:$O,10,FALSE)=0,"",VLOOKUP($A174,'Annex 2 Designated EHV charges'!$A:$O,10,FALSE)),"")</f>
        <v/>
      </c>
      <c r="H174" s="194" t="str">
        <f>IFERROR(IF(VLOOKUP($A174,'Annex 2 Designated EHV charges'!$A:$O,11,FALSE)=0,"",VLOOKUP($A174,'Annex 2 Designated EHV charges'!$A:$O,11,FALSE)),"")</f>
        <v/>
      </c>
    </row>
    <row r="175" spans="1:8" x14ac:dyDescent="0.35">
      <c r="A175" s="190" t="str" cm="1">
        <f t="array" ref="A175">IFERROR(INDEX('Annex 2 Designated EHV charges'!$A$10:$A$200, MATCH(0, IF(ISBLANK('Annex 2 Designated EHV charges'!$A$10:$A$200),1, COUNTIF(A$4:$A174, 'Annex 2 Designated EHV charges'!$A$10:$A$200)), 0)),"")</f>
        <v/>
      </c>
      <c r="B175" s="190" t="str">
        <f>IF($A175="","",VLOOKUP($A175,'Annex 2 Designated EHV charges'!$A:$O,2,0))</f>
        <v/>
      </c>
      <c r="C175" s="189" t="str">
        <f>IF($A175="","",VLOOKUP($A175,'Annex 2 Designated EHV charges'!$A:$O,3,0))</f>
        <v/>
      </c>
      <c r="D175" s="190" t="str">
        <f>IF($A175="","",VLOOKUP($A175,'Annex 2 Designated EHV charges'!$A:$O,7,0))</f>
        <v/>
      </c>
      <c r="E175" s="192" t="str">
        <f>IFERROR(IF(VLOOKUP($A175,'Annex 2 Designated EHV charges'!$A:$O,8,FALSE)=0,"",VLOOKUP($A175,'Annex 2 Designated EHV charges'!$A:$O,8,FALSE)),"")</f>
        <v/>
      </c>
      <c r="F175" s="193" t="str">
        <f>IFERROR(IF(VLOOKUP($A175,'Annex 2 Designated EHV charges'!$A:$O,9,FALSE)=0,"",VLOOKUP($A175,'Annex 2 Designated EHV charges'!$A:$O,9,FALSE)),"")</f>
        <v/>
      </c>
      <c r="G175" s="194" t="str">
        <f>IFERROR(IF(VLOOKUP($A175,'Annex 2 Designated EHV charges'!$A:$O,10,FALSE)=0,"",VLOOKUP($A175,'Annex 2 Designated EHV charges'!$A:$O,10,FALSE)),"")</f>
        <v/>
      </c>
      <c r="H175" s="194" t="str">
        <f>IFERROR(IF(VLOOKUP($A175,'Annex 2 Designated EHV charges'!$A:$O,11,FALSE)=0,"",VLOOKUP($A175,'Annex 2 Designated EHV charges'!$A:$O,11,FALSE)),"")</f>
        <v/>
      </c>
    </row>
    <row r="176" spans="1:8" x14ac:dyDescent="0.35">
      <c r="A176" s="190" t="str" cm="1">
        <f t="array" ref="A176">IFERROR(INDEX('Annex 2 Designated EHV charges'!$A$10:$A$200, MATCH(0, IF(ISBLANK('Annex 2 Designated EHV charges'!$A$10:$A$200),1, COUNTIF(A$4:$A175, 'Annex 2 Designated EHV charges'!$A$10:$A$200)), 0)),"")</f>
        <v/>
      </c>
      <c r="B176" s="190" t="str">
        <f>IF($A176="","",VLOOKUP($A176,'Annex 2 Designated EHV charges'!$A:$O,2,0))</f>
        <v/>
      </c>
      <c r="C176" s="189" t="str">
        <f>IF($A176="","",VLOOKUP($A176,'Annex 2 Designated EHV charges'!$A:$O,3,0))</f>
        <v/>
      </c>
      <c r="D176" s="190" t="str">
        <f>IF($A176="","",VLOOKUP($A176,'Annex 2 Designated EHV charges'!$A:$O,7,0))</f>
        <v/>
      </c>
      <c r="E176" s="192" t="str">
        <f>IFERROR(IF(VLOOKUP($A176,'Annex 2 Designated EHV charges'!$A:$O,8,FALSE)=0,"",VLOOKUP($A176,'Annex 2 Designated EHV charges'!$A:$O,8,FALSE)),"")</f>
        <v/>
      </c>
      <c r="F176" s="193" t="str">
        <f>IFERROR(IF(VLOOKUP($A176,'Annex 2 Designated EHV charges'!$A:$O,9,FALSE)=0,"",VLOOKUP($A176,'Annex 2 Designated EHV charges'!$A:$O,9,FALSE)),"")</f>
        <v/>
      </c>
      <c r="G176" s="194" t="str">
        <f>IFERROR(IF(VLOOKUP($A176,'Annex 2 Designated EHV charges'!$A:$O,10,FALSE)=0,"",VLOOKUP($A176,'Annex 2 Designated EHV charges'!$A:$O,10,FALSE)),"")</f>
        <v/>
      </c>
      <c r="H176" s="194" t="str">
        <f>IFERROR(IF(VLOOKUP($A176,'Annex 2 Designated EHV charges'!$A:$O,11,FALSE)=0,"",VLOOKUP($A176,'Annex 2 Designated EHV charges'!$A:$O,11,FALSE)),"")</f>
        <v/>
      </c>
    </row>
    <row r="177" spans="1:8" x14ac:dyDescent="0.35">
      <c r="A177" s="190" t="str" cm="1">
        <f t="array" ref="A177">IFERROR(INDEX('Annex 2 Designated EHV charges'!$A$10:$A$200, MATCH(0, IF(ISBLANK('Annex 2 Designated EHV charges'!$A$10:$A$200),1, COUNTIF(A$4:$A176, 'Annex 2 Designated EHV charges'!$A$10:$A$200)), 0)),"")</f>
        <v/>
      </c>
      <c r="B177" s="190" t="str">
        <f>IF($A177="","",VLOOKUP($A177,'Annex 2 Designated EHV charges'!$A:$O,2,0))</f>
        <v/>
      </c>
      <c r="C177" s="189" t="str">
        <f>IF($A177="","",VLOOKUP($A177,'Annex 2 Designated EHV charges'!$A:$O,3,0))</f>
        <v/>
      </c>
      <c r="D177" s="190" t="str">
        <f>IF($A177="","",VLOOKUP($A177,'Annex 2 Designated EHV charges'!$A:$O,7,0))</f>
        <v/>
      </c>
      <c r="E177" s="192" t="str">
        <f>IFERROR(IF(VLOOKUP($A177,'Annex 2 Designated EHV charges'!$A:$O,8,FALSE)=0,"",VLOOKUP($A177,'Annex 2 Designated EHV charges'!$A:$O,8,FALSE)),"")</f>
        <v/>
      </c>
      <c r="F177" s="193" t="str">
        <f>IFERROR(IF(VLOOKUP($A177,'Annex 2 Designated EHV charges'!$A:$O,9,FALSE)=0,"",VLOOKUP($A177,'Annex 2 Designated EHV charges'!$A:$O,9,FALSE)),"")</f>
        <v/>
      </c>
      <c r="G177" s="194" t="str">
        <f>IFERROR(IF(VLOOKUP($A177,'Annex 2 Designated EHV charges'!$A:$O,10,FALSE)=0,"",VLOOKUP($A177,'Annex 2 Designated EHV charges'!$A:$O,10,FALSE)),"")</f>
        <v/>
      </c>
      <c r="H177" s="194" t="str">
        <f>IFERROR(IF(VLOOKUP($A177,'Annex 2 Designated EHV charges'!$A:$O,11,FALSE)=0,"",VLOOKUP($A177,'Annex 2 Designated EHV charges'!$A:$O,11,FALSE)),"")</f>
        <v/>
      </c>
    </row>
    <row r="178" spans="1:8" x14ac:dyDescent="0.35">
      <c r="A178" s="190" t="str" cm="1">
        <f t="array" ref="A178">IFERROR(INDEX('Annex 2 Designated EHV charges'!$A$10:$A$200, MATCH(0, IF(ISBLANK('Annex 2 Designated EHV charges'!$A$10:$A$200),1, COUNTIF(A$4:$A177, 'Annex 2 Designated EHV charges'!$A$10:$A$200)), 0)),"")</f>
        <v/>
      </c>
      <c r="B178" s="190" t="str">
        <f>IF($A178="","",VLOOKUP($A178,'Annex 2 Designated EHV charges'!$A:$O,2,0))</f>
        <v/>
      </c>
      <c r="C178" s="189" t="str">
        <f>IF($A178="","",VLOOKUP($A178,'Annex 2 Designated EHV charges'!$A:$O,3,0))</f>
        <v/>
      </c>
      <c r="D178" s="190" t="str">
        <f>IF($A178="","",VLOOKUP($A178,'Annex 2 Designated EHV charges'!$A:$O,7,0))</f>
        <v/>
      </c>
      <c r="E178" s="192" t="str">
        <f>IFERROR(IF(VLOOKUP($A178,'Annex 2 Designated EHV charges'!$A:$O,8,FALSE)=0,"",VLOOKUP($A178,'Annex 2 Designated EHV charges'!$A:$O,8,FALSE)),"")</f>
        <v/>
      </c>
      <c r="F178" s="193" t="str">
        <f>IFERROR(IF(VLOOKUP($A178,'Annex 2 Designated EHV charges'!$A:$O,9,FALSE)=0,"",VLOOKUP($A178,'Annex 2 Designated EHV charges'!$A:$O,9,FALSE)),"")</f>
        <v/>
      </c>
      <c r="G178" s="194" t="str">
        <f>IFERROR(IF(VLOOKUP($A178,'Annex 2 Designated EHV charges'!$A:$O,10,FALSE)=0,"",VLOOKUP($A178,'Annex 2 Designated EHV charges'!$A:$O,10,FALSE)),"")</f>
        <v/>
      </c>
      <c r="H178" s="194" t="str">
        <f>IFERROR(IF(VLOOKUP($A178,'Annex 2 Designated EHV charges'!$A:$O,11,FALSE)=0,"",VLOOKUP($A178,'Annex 2 Designated EHV charges'!$A:$O,11,FALSE)),"")</f>
        <v/>
      </c>
    </row>
    <row r="179" spans="1:8" x14ac:dyDescent="0.35">
      <c r="A179" s="190" t="str" cm="1">
        <f t="array" ref="A179">IFERROR(INDEX('Annex 2 Designated EHV charges'!$A$10:$A$200, MATCH(0, IF(ISBLANK('Annex 2 Designated EHV charges'!$A$10:$A$200),1, COUNTIF(A$4:$A178, 'Annex 2 Designated EHV charges'!$A$10:$A$200)), 0)),"")</f>
        <v/>
      </c>
      <c r="B179" s="190" t="str">
        <f>IF($A179="","",VLOOKUP($A179,'Annex 2 Designated EHV charges'!$A:$O,2,0))</f>
        <v/>
      </c>
      <c r="C179" s="189" t="str">
        <f>IF($A179="","",VLOOKUP($A179,'Annex 2 Designated EHV charges'!$A:$O,3,0))</f>
        <v/>
      </c>
      <c r="D179" s="190" t="str">
        <f>IF($A179="","",VLOOKUP($A179,'Annex 2 Designated EHV charges'!$A:$O,7,0))</f>
        <v/>
      </c>
      <c r="E179" s="192" t="str">
        <f>IFERROR(IF(VLOOKUP($A179,'Annex 2 Designated EHV charges'!$A:$O,8,FALSE)=0,"",VLOOKUP($A179,'Annex 2 Designated EHV charges'!$A:$O,8,FALSE)),"")</f>
        <v/>
      </c>
      <c r="F179" s="193" t="str">
        <f>IFERROR(IF(VLOOKUP($A179,'Annex 2 Designated EHV charges'!$A:$O,9,FALSE)=0,"",VLOOKUP($A179,'Annex 2 Designated EHV charges'!$A:$O,9,FALSE)),"")</f>
        <v/>
      </c>
      <c r="G179" s="194" t="str">
        <f>IFERROR(IF(VLOOKUP($A179,'Annex 2 Designated EHV charges'!$A:$O,10,FALSE)=0,"",VLOOKUP($A179,'Annex 2 Designated EHV charges'!$A:$O,10,FALSE)),"")</f>
        <v/>
      </c>
      <c r="H179" s="194" t="str">
        <f>IFERROR(IF(VLOOKUP($A179,'Annex 2 Designated EHV charges'!$A:$O,11,FALSE)=0,"",VLOOKUP($A179,'Annex 2 Designated EHV charges'!$A:$O,11,FALSE)),"")</f>
        <v/>
      </c>
    </row>
    <row r="180" spans="1:8" x14ac:dyDescent="0.35">
      <c r="A180" s="190" t="str" cm="1">
        <f t="array" ref="A180">IFERROR(INDEX('Annex 2 Designated EHV charges'!$A$10:$A$200, MATCH(0, IF(ISBLANK('Annex 2 Designated EHV charges'!$A$10:$A$200),1, COUNTIF(A$4:$A179, 'Annex 2 Designated EHV charges'!$A$10:$A$200)), 0)),"")</f>
        <v/>
      </c>
      <c r="B180" s="190" t="str">
        <f>IF($A180="","",VLOOKUP($A180,'Annex 2 Designated EHV charges'!$A:$O,2,0))</f>
        <v/>
      </c>
      <c r="C180" s="189" t="str">
        <f>IF($A180="","",VLOOKUP($A180,'Annex 2 Designated EHV charges'!$A:$O,3,0))</f>
        <v/>
      </c>
      <c r="D180" s="190" t="str">
        <f>IF($A180="","",VLOOKUP($A180,'Annex 2 Designated EHV charges'!$A:$O,7,0))</f>
        <v/>
      </c>
      <c r="E180" s="192" t="str">
        <f>IFERROR(IF(VLOOKUP($A180,'Annex 2 Designated EHV charges'!$A:$O,8,FALSE)=0,"",VLOOKUP($A180,'Annex 2 Designated EHV charges'!$A:$O,8,FALSE)),"")</f>
        <v/>
      </c>
      <c r="F180" s="193" t="str">
        <f>IFERROR(IF(VLOOKUP($A180,'Annex 2 Designated EHV charges'!$A:$O,9,FALSE)=0,"",VLOOKUP($A180,'Annex 2 Designated EHV charges'!$A:$O,9,FALSE)),"")</f>
        <v/>
      </c>
      <c r="G180" s="194" t="str">
        <f>IFERROR(IF(VLOOKUP($A180,'Annex 2 Designated EHV charges'!$A:$O,10,FALSE)=0,"",VLOOKUP($A180,'Annex 2 Designated EHV charges'!$A:$O,10,FALSE)),"")</f>
        <v/>
      </c>
      <c r="H180" s="194" t="str">
        <f>IFERROR(IF(VLOOKUP($A180,'Annex 2 Designated EHV charges'!$A:$O,11,FALSE)=0,"",VLOOKUP($A180,'Annex 2 Designated EHV charges'!$A:$O,11,FALSE)),"")</f>
        <v/>
      </c>
    </row>
    <row r="181" spans="1:8" x14ac:dyDescent="0.35">
      <c r="A181" s="190" t="str" cm="1">
        <f t="array" ref="A181">IFERROR(INDEX('Annex 2 Designated EHV charges'!$A$10:$A$200, MATCH(0, IF(ISBLANK('Annex 2 Designated EHV charges'!$A$10:$A$200),1, COUNTIF(A$4:$A180, 'Annex 2 Designated EHV charges'!$A$10:$A$200)), 0)),"")</f>
        <v/>
      </c>
      <c r="B181" s="190" t="str">
        <f>IF($A181="","",VLOOKUP($A181,'Annex 2 Designated EHV charges'!$A:$O,2,0))</f>
        <v/>
      </c>
      <c r="C181" s="189" t="str">
        <f>IF($A181="","",VLOOKUP($A181,'Annex 2 Designated EHV charges'!$A:$O,3,0))</f>
        <v/>
      </c>
      <c r="D181" s="190" t="str">
        <f>IF($A181="","",VLOOKUP($A181,'Annex 2 Designated EHV charges'!$A:$O,7,0))</f>
        <v/>
      </c>
      <c r="E181" s="192" t="str">
        <f>IFERROR(IF(VLOOKUP($A181,'Annex 2 Designated EHV charges'!$A:$O,8,FALSE)=0,"",VLOOKUP($A181,'Annex 2 Designated EHV charges'!$A:$O,8,FALSE)),"")</f>
        <v/>
      </c>
      <c r="F181" s="193" t="str">
        <f>IFERROR(IF(VLOOKUP($A181,'Annex 2 Designated EHV charges'!$A:$O,9,FALSE)=0,"",VLOOKUP($A181,'Annex 2 Designated EHV charges'!$A:$O,9,FALSE)),"")</f>
        <v/>
      </c>
      <c r="G181" s="194" t="str">
        <f>IFERROR(IF(VLOOKUP($A181,'Annex 2 Designated EHV charges'!$A:$O,10,FALSE)=0,"",VLOOKUP($A181,'Annex 2 Designated EHV charges'!$A:$O,10,FALSE)),"")</f>
        <v/>
      </c>
      <c r="H181" s="194" t="str">
        <f>IFERROR(IF(VLOOKUP($A181,'Annex 2 Designated EHV charges'!$A:$O,11,FALSE)=0,"",VLOOKUP($A181,'Annex 2 Designated EHV charges'!$A:$O,11,FALSE)),"")</f>
        <v/>
      </c>
    </row>
    <row r="182" spans="1:8" x14ac:dyDescent="0.35">
      <c r="A182" s="190" t="str" cm="1">
        <f t="array" ref="A182">IFERROR(INDEX('Annex 2 Designated EHV charges'!$A$10:$A$200, MATCH(0, IF(ISBLANK('Annex 2 Designated EHV charges'!$A$10:$A$200),1, COUNTIF(A$4:$A181, 'Annex 2 Designated EHV charges'!$A$10:$A$200)), 0)),"")</f>
        <v/>
      </c>
      <c r="B182" s="190" t="str">
        <f>IF($A182="","",VLOOKUP($A182,'Annex 2 Designated EHV charges'!$A:$O,2,0))</f>
        <v/>
      </c>
      <c r="C182" s="189" t="str">
        <f>IF($A182="","",VLOOKUP($A182,'Annex 2 Designated EHV charges'!$A:$O,3,0))</f>
        <v/>
      </c>
      <c r="D182" s="190" t="str">
        <f>IF($A182="","",VLOOKUP($A182,'Annex 2 Designated EHV charges'!$A:$O,7,0))</f>
        <v/>
      </c>
      <c r="E182" s="192" t="str">
        <f>IFERROR(IF(VLOOKUP($A182,'Annex 2 Designated EHV charges'!$A:$O,8,FALSE)=0,"",VLOOKUP($A182,'Annex 2 Designated EHV charges'!$A:$O,8,FALSE)),"")</f>
        <v/>
      </c>
      <c r="F182" s="193" t="str">
        <f>IFERROR(IF(VLOOKUP($A182,'Annex 2 Designated EHV charges'!$A:$O,9,FALSE)=0,"",VLOOKUP($A182,'Annex 2 Designated EHV charges'!$A:$O,9,FALSE)),"")</f>
        <v/>
      </c>
      <c r="G182" s="194" t="str">
        <f>IFERROR(IF(VLOOKUP($A182,'Annex 2 Designated EHV charges'!$A:$O,10,FALSE)=0,"",VLOOKUP($A182,'Annex 2 Designated EHV charges'!$A:$O,10,FALSE)),"")</f>
        <v/>
      </c>
      <c r="H182" s="194" t="str">
        <f>IFERROR(IF(VLOOKUP($A182,'Annex 2 Designated EHV charges'!$A:$O,11,FALSE)=0,"",VLOOKUP($A182,'Annex 2 Designated EHV charges'!$A:$O,11,FALSE)),"")</f>
        <v/>
      </c>
    </row>
    <row r="183" spans="1:8" x14ac:dyDescent="0.35">
      <c r="A183" s="190" t="str" cm="1">
        <f t="array" ref="A183">IFERROR(INDEX('Annex 2 Designated EHV charges'!$A$10:$A$200, MATCH(0, IF(ISBLANK('Annex 2 Designated EHV charges'!$A$10:$A$200),1, COUNTIF(A$4:$A182, 'Annex 2 Designated EHV charges'!$A$10:$A$200)), 0)),"")</f>
        <v/>
      </c>
      <c r="B183" s="190" t="str">
        <f>IF($A183="","",VLOOKUP($A183,'Annex 2 Designated EHV charges'!$A:$O,2,0))</f>
        <v/>
      </c>
      <c r="C183" s="189" t="str">
        <f>IF($A183="","",VLOOKUP($A183,'Annex 2 Designated EHV charges'!$A:$O,3,0))</f>
        <v/>
      </c>
      <c r="D183" s="190" t="str">
        <f>IF($A183="","",VLOOKUP($A183,'Annex 2 Designated EHV charges'!$A:$O,7,0))</f>
        <v/>
      </c>
      <c r="E183" s="192" t="str">
        <f>IFERROR(IF(VLOOKUP($A183,'Annex 2 Designated EHV charges'!$A:$O,8,FALSE)=0,"",VLOOKUP($A183,'Annex 2 Designated EHV charges'!$A:$O,8,FALSE)),"")</f>
        <v/>
      </c>
      <c r="F183" s="193" t="str">
        <f>IFERROR(IF(VLOOKUP($A183,'Annex 2 Designated EHV charges'!$A:$O,9,FALSE)=0,"",VLOOKUP($A183,'Annex 2 Designated EHV charges'!$A:$O,9,FALSE)),"")</f>
        <v/>
      </c>
      <c r="G183" s="194" t="str">
        <f>IFERROR(IF(VLOOKUP($A183,'Annex 2 Designated EHV charges'!$A:$O,10,FALSE)=0,"",VLOOKUP($A183,'Annex 2 Designated EHV charges'!$A:$O,10,FALSE)),"")</f>
        <v/>
      </c>
      <c r="H183" s="194" t="str">
        <f>IFERROR(IF(VLOOKUP($A183,'Annex 2 Designated EHV charges'!$A:$O,11,FALSE)=0,"",VLOOKUP($A183,'Annex 2 Designated EHV charges'!$A:$O,11,FALSE)),"")</f>
        <v/>
      </c>
    </row>
    <row r="184" spans="1:8" x14ac:dyDescent="0.35">
      <c r="A184" s="190" t="str" cm="1">
        <f t="array" ref="A184">IFERROR(INDEX('Annex 2 Designated EHV charges'!$A$10:$A$200, MATCH(0, IF(ISBLANK('Annex 2 Designated EHV charges'!$A$10:$A$200),1, COUNTIF(A$4:$A183, 'Annex 2 Designated EHV charges'!$A$10:$A$200)), 0)),"")</f>
        <v/>
      </c>
      <c r="B184" s="190" t="str">
        <f>IF($A184="","",VLOOKUP($A184,'Annex 2 Designated EHV charges'!$A:$O,2,0))</f>
        <v/>
      </c>
      <c r="C184" s="189" t="str">
        <f>IF($A184="","",VLOOKUP($A184,'Annex 2 Designated EHV charges'!$A:$O,3,0))</f>
        <v/>
      </c>
      <c r="D184" s="190" t="str">
        <f>IF($A184="","",VLOOKUP($A184,'Annex 2 Designated EHV charges'!$A:$O,7,0))</f>
        <v/>
      </c>
      <c r="E184" s="192" t="str">
        <f>IFERROR(IF(VLOOKUP($A184,'Annex 2 Designated EHV charges'!$A:$O,8,FALSE)=0,"",VLOOKUP($A184,'Annex 2 Designated EHV charges'!$A:$O,8,FALSE)),"")</f>
        <v/>
      </c>
      <c r="F184" s="193" t="str">
        <f>IFERROR(IF(VLOOKUP($A184,'Annex 2 Designated EHV charges'!$A:$O,9,FALSE)=0,"",VLOOKUP($A184,'Annex 2 Designated EHV charges'!$A:$O,9,FALSE)),"")</f>
        <v/>
      </c>
      <c r="G184" s="194" t="str">
        <f>IFERROR(IF(VLOOKUP($A184,'Annex 2 Designated EHV charges'!$A:$O,10,FALSE)=0,"",VLOOKUP($A184,'Annex 2 Designated EHV charges'!$A:$O,10,FALSE)),"")</f>
        <v/>
      </c>
      <c r="H184" s="194" t="str">
        <f>IFERROR(IF(VLOOKUP($A184,'Annex 2 Designated EHV charges'!$A:$O,11,FALSE)=0,"",VLOOKUP($A184,'Annex 2 Designated EHV charges'!$A:$O,11,FALSE)),"")</f>
        <v/>
      </c>
    </row>
    <row r="185" spans="1:8" x14ac:dyDescent="0.35">
      <c r="A185" s="190" t="str" cm="1">
        <f t="array" ref="A185">IFERROR(INDEX('Annex 2 Designated EHV charges'!$A$10:$A$200, MATCH(0, IF(ISBLANK('Annex 2 Designated EHV charges'!$A$10:$A$200),1, COUNTIF(A$4:$A184, 'Annex 2 Designated EHV charges'!$A$10:$A$200)), 0)),"")</f>
        <v/>
      </c>
      <c r="B185" s="190" t="str">
        <f>IF($A185="","",VLOOKUP($A185,'Annex 2 Designated EHV charges'!$A:$O,2,0))</f>
        <v/>
      </c>
      <c r="C185" s="189" t="str">
        <f>IF($A185="","",VLOOKUP($A185,'Annex 2 Designated EHV charges'!$A:$O,3,0))</f>
        <v/>
      </c>
      <c r="D185" s="190" t="str">
        <f>IF($A185="","",VLOOKUP($A185,'Annex 2 Designated EHV charges'!$A:$O,7,0))</f>
        <v/>
      </c>
      <c r="E185" s="192" t="str">
        <f>IFERROR(IF(VLOOKUP($A185,'Annex 2 Designated EHV charges'!$A:$O,8,FALSE)=0,"",VLOOKUP($A185,'Annex 2 Designated EHV charges'!$A:$O,8,FALSE)),"")</f>
        <v/>
      </c>
      <c r="F185" s="193" t="str">
        <f>IFERROR(IF(VLOOKUP($A185,'Annex 2 Designated EHV charges'!$A:$O,9,FALSE)=0,"",VLOOKUP($A185,'Annex 2 Designated EHV charges'!$A:$O,9,FALSE)),"")</f>
        <v/>
      </c>
      <c r="G185" s="194" t="str">
        <f>IFERROR(IF(VLOOKUP($A185,'Annex 2 Designated EHV charges'!$A:$O,10,FALSE)=0,"",VLOOKUP($A185,'Annex 2 Designated EHV charges'!$A:$O,10,FALSE)),"")</f>
        <v/>
      </c>
      <c r="H185" s="194" t="str">
        <f>IFERROR(IF(VLOOKUP($A185,'Annex 2 Designated EHV charges'!$A:$O,11,FALSE)=0,"",VLOOKUP($A185,'Annex 2 Designated EHV charges'!$A:$O,11,FALSE)),"")</f>
        <v/>
      </c>
    </row>
    <row r="186" spans="1:8" x14ac:dyDescent="0.35">
      <c r="A186" s="190" t="str" cm="1">
        <f t="array" ref="A186">IFERROR(INDEX('Annex 2 Designated EHV charges'!$A$10:$A$200, MATCH(0, IF(ISBLANK('Annex 2 Designated EHV charges'!$A$10:$A$200),1, COUNTIF(A$4:$A185, 'Annex 2 Designated EHV charges'!$A$10:$A$200)), 0)),"")</f>
        <v/>
      </c>
      <c r="B186" s="190" t="str">
        <f>IF($A186="","",VLOOKUP($A186,'Annex 2 Designated EHV charges'!$A:$O,2,0))</f>
        <v/>
      </c>
      <c r="C186" s="189" t="str">
        <f>IF($A186="","",VLOOKUP($A186,'Annex 2 Designated EHV charges'!$A:$O,3,0))</f>
        <v/>
      </c>
      <c r="D186" s="190" t="str">
        <f>IF($A186="","",VLOOKUP($A186,'Annex 2 Designated EHV charges'!$A:$O,7,0))</f>
        <v/>
      </c>
      <c r="E186" s="192" t="str">
        <f>IFERROR(IF(VLOOKUP($A186,'Annex 2 Designated EHV charges'!$A:$O,8,FALSE)=0,"",VLOOKUP($A186,'Annex 2 Designated EHV charges'!$A:$O,8,FALSE)),"")</f>
        <v/>
      </c>
      <c r="F186" s="193" t="str">
        <f>IFERROR(IF(VLOOKUP($A186,'Annex 2 Designated EHV charges'!$A:$O,9,FALSE)=0,"",VLOOKUP($A186,'Annex 2 Designated EHV charges'!$A:$O,9,FALSE)),"")</f>
        <v/>
      </c>
      <c r="G186" s="194" t="str">
        <f>IFERROR(IF(VLOOKUP($A186,'Annex 2 Designated EHV charges'!$A:$O,10,FALSE)=0,"",VLOOKUP($A186,'Annex 2 Designated EHV charges'!$A:$O,10,FALSE)),"")</f>
        <v/>
      </c>
      <c r="H186" s="194" t="str">
        <f>IFERROR(IF(VLOOKUP($A186,'Annex 2 Designated EHV charges'!$A:$O,11,FALSE)=0,"",VLOOKUP($A186,'Annex 2 Designated EHV charges'!$A:$O,11,FALSE)),"")</f>
        <v/>
      </c>
    </row>
    <row r="187" spans="1:8" x14ac:dyDescent="0.35">
      <c r="A187" s="190" t="str" cm="1">
        <f t="array" ref="A187">IFERROR(INDEX('Annex 2 Designated EHV charges'!$A$10:$A$200, MATCH(0, IF(ISBLANK('Annex 2 Designated EHV charges'!$A$10:$A$200),1, COUNTIF(A$4:$A186, 'Annex 2 Designated EHV charges'!$A$10:$A$200)), 0)),"")</f>
        <v/>
      </c>
      <c r="B187" s="190" t="str">
        <f>IF($A187="","",VLOOKUP($A187,'Annex 2 Designated EHV charges'!$A:$O,2,0))</f>
        <v/>
      </c>
      <c r="C187" s="189" t="str">
        <f>IF($A187="","",VLOOKUP($A187,'Annex 2 Designated EHV charges'!$A:$O,3,0))</f>
        <v/>
      </c>
      <c r="D187" s="190" t="str">
        <f>IF($A187="","",VLOOKUP($A187,'Annex 2 Designated EHV charges'!$A:$O,7,0))</f>
        <v/>
      </c>
      <c r="E187" s="192" t="str">
        <f>IFERROR(IF(VLOOKUP($A187,'Annex 2 Designated EHV charges'!$A:$O,8,FALSE)=0,"",VLOOKUP($A187,'Annex 2 Designated EHV charges'!$A:$O,8,FALSE)),"")</f>
        <v/>
      </c>
      <c r="F187" s="193" t="str">
        <f>IFERROR(IF(VLOOKUP($A187,'Annex 2 Designated EHV charges'!$A:$O,9,FALSE)=0,"",VLOOKUP($A187,'Annex 2 Designated EHV charges'!$A:$O,9,FALSE)),"")</f>
        <v/>
      </c>
      <c r="G187" s="194" t="str">
        <f>IFERROR(IF(VLOOKUP($A187,'Annex 2 Designated EHV charges'!$A:$O,10,FALSE)=0,"",VLOOKUP($A187,'Annex 2 Designated EHV charges'!$A:$O,10,FALSE)),"")</f>
        <v/>
      </c>
      <c r="H187" s="194" t="str">
        <f>IFERROR(IF(VLOOKUP($A187,'Annex 2 Designated EHV charges'!$A:$O,11,FALSE)=0,"",VLOOKUP($A187,'Annex 2 Designated EHV charges'!$A:$O,11,FALSE)),"")</f>
        <v/>
      </c>
    </row>
    <row r="188" spans="1:8" x14ac:dyDescent="0.35">
      <c r="A188" s="190" t="str" cm="1">
        <f t="array" ref="A188">IFERROR(INDEX('Annex 2 Designated EHV charges'!$A$10:$A$200, MATCH(0, IF(ISBLANK('Annex 2 Designated EHV charges'!$A$10:$A$200),1, COUNTIF(A$4:$A187, 'Annex 2 Designated EHV charges'!$A$10:$A$200)), 0)),"")</f>
        <v/>
      </c>
      <c r="B188" s="190" t="str">
        <f>IF($A188="","",VLOOKUP($A188,'Annex 2 Designated EHV charges'!$A:$O,2,0))</f>
        <v/>
      </c>
      <c r="C188" s="189" t="str">
        <f>IF($A188="","",VLOOKUP($A188,'Annex 2 Designated EHV charges'!$A:$O,3,0))</f>
        <v/>
      </c>
      <c r="D188" s="190" t="str">
        <f>IF($A188="","",VLOOKUP($A188,'Annex 2 Designated EHV charges'!$A:$O,7,0))</f>
        <v/>
      </c>
      <c r="E188" s="192" t="str">
        <f>IFERROR(IF(VLOOKUP($A188,'Annex 2 Designated EHV charges'!$A:$O,8,FALSE)=0,"",VLOOKUP($A188,'Annex 2 Designated EHV charges'!$A:$O,8,FALSE)),"")</f>
        <v/>
      </c>
      <c r="F188" s="193" t="str">
        <f>IFERROR(IF(VLOOKUP($A188,'Annex 2 Designated EHV charges'!$A:$O,9,FALSE)=0,"",VLOOKUP($A188,'Annex 2 Designated EHV charges'!$A:$O,9,FALSE)),"")</f>
        <v/>
      </c>
      <c r="G188" s="194" t="str">
        <f>IFERROR(IF(VLOOKUP($A188,'Annex 2 Designated EHV charges'!$A:$O,10,FALSE)=0,"",VLOOKUP($A188,'Annex 2 Designated EHV charges'!$A:$O,10,FALSE)),"")</f>
        <v/>
      </c>
      <c r="H188" s="194" t="str">
        <f>IFERROR(IF(VLOOKUP($A188,'Annex 2 Designated EHV charges'!$A:$O,11,FALSE)=0,"",VLOOKUP($A188,'Annex 2 Designated EHV charges'!$A:$O,11,FALSE)),"")</f>
        <v/>
      </c>
    </row>
    <row r="189" spans="1:8" x14ac:dyDescent="0.35">
      <c r="A189" s="190" t="str" cm="1">
        <f t="array" ref="A189">IFERROR(INDEX('Annex 2 Designated EHV charges'!$A$10:$A$200, MATCH(0, IF(ISBLANK('Annex 2 Designated EHV charges'!$A$10:$A$200),1, COUNTIF(A$4:$A188, 'Annex 2 Designated EHV charges'!$A$10:$A$200)), 0)),"")</f>
        <v/>
      </c>
      <c r="B189" s="190" t="str">
        <f>IF($A189="","",VLOOKUP($A189,'Annex 2 Designated EHV charges'!$A:$O,2,0))</f>
        <v/>
      </c>
      <c r="C189" s="189" t="str">
        <f>IF($A189="","",VLOOKUP($A189,'Annex 2 Designated EHV charges'!$A:$O,3,0))</f>
        <v/>
      </c>
      <c r="D189" s="190" t="str">
        <f>IF($A189="","",VLOOKUP($A189,'Annex 2 Designated EHV charges'!$A:$O,7,0))</f>
        <v/>
      </c>
      <c r="E189" s="192" t="str">
        <f>IFERROR(IF(VLOOKUP($A189,'Annex 2 Designated EHV charges'!$A:$O,8,FALSE)=0,"",VLOOKUP($A189,'Annex 2 Designated EHV charges'!$A:$O,8,FALSE)),"")</f>
        <v/>
      </c>
      <c r="F189" s="193" t="str">
        <f>IFERROR(IF(VLOOKUP($A189,'Annex 2 Designated EHV charges'!$A:$O,9,FALSE)=0,"",VLOOKUP($A189,'Annex 2 Designated EHV charges'!$A:$O,9,FALSE)),"")</f>
        <v/>
      </c>
      <c r="G189" s="194" t="str">
        <f>IFERROR(IF(VLOOKUP($A189,'Annex 2 Designated EHV charges'!$A:$O,10,FALSE)=0,"",VLOOKUP($A189,'Annex 2 Designated EHV charges'!$A:$O,10,FALSE)),"")</f>
        <v/>
      </c>
      <c r="H189" s="194" t="str">
        <f>IFERROR(IF(VLOOKUP($A189,'Annex 2 Designated EHV charges'!$A:$O,11,FALSE)=0,"",VLOOKUP($A189,'Annex 2 Designated EHV charges'!$A:$O,11,FALSE)),"")</f>
        <v/>
      </c>
    </row>
    <row r="190" spans="1:8" x14ac:dyDescent="0.35">
      <c r="A190" s="190" t="str" cm="1">
        <f t="array" ref="A190">IFERROR(INDEX('Annex 2 Designated EHV charges'!$A$10:$A$200, MATCH(0, IF(ISBLANK('Annex 2 Designated EHV charges'!$A$10:$A$200),1, COUNTIF(A$4:$A189, 'Annex 2 Designated EHV charges'!$A$10:$A$200)), 0)),"")</f>
        <v/>
      </c>
      <c r="B190" s="190" t="str">
        <f>IF($A190="","",VLOOKUP($A190,'Annex 2 Designated EHV charges'!$A:$O,2,0))</f>
        <v/>
      </c>
      <c r="C190" s="189" t="str">
        <f>IF($A190="","",VLOOKUP($A190,'Annex 2 Designated EHV charges'!$A:$O,3,0))</f>
        <v/>
      </c>
      <c r="D190" s="190" t="str">
        <f>IF($A190="","",VLOOKUP($A190,'Annex 2 Designated EHV charges'!$A:$O,7,0))</f>
        <v/>
      </c>
      <c r="E190" s="192" t="str">
        <f>IFERROR(IF(VLOOKUP($A190,'Annex 2 Designated EHV charges'!$A:$O,8,FALSE)=0,"",VLOOKUP($A190,'Annex 2 Designated EHV charges'!$A:$O,8,FALSE)),"")</f>
        <v/>
      </c>
      <c r="F190" s="193" t="str">
        <f>IFERROR(IF(VLOOKUP($A190,'Annex 2 Designated EHV charges'!$A:$O,9,FALSE)=0,"",VLOOKUP($A190,'Annex 2 Designated EHV charges'!$A:$O,9,FALSE)),"")</f>
        <v/>
      </c>
      <c r="G190" s="194" t="str">
        <f>IFERROR(IF(VLOOKUP($A190,'Annex 2 Designated EHV charges'!$A:$O,10,FALSE)=0,"",VLOOKUP($A190,'Annex 2 Designated EHV charges'!$A:$O,10,FALSE)),"")</f>
        <v/>
      </c>
      <c r="H190" s="194" t="str">
        <f>IFERROR(IF(VLOOKUP($A190,'Annex 2 Designated EHV charges'!$A:$O,11,FALSE)=0,"",VLOOKUP($A190,'Annex 2 Designated EHV charges'!$A:$O,11,FALSE)),"")</f>
        <v/>
      </c>
    </row>
    <row r="191" spans="1:8" x14ac:dyDescent="0.35">
      <c r="A191" s="190" t="str" cm="1">
        <f t="array" ref="A191">IFERROR(INDEX('Annex 2 Designated EHV charges'!$A$10:$A$200, MATCH(0, IF(ISBLANK('Annex 2 Designated EHV charges'!$A$10:$A$200),1, COUNTIF(A$4:$A190, 'Annex 2 Designated EHV charges'!$A$10:$A$200)), 0)),"")</f>
        <v/>
      </c>
      <c r="B191" s="190" t="str">
        <f>IF($A191="","",VLOOKUP($A191,'Annex 2 Designated EHV charges'!$A:$O,2,0))</f>
        <v/>
      </c>
      <c r="C191" s="189" t="str">
        <f>IF($A191="","",VLOOKUP($A191,'Annex 2 Designated EHV charges'!$A:$O,3,0))</f>
        <v/>
      </c>
      <c r="D191" s="190" t="str">
        <f>IF($A191="","",VLOOKUP($A191,'Annex 2 Designated EHV charges'!$A:$O,7,0))</f>
        <v/>
      </c>
      <c r="E191" s="192" t="str">
        <f>IFERROR(IF(VLOOKUP($A191,'Annex 2 Designated EHV charges'!$A:$O,8,FALSE)=0,"",VLOOKUP($A191,'Annex 2 Designated EHV charges'!$A:$O,8,FALSE)),"")</f>
        <v/>
      </c>
      <c r="F191" s="193" t="str">
        <f>IFERROR(IF(VLOOKUP($A191,'Annex 2 Designated EHV charges'!$A:$O,9,FALSE)=0,"",VLOOKUP($A191,'Annex 2 Designated EHV charges'!$A:$O,9,FALSE)),"")</f>
        <v/>
      </c>
      <c r="G191" s="194" t="str">
        <f>IFERROR(IF(VLOOKUP($A191,'Annex 2 Designated EHV charges'!$A:$O,10,FALSE)=0,"",VLOOKUP($A191,'Annex 2 Designated EHV charges'!$A:$O,10,FALSE)),"")</f>
        <v/>
      </c>
      <c r="H191" s="194" t="str">
        <f>IFERROR(IF(VLOOKUP($A191,'Annex 2 Designated EHV charges'!$A:$O,11,FALSE)=0,"",VLOOKUP($A191,'Annex 2 Designated EHV charges'!$A:$O,11,FALSE)),"")</f>
        <v/>
      </c>
    </row>
    <row r="192" spans="1:8" x14ac:dyDescent="0.35">
      <c r="A192" s="190" t="str" cm="1">
        <f t="array" ref="A192">IFERROR(INDEX('Annex 2 Designated EHV charges'!$A$10:$A$200, MATCH(0, IF(ISBLANK('Annex 2 Designated EHV charges'!$A$10:$A$200),1, COUNTIF(A$4:$A191, 'Annex 2 Designated EHV charges'!$A$10:$A$200)), 0)),"")</f>
        <v/>
      </c>
      <c r="B192" s="190" t="str">
        <f>IF($A192="","",VLOOKUP($A192,'Annex 2 Designated EHV charges'!$A:$O,2,0))</f>
        <v/>
      </c>
      <c r="C192" s="189" t="str">
        <f>IF($A192="","",VLOOKUP($A192,'Annex 2 Designated EHV charges'!$A:$O,3,0))</f>
        <v/>
      </c>
      <c r="D192" s="190" t="str">
        <f>IF($A192="","",VLOOKUP($A192,'Annex 2 Designated EHV charges'!$A:$O,7,0))</f>
        <v/>
      </c>
      <c r="E192" s="192" t="str">
        <f>IFERROR(IF(VLOOKUP($A192,'Annex 2 Designated EHV charges'!$A:$O,8,FALSE)=0,"",VLOOKUP($A192,'Annex 2 Designated EHV charges'!$A:$O,8,FALSE)),"")</f>
        <v/>
      </c>
      <c r="F192" s="193" t="str">
        <f>IFERROR(IF(VLOOKUP($A192,'Annex 2 Designated EHV charges'!$A:$O,9,FALSE)=0,"",VLOOKUP($A192,'Annex 2 Designated EHV charges'!$A:$O,9,FALSE)),"")</f>
        <v/>
      </c>
      <c r="G192" s="194" t="str">
        <f>IFERROR(IF(VLOOKUP($A192,'Annex 2 Designated EHV charges'!$A:$O,10,FALSE)=0,"",VLOOKUP($A192,'Annex 2 Designated EHV charges'!$A:$O,10,FALSE)),"")</f>
        <v/>
      </c>
      <c r="H192" s="194" t="str">
        <f>IFERROR(IF(VLOOKUP($A192,'Annex 2 Designated EHV charges'!$A:$O,11,FALSE)=0,"",VLOOKUP($A192,'Annex 2 Designated EHV charges'!$A:$O,11,FALSE)),"")</f>
        <v/>
      </c>
    </row>
    <row r="193" spans="1:8" x14ac:dyDescent="0.35">
      <c r="A193" s="190" t="str" cm="1">
        <f t="array" ref="A193">IFERROR(INDEX('Annex 2 Designated EHV charges'!$A$10:$A$200, MATCH(0, IF(ISBLANK('Annex 2 Designated EHV charges'!$A$10:$A$200),1, COUNTIF(A$4:$A192, 'Annex 2 Designated EHV charges'!$A$10:$A$200)), 0)),"")</f>
        <v/>
      </c>
      <c r="B193" s="190" t="str">
        <f>IF($A193="","",VLOOKUP($A193,'Annex 2 Designated EHV charges'!$A:$O,2,0))</f>
        <v/>
      </c>
      <c r="C193" s="189" t="str">
        <f>IF($A193="","",VLOOKUP($A193,'Annex 2 Designated EHV charges'!$A:$O,3,0))</f>
        <v/>
      </c>
      <c r="D193" s="190" t="str">
        <f>IF($A193="","",VLOOKUP($A193,'Annex 2 Designated EHV charges'!$A:$O,7,0))</f>
        <v/>
      </c>
      <c r="E193" s="192" t="str">
        <f>IFERROR(IF(VLOOKUP($A193,'Annex 2 Designated EHV charges'!$A:$O,8,FALSE)=0,"",VLOOKUP($A193,'Annex 2 Designated EHV charges'!$A:$O,8,FALSE)),"")</f>
        <v/>
      </c>
      <c r="F193" s="193" t="str">
        <f>IFERROR(IF(VLOOKUP($A193,'Annex 2 Designated EHV charges'!$A:$O,9,FALSE)=0,"",VLOOKUP($A193,'Annex 2 Designated EHV charges'!$A:$O,9,FALSE)),"")</f>
        <v/>
      </c>
      <c r="G193" s="194" t="str">
        <f>IFERROR(IF(VLOOKUP($A193,'Annex 2 Designated EHV charges'!$A:$O,10,FALSE)=0,"",VLOOKUP($A193,'Annex 2 Designated EHV charges'!$A:$O,10,FALSE)),"")</f>
        <v/>
      </c>
      <c r="H193" s="194" t="str">
        <f>IFERROR(IF(VLOOKUP($A193,'Annex 2 Designated EHV charges'!$A:$O,11,FALSE)=0,"",VLOOKUP($A193,'Annex 2 Designated EHV charges'!$A:$O,11,FALSE)),"")</f>
        <v/>
      </c>
    </row>
    <row r="194" spans="1:8" x14ac:dyDescent="0.35">
      <c r="A194" s="190" t="str" cm="1">
        <f t="array" ref="A194">IFERROR(INDEX('Annex 2 Designated EHV charges'!$A$10:$A$200, MATCH(0, IF(ISBLANK('Annex 2 Designated EHV charges'!$A$10:$A$200),1, COUNTIF(A$4:$A193, 'Annex 2 Designated EHV charges'!$A$10:$A$200)), 0)),"")</f>
        <v/>
      </c>
      <c r="B194" s="190" t="str">
        <f>IF($A194="","",VLOOKUP($A194,'Annex 2 Designated EHV charges'!$A:$O,2,0))</f>
        <v/>
      </c>
      <c r="C194" s="189" t="str">
        <f>IF($A194="","",VLOOKUP($A194,'Annex 2 Designated EHV charges'!$A:$O,3,0))</f>
        <v/>
      </c>
      <c r="D194" s="190" t="str">
        <f>IF($A194="","",VLOOKUP($A194,'Annex 2 Designated EHV charges'!$A:$O,7,0))</f>
        <v/>
      </c>
      <c r="E194" s="192" t="str">
        <f>IFERROR(IF(VLOOKUP($A194,'Annex 2 Designated EHV charges'!$A:$O,8,FALSE)=0,"",VLOOKUP($A194,'Annex 2 Designated EHV charges'!$A:$O,8,FALSE)),"")</f>
        <v/>
      </c>
      <c r="F194" s="193" t="str">
        <f>IFERROR(IF(VLOOKUP($A194,'Annex 2 Designated EHV charges'!$A:$O,9,FALSE)=0,"",VLOOKUP($A194,'Annex 2 Designated EHV charges'!$A:$O,9,FALSE)),"")</f>
        <v/>
      </c>
      <c r="G194" s="194" t="str">
        <f>IFERROR(IF(VLOOKUP($A194,'Annex 2 Designated EHV charges'!$A:$O,10,FALSE)=0,"",VLOOKUP($A194,'Annex 2 Designated EHV charges'!$A:$O,10,FALSE)),"")</f>
        <v/>
      </c>
      <c r="H194" s="194" t="str">
        <f>IFERROR(IF(VLOOKUP($A194,'Annex 2 Designated EHV charges'!$A:$O,11,FALSE)=0,"",VLOOKUP($A194,'Annex 2 Designated EHV charges'!$A:$O,11,FALSE)),"")</f>
        <v/>
      </c>
    </row>
    <row r="195" spans="1:8" x14ac:dyDescent="0.35">
      <c r="A195" s="190" t="str" cm="1">
        <f t="array" ref="A195">IFERROR(INDEX('Annex 2 Designated EHV charges'!$A$10:$A$200, MATCH(0, IF(ISBLANK('Annex 2 Designated EHV charges'!$A$10:$A$200),1, COUNTIF(A$4:$A194, 'Annex 2 Designated EHV charges'!$A$10:$A$200)), 0)),"")</f>
        <v/>
      </c>
      <c r="B195" s="190" t="str">
        <f>IF($A195="","",VLOOKUP($A195,'Annex 2 Designated EHV charges'!$A:$O,2,0))</f>
        <v/>
      </c>
      <c r="C195" s="189" t="str">
        <f>IF($A195="","",VLOOKUP($A195,'Annex 2 Designated EHV charges'!$A:$O,3,0))</f>
        <v/>
      </c>
      <c r="D195" s="190" t="str">
        <f>IF($A195="","",VLOOKUP($A195,'Annex 2 Designated EHV charges'!$A:$O,7,0))</f>
        <v/>
      </c>
      <c r="E195" s="192" t="str">
        <f>IFERROR(IF(VLOOKUP($A195,'Annex 2 Designated EHV charges'!$A:$O,8,FALSE)=0,"",VLOOKUP($A195,'Annex 2 Designated EHV charges'!$A:$O,8,FALSE)),"")</f>
        <v/>
      </c>
      <c r="F195" s="193" t="str">
        <f>IFERROR(IF(VLOOKUP($A195,'Annex 2 Designated EHV charges'!$A:$O,9,FALSE)=0,"",VLOOKUP($A195,'Annex 2 Designated EHV charges'!$A:$O,9,FALSE)),"")</f>
        <v/>
      </c>
      <c r="G195" s="194" t="str">
        <f>IFERROR(IF(VLOOKUP($A195,'Annex 2 Designated EHV charges'!$A:$O,10,FALSE)=0,"",VLOOKUP($A195,'Annex 2 Designated EHV charges'!$A:$O,10,FALSE)),"")</f>
        <v/>
      </c>
      <c r="H195" s="194" t="str">
        <f>IFERROR(IF(VLOOKUP($A195,'Annex 2 Designated EHV charges'!$A:$O,11,FALSE)=0,"",VLOOKUP($A195,'Annex 2 Designated EHV charges'!$A:$O,11,FALSE)),"")</f>
        <v/>
      </c>
    </row>
    <row r="196" spans="1:8" x14ac:dyDescent="0.35">
      <c r="A196" s="190" t="str" cm="1">
        <f t="array" ref="A196">IFERROR(INDEX('Annex 2 Designated EHV charges'!$A$10:$A$200, MATCH(0, IF(ISBLANK('Annex 2 Designated EHV charges'!$A$10:$A$200),1, COUNTIF(A$4:$A195, 'Annex 2 Designated EHV charges'!$A$10:$A$200)), 0)),"")</f>
        <v/>
      </c>
      <c r="B196" s="190" t="str">
        <f>IF($A196="","",VLOOKUP($A196,'Annex 2 Designated EHV charges'!$A:$O,2,0))</f>
        <v/>
      </c>
      <c r="C196" s="189" t="str">
        <f>IF($A196="","",VLOOKUP($A196,'Annex 2 Designated EHV charges'!$A:$O,3,0))</f>
        <v/>
      </c>
      <c r="D196" s="190" t="str">
        <f>IF($A196="","",VLOOKUP($A196,'Annex 2 Designated EHV charges'!$A:$O,7,0))</f>
        <v/>
      </c>
      <c r="E196" s="192" t="str">
        <f>IFERROR(IF(VLOOKUP($A196,'Annex 2 Designated EHV charges'!$A:$O,8,FALSE)=0,"",VLOOKUP($A196,'Annex 2 Designated EHV charges'!$A:$O,8,FALSE)),"")</f>
        <v/>
      </c>
      <c r="F196" s="193" t="str">
        <f>IFERROR(IF(VLOOKUP($A196,'Annex 2 Designated EHV charges'!$A:$O,9,FALSE)=0,"",VLOOKUP($A196,'Annex 2 Designated EHV charges'!$A:$O,9,FALSE)),"")</f>
        <v/>
      </c>
      <c r="G196" s="194" t="str">
        <f>IFERROR(IF(VLOOKUP($A196,'Annex 2 Designated EHV charges'!$A:$O,10,FALSE)=0,"",VLOOKUP($A196,'Annex 2 Designated EHV charges'!$A:$O,10,FALSE)),"")</f>
        <v/>
      </c>
      <c r="H196" s="194" t="str">
        <f>IFERROR(IF(VLOOKUP($A196,'Annex 2 Designated EHV charges'!$A:$O,11,FALSE)=0,"",VLOOKUP($A196,'Annex 2 Designated EHV charges'!$A:$O,11,FALSE)),"")</f>
        <v/>
      </c>
    </row>
    <row r="197" spans="1:8" x14ac:dyDescent="0.35">
      <c r="A197" s="190" t="str" cm="1">
        <f t="array" ref="A197">IFERROR(INDEX('Annex 2 Designated EHV charges'!$A$10:$A$200, MATCH(0, IF(ISBLANK('Annex 2 Designated EHV charges'!$A$10:$A$200),1, COUNTIF(A$4:$A196, 'Annex 2 Designated EHV charges'!$A$10:$A$200)), 0)),"")</f>
        <v/>
      </c>
      <c r="B197" s="190" t="str">
        <f>IF($A197="","",VLOOKUP($A197,'Annex 2 Designated EHV charges'!$A:$O,2,0))</f>
        <v/>
      </c>
      <c r="C197" s="189" t="str">
        <f>IF($A197="","",VLOOKUP($A197,'Annex 2 Designated EHV charges'!$A:$O,3,0))</f>
        <v/>
      </c>
      <c r="D197" s="190" t="str">
        <f>IF($A197="","",VLOOKUP($A197,'Annex 2 Designated EHV charges'!$A:$O,7,0))</f>
        <v/>
      </c>
      <c r="E197" s="192" t="str">
        <f>IFERROR(IF(VLOOKUP($A197,'Annex 2 Designated EHV charges'!$A:$O,8,FALSE)=0,"",VLOOKUP($A197,'Annex 2 Designated EHV charges'!$A:$O,8,FALSE)),"")</f>
        <v/>
      </c>
      <c r="F197" s="193" t="str">
        <f>IFERROR(IF(VLOOKUP($A197,'Annex 2 Designated EHV charges'!$A:$O,9,FALSE)=0,"",VLOOKUP($A197,'Annex 2 Designated EHV charges'!$A:$O,9,FALSE)),"")</f>
        <v/>
      </c>
      <c r="G197" s="194" t="str">
        <f>IFERROR(IF(VLOOKUP($A197,'Annex 2 Designated EHV charges'!$A:$O,10,FALSE)=0,"",VLOOKUP($A197,'Annex 2 Designated EHV charges'!$A:$O,10,FALSE)),"")</f>
        <v/>
      </c>
      <c r="H197" s="194" t="str">
        <f>IFERROR(IF(VLOOKUP($A197,'Annex 2 Designated EHV charges'!$A:$O,11,FALSE)=0,"",VLOOKUP($A197,'Annex 2 Designated EHV charges'!$A:$O,11,FALSE)),"")</f>
        <v/>
      </c>
    </row>
    <row r="198" spans="1:8" x14ac:dyDescent="0.35">
      <c r="A198" s="190" t="str" cm="1">
        <f t="array" ref="A198">IFERROR(INDEX('Annex 2 Designated EHV charges'!$A$10:$A$200, MATCH(0, IF(ISBLANK('Annex 2 Designated EHV charges'!$A$10:$A$200),1, COUNTIF(A$4:$A197, 'Annex 2 Designated EHV charges'!$A$10:$A$200)), 0)),"")</f>
        <v/>
      </c>
      <c r="B198" s="190" t="str">
        <f>IF($A198="","",VLOOKUP($A198,'Annex 2 Designated EHV charges'!$A:$O,2,0))</f>
        <v/>
      </c>
      <c r="C198" s="189" t="str">
        <f>IF($A198="","",VLOOKUP($A198,'Annex 2 Designated EHV charges'!$A:$O,3,0))</f>
        <v/>
      </c>
      <c r="D198" s="190" t="str">
        <f>IF($A198="","",VLOOKUP($A198,'Annex 2 Designated EHV charges'!$A:$O,7,0))</f>
        <v/>
      </c>
      <c r="E198" s="192" t="str">
        <f>IFERROR(IF(VLOOKUP($A198,'Annex 2 Designated EHV charges'!$A:$O,8,FALSE)=0,"",VLOOKUP($A198,'Annex 2 Designated EHV charges'!$A:$O,8,FALSE)),"")</f>
        <v/>
      </c>
      <c r="F198" s="193" t="str">
        <f>IFERROR(IF(VLOOKUP($A198,'Annex 2 Designated EHV charges'!$A:$O,9,FALSE)=0,"",VLOOKUP($A198,'Annex 2 Designated EHV charges'!$A:$O,9,FALSE)),"")</f>
        <v/>
      </c>
      <c r="G198" s="194" t="str">
        <f>IFERROR(IF(VLOOKUP($A198,'Annex 2 Designated EHV charges'!$A:$O,10,FALSE)=0,"",VLOOKUP($A198,'Annex 2 Designated EHV charges'!$A:$O,10,FALSE)),"")</f>
        <v/>
      </c>
      <c r="H198" s="194" t="str">
        <f>IFERROR(IF(VLOOKUP($A198,'Annex 2 Designated EHV charges'!$A:$O,11,FALSE)=0,"",VLOOKUP($A198,'Annex 2 Designated EHV charges'!$A:$O,11,FALSE)),"")</f>
        <v/>
      </c>
    </row>
    <row r="199" spans="1:8" x14ac:dyDescent="0.35">
      <c r="A199" s="190" t="str" cm="1">
        <f t="array" ref="A199">IFERROR(INDEX('Annex 2 Designated EHV charges'!$A$10:$A$200, MATCH(0, IF(ISBLANK('Annex 2 Designated EHV charges'!$A$10:$A$200),1, COUNTIF(A$4:$A198, 'Annex 2 Designated EHV charges'!$A$10:$A$200)), 0)),"")</f>
        <v/>
      </c>
      <c r="B199" s="190" t="str">
        <f>IF($A199="","",VLOOKUP($A199,'Annex 2 Designated EHV charges'!$A:$O,2,0))</f>
        <v/>
      </c>
      <c r="C199" s="189" t="str">
        <f>IF($A199="","",VLOOKUP($A199,'Annex 2 Designated EHV charges'!$A:$O,3,0))</f>
        <v/>
      </c>
      <c r="D199" s="190" t="str">
        <f>IF($A199="","",VLOOKUP($A199,'Annex 2 Designated EHV charges'!$A:$O,7,0))</f>
        <v/>
      </c>
      <c r="E199" s="192" t="str">
        <f>IFERROR(IF(VLOOKUP($A199,'Annex 2 Designated EHV charges'!$A:$O,8,FALSE)=0,"",VLOOKUP($A199,'Annex 2 Designated EHV charges'!$A:$O,8,FALSE)),"")</f>
        <v/>
      </c>
      <c r="F199" s="193" t="str">
        <f>IFERROR(IF(VLOOKUP($A199,'Annex 2 Designated EHV charges'!$A:$O,9,FALSE)=0,"",VLOOKUP($A199,'Annex 2 Designated EHV charges'!$A:$O,9,FALSE)),"")</f>
        <v/>
      </c>
      <c r="G199" s="194" t="str">
        <f>IFERROR(IF(VLOOKUP($A199,'Annex 2 Designated EHV charges'!$A:$O,10,FALSE)=0,"",VLOOKUP($A199,'Annex 2 Designated EHV charges'!$A:$O,10,FALSE)),"")</f>
        <v/>
      </c>
      <c r="H199" s="194" t="str">
        <f>IFERROR(IF(VLOOKUP($A199,'Annex 2 Designated EHV charges'!$A:$O,11,FALSE)=0,"",VLOOKUP($A199,'Annex 2 Designated EHV charges'!$A:$O,11,FALSE)),"")</f>
        <v/>
      </c>
    </row>
    <row r="200" spans="1:8" x14ac:dyDescent="0.35">
      <c r="A200" s="190" t="str" cm="1">
        <f t="array" ref="A200">IFERROR(INDEX('Annex 2 Designated EHV charges'!$A$10:$A$200, MATCH(0, IF(ISBLANK('Annex 2 Designated EHV charges'!$A$10:$A$200),1, COUNTIF(A$4:$A199, 'Annex 2 Designated EHV charges'!$A$10:$A$200)), 0)),"")</f>
        <v/>
      </c>
      <c r="B200" s="190" t="str">
        <f>IF($A200="","",VLOOKUP($A200,'Annex 2 Designated EHV charges'!$A:$O,2,0))</f>
        <v/>
      </c>
      <c r="C200" s="189" t="str">
        <f>IF($A200="","",VLOOKUP($A200,'Annex 2 Designated EHV charges'!$A:$O,3,0))</f>
        <v/>
      </c>
      <c r="D200" s="190" t="str">
        <f>IF($A200="","",VLOOKUP($A200,'Annex 2 Designated EHV charges'!$A:$O,7,0))</f>
        <v/>
      </c>
      <c r="E200" s="192" t="str">
        <f>IFERROR(IF(VLOOKUP($A200,'Annex 2 Designated EHV charges'!$A:$O,8,FALSE)=0,"",VLOOKUP($A200,'Annex 2 Designated EHV charges'!$A:$O,8,FALSE)),"")</f>
        <v/>
      </c>
      <c r="F200" s="193" t="str">
        <f>IFERROR(IF(VLOOKUP($A200,'Annex 2 Designated EHV charges'!$A:$O,9,FALSE)=0,"",VLOOKUP($A200,'Annex 2 Designated EHV charges'!$A:$O,9,FALSE)),"")</f>
        <v/>
      </c>
      <c r="G200" s="194" t="str">
        <f>IFERROR(IF(VLOOKUP($A200,'Annex 2 Designated EHV charges'!$A:$O,10,FALSE)=0,"",VLOOKUP($A200,'Annex 2 Designated EHV charges'!$A:$O,10,FALSE)),"")</f>
        <v/>
      </c>
      <c r="H200" s="194" t="str">
        <f>IFERROR(IF(VLOOKUP($A200,'Annex 2 Designated EHV charges'!$A:$O,11,FALSE)=0,"",VLOOKUP($A200,'Annex 2 Designated EHV charges'!$A:$O,11,FALSE)),"")</f>
        <v/>
      </c>
    </row>
    <row r="201" spans="1:8" x14ac:dyDescent="0.35">
      <c r="A201" s="190" t="str" cm="1">
        <f t="array" ref="A201">IFERROR(INDEX('Annex 2 Designated EHV charges'!$A$10:$A$200, MATCH(0, IF(ISBLANK('Annex 2 Designated EHV charges'!$A$10:$A$200),1, COUNTIF(A$4:$A200, 'Annex 2 Designated EHV charges'!$A$10:$A$200)), 0)),"")</f>
        <v/>
      </c>
      <c r="B201" s="190" t="str">
        <f>IF($A201="","",VLOOKUP($A201,'Annex 2 Designated EHV charges'!$A:$O,2,0))</f>
        <v/>
      </c>
      <c r="C201" s="189" t="str">
        <f>IF($A201="","",VLOOKUP($A201,'Annex 2 Designated EHV charges'!$A:$O,3,0))</f>
        <v/>
      </c>
      <c r="D201" s="190" t="str">
        <f>IF($A201="","",VLOOKUP($A201,'Annex 2 Designated EHV charges'!$A:$O,7,0))</f>
        <v/>
      </c>
      <c r="E201" s="192" t="str">
        <f>IFERROR(IF(VLOOKUP($A201,'Annex 2 Designated EHV charges'!$A:$O,8,FALSE)=0,"",VLOOKUP($A201,'Annex 2 Designated EHV charges'!$A:$O,8,FALSE)),"")</f>
        <v/>
      </c>
      <c r="F201" s="193" t="str">
        <f>IFERROR(IF(VLOOKUP($A201,'Annex 2 Designated EHV charges'!$A:$O,9,FALSE)=0,"",VLOOKUP($A201,'Annex 2 Designated EHV charges'!$A:$O,9,FALSE)),"")</f>
        <v/>
      </c>
      <c r="G201" s="194" t="str">
        <f>IFERROR(IF(VLOOKUP($A201,'Annex 2 Designated EHV charges'!$A:$O,10,FALSE)=0,"",VLOOKUP($A201,'Annex 2 Designated EHV charges'!$A:$O,10,FALSE)),"")</f>
        <v/>
      </c>
      <c r="H201" s="194" t="str">
        <f>IFERROR(IF(VLOOKUP($A201,'Annex 2 Designated EHV charges'!$A:$O,11,FALSE)=0,"",VLOOKUP($A201,'Annex 2 Designated EHV charges'!$A:$O,11,FALSE)),"")</f>
        <v/>
      </c>
    </row>
    <row r="202" spans="1:8" x14ac:dyDescent="0.35">
      <c r="A202" s="190" t="str" cm="1">
        <f t="array" ref="A202">IFERROR(INDEX('Annex 2 Designated EHV charges'!$A$10:$A$200, MATCH(0, IF(ISBLANK('Annex 2 Designated EHV charges'!$A$10:$A$200),1, COUNTIF(A$4:$A201, 'Annex 2 Designated EHV charges'!$A$10:$A$200)), 0)),"")</f>
        <v/>
      </c>
      <c r="B202" s="190" t="str">
        <f>IF($A202="","",VLOOKUP($A202,'Annex 2 Designated EHV charges'!$A:$O,2,0))</f>
        <v/>
      </c>
      <c r="C202" s="189" t="str">
        <f>IF($A202="","",VLOOKUP($A202,'Annex 2 Designated EHV charges'!$A:$O,3,0))</f>
        <v/>
      </c>
      <c r="D202" s="190" t="str">
        <f>IF($A202="","",VLOOKUP($A202,'Annex 2 Designated EHV charges'!$A:$O,7,0))</f>
        <v/>
      </c>
      <c r="E202" s="192" t="str">
        <f>IFERROR(IF(VLOOKUP($A202,'Annex 2 Designated EHV charges'!$A:$O,8,FALSE)=0,"",VLOOKUP($A202,'Annex 2 Designated EHV charges'!$A:$O,8,FALSE)),"")</f>
        <v/>
      </c>
      <c r="F202" s="193" t="str">
        <f>IFERROR(IF(VLOOKUP($A202,'Annex 2 Designated EHV charges'!$A:$O,9,FALSE)=0,"",VLOOKUP($A202,'Annex 2 Designated EHV charges'!$A:$O,9,FALSE)),"")</f>
        <v/>
      </c>
      <c r="G202" s="194" t="str">
        <f>IFERROR(IF(VLOOKUP($A202,'Annex 2 Designated EHV charges'!$A:$O,10,FALSE)=0,"",VLOOKUP($A202,'Annex 2 Designated EHV charges'!$A:$O,10,FALSE)),"")</f>
        <v/>
      </c>
      <c r="H202" s="194" t="str">
        <f>IFERROR(IF(VLOOKUP($A202,'Annex 2 Designated EHV charges'!$A:$O,11,FALSE)=0,"",VLOOKUP($A202,'Annex 2 Designated EHV charges'!$A:$O,11,FALSE)),"")</f>
        <v/>
      </c>
    </row>
    <row r="203" spans="1:8" x14ac:dyDescent="0.35">
      <c r="A203" s="190" t="str" cm="1">
        <f t="array" ref="A203">IFERROR(INDEX('Annex 2 Designated EHV charges'!$A$10:$A$200, MATCH(0, IF(ISBLANK('Annex 2 Designated EHV charges'!$A$10:$A$200),1, COUNTIF(A$4:$A202, 'Annex 2 Designated EHV charges'!$A$10:$A$200)), 0)),"")</f>
        <v/>
      </c>
      <c r="B203" s="190" t="str">
        <f>IF($A203="","",VLOOKUP($A203,'Annex 2 Designated EHV charges'!$A:$O,2,0))</f>
        <v/>
      </c>
      <c r="C203" s="189" t="str">
        <f>IF($A203="","",VLOOKUP($A203,'Annex 2 Designated EHV charges'!$A:$O,3,0))</f>
        <v/>
      </c>
      <c r="D203" s="190" t="str">
        <f>IF($A203="","",VLOOKUP($A203,'Annex 2 Designated EHV charges'!$A:$O,7,0))</f>
        <v/>
      </c>
      <c r="E203" s="192" t="str">
        <f>IFERROR(IF(VLOOKUP($A203,'Annex 2 Designated EHV charges'!$A:$O,8,FALSE)=0,"",VLOOKUP($A203,'Annex 2 Designated EHV charges'!$A:$O,8,FALSE)),"")</f>
        <v/>
      </c>
      <c r="F203" s="193" t="str">
        <f>IFERROR(IF(VLOOKUP($A203,'Annex 2 Designated EHV charges'!$A:$O,9,FALSE)=0,"",VLOOKUP($A203,'Annex 2 Designated EHV charges'!$A:$O,9,FALSE)),"")</f>
        <v/>
      </c>
      <c r="G203" s="194" t="str">
        <f>IFERROR(IF(VLOOKUP($A203,'Annex 2 Designated EHV charges'!$A:$O,10,FALSE)=0,"",VLOOKUP($A203,'Annex 2 Designated EHV charges'!$A:$O,10,FALSE)),"")</f>
        <v/>
      </c>
      <c r="H203" s="194" t="str">
        <f>IFERROR(IF(VLOOKUP($A203,'Annex 2 Designated EHV charges'!$A:$O,11,FALSE)=0,"",VLOOKUP($A203,'Annex 2 Designated EHV charges'!$A:$O,11,FALSE)),"")</f>
        <v/>
      </c>
    </row>
    <row r="204" spans="1:8" x14ac:dyDescent="0.35">
      <c r="A204" s="190" t="str" cm="1">
        <f t="array" ref="A204">IFERROR(INDEX('Annex 2 Designated EHV charges'!$A$10:$A$200, MATCH(0, IF(ISBLANK('Annex 2 Designated EHV charges'!$A$10:$A$200),1, COUNTIF(A$4:$A203, 'Annex 2 Designated EHV charges'!$A$10:$A$200)), 0)),"")</f>
        <v/>
      </c>
      <c r="B204" s="190" t="str">
        <f>IF($A204="","",VLOOKUP($A204,'Annex 2 Designated EHV charges'!$A:$O,2,0))</f>
        <v/>
      </c>
      <c r="C204" s="189" t="str">
        <f>IF($A204="","",VLOOKUP($A204,'Annex 2 Designated EHV charges'!$A:$O,3,0))</f>
        <v/>
      </c>
      <c r="D204" s="190" t="str">
        <f>IF($A204="","",VLOOKUP($A204,'Annex 2 Designated EHV charges'!$A:$O,7,0))</f>
        <v/>
      </c>
      <c r="E204" s="192" t="str">
        <f>IFERROR(IF(VLOOKUP($A204,'Annex 2 Designated EHV charges'!$A:$O,8,FALSE)=0,"",VLOOKUP($A204,'Annex 2 Designated EHV charges'!$A:$O,8,FALSE)),"")</f>
        <v/>
      </c>
      <c r="F204" s="193" t="str">
        <f>IFERROR(IF(VLOOKUP($A204,'Annex 2 Designated EHV charges'!$A:$O,9,FALSE)=0,"",VLOOKUP($A204,'Annex 2 Designated EHV charges'!$A:$O,9,FALSE)),"")</f>
        <v/>
      </c>
      <c r="G204" s="194" t="str">
        <f>IFERROR(IF(VLOOKUP($A204,'Annex 2 Designated EHV charges'!$A:$O,10,FALSE)=0,"",VLOOKUP($A204,'Annex 2 Designated EHV charges'!$A:$O,10,FALSE)),"")</f>
        <v/>
      </c>
      <c r="H204" s="194" t="str">
        <f>IFERROR(IF(VLOOKUP($A204,'Annex 2 Designated EHV charges'!$A:$O,11,FALSE)=0,"",VLOOKUP($A204,'Annex 2 Designated EHV charges'!$A:$O,11,FALSE)),"")</f>
        <v/>
      </c>
    </row>
    <row r="205" spans="1:8" x14ac:dyDescent="0.35">
      <c r="A205" s="190" t="str" cm="1">
        <f t="array" ref="A205">IFERROR(INDEX('Annex 2 Designated EHV charges'!$A$10:$A$200, MATCH(0, IF(ISBLANK('Annex 2 Designated EHV charges'!$A$10:$A$200),1, COUNTIF(A$4:$A204, 'Annex 2 Designated EHV charges'!$A$10:$A$200)), 0)),"")</f>
        <v/>
      </c>
      <c r="B205" s="190" t="str">
        <f>IF($A205="","",VLOOKUP($A205,'Annex 2 Designated EHV charges'!$A:$O,2,0))</f>
        <v/>
      </c>
      <c r="C205" s="189" t="str">
        <f>IF($A205="","",VLOOKUP($A205,'Annex 2 Designated EHV charges'!$A:$O,3,0))</f>
        <v/>
      </c>
      <c r="D205" s="190" t="str">
        <f>IF($A205="","",VLOOKUP($A205,'Annex 2 Designated EHV charges'!$A:$O,7,0))</f>
        <v/>
      </c>
      <c r="E205" s="192" t="str">
        <f>IFERROR(IF(VLOOKUP($A205,'Annex 2 Designated EHV charges'!$A:$O,8,FALSE)=0,"",VLOOKUP($A205,'Annex 2 Designated EHV charges'!$A:$O,8,FALSE)),"")</f>
        <v/>
      </c>
      <c r="F205" s="193" t="str">
        <f>IFERROR(IF(VLOOKUP($A205,'Annex 2 Designated EHV charges'!$A:$O,9,FALSE)=0,"",VLOOKUP($A205,'Annex 2 Designated EHV charges'!$A:$O,9,FALSE)),"")</f>
        <v/>
      </c>
      <c r="G205" s="194" t="str">
        <f>IFERROR(IF(VLOOKUP($A205,'Annex 2 Designated EHV charges'!$A:$O,10,FALSE)=0,"",VLOOKUP($A205,'Annex 2 Designated EHV charges'!$A:$O,10,FALSE)),"")</f>
        <v/>
      </c>
      <c r="H205" s="194" t="str">
        <f>IFERROR(IF(VLOOKUP($A205,'Annex 2 Designated EHV charges'!$A:$O,11,FALSE)=0,"",VLOOKUP($A205,'Annex 2 Designated EHV charges'!$A:$O,11,FALSE)),"")</f>
        <v/>
      </c>
    </row>
    <row r="206" spans="1:8" x14ac:dyDescent="0.35">
      <c r="A206" s="190" t="str" cm="1">
        <f t="array" ref="A206">IFERROR(INDEX('Annex 2 Designated EHV charges'!$A$10:$A$200, MATCH(0, IF(ISBLANK('Annex 2 Designated EHV charges'!$A$10:$A$200),1, COUNTIF(A$4:$A205, 'Annex 2 Designated EHV charges'!$A$10:$A$200)), 0)),"")</f>
        <v/>
      </c>
      <c r="B206" s="190" t="str">
        <f>IF($A206="","",VLOOKUP($A206,'Annex 2 Designated EHV charges'!$A:$O,2,0))</f>
        <v/>
      </c>
      <c r="C206" s="189" t="str">
        <f>IF($A206="","",VLOOKUP($A206,'Annex 2 Designated EHV charges'!$A:$O,3,0))</f>
        <v/>
      </c>
      <c r="D206" s="190" t="str">
        <f>IF($A206="","",VLOOKUP($A206,'Annex 2 Designated EHV charges'!$A:$O,7,0))</f>
        <v/>
      </c>
      <c r="E206" s="192" t="str">
        <f>IFERROR(IF(VLOOKUP($A206,'Annex 2 Designated EHV charges'!$A:$O,8,FALSE)=0,"",VLOOKUP($A206,'Annex 2 Designated EHV charges'!$A:$O,8,FALSE)),"")</f>
        <v/>
      </c>
      <c r="F206" s="193" t="str">
        <f>IFERROR(IF(VLOOKUP($A206,'Annex 2 Designated EHV charges'!$A:$O,9,FALSE)=0,"",VLOOKUP($A206,'Annex 2 Designated EHV charges'!$A:$O,9,FALSE)),"")</f>
        <v/>
      </c>
      <c r="G206" s="194" t="str">
        <f>IFERROR(IF(VLOOKUP($A206,'Annex 2 Designated EHV charges'!$A:$O,10,FALSE)=0,"",VLOOKUP($A206,'Annex 2 Designated EHV charges'!$A:$O,10,FALSE)),"")</f>
        <v/>
      </c>
      <c r="H206" s="194" t="str">
        <f>IFERROR(IF(VLOOKUP($A206,'Annex 2 Designated EHV charges'!$A:$O,11,FALSE)=0,"",VLOOKUP($A206,'Annex 2 Designated EHV charges'!$A:$O,11,FALSE)),"")</f>
        <v/>
      </c>
    </row>
    <row r="207" spans="1:8" x14ac:dyDescent="0.35">
      <c r="A207" s="190" t="str" cm="1">
        <f t="array" ref="A207">IFERROR(INDEX('Annex 2 Designated EHV charges'!$A$10:$A$200, MATCH(0, IF(ISBLANK('Annex 2 Designated EHV charges'!$A$10:$A$200),1, COUNTIF(A$4:$A206, 'Annex 2 Designated EHV charges'!$A$10:$A$200)), 0)),"")</f>
        <v/>
      </c>
      <c r="B207" s="190" t="str">
        <f>IF($A207="","",VLOOKUP($A207,'Annex 2 Designated EHV charges'!$A:$O,2,0))</f>
        <v/>
      </c>
      <c r="C207" s="189" t="str">
        <f>IF($A207="","",VLOOKUP($A207,'Annex 2 Designated EHV charges'!$A:$O,3,0))</f>
        <v/>
      </c>
      <c r="D207" s="190" t="str">
        <f>IF($A207="","",VLOOKUP($A207,'Annex 2 Designated EHV charges'!$A:$O,7,0))</f>
        <v/>
      </c>
      <c r="E207" s="192" t="str">
        <f>IFERROR(IF(VLOOKUP($A207,'Annex 2 Designated EHV charges'!$A:$O,8,FALSE)=0,"",VLOOKUP($A207,'Annex 2 Designated EHV charges'!$A:$O,8,FALSE)),"")</f>
        <v/>
      </c>
      <c r="F207" s="193" t="str">
        <f>IFERROR(IF(VLOOKUP($A207,'Annex 2 Designated EHV charges'!$A:$O,9,FALSE)=0,"",VLOOKUP($A207,'Annex 2 Designated EHV charges'!$A:$O,9,FALSE)),"")</f>
        <v/>
      </c>
      <c r="G207" s="194" t="str">
        <f>IFERROR(IF(VLOOKUP($A207,'Annex 2 Designated EHV charges'!$A:$O,10,FALSE)=0,"",VLOOKUP($A207,'Annex 2 Designated EHV charges'!$A:$O,10,FALSE)),"")</f>
        <v/>
      </c>
      <c r="H207" s="194" t="str">
        <f>IFERROR(IF(VLOOKUP($A207,'Annex 2 Designated EHV charges'!$A:$O,11,FALSE)=0,"",VLOOKUP($A207,'Annex 2 Designated EHV charges'!$A:$O,11,FALSE)),"")</f>
        <v/>
      </c>
    </row>
    <row r="208" spans="1:8" x14ac:dyDescent="0.35">
      <c r="A208" s="190" t="str" cm="1">
        <f t="array" ref="A208">IFERROR(INDEX('Annex 2 Designated EHV charges'!$A$10:$A$200, MATCH(0, IF(ISBLANK('Annex 2 Designated EHV charges'!$A$10:$A$200),1, COUNTIF(A$4:$A207, 'Annex 2 Designated EHV charges'!$A$10:$A$200)), 0)),"")</f>
        <v/>
      </c>
      <c r="B208" s="190" t="str">
        <f>IF($A208="","",VLOOKUP($A208,'Annex 2 Designated EHV charges'!$A:$O,2,0))</f>
        <v/>
      </c>
      <c r="C208" s="189" t="str">
        <f>IF($A208="","",VLOOKUP($A208,'Annex 2 Designated EHV charges'!$A:$O,3,0))</f>
        <v/>
      </c>
      <c r="D208" s="190" t="str">
        <f>IF($A208="","",VLOOKUP($A208,'Annex 2 Designated EHV charges'!$A:$O,7,0))</f>
        <v/>
      </c>
      <c r="E208" s="192" t="str">
        <f>IFERROR(IF(VLOOKUP($A208,'Annex 2 Designated EHV charges'!$A:$O,8,FALSE)=0,"",VLOOKUP($A208,'Annex 2 Designated EHV charges'!$A:$O,8,FALSE)),"")</f>
        <v/>
      </c>
      <c r="F208" s="193" t="str">
        <f>IFERROR(IF(VLOOKUP($A208,'Annex 2 Designated EHV charges'!$A:$O,9,FALSE)=0,"",VLOOKUP($A208,'Annex 2 Designated EHV charges'!$A:$O,9,FALSE)),"")</f>
        <v/>
      </c>
      <c r="G208" s="194" t="str">
        <f>IFERROR(IF(VLOOKUP($A208,'Annex 2 Designated EHV charges'!$A:$O,10,FALSE)=0,"",VLOOKUP($A208,'Annex 2 Designated EHV charges'!$A:$O,10,FALSE)),"")</f>
        <v/>
      </c>
      <c r="H208" s="194" t="str">
        <f>IFERROR(IF(VLOOKUP($A208,'Annex 2 Designated EHV charges'!$A:$O,11,FALSE)=0,"",VLOOKUP($A208,'Annex 2 Designated EHV charges'!$A:$O,11,FALSE)),"")</f>
        <v/>
      </c>
    </row>
    <row r="209" spans="1:8" x14ac:dyDescent="0.35">
      <c r="A209" s="190" t="str" cm="1">
        <f t="array" ref="A209">IFERROR(INDEX('Annex 2 Designated EHV charges'!$A$10:$A$200, MATCH(0, IF(ISBLANK('Annex 2 Designated EHV charges'!$A$10:$A$200),1, COUNTIF(A$4:$A208, 'Annex 2 Designated EHV charges'!$A$10:$A$200)), 0)),"")</f>
        <v/>
      </c>
      <c r="B209" s="190" t="str">
        <f>IF($A209="","",VLOOKUP($A209,'Annex 2 Designated EHV charges'!$A:$O,2,0))</f>
        <v/>
      </c>
      <c r="C209" s="189" t="str">
        <f>IF($A209="","",VLOOKUP($A209,'Annex 2 Designated EHV charges'!$A:$O,3,0))</f>
        <v/>
      </c>
      <c r="D209" s="190" t="str">
        <f>IF($A209="","",VLOOKUP($A209,'Annex 2 Designated EHV charges'!$A:$O,7,0))</f>
        <v/>
      </c>
      <c r="E209" s="192" t="str">
        <f>IFERROR(IF(VLOOKUP($A209,'Annex 2 Designated EHV charges'!$A:$O,8,FALSE)=0,"",VLOOKUP($A209,'Annex 2 Designated EHV charges'!$A:$O,8,FALSE)),"")</f>
        <v/>
      </c>
      <c r="F209" s="193" t="str">
        <f>IFERROR(IF(VLOOKUP($A209,'Annex 2 Designated EHV charges'!$A:$O,9,FALSE)=0,"",VLOOKUP($A209,'Annex 2 Designated EHV charges'!$A:$O,9,FALSE)),"")</f>
        <v/>
      </c>
      <c r="G209" s="194" t="str">
        <f>IFERROR(IF(VLOOKUP($A209,'Annex 2 Designated EHV charges'!$A:$O,10,FALSE)=0,"",VLOOKUP($A209,'Annex 2 Designated EHV charges'!$A:$O,10,FALSE)),"")</f>
        <v/>
      </c>
      <c r="H209" s="194" t="str">
        <f>IFERROR(IF(VLOOKUP($A209,'Annex 2 Designated EHV charges'!$A:$O,11,FALSE)=0,"",VLOOKUP($A209,'Annex 2 Designated EHV charges'!$A:$O,11,FALSE)),"")</f>
        <v/>
      </c>
    </row>
    <row r="210" spans="1:8" x14ac:dyDescent="0.35">
      <c r="A210" s="190" t="str" cm="1">
        <f t="array" ref="A210">IFERROR(INDEX('Annex 2 Designated EHV charges'!$A$10:$A$200, MATCH(0, IF(ISBLANK('Annex 2 Designated EHV charges'!$A$10:$A$200),1, COUNTIF(A$4:$A209, 'Annex 2 Designated EHV charges'!$A$10:$A$200)), 0)),"")</f>
        <v/>
      </c>
      <c r="B210" s="190" t="str">
        <f>IF($A210="","",VLOOKUP($A210,'Annex 2 Designated EHV charges'!$A:$O,2,0))</f>
        <v/>
      </c>
      <c r="C210" s="189" t="str">
        <f>IF($A210="","",VLOOKUP($A210,'Annex 2 Designated EHV charges'!$A:$O,3,0))</f>
        <v/>
      </c>
      <c r="D210" s="190" t="str">
        <f>IF($A210="","",VLOOKUP($A210,'Annex 2 Designated EHV charges'!$A:$O,7,0))</f>
        <v/>
      </c>
      <c r="E210" s="192" t="str">
        <f>IFERROR(IF(VLOOKUP($A210,'Annex 2 Designated EHV charges'!$A:$O,8,FALSE)=0,"",VLOOKUP($A210,'Annex 2 Designated EHV charges'!$A:$O,8,FALSE)),"")</f>
        <v/>
      </c>
      <c r="F210" s="193" t="str">
        <f>IFERROR(IF(VLOOKUP($A210,'Annex 2 Designated EHV charges'!$A:$O,9,FALSE)=0,"",VLOOKUP($A210,'Annex 2 Designated EHV charges'!$A:$O,9,FALSE)),"")</f>
        <v/>
      </c>
      <c r="G210" s="194" t="str">
        <f>IFERROR(IF(VLOOKUP($A210,'Annex 2 Designated EHV charges'!$A:$O,10,FALSE)=0,"",VLOOKUP($A210,'Annex 2 Designated EHV charges'!$A:$O,10,FALSE)),"")</f>
        <v/>
      </c>
      <c r="H210" s="194" t="str">
        <f>IFERROR(IF(VLOOKUP($A210,'Annex 2 Designated EHV charges'!$A:$O,11,FALSE)=0,"",VLOOKUP($A210,'Annex 2 Designated EHV charges'!$A:$O,11,FALSE)),"")</f>
        <v/>
      </c>
    </row>
    <row r="211" spans="1:8" x14ac:dyDescent="0.35">
      <c r="A211" s="190" t="str" cm="1">
        <f t="array" ref="A211">IFERROR(INDEX('Annex 2 Designated EHV charges'!$A$10:$A$200, MATCH(0, IF(ISBLANK('Annex 2 Designated EHV charges'!$A$10:$A$200),1, COUNTIF(A$4:$A210, 'Annex 2 Designated EHV charges'!$A$10:$A$200)), 0)),"")</f>
        <v/>
      </c>
      <c r="B211" s="190" t="str">
        <f>IF($A211="","",VLOOKUP($A211,'Annex 2 Designated EHV charges'!$A:$O,2,0))</f>
        <v/>
      </c>
      <c r="C211" s="189" t="str">
        <f>IF($A211="","",VLOOKUP($A211,'Annex 2 Designated EHV charges'!$A:$O,3,0))</f>
        <v/>
      </c>
      <c r="D211" s="190" t="str">
        <f>IF($A211="","",VLOOKUP($A211,'Annex 2 Designated EHV charges'!$A:$O,7,0))</f>
        <v/>
      </c>
      <c r="E211" s="192" t="str">
        <f>IFERROR(IF(VLOOKUP($A211,'Annex 2 Designated EHV charges'!$A:$O,8,FALSE)=0,"",VLOOKUP($A211,'Annex 2 Designated EHV charges'!$A:$O,8,FALSE)),"")</f>
        <v/>
      </c>
      <c r="F211" s="193" t="str">
        <f>IFERROR(IF(VLOOKUP($A211,'Annex 2 Designated EHV charges'!$A:$O,9,FALSE)=0,"",VLOOKUP($A211,'Annex 2 Designated EHV charges'!$A:$O,9,FALSE)),"")</f>
        <v/>
      </c>
      <c r="G211" s="194" t="str">
        <f>IFERROR(IF(VLOOKUP($A211,'Annex 2 Designated EHV charges'!$A:$O,10,FALSE)=0,"",VLOOKUP($A211,'Annex 2 Designated EHV charges'!$A:$O,10,FALSE)),"")</f>
        <v/>
      </c>
      <c r="H211" s="194" t="str">
        <f>IFERROR(IF(VLOOKUP($A211,'Annex 2 Designated EHV charges'!$A:$O,11,FALSE)=0,"",VLOOKUP($A211,'Annex 2 Designated EHV charges'!$A:$O,11,FALSE)),"")</f>
        <v/>
      </c>
    </row>
    <row r="212" spans="1:8" x14ac:dyDescent="0.35">
      <c r="A212" s="190" t="str" cm="1">
        <f t="array" ref="A212">IFERROR(INDEX('Annex 2 Designated EHV charges'!$A$10:$A$200, MATCH(0, IF(ISBLANK('Annex 2 Designated EHV charges'!$A$10:$A$200),1, COUNTIF(A$4:$A211, 'Annex 2 Designated EHV charges'!$A$10:$A$200)), 0)),"")</f>
        <v/>
      </c>
      <c r="B212" s="190" t="str">
        <f>IF($A212="","",VLOOKUP($A212,'Annex 2 Designated EHV charges'!$A:$O,2,0))</f>
        <v/>
      </c>
      <c r="C212" s="189" t="str">
        <f>IF($A212="","",VLOOKUP($A212,'Annex 2 Designated EHV charges'!$A:$O,3,0))</f>
        <v/>
      </c>
      <c r="D212" s="190" t="str">
        <f>IF($A212="","",VLOOKUP($A212,'Annex 2 Designated EHV charges'!$A:$O,7,0))</f>
        <v/>
      </c>
      <c r="E212" s="192" t="str">
        <f>IFERROR(IF(VLOOKUP($A212,'Annex 2 Designated EHV charges'!$A:$O,8,FALSE)=0,"",VLOOKUP($A212,'Annex 2 Designated EHV charges'!$A:$O,8,FALSE)),"")</f>
        <v/>
      </c>
      <c r="F212" s="193" t="str">
        <f>IFERROR(IF(VLOOKUP($A212,'Annex 2 Designated EHV charges'!$A:$O,9,FALSE)=0,"",VLOOKUP($A212,'Annex 2 Designated EHV charges'!$A:$O,9,FALSE)),"")</f>
        <v/>
      </c>
      <c r="G212" s="194" t="str">
        <f>IFERROR(IF(VLOOKUP($A212,'Annex 2 Designated EHV charges'!$A:$O,10,FALSE)=0,"",VLOOKUP($A212,'Annex 2 Designated EHV charges'!$A:$O,10,FALSE)),"")</f>
        <v/>
      </c>
      <c r="H212" s="194" t="str">
        <f>IFERROR(IF(VLOOKUP($A212,'Annex 2 Designated EHV charges'!$A:$O,11,FALSE)=0,"",VLOOKUP($A212,'Annex 2 Designated EHV charges'!$A:$O,11,FALSE)),"")</f>
        <v/>
      </c>
    </row>
    <row r="213" spans="1:8" x14ac:dyDescent="0.35">
      <c r="A213" s="190" t="str" cm="1">
        <f t="array" ref="A213">IFERROR(INDEX('Annex 2 Designated EHV charges'!$A$10:$A$200, MATCH(0, IF(ISBLANK('Annex 2 Designated EHV charges'!$A$10:$A$200),1, COUNTIF(A$4:$A212, 'Annex 2 Designated EHV charges'!$A$10:$A$200)), 0)),"")</f>
        <v/>
      </c>
      <c r="B213" s="190" t="str">
        <f>IF($A213="","",VLOOKUP($A213,'Annex 2 Designated EHV charges'!$A:$O,2,0))</f>
        <v/>
      </c>
      <c r="C213" s="189" t="str">
        <f>IF($A213="","",VLOOKUP($A213,'Annex 2 Designated EHV charges'!$A:$O,3,0))</f>
        <v/>
      </c>
      <c r="D213" s="190" t="str">
        <f>IF($A213="","",VLOOKUP($A213,'Annex 2 Designated EHV charges'!$A:$O,7,0))</f>
        <v/>
      </c>
      <c r="E213" s="192" t="str">
        <f>IFERROR(IF(VLOOKUP($A213,'Annex 2 Designated EHV charges'!$A:$O,8,FALSE)=0,"",VLOOKUP($A213,'Annex 2 Designated EHV charges'!$A:$O,8,FALSE)),"")</f>
        <v/>
      </c>
      <c r="F213" s="193" t="str">
        <f>IFERROR(IF(VLOOKUP($A213,'Annex 2 Designated EHV charges'!$A:$O,9,FALSE)=0,"",VLOOKUP($A213,'Annex 2 Designated EHV charges'!$A:$O,9,FALSE)),"")</f>
        <v/>
      </c>
      <c r="G213" s="194" t="str">
        <f>IFERROR(IF(VLOOKUP($A213,'Annex 2 Designated EHV charges'!$A:$O,10,FALSE)=0,"",VLOOKUP($A213,'Annex 2 Designated EHV charges'!$A:$O,10,FALSE)),"")</f>
        <v/>
      </c>
      <c r="H213" s="194" t="str">
        <f>IFERROR(IF(VLOOKUP($A213,'Annex 2 Designated EHV charges'!$A:$O,11,FALSE)=0,"",VLOOKUP($A213,'Annex 2 Designated EHV charges'!$A:$O,11,FALSE)),"")</f>
        <v/>
      </c>
    </row>
    <row r="214" spans="1:8" x14ac:dyDescent="0.35">
      <c r="A214" s="190" t="str" cm="1">
        <f t="array" ref="A214">IFERROR(INDEX('Annex 2 Designated EHV charges'!$A$10:$A$200, MATCH(0, IF(ISBLANK('Annex 2 Designated EHV charges'!$A$10:$A$200),1, COUNTIF(A$4:$A213, 'Annex 2 Designated EHV charges'!$A$10:$A$200)), 0)),"")</f>
        <v/>
      </c>
      <c r="B214" s="190" t="str">
        <f>IF($A214="","",VLOOKUP($A214,'Annex 2 Designated EHV charges'!$A:$O,2,0))</f>
        <v/>
      </c>
      <c r="C214" s="189" t="str">
        <f>IF($A214="","",VLOOKUP($A214,'Annex 2 Designated EHV charges'!$A:$O,3,0))</f>
        <v/>
      </c>
      <c r="D214" s="190" t="str">
        <f>IF($A214="","",VLOOKUP($A214,'Annex 2 Designated EHV charges'!$A:$O,7,0))</f>
        <v/>
      </c>
      <c r="E214" s="192" t="str">
        <f>IFERROR(IF(VLOOKUP($A214,'Annex 2 Designated EHV charges'!$A:$O,8,FALSE)=0,"",VLOOKUP($A214,'Annex 2 Designated EHV charges'!$A:$O,8,FALSE)),"")</f>
        <v/>
      </c>
      <c r="F214" s="193" t="str">
        <f>IFERROR(IF(VLOOKUP($A214,'Annex 2 Designated EHV charges'!$A:$O,9,FALSE)=0,"",VLOOKUP($A214,'Annex 2 Designated EHV charges'!$A:$O,9,FALSE)),"")</f>
        <v/>
      </c>
      <c r="G214" s="194" t="str">
        <f>IFERROR(IF(VLOOKUP($A214,'Annex 2 Designated EHV charges'!$A:$O,10,FALSE)=0,"",VLOOKUP($A214,'Annex 2 Designated EHV charges'!$A:$O,10,FALSE)),"")</f>
        <v/>
      </c>
      <c r="H214" s="194" t="str">
        <f>IFERROR(IF(VLOOKUP($A214,'Annex 2 Designated EHV charges'!$A:$O,11,FALSE)=0,"",VLOOKUP($A214,'Annex 2 Designated EHV charges'!$A:$O,11,FALSE)),"")</f>
        <v/>
      </c>
    </row>
    <row r="215" spans="1:8" x14ac:dyDescent="0.35">
      <c r="A215" s="190" t="str" cm="1">
        <f t="array" ref="A215">IFERROR(INDEX('Annex 2 Designated EHV charges'!$A$10:$A$200, MATCH(0, IF(ISBLANK('Annex 2 Designated EHV charges'!$A$10:$A$200),1, COUNTIF(A$4:$A214, 'Annex 2 Designated EHV charges'!$A$10:$A$200)), 0)),"")</f>
        <v/>
      </c>
      <c r="B215" s="190" t="str">
        <f>IF($A215="","",VLOOKUP($A215,'Annex 2 Designated EHV charges'!$A:$O,2,0))</f>
        <v/>
      </c>
      <c r="C215" s="189" t="str">
        <f>IF($A215="","",VLOOKUP($A215,'Annex 2 Designated EHV charges'!$A:$O,3,0))</f>
        <v/>
      </c>
      <c r="D215" s="190" t="str">
        <f>IF($A215="","",VLOOKUP($A215,'Annex 2 Designated EHV charges'!$A:$O,7,0))</f>
        <v/>
      </c>
      <c r="E215" s="192" t="str">
        <f>IFERROR(IF(VLOOKUP($A215,'Annex 2 Designated EHV charges'!$A:$O,8,FALSE)=0,"",VLOOKUP($A215,'Annex 2 Designated EHV charges'!$A:$O,8,FALSE)),"")</f>
        <v/>
      </c>
      <c r="F215" s="193" t="str">
        <f>IFERROR(IF(VLOOKUP($A215,'Annex 2 Designated EHV charges'!$A:$O,9,FALSE)=0,"",VLOOKUP($A215,'Annex 2 Designated EHV charges'!$A:$O,9,FALSE)),"")</f>
        <v/>
      </c>
      <c r="G215" s="194" t="str">
        <f>IFERROR(IF(VLOOKUP($A215,'Annex 2 Designated EHV charges'!$A:$O,10,FALSE)=0,"",VLOOKUP($A215,'Annex 2 Designated EHV charges'!$A:$O,10,FALSE)),"")</f>
        <v/>
      </c>
      <c r="H215" s="194" t="str">
        <f>IFERROR(IF(VLOOKUP($A215,'Annex 2 Designated EHV charges'!$A:$O,11,FALSE)=0,"",VLOOKUP($A215,'Annex 2 Designated EHV charges'!$A:$O,11,FALSE)),"")</f>
        <v/>
      </c>
    </row>
    <row r="216" spans="1:8" x14ac:dyDescent="0.35">
      <c r="A216" s="190" t="str" cm="1">
        <f t="array" ref="A216">IFERROR(INDEX('Annex 2 Designated EHV charges'!$A$10:$A$200, MATCH(0, IF(ISBLANK('Annex 2 Designated EHV charges'!$A$10:$A$200),1, COUNTIF(A$4:$A215, 'Annex 2 Designated EHV charges'!$A$10:$A$200)), 0)),"")</f>
        <v/>
      </c>
      <c r="B216" s="190" t="str">
        <f>IF($A216="","",VLOOKUP($A216,'Annex 2 Designated EHV charges'!$A:$O,2,0))</f>
        <v/>
      </c>
      <c r="C216" s="189" t="str">
        <f>IF($A216="","",VLOOKUP($A216,'Annex 2 Designated EHV charges'!$A:$O,3,0))</f>
        <v/>
      </c>
      <c r="D216" s="190" t="str">
        <f>IF($A216="","",VLOOKUP($A216,'Annex 2 Designated EHV charges'!$A:$O,7,0))</f>
        <v/>
      </c>
      <c r="E216" s="192" t="str">
        <f>IFERROR(IF(VLOOKUP($A216,'Annex 2 Designated EHV charges'!$A:$O,8,FALSE)=0,"",VLOOKUP($A216,'Annex 2 Designated EHV charges'!$A:$O,8,FALSE)),"")</f>
        <v/>
      </c>
      <c r="F216" s="193" t="str">
        <f>IFERROR(IF(VLOOKUP($A216,'Annex 2 Designated EHV charges'!$A:$O,9,FALSE)=0,"",VLOOKUP($A216,'Annex 2 Designated EHV charges'!$A:$O,9,FALSE)),"")</f>
        <v/>
      </c>
      <c r="G216" s="194" t="str">
        <f>IFERROR(IF(VLOOKUP($A216,'Annex 2 Designated EHV charges'!$A:$O,10,FALSE)=0,"",VLOOKUP($A216,'Annex 2 Designated EHV charges'!$A:$O,10,FALSE)),"")</f>
        <v/>
      </c>
      <c r="H216" s="194" t="str">
        <f>IFERROR(IF(VLOOKUP($A216,'Annex 2 Designated EHV charges'!$A:$O,11,FALSE)=0,"",VLOOKUP($A216,'Annex 2 Designated EHV charges'!$A:$O,11,FALSE)),"")</f>
        <v/>
      </c>
    </row>
    <row r="217" spans="1:8" x14ac:dyDescent="0.35">
      <c r="A217" s="190" t="str" cm="1">
        <f t="array" ref="A217">IFERROR(INDEX('Annex 2 Designated EHV charges'!$A$10:$A$200, MATCH(0, IF(ISBLANK('Annex 2 Designated EHV charges'!$A$10:$A$200),1, COUNTIF(A$4:$A216, 'Annex 2 Designated EHV charges'!$A$10:$A$200)), 0)),"")</f>
        <v/>
      </c>
      <c r="B217" s="190" t="str">
        <f>IF($A217="","",VLOOKUP($A217,'Annex 2 Designated EHV charges'!$A:$O,2,0))</f>
        <v/>
      </c>
      <c r="C217" s="189" t="str">
        <f>IF($A217="","",VLOOKUP($A217,'Annex 2 Designated EHV charges'!$A:$O,3,0))</f>
        <v/>
      </c>
      <c r="D217" s="190" t="str">
        <f>IF($A217="","",VLOOKUP($A217,'Annex 2 Designated EHV charges'!$A:$O,7,0))</f>
        <v/>
      </c>
      <c r="E217" s="192" t="str">
        <f>IFERROR(IF(VLOOKUP($A217,'Annex 2 Designated EHV charges'!$A:$O,8,FALSE)=0,"",VLOOKUP($A217,'Annex 2 Designated EHV charges'!$A:$O,8,FALSE)),"")</f>
        <v/>
      </c>
      <c r="F217" s="193" t="str">
        <f>IFERROR(IF(VLOOKUP($A217,'Annex 2 Designated EHV charges'!$A:$O,9,FALSE)=0,"",VLOOKUP($A217,'Annex 2 Designated EHV charges'!$A:$O,9,FALSE)),"")</f>
        <v/>
      </c>
      <c r="G217" s="194" t="str">
        <f>IFERROR(IF(VLOOKUP($A217,'Annex 2 Designated EHV charges'!$A:$O,10,FALSE)=0,"",VLOOKUP($A217,'Annex 2 Designated EHV charges'!$A:$O,10,FALSE)),"")</f>
        <v/>
      </c>
      <c r="H217" s="194" t="str">
        <f>IFERROR(IF(VLOOKUP($A217,'Annex 2 Designated EHV charges'!$A:$O,11,FALSE)=0,"",VLOOKUP($A217,'Annex 2 Designated EHV charges'!$A:$O,11,FALSE)),"")</f>
        <v/>
      </c>
    </row>
    <row r="218" spans="1:8" x14ac:dyDescent="0.35">
      <c r="A218" s="190" t="str" cm="1">
        <f t="array" ref="A218">IFERROR(INDEX('Annex 2 Designated EHV charges'!$A$10:$A$200, MATCH(0, IF(ISBLANK('Annex 2 Designated EHV charges'!$A$10:$A$200),1, COUNTIF(A$4:$A217, 'Annex 2 Designated EHV charges'!$A$10:$A$200)), 0)),"")</f>
        <v/>
      </c>
      <c r="B218" s="190" t="str">
        <f>IF($A218="","",VLOOKUP($A218,'Annex 2 Designated EHV charges'!$A:$O,2,0))</f>
        <v/>
      </c>
      <c r="C218" s="189" t="str">
        <f>IF($A218="","",VLOOKUP($A218,'Annex 2 Designated EHV charges'!$A:$O,3,0))</f>
        <v/>
      </c>
      <c r="D218" s="190" t="str">
        <f>IF($A218="","",VLOOKUP($A218,'Annex 2 Designated EHV charges'!$A:$O,7,0))</f>
        <v/>
      </c>
      <c r="E218" s="192" t="str">
        <f>IFERROR(IF(VLOOKUP($A218,'Annex 2 Designated EHV charges'!$A:$O,8,FALSE)=0,"",VLOOKUP($A218,'Annex 2 Designated EHV charges'!$A:$O,8,FALSE)),"")</f>
        <v/>
      </c>
      <c r="F218" s="193" t="str">
        <f>IFERROR(IF(VLOOKUP($A218,'Annex 2 Designated EHV charges'!$A:$O,9,FALSE)=0,"",VLOOKUP($A218,'Annex 2 Designated EHV charges'!$A:$O,9,FALSE)),"")</f>
        <v/>
      </c>
      <c r="G218" s="194" t="str">
        <f>IFERROR(IF(VLOOKUP($A218,'Annex 2 Designated EHV charges'!$A:$O,10,FALSE)=0,"",VLOOKUP($A218,'Annex 2 Designated EHV charges'!$A:$O,10,FALSE)),"")</f>
        <v/>
      </c>
      <c r="H218" s="194" t="str">
        <f>IFERROR(IF(VLOOKUP($A218,'Annex 2 Designated EHV charges'!$A:$O,11,FALSE)=0,"",VLOOKUP($A218,'Annex 2 Designated EHV charges'!$A:$O,11,FALSE)),"")</f>
        <v/>
      </c>
    </row>
    <row r="219" spans="1:8" x14ac:dyDescent="0.35">
      <c r="A219" s="190" t="str" cm="1">
        <f t="array" ref="A219">IFERROR(INDEX('Annex 2 Designated EHV charges'!$A$10:$A$200, MATCH(0, IF(ISBLANK('Annex 2 Designated EHV charges'!$A$10:$A$200),1, COUNTIF(A$4:$A218, 'Annex 2 Designated EHV charges'!$A$10:$A$200)), 0)),"")</f>
        <v/>
      </c>
      <c r="B219" s="190" t="str">
        <f>IF($A219="","",VLOOKUP($A219,'Annex 2 Designated EHV charges'!$A:$O,2,0))</f>
        <v/>
      </c>
      <c r="C219" s="189" t="str">
        <f>IF($A219="","",VLOOKUP($A219,'Annex 2 Designated EHV charges'!$A:$O,3,0))</f>
        <v/>
      </c>
      <c r="D219" s="190" t="str">
        <f>IF($A219="","",VLOOKUP($A219,'Annex 2 Designated EHV charges'!$A:$O,7,0))</f>
        <v/>
      </c>
      <c r="E219" s="192" t="str">
        <f>IFERROR(IF(VLOOKUP($A219,'Annex 2 Designated EHV charges'!$A:$O,8,FALSE)=0,"",VLOOKUP($A219,'Annex 2 Designated EHV charges'!$A:$O,8,FALSE)),"")</f>
        <v/>
      </c>
      <c r="F219" s="193" t="str">
        <f>IFERROR(IF(VLOOKUP($A219,'Annex 2 Designated EHV charges'!$A:$O,9,FALSE)=0,"",VLOOKUP($A219,'Annex 2 Designated EHV charges'!$A:$O,9,FALSE)),"")</f>
        <v/>
      </c>
      <c r="G219" s="194" t="str">
        <f>IFERROR(IF(VLOOKUP($A219,'Annex 2 Designated EHV charges'!$A:$O,10,FALSE)=0,"",VLOOKUP($A219,'Annex 2 Designated EHV charges'!$A:$O,10,FALSE)),"")</f>
        <v/>
      </c>
      <c r="H219" s="194" t="str">
        <f>IFERROR(IF(VLOOKUP($A219,'Annex 2 Designated EHV charges'!$A:$O,11,FALSE)=0,"",VLOOKUP($A219,'Annex 2 Designated EHV charges'!$A:$O,11,FALSE)),"")</f>
        <v/>
      </c>
    </row>
    <row r="220" spans="1:8" x14ac:dyDescent="0.35">
      <c r="A220" s="190" t="str" cm="1">
        <f t="array" ref="A220">IFERROR(INDEX('Annex 2 Designated EHV charges'!$A$10:$A$200, MATCH(0, IF(ISBLANK('Annex 2 Designated EHV charges'!$A$10:$A$200),1, COUNTIF(A$4:$A219, 'Annex 2 Designated EHV charges'!$A$10:$A$200)), 0)),"")</f>
        <v/>
      </c>
      <c r="B220" s="190" t="str">
        <f>IF($A220="","",VLOOKUP($A220,'Annex 2 Designated EHV charges'!$A:$O,2,0))</f>
        <v/>
      </c>
      <c r="C220" s="189" t="str">
        <f>IF($A220="","",VLOOKUP($A220,'Annex 2 Designated EHV charges'!$A:$O,3,0))</f>
        <v/>
      </c>
      <c r="D220" s="190" t="str">
        <f>IF($A220="","",VLOOKUP($A220,'Annex 2 Designated EHV charges'!$A:$O,7,0))</f>
        <v/>
      </c>
      <c r="E220" s="192" t="str">
        <f>IFERROR(IF(VLOOKUP($A220,'Annex 2 Designated EHV charges'!$A:$O,8,FALSE)=0,"",VLOOKUP($A220,'Annex 2 Designated EHV charges'!$A:$O,8,FALSE)),"")</f>
        <v/>
      </c>
      <c r="F220" s="193" t="str">
        <f>IFERROR(IF(VLOOKUP($A220,'Annex 2 Designated EHV charges'!$A:$O,9,FALSE)=0,"",VLOOKUP($A220,'Annex 2 Designated EHV charges'!$A:$O,9,FALSE)),"")</f>
        <v/>
      </c>
      <c r="G220" s="194" t="str">
        <f>IFERROR(IF(VLOOKUP($A220,'Annex 2 Designated EHV charges'!$A:$O,10,FALSE)=0,"",VLOOKUP($A220,'Annex 2 Designated EHV charges'!$A:$O,10,FALSE)),"")</f>
        <v/>
      </c>
      <c r="H220" s="194" t="str">
        <f>IFERROR(IF(VLOOKUP($A220,'Annex 2 Designated EHV charges'!$A:$O,11,FALSE)=0,"",VLOOKUP($A220,'Annex 2 Designated EHV charges'!$A:$O,11,FALSE)),"")</f>
        <v/>
      </c>
    </row>
    <row r="221" spans="1:8" x14ac:dyDescent="0.35">
      <c r="A221" s="190" t="str" cm="1">
        <f t="array" ref="A221">IFERROR(INDEX('Annex 2 Designated EHV charges'!$A$10:$A$200, MATCH(0, IF(ISBLANK('Annex 2 Designated EHV charges'!$A$10:$A$200),1, COUNTIF(A$4:$A220, 'Annex 2 Designated EHV charges'!$A$10:$A$200)), 0)),"")</f>
        <v/>
      </c>
      <c r="B221" s="190" t="str">
        <f>IF($A221="","",VLOOKUP($A221,'Annex 2 Designated EHV charges'!$A:$O,2,0))</f>
        <v/>
      </c>
      <c r="C221" s="189" t="str">
        <f>IF($A221="","",VLOOKUP($A221,'Annex 2 Designated EHV charges'!$A:$O,3,0))</f>
        <v/>
      </c>
      <c r="D221" s="190" t="str">
        <f>IF($A221="","",VLOOKUP($A221,'Annex 2 Designated EHV charges'!$A:$O,7,0))</f>
        <v/>
      </c>
      <c r="E221" s="192" t="str">
        <f>IFERROR(IF(VLOOKUP($A221,'Annex 2 Designated EHV charges'!$A:$O,8,FALSE)=0,"",VLOOKUP($A221,'Annex 2 Designated EHV charges'!$A:$O,8,FALSE)),"")</f>
        <v/>
      </c>
      <c r="F221" s="193" t="str">
        <f>IFERROR(IF(VLOOKUP($A221,'Annex 2 Designated EHV charges'!$A:$O,9,FALSE)=0,"",VLOOKUP($A221,'Annex 2 Designated EHV charges'!$A:$O,9,FALSE)),"")</f>
        <v/>
      </c>
      <c r="G221" s="194" t="str">
        <f>IFERROR(IF(VLOOKUP($A221,'Annex 2 Designated EHV charges'!$A:$O,10,FALSE)=0,"",VLOOKUP($A221,'Annex 2 Designated EHV charges'!$A:$O,10,FALSE)),"")</f>
        <v/>
      </c>
      <c r="H221" s="194" t="str">
        <f>IFERROR(IF(VLOOKUP($A221,'Annex 2 Designated EHV charges'!$A:$O,11,FALSE)=0,"",VLOOKUP($A221,'Annex 2 Designated EHV charges'!$A:$O,11,FALSE)),"")</f>
        <v/>
      </c>
    </row>
    <row r="222" spans="1:8" x14ac:dyDescent="0.35">
      <c r="A222" s="190" t="str" cm="1">
        <f t="array" ref="A222">IFERROR(INDEX('Annex 2 Designated EHV charges'!$A$10:$A$200, MATCH(0, IF(ISBLANK('Annex 2 Designated EHV charges'!$A$10:$A$200),1, COUNTIF(A$4:$A221, 'Annex 2 Designated EHV charges'!$A$10:$A$200)), 0)),"")</f>
        <v/>
      </c>
      <c r="B222" s="190" t="str">
        <f>IF($A222="","",VLOOKUP($A222,'Annex 2 Designated EHV charges'!$A:$O,2,0))</f>
        <v/>
      </c>
      <c r="C222" s="189" t="str">
        <f>IF($A222="","",VLOOKUP($A222,'Annex 2 Designated EHV charges'!$A:$O,3,0))</f>
        <v/>
      </c>
      <c r="D222" s="190" t="str">
        <f>IF($A222="","",VLOOKUP($A222,'Annex 2 Designated EHV charges'!$A:$O,7,0))</f>
        <v/>
      </c>
      <c r="E222" s="192" t="str">
        <f>IFERROR(IF(VLOOKUP($A222,'Annex 2 Designated EHV charges'!$A:$O,8,FALSE)=0,"",VLOOKUP($A222,'Annex 2 Designated EHV charges'!$A:$O,8,FALSE)),"")</f>
        <v/>
      </c>
      <c r="F222" s="193" t="str">
        <f>IFERROR(IF(VLOOKUP($A222,'Annex 2 Designated EHV charges'!$A:$O,9,FALSE)=0,"",VLOOKUP($A222,'Annex 2 Designated EHV charges'!$A:$O,9,FALSE)),"")</f>
        <v/>
      </c>
      <c r="G222" s="194" t="str">
        <f>IFERROR(IF(VLOOKUP($A222,'Annex 2 Designated EHV charges'!$A:$O,10,FALSE)=0,"",VLOOKUP($A222,'Annex 2 Designated EHV charges'!$A:$O,10,FALSE)),"")</f>
        <v/>
      </c>
      <c r="H222" s="194" t="str">
        <f>IFERROR(IF(VLOOKUP($A222,'Annex 2 Designated EHV charges'!$A:$O,11,FALSE)=0,"",VLOOKUP($A222,'Annex 2 Designated EHV charges'!$A:$O,11,FALSE)),"")</f>
        <v/>
      </c>
    </row>
    <row r="223" spans="1:8" x14ac:dyDescent="0.35">
      <c r="A223" s="190" t="str" cm="1">
        <f t="array" ref="A223">IFERROR(INDEX('Annex 2 Designated EHV charges'!$A$10:$A$200, MATCH(0, IF(ISBLANK('Annex 2 Designated EHV charges'!$A$10:$A$200),1, COUNTIF(A$4:$A222, 'Annex 2 Designated EHV charges'!$A$10:$A$200)), 0)),"")</f>
        <v/>
      </c>
      <c r="B223" s="190" t="str">
        <f>IF($A223="","",VLOOKUP($A223,'Annex 2 Designated EHV charges'!$A:$O,2,0))</f>
        <v/>
      </c>
      <c r="C223" s="189" t="str">
        <f>IF($A223="","",VLOOKUP($A223,'Annex 2 Designated EHV charges'!$A:$O,3,0))</f>
        <v/>
      </c>
      <c r="D223" s="190" t="str">
        <f>IF($A223="","",VLOOKUP($A223,'Annex 2 Designated EHV charges'!$A:$O,7,0))</f>
        <v/>
      </c>
      <c r="E223" s="192" t="str">
        <f>IFERROR(IF(VLOOKUP($A223,'Annex 2 Designated EHV charges'!$A:$O,8,FALSE)=0,"",VLOOKUP($A223,'Annex 2 Designated EHV charges'!$A:$O,8,FALSE)),"")</f>
        <v/>
      </c>
      <c r="F223" s="193" t="str">
        <f>IFERROR(IF(VLOOKUP($A223,'Annex 2 Designated EHV charges'!$A:$O,9,FALSE)=0,"",VLOOKUP($A223,'Annex 2 Designated EHV charges'!$A:$O,9,FALSE)),"")</f>
        <v/>
      </c>
      <c r="G223" s="194" t="str">
        <f>IFERROR(IF(VLOOKUP($A223,'Annex 2 Designated EHV charges'!$A:$O,10,FALSE)=0,"",VLOOKUP($A223,'Annex 2 Designated EHV charges'!$A:$O,10,FALSE)),"")</f>
        <v/>
      </c>
      <c r="H223" s="194" t="str">
        <f>IFERROR(IF(VLOOKUP($A223,'Annex 2 Designated EHV charges'!$A:$O,11,FALSE)=0,"",VLOOKUP($A223,'Annex 2 Designated EHV charges'!$A:$O,11,FALSE)),"")</f>
        <v/>
      </c>
    </row>
    <row r="224" spans="1:8" x14ac:dyDescent="0.35">
      <c r="A224" s="190" t="str" cm="1">
        <f t="array" ref="A224">IFERROR(INDEX('Annex 2 Designated EHV charges'!$A$10:$A$200, MATCH(0, IF(ISBLANK('Annex 2 Designated EHV charges'!$A$10:$A$200),1, COUNTIF(A$4:$A223, 'Annex 2 Designated EHV charges'!$A$10:$A$200)), 0)),"")</f>
        <v/>
      </c>
      <c r="B224" s="190" t="str">
        <f>IF($A224="","",VLOOKUP($A224,'Annex 2 Designated EHV charges'!$A:$O,2,0))</f>
        <v/>
      </c>
      <c r="C224" s="189" t="str">
        <f>IF($A224="","",VLOOKUP($A224,'Annex 2 Designated EHV charges'!$A:$O,3,0))</f>
        <v/>
      </c>
      <c r="D224" s="190" t="str">
        <f>IF($A224="","",VLOOKUP($A224,'Annex 2 Designated EHV charges'!$A:$O,7,0))</f>
        <v/>
      </c>
      <c r="E224" s="192" t="str">
        <f>IFERROR(IF(VLOOKUP($A224,'Annex 2 Designated EHV charges'!$A:$O,8,FALSE)=0,"",VLOOKUP($A224,'Annex 2 Designated EHV charges'!$A:$O,8,FALSE)),"")</f>
        <v/>
      </c>
      <c r="F224" s="193" t="str">
        <f>IFERROR(IF(VLOOKUP($A224,'Annex 2 Designated EHV charges'!$A:$O,9,FALSE)=0,"",VLOOKUP($A224,'Annex 2 Designated EHV charges'!$A:$O,9,FALSE)),"")</f>
        <v/>
      </c>
      <c r="G224" s="194" t="str">
        <f>IFERROR(IF(VLOOKUP($A224,'Annex 2 Designated EHV charges'!$A:$O,10,FALSE)=0,"",VLOOKUP($A224,'Annex 2 Designated EHV charges'!$A:$O,10,FALSE)),"")</f>
        <v/>
      </c>
      <c r="H224" s="194" t="str">
        <f>IFERROR(IF(VLOOKUP($A224,'Annex 2 Designated EHV charges'!$A:$O,11,FALSE)=0,"",VLOOKUP($A224,'Annex 2 Designated EHV charges'!$A:$O,11,FALSE)),"")</f>
        <v/>
      </c>
    </row>
    <row r="225" spans="1:8" x14ac:dyDescent="0.35">
      <c r="A225" s="190" t="str" cm="1">
        <f t="array" ref="A225">IFERROR(INDEX('Annex 2 Designated EHV charges'!$A$10:$A$200, MATCH(0, IF(ISBLANK('Annex 2 Designated EHV charges'!$A$10:$A$200),1, COUNTIF(A$4:$A224, 'Annex 2 Designated EHV charges'!$A$10:$A$200)), 0)),"")</f>
        <v/>
      </c>
      <c r="B225" s="190" t="str">
        <f>IF($A225="","",VLOOKUP($A225,'Annex 2 Designated EHV charges'!$A:$O,2,0))</f>
        <v/>
      </c>
      <c r="C225" s="189" t="str">
        <f>IF($A225="","",VLOOKUP($A225,'Annex 2 Designated EHV charges'!$A:$O,3,0))</f>
        <v/>
      </c>
      <c r="D225" s="190" t="str">
        <f>IF($A225="","",VLOOKUP($A225,'Annex 2 Designated EHV charges'!$A:$O,7,0))</f>
        <v/>
      </c>
      <c r="E225" s="192" t="str">
        <f>IFERROR(IF(VLOOKUP($A225,'Annex 2 Designated EHV charges'!$A:$O,8,FALSE)=0,"",VLOOKUP($A225,'Annex 2 Designated EHV charges'!$A:$O,8,FALSE)),"")</f>
        <v/>
      </c>
      <c r="F225" s="193" t="str">
        <f>IFERROR(IF(VLOOKUP($A225,'Annex 2 Designated EHV charges'!$A:$O,9,FALSE)=0,"",VLOOKUP($A225,'Annex 2 Designated EHV charges'!$A:$O,9,FALSE)),"")</f>
        <v/>
      </c>
      <c r="G225" s="194" t="str">
        <f>IFERROR(IF(VLOOKUP($A225,'Annex 2 Designated EHV charges'!$A:$O,10,FALSE)=0,"",VLOOKUP($A225,'Annex 2 Designated EHV charges'!$A:$O,10,FALSE)),"")</f>
        <v/>
      </c>
      <c r="H225" s="194" t="str">
        <f>IFERROR(IF(VLOOKUP($A225,'Annex 2 Designated EHV charges'!$A:$O,11,FALSE)=0,"",VLOOKUP($A225,'Annex 2 Designated EHV charges'!$A:$O,11,FALSE)),"")</f>
        <v/>
      </c>
    </row>
    <row r="226" spans="1:8" x14ac:dyDescent="0.35">
      <c r="A226" s="190" t="str" cm="1">
        <f t="array" ref="A226">IFERROR(INDEX('Annex 2 Designated EHV charges'!$A$10:$A$200, MATCH(0, IF(ISBLANK('Annex 2 Designated EHV charges'!$A$10:$A$200),1, COUNTIF(A$4:$A225, 'Annex 2 Designated EHV charges'!$A$10:$A$200)), 0)),"")</f>
        <v/>
      </c>
      <c r="B226" s="190" t="str">
        <f>IF($A226="","",VLOOKUP($A226,'Annex 2 Designated EHV charges'!$A:$O,2,0))</f>
        <v/>
      </c>
      <c r="C226" s="189" t="str">
        <f>IF($A226="","",VLOOKUP($A226,'Annex 2 Designated EHV charges'!$A:$O,3,0))</f>
        <v/>
      </c>
      <c r="D226" s="190" t="str">
        <f>IF($A226="","",VLOOKUP($A226,'Annex 2 Designated EHV charges'!$A:$O,7,0))</f>
        <v/>
      </c>
      <c r="E226" s="192" t="str">
        <f>IFERROR(IF(VLOOKUP($A226,'Annex 2 Designated EHV charges'!$A:$O,8,FALSE)=0,"",VLOOKUP($A226,'Annex 2 Designated EHV charges'!$A:$O,8,FALSE)),"")</f>
        <v/>
      </c>
      <c r="F226" s="193" t="str">
        <f>IFERROR(IF(VLOOKUP($A226,'Annex 2 Designated EHV charges'!$A:$O,9,FALSE)=0,"",VLOOKUP($A226,'Annex 2 Designated EHV charges'!$A:$O,9,FALSE)),"")</f>
        <v/>
      </c>
      <c r="G226" s="194" t="str">
        <f>IFERROR(IF(VLOOKUP($A226,'Annex 2 Designated EHV charges'!$A:$O,10,FALSE)=0,"",VLOOKUP($A226,'Annex 2 Designated EHV charges'!$A:$O,10,FALSE)),"")</f>
        <v/>
      </c>
      <c r="H226" s="194" t="str">
        <f>IFERROR(IF(VLOOKUP($A226,'Annex 2 Designated EHV charges'!$A:$O,11,FALSE)=0,"",VLOOKUP($A226,'Annex 2 Designated EHV charges'!$A:$O,11,FALSE)),"")</f>
        <v/>
      </c>
    </row>
    <row r="227" spans="1:8" x14ac:dyDescent="0.35">
      <c r="A227" s="190" t="str" cm="1">
        <f t="array" ref="A227">IFERROR(INDEX('Annex 2 Designated EHV charges'!$A$10:$A$200, MATCH(0, IF(ISBLANK('Annex 2 Designated EHV charges'!$A$10:$A$200),1, COUNTIF(A$4:$A226, 'Annex 2 Designated EHV charges'!$A$10:$A$200)), 0)),"")</f>
        <v/>
      </c>
      <c r="B227" s="190" t="str">
        <f>IF($A227="","",VLOOKUP($A227,'Annex 2 Designated EHV charges'!$A:$O,2,0))</f>
        <v/>
      </c>
      <c r="C227" s="189" t="str">
        <f>IF($A227="","",VLOOKUP($A227,'Annex 2 Designated EHV charges'!$A:$O,3,0))</f>
        <v/>
      </c>
      <c r="D227" s="190" t="str">
        <f>IF($A227="","",VLOOKUP($A227,'Annex 2 Designated EHV charges'!$A:$O,7,0))</f>
        <v/>
      </c>
      <c r="E227" s="192" t="str">
        <f>IFERROR(IF(VLOOKUP($A227,'Annex 2 Designated EHV charges'!$A:$O,8,FALSE)=0,"",VLOOKUP($A227,'Annex 2 Designated EHV charges'!$A:$O,8,FALSE)),"")</f>
        <v/>
      </c>
      <c r="F227" s="193" t="str">
        <f>IFERROR(IF(VLOOKUP($A227,'Annex 2 Designated EHV charges'!$A:$O,9,FALSE)=0,"",VLOOKUP($A227,'Annex 2 Designated EHV charges'!$A:$O,9,FALSE)),"")</f>
        <v/>
      </c>
      <c r="G227" s="194" t="str">
        <f>IFERROR(IF(VLOOKUP($A227,'Annex 2 Designated EHV charges'!$A:$O,10,FALSE)=0,"",VLOOKUP($A227,'Annex 2 Designated EHV charges'!$A:$O,10,FALSE)),"")</f>
        <v/>
      </c>
      <c r="H227" s="194" t="str">
        <f>IFERROR(IF(VLOOKUP($A227,'Annex 2 Designated EHV charges'!$A:$O,11,FALSE)=0,"",VLOOKUP($A227,'Annex 2 Designated EHV charges'!$A:$O,11,FALSE)),"")</f>
        <v/>
      </c>
    </row>
    <row r="228" spans="1:8" x14ac:dyDescent="0.35">
      <c r="A228" s="190" t="str" cm="1">
        <f t="array" ref="A228">IFERROR(INDEX('Annex 2 Designated EHV charges'!$A$10:$A$200, MATCH(0, IF(ISBLANK('Annex 2 Designated EHV charges'!$A$10:$A$200),1, COUNTIF(A$4:$A227, 'Annex 2 Designated EHV charges'!$A$10:$A$200)), 0)),"")</f>
        <v/>
      </c>
      <c r="B228" s="190" t="str">
        <f>IF($A228="","",VLOOKUP($A228,'Annex 2 Designated EHV charges'!$A:$O,2,0))</f>
        <v/>
      </c>
      <c r="C228" s="189" t="str">
        <f>IF($A228="","",VLOOKUP($A228,'Annex 2 Designated EHV charges'!$A:$O,3,0))</f>
        <v/>
      </c>
      <c r="D228" s="190" t="str">
        <f>IF($A228="","",VLOOKUP($A228,'Annex 2 Designated EHV charges'!$A:$O,7,0))</f>
        <v/>
      </c>
      <c r="E228" s="192" t="str">
        <f>IFERROR(IF(VLOOKUP($A228,'Annex 2 Designated EHV charges'!$A:$O,8,FALSE)=0,"",VLOOKUP($A228,'Annex 2 Designated EHV charges'!$A:$O,8,FALSE)),"")</f>
        <v/>
      </c>
      <c r="F228" s="193" t="str">
        <f>IFERROR(IF(VLOOKUP($A228,'Annex 2 Designated EHV charges'!$A:$O,9,FALSE)=0,"",VLOOKUP($A228,'Annex 2 Designated EHV charges'!$A:$O,9,FALSE)),"")</f>
        <v/>
      </c>
      <c r="G228" s="194" t="str">
        <f>IFERROR(IF(VLOOKUP($A228,'Annex 2 Designated EHV charges'!$A:$O,10,FALSE)=0,"",VLOOKUP($A228,'Annex 2 Designated EHV charges'!$A:$O,10,FALSE)),"")</f>
        <v/>
      </c>
      <c r="H228" s="194" t="str">
        <f>IFERROR(IF(VLOOKUP($A228,'Annex 2 Designated EHV charges'!$A:$O,11,FALSE)=0,"",VLOOKUP($A228,'Annex 2 Designated EHV charges'!$A:$O,11,FALSE)),"")</f>
        <v/>
      </c>
    </row>
    <row r="229" spans="1:8" x14ac:dyDescent="0.35">
      <c r="A229" s="190" t="str" cm="1">
        <f t="array" ref="A229">IFERROR(INDEX('Annex 2 Designated EHV charges'!$A$10:$A$200, MATCH(0, IF(ISBLANK('Annex 2 Designated EHV charges'!$A$10:$A$200),1, COUNTIF(A$4:$A228, 'Annex 2 Designated EHV charges'!$A$10:$A$200)), 0)),"")</f>
        <v/>
      </c>
      <c r="B229" s="190" t="str">
        <f>IF($A229="","",VLOOKUP($A229,'Annex 2 Designated EHV charges'!$A:$O,2,0))</f>
        <v/>
      </c>
      <c r="C229" s="189" t="str">
        <f>IF($A229="","",VLOOKUP($A229,'Annex 2 Designated EHV charges'!$A:$O,3,0))</f>
        <v/>
      </c>
      <c r="D229" s="190" t="str">
        <f>IF($A229="","",VLOOKUP($A229,'Annex 2 Designated EHV charges'!$A:$O,7,0))</f>
        <v/>
      </c>
      <c r="E229" s="192" t="str">
        <f>IFERROR(IF(VLOOKUP($A229,'Annex 2 Designated EHV charges'!$A:$O,8,FALSE)=0,"",VLOOKUP($A229,'Annex 2 Designated EHV charges'!$A:$O,8,FALSE)),"")</f>
        <v/>
      </c>
      <c r="F229" s="193" t="str">
        <f>IFERROR(IF(VLOOKUP($A229,'Annex 2 Designated EHV charges'!$A:$O,9,FALSE)=0,"",VLOOKUP($A229,'Annex 2 Designated EHV charges'!$A:$O,9,FALSE)),"")</f>
        <v/>
      </c>
      <c r="G229" s="194" t="str">
        <f>IFERROR(IF(VLOOKUP($A229,'Annex 2 Designated EHV charges'!$A:$O,10,FALSE)=0,"",VLOOKUP($A229,'Annex 2 Designated EHV charges'!$A:$O,10,FALSE)),"")</f>
        <v/>
      </c>
      <c r="H229" s="194" t="str">
        <f>IFERROR(IF(VLOOKUP($A229,'Annex 2 Designated EHV charges'!$A:$O,11,FALSE)=0,"",VLOOKUP($A229,'Annex 2 Designated EHV charges'!$A:$O,11,FALSE)),"")</f>
        <v/>
      </c>
    </row>
    <row r="230" spans="1:8" x14ac:dyDescent="0.35">
      <c r="A230" s="190" t="str" cm="1">
        <f t="array" ref="A230">IFERROR(INDEX('Annex 2 Designated EHV charges'!$A$10:$A$200, MATCH(0, IF(ISBLANK('Annex 2 Designated EHV charges'!$A$10:$A$200),1, COUNTIF(A$4:$A229, 'Annex 2 Designated EHV charges'!$A$10:$A$200)), 0)),"")</f>
        <v/>
      </c>
      <c r="B230" s="190" t="str">
        <f>IF($A230="","",VLOOKUP($A230,'Annex 2 Designated EHV charges'!$A:$O,2,0))</f>
        <v/>
      </c>
      <c r="C230" s="189" t="str">
        <f>IF($A230="","",VLOOKUP($A230,'Annex 2 Designated EHV charges'!$A:$O,3,0))</f>
        <v/>
      </c>
      <c r="D230" s="190" t="str">
        <f>IF($A230="","",VLOOKUP($A230,'Annex 2 Designated EHV charges'!$A:$O,7,0))</f>
        <v/>
      </c>
      <c r="E230" s="192" t="str">
        <f>IFERROR(IF(VLOOKUP($A230,'Annex 2 Designated EHV charges'!$A:$O,8,FALSE)=0,"",VLOOKUP($A230,'Annex 2 Designated EHV charges'!$A:$O,8,FALSE)),"")</f>
        <v/>
      </c>
      <c r="F230" s="193" t="str">
        <f>IFERROR(IF(VLOOKUP($A230,'Annex 2 Designated EHV charges'!$A:$O,9,FALSE)=0,"",VLOOKUP($A230,'Annex 2 Designated EHV charges'!$A:$O,9,FALSE)),"")</f>
        <v/>
      </c>
      <c r="G230" s="194" t="str">
        <f>IFERROR(IF(VLOOKUP($A230,'Annex 2 Designated EHV charges'!$A:$O,10,FALSE)=0,"",VLOOKUP($A230,'Annex 2 Designated EHV charges'!$A:$O,10,FALSE)),"")</f>
        <v/>
      </c>
      <c r="H230" s="194" t="str">
        <f>IFERROR(IF(VLOOKUP($A230,'Annex 2 Designated EHV charges'!$A:$O,11,FALSE)=0,"",VLOOKUP($A230,'Annex 2 Designated EHV charges'!$A:$O,11,FALSE)),"")</f>
        <v/>
      </c>
    </row>
    <row r="231" spans="1:8" x14ac:dyDescent="0.35">
      <c r="A231" s="190" t="str" cm="1">
        <f t="array" ref="A231">IFERROR(INDEX('Annex 2 Designated EHV charges'!$A$10:$A$200, MATCH(0, IF(ISBLANK('Annex 2 Designated EHV charges'!$A$10:$A$200),1, COUNTIF(A$4:$A230, 'Annex 2 Designated EHV charges'!$A$10:$A$200)), 0)),"")</f>
        <v/>
      </c>
      <c r="B231" s="190" t="str">
        <f>IF($A231="","",VLOOKUP($A231,'Annex 2 Designated EHV charges'!$A:$O,2,0))</f>
        <v/>
      </c>
      <c r="C231" s="189" t="str">
        <f>IF($A231="","",VLOOKUP($A231,'Annex 2 Designated EHV charges'!$A:$O,3,0))</f>
        <v/>
      </c>
      <c r="D231" s="190" t="str">
        <f>IF($A231="","",VLOOKUP($A231,'Annex 2 Designated EHV charges'!$A:$O,7,0))</f>
        <v/>
      </c>
      <c r="E231" s="192" t="str">
        <f>IFERROR(IF(VLOOKUP($A231,'Annex 2 Designated EHV charges'!$A:$O,8,FALSE)=0,"",VLOOKUP($A231,'Annex 2 Designated EHV charges'!$A:$O,8,FALSE)),"")</f>
        <v/>
      </c>
      <c r="F231" s="193" t="str">
        <f>IFERROR(IF(VLOOKUP($A231,'Annex 2 Designated EHV charges'!$A:$O,9,FALSE)=0,"",VLOOKUP($A231,'Annex 2 Designated EHV charges'!$A:$O,9,FALSE)),"")</f>
        <v/>
      </c>
      <c r="G231" s="194" t="str">
        <f>IFERROR(IF(VLOOKUP($A231,'Annex 2 Designated EHV charges'!$A:$O,10,FALSE)=0,"",VLOOKUP($A231,'Annex 2 Designated EHV charges'!$A:$O,10,FALSE)),"")</f>
        <v/>
      </c>
      <c r="H231" s="194" t="str">
        <f>IFERROR(IF(VLOOKUP($A231,'Annex 2 Designated EHV charges'!$A:$O,11,FALSE)=0,"",VLOOKUP($A231,'Annex 2 Designated EHV charges'!$A:$O,11,FALSE)),"")</f>
        <v/>
      </c>
    </row>
    <row r="232" spans="1:8" x14ac:dyDescent="0.35">
      <c r="A232" s="190" t="str" cm="1">
        <f t="array" ref="A232">IFERROR(INDEX('Annex 2 Designated EHV charges'!$A$10:$A$200, MATCH(0, IF(ISBLANK('Annex 2 Designated EHV charges'!$A$10:$A$200),1, COUNTIF(A$4:$A231, 'Annex 2 Designated EHV charges'!$A$10:$A$200)), 0)),"")</f>
        <v/>
      </c>
      <c r="B232" s="190" t="str">
        <f>IF($A232="","",VLOOKUP($A232,'Annex 2 Designated EHV charges'!$A:$O,2,0))</f>
        <v/>
      </c>
      <c r="C232" s="189" t="str">
        <f>IF($A232="","",VLOOKUP($A232,'Annex 2 Designated EHV charges'!$A:$O,3,0))</f>
        <v/>
      </c>
      <c r="D232" s="190" t="str">
        <f>IF($A232="","",VLOOKUP($A232,'Annex 2 Designated EHV charges'!$A:$O,7,0))</f>
        <v/>
      </c>
      <c r="E232" s="192" t="str">
        <f>IFERROR(IF(VLOOKUP($A232,'Annex 2 Designated EHV charges'!$A:$O,8,FALSE)=0,"",VLOOKUP($A232,'Annex 2 Designated EHV charges'!$A:$O,8,FALSE)),"")</f>
        <v/>
      </c>
      <c r="F232" s="193" t="str">
        <f>IFERROR(IF(VLOOKUP($A232,'Annex 2 Designated EHV charges'!$A:$O,9,FALSE)=0,"",VLOOKUP($A232,'Annex 2 Designated EHV charges'!$A:$O,9,FALSE)),"")</f>
        <v/>
      </c>
      <c r="G232" s="194" t="str">
        <f>IFERROR(IF(VLOOKUP($A232,'Annex 2 Designated EHV charges'!$A:$O,10,FALSE)=0,"",VLOOKUP($A232,'Annex 2 Designated EHV charges'!$A:$O,10,FALSE)),"")</f>
        <v/>
      </c>
      <c r="H232" s="194" t="str">
        <f>IFERROR(IF(VLOOKUP($A232,'Annex 2 Designated EHV charges'!$A:$O,11,FALSE)=0,"",VLOOKUP($A232,'Annex 2 Designated EHV charges'!$A:$O,11,FALSE)),"")</f>
        <v/>
      </c>
    </row>
    <row r="233" spans="1:8" x14ac:dyDescent="0.35">
      <c r="A233" s="190" t="str" cm="1">
        <f t="array" ref="A233">IFERROR(INDEX('Annex 2 Designated EHV charges'!$A$10:$A$200, MATCH(0, IF(ISBLANK('Annex 2 Designated EHV charges'!$A$10:$A$200),1, COUNTIF(A$4:$A232, 'Annex 2 Designated EHV charges'!$A$10:$A$200)), 0)),"")</f>
        <v/>
      </c>
      <c r="B233" s="190" t="str">
        <f>IF($A233="","",VLOOKUP($A233,'Annex 2 Designated EHV charges'!$A:$O,2,0))</f>
        <v/>
      </c>
      <c r="C233" s="189" t="str">
        <f>IF($A233="","",VLOOKUP($A233,'Annex 2 Designated EHV charges'!$A:$O,3,0))</f>
        <v/>
      </c>
      <c r="D233" s="190" t="str">
        <f>IF($A233="","",VLOOKUP($A233,'Annex 2 Designated EHV charges'!$A:$O,7,0))</f>
        <v/>
      </c>
      <c r="E233" s="192" t="str">
        <f>IFERROR(IF(VLOOKUP($A233,'Annex 2 Designated EHV charges'!$A:$O,8,FALSE)=0,"",VLOOKUP($A233,'Annex 2 Designated EHV charges'!$A:$O,8,FALSE)),"")</f>
        <v/>
      </c>
      <c r="F233" s="193" t="str">
        <f>IFERROR(IF(VLOOKUP($A233,'Annex 2 Designated EHV charges'!$A:$O,9,FALSE)=0,"",VLOOKUP($A233,'Annex 2 Designated EHV charges'!$A:$O,9,FALSE)),"")</f>
        <v/>
      </c>
      <c r="G233" s="194" t="str">
        <f>IFERROR(IF(VLOOKUP($A233,'Annex 2 Designated EHV charges'!$A:$O,10,FALSE)=0,"",VLOOKUP($A233,'Annex 2 Designated EHV charges'!$A:$O,10,FALSE)),"")</f>
        <v/>
      </c>
      <c r="H233" s="194" t="str">
        <f>IFERROR(IF(VLOOKUP($A233,'Annex 2 Designated EHV charges'!$A:$O,11,FALSE)=0,"",VLOOKUP($A233,'Annex 2 Designated EHV charges'!$A:$O,11,FALSE)),"")</f>
        <v/>
      </c>
    </row>
    <row r="234" spans="1:8" x14ac:dyDescent="0.35">
      <c r="A234" s="190" t="str" cm="1">
        <f t="array" ref="A234">IFERROR(INDEX('Annex 2 Designated EHV charges'!$A$10:$A$200, MATCH(0, IF(ISBLANK('Annex 2 Designated EHV charges'!$A$10:$A$200),1, COUNTIF(A$4:$A233, 'Annex 2 Designated EHV charges'!$A$10:$A$200)), 0)),"")</f>
        <v/>
      </c>
      <c r="B234" s="190" t="str">
        <f>IF($A234="","",VLOOKUP($A234,'Annex 2 Designated EHV charges'!$A:$O,2,0))</f>
        <v/>
      </c>
      <c r="C234" s="189" t="str">
        <f>IF($A234="","",VLOOKUP($A234,'Annex 2 Designated EHV charges'!$A:$O,3,0))</f>
        <v/>
      </c>
      <c r="D234" s="190" t="str">
        <f>IF($A234="","",VLOOKUP($A234,'Annex 2 Designated EHV charges'!$A:$O,7,0))</f>
        <v/>
      </c>
      <c r="E234" s="192" t="str">
        <f>IFERROR(IF(VLOOKUP($A234,'Annex 2 Designated EHV charges'!$A:$O,8,FALSE)=0,"",VLOOKUP($A234,'Annex 2 Designated EHV charges'!$A:$O,8,FALSE)),"")</f>
        <v/>
      </c>
      <c r="F234" s="193" t="str">
        <f>IFERROR(IF(VLOOKUP($A234,'Annex 2 Designated EHV charges'!$A:$O,9,FALSE)=0,"",VLOOKUP($A234,'Annex 2 Designated EHV charges'!$A:$O,9,FALSE)),"")</f>
        <v/>
      </c>
      <c r="G234" s="194" t="str">
        <f>IFERROR(IF(VLOOKUP($A234,'Annex 2 Designated EHV charges'!$A:$O,10,FALSE)=0,"",VLOOKUP($A234,'Annex 2 Designated EHV charges'!$A:$O,10,FALSE)),"")</f>
        <v/>
      </c>
      <c r="H234" s="194" t="str">
        <f>IFERROR(IF(VLOOKUP($A234,'Annex 2 Designated EHV charges'!$A:$O,11,FALSE)=0,"",VLOOKUP($A234,'Annex 2 Designated EHV charges'!$A:$O,11,FALSE)),"")</f>
        <v/>
      </c>
    </row>
    <row r="235" spans="1:8" x14ac:dyDescent="0.35">
      <c r="A235" s="190" t="str" cm="1">
        <f t="array" ref="A235">IFERROR(INDEX('Annex 2 Designated EHV charges'!$A$10:$A$200, MATCH(0, IF(ISBLANK('Annex 2 Designated EHV charges'!$A$10:$A$200),1, COUNTIF(A$4:$A234, 'Annex 2 Designated EHV charges'!$A$10:$A$200)), 0)),"")</f>
        <v/>
      </c>
      <c r="B235" s="190" t="str">
        <f>IF($A235="","",VLOOKUP($A235,'Annex 2 Designated EHV charges'!$A:$O,2,0))</f>
        <v/>
      </c>
      <c r="C235" s="189" t="str">
        <f>IF($A235="","",VLOOKUP($A235,'Annex 2 Designated EHV charges'!$A:$O,3,0))</f>
        <v/>
      </c>
      <c r="D235" s="190" t="str">
        <f>IF($A235="","",VLOOKUP($A235,'Annex 2 Designated EHV charges'!$A:$O,7,0))</f>
        <v/>
      </c>
      <c r="E235" s="192" t="str">
        <f>IFERROR(IF(VLOOKUP($A235,'Annex 2 Designated EHV charges'!$A:$O,8,FALSE)=0,"",VLOOKUP($A235,'Annex 2 Designated EHV charges'!$A:$O,8,FALSE)),"")</f>
        <v/>
      </c>
      <c r="F235" s="193" t="str">
        <f>IFERROR(IF(VLOOKUP($A235,'Annex 2 Designated EHV charges'!$A:$O,9,FALSE)=0,"",VLOOKUP($A235,'Annex 2 Designated EHV charges'!$A:$O,9,FALSE)),"")</f>
        <v/>
      </c>
      <c r="G235" s="194" t="str">
        <f>IFERROR(IF(VLOOKUP($A235,'Annex 2 Designated EHV charges'!$A:$O,10,FALSE)=0,"",VLOOKUP($A235,'Annex 2 Designated EHV charges'!$A:$O,10,FALSE)),"")</f>
        <v/>
      </c>
      <c r="H235" s="194" t="str">
        <f>IFERROR(IF(VLOOKUP($A235,'Annex 2 Designated EHV charges'!$A:$O,11,FALSE)=0,"",VLOOKUP($A235,'Annex 2 Designated EHV charges'!$A:$O,11,FALSE)),"")</f>
        <v/>
      </c>
    </row>
    <row r="236" spans="1:8" x14ac:dyDescent="0.35">
      <c r="A236" s="190" t="str" cm="1">
        <f t="array" ref="A236">IFERROR(INDEX('Annex 2 Designated EHV charges'!$A$10:$A$200, MATCH(0, IF(ISBLANK('Annex 2 Designated EHV charges'!$A$10:$A$200),1, COUNTIF(A$4:$A235, 'Annex 2 Designated EHV charges'!$A$10:$A$200)), 0)),"")</f>
        <v/>
      </c>
      <c r="B236" s="190" t="str">
        <f>IF($A236="","",VLOOKUP($A236,'Annex 2 Designated EHV charges'!$A:$O,2,0))</f>
        <v/>
      </c>
      <c r="C236" s="189" t="str">
        <f>IF($A236="","",VLOOKUP($A236,'Annex 2 Designated EHV charges'!$A:$O,3,0))</f>
        <v/>
      </c>
      <c r="D236" s="190" t="str">
        <f>IF($A236="","",VLOOKUP($A236,'Annex 2 Designated EHV charges'!$A:$O,7,0))</f>
        <v/>
      </c>
      <c r="E236" s="192" t="str">
        <f>IFERROR(IF(VLOOKUP($A236,'Annex 2 Designated EHV charges'!$A:$O,8,FALSE)=0,"",VLOOKUP($A236,'Annex 2 Designated EHV charges'!$A:$O,8,FALSE)),"")</f>
        <v/>
      </c>
      <c r="F236" s="193" t="str">
        <f>IFERROR(IF(VLOOKUP($A236,'Annex 2 Designated EHV charges'!$A:$O,9,FALSE)=0,"",VLOOKUP($A236,'Annex 2 Designated EHV charges'!$A:$O,9,FALSE)),"")</f>
        <v/>
      </c>
      <c r="G236" s="194" t="str">
        <f>IFERROR(IF(VLOOKUP($A236,'Annex 2 Designated EHV charges'!$A:$O,10,FALSE)=0,"",VLOOKUP($A236,'Annex 2 Designated EHV charges'!$A:$O,10,FALSE)),"")</f>
        <v/>
      </c>
      <c r="H236" s="194" t="str">
        <f>IFERROR(IF(VLOOKUP($A236,'Annex 2 Designated EHV charges'!$A:$O,11,FALSE)=0,"",VLOOKUP($A236,'Annex 2 Designated EHV charges'!$A:$O,11,FALSE)),"")</f>
        <v/>
      </c>
    </row>
    <row r="237" spans="1:8" x14ac:dyDescent="0.35">
      <c r="A237" s="190" t="str" cm="1">
        <f t="array" ref="A237">IFERROR(INDEX('Annex 2 Designated EHV charges'!$A$10:$A$200, MATCH(0, IF(ISBLANK('Annex 2 Designated EHV charges'!$A$10:$A$200),1, COUNTIF(A$4:$A236, 'Annex 2 Designated EHV charges'!$A$10:$A$200)), 0)),"")</f>
        <v/>
      </c>
      <c r="B237" s="190" t="str">
        <f>IF($A237="","",VLOOKUP($A237,'Annex 2 Designated EHV charges'!$A:$O,2,0))</f>
        <v/>
      </c>
      <c r="C237" s="189" t="str">
        <f>IF($A237="","",VLOOKUP($A237,'Annex 2 Designated EHV charges'!$A:$O,3,0))</f>
        <v/>
      </c>
      <c r="D237" s="190" t="str">
        <f>IF($A237="","",VLOOKUP($A237,'Annex 2 Designated EHV charges'!$A:$O,7,0))</f>
        <v/>
      </c>
      <c r="E237" s="192" t="str">
        <f>IFERROR(IF(VLOOKUP($A237,'Annex 2 Designated EHV charges'!$A:$O,8,FALSE)=0,"",VLOOKUP($A237,'Annex 2 Designated EHV charges'!$A:$O,8,FALSE)),"")</f>
        <v/>
      </c>
      <c r="F237" s="193" t="str">
        <f>IFERROR(IF(VLOOKUP($A237,'Annex 2 Designated EHV charges'!$A:$O,9,FALSE)=0,"",VLOOKUP($A237,'Annex 2 Designated EHV charges'!$A:$O,9,FALSE)),"")</f>
        <v/>
      </c>
      <c r="G237" s="194" t="str">
        <f>IFERROR(IF(VLOOKUP($A237,'Annex 2 Designated EHV charges'!$A:$O,10,FALSE)=0,"",VLOOKUP($A237,'Annex 2 Designated EHV charges'!$A:$O,10,FALSE)),"")</f>
        <v/>
      </c>
      <c r="H237" s="194" t="str">
        <f>IFERROR(IF(VLOOKUP($A237,'Annex 2 Designated EHV charges'!$A:$O,11,FALSE)=0,"",VLOOKUP($A237,'Annex 2 Designated EHV charges'!$A:$O,11,FALSE)),"")</f>
        <v/>
      </c>
    </row>
    <row r="238" spans="1:8" x14ac:dyDescent="0.35">
      <c r="A238" s="190" t="str" cm="1">
        <f t="array" ref="A238">IFERROR(INDEX('Annex 2 Designated EHV charges'!$A$10:$A$200, MATCH(0, IF(ISBLANK('Annex 2 Designated EHV charges'!$A$10:$A$200),1, COUNTIF(A$4:$A237, 'Annex 2 Designated EHV charges'!$A$10:$A$200)), 0)),"")</f>
        <v/>
      </c>
      <c r="B238" s="190" t="str">
        <f>IF($A238="","",VLOOKUP($A238,'Annex 2 Designated EHV charges'!$A:$O,2,0))</f>
        <v/>
      </c>
      <c r="C238" s="189" t="str">
        <f>IF($A238="","",VLOOKUP($A238,'Annex 2 Designated EHV charges'!$A:$O,3,0))</f>
        <v/>
      </c>
      <c r="D238" s="190" t="str">
        <f>IF($A238="","",VLOOKUP($A238,'Annex 2 Designated EHV charges'!$A:$O,7,0))</f>
        <v/>
      </c>
      <c r="E238" s="192" t="str">
        <f>IFERROR(IF(VLOOKUP($A238,'Annex 2 Designated EHV charges'!$A:$O,8,FALSE)=0,"",VLOOKUP($A238,'Annex 2 Designated EHV charges'!$A:$O,8,FALSE)),"")</f>
        <v/>
      </c>
      <c r="F238" s="193" t="str">
        <f>IFERROR(IF(VLOOKUP($A238,'Annex 2 Designated EHV charges'!$A:$O,9,FALSE)=0,"",VLOOKUP($A238,'Annex 2 Designated EHV charges'!$A:$O,9,FALSE)),"")</f>
        <v/>
      </c>
      <c r="G238" s="194" t="str">
        <f>IFERROR(IF(VLOOKUP($A238,'Annex 2 Designated EHV charges'!$A:$O,10,FALSE)=0,"",VLOOKUP($A238,'Annex 2 Designated EHV charges'!$A:$O,10,FALSE)),"")</f>
        <v/>
      </c>
      <c r="H238" s="194" t="str">
        <f>IFERROR(IF(VLOOKUP($A238,'Annex 2 Designated EHV charges'!$A:$O,11,FALSE)=0,"",VLOOKUP($A238,'Annex 2 Designated EHV charges'!$A:$O,11,FALSE)),"")</f>
        <v/>
      </c>
    </row>
    <row r="239" spans="1:8" x14ac:dyDescent="0.35">
      <c r="A239" s="190" t="str" cm="1">
        <f t="array" ref="A239">IFERROR(INDEX('Annex 2 Designated EHV charges'!$A$10:$A$200, MATCH(0, IF(ISBLANK('Annex 2 Designated EHV charges'!$A$10:$A$200),1, COUNTIF(A$4:$A238, 'Annex 2 Designated EHV charges'!$A$10:$A$200)), 0)),"")</f>
        <v/>
      </c>
      <c r="B239" s="190" t="str">
        <f>IF($A239="","",VLOOKUP($A239,'Annex 2 Designated EHV charges'!$A:$O,2,0))</f>
        <v/>
      </c>
      <c r="C239" s="189" t="str">
        <f>IF($A239="","",VLOOKUP($A239,'Annex 2 Designated EHV charges'!$A:$O,3,0))</f>
        <v/>
      </c>
      <c r="D239" s="190" t="str">
        <f>IF($A239="","",VLOOKUP($A239,'Annex 2 Designated EHV charges'!$A:$O,7,0))</f>
        <v/>
      </c>
      <c r="E239" s="192" t="str">
        <f>IFERROR(IF(VLOOKUP($A239,'Annex 2 Designated EHV charges'!$A:$O,8,FALSE)=0,"",VLOOKUP($A239,'Annex 2 Designated EHV charges'!$A:$O,8,FALSE)),"")</f>
        <v/>
      </c>
      <c r="F239" s="193" t="str">
        <f>IFERROR(IF(VLOOKUP($A239,'Annex 2 Designated EHV charges'!$A:$O,9,FALSE)=0,"",VLOOKUP($A239,'Annex 2 Designated EHV charges'!$A:$O,9,FALSE)),"")</f>
        <v/>
      </c>
      <c r="G239" s="194" t="str">
        <f>IFERROR(IF(VLOOKUP($A239,'Annex 2 Designated EHV charges'!$A:$O,10,FALSE)=0,"",VLOOKUP($A239,'Annex 2 Designated EHV charges'!$A:$O,10,FALSE)),"")</f>
        <v/>
      </c>
      <c r="H239" s="194" t="str">
        <f>IFERROR(IF(VLOOKUP($A239,'Annex 2 Designated EHV charges'!$A:$O,11,FALSE)=0,"",VLOOKUP($A239,'Annex 2 Designated EHV charges'!$A:$O,11,FALSE)),"")</f>
        <v/>
      </c>
    </row>
    <row r="240" spans="1:8" x14ac:dyDescent="0.35">
      <c r="A240" s="190" t="str" cm="1">
        <f t="array" ref="A240">IFERROR(INDEX('Annex 2 Designated EHV charges'!$A$10:$A$200, MATCH(0, IF(ISBLANK('Annex 2 Designated EHV charges'!$A$10:$A$200),1, COUNTIF(A$4:$A239, 'Annex 2 Designated EHV charges'!$A$10:$A$200)), 0)),"")</f>
        <v/>
      </c>
      <c r="B240" s="190" t="str">
        <f>IF($A240="","",VLOOKUP($A240,'Annex 2 Designated EHV charges'!$A:$O,2,0))</f>
        <v/>
      </c>
      <c r="C240" s="189" t="str">
        <f>IF($A240="","",VLOOKUP($A240,'Annex 2 Designated EHV charges'!$A:$O,3,0))</f>
        <v/>
      </c>
      <c r="D240" s="190" t="str">
        <f>IF($A240="","",VLOOKUP($A240,'Annex 2 Designated EHV charges'!$A:$O,7,0))</f>
        <v/>
      </c>
      <c r="E240" s="192" t="str">
        <f>IFERROR(IF(VLOOKUP($A240,'Annex 2 Designated EHV charges'!$A:$O,8,FALSE)=0,"",VLOOKUP($A240,'Annex 2 Designated EHV charges'!$A:$O,8,FALSE)),"")</f>
        <v/>
      </c>
      <c r="F240" s="193" t="str">
        <f>IFERROR(IF(VLOOKUP($A240,'Annex 2 Designated EHV charges'!$A:$O,9,FALSE)=0,"",VLOOKUP($A240,'Annex 2 Designated EHV charges'!$A:$O,9,FALSE)),"")</f>
        <v/>
      </c>
      <c r="G240" s="194" t="str">
        <f>IFERROR(IF(VLOOKUP($A240,'Annex 2 Designated EHV charges'!$A:$O,10,FALSE)=0,"",VLOOKUP($A240,'Annex 2 Designated EHV charges'!$A:$O,10,FALSE)),"")</f>
        <v/>
      </c>
      <c r="H240" s="194" t="str">
        <f>IFERROR(IF(VLOOKUP($A240,'Annex 2 Designated EHV charges'!$A:$O,11,FALSE)=0,"",VLOOKUP($A240,'Annex 2 Designated EHV charges'!$A:$O,11,FALSE)),"")</f>
        <v/>
      </c>
    </row>
    <row r="241" spans="1:8" x14ac:dyDescent="0.35">
      <c r="A241" s="190" t="str" cm="1">
        <f t="array" ref="A241">IFERROR(INDEX('Annex 2 Designated EHV charges'!$A$10:$A$200, MATCH(0, IF(ISBLANK('Annex 2 Designated EHV charges'!$A$10:$A$200),1, COUNTIF(A$4:$A240, 'Annex 2 Designated EHV charges'!$A$10:$A$200)), 0)),"")</f>
        <v/>
      </c>
      <c r="B241" s="190" t="str">
        <f>IF($A241="","",VLOOKUP($A241,'Annex 2 Designated EHV charges'!$A:$O,2,0))</f>
        <v/>
      </c>
      <c r="C241" s="189" t="str">
        <f>IF($A241="","",VLOOKUP($A241,'Annex 2 Designated EHV charges'!$A:$O,3,0))</f>
        <v/>
      </c>
      <c r="D241" s="190" t="str">
        <f>IF($A241="","",VLOOKUP($A241,'Annex 2 Designated EHV charges'!$A:$O,7,0))</f>
        <v/>
      </c>
      <c r="E241" s="192" t="str">
        <f>IFERROR(IF(VLOOKUP($A241,'Annex 2 Designated EHV charges'!$A:$O,8,FALSE)=0,"",VLOOKUP($A241,'Annex 2 Designated EHV charges'!$A:$O,8,FALSE)),"")</f>
        <v/>
      </c>
      <c r="F241" s="193" t="str">
        <f>IFERROR(IF(VLOOKUP($A241,'Annex 2 Designated EHV charges'!$A:$O,9,FALSE)=0,"",VLOOKUP($A241,'Annex 2 Designated EHV charges'!$A:$O,9,FALSE)),"")</f>
        <v/>
      </c>
      <c r="G241" s="194" t="str">
        <f>IFERROR(IF(VLOOKUP($A241,'Annex 2 Designated EHV charges'!$A:$O,10,FALSE)=0,"",VLOOKUP($A241,'Annex 2 Designated EHV charges'!$A:$O,10,FALSE)),"")</f>
        <v/>
      </c>
      <c r="H241" s="194" t="str">
        <f>IFERROR(IF(VLOOKUP($A241,'Annex 2 Designated EHV charges'!$A:$O,11,FALSE)=0,"",VLOOKUP($A241,'Annex 2 Designated EHV charges'!$A:$O,11,FALSE)),"")</f>
        <v/>
      </c>
    </row>
    <row r="242" spans="1:8" x14ac:dyDescent="0.35">
      <c r="A242" s="190" t="str" cm="1">
        <f t="array" ref="A242">IFERROR(INDEX('Annex 2 Designated EHV charges'!$A$10:$A$200, MATCH(0, IF(ISBLANK('Annex 2 Designated EHV charges'!$A$10:$A$200),1, COUNTIF(A$4:$A241, 'Annex 2 Designated EHV charges'!$A$10:$A$200)), 0)),"")</f>
        <v/>
      </c>
      <c r="B242" s="190" t="str">
        <f>IF($A242="","",VLOOKUP($A242,'Annex 2 Designated EHV charges'!$A:$O,2,0))</f>
        <v/>
      </c>
      <c r="C242" s="189" t="str">
        <f>IF($A242="","",VLOOKUP($A242,'Annex 2 Designated EHV charges'!$A:$O,3,0))</f>
        <v/>
      </c>
      <c r="D242" s="190" t="str">
        <f>IF($A242="","",VLOOKUP($A242,'Annex 2 Designated EHV charges'!$A:$O,7,0))</f>
        <v/>
      </c>
      <c r="E242" s="192" t="str">
        <f>IFERROR(IF(VLOOKUP($A242,'Annex 2 Designated EHV charges'!$A:$O,8,FALSE)=0,"",VLOOKUP($A242,'Annex 2 Designated EHV charges'!$A:$O,8,FALSE)),"")</f>
        <v/>
      </c>
      <c r="F242" s="193" t="str">
        <f>IFERROR(IF(VLOOKUP($A242,'Annex 2 Designated EHV charges'!$A:$O,9,FALSE)=0,"",VLOOKUP($A242,'Annex 2 Designated EHV charges'!$A:$O,9,FALSE)),"")</f>
        <v/>
      </c>
      <c r="G242" s="194" t="str">
        <f>IFERROR(IF(VLOOKUP($A242,'Annex 2 Designated EHV charges'!$A:$O,10,FALSE)=0,"",VLOOKUP($A242,'Annex 2 Designated EHV charges'!$A:$O,10,FALSE)),"")</f>
        <v/>
      </c>
      <c r="H242" s="194" t="str">
        <f>IFERROR(IF(VLOOKUP($A242,'Annex 2 Designated EHV charges'!$A:$O,11,FALSE)=0,"",VLOOKUP($A242,'Annex 2 Designated EHV charges'!$A:$O,11,FALSE)),"")</f>
        <v/>
      </c>
    </row>
    <row r="243" spans="1:8" x14ac:dyDescent="0.35">
      <c r="A243" s="190" t="str" cm="1">
        <f t="array" ref="A243">IFERROR(INDEX('Annex 2 Designated EHV charges'!$A$10:$A$200, MATCH(0, IF(ISBLANK('Annex 2 Designated EHV charges'!$A$10:$A$200),1, COUNTIF(A$4:$A242, 'Annex 2 Designated EHV charges'!$A$10:$A$200)), 0)),"")</f>
        <v/>
      </c>
      <c r="B243" s="190" t="str">
        <f>IF($A243="","",VLOOKUP($A243,'Annex 2 Designated EHV charges'!$A:$O,2,0))</f>
        <v/>
      </c>
      <c r="C243" s="189" t="str">
        <f>IF($A243="","",VLOOKUP($A243,'Annex 2 Designated EHV charges'!$A:$O,3,0))</f>
        <v/>
      </c>
      <c r="D243" s="190" t="str">
        <f>IF($A243="","",VLOOKUP($A243,'Annex 2 Designated EHV charges'!$A:$O,7,0))</f>
        <v/>
      </c>
      <c r="E243" s="192" t="str">
        <f>IFERROR(IF(VLOOKUP($A243,'Annex 2 Designated EHV charges'!$A:$O,8,FALSE)=0,"",VLOOKUP($A243,'Annex 2 Designated EHV charges'!$A:$O,8,FALSE)),"")</f>
        <v/>
      </c>
      <c r="F243" s="193" t="str">
        <f>IFERROR(IF(VLOOKUP($A243,'Annex 2 Designated EHV charges'!$A:$O,9,FALSE)=0,"",VLOOKUP($A243,'Annex 2 Designated EHV charges'!$A:$O,9,FALSE)),"")</f>
        <v/>
      </c>
      <c r="G243" s="194" t="str">
        <f>IFERROR(IF(VLOOKUP($A243,'Annex 2 Designated EHV charges'!$A:$O,10,FALSE)=0,"",VLOOKUP($A243,'Annex 2 Designated EHV charges'!$A:$O,10,FALSE)),"")</f>
        <v/>
      </c>
      <c r="H243" s="194" t="str">
        <f>IFERROR(IF(VLOOKUP($A243,'Annex 2 Designated EHV charges'!$A:$O,11,FALSE)=0,"",VLOOKUP($A243,'Annex 2 Designated EHV charges'!$A:$O,11,FALSE)),"")</f>
        <v/>
      </c>
    </row>
    <row r="244" spans="1:8" x14ac:dyDescent="0.35">
      <c r="A244" s="190" t="str" cm="1">
        <f t="array" ref="A244">IFERROR(INDEX('Annex 2 Designated EHV charges'!$A$10:$A$200, MATCH(0, IF(ISBLANK('Annex 2 Designated EHV charges'!$A$10:$A$200),1, COUNTIF(A$4:$A243, 'Annex 2 Designated EHV charges'!$A$10:$A$200)), 0)),"")</f>
        <v/>
      </c>
      <c r="B244" s="190" t="str">
        <f>IF($A244="","",VLOOKUP($A244,'Annex 2 Designated EHV charges'!$A:$O,2,0))</f>
        <v/>
      </c>
      <c r="C244" s="189" t="str">
        <f>IF($A244="","",VLOOKUP($A244,'Annex 2 Designated EHV charges'!$A:$O,3,0))</f>
        <v/>
      </c>
      <c r="D244" s="190" t="str">
        <f>IF($A244="","",VLOOKUP($A244,'Annex 2 Designated EHV charges'!$A:$O,7,0))</f>
        <v/>
      </c>
      <c r="E244" s="192" t="str">
        <f>IFERROR(IF(VLOOKUP($A244,'Annex 2 Designated EHV charges'!$A:$O,8,FALSE)=0,"",VLOOKUP($A244,'Annex 2 Designated EHV charges'!$A:$O,8,FALSE)),"")</f>
        <v/>
      </c>
      <c r="F244" s="193" t="str">
        <f>IFERROR(IF(VLOOKUP($A244,'Annex 2 Designated EHV charges'!$A:$O,9,FALSE)=0,"",VLOOKUP($A244,'Annex 2 Designated EHV charges'!$A:$O,9,FALSE)),"")</f>
        <v/>
      </c>
      <c r="G244" s="194" t="str">
        <f>IFERROR(IF(VLOOKUP($A244,'Annex 2 Designated EHV charges'!$A:$O,10,FALSE)=0,"",VLOOKUP($A244,'Annex 2 Designated EHV charges'!$A:$O,10,FALSE)),"")</f>
        <v/>
      </c>
      <c r="H244" s="194" t="str">
        <f>IFERROR(IF(VLOOKUP($A244,'Annex 2 Designated EHV charges'!$A:$O,11,FALSE)=0,"",VLOOKUP($A244,'Annex 2 Designated EHV charges'!$A:$O,11,FALSE)),"")</f>
        <v/>
      </c>
    </row>
    <row r="245" spans="1:8" x14ac:dyDescent="0.35">
      <c r="A245" s="190" t="str" cm="1">
        <f t="array" ref="A245">IFERROR(INDEX('Annex 2 Designated EHV charges'!$A$10:$A$200, MATCH(0, IF(ISBLANK('Annex 2 Designated EHV charges'!$A$10:$A$200),1, COUNTIF(A$4:$A244, 'Annex 2 Designated EHV charges'!$A$10:$A$200)), 0)),"")</f>
        <v/>
      </c>
      <c r="B245" s="190" t="str">
        <f>IF($A245="","",VLOOKUP($A245,'Annex 2 Designated EHV charges'!$A:$O,2,0))</f>
        <v/>
      </c>
      <c r="C245" s="189" t="str">
        <f>IF($A245="","",VLOOKUP($A245,'Annex 2 Designated EHV charges'!$A:$O,3,0))</f>
        <v/>
      </c>
      <c r="D245" s="190" t="str">
        <f>IF($A245="","",VLOOKUP($A245,'Annex 2 Designated EHV charges'!$A:$O,7,0))</f>
        <v/>
      </c>
      <c r="E245" s="192" t="str">
        <f>IFERROR(IF(VLOOKUP($A245,'Annex 2 Designated EHV charges'!$A:$O,8,FALSE)=0,"",VLOOKUP($A245,'Annex 2 Designated EHV charges'!$A:$O,8,FALSE)),"")</f>
        <v/>
      </c>
      <c r="F245" s="193" t="str">
        <f>IFERROR(IF(VLOOKUP($A245,'Annex 2 Designated EHV charges'!$A:$O,9,FALSE)=0,"",VLOOKUP($A245,'Annex 2 Designated EHV charges'!$A:$O,9,FALSE)),"")</f>
        <v/>
      </c>
      <c r="G245" s="194" t="str">
        <f>IFERROR(IF(VLOOKUP($A245,'Annex 2 Designated EHV charges'!$A:$O,10,FALSE)=0,"",VLOOKUP($A245,'Annex 2 Designated EHV charges'!$A:$O,10,FALSE)),"")</f>
        <v/>
      </c>
      <c r="H245" s="194" t="str">
        <f>IFERROR(IF(VLOOKUP($A245,'Annex 2 Designated EHV charges'!$A:$O,11,FALSE)=0,"",VLOOKUP($A245,'Annex 2 Designated EHV charges'!$A:$O,11,FALSE)),"")</f>
        <v/>
      </c>
    </row>
    <row r="246" spans="1:8" x14ac:dyDescent="0.35">
      <c r="A246" s="190" t="str" cm="1">
        <f t="array" ref="A246">IFERROR(INDEX('Annex 2 Designated EHV charges'!$A$10:$A$200, MATCH(0, IF(ISBLANK('Annex 2 Designated EHV charges'!$A$10:$A$200),1, COUNTIF(A$4:$A245, 'Annex 2 Designated EHV charges'!$A$10:$A$200)), 0)),"")</f>
        <v/>
      </c>
      <c r="B246" s="190" t="str">
        <f>IF($A246="","",VLOOKUP($A246,'Annex 2 Designated EHV charges'!$A:$O,2,0))</f>
        <v/>
      </c>
      <c r="C246" s="189" t="str">
        <f>IF($A246="","",VLOOKUP($A246,'Annex 2 Designated EHV charges'!$A:$O,3,0))</f>
        <v/>
      </c>
      <c r="D246" s="190" t="str">
        <f>IF($A246="","",VLOOKUP($A246,'Annex 2 Designated EHV charges'!$A:$O,7,0))</f>
        <v/>
      </c>
      <c r="E246" s="192" t="str">
        <f>IFERROR(IF(VLOOKUP($A246,'Annex 2 Designated EHV charges'!$A:$O,8,FALSE)=0,"",VLOOKUP($A246,'Annex 2 Designated EHV charges'!$A:$O,8,FALSE)),"")</f>
        <v/>
      </c>
      <c r="F246" s="193" t="str">
        <f>IFERROR(IF(VLOOKUP($A246,'Annex 2 Designated EHV charges'!$A:$O,9,FALSE)=0,"",VLOOKUP($A246,'Annex 2 Designated EHV charges'!$A:$O,9,FALSE)),"")</f>
        <v/>
      </c>
      <c r="G246" s="194" t="str">
        <f>IFERROR(IF(VLOOKUP($A246,'Annex 2 Designated EHV charges'!$A:$O,10,FALSE)=0,"",VLOOKUP($A246,'Annex 2 Designated EHV charges'!$A:$O,10,FALSE)),"")</f>
        <v/>
      </c>
      <c r="H246" s="194" t="str">
        <f>IFERROR(IF(VLOOKUP($A246,'Annex 2 Designated EHV charges'!$A:$O,11,FALSE)=0,"",VLOOKUP($A246,'Annex 2 Designated EHV charges'!$A:$O,11,FALSE)),"")</f>
        <v/>
      </c>
    </row>
    <row r="247" spans="1:8" x14ac:dyDescent="0.35">
      <c r="A247" s="190" t="str" cm="1">
        <f t="array" ref="A247">IFERROR(INDEX('Annex 2 Designated EHV charges'!$A$10:$A$200, MATCH(0, IF(ISBLANK('Annex 2 Designated EHV charges'!$A$10:$A$200),1, COUNTIF(A$4:$A246, 'Annex 2 Designated EHV charges'!$A$10:$A$200)), 0)),"")</f>
        <v/>
      </c>
      <c r="B247" s="190" t="str">
        <f>IF($A247="","",VLOOKUP($A247,'Annex 2 Designated EHV charges'!$A:$O,2,0))</f>
        <v/>
      </c>
      <c r="C247" s="189" t="str">
        <f>IF($A247="","",VLOOKUP($A247,'Annex 2 Designated EHV charges'!$A:$O,3,0))</f>
        <v/>
      </c>
      <c r="D247" s="190" t="str">
        <f>IF($A247="","",VLOOKUP($A247,'Annex 2 Designated EHV charges'!$A:$O,7,0))</f>
        <v/>
      </c>
      <c r="E247" s="192" t="str">
        <f>IFERROR(IF(VLOOKUP($A247,'Annex 2 Designated EHV charges'!$A:$O,8,FALSE)=0,"",VLOOKUP($A247,'Annex 2 Designated EHV charges'!$A:$O,8,FALSE)),"")</f>
        <v/>
      </c>
      <c r="F247" s="193" t="str">
        <f>IFERROR(IF(VLOOKUP($A247,'Annex 2 Designated EHV charges'!$A:$O,9,FALSE)=0,"",VLOOKUP($A247,'Annex 2 Designated EHV charges'!$A:$O,9,FALSE)),"")</f>
        <v/>
      </c>
      <c r="G247" s="194" t="str">
        <f>IFERROR(IF(VLOOKUP($A247,'Annex 2 Designated EHV charges'!$A:$O,10,FALSE)=0,"",VLOOKUP($A247,'Annex 2 Designated EHV charges'!$A:$O,10,FALSE)),"")</f>
        <v/>
      </c>
      <c r="H247" s="194" t="str">
        <f>IFERROR(IF(VLOOKUP($A247,'Annex 2 Designated EHV charges'!$A:$O,11,FALSE)=0,"",VLOOKUP($A247,'Annex 2 Designated EHV charges'!$A:$O,11,FALSE)),"")</f>
        <v/>
      </c>
    </row>
    <row r="248" spans="1:8" x14ac:dyDescent="0.35">
      <c r="A248" s="190" t="str" cm="1">
        <f t="array" ref="A248">IFERROR(INDEX('Annex 2 Designated EHV charges'!$A$10:$A$200, MATCH(0, IF(ISBLANK('Annex 2 Designated EHV charges'!$A$10:$A$200),1, COUNTIF(A$4:$A247, 'Annex 2 Designated EHV charges'!$A$10:$A$200)), 0)),"")</f>
        <v/>
      </c>
      <c r="B248" s="190" t="str">
        <f>IF($A248="","",VLOOKUP($A248,'Annex 2 Designated EHV charges'!$A:$O,2,0))</f>
        <v/>
      </c>
      <c r="C248" s="189" t="str">
        <f>IF($A248="","",VLOOKUP($A248,'Annex 2 Designated EHV charges'!$A:$O,3,0))</f>
        <v/>
      </c>
      <c r="D248" s="190" t="str">
        <f>IF($A248="","",VLOOKUP($A248,'Annex 2 Designated EHV charges'!$A:$O,7,0))</f>
        <v/>
      </c>
      <c r="E248" s="192" t="str">
        <f>IFERROR(IF(VLOOKUP($A248,'Annex 2 Designated EHV charges'!$A:$O,8,FALSE)=0,"",VLOOKUP($A248,'Annex 2 Designated EHV charges'!$A:$O,8,FALSE)),"")</f>
        <v/>
      </c>
      <c r="F248" s="193" t="str">
        <f>IFERROR(IF(VLOOKUP($A248,'Annex 2 Designated EHV charges'!$A:$O,9,FALSE)=0,"",VLOOKUP($A248,'Annex 2 Designated EHV charges'!$A:$O,9,FALSE)),"")</f>
        <v/>
      </c>
      <c r="G248" s="194" t="str">
        <f>IFERROR(IF(VLOOKUP($A248,'Annex 2 Designated EHV charges'!$A:$O,10,FALSE)=0,"",VLOOKUP($A248,'Annex 2 Designated EHV charges'!$A:$O,10,FALSE)),"")</f>
        <v/>
      </c>
      <c r="H248" s="194" t="str">
        <f>IFERROR(IF(VLOOKUP($A248,'Annex 2 Designated EHV charges'!$A:$O,11,FALSE)=0,"",VLOOKUP($A248,'Annex 2 Designated EHV charges'!$A:$O,11,FALSE)),"")</f>
        <v/>
      </c>
    </row>
    <row r="249" spans="1:8" x14ac:dyDescent="0.35">
      <c r="A249" s="190" t="str" cm="1">
        <f t="array" ref="A249">IFERROR(INDEX('Annex 2 Designated EHV charges'!$A$10:$A$200, MATCH(0, IF(ISBLANK('Annex 2 Designated EHV charges'!$A$10:$A$200),1, COUNTIF(A$4:$A248, 'Annex 2 Designated EHV charges'!$A$10:$A$200)), 0)),"")</f>
        <v/>
      </c>
      <c r="B249" s="190" t="str">
        <f>IF($A249="","",VLOOKUP($A249,'Annex 2 Designated EHV charges'!$A:$O,2,0))</f>
        <v/>
      </c>
      <c r="C249" s="189" t="str">
        <f>IF($A249="","",VLOOKUP($A249,'Annex 2 Designated EHV charges'!$A:$O,3,0))</f>
        <v/>
      </c>
      <c r="D249" s="190" t="str">
        <f>IF($A249="","",VLOOKUP($A249,'Annex 2 Designated EHV charges'!$A:$O,7,0))</f>
        <v/>
      </c>
      <c r="E249" s="192" t="str">
        <f>IFERROR(IF(VLOOKUP($A249,'Annex 2 Designated EHV charges'!$A:$O,8,FALSE)=0,"",VLOOKUP($A249,'Annex 2 Designated EHV charges'!$A:$O,8,FALSE)),"")</f>
        <v/>
      </c>
      <c r="F249" s="193" t="str">
        <f>IFERROR(IF(VLOOKUP($A249,'Annex 2 Designated EHV charges'!$A:$O,9,FALSE)=0,"",VLOOKUP($A249,'Annex 2 Designated EHV charges'!$A:$O,9,FALSE)),"")</f>
        <v/>
      </c>
      <c r="G249" s="194" t="str">
        <f>IFERROR(IF(VLOOKUP($A249,'Annex 2 Designated EHV charges'!$A:$O,10,FALSE)=0,"",VLOOKUP($A249,'Annex 2 Designated EHV charges'!$A:$O,10,FALSE)),"")</f>
        <v/>
      </c>
      <c r="H249" s="194" t="str">
        <f>IFERROR(IF(VLOOKUP($A249,'Annex 2 Designated EHV charges'!$A:$O,11,FALSE)=0,"",VLOOKUP($A249,'Annex 2 Designated EHV charges'!$A:$O,11,FALSE)),"")</f>
        <v/>
      </c>
    </row>
    <row r="250" spans="1:8" x14ac:dyDescent="0.35">
      <c r="A250" s="190" t="str" cm="1">
        <f t="array" ref="A250">IFERROR(INDEX('Annex 2 Designated EHV charges'!$A$10:$A$200, MATCH(0, IF(ISBLANK('Annex 2 Designated EHV charges'!$A$10:$A$200),1, COUNTIF(A$4:$A249, 'Annex 2 Designated EHV charges'!$A$10:$A$200)), 0)),"")</f>
        <v/>
      </c>
      <c r="B250" s="190" t="str">
        <f>IF($A250="","",VLOOKUP($A250,'Annex 2 Designated EHV charges'!$A:$O,2,0))</f>
        <v/>
      </c>
      <c r="C250" s="189" t="str">
        <f>IF($A250="","",VLOOKUP($A250,'Annex 2 Designated EHV charges'!$A:$O,3,0))</f>
        <v/>
      </c>
      <c r="D250" s="190" t="str">
        <f>IF($A250="","",VLOOKUP($A250,'Annex 2 Designated EHV charges'!$A:$O,7,0))</f>
        <v/>
      </c>
      <c r="E250" s="192" t="str">
        <f>IFERROR(IF(VLOOKUP($A250,'Annex 2 Designated EHV charges'!$A:$O,8,FALSE)=0,"",VLOOKUP($A250,'Annex 2 Designated EHV charges'!$A:$O,8,FALSE)),"")</f>
        <v/>
      </c>
      <c r="F250" s="193" t="str">
        <f>IFERROR(IF(VLOOKUP($A250,'Annex 2 Designated EHV charges'!$A:$O,9,FALSE)=0,"",VLOOKUP($A250,'Annex 2 Designated EHV charges'!$A:$O,9,FALSE)),"")</f>
        <v/>
      </c>
      <c r="G250" s="194" t="str">
        <f>IFERROR(IF(VLOOKUP($A250,'Annex 2 Designated EHV charges'!$A:$O,10,FALSE)=0,"",VLOOKUP($A250,'Annex 2 Designated EHV charges'!$A:$O,10,FALSE)),"")</f>
        <v/>
      </c>
      <c r="H250" s="194" t="str">
        <f>IFERROR(IF(VLOOKUP($A250,'Annex 2 Designated EHV charges'!$A:$O,11,FALSE)=0,"",VLOOKUP($A250,'Annex 2 Designated EHV charges'!$A:$O,11,FALSE)),"")</f>
        <v/>
      </c>
    </row>
    <row r="251" spans="1:8" x14ac:dyDescent="0.35">
      <c r="A251" s="190" t="str" cm="1">
        <f t="array" ref="A251">IFERROR(INDEX('Annex 2 Designated EHV charges'!$A$10:$A$200, MATCH(0, IF(ISBLANK('Annex 2 Designated EHV charges'!$A$10:$A$200),1, COUNTIF(A$4:$A250, 'Annex 2 Designated EHV charges'!$A$10:$A$200)), 0)),"")</f>
        <v/>
      </c>
      <c r="B251" s="190" t="str">
        <f>IF($A251="","",VLOOKUP($A251,'Annex 2 Designated EHV charges'!$A:$O,2,0))</f>
        <v/>
      </c>
      <c r="C251" s="189" t="str">
        <f>IF($A251="","",VLOOKUP($A251,'Annex 2 Designated EHV charges'!$A:$O,3,0))</f>
        <v/>
      </c>
      <c r="D251" s="190" t="str">
        <f>IF($A251="","",VLOOKUP($A251,'Annex 2 Designated EHV charges'!$A:$O,7,0))</f>
        <v/>
      </c>
      <c r="E251" s="192" t="str">
        <f>IFERROR(IF(VLOOKUP($A251,'Annex 2 Designated EHV charges'!$A:$O,8,FALSE)=0,"",VLOOKUP($A251,'Annex 2 Designated EHV charges'!$A:$O,8,FALSE)),"")</f>
        <v/>
      </c>
      <c r="F251" s="193" t="str">
        <f>IFERROR(IF(VLOOKUP($A251,'Annex 2 Designated EHV charges'!$A:$O,9,FALSE)=0,"",VLOOKUP($A251,'Annex 2 Designated EHV charges'!$A:$O,9,FALSE)),"")</f>
        <v/>
      </c>
      <c r="G251" s="194" t="str">
        <f>IFERROR(IF(VLOOKUP($A251,'Annex 2 Designated EHV charges'!$A:$O,10,FALSE)=0,"",VLOOKUP($A251,'Annex 2 Designated EHV charges'!$A:$O,10,FALSE)),"")</f>
        <v/>
      </c>
      <c r="H251" s="194" t="str">
        <f>IFERROR(IF(VLOOKUP($A251,'Annex 2 Designated EHV charges'!$A:$O,11,FALSE)=0,"",VLOOKUP($A251,'Annex 2 Designated EHV charges'!$A:$O,11,FALSE)),"")</f>
        <v/>
      </c>
    </row>
    <row r="252" spans="1:8" x14ac:dyDescent="0.35">
      <c r="A252" s="190" t="str" cm="1">
        <f t="array" ref="A252">IFERROR(INDEX('Annex 2 Designated EHV charges'!$A$10:$A$200, MATCH(0, IF(ISBLANK('Annex 2 Designated EHV charges'!$A$10:$A$200),1, COUNTIF(A$4:$A251, 'Annex 2 Designated EHV charges'!$A$10:$A$200)), 0)),"")</f>
        <v/>
      </c>
      <c r="B252" s="190" t="str">
        <f>IF($A252="","",VLOOKUP($A252,'Annex 2 Designated EHV charges'!$A:$O,2,0))</f>
        <v/>
      </c>
      <c r="C252" s="189" t="str">
        <f>IF($A252="","",VLOOKUP($A252,'Annex 2 Designated EHV charges'!$A:$O,3,0))</f>
        <v/>
      </c>
      <c r="D252" s="190" t="str">
        <f>IF($A252="","",VLOOKUP($A252,'Annex 2 Designated EHV charges'!$A:$O,7,0))</f>
        <v/>
      </c>
      <c r="E252" s="192" t="str">
        <f>IFERROR(IF(VLOOKUP($A252,'Annex 2 Designated EHV charges'!$A:$O,8,FALSE)=0,"",VLOOKUP($A252,'Annex 2 Designated EHV charges'!$A:$O,8,FALSE)),"")</f>
        <v/>
      </c>
      <c r="F252" s="193" t="str">
        <f>IFERROR(IF(VLOOKUP($A252,'Annex 2 Designated EHV charges'!$A:$O,9,FALSE)=0,"",VLOOKUP($A252,'Annex 2 Designated EHV charges'!$A:$O,9,FALSE)),"")</f>
        <v/>
      </c>
      <c r="G252" s="194" t="str">
        <f>IFERROR(IF(VLOOKUP($A252,'Annex 2 Designated EHV charges'!$A:$O,10,FALSE)=0,"",VLOOKUP($A252,'Annex 2 Designated EHV charges'!$A:$O,10,FALSE)),"")</f>
        <v/>
      </c>
      <c r="H252" s="194" t="str">
        <f>IFERROR(IF(VLOOKUP($A252,'Annex 2 Designated EHV charges'!$A:$O,11,FALSE)=0,"",VLOOKUP($A252,'Annex 2 Designated EHV charges'!$A:$O,11,FALSE)),"")</f>
        <v/>
      </c>
    </row>
    <row r="253" spans="1:8" x14ac:dyDescent="0.35">
      <c r="A253" s="190" t="str" cm="1">
        <f t="array" ref="A253">IFERROR(INDEX('Annex 2 Designated EHV charges'!$A$10:$A$200, MATCH(0, IF(ISBLANK('Annex 2 Designated EHV charges'!$A$10:$A$200),1, COUNTIF(A$4:$A252, 'Annex 2 Designated EHV charges'!$A$10:$A$200)), 0)),"")</f>
        <v/>
      </c>
      <c r="B253" s="190" t="str">
        <f>IF($A253="","",VLOOKUP($A253,'Annex 2 Designated EHV charges'!$A:$O,2,0))</f>
        <v/>
      </c>
      <c r="C253" s="189" t="str">
        <f>IF($A253="","",VLOOKUP($A253,'Annex 2 Designated EHV charges'!$A:$O,3,0))</f>
        <v/>
      </c>
      <c r="D253" s="190" t="str">
        <f>IF($A253="","",VLOOKUP($A253,'Annex 2 Designated EHV charges'!$A:$O,7,0))</f>
        <v/>
      </c>
      <c r="E253" s="192" t="str">
        <f>IFERROR(IF(VLOOKUP($A253,'Annex 2 Designated EHV charges'!$A:$O,8,FALSE)=0,"",VLOOKUP($A253,'Annex 2 Designated EHV charges'!$A:$O,8,FALSE)),"")</f>
        <v/>
      </c>
      <c r="F253" s="193" t="str">
        <f>IFERROR(IF(VLOOKUP($A253,'Annex 2 Designated EHV charges'!$A:$O,9,FALSE)=0,"",VLOOKUP($A253,'Annex 2 Designated EHV charges'!$A:$O,9,FALSE)),"")</f>
        <v/>
      </c>
      <c r="G253" s="194" t="str">
        <f>IFERROR(IF(VLOOKUP($A253,'Annex 2 Designated EHV charges'!$A:$O,10,FALSE)=0,"",VLOOKUP($A253,'Annex 2 Designated EHV charges'!$A:$O,10,FALSE)),"")</f>
        <v/>
      </c>
      <c r="H253" s="194" t="str">
        <f>IFERROR(IF(VLOOKUP($A253,'Annex 2 Designated EHV charges'!$A:$O,11,FALSE)=0,"",VLOOKUP($A253,'Annex 2 Designated EHV charges'!$A:$O,11,FALSE)),"")</f>
        <v/>
      </c>
    </row>
    <row r="254" spans="1:8" x14ac:dyDescent="0.35">
      <c r="A254" s="190" t="str" cm="1">
        <f t="array" ref="A254">IFERROR(INDEX('Annex 2 Designated EHV charges'!$A$10:$A$200, MATCH(0, IF(ISBLANK('Annex 2 Designated EHV charges'!$A$10:$A$200),1, COUNTIF(A$4:$A253, 'Annex 2 Designated EHV charges'!$A$10:$A$200)), 0)),"")</f>
        <v/>
      </c>
      <c r="B254" s="190" t="str">
        <f>IF($A254="","",VLOOKUP($A254,'Annex 2 Designated EHV charges'!$A:$O,2,0))</f>
        <v/>
      </c>
      <c r="C254" s="189" t="str">
        <f>IF($A254="","",VLOOKUP($A254,'Annex 2 Designated EHV charges'!$A:$O,3,0))</f>
        <v/>
      </c>
      <c r="D254" s="190" t="str">
        <f>IF($A254="","",VLOOKUP($A254,'Annex 2 Designated EHV charges'!$A:$O,7,0))</f>
        <v/>
      </c>
      <c r="E254" s="192" t="str">
        <f>IFERROR(IF(VLOOKUP($A254,'Annex 2 Designated EHV charges'!$A:$O,8,FALSE)=0,"",VLOOKUP($A254,'Annex 2 Designated EHV charges'!$A:$O,8,FALSE)),"")</f>
        <v/>
      </c>
      <c r="F254" s="193" t="str">
        <f>IFERROR(IF(VLOOKUP($A254,'Annex 2 Designated EHV charges'!$A:$O,9,FALSE)=0,"",VLOOKUP($A254,'Annex 2 Designated EHV charges'!$A:$O,9,FALSE)),"")</f>
        <v/>
      </c>
      <c r="G254" s="194" t="str">
        <f>IFERROR(IF(VLOOKUP($A254,'Annex 2 Designated EHV charges'!$A:$O,10,FALSE)=0,"",VLOOKUP($A254,'Annex 2 Designated EHV charges'!$A:$O,10,FALSE)),"")</f>
        <v/>
      </c>
      <c r="H254" s="194" t="str">
        <f>IFERROR(IF(VLOOKUP($A254,'Annex 2 Designated EHV charges'!$A:$O,11,FALSE)=0,"",VLOOKUP($A254,'Annex 2 Designated EHV charges'!$A:$O,11,FALSE)),"")</f>
        <v/>
      </c>
    </row>
  </sheetData>
  <mergeCells count="2">
    <mergeCell ref="A2:H2"/>
    <mergeCell ref="A1:H1"/>
  </mergeCells>
  <pageMargins left="0.70866141732283472" right="0.70866141732283472" top="0.94488188976377963" bottom="0.74803149606299213" header="0.31496062992125984" footer="0.31496062992125984"/>
  <pageSetup paperSize="9" scale="90"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2a - Schedule of Import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O254"/>
  <sheetViews>
    <sheetView zoomScale="90" zoomScaleNormal="90" zoomScaleSheetLayoutView="100" workbookViewId="0">
      <selection sqref="A1:H1"/>
    </sheetView>
  </sheetViews>
  <sheetFormatPr defaultColWidth="9.1328125" defaultRowHeight="12.75" x14ac:dyDescent="0.35"/>
  <cols>
    <col min="1" max="1" width="14.73046875" style="50" customWidth="1"/>
    <col min="2" max="2" width="8.73046875" style="50" customWidth="1"/>
    <col min="3" max="3" width="16.59765625" style="58" customWidth="1"/>
    <col min="4" max="4" width="50.73046875" style="58" customWidth="1"/>
    <col min="5" max="5" width="14.73046875" style="59" customWidth="1"/>
    <col min="6" max="7" width="14.73046875" style="60" customWidth="1"/>
    <col min="8" max="8" width="14.73046875" style="50" customWidth="1"/>
    <col min="9" max="9" width="15.59765625" style="50" customWidth="1"/>
    <col min="10" max="16384" width="9.1328125" style="50"/>
  </cols>
  <sheetData>
    <row r="1" spans="1:15" ht="66.75" customHeight="1" x14ac:dyDescent="0.35">
      <c r="A1" s="266" t="s">
        <v>61</v>
      </c>
      <c r="B1" s="266"/>
      <c r="C1" s="266"/>
      <c r="D1" s="266"/>
      <c r="E1" s="266"/>
      <c r="F1" s="266"/>
      <c r="G1" s="266"/>
      <c r="H1" s="266"/>
    </row>
    <row r="2" spans="1:15" s="51" customFormat="1" ht="25.5" customHeight="1" x14ac:dyDescent="0.35">
      <c r="A2" s="257" t="str">
        <f>Overview!B4&amp; " - Effective from "&amp;Overview!D4&amp;" - "&amp;Overview!E4&amp;" Designated EHV export charges"</f>
        <v>South Eastern Power Networks - Effective from 1 April 2026 - Final Designated EHV export charges</v>
      </c>
      <c r="B2" s="258"/>
      <c r="C2" s="258"/>
      <c r="D2" s="258"/>
      <c r="E2" s="258"/>
      <c r="F2" s="258"/>
      <c r="G2" s="258"/>
      <c r="H2" s="259"/>
    </row>
    <row r="3" spans="1:15" s="82" customFormat="1" ht="17.649999999999999" x14ac:dyDescent="0.35">
      <c r="A3" s="86"/>
      <c r="B3" s="86"/>
      <c r="C3" s="86"/>
      <c r="D3" s="87"/>
      <c r="E3" s="88"/>
      <c r="F3" s="88"/>
      <c r="G3" s="89"/>
      <c r="H3" s="89"/>
      <c r="I3" s="81"/>
      <c r="J3" s="81"/>
      <c r="K3" s="81"/>
      <c r="L3" s="81"/>
      <c r="M3" s="81"/>
      <c r="N3" s="81"/>
      <c r="O3" s="81"/>
    </row>
    <row r="4" spans="1:15" ht="60.75" customHeight="1" x14ac:dyDescent="0.35">
      <c r="A4" s="52" t="s">
        <v>47</v>
      </c>
      <c r="B4" s="53" t="s">
        <v>703</v>
      </c>
      <c r="C4" s="52" t="s">
        <v>32</v>
      </c>
      <c r="D4" s="54" t="s">
        <v>26</v>
      </c>
      <c r="E4" s="54" t="str">
        <f>'Annex 2 Designated EHV charges'!M9</f>
        <v>Export
Super Red
unit charge
(p/kWh)</v>
      </c>
      <c r="F4" s="54" t="str">
        <f>'Annex 2 Designated EHV charges'!N9</f>
        <v>Export
fixed charge
(p/day)</v>
      </c>
      <c r="G4" s="54" t="str">
        <f>'Annex 2 Designated EHV charges'!O9</f>
        <v>Export
capacity charge
(p/kVA/day)</v>
      </c>
      <c r="H4" s="54" t="str">
        <f>'Annex 2 Designated EHV charges'!P9</f>
        <v>Export
exceeded capacity charge
(p/kVA/day)</v>
      </c>
    </row>
    <row r="5" spans="1:15" ht="12.75" customHeight="1" x14ac:dyDescent="0.35">
      <c r="A5" s="95" t="str" cm="1">
        <f t="array" ref="A5">IFERROR(INDEX('Annex 2 Designated EHV charges'!$D$10:$D$200, MATCH(0, IF(ISBLANK('Annex 2 Designated EHV charges'!$D$10:$D$200),1, COUNTIF(A$4:$A4, 'Annex 2 Designated EHV charges'!$D$10:$D$200)), 0)),"")</f>
        <v>THAMEM</v>
      </c>
      <c r="B5" s="94">
        <f>IF($A5="","",VLOOKUP($A5,'Annex 2 Designated EHV charges'!$D:$O,2,0))</f>
        <v>691</v>
      </c>
      <c r="C5" s="95" t="str">
        <f>IF($A5="","",VLOOKUP($A5,'Annex 2 Designated EHV charges'!$D:$O,3,0))</f>
        <v>1900090876979;1900090876988</v>
      </c>
      <c r="D5" s="94" t="str">
        <f>IF($A5="","",VLOOKUP($A5,'Annex 2 Designated EHV charges'!$D:$O,4,0))</f>
        <v>THAMEM</v>
      </c>
      <c r="E5" s="96">
        <f>IFERROR(IF(VLOOKUP($A5,'Annex 2 Designated EHV charges'!$D:$P,10,FALSE)=0,"",VLOOKUP($A5,'Annex 2 Designated EHV charges'!$D:$P,10,FALSE)),"")</f>
        <v>-0.58099999999999996</v>
      </c>
      <c r="F5" s="207">
        <f>IFERROR(IF(VLOOKUP($A5,'Annex 2 Designated EHV charges'!$D:$P,11,FALSE)=0,"",VLOOKUP($A5,'Annex 2 Designated EHV charges'!$D:$P,11,FALSE)),"")</f>
        <v>4542.8599999999997</v>
      </c>
      <c r="G5" s="207">
        <f>IFERROR(IF(VLOOKUP($A5,'Annex 2 Designated EHV charges'!$D:$P,12,FALSE)=0,"",VLOOKUP($A5,'Annex 2 Designated EHV charges'!$D:$P,12,FALSE)),"")</f>
        <v>0.05</v>
      </c>
      <c r="H5" s="207">
        <f>IFERROR(IF(VLOOKUP($A5,'Annex 2 Designated EHV charges'!$D:$P,13,FALSE)=0,"",VLOOKUP($A5,'Annex 2 Designated EHV charges'!$D:$P,13,FALSE)),"")</f>
        <v>0.05</v>
      </c>
    </row>
    <row r="6" spans="1:15" ht="12.75" customHeight="1" x14ac:dyDescent="0.35">
      <c r="A6" s="95" t="str" cm="1">
        <f t="array" ref="A6">IFERROR(INDEX('Annex 2 Designated EHV charges'!$D$10:$D$200, MATCH(0, IF(ISBLANK('Annex 2 Designated EHV charges'!$D$10:$D$200),1, COUNTIF(A$4:$A5, 'Annex 2 Designated EHV charges'!$D$10:$D$200)), 0)),"")</f>
        <v>THAMES</v>
      </c>
      <c r="B6" s="94">
        <f>IF($A6="","",VLOOKUP($A6,'Annex 2 Designated EHV charges'!$D:$O,2,0))</f>
        <v>732</v>
      </c>
      <c r="C6" s="95">
        <f>IF($A6="","",VLOOKUP($A6,'Annex 2 Designated EHV charges'!$D:$O,3,0))</f>
        <v>1900060576611</v>
      </c>
      <c r="D6" s="94" t="str">
        <f>IF($A6="","",VLOOKUP($A6,'Annex 2 Designated EHV charges'!$D:$O,4,0))</f>
        <v>THAMES</v>
      </c>
      <c r="E6" s="96">
        <f>IFERROR(IF(VLOOKUP($A6,'Annex 2 Designated EHV charges'!$D:$P,10,FALSE)=0,"",VLOOKUP($A6,'Annex 2 Designated EHV charges'!$D:$P,10,FALSE)),"")</f>
        <v>-0.62</v>
      </c>
      <c r="F6" s="207">
        <f>IFERROR(IF(VLOOKUP($A6,'Annex 2 Designated EHV charges'!$D:$P,11,FALSE)=0,"",VLOOKUP($A6,'Annex 2 Designated EHV charges'!$D:$P,11,FALSE)),"")</f>
        <v>2696.9</v>
      </c>
      <c r="G6" s="207">
        <f>IFERROR(IF(VLOOKUP($A6,'Annex 2 Designated EHV charges'!$D:$P,12,FALSE)=0,"",VLOOKUP($A6,'Annex 2 Designated EHV charges'!$D:$P,12,FALSE)),"")</f>
        <v>0.05</v>
      </c>
      <c r="H6" s="207">
        <f>IFERROR(IF(VLOOKUP($A6,'Annex 2 Designated EHV charges'!$D:$P,13,FALSE)=0,"",VLOOKUP($A6,'Annex 2 Designated EHV charges'!$D:$P,13,FALSE)),"")</f>
        <v>0.05</v>
      </c>
    </row>
    <row r="7" spans="1:15" ht="12.75" customHeight="1" x14ac:dyDescent="0.35">
      <c r="A7" s="95" t="str" cm="1">
        <f t="array" ref="A7">IFERROR(INDEX('Annex 2 Designated EHV charges'!$D$10:$D$200, MATCH(0, IF(ISBLANK('Annex 2 Designated EHV charges'!$D$10:$D$200),1, COUNTIF(A$4:$A6, 'Annex 2 Designated EHV charges'!$D$10:$D$200)), 0)),"")</f>
        <v>TWHK66</v>
      </c>
      <c r="B7" s="94">
        <f>IF($A7="","",VLOOKUP($A7,'Annex 2 Designated EHV charges'!$D:$O,2,0))</f>
        <v>692</v>
      </c>
      <c r="C7" s="95">
        <f>IF($A7="","",VLOOKUP($A7,'Annex 2 Designated EHV charges'!$D:$O,3,0))</f>
        <v>1900091206194</v>
      </c>
      <c r="D7" s="94" t="str">
        <f>IF($A7="","",VLOOKUP($A7,'Annex 2 Designated EHV charges'!$D:$O,4,0))</f>
        <v>TWHK66</v>
      </c>
      <c r="E7" s="96">
        <f>IFERROR(IF(VLOOKUP($A7,'Annex 2 Designated EHV charges'!$D:$P,10,FALSE)=0,"",VLOOKUP($A7,'Annex 2 Designated EHV charges'!$D:$P,10,FALSE)),"")</f>
        <v>-6.1769999999999996</v>
      </c>
      <c r="F7" s="207">
        <f>IFERROR(IF(VLOOKUP($A7,'Annex 2 Designated EHV charges'!$D:$P,11,FALSE)=0,"",VLOOKUP($A7,'Annex 2 Designated EHV charges'!$D:$P,11,FALSE)),"")</f>
        <v>54.31</v>
      </c>
      <c r="G7" s="207">
        <f>IFERROR(IF(VLOOKUP($A7,'Annex 2 Designated EHV charges'!$D:$P,12,FALSE)=0,"",VLOOKUP($A7,'Annex 2 Designated EHV charges'!$D:$P,12,FALSE)),"")</f>
        <v>0.05</v>
      </c>
      <c r="H7" s="207">
        <f>IFERROR(IF(VLOOKUP($A7,'Annex 2 Designated EHV charges'!$D:$P,13,FALSE)=0,"",VLOOKUP($A7,'Annex 2 Designated EHV charges'!$D:$P,13,FALSE)),"")</f>
        <v>0.05</v>
      </c>
    </row>
    <row r="8" spans="1:15" ht="12.75" customHeight="1" x14ac:dyDescent="0.35">
      <c r="A8" s="95" t="str" cm="1">
        <f t="array" ref="A8">IFERROR(INDEX('Annex 2 Designated EHV charges'!$D$10:$D$200, MATCH(0, IF(ISBLANK('Annex 2 Designated EHV charges'!$D$10:$D$200),1, COUNTIF(A$4:$A7, 'Annex 2 Designated EHV charges'!$D$10:$D$200)), 0)),"")</f>
        <v>ANMSTR</v>
      </c>
      <c r="B8" s="94">
        <f>IF($A8="","",VLOOKUP($A8,'Annex 2 Designated EHV charges'!$D:$O,2,0))</f>
        <v>780</v>
      </c>
      <c r="C8" s="95">
        <f>IF($A8="","",VLOOKUP($A8,'Annex 2 Designated EHV charges'!$D:$O,3,0))</f>
        <v>1900091919597</v>
      </c>
      <c r="D8" s="94" t="str">
        <f>IF($A8="","",VLOOKUP($A8,'Annex 2 Designated EHV charges'!$D:$O,4,0))</f>
        <v>ANMSTR</v>
      </c>
      <c r="E8" s="96">
        <f>IFERROR(IF(VLOOKUP($A8,'Annex 2 Designated EHV charges'!$D:$P,10,FALSE)=0,"",VLOOKUP($A8,'Annex 2 Designated EHV charges'!$D:$P,10,FALSE)),"")</f>
        <v>-2.9809999999999999</v>
      </c>
      <c r="F8" s="207">
        <f>IFERROR(IF(VLOOKUP($A8,'Annex 2 Designated EHV charges'!$D:$P,11,FALSE)=0,"",VLOOKUP($A8,'Annex 2 Designated EHV charges'!$D:$P,11,FALSE)),"")</f>
        <v>430.47</v>
      </c>
      <c r="G8" s="207">
        <f>IFERROR(IF(VLOOKUP($A8,'Annex 2 Designated EHV charges'!$D:$P,12,FALSE)=0,"",VLOOKUP($A8,'Annex 2 Designated EHV charges'!$D:$P,12,FALSE)),"")</f>
        <v>0.05</v>
      </c>
      <c r="H8" s="207">
        <f>IFERROR(IF(VLOOKUP($A8,'Annex 2 Designated EHV charges'!$D:$P,13,FALSE)=0,"",VLOOKUP($A8,'Annex 2 Designated EHV charges'!$D:$P,13,FALSE)),"")</f>
        <v>0.05</v>
      </c>
    </row>
    <row r="9" spans="1:15" ht="12.75" customHeight="1" x14ac:dyDescent="0.35">
      <c r="A9" s="95" t="str" cm="1">
        <f t="array" ref="A9">IFERROR(INDEX('Annex 2 Designated EHV charges'!$D$10:$D$200, MATCH(0, IF(ISBLANK('Annex 2 Designated EHV charges'!$D$10:$D$200),1, COUNTIF(A$4:$A8, 'Annex 2 Designated EHV charges'!$D$10:$D$200)), 0)),"")</f>
        <v>ASHBYS</v>
      </c>
      <c r="B9" s="94">
        <f>IF($A9="","",VLOOKUP($A9,'Annex 2 Designated EHV charges'!$D:$O,2,0))</f>
        <v>741</v>
      </c>
      <c r="C9" s="95">
        <f>IF($A9="","",VLOOKUP($A9,'Annex 2 Designated EHV charges'!$D:$O,3,0))</f>
        <v>1900091216972</v>
      </c>
      <c r="D9" s="94" t="str">
        <f>IF($A9="","",VLOOKUP($A9,'Annex 2 Designated EHV charges'!$D:$O,4,0))</f>
        <v>ASHBYS</v>
      </c>
      <c r="E9" s="96" t="str">
        <f>IFERROR(IF(VLOOKUP($A9,'Annex 2 Designated EHV charges'!$D:$P,10,FALSE)=0,"",VLOOKUP($A9,'Annex 2 Designated EHV charges'!$D:$P,10,FALSE)),"")</f>
        <v/>
      </c>
      <c r="F9" s="207">
        <f>IFERROR(IF(VLOOKUP($A9,'Annex 2 Designated EHV charges'!$D:$P,11,FALSE)=0,"",VLOOKUP($A9,'Annex 2 Designated EHV charges'!$D:$P,11,FALSE)),"")</f>
        <v>1455.11</v>
      </c>
      <c r="G9" s="207">
        <f>IFERROR(IF(VLOOKUP($A9,'Annex 2 Designated EHV charges'!$D:$P,12,FALSE)=0,"",VLOOKUP($A9,'Annex 2 Designated EHV charges'!$D:$P,12,FALSE)),"")</f>
        <v>0.05</v>
      </c>
      <c r="H9" s="207">
        <f>IFERROR(IF(VLOOKUP($A9,'Annex 2 Designated EHV charges'!$D:$P,13,FALSE)=0,"",VLOOKUP($A9,'Annex 2 Designated EHV charges'!$D:$P,13,FALSE)),"")</f>
        <v>0.05</v>
      </c>
    </row>
    <row r="10" spans="1:15" ht="12.75" customHeight="1" x14ac:dyDescent="0.35">
      <c r="A10" s="95" t="str" cm="1">
        <f t="array" ref="A10">IFERROR(INDEX('Annex 2 Designated EHV charges'!$D$10:$D$200, MATCH(0, IF(ISBLANK('Annex 2 Designated EHV charges'!$D$10:$D$200),1, COUNTIF(A$4:$A9, 'Annex 2 Designated EHV charges'!$D$10:$D$200)), 0)),"")</f>
        <v>BEDERF</v>
      </c>
      <c r="B10" s="94">
        <f>IF($A10="","",VLOOKUP($A10,'Annex 2 Designated EHV charges'!$D:$O,2,0))</f>
        <v>693</v>
      </c>
      <c r="C10" s="95">
        <f>IF($A10="","",VLOOKUP($A10,'Annex 2 Designated EHV charges'!$D:$O,3,0))</f>
        <v>1900091482597</v>
      </c>
      <c r="D10" s="94" t="str">
        <f>IF($A10="","",VLOOKUP($A10,'Annex 2 Designated EHV charges'!$D:$O,4,0))</f>
        <v>BEDERF</v>
      </c>
      <c r="E10" s="96">
        <f>IFERROR(IF(VLOOKUP($A10,'Annex 2 Designated EHV charges'!$D:$P,10,FALSE)=0,"",VLOOKUP($A10,'Annex 2 Designated EHV charges'!$D:$P,10,FALSE)),"")</f>
        <v>-0.45200000000000001</v>
      </c>
      <c r="F10" s="207">
        <f>IFERROR(IF(VLOOKUP($A10,'Annex 2 Designated EHV charges'!$D:$P,11,FALSE)=0,"",VLOOKUP($A10,'Annex 2 Designated EHV charges'!$D:$P,11,FALSE)),"")</f>
        <v>3682.76</v>
      </c>
      <c r="G10" s="207">
        <f>IFERROR(IF(VLOOKUP($A10,'Annex 2 Designated EHV charges'!$D:$P,12,FALSE)=0,"",VLOOKUP($A10,'Annex 2 Designated EHV charges'!$D:$P,12,FALSE)),"")</f>
        <v>0.05</v>
      </c>
      <c r="H10" s="207">
        <f>IFERROR(IF(VLOOKUP($A10,'Annex 2 Designated EHV charges'!$D:$P,13,FALSE)=0,"",VLOOKUP($A10,'Annex 2 Designated EHV charges'!$D:$P,13,FALSE)),"")</f>
        <v>0.05</v>
      </c>
    </row>
    <row r="11" spans="1:15" ht="12.75" customHeight="1" x14ac:dyDescent="0.35">
      <c r="A11" s="95" t="str" cm="1">
        <f t="array" ref="A11">IFERROR(INDEX('Annex 2 Designated EHV charges'!$D$10:$D$200, MATCH(0, IF(ISBLANK('Annex 2 Designated EHV charges'!$D$10:$D$200),1, COUNTIF(A$4:$A10, 'Annex 2 Designated EHV charges'!$D$10:$D$200)), 0)),"")</f>
        <v>BESAYL</v>
      </c>
      <c r="B11" s="94">
        <f>IF($A11="","",VLOOKUP($A11,'Annex 2 Designated EHV charges'!$D:$O,2,0))</f>
        <v>694</v>
      </c>
      <c r="C11" s="95">
        <f>IF($A11="","",VLOOKUP($A11,'Annex 2 Designated EHV charges'!$D:$O,3,0))</f>
        <v>1900091632784</v>
      </c>
      <c r="D11" s="94" t="str">
        <f>IF($A11="","",VLOOKUP($A11,'Annex 2 Designated EHV charges'!$D:$O,4,0))</f>
        <v>BESAYL</v>
      </c>
      <c r="E11" s="96">
        <f>IFERROR(IF(VLOOKUP($A11,'Annex 2 Designated EHV charges'!$D:$P,10,FALSE)=0,"",VLOOKUP($A11,'Annex 2 Designated EHV charges'!$D:$P,10,FALSE)),"")</f>
        <v>-0.129</v>
      </c>
      <c r="F11" s="207">
        <f>IFERROR(IF(VLOOKUP($A11,'Annex 2 Designated EHV charges'!$D:$P,11,FALSE)=0,"",VLOOKUP($A11,'Annex 2 Designated EHV charges'!$D:$P,11,FALSE)),"")</f>
        <v>719.03</v>
      </c>
      <c r="G11" s="207">
        <f>IFERROR(IF(VLOOKUP($A11,'Annex 2 Designated EHV charges'!$D:$P,12,FALSE)=0,"",VLOOKUP($A11,'Annex 2 Designated EHV charges'!$D:$P,12,FALSE)),"")</f>
        <v>0.05</v>
      </c>
      <c r="H11" s="207">
        <f>IFERROR(IF(VLOOKUP($A11,'Annex 2 Designated EHV charges'!$D:$P,13,FALSE)=0,"",VLOOKUP($A11,'Annex 2 Designated EHV charges'!$D:$P,13,FALSE)),"")</f>
        <v>0.05</v>
      </c>
    </row>
    <row r="12" spans="1:15" ht="12.75" customHeight="1" x14ac:dyDescent="0.35">
      <c r="A12" s="95" t="str" cm="1">
        <f t="array" ref="A12">IFERROR(INDEX('Annex 2 Designated EHV charges'!$D$10:$D$200, MATCH(0, IF(ISBLANK('Annex 2 Designated EHV charges'!$D$10:$D$200),1, COUNTIF(A$4:$A11, 'Annex 2 Designated EHV charges'!$D$10:$D$200)), 0)),"")</f>
        <v>BNTLEY</v>
      </c>
      <c r="B12" s="94">
        <f>IF($A12="","",VLOOKUP($A12,'Annex 2 Designated EHV charges'!$D:$O,2,0))</f>
        <v>713</v>
      </c>
      <c r="C12" s="95">
        <f>IF($A12="","",VLOOKUP($A12,'Annex 2 Designated EHV charges'!$D:$O,3,0))</f>
        <v>1900091343787</v>
      </c>
      <c r="D12" s="94" t="str">
        <f>IF($A12="","",VLOOKUP($A12,'Annex 2 Designated EHV charges'!$D:$O,4,0))</f>
        <v>BNTLEY</v>
      </c>
      <c r="E12" s="96" t="str">
        <f>IFERROR(IF(VLOOKUP($A12,'Annex 2 Designated EHV charges'!$D:$P,10,FALSE)=0,"",VLOOKUP($A12,'Annex 2 Designated EHV charges'!$D:$P,10,FALSE)),"")</f>
        <v/>
      </c>
      <c r="F12" s="207">
        <f>IFERROR(IF(VLOOKUP($A12,'Annex 2 Designated EHV charges'!$D:$P,11,FALSE)=0,"",VLOOKUP($A12,'Annex 2 Designated EHV charges'!$D:$P,11,FALSE)),"")</f>
        <v>1271.45</v>
      </c>
      <c r="G12" s="207">
        <f>IFERROR(IF(VLOOKUP($A12,'Annex 2 Designated EHV charges'!$D:$P,12,FALSE)=0,"",VLOOKUP($A12,'Annex 2 Designated EHV charges'!$D:$P,12,FALSE)),"")</f>
        <v>0.05</v>
      </c>
      <c r="H12" s="207">
        <f>IFERROR(IF(VLOOKUP($A12,'Annex 2 Designated EHV charges'!$D:$P,13,FALSE)=0,"",VLOOKUP($A12,'Annex 2 Designated EHV charges'!$D:$P,13,FALSE)),"")</f>
        <v>0.05</v>
      </c>
    </row>
    <row r="13" spans="1:15" ht="12.75" customHeight="1" x14ac:dyDescent="0.35">
      <c r="A13" s="95" t="str" cm="1">
        <f t="array" ref="A13">IFERROR(INDEX('Annex 2 Designated EHV charges'!$D$10:$D$200, MATCH(0, IF(ISBLANK('Annex 2 Designated EHV charges'!$D$10:$D$200),1, COUNTIF(A$4:$A12, 'Annex 2 Designated EHV charges'!$D$10:$D$200)), 0)),"")</f>
        <v>BNTLY2</v>
      </c>
      <c r="B13" s="94">
        <f>IF($A13="","",VLOOKUP($A13,'Annex 2 Designated EHV charges'!$D:$O,2,0))</f>
        <v>712</v>
      </c>
      <c r="C13" s="95">
        <f>IF($A13="","",VLOOKUP($A13,'Annex 2 Designated EHV charges'!$D:$O,3,0))</f>
        <v>1900091463655</v>
      </c>
      <c r="D13" s="94" t="str">
        <f>IF($A13="","",VLOOKUP($A13,'Annex 2 Designated EHV charges'!$D:$O,4,0))</f>
        <v>BNTLY2</v>
      </c>
      <c r="E13" s="96" t="str">
        <f>IFERROR(IF(VLOOKUP($A13,'Annex 2 Designated EHV charges'!$D:$P,10,FALSE)=0,"",VLOOKUP($A13,'Annex 2 Designated EHV charges'!$D:$P,10,FALSE)),"")</f>
        <v/>
      </c>
      <c r="F13" s="207">
        <f>IFERROR(IF(VLOOKUP($A13,'Annex 2 Designated EHV charges'!$D:$P,11,FALSE)=0,"",VLOOKUP($A13,'Annex 2 Designated EHV charges'!$D:$P,11,FALSE)),"")</f>
        <v>828.5</v>
      </c>
      <c r="G13" s="207">
        <f>IFERROR(IF(VLOOKUP($A13,'Annex 2 Designated EHV charges'!$D:$P,12,FALSE)=0,"",VLOOKUP($A13,'Annex 2 Designated EHV charges'!$D:$P,12,FALSE)),"")</f>
        <v>0.05</v>
      </c>
      <c r="H13" s="207">
        <f>IFERROR(IF(VLOOKUP($A13,'Annex 2 Designated EHV charges'!$D:$P,13,FALSE)=0,"",VLOOKUP($A13,'Annex 2 Designated EHV charges'!$D:$P,13,FALSE)),"")</f>
        <v>0.05</v>
      </c>
    </row>
    <row r="14" spans="1:15" ht="12.75" customHeight="1" x14ac:dyDescent="0.35">
      <c r="A14" s="95" t="str" cm="1">
        <f t="array" ref="A14">IFERROR(INDEX('Annex 2 Designated EHV charges'!$D$10:$D$200, MATCH(0, IF(ISBLANK('Annex 2 Designated EHV charges'!$D$10:$D$200),1, COUNTIF(A$4:$A13, 'Annex 2 Designated EHV charges'!$D$10:$D$200)), 0)),"")</f>
        <v>BOBBNG</v>
      </c>
      <c r="B14" s="94">
        <f>IF($A14="","",VLOOKUP($A14,'Annex 2 Designated EHV charges'!$D:$O,2,0))</f>
        <v>705</v>
      </c>
      <c r="C14" s="95">
        <f>IF($A14="","",VLOOKUP($A14,'Annex 2 Designated EHV charges'!$D:$O,3,0))</f>
        <v>1900091395517</v>
      </c>
      <c r="D14" s="94" t="str">
        <f>IF($A14="","",VLOOKUP($A14,'Annex 2 Designated EHV charges'!$D:$O,4,0))</f>
        <v>BOBBNG</v>
      </c>
      <c r="E14" s="96" t="str">
        <f>IFERROR(IF(VLOOKUP($A14,'Annex 2 Designated EHV charges'!$D:$P,10,FALSE)=0,"",VLOOKUP($A14,'Annex 2 Designated EHV charges'!$D:$P,10,FALSE)),"")</f>
        <v/>
      </c>
      <c r="F14" s="207">
        <f>IFERROR(IF(VLOOKUP($A14,'Annex 2 Designated EHV charges'!$D:$P,11,FALSE)=0,"",VLOOKUP($A14,'Annex 2 Designated EHV charges'!$D:$P,11,FALSE)),"")</f>
        <v>1387.95</v>
      </c>
      <c r="G14" s="207">
        <f>IFERROR(IF(VLOOKUP($A14,'Annex 2 Designated EHV charges'!$D:$P,12,FALSE)=0,"",VLOOKUP($A14,'Annex 2 Designated EHV charges'!$D:$P,12,FALSE)),"")</f>
        <v>0.05</v>
      </c>
      <c r="H14" s="207">
        <f>IFERROR(IF(VLOOKUP($A14,'Annex 2 Designated EHV charges'!$D:$P,13,FALSE)=0,"",VLOOKUP($A14,'Annex 2 Designated EHV charges'!$D:$P,13,FALSE)),"")</f>
        <v>0.05</v>
      </c>
    </row>
    <row r="15" spans="1:15" ht="12.75" customHeight="1" x14ac:dyDescent="0.35">
      <c r="A15" s="95" t="str" cm="1">
        <f t="array" ref="A15">IFERROR(INDEX('Annex 2 Designated EHV charges'!$D$10:$D$200, MATCH(0, IF(ISBLANK('Annex 2 Designated EHV charges'!$D$10:$D$200),1, COUNTIF(A$4:$A14, 'Annex 2 Designated EHV charges'!$D$10:$D$200)), 0)),"")</f>
        <v>BRAMBS</v>
      </c>
      <c r="B15" s="94">
        <f>IF($A15="","",VLOOKUP($A15,'Annex 2 Designated EHV charges'!$D:$O,2,0))</f>
        <v>695</v>
      </c>
      <c r="C15" s="95">
        <f>IF($A15="","",VLOOKUP($A15,'Annex 2 Designated EHV charges'!$D:$O,3,0))</f>
        <v>1900091566820</v>
      </c>
      <c r="D15" s="94" t="str">
        <f>IF($A15="","",VLOOKUP($A15,'Annex 2 Designated EHV charges'!$D:$O,4,0))</f>
        <v>BRAMBS</v>
      </c>
      <c r="E15" s="96">
        <f>IFERROR(IF(VLOOKUP($A15,'Annex 2 Designated EHV charges'!$D:$P,10,FALSE)=0,"",VLOOKUP($A15,'Annex 2 Designated EHV charges'!$D:$P,10,FALSE)),"")</f>
        <v>-0.47299999999999998</v>
      </c>
      <c r="F15" s="207">
        <f>IFERROR(IF(VLOOKUP($A15,'Annex 2 Designated EHV charges'!$D:$P,11,FALSE)=0,"",VLOOKUP($A15,'Annex 2 Designated EHV charges'!$D:$P,11,FALSE)),"")</f>
        <v>507.07</v>
      </c>
      <c r="G15" s="207">
        <f>IFERROR(IF(VLOOKUP($A15,'Annex 2 Designated EHV charges'!$D:$P,12,FALSE)=0,"",VLOOKUP($A15,'Annex 2 Designated EHV charges'!$D:$P,12,FALSE)),"")</f>
        <v>0.05</v>
      </c>
      <c r="H15" s="207">
        <f>IFERROR(IF(VLOOKUP($A15,'Annex 2 Designated EHV charges'!$D:$P,13,FALSE)=0,"",VLOOKUP($A15,'Annex 2 Designated EHV charges'!$D:$P,13,FALSE)),"")</f>
        <v>0.05</v>
      </c>
    </row>
    <row r="16" spans="1:15" ht="12.75" customHeight="1" x14ac:dyDescent="0.35">
      <c r="A16" s="95" t="str" cm="1">
        <f t="array" ref="A16">IFERROR(INDEX('Annex 2 Designated EHV charges'!$D$10:$D$200, MATCH(0, IF(ISBLANK('Annex 2 Designated EHV charges'!$D$10:$D$200),1, COUNTIF(A$4:$A15, 'Annex 2 Designated EHV charges'!$D$10:$D$200)), 0)),"")</f>
        <v>BRELLE</v>
      </c>
      <c r="B16" s="94">
        <f>IF($A16="","",VLOOKUP($A16,'Annex 2 Designated EHV charges'!$D:$O,2,0))</f>
        <v>696</v>
      </c>
      <c r="C16" s="95">
        <f>IF($A16="","",VLOOKUP($A16,'Annex 2 Designated EHV charges'!$D:$O,3,0))</f>
        <v>1900091523125</v>
      </c>
      <c r="D16" s="94" t="str">
        <f>IF($A16="","",VLOOKUP($A16,'Annex 2 Designated EHV charges'!$D:$O,4,0))</f>
        <v>BRELLE</v>
      </c>
      <c r="E16" s="96">
        <f>IFERROR(IF(VLOOKUP($A16,'Annex 2 Designated EHV charges'!$D:$P,10,FALSE)=0,"",VLOOKUP($A16,'Annex 2 Designated EHV charges'!$D:$P,10,FALSE)),"")</f>
        <v>-0.192</v>
      </c>
      <c r="F16" s="207">
        <f>IFERROR(IF(VLOOKUP($A16,'Annex 2 Designated EHV charges'!$D:$P,11,FALSE)=0,"",VLOOKUP($A16,'Annex 2 Designated EHV charges'!$D:$P,11,FALSE)),"")</f>
        <v>947.83</v>
      </c>
      <c r="G16" s="207">
        <f>IFERROR(IF(VLOOKUP($A16,'Annex 2 Designated EHV charges'!$D:$P,12,FALSE)=0,"",VLOOKUP($A16,'Annex 2 Designated EHV charges'!$D:$P,12,FALSE)),"")</f>
        <v>0.05</v>
      </c>
      <c r="H16" s="207">
        <f>IFERROR(IF(VLOOKUP($A16,'Annex 2 Designated EHV charges'!$D:$P,13,FALSE)=0,"",VLOOKUP($A16,'Annex 2 Designated EHV charges'!$D:$P,13,FALSE)),"")</f>
        <v>0.05</v>
      </c>
    </row>
    <row r="17" spans="1:8" ht="12.75" customHeight="1" x14ac:dyDescent="0.35">
      <c r="A17" s="95" t="str" cm="1">
        <f t="array" ref="A17">IFERROR(INDEX('Annex 2 Designated EHV charges'!$D$10:$D$200, MATCH(0, IF(ISBLANK('Annex 2 Designated EHV charges'!$D$10:$D$200),1, COUNTIF(A$4:$A16, 'Annex 2 Designated EHV charges'!$D$10:$D$200)), 0)),"")</f>
        <v>BRETSH</v>
      </c>
      <c r="B17" s="94">
        <f>IF($A17="","",VLOOKUP($A17,'Annex 2 Designated EHV charges'!$D:$O,2,0))</f>
        <v>726</v>
      </c>
      <c r="C17" s="95" t="str">
        <f>IF($A17="","",VLOOKUP($A17,'Annex 2 Designated EHV charges'!$D:$O,3,0))</f>
        <v>1900060866064;1900060866082</v>
      </c>
      <c r="D17" s="94" t="str">
        <f>IF($A17="","",VLOOKUP($A17,'Annex 2 Designated EHV charges'!$D:$O,4,0))</f>
        <v>BRETSH</v>
      </c>
      <c r="E17" s="96" t="str">
        <f>IFERROR(IF(VLOOKUP($A17,'Annex 2 Designated EHV charges'!$D:$P,10,FALSE)=0,"",VLOOKUP($A17,'Annex 2 Designated EHV charges'!$D:$P,10,FALSE)),"")</f>
        <v/>
      </c>
      <c r="F17" s="207" t="str">
        <f>IFERROR(IF(VLOOKUP($A17,'Annex 2 Designated EHV charges'!$D:$P,11,FALSE)=0,"",VLOOKUP($A17,'Annex 2 Designated EHV charges'!$D:$P,11,FALSE)),"")</f>
        <v/>
      </c>
      <c r="G17" s="207" t="str">
        <f>IFERROR(IF(VLOOKUP($A17,'Annex 2 Designated EHV charges'!$D:$P,12,FALSE)=0,"",VLOOKUP($A17,'Annex 2 Designated EHV charges'!$D:$P,12,FALSE)),"")</f>
        <v/>
      </c>
      <c r="H17" s="207" t="str">
        <f>IFERROR(IF(VLOOKUP($A17,'Annex 2 Designated EHV charges'!$D:$P,13,FALSE)=0,"",VLOOKUP($A17,'Annex 2 Designated EHV charges'!$D:$P,13,FALSE)),"")</f>
        <v/>
      </c>
    </row>
    <row r="18" spans="1:8" ht="12.75" customHeight="1" x14ac:dyDescent="0.35">
      <c r="A18" s="95" t="str" cm="1">
        <f t="array" ref="A18">IFERROR(INDEX('Annex 2 Designated EHV charges'!$D$10:$D$200, MATCH(0, IF(ISBLANK('Annex 2 Designated EHV charges'!$D$10:$D$200),1, COUNTIF(A$4:$A17, 'Annex 2 Designated EHV charges'!$D$10:$D$200)), 0)),"")</f>
        <v>BRKHST</v>
      </c>
      <c r="B18" s="94">
        <f>IF($A18="","",VLOOKUP($A18,'Annex 2 Designated EHV charges'!$D:$O,2,0))</f>
        <v>738</v>
      </c>
      <c r="C18" s="95">
        <f>IF($A18="","",VLOOKUP($A18,'Annex 2 Designated EHV charges'!$D:$O,3,0))</f>
        <v>1900090834418</v>
      </c>
      <c r="D18" s="94" t="str">
        <f>IF($A18="","",VLOOKUP($A18,'Annex 2 Designated EHV charges'!$D:$O,4,0))</f>
        <v>BRKHST</v>
      </c>
      <c r="E18" s="96">
        <f>IFERROR(IF(VLOOKUP($A18,'Annex 2 Designated EHV charges'!$D:$P,10,FALSE)=0,"",VLOOKUP($A18,'Annex 2 Designated EHV charges'!$D:$P,10,FALSE)),"")</f>
        <v>-6.1529999999999996</v>
      </c>
      <c r="F18" s="207">
        <f>IFERROR(IF(VLOOKUP($A18,'Annex 2 Designated EHV charges'!$D:$P,11,FALSE)=0,"",VLOOKUP($A18,'Annex 2 Designated EHV charges'!$D:$P,11,FALSE)),"")</f>
        <v>7595.43</v>
      </c>
      <c r="G18" s="207">
        <f>IFERROR(IF(VLOOKUP($A18,'Annex 2 Designated EHV charges'!$D:$P,12,FALSE)=0,"",VLOOKUP($A18,'Annex 2 Designated EHV charges'!$D:$P,12,FALSE)),"")</f>
        <v>0.05</v>
      </c>
      <c r="H18" s="207">
        <f>IFERROR(IF(VLOOKUP($A18,'Annex 2 Designated EHV charges'!$D:$P,13,FALSE)=0,"",VLOOKUP($A18,'Annex 2 Designated EHV charges'!$D:$P,13,FALSE)),"")</f>
        <v>0.05</v>
      </c>
    </row>
    <row r="19" spans="1:8" ht="12.75" customHeight="1" x14ac:dyDescent="0.35">
      <c r="A19" s="95" t="str" cm="1">
        <f t="array" ref="A19">IFERROR(INDEX('Annex 2 Designated EHV charges'!$D$10:$D$200, MATCH(0, IF(ISBLANK('Annex 2 Designated EHV charges'!$D$10:$D$200),1, COUNTIF(A$4:$A18, 'Annex 2 Designated EHV charges'!$D$10:$D$200)), 0)),"")</f>
        <v>BROABS</v>
      </c>
      <c r="B19" s="94">
        <f>IF($A19="","",VLOOKUP($A19,'Annex 2 Designated EHV charges'!$D:$O,2,0))</f>
        <v>0</v>
      </c>
      <c r="C19" s="95" t="str">
        <f>IF($A19="","",VLOOKUP($A19,'Annex 2 Designated EHV charges'!$D:$O,3,0))</f>
        <v>MSID: 7479</v>
      </c>
      <c r="D19" s="94" t="str">
        <f>IF($A19="","",VLOOKUP($A19,'Annex 2 Designated EHV charges'!$D:$O,4,0))</f>
        <v>BROABS</v>
      </c>
      <c r="E19" s="96">
        <f>IFERROR(IF(VLOOKUP($A19,'Annex 2 Designated EHV charges'!$D:$P,10,FALSE)=0,"",VLOOKUP($A19,'Annex 2 Designated EHV charges'!$D:$P,10,FALSE)),"")</f>
        <v>-0.97499999999999998</v>
      </c>
      <c r="F19" s="207">
        <f>IFERROR(IF(VLOOKUP($A19,'Annex 2 Designated EHV charges'!$D:$P,11,FALSE)=0,"",VLOOKUP($A19,'Annex 2 Designated EHV charges'!$D:$P,11,FALSE)),"")</f>
        <v>491.1</v>
      </c>
      <c r="G19" s="207">
        <f>IFERROR(IF(VLOOKUP($A19,'Annex 2 Designated EHV charges'!$D:$P,12,FALSE)=0,"",VLOOKUP($A19,'Annex 2 Designated EHV charges'!$D:$P,12,FALSE)),"")</f>
        <v>0.05</v>
      </c>
      <c r="H19" s="207">
        <f>IFERROR(IF(VLOOKUP($A19,'Annex 2 Designated EHV charges'!$D:$P,13,FALSE)=0,"",VLOOKUP($A19,'Annex 2 Designated EHV charges'!$D:$P,13,FALSE)),"")</f>
        <v>0.05</v>
      </c>
    </row>
    <row r="20" spans="1:8" ht="12.75" customHeight="1" x14ac:dyDescent="0.35">
      <c r="A20" s="95" t="str" cm="1">
        <f t="array" ref="A20">IFERROR(INDEX('Annex 2 Designated EHV charges'!$D$10:$D$200, MATCH(0, IF(ISBLANK('Annex 2 Designated EHV charges'!$D$10:$D$200),1, COUNTIF(A$4:$A19, 'Annex 2 Designated EHV charges'!$D$10:$D$200)), 0)),"")</f>
        <v>BTBRKS</v>
      </c>
      <c r="B20" s="94">
        <f>IF($A20="","",VLOOKUP($A20,'Annex 2 Designated EHV charges'!$D:$O,2,0))</f>
        <v>742</v>
      </c>
      <c r="C20" s="95">
        <f>IF($A20="","",VLOOKUP($A20,'Annex 2 Designated EHV charges'!$D:$O,3,0))</f>
        <v>1900091199379</v>
      </c>
      <c r="D20" s="94" t="str">
        <f>IF($A20="","",VLOOKUP($A20,'Annex 2 Designated EHV charges'!$D:$O,4,0))</f>
        <v>BTBRKS</v>
      </c>
      <c r="E20" s="96" t="str">
        <f>IFERROR(IF(VLOOKUP($A20,'Annex 2 Designated EHV charges'!$D:$P,10,FALSE)=0,"",VLOOKUP($A20,'Annex 2 Designated EHV charges'!$D:$P,10,FALSE)),"")</f>
        <v/>
      </c>
      <c r="F20" s="207">
        <f>IFERROR(IF(VLOOKUP($A20,'Annex 2 Designated EHV charges'!$D:$P,11,FALSE)=0,"",VLOOKUP($A20,'Annex 2 Designated EHV charges'!$D:$P,11,FALSE)),"")</f>
        <v>426.61</v>
      </c>
      <c r="G20" s="207">
        <f>IFERROR(IF(VLOOKUP($A20,'Annex 2 Designated EHV charges'!$D:$P,12,FALSE)=0,"",VLOOKUP($A20,'Annex 2 Designated EHV charges'!$D:$P,12,FALSE)),"")</f>
        <v>0.05</v>
      </c>
      <c r="H20" s="207">
        <f>IFERROR(IF(VLOOKUP($A20,'Annex 2 Designated EHV charges'!$D:$P,13,FALSE)=0,"",VLOOKUP($A20,'Annex 2 Designated EHV charges'!$D:$P,13,FALSE)),"")</f>
        <v>0.05</v>
      </c>
    </row>
    <row r="21" spans="1:8" ht="12.75" customHeight="1" x14ac:dyDescent="0.35">
      <c r="A21" s="95" t="str" cm="1">
        <f t="array" ref="A21">IFERROR(INDEX('Annex 2 Designated EHV charges'!$D$10:$D$200, MATCH(0, IF(ISBLANK('Annex 2 Designated EHV charges'!$D$10:$D$200),1, COUNTIF(A$4:$A20, 'Annex 2 Designated EHV charges'!$D$10:$D$200)), 0)),"")</f>
        <v>CAPELG</v>
      </c>
      <c r="B21" s="94">
        <f>IF($A21="","",VLOOKUP($A21,'Annex 2 Designated EHV charges'!$D:$O,2,0))</f>
        <v>706</v>
      </c>
      <c r="C21" s="95">
        <f>IF($A21="","",VLOOKUP($A21,'Annex 2 Designated EHV charges'!$D:$O,3,0))</f>
        <v>1900091353303</v>
      </c>
      <c r="D21" s="94" t="str">
        <f>IF($A21="","",VLOOKUP($A21,'Annex 2 Designated EHV charges'!$D:$O,4,0))</f>
        <v>CAPELG</v>
      </c>
      <c r="E21" s="96" t="str">
        <f>IFERROR(IF(VLOOKUP($A21,'Annex 2 Designated EHV charges'!$D:$P,10,FALSE)=0,"",VLOOKUP($A21,'Annex 2 Designated EHV charges'!$D:$P,10,FALSE)),"")</f>
        <v/>
      </c>
      <c r="F21" s="207">
        <f>IFERROR(IF(VLOOKUP($A21,'Annex 2 Designated EHV charges'!$D:$P,11,FALSE)=0,"",VLOOKUP($A21,'Annex 2 Designated EHV charges'!$D:$P,11,FALSE)),"")</f>
        <v>1011.16</v>
      </c>
      <c r="G21" s="207">
        <f>IFERROR(IF(VLOOKUP($A21,'Annex 2 Designated EHV charges'!$D:$P,12,FALSE)=0,"",VLOOKUP($A21,'Annex 2 Designated EHV charges'!$D:$P,12,FALSE)),"")</f>
        <v>0.05</v>
      </c>
      <c r="H21" s="207">
        <f>IFERROR(IF(VLOOKUP($A21,'Annex 2 Designated EHV charges'!$D:$P,13,FALSE)=0,"",VLOOKUP($A21,'Annex 2 Designated EHV charges'!$D:$P,13,FALSE)),"")</f>
        <v>0.05</v>
      </c>
    </row>
    <row r="22" spans="1:8" ht="12.75" customHeight="1" x14ac:dyDescent="0.35">
      <c r="A22" s="95" t="str" cm="1">
        <f t="array" ref="A22">IFERROR(INDEX('Annex 2 Designated EHV charges'!$D$10:$D$200, MATCH(0, IF(ISBLANK('Annex 2 Designated EHV charges'!$D$10:$D$200),1, COUNTIF(A$4:$A21, 'Annex 2 Designated EHV charges'!$D$10:$D$200)), 0)),"")</f>
        <v>CLYHLL</v>
      </c>
      <c r="B22" s="94">
        <f>IF($A22="","",VLOOKUP($A22,'Annex 2 Designated EHV charges'!$D:$O,2,0))</f>
        <v>716</v>
      </c>
      <c r="C22" s="95">
        <f>IF($A22="","",VLOOKUP($A22,'Annex 2 Designated EHV charges'!$D:$O,3,0))</f>
        <v>1900091343769</v>
      </c>
      <c r="D22" s="94" t="str">
        <f>IF($A22="","",VLOOKUP($A22,'Annex 2 Designated EHV charges'!$D:$O,4,0))</f>
        <v>CLYHLL</v>
      </c>
      <c r="E22" s="96" t="str">
        <f>IFERROR(IF(VLOOKUP($A22,'Annex 2 Designated EHV charges'!$D:$P,10,FALSE)=0,"",VLOOKUP($A22,'Annex 2 Designated EHV charges'!$D:$P,10,FALSE)),"")</f>
        <v/>
      </c>
      <c r="F22" s="207">
        <f>IFERROR(IF(VLOOKUP($A22,'Annex 2 Designated EHV charges'!$D:$P,11,FALSE)=0,"",VLOOKUP($A22,'Annex 2 Designated EHV charges'!$D:$P,11,FALSE)),"")</f>
        <v>1316.3</v>
      </c>
      <c r="G22" s="207">
        <f>IFERROR(IF(VLOOKUP($A22,'Annex 2 Designated EHV charges'!$D:$P,12,FALSE)=0,"",VLOOKUP($A22,'Annex 2 Designated EHV charges'!$D:$P,12,FALSE)),"")</f>
        <v>0.05</v>
      </c>
      <c r="H22" s="207">
        <f>IFERROR(IF(VLOOKUP($A22,'Annex 2 Designated EHV charges'!$D:$P,13,FALSE)=0,"",VLOOKUP($A22,'Annex 2 Designated EHV charges'!$D:$P,13,FALSE)),"")</f>
        <v>0.05</v>
      </c>
    </row>
    <row r="23" spans="1:8" ht="12.75" customHeight="1" x14ac:dyDescent="0.35">
      <c r="A23" s="95" t="str" cm="1">
        <f t="array" ref="A23">IFERROR(INDEX('Annex 2 Designated EHV charges'!$D$10:$D$200, MATCH(0, IF(ISBLANK('Annex 2 Designated EHV charges'!$D$10:$D$200),1, COUNTIF(A$4:$A22, 'Annex 2 Designated EHV charges'!$D$10:$D$200)), 0)),"")</f>
        <v>CRYENG</v>
      </c>
      <c r="B23" s="94">
        <f>IF($A23="","",VLOOKUP($A23,'Annex 2 Designated EHV charges'!$D:$O,2,0))</f>
        <v>0</v>
      </c>
      <c r="C23" s="95" t="str">
        <f>IF($A23="","",VLOOKUP($A23,'Annex 2 Designated EHV charges'!$D:$O,3,0))</f>
        <v>MSID: 7442</v>
      </c>
      <c r="D23" s="94" t="str">
        <f>IF($A23="","",VLOOKUP($A23,'Annex 2 Designated EHV charges'!$D:$O,4,0))</f>
        <v>CRYENG</v>
      </c>
      <c r="E23" s="96">
        <f>IFERROR(IF(VLOOKUP($A23,'Annex 2 Designated EHV charges'!$D:$P,10,FALSE)=0,"",VLOOKUP($A23,'Annex 2 Designated EHV charges'!$D:$P,10,FALSE)),"")</f>
        <v>-7.0000000000000001E-3</v>
      </c>
      <c r="F23" s="207">
        <f>IFERROR(IF(VLOOKUP($A23,'Annex 2 Designated EHV charges'!$D:$P,11,FALSE)=0,"",VLOOKUP($A23,'Annex 2 Designated EHV charges'!$D:$P,11,FALSE)),"")</f>
        <v>436.47</v>
      </c>
      <c r="G23" s="207">
        <f>IFERROR(IF(VLOOKUP($A23,'Annex 2 Designated EHV charges'!$D:$P,12,FALSE)=0,"",VLOOKUP($A23,'Annex 2 Designated EHV charges'!$D:$P,12,FALSE)),"")</f>
        <v>0.05</v>
      </c>
      <c r="H23" s="207">
        <f>IFERROR(IF(VLOOKUP($A23,'Annex 2 Designated EHV charges'!$D:$P,13,FALSE)=0,"",VLOOKUP($A23,'Annex 2 Designated EHV charges'!$D:$P,13,FALSE)),"")</f>
        <v>0.05</v>
      </c>
    </row>
    <row r="24" spans="1:8" ht="12.75" customHeight="1" x14ac:dyDescent="0.35">
      <c r="A24" s="95" t="str" cm="1">
        <f t="array" ref="A24">IFERROR(INDEX('Annex 2 Designated EHV charges'!$D$10:$D$200, MATCH(0, IF(ISBLANK('Annex 2 Designated EHV charges'!$D$10:$D$200),1, COUNTIF(A$4:$A23, 'Annex 2 Designated EHV charges'!$D$10:$D$200)), 0)),"")</f>
        <v>CWSTBS</v>
      </c>
      <c r="B24" s="94">
        <f>IF($A24="","",VLOOKUP($A24,'Annex 2 Designated EHV charges'!$D:$O,2,0))</f>
        <v>0</v>
      </c>
      <c r="C24" s="95" t="str">
        <f>IF($A24="","",VLOOKUP($A24,'Annex 2 Designated EHV charges'!$D:$O,3,0))</f>
        <v>ENET</v>
      </c>
      <c r="D24" s="94" t="str">
        <f>IF($A24="","",VLOOKUP($A24,'Annex 2 Designated EHV charges'!$D:$O,4,0))</f>
        <v>CWSTBS</v>
      </c>
      <c r="E24" s="96">
        <f>IFERROR(IF(VLOOKUP($A24,'Annex 2 Designated EHV charges'!$D:$P,10,FALSE)=0,"",VLOOKUP($A24,'Annex 2 Designated EHV charges'!$D:$P,10,FALSE)),"")</f>
        <v>-3.2000000000000001E-2</v>
      </c>
      <c r="F24" s="207">
        <f>IFERROR(IF(VLOOKUP($A24,'Annex 2 Designated EHV charges'!$D:$P,11,FALSE)=0,"",VLOOKUP($A24,'Annex 2 Designated EHV charges'!$D:$P,11,FALSE)),"")</f>
        <v>49.61</v>
      </c>
      <c r="G24" s="207">
        <f>IFERROR(IF(VLOOKUP($A24,'Annex 2 Designated EHV charges'!$D:$P,12,FALSE)=0,"",VLOOKUP($A24,'Annex 2 Designated EHV charges'!$D:$P,12,FALSE)),"")</f>
        <v>0.05</v>
      </c>
      <c r="H24" s="207">
        <f>IFERROR(IF(VLOOKUP($A24,'Annex 2 Designated EHV charges'!$D:$P,13,FALSE)=0,"",VLOOKUP($A24,'Annex 2 Designated EHV charges'!$D:$P,13,FALSE)),"")</f>
        <v>0.05</v>
      </c>
    </row>
    <row r="25" spans="1:8" ht="12.75" customHeight="1" x14ac:dyDescent="0.35">
      <c r="A25" s="95" t="str" cm="1">
        <f t="array" ref="A25">IFERROR(INDEX('Annex 2 Designated EHV charges'!$D$10:$D$200, MATCH(0, IF(ISBLANK('Annex 2 Designated EHV charges'!$D$10:$D$200),1, COUNTIF(A$4:$A24, 'Annex 2 Designated EHV charges'!$D$10:$D$200)), 0)),"")</f>
        <v>DARENT</v>
      </c>
      <c r="B25" s="94">
        <f>IF($A25="","",VLOOKUP($A25,'Annex 2 Designated EHV charges'!$D:$O,2,0))</f>
        <v>767</v>
      </c>
      <c r="C25" s="95">
        <f>IF($A25="","",VLOOKUP($A25,'Annex 2 Designated EHV charges'!$D:$O,3,0))</f>
        <v>1900091057559</v>
      </c>
      <c r="D25" s="94" t="str">
        <f>IF($A25="","",VLOOKUP($A25,'Annex 2 Designated EHV charges'!$D:$O,4,0))</f>
        <v>DARENT</v>
      </c>
      <c r="E25" s="96">
        <f>IFERROR(IF(VLOOKUP($A25,'Annex 2 Designated EHV charges'!$D:$P,10,FALSE)=0,"",VLOOKUP($A25,'Annex 2 Designated EHV charges'!$D:$P,10,FALSE)),"")</f>
        <v>-3.0000000000000001E-3</v>
      </c>
      <c r="F25" s="207">
        <f>IFERROR(IF(VLOOKUP($A25,'Annex 2 Designated EHV charges'!$D:$P,11,FALSE)=0,"",VLOOKUP($A25,'Annex 2 Designated EHV charges'!$D:$P,11,FALSE)),"")</f>
        <v>3058.42</v>
      </c>
      <c r="G25" s="207">
        <f>IFERROR(IF(VLOOKUP($A25,'Annex 2 Designated EHV charges'!$D:$P,12,FALSE)=0,"",VLOOKUP($A25,'Annex 2 Designated EHV charges'!$D:$P,12,FALSE)),"")</f>
        <v>0.05</v>
      </c>
      <c r="H25" s="207">
        <f>IFERROR(IF(VLOOKUP($A25,'Annex 2 Designated EHV charges'!$D:$P,13,FALSE)=0,"",VLOOKUP($A25,'Annex 2 Designated EHV charges'!$D:$P,13,FALSE)),"")</f>
        <v>0.05</v>
      </c>
    </row>
    <row r="26" spans="1:8" ht="12.75" customHeight="1" x14ac:dyDescent="0.35">
      <c r="A26" s="95" t="str" cm="1">
        <f t="array" ref="A26">IFERROR(INDEX('Annex 2 Designated EHV charges'!$D$10:$D$200, MATCH(0, IF(ISBLANK('Annex 2 Designated EHV charges'!$D$10:$D$200),1, COUNTIF(A$4:$A25, 'Annex 2 Designated EHV charges'!$D$10:$D$200)), 0)),"")</f>
        <v>DSCPRK</v>
      </c>
      <c r="B26" s="94">
        <f>IF($A26="","",VLOOKUP($A26,'Annex 2 Designated EHV charges'!$D:$O,2,0))</f>
        <v>704</v>
      </c>
      <c r="C26" s="95">
        <f>IF($A26="","",VLOOKUP($A26,'Annex 2 Designated EHV charges'!$D:$O,3,0))</f>
        <v>1900091637081</v>
      </c>
      <c r="D26" s="94" t="str">
        <f>IF($A26="","",VLOOKUP($A26,'Annex 2 Designated EHV charges'!$D:$O,4,0))</f>
        <v>DSCPRK</v>
      </c>
      <c r="E26" s="96">
        <f>IFERROR(IF(VLOOKUP($A26,'Annex 2 Designated EHV charges'!$D:$P,10,FALSE)=0,"",VLOOKUP($A26,'Annex 2 Designated EHV charges'!$D:$P,10,FALSE)),"")</f>
        <v>-3.0000000000000001E-3</v>
      </c>
      <c r="F26" s="207">
        <f>IFERROR(IF(VLOOKUP($A26,'Annex 2 Designated EHV charges'!$D:$P,11,FALSE)=0,"",VLOOKUP($A26,'Annex 2 Designated EHV charges'!$D:$P,11,FALSE)),"")</f>
        <v>1867.78</v>
      </c>
      <c r="G26" s="207">
        <f>IFERROR(IF(VLOOKUP($A26,'Annex 2 Designated EHV charges'!$D:$P,12,FALSE)=0,"",VLOOKUP($A26,'Annex 2 Designated EHV charges'!$D:$P,12,FALSE)),"")</f>
        <v>0.05</v>
      </c>
      <c r="H26" s="207">
        <f>IFERROR(IF(VLOOKUP($A26,'Annex 2 Designated EHV charges'!$D:$P,13,FALSE)=0,"",VLOOKUP($A26,'Annex 2 Designated EHV charges'!$D:$P,13,FALSE)),"")</f>
        <v>0.05</v>
      </c>
    </row>
    <row r="27" spans="1:8" ht="12.75" customHeight="1" x14ac:dyDescent="0.35">
      <c r="A27" s="95" t="str" cm="1">
        <f t="array" ref="A27">IFERROR(INDEX('Annex 2 Designated EHV charges'!$D$10:$D$200, MATCH(0, IF(ISBLANK('Annex 2 Designated EHV charges'!$D$10:$D$200),1, COUNTIF(A$4:$A26, 'Annex 2 Designated EHV charges'!$D$10:$D$200)), 0)),"")</f>
        <v>FORDSF</v>
      </c>
      <c r="B27" s="94">
        <f>IF($A27="","",VLOOKUP($A27,'Annex 2 Designated EHV charges'!$D:$O,2,0))</f>
        <v>707</v>
      </c>
      <c r="C27" s="95">
        <f>IF($A27="","",VLOOKUP($A27,'Annex 2 Designated EHV charges'!$D:$O,3,0))</f>
        <v>1900091361971</v>
      </c>
      <c r="D27" s="94" t="str">
        <f>IF($A27="","",VLOOKUP($A27,'Annex 2 Designated EHV charges'!$D:$O,4,0))</f>
        <v>FORDSF</v>
      </c>
      <c r="E27" s="96" t="str">
        <f>IFERROR(IF(VLOOKUP($A27,'Annex 2 Designated EHV charges'!$D:$P,10,FALSE)=0,"",VLOOKUP($A27,'Annex 2 Designated EHV charges'!$D:$P,10,FALSE)),"")</f>
        <v/>
      </c>
      <c r="F27" s="207">
        <f>IFERROR(IF(VLOOKUP($A27,'Annex 2 Designated EHV charges'!$D:$P,11,FALSE)=0,"",VLOOKUP($A27,'Annex 2 Designated EHV charges'!$D:$P,11,FALSE)),"")</f>
        <v>925.74</v>
      </c>
      <c r="G27" s="207">
        <f>IFERROR(IF(VLOOKUP($A27,'Annex 2 Designated EHV charges'!$D:$P,12,FALSE)=0,"",VLOOKUP($A27,'Annex 2 Designated EHV charges'!$D:$P,12,FALSE)),"")</f>
        <v>0.05</v>
      </c>
      <c r="H27" s="207">
        <f>IFERROR(IF(VLOOKUP($A27,'Annex 2 Designated EHV charges'!$D:$P,13,FALSE)=0,"",VLOOKUP($A27,'Annex 2 Designated EHV charges'!$D:$P,13,FALSE)),"")</f>
        <v>0.05</v>
      </c>
    </row>
    <row r="28" spans="1:8" ht="12.75" customHeight="1" x14ac:dyDescent="0.35">
      <c r="A28" s="95" t="str" cm="1">
        <f t="array" ref="A28">IFERROR(INDEX('Annex 2 Designated EHV charges'!$D$10:$D$200, MATCH(0, IF(ISBLANK('Annex 2 Designated EHV charges'!$D$10:$D$200),1, COUNTIF(A$4:$A27, 'Annex 2 Designated EHV charges'!$D$10:$D$200)), 0)),"")</f>
        <v>FRWOOD</v>
      </c>
      <c r="B28" s="94">
        <f>IF($A28="","",VLOOKUP($A28,'Annex 2 Designated EHV charges'!$D:$O,2,0))</f>
        <v>743</v>
      </c>
      <c r="C28" s="95">
        <f>IF($A28="","",VLOOKUP($A28,'Annex 2 Designated EHV charges'!$D:$O,3,0))</f>
        <v>1900091200397</v>
      </c>
      <c r="D28" s="94" t="str">
        <f>IF($A28="","",VLOOKUP($A28,'Annex 2 Designated EHV charges'!$D:$O,4,0))</f>
        <v>FRWOOD</v>
      </c>
      <c r="E28" s="96" t="str">
        <f>IFERROR(IF(VLOOKUP($A28,'Annex 2 Designated EHV charges'!$D:$P,10,FALSE)=0,"",VLOOKUP($A28,'Annex 2 Designated EHV charges'!$D:$P,10,FALSE)),"")</f>
        <v/>
      </c>
      <c r="F28" s="207">
        <f>IFERROR(IF(VLOOKUP($A28,'Annex 2 Designated EHV charges'!$D:$P,11,FALSE)=0,"",VLOOKUP($A28,'Annex 2 Designated EHV charges'!$D:$P,11,FALSE)),"")</f>
        <v>1318.2</v>
      </c>
      <c r="G28" s="207">
        <f>IFERROR(IF(VLOOKUP($A28,'Annex 2 Designated EHV charges'!$D:$P,12,FALSE)=0,"",VLOOKUP($A28,'Annex 2 Designated EHV charges'!$D:$P,12,FALSE)),"")</f>
        <v>0.05</v>
      </c>
      <c r="H28" s="207">
        <f>IFERROR(IF(VLOOKUP($A28,'Annex 2 Designated EHV charges'!$D:$P,13,FALSE)=0,"",VLOOKUP($A28,'Annex 2 Designated EHV charges'!$D:$P,13,FALSE)),"")</f>
        <v>0.05</v>
      </c>
    </row>
    <row r="29" spans="1:8" ht="12.75" customHeight="1" x14ac:dyDescent="0.35">
      <c r="A29" s="95" t="str" cm="1">
        <f t="array" ref="A29">IFERROR(INDEX('Annex 2 Designated EHV charges'!$D$10:$D$200, MATCH(0, IF(ISBLANK('Annex 2 Designated EHV charges'!$D$10:$D$200),1, COUNTIF(A$4:$A28, 'Annex 2 Designated EHV charges'!$D$10:$D$200)), 0)),"")</f>
        <v>GATWBS</v>
      </c>
      <c r="B29" s="94">
        <f>IF($A29="","",VLOOKUP($A29,'Annex 2 Designated EHV charges'!$D:$O,2,0))</f>
        <v>768</v>
      </c>
      <c r="C29" s="95">
        <f>IF($A29="","",VLOOKUP($A29,'Annex 2 Designated EHV charges'!$D:$O,3,0))</f>
        <v>1900092421113</v>
      </c>
      <c r="D29" s="94" t="str">
        <f>IF($A29="","",VLOOKUP($A29,'Annex 2 Designated EHV charges'!$D:$O,4,0))</f>
        <v>GATWBS</v>
      </c>
      <c r="E29" s="96">
        <f>IFERROR(IF(VLOOKUP($A29,'Annex 2 Designated EHV charges'!$D:$P,10,FALSE)=0,"",VLOOKUP($A29,'Annex 2 Designated EHV charges'!$D:$P,10,FALSE)),"")</f>
        <v>-1.2130000000000001</v>
      </c>
      <c r="F29" s="207">
        <f>IFERROR(IF(VLOOKUP($A29,'Annex 2 Designated EHV charges'!$D:$P,11,FALSE)=0,"",VLOOKUP($A29,'Annex 2 Designated EHV charges'!$D:$P,11,FALSE)),"")</f>
        <v>550.70000000000005</v>
      </c>
      <c r="G29" s="207">
        <f>IFERROR(IF(VLOOKUP($A29,'Annex 2 Designated EHV charges'!$D:$P,12,FALSE)=0,"",VLOOKUP($A29,'Annex 2 Designated EHV charges'!$D:$P,12,FALSE)),"")</f>
        <v>0.05</v>
      </c>
      <c r="H29" s="207">
        <f>IFERROR(IF(VLOOKUP($A29,'Annex 2 Designated EHV charges'!$D:$P,13,FALSE)=0,"",VLOOKUP($A29,'Annex 2 Designated EHV charges'!$D:$P,13,FALSE)),"")</f>
        <v>0.05</v>
      </c>
    </row>
    <row r="30" spans="1:8" ht="12.75" customHeight="1" x14ac:dyDescent="0.35">
      <c r="A30" s="95" t="str" cm="1">
        <f t="array" ref="A30">IFERROR(INDEX('Annex 2 Designated EHV charges'!$D$10:$D$200, MATCH(0, IF(ISBLANK('Annex 2 Designated EHV charges'!$D$10:$D$200),1, COUNTIF(A$4:$A29, 'Annex 2 Designated EHV charges'!$D$10:$D$200)), 0)),"")</f>
        <v>GLASSN</v>
      </c>
      <c r="B30" s="94">
        <f>IF($A30="","",VLOOKUP($A30,'Annex 2 Designated EHV charges'!$D:$O,2,0))</f>
        <v>697</v>
      </c>
      <c r="C30" s="95" t="str">
        <f>IF($A30="","",VLOOKUP($A30,'Annex 2 Designated EHV charges'!$D:$O,3,0))</f>
        <v>1900091523310;1900092037980</v>
      </c>
      <c r="D30" s="94" t="str">
        <f>IF($A30="","",VLOOKUP($A30,'Annex 2 Designated EHV charges'!$D:$O,4,0))</f>
        <v>GLASSN</v>
      </c>
      <c r="E30" s="96">
        <f>IFERROR(IF(VLOOKUP($A30,'Annex 2 Designated EHV charges'!$D:$P,10,FALSE)=0,"",VLOOKUP($A30,'Annex 2 Designated EHV charges'!$D:$P,10,FALSE)),"")</f>
        <v>-2.0449999999999999</v>
      </c>
      <c r="F30" s="207">
        <f>IFERROR(IF(VLOOKUP($A30,'Annex 2 Designated EHV charges'!$D:$P,11,FALSE)=0,"",VLOOKUP($A30,'Annex 2 Designated EHV charges'!$D:$P,11,FALSE)),"")</f>
        <v>609.26</v>
      </c>
      <c r="G30" s="207">
        <f>IFERROR(IF(VLOOKUP($A30,'Annex 2 Designated EHV charges'!$D:$P,12,FALSE)=0,"",VLOOKUP($A30,'Annex 2 Designated EHV charges'!$D:$P,12,FALSE)),"")</f>
        <v>0.05</v>
      </c>
      <c r="H30" s="207">
        <f>IFERROR(IF(VLOOKUP($A30,'Annex 2 Designated EHV charges'!$D:$P,13,FALSE)=0,"",VLOOKUP($A30,'Annex 2 Designated EHV charges'!$D:$P,13,FALSE)),"")</f>
        <v>0.05</v>
      </c>
    </row>
    <row r="31" spans="1:8" ht="12.75" customHeight="1" x14ac:dyDescent="0.35">
      <c r="A31" s="95" t="str" cm="1">
        <f t="array" ref="A31">IFERROR(INDEX('Annex 2 Designated EHV charges'!$D$10:$D$200, MATCH(0, IF(ISBLANK('Annex 2 Designated EHV charges'!$D$10:$D$200),1, COUNTIF(A$4:$A30, 'Annex 2 Designated EHV charges'!$D$10:$D$200)), 0)),"")</f>
        <v>GROVEH</v>
      </c>
      <c r="B31" s="94">
        <f>IF($A31="","",VLOOKUP($A31,'Annex 2 Designated EHV charges'!$D:$O,2,0))</f>
        <v>727</v>
      </c>
      <c r="C31" s="95">
        <f>IF($A31="","",VLOOKUP($A31,'Annex 2 Designated EHV charges'!$D:$O,3,0))</f>
        <v>1900060225194</v>
      </c>
      <c r="D31" s="94" t="str">
        <f>IF($A31="","",VLOOKUP($A31,'Annex 2 Designated EHV charges'!$D:$O,4,0))</f>
        <v>GROVEH</v>
      </c>
      <c r="E31" s="96">
        <f>IFERROR(IF(VLOOKUP($A31,'Annex 2 Designated EHV charges'!$D:$P,10,FALSE)=0,"",VLOOKUP($A31,'Annex 2 Designated EHV charges'!$D:$P,10,FALSE)),"")</f>
        <v>-8.5000000000000006E-2</v>
      </c>
      <c r="F31" s="207">
        <f>IFERROR(IF(VLOOKUP($A31,'Annex 2 Designated EHV charges'!$D:$P,11,FALSE)=0,"",VLOOKUP($A31,'Annex 2 Designated EHV charges'!$D:$P,11,FALSE)),"")</f>
        <v>351.99</v>
      </c>
      <c r="G31" s="207">
        <f>IFERROR(IF(VLOOKUP($A31,'Annex 2 Designated EHV charges'!$D:$P,12,FALSE)=0,"",VLOOKUP($A31,'Annex 2 Designated EHV charges'!$D:$P,12,FALSE)),"")</f>
        <v>0.05</v>
      </c>
      <c r="H31" s="207">
        <f>IFERROR(IF(VLOOKUP($A31,'Annex 2 Designated EHV charges'!$D:$P,13,FALSE)=0,"",VLOOKUP($A31,'Annex 2 Designated EHV charges'!$D:$P,13,FALSE)),"")</f>
        <v>0.05</v>
      </c>
    </row>
    <row r="32" spans="1:8" ht="12.75" customHeight="1" x14ac:dyDescent="0.35">
      <c r="A32" s="95" t="str" cm="1">
        <f t="array" ref="A32">IFERROR(INDEX('Annex 2 Designated EHV charges'!$D$10:$D$200, MATCH(0, IF(ISBLANK('Annex 2 Designated EHV charges'!$D$10:$D$200),1, COUNTIF(A$4:$A31, 'Annex 2 Designated EHV charges'!$D$10:$D$200)), 0)),"")</f>
        <v>GUSTON</v>
      </c>
      <c r="B32" s="94">
        <f>IF($A32="","",VLOOKUP($A32,'Annex 2 Designated EHV charges'!$D:$O,2,0))</f>
        <v>708</v>
      </c>
      <c r="C32" s="95">
        <f>IF($A32="","",VLOOKUP($A32,'Annex 2 Designated EHV charges'!$D:$O,3,0))</f>
        <v>1900091338059</v>
      </c>
      <c r="D32" s="94" t="str">
        <f>IF($A32="","",VLOOKUP($A32,'Annex 2 Designated EHV charges'!$D:$O,4,0))</f>
        <v>GUSTON</v>
      </c>
      <c r="E32" s="96" t="str">
        <f>IFERROR(IF(VLOOKUP($A32,'Annex 2 Designated EHV charges'!$D:$P,10,FALSE)=0,"",VLOOKUP($A32,'Annex 2 Designated EHV charges'!$D:$P,10,FALSE)),"")</f>
        <v/>
      </c>
      <c r="F32" s="207">
        <f>IFERROR(IF(VLOOKUP($A32,'Annex 2 Designated EHV charges'!$D:$P,11,FALSE)=0,"",VLOOKUP($A32,'Annex 2 Designated EHV charges'!$D:$P,11,FALSE)),"")</f>
        <v>2299.9299999999998</v>
      </c>
      <c r="G32" s="207">
        <f>IFERROR(IF(VLOOKUP($A32,'Annex 2 Designated EHV charges'!$D:$P,12,FALSE)=0,"",VLOOKUP($A32,'Annex 2 Designated EHV charges'!$D:$P,12,FALSE)),"")</f>
        <v>0.05</v>
      </c>
      <c r="H32" s="207">
        <f>IFERROR(IF(VLOOKUP($A32,'Annex 2 Designated EHV charges'!$D:$P,13,FALSE)=0,"",VLOOKUP($A32,'Annex 2 Designated EHV charges'!$D:$P,13,FALSE)),"")</f>
        <v>0.05</v>
      </c>
    </row>
    <row r="33" spans="1:8" ht="12.75" customHeight="1" x14ac:dyDescent="0.35">
      <c r="A33" s="95" t="str" cm="1">
        <f t="array" ref="A33">IFERROR(INDEX('Annex 2 Designated EHV charges'!$D$10:$D$200, MATCH(0, IF(ISBLANK('Annex 2 Designated EHV charges'!$D$10:$D$200),1, COUNTIF(A$4:$A32, 'Annex 2 Designated EHV charges'!$D$10:$D$200)), 0)),"")</f>
        <v>HADLOW</v>
      </c>
      <c r="B33" s="94">
        <f>IF($A33="","",VLOOKUP($A33,'Annex 2 Designated EHV charges'!$D:$O,2,0))</f>
        <v>744</v>
      </c>
      <c r="C33" s="95">
        <f>IF($A33="","",VLOOKUP($A33,'Annex 2 Designated EHV charges'!$D:$O,3,0))</f>
        <v>1900091217052</v>
      </c>
      <c r="D33" s="94" t="str">
        <f>IF($A33="","",VLOOKUP($A33,'Annex 2 Designated EHV charges'!$D:$O,4,0))</f>
        <v>HADLOW</v>
      </c>
      <c r="E33" s="96" t="str">
        <f>IFERROR(IF(VLOOKUP($A33,'Annex 2 Designated EHV charges'!$D:$P,10,FALSE)=0,"",VLOOKUP($A33,'Annex 2 Designated EHV charges'!$D:$P,10,FALSE)),"")</f>
        <v/>
      </c>
      <c r="F33" s="207">
        <f>IFERROR(IF(VLOOKUP($A33,'Annex 2 Designated EHV charges'!$D:$P,11,FALSE)=0,"",VLOOKUP($A33,'Annex 2 Designated EHV charges'!$D:$P,11,FALSE)),"")</f>
        <v>989.65</v>
      </c>
      <c r="G33" s="207">
        <f>IFERROR(IF(VLOOKUP($A33,'Annex 2 Designated EHV charges'!$D:$P,12,FALSE)=0,"",VLOOKUP($A33,'Annex 2 Designated EHV charges'!$D:$P,12,FALSE)),"")</f>
        <v>0.05</v>
      </c>
      <c r="H33" s="207">
        <f>IFERROR(IF(VLOOKUP($A33,'Annex 2 Designated EHV charges'!$D:$P,13,FALSE)=0,"",VLOOKUP($A33,'Annex 2 Designated EHV charges'!$D:$P,13,FALSE)),"")</f>
        <v>0.05</v>
      </c>
    </row>
    <row r="34" spans="1:8" ht="12.75" customHeight="1" x14ac:dyDescent="0.35">
      <c r="A34" s="95" t="str" cm="1">
        <f t="array" ref="A34">IFERROR(INDEX('Annex 2 Designated EHV charges'!$D$10:$D$200, MATCH(0, IF(ISBLANK('Annex 2 Designated EHV charges'!$D$10:$D$200),1, COUNTIF(A$4:$A33, 'Annex 2 Designated EHV charges'!$D$10:$D$200)), 0)),"")</f>
        <v>HANSTA</v>
      </c>
      <c r="B34" s="94">
        <f>IF($A34="","",VLOOKUP($A34,'Annex 2 Designated EHV charges'!$D:$O,2,0))</f>
        <v>728</v>
      </c>
      <c r="C34" s="95" t="str">
        <f>IF($A34="","",VLOOKUP($A34,'Annex 2 Designated EHV charges'!$D:$O,3,0))</f>
        <v>1900060442174;1900060512032</v>
      </c>
      <c r="D34" s="94" t="str">
        <f>IF($A34="","",VLOOKUP($A34,'Annex 2 Designated EHV charges'!$D:$O,4,0))</f>
        <v>HANSTA</v>
      </c>
      <c r="E34" s="96">
        <f>IFERROR(IF(VLOOKUP($A34,'Annex 2 Designated EHV charges'!$D:$P,10,FALSE)=0,"",VLOOKUP($A34,'Annex 2 Designated EHV charges'!$D:$P,10,FALSE)),"")</f>
        <v>-3.9860000000000002</v>
      </c>
      <c r="F34" s="207">
        <f>IFERROR(IF(VLOOKUP($A34,'Annex 2 Designated EHV charges'!$D:$P,11,FALSE)=0,"",VLOOKUP($A34,'Annex 2 Designated EHV charges'!$D:$P,11,FALSE)),"")</f>
        <v>119.94</v>
      </c>
      <c r="G34" s="207">
        <f>IFERROR(IF(VLOOKUP($A34,'Annex 2 Designated EHV charges'!$D:$P,12,FALSE)=0,"",VLOOKUP($A34,'Annex 2 Designated EHV charges'!$D:$P,12,FALSE)),"")</f>
        <v>0.05</v>
      </c>
      <c r="H34" s="207">
        <f>IFERROR(IF(VLOOKUP($A34,'Annex 2 Designated EHV charges'!$D:$P,13,FALSE)=0,"",VLOOKUP($A34,'Annex 2 Designated EHV charges'!$D:$P,13,FALSE)),"")</f>
        <v>0.05</v>
      </c>
    </row>
    <row r="35" spans="1:8" ht="12.75" customHeight="1" x14ac:dyDescent="0.35">
      <c r="A35" s="95" t="str" cm="1">
        <f t="array" ref="A35">IFERROR(INDEX('Annex 2 Designated EHV charges'!$D$10:$D$200, MATCH(0, IF(ISBLANK('Annex 2 Designated EHV charges'!$D$10:$D$200),1, COUNTIF(A$4:$A34, 'Annex 2 Designated EHV charges'!$D$10:$D$200)), 0)),"")</f>
        <v>HLLMBY</v>
      </c>
      <c r="B35" s="94">
        <f>IF($A35="","",VLOOKUP($A35,'Annex 2 Designated EHV charges'!$D:$O,2,0))</f>
        <v>745</v>
      </c>
      <c r="C35" s="95">
        <f>IF($A35="","",VLOOKUP($A35,'Annex 2 Designated EHV charges'!$D:$O,3,0))</f>
        <v>1900091217080</v>
      </c>
      <c r="D35" s="94" t="str">
        <f>IF($A35="","",VLOOKUP($A35,'Annex 2 Designated EHV charges'!$D:$O,4,0))</f>
        <v>HLLMBY</v>
      </c>
      <c r="E35" s="96" t="str">
        <f>IFERROR(IF(VLOOKUP($A35,'Annex 2 Designated EHV charges'!$D:$P,10,FALSE)=0,"",VLOOKUP($A35,'Annex 2 Designated EHV charges'!$D:$P,10,FALSE)),"")</f>
        <v/>
      </c>
      <c r="F35" s="207">
        <f>IFERROR(IF(VLOOKUP($A35,'Annex 2 Designated EHV charges'!$D:$P,11,FALSE)=0,"",VLOOKUP($A35,'Annex 2 Designated EHV charges'!$D:$P,11,FALSE)),"")</f>
        <v>1203.5999999999999</v>
      </c>
      <c r="G35" s="207">
        <f>IFERROR(IF(VLOOKUP($A35,'Annex 2 Designated EHV charges'!$D:$P,12,FALSE)=0,"",VLOOKUP($A35,'Annex 2 Designated EHV charges'!$D:$P,12,FALSE)),"")</f>
        <v>0.05</v>
      </c>
      <c r="H35" s="207">
        <f>IFERROR(IF(VLOOKUP($A35,'Annex 2 Designated EHV charges'!$D:$P,13,FALSE)=0,"",VLOOKUP($A35,'Annex 2 Designated EHV charges'!$D:$P,13,FALSE)),"")</f>
        <v>0.05</v>
      </c>
    </row>
    <row r="36" spans="1:8" ht="12.75" customHeight="1" x14ac:dyDescent="0.35">
      <c r="A36" s="95" t="str" cm="1">
        <f t="array" ref="A36">IFERROR(INDEX('Annex 2 Designated EHV charges'!$D$10:$D$200, MATCH(0, IF(ISBLANK('Annex 2 Designated EHV charges'!$D$10:$D$200),1, COUNTIF(A$4:$A35, 'Annex 2 Designated EHV charges'!$D$10:$D$200)), 0)),"")</f>
        <v>HORAMS</v>
      </c>
      <c r="B36" s="94">
        <f>IF($A36="","",VLOOKUP($A36,'Annex 2 Designated EHV charges'!$D:$O,2,0))</f>
        <v>701</v>
      </c>
      <c r="C36" s="95">
        <f>IF($A36="","",VLOOKUP($A36,'Annex 2 Designated EHV charges'!$D:$O,3,0))</f>
        <v>1900091200077</v>
      </c>
      <c r="D36" s="94" t="str">
        <f>IF($A36="","",VLOOKUP($A36,'Annex 2 Designated EHV charges'!$D:$O,4,0))</f>
        <v>HORAMS</v>
      </c>
      <c r="E36" s="96" t="str">
        <f>IFERROR(IF(VLOOKUP($A36,'Annex 2 Designated EHV charges'!$D:$P,10,FALSE)=0,"",VLOOKUP($A36,'Annex 2 Designated EHV charges'!$D:$P,10,FALSE)),"")</f>
        <v/>
      </c>
      <c r="F36" s="207">
        <f>IFERROR(IF(VLOOKUP($A36,'Annex 2 Designated EHV charges'!$D:$P,11,FALSE)=0,"",VLOOKUP($A36,'Annex 2 Designated EHV charges'!$D:$P,11,FALSE)),"")</f>
        <v>2629.84</v>
      </c>
      <c r="G36" s="207">
        <f>IFERROR(IF(VLOOKUP($A36,'Annex 2 Designated EHV charges'!$D:$P,12,FALSE)=0,"",VLOOKUP($A36,'Annex 2 Designated EHV charges'!$D:$P,12,FALSE)),"")</f>
        <v>0.05</v>
      </c>
      <c r="H36" s="207">
        <f>IFERROR(IF(VLOOKUP($A36,'Annex 2 Designated EHV charges'!$D:$P,13,FALSE)=0,"",VLOOKUP($A36,'Annex 2 Designated EHV charges'!$D:$P,13,FALSE)),"")</f>
        <v>0.05</v>
      </c>
    </row>
    <row r="37" spans="1:8" ht="12.75" customHeight="1" x14ac:dyDescent="0.35">
      <c r="A37" s="95" t="str" cm="1">
        <f t="array" ref="A37">IFERROR(INDEX('Annex 2 Designated EHV charges'!$D$10:$D$200, MATCH(0, IF(ISBLANK('Annex 2 Designated EHV charges'!$D$10:$D$200),1, COUNTIF(A$4:$A36, 'Annex 2 Designated EHV charges'!$D$10:$D$200)), 0)),"")</f>
        <v>KENTI2</v>
      </c>
      <c r="B37" s="94">
        <f>IF($A37="","",VLOOKUP($A37,'Annex 2 Designated EHV charges'!$D:$O,2,0))</f>
        <v>746</v>
      </c>
      <c r="C37" s="95">
        <f>IF($A37="","",VLOOKUP($A37,'Annex 2 Designated EHV charges'!$D:$O,3,0))</f>
        <v>1900091199528</v>
      </c>
      <c r="D37" s="94" t="str">
        <f>IF($A37="","",VLOOKUP($A37,'Annex 2 Designated EHV charges'!$D:$O,4,0))</f>
        <v>KENTI2</v>
      </c>
      <c r="E37" s="96" t="str">
        <f>IFERROR(IF(VLOOKUP($A37,'Annex 2 Designated EHV charges'!$D:$P,10,FALSE)=0,"",VLOOKUP($A37,'Annex 2 Designated EHV charges'!$D:$P,10,FALSE)),"")</f>
        <v/>
      </c>
      <c r="F37" s="207">
        <f>IFERROR(IF(VLOOKUP($A37,'Annex 2 Designated EHV charges'!$D:$P,11,FALSE)=0,"",VLOOKUP($A37,'Annex 2 Designated EHV charges'!$D:$P,11,FALSE)),"")</f>
        <v>434.05</v>
      </c>
      <c r="G37" s="207">
        <f>IFERROR(IF(VLOOKUP($A37,'Annex 2 Designated EHV charges'!$D:$P,12,FALSE)=0,"",VLOOKUP($A37,'Annex 2 Designated EHV charges'!$D:$P,12,FALSE)),"")</f>
        <v>0.05</v>
      </c>
      <c r="H37" s="207">
        <f>IFERROR(IF(VLOOKUP($A37,'Annex 2 Designated EHV charges'!$D:$P,13,FALSE)=0,"",VLOOKUP($A37,'Annex 2 Designated EHV charges'!$D:$P,13,FALSE)),"")</f>
        <v>0.05</v>
      </c>
    </row>
    <row r="38" spans="1:8" ht="12.75" customHeight="1" x14ac:dyDescent="0.35">
      <c r="A38" s="95" t="str" cm="1">
        <f t="array" ref="A38">IFERROR(INDEX('Annex 2 Designated EHV charges'!$D$10:$D$200, MATCH(0, IF(ISBLANK('Annex 2 Designated EHV charges'!$D$10:$D$200),1, COUNTIF(A$4:$A37, 'Annex 2 Designated EHV charges'!$D$10:$D$200)), 0)),"")</f>
        <v>KENTIS</v>
      </c>
      <c r="B38" s="94">
        <f>IF($A38="","",VLOOKUP($A38,'Annex 2 Designated EHV charges'!$D:$O,2,0))</f>
        <v>722</v>
      </c>
      <c r="C38" s="95">
        <f>IF($A38="","",VLOOKUP($A38,'Annex 2 Designated EHV charges'!$D:$O,3,0))</f>
        <v>1900070122343</v>
      </c>
      <c r="D38" s="94" t="str">
        <f>IF($A38="","",VLOOKUP($A38,'Annex 2 Designated EHV charges'!$D:$O,4,0))</f>
        <v>KENTIS</v>
      </c>
      <c r="E38" s="96" t="str">
        <f>IFERROR(IF(VLOOKUP($A38,'Annex 2 Designated EHV charges'!$D:$P,10,FALSE)=0,"",VLOOKUP($A38,'Annex 2 Designated EHV charges'!$D:$P,10,FALSE)),"")</f>
        <v/>
      </c>
      <c r="F38" s="207" t="str">
        <f>IFERROR(IF(VLOOKUP($A38,'Annex 2 Designated EHV charges'!$D:$P,11,FALSE)=0,"",VLOOKUP($A38,'Annex 2 Designated EHV charges'!$D:$P,11,FALSE)),"")</f>
        <v/>
      </c>
      <c r="G38" s="207" t="str">
        <f>IFERROR(IF(VLOOKUP($A38,'Annex 2 Designated EHV charges'!$D:$P,12,FALSE)=0,"",VLOOKUP($A38,'Annex 2 Designated EHV charges'!$D:$P,12,FALSE)),"")</f>
        <v/>
      </c>
      <c r="H38" s="207" t="str">
        <f>IFERROR(IF(VLOOKUP($A38,'Annex 2 Designated EHV charges'!$D:$P,13,FALSE)=0,"",VLOOKUP($A38,'Annex 2 Designated EHV charges'!$D:$P,13,FALSE)),"")</f>
        <v/>
      </c>
    </row>
    <row r="39" spans="1:8" ht="12.75" customHeight="1" x14ac:dyDescent="0.35">
      <c r="A39" s="95" t="str" cm="1">
        <f t="array" ref="A39">IFERROR(INDEX('Annex 2 Designated EHV charges'!$D$10:$D$200, MATCH(0, IF(ISBLANK('Annex 2 Designated EHV charges'!$D$10:$D$200),1, COUNTIF(A$4:$A38, 'Annex 2 Designated EHV charges'!$D$10:$D$200)), 0)),"")</f>
        <v>KM3CHP</v>
      </c>
      <c r="B39" s="94">
        <f>IF($A39="","",VLOOKUP($A39,'Annex 2 Designated EHV charges'!$D:$O,2,0))</f>
        <v>699</v>
      </c>
      <c r="C39" s="95">
        <f>IF($A39="","",VLOOKUP($A39,'Annex 2 Designated EHV charges'!$D:$O,3,0))</f>
        <v>1900091669739</v>
      </c>
      <c r="D39" s="94" t="str">
        <f>IF($A39="","",VLOOKUP($A39,'Annex 2 Designated EHV charges'!$D:$O,4,0))</f>
        <v>KM3CHP</v>
      </c>
      <c r="E39" s="96">
        <f>IFERROR(IF(VLOOKUP($A39,'Annex 2 Designated EHV charges'!$D:$P,10,FALSE)=0,"",VLOOKUP($A39,'Annex 2 Designated EHV charges'!$D:$P,10,FALSE)),"")</f>
        <v>-3.0000000000000001E-3</v>
      </c>
      <c r="F39" s="207">
        <f>IFERROR(IF(VLOOKUP($A39,'Annex 2 Designated EHV charges'!$D:$P,11,FALSE)=0,"",VLOOKUP($A39,'Annex 2 Designated EHV charges'!$D:$P,11,FALSE)),"")</f>
        <v>3227.05</v>
      </c>
      <c r="G39" s="207">
        <f>IFERROR(IF(VLOOKUP($A39,'Annex 2 Designated EHV charges'!$D:$P,12,FALSE)=0,"",VLOOKUP($A39,'Annex 2 Designated EHV charges'!$D:$P,12,FALSE)),"")</f>
        <v>0.05</v>
      </c>
      <c r="H39" s="207">
        <f>IFERROR(IF(VLOOKUP($A39,'Annex 2 Designated EHV charges'!$D:$P,13,FALSE)=0,"",VLOOKUP($A39,'Annex 2 Designated EHV charges'!$D:$P,13,FALSE)),"")</f>
        <v>0.05</v>
      </c>
    </row>
    <row r="40" spans="1:8" ht="12.75" customHeight="1" x14ac:dyDescent="0.35">
      <c r="A40" s="95" t="str" cm="1">
        <f t="array" ref="A40">IFERROR(INDEX('Annex 2 Designated EHV charges'!$D$10:$D$200, MATCH(0, IF(ISBLANK('Annex 2 Designated EHV charges'!$D$10:$D$200),1, COUNTIF(A$4:$A39, 'Annex 2 Designated EHV charges'!$D$10:$D$200)), 0)),"")</f>
        <v>KNTSFM</v>
      </c>
      <c r="B40" s="94">
        <f>IF($A40="","",VLOOKUP($A40,'Annex 2 Designated EHV charges'!$D:$O,2,0))</f>
        <v>0</v>
      </c>
      <c r="C40" s="95" t="str">
        <f>IF($A40="","",VLOOKUP($A40,'Annex 2 Designated EHV charges'!$D:$O,3,0))</f>
        <v>MSID: 7436</v>
      </c>
      <c r="D40" s="94" t="str">
        <f>IF($A40="","",VLOOKUP($A40,'Annex 2 Designated EHV charges'!$D:$O,4,0))</f>
        <v>KNTSFM</v>
      </c>
      <c r="E40" s="96">
        <f>IFERROR(IF(VLOOKUP($A40,'Annex 2 Designated EHV charges'!$D:$P,10,FALSE)=0,"",VLOOKUP($A40,'Annex 2 Designated EHV charges'!$D:$P,10,FALSE)),"")</f>
        <v>-0.96699999999999997</v>
      </c>
      <c r="F40" s="207">
        <f>IFERROR(IF(VLOOKUP($A40,'Annex 2 Designated EHV charges'!$D:$P,11,FALSE)=0,"",VLOOKUP($A40,'Annex 2 Designated EHV charges'!$D:$P,11,FALSE)),"")</f>
        <v>1231.69</v>
      </c>
      <c r="G40" s="207">
        <f>IFERROR(IF(VLOOKUP($A40,'Annex 2 Designated EHV charges'!$D:$P,12,FALSE)=0,"",VLOOKUP($A40,'Annex 2 Designated EHV charges'!$D:$P,12,FALSE)),"")</f>
        <v>0.05</v>
      </c>
      <c r="H40" s="207">
        <f>IFERROR(IF(VLOOKUP($A40,'Annex 2 Designated EHV charges'!$D:$P,13,FALSE)=0,"",VLOOKUP($A40,'Annex 2 Designated EHV charges'!$D:$P,13,FALSE)),"")</f>
        <v>0.05</v>
      </c>
    </row>
    <row r="41" spans="1:8" ht="12.75" customHeight="1" x14ac:dyDescent="0.35">
      <c r="A41" s="95" t="str" cm="1">
        <f t="array" ref="A41">IFERROR(INDEX('Annex 2 Designated EHV charges'!$D$10:$D$200, MATCH(0, IF(ISBLANK('Annex 2 Designated EHV charges'!$D$10:$D$200),1, COUNTIF(A$4:$A40, 'Annex 2 Designated EHV charges'!$D$10:$D$200)), 0)),"")</f>
        <v>KNWLTN</v>
      </c>
      <c r="B41" s="94">
        <f>IF($A41="","",VLOOKUP($A41,'Annex 2 Designated EHV charges'!$D:$O,2,0))</f>
        <v>735</v>
      </c>
      <c r="C41" s="95">
        <f>IF($A41="","",VLOOKUP($A41,'Annex 2 Designated EHV charges'!$D:$O,3,0))</f>
        <v>1900091091940</v>
      </c>
      <c r="D41" s="94" t="str">
        <f>IF($A41="","",VLOOKUP($A41,'Annex 2 Designated EHV charges'!$D:$O,4,0))</f>
        <v>KNWLTN</v>
      </c>
      <c r="E41" s="96" t="str">
        <f>IFERROR(IF(VLOOKUP($A41,'Annex 2 Designated EHV charges'!$D:$P,10,FALSE)=0,"",VLOOKUP($A41,'Annex 2 Designated EHV charges'!$D:$P,10,FALSE)),"")</f>
        <v/>
      </c>
      <c r="F41" s="207">
        <f>IFERROR(IF(VLOOKUP($A41,'Annex 2 Designated EHV charges'!$D:$P,11,FALSE)=0,"",VLOOKUP($A41,'Annex 2 Designated EHV charges'!$D:$P,11,FALSE)),"")</f>
        <v>1928.09</v>
      </c>
      <c r="G41" s="207">
        <f>IFERROR(IF(VLOOKUP($A41,'Annex 2 Designated EHV charges'!$D:$P,12,FALSE)=0,"",VLOOKUP($A41,'Annex 2 Designated EHV charges'!$D:$P,12,FALSE)),"")</f>
        <v>0.05</v>
      </c>
      <c r="H41" s="207">
        <f>IFERROR(IF(VLOOKUP($A41,'Annex 2 Designated EHV charges'!$D:$P,13,FALSE)=0,"",VLOOKUP($A41,'Annex 2 Designated EHV charges'!$D:$P,13,FALSE)),"")</f>
        <v>0.05</v>
      </c>
    </row>
    <row r="42" spans="1:8" ht="12.75" customHeight="1" x14ac:dyDescent="0.35">
      <c r="A42" s="95" t="str" cm="1">
        <f t="array" ref="A42">IFERROR(INDEX('Annex 2 Designated EHV charges'!$D$10:$D$200, MATCH(0, IF(ISBLANK('Annex 2 Designated EHV charges'!$D$10:$D$200),1, COUNTIF(A$4:$A41, 'Annex 2 Designated EHV charges'!$D$10:$D$200)), 0)),"")</f>
        <v>LBOURN</v>
      </c>
      <c r="B42" s="94">
        <f>IF($A42="","",VLOOKUP($A42,'Annex 2 Designated EHV charges'!$D:$O,2,0))</f>
        <v>747</v>
      </c>
      <c r="C42" s="95">
        <f>IF($A42="","",VLOOKUP($A42,'Annex 2 Designated EHV charges'!$D:$O,3,0))</f>
        <v>1900091171276</v>
      </c>
      <c r="D42" s="94" t="str">
        <f>IF($A42="","",VLOOKUP($A42,'Annex 2 Designated EHV charges'!$D:$O,4,0))</f>
        <v>LBOURN</v>
      </c>
      <c r="E42" s="96" t="str">
        <f>IFERROR(IF(VLOOKUP($A42,'Annex 2 Designated EHV charges'!$D:$P,10,FALSE)=0,"",VLOOKUP($A42,'Annex 2 Designated EHV charges'!$D:$P,10,FALSE)),"")</f>
        <v/>
      </c>
      <c r="F42" s="207">
        <f>IFERROR(IF(VLOOKUP($A42,'Annex 2 Designated EHV charges'!$D:$P,11,FALSE)=0,"",VLOOKUP($A42,'Annex 2 Designated EHV charges'!$D:$P,11,FALSE)),"")</f>
        <v>914.07</v>
      </c>
      <c r="G42" s="207">
        <f>IFERROR(IF(VLOOKUP($A42,'Annex 2 Designated EHV charges'!$D:$P,12,FALSE)=0,"",VLOOKUP($A42,'Annex 2 Designated EHV charges'!$D:$P,12,FALSE)),"")</f>
        <v>0.05</v>
      </c>
      <c r="H42" s="207">
        <f>IFERROR(IF(VLOOKUP($A42,'Annex 2 Designated EHV charges'!$D:$P,13,FALSE)=0,"",VLOOKUP($A42,'Annex 2 Designated EHV charges'!$D:$P,13,FALSE)),"")</f>
        <v>0.05</v>
      </c>
    </row>
    <row r="43" spans="1:8" ht="12.75" customHeight="1" x14ac:dyDescent="0.35">
      <c r="A43" s="95" t="str" cm="1">
        <f t="array" ref="A43">IFERROR(INDEX('Annex 2 Designated EHV charges'!$D$10:$D$200, MATCH(0, IF(ISBLANK('Annex 2 Designated EHV charges'!$D$10:$D$200),1, COUNTIF(A$4:$A42, 'Annex 2 Designated EHV charges'!$D$10:$D$200)), 0)),"")</f>
        <v>LCHEYI</v>
      </c>
      <c r="B43" s="94">
        <f>IF($A43="","",VLOOKUP($A43,'Annex 2 Designated EHV charges'!$D:$O,2,0))</f>
        <v>721</v>
      </c>
      <c r="C43" s="95">
        <f>IF($A43="","",VLOOKUP($A43,'Annex 2 Designated EHV charges'!$D:$O,3,0))</f>
        <v>1900090194644</v>
      </c>
      <c r="D43" s="94" t="str">
        <f>IF($A43="","",VLOOKUP($A43,'Annex 2 Designated EHV charges'!$D:$O,4,0))</f>
        <v>LCHEYI</v>
      </c>
      <c r="E43" s="96" t="str">
        <f>IFERROR(IF(VLOOKUP($A43,'Annex 2 Designated EHV charges'!$D:$P,10,FALSE)=0,"",VLOOKUP($A43,'Annex 2 Designated EHV charges'!$D:$P,10,FALSE)),"")</f>
        <v/>
      </c>
      <c r="F43" s="207">
        <f>IFERROR(IF(VLOOKUP($A43,'Annex 2 Designated EHV charges'!$D:$P,11,FALSE)=0,"",VLOOKUP($A43,'Annex 2 Designated EHV charges'!$D:$P,11,FALSE)),"")</f>
        <v>1209.21</v>
      </c>
      <c r="G43" s="207">
        <f>IFERROR(IF(VLOOKUP($A43,'Annex 2 Designated EHV charges'!$D:$P,12,FALSE)=0,"",VLOOKUP($A43,'Annex 2 Designated EHV charges'!$D:$P,12,FALSE)),"")</f>
        <v>0.05</v>
      </c>
      <c r="H43" s="207">
        <f>IFERROR(IF(VLOOKUP($A43,'Annex 2 Designated EHV charges'!$D:$P,13,FALSE)=0,"",VLOOKUP($A43,'Annex 2 Designated EHV charges'!$D:$P,13,FALSE)),"")</f>
        <v>0.05</v>
      </c>
    </row>
    <row r="44" spans="1:8" ht="12.75" customHeight="1" x14ac:dyDescent="0.35">
      <c r="A44" s="95" t="str" cm="1">
        <f t="array" ref="A44">IFERROR(INDEX('Annex 2 Designated EHV charges'!$D$10:$D$200, MATCH(0, IF(ISBLANK('Annex 2 Designated EHV charges'!$D$10:$D$200),1, COUNTIF(A$4:$A43, 'Annex 2 Designated EHV charges'!$D$10:$D$200)), 0)),"")</f>
        <v>LENHAM</v>
      </c>
      <c r="B44" s="94">
        <f>IF($A44="","",VLOOKUP($A44,'Annex 2 Designated EHV charges'!$D:$O,2,0))</f>
        <v>736</v>
      </c>
      <c r="C44" s="95">
        <f>IF($A44="","",VLOOKUP($A44,'Annex 2 Designated EHV charges'!$D:$O,3,0))</f>
        <v>1900091081570</v>
      </c>
      <c r="D44" s="94" t="str">
        <f>IF($A44="","",VLOOKUP($A44,'Annex 2 Designated EHV charges'!$D:$O,4,0))</f>
        <v>LENHAM</v>
      </c>
      <c r="E44" s="96" t="str">
        <f>IFERROR(IF(VLOOKUP($A44,'Annex 2 Designated EHV charges'!$D:$P,10,FALSE)=0,"",VLOOKUP($A44,'Annex 2 Designated EHV charges'!$D:$P,10,FALSE)),"")</f>
        <v/>
      </c>
      <c r="F44" s="207">
        <f>IFERROR(IF(VLOOKUP($A44,'Annex 2 Designated EHV charges'!$D:$P,11,FALSE)=0,"",VLOOKUP($A44,'Annex 2 Designated EHV charges'!$D:$P,11,FALSE)),"")</f>
        <v>1929.2</v>
      </c>
      <c r="G44" s="207">
        <f>IFERROR(IF(VLOOKUP($A44,'Annex 2 Designated EHV charges'!$D:$P,12,FALSE)=0,"",VLOOKUP($A44,'Annex 2 Designated EHV charges'!$D:$P,12,FALSE)),"")</f>
        <v>0.05</v>
      </c>
      <c r="H44" s="207">
        <f>IFERROR(IF(VLOOKUP($A44,'Annex 2 Designated EHV charges'!$D:$P,13,FALSE)=0,"",VLOOKUP($A44,'Annex 2 Designated EHV charges'!$D:$P,13,FALSE)),"")</f>
        <v>0.05</v>
      </c>
    </row>
    <row r="45" spans="1:8" ht="12.75" customHeight="1" x14ac:dyDescent="0.35">
      <c r="A45" s="95" t="str" cm="1">
        <f t="array" ref="A45">IFERROR(INDEX('Annex 2 Designated EHV charges'!$D$10:$D$200, MATCH(0, IF(ISBLANK('Annex 2 Designated EHV charges'!$D$10:$D$200),1, COUNTIF(A$4:$A44, 'Annex 2 Designated EHV charges'!$D$10:$D$200)), 0)),"")</f>
        <v>LGHTON</v>
      </c>
      <c r="B45" s="94">
        <f>IF($A45="","",VLOOKUP($A45,'Annex 2 Designated EHV charges'!$D:$O,2,0))</f>
        <v>748</v>
      </c>
      <c r="C45" s="95">
        <f>IF($A45="","",VLOOKUP($A45,'Annex 2 Designated EHV charges'!$D:$O,3,0))</f>
        <v>1900091200147</v>
      </c>
      <c r="D45" s="94" t="str">
        <f>IF($A45="","",VLOOKUP($A45,'Annex 2 Designated EHV charges'!$D:$O,4,0))</f>
        <v>LGHTON</v>
      </c>
      <c r="E45" s="96" t="str">
        <f>IFERROR(IF(VLOOKUP($A45,'Annex 2 Designated EHV charges'!$D:$P,10,FALSE)=0,"",VLOOKUP($A45,'Annex 2 Designated EHV charges'!$D:$P,10,FALSE)),"")</f>
        <v/>
      </c>
      <c r="F45" s="207">
        <f>IFERROR(IF(VLOOKUP($A45,'Annex 2 Designated EHV charges'!$D:$P,11,FALSE)=0,"",VLOOKUP($A45,'Annex 2 Designated EHV charges'!$D:$P,11,FALSE)),"")</f>
        <v>1077.53</v>
      </c>
      <c r="G45" s="207">
        <f>IFERROR(IF(VLOOKUP($A45,'Annex 2 Designated EHV charges'!$D:$P,12,FALSE)=0,"",VLOOKUP($A45,'Annex 2 Designated EHV charges'!$D:$P,12,FALSE)),"")</f>
        <v>0.05</v>
      </c>
      <c r="H45" s="207">
        <f>IFERROR(IF(VLOOKUP($A45,'Annex 2 Designated EHV charges'!$D:$P,13,FALSE)=0,"",VLOOKUP($A45,'Annex 2 Designated EHV charges'!$D:$P,13,FALSE)),"")</f>
        <v>0.05</v>
      </c>
    </row>
    <row r="46" spans="1:8" ht="12.75" customHeight="1" x14ac:dyDescent="0.35">
      <c r="A46" s="95" t="str" cm="1">
        <f t="array" ref="A46">IFERROR(INDEX('Annex 2 Designated EHV charges'!$D$10:$D$200, MATCH(0, IF(ISBLANK('Annex 2 Designated EHV charges'!$D$10:$D$200),1, COUNTIF(A$4:$A45, 'Annex 2 Designated EHV charges'!$D$10:$D$200)), 0)),"")</f>
        <v>MARSHB</v>
      </c>
      <c r="B46" s="94">
        <f>IF($A46="","",VLOOKUP($A46,'Annex 2 Designated EHV charges'!$D:$O,2,0))</f>
        <v>709</v>
      </c>
      <c r="C46" s="95">
        <f>IF($A46="","",VLOOKUP($A46,'Annex 2 Designated EHV charges'!$D:$O,3,0))</f>
        <v>1900091310601</v>
      </c>
      <c r="D46" s="94" t="str">
        <f>IF($A46="","",VLOOKUP($A46,'Annex 2 Designated EHV charges'!$D:$O,4,0))</f>
        <v>MARSHB</v>
      </c>
      <c r="E46" s="96" t="str">
        <f>IFERROR(IF(VLOOKUP($A46,'Annex 2 Designated EHV charges'!$D:$P,10,FALSE)=0,"",VLOOKUP($A46,'Annex 2 Designated EHV charges'!$D:$P,10,FALSE)),"")</f>
        <v/>
      </c>
      <c r="F46" s="207">
        <f>IFERROR(IF(VLOOKUP($A46,'Annex 2 Designated EHV charges'!$D:$P,11,FALSE)=0,"",VLOOKUP($A46,'Annex 2 Designated EHV charges'!$D:$P,11,FALSE)),"")</f>
        <v>1173.8599999999999</v>
      </c>
      <c r="G46" s="207">
        <f>IFERROR(IF(VLOOKUP($A46,'Annex 2 Designated EHV charges'!$D:$P,12,FALSE)=0,"",VLOOKUP($A46,'Annex 2 Designated EHV charges'!$D:$P,12,FALSE)),"")</f>
        <v>0.05</v>
      </c>
      <c r="H46" s="207">
        <f>IFERROR(IF(VLOOKUP($A46,'Annex 2 Designated EHV charges'!$D:$P,13,FALSE)=0,"",VLOOKUP($A46,'Annex 2 Designated EHV charges'!$D:$P,13,FALSE)),"")</f>
        <v>0.05</v>
      </c>
    </row>
    <row r="47" spans="1:8" ht="12.75" customHeight="1" x14ac:dyDescent="0.35">
      <c r="A47" s="95" t="str" cm="1">
        <f t="array" ref="A47">IFERROR(INDEX('Annex 2 Designated EHV charges'!$D$10:$D$200, MATCH(0, IF(ISBLANK('Annex 2 Designated EHV charges'!$D$10:$D$200),1, COUNTIF(A$4:$A46, 'Annex 2 Designated EHV charges'!$D$10:$D$200)), 0)),"")</f>
        <v>MLEHLL</v>
      </c>
      <c r="B47" s="94">
        <f>IF($A47="","",VLOOKUP($A47,'Annex 2 Designated EHV charges'!$D:$O,2,0))</f>
        <v>751</v>
      </c>
      <c r="C47" s="95">
        <f>IF($A47="","",VLOOKUP($A47,'Annex 2 Designated EHV charges'!$D:$O,3,0))</f>
        <v>1900091183411</v>
      </c>
      <c r="D47" s="94" t="str">
        <f>IF($A47="","",VLOOKUP($A47,'Annex 2 Designated EHV charges'!$D:$O,4,0))</f>
        <v>MLEHLL</v>
      </c>
      <c r="E47" s="96" t="str">
        <f>IFERROR(IF(VLOOKUP($A47,'Annex 2 Designated EHV charges'!$D:$P,10,FALSE)=0,"",VLOOKUP($A47,'Annex 2 Designated EHV charges'!$D:$P,10,FALSE)),"")</f>
        <v/>
      </c>
      <c r="F47" s="207">
        <f>IFERROR(IF(VLOOKUP($A47,'Annex 2 Designated EHV charges'!$D:$P,11,FALSE)=0,"",VLOOKUP($A47,'Annex 2 Designated EHV charges'!$D:$P,11,FALSE)),"")</f>
        <v>442.27</v>
      </c>
      <c r="G47" s="207">
        <f>IFERROR(IF(VLOOKUP($A47,'Annex 2 Designated EHV charges'!$D:$P,12,FALSE)=0,"",VLOOKUP($A47,'Annex 2 Designated EHV charges'!$D:$P,12,FALSE)),"")</f>
        <v>0.05</v>
      </c>
      <c r="H47" s="207">
        <f>IFERROR(IF(VLOOKUP($A47,'Annex 2 Designated EHV charges'!$D:$P,13,FALSE)=0,"",VLOOKUP($A47,'Annex 2 Designated EHV charges'!$D:$P,13,FALSE)),"")</f>
        <v>0.05</v>
      </c>
    </row>
    <row r="48" spans="1:8" ht="12.75" customHeight="1" x14ac:dyDescent="0.35">
      <c r="A48" s="95" t="str" cm="1">
        <f t="array" ref="A48">IFERROR(INDEX('Annex 2 Designated EHV charges'!$D$10:$D$200, MATCH(0, IF(ISBLANK('Annex 2 Designated EHV charges'!$D$10:$D$200),1, COUNTIF(A$4:$A47, 'Annex 2 Designated EHV charges'!$D$10:$D$200)), 0)),"")</f>
        <v>MLMAYN</v>
      </c>
      <c r="B48" s="94">
        <f>IF($A48="","",VLOOKUP($A48,'Annex 2 Designated EHV charges'!$D:$O,2,0))</f>
        <v>749</v>
      </c>
      <c r="C48" s="95">
        <f>IF($A48="","",VLOOKUP($A48,'Annex 2 Designated EHV charges'!$D:$O,3,0))</f>
        <v>1900091079232</v>
      </c>
      <c r="D48" s="94" t="str">
        <f>IF($A48="","",VLOOKUP($A48,'Annex 2 Designated EHV charges'!$D:$O,4,0))</f>
        <v>MLMAYN</v>
      </c>
      <c r="E48" s="96" t="str">
        <f>IFERROR(IF(VLOOKUP($A48,'Annex 2 Designated EHV charges'!$D:$P,10,FALSE)=0,"",VLOOKUP($A48,'Annex 2 Designated EHV charges'!$D:$P,10,FALSE)),"")</f>
        <v/>
      </c>
      <c r="F48" s="207">
        <f>IFERROR(IF(VLOOKUP($A48,'Annex 2 Designated EHV charges'!$D:$P,11,FALSE)=0,"",VLOOKUP($A48,'Annex 2 Designated EHV charges'!$D:$P,11,FALSE)),"")</f>
        <v>955.85</v>
      </c>
      <c r="G48" s="207">
        <f>IFERROR(IF(VLOOKUP($A48,'Annex 2 Designated EHV charges'!$D:$P,12,FALSE)=0,"",VLOOKUP($A48,'Annex 2 Designated EHV charges'!$D:$P,12,FALSE)),"")</f>
        <v>0.05</v>
      </c>
      <c r="H48" s="207">
        <f>IFERROR(IF(VLOOKUP($A48,'Annex 2 Designated EHV charges'!$D:$P,13,FALSE)=0,"",VLOOKUP($A48,'Annex 2 Designated EHV charges'!$D:$P,13,FALSE)),"")</f>
        <v>0.05</v>
      </c>
    </row>
    <row r="49" spans="1:8" ht="12.75" customHeight="1" x14ac:dyDescent="0.35">
      <c r="A49" s="95" t="str" cm="1">
        <f t="array" ref="A49">IFERROR(INDEX('Annex 2 Designated EHV charges'!$D$10:$D$200, MATCH(0, IF(ISBLANK('Annex 2 Designated EHV charges'!$D$10:$D$200),1, COUNTIF(A$4:$A48, 'Annex 2 Designated EHV charges'!$D$10:$D$200)), 0)),"")</f>
        <v>MVVRID</v>
      </c>
      <c r="B49" s="94">
        <f>IF($A49="","",VLOOKUP($A49,'Annex 2 Designated EHV charges'!$D:$O,2,0))</f>
        <v>710</v>
      </c>
      <c r="C49" s="95">
        <f>IF($A49="","",VLOOKUP($A49,'Annex 2 Designated EHV charges'!$D:$O,3,0))</f>
        <v>1900091199147</v>
      </c>
      <c r="D49" s="94" t="str">
        <f>IF($A49="","",VLOOKUP($A49,'Annex 2 Designated EHV charges'!$D:$O,4,0))</f>
        <v>MVVRID</v>
      </c>
      <c r="E49" s="96" t="str">
        <f>IFERROR(IF(VLOOKUP($A49,'Annex 2 Designated EHV charges'!$D:$P,10,FALSE)=0,"",VLOOKUP($A49,'Annex 2 Designated EHV charges'!$D:$P,10,FALSE)),"")</f>
        <v/>
      </c>
      <c r="F49" s="207">
        <f>IFERROR(IF(VLOOKUP($A49,'Annex 2 Designated EHV charges'!$D:$P,11,FALSE)=0,"",VLOOKUP($A49,'Annex 2 Designated EHV charges'!$D:$P,11,FALSE)),"")</f>
        <v>12826.27</v>
      </c>
      <c r="G49" s="207">
        <f>IFERROR(IF(VLOOKUP($A49,'Annex 2 Designated EHV charges'!$D:$P,12,FALSE)=0,"",VLOOKUP($A49,'Annex 2 Designated EHV charges'!$D:$P,12,FALSE)),"")</f>
        <v>0.05</v>
      </c>
      <c r="H49" s="207">
        <f>IFERROR(IF(VLOOKUP($A49,'Annex 2 Designated EHV charges'!$D:$P,13,FALSE)=0,"",VLOOKUP($A49,'Annex 2 Designated EHV charges'!$D:$P,13,FALSE)),"")</f>
        <v>0.05</v>
      </c>
    </row>
    <row r="50" spans="1:8" ht="12.75" customHeight="1" x14ac:dyDescent="0.35">
      <c r="A50" s="95" t="str" cm="1">
        <f t="array" ref="A50">IFERROR(INDEX('Annex 2 Designated EHV charges'!$D$10:$D$200, MATCH(0, IF(ISBLANK('Annex 2 Designated EHV charges'!$D$10:$D$200),1, COUNTIF(A$4:$A49, 'Annex 2 Designated EHV charges'!$D$10:$D$200)), 0)),"")</f>
        <v>NEWHVN</v>
      </c>
      <c r="B50" s="94">
        <f>IF($A50="","",VLOOKUP($A50,'Annex 2 Designated EHV charges'!$D:$O,2,0))</f>
        <v>700</v>
      </c>
      <c r="C50" s="95">
        <f>IF($A50="","",VLOOKUP($A50,'Annex 2 Designated EHV charges'!$D:$O,3,0))</f>
        <v>1900090585005</v>
      </c>
      <c r="D50" s="94" t="str">
        <f>IF($A50="","",VLOOKUP($A50,'Annex 2 Designated EHV charges'!$D:$O,4,0))</f>
        <v>NEWHVN</v>
      </c>
      <c r="E50" s="96">
        <f>IFERROR(IF(VLOOKUP($A50,'Annex 2 Designated EHV charges'!$D:$P,10,FALSE)=0,"",VLOOKUP($A50,'Annex 2 Designated EHV charges'!$D:$P,10,FALSE)),"")</f>
        <v>-2.2839999999999998</v>
      </c>
      <c r="F50" s="207">
        <f>IFERROR(IF(VLOOKUP($A50,'Annex 2 Designated EHV charges'!$D:$P,11,FALSE)=0,"",VLOOKUP($A50,'Annex 2 Designated EHV charges'!$D:$P,11,FALSE)),"")</f>
        <v>390.08</v>
      </c>
      <c r="G50" s="207">
        <f>IFERROR(IF(VLOOKUP($A50,'Annex 2 Designated EHV charges'!$D:$P,12,FALSE)=0,"",VLOOKUP($A50,'Annex 2 Designated EHV charges'!$D:$P,12,FALSE)),"")</f>
        <v>0.05</v>
      </c>
      <c r="H50" s="207">
        <f>IFERROR(IF(VLOOKUP($A50,'Annex 2 Designated EHV charges'!$D:$P,13,FALSE)=0,"",VLOOKUP($A50,'Annex 2 Designated EHV charges'!$D:$P,13,FALSE)),"")</f>
        <v>0.05</v>
      </c>
    </row>
    <row r="51" spans="1:8" ht="12.75" customHeight="1" x14ac:dyDescent="0.35">
      <c r="A51" s="95" t="str" cm="1">
        <f t="array" ref="A51">IFERROR(INDEX('Annex 2 Designated EHV charges'!$D$10:$D$200, MATCH(0, IF(ISBLANK('Annex 2 Designated EHV charges'!$D$10:$D$200),1, COUNTIF(A$4:$A50, 'Annex 2 Designated EHV charges'!$D$10:$D$200)), 0)),"")</f>
        <v>NEWRID</v>
      </c>
      <c r="B51" s="94">
        <f>IF($A51="","",VLOOKUP($A51,'Annex 2 Designated EHV charges'!$D:$O,2,0))</f>
        <v>698</v>
      </c>
      <c r="C51" s="95">
        <f>IF($A51="","",VLOOKUP($A51,'Annex 2 Designated EHV charges'!$D:$O,3,0))</f>
        <v>1900091718322</v>
      </c>
      <c r="D51" s="94" t="str">
        <f>IF($A51="","",VLOOKUP($A51,'Annex 2 Designated EHV charges'!$D:$O,4,0))</f>
        <v>NEWRID</v>
      </c>
      <c r="E51" s="96" t="str">
        <f>IFERROR(IF(VLOOKUP($A51,'Annex 2 Designated EHV charges'!$D:$P,10,FALSE)=0,"",VLOOKUP($A51,'Annex 2 Designated EHV charges'!$D:$P,10,FALSE)),"")</f>
        <v/>
      </c>
      <c r="F51" s="207">
        <f>IFERROR(IF(VLOOKUP($A51,'Annex 2 Designated EHV charges'!$D:$P,11,FALSE)=0,"",VLOOKUP($A51,'Annex 2 Designated EHV charges'!$D:$P,11,FALSE)),"")</f>
        <v>2124.36</v>
      </c>
      <c r="G51" s="207">
        <f>IFERROR(IF(VLOOKUP($A51,'Annex 2 Designated EHV charges'!$D:$P,12,FALSE)=0,"",VLOOKUP($A51,'Annex 2 Designated EHV charges'!$D:$P,12,FALSE)),"")</f>
        <v>0.05</v>
      </c>
      <c r="H51" s="207">
        <f>IFERROR(IF(VLOOKUP($A51,'Annex 2 Designated EHV charges'!$D:$P,13,FALSE)=0,"",VLOOKUP($A51,'Annex 2 Designated EHV charges'!$D:$P,13,FALSE)),"")</f>
        <v>0.05</v>
      </c>
    </row>
    <row r="52" spans="1:8" ht="12.75" customHeight="1" x14ac:dyDescent="0.35">
      <c r="A52" s="95" t="str" cm="1">
        <f t="array" ref="A52">IFERROR(INDEX('Annex 2 Designated EHV charges'!$D$10:$D$200, MATCH(0, IF(ISBLANK('Annex 2 Designated EHV charges'!$D$10:$D$200),1, COUNTIF(A$4:$A51, 'Annex 2 Designated EHV charges'!$D$10:$D$200)), 0)),"")</f>
        <v>OAKLND</v>
      </c>
      <c r="B52" s="94">
        <f>IF($A52="","",VLOOKUP($A52,'Annex 2 Designated EHV charges'!$D:$O,2,0))</f>
        <v>752</v>
      </c>
      <c r="C52" s="95">
        <f>IF($A52="","",VLOOKUP($A52,'Annex 2 Designated EHV charges'!$D:$O,3,0))</f>
        <v>1900091197423</v>
      </c>
      <c r="D52" s="94" t="str">
        <f>IF($A52="","",VLOOKUP($A52,'Annex 2 Designated EHV charges'!$D:$O,4,0))</f>
        <v>OAKLND</v>
      </c>
      <c r="E52" s="96" t="str">
        <f>IFERROR(IF(VLOOKUP($A52,'Annex 2 Designated EHV charges'!$D:$P,10,FALSE)=0,"",VLOOKUP($A52,'Annex 2 Designated EHV charges'!$D:$P,10,FALSE)),"")</f>
        <v/>
      </c>
      <c r="F52" s="207">
        <f>IFERROR(IF(VLOOKUP($A52,'Annex 2 Designated EHV charges'!$D:$P,11,FALSE)=0,"",VLOOKUP($A52,'Annex 2 Designated EHV charges'!$D:$P,11,FALSE)),"")</f>
        <v>893.54</v>
      </c>
      <c r="G52" s="207">
        <f>IFERROR(IF(VLOOKUP($A52,'Annex 2 Designated EHV charges'!$D:$P,12,FALSE)=0,"",VLOOKUP($A52,'Annex 2 Designated EHV charges'!$D:$P,12,FALSE)),"")</f>
        <v>0.05</v>
      </c>
      <c r="H52" s="207">
        <f>IFERROR(IF(VLOOKUP($A52,'Annex 2 Designated EHV charges'!$D:$P,13,FALSE)=0,"",VLOOKUP($A52,'Annex 2 Designated EHV charges'!$D:$P,13,FALSE)),"")</f>
        <v>0.05</v>
      </c>
    </row>
    <row r="53" spans="1:8" ht="12.75" customHeight="1" x14ac:dyDescent="0.35">
      <c r="A53" s="95" t="str" cm="1">
        <f t="array" ref="A53">IFERROR(INDEX('Annex 2 Designated EHV charges'!$D$10:$D$200, MATCH(0, IF(ISBLANK('Annex 2 Designated EHV charges'!$D$10:$D$200),1, COUNTIF(A$4:$A52, 'Annex 2 Designated EHV charges'!$D$10:$D$200)), 0)),"")</f>
        <v>OLDRSF</v>
      </c>
      <c r="B53" s="94">
        <f>IF($A53="","",VLOOKUP($A53,'Annex 2 Designated EHV charges'!$D:$O,2,0))</f>
        <v>739</v>
      </c>
      <c r="C53" s="95">
        <f>IF($A53="","",VLOOKUP($A53,'Annex 2 Designated EHV charges'!$D:$O,3,0))</f>
        <v>1900091024526</v>
      </c>
      <c r="D53" s="94" t="str">
        <f>IF($A53="","",VLOOKUP($A53,'Annex 2 Designated EHV charges'!$D:$O,4,0))</f>
        <v>OLDRSF</v>
      </c>
      <c r="E53" s="96" t="str">
        <f>IFERROR(IF(VLOOKUP($A53,'Annex 2 Designated EHV charges'!$D:$P,10,FALSE)=0,"",VLOOKUP($A53,'Annex 2 Designated EHV charges'!$D:$P,10,FALSE)),"")</f>
        <v/>
      </c>
      <c r="F53" s="207">
        <f>IFERROR(IF(VLOOKUP($A53,'Annex 2 Designated EHV charges'!$D:$P,11,FALSE)=0,"",VLOOKUP($A53,'Annex 2 Designated EHV charges'!$D:$P,11,FALSE)),"")</f>
        <v>1207.67</v>
      </c>
      <c r="G53" s="207">
        <f>IFERROR(IF(VLOOKUP($A53,'Annex 2 Designated EHV charges'!$D:$P,12,FALSE)=0,"",VLOOKUP($A53,'Annex 2 Designated EHV charges'!$D:$P,12,FALSE)),"")</f>
        <v>0.05</v>
      </c>
      <c r="H53" s="207">
        <f>IFERROR(IF(VLOOKUP($A53,'Annex 2 Designated EHV charges'!$D:$P,13,FALSE)=0,"",VLOOKUP($A53,'Annex 2 Designated EHV charges'!$D:$P,13,FALSE)),"")</f>
        <v>0.05</v>
      </c>
    </row>
    <row r="54" spans="1:8" ht="12.75" customHeight="1" x14ac:dyDescent="0.35">
      <c r="A54" s="95" t="str" cm="1">
        <f t="array" ref="A54">IFERROR(INDEX('Annex 2 Designated EHV charges'!$D$10:$D$200, MATCH(0, IF(ISBLANK('Annex 2 Designated EHV charges'!$D$10:$D$200),1, COUNTIF(A$4:$A53, 'Annex 2 Designated EHV charges'!$D$10:$D$200)), 0)),"")</f>
        <v>ORCHRD</v>
      </c>
      <c r="B54" s="94">
        <f>IF($A54="","",VLOOKUP($A54,'Annex 2 Designated EHV charges'!$D:$O,2,0))</f>
        <v>753</v>
      </c>
      <c r="C54" s="95" t="str">
        <f>IF($A54="","",VLOOKUP($A54,'Annex 2 Designated EHV charges'!$D:$O,3,0))</f>
        <v>1900091085110;1900091349724;1900091349733</v>
      </c>
      <c r="D54" s="94" t="str">
        <f>IF($A54="","",VLOOKUP($A54,'Annex 2 Designated EHV charges'!$D:$O,4,0))</f>
        <v>ORCHRD</v>
      </c>
      <c r="E54" s="96" t="str">
        <f>IFERROR(IF(VLOOKUP($A54,'Annex 2 Designated EHV charges'!$D:$P,10,FALSE)=0,"",VLOOKUP($A54,'Annex 2 Designated EHV charges'!$D:$P,10,FALSE)),"")</f>
        <v/>
      </c>
      <c r="F54" s="207">
        <f>IFERROR(IF(VLOOKUP($A54,'Annex 2 Designated EHV charges'!$D:$P,11,FALSE)=0,"",VLOOKUP($A54,'Annex 2 Designated EHV charges'!$D:$P,11,FALSE)),"")</f>
        <v>1377.17</v>
      </c>
      <c r="G54" s="207">
        <f>IFERROR(IF(VLOOKUP($A54,'Annex 2 Designated EHV charges'!$D:$P,12,FALSE)=0,"",VLOOKUP($A54,'Annex 2 Designated EHV charges'!$D:$P,12,FALSE)),"")</f>
        <v>0.05</v>
      </c>
      <c r="H54" s="207">
        <f>IFERROR(IF(VLOOKUP($A54,'Annex 2 Designated EHV charges'!$D:$P,13,FALSE)=0,"",VLOOKUP($A54,'Annex 2 Designated EHV charges'!$D:$P,13,FALSE)),"")</f>
        <v>0.05</v>
      </c>
    </row>
    <row r="55" spans="1:8" ht="12.75" customHeight="1" x14ac:dyDescent="0.35">
      <c r="A55" s="95" t="str" cm="1">
        <f t="array" ref="A55">IFERROR(INDEX('Annex 2 Designated EHV charges'!$D$10:$D$200, MATCH(0, IF(ISBLANK('Annex 2 Designated EHV charges'!$D$10:$D$200),1, COUNTIF(A$4:$A54, 'Annex 2 Designated EHV charges'!$D$10:$D$200)), 0)),"")</f>
        <v>PADWSF</v>
      </c>
      <c r="B55" s="94">
        <f>IF($A55="","",VLOOKUP($A55,'Annex 2 Designated EHV charges'!$D:$O,2,0))</f>
        <v>754</v>
      </c>
      <c r="C55" s="95">
        <f>IF($A55="","",VLOOKUP($A55,'Annex 2 Designated EHV charges'!$D:$O,3,0))</f>
        <v>1900091216643</v>
      </c>
      <c r="D55" s="94" t="str">
        <f>IF($A55="","",VLOOKUP($A55,'Annex 2 Designated EHV charges'!$D:$O,4,0))</f>
        <v>PADWSF</v>
      </c>
      <c r="E55" s="96" t="str">
        <f>IFERROR(IF(VLOOKUP($A55,'Annex 2 Designated EHV charges'!$D:$P,10,FALSE)=0,"",VLOOKUP($A55,'Annex 2 Designated EHV charges'!$D:$P,10,FALSE)),"")</f>
        <v/>
      </c>
      <c r="F55" s="207">
        <f>IFERROR(IF(VLOOKUP($A55,'Annex 2 Designated EHV charges'!$D:$P,11,FALSE)=0,"",VLOOKUP($A55,'Annex 2 Designated EHV charges'!$D:$P,11,FALSE)),"")</f>
        <v>980.04</v>
      </c>
      <c r="G55" s="207">
        <f>IFERROR(IF(VLOOKUP($A55,'Annex 2 Designated EHV charges'!$D:$P,12,FALSE)=0,"",VLOOKUP($A55,'Annex 2 Designated EHV charges'!$D:$P,12,FALSE)),"")</f>
        <v>0.05</v>
      </c>
      <c r="H55" s="207">
        <f>IFERROR(IF(VLOOKUP($A55,'Annex 2 Designated EHV charges'!$D:$P,13,FALSE)=0,"",VLOOKUP($A55,'Annex 2 Designated EHV charges'!$D:$P,13,FALSE)),"")</f>
        <v>0.05</v>
      </c>
    </row>
    <row r="56" spans="1:8" ht="12.75" customHeight="1" x14ac:dyDescent="0.35">
      <c r="A56" s="95" t="str" cm="1">
        <f t="array" ref="A56">IFERROR(INDEX('Annex 2 Designated EHV charges'!$D$10:$D$200, MATCH(0, IF(ISBLANK('Annex 2 Designated EHV charges'!$D$10:$D$200),1, COUNTIF(A$4:$A55, 'Annex 2 Designated EHV charges'!$D$10:$D$200)), 0)),"")</f>
        <v>POSHWF</v>
      </c>
      <c r="B56" s="94">
        <f>IF($A56="","",VLOOKUP($A56,'Annex 2 Designated EHV charges'!$D:$O,2,0))</f>
        <v>719</v>
      </c>
      <c r="C56" s="95">
        <f>IF($A56="","",VLOOKUP($A56,'Annex 2 Designated EHV charges'!$D:$O,3,0))</f>
        <v>1900091227316</v>
      </c>
      <c r="D56" s="94" t="str">
        <f>IF($A56="","",VLOOKUP($A56,'Annex 2 Designated EHV charges'!$D:$O,4,0))</f>
        <v>POSHWF</v>
      </c>
      <c r="E56" s="96" t="str">
        <f>IFERROR(IF(VLOOKUP($A56,'Annex 2 Designated EHV charges'!$D:$P,10,FALSE)=0,"",VLOOKUP($A56,'Annex 2 Designated EHV charges'!$D:$P,10,FALSE)),"")</f>
        <v/>
      </c>
      <c r="F56" s="207">
        <f>IFERROR(IF(VLOOKUP($A56,'Annex 2 Designated EHV charges'!$D:$P,11,FALSE)=0,"",VLOOKUP($A56,'Annex 2 Designated EHV charges'!$D:$P,11,FALSE)),"")</f>
        <v>437.06</v>
      </c>
      <c r="G56" s="207">
        <f>IFERROR(IF(VLOOKUP($A56,'Annex 2 Designated EHV charges'!$D:$P,12,FALSE)=0,"",VLOOKUP($A56,'Annex 2 Designated EHV charges'!$D:$P,12,FALSE)),"")</f>
        <v>0.05</v>
      </c>
      <c r="H56" s="207">
        <f>IFERROR(IF(VLOOKUP($A56,'Annex 2 Designated EHV charges'!$D:$P,13,FALSE)=0,"",VLOOKUP($A56,'Annex 2 Designated EHV charges'!$D:$P,13,FALSE)),"")</f>
        <v>0.05</v>
      </c>
    </row>
    <row r="57" spans="1:8" ht="12.75" customHeight="1" x14ac:dyDescent="0.35">
      <c r="A57" s="95" t="str" cm="1">
        <f t="array" ref="A57">IFERROR(INDEX('Annex 2 Designated EHV charges'!$D$10:$D$200, MATCH(0, IF(ISBLANK('Annex 2 Designated EHV charges'!$D$10:$D$200),1, COUNTIF(A$4:$A56, 'Annex 2 Designated EHV charges'!$D$10:$D$200)), 0)),"")</f>
        <v>POTMBS</v>
      </c>
      <c r="B57" s="94">
        <f>IF($A57="","",VLOOKUP($A57,'Annex 2 Designated EHV charges'!$D:$O,2,0))</f>
        <v>785</v>
      </c>
      <c r="C57" s="95">
        <f>IF($A57="","",VLOOKUP($A57,'Annex 2 Designated EHV charges'!$D:$O,3,0))</f>
        <v>1900092272807</v>
      </c>
      <c r="D57" s="94" t="str">
        <f>IF($A57="","",VLOOKUP($A57,'Annex 2 Designated EHV charges'!$D:$O,4,0))</f>
        <v>POTMBS</v>
      </c>
      <c r="E57" s="96">
        <f>IFERROR(IF(VLOOKUP($A57,'Annex 2 Designated EHV charges'!$D:$P,10,FALSE)=0,"",VLOOKUP($A57,'Annex 2 Designated EHV charges'!$D:$P,10,FALSE)),"")</f>
        <v>-0.57099999999999995</v>
      </c>
      <c r="F57" s="207">
        <f>IFERROR(IF(VLOOKUP($A57,'Annex 2 Designated EHV charges'!$D:$P,11,FALSE)=0,"",VLOOKUP($A57,'Annex 2 Designated EHV charges'!$D:$P,11,FALSE)),"")</f>
        <v>943.4</v>
      </c>
      <c r="G57" s="207">
        <f>IFERROR(IF(VLOOKUP($A57,'Annex 2 Designated EHV charges'!$D:$P,12,FALSE)=0,"",VLOOKUP($A57,'Annex 2 Designated EHV charges'!$D:$P,12,FALSE)),"")</f>
        <v>0.05</v>
      </c>
      <c r="H57" s="207">
        <f>IFERROR(IF(VLOOKUP($A57,'Annex 2 Designated EHV charges'!$D:$P,13,FALSE)=0,"",VLOOKUP($A57,'Annex 2 Designated EHV charges'!$D:$P,13,FALSE)),"")</f>
        <v>0.05</v>
      </c>
    </row>
    <row r="58" spans="1:8" ht="12.75" customHeight="1" x14ac:dyDescent="0.35">
      <c r="A58" s="95" t="str" cm="1">
        <f t="array" ref="A58">IFERROR(INDEX('Annex 2 Designated EHV charges'!$D$10:$D$200, MATCH(0, IF(ISBLANK('Annex 2 Designated EHV charges'!$D$10:$D$200),1, COUNTIF(A$4:$A57, 'Annex 2 Designated EHV charges'!$D$10:$D$200)), 0)),"")</f>
        <v>PRIORS</v>
      </c>
      <c r="B58" s="94">
        <f>IF($A58="","",VLOOKUP($A58,'Annex 2 Designated EHV charges'!$D:$O,2,0))</f>
        <v>717</v>
      </c>
      <c r="C58" s="95">
        <f>IF($A58="","",VLOOKUP($A58,'Annex 2 Designated EHV charges'!$D:$O,3,0))</f>
        <v>1900091320006</v>
      </c>
      <c r="D58" s="94" t="str">
        <f>IF($A58="","",VLOOKUP($A58,'Annex 2 Designated EHV charges'!$D:$O,4,0))</f>
        <v>PRIORS</v>
      </c>
      <c r="E58" s="96" t="str">
        <f>IFERROR(IF(VLOOKUP($A58,'Annex 2 Designated EHV charges'!$D:$P,10,FALSE)=0,"",VLOOKUP($A58,'Annex 2 Designated EHV charges'!$D:$P,10,FALSE)),"")</f>
        <v/>
      </c>
      <c r="F58" s="207">
        <f>IFERROR(IF(VLOOKUP($A58,'Annex 2 Designated EHV charges'!$D:$P,11,FALSE)=0,"",VLOOKUP($A58,'Annex 2 Designated EHV charges'!$D:$P,11,FALSE)),"")</f>
        <v>925.72</v>
      </c>
      <c r="G58" s="207">
        <f>IFERROR(IF(VLOOKUP($A58,'Annex 2 Designated EHV charges'!$D:$P,12,FALSE)=0,"",VLOOKUP($A58,'Annex 2 Designated EHV charges'!$D:$P,12,FALSE)),"")</f>
        <v>0.05</v>
      </c>
      <c r="H58" s="207">
        <f>IFERROR(IF(VLOOKUP($A58,'Annex 2 Designated EHV charges'!$D:$P,13,FALSE)=0,"",VLOOKUP($A58,'Annex 2 Designated EHV charges'!$D:$P,13,FALSE)),"")</f>
        <v>0.05</v>
      </c>
    </row>
    <row r="59" spans="1:8" ht="12.75" customHeight="1" x14ac:dyDescent="0.35">
      <c r="A59" s="95" t="str" cm="1">
        <f t="array" ref="A59">IFERROR(INDEX('Annex 2 Designated EHV charges'!$D$10:$D$200, MATCH(0, IF(ISBLANK('Annex 2 Designated EHV charges'!$D$10:$D$200),1, COUNTIF(A$4:$A58, 'Annex 2 Designated EHV charges'!$D$10:$D$200)), 0)),"")</f>
        <v>PSHLEY</v>
      </c>
      <c r="B59" s="94">
        <f>IF($A59="","",VLOOKUP($A59,'Annex 2 Designated EHV charges'!$D:$O,2,0))</f>
        <v>703</v>
      </c>
      <c r="C59" s="95">
        <f>IF($A59="","",VLOOKUP($A59,'Annex 2 Designated EHV charges'!$D:$O,3,0))</f>
        <v>1900091178963</v>
      </c>
      <c r="D59" s="94" t="str">
        <f>IF($A59="","",VLOOKUP($A59,'Annex 2 Designated EHV charges'!$D:$O,4,0))</f>
        <v>PSHLEY</v>
      </c>
      <c r="E59" s="96" t="str">
        <f>IFERROR(IF(VLOOKUP($A59,'Annex 2 Designated EHV charges'!$D:$P,10,FALSE)=0,"",VLOOKUP($A59,'Annex 2 Designated EHV charges'!$D:$P,10,FALSE)),"")</f>
        <v/>
      </c>
      <c r="F59" s="207">
        <f>IFERROR(IF(VLOOKUP($A59,'Annex 2 Designated EHV charges'!$D:$P,11,FALSE)=0,"",VLOOKUP($A59,'Annex 2 Designated EHV charges'!$D:$P,11,FALSE)),"")</f>
        <v>1784.7</v>
      </c>
      <c r="G59" s="207">
        <f>IFERROR(IF(VLOOKUP($A59,'Annex 2 Designated EHV charges'!$D:$P,12,FALSE)=0,"",VLOOKUP($A59,'Annex 2 Designated EHV charges'!$D:$P,12,FALSE)),"")</f>
        <v>0.05</v>
      </c>
      <c r="H59" s="207">
        <f>IFERROR(IF(VLOOKUP($A59,'Annex 2 Designated EHV charges'!$D:$P,13,FALSE)=0,"",VLOOKUP($A59,'Annex 2 Designated EHV charges'!$D:$P,13,FALSE)),"")</f>
        <v>0.05</v>
      </c>
    </row>
    <row r="60" spans="1:8" ht="12.75" customHeight="1" x14ac:dyDescent="0.35">
      <c r="A60" s="95" t="str" cm="1">
        <f t="array" ref="A60">IFERROR(INDEX('Annex 2 Designated EHV charges'!$D$10:$D$200, MATCH(0, IF(ISBLANK('Annex 2 Designated EHV charges'!$D$10:$D$200),1, COUNTIF(A$4:$A59, 'Annex 2 Designated EHV charges'!$D$10:$D$200)), 0)),"")</f>
        <v>SELLSF</v>
      </c>
      <c r="B60" s="94">
        <f>IF($A60="","",VLOOKUP($A60,'Annex 2 Designated EHV charges'!$D:$O,2,0))</f>
        <v>720</v>
      </c>
      <c r="C60" s="95">
        <f>IF($A60="","",VLOOKUP($A60,'Annex 2 Designated EHV charges'!$D:$O,3,0))</f>
        <v>1900091360969</v>
      </c>
      <c r="D60" s="94" t="str">
        <f>IF($A60="","",VLOOKUP($A60,'Annex 2 Designated EHV charges'!$D:$O,4,0))</f>
        <v>SELLSF</v>
      </c>
      <c r="E60" s="96" t="str">
        <f>IFERROR(IF(VLOOKUP($A60,'Annex 2 Designated EHV charges'!$D:$P,10,FALSE)=0,"",VLOOKUP($A60,'Annex 2 Designated EHV charges'!$D:$P,10,FALSE)),"")</f>
        <v/>
      </c>
      <c r="F60" s="207">
        <f>IFERROR(IF(VLOOKUP($A60,'Annex 2 Designated EHV charges'!$D:$P,11,FALSE)=0,"",VLOOKUP($A60,'Annex 2 Designated EHV charges'!$D:$P,11,FALSE)),"")</f>
        <v>1037.24</v>
      </c>
      <c r="G60" s="207">
        <f>IFERROR(IF(VLOOKUP($A60,'Annex 2 Designated EHV charges'!$D:$P,12,FALSE)=0,"",VLOOKUP($A60,'Annex 2 Designated EHV charges'!$D:$P,12,FALSE)),"")</f>
        <v>0.05</v>
      </c>
      <c r="H60" s="207">
        <f>IFERROR(IF(VLOOKUP($A60,'Annex 2 Designated EHV charges'!$D:$P,13,FALSE)=0,"",VLOOKUP($A60,'Annex 2 Designated EHV charges'!$D:$P,13,FALSE)),"")</f>
        <v>0.05</v>
      </c>
    </row>
    <row r="61" spans="1:8" ht="12.75" customHeight="1" x14ac:dyDescent="0.35">
      <c r="A61" s="95" t="str" cm="1">
        <f t="array" ref="A61">IFERROR(INDEX('Annex 2 Designated EHV charges'!$D$10:$D$200, MATCH(0, IF(ISBLANK('Annex 2 Designated EHV charges'!$D$10:$D$200),1, COUNTIF(A$4:$A60, 'Annex 2 Designated EHV charges'!$D$10:$D$200)), 0)),"")</f>
        <v>SEVIND</v>
      </c>
      <c r="B61" s="94">
        <f>IF($A61="","",VLOOKUP($A61,'Annex 2 Designated EHV charges'!$D:$O,2,0))</f>
        <v>0</v>
      </c>
      <c r="C61" s="95" t="str">
        <f>IF($A61="","",VLOOKUP($A61,'Annex 2 Designated EHV charges'!$D:$O,3,0))</f>
        <v>MSID: 7160</v>
      </c>
      <c r="D61" s="94" t="str">
        <f>IF($A61="","",VLOOKUP($A61,'Annex 2 Designated EHV charges'!$D:$O,4,0))</f>
        <v>SEVIND</v>
      </c>
      <c r="E61" s="96">
        <f>IFERROR(IF(VLOOKUP($A61,'Annex 2 Designated EHV charges'!$D:$P,10,FALSE)=0,"",VLOOKUP($A61,'Annex 2 Designated EHV charges'!$D:$P,10,FALSE)),"")</f>
        <v>-5.0190000000000001</v>
      </c>
      <c r="F61" s="207">
        <f>IFERROR(IF(VLOOKUP($A61,'Annex 2 Designated EHV charges'!$D:$P,11,FALSE)=0,"",VLOOKUP($A61,'Annex 2 Designated EHV charges'!$D:$P,11,FALSE)),"")</f>
        <v>194.45</v>
      </c>
      <c r="G61" s="207">
        <f>IFERROR(IF(VLOOKUP($A61,'Annex 2 Designated EHV charges'!$D:$P,12,FALSE)=0,"",VLOOKUP($A61,'Annex 2 Designated EHV charges'!$D:$P,12,FALSE)),"")</f>
        <v>0.05</v>
      </c>
      <c r="H61" s="207">
        <f>IFERROR(IF(VLOOKUP($A61,'Annex 2 Designated EHV charges'!$D:$P,13,FALSE)=0,"",VLOOKUP($A61,'Annex 2 Designated EHV charges'!$D:$P,13,FALSE)),"")</f>
        <v>0.05</v>
      </c>
    </row>
    <row r="62" spans="1:8" ht="12.75" customHeight="1" x14ac:dyDescent="0.35">
      <c r="A62" s="95" t="str" cm="1">
        <f t="array" ref="A62">IFERROR(INDEX('Annex 2 Designated EHV charges'!$D$10:$D$200, MATCH(0, IF(ISBLANK('Annex 2 Designated EHV charges'!$D$10:$D$200),1, COUNTIF(A$4:$A61, 'Annex 2 Designated EHV charges'!$D$10:$D$200)), 0)),"")</f>
        <v>SHEPHM</v>
      </c>
      <c r="B62" s="94">
        <f>IF($A62="","",VLOOKUP($A62,'Annex 2 Designated EHV charges'!$D:$O,2,0))</f>
        <v>718</v>
      </c>
      <c r="C62" s="95">
        <f>IF($A62="","",VLOOKUP($A62,'Annex 2 Designated EHV charges'!$D:$O,3,0))</f>
        <v>1900091420137</v>
      </c>
      <c r="D62" s="94" t="str">
        <f>IF($A62="","",VLOOKUP($A62,'Annex 2 Designated EHV charges'!$D:$O,4,0))</f>
        <v>SHEPHM</v>
      </c>
      <c r="E62" s="96" t="str">
        <f>IFERROR(IF(VLOOKUP($A62,'Annex 2 Designated EHV charges'!$D:$P,10,FALSE)=0,"",VLOOKUP($A62,'Annex 2 Designated EHV charges'!$D:$P,10,FALSE)),"")</f>
        <v/>
      </c>
      <c r="F62" s="207">
        <f>IFERROR(IF(VLOOKUP($A62,'Annex 2 Designated EHV charges'!$D:$P,11,FALSE)=0,"",VLOOKUP($A62,'Annex 2 Designated EHV charges'!$D:$P,11,FALSE)),"")</f>
        <v>2577.21</v>
      </c>
      <c r="G62" s="207">
        <f>IFERROR(IF(VLOOKUP($A62,'Annex 2 Designated EHV charges'!$D:$P,12,FALSE)=0,"",VLOOKUP($A62,'Annex 2 Designated EHV charges'!$D:$P,12,FALSE)),"")</f>
        <v>0.05</v>
      </c>
      <c r="H62" s="207">
        <f>IFERROR(IF(VLOOKUP($A62,'Annex 2 Designated EHV charges'!$D:$P,13,FALSE)=0,"",VLOOKUP($A62,'Annex 2 Designated EHV charges'!$D:$P,13,FALSE)),"")</f>
        <v>0.05</v>
      </c>
    </row>
    <row r="63" spans="1:8" ht="12.75" customHeight="1" x14ac:dyDescent="0.35">
      <c r="A63" s="95" t="str" cm="1">
        <f t="array" ref="A63">IFERROR(INDEX('Annex 2 Designated EHV charges'!$D$10:$D$200, MATCH(0, IF(ISBLANK('Annex 2 Designated EHV charges'!$D$10:$D$200),1, COUNTIF(A$4:$A62, 'Annex 2 Designated EHV charges'!$D$10:$D$200)), 0)),"")</f>
        <v>SHORHM</v>
      </c>
      <c r="B63" s="94">
        <f>IF($A63="","",VLOOKUP($A63,'Annex 2 Designated EHV charges'!$D:$O,2,0))</f>
        <v>0</v>
      </c>
      <c r="C63" s="95" t="str">
        <f>IF($A63="","",VLOOKUP($A63,'Annex 2 Designated EHV charges'!$D:$O,3,0))</f>
        <v>MSID: 7104</v>
      </c>
      <c r="D63" s="94" t="str">
        <f>IF($A63="","",VLOOKUP($A63,'Annex 2 Designated EHV charges'!$D:$O,4,0))</f>
        <v>SHORHM</v>
      </c>
      <c r="E63" s="96">
        <f>IFERROR(IF(VLOOKUP($A63,'Annex 2 Designated EHV charges'!$D:$P,10,FALSE)=0,"",VLOOKUP($A63,'Annex 2 Designated EHV charges'!$D:$P,10,FALSE)),"")</f>
        <v>-0.84099999999999997</v>
      </c>
      <c r="F63" s="207">
        <f>IFERROR(IF(VLOOKUP($A63,'Annex 2 Designated EHV charges'!$D:$P,11,FALSE)=0,"",VLOOKUP($A63,'Annex 2 Designated EHV charges'!$D:$P,11,FALSE)),"")</f>
        <v>14231.14</v>
      </c>
      <c r="G63" s="207">
        <f>IFERROR(IF(VLOOKUP($A63,'Annex 2 Designated EHV charges'!$D:$P,12,FALSE)=0,"",VLOOKUP($A63,'Annex 2 Designated EHV charges'!$D:$P,12,FALSE)),"")</f>
        <v>0.05</v>
      </c>
      <c r="H63" s="207">
        <f>IFERROR(IF(VLOOKUP($A63,'Annex 2 Designated EHV charges'!$D:$P,13,FALSE)=0,"",VLOOKUP($A63,'Annex 2 Designated EHV charges'!$D:$P,13,FALSE)),"")</f>
        <v>0.05</v>
      </c>
    </row>
    <row r="64" spans="1:8" ht="12.75" customHeight="1" x14ac:dyDescent="0.35">
      <c r="A64" s="95" t="str" cm="1">
        <f t="array" ref="A64">IFERROR(INDEX('Annex 2 Designated EHV charges'!$D$10:$D$200, MATCH(0, IF(ISBLANK('Annex 2 Designated EHV charges'!$D$10:$D$200),1, COUNTIF(A$4:$A63, 'Annex 2 Designated EHV charges'!$D$10:$D$200)), 0)),"")</f>
        <v>SOLEES</v>
      </c>
      <c r="B64" s="94">
        <f>IF($A64="","",VLOOKUP($A64,'Annex 2 Designated EHV charges'!$D:$O,2,0))</f>
        <v>755</v>
      </c>
      <c r="C64" s="95" t="str">
        <f>IF($A64="","",VLOOKUP($A64,'Annex 2 Designated EHV charges'!$D:$O,3,0))</f>
        <v>1900091121266;1900091121284</v>
      </c>
      <c r="D64" s="94" t="str">
        <f>IF($A64="","",VLOOKUP($A64,'Annex 2 Designated EHV charges'!$D:$O,4,0))</f>
        <v>SOLEES</v>
      </c>
      <c r="E64" s="96" t="str">
        <f>IFERROR(IF(VLOOKUP($A64,'Annex 2 Designated EHV charges'!$D:$P,10,FALSE)=0,"",VLOOKUP($A64,'Annex 2 Designated EHV charges'!$D:$P,10,FALSE)),"")</f>
        <v/>
      </c>
      <c r="F64" s="207">
        <f>IFERROR(IF(VLOOKUP($A64,'Annex 2 Designated EHV charges'!$D:$P,11,FALSE)=0,"",VLOOKUP($A64,'Annex 2 Designated EHV charges'!$D:$P,11,FALSE)),"")</f>
        <v>2311.9699999999998</v>
      </c>
      <c r="G64" s="207">
        <f>IFERROR(IF(VLOOKUP($A64,'Annex 2 Designated EHV charges'!$D:$P,12,FALSE)=0,"",VLOOKUP($A64,'Annex 2 Designated EHV charges'!$D:$P,12,FALSE)),"")</f>
        <v>0.05</v>
      </c>
      <c r="H64" s="207">
        <f>IFERROR(IF(VLOOKUP($A64,'Annex 2 Designated EHV charges'!$D:$P,13,FALSE)=0,"",VLOOKUP($A64,'Annex 2 Designated EHV charges'!$D:$P,13,FALSE)),"")</f>
        <v>0.05</v>
      </c>
    </row>
    <row r="65" spans="1:8" ht="12.75" customHeight="1" x14ac:dyDescent="0.35">
      <c r="A65" s="95" t="str" cm="1">
        <f t="array" ref="A65">IFERROR(INDEX('Annex 2 Designated EHV charges'!$D$10:$D$200, MATCH(0, IF(ISBLANK('Annex 2 Designated EHV charges'!$D$10:$D$200),1, COUNTIF(A$4:$A64, 'Annex 2 Designated EHV charges'!$D$10:$D$200)), 0)),"")</f>
        <v>STAREN</v>
      </c>
      <c r="B65" s="94">
        <f>IF($A65="","",VLOOKUP($A65,'Annex 2 Designated EHV charges'!$D:$O,2,0))</f>
        <v>729</v>
      </c>
      <c r="C65" s="95">
        <f>IF($A65="","",VLOOKUP($A65,'Annex 2 Designated EHV charges'!$D:$O,3,0))</f>
        <v>1900060830226</v>
      </c>
      <c r="D65" s="94" t="str">
        <f>IF($A65="","",VLOOKUP($A65,'Annex 2 Designated EHV charges'!$D:$O,4,0))</f>
        <v>STAREN</v>
      </c>
      <c r="E65" s="96" t="str">
        <f>IFERROR(IF(VLOOKUP($A65,'Annex 2 Designated EHV charges'!$D:$P,10,FALSE)=0,"",VLOOKUP($A65,'Annex 2 Designated EHV charges'!$D:$P,10,FALSE)),"")</f>
        <v/>
      </c>
      <c r="F65" s="207" t="str">
        <f>IFERROR(IF(VLOOKUP($A65,'Annex 2 Designated EHV charges'!$D:$P,11,FALSE)=0,"",VLOOKUP($A65,'Annex 2 Designated EHV charges'!$D:$P,11,FALSE)),"")</f>
        <v/>
      </c>
      <c r="G65" s="207" t="str">
        <f>IFERROR(IF(VLOOKUP($A65,'Annex 2 Designated EHV charges'!$D:$P,12,FALSE)=0,"",VLOOKUP($A65,'Annex 2 Designated EHV charges'!$D:$P,12,FALSE)),"")</f>
        <v/>
      </c>
      <c r="H65" s="207" t="str">
        <f>IFERROR(IF(VLOOKUP($A65,'Annex 2 Designated EHV charges'!$D:$P,13,FALSE)=0,"",VLOOKUP($A65,'Annex 2 Designated EHV charges'!$D:$P,13,FALSE)),"")</f>
        <v/>
      </c>
    </row>
    <row r="66" spans="1:8" ht="12.75" customHeight="1" x14ac:dyDescent="0.35">
      <c r="A66" s="95" t="str" cm="1">
        <f t="array" ref="A66">IFERROR(INDEX('Annex 2 Designated EHV charges'!$D$10:$D$200, MATCH(0, IF(ISBLANK('Annex 2 Designated EHV charges'!$D$10:$D$200),1, COUNTIF(A$4:$A65, 'Annex 2 Designated EHV charges'!$D$10:$D$200)), 0)),"")</f>
        <v>SYCAMR</v>
      </c>
      <c r="B66" s="94">
        <f>IF($A66="","",VLOOKUP($A66,'Annex 2 Designated EHV charges'!$D:$O,2,0))</f>
        <v>737</v>
      </c>
      <c r="C66" s="95">
        <f>IF($A66="","",VLOOKUP($A66,'Annex 2 Designated EHV charges'!$D:$O,3,0))</f>
        <v>1900091090101</v>
      </c>
      <c r="D66" s="94" t="str">
        <f>IF($A66="","",VLOOKUP($A66,'Annex 2 Designated EHV charges'!$D:$O,4,0))</f>
        <v>SYCAMR</v>
      </c>
      <c r="E66" s="96" t="str">
        <f>IFERROR(IF(VLOOKUP($A66,'Annex 2 Designated EHV charges'!$D:$P,10,FALSE)=0,"",VLOOKUP($A66,'Annex 2 Designated EHV charges'!$D:$P,10,FALSE)),"")</f>
        <v/>
      </c>
      <c r="F66" s="207">
        <f>IFERROR(IF(VLOOKUP($A66,'Annex 2 Designated EHV charges'!$D:$P,11,FALSE)=0,"",VLOOKUP($A66,'Annex 2 Designated EHV charges'!$D:$P,11,FALSE)),"")</f>
        <v>3193.48</v>
      </c>
      <c r="G66" s="207">
        <f>IFERROR(IF(VLOOKUP($A66,'Annex 2 Designated EHV charges'!$D:$P,12,FALSE)=0,"",VLOOKUP($A66,'Annex 2 Designated EHV charges'!$D:$P,12,FALSE)),"")</f>
        <v>0.05</v>
      </c>
      <c r="H66" s="207">
        <f>IFERROR(IF(VLOOKUP($A66,'Annex 2 Designated EHV charges'!$D:$P,13,FALSE)=0,"",VLOOKUP($A66,'Annex 2 Designated EHV charges'!$D:$P,13,FALSE)),"")</f>
        <v>0.05</v>
      </c>
    </row>
    <row r="67" spans="1:8" ht="12.75" customHeight="1" x14ac:dyDescent="0.35">
      <c r="A67" s="95" t="str" cm="1">
        <f t="array" ref="A67">IFERROR(INDEX('Annex 2 Designated EHV charges'!$D$10:$D$200, MATCH(0, IF(ISBLANK('Annex 2 Designated EHV charges'!$D$10:$D$200),1, COUNTIF(A$4:$A66, 'Annex 2 Designated EHV charges'!$D$10:$D$200)), 0)),"")</f>
        <v>THAER1</v>
      </c>
      <c r="B67" s="94">
        <f>IF($A67="","",VLOOKUP($A67,'Annex 2 Designated EHV charges'!$D:$O,2,0))</f>
        <v>733</v>
      </c>
      <c r="C67" s="95">
        <f>IF($A67="","",VLOOKUP($A67,'Annex 2 Designated EHV charges'!$D:$O,3,0))</f>
        <v>1900090417160</v>
      </c>
      <c r="D67" s="94" t="str">
        <f>IF($A67="","",VLOOKUP($A67,'Annex 2 Designated EHV charges'!$D:$O,4,0))</f>
        <v>THAER1</v>
      </c>
      <c r="E67" s="96">
        <f>IFERROR(IF(VLOOKUP($A67,'Annex 2 Designated EHV charges'!$D:$P,10,FALSE)=0,"",VLOOKUP($A67,'Annex 2 Designated EHV charges'!$D:$P,10,FALSE)),"")</f>
        <v>-1.256</v>
      </c>
      <c r="F67" s="207">
        <f>IFERROR(IF(VLOOKUP($A67,'Annex 2 Designated EHV charges'!$D:$P,11,FALSE)=0,"",VLOOKUP($A67,'Annex 2 Designated EHV charges'!$D:$P,11,FALSE)),"")</f>
        <v>2647.67</v>
      </c>
      <c r="G67" s="207">
        <f>IFERROR(IF(VLOOKUP($A67,'Annex 2 Designated EHV charges'!$D:$P,12,FALSE)=0,"",VLOOKUP($A67,'Annex 2 Designated EHV charges'!$D:$P,12,FALSE)),"")</f>
        <v>0.05</v>
      </c>
      <c r="H67" s="207">
        <f>IFERROR(IF(VLOOKUP($A67,'Annex 2 Designated EHV charges'!$D:$P,13,FALSE)=0,"",VLOOKUP($A67,'Annex 2 Designated EHV charges'!$D:$P,13,FALSE)),"")</f>
        <v>0.05</v>
      </c>
    </row>
    <row r="68" spans="1:8" ht="12.75" customHeight="1" x14ac:dyDescent="0.35">
      <c r="A68" s="95" t="str" cm="1">
        <f t="array" ref="A68">IFERROR(INDEX('Annex 2 Designated EHV charges'!$D$10:$D$200, MATCH(0, IF(ISBLANK('Annex 2 Designated EHV charges'!$D$10:$D$200),1, COUNTIF(A$4:$A67, 'Annex 2 Designated EHV charges'!$D$10:$D$200)), 0)),"")</f>
        <v>THAER2</v>
      </c>
      <c r="B68" s="94">
        <f>IF($A68="","",VLOOKUP($A68,'Annex 2 Designated EHV charges'!$D:$O,2,0))</f>
        <v>733</v>
      </c>
      <c r="C68" s="95">
        <f>IF($A68="","",VLOOKUP($A68,'Annex 2 Designated EHV charges'!$D:$O,3,0))</f>
        <v>1900090417189</v>
      </c>
      <c r="D68" s="94" t="str">
        <f>IF($A68="","",VLOOKUP($A68,'Annex 2 Designated EHV charges'!$D:$O,4,0))</f>
        <v>THAER2</v>
      </c>
      <c r="E68" s="96">
        <f>IFERROR(IF(VLOOKUP($A68,'Annex 2 Designated EHV charges'!$D:$P,10,FALSE)=0,"",VLOOKUP($A68,'Annex 2 Designated EHV charges'!$D:$P,10,FALSE)),"")</f>
        <v>-1.256</v>
      </c>
      <c r="F68" s="207">
        <f>IFERROR(IF(VLOOKUP($A68,'Annex 2 Designated EHV charges'!$D:$P,11,FALSE)=0,"",VLOOKUP($A68,'Annex 2 Designated EHV charges'!$D:$P,11,FALSE)),"")</f>
        <v>2647.67</v>
      </c>
      <c r="G68" s="207">
        <f>IFERROR(IF(VLOOKUP($A68,'Annex 2 Designated EHV charges'!$D:$P,12,FALSE)=0,"",VLOOKUP($A68,'Annex 2 Designated EHV charges'!$D:$P,12,FALSE)),"")</f>
        <v>0.05</v>
      </c>
      <c r="H68" s="207">
        <f>IFERROR(IF(VLOOKUP($A68,'Annex 2 Designated EHV charges'!$D:$P,13,FALSE)=0,"",VLOOKUP($A68,'Annex 2 Designated EHV charges'!$D:$P,13,FALSE)),"")</f>
        <v>0.05</v>
      </c>
    </row>
    <row r="69" spans="1:8" ht="12.75" customHeight="1" x14ac:dyDescent="0.35">
      <c r="A69" s="95" t="str" cm="1">
        <f t="array" ref="A69">IFERROR(INDEX('Annex 2 Designated EHV charges'!$D$10:$D$200, MATCH(0, IF(ISBLANK('Annex 2 Designated EHV charges'!$D$10:$D$200),1, COUNTIF(A$4:$A68, 'Annex 2 Designated EHV charges'!$D$10:$D$200)), 0)),"")</f>
        <v>THAER3</v>
      </c>
      <c r="B69" s="94">
        <f>IF($A69="","",VLOOKUP($A69,'Annex 2 Designated EHV charges'!$D:$O,2,0))</f>
        <v>733</v>
      </c>
      <c r="C69" s="95">
        <f>IF($A69="","",VLOOKUP($A69,'Annex 2 Designated EHV charges'!$D:$O,3,0))</f>
        <v>1900090417212</v>
      </c>
      <c r="D69" s="94" t="str">
        <f>IF($A69="","",VLOOKUP($A69,'Annex 2 Designated EHV charges'!$D:$O,4,0))</f>
        <v>THAER3</v>
      </c>
      <c r="E69" s="96">
        <f>IFERROR(IF(VLOOKUP($A69,'Annex 2 Designated EHV charges'!$D:$P,10,FALSE)=0,"",VLOOKUP($A69,'Annex 2 Designated EHV charges'!$D:$P,10,FALSE)),"")</f>
        <v>-1.256</v>
      </c>
      <c r="F69" s="207">
        <f>IFERROR(IF(VLOOKUP($A69,'Annex 2 Designated EHV charges'!$D:$P,11,FALSE)=0,"",VLOOKUP($A69,'Annex 2 Designated EHV charges'!$D:$P,11,FALSE)),"")</f>
        <v>3656.81</v>
      </c>
      <c r="G69" s="207">
        <f>IFERROR(IF(VLOOKUP($A69,'Annex 2 Designated EHV charges'!$D:$P,12,FALSE)=0,"",VLOOKUP($A69,'Annex 2 Designated EHV charges'!$D:$P,12,FALSE)),"")</f>
        <v>0.05</v>
      </c>
      <c r="H69" s="207">
        <f>IFERROR(IF(VLOOKUP($A69,'Annex 2 Designated EHV charges'!$D:$P,13,FALSE)=0,"",VLOOKUP($A69,'Annex 2 Designated EHV charges'!$D:$P,13,FALSE)),"")</f>
        <v>0.05</v>
      </c>
    </row>
    <row r="70" spans="1:8" ht="12.75" customHeight="1" x14ac:dyDescent="0.35">
      <c r="A70" s="95" t="str" cm="1">
        <f t="array" ref="A70">IFERROR(INDEX('Annex 2 Designated EHV charges'!$D$10:$D$200, MATCH(0, IF(ISBLANK('Annex 2 Designated EHV charges'!$D$10:$D$200),1, COUNTIF(A$4:$A69, 'Annex 2 Designated EHV charges'!$D$10:$D$200)), 0)),"")</f>
        <v>THAER4</v>
      </c>
      <c r="B70" s="94">
        <f>IF($A70="","",VLOOKUP($A70,'Annex 2 Designated EHV charges'!$D:$O,2,0))</f>
        <v>733</v>
      </c>
      <c r="C70" s="95">
        <f>IF($A70="","",VLOOKUP($A70,'Annex 2 Designated EHV charges'!$D:$O,3,0))</f>
        <v>1900090417230</v>
      </c>
      <c r="D70" s="94" t="str">
        <f>IF($A70="","",VLOOKUP($A70,'Annex 2 Designated EHV charges'!$D:$O,4,0))</f>
        <v>THAER4</v>
      </c>
      <c r="E70" s="96">
        <f>IFERROR(IF(VLOOKUP($A70,'Annex 2 Designated EHV charges'!$D:$P,10,FALSE)=0,"",VLOOKUP($A70,'Annex 2 Designated EHV charges'!$D:$P,10,FALSE)),"")</f>
        <v>-1.256</v>
      </c>
      <c r="F70" s="207">
        <f>IFERROR(IF(VLOOKUP($A70,'Annex 2 Designated EHV charges'!$D:$P,11,FALSE)=0,"",VLOOKUP($A70,'Annex 2 Designated EHV charges'!$D:$P,11,FALSE)),"")</f>
        <v>485.21</v>
      </c>
      <c r="G70" s="207">
        <f>IFERROR(IF(VLOOKUP($A70,'Annex 2 Designated EHV charges'!$D:$P,12,FALSE)=0,"",VLOOKUP($A70,'Annex 2 Designated EHV charges'!$D:$P,12,FALSE)),"")</f>
        <v>0.05</v>
      </c>
      <c r="H70" s="207">
        <f>IFERROR(IF(VLOOKUP($A70,'Annex 2 Designated EHV charges'!$D:$P,13,FALSE)=0,"",VLOOKUP($A70,'Annex 2 Designated EHV charges'!$D:$P,13,FALSE)),"")</f>
        <v>0.05</v>
      </c>
    </row>
    <row r="71" spans="1:8" ht="12.75" customHeight="1" x14ac:dyDescent="0.35">
      <c r="A71" s="95" t="str" cm="1">
        <f t="array" ref="A71">IFERROR(INDEX('Annex 2 Designated EHV charges'!$D$10:$D$200, MATCH(0, IF(ISBLANK('Annex 2 Designated EHV charges'!$D$10:$D$200),1, COUNTIF(A$4:$A70, 'Annex 2 Designated EHV charges'!$D$10:$D$200)), 0)),"")</f>
        <v>THANET</v>
      </c>
      <c r="B71" s="94">
        <f>IF($A71="","",VLOOKUP($A71,'Annex 2 Designated EHV charges'!$D:$O,2,0))</f>
        <v>0</v>
      </c>
      <c r="C71" s="95" t="str">
        <f>IF($A71="","",VLOOKUP($A71,'Annex 2 Designated EHV charges'!$D:$O,3,0))</f>
        <v>MSID: 7246</v>
      </c>
      <c r="D71" s="94" t="str">
        <f>IF($A71="","",VLOOKUP($A71,'Annex 2 Designated EHV charges'!$D:$O,4,0))</f>
        <v>THANET</v>
      </c>
      <c r="E71" s="96" t="str">
        <f>IFERROR(IF(VLOOKUP($A71,'Annex 2 Designated EHV charges'!$D:$P,10,FALSE)=0,"",VLOOKUP($A71,'Annex 2 Designated EHV charges'!$D:$P,10,FALSE)),"")</f>
        <v/>
      </c>
      <c r="F71" s="207">
        <f>IFERROR(IF(VLOOKUP($A71,'Annex 2 Designated EHV charges'!$D:$P,11,FALSE)=0,"",VLOOKUP($A71,'Annex 2 Designated EHV charges'!$D:$P,11,FALSE)),"")</f>
        <v>2478.23</v>
      </c>
      <c r="G71" s="207">
        <f>IFERROR(IF(VLOOKUP($A71,'Annex 2 Designated EHV charges'!$D:$P,12,FALSE)=0,"",VLOOKUP($A71,'Annex 2 Designated EHV charges'!$D:$P,12,FALSE)),"")</f>
        <v>0.05</v>
      </c>
      <c r="H71" s="207">
        <f>IFERROR(IF(VLOOKUP($A71,'Annex 2 Designated EHV charges'!$D:$P,13,FALSE)=0,"",VLOOKUP($A71,'Annex 2 Designated EHV charges'!$D:$P,13,FALSE)),"")</f>
        <v>0.05</v>
      </c>
    </row>
    <row r="72" spans="1:8" ht="12.75" customHeight="1" x14ac:dyDescent="0.35">
      <c r="A72" s="95" t="str" cm="1">
        <f t="array" ref="A72">IFERROR(INDEX('Annex 2 Designated EHV charges'!$D$10:$D$200, MATCH(0, IF(ISBLANK('Annex 2 Designated EHV charges'!$D$10:$D$200),1, COUNTIF(A$4:$A71, 'Annex 2 Designated EHV charges'!$D$10:$D$200)), 0)),"")</f>
        <v>THORNE</v>
      </c>
      <c r="B72" s="94">
        <f>IF($A72="","",VLOOKUP($A72,'Annex 2 Designated EHV charges'!$D:$O,2,0))</f>
        <v>750</v>
      </c>
      <c r="C72" s="95">
        <f>IF($A72="","",VLOOKUP($A72,'Annex 2 Designated EHV charges'!$D:$O,3,0))</f>
        <v>1900091171373</v>
      </c>
      <c r="D72" s="94" t="str">
        <f>IF($A72="","",VLOOKUP($A72,'Annex 2 Designated EHV charges'!$D:$O,4,0))</f>
        <v>THORNE</v>
      </c>
      <c r="E72" s="96" t="str">
        <f>IFERROR(IF(VLOOKUP($A72,'Annex 2 Designated EHV charges'!$D:$P,10,FALSE)=0,"",VLOOKUP($A72,'Annex 2 Designated EHV charges'!$D:$P,10,FALSE)),"")</f>
        <v/>
      </c>
      <c r="F72" s="207">
        <f>IFERROR(IF(VLOOKUP($A72,'Annex 2 Designated EHV charges'!$D:$P,11,FALSE)=0,"",VLOOKUP($A72,'Annex 2 Designated EHV charges'!$D:$P,11,FALSE)),"")</f>
        <v>3121.32</v>
      </c>
      <c r="G72" s="207">
        <f>IFERROR(IF(VLOOKUP($A72,'Annex 2 Designated EHV charges'!$D:$P,12,FALSE)=0,"",VLOOKUP($A72,'Annex 2 Designated EHV charges'!$D:$P,12,FALSE)),"")</f>
        <v>0.05</v>
      </c>
      <c r="H72" s="207">
        <f>IFERROR(IF(VLOOKUP($A72,'Annex 2 Designated EHV charges'!$D:$P,13,FALSE)=0,"",VLOOKUP($A72,'Annex 2 Designated EHV charges'!$D:$P,13,FALSE)),"")</f>
        <v>0.05</v>
      </c>
    </row>
    <row r="73" spans="1:8" ht="12.75" customHeight="1" x14ac:dyDescent="0.35">
      <c r="A73" s="95" t="str" cm="1">
        <f t="array" ref="A73">IFERROR(INDEX('Annex 2 Designated EHV charges'!$D$10:$D$200, MATCH(0, IF(ISBLANK('Annex 2 Designated EHV charges'!$D$10:$D$200),1, COUNTIF(A$4:$A72, 'Annex 2 Designated EHV charges'!$D$10:$D$200)), 0)),"")</f>
        <v>TONGSF</v>
      </c>
      <c r="B73" s="94">
        <f>IF($A73="","",VLOOKUP($A73,'Annex 2 Designated EHV charges'!$D:$O,2,0))</f>
        <v>711</v>
      </c>
      <c r="C73" s="95">
        <f>IF($A73="","",VLOOKUP($A73,'Annex 2 Designated EHV charges'!$D:$O,3,0))</f>
        <v>1900091363019</v>
      </c>
      <c r="D73" s="94" t="str">
        <f>IF($A73="","",VLOOKUP($A73,'Annex 2 Designated EHV charges'!$D:$O,4,0))</f>
        <v>TONGSF</v>
      </c>
      <c r="E73" s="96" t="str">
        <f>IFERROR(IF(VLOOKUP($A73,'Annex 2 Designated EHV charges'!$D:$P,10,FALSE)=0,"",VLOOKUP($A73,'Annex 2 Designated EHV charges'!$D:$P,10,FALSE)),"")</f>
        <v/>
      </c>
      <c r="F73" s="207">
        <f>IFERROR(IF(VLOOKUP($A73,'Annex 2 Designated EHV charges'!$D:$P,11,FALSE)=0,"",VLOOKUP($A73,'Annex 2 Designated EHV charges'!$D:$P,11,FALSE)),"")</f>
        <v>3563.5</v>
      </c>
      <c r="G73" s="207">
        <f>IFERROR(IF(VLOOKUP($A73,'Annex 2 Designated EHV charges'!$D:$P,12,FALSE)=0,"",VLOOKUP($A73,'Annex 2 Designated EHV charges'!$D:$P,12,FALSE)),"")</f>
        <v>0.05</v>
      </c>
      <c r="H73" s="207">
        <f>IFERROR(IF(VLOOKUP($A73,'Annex 2 Designated EHV charges'!$D:$P,13,FALSE)=0,"",VLOOKUP($A73,'Annex 2 Designated EHV charges'!$D:$P,13,FALSE)),"")</f>
        <v>0.05</v>
      </c>
    </row>
    <row r="74" spans="1:8" ht="12.75" customHeight="1" x14ac:dyDescent="0.35">
      <c r="A74" s="95" t="str" cm="1">
        <f t="array" ref="A74">IFERROR(INDEX('Annex 2 Designated EHV charges'!$D$10:$D$200, MATCH(0, IF(ISBLANK('Annex 2 Designated EHV charges'!$D$10:$D$200),1, COUNTIF(A$4:$A73, 'Annex 2 Designated EHV charges'!$D$10:$D$200)), 0)),"")</f>
        <v>WDLNDS</v>
      </c>
      <c r="B74" s="94">
        <f>IF($A74="","",VLOOKUP($A74,'Annex 2 Designated EHV charges'!$D:$O,2,0))</f>
        <v>702</v>
      </c>
      <c r="C74" s="95">
        <f>IF($A74="","",VLOOKUP($A74,'Annex 2 Designated EHV charges'!$D:$O,3,0))</f>
        <v>1900091207133</v>
      </c>
      <c r="D74" s="94" t="str">
        <f>IF($A74="","",VLOOKUP($A74,'Annex 2 Designated EHV charges'!$D:$O,4,0))</f>
        <v>WDLNDS</v>
      </c>
      <c r="E74" s="96" t="str">
        <f>IFERROR(IF(VLOOKUP($A74,'Annex 2 Designated EHV charges'!$D:$P,10,FALSE)=0,"",VLOOKUP($A74,'Annex 2 Designated EHV charges'!$D:$P,10,FALSE)),"")</f>
        <v/>
      </c>
      <c r="F74" s="207">
        <f>IFERROR(IF(VLOOKUP($A74,'Annex 2 Designated EHV charges'!$D:$P,11,FALSE)=0,"",VLOOKUP($A74,'Annex 2 Designated EHV charges'!$D:$P,11,FALSE)),"")</f>
        <v>4101.5600000000004</v>
      </c>
      <c r="G74" s="207">
        <f>IFERROR(IF(VLOOKUP($A74,'Annex 2 Designated EHV charges'!$D:$P,12,FALSE)=0,"",VLOOKUP($A74,'Annex 2 Designated EHV charges'!$D:$P,12,FALSE)),"")</f>
        <v>0.05</v>
      </c>
      <c r="H74" s="207">
        <f>IFERROR(IF(VLOOKUP($A74,'Annex 2 Designated EHV charges'!$D:$P,13,FALSE)=0,"",VLOOKUP($A74,'Annex 2 Designated EHV charges'!$D:$P,13,FALSE)),"")</f>
        <v>0.05</v>
      </c>
    </row>
    <row r="75" spans="1:8" ht="12.75" customHeight="1" x14ac:dyDescent="0.35">
      <c r="A75" s="95" t="str" cm="1">
        <f t="array" ref="A75">IFERROR(INDEX('Annex 2 Designated EHV charges'!$D$10:$D$200, MATCH(0, IF(ISBLANK('Annex 2 Designated EHV charges'!$D$10:$D$200),1, COUNTIF(A$4:$A74, 'Annex 2 Designated EHV charges'!$D$10:$D$200)), 0)),"")</f>
        <v>WIDHFM</v>
      </c>
      <c r="B75" s="94">
        <f>IF($A75="","",VLOOKUP($A75,'Annex 2 Designated EHV charges'!$D:$O,2,0))</f>
        <v>714</v>
      </c>
      <c r="C75" s="95">
        <f>IF($A75="","",VLOOKUP($A75,'Annex 2 Designated EHV charges'!$D:$O,3,0))</f>
        <v>1900091478509</v>
      </c>
      <c r="D75" s="94" t="str">
        <f>IF($A75="","",VLOOKUP($A75,'Annex 2 Designated EHV charges'!$D:$O,4,0))</f>
        <v>WIDHFM</v>
      </c>
      <c r="E75" s="96" t="str">
        <f>IFERROR(IF(VLOOKUP($A75,'Annex 2 Designated EHV charges'!$D:$P,10,FALSE)=0,"",VLOOKUP($A75,'Annex 2 Designated EHV charges'!$D:$P,10,FALSE)),"")</f>
        <v/>
      </c>
      <c r="F75" s="207">
        <f>IFERROR(IF(VLOOKUP($A75,'Annex 2 Designated EHV charges'!$D:$P,11,FALSE)=0,"",VLOOKUP($A75,'Annex 2 Designated EHV charges'!$D:$P,11,FALSE)),"")</f>
        <v>2073.56</v>
      </c>
      <c r="G75" s="207">
        <f>IFERROR(IF(VLOOKUP($A75,'Annex 2 Designated EHV charges'!$D:$P,12,FALSE)=0,"",VLOOKUP($A75,'Annex 2 Designated EHV charges'!$D:$P,12,FALSE)),"")</f>
        <v>0.05</v>
      </c>
      <c r="H75" s="207">
        <f>IFERROR(IF(VLOOKUP($A75,'Annex 2 Designated EHV charges'!$D:$P,13,FALSE)=0,"",VLOOKUP($A75,'Annex 2 Designated EHV charges'!$D:$P,13,FALSE)),"")</f>
        <v>0.05</v>
      </c>
    </row>
    <row r="76" spans="1:8" ht="12.75" customHeight="1" x14ac:dyDescent="0.35">
      <c r="A76" s="95" t="str" cm="1">
        <f t="array" ref="A76">IFERROR(INDEX('Annex 2 Designated EHV charges'!$D$10:$D$200, MATCH(0, IF(ISBLANK('Annex 2 Designated EHV charges'!$D$10:$D$200),1, COUNTIF(A$4:$A75, 'Annex 2 Designated EHV charges'!$D$10:$D$200)), 0)),"")</f>
        <v>WLBEES</v>
      </c>
      <c r="B76" s="94">
        <f>IF($A76="","",VLOOKUP($A76,'Annex 2 Designated EHV charges'!$D:$O,2,0))</f>
        <v>715</v>
      </c>
      <c r="C76" s="95">
        <f>IF($A76="","",VLOOKUP($A76,'Annex 2 Designated EHV charges'!$D:$O,3,0))</f>
        <v>1900091315229</v>
      </c>
      <c r="D76" s="94" t="str">
        <f>IF($A76="","",VLOOKUP($A76,'Annex 2 Designated EHV charges'!$D:$O,4,0))</f>
        <v>WLBEES</v>
      </c>
      <c r="E76" s="96" t="str">
        <f>IFERROR(IF(VLOOKUP($A76,'Annex 2 Designated EHV charges'!$D:$P,10,FALSE)=0,"",VLOOKUP($A76,'Annex 2 Designated EHV charges'!$D:$P,10,FALSE)),"")</f>
        <v/>
      </c>
      <c r="F76" s="207">
        <f>IFERROR(IF(VLOOKUP($A76,'Annex 2 Designated EHV charges'!$D:$P,11,FALSE)=0,"",VLOOKUP($A76,'Annex 2 Designated EHV charges'!$D:$P,11,FALSE)),"")</f>
        <v>441.39</v>
      </c>
      <c r="G76" s="207">
        <f>IFERROR(IF(VLOOKUP($A76,'Annex 2 Designated EHV charges'!$D:$P,12,FALSE)=0,"",VLOOKUP($A76,'Annex 2 Designated EHV charges'!$D:$P,12,FALSE)),"")</f>
        <v>0.05</v>
      </c>
      <c r="H76" s="207">
        <f>IFERROR(IF(VLOOKUP($A76,'Annex 2 Designated EHV charges'!$D:$P,13,FALSE)=0,"",VLOOKUP($A76,'Annex 2 Designated EHV charges'!$D:$P,13,FALSE)),"")</f>
        <v>0.05</v>
      </c>
    </row>
    <row r="77" spans="1:8" ht="12.75" customHeight="1" x14ac:dyDescent="0.35">
      <c r="A77" s="95" t="str" cm="1">
        <f t="array" ref="A77">IFERROR(INDEX('Annex 2 Designated EHV charges'!$D$10:$D$200, MATCH(0, IF(ISBLANK('Annex 2 Designated EHV charges'!$D$10:$D$200),1, COUNTIF(A$4:$A76, 'Annex 2 Designated EHV charges'!$D$10:$D$200)), 0)),"")</f>
        <v>WRGALL</v>
      </c>
      <c r="B77" s="94">
        <f>IF($A77="","",VLOOKUP($A77,'Annex 2 Designated EHV charges'!$D:$O,2,0))</f>
        <v>731</v>
      </c>
      <c r="C77" s="95" t="str">
        <f>IF($A77="","",VLOOKUP($A77,'Annex 2 Designated EHV charges'!$D:$O,3,0))</f>
        <v>1900070394466;1900070467983</v>
      </c>
      <c r="D77" s="94" t="str">
        <f>IF($A77="","",VLOOKUP($A77,'Annex 2 Designated EHV charges'!$D:$O,4,0))</f>
        <v>WRGALL</v>
      </c>
      <c r="E77" s="96" t="str">
        <f>IFERROR(IF(VLOOKUP($A77,'Annex 2 Designated EHV charges'!$D:$P,10,FALSE)=0,"",VLOOKUP($A77,'Annex 2 Designated EHV charges'!$D:$P,10,FALSE)),"")</f>
        <v/>
      </c>
      <c r="F77" s="207" t="str">
        <f>IFERROR(IF(VLOOKUP($A77,'Annex 2 Designated EHV charges'!$D:$P,11,FALSE)=0,"",VLOOKUP($A77,'Annex 2 Designated EHV charges'!$D:$P,11,FALSE)),"")</f>
        <v/>
      </c>
      <c r="G77" s="207" t="str">
        <f>IFERROR(IF(VLOOKUP($A77,'Annex 2 Designated EHV charges'!$D:$P,12,FALSE)=0,"",VLOOKUP($A77,'Annex 2 Designated EHV charges'!$D:$P,12,FALSE)),"")</f>
        <v/>
      </c>
      <c r="H77" s="207" t="str">
        <f>IFERROR(IF(VLOOKUP($A77,'Annex 2 Designated EHV charges'!$D:$P,13,FALSE)=0,"",VLOOKUP($A77,'Annex 2 Designated EHV charges'!$D:$P,13,FALSE)),"")</f>
        <v/>
      </c>
    </row>
    <row r="78" spans="1:8" ht="12.75" customHeight="1" x14ac:dyDescent="0.35">
      <c r="A78" s="95" t="str" cm="1">
        <f t="array" ref="A78">IFERROR(INDEX('Annex 2 Designated EHV charges'!$D$10:$D$200, MATCH(0, IF(ISBLANK('Annex 2 Designated EHV charges'!$D$10:$D$200),1, COUNTIF(A$4:$A77, 'Annex 2 Designated EHV charges'!$D$10:$D$200)), 0)),"")</f>
        <v>WSTWDX</v>
      </c>
      <c r="B78" s="94">
        <f>IF($A78="","",VLOOKUP($A78,'Annex 2 Designated EHV charges'!$D:$O,2,0))</f>
        <v>740</v>
      </c>
      <c r="C78" s="95">
        <f>IF($A78="","",VLOOKUP($A78,'Annex 2 Designated EHV charges'!$D:$O,3,0))</f>
        <v>1900091086540</v>
      </c>
      <c r="D78" s="94" t="str">
        <f>IF($A78="","",VLOOKUP($A78,'Annex 2 Designated EHV charges'!$D:$O,4,0))</f>
        <v>WSTWDX</v>
      </c>
      <c r="E78" s="96" t="str">
        <f>IFERROR(IF(VLOOKUP($A78,'Annex 2 Designated EHV charges'!$D:$P,10,FALSE)=0,"",VLOOKUP($A78,'Annex 2 Designated EHV charges'!$D:$P,10,FALSE)),"")</f>
        <v/>
      </c>
      <c r="F78" s="207">
        <f>IFERROR(IF(VLOOKUP($A78,'Annex 2 Designated EHV charges'!$D:$P,11,FALSE)=0,"",VLOOKUP($A78,'Annex 2 Designated EHV charges'!$D:$P,11,FALSE)),"")</f>
        <v>1929.2</v>
      </c>
      <c r="G78" s="207">
        <f>IFERROR(IF(VLOOKUP($A78,'Annex 2 Designated EHV charges'!$D:$P,12,FALSE)=0,"",VLOOKUP($A78,'Annex 2 Designated EHV charges'!$D:$P,12,FALSE)),"")</f>
        <v>0.05</v>
      </c>
      <c r="H78" s="207">
        <f>IFERROR(IF(VLOOKUP($A78,'Annex 2 Designated EHV charges'!$D:$P,13,FALSE)=0,"",VLOOKUP($A78,'Annex 2 Designated EHV charges'!$D:$P,13,FALSE)),"")</f>
        <v>0.05</v>
      </c>
    </row>
    <row r="79" spans="1:8" ht="12.75" customHeight="1" x14ac:dyDescent="0.35">
      <c r="A79" s="189" t="str" cm="1">
        <f t="array" ref="A79">IFERROR(INDEX('Annex 2 Designated EHV charges'!$D$10:$D$200, MATCH(0, IF(ISBLANK('Annex 2 Designated EHV charges'!$D$10:$D$200),1, COUNTIF(A$4:$A78, 'Annex 2 Designated EHV charges'!$D$10:$D$200)), 0)),"")</f>
        <v/>
      </c>
      <c r="B79" s="190" t="str">
        <f>IF($A79="","",VLOOKUP($A79,'Annex 2 Designated EHV charges'!$D:$O,2,0))</f>
        <v/>
      </c>
      <c r="C79" s="189" t="str">
        <f>IF($A79="","",VLOOKUP($A79,'Annex 2 Designated EHV charges'!$D:$O,3,0))</f>
        <v/>
      </c>
      <c r="D79" s="190" t="str">
        <f>IF($A79="","",VLOOKUP($A79,'Annex 2 Designated EHV charges'!$D:$O,4,0))</f>
        <v/>
      </c>
      <c r="E79" s="191" t="str">
        <f>IFERROR(IF(VLOOKUP($A79,'Annex 2 Designated EHV charges'!$D:$P,10,FALSE)=0,"",VLOOKUP($A79,'Annex 2 Designated EHV charges'!$D:$P,10,FALSE)),"")</f>
        <v/>
      </c>
      <c r="F79" s="194" t="str">
        <f>IFERROR(IF(VLOOKUP($A79,'Annex 2 Designated EHV charges'!$D:$P,11,FALSE)=0,"",VLOOKUP($A79,'Annex 2 Designated EHV charges'!$D:$P,11,FALSE)),"")</f>
        <v/>
      </c>
      <c r="G79" s="194" t="str">
        <f>IFERROR(IF(VLOOKUP($A79,'Annex 2 Designated EHV charges'!$D:$P,12,FALSE)=0,"",VLOOKUP($A79,'Annex 2 Designated EHV charges'!$D:$P,12,FALSE)),"")</f>
        <v/>
      </c>
      <c r="H79" s="194" t="str">
        <f>IFERROR(IF(VLOOKUP($A79,'Annex 2 Designated EHV charges'!$D:$P,13,FALSE)=0,"",VLOOKUP($A79,'Annex 2 Designated EHV charges'!$D:$P,13,FALSE)),"")</f>
        <v/>
      </c>
    </row>
    <row r="80" spans="1:8" ht="12.75" customHeight="1" x14ac:dyDescent="0.35">
      <c r="A80" s="189" t="str" cm="1">
        <f t="array" ref="A80">IFERROR(INDEX('Annex 2 Designated EHV charges'!$D$10:$D$200, MATCH(0, IF(ISBLANK('Annex 2 Designated EHV charges'!$D$10:$D$200),1, COUNTIF(A$4:$A79, 'Annex 2 Designated EHV charges'!$D$10:$D$200)), 0)),"")</f>
        <v/>
      </c>
      <c r="B80" s="190" t="str">
        <f>IF($A80="","",VLOOKUP($A80,'Annex 2 Designated EHV charges'!$D:$O,2,0))</f>
        <v/>
      </c>
      <c r="C80" s="189" t="str">
        <f>IF($A80="","",VLOOKUP($A80,'Annex 2 Designated EHV charges'!$D:$O,3,0))</f>
        <v/>
      </c>
      <c r="D80" s="190" t="str">
        <f>IF($A80="","",VLOOKUP($A80,'Annex 2 Designated EHV charges'!$D:$O,4,0))</f>
        <v/>
      </c>
      <c r="E80" s="191" t="str">
        <f>IFERROR(IF(VLOOKUP($A80,'Annex 2 Designated EHV charges'!$D:$P,10,FALSE)=0,"",VLOOKUP($A80,'Annex 2 Designated EHV charges'!$D:$P,10,FALSE)),"")</f>
        <v/>
      </c>
      <c r="F80" s="194" t="str">
        <f>IFERROR(IF(VLOOKUP($A80,'Annex 2 Designated EHV charges'!$D:$P,11,FALSE)=0,"",VLOOKUP($A80,'Annex 2 Designated EHV charges'!$D:$P,11,FALSE)),"")</f>
        <v/>
      </c>
      <c r="G80" s="194" t="str">
        <f>IFERROR(IF(VLOOKUP($A80,'Annex 2 Designated EHV charges'!$D:$P,12,FALSE)=0,"",VLOOKUP($A80,'Annex 2 Designated EHV charges'!$D:$P,12,FALSE)),"")</f>
        <v/>
      </c>
      <c r="H80" s="194" t="str">
        <f>IFERROR(IF(VLOOKUP($A80,'Annex 2 Designated EHV charges'!$D:$P,13,FALSE)=0,"",VLOOKUP($A80,'Annex 2 Designated EHV charges'!$D:$P,13,FALSE)),"")</f>
        <v/>
      </c>
    </row>
    <row r="81" spans="1:8" ht="12.75" customHeight="1" x14ac:dyDescent="0.35">
      <c r="A81" s="189" t="str" cm="1">
        <f t="array" ref="A81">IFERROR(INDEX('Annex 2 Designated EHV charges'!$D$10:$D$200, MATCH(0, IF(ISBLANK('Annex 2 Designated EHV charges'!$D$10:$D$200),1, COUNTIF(A$4:$A80, 'Annex 2 Designated EHV charges'!$D$10:$D$200)), 0)),"")</f>
        <v/>
      </c>
      <c r="B81" s="190" t="str">
        <f>IF($A81="","",VLOOKUP($A81,'Annex 2 Designated EHV charges'!$D:$O,2,0))</f>
        <v/>
      </c>
      <c r="C81" s="189" t="str">
        <f>IF($A81="","",VLOOKUP($A81,'Annex 2 Designated EHV charges'!$D:$O,3,0))</f>
        <v/>
      </c>
      <c r="D81" s="190" t="str">
        <f>IF($A81="","",VLOOKUP($A81,'Annex 2 Designated EHV charges'!$D:$O,4,0))</f>
        <v/>
      </c>
      <c r="E81" s="191" t="str">
        <f>IFERROR(IF(VLOOKUP($A81,'Annex 2 Designated EHV charges'!$D:$P,10,FALSE)=0,"",VLOOKUP($A81,'Annex 2 Designated EHV charges'!$D:$P,10,FALSE)),"")</f>
        <v/>
      </c>
      <c r="F81" s="194" t="str">
        <f>IFERROR(IF(VLOOKUP($A81,'Annex 2 Designated EHV charges'!$D:$P,11,FALSE)=0,"",VLOOKUP($A81,'Annex 2 Designated EHV charges'!$D:$P,11,FALSE)),"")</f>
        <v/>
      </c>
      <c r="G81" s="194" t="str">
        <f>IFERROR(IF(VLOOKUP($A81,'Annex 2 Designated EHV charges'!$D:$P,12,FALSE)=0,"",VLOOKUP($A81,'Annex 2 Designated EHV charges'!$D:$P,12,FALSE)),"")</f>
        <v/>
      </c>
      <c r="H81" s="194" t="str">
        <f>IFERROR(IF(VLOOKUP($A81,'Annex 2 Designated EHV charges'!$D:$P,13,FALSE)=0,"",VLOOKUP($A81,'Annex 2 Designated EHV charges'!$D:$P,13,FALSE)),"")</f>
        <v/>
      </c>
    </row>
    <row r="82" spans="1:8" ht="12.75" customHeight="1" x14ac:dyDescent="0.35">
      <c r="A82" s="189" t="str" cm="1">
        <f t="array" ref="A82">IFERROR(INDEX('Annex 2 Designated EHV charges'!$D$10:$D$200, MATCH(0, IF(ISBLANK('Annex 2 Designated EHV charges'!$D$10:$D$200),1, COUNTIF(A$4:$A81, 'Annex 2 Designated EHV charges'!$D$10:$D$200)), 0)),"")</f>
        <v/>
      </c>
      <c r="B82" s="190" t="str">
        <f>IF($A82="","",VLOOKUP($A82,'Annex 2 Designated EHV charges'!$D:$O,2,0))</f>
        <v/>
      </c>
      <c r="C82" s="189" t="str">
        <f>IF($A82="","",VLOOKUP($A82,'Annex 2 Designated EHV charges'!$D:$O,3,0))</f>
        <v/>
      </c>
      <c r="D82" s="190" t="str">
        <f>IF($A82="","",VLOOKUP($A82,'Annex 2 Designated EHV charges'!$D:$O,4,0))</f>
        <v/>
      </c>
      <c r="E82" s="191" t="str">
        <f>IFERROR(IF(VLOOKUP($A82,'Annex 2 Designated EHV charges'!$D:$P,10,FALSE)=0,"",VLOOKUP($A82,'Annex 2 Designated EHV charges'!$D:$P,10,FALSE)),"")</f>
        <v/>
      </c>
      <c r="F82" s="194" t="str">
        <f>IFERROR(IF(VLOOKUP($A82,'Annex 2 Designated EHV charges'!$D:$P,11,FALSE)=0,"",VLOOKUP($A82,'Annex 2 Designated EHV charges'!$D:$P,11,FALSE)),"")</f>
        <v/>
      </c>
      <c r="G82" s="194" t="str">
        <f>IFERROR(IF(VLOOKUP($A82,'Annex 2 Designated EHV charges'!$D:$P,12,FALSE)=0,"",VLOOKUP($A82,'Annex 2 Designated EHV charges'!$D:$P,12,FALSE)),"")</f>
        <v/>
      </c>
      <c r="H82" s="194" t="str">
        <f>IFERROR(IF(VLOOKUP($A82,'Annex 2 Designated EHV charges'!$D:$P,13,FALSE)=0,"",VLOOKUP($A82,'Annex 2 Designated EHV charges'!$D:$P,13,FALSE)),"")</f>
        <v/>
      </c>
    </row>
    <row r="83" spans="1:8" ht="12.75" customHeight="1" x14ac:dyDescent="0.35">
      <c r="A83" s="189" t="str" cm="1">
        <f t="array" ref="A83">IFERROR(INDEX('Annex 2 Designated EHV charges'!$D$10:$D$200, MATCH(0, IF(ISBLANK('Annex 2 Designated EHV charges'!$D$10:$D$200),1, COUNTIF(A$4:$A82, 'Annex 2 Designated EHV charges'!$D$10:$D$200)), 0)),"")</f>
        <v/>
      </c>
      <c r="B83" s="190" t="str">
        <f>IF($A83="","",VLOOKUP($A83,'Annex 2 Designated EHV charges'!$D:$O,2,0))</f>
        <v/>
      </c>
      <c r="C83" s="189" t="str">
        <f>IF($A83="","",VLOOKUP($A83,'Annex 2 Designated EHV charges'!$D:$O,3,0))</f>
        <v/>
      </c>
      <c r="D83" s="190" t="str">
        <f>IF($A83="","",VLOOKUP($A83,'Annex 2 Designated EHV charges'!$D:$O,4,0))</f>
        <v/>
      </c>
      <c r="E83" s="191" t="str">
        <f>IFERROR(IF(VLOOKUP($A83,'Annex 2 Designated EHV charges'!$D:$P,10,FALSE)=0,"",VLOOKUP($A83,'Annex 2 Designated EHV charges'!$D:$P,10,FALSE)),"")</f>
        <v/>
      </c>
      <c r="F83" s="194" t="str">
        <f>IFERROR(IF(VLOOKUP($A83,'Annex 2 Designated EHV charges'!$D:$P,11,FALSE)=0,"",VLOOKUP($A83,'Annex 2 Designated EHV charges'!$D:$P,11,FALSE)),"")</f>
        <v/>
      </c>
      <c r="G83" s="194" t="str">
        <f>IFERROR(IF(VLOOKUP($A83,'Annex 2 Designated EHV charges'!$D:$P,12,FALSE)=0,"",VLOOKUP($A83,'Annex 2 Designated EHV charges'!$D:$P,12,FALSE)),"")</f>
        <v/>
      </c>
      <c r="H83" s="194" t="str">
        <f>IFERROR(IF(VLOOKUP($A83,'Annex 2 Designated EHV charges'!$D:$P,13,FALSE)=0,"",VLOOKUP($A83,'Annex 2 Designated EHV charges'!$D:$P,13,FALSE)),"")</f>
        <v/>
      </c>
    </row>
    <row r="84" spans="1:8" ht="12.75" customHeight="1" x14ac:dyDescent="0.35">
      <c r="A84" s="189" t="str" cm="1">
        <f t="array" ref="A84">IFERROR(INDEX('Annex 2 Designated EHV charges'!$D$10:$D$200, MATCH(0, IF(ISBLANK('Annex 2 Designated EHV charges'!$D$10:$D$200),1, COUNTIF(A$4:$A83, 'Annex 2 Designated EHV charges'!$D$10:$D$200)), 0)),"")</f>
        <v/>
      </c>
      <c r="B84" s="190" t="str">
        <f>IF($A84="","",VLOOKUP($A84,'Annex 2 Designated EHV charges'!$D:$O,2,0))</f>
        <v/>
      </c>
      <c r="C84" s="189" t="str">
        <f>IF($A84="","",VLOOKUP($A84,'Annex 2 Designated EHV charges'!$D:$O,3,0))</f>
        <v/>
      </c>
      <c r="D84" s="190" t="str">
        <f>IF($A84="","",VLOOKUP($A84,'Annex 2 Designated EHV charges'!$D:$O,4,0))</f>
        <v/>
      </c>
      <c r="E84" s="191" t="str">
        <f>IFERROR(IF(VLOOKUP($A84,'Annex 2 Designated EHV charges'!$D:$P,10,FALSE)=0,"",VLOOKUP($A84,'Annex 2 Designated EHV charges'!$D:$P,10,FALSE)),"")</f>
        <v/>
      </c>
      <c r="F84" s="194" t="str">
        <f>IFERROR(IF(VLOOKUP($A84,'Annex 2 Designated EHV charges'!$D:$P,11,FALSE)=0,"",VLOOKUP($A84,'Annex 2 Designated EHV charges'!$D:$P,11,FALSE)),"")</f>
        <v/>
      </c>
      <c r="G84" s="194" t="str">
        <f>IFERROR(IF(VLOOKUP($A84,'Annex 2 Designated EHV charges'!$D:$P,12,FALSE)=0,"",VLOOKUP($A84,'Annex 2 Designated EHV charges'!$D:$P,12,FALSE)),"")</f>
        <v/>
      </c>
      <c r="H84" s="194" t="str">
        <f>IFERROR(IF(VLOOKUP($A84,'Annex 2 Designated EHV charges'!$D:$P,13,FALSE)=0,"",VLOOKUP($A84,'Annex 2 Designated EHV charges'!$D:$P,13,FALSE)),"")</f>
        <v/>
      </c>
    </row>
    <row r="85" spans="1:8" ht="12.75" customHeight="1" x14ac:dyDescent="0.35">
      <c r="A85" s="189" t="str" cm="1">
        <f t="array" ref="A85">IFERROR(INDEX('Annex 2 Designated EHV charges'!$D$10:$D$200, MATCH(0, IF(ISBLANK('Annex 2 Designated EHV charges'!$D$10:$D$200),1, COUNTIF(A$4:$A84, 'Annex 2 Designated EHV charges'!$D$10:$D$200)), 0)),"")</f>
        <v/>
      </c>
      <c r="B85" s="190" t="str">
        <f>IF($A85="","",VLOOKUP($A85,'Annex 2 Designated EHV charges'!$D:$O,2,0))</f>
        <v/>
      </c>
      <c r="C85" s="189" t="str">
        <f>IF($A85="","",VLOOKUP($A85,'Annex 2 Designated EHV charges'!$D:$O,3,0))</f>
        <v/>
      </c>
      <c r="D85" s="190" t="str">
        <f>IF($A85="","",VLOOKUP($A85,'Annex 2 Designated EHV charges'!$D:$O,4,0))</f>
        <v/>
      </c>
      <c r="E85" s="191" t="str">
        <f>IFERROR(IF(VLOOKUP($A85,'Annex 2 Designated EHV charges'!$D:$P,10,FALSE)=0,"",VLOOKUP($A85,'Annex 2 Designated EHV charges'!$D:$P,10,FALSE)),"")</f>
        <v/>
      </c>
      <c r="F85" s="194" t="str">
        <f>IFERROR(IF(VLOOKUP($A85,'Annex 2 Designated EHV charges'!$D:$P,11,FALSE)=0,"",VLOOKUP($A85,'Annex 2 Designated EHV charges'!$D:$P,11,FALSE)),"")</f>
        <v/>
      </c>
      <c r="G85" s="194" t="str">
        <f>IFERROR(IF(VLOOKUP($A85,'Annex 2 Designated EHV charges'!$D:$P,12,FALSE)=0,"",VLOOKUP($A85,'Annex 2 Designated EHV charges'!$D:$P,12,FALSE)),"")</f>
        <v/>
      </c>
      <c r="H85" s="194" t="str">
        <f>IFERROR(IF(VLOOKUP($A85,'Annex 2 Designated EHV charges'!$D:$P,13,FALSE)=0,"",VLOOKUP($A85,'Annex 2 Designated EHV charges'!$D:$P,13,FALSE)),"")</f>
        <v/>
      </c>
    </row>
    <row r="86" spans="1:8" ht="12.75" customHeight="1" x14ac:dyDescent="0.35">
      <c r="A86" s="189" t="str" cm="1">
        <f t="array" ref="A86">IFERROR(INDEX('Annex 2 Designated EHV charges'!$D$10:$D$200, MATCH(0, IF(ISBLANK('Annex 2 Designated EHV charges'!$D$10:$D$200),1, COUNTIF(A$4:$A85, 'Annex 2 Designated EHV charges'!$D$10:$D$200)), 0)),"")</f>
        <v/>
      </c>
      <c r="B86" s="190" t="str">
        <f>IF($A86="","",VLOOKUP($A86,'Annex 2 Designated EHV charges'!$D:$O,2,0))</f>
        <v/>
      </c>
      <c r="C86" s="189" t="str">
        <f>IF($A86="","",VLOOKUP($A86,'Annex 2 Designated EHV charges'!$D:$O,3,0))</f>
        <v/>
      </c>
      <c r="D86" s="190" t="str">
        <f>IF($A86="","",VLOOKUP($A86,'Annex 2 Designated EHV charges'!$D:$O,4,0))</f>
        <v/>
      </c>
      <c r="E86" s="191" t="str">
        <f>IFERROR(IF(VLOOKUP($A86,'Annex 2 Designated EHV charges'!$D:$P,10,FALSE)=0,"",VLOOKUP($A86,'Annex 2 Designated EHV charges'!$D:$P,10,FALSE)),"")</f>
        <v/>
      </c>
      <c r="F86" s="194" t="str">
        <f>IFERROR(IF(VLOOKUP($A86,'Annex 2 Designated EHV charges'!$D:$P,11,FALSE)=0,"",VLOOKUP($A86,'Annex 2 Designated EHV charges'!$D:$P,11,FALSE)),"")</f>
        <v/>
      </c>
      <c r="G86" s="194" t="str">
        <f>IFERROR(IF(VLOOKUP($A86,'Annex 2 Designated EHV charges'!$D:$P,12,FALSE)=0,"",VLOOKUP($A86,'Annex 2 Designated EHV charges'!$D:$P,12,FALSE)),"")</f>
        <v/>
      </c>
      <c r="H86" s="194" t="str">
        <f>IFERROR(IF(VLOOKUP($A86,'Annex 2 Designated EHV charges'!$D:$P,13,FALSE)=0,"",VLOOKUP($A86,'Annex 2 Designated EHV charges'!$D:$P,13,FALSE)),"")</f>
        <v/>
      </c>
    </row>
    <row r="87" spans="1:8" ht="12.75" customHeight="1" x14ac:dyDescent="0.35">
      <c r="A87" s="189" t="str" cm="1">
        <f t="array" ref="A87">IFERROR(INDEX('Annex 2 Designated EHV charges'!$D$10:$D$200, MATCH(0, IF(ISBLANK('Annex 2 Designated EHV charges'!$D$10:$D$200),1, COUNTIF(A$4:$A86, 'Annex 2 Designated EHV charges'!$D$10:$D$200)), 0)),"")</f>
        <v/>
      </c>
      <c r="B87" s="190" t="str">
        <f>IF($A87="","",VLOOKUP($A87,'Annex 2 Designated EHV charges'!$D:$O,2,0))</f>
        <v/>
      </c>
      <c r="C87" s="189" t="str">
        <f>IF($A87="","",VLOOKUP($A87,'Annex 2 Designated EHV charges'!$D:$O,3,0))</f>
        <v/>
      </c>
      <c r="D87" s="190" t="str">
        <f>IF($A87="","",VLOOKUP($A87,'Annex 2 Designated EHV charges'!$D:$O,4,0))</f>
        <v/>
      </c>
      <c r="E87" s="191" t="str">
        <f>IFERROR(IF(VLOOKUP($A87,'Annex 2 Designated EHV charges'!$D:$P,10,FALSE)=0,"",VLOOKUP($A87,'Annex 2 Designated EHV charges'!$D:$P,10,FALSE)),"")</f>
        <v/>
      </c>
      <c r="F87" s="194" t="str">
        <f>IFERROR(IF(VLOOKUP($A87,'Annex 2 Designated EHV charges'!$D:$P,11,FALSE)=0,"",VLOOKUP($A87,'Annex 2 Designated EHV charges'!$D:$P,11,FALSE)),"")</f>
        <v/>
      </c>
      <c r="G87" s="194" t="str">
        <f>IFERROR(IF(VLOOKUP($A87,'Annex 2 Designated EHV charges'!$D:$P,12,FALSE)=0,"",VLOOKUP($A87,'Annex 2 Designated EHV charges'!$D:$P,12,FALSE)),"")</f>
        <v/>
      </c>
      <c r="H87" s="194" t="str">
        <f>IFERROR(IF(VLOOKUP($A87,'Annex 2 Designated EHV charges'!$D:$P,13,FALSE)=0,"",VLOOKUP($A87,'Annex 2 Designated EHV charges'!$D:$P,13,FALSE)),"")</f>
        <v/>
      </c>
    </row>
    <row r="88" spans="1:8" ht="12.75" customHeight="1" x14ac:dyDescent="0.35">
      <c r="A88" s="189" t="str" cm="1">
        <f t="array" ref="A88">IFERROR(INDEX('Annex 2 Designated EHV charges'!$D$10:$D$200, MATCH(0, IF(ISBLANK('Annex 2 Designated EHV charges'!$D$10:$D$200),1, COUNTIF(A$4:$A87, 'Annex 2 Designated EHV charges'!$D$10:$D$200)), 0)),"")</f>
        <v/>
      </c>
      <c r="B88" s="190" t="str">
        <f>IF($A88="","",VLOOKUP($A88,'Annex 2 Designated EHV charges'!$D:$O,2,0))</f>
        <v/>
      </c>
      <c r="C88" s="189" t="str">
        <f>IF($A88="","",VLOOKUP($A88,'Annex 2 Designated EHV charges'!$D:$O,3,0))</f>
        <v/>
      </c>
      <c r="D88" s="190" t="str">
        <f>IF($A88="","",VLOOKUP($A88,'Annex 2 Designated EHV charges'!$D:$O,4,0))</f>
        <v/>
      </c>
      <c r="E88" s="191" t="str">
        <f>IFERROR(IF(VLOOKUP($A88,'Annex 2 Designated EHV charges'!$D:$P,10,FALSE)=0,"",VLOOKUP($A88,'Annex 2 Designated EHV charges'!$D:$P,10,FALSE)),"")</f>
        <v/>
      </c>
      <c r="F88" s="194" t="str">
        <f>IFERROR(IF(VLOOKUP($A88,'Annex 2 Designated EHV charges'!$D:$P,11,FALSE)=0,"",VLOOKUP($A88,'Annex 2 Designated EHV charges'!$D:$P,11,FALSE)),"")</f>
        <v/>
      </c>
      <c r="G88" s="194" t="str">
        <f>IFERROR(IF(VLOOKUP($A88,'Annex 2 Designated EHV charges'!$D:$P,12,FALSE)=0,"",VLOOKUP($A88,'Annex 2 Designated EHV charges'!$D:$P,12,FALSE)),"")</f>
        <v/>
      </c>
      <c r="H88" s="194" t="str">
        <f>IFERROR(IF(VLOOKUP($A88,'Annex 2 Designated EHV charges'!$D:$P,13,FALSE)=0,"",VLOOKUP($A88,'Annex 2 Designated EHV charges'!$D:$P,13,FALSE)),"")</f>
        <v/>
      </c>
    </row>
    <row r="89" spans="1:8" ht="12.75" customHeight="1" x14ac:dyDescent="0.35">
      <c r="A89" s="189" t="str" cm="1">
        <f t="array" ref="A89">IFERROR(INDEX('Annex 2 Designated EHV charges'!$D$10:$D$200, MATCH(0, IF(ISBLANK('Annex 2 Designated EHV charges'!$D$10:$D$200),1, COUNTIF(A$4:$A88, 'Annex 2 Designated EHV charges'!$D$10:$D$200)), 0)),"")</f>
        <v/>
      </c>
      <c r="B89" s="190" t="str">
        <f>IF($A89="","",VLOOKUP($A89,'Annex 2 Designated EHV charges'!$D:$O,2,0))</f>
        <v/>
      </c>
      <c r="C89" s="189" t="str">
        <f>IF($A89="","",VLOOKUP($A89,'Annex 2 Designated EHV charges'!$D:$O,3,0))</f>
        <v/>
      </c>
      <c r="D89" s="190" t="str">
        <f>IF($A89="","",VLOOKUP($A89,'Annex 2 Designated EHV charges'!$D:$O,4,0))</f>
        <v/>
      </c>
      <c r="E89" s="191" t="str">
        <f>IFERROR(IF(VLOOKUP($A89,'Annex 2 Designated EHV charges'!$D:$P,10,FALSE)=0,"",VLOOKUP($A89,'Annex 2 Designated EHV charges'!$D:$P,10,FALSE)),"")</f>
        <v/>
      </c>
      <c r="F89" s="194" t="str">
        <f>IFERROR(IF(VLOOKUP($A89,'Annex 2 Designated EHV charges'!$D:$P,11,FALSE)=0,"",VLOOKUP($A89,'Annex 2 Designated EHV charges'!$D:$P,11,FALSE)),"")</f>
        <v/>
      </c>
      <c r="G89" s="194" t="str">
        <f>IFERROR(IF(VLOOKUP($A89,'Annex 2 Designated EHV charges'!$D:$P,12,FALSE)=0,"",VLOOKUP($A89,'Annex 2 Designated EHV charges'!$D:$P,12,FALSE)),"")</f>
        <v/>
      </c>
      <c r="H89" s="194" t="str">
        <f>IFERROR(IF(VLOOKUP($A89,'Annex 2 Designated EHV charges'!$D:$P,13,FALSE)=0,"",VLOOKUP($A89,'Annex 2 Designated EHV charges'!$D:$P,13,FALSE)),"")</f>
        <v/>
      </c>
    </row>
    <row r="90" spans="1:8" ht="12.75" customHeight="1" x14ac:dyDescent="0.35">
      <c r="A90" s="189" t="str" cm="1">
        <f t="array" ref="A90">IFERROR(INDEX('Annex 2 Designated EHV charges'!$D$10:$D$200, MATCH(0, IF(ISBLANK('Annex 2 Designated EHV charges'!$D$10:$D$200),1, COUNTIF(A$4:$A89, 'Annex 2 Designated EHV charges'!$D$10:$D$200)), 0)),"")</f>
        <v/>
      </c>
      <c r="B90" s="190" t="str">
        <f>IF($A90="","",VLOOKUP($A90,'Annex 2 Designated EHV charges'!$D:$O,2,0))</f>
        <v/>
      </c>
      <c r="C90" s="189" t="str">
        <f>IF($A90="","",VLOOKUP($A90,'Annex 2 Designated EHV charges'!$D:$O,3,0))</f>
        <v/>
      </c>
      <c r="D90" s="190" t="str">
        <f>IF($A90="","",VLOOKUP($A90,'Annex 2 Designated EHV charges'!$D:$O,4,0))</f>
        <v/>
      </c>
      <c r="E90" s="191" t="str">
        <f>IFERROR(IF(VLOOKUP($A90,'Annex 2 Designated EHV charges'!$D:$P,10,FALSE)=0,"",VLOOKUP($A90,'Annex 2 Designated EHV charges'!$D:$P,10,FALSE)),"")</f>
        <v/>
      </c>
      <c r="F90" s="194" t="str">
        <f>IFERROR(IF(VLOOKUP($A90,'Annex 2 Designated EHV charges'!$D:$P,11,FALSE)=0,"",VLOOKUP($A90,'Annex 2 Designated EHV charges'!$D:$P,11,FALSE)),"")</f>
        <v/>
      </c>
      <c r="G90" s="194" t="str">
        <f>IFERROR(IF(VLOOKUP($A90,'Annex 2 Designated EHV charges'!$D:$P,12,FALSE)=0,"",VLOOKUP($A90,'Annex 2 Designated EHV charges'!$D:$P,12,FALSE)),"")</f>
        <v/>
      </c>
      <c r="H90" s="194" t="str">
        <f>IFERROR(IF(VLOOKUP($A90,'Annex 2 Designated EHV charges'!$D:$P,13,FALSE)=0,"",VLOOKUP($A90,'Annex 2 Designated EHV charges'!$D:$P,13,FALSE)),"")</f>
        <v/>
      </c>
    </row>
    <row r="91" spans="1:8" ht="12.75" customHeight="1" x14ac:dyDescent="0.35">
      <c r="A91" s="189" t="str" cm="1">
        <f t="array" ref="A91">IFERROR(INDEX('Annex 2 Designated EHV charges'!$D$10:$D$200, MATCH(0, IF(ISBLANK('Annex 2 Designated EHV charges'!$D$10:$D$200),1, COUNTIF(A$4:$A90, 'Annex 2 Designated EHV charges'!$D$10:$D$200)), 0)),"")</f>
        <v/>
      </c>
      <c r="B91" s="190" t="str">
        <f>IF($A91="","",VLOOKUP($A91,'Annex 2 Designated EHV charges'!$D:$O,2,0))</f>
        <v/>
      </c>
      <c r="C91" s="189" t="str">
        <f>IF($A91="","",VLOOKUP($A91,'Annex 2 Designated EHV charges'!$D:$O,3,0))</f>
        <v/>
      </c>
      <c r="D91" s="190" t="str">
        <f>IF($A91="","",VLOOKUP($A91,'Annex 2 Designated EHV charges'!$D:$O,4,0))</f>
        <v/>
      </c>
      <c r="E91" s="191" t="str">
        <f>IFERROR(IF(VLOOKUP($A91,'Annex 2 Designated EHV charges'!$D:$P,10,FALSE)=0,"",VLOOKUP($A91,'Annex 2 Designated EHV charges'!$D:$P,10,FALSE)),"")</f>
        <v/>
      </c>
      <c r="F91" s="194" t="str">
        <f>IFERROR(IF(VLOOKUP($A91,'Annex 2 Designated EHV charges'!$D:$P,11,FALSE)=0,"",VLOOKUP($A91,'Annex 2 Designated EHV charges'!$D:$P,11,FALSE)),"")</f>
        <v/>
      </c>
      <c r="G91" s="194" t="str">
        <f>IFERROR(IF(VLOOKUP($A91,'Annex 2 Designated EHV charges'!$D:$P,12,FALSE)=0,"",VLOOKUP($A91,'Annex 2 Designated EHV charges'!$D:$P,12,FALSE)),"")</f>
        <v/>
      </c>
      <c r="H91" s="194" t="str">
        <f>IFERROR(IF(VLOOKUP($A91,'Annex 2 Designated EHV charges'!$D:$P,13,FALSE)=0,"",VLOOKUP($A91,'Annex 2 Designated EHV charges'!$D:$P,13,FALSE)),"")</f>
        <v/>
      </c>
    </row>
    <row r="92" spans="1:8" ht="12.75" customHeight="1" x14ac:dyDescent="0.35">
      <c r="A92" s="189" t="str" cm="1">
        <f t="array" ref="A92">IFERROR(INDEX('Annex 2 Designated EHV charges'!$D$10:$D$200, MATCH(0, IF(ISBLANK('Annex 2 Designated EHV charges'!$D$10:$D$200),1, COUNTIF(A$4:$A91, 'Annex 2 Designated EHV charges'!$D$10:$D$200)), 0)),"")</f>
        <v/>
      </c>
      <c r="B92" s="190" t="str">
        <f>IF($A92="","",VLOOKUP($A92,'Annex 2 Designated EHV charges'!$D:$O,2,0))</f>
        <v/>
      </c>
      <c r="C92" s="189" t="str">
        <f>IF($A92="","",VLOOKUP($A92,'Annex 2 Designated EHV charges'!$D:$O,3,0))</f>
        <v/>
      </c>
      <c r="D92" s="190" t="str">
        <f>IF($A92="","",VLOOKUP($A92,'Annex 2 Designated EHV charges'!$D:$O,4,0))</f>
        <v/>
      </c>
      <c r="E92" s="191" t="str">
        <f>IFERROR(IF(VLOOKUP($A92,'Annex 2 Designated EHV charges'!$D:$P,10,FALSE)=0,"",VLOOKUP($A92,'Annex 2 Designated EHV charges'!$D:$P,10,FALSE)),"")</f>
        <v/>
      </c>
      <c r="F92" s="194" t="str">
        <f>IFERROR(IF(VLOOKUP($A92,'Annex 2 Designated EHV charges'!$D:$P,11,FALSE)=0,"",VLOOKUP($A92,'Annex 2 Designated EHV charges'!$D:$P,11,FALSE)),"")</f>
        <v/>
      </c>
      <c r="G92" s="194" t="str">
        <f>IFERROR(IF(VLOOKUP($A92,'Annex 2 Designated EHV charges'!$D:$P,12,FALSE)=0,"",VLOOKUP($A92,'Annex 2 Designated EHV charges'!$D:$P,12,FALSE)),"")</f>
        <v/>
      </c>
      <c r="H92" s="194" t="str">
        <f>IFERROR(IF(VLOOKUP($A92,'Annex 2 Designated EHV charges'!$D:$P,13,FALSE)=0,"",VLOOKUP($A92,'Annex 2 Designated EHV charges'!$D:$P,13,FALSE)),"")</f>
        <v/>
      </c>
    </row>
    <row r="93" spans="1:8" ht="12.75" customHeight="1" x14ac:dyDescent="0.35">
      <c r="A93" s="189" t="str" cm="1">
        <f t="array" ref="A93">IFERROR(INDEX('Annex 2 Designated EHV charges'!$D$10:$D$200, MATCH(0, IF(ISBLANK('Annex 2 Designated EHV charges'!$D$10:$D$200),1, COUNTIF(A$4:$A92, 'Annex 2 Designated EHV charges'!$D$10:$D$200)), 0)),"")</f>
        <v/>
      </c>
      <c r="B93" s="190" t="str">
        <f>IF($A93="","",VLOOKUP($A93,'Annex 2 Designated EHV charges'!$D:$O,2,0))</f>
        <v/>
      </c>
      <c r="C93" s="189" t="str">
        <f>IF($A93="","",VLOOKUP($A93,'Annex 2 Designated EHV charges'!$D:$O,3,0))</f>
        <v/>
      </c>
      <c r="D93" s="190" t="str">
        <f>IF($A93="","",VLOOKUP($A93,'Annex 2 Designated EHV charges'!$D:$O,4,0))</f>
        <v/>
      </c>
      <c r="E93" s="191" t="str">
        <f>IFERROR(IF(VLOOKUP($A93,'Annex 2 Designated EHV charges'!$D:$P,10,FALSE)=0,"",VLOOKUP($A93,'Annex 2 Designated EHV charges'!$D:$P,10,FALSE)),"")</f>
        <v/>
      </c>
      <c r="F93" s="194" t="str">
        <f>IFERROR(IF(VLOOKUP($A93,'Annex 2 Designated EHV charges'!$D:$P,11,FALSE)=0,"",VLOOKUP($A93,'Annex 2 Designated EHV charges'!$D:$P,11,FALSE)),"")</f>
        <v/>
      </c>
      <c r="G93" s="194" t="str">
        <f>IFERROR(IF(VLOOKUP($A93,'Annex 2 Designated EHV charges'!$D:$P,12,FALSE)=0,"",VLOOKUP($A93,'Annex 2 Designated EHV charges'!$D:$P,12,FALSE)),"")</f>
        <v/>
      </c>
      <c r="H93" s="194" t="str">
        <f>IFERROR(IF(VLOOKUP($A93,'Annex 2 Designated EHV charges'!$D:$P,13,FALSE)=0,"",VLOOKUP($A93,'Annex 2 Designated EHV charges'!$D:$P,13,FALSE)),"")</f>
        <v/>
      </c>
    </row>
    <row r="94" spans="1:8" ht="12.75" customHeight="1" x14ac:dyDescent="0.35">
      <c r="A94" s="189" t="str" cm="1">
        <f t="array" ref="A94">IFERROR(INDEX('Annex 2 Designated EHV charges'!$D$10:$D$200, MATCH(0, IF(ISBLANK('Annex 2 Designated EHV charges'!$D$10:$D$200),1, COUNTIF(A$4:$A93, 'Annex 2 Designated EHV charges'!$D$10:$D$200)), 0)),"")</f>
        <v/>
      </c>
      <c r="B94" s="190" t="str">
        <f>IF($A94="","",VLOOKUP($A94,'Annex 2 Designated EHV charges'!$D:$O,2,0))</f>
        <v/>
      </c>
      <c r="C94" s="189" t="str">
        <f>IF($A94="","",VLOOKUP($A94,'Annex 2 Designated EHV charges'!$D:$O,3,0))</f>
        <v/>
      </c>
      <c r="D94" s="190" t="str">
        <f>IF($A94="","",VLOOKUP($A94,'Annex 2 Designated EHV charges'!$D:$O,4,0))</f>
        <v/>
      </c>
      <c r="E94" s="191" t="str">
        <f>IFERROR(IF(VLOOKUP($A94,'Annex 2 Designated EHV charges'!$D:$P,10,FALSE)=0,"",VLOOKUP($A94,'Annex 2 Designated EHV charges'!$D:$P,10,FALSE)),"")</f>
        <v/>
      </c>
      <c r="F94" s="194" t="str">
        <f>IFERROR(IF(VLOOKUP($A94,'Annex 2 Designated EHV charges'!$D:$P,11,FALSE)=0,"",VLOOKUP($A94,'Annex 2 Designated EHV charges'!$D:$P,11,FALSE)),"")</f>
        <v/>
      </c>
      <c r="G94" s="194" t="str">
        <f>IFERROR(IF(VLOOKUP($A94,'Annex 2 Designated EHV charges'!$D:$P,12,FALSE)=0,"",VLOOKUP($A94,'Annex 2 Designated EHV charges'!$D:$P,12,FALSE)),"")</f>
        <v/>
      </c>
      <c r="H94" s="194" t="str">
        <f>IFERROR(IF(VLOOKUP($A94,'Annex 2 Designated EHV charges'!$D:$P,13,FALSE)=0,"",VLOOKUP($A94,'Annex 2 Designated EHV charges'!$D:$P,13,FALSE)),"")</f>
        <v/>
      </c>
    </row>
    <row r="95" spans="1:8" ht="12.75" customHeight="1" x14ac:dyDescent="0.35">
      <c r="A95" s="189" t="str" cm="1">
        <f t="array" ref="A95">IFERROR(INDEX('Annex 2 Designated EHV charges'!$D$10:$D$200, MATCH(0, IF(ISBLANK('Annex 2 Designated EHV charges'!$D$10:$D$200),1, COUNTIF(A$4:$A94, 'Annex 2 Designated EHV charges'!$D$10:$D$200)), 0)),"")</f>
        <v/>
      </c>
      <c r="B95" s="190" t="str">
        <f>IF($A95="","",VLOOKUP($A95,'Annex 2 Designated EHV charges'!$D:$O,2,0))</f>
        <v/>
      </c>
      <c r="C95" s="189" t="str">
        <f>IF($A95="","",VLOOKUP($A95,'Annex 2 Designated EHV charges'!$D:$O,3,0))</f>
        <v/>
      </c>
      <c r="D95" s="190" t="str">
        <f>IF($A95="","",VLOOKUP($A95,'Annex 2 Designated EHV charges'!$D:$O,4,0))</f>
        <v/>
      </c>
      <c r="E95" s="191" t="str">
        <f>IFERROR(IF(VLOOKUP($A95,'Annex 2 Designated EHV charges'!$D:$P,10,FALSE)=0,"",VLOOKUP($A95,'Annex 2 Designated EHV charges'!$D:$P,10,FALSE)),"")</f>
        <v/>
      </c>
      <c r="F95" s="194" t="str">
        <f>IFERROR(IF(VLOOKUP($A95,'Annex 2 Designated EHV charges'!$D:$P,11,FALSE)=0,"",VLOOKUP($A95,'Annex 2 Designated EHV charges'!$D:$P,11,FALSE)),"")</f>
        <v/>
      </c>
      <c r="G95" s="194" t="str">
        <f>IFERROR(IF(VLOOKUP($A95,'Annex 2 Designated EHV charges'!$D:$P,12,FALSE)=0,"",VLOOKUP($A95,'Annex 2 Designated EHV charges'!$D:$P,12,FALSE)),"")</f>
        <v/>
      </c>
      <c r="H95" s="194" t="str">
        <f>IFERROR(IF(VLOOKUP($A95,'Annex 2 Designated EHV charges'!$D:$P,13,FALSE)=0,"",VLOOKUP($A95,'Annex 2 Designated EHV charges'!$D:$P,13,FALSE)),"")</f>
        <v/>
      </c>
    </row>
    <row r="96" spans="1:8" ht="12.75" customHeight="1" x14ac:dyDescent="0.35">
      <c r="A96" s="189" t="str" cm="1">
        <f t="array" ref="A96">IFERROR(INDEX('Annex 2 Designated EHV charges'!$D$10:$D$200, MATCH(0, IF(ISBLANK('Annex 2 Designated EHV charges'!$D$10:$D$200),1, COUNTIF(A$4:$A95, 'Annex 2 Designated EHV charges'!$D$10:$D$200)), 0)),"")</f>
        <v/>
      </c>
      <c r="B96" s="190" t="str">
        <f>IF($A96="","",VLOOKUP($A96,'Annex 2 Designated EHV charges'!$D:$O,2,0))</f>
        <v/>
      </c>
      <c r="C96" s="189" t="str">
        <f>IF($A96="","",VLOOKUP($A96,'Annex 2 Designated EHV charges'!$D:$O,3,0))</f>
        <v/>
      </c>
      <c r="D96" s="190" t="str">
        <f>IF($A96="","",VLOOKUP($A96,'Annex 2 Designated EHV charges'!$D:$O,4,0))</f>
        <v/>
      </c>
      <c r="E96" s="191" t="str">
        <f>IFERROR(IF(VLOOKUP($A96,'Annex 2 Designated EHV charges'!$D:$P,10,FALSE)=0,"",VLOOKUP($A96,'Annex 2 Designated EHV charges'!$D:$P,10,FALSE)),"")</f>
        <v/>
      </c>
      <c r="F96" s="194" t="str">
        <f>IFERROR(IF(VLOOKUP($A96,'Annex 2 Designated EHV charges'!$D:$P,11,FALSE)=0,"",VLOOKUP($A96,'Annex 2 Designated EHV charges'!$D:$P,11,FALSE)),"")</f>
        <v/>
      </c>
      <c r="G96" s="194" t="str">
        <f>IFERROR(IF(VLOOKUP($A96,'Annex 2 Designated EHV charges'!$D:$P,12,FALSE)=0,"",VLOOKUP($A96,'Annex 2 Designated EHV charges'!$D:$P,12,FALSE)),"")</f>
        <v/>
      </c>
      <c r="H96" s="194" t="str">
        <f>IFERROR(IF(VLOOKUP($A96,'Annex 2 Designated EHV charges'!$D:$P,13,FALSE)=0,"",VLOOKUP($A96,'Annex 2 Designated EHV charges'!$D:$P,13,FALSE)),"")</f>
        <v/>
      </c>
    </row>
    <row r="97" spans="1:8" ht="12.75" customHeight="1" x14ac:dyDescent="0.35">
      <c r="A97" s="189" t="str" cm="1">
        <f t="array" ref="A97">IFERROR(INDEX('Annex 2 Designated EHV charges'!$D$10:$D$200, MATCH(0, IF(ISBLANK('Annex 2 Designated EHV charges'!$D$10:$D$200),1, COUNTIF(A$4:$A96, 'Annex 2 Designated EHV charges'!$D$10:$D$200)), 0)),"")</f>
        <v/>
      </c>
      <c r="B97" s="190" t="str">
        <f>IF($A97="","",VLOOKUP($A97,'Annex 2 Designated EHV charges'!$D:$O,2,0))</f>
        <v/>
      </c>
      <c r="C97" s="189" t="str">
        <f>IF($A97="","",VLOOKUP($A97,'Annex 2 Designated EHV charges'!$D:$O,3,0))</f>
        <v/>
      </c>
      <c r="D97" s="190" t="str">
        <f>IF($A97="","",VLOOKUP($A97,'Annex 2 Designated EHV charges'!$D:$O,4,0))</f>
        <v/>
      </c>
      <c r="E97" s="191" t="str">
        <f>IFERROR(IF(VLOOKUP($A97,'Annex 2 Designated EHV charges'!$D:$P,10,FALSE)=0,"",VLOOKUP($A97,'Annex 2 Designated EHV charges'!$D:$P,10,FALSE)),"")</f>
        <v/>
      </c>
      <c r="F97" s="194" t="str">
        <f>IFERROR(IF(VLOOKUP($A97,'Annex 2 Designated EHV charges'!$D:$P,11,FALSE)=0,"",VLOOKUP($A97,'Annex 2 Designated EHV charges'!$D:$P,11,FALSE)),"")</f>
        <v/>
      </c>
      <c r="G97" s="194" t="str">
        <f>IFERROR(IF(VLOOKUP($A97,'Annex 2 Designated EHV charges'!$D:$P,12,FALSE)=0,"",VLOOKUP($A97,'Annex 2 Designated EHV charges'!$D:$P,12,FALSE)),"")</f>
        <v/>
      </c>
      <c r="H97" s="194" t="str">
        <f>IFERROR(IF(VLOOKUP($A97,'Annex 2 Designated EHV charges'!$D:$P,13,FALSE)=0,"",VLOOKUP($A97,'Annex 2 Designated EHV charges'!$D:$P,13,FALSE)),"")</f>
        <v/>
      </c>
    </row>
    <row r="98" spans="1:8" ht="12.75" customHeight="1" x14ac:dyDescent="0.35">
      <c r="A98" s="189" t="str" cm="1">
        <f t="array" ref="A98">IFERROR(INDEX('Annex 2 Designated EHV charges'!$D$10:$D$200, MATCH(0, IF(ISBLANK('Annex 2 Designated EHV charges'!$D$10:$D$200),1, COUNTIF(A$4:$A97, 'Annex 2 Designated EHV charges'!$D$10:$D$200)), 0)),"")</f>
        <v/>
      </c>
      <c r="B98" s="190" t="str">
        <f>IF($A98="","",VLOOKUP($A98,'Annex 2 Designated EHV charges'!$D:$O,2,0))</f>
        <v/>
      </c>
      <c r="C98" s="189" t="str">
        <f>IF($A98="","",VLOOKUP($A98,'Annex 2 Designated EHV charges'!$D:$O,3,0))</f>
        <v/>
      </c>
      <c r="D98" s="190" t="str">
        <f>IF($A98="","",VLOOKUP($A98,'Annex 2 Designated EHV charges'!$D:$O,4,0))</f>
        <v/>
      </c>
      <c r="E98" s="191" t="str">
        <f>IFERROR(IF(VLOOKUP($A98,'Annex 2 Designated EHV charges'!$D:$P,10,FALSE)=0,"",VLOOKUP($A98,'Annex 2 Designated EHV charges'!$D:$P,10,FALSE)),"")</f>
        <v/>
      </c>
      <c r="F98" s="194" t="str">
        <f>IFERROR(IF(VLOOKUP($A98,'Annex 2 Designated EHV charges'!$D:$P,11,FALSE)=0,"",VLOOKUP($A98,'Annex 2 Designated EHV charges'!$D:$P,11,FALSE)),"")</f>
        <v/>
      </c>
      <c r="G98" s="194" t="str">
        <f>IFERROR(IF(VLOOKUP($A98,'Annex 2 Designated EHV charges'!$D:$P,12,FALSE)=0,"",VLOOKUP($A98,'Annex 2 Designated EHV charges'!$D:$P,12,FALSE)),"")</f>
        <v/>
      </c>
      <c r="H98" s="194" t="str">
        <f>IFERROR(IF(VLOOKUP($A98,'Annex 2 Designated EHV charges'!$D:$P,13,FALSE)=0,"",VLOOKUP($A98,'Annex 2 Designated EHV charges'!$D:$P,13,FALSE)),"")</f>
        <v/>
      </c>
    </row>
    <row r="99" spans="1:8" ht="12.75" customHeight="1" x14ac:dyDescent="0.35">
      <c r="A99" s="189" t="str" cm="1">
        <f t="array" ref="A99">IFERROR(INDEX('Annex 2 Designated EHV charges'!$D$10:$D$200, MATCH(0, IF(ISBLANK('Annex 2 Designated EHV charges'!$D$10:$D$200),1, COUNTIF(A$4:$A98, 'Annex 2 Designated EHV charges'!$D$10:$D$200)), 0)),"")</f>
        <v/>
      </c>
      <c r="B99" s="190" t="str">
        <f>IF($A99="","",VLOOKUP($A99,'Annex 2 Designated EHV charges'!$D:$O,2,0))</f>
        <v/>
      </c>
      <c r="C99" s="189" t="str">
        <f>IF($A99="","",VLOOKUP($A99,'Annex 2 Designated EHV charges'!$D:$O,3,0))</f>
        <v/>
      </c>
      <c r="D99" s="190" t="str">
        <f>IF($A99="","",VLOOKUP($A99,'Annex 2 Designated EHV charges'!$D:$O,4,0))</f>
        <v/>
      </c>
      <c r="E99" s="191" t="str">
        <f>IFERROR(IF(VLOOKUP($A99,'Annex 2 Designated EHV charges'!$D:$P,10,FALSE)=0,"",VLOOKUP($A99,'Annex 2 Designated EHV charges'!$D:$P,10,FALSE)),"")</f>
        <v/>
      </c>
      <c r="F99" s="194" t="str">
        <f>IFERROR(IF(VLOOKUP($A99,'Annex 2 Designated EHV charges'!$D:$P,11,FALSE)=0,"",VLOOKUP($A99,'Annex 2 Designated EHV charges'!$D:$P,11,FALSE)),"")</f>
        <v/>
      </c>
      <c r="G99" s="194" t="str">
        <f>IFERROR(IF(VLOOKUP($A99,'Annex 2 Designated EHV charges'!$D:$P,12,FALSE)=0,"",VLOOKUP($A99,'Annex 2 Designated EHV charges'!$D:$P,12,FALSE)),"")</f>
        <v/>
      </c>
      <c r="H99" s="194" t="str">
        <f>IFERROR(IF(VLOOKUP($A99,'Annex 2 Designated EHV charges'!$D:$P,13,FALSE)=0,"",VLOOKUP($A99,'Annex 2 Designated EHV charges'!$D:$P,13,FALSE)),"")</f>
        <v/>
      </c>
    </row>
    <row r="100" spans="1:8" ht="12.75" customHeight="1" x14ac:dyDescent="0.35">
      <c r="A100" s="189" t="str" cm="1">
        <f t="array" ref="A100">IFERROR(INDEX('Annex 2 Designated EHV charges'!$D$10:$D$200, MATCH(0, IF(ISBLANK('Annex 2 Designated EHV charges'!$D$10:$D$200),1, COUNTIF(A$4:$A99, 'Annex 2 Designated EHV charges'!$D$10:$D$200)), 0)),"")</f>
        <v/>
      </c>
      <c r="B100" s="190" t="str">
        <f>IF($A100="","",VLOOKUP($A100,'Annex 2 Designated EHV charges'!$D:$O,2,0))</f>
        <v/>
      </c>
      <c r="C100" s="189" t="str">
        <f>IF($A100="","",VLOOKUP($A100,'Annex 2 Designated EHV charges'!$D:$O,3,0))</f>
        <v/>
      </c>
      <c r="D100" s="190" t="str">
        <f>IF($A100="","",VLOOKUP($A100,'Annex 2 Designated EHV charges'!$D:$O,4,0))</f>
        <v/>
      </c>
      <c r="E100" s="191" t="str">
        <f>IFERROR(IF(VLOOKUP($A100,'Annex 2 Designated EHV charges'!$D:$P,10,FALSE)=0,"",VLOOKUP($A100,'Annex 2 Designated EHV charges'!$D:$P,10,FALSE)),"")</f>
        <v/>
      </c>
      <c r="F100" s="194" t="str">
        <f>IFERROR(IF(VLOOKUP($A100,'Annex 2 Designated EHV charges'!$D:$P,11,FALSE)=0,"",VLOOKUP($A100,'Annex 2 Designated EHV charges'!$D:$P,11,FALSE)),"")</f>
        <v/>
      </c>
      <c r="G100" s="194" t="str">
        <f>IFERROR(IF(VLOOKUP($A100,'Annex 2 Designated EHV charges'!$D:$P,12,FALSE)=0,"",VLOOKUP($A100,'Annex 2 Designated EHV charges'!$D:$P,12,FALSE)),"")</f>
        <v/>
      </c>
      <c r="H100" s="194" t="str">
        <f>IFERROR(IF(VLOOKUP($A100,'Annex 2 Designated EHV charges'!$D:$P,13,FALSE)=0,"",VLOOKUP($A100,'Annex 2 Designated EHV charges'!$D:$P,13,FALSE)),"")</f>
        <v/>
      </c>
    </row>
    <row r="101" spans="1:8" ht="12.75" customHeight="1" x14ac:dyDescent="0.35">
      <c r="A101" s="189" t="str" cm="1">
        <f t="array" ref="A101">IFERROR(INDEX('Annex 2 Designated EHV charges'!$D$10:$D$200, MATCH(0, IF(ISBLANK('Annex 2 Designated EHV charges'!$D$10:$D$200),1, COUNTIF(A$4:$A100, 'Annex 2 Designated EHV charges'!$D$10:$D$200)), 0)),"")</f>
        <v/>
      </c>
      <c r="B101" s="190" t="str">
        <f>IF($A101="","",VLOOKUP($A101,'Annex 2 Designated EHV charges'!$D:$O,2,0))</f>
        <v/>
      </c>
      <c r="C101" s="189" t="str">
        <f>IF($A101="","",VLOOKUP($A101,'Annex 2 Designated EHV charges'!$D:$O,3,0))</f>
        <v/>
      </c>
      <c r="D101" s="190" t="str">
        <f>IF($A101="","",VLOOKUP($A101,'Annex 2 Designated EHV charges'!$D:$O,4,0))</f>
        <v/>
      </c>
      <c r="E101" s="191" t="str">
        <f>IFERROR(IF(VLOOKUP($A101,'Annex 2 Designated EHV charges'!$D:$P,10,FALSE)=0,"",VLOOKUP($A101,'Annex 2 Designated EHV charges'!$D:$P,10,FALSE)),"")</f>
        <v/>
      </c>
      <c r="F101" s="194" t="str">
        <f>IFERROR(IF(VLOOKUP($A101,'Annex 2 Designated EHV charges'!$D:$P,11,FALSE)=0,"",VLOOKUP($A101,'Annex 2 Designated EHV charges'!$D:$P,11,FALSE)),"")</f>
        <v/>
      </c>
      <c r="G101" s="194" t="str">
        <f>IFERROR(IF(VLOOKUP($A101,'Annex 2 Designated EHV charges'!$D:$P,12,FALSE)=0,"",VLOOKUP($A101,'Annex 2 Designated EHV charges'!$D:$P,12,FALSE)),"")</f>
        <v/>
      </c>
      <c r="H101" s="194" t="str">
        <f>IFERROR(IF(VLOOKUP($A101,'Annex 2 Designated EHV charges'!$D:$P,13,FALSE)=0,"",VLOOKUP($A101,'Annex 2 Designated EHV charges'!$D:$P,13,FALSE)),"")</f>
        <v/>
      </c>
    </row>
    <row r="102" spans="1:8" ht="12.75" customHeight="1" x14ac:dyDescent="0.35">
      <c r="A102" s="189" t="str" cm="1">
        <f t="array" ref="A102">IFERROR(INDEX('Annex 2 Designated EHV charges'!$D$10:$D$200, MATCH(0, IF(ISBLANK('Annex 2 Designated EHV charges'!$D$10:$D$200),1, COUNTIF(A$4:$A101, 'Annex 2 Designated EHV charges'!$D$10:$D$200)), 0)),"")</f>
        <v/>
      </c>
      <c r="B102" s="190" t="str">
        <f>IF($A102="","",VLOOKUP($A102,'Annex 2 Designated EHV charges'!$D:$O,2,0))</f>
        <v/>
      </c>
      <c r="C102" s="189" t="str">
        <f>IF($A102="","",VLOOKUP($A102,'Annex 2 Designated EHV charges'!$D:$O,3,0))</f>
        <v/>
      </c>
      <c r="D102" s="190" t="str">
        <f>IF($A102="","",VLOOKUP($A102,'Annex 2 Designated EHV charges'!$D:$O,4,0))</f>
        <v/>
      </c>
      <c r="E102" s="191" t="str">
        <f>IFERROR(IF(VLOOKUP($A102,'Annex 2 Designated EHV charges'!$D:$P,10,FALSE)=0,"",VLOOKUP($A102,'Annex 2 Designated EHV charges'!$D:$P,10,FALSE)),"")</f>
        <v/>
      </c>
      <c r="F102" s="194" t="str">
        <f>IFERROR(IF(VLOOKUP($A102,'Annex 2 Designated EHV charges'!$D:$P,11,FALSE)=0,"",VLOOKUP($A102,'Annex 2 Designated EHV charges'!$D:$P,11,FALSE)),"")</f>
        <v/>
      </c>
      <c r="G102" s="194" t="str">
        <f>IFERROR(IF(VLOOKUP($A102,'Annex 2 Designated EHV charges'!$D:$P,12,FALSE)=0,"",VLOOKUP($A102,'Annex 2 Designated EHV charges'!$D:$P,12,FALSE)),"")</f>
        <v/>
      </c>
      <c r="H102" s="194" t="str">
        <f>IFERROR(IF(VLOOKUP($A102,'Annex 2 Designated EHV charges'!$D:$P,13,FALSE)=0,"",VLOOKUP($A102,'Annex 2 Designated EHV charges'!$D:$P,13,FALSE)),"")</f>
        <v/>
      </c>
    </row>
    <row r="103" spans="1:8" ht="12.75" customHeight="1" x14ac:dyDescent="0.35">
      <c r="A103" s="189" t="str" cm="1">
        <f t="array" ref="A103">IFERROR(INDEX('Annex 2 Designated EHV charges'!$D$10:$D$200, MATCH(0, IF(ISBLANK('Annex 2 Designated EHV charges'!$D$10:$D$200),1, COUNTIF(A$4:$A102, 'Annex 2 Designated EHV charges'!$D$10:$D$200)), 0)),"")</f>
        <v/>
      </c>
      <c r="B103" s="190" t="str">
        <f>IF($A103="","",VLOOKUP($A103,'Annex 2 Designated EHV charges'!$D:$O,2,0))</f>
        <v/>
      </c>
      <c r="C103" s="189" t="str">
        <f>IF($A103="","",VLOOKUP($A103,'Annex 2 Designated EHV charges'!$D:$O,3,0))</f>
        <v/>
      </c>
      <c r="D103" s="190" t="str">
        <f>IF($A103="","",VLOOKUP($A103,'Annex 2 Designated EHV charges'!$D:$O,4,0))</f>
        <v/>
      </c>
      <c r="E103" s="191" t="str">
        <f>IFERROR(IF(VLOOKUP($A103,'Annex 2 Designated EHV charges'!$D:$P,10,FALSE)=0,"",VLOOKUP($A103,'Annex 2 Designated EHV charges'!$D:$P,10,FALSE)),"")</f>
        <v/>
      </c>
      <c r="F103" s="194" t="str">
        <f>IFERROR(IF(VLOOKUP($A103,'Annex 2 Designated EHV charges'!$D:$P,11,FALSE)=0,"",VLOOKUP($A103,'Annex 2 Designated EHV charges'!$D:$P,11,FALSE)),"")</f>
        <v/>
      </c>
      <c r="G103" s="194" t="str">
        <f>IFERROR(IF(VLOOKUP($A103,'Annex 2 Designated EHV charges'!$D:$P,12,FALSE)=0,"",VLOOKUP($A103,'Annex 2 Designated EHV charges'!$D:$P,12,FALSE)),"")</f>
        <v/>
      </c>
      <c r="H103" s="194" t="str">
        <f>IFERROR(IF(VLOOKUP($A103,'Annex 2 Designated EHV charges'!$D:$P,13,FALSE)=0,"",VLOOKUP($A103,'Annex 2 Designated EHV charges'!$D:$P,13,FALSE)),"")</f>
        <v/>
      </c>
    </row>
    <row r="104" spans="1:8" ht="12.75" customHeight="1" x14ac:dyDescent="0.35">
      <c r="A104" s="189" t="str" cm="1">
        <f t="array" ref="A104">IFERROR(INDEX('Annex 2 Designated EHV charges'!$D$10:$D$200, MATCH(0, IF(ISBLANK('Annex 2 Designated EHV charges'!$D$10:$D$200),1, COUNTIF(A$4:$A103, 'Annex 2 Designated EHV charges'!$D$10:$D$200)), 0)),"")</f>
        <v/>
      </c>
      <c r="B104" s="190" t="str">
        <f>IF($A104="","",VLOOKUP($A104,'Annex 2 Designated EHV charges'!$D:$O,2,0))</f>
        <v/>
      </c>
      <c r="C104" s="189" t="str">
        <f>IF($A104="","",VLOOKUP($A104,'Annex 2 Designated EHV charges'!$D:$O,3,0))</f>
        <v/>
      </c>
      <c r="D104" s="190" t="str">
        <f>IF($A104="","",VLOOKUP($A104,'Annex 2 Designated EHV charges'!$D:$O,4,0))</f>
        <v/>
      </c>
      <c r="E104" s="191" t="str">
        <f>IFERROR(IF(VLOOKUP($A104,'Annex 2 Designated EHV charges'!$D:$P,10,FALSE)=0,"",VLOOKUP($A104,'Annex 2 Designated EHV charges'!$D:$P,10,FALSE)),"")</f>
        <v/>
      </c>
      <c r="F104" s="194" t="str">
        <f>IFERROR(IF(VLOOKUP($A104,'Annex 2 Designated EHV charges'!$D:$P,11,FALSE)=0,"",VLOOKUP($A104,'Annex 2 Designated EHV charges'!$D:$P,11,FALSE)),"")</f>
        <v/>
      </c>
      <c r="G104" s="194" t="str">
        <f>IFERROR(IF(VLOOKUP($A104,'Annex 2 Designated EHV charges'!$D:$P,12,FALSE)=0,"",VLOOKUP($A104,'Annex 2 Designated EHV charges'!$D:$P,12,FALSE)),"")</f>
        <v/>
      </c>
      <c r="H104" s="194" t="str">
        <f>IFERROR(IF(VLOOKUP($A104,'Annex 2 Designated EHV charges'!$D:$P,13,FALSE)=0,"",VLOOKUP($A104,'Annex 2 Designated EHV charges'!$D:$P,13,FALSE)),"")</f>
        <v/>
      </c>
    </row>
    <row r="105" spans="1:8" ht="12.75" customHeight="1" x14ac:dyDescent="0.35">
      <c r="A105" s="189" t="str" cm="1">
        <f t="array" ref="A105">IFERROR(INDEX('Annex 2 Designated EHV charges'!$D$10:$D$200, MATCH(0, IF(ISBLANK('Annex 2 Designated EHV charges'!$D$10:$D$200),1, COUNTIF(A$4:$A104, 'Annex 2 Designated EHV charges'!$D$10:$D$200)), 0)),"")</f>
        <v/>
      </c>
      <c r="B105" s="190" t="str">
        <f>IF($A105="","",VLOOKUP($A105,'Annex 2 Designated EHV charges'!$D:$O,2,0))</f>
        <v/>
      </c>
      <c r="C105" s="189" t="str">
        <f>IF($A105="","",VLOOKUP($A105,'Annex 2 Designated EHV charges'!$D:$O,3,0))</f>
        <v/>
      </c>
      <c r="D105" s="190" t="str">
        <f>IF($A105="","",VLOOKUP($A105,'Annex 2 Designated EHV charges'!$D:$O,4,0))</f>
        <v/>
      </c>
      <c r="E105" s="191" t="str">
        <f>IFERROR(IF(VLOOKUP($A105,'Annex 2 Designated EHV charges'!$D:$P,10,FALSE)=0,"",VLOOKUP($A105,'Annex 2 Designated EHV charges'!$D:$P,10,FALSE)),"")</f>
        <v/>
      </c>
      <c r="F105" s="194" t="str">
        <f>IFERROR(IF(VLOOKUP($A105,'Annex 2 Designated EHV charges'!$D:$P,11,FALSE)=0,"",VLOOKUP($A105,'Annex 2 Designated EHV charges'!$D:$P,11,FALSE)),"")</f>
        <v/>
      </c>
      <c r="G105" s="194" t="str">
        <f>IFERROR(IF(VLOOKUP($A105,'Annex 2 Designated EHV charges'!$D:$P,12,FALSE)=0,"",VLOOKUP($A105,'Annex 2 Designated EHV charges'!$D:$P,12,FALSE)),"")</f>
        <v/>
      </c>
      <c r="H105" s="194" t="str">
        <f>IFERROR(IF(VLOOKUP($A105,'Annex 2 Designated EHV charges'!$D:$P,13,FALSE)=0,"",VLOOKUP($A105,'Annex 2 Designated EHV charges'!$D:$P,13,FALSE)),"")</f>
        <v/>
      </c>
    </row>
    <row r="106" spans="1:8" ht="12.75" customHeight="1" x14ac:dyDescent="0.35">
      <c r="A106" s="189" t="str" cm="1">
        <f t="array" ref="A106">IFERROR(INDEX('Annex 2 Designated EHV charges'!$D$10:$D$200, MATCH(0, IF(ISBLANK('Annex 2 Designated EHV charges'!$D$10:$D$200),1, COUNTIF(A$4:$A105, 'Annex 2 Designated EHV charges'!$D$10:$D$200)), 0)),"")</f>
        <v/>
      </c>
      <c r="B106" s="190" t="str">
        <f>IF($A106="","",VLOOKUP($A106,'Annex 2 Designated EHV charges'!$D:$O,2,0))</f>
        <v/>
      </c>
      <c r="C106" s="189" t="str">
        <f>IF($A106="","",VLOOKUP($A106,'Annex 2 Designated EHV charges'!$D:$O,3,0))</f>
        <v/>
      </c>
      <c r="D106" s="190" t="str">
        <f>IF($A106="","",VLOOKUP($A106,'Annex 2 Designated EHV charges'!$D:$O,4,0))</f>
        <v/>
      </c>
      <c r="E106" s="191" t="str">
        <f>IFERROR(IF(VLOOKUP($A106,'Annex 2 Designated EHV charges'!$D:$P,10,FALSE)=0,"",VLOOKUP($A106,'Annex 2 Designated EHV charges'!$D:$P,10,FALSE)),"")</f>
        <v/>
      </c>
      <c r="F106" s="194" t="str">
        <f>IFERROR(IF(VLOOKUP($A106,'Annex 2 Designated EHV charges'!$D:$P,11,FALSE)=0,"",VLOOKUP($A106,'Annex 2 Designated EHV charges'!$D:$P,11,FALSE)),"")</f>
        <v/>
      </c>
      <c r="G106" s="194" t="str">
        <f>IFERROR(IF(VLOOKUP($A106,'Annex 2 Designated EHV charges'!$D:$P,12,FALSE)=0,"",VLOOKUP($A106,'Annex 2 Designated EHV charges'!$D:$P,12,FALSE)),"")</f>
        <v/>
      </c>
      <c r="H106" s="194" t="str">
        <f>IFERROR(IF(VLOOKUP($A106,'Annex 2 Designated EHV charges'!$D:$P,13,FALSE)=0,"",VLOOKUP($A106,'Annex 2 Designated EHV charges'!$D:$P,13,FALSE)),"")</f>
        <v/>
      </c>
    </row>
    <row r="107" spans="1:8" ht="12.75" customHeight="1" x14ac:dyDescent="0.35">
      <c r="A107" s="189" t="str" cm="1">
        <f t="array" ref="A107">IFERROR(INDEX('Annex 2 Designated EHV charges'!$D$10:$D$200, MATCH(0, IF(ISBLANK('Annex 2 Designated EHV charges'!$D$10:$D$200),1, COUNTIF(A$4:$A106, 'Annex 2 Designated EHV charges'!$D$10:$D$200)), 0)),"")</f>
        <v/>
      </c>
      <c r="B107" s="190" t="str">
        <f>IF($A107="","",VLOOKUP($A107,'Annex 2 Designated EHV charges'!$D:$O,2,0))</f>
        <v/>
      </c>
      <c r="C107" s="189" t="str">
        <f>IF($A107="","",VLOOKUP($A107,'Annex 2 Designated EHV charges'!$D:$O,3,0))</f>
        <v/>
      </c>
      <c r="D107" s="190" t="str">
        <f>IF($A107="","",VLOOKUP($A107,'Annex 2 Designated EHV charges'!$D:$O,4,0))</f>
        <v/>
      </c>
      <c r="E107" s="191" t="str">
        <f>IFERROR(IF(VLOOKUP($A107,'Annex 2 Designated EHV charges'!$D:$P,10,FALSE)=0,"",VLOOKUP($A107,'Annex 2 Designated EHV charges'!$D:$P,10,FALSE)),"")</f>
        <v/>
      </c>
      <c r="F107" s="194" t="str">
        <f>IFERROR(IF(VLOOKUP($A107,'Annex 2 Designated EHV charges'!$D:$P,11,FALSE)=0,"",VLOOKUP($A107,'Annex 2 Designated EHV charges'!$D:$P,11,FALSE)),"")</f>
        <v/>
      </c>
      <c r="G107" s="194" t="str">
        <f>IFERROR(IF(VLOOKUP($A107,'Annex 2 Designated EHV charges'!$D:$P,12,FALSE)=0,"",VLOOKUP($A107,'Annex 2 Designated EHV charges'!$D:$P,12,FALSE)),"")</f>
        <v/>
      </c>
      <c r="H107" s="194" t="str">
        <f>IFERROR(IF(VLOOKUP($A107,'Annex 2 Designated EHV charges'!$D:$P,13,FALSE)=0,"",VLOOKUP($A107,'Annex 2 Designated EHV charges'!$D:$P,13,FALSE)),"")</f>
        <v/>
      </c>
    </row>
    <row r="108" spans="1:8" ht="12.75" customHeight="1" x14ac:dyDescent="0.35">
      <c r="A108" s="189" t="str" cm="1">
        <f t="array" ref="A108">IFERROR(INDEX('Annex 2 Designated EHV charges'!$D$10:$D$200, MATCH(0, IF(ISBLANK('Annex 2 Designated EHV charges'!$D$10:$D$200),1, COUNTIF(A$4:$A107, 'Annex 2 Designated EHV charges'!$D$10:$D$200)), 0)),"")</f>
        <v/>
      </c>
      <c r="B108" s="190" t="str">
        <f>IF($A108="","",VLOOKUP($A108,'Annex 2 Designated EHV charges'!$D:$O,2,0))</f>
        <v/>
      </c>
      <c r="C108" s="189" t="str">
        <f>IF($A108="","",VLOOKUP($A108,'Annex 2 Designated EHV charges'!$D:$O,3,0))</f>
        <v/>
      </c>
      <c r="D108" s="190" t="str">
        <f>IF($A108="","",VLOOKUP($A108,'Annex 2 Designated EHV charges'!$D:$O,4,0))</f>
        <v/>
      </c>
      <c r="E108" s="191" t="str">
        <f>IFERROR(IF(VLOOKUP($A108,'Annex 2 Designated EHV charges'!$D:$P,10,FALSE)=0,"",VLOOKUP($A108,'Annex 2 Designated EHV charges'!$D:$P,10,FALSE)),"")</f>
        <v/>
      </c>
      <c r="F108" s="194" t="str">
        <f>IFERROR(IF(VLOOKUP($A108,'Annex 2 Designated EHV charges'!$D:$P,11,FALSE)=0,"",VLOOKUP($A108,'Annex 2 Designated EHV charges'!$D:$P,11,FALSE)),"")</f>
        <v/>
      </c>
      <c r="G108" s="194" t="str">
        <f>IFERROR(IF(VLOOKUP($A108,'Annex 2 Designated EHV charges'!$D:$P,12,FALSE)=0,"",VLOOKUP($A108,'Annex 2 Designated EHV charges'!$D:$P,12,FALSE)),"")</f>
        <v/>
      </c>
      <c r="H108" s="194" t="str">
        <f>IFERROR(IF(VLOOKUP($A108,'Annex 2 Designated EHV charges'!$D:$P,13,FALSE)=0,"",VLOOKUP($A108,'Annex 2 Designated EHV charges'!$D:$P,13,FALSE)),"")</f>
        <v/>
      </c>
    </row>
    <row r="109" spans="1:8" ht="12.75" customHeight="1" x14ac:dyDescent="0.35">
      <c r="A109" s="189" t="str" cm="1">
        <f t="array" ref="A109">IFERROR(INDEX('Annex 2 Designated EHV charges'!$D$10:$D$200, MATCH(0, IF(ISBLANK('Annex 2 Designated EHV charges'!$D$10:$D$200),1, COUNTIF(A$4:$A108, 'Annex 2 Designated EHV charges'!$D$10:$D$200)), 0)),"")</f>
        <v/>
      </c>
      <c r="B109" s="190" t="str">
        <f>IF($A109="","",VLOOKUP($A109,'Annex 2 Designated EHV charges'!$D:$O,2,0))</f>
        <v/>
      </c>
      <c r="C109" s="189" t="str">
        <f>IF($A109="","",VLOOKUP($A109,'Annex 2 Designated EHV charges'!$D:$O,3,0))</f>
        <v/>
      </c>
      <c r="D109" s="190" t="str">
        <f>IF($A109="","",VLOOKUP($A109,'Annex 2 Designated EHV charges'!$D:$O,4,0))</f>
        <v/>
      </c>
      <c r="E109" s="191" t="str">
        <f>IFERROR(IF(VLOOKUP($A109,'Annex 2 Designated EHV charges'!$D:$P,10,FALSE)=0,"",VLOOKUP($A109,'Annex 2 Designated EHV charges'!$D:$P,10,FALSE)),"")</f>
        <v/>
      </c>
      <c r="F109" s="194" t="str">
        <f>IFERROR(IF(VLOOKUP($A109,'Annex 2 Designated EHV charges'!$D:$P,11,FALSE)=0,"",VLOOKUP($A109,'Annex 2 Designated EHV charges'!$D:$P,11,FALSE)),"")</f>
        <v/>
      </c>
      <c r="G109" s="194" t="str">
        <f>IFERROR(IF(VLOOKUP($A109,'Annex 2 Designated EHV charges'!$D:$P,12,FALSE)=0,"",VLOOKUP($A109,'Annex 2 Designated EHV charges'!$D:$P,12,FALSE)),"")</f>
        <v/>
      </c>
      <c r="H109" s="194" t="str">
        <f>IFERROR(IF(VLOOKUP($A109,'Annex 2 Designated EHV charges'!$D:$P,13,FALSE)=0,"",VLOOKUP($A109,'Annex 2 Designated EHV charges'!$D:$P,13,FALSE)),"")</f>
        <v/>
      </c>
    </row>
    <row r="110" spans="1:8" ht="12.75" customHeight="1" x14ac:dyDescent="0.35">
      <c r="A110" s="189" t="str" cm="1">
        <f t="array" ref="A110">IFERROR(INDEX('Annex 2 Designated EHV charges'!$D$10:$D$200, MATCH(0, IF(ISBLANK('Annex 2 Designated EHV charges'!$D$10:$D$200),1, COUNTIF(A$4:$A109, 'Annex 2 Designated EHV charges'!$D$10:$D$200)), 0)),"")</f>
        <v/>
      </c>
      <c r="B110" s="190" t="str">
        <f>IF($A110="","",VLOOKUP($A110,'Annex 2 Designated EHV charges'!$D:$O,2,0))</f>
        <v/>
      </c>
      <c r="C110" s="189" t="str">
        <f>IF($A110="","",VLOOKUP($A110,'Annex 2 Designated EHV charges'!$D:$O,3,0))</f>
        <v/>
      </c>
      <c r="D110" s="190" t="str">
        <f>IF($A110="","",VLOOKUP($A110,'Annex 2 Designated EHV charges'!$D:$O,4,0))</f>
        <v/>
      </c>
      <c r="E110" s="191" t="str">
        <f>IFERROR(IF(VLOOKUP($A110,'Annex 2 Designated EHV charges'!$D:$P,10,FALSE)=0,"",VLOOKUP($A110,'Annex 2 Designated EHV charges'!$D:$P,10,FALSE)),"")</f>
        <v/>
      </c>
      <c r="F110" s="194" t="str">
        <f>IFERROR(IF(VLOOKUP($A110,'Annex 2 Designated EHV charges'!$D:$P,11,FALSE)=0,"",VLOOKUP($A110,'Annex 2 Designated EHV charges'!$D:$P,11,FALSE)),"")</f>
        <v/>
      </c>
      <c r="G110" s="194" t="str">
        <f>IFERROR(IF(VLOOKUP($A110,'Annex 2 Designated EHV charges'!$D:$P,12,FALSE)=0,"",VLOOKUP($A110,'Annex 2 Designated EHV charges'!$D:$P,12,FALSE)),"")</f>
        <v/>
      </c>
      <c r="H110" s="194" t="str">
        <f>IFERROR(IF(VLOOKUP($A110,'Annex 2 Designated EHV charges'!$D:$P,13,FALSE)=0,"",VLOOKUP($A110,'Annex 2 Designated EHV charges'!$D:$P,13,FALSE)),"")</f>
        <v/>
      </c>
    </row>
    <row r="111" spans="1:8" ht="12.75" customHeight="1" x14ac:dyDescent="0.35">
      <c r="A111" s="189" t="str" cm="1">
        <f t="array" ref="A111">IFERROR(INDEX('Annex 2 Designated EHV charges'!$D$10:$D$200, MATCH(0, IF(ISBLANK('Annex 2 Designated EHV charges'!$D$10:$D$200),1, COUNTIF(A$4:$A110, 'Annex 2 Designated EHV charges'!$D$10:$D$200)), 0)),"")</f>
        <v/>
      </c>
      <c r="B111" s="190" t="str">
        <f>IF($A111="","",VLOOKUP($A111,'Annex 2 Designated EHV charges'!$D:$O,2,0))</f>
        <v/>
      </c>
      <c r="C111" s="189" t="str">
        <f>IF($A111="","",VLOOKUP($A111,'Annex 2 Designated EHV charges'!$D:$O,3,0))</f>
        <v/>
      </c>
      <c r="D111" s="190" t="str">
        <f>IF($A111="","",VLOOKUP($A111,'Annex 2 Designated EHV charges'!$D:$O,4,0))</f>
        <v/>
      </c>
      <c r="E111" s="191" t="str">
        <f>IFERROR(IF(VLOOKUP($A111,'Annex 2 Designated EHV charges'!$D:$P,10,FALSE)=0,"",VLOOKUP($A111,'Annex 2 Designated EHV charges'!$D:$P,10,FALSE)),"")</f>
        <v/>
      </c>
      <c r="F111" s="194" t="str">
        <f>IFERROR(IF(VLOOKUP($A111,'Annex 2 Designated EHV charges'!$D:$P,11,FALSE)=0,"",VLOOKUP($A111,'Annex 2 Designated EHV charges'!$D:$P,11,FALSE)),"")</f>
        <v/>
      </c>
      <c r="G111" s="194" t="str">
        <f>IFERROR(IF(VLOOKUP($A111,'Annex 2 Designated EHV charges'!$D:$P,12,FALSE)=0,"",VLOOKUP($A111,'Annex 2 Designated EHV charges'!$D:$P,12,FALSE)),"")</f>
        <v/>
      </c>
      <c r="H111" s="194" t="str">
        <f>IFERROR(IF(VLOOKUP($A111,'Annex 2 Designated EHV charges'!$D:$P,13,FALSE)=0,"",VLOOKUP($A111,'Annex 2 Designated EHV charges'!$D:$P,13,FALSE)),"")</f>
        <v/>
      </c>
    </row>
    <row r="112" spans="1:8" ht="12.75" customHeight="1" x14ac:dyDescent="0.35">
      <c r="A112" s="189" t="str" cm="1">
        <f t="array" ref="A112">IFERROR(INDEX('Annex 2 Designated EHV charges'!$D$10:$D$200, MATCH(0, IF(ISBLANK('Annex 2 Designated EHV charges'!$D$10:$D$200),1, COUNTIF(A$4:$A111, 'Annex 2 Designated EHV charges'!$D$10:$D$200)), 0)),"")</f>
        <v/>
      </c>
      <c r="B112" s="190" t="str">
        <f>IF($A112="","",VLOOKUP($A112,'Annex 2 Designated EHV charges'!$D:$O,2,0))</f>
        <v/>
      </c>
      <c r="C112" s="189" t="str">
        <f>IF($A112="","",VLOOKUP($A112,'Annex 2 Designated EHV charges'!$D:$O,3,0))</f>
        <v/>
      </c>
      <c r="D112" s="190" t="str">
        <f>IF($A112="","",VLOOKUP($A112,'Annex 2 Designated EHV charges'!$D:$O,4,0))</f>
        <v/>
      </c>
      <c r="E112" s="191" t="str">
        <f>IFERROR(IF(VLOOKUP($A112,'Annex 2 Designated EHV charges'!$D:$P,10,FALSE)=0,"",VLOOKUP($A112,'Annex 2 Designated EHV charges'!$D:$P,10,FALSE)),"")</f>
        <v/>
      </c>
      <c r="F112" s="194" t="str">
        <f>IFERROR(IF(VLOOKUP($A112,'Annex 2 Designated EHV charges'!$D:$P,11,FALSE)=0,"",VLOOKUP($A112,'Annex 2 Designated EHV charges'!$D:$P,11,FALSE)),"")</f>
        <v/>
      </c>
      <c r="G112" s="194" t="str">
        <f>IFERROR(IF(VLOOKUP($A112,'Annex 2 Designated EHV charges'!$D:$P,12,FALSE)=0,"",VLOOKUP($A112,'Annex 2 Designated EHV charges'!$D:$P,12,FALSE)),"")</f>
        <v/>
      </c>
      <c r="H112" s="194" t="str">
        <f>IFERROR(IF(VLOOKUP($A112,'Annex 2 Designated EHV charges'!$D:$P,13,FALSE)=0,"",VLOOKUP($A112,'Annex 2 Designated EHV charges'!$D:$P,13,FALSE)),"")</f>
        <v/>
      </c>
    </row>
    <row r="113" spans="1:8" ht="12.75" customHeight="1" x14ac:dyDescent="0.35">
      <c r="A113" s="189" t="str" cm="1">
        <f t="array" ref="A113">IFERROR(INDEX('Annex 2 Designated EHV charges'!$D$10:$D$200, MATCH(0, IF(ISBLANK('Annex 2 Designated EHV charges'!$D$10:$D$200),1, COUNTIF(A$4:$A112, 'Annex 2 Designated EHV charges'!$D$10:$D$200)), 0)),"")</f>
        <v/>
      </c>
      <c r="B113" s="190" t="str">
        <f>IF($A113="","",VLOOKUP($A113,'Annex 2 Designated EHV charges'!$D:$O,2,0))</f>
        <v/>
      </c>
      <c r="C113" s="189" t="str">
        <f>IF($A113="","",VLOOKUP($A113,'Annex 2 Designated EHV charges'!$D:$O,3,0))</f>
        <v/>
      </c>
      <c r="D113" s="190" t="str">
        <f>IF($A113="","",VLOOKUP($A113,'Annex 2 Designated EHV charges'!$D:$O,4,0))</f>
        <v/>
      </c>
      <c r="E113" s="191" t="str">
        <f>IFERROR(IF(VLOOKUP($A113,'Annex 2 Designated EHV charges'!$D:$P,10,FALSE)=0,"",VLOOKUP($A113,'Annex 2 Designated EHV charges'!$D:$P,10,FALSE)),"")</f>
        <v/>
      </c>
      <c r="F113" s="194" t="str">
        <f>IFERROR(IF(VLOOKUP($A113,'Annex 2 Designated EHV charges'!$D:$P,11,FALSE)=0,"",VLOOKUP($A113,'Annex 2 Designated EHV charges'!$D:$P,11,FALSE)),"")</f>
        <v/>
      </c>
      <c r="G113" s="194" t="str">
        <f>IFERROR(IF(VLOOKUP($A113,'Annex 2 Designated EHV charges'!$D:$P,12,FALSE)=0,"",VLOOKUP($A113,'Annex 2 Designated EHV charges'!$D:$P,12,FALSE)),"")</f>
        <v/>
      </c>
      <c r="H113" s="194" t="str">
        <f>IFERROR(IF(VLOOKUP($A113,'Annex 2 Designated EHV charges'!$D:$P,13,FALSE)=0,"",VLOOKUP($A113,'Annex 2 Designated EHV charges'!$D:$P,13,FALSE)),"")</f>
        <v/>
      </c>
    </row>
    <row r="114" spans="1:8" ht="12.75" customHeight="1" x14ac:dyDescent="0.35">
      <c r="A114" s="189" t="str" cm="1">
        <f t="array" ref="A114">IFERROR(INDEX('Annex 2 Designated EHV charges'!$D$10:$D$200, MATCH(0, IF(ISBLANK('Annex 2 Designated EHV charges'!$D$10:$D$200),1, COUNTIF(A$4:$A113, 'Annex 2 Designated EHV charges'!$D$10:$D$200)), 0)),"")</f>
        <v/>
      </c>
      <c r="B114" s="190" t="str">
        <f>IF($A114="","",VLOOKUP($A114,'Annex 2 Designated EHV charges'!$D:$O,2,0))</f>
        <v/>
      </c>
      <c r="C114" s="189" t="str">
        <f>IF($A114="","",VLOOKUP($A114,'Annex 2 Designated EHV charges'!$D:$O,3,0))</f>
        <v/>
      </c>
      <c r="D114" s="190" t="str">
        <f>IF($A114="","",VLOOKUP($A114,'Annex 2 Designated EHV charges'!$D:$O,4,0))</f>
        <v/>
      </c>
      <c r="E114" s="191" t="str">
        <f>IFERROR(IF(VLOOKUP($A114,'Annex 2 Designated EHV charges'!$D:$P,10,FALSE)=0,"",VLOOKUP($A114,'Annex 2 Designated EHV charges'!$D:$P,10,FALSE)),"")</f>
        <v/>
      </c>
      <c r="F114" s="194" t="str">
        <f>IFERROR(IF(VLOOKUP($A114,'Annex 2 Designated EHV charges'!$D:$P,11,FALSE)=0,"",VLOOKUP($A114,'Annex 2 Designated EHV charges'!$D:$P,11,FALSE)),"")</f>
        <v/>
      </c>
      <c r="G114" s="194" t="str">
        <f>IFERROR(IF(VLOOKUP($A114,'Annex 2 Designated EHV charges'!$D:$P,12,FALSE)=0,"",VLOOKUP($A114,'Annex 2 Designated EHV charges'!$D:$P,12,FALSE)),"")</f>
        <v/>
      </c>
      <c r="H114" s="194" t="str">
        <f>IFERROR(IF(VLOOKUP($A114,'Annex 2 Designated EHV charges'!$D:$P,13,FALSE)=0,"",VLOOKUP($A114,'Annex 2 Designated EHV charges'!$D:$P,13,FALSE)),"")</f>
        <v/>
      </c>
    </row>
    <row r="115" spans="1:8" ht="12.75" customHeight="1" x14ac:dyDescent="0.35">
      <c r="A115" s="189" t="str" cm="1">
        <f t="array" ref="A115">IFERROR(INDEX('Annex 2 Designated EHV charges'!$D$10:$D$200, MATCH(0, IF(ISBLANK('Annex 2 Designated EHV charges'!$D$10:$D$200),1, COUNTIF(A$4:$A114, 'Annex 2 Designated EHV charges'!$D$10:$D$200)), 0)),"")</f>
        <v/>
      </c>
      <c r="B115" s="190" t="str">
        <f>IF($A115="","",VLOOKUP($A115,'Annex 2 Designated EHV charges'!$D:$O,2,0))</f>
        <v/>
      </c>
      <c r="C115" s="189" t="str">
        <f>IF($A115="","",VLOOKUP($A115,'Annex 2 Designated EHV charges'!$D:$O,3,0))</f>
        <v/>
      </c>
      <c r="D115" s="190" t="str">
        <f>IF($A115="","",VLOOKUP($A115,'Annex 2 Designated EHV charges'!$D:$O,4,0))</f>
        <v/>
      </c>
      <c r="E115" s="191" t="str">
        <f>IFERROR(IF(VLOOKUP($A115,'Annex 2 Designated EHV charges'!$D:$P,10,FALSE)=0,"",VLOOKUP($A115,'Annex 2 Designated EHV charges'!$D:$P,10,FALSE)),"")</f>
        <v/>
      </c>
      <c r="F115" s="194" t="str">
        <f>IFERROR(IF(VLOOKUP($A115,'Annex 2 Designated EHV charges'!$D:$P,11,FALSE)=0,"",VLOOKUP($A115,'Annex 2 Designated EHV charges'!$D:$P,11,FALSE)),"")</f>
        <v/>
      </c>
      <c r="G115" s="194" t="str">
        <f>IFERROR(IF(VLOOKUP($A115,'Annex 2 Designated EHV charges'!$D:$P,12,FALSE)=0,"",VLOOKUP($A115,'Annex 2 Designated EHV charges'!$D:$P,12,FALSE)),"")</f>
        <v/>
      </c>
      <c r="H115" s="194" t="str">
        <f>IFERROR(IF(VLOOKUP($A115,'Annex 2 Designated EHV charges'!$D:$P,13,FALSE)=0,"",VLOOKUP($A115,'Annex 2 Designated EHV charges'!$D:$P,13,FALSE)),"")</f>
        <v/>
      </c>
    </row>
    <row r="116" spans="1:8" ht="12.75" customHeight="1" x14ac:dyDescent="0.35">
      <c r="A116" s="189" t="str" cm="1">
        <f t="array" ref="A116">IFERROR(INDEX('Annex 2 Designated EHV charges'!$D$10:$D$200, MATCH(0, IF(ISBLANK('Annex 2 Designated EHV charges'!$D$10:$D$200),1, COUNTIF(A$4:$A115, 'Annex 2 Designated EHV charges'!$D$10:$D$200)), 0)),"")</f>
        <v/>
      </c>
      <c r="B116" s="190" t="str">
        <f>IF($A116="","",VLOOKUP($A116,'Annex 2 Designated EHV charges'!$D:$O,2,0))</f>
        <v/>
      </c>
      <c r="C116" s="189" t="str">
        <f>IF($A116="","",VLOOKUP($A116,'Annex 2 Designated EHV charges'!$D:$O,3,0))</f>
        <v/>
      </c>
      <c r="D116" s="190" t="str">
        <f>IF($A116="","",VLOOKUP($A116,'Annex 2 Designated EHV charges'!$D:$O,4,0))</f>
        <v/>
      </c>
      <c r="E116" s="191" t="str">
        <f>IFERROR(IF(VLOOKUP($A116,'Annex 2 Designated EHV charges'!$D:$P,10,FALSE)=0,"",VLOOKUP($A116,'Annex 2 Designated EHV charges'!$D:$P,10,FALSE)),"")</f>
        <v/>
      </c>
      <c r="F116" s="194" t="str">
        <f>IFERROR(IF(VLOOKUP($A116,'Annex 2 Designated EHV charges'!$D:$P,11,FALSE)=0,"",VLOOKUP($A116,'Annex 2 Designated EHV charges'!$D:$P,11,FALSE)),"")</f>
        <v/>
      </c>
      <c r="G116" s="194" t="str">
        <f>IFERROR(IF(VLOOKUP($A116,'Annex 2 Designated EHV charges'!$D:$P,12,FALSE)=0,"",VLOOKUP($A116,'Annex 2 Designated EHV charges'!$D:$P,12,FALSE)),"")</f>
        <v/>
      </c>
      <c r="H116" s="194" t="str">
        <f>IFERROR(IF(VLOOKUP($A116,'Annex 2 Designated EHV charges'!$D:$P,13,FALSE)=0,"",VLOOKUP($A116,'Annex 2 Designated EHV charges'!$D:$P,13,FALSE)),"")</f>
        <v/>
      </c>
    </row>
    <row r="117" spans="1:8" ht="12.75" customHeight="1" x14ac:dyDescent="0.35">
      <c r="A117" s="189" t="str" cm="1">
        <f t="array" ref="A117">IFERROR(INDEX('Annex 2 Designated EHV charges'!$D$10:$D$200, MATCH(0, IF(ISBLANK('Annex 2 Designated EHV charges'!$D$10:$D$200),1, COUNTIF(A$4:$A116, 'Annex 2 Designated EHV charges'!$D$10:$D$200)), 0)),"")</f>
        <v/>
      </c>
      <c r="B117" s="190" t="str">
        <f>IF($A117="","",VLOOKUP($A117,'Annex 2 Designated EHV charges'!$D:$O,2,0))</f>
        <v/>
      </c>
      <c r="C117" s="189" t="str">
        <f>IF($A117="","",VLOOKUP($A117,'Annex 2 Designated EHV charges'!$D:$O,3,0))</f>
        <v/>
      </c>
      <c r="D117" s="190" t="str">
        <f>IF($A117="","",VLOOKUP($A117,'Annex 2 Designated EHV charges'!$D:$O,4,0))</f>
        <v/>
      </c>
      <c r="E117" s="191" t="str">
        <f>IFERROR(IF(VLOOKUP($A117,'Annex 2 Designated EHV charges'!$D:$P,10,FALSE)=0,"",VLOOKUP($A117,'Annex 2 Designated EHV charges'!$D:$P,10,FALSE)),"")</f>
        <v/>
      </c>
      <c r="F117" s="194" t="str">
        <f>IFERROR(IF(VLOOKUP($A117,'Annex 2 Designated EHV charges'!$D:$P,11,FALSE)=0,"",VLOOKUP($A117,'Annex 2 Designated EHV charges'!$D:$P,11,FALSE)),"")</f>
        <v/>
      </c>
      <c r="G117" s="194" t="str">
        <f>IFERROR(IF(VLOOKUP($A117,'Annex 2 Designated EHV charges'!$D:$P,12,FALSE)=0,"",VLOOKUP($A117,'Annex 2 Designated EHV charges'!$D:$P,12,FALSE)),"")</f>
        <v/>
      </c>
      <c r="H117" s="194" t="str">
        <f>IFERROR(IF(VLOOKUP($A117,'Annex 2 Designated EHV charges'!$D:$P,13,FALSE)=0,"",VLOOKUP($A117,'Annex 2 Designated EHV charges'!$D:$P,13,FALSE)),"")</f>
        <v/>
      </c>
    </row>
    <row r="118" spans="1:8" ht="12.75" customHeight="1" x14ac:dyDescent="0.35">
      <c r="A118" s="189" t="str" cm="1">
        <f t="array" ref="A118">IFERROR(INDEX('Annex 2 Designated EHV charges'!$D$10:$D$200, MATCH(0, IF(ISBLANK('Annex 2 Designated EHV charges'!$D$10:$D$200),1, COUNTIF(A$4:$A117, 'Annex 2 Designated EHV charges'!$D$10:$D$200)), 0)),"")</f>
        <v/>
      </c>
      <c r="B118" s="190" t="str">
        <f>IF($A118="","",VLOOKUP($A118,'Annex 2 Designated EHV charges'!$D:$O,2,0))</f>
        <v/>
      </c>
      <c r="C118" s="189" t="str">
        <f>IF($A118="","",VLOOKUP($A118,'Annex 2 Designated EHV charges'!$D:$O,3,0))</f>
        <v/>
      </c>
      <c r="D118" s="190" t="str">
        <f>IF($A118="","",VLOOKUP($A118,'Annex 2 Designated EHV charges'!$D:$O,4,0))</f>
        <v/>
      </c>
      <c r="E118" s="191" t="str">
        <f>IFERROR(IF(VLOOKUP($A118,'Annex 2 Designated EHV charges'!$D:$P,10,FALSE)=0,"",VLOOKUP($A118,'Annex 2 Designated EHV charges'!$D:$P,10,FALSE)),"")</f>
        <v/>
      </c>
      <c r="F118" s="194" t="str">
        <f>IFERROR(IF(VLOOKUP($A118,'Annex 2 Designated EHV charges'!$D:$P,11,FALSE)=0,"",VLOOKUP($A118,'Annex 2 Designated EHV charges'!$D:$P,11,FALSE)),"")</f>
        <v/>
      </c>
      <c r="G118" s="194" t="str">
        <f>IFERROR(IF(VLOOKUP($A118,'Annex 2 Designated EHV charges'!$D:$P,12,FALSE)=0,"",VLOOKUP($A118,'Annex 2 Designated EHV charges'!$D:$P,12,FALSE)),"")</f>
        <v/>
      </c>
      <c r="H118" s="194" t="str">
        <f>IFERROR(IF(VLOOKUP($A118,'Annex 2 Designated EHV charges'!$D:$P,13,FALSE)=0,"",VLOOKUP($A118,'Annex 2 Designated EHV charges'!$D:$P,13,FALSE)),"")</f>
        <v/>
      </c>
    </row>
    <row r="119" spans="1:8" ht="12.75" customHeight="1" x14ac:dyDescent="0.35">
      <c r="A119" s="189" t="str" cm="1">
        <f t="array" ref="A119">IFERROR(INDEX('Annex 2 Designated EHV charges'!$D$10:$D$200, MATCH(0, IF(ISBLANK('Annex 2 Designated EHV charges'!$D$10:$D$200),1, COUNTIF(A$4:$A118, 'Annex 2 Designated EHV charges'!$D$10:$D$200)), 0)),"")</f>
        <v/>
      </c>
      <c r="B119" s="190" t="str">
        <f>IF($A119="","",VLOOKUP($A119,'Annex 2 Designated EHV charges'!$D:$O,2,0))</f>
        <v/>
      </c>
      <c r="C119" s="189" t="str">
        <f>IF($A119="","",VLOOKUP($A119,'Annex 2 Designated EHV charges'!$D:$O,3,0))</f>
        <v/>
      </c>
      <c r="D119" s="190" t="str">
        <f>IF($A119="","",VLOOKUP($A119,'Annex 2 Designated EHV charges'!$D:$O,4,0))</f>
        <v/>
      </c>
      <c r="E119" s="191" t="str">
        <f>IFERROR(IF(VLOOKUP($A119,'Annex 2 Designated EHV charges'!$D:$P,10,FALSE)=0,"",VLOOKUP($A119,'Annex 2 Designated EHV charges'!$D:$P,10,FALSE)),"")</f>
        <v/>
      </c>
      <c r="F119" s="194" t="str">
        <f>IFERROR(IF(VLOOKUP($A119,'Annex 2 Designated EHV charges'!$D:$P,11,FALSE)=0,"",VLOOKUP($A119,'Annex 2 Designated EHV charges'!$D:$P,11,FALSE)),"")</f>
        <v/>
      </c>
      <c r="G119" s="194" t="str">
        <f>IFERROR(IF(VLOOKUP($A119,'Annex 2 Designated EHV charges'!$D:$P,12,FALSE)=0,"",VLOOKUP($A119,'Annex 2 Designated EHV charges'!$D:$P,12,FALSE)),"")</f>
        <v/>
      </c>
      <c r="H119" s="194" t="str">
        <f>IFERROR(IF(VLOOKUP($A119,'Annex 2 Designated EHV charges'!$D:$P,13,FALSE)=0,"",VLOOKUP($A119,'Annex 2 Designated EHV charges'!$D:$P,13,FALSE)),"")</f>
        <v/>
      </c>
    </row>
    <row r="120" spans="1:8" ht="12.75" customHeight="1" x14ac:dyDescent="0.35">
      <c r="A120" s="189" t="str" cm="1">
        <f t="array" ref="A120">IFERROR(INDEX('Annex 2 Designated EHV charges'!$D$10:$D$200, MATCH(0, IF(ISBLANK('Annex 2 Designated EHV charges'!$D$10:$D$200),1, COUNTIF(A$4:$A119, 'Annex 2 Designated EHV charges'!$D$10:$D$200)), 0)),"")</f>
        <v/>
      </c>
      <c r="B120" s="190" t="str">
        <f>IF($A120="","",VLOOKUP($A120,'Annex 2 Designated EHV charges'!$D:$O,2,0))</f>
        <v/>
      </c>
      <c r="C120" s="189" t="str">
        <f>IF($A120="","",VLOOKUP($A120,'Annex 2 Designated EHV charges'!$D:$O,3,0))</f>
        <v/>
      </c>
      <c r="D120" s="190" t="str">
        <f>IF($A120="","",VLOOKUP($A120,'Annex 2 Designated EHV charges'!$D:$O,4,0))</f>
        <v/>
      </c>
      <c r="E120" s="191" t="str">
        <f>IFERROR(IF(VLOOKUP($A120,'Annex 2 Designated EHV charges'!$D:$P,10,FALSE)=0,"",VLOOKUP($A120,'Annex 2 Designated EHV charges'!$D:$P,10,FALSE)),"")</f>
        <v/>
      </c>
      <c r="F120" s="194" t="str">
        <f>IFERROR(IF(VLOOKUP($A120,'Annex 2 Designated EHV charges'!$D:$P,11,FALSE)=0,"",VLOOKUP($A120,'Annex 2 Designated EHV charges'!$D:$P,11,FALSE)),"")</f>
        <v/>
      </c>
      <c r="G120" s="194" t="str">
        <f>IFERROR(IF(VLOOKUP($A120,'Annex 2 Designated EHV charges'!$D:$P,12,FALSE)=0,"",VLOOKUP($A120,'Annex 2 Designated EHV charges'!$D:$P,12,FALSE)),"")</f>
        <v/>
      </c>
      <c r="H120" s="194" t="str">
        <f>IFERROR(IF(VLOOKUP($A120,'Annex 2 Designated EHV charges'!$D:$P,13,FALSE)=0,"",VLOOKUP($A120,'Annex 2 Designated EHV charges'!$D:$P,13,FALSE)),"")</f>
        <v/>
      </c>
    </row>
    <row r="121" spans="1:8" ht="12.75" customHeight="1" x14ac:dyDescent="0.35">
      <c r="A121" s="189" t="str" cm="1">
        <f t="array" ref="A121">IFERROR(INDEX('Annex 2 Designated EHV charges'!$D$10:$D$200, MATCH(0, IF(ISBLANK('Annex 2 Designated EHV charges'!$D$10:$D$200),1, COUNTIF(A$4:$A120, 'Annex 2 Designated EHV charges'!$D$10:$D$200)), 0)),"")</f>
        <v/>
      </c>
      <c r="B121" s="190" t="str">
        <f>IF($A121="","",VLOOKUP($A121,'Annex 2 Designated EHV charges'!$D:$O,2,0))</f>
        <v/>
      </c>
      <c r="C121" s="189" t="str">
        <f>IF($A121="","",VLOOKUP($A121,'Annex 2 Designated EHV charges'!$D:$O,3,0))</f>
        <v/>
      </c>
      <c r="D121" s="190" t="str">
        <f>IF($A121="","",VLOOKUP($A121,'Annex 2 Designated EHV charges'!$D:$O,4,0))</f>
        <v/>
      </c>
      <c r="E121" s="191" t="str">
        <f>IFERROR(IF(VLOOKUP($A121,'Annex 2 Designated EHV charges'!$D:$P,10,FALSE)=0,"",VLOOKUP($A121,'Annex 2 Designated EHV charges'!$D:$P,10,FALSE)),"")</f>
        <v/>
      </c>
      <c r="F121" s="194" t="str">
        <f>IFERROR(IF(VLOOKUP($A121,'Annex 2 Designated EHV charges'!$D:$P,11,FALSE)=0,"",VLOOKUP($A121,'Annex 2 Designated EHV charges'!$D:$P,11,FALSE)),"")</f>
        <v/>
      </c>
      <c r="G121" s="194" t="str">
        <f>IFERROR(IF(VLOOKUP($A121,'Annex 2 Designated EHV charges'!$D:$P,12,FALSE)=0,"",VLOOKUP($A121,'Annex 2 Designated EHV charges'!$D:$P,12,FALSE)),"")</f>
        <v/>
      </c>
      <c r="H121" s="194" t="str">
        <f>IFERROR(IF(VLOOKUP($A121,'Annex 2 Designated EHV charges'!$D:$P,13,FALSE)=0,"",VLOOKUP($A121,'Annex 2 Designated EHV charges'!$D:$P,13,FALSE)),"")</f>
        <v/>
      </c>
    </row>
    <row r="122" spans="1:8" ht="12.75" customHeight="1" x14ac:dyDescent="0.35">
      <c r="A122" s="189" t="str" cm="1">
        <f t="array" ref="A122">IFERROR(INDEX('Annex 2 Designated EHV charges'!$D$10:$D$200, MATCH(0, IF(ISBLANK('Annex 2 Designated EHV charges'!$D$10:$D$200),1, COUNTIF(A$4:$A121, 'Annex 2 Designated EHV charges'!$D$10:$D$200)), 0)),"")</f>
        <v/>
      </c>
      <c r="B122" s="190" t="str">
        <f>IF($A122="","",VLOOKUP($A122,'Annex 2 Designated EHV charges'!$D:$O,2,0))</f>
        <v/>
      </c>
      <c r="C122" s="189" t="str">
        <f>IF($A122="","",VLOOKUP($A122,'Annex 2 Designated EHV charges'!$D:$O,3,0))</f>
        <v/>
      </c>
      <c r="D122" s="190" t="str">
        <f>IF($A122="","",VLOOKUP($A122,'Annex 2 Designated EHV charges'!$D:$O,4,0))</f>
        <v/>
      </c>
      <c r="E122" s="191" t="str">
        <f>IFERROR(IF(VLOOKUP($A122,'Annex 2 Designated EHV charges'!$D:$P,10,FALSE)=0,"",VLOOKUP($A122,'Annex 2 Designated EHV charges'!$D:$P,10,FALSE)),"")</f>
        <v/>
      </c>
      <c r="F122" s="194" t="str">
        <f>IFERROR(IF(VLOOKUP($A122,'Annex 2 Designated EHV charges'!$D:$P,11,FALSE)=0,"",VLOOKUP($A122,'Annex 2 Designated EHV charges'!$D:$P,11,FALSE)),"")</f>
        <v/>
      </c>
      <c r="G122" s="194" t="str">
        <f>IFERROR(IF(VLOOKUP($A122,'Annex 2 Designated EHV charges'!$D:$P,12,FALSE)=0,"",VLOOKUP($A122,'Annex 2 Designated EHV charges'!$D:$P,12,FALSE)),"")</f>
        <v/>
      </c>
      <c r="H122" s="194" t="str">
        <f>IFERROR(IF(VLOOKUP($A122,'Annex 2 Designated EHV charges'!$D:$P,13,FALSE)=0,"",VLOOKUP($A122,'Annex 2 Designated EHV charges'!$D:$P,13,FALSE)),"")</f>
        <v/>
      </c>
    </row>
    <row r="123" spans="1:8" ht="12.75" customHeight="1" x14ac:dyDescent="0.35">
      <c r="A123" s="189" t="str" cm="1">
        <f t="array" ref="A123">IFERROR(INDEX('Annex 2 Designated EHV charges'!$D$10:$D$200, MATCH(0, IF(ISBLANK('Annex 2 Designated EHV charges'!$D$10:$D$200),1, COUNTIF(A$4:$A122, 'Annex 2 Designated EHV charges'!$D$10:$D$200)), 0)),"")</f>
        <v/>
      </c>
      <c r="B123" s="190" t="str">
        <f>IF($A123="","",VLOOKUP($A123,'Annex 2 Designated EHV charges'!$D:$O,2,0))</f>
        <v/>
      </c>
      <c r="C123" s="189" t="str">
        <f>IF($A123="","",VLOOKUP($A123,'Annex 2 Designated EHV charges'!$D:$O,3,0))</f>
        <v/>
      </c>
      <c r="D123" s="190" t="str">
        <f>IF($A123="","",VLOOKUP($A123,'Annex 2 Designated EHV charges'!$D:$O,4,0))</f>
        <v/>
      </c>
      <c r="E123" s="191" t="str">
        <f>IFERROR(IF(VLOOKUP($A123,'Annex 2 Designated EHV charges'!$D:$P,10,FALSE)=0,"",VLOOKUP($A123,'Annex 2 Designated EHV charges'!$D:$P,10,FALSE)),"")</f>
        <v/>
      </c>
      <c r="F123" s="194" t="str">
        <f>IFERROR(IF(VLOOKUP($A123,'Annex 2 Designated EHV charges'!$D:$P,11,FALSE)=0,"",VLOOKUP($A123,'Annex 2 Designated EHV charges'!$D:$P,11,FALSE)),"")</f>
        <v/>
      </c>
      <c r="G123" s="194" t="str">
        <f>IFERROR(IF(VLOOKUP($A123,'Annex 2 Designated EHV charges'!$D:$P,12,FALSE)=0,"",VLOOKUP($A123,'Annex 2 Designated EHV charges'!$D:$P,12,FALSE)),"")</f>
        <v/>
      </c>
      <c r="H123" s="194" t="str">
        <f>IFERROR(IF(VLOOKUP($A123,'Annex 2 Designated EHV charges'!$D:$P,13,FALSE)=0,"",VLOOKUP($A123,'Annex 2 Designated EHV charges'!$D:$P,13,FALSE)),"")</f>
        <v/>
      </c>
    </row>
    <row r="124" spans="1:8" ht="12.75" customHeight="1" x14ac:dyDescent="0.35">
      <c r="A124" s="189" t="str" cm="1">
        <f t="array" ref="A124">IFERROR(INDEX('Annex 2 Designated EHV charges'!$D$10:$D$200, MATCH(0, IF(ISBLANK('Annex 2 Designated EHV charges'!$D$10:$D$200),1, COUNTIF(A$4:$A123, 'Annex 2 Designated EHV charges'!$D$10:$D$200)), 0)),"")</f>
        <v/>
      </c>
      <c r="B124" s="190" t="str">
        <f>IF($A124="","",VLOOKUP($A124,'Annex 2 Designated EHV charges'!$D:$O,2,0))</f>
        <v/>
      </c>
      <c r="C124" s="189" t="str">
        <f>IF($A124="","",VLOOKUP($A124,'Annex 2 Designated EHV charges'!$D:$O,3,0))</f>
        <v/>
      </c>
      <c r="D124" s="190" t="str">
        <f>IF($A124="","",VLOOKUP($A124,'Annex 2 Designated EHV charges'!$D:$O,4,0))</f>
        <v/>
      </c>
      <c r="E124" s="191" t="str">
        <f>IFERROR(IF(VLOOKUP($A124,'Annex 2 Designated EHV charges'!$D:$P,10,FALSE)=0,"",VLOOKUP($A124,'Annex 2 Designated EHV charges'!$D:$P,10,FALSE)),"")</f>
        <v/>
      </c>
      <c r="F124" s="194" t="str">
        <f>IFERROR(IF(VLOOKUP($A124,'Annex 2 Designated EHV charges'!$D:$P,11,FALSE)=0,"",VLOOKUP($A124,'Annex 2 Designated EHV charges'!$D:$P,11,FALSE)),"")</f>
        <v/>
      </c>
      <c r="G124" s="194" t="str">
        <f>IFERROR(IF(VLOOKUP($A124,'Annex 2 Designated EHV charges'!$D:$P,12,FALSE)=0,"",VLOOKUP($A124,'Annex 2 Designated EHV charges'!$D:$P,12,FALSE)),"")</f>
        <v/>
      </c>
      <c r="H124" s="194" t="str">
        <f>IFERROR(IF(VLOOKUP($A124,'Annex 2 Designated EHV charges'!$D:$P,13,FALSE)=0,"",VLOOKUP($A124,'Annex 2 Designated EHV charges'!$D:$P,13,FALSE)),"")</f>
        <v/>
      </c>
    </row>
    <row r="125" spans="1:8" ht="12.75" customHeight="1" x14ac:dyDescent="0.35">
      <c r="A125" s="189" t="str" cm="1">
        <f t="array" ref="A125">IFERROR(INDEX('Annex 2 Designated EHV charges'!$D$10:$D$200, MATCH(0, IF(ISBLANK('Annex 2 Designated EHV charges'!$D$10:$D$200),1, COUNTIF(A$4:$A124, 'Annex 2 Designated EHV charges'!$D$10:$D$200)), 0)),"")</f>
        <v/>
      </c>
      <c r="B125" s="190" t="str">
        <f>IF($A125="","",VLOOKUP($A125,'Annex 2 Designated EHV charges'!$D:$O,2,0))</f>
        <v/>
      </c>
      <c r="C125" s="189" t="str">
        <f>IF($A125="","",VLOOKUP($A125,'Annex 2 Designated EHV charges'!$D:$O,3,0))</f>
        <v/>
      </c>
      <c r="D125" s="190" t="str">
        <f>IF($A125="","",VLOOKUP($A125,'Annex 2 Designated EHV charges'!$D:$O,4,0))</f>
        <v/>
      </c>
      <c r="E125" s="191" t="str">
        <f>IFERROR(IF(VLOOKUP($A125,'Annex 2 Designated EHV charges'!$D:$P,10,FALSE)=0,"",VLOOKUP($A125,'Annex 2 Designated EHV charges'!$D:$P,10,FALSE)),"")</f>
        <v/>
      </c>
      <c r="F125" s="194" t="str">
        <f>IFERROR(IF(VLOOKUP($A125,'Annex 2 Designated EHV charges'!$D:$P,11,FALSE)=0,"",VLOOKUP($A125,'Annex 2 Designated EHV charges'!$D:$P,11,FALSE)),"")</f>
        <v/>
      </c>
      <c r="G125" s="194" t="str">
        <f>IFERROR(IF(VLOOKUP($A125,'Annex 2 Designated EHV charges'!$D:$P,12,FALSE)=0,"",VLOOKUP($A125,'Annex 2 Designated EHV charges'!$D:$P,12,FALSE)),"")</f>
        <v/>
      </c>
      <c r="H125" s="194" t="str">
        <f>IFERROR(IF(VLOOKUP($A125,'Annex 2 Designated EHV charges'!$D:$P,13,FALSE)=0,"",VLOOKUP($A125,'Annex 2 Designated EHV charges'!$D:$P,13,FALSE)),"")</f>
        <v/>
      </c>
    </row>
    <row r="126" spans="1:8" ht="12.75" customHeight="1" x14ac:dyDescent="0.35">
      <c r="A126" s="189" t="str" cm="1">
        <f t="array" ref="A126">IFERROR(INDEX('Annex 2 Designated EHV charges'!$D$10:$D$200, MATCH(0, IF(ISBLANK('Annex 2 Designated EHV charges'!$D$10:$D$200),1, COUNTIF(A$4:$A125, 'Annex 2 Designated EHV charges'!$D$10:$D$200)), 0)),"")</f>
        <v/>
      </c>
      <c r="B126" s="190" t="str">
        <f>IF($A126="","",VLOOKUP($A126,'Annex 2 Designated EHV charges'!$D:$O,2,0))</f>
        <v/>
      </c>
      <c r="C126" s="189" t="str">
        <f>IF($A126="","",VLOOKUP($A126,'Annex 2 Designated EHV charges'!$D:$O,3,0))</f>
        <v/>
      </c>
      <c r="D126" s="190" t="str">
        <f>IF($A126="","",VLOOKUP($A126,'Annex 2 Designated EHV charges'!$D:$O,4,0))</f>
        <v/>
      </c>
      <c r="E126" s="191" t="str">
        <f>IFERROR(IF(VLOOKUP($A126,'Annex 2 Designated EHV charges'!$D:$P,10,FALSE)=0,"",VLOOKUP($A126,'Annex 2 Designated EHV charges'!$D:$P,10,FALSE)),"")</f>
        <v/>
      </c>
      <c r="F126" s="194" t="str">
        <f>IFERROR(IF(VLOOKUP($A126,'Annex 2 Designated EHV charges'!$D:$P,11,FALSE)=0,"",VLOOKUP($A126,'Annex 2 Designated EHV charges'!$D:$P,11,FALSE)),"")</f>
        <v/>
      </c>
      <c r="G126" s="194" t="str">
        <f>IFERROR(IF(VLOOKUP($A126,'Annex 2 Designated EHV charges'!$D:$P,12,FALSE)=0,"",VLOOKUP($A126,'Annex 2 Designated EHV charges'!$D:$P,12,FALSE)),"")</f>
        <v/>
      </c>
      <c r="H126" s="194" t="str">
        <f>IFERROR(IF(VLOOKUP($A126,'Annex 2 Designated EHV charges'!$D:$P,13,FALSE)=0,"",VLOOKUP($A126,'Annex 2 Designated EHV charges'!$D:$P,13,FALSE)),"")</f>
        <v/>
      </c>
    </row>
    <row r="127" spans="1:8" ht="12.75" customHeight="1" x14ac:dyDescent="0.35">
      <c r="A127" s="189" t="str" cm="1">
        <f t="array" ref="A127">IFERROR(INDEX('Annex 2 Designated EHV charges'!$D$10:$D$200, MATCH(0, IF(ISBLANK('Annex 2 Designated EHV charges'!$D$10:$D$200),1, COUNTIF(A$4:$A126, 'Annex 2 Designated EHV charges'!$D$10:$D$200)), 0)),"")</f>
        <v/>
      </c>
      <c r="B127" s="190" t="str">
        <f>IF($A127="","",VLOOKUP($A127,'Annex 2 Designated EHV charges'!$D:$O,2,0))</f>
        <v/>
      </c>
      <c r="C127" s="189" t="str">
        <f>IF($A127="","",VLOOKUP($A127,'Annex 2 Designated EHV charges'!$D:$O,3,0))</f>
        <v/>
      </c>
      <c r="D127" s="190" t="str">
        <f>IF($A127="","",VLOOKUP($A127,'Annex 2 Designated EHV charges'!$D:$O,4,0))</f>
        <v/>
      </c>
      <c r="E127" s="191" t="str">
        <f>IFERROR(IF(VLOOKUP($A127,'Annex 2 Designated EHV charges'!$D:$P,10,FALSE)=0,"",VLOOKUP($A127,'Annex 2 Designated EHV charges'!$D:$P,10,FALSE)),"")</f>
        <v/>
      </c>
      <c r="F127" s="194" t="str">
        <f>IFERROR(IF(VLOOKUP($A127,'Annex 2 Designated EHV charges'!$D:$P,11,FALSE)=0,"",VLOOKUP($A127,'Annex 2 Designated EHV charges'!$D:$P,11,FALSE)),"")</f>
        <v/>
      </c>
      <c r="G127" s="194" t="str">
        <f>IFERROR(IF(VLOOKUP($A127,'Annex 2 Designated EHV charges'!$D:$P,12,FALSE)=0,"",VLOOKUP($A127,'Annex 2 Designated EHV charges'!$D:$P,12,FALSE)),"")</f>
        <v/>
      </c>
      <c r="H127" s="194" t="str">
        <f>IFERROR(IF(VLOOKUP($A127,'Annex 2 Designated EHV charges'!$D:$P,13,FALSE)=0,"",VLOOKUP($A127,'Annex 2 Designated EHV charges'!$D:$P,13,FALSE)),"")</f>
        <v/>
      </c>
    </row>
    <row r="128" spans="1:8" ht="12.75" customHeight="1" x14ac:dyDescent="0.35">
      <c r="A128" s="189" t="str" cm="1">
        <f t="array" ref="A128">IFERROR(INDEX('Annex 2 Designated EHV charges'!$D$10:$D$200, MATCH(0, IF(ISBLANK('Annex 2 Designated EHV charges'!$D$10:$D$200),1, COUNTIF(A$4:$A127, 'Annex 2 Designated EHV charges'!$D$10:$D$200)), 0)),"")</f>
        <v/>
      </c>
      <c r="B128" s="190" t="str">
        <f>IF($A128="","",VLOOKUP($A128,'Annex 2 Designated EHV charges'!$D:$O,2,0))</f>
        <v/>
      </c>
      <c r="C128" s="189" t="str">
        <f>IF($A128="","",VLOOKUP($A128,'Annex 2 Designated EHV charges'!$D:$O,3,0))</f>
        <v/>
      </c>
      <c r="D128" s="190" t="str">
        <f>IF($A128="","",VLOOKUP($A128,'Annex 2 Designated EHV charges'!$D:$O,4,0))</f>
        <v/>
      </c>
      <c r="E128" s="191" t="str">
        <f>IFERROR(IF(VLOOKUP($A128,'Annex 2 Designated EHV charges'!$D:$P,10,FALSE)=0,"",VLOOKUP($A128,'Annex 2 Designated EHV charges'!$D:$P,10,FALSE)),"")</f>
        <v/>
      </c>
      <c r="F128" s="194" t="str">
        <f>IFERROR(IF(VLOOKUP($A128,'Annex 2 Designated EHV charges'!$D:$P,11,FALSE)=0,"",VLOOKUP($A128,'Annex 2 Designated EHV charges'!$D:$P,11,FALSE)),"")</f>
        <v/>
      </c>
      <c r="G128" s="194" t="str">
        <f>IFERROR(IF(VLOOKUP($A128,'Annex 2 Designated EHV charges'!$D:$P,12,FALSE)=0,"",VLOOKUP($A128,'Annex 2 Designated EHV charges'!$D:$P,12,FALSE)),"")</f>
        <v/>
      </c>
      <c r="H128" s="194" t="str">
        <f>IFERROR(IF(VLOOKUP($A128,'Annex 2 Designated EHV charges'!$D:$P,13,FALSE)=0,"",VLOOKUP($A128,'Annex 2 Designated EHV charges'!$D:$P,13,FALSE)),"")</f>
        <v/>
      </c>
    </row>
    <row r="129" spans="1:8" ht="12.75" customHeight="1" x14ac:dyDescent="0.35">
      <c r="A129" s="189" t="str" cm="1">
        <f t="array" ref="A129">IFERROR(INDEX('Annex 2 Designated EHV charges'!$D$10:$D$200, MATCH(0, IF(ISBLANK('Annex 2 Designated EHV charges'!$D$10:$D$200),1, COUNTIF(A$4:$A128, 'Annex 2 Designated EHV charges'!$D$10:$D$200)), 0)),"")</f>
        <v/>
      </c>
      <c r="B129" s="190" t="str">
        <f>IF($A129="","",VLOOKUP($A129,'Annex 2 Designated EHV charges'!$D:$O,2,0))</f>
        <v/>
      </c>
      <c r="C129" s="189" t="str">
        <f>IF($A129="","",VLOOKUP($A129,'Annex 2 Designated EHV charges'!$D:$O,3,0))</f>
        <v/>
      </c>
      <c r="D129" s="190" t="str">
        <f>IF($A129="","",VLOOKUP($A129,'Annex 2 Designated EHV charges'!$D:$O,4,0))</f>
        <v/>
      </c>
      <c r="E129" s="191" t="str">
        <f>IFERROR(IF(VLOOKUP($A129,'Annex 2 Designated EHV charges'!$D:$P,10,FALSE)=0,"",VLOOKUP($A129,'Annex 2 Designated EHV charges'!$D:$P,10,FALSE)),"")</f>
        <v/>
      </c>
      <c r="F129" s="194" t="str">
        <f>IFERROR(IF(VLOOKUP($A129,'Annex 2 Designated EHV charges'!$D:$P,11,FALSE)=0,"",VLOOKUP($A129,'Annex 2 Designated EHV charges'!$D:$P,11,FALSE)),"")</f>
        <v/>
      </c>
      <c r="G129" s="194" t="str">
        <f>IFERROR(IF(VLOOKUP($A129,'Annex 2 Designated EHV charges'!$D:$P,12,FALSE)=0,"",VLOOKUP($A129,'Annex 2 Designated EHV charges'!$D:$P,12,FALSE)),"")</f>
        <v/>
      </c>
      <c r="H129" s="194" t="str">
        <f>IFERROR(IF(VLOOKUP($A129,'Annex 2 Designated EHV charges'!$D:$P,13,FALSE)=0,"",VLOOKUP($A129,'Annex 2 Designated EHV charges'!$D:$P,13,FALSE)),"")</f>
        <v/>
      </c>
    </row>
    <row r="130" spans="1:8" ht="12.75" customHeight="1" x14ac:dyDescent="0.35">
      <c r="A130" s="189" t="str" cm="1">
        <f t="array" ref="A130">IFERROR(INDEX('Annex 2 Designated EHV charges'!$D$10:$D$200, MATCH(0, IF(ISBLANK('Annex 2 Designated EHV charges'!$D$10:$D$200),1, COUNTIF(A$4:$A129, 'Annex 2 Designated EHV charges'!$D$10:$D$200)), 0)),"")</f>
        <v/>
      </c>
      <c r="B130" s="190" t="str">
        <f>IF($A130="","",VLOOKUP($A130,'Annex 2 Designated EHV charges'!$D:$O,2,0))</f>
        <v/>
      </c>
      <c r="C130" s="189" t="str">
        <f>IF($A130="","",VLOOKUP($A130,'Annex 2 Designated EHV charges'!$D:$O,3,0))</f>
        <v/>
      </c>
      <c r="D130" s="190" t="str">
        <f>IF($A130="","",VLOOKUP($A130,'Annex 2 Designated EHV charges'!$D:$O,4,0))</f>
        <v/>
      </c>
      <c r="E130" s="191" t="str">
        <f>IFERROR(IF(VLOOKUP($A130,'Annex 2 Designated EHV charges'!$D:$P,10,FALSE)=0,"",VLOOKUP($A130,'Annex 2 Designated EHV charges'!$D:$P,10,FALSE)),"")</f>
        <v/>
      </c>
      <c r="F130" s="194" t="str">
        <f>IFERROR(IF(VLOOKUP($A130,'Annex 2 Designated EHV charges'!$D:$P,11,FALSE)=0,"",VLOOKUP($A130,'Annex 2 Designated EHV charges'!$D:$P,11,FALSE)),"")</f>
        <v/>
      </c>
      <c r="G130" s="194" t="str">
        <f>IFERROR(IF(VLOOKUP($A130,'Annex 2 Designated EHV charges'!$D:$P,12,FALSE)=0,"",VLOOKUP($A130,'Annex 2 Designated EHV charges'!$D:$P,12,FALSE)),"")</f>
        <v/>
      </c>
      <c r="H130" s="194" t="str">
        <f>IFERROR(IF(VLOOKUP($A130,'Annex 2 Designated EHV charges'!$D:$P,13,FALSE)=0,"",VLOOKUP($A130,'Annex 2 Designated EHV charges'!$D:$P,13,FALSE)),"")</f>
        <v/>
      </c>
    </row>
    <row r="131" spans="1:8" ht="12.75" customHeight="1" x14ac:dyDescent="0.35">
      <c r="A131" s="189" t="str" cm="1">
        <f t="array" ref="A131">IFERROR(INDEX('Annex 2 Designated EHV charges'!$D$10:$D$200, MATCH(0, IF(ISBLANK('Annex 2 Designated EHV charges'!$D$10:$D$200),1, COUNTIF(A$4:$A130, 'Annex 2 Designated EHV charges'!$D$10:$D$200)), 0)),"")</f>
        <v/>
      </c>
      <c r="B131" s="190" t="str">
        <f>IF($A131="","",VLOOKUP($A131,'Annex 2 Designated EHV charges'!$D:$O,2,0))</f>
        <v/>
      </c>
      <c r="C131" s="189" t="str">
        <f>IF($A131="","",VLOOKUP($A131,'Annex 2 Designated EHV charges'!$D:$O,3,0))</f>
        <v/>
      </c>
      <c r="D131" s="190" t="str">
        <f>IF($A131="","",VLOOKUP($A131,'Annex 2 Designated EHV charges'!$D:$O,4,0))</f>
        <v/>
      </c>
      <c r="E131" s="191" t="str">
        <f>IFERROR(IF(VLOOKUP($A131,'Annex 2 Designated EHV charges'!$D:$P,10,FALSE)=0,"",VLOOKUP($A131,'Annex 2 Designated EHV charges'!$D:$P,10,FALSE)),"")</f>
        <v/>
      </c>
      <c r="F131" s="194" t="str">
        <f>IFERROR(IF(VLOOKUP($A131,'Annex 2 Designated EHV charges'!$D:$P,11,FALSE)=0,"",VLOOKUP($A131,'Annex 2 Designated EHV charges'!$D:$P,11,FALSE)),"")</f>
        <v/>
      </c>
      <c r="G131" s="194" t="str">
        <f>IFERROR(IF(VLOOKUP($A131,'Annex 2 Designated EHV charges'!$D:$P,12,FALSE)=0,"",VLOOKUP($A131,'Annex 2 Designated EHV charges'!$D:$P,12,FALSE)),"")</f>
        <v/>
      </c>
      <c r="H131" s="194" t="str">
        <f>IFERROR(IF(VLOOKUP($A131,'Annex 2 Designated EHV charges'!$D:$P,13,FALSE)=0,"",VLOOKUP($A131,'Annex 2 Designated EHV charges'!$D:$P,13,FALSE)),"")</f>
        <v/>
      </c>
    </row>
    <row r="132" spans="1:8" ht="12.75" customHeight="1" x14ac:dyDescent="0.35">
      <c r="A132" s="189" t="str" cm="1">
        <f t="array" ref="A132">IFERROR(INDEX('Annex 2 Designated EHV charges'!$D$10:$D$200, MATCH(0, IF(ISBLANK('Annex 2 Designated EHV charges'!$D$10:$D$200),1, COUNTIF(A$4:$A131, 'Annex 2 Designated EHV charges'!$D$10:$D$200)), 0)),"")</f>
        <v/>
      </c>
      <c r="B132" s="190" t="str">
        <f>IF($A132="","",VLOOKUP($A132,'Annex 2 Designated EHV charges'!$D:$O,2,0))</f>
        <v/>
      </c>
      <c r="C132" s="189" t="str">
        <f>IF($A132="","",VLOOKUP($A132,'Annex 2 Designated EHV charges'!$D:$O,3,0))</f>
        <v/>
      </c>
      <c r="D132" s="190" t="str">
        <f>IF($A132="","",VLOOKUP($A132,'Annex 2 Designated EHV charges'!$D:$O,4,0))</f>
        <v/>
      </c>
      <c r="E132" s="191" t="str">
        <f>IFERROR(IF(VLOOKUP($A132,'Annex 2 Designated EHV charges'!$D:$P,10,FALSE)=0,"",VLOOKUP($A132,'Annex 2 Designated EHV charges'!$D:$P,10,FALSE)),"")</f>
        <v/>
      </c>
      <c r="F132" s="194" t="str">
        <f>IFERROR(IF(VLOOKUP($A132,'Annex 2 Designated EHV charges'!$D:$P,11,FALSE)=0,"",VLOOKUP($A132,'Annex 2 Designated EHV charges'!$D:$P,11,FALSE)),"")</f>
        <v/>
      </c>
      <c r="G132" s="194" t="str">
        <f>IFERROR(IF(VLOOKUP($A132,'Annex 2 Designated EHV charges'!$D:$P,12,FALSE)=0,"",VLOOKUP($A132,'Annex 2 Designated EHV charges'!$D:$P,12,FALSE)),"")</f>
        <v/>
      </c>
      <c r="H132" s="194" t="str">
        <f>IFERROR(IF(VLOOKUP($A132,'Annex 2 Designated EHV charges'!$D:$P,13,FALSE)=0,"",VLOOKUP($A132,'Annex 2 Designated EHV charges'!$D:$P,13,FALSE)),"")</f>
        <v/>
      </c>
    </row>
    <row r="133" spans="1:8" ht="12.75" customHeight="1" x14ac:dyDescent="0.35">
      <c r="A133" s="189" t="str" cm="1">
        <f t="array" ref="A133">IFERROR(INDEX('Annex 2 Designated EHV charges'!$D$10:$D$200, MATCH(0, IF(ISBLANK('Annex 2 Designated EHV charges'!$D$10:$D$200),1, COUNTIF(A$4:$A132, 'Annex 2 Designated EHV charges'!$D$10:$D$200)), 0)),"")</f>
        <v/>
      </c>
      <c r="B133" s="190" t="str">
        <f>IF($A133="","",VLOOKUP($A133,'Annex 2 Designated EHV charges'!$D:$O,2,0))</f>
        <v/>
      </c>
      <c r="C133" s="189" t="str">
        <f>IF($A133="","",VLOOKUP($A133,'Annex 2 Designated EHV charges'!$D:$O,3,0))</f>
        <v/>
      </c>
      <c r="D133" s="190" t="str">
        <f>IF($A133="","",VLOOKUP($A133,'Annex 2 Designated EHV charges'!$D:$O,4,0))</f>
        <v/>
      </c>
      <c r="E133" s="191" t="str">
        <f>IFERROR(IF(VLOOKUP($A133,'Annex 2 Designated EHV charges'!$D:$P,10,FALSE)=0,"",VLOOKUP($A133,'Annex 2 Designated EHV charges'!$D:$P,10,FALSE)),"")</f>
        <v/>
      </c>
      <c r="F133" s="194" t="str">
        <f>IFERROR(IF(VLOOKUP($A133,'Annex 2 Designated EHV charges'!$D:$P,11,FALSE)=0,"",VLOOKUP($A133,'Annex 2 Designated EHV charges'!$D:$P,11,FALSE)),"")</f>
        <v/>
      </c>
      <c r="G133" s="194" t="str">
        <f>IFERROR(IF(VLOOKUP($A133,'Annex 2 Designated EHV charges'!$D:$P,12,FALSE)=0,"",VLOOKUP($A133,'Annex 2 Designated EHV charges'!$D:$P,12,FALSE)),"")</f>
        <v/>
      </c>
      <c r="H133" s="194" t="str">
        <f>IFERROR(IF(VLOOKUP($A133,'Annex 2 Designated EHV charges'!$D:$P,13,FALSE)=0,"",VLOOKUP($A133,'Annex 2 Designated EHV charges'!$D:$P,13,FALSE)),"")</f>
        <v/>
      </c>
    </row>
    <row r="134" spans="1:8" ht="12.75" customHeight="1" x14ac:dyDescent="0.35">
      <c r="A134" s="189" t="str" cm="1">
        <f t="array" ref="A134">IFERROR(INDEX('Annex 2 Designated EHV charges'!$D$10:$D$200, MATCH(0, IF(ISBLANK('Annex 2 Designated EHV charges'!$D$10:$D$200),1, COUNTIF(A$4:$A133, 'Annex 2 Designated EHV charges'!$D$10:$D$200)), 0)),"")</f>
        <v/>
      </c>
      <c r="B134" s="190" t="str">
        <f>IF($A134="","",VLOOKUP($A134,'Annex 2 Designated EHV charges'!$D:$O,2,0))</f>
        <v/>
      </c>
      <c r="C134" s="189" t="str">
        <f>IF($A134="","",VLOOKUP($A134,'Annex 2 Designated EHV charges'!$D:$O,3,0))</f>
        <v/>
      </c>
      <c r="D134" s="190" t="str">
        <f>IF($A134="","",VLOOKUP($A134,'Annex 2 Designated EHV charges'!$D:$O,4,0))</f>
        <v/>
      </c>
      <c r="E134" s="191" t="str">
        <f>IFERROR(IF(VLOOKUP($A134,'Annex 2 Designated EHV charges'!$D:$P,10,FALSE)=0,"",VLOOKUP($A134,'Annex 2 Designated EHV charges'!$D:$P,10,FALSE)),"")</f>
        <v/>
      </c>
      <c r="F134" s="194" t="str">
        <f>IFERROR(IF(VLOOKUP($A134,'Annex 2 Designated EHV charges'!$D:$P,11,FALSE)=0,"",VLOOKUP($A134,'Annex 2 Designated EHV charges'!$D:$P,11,FALSE)),"")</f>
        <v/>
      </c>
      <c r="G134" s="194" t="str">
        <f>IFERROR(IF(VLOOKUP($A134,'Annex 2 Designated EHV charges'!$D:$P,12,FALSE)=0,"",VLOOKUP($A134,'Annex 2 Designated EHV charges'!$D:$P,12,FALSE)),"")</f>
        <v/>
      </c>
      <c r="H134" s="194" t="str">
        <f>IFERROR(IF(VLOOKUP($A134,'Annex 2 Designated EHV charges'!$D:$P,13,FALSE)=0,"",VLOOKUP($A134,'Annex 2 Designated EHV charges'!$D:$P,13,FALSE)),"")</f>
        <v/>
      </c>
    </row>
    <row r="135" spans="1:8" ht="12.75" customHeight="1" x14ac:dyDescent="0.35">
      <c r="A135" s="189" t="str" cm="1">
        <f t="array" ref="A135">IFERROR(INDEX('Annex 2 Designated EHV charges'!$D$10:$D$200, MATCH(0, IF(ISBLANK('Annex 2 Designated EHV charges'!$D$10:$D$200),1, COUNTIF(A$4:$A134, 'Annex 2 Designated EHV charges'!$D$10:$D$200)), 0)),"")</f>
        <v/>
      </c>
      <c r="B135" s="190" t="str">
        <f>IF($A135="","",VLOOKUP($A135,'Annex 2 Designated EHV charges'!$D:$O,2,0))</f>
        <v/>
      </c>
      <c r="C135" s="189" t="str">
        <f>IF($A135="","",VLOOKUP($A135,'Annex 2 Designated EHV charges'!$D:$O,3,0))</f>
        <v/>
      </c>
      <c r="D135" s="190" t="str">
        <f>IF($A135="","",VLOOKUP($A135,'Annex 2 Designated EHV charges'!$D:$O,4,0))</f>
        <v/>
      </c>
      <c r="E135" s="191" t="str">
        <f>IFERROR(IF(VLOOKUP($A135,'Annex 2 Designated EHV charges'!$D:$P,10,FALSE)=0,"",VLOOKUP($A135,'Annex 2 Designated EHV charges'!$D:$P,10,FALSE)),"")</f>
        <v/>
      </c>
      <c r="F135" s="194" t="str">
        <f>IFERROR(IF(VLOOKUP($A135,'Annex 2 Designated EHV charges'!$D:$P,11,FALSE)=0,"",VLOOKUP($A135,'Annex 2 Designated EHV charges'!$D:$P,11,FALSE)),"")</f>
        <v/>
      </c>
      <c r="G135" s="194" t="str">
        <f>IFERROR(IF(VLOOKUP($A135,'Annex 2 Designated EHV charges'!$D:$P,12,FALSE)=0,"",VLOOKUP($A135,'Annex 2 Designated EHV charges'!$D:$P,12,FALSE)),"")</f>
        <v/>
      </c>
      <c r="H135" s="194" t="str">
        <f>IFERROR(IF(VLOOKUP($A135,'Annex 2 Designated EHV charges'!$D:$P,13,FALSE)=0,"",VLOOKUP($A135,'Annex 2 Designated EHV charges'!$D:$P,13,FALSE)),"")</f>
        <v/>
      </c>
    </row>
    <row r="136" spans="1:8" ht="12.75" customHeight="1" x14ac:dyDescent="0.35">
      <c r="A136" s="189" t="str" cm="1">
        <f t="array" ref="A136">IFERROR(INDEX('Annex 2 Designated EHV charges'!$D$10:$D$200, MATCH(0, IF(ISBLANK('Annex 2 Designated EHV charges'!$D$10:$D$200),1, COUNTIF(A$4:$A135, 'Annex 2 Designated EHV charges'!$D$10:$D$200)), 0)),"")</f>
        <v/>
      </c>
      <c r="B136" s="190" t="str">
        <f>IF($A136="","",VLOOKUP($A136,'Annex 2 Designated EHV charges'!$D:$O,2,0))</f>
        <v/>
      </c>
      <c r="C136" s="189" t="str">
        <f>IF($A136="","",VLOOKUP($A136,'Annex 2 Designated EHV charges'!$D:$O,3,0))</f>
        <v/>
      </c>
      <c r="D136" s="190" t="str">
        <f>IF($A136="","",VLOOKUP($A136,'Annex 2 Designated EHV charges'!$D:$O,4,0))</f>
        <v/>
      </c>
      <c r="E136" s="191" t="str">
        <f>IFERROR(IF(VLOOKUP($A136,'Annex 2 Designated EHV charges'!$D:$P,10,FALSE)=0,"",VLOOKUP($A136,'Annex 2 Designated EHV charges'!$D:$P,10,FALSE)),"")</f>
        <v/>
      </c>
      <c r="F136" s="194" t="str">
        <f>IFERROR(IF(VLOOKUP($A136,'Annex 2 Designated EHV charges'!$D:$P,11,FALSE)=0,"",VLOOKUP($A136,'Annex 2 Designated EHV charges'!$D:$P,11,FALSE)),"")</f>
        <v/>
      </c>
      <c r="G136" s="194" t="str">
        <f>IFERROR(IF(VLOOKUP($A136,'Annex 2 Designated EHV charges'!$D:$P,12,FALSE)=0,"",VLOOKUP($A136,'Annex 2 Designated EHV charges'!$D:$P,12,FALSE)),"")</f>
        <v/>
      </c>
      <c r="H136" s="194" t="str">
        <f>IFERROR(IF(VLOOKUP($A136,'Annex 2 Designated EHV charges'!$D:$P,13,FALSE)=0,"",VLOOKUP($A136,'Annex 2 Designated EHV charges'!$D:$P,13,FALSE)),"")</f>
        <v/>
      </c>
    </row>
    <row r="137" spans="1:8" ht="12.75" customHeight="1" x14ac:dyDescent="0.35">
      <c r="A137" s="189" t="str" cm="1">
        <f t="array" ref="A137">IFERROR(INDEX('Annex 2 Designated EHV charges'!$D$10:$D$200, MATCH(0, IF(ISBLANK('Annex 2 Designated EHV charges'!$D$10:$D$200),1, COUNTIF(A$4:$A136, 'Annex 2 Designated EHV charges'!$D$10:$D$200)), 0)),"")</f>
        <v/>
      </c>
      <c r="B137" s="190" t="str">
        <f>IF($A137="","",VLOOKUP($A137,'Annex 2 Designated EHV charges'!$D:$O,2,0))</f>
        <v/>
      </c>
      <c r="C137" s="189" t="str">
        <f>IF($A137="","",VLOOKUP($A137,'Annex 2 Designated EHV charges'!$D:$O,3,0))</f>
        <v/>
      </c>
      <c r="D137" s="190" t="str">
        <f>IF($A137="","",VLOOKUP($A137,'Annex 2 Designated EHV charges'!$D:$O,4,0))</f>
        <v/>
      </c>
      <c r="E137" s="191" t="str">
        <f>IFERROR(IF(VLOOKUP($A137,'Annex 2 Designated EHV charges'!$D:$P,10,FALSE)=0,"",VLOOKUP($A137,'Annex 2 Designated EHV charges'!$D:$P,10,FALSE)),"")</f>
        <v/>
      </c>
      <c r="F137" s="194" t="str">
        <f>IFERROR(IF(VLOOKUP($A137,'Annex 2 Designated EHV charges'!$D:$P,11,FALSE)=0,"",VLOOKUP($A137,'Annex 2 Designated EHV charges'!$D:$P,11,FALSE)),"")</f>
        <v/>
      </c>
      <c r="G137" s="194" t="str">
        <f>IFERROR(IF(VLOOKUP($A137,'Annex 2 Designated EHV charges'!$D:$P,12,FALSE)=0,"",VLOOKUP($A137,'Annex 2 Designated EHV charges'!$D:$P,12,FALSE)),"")</f>
        <v/>
      </c>
      <c r="H137" s="194" t="str">
        <f>IFERROR(IF(VLOOKUP($A137,'Annex 2 Designated EHV charges'!$D:$P,13,FALSE)=0,"",VLOOKUP($A137,'Annex 2 Designated EHV charges'!$D:$P,13,FALSE)),"")</f>
        <v/>
      </c>
    </row>
    <row r="138" spans="1:8" ht="12.75" customHeight="1" x14ac:dyDescent="0.35">
      <c r="A138" s="189" t="str" cm="1">
        <f t="array" ref="A138">IFERROR(INDEX('Annex 2 Designated EHV charges'!$D$10:$D$200, MATCH(0, IF(ISBLANK('Annex 2 Designated EHV charges'!$D$10:$D$200),1, COUNTIF(A$4:$A137, 'Annex 2 Designated EHV charges'!$D$10:$D$200)), 0)),"")</f>
        <v/>
      </c>
      <c r="B138" s="190" t="str">
        <f>IF($A138="","",VLOOKUP($A138,'Annex 2 Designated EHV charges'!$D:$O,2,0))</f>
        <v/>
      </c>
      <c r="C138" s="189" t="str">
        <f>IF($A138="","",VLOOKUP($A138,'Annex 2 Designated EHV charges'!$D:$O,3,0))</f>
        <v/>
      </c>
      <c r="D138" s="190" t="str">
        <f>IF($A138="","",VLOOKUP($A138,'Annex 2 Designated EHV charges'!$D:$O,4,0))</f>
        <v/>
      </c>
      <c r="E138" s="191" t="str">
        <f>IFERROR(IF(VLOOKUP($A138,'Annex 2 Designated EHV charges'!$D:$P,10,FALSE)=0,"",VLOOKUP($A138,'Annex 2 Designated EHV charges'!$D:$P,10,FALSE)),"")</f>
        <v/>
      </c>
      <c r="F138" s="194" t="str">
        <f>IFERROR(IF(VLOOKUP($A138,'Annex 2 Designated EHV charges'!$D:$P,11,FALSE)=0,"",VLOOKUP($A138,'Annex 2 Designated EHV charges'!$D:$P,11,FALSE)),"")</f>
        <v/>
      </c>
      <c r="G138" s="194" t="str">
        <f>IFERROR(IF(VLOOKUP($A138,'Annex 2 Designated EHV charges'!$D:$P,12,FALSE)=0,"",VLOOKUP($A138,'Annex 2 Designated EHV charges'!$D:$P,12,FALSE)),"")</f>
        <v/>
      </c>
      <c r="H138" s="194" t="str">
        <f>IFERROR(IF(VLOOKUP($A138,'Annex 2 Designated EHV charges'!$D:$P,13,FALSE)=0,"",VLOOKUP($A138,'Annex 2 Designated EHV charges'!$D:$P,13,FALSE)),"")</f>
        <v/>
      </c>
    </row>
    <row r="139" spans="1:8" ht="12.75" customHeight="1" x14ac:dyDescent="0.35">
      <c r="A139" s="189" t="str" cm="1">
        <f t="array" ref="A139">IFERROR(INDEX('Annex 2 Designated EHV charges'!$D$10:$D$200, MATCH(0, IF(ISBLANK('Annex 2 Designated EHV charges'!$D$10:$D$200),1, COUNTIF(A$4:$A138, 'Annex 2 Designated EHV charges'!$D$10:$D$200)), 0)),"")</f>
        <v/>
      </c>
      <c r="B139" s="190" t="str">
        <f>IF($A139="","",VLOOKUP($A139,'Annex 2 Designated EHV charges'!$D:$O,2,0))</f>
        <v/>
      </c>
      <c r="C139" s="189" t="str">
        <f>IF($A139="","",VLOOKUP($A139,'Annex 2 Designated EHV charges'!$D:$O,3,0))</f>
        <v/>
      </c>
      <c r="D139" s="190" t="str">
        <f>IF($A139="","",VLOOKUP($A139,'Annex 2 Designated EHV charges'!$D:$O,4,0))</f>
        <v/>
      </c>
      <c r="E139" s="191" t="str">
        <f>IFERROR(IF(VLOOKUP($A139,'Annex 2 Designated EHV charges'!$D:$P,10,FALSE)=0,"",VLOOKUP($A139,'Annex 2 Designated EHV charges'!$D:$P,10,FALSE)),"")</f>
        <v/>
      </c>
      <c r="F139" s="194" t="str">
        <f>IFERROR(IF(VLOOKUP($A139,'Annex 2 Designated EHV charges'!$D:$P,11,FALSE)=0,"",VLOOKUP($A139,'Annex 2 Designated EHV charges'!$D:$P,11,FALSE)),"")</f>
        <v/>
      </c>
      <c r="G139" s="194" t="str">
        <f>IFERROR(IF(VLOOKUP($A139,'Annex 2 Designated EHV charges'!$D:$P,12,FALSE)=0,"",VLOOKUP($A139,'Annex 2 Designated EHV charges'!$D:$P,12,FALSE)),"")</f>
        <v/>
      </c>
      <c r="H139" s="194" t="str">
        <f>IFERROR(IF(VLOOKUP($A139,'Annex 2 Designated EHV charges'!$D:$P,13,FALSE)=0,"",VLOOKUP($A139,'Annex 2 Designated EHV charges'!$D:$P,13,FALSE)),"")</f>
        <v/>
      </c>
    </row>
    <row r="140" spans="1:8" ht="12.75" customHeight="1" x14ac:dyDescent="0.35">
      <c r="A140" s="189" t="str" cm="1">
        <f t="array" ref="A140">IFERROR(INDEX('Annex 2 Designated EHV charges'!$D$10:$D$200, MATCH(0, IF(ISBLANK('Annex 2 Designated EHV charges'!$D$10:$D$200),1, COUNTIF(A$4:$A139, 'Annex 2 Designated EHV charges'!$D$10:$D$200)), 0)),"")</f>
        <v/>
      </c>
      <c r="B140" s="190" t="str">
        <f>IF($A140="","",VLOOKUP($A140,'Annex 2 Designated EHV charges'!$D:$O,2,0))</f>
        <v/>
      </c>
      <c r="C140" s="189" t="str">
        <f>IF($A140="","",VLOOKUP($A140,'Annex 2 Designated EHV charges'!$D:$O,3,0))</f>
        <v/>
      </c>
      <c r="D140" s="190" t="str">
        <f>IF($A140="","",VLOOKUP($A140,'Annex 2 Designated EHV charges'!$D:$O,4,0))</f>
        <v/>
      </c>
      <c r="E140" s="191" t="str">
        <f>IFERROR(IF(VLOOKUP($A140,'Annex 2 Designated EHV charges'!$D:$P,10,FALSE)=0,"",VLOOKUP($A140,'Annex 2 Designated EHV charges'!$D:$P,10,FALSE)),"")</f>
        <v/>
      </c>
      <c r="F140" s="194" t="str">
        <f>IFERROR(IF(VLOOKUP($A140,'Annex 2 Designated EHV charges'!$D:$P,11,FALSE)=0,"",VLOOKUP($A140,'Annex 2 Designated EHV charges'!$D:$P,11,FALSE)),"")</f>
        <v/>
      </c>
      <c r="G140" s="194" t="str">
        <f>IFERROR(IF(VLOOKUP($A140,'Annex 2 Designated EHV charges'!$D:$P,12,FALSE)=0,"",VLOOKUP($A140,'Annex 2 Designated EHV charges'!$D:$P,12,FALSE)),"")</f>
        <v/>
      </c>
      <c r="H140" s="194" t="str">
        <f>IFERROR(IF(VLOOKUP($A140,'Annex 2 Designated EHV charges'!$D:$P,13,FALSE)=0,"",VLOOKUP($A140,'Annex 2 Designated EHV charges'!$D:$P,13,FALSE)),"")</f>
        <v/>
      </c>
    </row>
    <row r="141" spans="1:8" ht="12.75" customHeight="1" x14ac:dyDescent="0.35">
      <c r="A141" s="189" t="str" cm="1">
        <f t="array" ref="A141">IFERROR(INDEX('Annex 2 Designated EHV charges'!$D$10:$D$200, MATCH(0, IF(ISBLANK('Annex 2 Designated EHV charges'!$D$10:$D$200),1, COUNTIF(A$4:$A140, 'Annex 2 Designated EHV charges'!$D$10:$D$200)), 0)),"")</f>
        <v/>
      </c>
      <c r="B141" s="190" t="str">
        <f>IF($A141="","",VLOOKUP($A141,'Annex 2 Designated EHV charges'!$D:$O,2,0))</f>
        <v/>
      </c>
      <c r="C141" s="189" t="str">
        <f>IF($A141="","",VLOOKUP($A141,'Annex 2 Designated EHV charges'!$D:$O,3,0))</f>
        <v/>
      </c>
      <c r="D141" s="190" t="str">
        <f>IF($A141="","",VLOOKUP($A141,'Annex 2 Designated EHV charges'!$D:$O,4,0))</f>
        <v/>
      </c>
      <c r="E141" s="191" t="str">
        <f>IFERROR(IF(VLOOKUP($A141,'Annex 2 Designated EHV charges'!$D:$P,10,FALSE)=0,"",VLOOKUP($A141,'Annex 2 Designated EHV charges'!$D:$P,10,FALSE)),"")</f>
        <v/>
      </c>
      <c r="F141" s="194" t="str">
        <f>IFERROR(IF(VLOOKUP($A141,'Annex 2 Designated EHV charges'!$D:$P,11,FALSE)=0,"",VLOOKUP($A141,'Annex 2 Designated EHV charges'!$D:$P,11,FALSE)),"")</f>
        <v/>
      </c>
      <c r="G141" s="194" t="str">
        <f>IFERROR(IF(VLOOKUP($A141,'Annex 2 Designated EHV charges'!$D:$P,12,FALSE)=0,"",VLOOKUP($A141,'Annex 2 Designated EHV charges'!$D:$P,12,FALSE)),"")</f>
        <v/>
      </c>
      <c r="H141" s="194" t="str">
        <f>IFERROR(IF(VLOOKUP($A141,'Annex 2 Designated EHV charges'!$D:$P,13,FALSE)=0,"",VLOOKUP($A141,'Annex 2 Designated EHV charges'!$D:$P,13,FALSE)),"")</f>
        <v/>
      </c>
    </row>
    <row r="142" spans="1:8" ht="12.75" customHeight="1" x14ac:dyDescent="0.35">
      <c r="A142" s="189" t="str" cm="1">
        <f t="array" ref="A142">IFERROR(INDEX('Annex 2 Designated EHV charges'!$D$10:$D$200, MATCH(0, IF(ISBLANK('Annex 2 Designated EHV charges'!$D$10:$D$200),1, COUNTIF(A$4:$A141, 'Annex 2 Designated EHV charges'!$D$10:$D$200)), 0)),"")</f>
        <v/>
      </c>
      <c r="B142" s="190" t="str">
        <f>IF($A142="","",VLOOKUP($A142,'Annex 2 Designated EHV charges'!$D:$O,2,0))</f>
        <v/>
      </c>
      <c r="C142" s="189" t="str">
        <f>IF($A142="","",VLOOKUP($A142,'Annex 2 Designated EHV charges'!$D:$O,3,0))</f>
        <v/>
      </c>
      <c r="D142" s="190" t="str">
        <f>IF($A142="","",VLOOKUP($A142,'Annex 2 Designated EHV charges'!$D:$O,4,0))</f>
        <v/>
      </c>
      <c r="E142" s="191" t="str">
        <f>IFERROR(IF(VLOOKUP($A142,'Annex 2 Designated EHV charges'!$D:$P,10,FALSE)=0,"",VLOOKUP($A142,'Annex 2 Designated EHV charges'!$D:$P,10,FALSE)),"")</f>
        <v/>
      </c>
      <c r="F142" s="194" t="str">
        <f>IFERROR(IF(VLOOKUP($A142,'Annex 2 Designated EHV charges'!$D:$P,11,FALSE)=0,"",VLOOKUP($A142,'Annex 2 Designated EHV charges'!$D:$P,11,FALSE)),"")</f>
        <v/>
      </c>
      <c r="G142" s="194" t="str">
        <f>IFERROR(IF(VLOOKUP($A142,'Annex 2 Designated EHV charges'!$D:$P,12,FALSE)=0,"",VLOOKUP($A142,'Annex 2 Designated EHV charges'!$D:$P,12,FALSE)),"")</f>
        <v/>
      </c>
      <c r="H142" s="194" t="str">
        <f>IFERROR(IF(VLOOKUP($A142,'Annex 2 Designated EHV charges'!$D:$P,13,FALSE)=0,"",VLOOKUP($A142,'Annex 2 Designated EHV charges'!$D:$P,13,FALSE)),"")</f>
        <v/>
      </c>
    </row>
    <row r="143" spans="1:8" ht="12.75" customHeight="1" x14ac:dyDescent="0.35">
      <c r="A143" s="189" t="str" cm="1">
        <f t="array" ref="A143">IFERROR(INDEX('Annex 2 Designated EHV charges'!$D$10:$D$200, MATCH(0, IF(ISBLANK('Annex 2 Designated EHV charges'!$D$10:$D$200),1, COUNTIF(A$4:$A142, 'Annex 2 Designated EHV charges'!$D$10:$D$200)), 0)),"")</f>
        <v/>
      </c>
      <c r="B143" s="190" t="str">
        <f>IF($A143="","",VLOOKUP($A143,'Annex 2 Designated EHV charges'!$D:$O,2,0))</f>
        <v/>
      </c>
      <c r="C143" s="189" t="str">
        <f>IF($A143="","",VLOOKUP($A143,'Annex 2 Designated EHV charges'!$D:$O,3,0))</f>
        <v/>
      </c>
      <c r="D143" s="190" t="str">
        <f>IF($A143="","",VLOOKUP($A143,'Annex 2 Designated EHV charges'!$D:$O,4,0))</f>
        <v/>
      </c>
      <c r="E143" s="191" t="str">
        <f>IFERROR(IF(VLOOKUP($A143,'Annex 2 Designated EHV charges'!$D:$P,10,FALSE)=0,"",VLOOKUP($A143,'Annex 2 Designated EHV charges'!$D:$P,10,FALSE)),"")</f>
        <v/>
      </c>
      <c r="F143" s="194" t="str">
        <f>IFERROR(IF(VLOOKUP($A143,'Annex 2 Designated EHV charges'!$D:$P,11,FALSE)=0,"",VLOOKUP($A143,'Annex 2 Designated EHV charges'!$D:$P,11,FALSE)),"")</f>
        <v/>
      </c>
      <c r="G143" s="194" t="str">
        <f>IFERROR(IF(VLOOKUP($A143,'Annex 2 Designated EHV charges'!$D:$P,12,FALSE)=0,"",VLOOKUP($A143,'Annex 2 Designated EHV charges'!$D:$P,12,FALSE)),"")</f>
        <v/>
      </c>
      <c r="H143" s="194" t="str">
        <f>IFERROR(IF(VLOOKUP($A143,'Annex 2 Designated EHV charges'!$D:$P,13,FALSE)=0,"",VLOOKUP($A143,'Annex 2 Designated EHV charges'!$D:$P,13,FALSE)),"")</f>
        <v/>
      </c>
    </row>
    <row r="144" spans="1:8" ht="12.75" customHeight="1" x14ac:dyDescent="0.35">
      <c r="A144" s="189" t="str" cm="1">
        <f t="array" ref="A144">IFERROR(INDEX('Annex 2 Designated EHV charges'!$D$10:$D$200, MATCH(0, IF(ISBLANK('Annex 2 Designated EHV charges'!$D$10:$D$200),1, COUNTIF(A$4:$A143, 'Annex 2 Designated EHV charges'!$D$10:$D$200)), 0)),"")</f>
        <v/>
      </c>
      <c r="B144" s="190" t="str">
        <f>IF($A144="","",VLOOKUP($A144,'Annex 2 Designated EHV charges'!$D:$O,2,0))</f>
        <v/>
      </c>
      <c r="C144" s="189" t="str">
        <f>IF($A144="","",VLOOKUP($A144,'Annex 2 Designated EHV charges'!$D:$O,3,0))</f>
        <v/>
      </c>
      <c r="D144" s="190" t="str">
        <f>IF($A144="","",VLOOKUP($A144,'Annex 2 Designated EHV charges'!$D:$O,4,0))</f>
        <v/>
      </c>
      <c r="E144" s="191" t="str">
        <f>IFERROR(IF(VLOOKUP($A144,'Annex 2 Designated EHV charges'!$D:$P,10,FALSE)=0,"",VLOOKUP($A144,'Annex 2 Designated EHV charges'!$D:$P,10,FALSE)),"")</f>
        <v/>
      </c>
      <c r="F144" s="194" t="str">
        <f>IFERROR(IF(VLOOKUP($A144,'Annex 2 Designated EHV charges'!$D:$P,11,FALSE)=0,"",VLOOKUP($A144,'Annex 2 Designated EHV charges'!$D:$P,11,FALSE)),"")</f>
        <v/>
      </c>
      <c r="G144" s="194" t="str">
        <f>IFERROR(IF(VLOOKUP($A144,'Annex 2 Designated EHV charges'!$D:$P,12,FALSE)=0,"",VLOOKUP($A144,'Annex 2 Designated EHV charges'!$D:$P,12,FALSE)),"")</f>
        <v/>
      </c>
      <c r="H144" s="194" t="str">
        <f>IFERROR(IF(VLOOKUP($A144,'Annex 2 Designated EHV charges'!$D:$P,13,FALSE)=0,"",VLOOKUP($A144,'Annex 2 Designated EHV charges'!$D:$P,13,FALSE)),"")</f>
        <v/>
      </c>
    </row>
    <row r="145" spans="1:8" ht="12.75" customHeight="1" x14ac:dyDescent="0.35">
      <c r="A145" s="189" t="str" cm="1">
        <f t="array" ref="A145">IFERROR(INDEX('Annex 2 Designated EHV charges'!$D$10:$D$200, MATCH(0, IF(ISBLANK('Annex 2 Designated EHV charges'!$D$10:$D$200),1, COUNTIF(A$4:$A144, 'Annex 2 Designated EHV charges'!$D$10:$D$200)), 0)),"")</f>
        <v/>
      </c>
      <c r="B145" s="190" t="str">
        <f>IF($A145="","",VLOOKUP($A145,'Annex 2 Designated EHV charges'!$D:$O,2,0))</f>
        <v/>
      </c>
      <c r="C145" s="189" t="str">
        <f>IF($A145="","",VLOOKUP($A145,'Annex 2 Designated EHV charges'!$D:$O,3,0))</f>
        <v/>
      </c>
      <c r="D145" s="190" t="str">
        <f>IF($A145="","",VLOOKUP($A145,'Annex 2 Designated EHV charges'!$D:$O,4,0))</f>
        <v/>
      </c>
      <c r="E145" s="191" t="str">
        <f>IFERROR(IF(VLOOKUP($A145,'Annex 2 Designated EHV charges'!$D:$P,10,FALSE)=0,"",VLOOKUP($A145,'Annex 2 Designated EHV charges'!$D:$P,10,FALSE)),"")</f>
        <v/>
      </c>
      <c r="F145" s="194" t="str">
        <f>IFERROR(IF(VLOOKUP($A145,'Annex 2 Designated EHV charges'!$D:$P,11,FALSE)=0,"",VLOOKUP($A145,'Annex 2 Designated EHV charges'!$D:$P,11,FALSE)),"")</f>
        <v/>
      </c>
      <c r="G145" s="194" t="str">
        <f>IFERROR(IF(VLOOKUP($A145,'Annex 2 Designated EHV charges'!$D:$P,12,FALSE)=0,"",VLOOKUP($A145,'Annex 2 Designated EHV charges'!$D:$P,12,FALSE)),"")</f>
        <v/>
      </c>
      <c r="H145" s="194" t="str">
        <f>IFERROR(IF(VLOOKUP($A145,'Annex 2 Designated EHV charges'!$D:$P,13,FALSE)=0,"",VLOOKUP($A145,'Annex 2 Designated EHV charges'!$D:$P,13,FALSE)),"")</f>
        <v/>
      </c>
    </row>
    <row r="146" spans="1:8" ht="12.75" customHeight="1" x14ac:dyDescent="0.35">
      <c r="A146" s="189" t="str" cm="1">
        <f t="array" ref="A146">IFERROR(INDEX('Annex 2 Designated EHV charges'!$D$10:$D$200, MATCH(0, IF(ISBLANK('Annex 2 Designated EHV charges'!$D$10:$D$200),1, COUNTIF(A$4:$A145, 'Annex 2 Designated EHV charges'!$D$10:$D$200)), 0)),"")</f>
        <v/>
      </c>
      <c r="B146" s="190" t="str">
        <f>IF($A146="","",VLOOKUP($A146,'Annex 2 Designated EHV charges'!$D:$O,2,0))</f>
        <v/>
      </c>
      <c r="C146" s="189" t="str">
        <f>IF($A146="","",VLOOKUP($A146,'Annex 2 Designated EHV charges'!$D:$O,3,0))</f>
        <v/>
      </c>
      <c r="D146" s="190" t="str">
        <f>IF($A146="","",VLOOKUP($A146,'Annex 2 Designated EHV charges'!$D:$O,4,0))</f>
        <v/>
      </c>
      <c r="E146" s="191" t="str">
        <f>IFERROR(IF(VLOOKUP($A146,'Annex 2 Designated EHV charges'!$D:$P,10,FALSE)=0,"",VLOOKUP($A146,'Annex 2 Designated EHV charges'!$D:$P,10,FALSE)),"")</f>
        <v/>
      </c>
      <c r="F146" s="194" t="str">
        <f>IFERROR(IF(VLOOKUP($A146,'Annex 2 Designated EHV charges'!$D:$P,11,FALSE)=0,"",VLOOKUP($A146,'Annex 2 Designated EHV charges'!$D:$P,11,FALSE)),"")</f>
        <v/>
      </c>
      <c r="G146" s="194" t="str">
        <f>IFERROR(IF(VLOOKUP($A146,'Annex 2 Designated EHV charges'!$D:$P,12,FALSE)=0,"",VLOOKUP($A146,'Annex 2 Designated EHV charges'!$D:$P,12,FALSE)),"")</f>
        <v/>
      </c>
      <c r="H146" s="194" t="str">
        <f>IFERROR(IF(VLOOKUP($A146,'Annex 2 Designated EHV charges'!$D:$P,13,FALSE)=0,"",VLOOKUP($A146,'Annex 2 Designated EHV charges'!$D:$P,13,FALSE)),"")</f>
        <v/>
      </c>
    </row>
    <row r="147" spans="1:8" ht="12.75" customHeight="1" x14ac:dyDescent="0.35">
      <c r="A147" s="189" t="str" cm="1">
        <f t="array" ref="A147">IFERROR(INDEX('Annex 2 Designated EHV charges'!$D$10:$D$200, MATCH(0, IF(ISBLANK('Annex 2 Designated EHV charges'!$D$10:$D$200),1, COUNTIF(A$4:$A146, 'Annex 2 Designated EHV charges'!$D$10:$D$200)), 0)),"")</f>
        <v/>
      </c>
      <c r="B147" s="190" t="str">
        <f>IF($A147="","",VLOOKUP($A147,'Annex 2 Designated EHV charges'!$D:$O,2,0))</f>
        <v/>
      </c>
      <c r="C147" s="189" t="str">
        <f>IF($A147="","",VLOOKUP($A147,'Annex 2 Designated EHV charges'!$D:$O,3,0))</f>
        <v/>
      </c>
      <c r="D147" s="190" t="str">
        <f>IF($A147="","",VLOOKUP($A147,'Annex 2 Designated EHV charges'!$D:$O,4,0))</f>
        <v/>
      </c>
      <c r="E147" s="191" t="str">
        <f>IFERROR(IF(VLOOKUP($A147,'Annex 2 Designated EHV charges'!$D:$P,10,FALSE)=0,"",VLOOKUP($A147,'Annex 2 Designated EHV charges'!$D:$P,10,FALSE)),"")</f>
        <v/>
      </c>
      <c r="F147" s="194" t="str">
        <f>IFERROR(IF(VLOOKUP($A147,'Annex 2 Designated EHV charges'!$D:$P,11,FALSE)=0,"",VLOOKUP($A147,'Annex 2 Designated EHV charges'!$D:$P,11,FALSE)),"")</f>
        <v/>
      </c>
      <c r="G147" s="194" t="str">
        <f>IFERROR(IF(VLOOKUP($A147,'Annex 2 Designated EHV charges'!$D:$P,12,FALSE)=0,"",VLOOKUP($A147,'Annex 2 Designated EHV charges'!$D:$P,12,FALSE)),"")</f>
        <v/>
      </c>
      <c r="H147" s="194" t="str">
        <f>IFERROR(IF(VLOOKUP($A147,'Annex 2 Designated EHV charges'!$D:$P,13,FALSE)=0,"",VLOOKUP($A147,'Annex 2 Designated EHV charges'!$D:$P,13,FALSE)),"")</f>
        <v/>
      </c>
    </row>
    <row r="148" spans="1:8" ht="12.75" customHeight="1" x14ac:dyDescent="0.35">
      <c r="A148" s="189" t="str" cm="1">
        <f t="array" ref="A148">IFERROR(INDEX('Annex 2 Designated EHV charges'!$D$10:$D$200, MATCH(0, IF(ISBLANK('Annex 2 Designated EHV charges'!$D$10:$D$200),1, COUNTIF(A$4:$A147, 'Annex 2 Designated EHV charges'!$D$10:$D$200)), 0)),"")</f>
        <v/>
      </c>
      <c r="B148" s="190" t="str">
        <f>IF($A148="","",VLOOKUP($A148,'Annex 2 Designated EHV charges'!$D:$O,2,0))</f>
        <v/>
      </c>
      <c r="C148" s="189" t="str">
        <f>IF($A148="","",VLOOKUP($A148,'Annex 2 Designated EHV charges'!$D:$O,3,0))</f>
        <v/>
      </c>
      <c r="D148" s="190" t="str">
        <f>IF($A148="","",VLOOKUP($A148,'Annex 2 Designated EHV charges'!$D:$O,4,0))</f>
        <v/>
      </c>
      <c r="E148" s="191" t="str">
        <f>IFERROR(IF(VLOOKUP($A148,'Annex 2 Designated EHV charges'!$D:$P,10,FALSE)=0,"",VLOOKUP($A148,'Annex 2 Designated EHV charges'!$D:$P,10,FALSE)),"")</f>
        <v/>
      </c>
      <c r="F148" s="194" t="str">
        <f>IFERROR(IF(VLOOKUP($A148,'Annex 2 Designated EHV charges'!$D:$P,11,FALSE)=0,"",VLOOKUP($A148,'Annex 2 Designated EHV charges'!$D:$P,11,FALSE)),"")</f>
        <v/>
      </c>
      <c r="G148" s="194" t="str">
        <f>IFERROR(IF(VLOOKUP($A148,'Annex 2 Designated EHV charges'!$D:$P,12,FALSE)=0,"",VLOOKUP($A148,'Annex 2 Designated EHV charges'!$D:$P,12,FALSE)),"")</f>
        <v/>
      </c>
      <c r="H148" s="194" t="str">
        <f>IFERROR(IF(VLOOKUP($A148,'Annex 2 Designated EHV charges'!$D:$P,13,FALSE)=0,"",VLOOKUP($A148,'Annex 2 Designated EHV charges'!$D:$P,13,FALSE)),"")</f>
        <v/>
      </c>
    </row>
    <row r="149" spans="1:8" ht="12.75" customHeight="1" x14ac:dyDescent="0.35">
      <c r="A149" s="189" t="str" cm="1">
        <f t="array" ref="A149">IFERROR(INDEX('Annex 2 Designated EHV charges'!$D$10:$D$200, MATCH(0, IF(ISBLANK('Annex 2 Designated EHV charges'!$D$10:$D$200),1, COUNTIF(A$4:$A148, 'Annex 2 Designated EHV charges'!$D$10:$D$200)), 0)),"")</f>
        <v/>
      </c>
      <c r="B149" s="190" t="str">
        <f>IF($A149="","",VLOOKUP($A149,'Annex 2 Designated EHV charges'!$D:$O,2,0))</f>
        <v/>
      </c>
      <c r="C149" s="189" t="str">
        <f>IF($A149="","",VLOOKUP($A149,'Annex 2 Designated EHV charges'!$D:$O,3,0))</f>
        <v/>
      </c>
      <c r="D149" s="190" t="str">
        <f>IF($A149="","",VLOOKUP($A149,'Annex 2 Designated EHV charges'!$D:$O,4,0))</f>
        <v/>
      </c>
      <c r="E149" s="191" t="str">
        <f>IFERROR(IF(VLOOKUP($A149,'Annex 2 Designated EHV charges'!$D:$P,10,FALSE)=0,"",VLOOKUP($A149,'Annex 2 Designated EHV charges'!$D:$P,10,FALSE)),"")</f>
        <v/>
      </c>
      <c r="F149" s="194" t="str">
        <f>IFERROR(IF(VLOOKUP($A149,'Annex 2 Designated EHV charges'!$D:$P,11,FALSE)=0,"",VLOOKUP($A149,'Annex 2 Designated EHV charges'!$D:$P,11,FALSE)),"")</f>
        <v/>
      </c>
      <c r="G149" s="194" t="str">
        <f>IFERROR(IF(VLOOKUP($A149,'Annex 2 Designated EHV charges'!$D:$P,12,FALSE)=0,"",VLOOKUP($A149,'Annex 2 Designated EHV charges'!$D:$P,12,FALSE)),"")</f>
        <v/>
      </c>
      <c r="H149" s="194" t="str">
        <f>IFERROR(IF(VLOOKUP($A149,'Annex 2 Designated EHV charges'!$D:$P,13,FALSE)=0,"",VLOOKUP($A149,'Annex 2 Designated EHV charges'!$D:$P,13,FALSE)),"")</f>
        <v/>
      </c>
    </row>
    <row r="150" spans="1:8" ht="12.75" customHeight="1" x14ac:dyDescent="0.35">
      <c r="A150" s="189" t="str" cm="1">
        <f t="array" ref="A150">IFERROR(INDEX('Annex 2 Designated EHV charges'!$D$10:$D$200, MATCH(0, IF(ISBLANK('Annex 2 Designated EHV charges'!$D$10:$D$200),1, COUNTIF(A$4:$A149, 'Annex 2 Designated EHV charges'!$D$10:$D$200)), 0)),"")</f>
        <v/>
      </c>
      <c r="B150" s="190" t="str">
        <f>IF($A150="","",VLOOKUP($A150,'Annex 2 Designated EHV charges'!$D:$O,2,0))</f>
        <v/>
      </c>
      <c r="C150" s="189" t="str">
        <f>IF($A150="","",VLOOKUP($A150,'Annex 2 Designated EHV charges'!$D:$O,3,0))</f>
        <v/>
      </c>
      <c r="D150" s="190" t="str">
        <f>IF($A150="","",VLOOKUP($A150,'Annex 2 Designated EHV charges'!$D:$O,4,0))</f>
        <v/>
      </c>
      <c r="E150" s="191" t="str">
        <f>IFERROR(IF(VLOOKUP($A150,'Annex 2 Designated EHV charges'!$D:$P,10,FALSE)=0,"",VLOOKUP($A150,'Annex 2 Designated EHV charges'!$D:$P,10,FALSE)),"")</f>
        <v/>
      </c>
      <c r="F150" s="194" t="str">
        <f>IFERROR(IF(VLOOKUP($A150,'Annex 2 Designated EHV charges'!$D:$P,11,FALSE)=0,"",VLOOKUP($A150,'Annex 2 Designated EHV charges'!$D:$P,11,FALSE)),"")</f>
        <v/>
      </c>
      <c r="G150" s="194" t="str">
        <f>IFERROR(IF(VLOOKUP($A150,'Annex 2 Designated EHV charges'!$D:$P,12,FALSE)=0,"",VLOOKUP($A150,'Annex 2 Designated EHV charges'!$D:$P,12,FALSE)),"")</f>
        <v/>
      </c>
      <c r="H150" s="194" t="str">
        <f>IFERROR(IF(VLOOKUP($A150,'Annex 2 Designated EHV charges'!$D:$P,13,FALSE)=0,"",VLOOKUP($A150,'Annex 2 Designated EHV charges'!$D:$P,13,FALSE)),"")</f>
        <v/>
      </c>
    </row>
    <row r="151" spans="1:8" ht="12.75" customHeight="1" x14ac:dyDescent="0.35">
      <c r="A151" s="189" t="str" cm="1">
        <f t="array" ref="A151">IFERROR(INDEX('Annex 2 Designated EHV charges'!$D$10:$D$200, MATCH(0, IF(ISBLANK('Annex 2 Designated EHV charges'!$D$10:$D$200),1, COUNTIF(A$4:$A150, 'Annex 2 Designated EHV charges'!$D$10:$D$200)), 0)),"")</f>
        <v/>
      </c>
      <c r="B151" s="190" t="str">
        <f>IF($A151="","",VLOOKUP($A151,'Annex 2 Designated EHV charges'!$D:$O,2,0))</f>
        <v/>
      </c>
      <c r="C151" s="189" t="str">
        <f>IF($A151="","",VLOOKUP($A151,'Annex 2 Designated EHV charges'!$D:$O,3,0))</f>
        <v/>
      </c>
      <c r="D151" s="190" t="str">
        <f>IF($A151="","",VLOOKUP($A151,'Annex 2 Designated EHV charges'!$D:$O,4,0))</f>
        <v/>
      </c>
      <c r="E151" s="191" t="str">
        <f>IFERROR(IF(VLOOKUP($A151,'Annex 2 Designated EHV charges'!$D:$P,10,FALSE)=0,"",VLOOKUP($A151,'Annex 2 Designated EHV charges'!$D:$P,10,FALSE)),"")</f>
        <v/>
      </c>
      <c r="F151" s="194" t="str">
        <f>IFERROR(IF(VLOOKUP($A151,'Annex 2 Designated EHV charges'!$D:$P,11,FALSE)=0,"",VLOOKUP($A151,'Annex 2 Designated EHV charges'!$D:$P,11,FALSE)),"")</f>
        <v/>
      </c>
      <c r="G151" s="194" t="str">
        <f>IFERROR(IF(VLOOKUP($A151,'Annex 2 Designated EHV charges'!$D:$P,12,FALSE)=0,"",VLOOKUP($A151,'Annex 2 Designated EHV charges'!$D:$P,12,FALSE)),"")</f>
        <v/>
      </c>
      <c r="H151" s="194" t="str">
        <f>IFERROR(IF(VLOOKUP($A151,'Annex 2 Designated EHV charges'!$D:$P,13,FALSE)=0,"",VLOOKUP($A151,'Annex 2 Designated EHV charges'!$D:$P,13,FALSE)),"")</f>
        <v/>
      </c>
    </row>
    <row r="152" spans="1:8" x14ac:dyDescent="0.35">
      <c r="A152" s="189" t="str" cm="1">
        <f t="array" ref="A152">IFERROR(INDEX('Annex 2 Designated EHV charges'!$D$10:$D$200, MATCH(0, IF(ISBLANK('Annex 2 Designated EHV charges'!$D$10:$D$200),1, COUNTIF(A$4:$A151, 'Annex 2 Designated EHV charges'!$D$10:$D$200)), 0)),"")</f>
        <v/>
      </c>
      <c r="B152" s="190" t="str">
        <f>IF($A152="","",VLOOKUP($A152,'Annex 2 Designated EHV charges'!$D:$O,2,0))</f>
        <v/>
      </c>
      <c r="C152" s="189" t="str">
        <f>IF($A152="","",VLOOKUP($A152,'Annex 2 Designated EHV charges'!$D:$O,3,0))</f>
        <v/>
      </c>
      <c r="D152" s="190" t="str">
        <f>IF($A152="","",VLOOKUP($A152,'Annex 2 Designated EHV charges'!$D:$O,4,0))</f>
        <v/>
      </c>
      <c r="E152" s="191" t="str">
        <f>IFERROR(IF(VLOOKUP($A152,'Annex 2 Designated EHV charges'!$D:$P,10,FALSE)=0,"",VLOOKUP($A152,'Annex 2 Designated EHV charges'!$D:$P,10,FALSE)),"")</f>
        <v/>
      </c>
      <c r="F152" s="194" t="str">
        <f>IFERROR(IF(VLOOKUP($A152,'Annex 2 Designated EHV charges'!$D:$P,11,FALSE)=0,"",VLOOKUP($A152,'Annex 2 Designated EHV charges'!$D:$P,11,FALSE)),"")</f>
        <v/>
      </c>
      <c r="G152" s="194" t="str">
        <f>IFERROR(IF(VLOOKUP($A152,'Annex 2 Designated EHV charges'!$D:$P,12,FALSE)=0,"",VLOOKUP($A152,'Annex 2 Designated EHV charges'!$D:$P,12,FALSE)),"")</f>
        <v/>
      </c>
      <c r="H152" s="194" t="str">
        <f>IFERROR(IF(VLOOKUP($A152,'Annex 2 Designated EHV charges'!$D:$P,13,FALSE)=0,"",VLOOKUP($A152,'Annex 2 Designated EHV charges'!$D:$P,13,FALSE)),"")</f>
        <v/>
      </c>
    </row>
    <row r="153" spans="1:8" x14ac:dyDescent="0.35">
      <c r="A153" s="189" t="str" cm="1">
        <f t="array" ref="A153">IFERROR(INDEX('Annex 2 Designated EHV charges'!$D$10:$D$200, MATCH(0, IF(ISBLANK('Annex 2 Designated EHV charges'!$D$10:$D$200),1, COUNTIF(A$4:$A152, 'Annex 2 Designated EHV charges'!$D$10:$D$200)), 0)),"")</f>
        <v/>
      </c>
      <c r="B153" s="190" t="str">
        <f>IF($A153="","",VLOOKUP($A153,'Annex 2 Designated EHV charges'!$D:$O,2,0))</f>
        <v/>
      </c>
      <c r="C153" s="189" t="str">
        <f>IF($A153="","",VLOOKUP($A153,'Annex 2 Designated EHV charges'!$D:$O,3,0))</f>
        <v/>
      </c>
      <c r="D153" s="190" t="str">
        <f>IF($A153="","",VLOOKUP($A153,'Annex 2 Designated EHV charges'!$D:$O,4,0))</f>
        <v/>
      </c>
      <c r="E153" s="191" t="str">
        <f>IFERROR(IF(VLOOKUP($A153,'Annex 2 Designated EHV charges'!$D:$P,10,FALSE)=0,"",VLOOKUP($A153,'Annex 2 Designated EHV charges'!$D:$P,10,FALSE)),"")</f>
        <v/>
      </c>
      <c r="F153" s="194" t="str">
        <f>IFERROR(IF(VLOOKUP($A153,'Annex 2 Designated EHV charges'!$D:$P,11,FALSE)=0,"",VLOOKUP($A153,'Annex 2 Designated EHV charges'!$D:$P,11,FALSE)),"")</f>
        <v/>
      </c>
      <c r="G153" s="194" t="str">
        <f>IFERROR(IF(VLOOKUP($A153,'Annex 2 Designated EHV charges'!$D:$P,12,FALSE)=0,"",VLOOKUP($A153,'Annex 2 Designated EHV charges'!$D:$P,12,FALSE)),"")</f>
        <v/>
      </c>
      <c r="H153" s="194" t="str">
        <f>IFERROR(IF(VLOOKUP($A153,'Annex 2 Designated EHV charges'!$D:$P,13,FALSE)=0,"",VLOOKUP($A153,'Annex 2 Designated EHV charges'!$D:$P,13,FALSE)),"")</f>
        <v/>
      </c>
    </row>
    <row r="154" spans="1:8" x14ac:dyDescent="0.35">
      <c r="A154" s="189" t="str" cm="1">
        <f t="array" ref="A154">IFERROR(INDEX('Annex 2 Designated EHV charges'!$D$10:$D$200, MATCH(0, IF(ISBLANK('Annex 2 Designated EHV charges'!$D$10:$D$200),1, COUNTIF(A$4:$A153, 'Annex 2 Designated EHV charges'!$D$10:$D$200)), 0)),"")</f>
        <v/>
      </c>
      <c r="B154" s="190" t="str">
        <f>IF($A154="","",VLOOKUP($A154,'Annex 2 Designated EHV charges'!$D:$O,2,0))</f>
        <v/>
      </c>
      <c r="C154" s="189" t="str">
        <f>IF($A154="","",VLOOKUP($A154,'Annex 2 Designated EHV charges'!$D:$O,3,0))</f>
        <v/>
      </c>
      <c r="D154" s="190" t="str">
        <f>IF($A154="","",VLOOKUP($A154,'Annex 2 Designated EHV charges'!$D:$O,4,0))</f>
        <v/>
      </c>
      <c r="E154" s="191" t="str">
        <f>IFERROR(IF(VLOOKUP($A154,'Annex 2 Designated EHV charges'!$D:$P,10,FALSE)=0,"",VLOOKUP($A154,'Annex 2 Designated EHV charges'!$D:$P,10,FALSE)),"")</f>
        <v/>
      </c>
      <c r="F154" s="194" t="str">
        <f>IFERROR(IF(VLOOKUP($A154,'Annex 2 Designated EHV charges'!$D:$P,11,FALSE)=0,"",VLOOKUP($A154,'Annex 2 Designated EHV charges'!$D:$P,11,FALSE)),"")</f>
        <v/>
      </c>
      <c r="G154" s="194" t="str">
        <f>IFERROR(IF(VLOOKUP($A154,'Annex 2 Designated EHV charges'!$D:$P,12,FALSE)=0,"",VLOOKUP($A154,'Annex 2 Designated EHV charges'!$D:$P,12,FALSE)),"")</f>
        <v/>
      </c>
      <c r="H154" s="194" t="str">
        <f>IFERROR(IF(VLOOKUP($A154,'Annex 2 Designated EHV charges'!$D:$P,13,FALSE)=0,"",VLOOKUP($A154,'Annex 2 Designated EHV charges'!$D:$P,13,FALSE)),"")</f>
        <v/>
      </c>
    </row>
    <row r="155" spans="1:8" x14ac:dyDescent="0.35">
      <c r="A155" s="189" t="str" cm="1">
        <f t="array" ref="A155">IFERROR(INDEX('Annex 2 Designated EHV charges'!$D$10:$D$200, MATCH(0, IF(ISBLANK('Annex 2 Designated EHV charges'!$D$10:$D$200),1, COUNTIF(A$4:$A154, 'Annex 2 Designated EHV charges'!$D$10:$D$200)), 0)),"")</f>
        <v/>
      </c>
      <c r="B155" s="190" t="str">
        <f>IF($A155="","",VLOOKUP($A155,'Annex 2 Designated EHV charges'!$D:$O,2,0))</f>
        <v/>
      </c>
      <c r="C155" s="189" t="str">
        <f>IF($A155="","",VLOOKUP($A155,'Annex 2 Designated EHV charges'!$D:$O,3,0))</f>
        <v/>
      </c>
      <c r="D155" s="190" t="str">
        <f>IF($A155="","",VLOOKUP($A155,'Annex 2 Designated EHV charges'!$D:$O,4,0))</f>
        <v/>
      </c>
      <c r="E155" s="191" t="str">
        <f>IFERROR(IF(VLOOKUP($A155,'Annex 2 Designated EHV charges'!$D:$P,10,FALSE)=0,"",VLOOKUP($A155,'Annex 2 Designated EHV charges'!$D:$P,10,FALSE)),"")</f>
        <v/>
      </c>
      <c r="F155" s="194" t="str">
        <f>IFERROR(IF(VLOOKUP($A155,'Annex 2 Designated EHV charges'!$D:$P,11,FALSE)=0,"",VLOOKUP($A155,'Annex 2 Designated EHV charges'!$D:$P,11,FALSE)),"")</f>
        <v/>
      </c>
      <c r="G155" s="194" t="str">
        <f>IFERROR(IF(VLOOKUP($A155,'Annex 2 Designated EHV charges'!$D:$P,12,FALSE)=0,"",VLOOKUP($A155,'Annex 2 Designated EHV charges'!$D:$P,12,FALSE)),"")</f>
        <v/>
      </c>
      <c r="H155" s="194" t="str">
        <f>IFERROR(IF(VLOOKUP($A155,'Annex 2 Designated EHV charges'!$D:$P,13,FALSE)=0,"",VLOOKUP($A155,'Annex 2 Designated EHV charges'!$D:$P,13,FALSE)),"")</f>
        <v/>
      </c>
    </row>
    <row r="156" spans="1:8" x14ac:dyDescent="0.35">
      <c r="A156" s="189" t="str" cm="1">
        <f t="array" ref="A156">IFERROR(INDEX('Annex 2 Designated EHV charges'!$D$10:$D$200, MATCH(0, IF(ISBLANK('Annex 2 Designated EHV charges'!$D$10:$D$200),1, COUNTIF(A$4:$A155, 'Annex 2 Designated EHV charges'!$D$10:$D$200)), 0)),"")</f>
        <v/>
      </c>
      <c r="B156" s="190" t="str">
        <f>IF($A156="","",VLOOKUP($A156,'Annex 2 Designated EHV charges'!$D:$O,2,0))</f>
        <v/>
      </c>
      <c r="C156" s="189" t="str">
        <f>IF($A156="","",VLOOKUP($A156,'Annex 2 Designated EHV charges'!$D:$O,3,0))</f>
        <v/>
      </c>
      <c r="D156" s="190" t="str">
        <f>IF($A156="","",VLOOKUP($A156,'Annex 2 Designated EHV charges'!$D:$O,4,0))</f>
        <v/>
      </c>
      <c r="E156" s="191" t="str">
        <f>IFERROR(IF(VLOOKUP($A156,'Annex 2 Designated EHV charges'!$D:$P,10,FALSE)=0,"",VLOOKUP($A156,'Annex 2 Designated EHV charges'!$D:$P,10,FALSE)),"")</f>
        <v/>
      </c>
      <c r="F156" s="194" t="str">
        <f>IFERROR(IF(VLOOKUP($A156,'Annex 2 Designated EHV charges'!$D:$P,11,FALSE)=0,"",VLOOKUP($A156,'Annex 2 Designated EHV charges'!$D:$P,11,FALSE)),"")</f>
        <v/>
      </c>
      <c r="G156" s="194" t="str">
        <f>IFERROR(IF(VLOOKUP($A156,'Annex 2 Designated EHV charges'!$D:$P,12,FALSE)=0,"",VLOOKUP($A156,'Annex 2 Designated EHV charges'!$D:$P,12,FALSE)),"")</f>
        <v/>
      </c>
      <c r="H156" s="194" t="str">
        <f>IFERROR(IF(VLOOKUP($A156,'Annex 2 Designated EHV charges'!$D:$P,13,FALSE)=0,"",VLOOKUP($A156,'Annex 2 Designated EHV charges'!$D:$P,13,FALSE)),"")</f>
        <v/>
      </c>
    </row>
    <row r="157" spans="1:8" x14ac:dyDescent="0.35">
      <c r="A157" s="189" t="str" cm="1">
        <f t="array" ref="A157">IFERROR(INDEX('Annex 2 Designated EHV charges'!$D$10:$D$200, MATCH(0, IF(ISBLANK('Annex 2 Designated EHV charges'!$D$10:$D$200),1, COUNTIF(A$4:$A156, 'Annex 2 Designated EHV charges'!$D$10:$D$200)), 0)),"")</f>
        <v/>
      </c>
      <c r="B157" s="190" t="str">
        <f>IF($A157="","",VLOOKUP($A157,'Annex 2 Designated EHV charges'!$D:$O,2,0))</f>
        <v/>
      </c>
      <c r="C157" s="189" t="str">
        <f>IF($A157="","",VLOOKUP($A157,'Annex 2 Designated EHV charges'!$D:$O,3,0))</f>
        <v/>
      </c>
      <c r="D157" s="190" t="str">
        <f>IF($A157="","",VLOOKUP($A157,'Annex 2 Designated EHV charges'!$D:$O,4,0))</f>
        <v/>
      </c>
      <c r="E157" s="191" t="str">
        <f>IFERROR(IF(VLOOKUP($A157,'Annex 2 Designated EHV charges'!$D:$P,10,FALSE)=0,"",VLOOKUP($A157,'Annex 2 Designated EHV charges'!$D:$P,10,FALSE)),"")</f>
        <v/>
      </c>
      <c r="F157" s="194" t="str">
        <f>IFERROR(IF(VLOOKUP($A157,'Annex 2 Designated EHV charges'!$D:$P,11,FALSE)=0,"",VLOOKUP($A157,'Annex 2 Designated EHV charges'!$D:$P,11,FALSE)),"")</f>
        <v/>
      </c>
      <c r="G157" s="194" t="str">
        <f>IFERROR(IF(VLOOKUP($A157,'Annex 2 Designated EHV charges'!$D:$P,12,FALSE)=0,"",VLOOKUP($A157,'Annex 2 Designated EHV charges'!$D:$P,12,FALSE)),"")</f>
        <v/>
      </c>
      <c r="H157" s="194" t="str">
        <f>IFERROR(IF(VLOOKUP($A157,'Annex 2 Designated EHV charges'!$D:$P,13,FALSE)=0,"",VLOOKUP($A157,'Annex 2 Designated EHV charges'!$D:$P,13,FALSE)),"")</f>
        <v/>
      </c>
    </row>
    <row r="158" spans="1:8" x14ac:dyDescent="0.35">
      <c r="A158" s="189" t="str" cm="1">
        <f t="array" ref="A158">IFERROR(INDEX('Annex 2 Designated EHV charges'!$D$10:$D$200, MATCH(0, IF(ISBLANK('Annex 2 Designated EHV charges'!$D$10:$D$200),1, COUNTIF(A$4:$A157, 'Annex 2 Designated EHV charges'!$D$10:$D$200)), 0)),"")</f>
        <v/>
      </c>
      <c r="B158" s="190" t="str">
        <f>IF($A158="","",VLOOKUP($A158,'Annex 2 Designated EHV charges'!$D:$O,2,0))</f>
        <v/>
      </c>
      <c r="C158" s="189" t="str">
        <f>IF($A158="","",VLOOKUP($A158,'Annex 2 Designated EHV charges'!$D:$O,3,0))</f>
        <v/>
      </c>
      <c r="D158" s="190" t="str">
        <f>IF($A158="","",VLOOKUP($A158,'Annex 2 Designated EHV charges'!$D:$O,4,0))</f>
        <v/>
      </c>
      <c r="E158" s="191" t="str">
        <f>IFERROR(IF(VLOOKUP($A158,'Annex 2 Designated EHV charges'!$D:$P,10,FALSE)=0,"",VLOOKUP($A158,'Annex 2 Designated EHV charges'!$D:$P,10,FALSE)),"")</f>
        <v/>
      </c>
      <c r="F158" s="194" t="str">
        <f>IFERROR(IF(VLOOKUP($A158,'Annex 2 Designated EHV charges'!$D:$P,11,FALSE)=0,"",VLOOKUP($A158,'Annex 2 Designated EHV charges'!$D:$P,11,FALSE)),"")</f>
        <v/>
      </c>
      <c r="G158" s="194" t="str">
        <f>IFERROR(IF(VLOOKUP($A158,'Annex 2 Designated EHV charges'!$D:$P,12,FALSE)=0,"",VLOOKUP($A158,'Annex 2 Designated EHV charges'!$D:$P,12,FALSE)),"")</f>
        <v/>
      </c>
      <c r="H158" s="194" t="str">
        <f>IFERROR(IF(VLOOKUP($A158,'Annex 2 Designated EHV charges'!$D:$P,13,FALSE)=0,"",VLOOKUP($A158,'Annex 2 Designated EHV charges'!$D:$P,13,FALSE)),"")</f>
        <v/>
      </c>
    </row>
    <row r="159" spans="1:8" x14ac:dyDescent="0.35">
      <c r="A159" s="189" t="str" cm="1">
        <f t="array" ref="A159">IFERROR(INDEX('Annex 2 Designated EHV charges'!$D$10:$D$200, MATCH(0, IF(ISBLANK('Annex 2 Designated EHV charges'!$D$10:$D$200),1, COUNTIF(A$4:$A158, 'Annex 2 Designated EHV charges'!$D$10:$D$200)), 0)),"")</f>
        <v/>
      </c>
      <c r="B159" s="190" t="str">
        <f>IF($A159="","",VLOOKUP($A159,'Annex 2 Designated EHV charges'!$D:$O,2,0))</f>
        <v/>
      </c>
      <c r="C159" s="189" t="str">
        <f>IF($A159="","",VLOOKUP($A159,'Annex 2 Designated EHV charges'!$D:$O,3,0))</f>
        <v/>
      </c>
      <c r="D159" s="190" t="str">
        <f>IF($A159="","",VLOOKUP($A159,'Annex 2 Designated EHV charges'!$D:$O,4,0))</f>
        <v/>
      </c>
      <c r="E159" s="191" t="str">
        <f>IFERROR(IF(VLOOKUP($A159,'Annex 2 Designated EHV charges'!$D:$P,10,FALSE)=0,"",VLOOKUP($A159,'Annex 2 Designated EHV charges'!$D:$P,10,FALSE)),"")</f>
        <v/>
      </c>
      <c r="F159" s="194" t="str">
        <f>IFERROR(IF(VLOOKUP($A159,'Annex 2 Designated EHV charges'!$D:$P,11,FALSE)=0,"",VLOOKUP($A159,'Annex 2 Designated EHV charges'!$D:$P,11,FALSE)),"")</f>
        <v/>
      </c>
      <c r="G159" s="194" t="str">
        <f>IFERROR(IF(VLOOKUP($A159,'Annex 2 Designated EHV charges'!$D:$P,12,FALSE)=0,"",VLOOKUP($A159,'Annex 2 Designated EHV charges'!$D:$P,12,FALSE)),"")</f>
        <v/>
      </c>
      <c r="H159" s="194" t="str">
        <f>IFERROR(IF(VLOOKUP($A159,'Annex 2 Designated EHV charges'!$D:$P,13,FALSE)=0,"",VLOOKUP($A159,'Annex 2 Designated EHV charges'!$D:$P,13,FALSE)),"")</f>
        <v/>
      </c>
    </row>
    <row r="160" spans="1:8" x14ac:dyDescent="0.35">
      <c r="A160" s="189" t="str" cm="1">
        <f t="array" ref="A160">IFERROR(INDEX('Annex 2 Designated EHV charges'!$D$10:$D$200, MATCH(0, IF(ISBLANK('Annex 2 Designated EHV charges'!$D$10:$D$200),1, COUNTIF(A$4:$A159, 'Annex 2 Designated EHV charges'!$D$10:$D$200)), 0)),"")</f>
        <v/>
      </c>
      <c r="B160" s="190" t="str">
        <f>IF($A160="","",VLOOKUP($A160,'Annex 2 Designated EHV charges'!$D:$O,2,0))</f>
        <v/>
      </c>
      <c r="C160" s="189" t="str">
        <f>IF($A160="","",VLOOKUP($A160,'Annex 2 Designated EHV charges'!$D:$O,3,0))</f>
        <v/>
      </c>
      <c r="D160" s="190" t="str">
        <f>IF($A160="","",VLOOKUP($A160,'Annex 2 Designated EHV charges'!$D:$O,4,0))</f>
        <v/>
      </c>
      <c r="E160" s="191" t="str">
        <f>IFERROR(IF(VLOOKUP($A160,'Annex 2 Designated EHV charges'!$D:$P,10,FALSE)=0,"",VLOOKUP($A160,'Annex 2 Designated EHV charges'!$D:$P,10,FALSE)),"")</f>
        <v/>
      </c>
      <c r="F160" s="194" t="str">
        <f>IFERROR(IF(VLOOKUP($A160,'Annex 2 Designated EHV charges'!$D:$P,11,FALSE)=0,"",VLOOKUP($A160,'Annex 2 Designated EHV charges'!$D:$P,11,FALSE)),"")</f>
        <v/>
      </c>
      <c r="G160" s="194" t="str">
        <f>IFERROR(IF(VLOOKUP($A160,'Annex 2 Designated EHV charges'!$D:$P,12,FALSE)=0,"",VLOOKUP($A160,'Annex 2 Designated EHV charges'!$D:$P,12,FALSE)),"")</f>
        <v/>
      </c>
      <c r="H160" s="194" t="str">
        <f>IFERROR(IF(VLOOKUP($A160,'Annex 2 Designated EHV charges'!$D:$P,13,FALSE)=0,"",VLOOKUP($A160,'Annex 2 Designated EHV charges'!$D:$P,13,FALSE)),"")</f>
        <v/>
      </c>
    </row>
    <row r="161" spans="1:8" x14ac:dyDescent="0.35">
      <c r="A161" s="189" t="str" cm="1">
        <f t="array" ref="A161">IFERROR(INDEX('Annex 2 Designated EHV charges'!$D$10:$D$200, MATCH(0, IF(ISBLANK('Annex 2 Designated EHV charges'!$D$10:$D$200),1, COUNTIF(A$4:$A160, 'Annex 2 Designated EHV charges'!$D$10:$D$200)), 0)),"")</f>
        <v/>
      </c>
      <c r="B161" s="190" t="str">
        <f>IF($A161="","",VLOOKUP($A161,'Annex 2 Designated EHV charges'!$D:$O,2,0))</f>
        <v/>
      </c>
      <c r="C161" s="189" t="str">
        <f>IF($A161="","",VLOOKUP($A161,'Annex 2 Designated EHV charges'!$D:$O,3,0))</f>
        <v/>
      </c>
      <c r="D161" s="190" t="str">
        <f>IF($A161="","",VLOOKUP($A161,'Annex 2 Designated EHV charges'!$D:$O,4,0))</f>
        <v/>
      </c>
      <c r="E161" s="191" t="str">
        <f>IFERROR(IF(VLOOKUP($A161,'Annex 2 Designated EHV charges'!$D:$P,10,FALSE)=0,"",VLOOKUP($A161,'Annex 2 Designated EHV charges'!$D:$P,10,FALSE)),"")</f>
        <v/>
      </c>
      <c r="F161" s="194" t="str">
        <f>IFERROR(IF(VLOOKUP($A161,'Annex 2 Designated EHV charges'!$D:$P,11,FALSE)=0,"",VLOOKUP($A161,'Annex 2 Designated EHV charges'!$D:$P,11,FALSE)),"")</f>
        <v/>
      </c>
      <c r="G161" s="194" t="str">
        <f>IFERROR(IF(VLOOKUP($A161,'Annex 2 Designated EHV charges'!$D:$P,12,FALSE)=0,"",VLOOKUP($A161,'Annex 2 Designated EHV charges'!$D:$P,12,FALSE)),"")</f>
        <v/>
      </c>
      <c r="H161" s="194" t="str">
        <f>IFERROR(IF(VLOOKUP($A161,'Annex 2 Designated EHV charges'!$D:$P,13,FALSE)=0,"",VLOOKUP($A161,'Annex 2 Designated EHV charges'!$D:$P,13,FALSE)),"")</f>
        <v/>
      </c>
    </row>
    <row r="162" spans="1:8" x14ac:dyDescent="0.35">
      <c r="A162" s="189" t="str" cm="1">
        <f t="array" ref="A162">IFERROR(INDEX('Annex 2 Designated EHV charges'!$D$10:$D$200, MATCH(0, IF(ISBLANK('Annex 2 Designated EHV charges'!$D$10:$D$200),1, COUNTIF(A$4:$A161, 'Annex 2 Designated EHV charges'!$D$10:$D$200)), 0)),"")</f>
        <v/>
      </c>
      <c r="B162" s="190" t="str">
        <f>IF($A162="","",VLOOKUP($A162,'Annex 2 Designated EHV charges'!$D:$O,2,0))</f>
        <v/>
      </c>
      <c r="C162" s="189" t="str">
        <f>IF($A162="","",VLOOKUP($A162,'Annex 2 Designated EHV charges'!$D:$O,3,0))</f>
        <v/>
      </c>
      <c r="D162" s="190" t="str">
        <f>IF($A162="","",VLOOKUP($A162,'Annex 2 Designated EHV charges'!$D:$O,4,0))</f>
        <v/>
      </c>
      <c r="E162" s="191" t="str">
        <f>IFERROR(IF(VLOOKUP($A162,'Annex 2 Designated EHV charges'!$D:$P,10,FALSE)=0,"",VLOOKUP($A162,'Annex 2 Designated EHV charges'!$D:$P,10,FALSE)),"")</f>
        <v/>
      </c>
      <c r="F162" s="194" t="str">
        <f>IFERROR(IF(VLOOKUP($A162,'Annex 2 Designated EHV charges'!$D:$P,11,FALSE)=0,"",VLOOKUP($A162,'Annex 2 Designated EHV charges'!$D:$P,11,FALSE)),"")</f>
        <v/>
      </c>
      <c r="G162" s="194" t="str">
        <f>IFERROR(IF(VLOOKUP($A162,'Annex 2 Designated EHV charges'!$D:$P,12,FALSE)=0,"",VLOOKUP($A162,'Annex 2 Designated EHV charges'!$D:$P,12,FALSE)),"")</f>
        <v/>
      </c>
      <c r="H162" s="194" t="str">
        <f>IFERROR(IF(VLOOKUP($A162,'Annex 2 Designated EHV charges'!$D:$P,13,FALSE)=0,"",VLOOKUP($A162,'Annex 2 Designated EHV charges'!$D:$P,13,FALSE)),"")</f>
        <v/>
      </c>
    </row>
    <row r="163" spans="1:8" x14ac:dyDescent="0.35">
      <c r="A163" s="189" t="str" cm="1">
        <f t="array" ref="A163">IFERROR(INDEX('Annex 2 Designated EHV charges'!$D$10:$D$200, MATCH(0, IF(ISBLANK('Annex 2 Designated EHV charges'!$D$10:$D$200),1, COUNTIF(A$4:$A162, 'Annex 2 Designated EHV charges'!$D$10:$D$200)), 0)),"")</f>
        <v/>
      </c>
      <c r="B163" s="190" t="str">
        <f>IF($A163="","",VLOOKUP($A163,'Annex 2 Designated EHV charges'!$D:$O,2,0))</f>
        <v/>
      </c>
      <c r="C163" s="189" t="str">
        <f>IF($A163="","",VLOOKUP($A163,'Annex 2 Designated EHV charges'!$D:$O,3,0))</f>
        <v/>
      </c>
      <c r="D163" s="190" t="str">
        <f>IF($A163="","",VLOOKUP($A163,'Annex 2 Designated EHV charges'!$D:$O,4,0))</f>
        <v/>
      </c>
      <c r="E163" s="191" t="str">
        <f>IFERROR(IF(VLOOKUP($A163,'Annex 2 Designated EHV charges'!$D:$P,10,FALSE)=0,"",VLOOKUP($A163,'Annex 2 Designated EHV charges'!$D:$P,10,FALSE)),"")</f>
        <v/>
      </c>
      <c r="F163" s="194" t="str">
        <f>IFERROR(IF(VLOOKUP($A163,'Annex 2 Designated EHV charges'!$D:$P,11,FALSE)=0,"",VLOOKUP($A163,'Annex 2 Designated EHV charges'!$D:$P,11,FALSE)),"")</f>
        <v/>
      </c>
      <c r="G163" s="194" t="str">
        <f>IFERROR(IF(VLOOKUP($A163,'Annex 2 Designated EHV charges'!$D:$P,12,FALSE)=0,"",VLOOKUP($A163,'Annex 2 Designated EHV charges'!$D:$P,12,FALSE)),"")</f>
        <v/>
      </c>
      <c r="H163" s="194" t="str">
        <f>IFERROR(IF(VLOOKUP($A163,'Annex 2 Designated EHV charges'!$D:$P,13,FALSE)=0,"",VLOOKUP($A163,'Annex 2 Designated EHV charges'!$D:$P,13,FALSE)),"")</f>
        <v/>
      </c>
    </row>
    <row r="164" spans="1:8" x14ac:dyDescent="0.35">
      <c r="A164" s="189" t="str" cm="1">
        <f t="array" ref="A164">IFERROR(INDEX('Annex 2 Designated EHV charges'!$D$10:$D$200, MATCH(0, IF(ISBLANK('Annex 2 Designated EHV charges'!$D$10:$D$200),1, COUNTIF(A$4:$A163, 'Annex 2 Designated EHV charges'!$D$10:$D$200)), 0)),"")</f>
        <v/>
      </c>
      <c r="B164" s="190" t="str">
        <f>IF($A164="","",VLOOKUP($A164,'Annex 2 Designated EHV charges'!$D:$O,2,0))</f>
        <v/>
      </c>
      <c r="C164" s="189" t="str">
        <f>IF($A164="","",VLOOKUP($A164,'Annex 2 Designated EHV charges'!$D:$O,3,0))</f>
        <v/>
      </c>
      <c r="D164" s="190" t="str">
        <f>IF($A164="","",VLOOKUP($A164,'Annex 2 Designated EHV charges'!$D:$O,4,0))</f>
        <v/>
      </c>
      <c r="E164" s="191" t="str">
        <f>IFERROR(IF(VLOOKUP($A164,'Annex 2 Designated EHV charges'!$D:$P,10,FALSE)=0,"",VLOOKUP($A164,'Annex 2 Designated EHV charges'!$D:$P,10,FALSE)),"")</f>
        <v/>
      </c>
      <c r="F164" s="194" t="str">
        <f>IFERROR(IF(VLOOKUP($A164,'Annex 2 Designated EHV charges'!$D:$P,11,FALSE)=0,"",VLOOKUP($A164,'Annex 2 Designated EHV charges'!$D:$P,11,FALSE)),"")</f>
        <v/>
      </c>
      <c r="G164" s="194" t="str">
        <f>IFERROR(IF(VLOOKUP($A164,'Annex 2 Designated EHV charges'!$D:$P,12,FALSE)=0,"",VLOOKUP($A164,'Annex 2 Designated EHV charges'!$D:$P,12,FALSE)),"")</f>
        <v/>
      </c>
      <c r="H164" s="194" t="str">
        <f>IFERROR(IF(VLOOKUP($A164,'Annex 2 Designated EHV charges'!$D:$P,13,FALSE)=0,"",VLOOKUP($A164,'Annex 2 Designated EHV charges'!$D:$P,13,FALSE)),"")</f>
        <v/>
      </c>
    </row>
    <row r="165" spans="1:8" x14ac:dyDescent="0.35">
      <c r="A165" s="189" t="str" cm="1">
        <f t="array" ref="A165">IFERROR(INDEX('Annex 2 Designated EHV charges'!$D$10:$D$200, MATCH(0, IF(ISBLANK('Annex 2 Designated EHV charges'!$D$10:$D$200),1, COUNTIF(A$4:$A164, 'Annex 2 Designated EHV charges'!$D$10:$D$200)), 0)),"")</f>
        <v/>
      </c>
      <c r="B165" s="190" t="str">
        <f>IF($A165="","",VLOOKUP($A165,'Annex 2 Designated EHV charges'!$D:$O,2,0))</f>
        <v/>
      </c>
      <c r="C165" s="189" t="str">
        <f>IF($A165="","",VLOOKUP($A165,'Annex 2 Designated EHV charges'!$D:$O,3,0))</f>
        <v/>
      </c>
      <c r="D165" s="190" t="str">
        <f>IF($A165="","",VLOOKUP($A165,'Annex 2 Designated EHV charges'!$D:$O,4,0))</f>
        <v/>
      </c>
      <c r="E165" s="191" t="str">
        <f>IFERROR(IF(VLOOKUP($A165,'Annex 2 Designated EHV charges'!$D:$P,10,FALSE)=0,"",VLOOKUP($A165,'Annex 2 Designated EHV charges'!$D:$P,10,FALSE)),"")</f>
        <v/>
      </c>
      <c r="F165" s="194" t="str">
        <f>IFERROR(IF(VLOOKUP($A165,'Annex 2 Designated EHV charges'!$D:$P,11,FALSE)=0,"",VLOOKUP($A165,'Annex 2 Designated EHV charges'!$D:$P,11,FALSE)),"")</f>
        <v/>
      </c>
      <c r="G165" s="194" t="str">
        <f>IFERROR(IF(VLOOKUP($A165,'Annex 2 Designated EHV charges'!$D:$P,12,FALSE)=0,"",VLOOKUP($A165,'Annex 2 Designated EHV charges'!$D:$P,12,FALSE)),"")</f>
        <v/>
      </c>
      <c r="H165" s="194" t="str">
        <f>IFERROR(IF(VLOOKUP($A165,'Annex 2 Designated EHV charges'!$D:$P,13,FALSE)=0,"",VLOOKUP($A165,'Annex 2 Designated EHV charges'!$D:$P,13,FALSE)),"")</f>
        <v/>
      </c>
    </row>
    <row r="166" spans="1:8" x14ac:dyDescent="0.35">
      <c r="A166" s="189" t="str" cm="1">
        <f t="array" ref="A166">IFERROR(INDEX('Annex 2 Designated EHV charges'!$D$10:$D$200, MATCH(0, IF(ISBLANK('Annex 2 Designated EHV charges'!$D$10:$D$200),1, COUNTIF(A$4:$A165, 'Annex 2 Designated EHV charges'!$D$10:$D$200)), 0)),"")</f>
        <v/>
      </c>
      <c r="B166" s="190" t="str">
        <f>IF($A166="","",VLOOKUP($A166,'Annex 2 Designated EHV charges'!$D:$O,2,0))</f>
        <v/>
      </c>
      <c r="C166" s="189" t="str">
        <f>IF($A166="","",VLOOKUP($A166,'Annex 2 Designated EHV charges'!$D:$O,3,0))</f>
        <v/>
      </c>
      <c r="D166" s="190" t="str">
        <f>IF($A166="","",VLOOKUP($A166,'Annex 2 Designated EHV charges'!$D:$O,4,0))</f>
        <v/>
      </c>
      <c r="E166" s="191" t="str">
        <f>IFERROR(IF(VLOOKUP($A166,'Annex 2 Designated EHV charges'!$D:$P,10,FALSE)=0,"",VLOOKUP($A166,'Annex 2 Designated EHV charges'!$D:$P,10,FALSE)),"")</f>
        <v/>
      </c>
      <c r="F166" s="194" t="str">
        <f>IFERROR(IF(VLOOKUP($A166,'Annex 2 Designated EHV charges'!$D:$P,11,FALSE)=0,"",VLOOKUP($A166,'Annex 2 Designated EHV charges'!$D:$P,11,FALSE)),"")</f>
        <v/>
      </c>
      <c r="G166" s="194" t="str">
        <f>IFERROR(IF(VLOOKUP($A166,'Annex 2 Designated EHV charges'!$D:$P,12,FALSE)=0,"",VLOOKUP($A166,'Annex 2 Designated EHV charges'!$D:$P,12,FALSE)),"")</f>
        <v/>
      </c>
      <c r="H166" s="194" t="str">
        <f>IFERROR(IF(VLOOKUP($A166,'Annex 2 Designated EHV charges'!$D:$P,13,FALSE)=0,"",VLOOKUP($A166,'Annex 2 Designated EHV charges'!$D:$P,13,FALSE)),"")</f>
        <v/>
      </c>
    </row>
    <row r="167" spans="1:8" x14ac:dyDescent="0.35">
      <c r="A167" s="189" t="str" cm="1">
        <f t="array" ref="A167">IFERROR(INDEX('Annex 2 Designated EHV charges'!$D$10:$D$200, MATCH(0, IF(ISBLANK('Annex 2 Designated EHV charges'!$D$10:$D$200),1, COUNTIF(A$4:$A166, 'Annex 2 Designated EHV charges'!$D$10:$D$200)), 0)),"")</f>
        <v/>
      </c>
      <c r="B167" s="190" t="str">
        <f>IF($A167="","",VLOOKUP($A167,'Annex 2 Designated EHV charges'!$D:$O,2,0))</f>
        <v/>
      </c>
      <c r="C167" s="189" t="str">
        <f>IF($A167="","",VLOOKUP($A167,'Annex 2 Designated EHV charges'!$D:$O,3,0))</f>
        <v/>
      </c>
      <c r="D167" s="190" t="str">
        <f>IF($A167="","",VLOOKUP($A167,'Annex 2 Designated EHV charges'!$D:$O,4,0))</f>
        <v/>
      </c>
      <c r="E167" s="191" t="str">
        <f>IFERROR(IF(VLOOKUP($A167,'Annex 2 Designated EHV charges'!$D:$P,10,FALSE)=0,"",VLOOKUP($A167,'Annex 2 Designated EHV charges'!$D:$P,10,FALSE)),"")</f>
        <v/>
      </c>
      <c r="F167" s="194" t="str">
        <f>IFERROR(IF(VLOOKUP($A167,'Annex 2 Designated EHV charges'!$D:$P,11,FALSE)=0,"",VLOOKUP($A167,'Annex 2 Designated EHV charges'!$D:$P,11,FALSE)),"")</f>
        <v/>
      </c>
      <c r="G167" s="194" t="str">
        <f>IFERROR(IF(VLOOKUP($A167,'Annex 2 Designated EHV charges'!$D:$P,12,FALSE)=0,"",VLOOKUP($A167,'Annex 2 Designated EHV charges'!$D:$P,12,FALSE)),"")</f>
        <v/>
      </c>
      <c r="H167" s="194" t="str">
        <f>IFERROR(IF(VLOOKUP($A167,'Annex 2 Designated EHV charges'!$D:$P,13,FALSE)=0,"",VLOOKUP($A167,'Annex 2 Designated EHV charges'!$D:$P,13,FALSE)),"")</f>
        <v/>
      </c>
    </row>
    <row r="168" spans="1:8" x14ac:dyDescent="0.35">
      <c r="A168" s="189" t="str" cm="1">
        <f t="array" ref="A168">IFERROR(INDEX('Annex 2 Designated EHV charges'!$D$10:$D$200, MATCH(0, IF(ISBLANK('Annex 2 Designated EHV charges'!$D$10:$D$200),1, COUNTIF(A$4:$A167, 'Annex 2 Designated EHV charges'!$D$10:$D$200)), 0)),"")</f>
        <v/>
      </c>
      <c r="B168" s="190" t="str">
        <f>IF($A168="","",VLOOKUP($A168,'Annex 2 Designated EHV charges'!$D:$O,2,0))</f>
        <v/>
      </c>
      <c r="C168" s="189" t="str">
        <f>IF($A168="","",VLOOKUP($A168,'Annex 2 Designated EHV charges'!$D:$O,3,0))</f>
        <v/>
      </c>
      <c r="D168" s="190" t="str">
        <f>IF($A168="","",VLOOKUP($A168,'Annex 2 Designated EHV charges'!$D:$O,4,0))</f>
        <v/>
      </c>
      <c r="E168" s="191" t="str">
        <f>IFERROR(IF(VLOOKUP($A168,'Annex 2 Designated EHV charges'!$D:$P,10,FALSE)=0,"",VLOOKUP($A168,'Annex 2 Designated EHV charges'!$D:$P,10,FALSE)),"")</f>
        <v/>
      </c>
      <c r="F168" s="194" t="str">
        <f>IFERROR(IF(VLOOKUP($A168,'Annex 2 Designated EHV charges'!$D:$P,11,FALSE)=0,"",VLOOKUP($A168,'Annex 2 Designated EHV charges'!$D:$P,11,FALSE)),"")</f>
        <v/>
      </c>
      <c r="G168" s="194" t="str">
        <f>IFERROR(IF(VLOOKUP($A168,'Annex 2 Designated EHV charges'!$D:$P,12,FALSE)=0,"",VLOOKUP($A168,'Annex 2 Designated EHV charges'!$D:$P,12,FALSE)),"")</f>
        <v/>
      </c>
      <c r="H168" s="194" t="str">
        <f>IFERROR(IF(VLOOKUP($A168,'Annex 2 Designated EHV charges'!$D:$P,13,FALSE)=0,"",VLOOKUP($A168,'Annex 2 Designated EHV charges'!$D:$P,13,FALSE)),"")</f>
        <v/>
      </c>
    </row>
    <row r="169" spans="1:8" x14ac:dyDescent="0.35">
      <c r="A169" s="189" t="str" cm="1">
        <f t="array" ref="A169">IFERROR(INDEX('Annex 2 Designated EHV charges'!$D$10:$D$200, MATCH(0, IF(ISBLANK('Annex 2 Designated EHV charges'!$D$10:$D$200),1, COUNTIF(A$4:$A168, 'Annex 2 Designated EHV charges'!$D$10:$D$200)), 0)),"")</f>
        <v/>
      </c>
      <c r="B169" s="190" t="str">
        <f>IF($A169="","",VLOOKUP($A169,'Annex 2 Designated EHV charges'!$D:$O,2,0))</f>
        <v/>
      </c>
      <c r="C169" s="189" t="str">
        <f>IF($A169="","",VLOOKUP($A169,'Annex 2 Designated EHV charges'!$D:$O,3,0))</f>
        <v/>
      </c>
      <c r="D169" s="190" t="str">
        <f>IF($A169="","",VLOOKUP($A169,'Annex 2 Designated EHV charges'!$D:$O,4,0))</f>
        <v/>
      </c>
      <c r="E169" s="191" t="str">
        <f>IFERROR(IF(VLOOKUP($A169,'Annex 2 Designated EHV charges'!$D:$P,10,FALSE)=0,"",VLOOKUP($A169,'Annex 2 Designated EHV charges'!$D:$P,10,FALSE)),"")</f>
        <v/>
      </c>
      <c r="F169" s="194" t="str">
        <f>IFERROR(IF(VLOOKUP($A169,'Annex 2 Designated EHV charges'!$D:$P,11,FALSE)=0,"",VLOOKUP($A169,'Annex 2 Designated EHV charges'!$D:$P,11,FALSE)),"")</f>
        <v/>
      </c>
      <c r="G169" s="194" t="str">
        <f>IFERROR(IF(VLOOKUP($A169,'Annex 2 Designated EHV charges'!$D:$P,12,FALSE)=0,"",VLOOKUP($A169,'Annex 2 Designated EHV charges'!$D:$P,12,FALSE)),"")</f>
        <v/>
      </c>
      <c r="H169" s="194" t="str">
        <f>IFERROR(IF(VLOOKUP($A169,'Annex 2 Designated EHV charges'!$D:$P,13,FALSE)=0,"",VLOOKUP($A169,'Annex 2 Designated EHV charges'!$D:$P,13,FALSE)),"")</f>
        <v/>
      </c>
    </row>
    <row r="170" spans="1:8" x14ac:dyDescent="0.35">
      <c r="A170" s="189" t="str" cm="1">
        <f t="array" ref="A170">IFERROR(INDEX('Annex 2 Designated EHV charges'!$D$10:$D$200, MATCH(0, IF(ISBLANK('Annex 2 Designated EHV charges'!$D$10:$D$200),1, COUNTIF(A$4:$A169, 'Annex 2 Designated EHV charges'!$D$10:$D$200)), 0)),"")</f>
        <v/>
      </c>
      <c r="B170" s="190" t="str">
        <f>IF($A170="","",VLOOKUP($A170,'Annex 2 Designated EHV charges'!$D:$O,2,0))</f>
        <v/>
      </c>
      <c r="C170" s="189" t="str">
        <f>IF($A170="","",VLOOKUP($A170,'Annex 2 Designated EHV charges'!$D:$O,3,0))</f>
        <v/>
      </c>
      <c r="D170" s="190" t="str">
        <f>IF($A170="","",VLOOKUP($A170,'Annex 2 Designated EHV charges'!$D:$O,4,0))</f>
        <v/>
      </c>
      <c r="E170" s="191" t="str">
        <f>IFERROR(IF(VLOOKUP($A170,'Annex 2 Designated EHV charges'!$D:$P,10,FALSE)=0,"",VLOOKUP($A170,'Annex 2 Designated EHV charges'!$D:$P,10,FALSE)),"")</f>
        <v/>
      </c>
      <c r="F170" s="194" t="str">
        <f>IFERROR(IF(VLOOKUP($A170,'Annex 2 Designated EHV charges'!$D:$P,11,FALSE)=0,"",VLOOKUP($A170,'Annex 2 Designated EHV charges'!$D:$P,11,FALSE)),"")</f>
        <v/>
      </c>
      <c r="G170" s="194" t="str">
        <f>IFERROR(IF(VLOOKUP($A170,'Annex 2 Designated EHV charges'!$D:$P,12,FALSE)=0,"",VLOOKUP($A170,'Annex 2 Designated EHV charges'!$D:$P,12,FALSE)),"")</f>
        <v/>
      </c>
      <c r="H170" s="194" t="str">
        <f>IFERROR(IF(VLOOKUP($A170,'Annex 2 Designated EHV charges'!$D:$P,13,FALSE)=0,"",VLOOKUP($A170,'Annex 2 Designated EHV charges'!$D:$P,13,FALSE)),"")</f>
        <v/>
      </c>
    </row>
    <row r="171" spans="1:8" x14ac:dyDescent="0.35">
      <c r="A171" s="189" t="str" cm="1">
        <f t="array" ref="A171">IFERROR(INDEX('Annex 2 Designated EHV charges'!$D$10:$D$200, MATCH(0, IF(ISBLANK('Annex 2 Designated EHV charges'!$D$10:$D$200),1, COUNTIF(A$4:$A170, 'Annex 2 Designated EHV charges'!$D$10:$D$200)), 0)),"")</f>
        <v/>
      </c>
      <c r="B171" s="190" t="str">
        <f>IF($A171="","",VLOOKUP($A171,'Annex 2 Designated EHV charges'!$D:$O,2,0))</f>
        <v/>
      </c>
      <c r="C171" s="189" t="str">
        <f>IF($A171="","",VLOOKUP($A171,'Annex 2 Designated EHV charges'!$D:$O,3,0))</f>
        <v/>
      </c>
      <c r="D171" s="190" t="str">
        <f>IF($A171="","",VLOOKUP($A171,'Annex 2 Designated EHV charges'!$D:$O,4,0))</f>
        <v/>
      </c>
      <c r="E171" s="191" t="str">
        <f>IFERROR(IF(VLOOKUP($A171,'Annex 2 Designated EHV charges'!$D:$P,10,FALSE)=0,"",VLOOKUP($A171,'Annex 2 Designated EHV charges'!$D:$P,10,FALSE)),"")</f>
        <v/>
      </c>
      <c r="F171" s="194" t="str">
        <f>IFERROR(IF(VLOOKUP($A171,'Annex 2 Designated EHV charges'!$D:$P,11,FALSE)=0,"",VLOOKUP($A171,'Annex 2 Designated EHV charges'!$D:$P,11,FALSE)),"")</f>
        <v/>
      </c>
      <c r="G171" s="194" t="str">
        <f>IFERROR(IF(VLOOKUP($A171,'Annex 2 Designated EHV charges'!$D:$P,12,FALSE)=0,"",VLOOKUP($A171,'Annex 2 Designated EHV charges'!$D:$P,12,FALSE)),"")</f>
        <v/>
      </c>
      <c r="H171" s="194" t="str">
        <f>IFERROR(IF(VLOOKUP($A171,'Annex 2 Designated EHV charges'!$D:$P,13,FALSE)=0,"",VLOOKUP($A171,'Annex 2 Designated EHV charges'!$D:$P,13,FALSE)),"")</f>
        <v/>
      </c>
    </row>
    <row r="172" spans="1:8" x14ac:dyDescent="0.35">
      <c r="A172" s="189" t="str" cm="1">
        <f t="array" ref="A172">IFERROR(INDEX('Annex 2 Designated EHV charges'!$D$10:$D$200, MATCH(0, IF(ISBLANK('Annex 2 Designated EHV charges'!$D$10:$D$200),1, COUNTIF(A$4:$A171, 'Annex 2 Designated EHV charges'!$D$10:$D$200)), 0)),"")</f>
        <v/>
      </c>
      <c r="B172" s="190" t="str">
        <f>IF($A172="","",VLOOKUP($A172,'Annex 2 Designated EHV charges'!$D:$O,2,0))</f>
        <v/>
      </c>
      <c r="C172" s="189" t="str">
        <f>IF($A172="","",VLOOKUP($A172,'Annex 2 Designated EHV charges'!$D:$O,3,0))</f>
        <v/>
      </c>
      <c r="D172" s="190" t="str">
        <f>IF($A172="","",VLOOKUP($A172,'Annex 2 Designated EHV charges'!$D:$O,4,0))</f>
        <v/>
      </c>
      <c r="E172" s="191" t="str">
        <f>IFERROR(IF(VLOOKUP($A172,'Annex 2 Designated EHV charges'!$D:$P,10,FALSE)=0,"",VLOOKUP($A172,'Annex 2 Designated EHV charges'!$D:$P,10,FALSE)),"")</f>
        <v/>
      </c>
      <c r="F172" s="194" t="str">
        <f>IFERROR(IF(VLOOKUP($A172,'Annex 2 Designated EHV charges'!$D:$P,11,FALSE)=0,"",VLOOKUP($A172,'Annex 2 Designated EHV charges'!$D:$P,11,FALSE)),"")</f>
        <v/>
      </c>
      <c r="G172" s="194" t="str">
        <f>IFERROR(IF(VLOOKUP($A172,'Annex 2 Designated EHV charges'!$D:$P,12,FALSE)=0,"",VLOOKUP($A172,'Annex 2 Designated EHV charges'!$D:$P,12,FALSE)),"")</f>
        <v/>
      </c>
      <c r="H172" s="194" t="str">
        <f>IFERROR(IF(VLOOKUP($A172,'Annex 2 Designated EHV charges'!$D:$P,13,FALSE)=0,"",VLOOKUP($A172,'Annex 2 Designated EHV charges'!$D:$P,13,FALSE)),"")</f>
        <v/>
      </c>
    </row>
    <row r="173" spans="1:8" x14ac:dyDescent="0.35">
      <c r="A173" s="189" t="str" cm="1">
        <f t="array" ref="A173">IFERROR(INDEX('Annex 2 Designated EHV charges'!$D$10:$D$200, MATCH(0, IF(ISBLANK('Annex 2 Designated EHV charges'!$D$10:$D$200),1, COUNTIF(A$4:$A172, 'Annex 2 Designated EHV charges'!$D$10:$D$200)), 0)),"")</f>
        <v/>
      </c>
      <c r="B173" s="190" t="str">
        <f>IF($A173="","",VLOOKUP($A173,'Annex 2 Designated EHV charges'!$D:$O,2,0))</f>
        <v/>
      </c>
      <c r="C173" s="189" t="str">
        <f>IF($A173="","",VLOOKUP($A173,'Annex 2 Designated EHV charges'!$D:$O,3,0))</f>
        <v/>
      </c>
      <c r="D173" s="190" t="str">
        <f>IF($A173="","",VLOOKUP($A173,'Annex 2 Designated EHV charges'!$D:$O,4,0))</f>
        <v/>
      </c>
      <c r="E173" s="191" t="str">
        <f>IFERROR(IF(VLOOKUP($A173,'Annex 2 Designated EHV charges'!$D:$P,10,FALSE)=0,"",VLOOKUP($A173,'Annex 2 Designated EHV charges'!$D:$P,10,FALSE)),"")</f>
        <v/>
      </c>
      <c r="F173" s="194" t="str">
        <f>IFERROR(IF(VLOOKUP($A173,'Annex 2 Designated EHV charges'!$D:$P,11,FALSE)=0,"",VLOOKUP($A173,'Annex 2 Designated EHV charges'!$D:$P,11,FALSE)),"")</f>
        <v/>
      </c>
      <c r="G173" s="194" t="str">
        <f>IFERROR(IF(VLOOKUP($A173,'Annex 2 Designated EHV charges'!$D:$P,12,FALSE)=0,"",VLOOKUP($A173,'Annex 2 Designated EHV charges'!$D:$P,12,FALSE)),"")</f>
        <v/>
      </c>
      <c r="H173" s="194" t="str">
        <f>IFERROR(IF(VLOOKUP($A173,'Annex 2 Designated EHV charges'!$D:$P,13,FALSE)=0,"",VLOOKUP($A173,'Annex 2 Designated EHV charges'!$D:$P,13,FALSE)),"")</f>
        <v/>
      </c>
    </row>
    <row r="174" spans="1:8" x14ac:dyDescent="0.35">
      <c r="A174" s="189" t="str" cm="1">
        <f t="array" ref="A174">IFERROR(INDEX('Annex 2 Designated EHV charges'!$D$10:$D$200, MATCH(0, IF(ISBLANK('Annex 2 Designated EHV charges'!$D$10:$D$200),1, COUNTIF(A$4:$A173, 'Annex 2 Designated EHV charges'!$D$10:$D$200)), 0)),"")</f>
        <v/>
      </c>
      <c r="B174" s="190" t="str">
        <f>IF($A174="","",VLOOKUP($A174,'Annex 2 Designated EHV charges'!$D:$O,2,0))</f>
        <v/>
      </c>
      <c r="C174" s="189" t="str">
        <f>IF($A174="","",VLOOKUP($A174,'Annex 2 Designated EHV charges'!$D:$O,3,0))</f>
        <v/>
      </c>
      <c r="D174" s="190" t="str">
        <f>IF($A174="","",VLOOKUP($A174,'Annex 2 Designated EHV charges'!$D:$O,4,0))</f>
        <v/>
      </c>
      <c r="E174" s="191" t="str">
        <f>IFERROR(IF(VLOOKUP($A174,'Annex 2 Designated EHV charges'!$D:$P,10,FALSE)=0,"",VLOOKUP($A174,'Annex 2 Designated EHV charges'!$D:$P,10,FALSE)),"")</f>
        <v/>
      </c>
      <c r="F174" s="194" t="str">
        <f>IFERROR(IF(VLOOKUP($A174,'Annex 2 Designated EHV charges'!$D:$P,11,FALSE)=0,"",VLOOKUP($A174,'Annex 2 Designated EHV charges'!$D:$P,11,FALSE)),"")</f>
        <v/>
      </c>
      <c r="G174" s="194" t="str">
        <f>IFERROR(IF(VLOOKUP($A174,'Annex 2 Designated EHV charges'!$D:$P,12,FALSE)=0,"",VLOOKUP($A174,'Annex 2 Designated EHV charges'!$D:$P,12,FALSE)),"")</f>
        <v/>
      </c>
      <c r="H174" s="194" t="str">
        <f>IFERROR(IF(VLOOKUP($A174,'Annex 2 Designated EHV charges'!$D:$P,13,FALSE)=0,"",VLOOKUP($A174,'Annex 2 Designated EHV charges'!$D:$P,13,FALSE)),"")</f>
        <v/>
      </c>
    </row>
    <row r="175" spans="1:8" x14ac:dyDescent="0.35">
      <c r="A175" s="189" t="str" cm="1">
        <f t="array" ref="A175">IFERROR(INDEX('Annex 2 Designated EHV charges'!$D$10:$D$200, MATCH(0, IF(ISBLANK('Annex 2 Designated EHV charges'!$D$10:$D$200),1, COUNTIF(A$4:$A174, 'Annex 2 Designated EHV charges'!$D$10:$D$200)), 0)),"")</f>
        <v/>
      </c>
      <c r="B175" s="190" t="str">
        <f>IF($A175="","",VLOOKUP($A175,'Annex 2 Designated EHV charges'!$D:$O,2,0))</f>
        <v/>
      </c>
      <c r="C175" s="189" t="str">
        <f>IF($A175="","",VLOOKUP($A175,'Annex 2 Designated EHV charges'!$D:$O,3,0))</f>
        <v/>
      </c>
      <c r="D175" s="190" t="str">
        <f>IF($A175="","",VLOOKUP($A175,'Annex 2 Designated EHV charges'!$D:$O,4,0))</f>
        <v/>
      </c>
      <c r="E175" s="191" t="str">
        <f>IFERROR(IF(VLOOKUP($A175,'Annex 2 Designated EHV charges'!$D:$P,10,FALSE)=0,"",VLOOKUP($A175,'Annex 2 Designated EHV charges'!$D:$P,10,FALSE)),"")</f>
        <v/>
      </c>
      <c r="F175" s="194" t="str">
        <f>IFERROR(IF(VLOOKUP($A175,'Annex 2 Designated EHV charges'!$D:$P,11,FALSE)=0,"",VLOOKUP($A175,'Annex 2 Designated EHV charges'!$D:$P,11,FALSE)),"")</f>
        <v/>
      </c>
      <c r="G175" s="194" t="str">
        <f>IFERROR(IF(VLOOKUP($A175,'Annex 2 Designated EHV charges'!$D:$P,12,FALSE)=0,"",VLOOKUP($A175,'Annex 2 Designated EHV charges'!$D:$P,12,FALSE)),"")</f>
        <v/>
      </c>
      <c r="H175" s="194" t="str">
        <f>IFERROR(IF(VLOOKUP($A175,'Annex 2 Designated EHV charges'!$D:$P,13,FALSE)=0,"",VLOOKUP($A175,'Annex 2 Designated EHV charges'!$D:$P,13,FALSE)),"")</f>
        <v/>
      </c>
    </row>
    <row r="176" spans="1:8" x14ac:dyDescent="0.35">
      <c r="A176" s="189" t="str" cm="1">
        <f t="array" ref="A176">IFERROR(INDEX('Annex 2 Designated EHV charges'!$D$10:$D$200, MATCH(0, IF(ISBLANK('Annex 2 Designated EHV charges'!$D$10:$D$200),1, COUNTIF(A$4:$A175, 'Annex 2 Designated EHV charges'!$D$10:$D$200)), 0)),"")</f>
        <v/>
      </c>
      <c r="B176" s="190" t="str">
        <f>IF($A176="","",VLOOKUP($A176,'Annex 2 Designated EHV charges'!$D:$O,2,0))</f>
        <v/>
      </c>
      <c r="C176" s="189" t="str">
        <f>IF($A176="","",VLOOKUP($A176,'Annex 2 Designated EHV charges'!$D:$O,3,0))</f>
        <v/>
      </c>
      <c r="D176" s="190" t="str">
        <f>IF($A176="","",VLOOKUP($A176,'Annex 2 Designated EHV charges'!$D:$O,4,0))</f>
        <v/>
      </c>
      <c r="E176" s="191" t="str">
        <f>IFERROR(IF(VLOOKUP($A176,'Annex 2 Designated EHV charges'!$D:$P,10,FALSE)=0,"",VLOOKUP($A176,'Annex 2 Designated EHV charges'!$D:$P,10,FALSE)),"")</f>
        <v/>
      </c>
      <c r="F176" s="194" t="str">
        <f>IFERROR(IF(VLOOKUP($A176,'Annex 2 Designated EHV charges'!$D:$P,11,FALSE)=0,"",VLOOKUP($A176,'Annex 2 Designated EHV charges'!$D:$P,11,FALSE)),"")</f>
        <v/>
      </c>
      <c r="G176" s="194" t="str">
        <f>IFERROR(IF(VLOOKUP($A176,'Annex 2 Designated EHV charges'!$D:$P,12,FALSE)=0,"",VLOOKUP($A176,'Annex 2 Designated EHV charges'!$D:$P,12,FALSE)),"")</f>
        <v/>
      </c>
      <c r="H176" s="194" t="str">
        <f>IFERROR(IF(VLOOKUP($A176,'Annex 2 Designated EHV charges'!$D:$P,13,FALSE)=0,"",VLOOKUP($A176,'Annex 2 Designated EHV charges'!$D:$P,13,FALSE)),"")</f>
        <v/>
      </c>
    </row>
    <row r="177" spans="1:8" x14ac:dyDescent="0.35">
      <c r="A177" s="189" t="str" cm="1">
        <f t="array" ref="A177">IFERROR(INDEX('Annex 2 Designated EHV charges'!$D$10:$D$200, MATCH(0, IF(ISBLANK('Annex 2 Designated EHV charges'!$D$10:$D$200),1, COUNTIF(A$4:$A176, 'Annex 2 Designated EHV charges'!$D$10:$D$200)), 0)),"")</f>
        <v/>
      </c>
      <c r="B177" s="190" t="str">
        <f>IF($A177="","",VLOOKUP($A177,'Annex 2 Designated EHV charges'!$D:$O,2,0))</f>
        <v/>
      </c>
      <c r="C177" s="189" t="str">
        <f>IF($A177="","",VLOOKUP($A177,'Annex 2 Designated EHV charges'!$D:$O,3,0))</f>
        <v/>
      </c>
      <c r="D177" s="190" t="str">
        <f>IF($A177="","",VLOOKUP($A177,'Annex 2 Designated EHV charges'!$D:$O,4,0))</f>
        <v/>
      </c>
      <c r="E177" s="191" t="str">
        <f>IFERROR(IF(VLOOKUP($A177,'Annex 2 Designated EHV charges'!$D:$P,10,FALSE)=0,"",VLOOKUP($A177,'Annex 2 Designated EHV charges'!$D:$P,10,FALSE)),"")</f>
        <v/>
      </c>
      <c r="F177" s="194" t="str">
        <f>IFERROR(IF(VLOOKUP($A177,'Annex 2 Designated EHV charges'!$D:$P,11,FALSE)=0,"",VLOOKUP($A177,'Annex 2 Designated EHV charges'!$D:$P,11,FALSE)),"")</f>
        <v/>
      </c>
      <c r="G177" s="194" t="str">
        <f>IFERROR(IF(VLOOKUP($A177,'Annex 2 Designated EHV charges'!$D:$P,12,FALSE)=0,"",VLOOKUP($A177,'Annex 2 Designated EHV charges'!$D:$P,12,FALSE)),"")</f>
        <v/>
      </c>
      <c r="H177" s="194" t="str">
        <f>IFERROR(IF(VLOOKUP($A177,'Annex 2 Designated EHV charges'!$D:$P,13,FALSE)=0,"",VLOOKUP($A177,'Annex 2 Designated EHV charges'!$D:$P,13,FALSE)),"")</f>
        <v/>
      </c>
    </row>
    <row r="178" spans="1:8" x14ac:dyDescent="0.35">
      <c r="A178" s="189" t="str" cm="1">
        <f t="array" ref="A178">IFERROR(INDEX('Annex 2 Designated EHV charges'!$D$10:$D$200, MATCH(0, IF(ISBLANK('Annex 2 Designated EHV charges'!$D$10:$D$200),1, COUNTIF(A$4:$A177, 'Annex 2 Designated EHV charges'!$D$10:$D$200)), 0)),"")</f>
        <v/>
      </c>
      <c r="B178" s="190" t="str">
        <f>IF($A178="","",VLOOKUP($A178,'Annex 2 Designated EHV charges'!$D:$O,2,0))</f>
        <v/>
      </c>
      <c r="C178" s="189" t="str">
        <f>IF($A178="","",VLOOKUP($A178,'Annex 2 Designated EHV charges'!$D:$O,3,0))</f>
        <v/>
      </c>
      <c r="D178" s="190" t="str">
        <f>IF($A178="","",VLOOKUP($A178,'Annex 2 Designated EHV charges'!$D:$O,4,0))</f>
        <v/>
      </c>
      <c r="E178" s="191" t="str">
        <f>IFERROR(IF(VLOOKUP($A178,'Annex 2 Designated EHV charges'!$D:$P,10,FALSE)=0,"",VLOOKUP($A178,'Annex 2 Designated EHV charges'!$D:$P,10,FALSE)),"")</f>
        <v/>
      </c>
      <c r="F178" s="194" t="str">
        <f>IFERROR(IF(VLOOKUP($A178,'Annex 2 Designated EHV charges'!$D:$P,11,FALSE)=0,"",VLOOKUP($A178,'Annex 2 Designated EHV charges'!$D:$P,11,FALSE)),"")</f>
        <v/>
      </c>
      <c r="G178" s="194" t="str">
        <f>IFERROR(IF(VLOOKUP($A178,'Annex 2 Designated EHV charges'!$D:$P,12,FALSE)=0,"",VLOOKUP($A178,'Annex 2 Designated EHV charges'!$D:$P,12,FALSE)),"")</f>
        <v/>
      </c>
      <c r="H178" s="194" t="str">
        <f>IFERROR(IF(VLOOKUP($A178,'Annex 2 Designated EHV charges'!$D:$P,13,FALSE)=0,"",VLOOKUP($A178,'Annex 2 Designated EHV charges'!$D:$P,13,FALSE)),"")</f>
        <v/>
      </c>
    </row>
    <row r="179" spans="1:8" x14ac:dyDescent="0.35">
      <c r="A179" s="189" t="str" cm="1">
        <f t="array" ref="A179">IFERROR(INDEX('Annex 2 Designated EHV charges'!$D$10:$D$200, MATCH(0, IF(ISBLANK('Annex 2 Designated EHV charges'!$D$10:$D$200),1, COUNTIF(A$4:$A178, 'Annex 2 Designated EHV charges'!$D$10:$D$200)), 0)),"")</f>
        <v/>
      </c>
      <c r="B179" s="190" t="str">
        <f>IF($A179="","",VLOOKUP($A179,'Annex 2 Designated EHV charges'!$D:$O,2,0))</f>
        <v/>
      </c>
      <c r="C179" s="189" t="str">
        <f>IF($A179="","",VLOOKUP($A179,'Annex 2 Designated EHV charges'!$D:$O,3,0))</f>
        <v/>
      </c>
      <c r="D179" s="190" t="str">
        <f>IF($A179="","",VLOOKUP($A179,'Annex 2 Designated EHV charges'!$D:$O,4,0))</f>
        <v/>
      </c>
      <c r="E179" s="191" t="str">
        <f>IFERROR(IF(VLOOKUP($A179,'Annex 2 Designated EHV charges'!$D:$P,10,FALSE)=0,"",VLOOKUP($A179,'Annex 2 Designated EHV charges'!$D:$P,10,FALSE)),"")</f>
        <v/>
      </c>
      <c r="F179" s="194" t="str">
        <f>IFERROR(IF(VLOOKUP($A179,'Annex 2 Designated EHV charges'!$D:$P,11,FALSE)=0,"",VLOOKUP($A179,'Annex 2 Designated EHV charges'!$D:$P,11,FALSE)),"")</f>
        <v/>
      </c>
      <c r="G179" s="194" t="str">
        <f>IFERROR(IF(VLOOKUP($A179,'Annex 2 Designated EHV charges'!$D:$P,12,FALSE)=0,"",VLOOKUP($A179,'Annex 2 Designated EHV charges'!$D:$P,12,FALSE)),"")</f>
        <v/>
      </c>
      <c r="H179" s="194" t="str">
        <f>IFERROR(IF(VLOOKUP($A179,'Annex 2 Designated EHV charges'!$D:$P,13,FALSE)=0,"",VLOOKUP($A179,'Annex 2 Designated EHV charges'!$D:$P,13,FALSE)),"")</f>
        <v/>
      </c>
    </row>
    <row r="180" spans="1:8" x14ac:dyDescent="0.35">
      <c r="A180" s="189" t="str" cm="1">
        <f t="array" ref="A180">IFERROR(INDEX('Annex 2 Designated EHV charges'!$D$10:$D$200, MATCH(0, IF(ISBLANK('Annex 2 Designated EHV charges'!$D$10:$D$200),1, COUNTIF(A$4:$A179, 'Annex 2 Designated EHV charges'!$D$10:$D$200)), 0)),"")</f>
        <v/>
      </c>
      <c r="B180" s="190" t="str">
        <f>IF($A180="","",VLOOKUP($A180,'Annex 2 Designated EHV charges'!$D:$O,2,0))</f>
        <v/>
      </c>
      <c r="C180" s="189" t="str">
        <f>IF($A180="","",VLOOKUP($A180,'Annex 2 Designated EHV charges'!$D:$O,3,0))</f>
        <v/>
      </c>
      <c r="D180" s="190" t="str">
        <f>IF($A180="","",VLOOKUP($A180,'Annex 2 Designated EHV charges'!$D:$O,4,0))</f>
        <v/>
      </c>
      <c r="E180" s="191" t="str">
        <f>IFERROR(IF(VLOOKUP($A180,'Annex 2 Designated EHV charges'!$D:$P,10,FALSE)=0,"",VLOOKUP($A180,'Annex 2 Designated EHV charges'!$D:$P,10,FALSE)),"")</f>
        <v/>
      </c>
      <c r="F180" s="194" t="str">
        <f>IFERROR(IF(VLOOKUP($A180,'Annex 2 Designated EHV charges'!$D:$P,11,FALSE)=0,"",VLOOKUP($A180,'Annex 2 Designated EHV charges'!$D:$P,11,FALSE)),"")</f>
        <v/>
      </c>
      <c r="G180" s="194" t="str">
        <f>IFERROR(IF(VLOOKUP($A180,'Annex 2 Designated EHV charges'!$D:$P,12,FALSE)=0,"",VLOOKUP($A180,'Annex 2 Designated EHV charges'!$D:$P,12,FALSE)),"")</f>
        <v/>
      </c>
      <c r="H180" s="194" t="str">
        <f>IFERROR(IF(VLOOKUP($A180,'Annex 2 Designated EHV charges'!$D:$P,13,FALSE)=0,"",VLOOKUP($A180,'Annex 2 Designated EHV charges'!$D:$P,13,FALSE)),"")</f>
        <v/>
      </c>
    </row>
    <row r="181" spans="1:8" x14ac:dyDescent="0.35">
      <c r="A181" s="189" t="str" cm="1">
        <f t="array" ref="A181">IFERROR(INDEX('Annex 2 Designated EHV charges'!$D$10:$D$200, MATCH(0, IF(ISBLANK('Annex 2 Designated EHV charges'!$D$10:$D$200),1, COUNTIF(A$4:$A180, 'Annex 2 Designated EHV charges'!$D$10:$D$200)), 0)),"")</f>
        <v/>
      </c>
      <c r="B181" s="190" t="str">
        <f>IF($A181="","",VLOOKUP($A181,'Annex 2 Designated EHV charges'!$D:$O,2,0))</f>
        <v/>
      </c>
      <c r="C181" s="189" t="str">
        <f>IF($A181="","",VLOOKUP($A181,'Annex 2 Designated EHV charges'!$D:$O,3,0))</f>
        <v/>
      </c>
      <c r="D181" s="190" t="str">
        <f>IF($A181="","",VLOOKUP($A181,'Annex 2 Designated EHV charges'!$D:$O,4,0))</f>
        <v/>
      </c>
      <c r="E181" s="191" t="str">
        <f>IFERROR(IF(VLOOKUP($A181,'Annex 2 Designated EHV charges'!$D:$P,10,FALSE)=0,"",VLOOKUP($A181,'Annex 2 Designated EHV charges'!$D:$P,10,FALSE)),"")</f>
        <v/>
      </c>
      <c r="F181" s="194" t="str">
        <f>IFERROR(IF(VLOOKUP($A181,'Annex 2 Designated EHV charges'!$D:$P,11,FALSE)=0,"",VLOOKUP($A181,'Annex 2 Designated EHV charges'!$D:$P,11,FALSE)),"")</f>
        <v/>
      </c>
      <c r="G181" s="194" t="str">
        <f>IFERROR(IF(VLOOKUP($A181,'Annex 2 Designated EHV charges'!$D:$P,12,FALSE)=0,"",VLOOKUP($A181,'Annex 2 Designated EHV charges'!$D:$P,12,FALSE)),"")</f>
        <v/>
      </c>
      <c r="H181" s="194" t="str">
        <f>IFERROR(IF(VLOOKUP($A181,'Annex 2 Designated EHV charges'!$D:$P,13,FALSE)=0,"",VLOOKUP($A181,'Annex 2 Designated EHV charges'!$D:$P,13,FALSE)),"")</f>
        <v/>
      </c>
    </row>
    <row r="182" spans="1:8" x14ac:dyDescent="0.35">
      <c r="A182" s="189" t="str" cm="1">
        <f t="array" ref="A182">IFERROR(INDEX('Annex 2 Designated EHV charges'!$D$10:$D$200, MATCH(0, IF(ISBLANK('Annex 2 Designated EHV charges'!$D$10:$D$200),1, COUNTIF(A$4:$A181, 'Annex 2 Designated EHV charges'!$D$10:$D$200)), 0)),"")</f>
        <v/>
      </c>
      <c r="B182" s="190" t="str">
        <f>IF($A182="","",VLOOKUP($A182,'Annex 2 Designated EHV charges'!$D:$O,2,0))</f>
        <v/>
      </c>
      <c r="C182" s="189" t="str">
        <f>IF($A182="","",VLOOKUP($A182,'Annex 2 Designated EHV charges'!$D:$O,3,0))</f>
        <v/>
      </c>
      <c r="D182" s="190" t="str">
        <f>IF($A182="","",VLOOKUP($A182,'Annex 2 Designated EHV charges'!$D:$O,4,0))</f>
        <v/>
      </c>
      <c r="E182" s="191" t="str">
        <f>IFERROR(IF(VLOOKUP($A182,'Annex 2 Designated EHV charges'!$D:$P,10,FALSE)=0,"",VLOOKUP($A182,'Annex 2 Designated EHV charges'!$D:$P,10,FALSE)),"")</f>
        <v/>
      </c>
      <c r="F182" s="194" t="str">
        <f>IFERROR(IF(VLOOKUP($A182,'Annex 2 Designated EHV charges'!$D:$P,11,FALSE)=0,"",VLOOKUP($A182,'Annex 2 Designated EHV charges'!$D:$P,11,FALSE)),"")</f>
        <v/>
      </c>
      <c r="G182" s="194" t="str">
        <f>IFERROR(IF(VLOOKUP($A182,'Annex 2 Designated EHV charges'!$D:$P,12,FALSE)=0,"",VLOOKUP($A182,'Annex 2 Designated EHV charges'!$D:$P,12,FALSE)),"")</f>
        <v/>
      </c>
      <c r="H182" s="194" t="str">
        <f>IFERROR(IF(VLOOKUP($A182,'Annex 2 Designated EHV charges'!$D:$P,13,FALSE)=0,"",VLOOKUP($A182,'Annex 2 Designated EHV charges'!$D:$P,13,FALSE)),"")</f>
        <v/>
      </c>
    </row>
    <row r="183" spans="1:8" x14ac:dyDescent="0.35">
      <c r="A183" s="189" t="str" cm="1">
        <f t="array" ref="A183">IFERROR(INDEX('Annex 2 Designated EHV charges'!$D$10:$D$200, MATCH(0, IF(ISBLANK('Annex 2 Designated EHV charges'!$D$10:$D$200),1, COUNTIF(A$4:$A182, 'Annex 2 Designated EHV charges'!$D$10:$D$200)), 0)),"")</f>
        <v/>
      </c>
      <c r="B183" s="190" t="str">
        <f>IF($A183="","",VLOOKUP($A183,'Annex 2 Designated EHV charges'!$D:$O,2,0))</f>
        <v/>
      </c>
      <c r="C183" s="189" t="str">
        <f>IF($A183="","",VLOOKUP($A183,'Annex 2 Designated EHV charges'!$D:$O,3,0))</f>
        <v/>
      </c>
      <c r="D183" s="190" t="str">
        <f>IF($A183="","",VLOOKUP($A183,'Annex 2 Designated EHV charges'!$D:$O,4,0))</f>
        <v/>
      </c>
      <c r="E183" s="191" t="str">
        <f>IFERROR(IF(VLOOKUP($A183,'Annex 2 Designated EHV charges'!$D:$P,10,FALSE)=0,"",VLOOKUP($A183,'Annex 2 Designated EHV charges'!$D:$P,10,FALSE)),"")</f>
        <v/>
      </c>
      <c r="F183" s="194" t="str">
        <f>IFERROR(IF(VLOOKUP($A183,'Annex 2 Designated EHV charges'!$D:$P,11,FALSE)=0,"",VLOOKUP($A183,'Annex 2 Designated EHV charges'!$D:$P,11,FALSE)),"")</f>
        <v/>
      </c>
      <c r="G183" s="194" t="str">
        <f>IFERROR(IF(VLOOKUP($A183,'Annex 2 Designated EHV charges'!$D:$P,12,FALSE)=0,"",VLOOKUP($A183,'Annex 2 Designated EHV charges'!$D:$P,12,FALSE)),"")</f>
        <v/>
      </c>
      <c r="H183" s="194" t="str">
        <f>IFERROR(IF(VLOOKUP($A183,'Annex 2 Designated EHV charges'!$D:$P,13,FALSE)=0,"",VLOOKUP($A183,'Annex 2 Designated EHV charges'!$D:$P,13,FALSE)),"")</f>
        <v/>
      </c>
    </row>
    <row r="184" spans="1:8" x14ac:dyDescent="0.35">
      <c r="A184" s="189" t="str" cm="1">
        <f t="array" ref="A184">IFERROR(INDEX('Annex 2 Designated EHV charges'!$D$10:$D$200, MATCH(0, IF(ISBLANK('Annex 2 Designated EHV charges'!$D$10:$D$200),1, COUNTIF(A$4:$A183, 'Annex 2 Designated EHV charges'!$D$10:$D$200)), 0)),"")</f>
        <v/>
      </c>
      <c r="B184" s="190" t="str">
        <f>IF($A184="","",VLOOKUP($A184,'Annex 2 Designated EHV charges'!$D:$O,2,0))</f>
        <v/>
      </c>
      <c r="C184" s="189" t="str">
        <f>IF($A184="","",VLOOKUP($A184,'Annex 2 Designated EHV charges'!$D:$O,3,0))</f>
        <v/>
      </c>
      <c r="D184" s="190" t="str">
        <f>IF($A184="","",VLOOKUP($A184,'Annex 2 Designated EHV charges'!$D:$O,4,0))</f>
        <v/>
      </c>
      <c r="E184" s="191" t="str">
        <f>IFERROR(IF(VLOOKUP($A184,'Annex 2 Designated EHV charges'!$D:$P,10,FALSE)=0,"",VLOOKUP($A184,'Annex 2 Designated EHV charges'!$D:$P,10,FALSE)),"")</f>
        <v/>
      </c>
      <c r="F184" s="194" t="str">
        <f>IFERROR(IF(VLOOKUP($A184,'Annex 2 Designated EHV charges'!$D:$P,11,FALSE)=0,"",VLOOKUP($A184,'Annex 2 Designated EHV charges'!$D:$P,11,FALSE)),"")</f>
        <v/>
      </c>
      <c r="G184" s="194" t="str">
        <f>IFERROR(IF(VLOOKUP($A184,'Annex 2 Designated EHV charges'!$D:$P,12,FALSE)=0,"",VLOOKUP($A184,'Annex 2 Designated EHV charges'!$D:$P,12,FALSE)),"")</f>
        <v/>
      </c>
      <c r="H184" s="194" t="str">
        <f>IFERROR(IF(VLOOKUP($A184,'Annex 2 Designated EHV charges'!$D:$P,13,FALSE)=0,"",VLOOKUP($A184,'Annex 2 Designated EHV charges'!$D:$P,13,FALSE)),"")</f>
        <v/>
      </c>
    </row>
    <row r="185" spans="1:8" x14ac:dyDescent="0.35">
      <c r="A185" s="189" t="str" cm="1">
        <f t="array" ref="A185">IFERROR(INDEX('Annex 2 Designated EHV charges'!$D$10:$D$200, MATCH(0, IF(ISBLANK('Annex 2 Designated EHV charges'!$D$10:$D$200),1, COUNTIF(A$4:$A184, 'Annex 2 Designated EHV charges'!$D$10:$D$200)), 0)),"")</f>
        <v/>
      </c>
      <c r="B185" s="190" t="str">
        <f>IF($A185="","",VLOOKUP($A185,'Annex 2 Designated EHV charges'!$D:$O,2,0))</f>
        <v/>
      </c>
      <c r="C185" s="189" t="str">
        <f>IF($A185="","",VLOOKUP($A185,'Annex 2 Designated EHV charges'!$D:$O,3,0))</f>
        <v/>
      </c>
      <c r="D185" s="190" t="str">
        <f>IF($A185="","",VLOOKUP($A185,'Annex 2 Designated EHV charges'!$D:$O,4,0))</f>
        <v/>
      </c>
      <c r="E185" s="191" t="str">
        <f>IFERROR(IF(VLOOKUP($A185,'Annex 2 Designated EHV charges'!$D:$P,10,FALSE)=0,"",VLOOKUP($A185,'Annex 2 Designated EHV charges'!$D:$P,10,FALSE)),"")</f>
        <v/>
      </c>
      <c r="F185" s="194" t="str">
        <f>IFERROR(IF(VLOOKUP($A185,'Annex 2 Designated EHV charges'!$D:$P,11,FALSE)=0,"",VLOOKUP($A185,'Annex 2 Designated EHV charges'!$D:$P,11,FALSE)),"")</f>
        <v/>
      </c>
      <c r="G185" s="194" t="str">
        <f>IFERROR(IF(VLOOKUP($A185,'Annex 2 Designated EHV charges'!$D:$P,12,FALSE)=0,"",VLOOKUP($A185,'Annex 2 Designated EHV charges'!$D:$P,12,FALSE)),"")</f>
        <v/>
      </c>
      <c r="H185" s="194" t="str">
        <f>IFERROR(IF(VLOOKUP($A185,'Annex 2 Designated EHV charges'!$D:$P,13,FALSE)=0,"",VLOOKUP($A185,'Annex 2 Designated EHV charges'!$D:$P,13,FALSE)),"")</f>
        <v/>
      </c>
    </row>
    <row r="186" spans="1:8" x14ac:dyDescent="0.35">
      <c r="A186" s="189" t="str" cm="1">
        <f t="array" ref="A186">IFERROR(INDEX('Annex 2 Designated EHV charges'!$D$10:$D$200, MATCH(0, IF(ISBLANK('Annex 2 Designated EHV charges'!$D$10:$D$200),1, COUNTIF(A$4:$A185, 'Annex 2 Designated EHV charges'!$D$10:$D$200)), 0)),"")</f>
        <v/>
      </c>
      <c r="B186" s="190" t="str">
        <f>IF($A186="","",VLOOKUP($A186,'Annex 2 Designated EHV charges'!$D:$O,2,0))</f>
        <v/>
      </c>
      <c r="C186" s="189" t="str">
        <f>IF($A186="","",VLOOKUP($A186,'Annex 2 Designated EHV charges'!$D:$O,3,0))</f>
        <v/>
      </c>
      <c r="D186" s="190" t="str">
        <f>IF($A186="","",VLOOKUP($A186,'Annex 2 Designated EHV charges'!$D:$O,4,0))</f>
        <v/>
      </c>
      <c r="E186" s="191" t="str">
        <f>IFERROR(IF(VLOOKUP($A186,'Annex 2 Designated EHV charges'!$D:$P,10,FALSE)=0,"",VLOOKUP($A186,'Annex 2 Designated EHV charges'!$D:$P,10,FALSE)),"")</f>
        <v/>
      </c>
      <c r="F186" s="194" t="str">
        <f>IFERROR(IF(VLOOKUP($A186,'Annex 2 Designated EHV charges'!$D:$P,11,FALSE)=0,"",VLOOKUP($A186,'Annex 2 Designated EHV charges'!$D:$P,11,FALSE)),"")</f>
        <v/>
      </c>
      <c r="G186" s="194" t="str">
        <f>IFERROR(IF(VLOOKUP($A186,'Annex 2 Designated EHV charges'!$D:$P,12,FALSE)=0,"",VLOOKUP($A186,'Annex 2 Designated EHV charges'!$D:$P,12,FALSE)),"")</f>
        <v/>
      </c>
      <c r="H186" s="194" t="str">
        <f>IFERROR(IF(VLOOKUP($A186,'Annex 2 Designated EHV charges'!$D:$P,13,FALSE)=0,"",VLOOKUP($A186,'Annex 2 Designated EHV charges'!$D:$P,13,FALSE)),"")</f>
        <v/>
      </c>
    </row>
    <row r="187" spans="1:8" x14ac:dyDescent="0.35">
      <c r="A187" s="189" t="str" cm="1">
        <f t="array" ref="A187">IFERROR(INDEX('Annex 2 Designated EHV charges'!$D$10:$D$200, MATCH(0, IF(ISBLANK('Annex 2 Designated EHV charges'!$D$10:$D$200),1, COUNTIF(A$4:$A186, 'Annex 2 Designated EHV charges'!$D$10:$D$200)), 0)),"")</f>
        <v/>
      </c>
      <c r="B187" s="190" t="str">
        <f>IF($A187="","",VLOOKUP($A187,'Annex 2 Designated EHV charges'!$D:$O,2,0))</f>
        <v/>
      </c>
      <c r="C187" s="189" t="str">
        <f>IF($A187="","",VLOOKUP($A187,'Annex 2 Designated EHV charges'!$D:$O,3,0))</f>
        <v/>
      </c>
      <c r="D187" s="190" t="str">
        <f>IF($A187="","",VLOOKUP($A187,'Annex 2 Designated EHV charges'!$D:$O,4,0))</f>
        <v/>
      </c>
      <c r="E187" s="191" t="str">
        <f>IFERROR(IF(VLOOKUP($A187,'Annex 2 Designated EHV charges'!$D:$P,10,FALSE)=0,"",VLOOKUP($A187,'Annex 2 Designated EHV charges'!$D:$P,10,FALSE)),"")</f>
        <v/>
      </c>
      <c r="F187" s="194" t="str">
        <f>IFERROR(IF(VLOOKUP($A187,'Annex 2 Designated EHV charges'!$D:$P,11,FALSE)=0,"",VLOOKUP($A187,'Annex 2 Designated EHV charges'!$D:$P,11,FALSE)),"")</f>
        <v/>
      </c>
      <c r="G187" s="194" t="str">
        <f>IFERROR(IF(VLOOKUP($A187,'Annex 2 Designated EHV charges'!$D:$P,12,FALSE)=0,"",VLOOKUP($A187,'Annex 2 Designated EHV charges'!$D:$P,12,FALSE)),"")</f>
        <v/>
      </c>
      <c r="H187" s="194" t="str">
        <f>IFERROR(IF(VLOOKUP($A187,'Annex 2 Designated EHV charges'!$D:$P,13,FALSE)=0,"",VLOOKUP($A187,'Annex 2 Designated EHV charges'!$D:$P,13,FALSE)),"")</f>
        <v/>
      </c>
    </row>
    <row r="188" spans="1:8" x14ac:dyDescent="0.35">
      <c r="A188" s="189" t="str" cm="1">
        <f t="array" ref="A188">IFERROR(INDEX('Annex 2 Designated EHV charges'!$D$10:$D$200, MATCH(0, IF(ISBLANK('Annex 2 Designated EHV charges'!$D$10:$D$200),1, COUNTIF(A$4:$A187, 'Annex 2 Designated EHV charges'!$D$10:$D$200)), 0)),"")</f>
        <v/>
      </c>
      <c r="B188" s="190" t="str">
        <f>IF($A188="","",VLOOKUP($A188,'Annex 2 Designated EHV charges'!$D:$O,2,0))</f>
        <v/>
      </c>
      <c r="C188" s="189" t="str">
        <f>IF($A188="","",VLOOKUP($A188,'Annex 2 Designated EHV charges'!$D:$O,3,0))</f>
        <v/>
      </c>
      <c r="D188" s="190" t="str">
        <f>IF($A188="","",VLOOKUP($A188,'Annex 2 Designated EHV charges'!$D:$O,4,0))</f>
        <v/>
      </c>
      <c r="E188" s="191" t="str">
        <f>IFERROR(IF(VLOOKUP($A188,'Annex 2 Designated EHV charges'!$D:$P,10,FALSE)=0,"",VLOOKUP($A188,'Annex 2 Designated EHV charges'!$D:$P,10,FALSE)),"")</f>
        <v/>
      </c>
      <c r="F188" s="194" t="str">
        <f>IFERROR(IF(VLOOKUP($A188,'Annex 2 Designated EHV charges'!$D:$P,11,FALSE)=0,"",VLOOKUP($A188,'Annex 2 Designated EHV charges'!$D:$P,11,FALSE)),"")</f>
        <v/>
      </c>
      <c r="G188" s="194" t="str">
        <f>IFERROR(IF(VLOOKUP($A188,'Annex 2 Designated EHV charges'!$D:$P,12,FALSE)=0,"",VLOOKUP($A188,'Annex 2 Designated EHV charges'!$D:$P,12,FALSE)),"")</f>
        <v/>
      </c>
      <c r="H188" s="194" t="str">
        <f>IFERROR(IF(VLOOKUP($A188,'Annex 2 Designated EHV charges'!$D:$P,13,FALSE)=0,"",VLOOKUP($A188,'Annex 2 Designated EHV charges'!$D:$P,13,FALSE)),"")</f>
        <v/>
      </c>
    </row>
    <row r="189" spans="1:8" x14ac:dyDescent="0.35">
      <c r="A189" s="189" t="str" cm="1">
        <f t="array" ref="A189">IFERROR(INDEX('Annex 2 Designated EHV charges'!$D$10:$D$200, MATCH(0, IF(ISBLANK('Annex 2 Designated EHV charges'!$D$10:$D$200),1, COUNTIF(A$4:$A188, 'Annex 2 Designated EHV charges'!$D$10:$D$200)), 0)),"")</f>
        <v/>
      </c>
      <c r="B189" s="190" t="str">
        <f>IF($A189="","",VLOOKUP($A189,'Annex 2 Designated EHV charges'!$D:$O,2,0))</f>
        <v/>
      </c>
      <c r="C189" s="189" t="str">
        <f>IF($A189="","",VLOOKUP($A189,'Annex 2 Designated EHV charges'!$D:$O,3,0))</f>
        <v/>
      </c>
      <c r="D189" s="190" t="str">
        <f>IF($A189="","",VLOOKUP($A189,'Annex 2 Designated EHV charges'!$D:$O,4,0))</f>
        <v/>
      </c>
      <c r="E189" s="191" t="str">
        <f>IFERROR(IF(VLOOKUP($A189,'Annex 2 Designated EHV charges'!$D:$P,10,FALSE)=0,"",VLOOKUP($A189,'Annex 2 Designated EHV charges'!$D:$P,10,FALSE)),"")</f>
        <v/>
      </c>
      <c r="F189" s="194" t="str">
        <f>IFERROR(IF(VLOOKUP($A189,'Annex 2 Designated EHV charges'!$D:$P,11,FALSE)=0,"",VLOOKUP($A189,'Annex 2 Designated EHV charges'!$D:$P,11,FALSE)),"")</f>
        <v/>
      </c>
      <c r="G189" s="194" t="str">
        <f>IFERROR(IF(VLOOKUP($A189,'Annex 2 Designated EHV charges'!$D:$P,12,FALSE)=0,"",VLOOKUP($A189,'Annex 2 Designated EHV charges'!$D:$P,12,FALSE)),"")</f>
        <v/>
      </c>
      <c r="H189" s="194" t="str">
        <f>IFERROR(IF(VLOOKUP($A189,'Annex 2 Designated EHV charges'!$D:$P,13,FALSE)=0,"",VLOOKUP($A189,'Annex 2 Designated EHV charges'!$D:$P,13,FALSE)),"")</f>
        <v/>
      </c>
    </row>
    <row r="190" spans="1:8" x14ac:dyDescent="0.35">
      <c r="A190" s="189" t="str" cm="1">
        <f t="array" ref="A190">IFERROR(INDEX('Annex 2 Designated EHV charges'!$D$10:$D$200, MATCH(0, IF(ISBLANK('Annex 2 Designated EHV charges'!$D$10:$D$200),1, COUNTIF(A$4:$A189, 'Annex 2 Designated EHV charges'!$D$10:$D$200)), 0)),"")</f>
        <v/>
      </c>
      <c r="B190" s="190" t="str">
        <f>IF($A190="","",VLOOKUP($A190,'Annex 2 Designated EHV charges'!$D:$O,2,0))</f>
        <v/>
      </c>
      <c r="C190" s="189" t="str">
        <f>IF($A190="","",VLOOKUP($A190,'Annex 2 Designated EHV charges'!$D:$O,3,0))</f>
        <v/>
      </c>
      <c r="D190" s="190" t="str">
        <f>IF($A190="","",VLOOKUP($A190,'Annex 2 Designated EHV charges'!$D:$O,4,0))</f>
        <v/>
      </c>
      <c r="E190" s="191" t="str">
        <f>IFERROR(IF(VLOOKUP($A190,'Annex 2 Designated EHV charges'!$D:$P,10,FALSE)=0,"",VLOOKUP($A190,'Annex 2 Designated EHV charges'!$D:$P,10,FALSE)),"")</f>
        <v/>
      </c>
      <c r="F190" s="194" t="str">
        <f>IFERROR(IF(VLOOKUP($A190,'Annex 2 Designated EHV charges'!$D:$P,11,FALSE)=0,"",VLOOKUP($A190,'Annex 2 Designated EHV charges'!$D:$P,11,FALSE)),"")</f>
        <v/>
      </c>
      <c r="G190" s="194" t="str">
        <f>IFERROR(IF(VLOOKUP($A190,'Annex 2 Designated EHV charges'!$D:$P,12,FALSE)=0,"",VLOOKUP($A190,'Annex 2 Designated EHV charges'!$D:$P,12,FALSE)),"")</f>
        <v/>
      </c>
      <c r="H190" s="194" t="str">
        <f>IFERROR(IF(VLOOKUP($A190,'Annex 2 Designated EHV charges'!$D:$P,13,FALSE)=0,"",VLOOKUP($A190,'Annex 2 Designated EHV charges'!$D:$P,13,FALSE)),"")</f>
        <v/>
      </c>
    </row>
    <row r="191" spans="1:8" x14ac:dyDescent="0.35">
      <c r="A191" s="189" t="str" cm="1">
        <f t="array" ref="A191">IFERROR(INDEX('Annex 2 Designated EHV charges'!$D$10:$D$200, MATCH(0, IF(ISBLANK('Annex 2 Designated EHV charges'!$D$10:$D$200),1, COUNTIF(A$4:$A190, 'Annex 2 Designated EHV charges'!$D$10:$D$200)), 0)),"")</f>
        <v/>
      </c>
      <c r="B191" s="190" t="str">
        <f>IF($A191="","",VLOOKUP($A191,'Annex 2 Designated EHV charges'!$D:$O,2,0))</f>
        <v/>
      </c>
      <c r="C191" s="189" t="str">
        <f>IF($A191="","",VLOOKUP($A191,'Annex 2 Designated EHV charges'!$D:$O,3,0))</f>
        <v/>
      </c>
      <c r="D191" s="190" t="str">
        <f>IF($A191="","",VLOOKUP($A191,'Annex 2 Designated EHV charges'!$D:$O,4,0))</f>
        <v/>
      </c>
      <c r="E191" s="191" t="str">
        <f>IFERROR(IF(VLOOKUP($A191,'Annex 2 Designated EHV charges'!$D:$P,10,FALSE)=0,"",VLOOKUP($A191,'Annex 2 Designated EHV charges'!$D:$P,10,FALSE)),"")</f>
        <v/>
      </c>
      <c r="F191" s="194" t="str">
        <f>IFERROR(IF(VLOOKUP($A191,'Annex 2 Designated EHV charges'!$D:$P,11,FALSE)=0,"",VLOOKUP($A191,'Annex 2 Designated EHV charges'!$D:$P,11,FALSE)),"")</f>
        <v/>
      </c>
      <c r="G191" s="194" t="str">
        <f>IFERROR(IF(VLOOKUP($A191,'Annex 2 Designated EHV charges'!$D:$P,12,FALSE)=0,"",VLOOKUP($A191,'Annex 2 Designated EHV charges'!$D:$P,12,FALSE)),"")</f>
        <v/>
      </c>
      <c r="H191" s="194" t="str">
        <f>IFERROR(IF(VLOOKUP($A191,'Annex 2 Designated EHV charges'!$D:$P,13,FALSE)=0,"",VLOOKUP($A191,'Annex 2 Designated EHV charges'!$D:$P,13,FALSE)),"")</f>
        <v/>
      </c>
    </row>
    <row r="192" spans="1:8" x14ac:dyDescent="0.35">
      <c r="A192" s="189" t="str" cm="1">
        <f t="array" ref="A192">IFERROR(INDEX('Annex 2 Designated EHV charges'!$D$10:$D$200, MATCH(0, IF(ISBLANK('Annex 2 Designated EHV charges'!$D$10:$D$200),1, COUNTIF(A$4:$A191, 'Annex 2 Designated EHV charges'!$D$10:$D$200)), 0)),"")</f>
        <v/>
      </c>
      <c r="B192" s="190" t="str">
        <f>IF($A192="","",VLOOKUP($A192,'Annex 2 Designated EHV charges'!$D:$O,2,0))</f>
        <v/>
      </c>
      <c r="C192" s="189" t="str">
        <f>IF($A192="","",VLOOKUP($A192,'Annex 2 Designated EHV charges'!$D:$O,3,0))</f>
        <v/>
      </c>
      <c r="D192" s="190" t="str">
        <f>IF($A192="","",VLOOKUP($A192,'Annex 2 Designated EHV charges'!$D:$O,4,0))</f>
        <v/>
      </c>
      <c r="E192" s="191" t="str">
        <f>IFERROR(IF(VLOOKUP($A192,'Annex 2 Designated EHV charges'!$D:$P,10,FALSE)=0,"",VLOOKUP($A192,'Annex 2 Designated EHV charges'!$D:$P,10,FALSE)),"")</f>
        <v/>
      </c>
      <c r="F192" s="194" t="str">
        <f>IFERROR(IF(VLOOKUP($A192,'Annex 2 Designated EHV charges'!$D:$P,11,FALSE)=0,"",VLOOKUP($A192,'Annex 2 Designated EHV charges'!$D:$P,11,FALSE)),"")</f>
        <v/>
      </c>
      <c r="G192" s="194" t="str">
        <f>IFERROR(IF(VLOOKUP($A192,'Annex 2 Designated EHV charges'!$D:$P,12,FALSE)=0,"",VLOOKUP($A192,'Annex 2 Designated EHV charges'!$D:$P,12,FALSE)),"")</f>
        <v/>
      </c>
      <c r="H192" s="194" t="str">
        <f>IFERROR(IF(VLOOKUP($A192,'Annex 2 Designated EHV charges'!$D:$P,13,FALSE)=0,"",VLOOKUP($A192,'Annex 2 Designated EHV charges'!$D:$P,13,FALSE)),"")</f>
        <v/>
      </c>
    </row>
    <row r="193" spans="1:8" x14ac:dyDescent="0.35">
      <c r="A193" s="189" t="str" cm="1">
        <f t="array" ref="A193">IFERROR(INDEX('Annex 2 Designated EHV charges'!$D$10:$D$200, MATCH(0, IF(ISBLANK('Annex 2 Designated EHV charges'!$D$10:$D$200),1, COUNTIF(A$4:$A192, 'Annex 2 Designated EHV charges'!$D$10:$D$200)), 0)),"")</f>
        <v/>
      </c>
      <c r="B193" s="190" t="str">
        <f>IF($A193="","",VLOOKUP($A193,'Annex 2 Designated EHV charges'!$D:$O,2,0))</f>
        <v/>
      </c>
      <c r="C193" s="189" t="str">
        <f>IF($A193="","",VLOOKUP($A193,'Annex 2 Designated EHV charges'!$D:$O,3,0))</f>
        <v/>
      </c>
      <c r="D193" s="190" t="str">
        <f>IF($A193="","",VLOOKUP($A193,'Annex 2 Designated EHV charges'!$D:$O,4,0))</f>
        <v/>
      </c>
      <c r="E193" s="191" t="str">
        <f>IFERROR(IF(VLOOKUP($A193,'Annex 2 Designated EHV charges'!$D:$P,10,FALSE)=0,"",VLOOKUP($A193,'Annex 2 Designated EHV charges'!$D:$P,10,FALSE)),"")</f>
        <v/>
      </c>
      <c r="F193" s="194" t="str">
        <f>IFERROR(IF(VLOOKUP($A193,'Annex 2 Designated EHV charges'!$D:$P,11,FALSE)=0,"",VLOOKUP($A193,'Annex 2 Designated EHV charges'!$D:$P,11,FALSE)),"")</f>
        <v/>
      </c>
      <c r="G193" s="194" t="str">
        <f>IFERROR(IF(VLOOKUP($A193,'Annex 2 Designated EHV charges'!$D:$P,12,FALSE)=0,"",VLOOKUP($A193,'Annex 2 Designated EHV charges'!$D:$P,12,FALSE)),"")</f>
        <v/>
      </c>
      <c r="H193" s="194" t="str">
        <f>IFERROR(IF(VLOOKUP($A193,'Annex 2 Designated EHV charges'!$D:$P,13,FALSE)=0,"",VLOOKUP($A193,'Annex 2 Designated EHV charges'!$D:$P,13,FALSE)),"")</f>
        <v/>
      </c>
    </row>
    <row r="194" spans="1:8" x14ac:dyDescent="0.35">
      <c r="A194" s="189" t="str" cm="1">
        <f t="array" ref="A194">IFERROR(INDEX('Annex 2 Designated EHV charges'!$D$10:$D$200, MATCH(0, IF(ISBLANK('Annex 2 Designated EHV charges'!$D$10:$D$200),1, COUNTIF(A$4:$A193, 'Annex 2 Designated EHV charges'!$D$10:$D$200)), 0)),"")</f>
        <v/>
      </c>
      <c r="B194" s="190" t="str">
        <f>IF($A194="","",VLOOKUP($A194,'Annex 2 Designated EHV charges'!$D:$O,2,0))</f>
        <v/>
      </c>
      <c r="C194" s="189" t="str">
        <f>IF($A194="","",VLOOKUP($A194,'Annex 2 Designated EHV charges'!$D:$O,3,0))</f>
        <v/>
      </c>
      <c r="D194" s="190" t="str">
        <f>IF($A194="","",VLOOKUP($A194,'Annex 2 Designated EHV charges'!$D:$O,4,0))</f>
        <v/>
      </c>
      <c r="E194" s="191" t="str">
        <f>IFERROR(IF(VLOOKUP($A194,'Annex 2 Designated EHV charges'!$D:$P,10,FALSE)=0,"",VLOOKUP($A194,'Annex 2 Designated EHV charges'!$D:$P,10,FALSE)),"")</f>
        <v/>
      </c>
      <c r="F194" s="194" t="str">
        <f>IFERROR(IF(VLOOKUP($A194,'Annex 2 Designated EHV charges'!$D:$P,11,FALSE)=0,"",VLOOKUP($A194,'Annex 2 Designated EHV charges'!$D:$P,11,FALSE)),"")</f>
        <v/>
      </c>
      <c r="G194" s="194" t="str">
        <f>IFERROR(IF(VLOOKUP($A194,'Annex 2 Designated EHV charges'!$D:$P,12,FALSE)=0,"",VLOOKUP($A194,'Annex 2 Designated EHV charges'!$D:$P,12,FALSE)),"")</f>
        <v/>
      </c>
      <c r="H194" s="194" t="str">
        <f>IFERROR(IF(VLOOKUP($A194,'Annex 2 Designated EHV charges'!$D:$P,13,FALSE)=0,"",VLOOKUP($A194,'Annex 2 Designated EHV charges'!$D:$P,13,FALSE)),"")</f>
        <v/>
      </c>
    </row>
    <row r="195" spans="1:8" x14ac:dyDescent="0.35">
      <c r="A195" s="189" t="str" cm="1">
        <f t="array" ref="A195">IFERROR(INDEX('Annex 2 Designated EHV charges'!$D$10:$D$200, MATCH(0, IF(ISBLANK('Annex 2 Designated EHV charges'!$D$10:$D$200),1, COUNTIF(A$4:$A194, 'Annex 2 Designated EHV charges'!$D$10:$D$200)), 0)),"")</f>
        <v/>
      </c>
      <c r="B195" s="190" t="str">
        <f>IF($A195="","",VLOOKUP($A195,'Annex 2 Designated EHV charges'!$D:$O,2,0))</f>
        <v/>
      </c>
      <c r="C195" s="189" t="str">
        <f>IF($A195="","",VLOOKUP($A195,'Annex 2 Designated EHV charges'!$D:$O,3,0))</f>
        <v/>
      </c>
      <c r="D195" s="190" t="str">
        <f>IF($A195="","",VLOOKUP($A195,'Annex 2 Designated EHV charges'!$D:$O,4,0))</f>
        <v/>
      </c>
      <c r="E195" s="191" t="str">
        <f>IFERROR(IF(VLOOKUP($A195,'Annex 2 Designated EHV charges'!$D:$P,10,FALSE)=0,"",VLOOKUP($A195,'Annex 2 Designated EHV charges'!$D:$P,10,FALSE)),"")</f>
        <v/>
      </c>
      <c r="F195" s="194" t="str">
        <f>IFERROR(IF(VLOOKUP($A195,'Annex 2 Designated EHV charges'!$D:$P,11,FALSE)=0,"",VLOOKUP($A195,'Annex 2 Designated EHV charges'!$D:$P,11,FALSE)),"")</f>
        <v/>
      </c>
      <c r="G195" s="194" t="str">
        <f>IFERROR(IF(VLOOKUP($A195,'Annex 2 Designated EHV charges'!$D:$P,12,FALSE)=0,"",VLOOKUP($A195,'Annex 2 Designated EHV charges'!$D:$P,12,FALSE)),"")</f>
        <v/>
      </c>
      <c r="H195" s="194" t="str">
        <f>IFERROR(IF(VLOOKUP($A195,'Annex 2 Designated EHV charges'!$D:$P,13,FALSE)=0,"",VLOOKUP($A195,'Annex 2 Designated EHV charges'!$D:$P,13,FALSE)),"")</f>
        <v/>
      </c>
    </row>
    <row r="196" spans="1:8" x14ac:dyDescent="0.35">
      <c r="A196" s="189" t="str" cm="1">
        <f t="array" ref="A196">IFERROR(INDEX('Annex 2 Designated EHV charges'!$D$10:$D$200, MATCH(0, IF(ISBLANK('Annex 2 Designated EHV charges'!$D$10:$D$200),1, COUNTIF(A$4:$A195, 'Annex 2 Designated EHV charges'!$D$10:$D$200)), 0)),"")</f>
        <v/>
      </c>
      <c r="B196" s="190" t="str">
        <f>IF($A196="","",VLOOKUP($A196,'Annex 2 Designated EHV charges'!$D:$O,2,0))</f>
        <v/>
      </c>
      <c r="C196" s="189" t="str">
        <f>IF($A196="","",VLOOKUP($A196,'Annex 2 Designated EHV charges'!$D:$O,3,0))</f>
        <v/>
      </c>
      <c r="D196" s="190" t="str">
        <f>IF($A196="","",VLOOKUP($A196,'Annex 2 Designated EHV charges'!$D:$O,4,0))</f>
        <v/>
      </c>
      <c r="E196" s="191" t="str">
        <f>IFERROR(IF(VLOOKUP($A196,'Annex 2 Designated EHV charges'!$D:$P,10,FALSE)=0,"",VLOOKUP($A196,'Annex 2 Designated EHV charges'!$D:$P,10,FALSE)),"")</f>
        <v/>
      </c>
      <c r="F196" s="194" t="str">
        <f>IFERROR(IF(VLOOKUP($A196,'Annex 2 Designated EHV charges'!$D:$P,11,FALSE)=0,"",VLOOKUP($A196,'Annex 2 Designated EHV charges'!$D:$P,11,FALSE)),"")</f>
        <v/>
      </c>
      <c r="G196" s="194" t="str">
        <f>IFERROR(IF(VLOOKUP($A196,'Annex 2 Designated EHV charges'!$D:$P,12,FALSE)=0,"",VLOOKUP($A196,'Annex 2 Designated EHV charges'!$D:$P,12,FALSE)),"")</f>
        <v/>
      </c>
      <c r="H196" s="194" t="str">
        <f>IFERROR(IF(VLOOKUP($A196,'Annex 2 Designated EHV charges'!$D:$P,13,FALSE)=0,"",VLOOKUP($A196,'Annex 2 Designated EHV charges'!$D:$P,13,FALSE)),"")</f>
        <v/>
      </c>
    </row>
    <row r="197" spans="1:8" x14ac:dyDescent="0.35">
      <c r="A197" s="189" t="str" cm="1">
        <f t="array" ref="A197">IFERROR(INDEX('Annex 2 Designated EHV charges'!$D$10:$D$200, MATCH(0, IF(ISBLANK('Annex 2 Designated EHV charges'!$D$10:$D$200),1, COUNTIF(A$4:$A196, 'Annex 2 Designated EHV charges'!$D$10:$D$200)), 0)),"")</f>
        <v/>
      </c>
      <c r="B197" s="190" t="str">
        <f>IF($A197="","",VLOOKUP($A197,'Annex 2 Designated EHV charges'!$D:$O,2,0))</f>
        <v/>
      </c>
      <c r="C197" s="189" t="str">
        <f>IF($A197="","",VLOOKUP($A197,'Annex 2 Designated EHV charges'!$D:$O,3,0))</f>
        <v/>
      </c>
      <c r="D197" s="190" t="str">
        <f>IF($A197="","",VLOOKUP($A197,'Annex 2 Designated EHV charges'!$D:$O,4,0))</f>
        <v/>
      </c>
      <c r="E197" s="191" t="str">
        <f>IFERROR(IF(VLOOKUP($A197,'Annex 2 Designated EHV charges'!$D:$P,10,FALSE)=0,"",VLOOKUP($A197,'Annex 2 Designated EHV charges'!$D:$P,10,FALSE)),"")</f>
        <v/>
      </c>
      <c r="F197" s="194" t="str">
        <f>IFERROR(IF(VLOOKUP($A197,'Annex 2 Designated EHV charges'!$D:$P,11,FALSE)=0,"",VLOOKUP($A197,'Annex 2 Designated EHV charges'!$D:$P,11,FALSE)),"")</f>
        <v/>
      </c>
      <c r="G197" s="194" t="str">
        <f>IFERROR(IF(VLOOKUP($A197,'Annex 2 Designated EHV charges'!$D:$P,12,FALSE)=0,"",VLOOKUP($A197,'Annex 2 Designated EHV charges'!$D:$P,12,FALSE)),"")</f>
        <v/>
      </c>
      <c r="H197" s="194" t="str">
        <f>IFERROR(IF(VLOOKUP($A197,'Annex 2 Designated EHV charges'!$D:$P,13,FALSE)=0,"",VLOOKUP($A197,'Annex 2 Designated EHV charges'!$D:$P,13,FALSE)),"")</f>
        <v/>
      </c>
    </row>
    <row r="198" spans="1:8" x14ac:dyDescent="0.35">
      <c r="A198" s="189" t="str" cm="1">
        <f t="array" ref="A198">IFERROR(INDEX('Annex 2 Designated EHV charges'!$D$10:$D$200, MATCH(0, IF(ISBLANK('Annex 2 Designated EHV charges'!$D$10:$D$200),1, COUNTIF(A$4:$A197, 'Annex 2 Designated EHV charges'!$D$10:$D$200)), 0)),"")</f>
        <v/>
      </c>
      <c r="B198" s="190" t="str">
        <f>IF($A198="","",VLOOKUP($A198,'Annex 2 Designated EHV charges'!$D:$O,2,0))</f>
        <v/>
      </c>
      <c r="C198" s="189" t="str">
        <f>IF($A198="","",VLOOKUP($A198,'Annex 2 Designated EHV charges'!$D:$O,3,0))</f>
        <v/>
      </c>
      <c r="D198" s="190" t="str">
        <f>IF($A198="","",VLOOKUP($A198,'Annex 2 Designated EHV charges'!$D:$O,4,0))</f>
        <v/>
      </c>
      <c r="E198" s="191" t="str">
        <f>IFERROR(IF(VLOOKUP($A198,'Annex 2 Designated EHV charges'!$D:$P,10,FALSE)=0,"",VLOOKUP($A198,'Annex 2 Designated EHV charges'!$D:$P,10,FALSE)),"")</f>
        <v/>
      </c>
      <c r="F198" s="194" t="str">
        <f>IFERROR(IF(VLOOKUP($A198,'Annex 2 Designated EHV charges'!$D:$P,11,FALSE)=0,"",VLOOKUP($A198,'Annex 2 Designated EHV charges'!$D:$P,11,FALSE)),"")</f>
        <v/>
      </c>
      <c r="G198" s="194" t="str">
        <f>IFERROR(IF(VLOOKUP($A198,'Annex 2 Designated EHV charges'!$D:$P,12,FALSE)=0,"",VLOOKUP($A198,'Annex 2 Designated EHV charges'!$D:$P,12,FALSE)),"")</f>
        <v/>
      </c>
      <c r="H198" s="194" t="str">
        <f>IFERROR(IF(VLOOKUP($A198,'Annex 2 Designated EHV charges'!$D:$P,13,FALSE)=0,"",VLOOKUP($A198,'Annex 2 Designated EHV charges'!$D:$P,13,FALSE)),"")</f>
        <v/>
      </c>
    </row>
    <row r="199" spans="1:8" x14ac:dyDescent="0.35">
      <c r="A199" s="189" t="str" cm="1">
        <f t="array" ref="A199">IFERROR(INDEX('Annex 2 Designated EHV charges'!$D$10:$D$200, MATCH(0, IF(ISBLANK('Annex 2 Designated EHV charges'!$D$10:$D$200),1, COUNTIF(A$4:$A198, 'Annex 2 Designated EHV charges'!$D$10:$D$200)), 0)),"")</f>
        <v/>
      </c>
      <c r="B199" s="190" t="str">
        <f>IF($A199="","",VLOOKUP($A199,'Annex 2 Designated EHV charges'!$D:$O,2,0))</f>
        <v/>
      </c>
      <c r="C199" s="189" t="str">
        <f>IF($A199="","",VLOOKUP($A199,'Annex 2 Designated EHV charges'!$D:$O,3,0))</f>
        <v/>
      </c>
      <c r="D199" s="190" t="str">
        <f>IF($A199="","",VLOOKUP($A199,'Annex 2 Designated EHV charges'!$D:$O,4,0))</f>
        <v/>
      </c>
      <c r="E199" s="191" t="str">
        <f>IFERROR(IF(VLOOKUP($A199,'Annex 2 Designated EHV charges'!$D:$P,10,FALSE)=0,"",VLOOKUP($A199,'Annex 2 Designated EHV charges'!$D:$P,10,FALSE)),"")</f>
        <v/>
      </c>
      <c r="F199" s="194" t="str">
        <f>IFERROR(IF(VLOOKUP($A199,'Annex 2 Designated EHV charges'!$D:$P,11,FALSE)=0,"",VLOOKUP($A199,'Annex 2 Designated EHV charges'!$D:$P,11,FALSE)),"")</f>
        <v/>
      </c>
      <c r="G199" s="194" t="str">
        <f>IFERROR(IF(VLOOKUP($A199,'Annex 2 Designated EHV charges'!$D:$P,12,FALSE)=0,"",VLOOKUP($A199,'Annex 2 Designated EHV charges'!$D:$P,12,FALSE)),"")</f>
        <v/>
      </c>
      <c r="H199" s="194" t="str">
        <f>IFERROR(IF(VLOOKUP($A199,'Annex 2 Designated EHV charges'!$D:$P,13,FALSE)=0,"",VLOOKUP($A199,'Annex 2 Designated EHV charges'!$D:$P,13,FALSE)),"")</f>
        <v/>
      </c>
    </row>
    <row r="200" spans="1:8" x14ac:dyDescent="0.35">
      <c r="A200" s="189" t="str" cm="1">
        <f t="array" ref="A200">IFERROR(INDEX('Annex 2 Designated EHV charges'!$D$10:$D$200, MATCH(0, IF(ISBLANK('Annex 2 Designated EHV charges'!$D$10:$D$200),1, COUNTIF(A$4:$A199, 'Annex 2 Designated EHV charges'!$D$10:$D$200)), 0)),"")</f>
        <v/>
      </c>
      <c r="B200" s="190" t="str">
        <f>IF($A200="","",VLOOKUP($A200,'Annex 2 Designated EHV charges'!$D:$O,2,0))</f>
        <v/>
      </c>
      <c r="C200" s="189" t="str">
        <f>IF($A200="","",VLOOKUP($A200,'Annex 2 Designated EHV charges'!$D:$O,3,0))</f>
        <v/>
      </c>
      <c r="D200" s="190" t="str">
        <f>IF($A200="","",VLOOKUP($A200,'Annex 2 Designated EHV charges'!$D:$O,4,0))</f>
        <v/>
      </c>
      <c r="E200" s="191" t="str">
        <f>IFERROR(IF(VLOOKUP($A200,'Annex 2 Designated EHV charges'!$D:$P,10,FALSE)=0,"",VLOOKUP($A200,'Annex 2 Designated EHV charges'!$D:$P,10,FALSE)),"")</f>
        <v/>
      </c>
      <c r="F200" s="194" t="str">
        <f>IFERROR(IF(VLOOKUP($A200,'Annex 2 Designated EHV charges'!$D:$P,11,FALSE)=0,"",VLOOKUP($A200,'Annex 2 Designated EHV charges'!$D:$P,11,FALSE)),"")</f>
        <v/>
      </c>
      <c r="G200" s="194" t="str">
        <f>IFERROR(IF(VLOOKUP($A200,'Annex 2 Designated EHV charges'!$D:$P,12,FALSE)=0,"",VLOOKUP($A200,'Annex 2 Designated EHV charges'!$D:$P,12,FALSE)),"")</f>
        <v/>
      </c>
      <c r="H200" s="194" t="str">
        <f>IFERROR(IF(VLOOKUP($A200,'Annex 2 Designated EHV charges'!$D:$P,13,FALSE)=0,"",VLOOKUP($A200,'Annex 2 Designated EHV charges'!$D:$P,13,FALSE)),"")</f>
        <v/>
      </c>
    </row>
    <row r="201" spans="1:8" x14ac:dyDescent="0.35">
      <c r="A201" s="189" t="str" cm="1">
        <f t="array" ref="A201">IFERROR(INDEX('Annex 2 Designated EHV charges'!$D$10:$D$200, MATCH(0, IF(ISBLANK('Annex 2 Designated EHV charges'!$D$10:$D$200),1, COUNTIF(A$4:$A200, 'Annex 2 Designated EHV charges'!$D$10:$D$200)), 0)),"")</f>
        <v/>
      </c>
      <c r="B201" s="190" t="str">
        <f>IF($A201="","",VLOOKUP($A201,'Annex 2 Designated EHV charges'!$D:$O,2,0))</f>
        <v/>
      </c>
      <c r="C201" s="189" t="str">
        <f>IF($A201="","",VLOOKUP($A201,'Annex 2 Designated EHV charges'!$D:$O,3,0))</f>
        <v/>
      </c>
      <c r="D201" s="190" t="str">
        <f>IF($A201="","",VLOOKUP($A201,'Annex 2 Designated EHV charges'!$D:$O,4,0))</f>
        <v/>
      </c>
      <c r="E201" s="191" t="str">
        <f>IFERROR(IF(VLOOKUP($A201,'Annex 2 Designated EHV charges'!$D:$P,10,FALSE)=0,"",VLOOKUP($A201,'Annex 2 Designated EHV charges'!$D:$P,10,FALSE)),"")</f>
        <v/>
      </c>
      <c r="F201" s="194" t="str">
        <f>IFERROR(IF(VLOOKUP($A201,'Annex 2 Designated EHV charges'!$D:$P,11,FALSE)=0,"",VLOOKUP($A201,'Annex 2 Designated EHV charges'!$D:$P,11,FALSE)),"")</f>
        <v/>
      </c>
      <c r="G201" s="194" t="str">
        <f>IFERROR(IF(VLOOKUP($A201,'Annex 2 Designated EHV charges'!$D:$P,12,FALSE)=0,"",VLOOKUP($A201,'Annex 2 Designated EHV charges'!$D:$P,12,FALSE)),"")</f>
        <v/>
      </c>
      <c r="H201" s="194" t="str">
        <f>IFERROR(IF(VLOOKUP($A201,'Annex 2 Designated EHV charges'!$D:$P,13,FALSE)=0,"",VLOOKUP($A201,'Annex 2 Designated EHV charges'!$D:$P,13,FALSE)),"")</f>
        <v/>
      </c>
    </row>
    <row r="202" spans="1:8" x14ac:dyDescent="0.35">
      <c r="A202" s="189" t="str" cm="1">
        <f t="array" ref="A202">IFERROR(INDEX('Annex 2 Designated EHV charges'!$D$10:$D$200, MATCH(0, IF(ISBLANK('Annex 2 Designated EHV charges'!$D$10:$D$200),1, COUNTIF(A$4:$A201, 'Annex 2 Designated EHV charges'!$D$10:$D$200)), 0)),"")</f>
        <v/>
      </c>
      <c r="B202" s="190" t="str">
        <f>IF($A202="","",VLOOKUP($A202,'Annex 2 Designated EHV charges'!$D:$O,2,0))</f>
        <v/>
      </c>
      <c r="C202" s="189" t="str">
        <f>IF($A202="","",VLOOKUP($A202,'Annex 2 Designated EHV charges'!$D:$O,3,0))</f>
        <v/>
      </c>
      <c r="D202" s="190" t="str">
        <f>IF($A202="","",VLOOKUP($A202,'Annex 2 Designated EHV charges'!$D:$O,4,0))</f>
        <v/>
      </c>
      <c r="E202" s="191" t="str">
        <f>IFERROR(IF(VLOOKUP($A202,'Annex 2 Designated EHV charges'!$D:$P,10,FALSE)=0,"",VLOOKUP($A202,'Annex 2 Designated EHV charges'!$D:$P,10,FALSE)),"")</f>
        <v/>
      </c>
      <c r="F202" s="194" t="str">
        <f>IFERROR(IF(VLOOKUP($A202,'Annex 2 Designated EHV charges'!$D:$P,11,FALSE)=0,"",VLOOKUP($A202,'Annex 2 Designated EHV charges'!$D:$P,11,FALSE)),"")</f>
        <v/>
      </c>
      <c r="G202" s="194" t="str">
        <f>IFERROR(IF(VLOOKUP($A202,'Annex 2 Designated EHV charges'!$D:$P,12,FALSE)=0,"",VLOOKUP($A202,'Annex 2 Designated EHV charges'!$D:$P,12,FALSE)),"")</f>
        <v/>
      </c>
      <c r="H202" s="194" t="str">
        <f>IFERROR(IF(VLOOKUP($A202,'Annex 2 Designated EHV charges'!$D:$P,13,FALSE)=0,"",VLOOKUP($A202,'Annex 2 Designated EHV charges'!$D:$P,13,FALSE)),"")</f>
        <v/>
      </c>
    </row>
    <row r="203" spans="1:8" x14ac:dyDescent="0.35">
      <c r="A203" s="189" t="str" cm="1">
        <f t="array" ref="A203">IFERROR(INDEX('Annex 2 Designated EHV charges'!$D$10:$D$200, MATCH(0, IF(ISBLANK('Annex 2 Designated EHV charges'!$D$10:$D$200),1, COUNTIF(A$4:$A202, 'Annex 2 Designated EHV charges'!$D$10:$D$200)), 0)),"")</f>
        <v/>
      </c>
      <c r="B203" s="190" t="str">
        <f>IF($A203="","",VLOOKUP($A203,'Annex 2 Designated EHV charges'!$D:$O,2,0))</f>
        <v/>
      </c>
      <c r="C203" s="189" t="str">
        <f>IF($A203="","",VLOOKUP($A203,'Annex 2 Designated EHV charges'!$D:$O,3,0))</f>
        <v/>
      </c>
      <c r="D203" s="190" t="str">
        <f>IF($A203="","",VLOOKUP($A203,'Annex 2 Designated EHV charges'!$D:$O,4,0))</f>
        <v/>
      </c>
      <c r="E203" s="191" t="str">
        <f>IFERROR(IF(VLOOKUP($A203,'Annex 2 Designated EHV charges'!$D:$P,10,FALSE)=0,"",VLOOKUP($A203,'Annex 2 Designated EHV charges'!$D:$P,10,FALSE)),"")</f>
        <v/>
      </c>
      <c r="F203" s="194" t="str">
        <f>IFERROR(IF(VLOOKUP($A203,'Annex 2 Designated EHV charges'!$D:$P,11,FALSE)=0,"",VLOOKUP($A203,'Annex 2 Designated EHV charges'!$D:$P,11,FALSE)),"")</f>
        <v/>
      </c>
      <c r="G203" s="194" t="str">
        <f>IFERROR(IF(VLOOKUP($A203,'Annex 2 Designated EHV charges'!$D:$P,12,FALSE)=0,"",VLOOKUP($A203,'Annex 2 Designated EHV charges'!$D:$P,12,FALSE)),"")</f>
        <v/>
      </c>
      <c r="H203" s="194" t="str">
        <f>IFERROR(IF(VLOOKUP($A203,'Annex 2 Designated EHV charges'!$D:$P,13,FALSE)=0,"",VLOOKUP($A203,'Annex 2 Designated EHV charges'!$D:$P,13,FALSE)),"")</f>
        <v/>
      </c>
    </row>
    <row r="204" spans="1:8" x14ac:dyDescent="0.35">
      <c r="A204" s="189" t="str" cm="1">
        <f t="array" ref="A204">IFERROR(INDEX('Annex 2 Designated EHV charges'!$D$10:$D$200, MATCH(0, IF(ISBLANK('Annex 2 Designated EHV charges'!$D$10:$D$200),1, COUNTIF(A$4:$A203, 'Annex 2 Designated EHV charges'!$D$10:$D$200)), 0)),"")</f>
        <v/>
      </c>
      <c r="B204" s="190" t="str">
        <f>IF($A204="","",VLOOKUP($A204,'Annex 2 Designated EHV charges'!$D:$O,2,0))</f>
        <v/>
      </c>
      <c r="C204" s="189" t="str">
        <f>IF($A204="","",VLOOKUP($A204,'Annex 2 Designated EHV charges'!$D:$O,3,0))</f>
        <v/>
      </c>
      <c r="D204" s="190" t="str">
        <f>IF($A204="","",VLOOKUP($A204,'Annex 2 Designated EHV charges'!$D:$O,4,0))</f>
        <v/>
      </c>
      <c r="E204" s="191" t="str">
        <f>IFERROR(IF(VLOOKUP($A204,'Annex 2 Designated EHV charges'!$D:$P,10,FALSE)=0,"",VLOOKUP($A204,'Annex 2 Designated EHV charges'!$D:$P,10,FALSE)),"")</f>
        <v/>
      </c>
      <c r="F204" s="194" t="str">
        <f>IFERROR(IF(VLOOKUP($A204,'Annex 2 Designated EHV charges'!$D:$P,11,FALSE)=0,"",VLOOKUP($A204,'Annex 2 Designated EHV charges'!$D:$P,11,FALSE)),"")</f>
        <v/>
      </c>
      <c r="G204" s="194" t="str">
        <f>IFERROR(IF(VLOOKUP($A204,'Annex 2 Designated EHV charges'!$D:$P,12,FALSE)=0,"",VLOOKUP($A204,'Annex 2 Designated EHV charges'!$D:$P,12,FALSE)),"")</f>
        <v/>
      </c>
      <c r="H204" s="194" t="str">
        <f>IFERROR(IF(VLOOKUP($A204,'Annex 2 Designated EHV charges'!$D:$P,13,FALSE)=0,"",VLOOKUP($A204,'Annex 2 Designated EHV charges'!$D:$P,13,FALSE)),"")</f>
        <v/>
      </c>
    </row>
    <row r="205" spans="1:8" x14ac:dyDescent="0.35">
      <c r="A205" s="189" t="str" cm="1">
        <f t="array" ref="A205">IFERROR(INDEX('Annex 2 Designated EHV charges'!$D$10:$D$200, MATCH(0, IF(ISBLANK('Annex 2 Designated EHV charges'!$D$10:$D$200),1, COUNTIF(A$4:$A204, 'Annex 2 Designated EHV charges'!$D$10:$D$200)), 0)),"")</f>
        <v/>
      </c>
      <c r="B205" s="190" t="str">
        <f>IF($A205="","",VLOOKUP($A205,'Annex 2 Designated EHV charges'!$D:$O,2,0))</f>
        <v/>
      </c>
      <c r="C205" s="189" t="str">
        <f>IF($A205="","",VLOOKUP($A205,'Annex 2 Designated EHV charges'!$D:$O,3,0))</f>
        <v/>
      </c>
      <c r="D205" s="190" t="str">
        <f>IF($A205="","",VLOOKUP($A205,'Annex 2 Designated EHV charges'!$D:$O,4,0))</f>
        <v/>
      </c>
      <c r="E205" s="191" t="str">
        <f>IFERROR(IF(VLOOKUP($A205,'Annex 2 Designated EHV charges'!$D:$P,10,FALSE)=0,"",VLOOKUP($A205,'Annex 2 Designated EHV charges'!$D:$P,10,FALSE)),"")</f>
        <v/>
      </c>
      <c r="F205" s="194" t="str">
        <f>IFERROR(IF(VLOOKUP($A205,'Annex 2 Designated EHV charges'!$D:$P,11,FALSE)=0,"",VLOOKUP($A205,'Annex 2 Designated EHV charges'!$D:$P,11,FALSE)),"")</f>
        <v/>
      </c>
      <c r="G205" s="194" t="str">
        <f>IFERROR(IF(VLOOKUP($A205,'Annex 2 Designated EHV charges'!$D:$P,12,FALSE)=0,"",VLOOKUP($A205,'Annex 2 Designated EHV charges'!$D:$P,12,FALSE)),"")</f>
        <v/>
      </c>
      <c r="H205" s="194" t="str">
        <f>IFERROR(IF(VLOOKUP($A205,'Annex 2 Designated EHV charges'!$D:$P,13,FALSE)=0,"",VLOOKUP($A205,'Annex 2 Designated EHV charges'!$D:$P,13,FALSE)),"")</f>
        <v/>
      </c>
    </row>
    <row r="206" spans="1:8" x14ac:dyDescent="0.35">
      <c r="A206" s="189" t="str" cm="1">
        <f t="array" ref="A206">IFERROR(INDEX('Annex 2 Designated EHV charges'!$D$10:$D$200, MATCH(0, IF(ISBLANK('Annex 2 Designated EHV charges'!$D$10:$D$200),1, COUNTIF(A$4:$A205, 'Annex 2 Designated EHV charges'!$D$10:$D$200)), 0)),"")</f>
        <v/>
      </c>
      <c r="B206" s="190" t="str">
        <f>IF($A206="","",VLOOKUP($A206,'Annex 2 Designated EHV charges'!$D:$O,2,0))</f>
        <v/>
      </c>
      <c r="C206" s="189" t="str">
        <f>IF($A206="","",VLOOKUP($A206,'Annex 2 Designated EHV charges'!$D:$O,3,0))</f>
        <v/>
      </c>
      <c r="D206" s="190" t="str">
        <f>IF($A206="","",VLOOKUP($A206,'Annex 2 Designated EHV charges'!$D:$O,4,0))</f>
        <v/>
      </c>
      <c r="E206" s="191" t="str">
        <f>IFERROR(IF(VLOOKUP($A206,'Annex 2 Designated EHV charges'!$D:$P,10,FALSE)=0,"",VLOOKUP($A206,'Annex 2 Designated EHV charges'!$D:$P,10,FALSE)),"")</f>
        <v/>
      </c>
      <c r="F206" s="194" t="str">
        <f>IFERROR(IF(VLOOKUP($A206,'Annex 2 Designated EHV charges'!$D:$P,11,FALSE)=0,"",VLOOKUP($A206,'Annex 2 Designated EHV charges'!$D:$P,11,FALSE)),"")</f>
        <v/>
      </c>
      <c r="G206" s="194" t="str">
        <f>IFERROR(IF(VLOOKUP($A206,'Annex 2 Designated EHV charges'!$D:$P,12,FALSE)=0,"",VLOOKUP($A206,'Annex 2 Designated EHV charges'!$D:$P,12,FALSE)),"")</f>
        <v/>
      </c>
      <c r="H206" s="194" t="str">
        <f>IFERROR(IF(VLOOKUP($A206,'Annex 2 Designated EHV charges'!$D:$P,13,FALSE)=0,"",VLOOKUP($A206,'Annex 2 Designated EHV charges'!$D:$P,13,FALSE)),"")</f>
        <v/>
      </c>
    </row>
    <row r="207" spans="1:8" x14ac:dyDescent="0.35">
      <c r="A207" s="189" t="str" cm="1">
        <f t="array" ref="A207">IFERROR(INDEX('Annex 2 Designated EHV charges'!$D$10:$D$200, MATCH(0, IF(ISBLANK('Annex 2 Designated EHV charges'!$D$10:$D$200),1, COUNTIF(A$4:$A206, 'Annex 2 Designated EHV charges'!$D$10:$D$200)), 0)),"")</f>
        <v/>
      </c>
      <c r="B207" s="190" t="str">
        <f>IF($A207="","",VLOOKUP($A207,'Annex 2 Designated EHV charges'!$D:$O,2,0))</f>
        <v/>
      </c>
      <c r="C207" s="189" t="str">
        <f>IF($A207="","",VLOOKUP($A207,'Annex 2 Designated EHV charges'!$D:$O,3,0))</f>
        <v/>
      </c>
      <c r="D207" s="190" t="str">
        <f>IF($A207="","",VLOOKUP($A207,'Annex 2 Designated EHV charges'!$D:$O,4,0))</f>
        <v/>
      </c>
      <c r="E207" s="191" t="str">
        <f>IFERROR(IF(VLOOKUP($A207,'Annex 2 Designated EHV charges'!$D:$P,10,FALSE)=0,"",VLOOKUP($A207,'Annex 2 Designated EHV charges'!$D:$P,10,FALSE)),"")</f>
        <v/>
      </c>
      <c r="F207" s="194" t="str">
        <f>IFERROR(IF(VLOOKUP($A207,'Annex 2 Designated EHV charges'!$D:$P,11,FALSE)=0,"",VLOOKUP($A207,'Annex 2 Designated EHV charges'!$D:$P,11,FALSE)),"")</f>
        <v/>
      </c>
      <c r="G207" s="194" t="str">
        <f>IFERROR(IF(VLOOKUP($A207,'Annex 2 Designated EHV charges'!$D:$P,12,FALSE)=0,"",VLOOKUP($A207,'Annex 2 Designated EHV charges'!$D:$P,12,FALSE)),"")</f>
        <v/>
      </c>
      <c r="H207" s="194" t="str">
        <f>IFERROR(IF(VLOOKUP($A207,'Annex 2 Designated EHV charges'!$D:$P,13,FALSE)=0,"",VLOOKUP($A207,'Annex 2 Designated EHV charges'!$D:$P,13,FALSE)),"")</f>
        <v/>
      </c>
    </row>
    <row r="208" spans="1:8" x14ac:dyDescent="0.35">
      <c r="A208" s="189" t="str" cm="1">
        <f t="array" ref="A208">IFERROR(INDEX('Annex 2 Designated EHV charges'!$D$10:$D$200, MATCH(0, IF(ISBLANK('Annex 2 Designated EHV charges'!$D$10:$D$200),1, COUNTIF(A$4:$A207, 'Annex 2 Designated EHV charges'!$D$10:$D$200)), 0)),"")</f>
        <v/>
      </c>
      <c r="B208" s="190" t="str">
        <f>IF($A208="","",VLOOKUP($A208,'Annex 2 Designated EHV charges'!$D:$O,2,0))</f>
        <v/>
      </c>
      <c r="C208" s="189" t="str">
        <f>IF($A208="","",VLOOKUP($A208,'Annex 2 Designated EHV charges'!$D:$O,3,0))</f>
        <v/>
      </c>
      <c r="D208" s="190" t="str">
        <f>IF($A208="","",VLOOKUP($A208,'Annex 2 Designated EHV charges'!$D:$O,4,0))</f>
        <v/>
      </c>
      <c r="E208" s="191" t="str">
        <f>IFERROR(IF(VLOOKUP($A208,'Annex 2 Designated EHV charges'!$D:$P,10,FALSE)=0,"",VLOOKUP($A208,'Annex 2 Designated EHV charges'!$D:$P,10,FALSE)),"")</f>
        <v/>
      </c>
      <c r="F208" s="194" t="str">
        <f>IFERROR(IF(VLOOKUP($A208,'Annex 2 Designated EHV charges'!$D:$P,11,FALSE)=0,"",VLOOKUP($A208,'Annex 2 Designated EHV charges'!$D:$P,11,FALSE)),"")</f>
        <v/>
      </c>
      <c r="G208" s="194" t="str">
        <f>IFERROR(IF(VLOOKUP($A208,'Annex 2 Designated EHV charges'!$D:$P,12,FALSE)=0,"",VLOOKUP($A208,'Annex 2 Designated EHV charges'!$D:$P,12,FALSE)),"")</f>
        <v/>
      </c>
      <c r="H208" s="194" t="str">
        <f>IFERROR(IF(VLOOKUP($A208,'Annex 2 Designated EHV charges'!$D:$P,13,FALSE)=0,"",VLOOKUP($A208,'Annex 2 Designated EHV charges'!$D:$P,13,FALSE)),"")</f>
        <v/>
      </c>
    </row>
    <row r="209" spans="1:8" x14ac:dyDescent="0.35">
      <c r="A209" s="189" t="str" cm="1">
        <f t="array" ref="A209">IFERROR(INDEX('Annex 2 Designated EHV charges'!$D$10:$D$200, MATCH(0, IF(ISBLANK('Annex 2 Designated EHV charges'!$D$10:$D$200),1, COUNTIF(A$4:$A208, 'Annex 2 Designated EHV charges'!$D$10:$D$200)), 0)),"")</f>
        <v/>
      </c>
      <c r="B209" s="190" t="str">
        <f>IF($A209="","",VLOOKUP($A209,'Annex 2 Designated EHV charges'!$D:$O,2,0))</f>
        <v/>
      </c>
      <c r="C209" s="189" t="str">
        <f>IF($A209="","",VLOOKUP($A209,'Annex 2 Designated EHV charges'!$D:$O,3,0))</f>
        <v/>
      </c>
      <c r="D209" s="190" t="str">
        <f>IF($A209="","",VLOOKUP($A209,'Annex 2 Designated EHV charges'!$D:$O,4,0))</f>
        <v/>
      </c>
      <c r="E209" s="191" t="str">
        <f>IFERROR(IF(VLOOKUP($A209,'Annex 2 Designated EHV charges'!$D:$P,10,FALSE)=0,"",VLOOKUP($A209,'Annex 2 Designated EHV charges'!$D:$P,10,FALSE)),"")</f>
        <v/>
      </c>
      <c r="F209" s="194" t="str">
        <f>IFERROR(IF(VLOOKUP($A209,'Annex 2 Designated EHV charges'!$D:$P,11,FALSE)=0,"",VLOOKUP($A209,'Annex 2 Designated EHV charges'!$D:$P,11,FALSE)),"")</f>
        <v/>
      </c>
      <c r="G209" s="194" t="str">
        <f>IFERROR(IF(VLOOKUP($A209,'Annex 2 Designated EHV charges'!$D:$P,12,FALSE)=0,"",VLOOKUP($A209,'Annex 2 Designated EHV charges'!$D:$P,12,FALSE)),"")</f>
        <v/>
      </c>
      <c r="H209" s="194" t="str">
        <f>IFERROR(IF(VLOOKUP($A209,'Annex 2 Designated EHV charges'!$D:$P,13,FALSE)=0,"",VLOOKUP($A209,'Annex 2 Designated EHV charges'!$D:$P,13,FALSE)),"")</f>
        <v/>
      </c>
    </row>
    <row r="210" spans="1:8" x14ac:dyDescent="0.35">
      <c r="A210" s="189" t="str" cm="1">
        <f t="array" ref="A210">IFERROR(INDEX('Annex 2 Designated EHV charges'!$D$10:$D$200, MATCH(0, IF(ISBLANK('Annex 2 Designated EHV charges'!$D$10:$D$200),1, COUNTIF(A$4:$A209, 'Annex 2 Designated EHV charges'!$D$10:$D$200)), 0)),"")</f>
        <v/>
      </c>
      <c r="B210" s="190" t="str">
        <f>IF($A210="","",VLOOKUP($A210,'Annex 2 Designated EHV charges'!$D:$O,2,0))</f>
        <v/>
      </c>
      <c r="C210" s="189" t="str">
        <f>IF($A210="","",VLOOKUP($A210,'Annex 2 Designated EHV charges'!$D:$O,3,0))</f>
        <v/>
      </c>
      <c r="D210" s="190" t="str">
        <f>IF($A210="","",VLOOKUP($A210,'Annex 2 Designated EHV charges'!$D:$O,4,0))</f>
        <v/>
      </c>
      <c r="E210" s="191" t="str">
        <f>IFERROR(IF(VLOOKUP($A210,'Annex 2 Designated EHV charges'!$D:$P,10,FALSE)=0,"",VLOOKUP($A210,'Annex 2 Designated EHV charges'!$D:$P,10,FALSE)),"")</f>
        <v/>
      </c>
      <c r="F210" s="194" t="str">
        <f>IFERROR(IF(VLOOKUP($A210,'Annex 2 Designated EHV charges'!$D:$P,11,FALSE)=0,"",VLOOKUP($A210,'Annex 2 Designated EHV charges'!$D:$P,11,FALSE)),"")</f>
        <v/>
      </c>
      <c r="G210" s="194" t="str">
        <f>IFERROR(IF(VLOOKUP($A210,'Annex 2 Designated EHV charges'!$D:$P,12,FALSE)=0,"",VLOOKUP($A210,'Annex 2 Designated EHV charges'!$D:$P,12,FALSE)),"")</f>
        <v/>
      </c>
      <c r="H210" s="194" t="str">
        <f>IFERROR(IF(VLOOKUP($A210,'Annex 2 Designated EHV charges'!$D:$P,13,FALSE)=0,"",VLOOKUP($A210,'Annex 2 Designated EHV charges'!$D:$P,13,FALSE)),"")</f>
        <v/>
      </c>
    </row>
    <row r="211" spans="1:8" x14ac:dyDescent="0.35">
      <c r="A211" s="189" t="str" cm="1">
        <f t="array" ref="A211">IFERROR(INDEX('Annex 2 Designated EHV charges'!$D$10:$D$200, MATCH(0, IF(ISBLANK('Annex 2 Designated EHV charges'!$D$10:$D$200),1, COUNTIF(A$4:$A210, 'Annex 2 Designated EHV charges'!$D$10:$D$200)), 0)),"")</f>
        <v/>
      </c>
      <c r="B211" s="190" t="str">
        <f>IF($A211="","",VLOOKUP($A211,'Annex 2 Designated EHV charges'!$D:$O,2,0))</f>
        <v/>
      </c>
      <c r="C211" s="189" t="str">
        <f>IF($A211="","",VLOOKUP($A211,'Annex 2 Designated EHV charges'!$D:$O,3,0))</f>
        <v/>
      </c>
      <c r="D211" s="190" t="str">
        <f>IF($A211="","",VLOOKUP($A211,'Annex 2 Designated EHV charges'!$D:$O,4,0))</f>
        <v/>
      </c>
      <c r="E211" s="191" t="str">
        <f>IFERROR(IF(VLOOKUP($A211,'Annex 2 Designated EHV charges'!$D:$P,10,FALSE)=0,"",VLOOKUP($A211,'Annex 2 Designated EHV charges'!$D:$P,10,FALSE)),"")</f>
        <v/>
      </c>
      <c r="F211" s="194" t="str">
        <f>IFERROR(IF(VLOOKUP($A211,'Annex 2 Designated EHV charges'!$D:$P,11,FALSE)=0,"",VLOOKUP($A211,'Annex 2 Designated EHV charges'!$D:$P,11,FALSE)),"")</f>
        <v/>
      </c>
      <c r="G211" s="194" t="str">
        <f>IFERROR(IF(VLOOKUP($A211,'Annex 2 Designated EHV charges'!$D:$P,12,FALSE)=0,"",VLOOKUP($A211,'Annex 2 Designated EHV charges'!$D:$P,12,FALSE)),"")</f>
        <v/>
      </c>
      <c r="H211" s="194" t="str">
        <f>IFERROR(IF(VLOOKUP($A211,'Annex 2 Designated EHV charges'!$D:$P,13,FALSE)=0,"",VLOOKUP($A211,'Annex 2 Designated EHV charges'!$D:$P,13,FALSE)),"")</f>
        <v/>
      </c>
    </row>
    <row r="212" spans="1:8" x14ac:dyDescent="0.35">
      <c r="A212" s="189" t="str" cm="1">
        <f t="array" ref="A212">IFERROR(INDEX('Annex 2 Designated EHV charges'!$D$10:$D$200, MATCH(0, IF(ISBLANK('Annex 2 Designated EHV charges'!$D$10:$D$200),1, COUNTIF(A$4:$A211, 'Annex 2 Designated EHV charges'!$D$10:$D$200)), 0)),"")</f>
        <v/>
      </c>
      <c r="B212" s="190" t="str">
        <f>IF($A212="","",VLOOKUP($A212,'Annex 2 Designated EHV charges'!$D:$O,2,0))</f>
        <v/>
      </c>
      <c r="C212" s="189" t="str">
        <f>IF($A212="","",VLOOKUP($A212,'Annex 2 Designated EHV charges'!$D:$O,3,0))</f>
        <v/>
      </c>
      <c r="D212" s="190" t="str">
        <f>IF($A212="","",VLOOKUP($A212,'Annex 2 Designated EHV charges'!$D:$O,4,0))</f>
        <v/>
      </c>
      <c r="E212" s="191" t="str">
        <f>IFERROR(IF(VLOOKUP($A212,'Annex 2 Designated EHV charges'!$D:$P,10,FALSE)=0,"",VLOOKUP($A212,'Annex 2 Designated EHV charges'!$D:$P,10,FALSE)),"")</f>
        <v/>
      </c>
      <c r="F212" s="194" t="str">
        <f>IFERROR(IF(VLOOKUP($A212,'Annex 2 Designated EHV charges'!$D:$P,11,FALSE)=0,"",VLOOKUP($A212,'Annex 2 Designated EHV charges'!$D:$P,11,FALSE)),"")</f>
        <v/>
      </c>
      <c r="G212" s="194" t="str">
        <f>IFERROR(IF(VLOOKUP($A212,'Annex 2 Designated EHV charges'!$D:$P,12,FALSE)=0,"",VLOOKUP($A212,'Annex 2 Designated EHV charges'!$D:$P,12,FALSE)),"")</f>
        <v/>
      </c>
      <c r="H212" s="194" t="str">
        <f>IFERROR(IF(VLOOKUP($A212,'Annex 2 Designated EHV charges'!$D:$P,13,FALSE)=0,"",VLOOKUP($A212,'Annex 2 Designated EHV charges'!$D:$P,13,FALSE)),"")</f>
        <v/>
      </c>
    </row>
    <row r="213" spans="1:8" x14ac:dyDescent="0.35">
      <c r="A213" s="189" t="str" cm="1">
        <f t="array" ref="A213">IFERROR(INDEX('Annex 2 Designated EHV charges'!$D$10:$D$200, MATCH(0, IF(ISBLANK('Annex 2 Designated EHV charges'!$D$10:$D$200),1, COUNTIF(A$4:$A212, 'Annex 2 Designated EHV charges'!$D$10:$D$200)), 0)),"")</f>
        <v/>
      </c>
      <c r="B213" s="190" t="str">
        <f>IF($A213="","",VLOOKUP($A213,'Annex 2 Designated EHV charges'!$D:$O,2,0))</f>
        <v/>
      </c>
      <c r="C213" s="189" t="str">
        <f>IF($A213="","",VLOOKUP($A213,'Annex 2 Designated EHV charges'!$D:$O,3,0))</f>
        <v/>
      </c>
      <c r="D213" s="190" t="str">
        <f>IF($A213="","",VLOOKUP($A213,'Annex 2 Designated EHV charges'!$D:$O,4,0))</f>
        <v/>
      </c>
      <c r="E213" s="191" t="str">
        <f>IFERROR(IF(VLOOKUP($A213,'Annex 2 Designated EHV charges'!$D:$P,10,FALSE)=0,"",VLOOKUP($A213,'Annex 2 Designated EHV charges'!$D:$P,10,FALSE)),"")</f>
        <v/>
      </c>
      <c r="F213" s="194" t="str">
        <f>IFERROR(IF(VLOOKUP($A213,'Annex 2 Designated EHV charges'!$D:$P,11,FALSE)=0,"",VLOOKUP($A213,'Annex 2 Designated EHV charges'!$D:$P,11,FALSE)),"")</f>
        <v/>
      </c>
      <c r="G213" s="194" t="str">
        <f>IFERROR(IF(VLOOKUP($A213,'Annex 2 Designated EHV charges'!$D:$P,12,FALSE)=0,"",VLOOKUP($A213,'Annex 2 Designated EHV charges'!$D:$P,12,FALSE)),"")</f>
        <v/>
      </c>
      <c r="H213" s="194" t="str">
        <f>IFERROR(IF(VLOOKUP($A213,'Annex 2 Designated EHV charges'!$D:$P,13,FALSE)=0,"",VLOOKUP($A213,'Annex 2 Designated EHV charges'!$D:$P,13,FALSE)),"")</f>
        <v/>
      </c>
    </row>
    <row r="214" spans="1:8" x14ac:dyDescent="0.35">
      <c r="A214" s="189" t="str" cm="1">
        <f t="array" ref="A214">IFERROR(INDEX('Annex 2 Designated EHV charges'!$D$10:$D$200, MATCH(0, IF(ISBLANK('Annex 2 Designated EHV charges'!$D$10:$D$200),1, COUNTIF(A$4:$A213, 'Annex 2 Designated EHV charges'!$D$10:$D$200)), 0)),"")</f>
        <v/>
      </c>
      <c r="B214" s="190" t="str">
        <f>IF($A214="","",VLOOKUP($A214,'Annex 2 Designated EHV charges'!$D:$O,2,0))</f>
        <v/>
      </c>
      <c r="C214" s="189" t="str">
        <f>IF($A214="","",VLOOKUP($A214,'Annex 2 Designated EHV charges'!$D:$O,3,0))</f>
        <v/>
      </c>
      <c r="D214" s="190" t="str">
        <f>IF($A214="","",VLOOKUP($A214,'Annex 2 Designated EHV charges'!$D:$O,4,0))</f>
        <v/>
      </c>
      <c r="E214" s="191" t="str">
        <f>IFERROR(IF(VLOOKUP($A214,'Annex 2 Designated EHV charges'!$D:$P,10,FALSE)=0,"",VLOOKUP($A214,'Annex 2 Designated EHV charges'!$D:$P,10,FALSE)),"")</f>
        <v/>
      </c>
      <c r="F214" s="194" t="str">
        <f>IFERROR(IF(VLOOKUP($A214,'Annex 2 Designated EHV charges'!$D:$P,11,FALSE)=0,"",VLOOKUP($A214,'Annex 2 Designated EHV charges'!$D:$P,11,FALSE)),"")</f>
        <v/>
      </c>
      <c r="G214" s="194" t="str">
        <f>IFERROR(IF(VLOOKUP($A214,'Annex 2 Designated EHV charges'!$D:$P,12,FALSE)=0,"",VLOOKUP($A214,'Annex 2 Designated EHV charges'!$D:$P,12,FALSE)),"")</f>
        <v/>
      </c>
      <c r="H214" s="194" t="str">
        <f>IFERROR(IF(VLOOKUP($A214,'Annex 2 Designated EHV charges'!$D:$P,13,FALSE)=0,"",VLOOKUP($A214,'Annex 2 Designated EHV charges'!$D:$P,13,FALSE)),"")</f>
        <v/>
      </c>
    </row>
    <row r="215" spans="1:8" x14ac:dyDescent="0.35">
      <c r="A215" s="189" t="str" cm="1">
        <f t="array" ref="A215">IFERROR(INDEX('Annex 2 Designated EHV charges'!$D$10:$D$200, MATCH(0, IF(ISBLANK('Annex 2 Designated EHV charges'!$D$10:$D$200),1, COUNTIF(A$4:$A214, 'Annex 2 Designated EHV charges'!$D$10:$D$200)), 0)),"")</f>
        <v/>
      </c>
      <c r="B215" s="190" t="str">
        <f>IF($A215="","",VLOOKUP($A215,'Annex 2 Designated EHV charges'!$D:$O,2,0))</f>
        <v/>
      </c>
      <c r="C215" s="189" t="str">
        <f>IF($A215="","",VLOOKUP($A215,'Annex 2 Designated EHV charges'!$D:$O,3,0))</f>
        <v/>
      </c>
      <c r="D215" s="190" t="str">
        <f>IF($A215="","",VLOOKUP($A215,'Annex 2 Designated EHV charges'!$D:$O,4,0))</f>
        <v/>
      </c>
      <c r="E215" s="191" t="str">
        <f>IFERROR(IF(VLOOKUP($A215,'Annex 2 Designated EHV charges'!$D:$P,10,FALSE)=0,"",VLOOKUP($A215,'Annex 2 Designated EHV charges'!$D:$P,10,FALSE)),"")</f>
        <v/>
      </c>
      <c r="F215" s="194" t="str">
        <f>IFERROR(IF(VLOOKUP($A215,'Annex 2 Designated EHV charges'!$D:$P,11,FALSE)=0,"",VLOOKUP($A215,'Annex 2 Designated EHV charges'!$D:$P,11,FALSE)),"")</f>
        <v/>
      </c>
      <c r="G215" s="194" t="str">
        <f>IFERROR(IF(VLOOKUP($A215,'Annex 2 Designated EHV charges'!$D:$P,12,FALSE)=0,"",VLOOKUP($A215,'Annex 2 Designated EHV charges'!$D:$P,12,FALSE)),"")</f>
        <v/>
      </c>
      <c r="H215" s="194" t="str">
        <f>IFERROR(IF(VLOOKUP($A215,'Annex 2 Designated EHV charges'!$D:$P,13,FALSE)=0,"",VLOOKUP($A215,'Annex 2 Designated EHV charges'!$D:$P,13,FALSE)),"")</f>
        <v/>
      </c>
    </row>
    <row r="216" spans="1:8" x14ac:dyDescent="0.35">
      <c r="A216" s="189" t="str" cm="1">
        <f t="array" ref="A216">IFERROR(INDEX('Annex 2 Designated EHV charges'!$D$10:$D$200, MATCH(0, IF(ISBLANK('Annex 2 Designated EHV charges'!$D$10:$D$200),1, COUNTIF(A$4:$A215, 'Annex 2 Designated EHV charges'!$D$10:$D$200)), 0)),"")</f>
        <v/>
      </c>
      <c r="B216" s="190" t="str">
        <f>IF($A216="","",VLOOKUP($A216,'Annex 2 Designated EHV charges'!$D:$O,2,0))</f>
        <v/>
      </c>
      <c r="C216" s="189" t="str">
        <f>IF($A216="","",VLOOKUP($A216,'Annex 2 Designated EHV charges'!$D:$O,3,0))</f>
        <v/>
      </c>
      <c r="D216" s="190" t="str">
        <f>IF($A216="","",VLOOKUP($A216,'Annex 2 Designated EHV charges'!$D:$O,4,0))</f>
        <v/>
      </c>
      <c r="E216" s="191" t="str">
        <f>IFERROR(IF(VLOOKUP($A216,'Annex 2 Designated EHV charges'!$D:$P,10,FALSE)=0,"",VLOOKUP($A216,'Annex 2 Designated EHV charges'!$D:$P,10,FALSE)),"")</f>
        <v/>
      </c>
      <c r="F216" s="194" t="str">
        <f>IFERROR(IF(VLOOKUP($A216,'Annex 2 Designated EHV charges'!$D:$P,11,FALSE)=0,"",VLOOKUP($A216,'Annex 2 Designated EHV charges'!$D:$P,11,FALSE)),"")</f>
        <v/>
      </c>
      <c r="G216" s="194" t="str">
        <f>IFERROR(IF(VLOOKUP($A216,'Annex 2 Designated EHV charges'!$D:$P,12,FALSE)=0,"",VLOOKUP($A216,'Annex 2 Designated EHV charges'!$D:$P,12,FALSE)),"")</f>
        <v/>
      </c>
      <c r="H216" s="194" t="str">
        <f>IFERROR(IF(VLOOKUP($A216,'Annex 2 Designated EHV charges'!$D:$P,13,FALSE)=0,"",VLOOKUP($A216,'Annex 2 Designated EHV charges'!$D:$P,13,FALSE)),"")</f>
        <v/>
      </c>
    </row>
    <row r="217" spans="1:8" x14ac:dyDescent="0.35">
      <c r="A217" s="189" t="str" cm="1">
        <f t="array" ref="A217">IFERROR(INDEX('Annex 2 Designated EHV charges'!$D$10:$D$200, MATCH(0, IF(ISBLANK('Annex 2 Designated EHV charges'!$D$10:$D$200),1, COUNTIF(A$4:$A216, 'Annex 2 Designated EHV charges'!$D$10:$D$200)), 0)),"")</f>
        <v/>
      </c>
      <c r="B217" s="190" t="str">
        <f>IF($A217="","",VLOOKUP($A217,'Annex 2 Designated EHV charges'!$D:$O,2,0))</f>
        <v/>
      </c>
      <c r="C217" s="189" t="str">
        <f>IF($A217="","",VLOOKUP($A217,'Annex 2 Designated EHV charges'!$D:$O,3,0))</f>
        <v/>
      </c>
      <c r="D217" s="190" t="str">
        <f>IF($A217="","",VLOOKUP($A217,'Annex 2 Designated EHV charges'!$D:$O,4,0))</f>
        <v/>
      </c>
      <c r="E217" s="191" t="str">
        <f>IFERROR(IF(VLOOKUP($A217,'Annex 2 Designated EHV charges'!$D:$P,10,FALSE)=0,"",VLOOKUP($A217,'Annex 2 Designated EHV charges'!$D:$P,10,FALSE)),"")</f>
        <v/>
      </c>
      <c r="F217" s="194" t="str">
        <f>IFERROR(IF(VLOOKUP($A217,'Annex 2 Designated EHV charges'!$D:$P,11,FALSE)=0,"",VLOOKUP($A217,'Annex 2 Designated EHV charges'!$D:$P,11,FALSE)),"")</f>
        <v/>
      </c>
      <c r="G217" s="194" t="str">
        <f>IFERROR(IF(VLOOKUP($A217,'Annex 2 Designated EHV charges'!$D:$P,12,FALSE)=0,"",VLOOKUP($A217,'Annex 2 Designated EHV charges'!$D:$P,12,FALSE)),"")</f>
        <v/>
      </c>
      <c r="H217" s="194" t="str">
        <f>IFERROR(IF(VLOOKUP($A217,'Annex 2 Designated EHV charges'!$D:$P,13,FALSE)=0,"",VLOOKUP($A217,'Annex 2 Designated EHV charges'!$D:$P,13,FALSE)),"")</f>
        <v/>
      </c>
    </row>
    <row r="218" spans="1:8" x14ac:dyDescent="0.35">
      <c r="A218" s="189" t="str" cm="1">
        <f t="array" ref="A218">IFERROR(INDEX('Annex 2 Designated EHV charges'!$D$10:$D$200, MATCH(0, IF(ISBLANK('Annex 2 Designated EHV charges'!$D$10:$D$200),1, COUNTIF(A$4:$A217, 'Annex 2 Designated EHV charges'!$D$10:$D$200)), 0)),"")</f>
        <v/>
      </c>
      <c r="B218" s="190" t="str">
        <f>IF($A218="","",VLOOKUP($A218,'Annex 2 Designated EHV charges'!$D:$O,2,0))</f>
        <v/>
      </c>
      <c r="C218" s="189" t="str">
        <f>IF($A218="","",VLOOKUP($A218,'Annex 2 Designated EHV charges'!$D:$O,3,0))</f>
        <v/>
      </c>
      <c r="D218" s="190" t="str">
        <f>IF($A218="","",VLOOKUP($A218,'Annex 2 Designated EHV charges'!$D:$O,4,0))</f>
        <v/>
      </c>
      <c r="E218" s="191" t="str">
        <f>IFERROR(IF(VLOOKUP($A218,'Annex 2 Designated EHV charges'!$D:$P,10,FALSE)=0,"",VLOOKUP($A218,'Annex 2 Designated EHV charges'!$D:$P,10,FALSE)),"")</f>
        <v/>
      </c>
      <c r="F218" s="194" t="str">
        <f>IFERROR(IF(VLOOKUP($A218,'Annex 2 Designated EHV charges'!$D:$P,11,FALSE)=0,"",VLOOKUP($A218,'Annex 2 Designated EHV charges'!$D:$P,11,FALSE)),"")</f>
        <v/>
      </c>
      <c r="G218" s="194" t="str">
        <f>IFERROR(IF(VLOOKUP($A218,'Annex 2 Designated EHV charges'!$D:$P,12,FALSE)=0,"",VLOOKUP($A218,'Annex 2 Designated EHV charges'!$D:$P,12,FALSE)),"")</f>
        <v/>
      </c>
      <c r="H218" s="194" t="str">
        <f>IFERROR(IF(VLOOKUP($A218,'Annex 2 Designated EHV charges'!$D:$P,13,FALSE)=0,"",VLOOKUP($A218,'Annex 2 Designated EHV charges'!$D:$P,13,FALSE)),"")</f>
        <v/>
      </c>
    </row>
    <row r="219" spans="1:8" x14ac:dyDescent="0.35">
      <c r="A219" s="189" t="str" cm="1">
        <f t="array" ref="A219">IFERROR(INDEX('Annex 2 Designated EHV charges'!$D$10:$D$200, MATCH(0, IF(ISBLANK('Annex 2 Designated EHV charges'!$D$10:$D$200),1, COUNTIF(A$4:$A218, 'Annex 2 Designated EHV charges'!$D$10:$D$200)), 0)),"")</f>
        <v/>
      </c>
      <c r="B219" s="190" t="str">
        <f>IF($A219="","",VLOOKUP($A219,'Annex 2 Designated EHV charges'!$D:$O,2,0))</f>
        <v/>
      </c>
      <c r="C219" s="189" t="str">
        <f>IF($A219="","",VLOOKUP($A219,'Annex 2 Designated EHV charges'!$D:$O,3,0))</f>
        <v/>
      </c>
      <c r="D219" s="190" t="str">
        <f>IF($A219="","",VLOOKUP($A219,'Annex 2 Designated EHV charges'!$D:$O,4,0))</f>
        <v/>
      </c>
      <c r="E219" s="191" t="str">
        <f>IFERROR(IF(VLOOKUP($A219,'Annex 2 Designated EHV charges'!$D:$P,10,FALSE)=0,"",VLOOKUP($A219,'Annex 2 Designated EHV charges'!$D:$P,10,FALSE)),"")</f>
        <v/>
      </c>
      <c r="F219" s="194" t="str">
        <f>IFERROR(IF(VLOOKUP($A219,'Annex 2 Designated EHV charges'!$D:$P,11,FALSE)=0,"",VLOOKUP($A219,'Annex 2 Designated EHV charges'!$D:$P,11,FALSE)),"")</f>
        <v/>
      </c>
      <c r="G219" s="194" t="str">
        <f>IFERROR(IF(VLOOKUP($A219,'Annex 2 Designated EHV charges'!$D:$P,12,FALSE)=0,"",VLOOKUP($A219,'Annex 2 Designated EHV charges'!$D:$P,12,FALSE)),"")</f>
        <v/>
      </c>
      <c r="H219" s="194" t="str">
        <f>IFERROR(IF(VLOOKUP($A219,'Annex 2 Designated EHV charges'!$D:$P,13,FALSE)=0,"",VLOOKUP($A219,'Annex 2 Designated EHV charges'!$D:$P,13,FALSE)),"")</f>
        <v/>
      </c>
    </row>
    <row r="220" spans="1:8" x14ac:dyDescent="0.35">
      <c r="A220" s="189" t="str" cm="1">
        <f t="array" ref="A220">IFERROR(INDEX('Annex 2 Designated EHV charges'!$D$10:$D$200, MATCH(0, IF(ISBLANK('Annex 2 Designated EHV charges'!$D$10:$D$200),1, COUNTIF(A$4:$A219, 'Annex 2 Designated EHV charges'!$D$10:$D$200)), 0)),"")</f>
        <v/>
      </c>
      <c r="B220" s="190" t="str">
        <f>IF($A220="","",VLOOKUP($A220,'Annex 2 Designated EHV charges'!$D:$O,2,0))</f>
        <v/>
      </c>
      <c r="C220" s="189" t="str">
        <f>IF($A220="","",VLOOKUP($A220,'Annex 2 Designated EHV charges'!$D:$O,3,0))</f>
        <v/>
      </c>
      <c r="D220" s="190" t="str">
        <f>IF($A220="","",VLOOKUP($A220,'Annex 2 Designated EHV charges'!$D:$O,4,0))</f>
        <v/>
      </c>
      <c r="E220" s="191" t="str">
        <f>IFERROR(IF(VLOOKUP($A220,'Annex 2 Designated EHV charges'!$D:$P,10,FALSE)=0,"",VLOOKUP($A220,'Annex 2 Designated EHV charges'!$D:$P,10,FALSE)),"")</f>
        <v/>
      </c>
      <c r="F220" s="194" t="str">
        <f>IFERROR(IF(VLOOKUP($A220,'Annex 2 Designated EHV charges'!$D:$P,11,FALSE)=0,"",VLOOKUP($A220,'Annex 2 Designated EHV charges'!$D:$P,11,FALSE)),"")</f>
        <v/>
      </c>
      <c r="G220" s="194" t="str">
        <f>IFERROR(IF(VLOOKUP($A220,'Annex 2 Designated EHV charges'!$D:$P,12,FALSE)=0,"",VLOOKUP($A220,'Annex 2 Designated EHV charges'!$D:$P,12,FALSE)),"")</f>
        <v/>
      </c>
      <c r="H220" s="194" t="str">
        <f>IFERROR(IF(VLOOKUP($A220,'Annex 2 Designated EHV charges'!$D:$P,13,FALSE)=0,"",VLOOKUP($A220,'Annex 2 Designated EHV charges'!$D:$P,13,FALSE)),"")</f>
        <v/>
      </c>
    </row>
    <row r="221" spans="1:8" x14ac:dyDescent="0.35">
      <c r="A221" s="189" t="str" cm="1">
        <f t="array" ref="A221">IFERROR(INDEX('Annex 2 Designated EHV charges'!$D$10:$D$200, MATCH(0, IF(ISBLANK('Annex 2 Designated EHV charges'!$D$10:$D$200),1, COUNTIF(A$4:$A220, 'Annex 2 Designated EHV charges'!$D$10:$D$200)), 0)),"")</f>
        <v/>
      </c>
      <c r="B221" s="190" t="str">
        <f>IF($A221="","",VLOOKUP($A221,'Annex 2 Designated EHV charges'!$D:$O,2,0))</f>
        <v/>
      </c>
      <c r="C221" s="189" t="str">
        <f>IF($A221="","",VLOOKUP($A221,'Annex 2 Designated EHV charges'!$D:$O,3,0))</f>
        <v/>
      </c>
      <c r="D221" s="190" t="str">
        <f>IF($A221="","",VLOOKUP($A221,'Annex 2 Designated EHV charges'!$D:$O,4,0))</f>
        <v/>
      </c>
      <c r="E221" s="191" t="str">
        <f>IFERROR(IF(VLOOKUP($A221,'Annex 2 Designated EHV charges'!$D:$P,10,FALSE)=0,"",VLOOKUP($A221,'Annex 2 Designated EHV charges'!$D:$P,10,FALSE)),"")</f>
        <v/>
      </c>
      <c r="F221" s="194" t="str">
        <f>IFERROR(IF(VLOOKUP($A221,'Annex 2 Designated EHV charges'!$D:$P,11,FALSE)=0,"",VLOOKUP($A221,'Annex 2 Designated EHV charges'!$D:$P,11,FALSE)),"")</f>
        <v/>
      </c>
      <c r="G221" s="194" t="str">
        <f>IFERROR(IF(VLOOKUP($A221,'Annex 2 Designated EHV charges'!$D:$P,12,FALSE)=0,"",VLOOKUP($A221,'Annex 2 Designated EHV charges'!$D:$P,12,FALSE)),"")</f>
        <v/>
      </c>
      <c r="H221" s="194" t="str">
        <f>IFERROR(IF(VLOOKUP($A221,'Annex 2 Designated EHV charges'!$D:$P,13,FALSE)=0,"",VLOOKUP($A221,'Annex 2 Designated EHV charges'!$D:$P,13,FALSE)),"")</f>
        <v/>
      </c>
    </row>
    <row r="222" spans="1:8" x14ac:dyDescent="0.35">
      <c r="A222" s="189" t="str" cm="1">
        <f t="array" ref="A222">IFERROR(INDEX('Annex 2 Designated EHV charges'!$D$10:$D$200, MATCH(0, IF(ISBLANK('Annex 2 Designated EHV charges'!$D$10:$D$200),1, COUNTIF(A$4:$A221, 'Annex 2 Designated EHV charges'!$D$10:$D$200)), 0)),"")</f>
        <v/>
      </c>
      <c r="B222" s="190" t="str">
        <f>IF($A222="","",VLOOKUP($A222,'Annex 2 Designated EHV charges'!$D:$O,2,0))</f>
        <v/>
      </c>
      <c r="C222" s="189" t="str">
        <f>IF($A222="","",VLOOKUP($A222,'Annex 2 Designated EHV charges'!$D:$O,3,0))</f>
        <v/>
      </c>
      <c r="D222" s="190" t="str">
        <f>IF($A222="","",VLOOKUP($A222,'Annex 2 Designated EHV charges'!$D:$O,4,0))</f>
        <v/>
      </c>
      <c r="E222" s="191" t="str">
        <f>IFERROR(IF(VLOOKUP($A222,'Annex 2 Designated EHV charges'!$D:$P,10,FALSE)=0,"",VLOOKUP($A222,'Annex 2 Designated EHV charges'!$D:$P,10,FALSE)),"")</f>
        <v/>
      </c>
      <c r="F222" s="194" t="str">
        <f>IFERROR(IF(VLOOKUP($A222,'Annex 2 Designated EHV charges'!$D:$P,11,FALSE)=0,"",VLOOKUP($A222,'Annex 2 Designated EHV charges'!$D:$P,11,FALSE)),"")</f>
        <v/>
      </c>
      <c r="G222" s="194" t="str">
        <f>IFERROR(IF(VLOOKUP($A222,'Annex 2 Designated EHV charges'!$D:$P,12,FALSE)=0,"",VLOOKUP($A222,'Annex 2 Designated EHV charges'!$D:$P,12,FALSE)),"")</f>
        <v/>
      </c>
      <c r="H222" s="194" t="str">
        <f>IFERROR(IF(VLOOKUP($A222,'Annex 2 Designated EHV charges'!$D:$P,13,FALSE)=0,"",VLOOKUP($A222,'Annex 2 Designated EHV charges'!$D:$P,13,FALSE)),"")</f>
        <v/>
      </c>
    </row>
    <row r="223" spans="1:8" x14ac:dyDescent="0.35">
      <c r="A223" s="189" t="str" cm="1">
        <f t="array" ref="A223">IFERROR(INDEX('Annex 2 Designated EHV charges'!$D$10:$D$200, MATCH(0, IF(ISBLANK('Annex 2 Designated EHV charges'!$D$10:$D$200),1, COUNTIF(A$4:$A222, 'Annex 2 Designated EHV charges'!$D$10:$D$200)), 0)),"")</f>
        <v/>
      </c>
      <c r="B223" s="190" t="str">
        <f>IF($A223="","",VLOOKUP($A223,'Annex 2 Designated EHV charges'!$D:$O,2,0))</f>
        <v/>
      </c>
      <c r="C223" s="189" t="str">
        <f>IF($A223="","",VLOOKUP($A223,'Annex 2 Designated EHV charges'!$D:$O,3,0))</f>
        <v/>
      </c>
      <c r="D223" s="190" t="str">
        <f>IF($A223="","",VLOOKUP($A223,'Annex 2 Designated EHV charges'!$D:$O,4,0))</f>
        <v/>
      </c>
      <c r="E223" s="191" t="str">
        <f>IFERROR(IF(VLOOKUP($A223,'Annex 2 Designated EHV charges'!$D:$P,10,FALSE)=0,"",VLOOKUP($A223,'Annex 2 Designated EHV charges'!$D:$P,10,FALSE)),"")</f>
        <v/>
      </c>
      <c r="F223" s="194" t="str">
        <f>IFERROR(IF(VLOOKUP($A223,'Annex 2 Designated EHV charges'!$D:$P,11,FALSE)=0,"",VLOOKUP($A223,'Annex 2 Designated EHV charges'!$D:$P,11,FALSE)),"")</f>
        <v/>
      </c>
      <c r="G223" s="194" t="str">
        <f>IFERROR(IF(VLOOKUP($A223,'Annex 2 Designated EHV charges'!$D:$P,12,FALSE)=0,"",VLOOKUP($A223,'Annex 2 Designated EHV charges'!$D:$P,12,FALSE)),"")</f>
        <v/>
      </c>
      <c r="H223" s="194" t="str">
        <f>IFERROR(IF(VLOOKUP($A223,'Annex 2 Designated EHV charges'!$D:$P,13,FALSE)=0,"",VLOOKUP($A223,'Annex 2 Designated EHV charges'!$D:$P,13,FALSE)),"")</f>
        <v/>
      </c>
    </row>
    <row r="224" spans="1:8" x14ac:dyDescent="0.35">
      <c r="A224" s="189" t="str" cm="1">
        <f t="array" ref="A224">IFERROR(INDEX('Annex 2 Designated EHV charges'!$D$10:$D$200, MATCH(0, IF(ISBLANK('Annex 2 Designated EHV charges'!$D$10:$D$200),1, COUNTIF(A$4:$A223, 'Annex 2 Designated EHV charges'!$D$10:$D$200)), 0)),"")</f>
        <v/>
      </c>
      <c r="B224" s="190" t="str">
        <f>IF($A224="","",VLOOKUP($A224,'Annex 2 Designated EHV charges'!$D:$O,2,0))</f>
        <v/>
      </c>
      <c r="C224" s="189" t="str">
        <f>IF($A224="","",VLOOKUP($A224,'Annex 2 Designated EHV charges'!$D:$O,3,0))</f>
        <v/>
      </c>
      <c r="D224" s="190" t="str">
        <f>IF($A224="","",VLOOKUP($A224,'Annex 2 Designated EHV charges'!$D:$O,4,0))</f>
        <v/>
      </c>
      <c r="E224" s="191" t="str">
        <f>IFERROR(IF(VLOOKUP($A224,'Annex 2 Designated EHV charges'!$D:$P,10,FALSE)=0,"",VLOOKUP($A224,'Annex 2 Designated EHV charges'!$D:$P,10,FALSE)),"")</f>
        <v/>
      </c>
      <c r="F224" s="194" t="str">
        <f>IFERROR(IF(VLOOKUP($A224,'Annex 2 Designated EHV charges'!$D:$P,11,FALSE)=0,"",VLOOKUP($A224,'Annex 2 Designated EHV charges'!$D:$P,11,FALSE)),"")</f>
        <v/>
      </c>
      <c r="G224" s="194" t="str">
        <f>IFERROR(IF(VLOOKUP($A224,'Annex 2 Designated EHV charges'!$D:$P,12,FALSE)=0,"",VLOOKUP($A224,'Annex 2 Designated EHV charges'!$D:$P,12,FALSE)),"")</f>
        <v/>
      </c>
      <c r="H224" s="194" t="str">
        <f>IFERROR(IF(VLOOKUP($A224,'Annex 2 Designated EHV charges'!$D:$P,13,FALSE)=0,"",VLOOKUP($A224,'Annex 2 Designated EHV charges'!$D:$P,13,FALSE)),"")</f>
        <v/>
      </c>
    </row>
    <row r="225" spans="1:8" x14ac:dyDescent="0.35">
      <c r="A225" s="189" t="str" cm="1">
        <f t="array" ref="A225">IFERROR(INDEX('Annex 2 Designated EHV charges'!$D$10:$D$200, MATCH(0, IF(ISBLANK('Annex 2 Designated EHV charges'!$D$10:$D$200),1, COUNTIF(A$4:$A224, 'Annex 2 Designated EHV charges'!$D$10:$D$200)), 0)),"")</f>
        <v/>
      </c>
      <c r="B225" s="190" t="str">
        <f>IF($A225="","",VLOOKUP($A225,'Annex 2 Designated EHV charges'!$D:$O,2,0))</f>
        <v/>
      </c>
      <c r="C225" s="189" t="str">
        <f>IF($A225="","",VLOOKUP($A225,'Annex 2 Designated EHV charges'!$D:$O,3,0))</f>
        <v/>
      </c>
      <c r="D225" s="190" t="str">
        <f>IF($A225="","",VLOOKUP($A225,'Annex 2 Designated EHV charges'!$D:$O,4,0))</f>
        <v/>
      </c>
      <c r="E225" s="191" t="str">
        <f>IFERROR(IF(VLOOKUP($A225,'Annex 2 Designated EHV charges'!$D:$P,10,FALSE)=0,"",VLOOKUP($A225,'Annex 2 Designated EHV charges'!$D:$P,10,FALSE)),"")</f>
        <v/>
      </c>
      <c r="F225" s="194" t="str">
        <f>IFERROR(IF(VLOOKUP($A225,'Annex 2 Designated EHV charges'!$D:$P,11,FALSE)=0,"",VLOOKUP($A225,'Annex 2 Designated EHV charges'!$D:$P,11,FALSE)),"")</f>
        <v/>
      </c>
      <c r="G225" s="194" t="str">
        <f>IFERROR(IF(VLOOKUP($A225,'Annex 2 Designated EHV charges'!$D:$P,12,FALSE)=0,"",VLOOKUP($A225,'Annex 2 Designated EHV charges'!$D:$P,12,FALSE)),"")</f>
        <v/>
      </c>
      <c r="H225" s="194" t="str">
        <f>IFERROR(IF(VLOOKUP($A225,'Annex 2 Designated EHV charges'!$D:$P,13,FALSE)=0,"",VLOOKUP($A225,'Annex 2 Designated EHV charges'!$D:$P,13,FALSE)),"")</f>
        <v/>
      </c>
    </row>
    <row r="226" spans="1:8" x14ac:dyDescent="0.35">
      <c r="A226" s="189" t="str" cm="1">
        <f t="array" ref="A226">IFERROR(INDEX('Annex 2 Designated EHV charges'!$D$10:$D$200, MATCH(0, IF(ISBLANK('Annex 2 Designated EHV charges'!$D$10:$D$200),1, COUNTIF(A$4:$A225, 'Annex 2 Designated EHV charges'!$D$10:$D$200)), 0)),"")</f>
        <v/>
      </c>
      <c r="B226" s="190" t="str">
        <f>IF($A226="","",VLOOKUP($A226,'Annex 2 Designated EHV charges'!$D:$O,2,0))</f>
        <v/>
      </c>
      <c r="C226" s="189" t="str">
        <f>IF($A226="","",VLOOKUP($A226,'Annex 2 Designated EHV charges'!$D:$O,3,0))</f>
        <v/>
      </c>
      <c r="D226" s="190" t="str">
        <f>IF($A226="","",VLOOKUP($A226,'Annex 2 Designated EHV charges'!$D:$O,4,0))</f>
        <v/>
      </c>
      <c r="E226" s="191" t="str">
        <f>IFERROR(IF(VLOOKUP($A226,'Annex 2 Designated EHV charges'!$D:$P,10,FALSE)=0,"",VLOOKUP($A226,'Annex 2 Designated EHV charges'!$D:$P,10,FALSE)),"")</f>
        <v/>
      </c>
      <c r="F226" s="194" t="str">
        <f>IFERROR(IF(VLOOKUP($A226,'Annex 2 Designated EHV charges'!$D:$P,11,FALSE)=0,"",VLOOKUP($A226,'Annex 2 Designated EHV charges'!$D:$P,11,FALSE)),"")</f>
        <v/>
      </c>
      <c r="G226" s="194" t="str">
        <f>IFERROR(IF(VLOOKUP($A226,'Annex 2 Designated EHV charges'!$D:$P,12,FALSE)=0,"",VLOOKUP($A226,'Annex 2 Designated EHV charges'!$D:$P,12,FALSE)),"")</f>
        <v/>
      </c>
      <c r="H226" s="194" t="str">
        <f>IFERROR(IF(VLOOKUP($A226,'Annex 2 Designated EHV charges'!$D:$P,13,FALSE)=0,"",VLOOKUP($A226,'Annex 2 Designated EHV charges'!$D:$P,13,FALSE)),"")</f>
        <v/>
      </c>
    </row>
    <row r="227" spans="1:8" x14ac:dyDescent="0.35">
      <c r="A227" s="189" t="str" cm="1">
        <f t="array" ref="A227">IFERROR(INDEX('Annex 2 Designated EHV charges'!$D$10:$D$200, MATCH(0, IF(ISBLANK('Annex 2 Designated EHV charges'!$D$10:$D$200),1, COUNTIF(A$4:$A226, 'Annex 2 Designated EHV charges'!$D$10:$D$200)), 0)),"")</f>
        <v/>
      </c>
      <c r="B227" s="190" t="str">
        <f>IF($A227="","",VLOOKUP($A227,'Annex 2 Designated EHV charges'!$D:$O,2,0))</f>
        <v/>
      </c>
      <c r="C227" s="189" t="str">
        <f>IF($A227="","",VLOOKUP($A227,'Annex 2 Designated EHV charges'!$D:$O,3,0))</f>
        <v/>
      </c>
      <c r="D227" s="190" t="str">
        <f>IF($A227="","",VLOOKUP($A227,'Annex 2 Designated EHV charges'!$D:$O,4,0))</f>
        <v/>
      </c>
      <c r="E227" s="191" t="str">
        <f>IFERROR(IF(VLOOKUP($A227,'Annex 2 Designated EHV charges'!$D:$P,10,FALSE)=0,"",VLOOKUP($A227,'Annex 2 Designated EHV charges'!$D:$P,10,FALSE)),"")</f>
        <v/>
      </c>
      <c r="F227" s="194" t="str">
        <f>IFERROR(IF(VLOOKUP($A227,'Annex 2 Designated EHV charges'!$D:$P,11,FALSE)=0,"",VLOOKUP($A227,'Annex 2 Designated EHV charges'!$D:$P,11,FALSE)),"")</f>
        <v/>
      </c>
      <c r="G227" s="194" t="str">
        <f>IFERROR(IF(VLOOKUP($A227,'Annex 2 Designated EHV charges'!$D:$P,12,FALSE)=0,"",VLOOKUP($A227,'Annex 2 Designated EHV charges'!$D:$P,12,FALSE)),"")</f>
        <v/>
      </c>
      <c r="H227" s="194" t="str">
        <f>IFERROR(IF(VLOOKUP($A227,'Annex 2 Designated EHV charges'!$D:$P,13,FALSE)=0,"",VLOOKUP($A227,'Annex 2 Designated EHV charges'!$D:$P,13,FALSE)),"")</f>
        <v/>
      </c>
    </row>
    <row r="228" spans="1:8" x14ac:dyDescent="0.35">
      <c r="A228" s="189" t="str" cm="1">
        <f t="array" ref="A228">IFERROR(INDEX('Annex 2 Designated EHV charges'!$D$10:$D$200, MATCH(0, IF(ISBLANK('Annex 2 Designated EHV charges'!$D$10:$D$200),1, COUNTIF(A$4:$A227, 'Annex 2 Designated EHV charges'!$D$10:$D$200)), 0)),"")</f>
        <v/>
      </c>
      <c r="B228" s="190" t="str">
        <f>IF($A228="","",VLOOKUP($A228,'Annex 2 Designated EHV charges'!$D:$O,2,0))</f>
        <v/>
      </c>
      <c r="C228" s="189" t="str">
        <f>IF($A228="","",VLOOKUP($A228,'Annex 2 Designated EHV charges'!$D:$O,3,0))</f>
        <v/>
      </c>
      <c r="D228" s="190" t="str">
        <f>IF($A228="","",VLOOKUP($A228,'Annex 2 Designated EHV charges'!$D:$O,4,0))</f>
        <v/>
      </c>
      <c r="E228" s="191" t="str">
        <f>IFERROR(IF(VLOOKUP($A228,'Annex 2 Designated EHV charges'!$D:$P,10,FALSE)=0,"",VLOOKUP($A228,'Annex 2 Designated EHV charges'!$D:$P,10,FALSE)),"")</f>
        <v/>
      </c>
      <c r="F228" s="194" t="str">
        <f>IFERROR(IF(VLOOKUP($A228,'Annex 2 Designated EHV charges'!$D:$P,11,FALSE)=0,"",VLOOKUP($A228,'Annex 2 Designated EHV charges'!$D:$P,11,FALSE)),"")</f>
        <v/>
      </c>
      <c r="G228" s="194" t="str">
        <f>IFERROR(IF(VLOOKUP($A228,'Annex 2 Designated EHV charges'!$D:$P,12,FALSE)=0,"",VLOOKUP($A228,'Annex 2 Designated EHV charges'!$D:$P,12,FALSE)),"")</f>
        <v/>
      </c>
      <c r="H228" s="194" t="str">
        <f>IFERROR(IF(VLOOKUP($A228,'Annex 2 Designated EHV charges'!$D:$P,13,FALSE)=0,"",VLOOKUP($A228,'Annex 2 Designated EHV charges'!$D:$P,13,FALSE)),"")</f>
        <v/>
      </c>
    </row>
    <row r="229" spans="1:8" x14ac:dyDescent="0.35">
      <c r="A229" s="189" t="str" cm="1">
        <f t="array" ref="A229">IFERROR(INDEX('Annex 2 Designated EHV charges'!$D$10:$D$200, MATCH(0, IF(ISBLANK('Annex 2 Designated EHV charges'!$D$10:$D$200),1, COUNTIF(A$4:$A228, 'Annex 2 Designated EHV charges'!$D$10:$D$200)), 0)),"")</f>
        <v/>
      </c>
      <c r="B229" s="190" t="str">
        <f>IF($A229="","",VLOOKUP($A229,'Annex 2 Designated EHV charges'!$D:$O,2,0))</f>
        <v/>
      </c>
      <c r="C229" s="189" t="str">
        <f>IF($A229="","",VLOOKUP($A229,'Annex 2 Designated EHV charges'!$D:$O,3,0))</f>
        <v/>
      </c>
      <c r="D229" s="190" t="str">
        <f>IF($A229="","",VLOOKUP($A229,'Annex 2 Designated EHV charges'!$D:$O,4,0))</f>
        <v/>
      </c>
      <c r="E229" s="191" t="str">
        <f>IFERROR(IF(VLOOKUP($A229,'Annex 2 Designated EHV charges'!$D:$P,10,FALSE)=0,"",VLOOKUP($A229,'Annex 2 Designated EHV charges'!$D:$P,10,FALSE)),"")</f>
        <v/>
      </c>
      <c r="F229" s="194" t="str">
        <f>IFERROR(IF(VLOOKUP($A229,'Annex 2 Designated EHV charges'!$D:$P,11,FALSE)=0,"",VLOOKUP($A229,'Annex 2 Designated EHV charges'!$D:$P,11,FALSE)),"")</f>
        <v/>
      </c>
      <c r="G229" s="194" t="str">
        <f>IFERROR(IF(VLOOKUP($A229,'Annex 2 Designated EHV charges'!$D:$P,12,FALSE)=0,"",VLOOKUP($A229,'Annex 2 Designated EHV charges'!$D:$P,12,FALSE)),"")</f>
        <v/>
      </c>
      <c r="H229" s="194" t="str">
        <f>IFERROR(IF(VLOOKUP($A229,'Annex 2 Designated EHV charges'!$D:$P,13,FALSE)=0,"",VLOOKUP($A229,'Annex 2 Designated EHV charges'!$D:$P,13,FALSE)),"")</f>
        <v/>
      </c>
    </row>
    <row r="230" spans="1:8" x14ac:dyDescent="0.35">
      <c r="A230" s="189" t="str" cm="1">
        <f t="array" ref="A230">IFERROR(INDEX('Annex 2 Designated EHV charges'!$D$10:$D$200, MATCH(0, IF(ISBLANK('Annex 2 Designated EHV charges'!$D$10:$D$200),1, COUNTIF(A$4:$A229, 'Annex 2 Designated EHV charges'!$D$10:$D$200)), 0)),"")</f>
        <v/>
      </c>
      <c r="B230" s="190" t="str">
        <f>IF($A230="","",VLOOKUP($A230,'Annex 2 Designated EHV charges'!$D:$O,2,0))</f>
        <v/>
      </c>
      <c r="C230" s="189" t="str">
        <f>IF($A230="","",VLOOKUP($A230,'Annex 2 Designated EHV charges'!$D:$O,3,0))</f>
        <v/>
      </c>
      <c r="D230" s="190" t="str">
        <f>IF($A230="","",VLOOKUP($A230,'Annex 2 Designated EHV charges'!$D:$O,4,0))</f>
        <v/>
      </c>
      <c r="E230" s="191" t="str">
        <f>IFERROR(IF(VLOOKUP($A230,'Annex 2 Designated EHV charges'!$D:$P,10,FALSE)=0,"",VLOOKUP($A230,'Annex 2 Designated EHV charges'!$D:$P,10,FALSE)),"")</f>
        <v/>
      </c>
      <c r="F230" s="194" t="str">
        <f>IFERROR(IF(VLOOKUP($A230,'Annex 2 Designated EHV charges'!$D:$P,11,FALSE)=0,"",VLOOKUP($A230,'Annex 2 Designated EHV charges'!$D:$P,11,FALSE)),"")</f>
        <v/>
      </c>
      <c r="G230" s="194" t="str">
        <f>IFERROR(IF(VLOOKUP($A230,'Annex 2 Designated EHV charges'!$D:$P,12,FALSE)=0,"",VLOOKUP($A230,'Annex 2 Designated EHV charges'!$D:$P,12,FALSE)),"")</f>
        <v/>
      </c>
      <c r="H230" s="194" t="str">
        <f>IFERROR(IF(VLOOKUP($A230,'Annex 2 Designated EHV charges'!$D:$P,13,FALSE)=0,"",VLOOKUP($A230,'Annex 2 Designated EHV charges'!$D:$P,13,FALSE)),"")</f>
        <v/>
      </c>
    </row>
    <row r="231" spans="1:8" x14ac:dyDescent="0.35">
      <c r="A231" s="189" t="str" cm="1">
        <f t="array" ref="A231">IFERROR(INDEX('Annex 2 Designated EHV charges'!$D$10:$D$200, MATCH(0, IF(ISBLANK('Annex 2 Designated EHV charges'!$D$10:$D$200),1, COUNTIF(A$4:$A230, 'Annex 2 Designated EHV charges'!$D$10:$D$200)), 0)),"")</f>
        <v/>
      </c>
      <c r="B231" s="190" t="str">
        <f>IF($A231="","",VLOOKUP($A231,'Annex 2 Designated EHV charges'!$D:$O,2,0))</f>
        <v/>
      </c>
      <c r="C231" s="189" t="str">
        <f>IF($A231="","",VLOOKUP($A231,'Annex 2 Designated EHV charges'!$D:$O,3,0))</f>
        <v/>
      </c>
      <c r="D231" s="190" t="str">
        <f>IF($A231="","",VLOOKUP($A231,'Annex 2 Designated EHV charges'!$D:$O,4,0))</f>
        <v/>
      </c>
      <c r="E231" s="191" t="str">
        <f>IFERROR(IF(VLOOKUP($A231,'Annex 2 Designated EHV charges'!$D:$P,10,FALSE)=0,"",VLOOKUP($A231,'Annex 2 Designated EHV charges'!$D:$P,10,FALSE)),"")</f>
        <v/>
      </c>
      <c r="F231" s="194" t="str">
        <f>IFERROR(IF(VLOOKUP($A231,'Annex 2 Designated EHV charges'!$D:$P,11,FALSE)=0,"",VLOOKUP($A231,'Annex 2 Designated EHV charges'!$D:$P,11,FALSE)),"")</f>
        <v/>
      </c>
      <c r="G231" s="194" t="str">
        <f>IFERROR(IF(VLOOKUP($A231,'Annex 2 Designated EHV charges'!$D:$P,12,FALSE)=0,"",VLOOKUP($A231,'Annex 2 Designated EHV charges'!$D:$P,12,FALSE)),"")</f>
        <v/>
      </c>
      <c r="H231" s="194" t="str">
        <f>IFERROR(IF(VLOOKUP($A231,'Annex 2 Designated EHV charges'!$D:$P,13,FALSE)=0,"",VLOOKUP($A231,'Annex 2 Designated EHV charges'!$D:$P,13,FALSE)),"")</f>
        <v/>
      </c>
    </row>
    <row r="232" spans="1:8" x14ac:dyDescent="0.35">
      <c r="A232" s="189" t="str" cm="1">
        <f t="array" ref="A232">IFERROR(INDEX('Annex 2 Designated EHV charges'!$D$10:$D$200, MATCH(0, IF(ISBLANK('Annex 2 Designated EHV charges'!$D$10:$D$200),1, COUNTIF(A$4:$A231, 'Annex 2 Designated EHV charges'!$D$10:$D$200)), 0)),"")</f>
        <v/>
      </c>
      <c r="B232" s="190" t="str">
        <f>IF($A232="","",VLOOKUP($A232,'Annex 2 Designated EHV charges'!$D:$O,2,0))</f>
        <v/>
      </c>
      <c r="C232" s="189" t="str">
        <f>IF($A232="","",VLOOKUP($A232,'Annex 2 Designated EHV charges'!$D:$O,3,0))</f>
        <v/>
      </c>
      <c r="D232" s="190" t="str">
        <f>IF($A232="","",VLOOKUP($A232,'Annex 2 Designated EHV charges'!$D:$O,4,0))</f>
        <v/>
      </c>
      <c r="E232" s="191" t="str">
        <f>IFERROR(IF(VLOOKUP($A232,'Annex 2 Designated EHV charges'!$D:$P,10,FALSE)=0,"",VLOOKUP($A232,'Annex 2 Designated EHV charges'!$D:$P,10,FALSE)),"")</f>
        <v/>
      </c>
      <c r="F232" s="194" t="str">
        <f>IFERROR(IF(VLOOKUP($A232,'Annex 2 Designated EHV charges'!$D:$P,11,FALSE)=0,"",VLOOKUP($A232,'Annex 2 Designated EHV charges'!$D:$P,11,FALSE)),"")</f>
        <v/>
      </c>
      <c r="G232" s="194" t="str">
        <f>IFERROR(IF(VLOOKUP($A232,'Annex 2 Designated EHV charges'!$D:$P,12,FALSE)=0,"",VLOOKUP($A232,'Annex 2 Designated EHV charges'!$D:$P,12,FALSE)),"")</f>
        <v/>
      </c>
      <c r="H232" s="194" t="str">
        <f>IFERROR(IF(VLOOKUP($A232,'Annex 2 Designated EHV charges'!$D:$P,13,FALSE)=0,"",VLOOKUP($A232,'Annex 2 Designated EHV charges'!$D:$P,13,FALSE)),"")</f>
        <v/>
      </c>
    </row>
    <row r="233" spans="1:8" x14ac:dyDescent="0.35">
      <c r="A233" s="189" t="str" cm="1">
        <f t="array" ref="A233">IFERROR(INDEX('Annex 2 Designated EHV charges'!$D$10:$D$200, MATCH(0, IF(ISBLANK('Annex 2 Designated EHV charges'!$D$10:$D$200),1, COUNTIF(A$4:$A232, 'Annex 2 Designated EHV charges'!$D$10:$D$200)), 0)),"")</f>
        <v/>
      </c>
      <c r="B233" s="190" t="str">
        <f>IF($A233="","",VLOOKUP($A233,'Annex 2 Designated EHV charges'!$D:$O,2,0))</f>
        <v/>
      </c>
      <c r="C233" s="189" t="str">
        <f>IF($A233="","",VLOOKUP($A233,'Annex 2 Designated EHV charges'!$D:$O,3,0))</f>
        <v/>
      </c>
      <c r="D233" s="190" t="str">
        <f>IF($A233="","",VLOOKUP($A233,'Annex 2 Designated EHV charges'!$D:$O,4,0))</f>
        <v/>
      </c>
      <c r="E233" s="191" t="str">
        <f>IFERROR(IF(VLOOKUP($A233,'Annex 2 Designated EHV charges'!$D:$P,10,FALSE)=0,"",VLOOKUP($A233,'Annex 2 Designated EHV charges'!$D:$P,10,FALSE)),"")</f>
        <v/>
      </c>
      <c r="F233" s="194" t="str">
        <f>IFERROR(IF(VLOOKUP($A233,'Annex 2 Designated EHV charges'!$D:$P,11,FALSE)=0,"",VLOOKUP($A233,'Annex 2 Designated EHV charges'!$D:$P,11,FALSE)),"")</f>
        <v/>
      </c>
      <c r="G233" s="194" t="str">
        <f>IFERROR(IF(VLOOKUP($A233,'Annex 2 Designated EHV charges'!$D:$P,12,FALSE)=0,"",VLOOKUP($A233,'Annex 2 Designated EHV charges'!$D:$P,12,FALSE)),"")</f>
        <v/>
      </c>
      <c r="H233" s="194" t="str">
        <f>IFERROR(IF(VLOOKUP($A233,'Annex 2 Designated EHV charges'!$D:$P,13,FALSE)=0,"",VLOOKUP($A233,'Annex 2 Designated EHV charges'!$D:$P,13,FALSE)),"")</f>
        <v/>
      </c>
    </row>
    <row r="234" spans="1:8" x14ac:dyDescent="0.35">
      <c r="A234" s="189" t="str" cm="1">
        <f t="array" ref="A234">IFERROR(INDEX('Annex 2 Designated EHV charges'!$D$10:$D$200, MATCH(0, IF(ISBLANK('Annex 2 Designated EHV charges'!$D$10:$D$200),1, COUNTIF(A$4:$A233, 'Annex 2 Designated EHV charges'!$D$10:$D$200)), 0)),"")</f>
        <v/>
      </c>
      <c r="B234" s="190" t="str">
        <f>IF($A234="","",VLOOKUP($A234,'Annex 2 Designated EHV charges'!$D:$O,2,0))</f>
        <v/>
      </c>
      <c r="C234" s="189" t="str">
        <f>IF($A234="","",VLOOKUP($A234,'Annex 2 Designated EHV charges'!$D:$O,3,0))</f>
        <v/>
      </c>
      <c r="D234" s="190" t="str">
        <f>IF($A234="","",VLOOKUP($A234,'Annex 2 Designated EHV charges'!$D:$O,4,0))</f>
        <v/>
      </c>
      <c r="E234" s="191" t="str">
        <f>IFERROR(IF(VLOOKUP($A234,'Annex 2 Designated EHV charges'!$D:$P,10,FALSE)=0,"",VLOOKUP($A234,'Annex 2 Designated EHV charges'!$D:$P,10,FALSE)),"")</f>
        <v/>
      </c>
      <c r="F234" s="194" t="str">
        <f>IFERROR(IF(VLOOKUP($A234,'Annex 2 Designated EHV charges'!$D:$P,11,FALSE)=0,"",VLOOKUP($A234,'Annex 2 Designated EHV charges'!$D:$P,11,FALSE)),"")</f>
        <v/>
      </c>
      <c r="G234" s="194" t="str">
        <f>IFERROR(IF(VLOOKUP($A234,'Annex 2 Designated EHV charges'!$D:$P,12,FALSE)=0,"",VLOOKUP($A234,'Annex 2 Designated EHV charges'!$D:$P,12,FALSE)),"")</f>
        <v/>
      </c>
      <c r="H234" s="194" t="str">
        <f>IFERROR(IF(VLOOKUP($A234,'Annex 2 Designated EHV charges'!$D:$P,13,FALSE)=0,"",VLOOKUP($A234,'Annex 2 Designated EHV charges'!$D:$P,13,FALSE)),"")</f>
        <v/>
      </c>
    </row>
    <row r="235" spans="1:8" x14ac:dyDescent="0.35">
      <c r="A235" s="189" t="str" cm="1">
        <f t="array" ref="A235">IFERROR(INDEX('Annex 2 Designated EHV charges'!$D$10:$D$200, MATCH(0, IF(ISBLANK('Annex 2 Designated EHV charges'!$D$10:$D$200),1, COUNTIF(A$4:$A234, 'Annex 2 Designated EHV charges'!$D$10:$D$200)), 0)),"")</f>
        <v/>
      </c>
      <c r="B235" s="190" t="str">
        <f>IF($A235="","",VLOOKUP($A235,'Annex 2 Designated EHV charges'!$D:$O,2,0))</f>
        <v/>
      </c>
      <c r="C235" s="189" t="str">
        <f>IF($A235="","",VLOOKUP($A235,'Annex 2 Designated EHV charges'!$D:$O,3,0))</f>
        <v/>
      </c>
      <c r="D235" s="190" t="str">
        <f>IF($A235="","",VLOOKUP($A235,'Annex 2 Designated EHV charges'!$D:$O,4,0))</f>
        <v/>
      </c>
      <c r="E235" s="191" t="str">
        <f>IFERROR(IF(VLOOKUP($A235,'Annex 2 Designated EHV charges'!$D:$P,10,FALSE)=0,"",VLOOKUP($A235,'Annex 2 Designated EHV charges'!$D:$P,10,FALSE)),"")</f>
        <v/>
      </c>
      <c r="F235" s="194" t="str">
        <f>IFERROR(IF(VLOOKUP($A235,'Annex 2 Designated EHV charges'!$D:$P,11,FALSE)=0,"",VLOOKUP($A235,'Annex 2 Designated EHV charges'!$D:$P,11,FALSE)),"")</f>
        <v/>
      </c>
      <c r="G235" s="194" t="str">
        <f>IFERROR(IF(VLOOKUP($A235,'Annex 2 Designated EHV charges'!$D:$P,12,FALSE)=0,"",VLOOKUP($A235,'Annex 2 Designated EHV charges'!$D:$P,12,FALSE)),"")</f>
        <v/>
      </c>
      <c r="H235" s="194" t="str">
        <f>IFERROR(IF(VLOOKUP($A235,'Annex 2 Designated EHV charges'!$D:$P,13,FALSE)=0,"",VLOOKUP($A235,'Annex 2 Designated EHV charges'!$D:$P,13,FALSE)),"")</f>
        <v/>
      </c>
    </row>
    <row r="236" spans="1:8" x14ac:dyDescent="0.35">
      <c r="A236" s="189" t="str" cm="1">
        <f t="array" ref="A236">IFERROR(INDEX('Annex 2 Designated EHV charges'!$D$10:$D$200, MATCH(0, IF(ISBLANK('Annex 2 Designated EHV charges'!$D$10:$D$200),1, COUNTIF(A$4:$A235, 'Annex 2 Designated EHV charges'!$D$10:$D$200)), 0)),"")</f>
        <v/>
      </c>
      <c r="B236" s="190" t="str">
        <f>IF($A236="","",VLOOKUP($A236,'Annex 2 Designated EHV charges'!$D:$O,2,0))</f>
        <v/>
      </c>
      <c r="C236" s="189" t="str">
        <f>IF($A236="","",VLOOKUP($A236,'Annex 2 Designated EHV charges'!$D:$O,3,0))</f>
        <v/>
      </c>
      <c r="D236" s="190" t="str">
        <f>IF($A236="","",VLOOKUP($A236,'Annex 2 Designated EHV charges'!$D:$O,4,0))</f>
        <v/>
      </c>
      <c r="E236" s="191" t="str">
        <f>IFERROR(IF(VLOOKUP($A236,'Annex 2 Designated EHV charges'!$D:$P,10,FALSE)=0,"",VLOOKUP($A236,'Annex 2 Designated EHV charges'!$D:$P,10,FALSE)),"")</f>
        <v/>
      </c>
      <c r="F236" s="194" t="str">
        <f>IFERROR(IF(VLOOKUP($A236,'Annex 2 Designated EHV charges'!$D:$P,11,FALSE)=0,"",VLOOKUP($A236,'Annex 2 Designated EHV charges'!$D:$P,11,FALSE)),"")</f>
        <v/>
      </c>
      <c r="G236" s="194" t="str">
        <f>IFERROR(IF(VLOOKUP($A236,'Annex 2 Designated EHV charges'!$D:$P,12,FALSE)=0,"",VLOOKUP($A236,'Annex 2 Designated EHV charges'!$D:$P,12,FALSE)),"")</f>
        <v/>
      </c>
      <c r="H236" s="194" t="str">
        <f>IFERROR(IF(VLOOKUP($A236,'Annex 2 Designated EHV charges'!$D:$P,13,FALSE)=0,"",VLOOKUP($A236,'Annex 2 Designated EHV charges'!$D:$P,13,FALSE)),"")</f>
        <v/>
      </c>
    </row>
    <row r="237" spans="1:8" x14ac:dyDescent="0.35">
      <c r="A237" s="189" t="str" cm="1">
        <f t="array" ref="A237">IFERROR(INDEX('Annex 2 Designated EHV charges'!$D$10:$D$200, MATCH(0, IF(ISBLANK('Annex 2 Designated EHV charges'!$D$10:$D$200),1, COUNTIF(A$4:$A236, 'Annex 2 Designated EHV charges'!$D$10:$D$200)), 0)),"")</f>
        <v/>
      </c>
      <c r="B237" s="190" t="str">
        <f>IF($A237="","",VLOOKUP($A237,'Annex 2 Designated EHV charges'!$D:$O,2,0))</f>
        <v/>
      </c>
      <c r="C237" s="189" t="str">
        <f>IF($A237="","",VLOOKUP($A237,'Annex 2 Designated EHV charges'!$D:$O,3,0))</f>
        <v/>
      </c>
      <c r="D237" s="190" t="str">
        <f>IF($A237="","",VLOOKUP($A237,'Annex 2 Designated EHV charges'!$D:$O,4,0))</f>
        <v/>
      </c>
      <c r="E237" s="191" t="str">
        <f>IFERROR(IF(VLOOKUP($A237,'Annex 2 Designated EHV charges'!$D:$P,10,FALSE)=0,"",VLOOKUP($A237,'Annex 2 Designated EHV charges'!$D:$P,10,FALSE)),"")</f>
        <v/>
      </c>
      <c r="F237" s="194" t="str">
        <f>IFERROR(IF(VLOOKUP($A237,'Annex 2 Designated EHV charges'!$D:$P,11,FALSE)=0,"",VLOOKUP($A237,'Annex 2 Designated EHV charges'!$D:$P,11,FALSE)),"")</f>
        <v/>
      </c>
      <c r="G237" s="194" t="str">
        <f>IFERROR(IF(VLOOKUP($A237,'Annex 2 Designated EHV charges'!$D:$P,12,FALSE)=0,"",VLOOKUP($A237,'Annex 2 Designated EHV charges'!$D:$P,12,FALSE)),"")</f>
        <v/>
      </c>
      <c r="H237" s="194" t="str">
        <f>IFERROR(IF(VLOOKUP($A237,'Annex 2 Designated EHV charges'!$D:$P,13,FALSE)=0,"",VLOOKUP($A237,'Annex 2 Designated EHV charges'!$D:$P,13,FALSE)),"")</f>
        <v/>
      </c>
    </row>
    <row r="238" spans="1:8" x14ac:dyDescent="0.35">
      <c r="A238" s="189" t="str" cm="1">
        <f t="array" ref="A238">IFERROR(INDEX('Annex 2 Designated EHV charges'!$D$10:$D$200, MATCH(0, IF(ISBLANK('Annex 2 Designated EHV charges'!$D$10:$D$200),1, COUNTIF(A$4:$A237, 'Annex 2 Designated EHV charges'!$D$10:$D$200)), 0)),"")</f>
        <v/>
      </c>
      <c r="B238" s="190" t="str">
        <f>IF($A238="","",VLOOKUP($A238,'Annex 2 Designated EHV charges'!$D:$O,2,0))</f>
        <v/>
      </c>
      <c r="C238" s="189" t="str">
        <f>IF($A238="","",VLOOKUP($A238,'Annex 2 Designated EHV charges'!$D:$O,3,0))</f>
        <v/>
      </c>
      <c r="D238" s="190" t="str">
        <f>IF($A238="","",VLOOKUP($A238,'Annex 2 Designated EHV charges'!$D:$O,4,0))</f>
        <v/>
      </c>
      <c r="E238" s="191" t="str">
        <f>IFERROR(IF(VLOOKUP($A238,'Annex 2 Designated EHV charges'!$D:$P,10,FALSE)=0,"",VLOOKUP($A238,'Annex 2 Designated EHV charges'!$D:$P,10,FALSE)),"")</f>
        <v/>
      </c>
      <c r="F238" s="194" t="str">
        <f>IFERROR(IF(VLOOKUP($A238,'Annex 2 Designated EHV charges'!$D:$P,11,FALSE)=0,"",VLOOKUP($A238,'Annex 2 Designated EHV charges'!$D:$P,11,FALSE)),"")</f>
        <v/>
      </c>
      <c r="G238" s="194" t="str">
        <f>IFERROR(IF(VLOOKUP($A238,'Annex 2 Designated EHV charges'!$D:$P,12,FALSE)=0,"",VLOOKUP($A238,'Annex 2 Designated EHV charges'!$D:$P,12,FALSE)),"")</f>
        <v/>
      </c>
      <c r="H238" s="194" t="str">
        <f>IFERROR(IF(VLOOKUP($A238,'Annex 2 Designated EHV charges'!$D:$P,13,FALSE)=0,"",VLOOKUP($A238,'Annex 2 Designated EHV charges'!$D:$P,13,FALSE)),"")</f>
        <v/>
      </c>
    </row>
    <row r="239" spans="1:8" x14ac:dyDescent="0.35">
      <c r="A239" s="189" t="str" cm="1">
        <f t="array" ref="A239">IFERROR(INDEX('Annex 2 Designated EHV charges'!$D$10:$D$200, MATCH(0, IF(ISBLANK('Annex 2 Designated EHV charges'!$D$10:$D$200),1, COUNTIF(A$4:$A238, 'Annex 2 Designated EHV charges'!$D$10:$D$200)), 0)),"")</f>
        <v/>
      </c>
      <c r="B239" s="190" t="str">
        <f>IF($A239="","",VLOOKUP($A239,'Annex 2 Designated EHV charges'!$D:$O,2,0))</f>
        <v/>
      </c>
      <c r="C239" s="189" t="str">
        <f>IF($A239="","",VLOOKUP($A239,'Annex 2 Designated EHV charges'!$D:$O,3,0))</f>
        <v/>
      </c>
      <c r="D239" s="190" t="str">
        <f>IF($A239="","",VLOOKUP($A239,'Annex 2 Designated EHV charges'!$D:$O,4,0))</f>
        <v/>
      </c>
      <c r="E239" s="191" t="str">
        <f>IFERROR(IF(VLOOKUP($A239,'Annex 2 Designated EHV charges'!$D:$P,10,FALSE)=0,"",VLOOKUP($A239,'Annex 2 Designated EHV charges'!$D:$P,10,FALSE)),"")</f>
        <v/>
      </c>
      <c r="F239" s="194" t="str">
        <f>IFERROR(IF(VLOOKUP($A239,'Annex 2 Designated EHV charges'!$D:$P,11,FALSE)=0,"",VLOOKUP($A239,'Annex 2 Designated EHV charges'!$D:$P,11,FALSE)),"")</f>
        <v/>
      </c>
      <c r="G239" s="194" t="str">
        <f>IFERROR(IF(VLOOKUP($A239,'Annex 2 Designated EHV charges'!$D:$P,12,FALSE)=0,"",VLOOKUP($A239,'Annex 2 Designated EHV charges'!$D:$P,12,FALSE)),"")</f>
        <v/>
      </c>
      <c r="H239" s="194" t="str">
        <f>IFERROR(IF(VLOOKUP($A239,'Annex 2 Designated EHV charges'!$D:$P,13,FALSE)=0,"",VLOOKUP($A239,'Annex 2 Designated EHV charges'!$D:$P,13,FALSE)),"")</f>
        <v/>
      </c>
    </row>
    <row r="240" spans="1:8" x14ac:dyDescent="0.35">
      <c r="A240" s="189" t="str" cm="1">
        <f t="array" ref="A240">IFERROR(INDEX('Annex 2 Designated EHV charges'!$D$10:$D$200, MATCH(0, IF(ISBLANK('Annex 2 Designated EHV charges'!$D$10:$D$200),1, COUNTIF(A$4:$A239, 'Annex 2 Designated EHV charges'!$D$10:$D$200)), 0)),"")</f>
        <v/>
      </c>
      <c r="B240" s="190" t="str">
        <f>IF($A240="","",VLOOKUP($A240,'Annex 2 Designated EHV charges'!$D:$O,2,0))</f>
        <v/>
      </c>
      <c r="C240" s="189" t="str">
        <f>IF($A240="","",VLOOKUP($A240,'Annex 2 Designated EHV charges'!$D:$O,3,0))</f>
        <v/>
      </c>
      <c r="D240" s="190" t="str">
        <f>IF($A240="","",VLOOKUP($A240,'Annex 2 Designated EHV charges'!$D:$O,4,0))</f>
        <v/>
      </c>
      <c r="E240" s="191" t="str">
        <f>IFERROR(IF(VLOOKUP($A240,'Annex 2 Designated EHV charges'!$D:$P,10,FALSE)=0,"",VLOOKUP($A240,'Annex 2 Designated EHV charges'!$D:$P,10,FALSE)),"")</f>
        <v/>
      </c>
      <c r="F240" s="194" t="str">
        <f>IFERROR(IF(VLOOKUP($A240,'Annex 2 Designated EHV charges'!$D:$P,11,FALSE)=0,"",VLOOKUP($A240,'Annex 2 Designated EHV charges'!$D:$P,11,FALSE)),"")</f>
        <v/>
      </c>
      <c r="G240" s="194" t="str">
        <f>IFERROR(IF(VLOOKUP($A240,'Annex 2 Designated EHV charges'!$D:$P,12,FALSE)=0,"",VLOOKUP($A240,'Annex 2 Designated EHV charges'!$D:$P,12,FALSE)),"")</f>
        <v/>
      </c>
      <c r="H240" s="194" t="str">
        <f>IFERROR(IF(VLOOKUP($A240,'Annex 2 Designated EHV charges'!$D:$P,13,FALSE)=0,"",VLOOKUP($A240,'Annex 2 Designated EHV charges'!$D:$P,13,FALSE)),"")</f>
        <v/>
      </c>
    </row>
    <row r="241" spans="1:8" x14ac:dyDescent="0.35">
      <c r="A241" s="189" t="str" cm="1">
        <f t="array" ref="A241">IFERROR(INDEX('Annex 2 Designated EHV charges'!$D$10:$D$200, MATCH(0, IF(ISBLANK('Annex 2 Designated EHV charges'!$D$10:$D$200),1, COUNTIF(A$4:$A240, 'Annex 2 Designated EHV charges'!$D$10:$D$200)), 0)),"")</f>
        <v/>
      </c>
      <c r="B241" s="190" t="str">
        <f>IF($A241="","",VLOOKUP($A241,'Annex 2 Designated EHV charges'!$D:$O,2,0))</f>
        <v/>
      </c>
      <c r="C241" s="189" t="str">
        <f>IF($A241="","",VLOOKUP($A241,'Annex 2 Designated EHV charges'!$D:$O,3,0))</f>
        <v/>
      </c>
      <c r="D241" s="190" t="str">
        <f>IF($A241="","",VLOOKUP($A241,'Annex 2 Designated EHV charges'!$D:$O,4,0))</f>
        <v/>
      </c>
      <c r="E241" s="191" t="str">
        <f>IFERROR(IF(VLOOKUP($A241,'Annex 2 Designated EHV charges'!$D:$P,10,FALSE)=0,"",VLOOKUP($A241,'Annex 2 Designated EHV charges'!$D:$P,10,FALSE)),"")</f>
        <v/>
      </c>
      <c r="F241" s="194" t="str">
        <f>IFERROR(IF(VLOOKUP($A241,'Annex 2 Designated EHV charges'!$D:$P,11,FALSE)=0,"",VLOOKUP($A241,'Annex 2 Designated EHV charges'!$D:$P,11,FALSE)),"")</f>
        <v/>
      </c>
      <c r="G241" s="194" t="str">
        <f>IFERROR(IF(VLOOKUP($A241,'Annex 2 Designated EHV charges'!$D:$P,12,FALSE)=0,"",VLOOKUP($A241,'Annex 2 Designated EHV charges'!$D:$P,12,FALSE)),"")</f>
        <v/>
      </c>
      <c r="H241" s="194" t="str">
        <f>IFERROR(IF(VLOOKUP($A241,'Annex 2 Designated EHV charges'!$D:$P,13,FALSE)=0,"",VLOOKUP($A241,'Annex 2 Designated EHV charges'!$D:$P,13,FALSE)),"")</f>
        <v/>
      </c>
    </row>
    <row r="242" spans="1:8" x14ac:dyDescent="0.35">
      <c r="A242" s="189" t="str" cm="1">
        <f t="array" ref="A242">IFERROR(INDEX('Annex 2 Designated EHV charges'!$D$10:$D$200, MATCH(0, IF(ISBLANK('Annex 2 Designated EHV charges'!$D$10:$D$200),1, COUNTIF(A$4:$A241, 'Annex 2 Designated EHV charges'!$D$10:$D$200)), 0)),"")</f>
        <v/>
      </c>
      <c r="B242" s="190" t="str">
        <f>IF($A242="","",VLOOKUP($A242,'Annex 2 Designated EHV charges'!$D:$O,2,0))</f>
        <v/>
      </c>
      <c r="C242" s="189" t="str">
        <f>IF($A242="","",VLOOKUP($A242,'Annex 2 Designated EHV charges'!$D:$O,3,0))</f>
        <v/>
      </c>
      <c r="D242" s="190" t="str">
        <f>IF($A242="","",VLOOKUP($A242,'Annex 2 Designated EHV charges'!$D:$O,4,0))</f>
        <v/>
      </c>
      <c r="E242" s="191" t="str">
        <f>IFERROR(IF(VLOOKUP($A242,'Annex 2 Designated EHV charges'!$D:$P,10,FALSE)=0,"",VLOOKUP($A242,'Annex 2 Designated EHV charges'!$D:$P,10,FALSE)),"")</f>
        <v/>
      </c>
      <c r="F242" s="194" t="str">
        <f>IFERROR(IF(VLOOKUP($A242,'Annex 2 Designated EHV charges'!$D:$P,11,FALSE)=0,"",VLOOKUP($A242,'Annex 2 Designated EHV charges'!$D:$P,11,FALSE)),"")</f>
        <v/>
      </c>
      <c r="G242" s="194" t="str">
        <f>IFERROR(IF(VLOOKUP($A242,'Annex 2 Designated EHV charges'!$D:$P,12,FALSE)=0,"",VLOOKUP($A242,'Annex 2 Designated EHV charges'!$D:$P,12,FALSE)),"")</f>
        <v/>
      </c>
      <c r="H242" s="194" t="str">
        <f>IFERROR(IF(VLOOKUP($A242,'Annex 2 Designated EHV charges'!$D:$P,13,FALSE)=0,"",VLOOKUP($A242,'Annex 2 Designated EHV charges'!$D:$P,13,FALSE)),"")</f>
        <v/>
      </c>
    </row>
    <row r="243" spans="1:8" x14ac:dyDescent="0.35">
      <c r="A243" s="189" t="str" cm="1">
        <f t="array" ref="A243">IFERROR(INDEX('Annex 2 Designated EHV charges'!$D$10:$D$200, MATCH(0, IF(ISBLANK('Annex 2 Designated EHV charges'!$D$10:$D$200),1, COUNTIF(A$4:$A242, 'Annex 2 Designated EHV charges'!$D$10:$D$200)), 0)),"")</f>
        <v/>
      </c>
      <c r="B243" s="190" t="str">
        <f>IF($A243="","",VLOOKUP($A243,'Annex 2 Designated EHV charges'!$D:$O,2,0))</f>
        <v/>
      </c>
      <c r="C243" s="189" t="str">
        <f>IF($A243="","",VLOOKUP($A243,'Annex 2 Designated EHV charges'!$D:$O,3,0))</f>
        <v/>
      </c>
      <c r="D243" s="190" t="str">
        <f>IF($A243="","",VLOOKUP($A243,'Annex 2 Designated EHV charges'!$D:$O,4,0))</f>
        <v/>
      </c>
      <c r="E243" s="191" t="str">
        <f>IFERROR(IF(VLOOKUP($A243,'Annex 2 Designated EHV charges'!$D:$P,10,FALSE)=0,"",VLOOKUP($A243,'Annex 2 Designated EHV charges'!$D:$P,10,FALSE)),"")</f>
        <v/>
      </c>
      <c r="F243" s="194" t="str">
        <f>IFERROR(IF(VLOOKUP($A243,'Annex 2 Designated EHV charges'!$D:$P,11,FALSE)=0,"",VLOOKUP($A243,'Annex 2 Designated EHV charges'!$D:$P,11,FALSE)),"")</f>
        <v/>
      </c>
      <c r="G243" s="194" t="str">
        <f>IFERROR(IF(VLOOKUP($A243,'Annex 2 Designated EHV charges'!$D:$P,12,FALSE)=0,"",VLOOKUP($A243,'Annex 2 Designated EHV charges'!$D:$P,12,FALSE)),"")</f>
        <v/>
      </c>
      <c r="H243" s="194" t="str">
        <f>IFERROR(IF(VLOOKUP($A243,'Annex 2 Designated EHV charges'!$D:$P,13,FALSE)=0,"",VLOOKUP($A243,'Annex 2 Designated EHV charges'!$D:$P,13,FALSE)),"")</f>
        <v/>
      </c>
    </row>
    <row r="244" spans="1:8" x14ac:dyDescent="0.35">
      <c r="A244" s="189" t="str" cm="1">
        <f t="array" ref="A244">IFERROR(INDEX('Annex 2 Designated EHV charges'!$D$10:$D$200, MATCH(0, IF(ISBLANK('Annex 2 Designated EHV charges'!$D$10:$D$200),1, COUNTIF(A$4:$A243, 'Annex 2 Designated EHV charges'!$D$10:$D$200)), 0)),"")</f>
        <v/>
      </c>
      <c r="B244" s="190" t="str">
        <f>IF($A244="","",VLOOKUP($A244,'Annex 2 Designated EHV charges'!$D:$O,2,0))</f>
        <v/>
      </c>
      <c r="C244" s="189" t="str">
        <f>IF($A244="","",VLOOKUP($A244,'Annex 2 Designated EHV charges'!$D:$O,3,0))</f>
        <v/>
      </c>
      <c r="D244" s="190" t="str">
        <f>IF($A244="","",VLOOKUP($A244,'Annex 2 Designated EHV charges'!$D:$O,4,0))</f>
        <v/>
      </c>
      <c r="E244" s="191" t="str">
        <f>IFERROR(IF(VLOOKUP($A244,'Annex 2 Designated EHV charges'!$D:$P,10,FALSE)=0,"",VLOOKUP($A244,'Annex 2 Designated EHV charges'!$D:$P,10,FALSE)),"")</f>
        <v/>
      </c>
      <c r="F244" s="194" t="str">
        <f>IFERROR(IF(VLOOKUP($A244,'Annex 2 Designated EHV charges'!$D:$P,11,FALSE)=0,"",VLOOKUP($A244,'Annex 2 Designated EHV charges'!$D:$P,11,FALSE)),"")</f>
        <v/>
      </c>
      <c r="G244" s="194" t="str">
        <f>IFERROR(IF(VLOOKUP($A244,'Annex 2 Designated EHV charges'!$D:$P,12,FALSE)=0,"",VLOOKUP($A244,'Annex 2 Designated EHV charges'!$D:$P,12,FALSE)),"")</f>
        <v/>
      </c>
      <c r="H244" s="194" t="str">
        <f>IFERROR(IF(VLOOKUP($A244,'Annex 2 Designated EHV charges'!$D:$P,13,FALSE)=0,"",VLOOKUP($A244,'Annex 2 Designated EHV charges'!$D:$P,13,FALSE)),"")</f>
        <v/>
      </c>
    </row>
    <row r="245" spans="1:8" x14ac:dyDescent="0.35">
      <c r="A245" s="189" t="str" cm="1">
        <f t="array" ref="A245">IFERROR(INDEX('Annex 2 Designated EHV charges'!$D$10:$D$200, MATCH(0, IF(ISBLANK('Annex 2 Designated EHV charges'!$D$10:$D$200),1, COUNTIF(A$4:$A244, 'Annex 2 Designated EHV charges'!$D$10:$D$200)), 0)),"")</f>
        <v/>
      </c>
      <c r="B245" s="190" t="str">
        <f>IF($A245="","",VLOOKUP($A245,'Annex 2 Designated EHV charges'!$D:$O,2,0))</f>
        <v/>
      </c>
      <c r="C245" s="189" t="str">
        <f>IF($A245="","",VLOOKUP($A245,'Annex 2 Designated EHV charges'!$D:$O,3,0))</f>
        <v/>
      </c>
      <c r="D245" s="190" t="str">
        <f>IF($A245="","",VLOOKUP($A245,'Annex 2 Designated EHV charges'!$D:$O,4,0))</f>
        <v/>
      </c>
      <c r="E245" s="191" t="str">
        <f>IFERROR(IF(VLOOKUP($A245,'Annex 2 Designated EHV charges'!$D:$P,10,FALSE)=0,"",VLOOKUP($A245,'Annex 2 Designated EHV charges'!$D:$P,10,FALSE)),"")</f>
        <v/>
      </c>
      <c r="F245" s="194" t="str">
        <f>IFERROR(IF(VLOOKUP($A245,'Annex 2 Designated EHV charges'!$D:$P,11,FALSE)=0,"",VLOOKUP($A245,'Annex 2 Designated EHV charges'!$D:$P,11,FALSE)),"")</f>
        <v/>
      </c>
      <c r="G245" s="194" t="str">
        <f>IFERROR(IF(VLOOKUP($A245,'Annex 2 Designated EHV charges'!$D:$P,12,FALSE)=0,"",VLOOKUP($A245,'Annex 2 Designated EHV charges'!$D:$P,12,FALSE)),"")</f>
        <v/>
      </c>
      <c r="H245" s="194" t="str">
        <f>IFERROR(IF(VLOOKUP($A245,'Annex 2 Designated EHV charges'!$D:$P,13,FALSE)=0,"",VLOOKUP($A245,'Annex 2 Designated EHV charges'!$D:$P,13,FALSE)),"")</f>
        <v/>
      </c>
    </row>
    <row r="246" spans="1:8" x14ac:dyDescent="0.35">
      <c r="A246" s="189" t="str" cm="1">
        <f t="array" ref="A246">IFERROR(INDEX('Annex 2 Designated EHV charges'!$D$10:$D$200, MATCH(0, IF(ISBLANK('Annex 2 Designated EHV charges'!$D$10:$D$200),1, COUNTIF(A$4:$A245, 'Annex 2 Designated EHV charges'!$D$10:$D$200)), 0)),"")</f>
        <v/>
      </c>
      <c r="B246" s="190" t="str">
        <f>IF($A246="","",VLOOKUP($A246,'Annex 2 Designated EHV charges'!$D:$O,2,0))</f>
        <v/>
      </c>
      <c r="C246" s="189" t="str">
        <f>IF($A246="","",VLOOKUP($A246,'Annex 2 Designated EHV charges'!$D:$O,3,0))</f>
        <v/>
      </c>
      <c r="D246" s="190" t="str">
        <f>IF($A246="","",VLOOKUP($A246,'Annex 2 Designated EHV charges'!$D:$O,4,0))</f>
        <v/>
      </c>
      <c r="E246" s="191" t="str">
        <f>IFERROR(IF(VLOOKUP($A246,'Annex 2 Designated EHV charges'!$D:$P,10,FALSE)=0,"",VLOOKUP($A246,'Annex 2 Designated EHV charges'!$D:$P,10,FALSE)),"")</f>
        <v/>
      </c>
      <c r="F246" s="194" t="str">
        <f>IFERROR(IF(VLOOKUP($A246,'Annex 2 Designated EHV charges'!$D:$P,11,FALSE)=0,"",VLOOKUP($A246,'Annex 2 Designated EHV charges'!$D:$P,11,FALSE)),"")</f>
        <v/>
      </c>
      <c r="G246" s="194" t="str">
        <f>IFERROR(IF(VLOOKUP($A246,'Annex 2 Designated EHV charges'!$D:$P,12,FALSE)=0,"",VLOOKUP($A246,'Annex 2 Designated EHV charges'!$D:$P,12,FALSE)),"")</f>
        <v/>
      </c>
      <c r="H246" s="194" t="str">
        <f>IFERROR(IF(VLOOKUP($A246,'Annex 2 Designated EHV charges'!$D:$P,13,FALSE)=0,"",VLOOKUP($A246,'Annex 2 Designated EHV charges'!$D:$P,13,FALSE)),"")</f>
        <v/>
      </c>
    </row>
    <row r="247" spans="1:8" x14ac:dyDescent="0.35">
      <c r="A247" s="189" t="str" cm="1">
        <f t="array" ref="A247">IFERROR(INDEX('Annex 2 Designated EHV charges'!$D$10:$D$200, MATCH(0, IF(ISBLANK('Annex 2 Designated EHV charges'!$D$10:$D$200),1, COUNTIF(A$4:$A246, 'Annex 2 Designated EHV charges'!$D$10:$D$200)), 0)),"")</f>
        <v/>
      </c>
      <c r="B247" s="190" t="str">
        <f>IF($A247="","",VLOOKUP($A247,'Annex 2 Designated EHV charges'!$D:$O,2,0))</f>
        <v/>
      </c>
      <c r="C247" s="189" t="str">
        <f>IF($A247="","",VLOOKUP($A247,'Annex 2 Designated EHV charges'!$D:$O,3,0))</f>
        <v/>
      </c>
      <c r="D247" s="190" t="str">
        <f>IF($A247="","",VLOOKUP($A247,'Annex 2 Designated EHV charges'!$D:$O,4,0))</f>
        <v/>
      </c>
      <c r="E247" s="191" t="str">
        <f>IFERROR(IF(VLOOKUP($A247,'Annex 2 Designated EHV charges'!$D:$P,10,FALSE)=0,"",VLOOKUP($A247,'Annex 2 Designated EHV charges'!$D:$P,10,FALSE)),"")</f>
        <v/>
      </c>
      <c r="F247" s="194" t="str">
        <f>IFERROR(IF(VLOOKUP($A247,'Annex 2 Designated EHV charges'!$D:$P,11,FALSE)=0,"",VLOOKUP($A247,'Annex 2 Designated EHV charges'!$D:$P,11,FALSE)),"")</f>
        <v/>
      </c>
      <c r="G247" s="194" t="str">
        <f>IFERROR(IF(VLOOKUP($A247,'Annex 2 Designated EHV charges'!$D:$P,12,FALSE)=0,"",VLOOKUP($A247,'Annex 2 Designated EHV charges'!$D:$P,12,FALSE)),"")</f>
        <v/>
      </c>
      <c r="H247" s="194" t="str">
        <f>IFERROR(IF(VLOOKUP($A247,'Annex 2 Designated EHV charges'!$D:$P,13,FALSE)=0,"",VLOOKUP($A247,'Annex 2 Designated EHV charges'!$D:$P,13,FALSE)),"")</f>
        <v/>
      </c>
    </row>
    <row r="248" spans="1:8" x14ac:dyDescent="0.35">
      <c r="A248" s="189" t="str" cm="1">
        <f t="array" ref="A248">IFERROR(INDEX('Annex 2 Designated EHV charges'!$D$10:$D$200, MATCH(0, IF(ISBLANK('Annex 2 Designated EHV charges'!$D$10:$D$200),1, COUNTIF(A$4:$A247, 'Annex 2 Designated EHV charges'!$D$10:$D$200)), 0)),"")</f>
        <v/>
      </c>
      <c r="B248" s="190" t="str">
        <f>IF($A248="","",VLOOKUP($A248,'Annex 2 Designated EHV charges'!$D:$O,2,0))</f>
        <v/>
      </c>
      <c r="C248" s="189" t="str">
        <f>IF($A248="","",VLOOKUP($A248,'Annex 2 Designated EHV charges'!$D:$O,3,0))</f>
        <v/>
      </c>
      <c r="D248" s="190" t="str">
        <f>IF($A248="","",VLOOKUP($A248,'Annex 2 Designated EHV charges'!$D:$O,4,0))</f>
        <v/>
      </c>
      <c r="E248" s="191" t="str">
        <f>IFERROR(IF(VLOOKUP($A248,'Annex 2 Designated EHV charges'!$D:$P,10,FALSE)=0,"",VLOOKUP($A248,'Annex 2 Designated EHV charges'!$D:$P,10,FALSE)),"")</f>
        <v/>
      </c>
      <c r="F248" s="194" t="str">
        <f>IFERROR(IF(VLOOKUP($A248,'Annex 2 Designated EHV charges'!$D:$P,11,FALSE)=0,"",VLOOKUP($A248,'Annex 2 Designated EHV charges'!$D:$P,11,FALSE)),"")</f>
        <v/>
      </c>
      <c r="G248" s="194" t="str">
        <f>IFERROR(IF(VLOOKUP($A248,'Annex 2 Designated EHV charges'!$D:$P,12,FALSE)=0,"",VLOOKUP($A248,'Annex 2 Designated EHV charges'!$D:$P,12,FALSE)),"")</f>
        <v/>
      </c>
      <c r="H248" s="194" t="str">
        <f>IFERROR(IF(VLOOKUP($A248,'Annex 2 Designated EHV charges'!$D:$P,13,FALSE)=0,"",VLOOKUP($A248,'Annex 2 Designated EHV charges'!$D:$P,13,FALSE)),"")</f>
        <v/>
      </c>
    </row>
    <row r="249" spans="1:8" x14ac:dyDescent="0.35">
      <c r="A249" s="189" t="str" cm="1">
        <f t="array" ref="A249">IFERROR(INDEX('Annex 2 Designated EHV charges'!$D$10:$D$200, MATCH(0, IF(ISBLANK('Annex 2 Designated EHV charges'!$D$10:$D$200),1, COUNTIF(A$4:$A248, 'Annex 2 Designated EHV charges'!$D$10:$D$200)), 0)),"")</f>
        <v/>
      </c>
      <c r="B249" s="190" t="str">
        <f>IF($A249="","",VLOOKUP($A249,'Annex 2 Designated EHV charges'!$D:$O,2,0))</f>
        <v/>
      </c>
      <c r="C249" s="189" t="str">
        <f>IF($A249="","",VLOOKUP($A249,'Annex 2 Designated EHV charges'!$D:$O,3,0))</f>
        <v/>
      </c>
      <c r="D249" s="190" t="str">
        <f>IF($A249="","",VLOOKUP($A249,'Annex 2 Designated EHV charges'!$D:$O,4,0))</f>
        <v/>
      </c>
      <c r="E249" s="191" t="str">
        <f>IFERROR(IF(VLOOKUP($A249,'Annex 2 Designated EHV charges'!$D:$P,10,FALSE)=0,"",VLOOKUP($A249,'Annex 2 Designated EHV charges'!$D:$P,10,FALSE)),"")</f>
        <v/>
      </c>
      <c r="F249" s="194" t="str">
        <f>IFERROR(IF(VLOOKUP($A249,'Annex 2 Designated EHV charges'!$D:$P,11,FALSE)=0,"",VLOOKUP($A249,'Annex 2 Designated EHV charges'!$D:$P,11,FALSE)),"")</f>
        <v/>
      </c>
      <c r="G249" s="194" t="str">
        <f>IFERROR(IF(VLOOKUP($A249,'Annex 2 Designated EHV charges'!$D:$P,12,FALSE)=0,"",VLOOKUP($A249,'Annex 2 Designated EHV charges'!$D:$P,12,FALSE)),"")</f>
        <v/>
      </c>
      <c r="H249" s="194" t="str">
        <f>IFERROR(IF(VLOOKUP($A249,'Annex 2 Designated EHV charges'!$D:$P,13,FALSE)=0,"",VLOOKUP($A249,'Annex 2 Designated EHV charges'!$D:$P,13,FALSE)),"")</f>
        <v/>
      </c>
    </row>
    <row r="250" spans="1:8" x14ac:dyDescent="0.35">
      <c r="A250" s="189" t="str" cm="1">
        <f t="array" ref="A250">IFERROR(INDEX('Annex 2 Designated EHV charges'!$D$10:$D$200, MATCH(0, IF(ISBLANK('Annex 2 Designated EHV charges'!$D$10:$D$200),1, COUNTIF(A$4:$A249, 'Annex 2 Designated EHV charges'!$D$10:$D$200)), 0)),"")</f>
        <v/>
      </c>
      <c r="B250" s="190" t="str">
        <f>IF($A250="","",VLOOKUP($A250,'Annex 2 Designated EHV charges'!$D:$O,2,0))</f>
        <v/>
      </c>
      <c r="C250" s="189" t="str">
        <f>IF($A250="","",VLOOKUP($A250,'Annex 2 Designated EHV charges'!$D:$O,3,0))</f>
        <v/>
      </c>
      <c r="D250" s="190" t="str">
        <f>IF($A250="","",VLOOKUP($A250,'Annex 2 Designated EHV charges'!$D:$O,4,0))</f>
        <v/>
      </c>
      <c r="E250" s="191" t="str">
        <f>IFERROR(IF(VLOOKUP($A250,'Annex 2 Designated EHV charges'!$D:$P,10,FALSE)=0,"",VLOOKUP($A250,'Annex 2 Designated EHV charges'!$D:$P,10,FALSE)),"")</f>
        <v/>
      </c>
      <c r="F250" s="194" t="str">
        <f>IFERROR(IF(VLOOKUP($A250,'Annex 2 Designated EHV charges'!$D:$P,11,FALSE)=0,"",VLOOKUP($A250,'Annex 2 Designated EHV charges'!$D:$P,11,FALSE)),"")</f>
        <v/>
      </c>
      <c r="G250" s="194" t="str">
        <f>IFERROR(IF(VLOOKUP($A250,'Annex 2 Designated EHV charges'!$D:$P,12,FALSE)=0,"",VLOOKUP($A250,'Annex 2 Designated EHV charges'!$D:$P,12,FALSE)),"")</f>
        <v/>
      </c>
      <c r="H250" s="194" t="str">
        <f>IFERROR(IF(VLOOKUP($A250,'Annex 2 Designated EHV charges'!$D:$P,13,FALSE)=0,"",VLOOKUP($A250,'Annex 2 Designated EHV charges'!$D:$P,13,FALSE)),"")</f>
        <v/>
      </c>
    </row>
    <row r="251" spans="1:8" x14ac:dyDescent="0.35">
      <c r="A251" s="189" t="str" cm="1">
        <f t="array" ref="A251">IFERROR(INDEX('Annex 2 Designated EHV charges'!$D$10:$D$200, MATCH(0, IF(ISBLANK('Annex 2 Designated EHV charges'!$D$10:$D$200),1, COUNTIF(A$4:$A250, 'Annex 2 Designated EHV charges'!$D$10:$D$200)), 0)),"")</f>
        <v/>
      </c>
      <c r="B251" s="190" t="str">
        <f>IF($A251="","",VLOOKUP($A251,'Annex 2 Designated EHV charges'!$D:$O,2,0))</f>
        <v/>
      </c>
      <c r="C251" s="189" t="str">
        <f>IF($A251="","",VLOOKUP($A251,'Annex 2 Designated EHV charges'!$D:$O,3,0))</f>
        <v/>
      </c>
      <c r="D251" s="190" t="str">
        <f>IF($A251="","",VLOOKUP($A251,'Annex 2 Designated EHV charges'!$D:$O,4,0))</f>
        <v/>
      </c>
      <c r="E251" s="191" t="str">
        <f>IFERROR(IF(VLOOKUP($A251,'Annex 2 Designated EHV charges'!$D:$P,10,FALSE)=0,"",VLOOKUP($A251,'Annex 2 Designated EHV charges'!$D:$P,10,FALSE)),"")</f>
        <v/>
      </c>
      <c r="F251" s="194" t="str">
        <f>IFERROR(IF(VLOOKUP($A251,'Annex 2 Designated EHV charges'!$D:$P,11,FALSE)=0,"",VLOOKUP($A251,'Annex 2 Designated EHV charges'!$D:$P,11,FALSE)),"")</f>
        <v/>
      </c>
      <c r="G251" s="194" t="str">
        <f>IFERROR(IF(VLOOKUP($A251,'Annex 2 Designated EHV charges'!$D:$P,12,FALSE)=0,"",VLOOKUP($A251,'Annex 2 Designated EHV charges'!$D:$P,12,FALSE)),"")</f>
        <v/>
      </c>
      <c r="H251" s="194" t="str">
        <f>IFERROR(IF(VLOOKUP($A251,'Annex 2 Designated EHV charges'!$D:$P,13,FALSE)=0,"",VLOOKUP($A251,'Annex 2 Designated EHV charges'!$D:$P,13,FALSE)),"")</f>
        <v/>
      </c>
    </row>
    <row r="252" spans="1:8" x14ac:dyDescent="0.35">
      <c r="A252" s="189" t="str" cm="1">
        <f t="array" ref="A252">IFERROR(INDEX('Annex 2 Designated EHV charges'!$D$10:$D$200, MATCH(0, IF(ISBLANK('Annex 2 Designated EHV charges'!$D$10:$D$200),1, COUNTIF(A$4:$A251, 'Annex 2 Designated EHV charges'!$D$10:$D$200)), 0)),"")</f>
        <v/>
      </c>
      <c r="B252" s="190" t="str">
        <f>IF($A252="","",VLOOKUP($A252,'Annex 2 Designated EHV charges'!$D:$O,2,0))</f>
        <v/>
      </c>
      <c r="C252" s="189" t="str">
        <f>IF($A252="","",VLOOKUP($A252,'Annex 2 Designated EHV charges'!$D:$O,3,0))</f>
        <v/>
      </c>
      <c r="D252" s="190" t="str">
        <f>IF($A252="","",VLOOKUP($A252,'Annex 2 Designated EHV charges'!$D:$O,4,0))</f>
        <v/>
      </c>
      <c r="E252" s="191" t="str">
        <f>IFERROR(IF(VLOOKUP($A252,'Annex 2 Designated EHV charges'!$D:$P,10,FALSE)=0,"",VLOOKUP($A252,'Annex 2 Designated EHV charges'!$D:$P,10,FALSE)),"")</f>
        <v/>
      </c>
      <c r="F252" s="194" t="str">
        <f>IFERROR(IF(VLOOKUP($A252,'Annex 2 Designated EHV charges'!$D:$P,11,FALSE)=0,"",VLOOKUP($A252,'Annex 2 Designated EHV charges'!$D:$P,11,FALSE)),"")</f>
        <v/>
      </c>
      <c r="G252" s="194" t="str">
        <f>IFERROR(IF(VLOOKUP($A252,'Annex 2 Designated EHV charges'!$D:$P,12,FALSE)=0,"",VLOOKUP($A252,'Annex 2 Designated EHV charges'!$D:$P,12,FALSE)),"")</f>
        <v/>
      </c>
      <c r="H252" s="194" t="str">
        <f>IFERROR(IF(VLOOKUP($A252,'Annex 2 Designated EHV charges'!$D:$P,13,FALSE)=0,"",VLOOKUP($A252,'Annex 2 Designated EHV charges'!$D:$P,13,FALSE)),"")</f>
        <v/>
      </c>
    </row>
    <row r="253" spans="1:8" x14ac:dyDescent="0.35">
      <c r="A253" s="189" t="str" cm="1">
        <f t="array" ref="A253">IFERROR(INDEX('Annex 2 Designated EHV charges'!$D$10:$D$200, MATCH(0, IF(ISBLANK('Annex 2 Designated EHV charges'!$D$10:$D$200),1, COUNTIF(A$4:$A252, 'Annex 2 Designated EHV charges'!$D$10:$D$200)), 0)),"")</f>
        <v/>
      </c>
      <c r="B253" s="190" t="str">
        <f>IF($A253="","",VLOOKUP($A253,'Annex 2 Designated EHV charges'!$D:$O,2,0))</f>
        <v/>
      </c>
      <c r="C253" s="189" t="str">
        <f>IF($A253="","",VLOOKUP($A253,'Annex 2 Designated EHV charges'!$D:$O,3,0))</f>
        <v/>
      </c>
      <c r="D253" s="190" t="str">
        <f>IF($A253="","",VLOOKUP($A253,'Annex 2 Designated EHV charges'!$D:$O,4,0))</f>
        <v/>
      </c>
      <c r="E253" s="191" t="str">
        <f>IFERROR(IF(VLOOKUP($A253,'Annex 2 Designated EHV charges'!$D:$P,10,FALSE)=0,"",VLOOKUP($A253,'Annex 2 Designated EHV charges'!$D:$P,10,FALSE)),"")</f>
        <v/>
      </c>
      <c r="F253" s="194" t="str">
        <f>IFERROR(IF(VLOOKUP($A253,'Annex 2 Designated EHV charges'!$D:$P,11,FALSE)=0,"",VLOOKUP($A253,'Annex 2 Designated EHV charges'!$D:$P,11,FALSE)),"")</f>
        <v/>
      </c>
      <c r="G253" s="194" t="str">
        <f>IFERROR(IF(VLOOKUP($A253,'Annex 2 Designated EHV charges'!$D:$P,12,FALSE)=0,"",VLOOKUP($A253,'Annex 2 Designated EHV charges'!$D:$P,12,FALSE)),"")</f>
        <v/>
      </c>
      <c r="H253" s="194" t="str">
        <f>IFERROR(IF(VLOOKUP($A253,'Annex 2 Designated EHV charges'!$D:$P,13,FALSE)=0,"",VLOOKUP($A253,'Annex 2 Designated EHV charges'!$D:$P,13,FALSE)),"")</f>
        <v/>
      </c>
    </row>
    <row r="254" spans="1:8" x14ac:dyDescent="0.35">
      <c r="A254" s="189" t="str" cm="1">
        <f t="array" ref="A254">IFERROR(INDEX('Annex 2 Designated EHV charges'!$D$10:$D$200, MATCH(0, IF(ISBLANK('Annex 2 Designated EHV charges'!$D$10:$D$200),1, COUNTIF(A$4:$A253, 'Annex 2 Designated EHV charges'!$D$10:$D$200)), 0)),"")</f>
        <v/>
      </c>
      <c r="B254" s="190" t="str">
        <f>IF($A254="","",VLOOKUP($A254,'Annex 2 Designated EHV charges'!$D:$O,2,0))</f>
        <v/>
      </c>
      <c r="C254" s="189" t="str">
        <f>IF($A254="","",VLOOKUP($A254,'Annex 2 Designated EHV charges'!$D:$O,3,0))</f>
        <v/>
      </c>
      <c r="D254" s="190" t="str">
        <f>IF($A254="","",VLOOKUP($A254,'Annex 2 Designated EHV charges'!$D:$O,4,0))</f>
        <v/>
      </c>
      <c r="E254" s="191" t="str">
        <f>IFERROR(IF(VLOOKUP($A254,'Annex 2 Designated EHV charges'!$D:$P,10,FALSE)=0,"",VLOOKUP($A254,'Annex 2 Designated EHV charges'!$D:$P,10,FALSE)),"")</f>
        <v/>
      </c>
      <c r="F254" s="194" t="str">
        <f>IFERROR(IF(VLOOKUP($A254,'Annex 2 Designated EHV charges'!$D:$P,11,FALSE)=0,"",VLOOKUP($A254,'Annex 2 Designated EHV charges'!$D:$P,11,FALSE)),"")</f>
        <v/>
      </c>
      <c r="G254" s="194" t="str">
        <f>IFERROR(IF(VLOOKUP($A254,'Annex 2 Designated EHV charges'!$D:$P,12,FALSE)=0,"",VLOOKUP($A254,'Annex 2 Designated EHV charges'!$D:$P,12,FALSE)),"")</f>
        <v/>
      </c>
      <c r="H254" s="194" t="str">
        <f>IFERROR(IF(VLOOKUP($A254,'Annex 2 Designated EHV charges'!$D:$P,13,FALSE)=0,"",VLOOKUP($A254,'Annex 2 Designated EHV charges'!$D:$P,13,FALSE)),"")</f>
        <v/>
      </c>
    </row>
  </sheetData>
  <mergeCells count="2">
    <mergeCell ref="A2:H2"/>
    <mergeCell ref="A1:H1"/>
  </mergeCells>
  <pageMargins left="0.70866141732283472" right="0.70866141732283472" top="0.94488188976377963" bottom="0.74803149606299213" header="0.31496062992125984" footer="0.31496062992125984"/>
  <pageSetup paperSize="9" scale="89"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2b - Schedule of Export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pageSetUpPr fitToPage="1"/>
  </sheetPr>
  <dimension ref="A1:L17"/>
  <sheetViews>
    <sheetView zoomScale="80" zoomScaleNormal="80" zoomScaleSheetLayoutView="100" workbookViewId="0"/>
  </sheetViews>
  <sheetFormatPr defaultRowHeight="12.75" x14ac:dyDescent="0.35"/>
  <cols>
    <col min="1" max="1" width="27.3984375" customWidth="1"/>
    <col min="2" max="2" width="11" customWidth="1"/>
    <col min="4" max="10" width="16.59765625" customWidth="1"/>
  </cols>
  <sheetData>
    <row r="1" spans="1:12" s="2" customFormat="1" ht="27.75" customHeight="1" x14ac:dyDescent="0.35">
      <c r="A1" s="13" t="s">
        <v>16</v>
      </c>
      <c r="B1" s="3"/>
      <c r="D1" s="3"/>
      <c r="E1" s="3"/>
      <c r="F1" s="3"/>
      <c r="G1" s="10"/>
      <c r="H1" s="4"/>
      <c r="I1" s="4"/>
    </row>
    <row r="2" spans="1:12" s="2" customFormat="1" ht="27" customHeight="1" x14ac:dyDescent="0.35">
      <c r="A2" s="243" t="str">
        <f>Overview!B4&amp; " - Effective from "&amp;Overview!D4&amp;" - "&amp;Overview!E4&amp;" LV and HV tariffs"</f>
        <v>South Eastern Power Networks - Effective from 1 April 2026 - Final LV and HV tariffs</v>
      </c>
      <c r="B2" s="243"/>
      <c r="C2" s="243"/>
      <c r="D2" s="243"/>
      <c r="E2" s="243"/>
      <c r="F2" s="243"/>
      <c r="G2" s="243"/>
      <c r="H2" s="243"/>
      <c r="I2" s="243"/>
      <c r="J2" s="243"/>
      <c r="K2" s="4"/>
      <c r="L2" s="4"/>
    </row>
    <row r="3" spans="1:12" s="2" customFormat="1" ht="9" customHeight="1" x14ac:dyDescent="0.35">
      <c r="A3" s="4"/>
      <c r="B3" s="4"/>
      <c r="C3" s="4"/>
      <c r="D3" s="4"/>
      <c r="E3" s="4"/>
      <c r="F3" s="4"/>
      <c r="G3" s="4"/>
      <c r="H3" s="4"/>
      <c r="I3" s="4"/>
      <c r="J3" s="4"/>
      <c r="K3" s="4"/>
      <c r="L3" s="4"/>
    </row>
    <row r="4" spans="1:12" s="2" customFormat="1" ht="27" customHeight="1" x14ac:dyDescent="0.35">
      <c r="A4" s="279" t="s">
        <v>701</v>
      </c>
      <c r="B4" s="279"/>
      <c r="C4" s="279"/>
      <c r="D4" s="279"/>
      <c r="E4" s="279"/>
      <c r="F4" s="279"/>
      <c r="G4" s="279"/>
      <c r="H4" s="279"/>
      <c r="I4" s="279"/>
      <c r="J4" s="279"/>
      <c r="K4" s="4"/>
      <c r="L4" s="4"/>
    </row>
    <row r="5" spans="1:12" s="2" customFormat="1" ht="71.25" customHeight="1" x14ac:dyDescent="0.35">
      <c r="A5" s="15"/>
      <c r="B5" s="27" t="s">
        <v>700</v>
      </c>
      <c r="C5" s="14" t="s">
        <v>20</v>
      </c>
      <c r="D5" s="52" t="s">
        <v>141</v>
      </c>
      <c r="E5" s="52" t="s">
        <v>143</v>
      </c>
      <c r="F5" s="52" t="s">
        <v>142</v>
      </c>
      <c r="G5" s="14" t="s">
        <v>21</v>
      </c>
      <c r="H5" s="14"/>
      <c r="I5" s="14"/>
      <c r="J5" s="14"/>
      <c r="K5" s="4"/>
      <c r="L5" s="4"/>
    </row>
    <row r="6" spans="1:12" s="2" customFormat="1" ht="32.25" customHeight="1" x14ac:dyDescent="0.35">
      <c r="A6" s="16"/>
      <c r="B6" s="26"/>
      <c r="C6" s="17"/>
      <c r="D6" s="18"/>
      <c r="E6" s="18"/>
      <c r="F6" s="18"/>
      <c r="G6" s="19"/>
      <c r="H6" s="25"/>
      <c r="I6" s="25"/>
      <c r="J6" s="25"/>
      <c r="K6" s="4"/>
      <c r="L6" s="4"/>
    </row>
    <row r="7" spans="1:12" ht="12.75" customHeight="1" x14ac:dyDescent="0.35">
      <c r="A7" s="280" t="s">
        <v>1</v>
      </c>
      <c r="B7" s="267" t="s">
        <v>705</v>
      </c>
      <c r="C7" s="268"/>
      <c r="D7" s="268"/>
      <c r="E7" s="268"/>
      <c r="F7" s="268"/>
      <c r="G7" s="268"/>
      <c r="H7" s="268"/>
      <c r="I7" s="268"/>
      <c r="J7" s="269"/>
    </row>
    <row r="8" spans="1:12" x14ac:dyDescent="0.35">
      <c r="A8" s="280"/>
      <c r="B8" s="270"/>
      <c r="C8" s="271"/>
      <c r="D8" s="271"/>
      <c r="E8" s="271"/>
      <c r="F8" s="271"/>
      <c r="G8" s="271"/>
      <c r="H8" s="271"/>
      <c r="I8" s="271"/>
      <c r="J8" s="272"/>
    </row>
    <row r="9" spans="1:12" x14ac:dyDescent="0.35">
      <c r="A9" s="280"/>
      <c r="B9" s="273"/>
      <c r="C9" s="274"/>
      <c r="D9" s="274"/>
      <c r="E9" s="274"/>
      <c r="F9" s="274"/>
      <c r="G9" s="274"/>
      <c r="H9" s="274"/>
      <c r="I9" s="274"/>
      <c r="J9" s="275"/>
    </row>
    <row r="10" spans="1:12" x14ac:dyDescent="0.35">
      <c r="A10" s="47"/>
      <c r="B10" s="47"/>
      <c r="C10" s="47"/>
      <c r="D10" s="47"/>
      <c r="E10" s="47"/>
      <c r="F10" s="47"/>
      <c r="G10" s="47"/>
      <c r="H10" s="47"/>
      <c r="I10" s="47"/>
      <c r="J10" s="47"/>
    </row>
    <row r="11" spans="1:12" x14ac:dyDescent="0.35">
      <c r="A11" s="47"/>
      <c r="B11" s="47"/>
      <c r="C11" s="47"/>
      <c r="D11" s="47"/>
      <c r="E11" s="47"/>
      <c r="F11" s="47"/>
      <c r="G11" s="47"/>
      <c r="H11" s="47"/>
      <c r="I11" s="47"/>
      <c r="J11" s="47"/>
    </row>
    <row r="12" spans="1:12" s="2" customFormat="1" ht="27" customHeight="1" x14ac:dyDescent="0.35">
      <c r="A12" s="279" t="s">
        <v>702</v>
      </c>
      <c r="B12" s="279"/>
      <c r="C12" s="279"/>
      <c r="D12" s="279"/>
      <c r="E12" s="279"/>
      <c r="F12" s="279"/>
      <c r="G12" s="279"/>
      <c r="H12" s="279"/>
      <c r="I12" s="279"/>
      <c r="J12" s="279"/>
      <c r="K12" s="4"/>
      <c r="L12" s="4"/>
    </row>
    <row r="13" spans="1:12" s="2" customFormat="1" ht="58.5" customHeight="1" x14ac:dyDescent="0.35">
      <c r="A13" s="15"/>
      <c r="B13" s="27" t="s">
        <v>700</v>
      </c>
      <c r="C13" s="14" t="s">
        <v>20</v>
      </c>
      <c r="D13" s="52" t="s">
        <v>141</v>
      </c>
      <c r="E13" s="52" t="s">
        <v>143</v>
      </c>
      <c r="F13" s="52" t="s">
        <v>142</v>
      </c>
      <c r="G13" s="14" t="s">
        <v>21</v>
      </c>
      <c r="H13" s="14" t="s">
        <v>22</v>
      </c>
      <c r="I13" s="27" t="s">
        <v>117</v>
      </c>
      <c r="J13" s="14" t="s">
        <v>28</v>
      </c>
      <c r="K13" s="4"/>
      <c r="L13" s="4"/>
    </row>
    <row r="14" spans="1:12" s="2" customFormat="1" ht="32.25" customHeight="1" x14ac:dyDescent="0.35">
      <c r="A14" s="16"/>
      <c r="B14" s="26"/>
      <c r="C14" s="17"/>
      <c r="D14" s="18"/>
      <c r="E14" s="18"/>
      <c r="F14" s="18"/>
      <c r="G14" s="19"/>
      <c r="H14" s="19"/>
      <c r="I14" s="19"/>
      <c r="J14" s="18"/>
      <c r="K14" s="4"/>
      <c r="L14" s="4"/>
    </row>
    <row r="15" spans="1:12" ht="12.75" customHeight="1" x14ac:dyDescent="0.35">
      <c r="A15" s="280" t="s">
        <v>1</v>
      </c>
      <c r="B15" s="267" t="s">
        <v>706</v>
      </c>
      <c r="C15" s="268"/>
      <c r="D15" s="268"/>
      <c r="E15" s="268"/>
      <c r="F15" s="268"/>
      <c r="G15" s="268"/>
      <c r="H15" s="268"/>
      <c r="I15" s="268"/>
      <c r="J15" s="276"/>
    </row>
    <row r="16" spans="1:12" ht="12.75" customHeight="1" x14ac:dyDescent="0.35">
      <c r="A16" s="280"/>
      <c r="B16" s="270"/>
      <c r="C16" s="271"/>
      <c r="D16" s="271"/>
      <c r="E16" s="271"/>
      <c r="F16" s="271"/>
      <c r="G16" s="271"/>
      <c r="H16" s="271"/>
      <c r="I16" s="271"/>
      <c r="J16" s="277"/>
    </row>
    <row r="17" spans="1:10" ht="12.75" customHeight="1" x14ac:dyDescent="0.35">
      <c r="A17" s="280"/>
      <c r="B17" s="273"/>
      <c r="C17" s="274"/>
      <c r="D17" s="274"/>
      <c r="E17" s="274"/>
      <c r="F17" s="274"/>
      <c r="G17" s="274"/>
      <c r="H17" s="274"/>
      <c r="I17" s="274"/>
      <c r="J17" s="278"/>
    </row>
  </sheetData>
  <customSheetViews>
    <customSheetView guid="{5032A364-B81A-48DA-88DA-AB3B86B47EE9}" scale="80" fitToPage="1">
      <selection activeCell="A2" sqref="A2:J2"/>
      <pageMargins left="0.70866141732283472" right="0.70866141732283472" top="1.0236220472440944" bottom="0.74803149606299213" header="0.31496062992125984" footer="0.31496062992125984"/>
      <pageSetup paperSize="9" scale="57" fitToHeight="0" orientation="portrait" r:id="rId1"/>
      <headerFooter scaleWithDoc="0">
        <oddHeader>&amp;L
&amp;"Arial,Bold"Annex 3&amp;"Arial,Regular" - Schedule of Chargesfor use of the Distribution System to Preserved/Additional LLFC Classes</oddHeader>
        <oddFooter>&amp;C&amp;P of &amp;N</oddFooter>
      </headerFooter>
    </customSheetView>
  </customSheetViews>
  <mergeCells count="7">
    <mergeCell ref="B7:J9"/>
    <mergeCell ref="B15:J17"/>
    <mergeCell ref="A2:J2"/>
    <mergeCell ref="A4:J4"/>
    <mergeCell ref="A7:A9"/>
    <mergeCell ref="A12:J12"/>
    <mergeCell ref="A15:A17"/>
  </mergeCells>
  <phoneticPr fontId="10" type="noConversion"/>
  <hyperlinks>
    <hyperlink ref="A1" location="Overview!A1" display="Back to Overview" xr:uid="{00000000-0004-0000-0500-000000000000}"/>
  </hyperlinks>
  <pageMargins left="0.70866141732283472" right="0.70866141732283472" top="1.0236220472440944" bottom="0.74803149606299213" header="0.31496062992125984" footer="0.31496062992125984"/>
  <pageSetup paperSize="9" scale="54" fitToHeight="0" orientation="portrait" r:id="rId2"/>
  <headerFooter scaleWithDoc="0">
    <oddHeader>&amp;L
Annex 3 - Schedule of Charges for use of the Distribution System to Preserved/Additional LLFC Classes</oddHeader>
    <oddFooter>&amp;C&amp;P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pageSetUpPr fitToPage="1"/>
  </sheetPr>
  <dimension ref="A1:M201"/>
  <sheetViews>
    <sheetView zoomScale="80" zoomScaleNormal="80" zoomScaleSheetLayoutView="85" workbookViewId="0"/>
  </sheetViews>
  <sheetFormatPr defaultColWidth="9.1328125" defaultRowHeight="27.75" customHeight="1" x14ac:dyDescent="0.35"/>
  <cols>
    <col min="1" max="1" width="58" style="2" bestFit="1" customWidth="1"/>
    <col min="2" max="2" width="17.73046875" style="3" customWidth="1"/>
    <col min="3" max="4" width="17.73046875" style="2" customWidth="1"/>
    <col min="5" max="7" width="17.73046875" style="3" customWidth="1"/>
    <col min="8" max="9" width="17.73046875" style="9" customWidth="1"/>
    <col min="10" max="10" width="17.73046875" style="4" customWidth="1"/>
    <col min="11" max="11" width="15.59765625" style="4" customWidth="1"/>
    <col min="12" max="17" width="15.59765625" style="2" customWidth="1"/>
    <col min="18" max="16384" width="9.1328125" style="2"/>
  </cols>
  <sheetData>
    <row r="1" spans="1:13" ht="27.75" customHeight="1" x14ac:dyDescent="0.35">
      <c r="A1" s="13" t="s">
        <v>16</v>
      </c>
      <c r="B1" s="4"/>
      <c r="C1" s="4"/>
      <c r="D1" s="4"/>
      <c r="E1" s="4"/>
      <c r="F1" s="4"/>
      <c r="G1" s="4"/>
      <c r="H1" s="4"/>
      <c r="I1" s="4"/>
      <c r="J1" s="2"/>
      <c r="K1" s="2"/>
    </row>
    <row r="2" spans="1:13" ht="31.5" customHeight="1" x14ac:dyDescent="0.35">
      <c r="A2" s="281" t="str">
        <f>Overview!B4&amp; " - Effective from "&amp;Overview!D4&amp;" - "&amp;Overview!E4&amp;" LDNO tariffs"</f>
        <v>South Eastern Power Networks - Effective from 1 April 2026 - Final LDNO tariffs</v>
      </c>
      <c r="B2" s="281"/>
      <c r="C2" s="281"/>
      <c r="D2" s="281"/>
      <c r="E2" s="281"/>
      <c r="F2" s="281"/>
      <c r="G2" s="281"/>
      <c r="H2" s="281"/>
      <c r="I2" s="281"/>
      <c r="J2" s="281"/>
    </row>
    <row r="3" spans="1:13" ht="8.25" customHeight="1" x14ac:dyDescent="0.35">
      <c r="A3" s="83"/>
      <c r="B3" s="83"/>
      <c r="C3" s="83"/>
      <c r="D3" s="83"/>
      <c r="E3" s="83"/>
      <c r="F3" s="83"/>
      <c r="G3" s="83"/>
      <c r="H3" s="83"/>
      <c r="I3" s="83"/>
      <c r="J3" s="83"/>
    </row>
    <row r="4" spans="1:13" ht="27" customHeight="1" x14ac:dyDescent="0.35">
      <c r="A4" s="243" t="s">
        <v>139</v>
      </c>
      <c r="B4" s="243"/>
      <c r="C4" s="243"/>
      <c r="D4" s="243"/>
      <c r="E4" s="85"/>
      <c r="F4" s="243" t="s">
        <v>140</v>
      </c>
      <c r="G4" s="243"/>
      <c r="H4" s="243"/>
      <c r="I4" s="243"/>
      <c r="J4" s="243"/>
      <c r="L4" s="4"/>
    </row>
    <row r="5" spans="1:13" ht="32.25" customHeight="1" x14ac:dyDescent="0.35">
      <c r="A5" s="74" t="s">
        <v>9</v>
      </c>
      <c r="B5" s="77" t="s">
        <v>51</v>
      </c>
      <c r="C5" s="90" t="s">
        <v>52</v>
      </c>
      <c r="D5" s="76" t="s">
        <v>53</v>
      </c>
      <c r="E5" s="81"/>
      <c r="F5" s="247"/>
      <c r="G5" s="248"/>
      <c r="H5" s="78" t="s">
        <v>57</v>
      </c>
      <c r="I5" s="79" t="s">
        <v>58</v>
      </c>
      <c r="J5" s="76" t="s">
        <v>53</v>
      </c>
      <c r="K5" s="81"/>
      <c r="L5" s="4"/>
      <c r="M5" s="4"/>
    </row>
    <row r="6" spans="1:13" ht="56.25" customHeight="1" x14ac:dyDescent="0.35">
      <c r="A6" s="184" t="s">
        <v>54</v>
      </c>
      <c r="B6" s="80" t="s">
        <v>666</v>
      </c>
      <c r="C6" s="80" t="s">
        <v>667</v>
      </c>
      <c r="D6" s="185" t="s">
        <v>668</v>
      </c>
      <c r="E6" s="81"/>
      <c r="F6" s="254" t="s">
        <v>55</v>
      </c>
      <c r="G6" s="255"/>
      <c r="H6" s="80" t="s">
        <v>666</v>
      </c>
      <c r="I6" s="80" t="s">
        <v>667</v>
      </c>
      <c r="J6" s="185" t="s">
        <v>668</v>
      </c>
      <c r="K6" s="81"/>
      <c r="L6" s="4"/>
      <c r="M6" s="4"/>
    </row>
    <row r="7" spans="1:13" ht="56.25" customHeight="1" x14ac:dyDescent="0.35">
      <c r="A7" s="184" t="s">
        <v>12</v>
      </c>
      <c r="B7" s="21"/>
      <c r="C7" s="186"/>
      <c r="D7" s="80" t="s">
        <v>669</v>
      </c>
      <c r="E7" s="81"/>
      <c r="F7" s="254" t="s">
        <v>670</v>
      </c>
      <c r="G7" s="255"/>
      <c r="H7" s="21"/>
      <c r="I7" s="80" t="s">
        <v>671</v>
      </c>
      <c r="J7" s="185" t="s">
        <v>668</v>
      </c>
      <c r="K7" s="81"/>
      <c r="L7" s="4"/>
      <c r="M7" s="4"/>
    </row>
    <row r="8" spans="1:13" ht="55.5" customHeight="1" x14ac:dyDescent="0.35">
      <c r="A8" s="183" t="s">
        <v>10</v>
      </c>
      <c r="B8" s="251" t="s">
        <v>11</v>
      </c>
      <c r="C8" s="252"/>
      <c r="D8" s="253"/>
      <c r="E8" s="81"/>
      <c r="F8" s="254" t="s">
        <v>12</v>
      </c>
      <c r="G8" s="255"/>
      <c r="H8" s="21"/>
      <c r="I8" s="21"/>
      <c r="J8" s="80" t="s">
        <v>669</v>
      </c>
      <c r="K8" s="81"/>
      <c r="L8" s="4"/>
      <c r="M8" s="4"/>
    </row>
    <row r="9" spans="1:13" s="75" customFormat="1" ht="55.5" customHeight="1" x14ac:dyDescent="0.35">
      <c r="E9" s="84"/>
      <c r="F9" s="249" t="s">
        <v>10</v>
      </c>
      <c r="G9" s="249"/>
      <c r="H9" s="251" t="s">
        <v>11</v>
      </c>
      <c r="I9" s="252"/>
      <c r="J9" s="253"/>
      <c r="K9" s="81"/>
      <c r="L9" s="47"/>
      <c r="M9" s="47"/>
    </row>
    <row r="11" spans="1:13" ht="49.5" customHeight="1" x14ac:dyDescent="0.35">
      <c r="A11" s="27" t="s">
        <v>116</v>
      </c>
      <c r="B11" s="27" t="s">
        <v>444</v>
      </c>
      <c r="C11" s="14" t="s">
        <v>20</v>
      </c>
      <c r="D11" s="52" t="s">
        <v>141</v>
      </c>
      <c r="E11" s="52" t="s">
        <v>143</v>
      </c>
      <c r="F11" s="52" t="s">
        <v>142</v>
      </c>
      <c r="G11" s="14" t="s">
        <v>21</v>
      </c>
      <c r="H11" s="14" t="s">
        <v>22</v>
      </c>
      <c r="I11" s="14" t="s">
        <v>117</v>
      </c>
      <c r="J11" s="14" t="s">
        <v>28</v>
      </c>
    </row>
    <row r="12" spans="1:13" ht="27.75" customHeight="1" x14ac:dyDescent="0.35">
      <c r="A12" s="163" t="s">
        <v>583</v>
      </c>
      <c r="B12" s="26" t="s">
        <v>721</v>
      </c>
      <c r="C12" s="164" t="s">
        <v>711</v>
      </c>
      <c r="D12" s="135">
        <v>14.003</v>
      </c>
      <c r="E12" s="136">
        <v>0.50700000000000001</v>
      </c>
      <c r="F12" s="137">
        <v>0.157</v>
      </c>
      <c r="G12" s="165">
        <v>6.31</v>
      </c>
      <c r="H12" s="166"/>
      <c r="I12" s="168"/>
      <c r="J12" s="39"/>
    </row>
    <row r="13" spans="1:13" ht="27.75" customHeight="1" x14ac:dyDescent="0.35">
      <c r="A13" s="163" t="s">
        <v>625</v>
      </c>
      <c r="B13" s="26" t="s">
        <v>722</v>
      </c>
      <c r="C13" s="164">
        <v>2</v>
      </c>
      <c r="D13" s="135">
        <v>14.003</v>
      </c>
      <c r="E13" s="136">
        <v>0.50700000000000001</v>
      </c>
      <c r="F13" s="137">
        <v>0.157</v>
      </c>
      <c r="G13" s="166"/>
      <c r="H13" s="166"/>
      <c r="I13" s="168"/>
      <c r="J13" s="39"/>
    </row>
    <row r="14" spans="1:13" ht="27.75" customHeight="1" x14ac:dyDescent="0.35">
      <c r="A14" s="163" t="s">
        <v>584</v>
      </c>
      <c r="B14" s="26" t="s">
        <v>723</v>
      </c>
      <c r="C14" s="164" t="s">
        <v>712</v>
      </c>
      <c r="D14" s="135">
        <v>10.464</v>
      </c>
      <c r="E14" s="136">
        <v>0.379</v>
      </c>
      <c r="F14" s="137">
        <v>0.11700000000000001</v>
      </c>
      <c r="G14" s="165">
        <v>6.13</v>
      </c>
      <c r="H14" s="166"/>
      <c r="I14" s="168"/>
      <c r="J14" s="39"/>
    </row>
    <row r="15" spans="1:13" ht="27.75" customHeight="1" x14ac:dyDescent="0.35">
      <c r="A15" s="163" t="s">
        <v>585</v>
      </c>
      <c r="B15" s="26" t="s">
        <v>724</v>
      </c>
      <c r="C15" s="164" t="s">
        <v>712</v>
      </c>
      <c r="D15" s="135">
        <v>10.464</v>
      </c>
      <c r="E15" s="136">
        <v>0.379</v>
      </c>
      <c r="F15" s="137">
        <v>0.11700000000000001</v>
      </c>
      <c r="G15" s="165">
        <v>6.62</v>
      </c>
      <c r="H15" s="166"/>
      <c r="I15" s="168"/>
      <c r="J15" s="39"/>
    </row>
    <row r="16" spans="1:13" ht="27.75" customHeight="1" x14ac:dyDescent="0.35">
      <c r="A16" s="163" t="s">
        <v>586</v>
      </c>
      <c r="B16" s="26" t="s">
        <v>725</v>
      </c>
      <c r="C16" s="164" t="s">
        <v>712</v>
      </c>
      <c r="D16" s="135">
        <v>10.464</v>
      </c>
      <c r="E16" s="136">
        <v>0.379</v>
      </c>
      <c r="F16" s="137">
        <v>0.11700000000000001</v>
      </c>
      <c r="G16" s="165">
        <v>7.58</v>
      </c>
      <c r="H16" s="166"/>
      <c r="I16" s="168"/>
      <c r="J16" s="39"/>
    </row>
    <row r="17" spans="1:10" ht="27.75" customHeight="1" x14ac:dyDescent="0.35">
      <c r="A17" s="163" t="s">
        <v>587</v>
      </c>
      <c r="B17" s="26" t="s">
        <v>726</v>
      </c>
      <c r="C17" s="164" t="s">
        <v>712</v>
      </c>
      <c r="D17" s="135">
        <v>10.464</v>
      </c>
      <c r="E17" s="136">
        <v>0.379</v>
      </c>
      <c r="F17" s="137">
        <v>0.11700000000000001</v>
      </c>
      <c r="G17" s="165">
        <v>9.17</v>
      </c>
      <c r="H17" s="166"/>
      <c r="I17" s="168"/>
      <c r="J17" s="39"/>
    </row>
    <row r="18" spans="1:10" ht="27.75" customHeight="1" x14ac:dyDescent="0.35">
      <c r="A18" s="163" t="s">
        <v>588</v>
      </c>
      <c r="B18" s="26" t="s">
        <v>727</v>
      </c>
      <c r="C18" s="164" t="s">
        <v>712</v>
      </c>
      <c r="D18" s="135">
        <v>10.464</v>
      </c>
      <c r="E18" s="136">
        <v>0.379</v>
      </c>
      <c r="F18" s="137">
        <v>0.11700000000000001</v>
      </c>
      <c r="G18" s="165">
        <v>14.64</v>
      </c>
      <c r="H18" s="166"/>
      <c r="I18" s="168"/>
      <c r="J18" s="39"/>
    </row>
    <row r="19" spans="1:10" ht="27.75" customHeight="1" x14ac:dyDescent="0.35">
      <c r="A19" s="163" t="s">
        <v>398</v>
      </c>
      <c r="B19" s="26" t="s">
        <v>728</v>
      </c>
      <c r="C19" s="164">
        <v>4</v>
      </c>
      <c r="D19" s="135">
        <v>10.464</v>
      </c>
      <c r="E19" s="136">
        <v>0.379</v>
      </c>
      <c r="F19" s="137">
        <v>0.11700000000000001</v>
      </c>
      <c r="G19" s="166"/>
      <c r="H19" s="166"/>
      <c r="I19" s="168"/>
      <c r="J19" s="39"/>
    </row>
    <row r="20" spans="1:10" ht="27.75" customHeight="1" x14ac:dyDescent="0.35">
      <c r="A20" s="163" t="s">
        <v>464</v>
      </c>
      <c r="B20" s="26" t="s">
        <v>729</v>
      </c>
      <c r="C20" s="164">
        <v>0</v>
      </c>
      <c r="D20" s="135">
        <v>7.4610000000000003</v>
      </c>
      <c r="E20" s="136">
        <v>0.25600000000000001</v>
      </c>
      <c r="F20" s="137">
        <v>0.08</v>
      </c>
      <c r="G20" s="165">
        <v>13.72</v>
      </c>
      <c r="H20" s="165">
        <v>5.65</v>
      </c>
      <c r="I20" s="169">
        <v>5.65</v>
      </c>
      <c r="J20" s="38">
        <v>0.23799999999999999</v>
      </c>
    </row>
    <row r="21" spans="1:10" ht="27.75" customHeight="1" x14ac:dyDescent="0.35">
      <c r="A21" s="163" t="s">
        <v>465</v>
      </c>
      <c r="B21" s="26" t="s">
        <v>730</v>
      </c>
      <c r="C21" s="164">
        <v>0</v>
      </c>
      <c r="D21" s="135">
        <v>7.4610000000000003</v>
      </c>
      <c r="E21" s="136">
        <v>0.25600000000000001</v>
      </c>
      <c r="F21" s="137">
        <v>0.08</v>
      </c>
      <c r="G21" s="165">
        <v>30.71</v>
      </c>
      <c r="H21" s="165">
        <v>5.65</v>
      </c>
      <c r="I21" s="169">
        <v>5.65</v>
      </c>
      <c r="J21" s="38">
        <v>0.23799999999999999</v>
      </c>
    </row>
    <row r="22" spans="1:10" ht="27.75" customHeight="1" x14ac:dyDescent="0.35">
      <c r="A22" s="163" t="s">
        <v>466</v>
      </c>
      <c r="B22" s="26" t="s">
        <v>731</v>
      </c>
      <c r="C22" s="164">
        <v>0</v>
      </c>
      <c r="D22" s="135">
        <v>7.4610000000000003</v>
      </c>
      <c r="E22" s="136">
        <v>0.25600000000000001</v>
      </c>
      <c r="F22" s="137">
        <v>0.08</v>
      </c>
      <c r="G22" s="165">
        <v>43.41</v>
      </c>
      <c r="H22" s="165">
        <v>5.65</v>
      </c>
      <c r="I22" s="169">
        <v>5.65</v>
      </c>
      <c r="J22" s="38">
        <v>0.23799999999999999</v>
      </c>
    </row>
    <row r="23" spans="1:10" ht="27.75" customHeight="1" x14ac:dyDescent="0.35">
      <c r="A23" s="163" t="s">
        <v>467</v>
      </c>
      <c r="B23" s="26" t="s">
        <v>732</v>
      </c>
      <c r="C23" s="164">
        <v>0</v>
      </c>
      <c r="D23" s="135">
        <v>7.4610000000000003</v>
      </c>
      <c r="E23" s="136">
        <v>0.25600000000000001</v>
      </c>
      <c r="F23" s="137">
        <v>0.08</v>
      </c>
      <c r="G23" s="165">
        <v>59.28</v>
      </c>
      <c r="H23" s="165">
        <v>5.65</v>
      </c>
      <c r="I23" s="169">
        <v>5.65</v>
      </c>
      <c r="J23" s="38">
        <v>0.23799999999999999</v>
      </c>
    </row>
    <row r="24" spans="1:10" ht="27.75" customHeight="1" x14ac:dyDescent="0.35">
      <c r="A24" s="163" t="s">
        <v>468</v>
      </c>
      <c r="B24" s="26" t="s">
        <v>733</v>
      </c>
      <c r="C24" s="164">
        <v>0</v>
      </c>
      <c r="D24" s="135">
        <v>7.4610000000000003</v>
      </c>
      <c r="E24" s="136">
        <v>0.25600000000000001</v>
      </c>
      <c r="F24" s="137">
        <v>0.08</v>
      </c>
      <c r="G24" s="165">
        <v>120.23</v>
      </c>
      <c r="H24" s="165">
        <v>5.65</v>
      </c>
      <c r="I24" s="169">
        <v>5.65</v>
      </c>
      <c r="J24" s="38">
        <v>0.23799999999999999</v>
      </c>
    </row>
    <row r="25" spans="1:10" ht="27.75" customHeight="1" x14ac:dyDescent="0.35">
      <c r="A25" s="163" t="s">
        <v>399</v>
      </c>
      <c r="B25" s="26" t="s">
        <v>734</v>
      </c>
      <c r="C25" s="170" t="s">
        <v>718</v>
      </c>
      <c r="D25" s="138">
        <v>37.993000000000002</v>
      </c>
      <c r="E25" s="139">
        <v>1.6919999999999999</v>
      </c>
      <c r="F25" s="137">
        <v>1.3460000000000001</v>
      </c>
      <c r="G25" s="166"/>
      <c r="H25" s="166"/>
      <c r="I25" s="168"/>
      <c r="J25" s="39"/>
    </row>
    <row r="26" spans="1:10" ht="27.75" customHeight="1" x14ac:dyDescent="0.35">
      <c r="A26" s="163" t="s">
        <v>400</v>
      </c>
      <c r="B26" s="26" t="s">
        <v>735</v>
      </c>
      <c r="C26" s="170" t="s">
        <v>1049</v>
      </c>
      <c r="D26" s="135">
        <v>-12.382</v>
      </c>
      <c r="E26" s="136">
        <v>-0.44800000000000001</v>
      </c>
      <c r="F26" s="137">
        <v>-0.13900000000000001</v>
      </c>
      <c r="G26" s="165">
        <v>0</v>
      </c>
      <c r="H26" s="166"/>
      <c r="I26" s="168"/>
      <c r="J26" s="39"/>
    </row>
    <row r="27" spans="1:10" ht="27.75" customHeight="1" x14ac:dyDescent="0.35">
      <c r="A27" s="163" t="s">
        <v>401</v>
      </c>
      <c r="B27" s="26" t="s">
        <v>736</v>
      </c>
      <c r="C27" s="170">
        <v>0</v>
      </c>
      <c r="D27" s="135">
        <v>-12.382</v>
      </c>
      <c r="E27" s="136">
        <v>-0.44800000000000001</v>
      </c>
      <c r="F27" s="137">
        <v>-0.13900000000000001</v>
      </c>
      <c r="G27" s="165">
        <v>0</v>
      </c>
      <c r="H27" s="166"/>
      <c r="I27" s="168"/>
      <c r="J27" s="38">
        <v>0.41199999999999998</v>
      </c>
    </row>
    <row r="28" spans="1:10" ht="27.75" customHeight="1" x14ac:dyDescent="0.35">
      <c r="A28" s="167" t="s">
        <v>589</v>
      </c>
      <c r="B28" s="26" t="s">
        <v>737</v>
      </c>
      <c r="C28" s="170" t="s">
        <v>711</v>
      </c>
      <c r="D28" s="135">
        <v>10.7</v>
      </c>
      <c r="E28" s="136">
        <v>0.38700000000000001</v>
      </c>
      <c r="F28" s="137">
        <v>0.12</v>
      </c>
      <c r="G28" s="165">
        <v>4.82</v>
      </c>
      <c r="H28" s="166"/>
      <c r="I28" s="168"/>
      <c r="J28" s="39"/>
    </row>
    <row r="29" spans="1:10" ht="27.75" customHeight="1" x14ac:dyDescent="0.35">
      <c r="A29" s="167" t="s">
        <v>469</v>
      </c>
      <c r="B29" s="26" t="s">
        <v>738</v>
      </c>
      <c r="C29" s="170">
        <v>2</v>
      </c>
      <c r="D29" s="135">
        <v>10.7</v>
      </c>
      <c r="E29" s="136">
        <v>0.38700000000000001</v>
      </c>
      <c r="F29" s="137">
        <v>0.12</v>
      </c>
      <c r="G29" s="166"/>
      <c r="H29" s="166"/>
      <c r="I29" s="168"/>
      <c r="J29" s="39"/>
    </row>
    <row r="30" spans="1:10" ht="27.75" customHeight="1" x14ac:dyDescent="0.35">
      <c r="A30" s="167" t="s">
        <v>590</v>
      </c>
      <c r="B30" s="26" t="s">
        <v>739</v>
      </c>
      <c r="C30" s="170" t="s">
        <v>712</v>
      </c>
      <c r="D30" s="135">
        <v>7.9960000000000004</v>
      </c>
      <c r="E30" s="136">
        <v>0.28899999999999998</v>
      </c>
      <c r="F30" s="137">
        <v>0.09</v>
      </c>
      <c r="G30" s="165">
        <v>4.6900000000000004</v>
      </c>
      <c r="H30" s="166"/>
      <c r="I30" s="168"/>
      <c r="J30" s="39"/>
    </row>
    <row r="31" spans="1:10" ht="27.75" customHeight="1" x14ac:dyDescent="0.35">
      <c r="A31" s="167" t="s">
        <v>591</v>
      </c>
      <c r="B31" s="26" t="s">
        <v>740</v>
      </c>
      <c r="C31" s="170" t="s">
        <v>712</v>
      </c>
      <c r="D31" s="135">
        <v>7.9960000000000004</v>
      </c>
      <c r="E31" s="136">
        <v>0.28899999999999998</v>
      </c>
      <c r="F31" s="137">
        <v>0.09</v>
      </c>
      <c r="G31" s="165">
        <v>5.0599999999999996</v>
      </c>
      <c r="H31" s="166"/>
      <c r="I31" s="168"/>
      <c r="J31" s="39"/>
    </row>
    <row r="32" spans="1:10" ht="27.75" customHeight="1" x14ac:dyDescent="0.35">
      <c r="A32" s="167" t="s">
        <v>592</v>
      </c>
      <c r="B32" s="26" t="s">
        <v>741</v>
      </c>
      <c r="C32" s="170" t="s">
        <v>712</v>
      </c>
      <c r="D32" s="135">
        <v>7.9960000000000004</v>
      </c>
      <c r="E32" s="136">
        <v>0.28899999999999998</v>
      </c>
      <c r="F32" s="137">
        <v>0.09</v>
      </c>
      <c r="G32" s="165">
        <v>5.79</v>
      </c>
      <c r="H32" s="166"/>
      <c r="I32" s="168"/>
      <c r="J32" s="39"/>
    </row>
    <row r="33" spans="1:10" ht="27.75" customHeight="1" x14ac:dyDescent="0.35">
      <c r="A33" s="167" t="s">
        <v>593</v>
      </c>
      <c r="B33" s="26" t="s">
        <v>742</v>
      </c>
      <c r="C33" s="170" t="s">
        <v>712</v>
      </c>
      <c r="D33" s="135">
        <v>7.9960000000000004</v>
      </c>
      <c r="E33" s="136">
        <v>0.28899999999999998</v>
      </c>
      <c r="F33" s="137">
        <v>0.09</v>
      </c>
      <c r="G33" s="165">
        <v>7.01</v>
      </c>
      <c r="H33" s="166"/>
      <c r="I33" s="168"/>
      <c r="J33" s="39"/>
    </row>
    <row r="34" spans="1:10" ht="27.75" customHeight="1" x14ac:dyDescent="0.35">
      <c r="A34" s="167" t="s">
        <v>594</v>
      </c>
      <c r="B34" s="26" t="s">
        <v>743</v>
      </c>
      <c r="C34" s="170" t="s">
        <v>712</v>
      </c>
      <c r="D34" s="135">
        <v>7.9960000000000004</v>
      </c>
      <c r="E34" s="136">
        <v>0.28899999999999998</v>
      </c>
      <c r="F34" s="137">
        <v>0.09</v>
      </c>
      <c r="G34" s="165">
        <v>11.19</v>
      </c>
      <c r="H34" s="166"/>
      <c r="I34" s="168"/>
      <c r="J34" s="39"/>
    </row>
    <row r="35" spans="1:10" ht="27.75" customHeight="1" x14ac:dyDescent="0.35">
      <c r="A35" s="167" t="s">
        <v>402</v>
      </c>
      <c r="B35" s="26" t="s">
        <v>744</v>
      </c>
      <c r="C35" s="170">
        <v>4</v>
      </c>
      <c r="D35" s="135">
        <v>7.9960000000000004</v>
      </c>
      <c r="E35" s="136">
        <v>0.28899999999999998</v>
      </c>
      <c r="F35" s="137">
        <v>0.09</v>
      </c>
      <c r="G35" s="166"/>
      <c r="H35" s="166"/>
      <c r="I35" s="168"/>
      <c r="J35" s="39"/>
    </row>
    <row r="36" spans="1:10" ht="27.75" customHeight="1" x14ac:dyDescent="0.35">
      <c r="A36" s="167" t="s">
        <v>470</v>
      </c>
      <c r="B36" s="26" t="s">
        <v>745</v>
      </c>
      <c r="C36" s="170">
        <v>0</v>
      </c>
      <c r="D36" s="135">
        <v>5.7009999999999996</v>
      </c>
      <c r="E36" s="136">
        <v>0.19600000000000001</v>
      </c>
      <c r="F36" s="137">
        <v>6.0999999999999999E-2</v>
      </c>
      <c r="G36" s="165">
        <v>10.49</v>
      </c>
      <c r="H36" s="165">
        <v>4.32</v>
      </c>
      <c r="I36" s="169">
        <v>4.32</v>
      </c>
      <c r="J36" s="38">
        <v>0.182</v>
      </c>
    </row>
    <row r="37" spans="1:10" ht="27.75" customHeight="1" x14ac:dyDescent="0.35">
      <c r="A37" s="167" t="s">
        <v>471</v>
      </c>
      <c r="B37" s="26" t="s">
        <v>746</v>
      </c>
      <c r="C37" s="170">
        <v>0</v>
      </c>
      <c r="D37" s="135">
        <v>5.7009999999999996</v>
      </c>
      <c r="E37" s="136">
        <v>0.19600000000000001</v>
      </c>
      <c r="F37" s="137">
        <v>6.0999999999999999E-2</v>
      </c>
      <c r="G37" s="165">
        <v>23.47</v>
      </c>
      <c r="H37" s="165">
        <v>4.32</v>
      </c>
      <c r="I37" s="169">
        <v>4.32</v>
      </c>
      <c r="J37" s="38">
        <v>0.182</v>
      </c>
    </row>
    <row r="38" spans="1:10" ht="27.75" customHeight="1" x14ac:dyDescent="0.35">
      <c r="A38" s="167" t="s">
        <v>472</v>
      </c>
      <c r="B38" s="26" t="s">
        <v>747</v>
      </c>
      <c r="C38" s="170">
        <v>0</v>
      </c>
      <c r="D38" s="135">
        <v>5.7009999999999996</v>
      </c>
      <c r="E38" s="136">
        <v>0.19600000000000001</v>
      </c>
      <c r="F38" s="137">
        <v>6.0999999999999999E-2</v>
      </c>
      <c r="G38" s="165">
        <v>33.17</v>
      </c>
      <c r="H38" s="165">
        <v>4.32</v>
      </c>
      <c r="I38" s="169">
        <v>4.32</v>
      </c>
      <c r="J38" s="38">
        <v>0.182</v>
      </c>
    </row>
    <row r="39" spans="1:10" ht="27.75" customHeight="1" x14ac:dyDescent="0.35">
      <c r="A39" s="167" t="s">
        <v>473</v>
      </c>
      <c r="B39" s="26" t="s">
        <v>748</v>
      </c>
      <c r="C39" s="170">
        <v>0</v>
      </c>
      <c r="D39" s="135">
        <v>5.7009999999999996</v>
      </c>
      <c r="E39" s="136">
        <v>0.19600000000000001</v>
      </c>
      <c r="F39" s="137">
        <v>6.0999999999999999E-2</v>
      </c>
      <c r="G39" s="165">
        <v>45.3</v>
      </c>
      <c r="H39" s="165">
        <v>4.32</v>
      </c>
      <c r="I39" s="169">
        <v>4.32</v>
      </c>
      <c r="J39" s="38">
        <v>0.182</v>
      </c>
    </row>
    <row r="40" spans="1:10" ht="27.75" customHeight="1" x14ac:dyDescent="0.35">
      <c r="A40" s="167" t="s">
        <v>474</v>
      </c>
      <c r="B40" s="26" t="s">
        <v>749</v>
      </c>
      <c r="C40" s="170">
        <v>0</v>
      </c>
      <c r="D40" s="135">
        <v>5.7009999999999996</v>
      </c>
      <c r="E40" s="136">
        <v>0.19600000000000001</v>
      </c>
      <c r="F40" s="137">
        <v>6.0999999999999999E-2</v>
      </c>
      <c r="G40" s="165">
        <v>91.87</v>
      </c>
      <c r="H40" s="165">
        <v>4.32</v>
      </c>
      <c r="I40" s="169">
        <v>4.32</v>
      </c>
      <c r="J40" s="38">
        <v>0.182</v>
      </c>
    </row>
    <row r="41" spans="1:10" ht="27.75" customHeight="1" x14ac:dyDescent="0.35">
      <c r="A41" s="167" t="s">
        <v>475</v>
      </c>
      <c r="B41" s="26" t="s">
        <v>750</v>
      </c>
      <c r="C41" s="170">
        <v>0</v>
      </c>
      <c r="D41" s="135">
        <v>5.3540000000000001</v>
      </c>
      <c r="E41" s="136">
        <v>0.16600000000000001</v>
      </c>
      <c r="F41" s="137">
        <v>5.2999999999999999E-2</v>
      </c>
      <c r="G41" s="165">
        <v>13.44</v>
      </c>
      <c r="H41" s="165">
        <v>5.71</v>
      </c>
      <c r="I41" s="169">
        <v>5.71</v>
      </c>
      <c r="J41" s="38">
        <v>0.16600000000000001</v>
      </c>
    </row>
    <row r="42" spans="1:10" ht="27.75" customHeight="1" x14ac:dyDescent="0.35">
      <c r="A42" s="167" t="s">
        <v>476</v>
      </c>
      <c r="B42" s="26" t="s">
        <v>751</v>
      </c>
      <c r="C42" s="170">
        <v>0</v>
      </c>
      <c r="D42" s="135">
        <v>5.3540000000000001</v>
      </c>
      <c r="E42" s="136">
        <v>0.16600000000000001</v>
      </c>
      <c r="F42" s="137">
        <v>5.2999999999999999E-2</v>
      </c>
      <c r="G42" s="165">
        <v>33.35</v>
      </c>
      <c r="H42" s="165">
        <v>5.71</v>
      </c>
      <c r="I42" s="169">
        <v>5.71</v>
      </c>
      <c r="J42" s="38">
        <v>0.16600000000000001</v>
      </c>
    </row>
    <row r="43" spans="1:10" ht="27.75" customHeight="1" x14ac:dyDescent="0.35">
      <c r="A43" s="167" t="s">
        <v>477</v>
      </c>
      <c r="B43" s="26" t="s">
        <v>752</v>
      </c>
      <c r="C43" s="170">
        <v>0</v>
      </c>
      <c r="D43" s="135">
        <v>5.3540000000000001</v>
      </c>
      <c r="E43" s="136">
        <v>0.16600000000000001</v>
      </c>
      <c r="F43" s="137">
        <v>5.2999999999999999E-2</v>
      </c>
      <c r="G43" s="165">
        <v>48.24</v>
      </c>
      <c r="H43" s="165">
        <v>5.71</v>
      </c>
      <c r="I43" s="169">
        <v>5.71</v>
      </c>
      <c r="J43" s="38">
        <v>0.16600000000000001</v>
      </c>
    </row>
    <row r="44" spans="1:10" ht="27.75" customHeight="1" x14ac:dyDescent="0.35">
      <c r="A44" s="167" t="s">
        <v>478</v>
      </c>
      <c r="B44" s="26" t="s">
        <v>753</v>
      </c>
      <c r="C44" s="170">
        <v>0</v>
      </c>
      <c r="D44" s="135">
        <v>5.3540000000000001</v>
      </c>
      <c r="E44" s="136">
        <v>0.16600000000000001</v>
      </c>
      <c r="F44" s="137">
        <v>5.2999999999999999E-2</v>
      </c>
      <c r="G44" s="165">
        <v>66.849999999999994</v>
      </c>
      <c r="H44" s="165">
        <v>5.71</v>
      </c>
      <c r="I44" s="169">
        <v>5.71</v>
      </c>
      <c r="J44" s="38">
        <v>0.16600000000000001</v>
      </c>
    </row>
    <row r="45" spans="1:10" ht="27.75" customHeight="1" x14ac:dyDescent="0.35">
      <c r="A45" s="167" t="s">
        <v>479</v>
      </c>
      <c r="B45" s="26" t="s">
        <v>754</v>
      </c>
      <c r="C45" s="170">
        <v>0</v>
      </c>
      <c r="D45" s="135">
        <v>5.3540000000000001</v>
      </c>
      <c r="E45" s="136">
        <v>0.16600000000000001</v>
      </c>
      <c r="F45" s="137">
        <v>5.2999999999999999E-2</v>
      </c>
      <c r="G45" s="165">
        <v>138.32</v>
      </c>
      <c r="H45" s="165">
        <v>5.71</v>
      </c>
      <c r="I45" s="169">
        <v>5.71</v>
      </c>
      <c r="J45" s="38">
        <v>0.16600000000000001</v>
      </c>
    </row>
    <row r="46" spans="1:10" ht="27.75" customHeight="1" x14ac:dyDescent="0.35">
      <c r="A46" s="167" t="s">
        <v>480</v>
      </c>
      <c r="B46" s="26" t="s">
        <v>755</v>
      </c>
      <c r="C46" s="170">
        <v>0</v>
      </c>
      <c r="D46" s="135">
        <v>5.2110000000000003</v>
      </c>
      <c r="E46" s="136">
        <v>0.153</v>
      </c>
      <c r="F46" s="137">
        <v>4.9000000000000002E-2</v>
      </c>
      <c r="G46" s="165">
        <v>152.44</v>
      </c>
      <c r="H46" s="165">
        <v>5.77</v>
      </c>
      <c r="I46" s="169">
        <v>5.77</v>
      </c>
      <c r="J46" s="38">
        <v>0.16200000000000001</v>
      </c>
    </row>
    <row r="47" spans="1:10" ht="27.75" customHeight="1" x14ac:dyDescent="0.35">
      <c r="A47" s="167" t="s">
        <v>481</v>
      </c>
      <c r="B47" s="26" t="s">
        <v>756</v>
      </c>
      <c r="C47" s="170">
        <v>0</v>
      </c>
      <c r="D47" s="135">
        <v>5.2110000000000003</v>
      </c>
      <c r="E47" s="136">
        <v>0.153</v>
      </c>
      <c r="F47" s="137">
        <v>4.9000000000000002E-2</v>
      </c>
      <c r="G47" s="165">
        <v>312.70999999999998</v>
      </c>
      <c r="H47" s="165">
        <v>5.77</v>
      </c>
      <c r="I47" s="169">
        <v>5.77</v>
      </c>
      <c r="J47" s="38">
        <v>0.16200000000000001</v>
      </c>
    </row>
    <row r="48" spans="1:10" ht="27.75" customHeight="1" x14ac:dyDescent="0.35">
      <c r="A48" s="167" t="s">
        <v>482</v>
      </c>
      <c r="B48" s="26" t="s">
        <v>757</v>
      </c>
      <c r="C48" s="170">
        <v>0</v>
      </c>
      <c r="D48" s="135">
        <v>5.2110000000000003</v>
      </c>
      <c r="E48" s="136">
        <v>0.153</v>
      </c>
      <c r="F48" s="137">
        <v>4.9000000000000002E-2</v>
      </c>
      <c r="G48" s="165">
        <v>552.13</v>
      </c>
      <c r="H48" s="165">
        <v>5.77</v>
      </c>
      <c r="I48" s="169">
        <v>5.77</v>
      </c>
      <c r="J48" s="38">
        <v>0.16200000000000001</v>
      </c>
    </row>
    <row r="49" spans="1:10" ht="27.75" customHeight="1" x14ac:dyDescent="0.35">
      <c r="A49" s="167" t="s">
        <v>483</v>
      </c>
      <c r="B49" s="26" t="s">
        <v>758</v>
      </c>
      <c r="C49" s="170">
        <v>0</v>
      </c>
      <c r="D49" s="135">
        <v>5.2110000000000003</v>
      </c>
      <c r="E49" s="136">
        <v>0.153</v>
      </c>
      <c r="F49" s="137">
        <v>4.9000000000000002E-2</v>
      </c>
      <c r="G49" s="165">
        <v>721.65</v>
      </c>
      <c r="H49" s="165">
        <v>5.77</v>
      </c>
      <c r="I49" s="169">
        <v>5.77</v>
      </c>
      <c r="J49" s="38">
        <v>0.16200000000000001</v>
      </c>
    </row>
    <row r="50" spans="1:10" ht="27.75" customHeight="1" x14ac:dyDescent="0.35">
      <c r="A50" s="167" t="s">
        <v>484</v>
      </c>
      <c r="B50" s="26" t="s">
        <v>759</v>
      </c>
      <c r="C50" s="170">
        <v>0</v>
      </c>
      <c r="D50" s="135">
        <v>5.2110000000000003</v>
      </c>
      <c r="E50" s="136">
        <v>0.153</v>
      </c>
      <c r="F50" s="137">
        <v>4.9000000000000002E-2</v>
      </c>
      <c r="G50" s="165">
        <v>1796.21</v>
      </c>
      <c r="H50" s="165">
        <v>5.77</v>
      </c>
      <c r="I50" s="169">
        <v>5.77</v>
      </c>
      <c r="J50" s="38">
        <v>0.16200000000000001</v>
      </c>
    </row>
    <row r="51" spans="1:10" ht="27.75" customHeight="1" x14ac:dyDescent="0.35">
      <c r="A51" s="167" t="s">
        <v>403</v>
      </c>
      <c r="B51" s="26" t="s">
        <v>760</v>
      </c>
      <c r="C51" s="170" t="s">
        <v>718</v>
      </c>
      <c r="D51" s="138">
        <v>29.032</v>
      </c>
      <c r="E51" s="139">
        <v>1.2929999999999999</v>
      </c>
      <c r="F51" s="137">
        <v>1.0289999999999999</v>
      </c>
      <c r="G51" s="166"/>
      <c r="H51" s="166"/>
      <c r="I51" s="168"/>
      <c r="J51" s="39"/>
    </row>
    <row r="52" spans="1:10" ht="27.75" customHeight="1" x14ac:dyDescent="0.35">
      <c r="A52" s="167" t="s">
        <v>404</v>
      </c>
      <c r="B52" s="26" t="s">
        <v>761</v>
      </c>
      <c r="C52" s="170" t="s">
        <v>1049</v>
      </c>
      <c r="D52" s="135">
        <v>-12.382</v>
      </c>
      <c r="E52" s="136">
        <v>-0.44800000000000001</v>
      </c>
      <c r="F52" s="137">
        <v>-0.13900000000000001</v>
      </c>
      <c r="G52" s="165">
        <v>0</v>
      </c>
      <c r="H52" s="166"/>
      <c r="I52" s="168"/>
      <c r="J52" s="39"/>
    </row>
    <row r="53" spans="1:10" ht="27.75" customHeight="1" x14ac:dyDescent="0.35">
      <c r="A53" s="167" t="s">
        <v>405</v>
      </c>
      <c r="B53" s="26" t="s">
        <v>762</v>
      </c>
      <c r="C53" s="170">
        <v>0</v>
      </c>
      <c r="D53" s="135">
        <v>-10.023999999999999</v>
      </c>
      <c r="E53" s="136">
        <v>-0.35</v>
      </c>
      <c r="F53" s="137">
        <v>-0.109</v>
      </c>
      <c r="G53" s="165">
        <v>0</v>
      </c>
      <c r="H53" s="166"/>
      <c r="I53" s="168"/>
      <c r="J53" s="39"/>
    </row>
    <row r="54" spans="1:10" ht="27.75" customHeight="1" x14ac:dyDescent="0.35">
      <c r="A54" s="167" t="s">
        <v>406</v>
      </c>
      <c r="B54" s="26" t="s">
        <v>763</v>
      </c>
      <c r="C54" s="170">
        <v>0</v>
      </c>
      <c r="D54" s="135">
        <v>-12.382</v>
      </c>
      <c r="E54" s="136">
        <v>-0.44800000000000001</v>
      </c>
      <c r="F54" s="137">
        <v>-0.13900000000000001</v>
      </c>
      <c r="G54" s="165">
        <v>0</v>
      </c>
      <c r="H54" s="166"/>
      <c r="I54" s="168"/>
      <c r="J54" s="38">
        <v>0.41199999999999998</v>
      </c>
    </row>
    <row r="55" spans="1:10" ht="27.75" customHeight="1" x14ac:dyDescent="0.35">
      <c r="A55" s="167" t="s">
        <v>407</v>
      </c>
      <c r="B55" s="26" t="s">
        <v>764</v>
      </c>
      <c r="C55" s="170">
        <v>0</v>
      </c>
      <c r="D55" s="135">
        <v>-10.023999999999999</v>
      </c>
      <c r="E55" s="136">
        <v>-0.35</v>
      </c>
      <c r="F55" s="137">
        <v>-0.109</v>
      </c>
      <c r="G55" s="165">
        <v>0</v>
      </c>
      <c r="H55" s="166"/>
      <c r="I55" s="168"/>
      <c r="J55" s="38">
        <v>0.312</v>
      </c>
    </row>
    <row r="56" spans="1:10" ht="27.75" customHeight="1" x14ac:dyDescent="0.35">
      <c r="A56" s="167" t="s">
        <v>408</v>
      </c>
      <c r="B56" s="26" t="s">
        <v>765</v>
      </c>
      <c r="C56" s="170">
        <v>0</v>
      </c>
      <c r="D56" s="135">
        <v>-7.0069999999999997</v>
      </c>
      <c r="E56" s="136">
        <v>-0.218</v>
      </c>
      <c r="F56" s="137">
        <v>-6.9000000000000006E-2</v>
      </c>
      <c r="G56" s="165">
        <v>0</v>
      </c>
      <c r="H56" s="166"/>
      <c r="I56" s="168"/>
      <c r="J56" s="38">
        <v>0.27100000000000002</v>
      </c>
    </row>
    <row r="57" spans="1:10" ht="27.75" customHeight="1" x14ac:dyDescent="0.35">
      <c r="A57" s="163" t="s">
        <v>595</v>
      </c>
      <c r="B57" s="26" t="s">
        <v>766</v>
      </c>
      <c r="C57" s="170" t="s">
        <v>711</v>
      </c>
      <c r="D57" s="135">
        <v>7.71</v>
      </c>
      <c r="E57" s="136">
        <v>0.27900000000000003</v>
      </c>
      <c r="F57" s="137">
        <v>8.5999999999999993E-2</v>
      </c>
      <c r="G57" s="165">
        <v>3.47</v>
      </c>
      <c r="H57" s="166"/>
      <c r="I57" s="168"/>
      <c r="J57" s="39"/>
    </row>
    <row r="58" spans="1:10" ht="27.75" customHeight="1" x14ac:dyDescent="0.35">
      <c r="A58" s="163" t="s">
        <v>626</v>
      </c>
      <c r="B58" s="26" t="s">
        <v>767</v>
      </c>
      <c r="C58" s="170">
        <v>2</v>
      </c>
      <c r="D58" s="135">
        <v>7.71</v>
      </c>
      <c r="E58" s="136">
        <v>0.27900000000000003</v>
      </c>
      <c r="F58" s="137">
        <v>8.5999999999999993E-2</v>
      </c>
      <c r="G58" s="166"/>
      <c r="H58" s="166"/>
      <c r="I58" s="168"/>
      <c r="J58" s="39"/>
    </row>
    <row r="59" spans="1:10" ht="27.75" customHeight="1" x14ac:dyDescent="0.35">
      <c r="A59" s="163" t="s">
        <v>596</v>
      </c>
      <c r="B59" s="26" t="s">
        <v>768</v>
      </c>
      <c r="C59" s="170" t="s">
        <v>712</v>
      </c>
      <c r="D59" s="135">
        <v>5.7619999999999996</v>
      </c>
      <c r="E59" s="136">
        <v>0.20799999999999999</v>
      </c>
      <c r="F59" s="137">
        <v>6.5000000000000002E-2</v>
      </c>
      <c r="G59" s="165">
        <v>3.38</v>
      </c>
      <c r="H59" s="166"/>
      <c r="I59" s="168"/>
      <c r="J59" s="39"/>
    </row>
    <row r="60" spans="1:10" ht="27.75" customHeight="1" x14ac:dyDescent="0.35">
      <c r="A60" s="163" t="s">
        <v>597</v>
      </c>
      <c r="B60" s="26" t="s">
        <v>769</v>
      </c>
      <c r="C60" s="170" t="s">
        <v>712</v>
      </c>
      <c r="D60" s="135">
        <v>5.7619999999999996</v>
      </c>
      <c r="E60" s="136">
        <v>0.20799999999999999</v>
      </c>
      <c r="F60" s="137">
        <v>6.5000000000000002E-2</v>
      </c>
      <c r="G60" s="165">
        <v>3.65</v>
      </c>
      <c r="H60" s="166"/>
      <c r="I60" s="168"/>
      <c r="J60" s="39"/>
    </row>
    <row r="61" spans="1:10" ht="27.75" customHeight="1" x14ac:dyDescent="0.35">
      <c r="A61" s="163" t="s">
        <v>598</v>
      </c>
      <c r="B61" s="26" t="s">
        <v>770</v>
      </c>
      <c r="C61" s="170" t="s">
        <v>712</v>
      </c>
      <c r="D61" s="135">
        <v>5.7619999999999996</v>
      </c>
      <c r="E61" s="136">
        <v>0.20799999999999999</v>
      </c>
      <c r="F61" s="137">
        <v>6.5000000000000002E-2</v>
      </c>
      <c r="G61" s="165">
        <v>4.18</v>
      </c>
      <c r="H61" s="166"/>
      <c r="I61" s="168"/>
      <c r="J61" s="39"/>
    </row>
    <row r="62" spans="1:10" ht="27.75" customHeight="1" x14ac:dyDescent="0.35">
      <c r="A62" s="163" t="s">
        <v>599</v>
      </c>
      <c r="B62" s="26" t="s">
        <v>771</v>
      </c>
      <c r="C62" s="170" t="s">
        <v>712</v>
      </c>
      <c r="D62" s="135">
        <v>5.7619999999999996</v>
      </c>
      <c r="E62" s="136">
        <v>0.20799999999999999</v>
      </c>
      <c r="F62" s="137">
        <v>6.5000000000000002E-2</v>
      </c>
      <c r="G62" s="165">
        <v>5.05</v>
      </c>
      <c r="H62" s="166"/>
      <c r="I62" s="168"/>
      <c r="J62" s="39"/>
    </row>
    <row r="63" spans="1:10" ht="27.75" customHeight="1" x14ac:dyDescent="0.35">
      <c r="A63" s="163" t="s">
        <v>600</v>
      </c>
      <c r="B63" s="26" t="s">
        <v>772</v>
      </c>
      <c r="C63" s="170" t="s">
        <v>712</v>
      </c>
      <c r="D63" s="135">
        <v>5.7619999999999996</v>
      </c>
      <c r="E63" s="136">
        <v>0.20799999999999999</v>
      </c>
      <c r="F63" s="137">
        <v>6.5000000000000002E-2</v>
      </c>
      <c r="G63" s="165">
        <v>8.06</v>
      </c>
      <c r="H63" s="166"/>
      <c r="I63" s="168"/>
      <c r="J63" s="39"/>
    </row>
    <row r="64" spans="1:10" ht="27.75" customHeight="1" x14ac:dyDescent="0.35">
      <c r="A64" s="163" t="s">
        <v>409</v>
      </c>
      <c r="B64" s="26" t="s">
        <v>773</v>
      </c>
      <c r="C64" s="170">
        <v>4</v>
      </c>
      <c r="D64" s="135">
        <v>5.7619999999999996</v>
      </c>
      <c r="E64" s="136">
        <v>0.20799999999999999</v>
      </c>
      <c r="F64" s="137">
        <v>6.5000000000000002E-2</v>
      </c>
      <c r="G64" s="166"/>
      <c r="H64" s="166"/>
      <c r="I64" s="168"/>
      <c r="J64" s="39"/>
    </row>
    <row r="65" spans="1:10" ht="27.75" customHeight="1" x14ac:dyDescent="0.35">
      <c r="A65" s="163" t="s">
        <v>545</v>
      </c>
      <c r="B65" s="26" t="s">
        <v>774</v>
      </c>
      <c r="C65" s="170">
        <v>0</v>
      </c>
      <c r="D65" s="135">
        <v>4.1079999999999997</v>
      </c>
      <c r="E65" s="136">
        <v>0.14099999999999999</v>
      </c>
      <c r="F65" s="137">
        <v>4.3999999999999997E-2</v>
      </c>
      <c r="G65" s="165">
        <v>7.56</v>
      </c>
      <c r="H65" s="165">
        <v>3.11</v>
      </c>
      <c r="I65" s="169">
        <v>3.11</v>
      </c>
      <c r="J65" s="38">
        <v>0.13100000000000001</v>
      </c>
    </row>
    <row r="66" spans="1:10" ht="27.75" customHeight="1" x14ac:dyDescent="0.35">
      <c r="A66" s="163" t="s">
        <v>546</v>
      </c>
      <c r="B66" s="26" t="s">
        <v>775</v>
      </c>
      <c r="C66" s="170">
        <v>0</v>
      </c>
      <c r="D66" s="135">
        <v>4.1079999999999997</v>
      </c>
      <c r="E66" s="136">
        <v>0.14099999999999999</v>
      </c>
      <c r="F66" s="137">
        <v>4.3999999999999997E-2</v>
      </c>
      <c r="G66" s="165">
        <v>16.91</v>
      </c>
      <c r="H66" s="165">
        <v>3.11</v>
      </c>
      <c r="I66" s="169">
        <v>3.11</v>
      </c>
      <c r="J66" s="38">
        <v>0.13100000000000001</v>
      </c>
    </row>
    <row r="67" spans="1:10" ht="27.75" customHeight="1" x14ac:dyDescent="0.35">
      <c r="A67" s="163" t="s">
        <v>547</v>
      </c>
      <c r="B67" s="26" t="s">
        <v>776</v>
      </c>
      <c r="C67" s="170">
        <v>0</v>
      </c>
      <c r="D67" s="135">
        <v>4.1079999999999997</v>
      </c>
      <c r="E67" s="136">
        <v>0.14099999999999999</v>
      </c>
      <c r="F67" s="137">
        <v>4.3999999999999997E-2</v>
      </c>
      <c r="G67" s="165">
        <v>23.9</v>
      </c>
      <c r="H67" s="165">
        <v>3.11</v>
      </c>
      <c r="I67" s="169">
        <v>3.11</v>
      </c>
      <c r="J67" s="38">
        <v>0.13100000000000001</v>
      </c>
    </row>
    <row r="68" spans="1:10" ht="27.75" customHeight="1" x14ac:dyDescent="0.35">
      <c r="A68" s="163" t="s">
        <v>548</v>
      </c>
      <c r="B68" s="26" t="s">
        <v>777</v>
      </c>
      <c r="C68" s="170">
        <v>0</v>
      </c>
      <c r="D68" s="135">
        <v>4.1079999999999997</v>
      </c>
      <c r="E68" s="136">
        <v>0.14099999999999999</v>
      </c>
      <c r="F68" s="137">
        <v>4.3999999999999997E-2</v>
      </c>
      <c r="G68" s="165">
        <v>32.64</v>
      </c>
      <c r="H68" s="165">
        <v>3.11</v>
      </c>
      <c r="I68" s="169">
        <v>3.11</v>
      </c>
      <c r="J68" s="38">
        <v>0.13100000000000001</v>
      </c>
    </row>
    <row r="69" spans="1:10" ht="27.75" customHeight="1" x14ac:dyDescent="0.35">
      <c r="A69" s="163" t="s">
        <v>549</v>
      </c>
      <c r="B69" s="26" t="s">
        <v>778</v>
      </c>
      <c r="C69" s="170">
        <v>0</v>
      </c>
      <c r="D69" s="135">
        <v>4.1079999999999997</v>
      </c>
      <c r="E69" s="136">
        <v>0.14099999999999999</v>
      </c>
      <c r="F69" s="137">
        <v>4.3999999999999997E-2</v>
      </c>
      <c r="G69" s="165">
        <v>66.2</v>
      </c>
      <c r="H69" s="165">
        <v>3.11</v>
      </c>
      <c r="I69" s="169">
        <v>3.11</v>
      </c>
      <c r="J69" s="38">
        <v>0.13100000000000001</v>
      </c>
    </row>
    <row r="70" spans="1:10" ht="27.75" customHeight="1" x14ac:dyDescent="0.35">
      <c r="A70" s="163" t="s">
        <v>550</v>
      </c>
      <c r="B70" s="26" t="s">
        <v>779</v>
      </c>
      <c r="C70" s="170">
        <v>0</v>
      </c>
      <c r="D70" s="135">
        <v>3.8039999999999998</v>
      </c>
      <c r="E70" s="136">
        <v>0.11799999999999999</v>
      </c>
      <c r="F70" s="137">
        <v>3.6999999999999998E-2</v>
      </c>
      <c r="G70" s="165">
        <v>9.5500000000000007</v>
      </c>
      <c r="H70" s="165">
        <v>4.0599999999999996</v>
      </c>
      <c r="I70" s="169">
        <v>4.0599999999999996</v>
      </c>
      <c r="J70" s="38">
        <v>0.11799999999999999</v>
      </c>
    </row>
    <row r="71" spans="1:10" ht="27.75" customHeight="1" x14ac:dyDescent="0.35">
      <c r="A71" s="163" t="s">
        <v>551</v>
      </c>
      <c r="B71" s="26" t="s">
        <v>780</v>
      </c>
      <c r="C71" s="170">
        <v>0</v>
      </c>
      <c r="D71" s="135">
        <v>3.8039999999999998</v>
      </c>
      <c r="E71" s="136">
        <v>0.11799999999999999</v>
      </c>
      <c r="F71" s="137">
        <v>3.6999999999999998E-2</v>
      </c>
      <c r="G71" s="165">
        <v>23.7</v>
      </c>
      <c r="H71" s="165">
        <v>4.0599999999999996</v>
      </c>
      <c r="I71" s="169">
        <v>4.0599999999999996</v>
      </c>
      <c r="J71" s="38">
        <v>0.11799999999999999</v>
      </c>
    </row>
    <row r="72" spans="1:10" ht="27.75" customHeight="1" x14ac:dyDescent="0.35">
      <c r="A72" s="163" t="s">
        <v>552</v>
      </c>
      <c r="B72" s="26" t="s">
        <v>781</v>
      </c>
      <c r="C72" s="170">
        <v>0</v>
      </c>
      <c r="D72" s="135">
        <v>3.8039999999999998</v>
      </c>
      <c r="E72" s="136">
        <v>0.11799999999999999</v>
      </c>
      <c r="F72" s="137">
        <v>3.6999999999999998E-2</v>
      </c>
      <c r="G72" s="165">
        <v>34.28</v>
      </c>
      <c r="H72" s="165">
        <v>4.0599999999999996</v>
      </c>
      <c r="I72" s="169">
        <v>4.0599999999999996</v>
      </c>
      <c r="J72" s="38">
        <v>0.11799999999999999</v>
      </c>
    </row>
    <row r="73" spans="1:10" ht="27.75" customHeight="1" x14ac:dyDescent="0.35">
      <c r="A73" s="163" t="s">
        <v>553</v>
      </c>
      <c r="B73" s="26" t="s">
        <v>782</v>
      </c>
      <c r="C73" s="170">
        <v>0</v>
      </c>
      <c r="D73" s="135">
        <v>3.8039999999999998</v>
      </c>
      <c r="E73" s="136">
        <v>0.11799999999999999</v>
      </c>
      <c r="F73" s="137">
        <v>3.6999999999999998E-2</v>
      </c>
      <c r="G73" s="165">
        <v>47.5</v>
      </c>
      <c r="H73" s="165">
        <v>4.0599999999999996</v>
      </c>
      <c r="I73" s="169">
        <v>4.0599999999999996</v>
      </c>
      <c r="J73" s="38">
        <v>0.11799999999999999</v>
      </c>
    </row>
    <row r="74" spans="1:10" ht="27.75" customHeight="1" x14ac:dyDescent="0.35">
      <c r="A74" s="163" t="s">
        <v>554</v>
      </c>
      <c r="B74" s="26" t="s">
        <v>783</v>
      </c>
      <c r="C74" s="170">
        <v>0</v>
      </c>
      <c r="D74" s="135">
        <v>3.8039999999999998</v>
      </c>
      <c r="E74" s="136">
        <v>0.11799999999999999</v>
      </c>
      <c r="F74" s="137">
        <v>3.6999999999999998E-2</v>
      </c>
      <c r="G74" s="165">
        <v>98.28</v>
      </c>
      <c r="H74" s="165">
        <v>4.0599999999999996</v>
      </c>
      <c r="I74" s="169">
        <v>4.0599999999999996</v>
      </c>
      <c r="J74" s="38">
        <v>0.11799999999999999</v>
      </c>
    </row>
    <row r="75" spans="1:10" ht="27.75" customHeight="1" x14ac:dyDescent="0.35">
      <c r="A75" s="163" t="s">
        <v>555</v>
      </c>
      <c r="B75" s="26" t="s">
        <v>784</v>
      </c>
      <c r="C75" s="170">
        <v>0</v>
      </c>
      <c r="D75" s="135">
        <v>3.6829999999999998</v>
      </c>
      <c r="E75" s="136">
        <v>0.108</v>
      </c>
      <c r="F75" s="137">
        <v>3.4000000000000002E-2</v>
      </c>
      <c r="G75" s="165">
        <v>107.75</v>
      </c>
      <c r="H75" s="165">
        <v>4.08</v>
      </c>
      <c r="I75" s="169">
        <v>4.08</v>
      </c>
      <c r="J75" s="38">
        <v>0.114</v>
      </c>
    </row>
    <row r="76" spans="1:10" ht="27.75" customHeight="1" x14ac:dyDescent="0.35">
      <c r="A76" s="163" t="s">
        <v>556</v>
      </c>
      <c r="B76" s="26" t="s">
        <v>785</v>
      </c>
      <c r="C76" s="170">
        <v>0</v>
      </c>
      <c r="D76" s="135">
        <v>3.6829999999999998</v>
      </c>
      <c r="E76" s="136">
        <v>0.108</v>
      </c>
      <c r="F76" s="137">
        <v>3.4000000000000002E-2</v>
      </c>
      <c r="G76" s="165">
        <v>221.04</v>
      </c>
      <c r="H76" s="165">
        <v>4.08</v>
      </c>
      <c r="I76" s="169">
        <v>4.08</v>
      </c>
      <c r="J76" s="38">
        <v>0.114</v>
      </c>
    </row>
    <row r="77" spans="1:10" ht="27.75" customHeight="1" x14ac:dyDescent="0.35">
      <c r="A77" s="163" t="s">
        <v>557</v>
      </c>
      <c r="B77" s="26" t="s">
        <v>786</v>
      </c>
      <c r="C77" s="170">
        <v>0</v>
      </c>
      <c r="D77" s="135">
        <v>3.6829999999999998</v>
      </c>
      <c r="E77" s="136">
        <v>0.108</v>
      </c>
      <c r="F77" s="137">
        <v>3.4000000000000002E-2</v>
      </c>
      <c r="G77" s="165">
        <v>390.28</v>
      </c>
      <c r="H77" s="165">
        <v>4.08</v>
      </c>
      <c r="I77" s="169">
        <v>4.08</v>
      </c>
      <c r="J77" s="38">
        <v>0.114</v>
      </c>
    </row>
    <row r="78" spans="1:10" ht="27.75" customHeight="1" x14ac:dyDescent="0.35">
      <c r="A78" s="163" t="s">
        <v>558</v>
      </c>
      <c r="B78" s="26" t="s">
        <v>787</v>
      </c>
      <c r="C78" s="170">
        <v>0</v>
      </c>
      <c r="D78" s="135">
        <v>3.6829999999999998</v>
      </c>
      <c r="E78" s="136">
        <v>0.108</v>
      </c>
      <c r="F78" s="137">
        <v>3.4000000000000002E-2</v>
      </c>
      <c r="G78" s="165">
        <v>510.1</v>
      </c>
      <c r="H78" s="165">
        <v>4.08</v>
      </c>
      <c r="I78" s="169">
        <v>4.08</v>
      </c>
      <c r="J78" s="38">
        <v>0.114</v>
      </c>
    </row>
    <row r="79" spans="1:10" ht="27.75" customHeight="1" x14ac:dyDescent="0.35">
      <c r="A79" s="163" t="s">
        <v>559</v>
      </c>
      <c r="B79" s="26" t="s">
        <v>788</v>
      </c>
      <c r="C79" s="170">
        <v>0</v>
      </c>
      <c r="D79" s="135">
        <v>3.6829999999999998</v>
      </c>
      <c r="E79" s="136">
        <v>0.108</v>
      </c>
      <c r="F79" s="137">
        <v>3.4000000000000002E-2</v>
      </c>
      <c r="G79" s="165">
        <v>1269.6600000000001</v>
      </c>
      <c r="H79" s="165">
        <v>4.08</v>
      </c>
      <c r="I79" s="169">
        <v>4.08</v>
      </c>
      <c r="J79" s="38">
        <v>0.114</v>
      </c>
    </row>
    <row r="80" spans="1:10" ht="27.75" customHeight="1" x14ac:dyDescent="0.35">
      <c r="A80" s="163" t="s">
        <v>410</v>
      </c>
      <c r="B80" s="26" t="s">
        <v>789</v>
      </c>
      <c r="C80" s="170" t="s">
        <v>718</v>
      </c>
      <c r="D80" s="138">
        <v>20.92</v>
      </c>
      <c r="E80" s="139">
        <v>0.93200000000000005</v>
      </c>
      <c r="F80" s="137">
        <v>0.74099999999999999</v>
      </c>
      <c r="G80" s="166"/>
      <c r="H80" s="166"/>
      <c r="I80" s="168"/>
      <c r="J80" s="39"/>
    </row>
    <row r="81" spans="1:10" ht="27.75" customHeight="1" x14ac:dyDescent="0.35">
      <c r="A81" s="163" t="s">
        <v>411</v>
      </c>
      <c r="B81" s="26" t="s">
        <v>790</v>
      </c>
      <c r="C81" s="170" t="s">
        <v>1049</v>
      </c>
      <c r="D81" s="135">
        <v>-6.8040000000000003</v>
      </c>
      <c r="E81" s="136">
        <v>-0.246</v>
      </c>
      <c r="F81" s="137">
        <v>-7.5999999999999998E-2</v>
      </c>
      <c r="G81" s="165">
        <v>0</v>
      </c>
      <c r="H81" s="166"/>
      <c r="I81" s="168"/>
      <c r="J81" s="39"/>
    </row>
    <row r="82" spans="1:10" ht="27.75" customHeight="1" x14ac:dyDescent="0.35">
      <c r="A82" s="163" t="s">
        <v>412</v>
      </c>
      <c r="B82" s="26" t="s">
        <v>791</v>
      </c>
      <c r="C82" s="170">
        <v>0</v>
      </c>
      <c r="D82" s="135">
        <v>-6.1429999999999998</v>
      </c>
      <c r="E82" s="136">
        <v>-0.215</v>
      </c>
      <c r="F82" s="137">
        <v>-6.7000000000000004E-2</v>
      </c>
      <c r="G82" s="165">
        <v>0</v>
      </c>
      <c r="H82" s="166"/>
      <c r="I82" s="168"/>
      <c r="J82" s="39"/>
    </row>
    <row r="83" spans="1:10" ht="27.75" customHeight="1" x14ac:dyDescent="0.35">
      <c r="A83" s="163" t="s">
        <v>413</v>
      </c>
      <c r="B83" s="26" t="s">
        <v>792</v>
      </c>
      <c r="C83" s="170">
        <v>0</v>
      </c>
      <c r="D83" s="135">
        <v>-6.8040000000000003</v>
      </c>
      <c r="E83" s="136">
        <v>-0.246</v>
      </c>
      <c r="F83" s="137">
        <v>-7.5999999999999998E-2</v>
      </c>
      <c r="G83" s="165">
        <v>0</v>
      </c>
      <c r="H83" s="166"/>
      <c r="I83" s="168"/>
      <c r="J83" s="38">
        <v>0.22600000000000001</v>
      </c>
    </row>
    <row r="84" spans="1:10" ht="27.75" customHeight="1" x14ac:dyDescent="0.35">
      <c r="A84" s="163" t="s">
        <v>414</v>
      </c>
      <c r="B84" s="26" t="s">
        <v>793</v>
      </c>
      <c r="C84" s="170">
        <v>0</v>
      </c>
      <c r="D84" s="135">
        <v>-6.1429999999999998</v>
      </c>
      <c r="E84" s="136">
        <v>-0.215</v>
      </c>
      <c r="F84" s="137">
        <v>-6.7000000000000004E-2</v>
      </c>
      <c r="G84" s="165">
        <v>0</v>
      </c>
      <c r="H84" s="166"/>
      <c r="I84" s="168"/>
      <c r="J84" s="38">
        <v>0.191</v>
      </c>
    </row>
    <row r="85" spans="1:10" ht="27.75" customHeight="1" x14ac:dyDescent="0.35">
      <c r="A85" s="163" t="s">
        <v>415</v>
      </c>
      <c r="B85" s="26" t="s">
        <v>794</v>
      </c>
      <c r="C85" s="170">
        <v>0</v>
      </c>
      <c r="D85" s="135">
        <v>-7.0069999999999997</v>
      </c>
      <c r="E85" s="136">
        <v>-0.218</v>
      </c>
      <c r="F85" s="137">
        <v>-6.9000000000000006E-2</v>
      </c>
      <c r="G85" s="165">
        <v>12.47</v>
      </c>
      <c r="H85" s="166"/>
      <c r="I85" s="168"/>
      <c r="J85" s="38">
        <v>0.27100000000000002</v>
      </c>
    </row>
    <row r="86" spans="1:10" ht="27.75" customHeight="1" x14ac:dyDescent="0.35">
      <c r="A86" s="163" t="s">
        <v>601</v>
      </c>
      <c r="B86" s="26" t="s">
        <v>795</v>
      </c>
      <c r="C86" s="170" t="s">
        <v>711</v>
      </c>
      <c r="D86" s="135">
        <v>6.1710000000000003</v>
      </c>
      <c r="E86" s="136">
        <v>0.223</v>
      </c>
      <c r="F86" s="137">
        <v>6.9000000000000006E-2</v>
      </c>
      <c r="G86" s="165">
        <v>2.78</v>
      </c>
      <c r="H86" s="166"/>
      <c r="I86" s="168"/>
      <c r="J86" s="39"/>
    </row>
    <row r="87" spans="1:10" ht="27.75" customHeight="1" x14ac:dyDescent="0.35">
      <c r="A87" s="163" t="s">
        <v>627</v>
      </c>
      <c r="B87" s="26" t="s">
        <v>796</v>
      </c>
      <c r="C87" s="170">
        <v>2</v>
      </c>
      <c r="D87" s="135">
        <v>6.1710000000000003</v>
      </c>
      <c r="E87" s="136">
        <v>0.223</v>
      </c>
      <c r="F87" s="137">
        <v>6.9000000000000006E-2</v>
      </c>
      <c r="G87" s="166"/>
      <c r="H87" s="166"/>
      <c r="I87" s="168"/>
      <c r="J87" s="39"/>
    </row>
    <row r="88" spans="1:10" ht="27.75" customHeight="1" x14ac:dyDescent="0.35">
      <c r="A88" s="163" t="s">
        <v>602</v>
      </c>
      <c r="B88" s="26" t="s">
        <v>797</v>
      </c>
      <c r="C88" s="170" t="s">
        <v>712</v>
      </c>
      <c r="D88" s="135">
        <v>4.6109999999999998</v>
      </c>
      <c r="E88" s="136">
        <v>0.16700000000000001</v>
      </c>
      <c r="F88" s="137">
        <v>5.1999999999999998E-2</v>
      </c>
      <c r="G88" s="165">
        <v>2.7</v>
      </c>
      <c r="H88" s="166"/>
      <c r="I88" s="168"/>
      <c r="J88" s="39"/>
    </row>
    <row r="89" spans="1:10" ht="27.75" customHeight="1" x14ac:dyDescent="0.35">
      <c r="A89" s="163" t="s">
        <v>603</v>
      </c>
      <c r="B89" s="26" t="s">
        <v>798</v>
      </c>
      <c r="C89" s="170" t="s">
        <v>712</v>
      </c>
      <c r="D89" s="135">
        <v>4.6109999999999998</v>
      </c>
      <c r="E89" s="136">
        <v>0.16700000000000001</v>
      </c>
      <c r="F89" s="137">
        <v>5.1999999999999998E-2</v>
      </c>
      <c r="G89" s="165">
        <v>2.92</v>
      </c>
      <c r="H89" s="166"/>
      <c r="I89" s="168"/>
      <c r="J89" s="39"/>
    </row>
    <row r="90" spans="1:10" ht="27.75" customHeight="1" x14ac:dyDescent="0.35">
      <c r="A90" s="163" t="s">
        <v>604</v>
      </c>
      <c r="B90" s="26" t="s">
        <v>799</v>
      </c>
      <c r="C90" s="170" t="s">
        <v>712</v>
      </c>
      <c r="D90" s="135">
        <v>4.6109999999999998</v>
      </c>
      <c r="E90" s="136">
        <v>0.16700000000000001</v>
      </c>
      <c r="F90" s="137">
        <v>5.1999999999999998E-2</v>
      </c>
      <c r="G90" s="165">
        <v>3.34</v>
      </c>
      <c r="H90" s="166"/>
      <c r="I90" s="168"/>
      <c r="J90" s="39"/>
    </row>
    <row r="91" spans="1:10" ht="27.75" customHeight="1" x14ac:dyDescent="0.35">
      <c r="A91" s="163" t="s">
        <v>605</v>
      </c>
      <c r="B91" s="26" t="s">
        <v>800</v>
      </c>
      <c r="C91" s="170" t="s">
        <v>712</v>
      </c>
      <c r="D91" s="135">
        <v>4.6109999999999998</v>
      </c>
      <c r="E91" s="136">
        <v>0.16700000000000001</v>
      </c>
      <c r="F91" s="137">
        <v>5.1999999999999998E-2</v>
      </c>
      <c r="G91" s="165">
        <v>4.04</v>
      </c>
      <c r="H91" s="166"/>
      <c r="I91" s="168"/>
      <c r="J91" s="39"/>
    </row>
    <row r="92" spans="1:10" ht="27.75" customHeight="1" x14ac:dyDescent="0.35">
      <c r="A92" s="163" t="s">
        <v>606</v>
      </c>
      <c r="B92" s="26" t="s">
        <v>801</v>
      </c>
      <c r="C92" s="170" t="s">
        <v>712</v>
      </c>
      <c r="D92" s="135">
        <v>4.6109999999999998</v>
      </c>
      <c r="E92" s="136">
        <v>0.16700000000000001</v>
      </c>
      <c r="F92" s="137">
        <v>5.1999999999999998E-2</v>
      </c>
      <c r="G92" s="165">
        <v>6.45</v>
      </c>
      <c r="H92" s="166"/>
      <c r="I92" s="168"/>
      <c r="J92" s="39"/>
    </row>
    <row r="93" spans="1:10" ht="27.75" customHeight="1" x14ac:dyDescent="0.35">
      <c r="A93" s="163" t="s">
        <v>416</v>
      </c>
      <c r="B93" s="26" t="s">
        <v>802</v>
      </c>
      <c r="C93" s="170">
        <v>4</v>
      </c>
      <c r="D93" s="135">
        <v>4.6109999999999998</v>
      </c>
      <c r="E93" s="136">
        <v>0.16700000000000001</v>
      </c>
      <c r="F93" s="137">
        <v>5.1999999999999998E-2</v>
      </c>
      <c r="G93" s="166"/>
      <c r="H93" s="166"/>
      <c r="I93" s="168"/>
      <c r="J93" s="39"/>
    </row>
    <row r="94" spans="1:10" ht="27.75" customHeight="1" x14ac:dyDescent="0.35">
      <c r="A94" s="163" t="s">
        <v>530</v>
      </c>
      <c r="B94" s="26" t="s">
        <v>803</v>
      </c>
      <c r="C94" s="170">
        <v>0</v>
      </c>
      <c r="D94" s="135">
        <v>3.2879999999999998</v>
      </c>
      <c r="E94" s="136">
        <v>0.113</v>
      </c>
      <c r="F94" s="137">
        <v>3.5000000000000003E-2</v>
      </c>
      <c r="G94" s="165">
        <v>6.05</v>
      </c>
      <c r="H94" s="165">
        <v>2.4900000000000002</v>
      </c>
      <c r="I94" s="169">
        <v>2.4900000000000002</v>
      </c>
      <c r="J94" s="38">
        <v>0.105</v>
      </c>
    </row>
    <row r="95" spans="1:10" ht="27.75" customHeight="1" x14ac:dyDescent="0.35">
      <c r="A95" s="163" t="s">
        <v>531</v>
      </c>
      <c r="B95" s="26" t="s">
        <v>804</v>
      </c>
      <c r="C95" s="170">
        <v>0</v>
      </c>
      <c r="D95" s="135">
        <v>3.2879999999999998</v>
      </c>
      <c r="E95" s="136">
        <v>0.113</v>
      </c>
      <c r="F95" s="137">
        <v>3.5000000000000003E-2</v>
      </c>
      <c r="G95" s="165">
        <v>13.53</v>
      </c>
      <c r="H95" s="165">
        <v>2.4900000000000002</v>
      </c>
      <c r="I95" s="169">
        <v>2.4900000000000002</v>
      </c>
      <c r="J95" s="38">
        <v>0.105</v>
      </c>
    </row>
    <row r="96" spans="1:10" ht="27.75" customHeight="1" x14ac:dyDescent="0.35">
      <c r="A96" s="163" t="s">
        <v>532</v>
      </c>
      <c r="B96" s="26" t="s">
        <v>805</v>
      </c>
      <c r="C96" s="170">
        <v>0</v>
      </c>
      <c r="D96" s="135">
        <v>3.2879999999999998</v>
      </c>
      <c r="E96" s="136">
        <v>0.113</v>
      </c>
      <c r="F96" s="137">
        <v>3.5000000000000003E-2</v>
      </c>
      <c r="G96" s="165">
        <v>19.13</v>
      </c>
      <c r="H96" s="165">
        <v>2.4900000000000002</v>
      </c>
      <c r="I96" s="169">
        <v>2.4900000000000002</v>
      </c>
      <c r="J96" s="38">
        <v>0.105</v>
      </c>
    </row>
    <row r="97" spans="1:10" ht="27.75" customHeight="1" x14ac:dyDescent="0.35">
      <c r="A97" s="163" t="s">
        <v>533</v>
      </c>
      <c r="B97" s="26" t="s">
        <v>806</v>
      </c>
      <c r="C97" s="170">
        <v>0</v>
      </c>
      <c r="D97" s="135">
        <v>3.2879999999999998</v>
      </c>
      <c r="E97" s="136">
        <v>0.113</v>
      </c>
      <c r="F97" s="137">
        <v>3.5000000000000003E-2</v>
      </c>
      <c r="G97" s="165">
        <v>26.12</v>
      </c>
      <c r="H97" s="165">
        <v>2.4900000000000002</v>
      </c>
      <c r="I97" s="169">
        <v>2.4900000000000002</v>
      </c>
      <c r="J97" s="38">
        <v>0.105</v>
      </c>
    </row>
    <row r="98" spans="1:10" ht="27.75" customHeight="1" x14ac:dyDescent="0.35">
      <c r="A98" s="163" t="s">
        <v>534</v>
      </c>
      <c r="B98" s="26" t="s">
        <v>807</v>
      </c>
      <c r="C98" s="170">
        <v>0</v>
      </c>
      <c r="D98" s="135">
        <v>3.2879999999999998</v>
      </c>
      <c r="E98" s="136">
        <v>0.113</v>
      </c>
      <c r="F98" s="137">
        <v>3.5000000000000003E-2</v>
      </c>
      <c r="G98" s="165">
        <v>52.98</v>
      </c>
      <c r="H98" s="165">
        <v>2.4900000000000002</v>
      </c>
      <c r="I98" s="169">
        <v>2.4900000000000002</v>
      </c>
      <c r="J98" s="38">
        <v>0.105</v>
      </c>
    </row>
    <row r="99" spans="1:10" ht="27.75" customHeight="1" x14ac:dyDescent="0.35">
      <c r="A99" s="163" t="s">
        <v>535</v>
      </c>
      <c r="B99" s="26" t="s">
        <v>808</v>
      </c>
      <c r="C99" s="170">
        <v>0</v>
      </c>
      <c r="D99" s="135">
        <v>3.0449999999999999</v>
      </c>
      <c r="E99" s="136">
        <v>9.5000000000000001E-2</v>
      </c>
      <c r="F99" s="137">
        <v>0.03</v>
      </c>
      <c r="G99" s="165">
        <v>7.64</v>
      </c>
      <c r="H99" s="165">
        <v>3.25</v>
      </c>
      <c r="I99" s="169">
        <v>3.25</v>
      </c>
      <c r="J99" s="38">
        <v>9.4E-2</v>
      </c>
    </row>
    <row r="100" spans="1:10" ht="27.75" customHeight="1" x14ac:dyDescent="0.35">
      <c r="A100" s="163" t="s">
        <v>536</v>
      </c>
      <c r="B100" s="26" t="s">
        <v>809</v>
      </c>
      <c r="C100" s="170">
        <v>0</v>
      </c>
      <c r="D100" s="135">
        <v>3.0449999999999999</v>
      </c>
      <c r="E100" s="136">
        <v>9.5000000000000001E-2</v>
      </c>
      <c r="F100" s="137">
        <v>0.03</v>
      </c>
      <c r="G100" s="165">
        <v>18.97</v>
      </c>
      <c r="H100" s="165">
        <v>3.25</v>
      </c>
      <c r="I100" s="169">
        <v>3.25</v>
      </c>
      <c r="J100" s="38">
        <v>9.4E-2</v>
      </c>
    </row>
    <row r="101" spans="1:10" ht="27.75" customHeight="1" x14ac:dyDescent="0.35">
      <c r="A101" s="163" t="s">
        <v>537</v>
      </c>
      <c r="B101" s="26" t="s">
        <v>810</v>
      </c>
      <c r="C101" s="170">
        <v>0</v>
      </c>
      <c r="D101" s="135">
        <v>3.0449999999999999</v>
      </c>
      <c r="E101" s="136">
        <v>9.5000000000000001E-2</v>
      </c>
      <c r="F101" s="137">
        <v>0.03</v>
      </c>
      <c r="G101" s="165">
        <v>27.43</v>
      </c>
      <c r="H101" s="165">
        <v>3.25</v>
      </c>
      <c r="I101" s="169">
        <v>3.25</v>
      </c>
      <c r="J101" s="38">
        <v>9.4E-2</v>
      </c>
    </row>
    <row r="102" spans="1:10" ht="27.75" customHeight="1" x14ac:dyDescent="0.35">
      <c r="A102" s="163" t="s">
        <v>538</v>
      </c>
      <c r="B102" s="26" t="s">
        <v>811</v>
      </c>
      <c r="C102" s="170">
        <v>0</v>
      </c>
      <c r="D102" s="135">
        <v>3.0449999999999999</v>
      </c>
      <c r="E102" s="136">
        <v>9.5000000000000001E-2</v>
      </c>
      <c r="F102" s="137">
        <v>0.03</v>
      </c>
      <c r="G102" s="165">
        <v>38.020000000000003</v>
      </c>
      <c r="H102" s="165">
        <v>3.25</v>
      </c>
      <c r="I102" s="169">
        <v>3.25</v>
      </c>
      <c r="J102" s="38">
        <v>9.4E-2</v>
      </c>
    </row>
    <row r="103" spans="1:10" ht="27.75" customHeight="1" x14ac:dyDescent="0.35">
      <c r="A103" s="163" t="s">
        <v>539</v>
      </c>
      <c r="B103" s="26" t="s">
        <v>812</v>
      </c>
      <c r="C103" s="170">
        <v>0</v>
      </c>
      <c r="D103" s="135">
        <v>3.0449999999999999</v>
      </c>
      <c r="E103" s="136">
        <v>9.5000000000000001E-2</v>
      </c>
      <c r="F103" s="137">
        <v>0.03</v>
      </c>
      <c r="G103" s="165">
        <v>78.66</v>
      </c>
      <c r="H103" s="165">
        <v>3.25</v>
      </c>
      <c r="I103" s="169">
        <v>3.25</v>
      </c>
      <c r="J103" s="38">
        <v>9.4E-2</v>
      </c>
    </row>
    <row r="104" spans="1:10" ht="27.75" customHeight="1" x14ac:dyDescent="0.35">
      <c r="A104" s="163" t="s">
        <v>540</v>
      </c>
      <c r="B104" s="26" t="s">
        <v>813</v>
      </c>
      <c r="C104" s="170">
        <v>0</v>
      </c>
      <c r="D104" s="135">
        <v>2.948</v>
      </c>
      <c r="E104" s="136">
        <v>8.6999999999999994E-2</v>
      </c>
      <c r="F104" s="137">
        <v>2.8000000000000001E-2</v>
      </c>
      <c r="G104" s="165">
        <v>86.24</v>
      </c>
      <c r="H104" s="165">
        <v>3.26</v>
      </c>
      <c r="I104" s="169">
        <v>3.26</v>
      </c>
      <c r="J104" s="38">
        <v>9.0999999999999998E-2</v>
      </c>
    </row>
    <row r="105" spans="1:10" ht="27.75" customHeight="1" x14ac:dyDescent="0.35">
      <c r="A105" s="163" t="s">
        <v>541</v>
      </c>
      <c r="B105" s="26" t="s">
        <v>814</v>
      </c>
      <c r="C105" s="170">
        <v>0</v>
      </c>
      <c r="D105" s="135">
        <v>2.948</v>
      </c>
      <c r="E105" s="136">
        <v>8.6999999999999994E-2</v>
      </c>
      <c r="F105" s="137">
        <v>2.8000000000000001E-2</v>
      </c>
      <c r="G105" s="165">
        <v>176.92</v>
      </c>
      <c r="H105" s="165">
        <v>3.26</v>
      </c>
      <c r="I105" s="169">
        <v>3.26</v>
      </c>
      <c r="J105" s="38">
        <v>9.0999999999999998E-2</v>
      </c>
    </row>
    <row r="106" spans="1:10" ht="27.75" customHeight="1" x14ac:dyDescent="0.35">
      <c r="A106" s="163" t="s">
        <v>542</v>
      </c>
      <c r="B106" s="26" t="s">
        <v>815</v>
      </c>
      <c r="C106" s="170">
        <v>0</v>
      </c>
      <c r="D106" s="135">
        <v>2.948</v>
      </c>
      <c r="E106" s="136">
        <v>8.6999999999999994E-2</v>
      </c>
      <c r="F106" s="137">
        <v>2.8000000000000001E-2</v>
      </c>
      <c r="G106" s="165">
        <v>312.37</v>
      </c>
      <c r="H106" s="165">
        <v>3.26</v>
      </c>
      <c r="I106" s="169">
        <v>3.26</v>
      </c>
      <c r="J106" s="38">
        <v>9.0999999999999998E-2</v>
      </c>
    </row>
    <row r="107" spans="1:10" ht="27.75" customHeight="1" x14ac:dyDescent="0.35">
      <c r="A107" s="163" t="s">
        <v>543</v>
      </c>
      <c r="B107" s="26" t="s">
        <v>816</v>
      </c>
      <c r="C107" s="170">
        <v>0</v>
      </c>
      <c r="D107" s="135">
        <v>2.948</v>
      </c>
      <c r="E107" s="136">
        <v>8.6999999999999994E-2</v>
      </c>
      <c r="F107" s="137">
        <v>2.8000000000000001E-2</v>
      </c>
      <c r="G107" s="165">
        <v>408.27</v>
      </c>
      <c r="H107" s="165">
        <v>3.26</v>
      </c>
      <c r="I107" s="169">
        <v>3.26</v>
      </c>
      <c r="J107" s="38">
        <v>9.0999999999999998E-2</v>
      </c>
    </row>
    <row r="108" spans="1:10" ht="27.75" customHeight="1" x14ac:dyDescent="0.35">
      <c r="A108" s="163" t="s">
        <v>544</v>
      </c>
      <c r="B108" s="26" t="s">
        <v>817</v>
      </c>
      <c r="C108" s="170">
        <v>0</v>
      </c>
      <c r="D108" s="135">
        <v>2.948</v>
      </c>
      <c r="E108" s="136">
        <v>8.6999999999999994E-2</v>
      </c>
      <c r="F108" s="137">
        <v>2.8000000000000001E-2</v>
      </c>
      <c r="G108" s="165">
        <v>1016.19</v>
      </c>
      <c r="H108" s="165">
        <v>3.26</v>
      </c>
      <c r="I108" s="169">
        <v>3.26</v>
      </c>
      <c r="J108" s="38">
        <v>9.0999999999999998E-2</v>
      </c>
    </row>
    <row r="109" spans="1:10" ht="27.75" customHeight="1" x14ac:dyDescent="0.35">
      <c r="A109" s="163" t="s">
        <v>417</v>
      </c>
      <c r="B109" s="26" t="s">
        <v>818</v>
      </c>
      <c r="C109" s="170" t="s">
        <v>718</v>
      </c>
      <c r="D109" s="138">
        <v>16.744</v>
      </c>
      <c r="E109" s="139">
        <v>0.746</v>
      </c>
      <c r="F109" s="137">
        <v>0.59299999999999997</v>
      </c>
      <c r="G109" s="166"/>
      <c r="H109" s="166"/>
      <c r="I109" s="168"/>
      <c r="J109" s="39"/>
    </row>
    <row r="110" spans="1:10" ht="27.75" customHeight="1" x14ac:dyDescent="0.35">
      <c r="A110" s="163" t="s">
        <v>418</v>
      </c>
      <c r="B110" s="26" t="s">
        <v>819</v>
      </c>
      <c r="C110" s="170" t="s">
        <v>1049</v>
      </c>
      <c r="D110" s="135">
        <v>-5.4459999999999997</v>
      </c>
      <c r="E110" s="136">
        <v>-0.19700000000000001</v>
      </c>
      <c r="F110" s="137">
        <v>-6.0999999999999999E-2</v>
      </c>
      <c r="G110" s="165">
        <v>0</v>
      </c>
      <c r="H110" s="166"/>
      <c r="I110" s="168"/>
      <c r="J110" s="39"/>
    </row>
    <row r="111" spans="1:10" ht="27.75" customHeight="1" x14ac:dyDescent="0.35">
      <c r="A111" s="163" t="s">
        <v>419</v>
      </c>
      <c r="B111" s="26" t="s">
        <v>820</v>
      </c>
      <c r="C111" s="170">
        <v>0</v>
      </c>
      <c r="D111" s="135">
        <v>-4.9160000000000004</v>
      </c>
      <c r="E111" s="136">
        <v>-0.17199999999999999</v>
      </c>
      <c r="F111" s="137">
        <v>-5.2999999999999999E-2</v>
      </c>
      <c r="G111" s="165">
        <v>0</v>
      </c>
      <c r="H111" s="166"/>
      <c r="I111" s="168"/>
      <c r="J111" s="39"/>
    </row>
    <row r="112" spans="1:10" ht="27.75" customHeight="1" x14ac:dyDescent="0.35">
      <c r="A112" s="163" t="s">
        <v>420</v>
      </c>
      <c r="B112" s="26" t="s">
        <v>821</v>
      </c>
      <c r="C112" s="170">
        <v>0</v>
      </c>
      <c r="D112" s="135">
        <v>-5.4459999999999997</v>
      </c>
      <c r="E112" s="136">
        <v>-0.19700000000000001</v>
      </c>
      <c r="F112" s="137">
        <v>-6.0999999999999999E-2</v>
      </c>
      <c r="G112" s="165">
        <v>0</v>
      </c>
      <c r="H112" s="166"/>
      <c r="I112" s="168"/>
      <c r="J112" s="38">
        <v>0.18099999999999999</v>
      </c>
    </row>
    <row r="113" spans="1:10" ht="27.75" customHeight="1" x14ac:dyDescent="0.35">
      <c r="A113" s="163" t="s">
        <v>421</v>
      </c>
      <c r="B113" s="26" t="s">
        <v>822</v>
      </c>
      <c r="C113" s="170">
        <v>0</v>
      </c>
      <c r="D113" s="135">
        <v>-4.9160000000000004</v>
      </c>
      <c r="E113" s="136">
        <v>-0.17199999999999999</v>
      </c>
      <c r="F113" s="137">
        <v>-5.2999999999999999E-2</v>
      </c>
      <c r="G113" s="165">
        <v>0</v>
      </c>
      <c r="H113" s="166"/>
      <c r="I113" s="168"/>
      <c r="J113" s="38">
        <v>0.153</v>
      </c>
    </row>
    <row r="114" spans="1:10" ht="27.75" customHeight="1" x14ac:dyDescent="0.35">
      <c r="A114" s="163" t="s">
        <v>422</v>
      </c>
      <c r="B114" s="26" t="s">
        <v>823</v>
      </c>
      <c r="C114" s="170">
        <v>0</v>
      </c>
      <c r="D114" s="135">
        <v>-5.6079999999999997</v>
      </c>
      <c r="E114" s="136">
        <v>-0.17399999999999999</v>
      </c>
      <c r="F114" s="137">
        <v>-5.5E-2</v>
      </c>
      <c r="G114" s="165">
        <v>9.98</v>
      </c>
      <c r="H114" s="166"/>
      <c r="I114" s="168"/>
      <c r="J114" s="38">
        <v>0.217</v>
      </c>
    </row>
    <row r="115" spans="1:10" ht="27.75" customHeight="1" x14ac:dyDescent="0.35">
      <c r="A115" s="163" t="s">
        <v>607</v>
      </c>
      <c r="B115" s="26" t="s">
        <v>824</v>
      </c>
      <c r="C115" s="170" t="s">
        <v>711</v>
      </c>
      <c r="D115" s="135">
        <v>5.0819999999999999</v>
      </c>
      <c r="E115" s="136">
        <v>0.184</v>
      </c>
      <c r="F115" s="137">
        <v>5.7000000000000002E-2</v>
      </c>
      <c r="G115" s="165">
        <v>2.29</v>
      </c>
      <c r="H115" s="166"/>
      <c r="I115" s="168"/>
      <c r="J115" s="39"/>
    </row>
    <row r="116" spans="1:10" ht="27.75" customHeight="1" x14ac:dyDescent="0.35">
      <c r="A116" s="163" t="s">
        <v>628</v>
      </c>
      <c r="B116" s="26" t="s">
        <v>825</v>
      </c>
      <c r="C116" s="170">
        <v>2</v>
      </c>
      <c r="D116" s="135">
        <v>5.0819999999999999</v>
      </c>
      <c r="E116" s="136">
        <v>0.184</v>
      </c>
      <c r="F116" s="137">
        <v>5.7000000000000002E-2</v>
      </c>
      <c r="G116" s="166"/>
      <c r="H116" s="166"/>
      <c r="I116" s="168"/>
      <c r="J116" s="39"/>
    </row>
    <row r="117" spans="1:10" ht="27.75" customHeight="1" x14ac:dyDescent="0.35">
      <c r="A117" s="163" t="s">
        <v>608</v>
      </c>
      <c r="B117" s="26" t="s">
        <v>826</v>
      </c>
      <c r="C117" s="170" t="s">
        <v>712</v>
      </c>
      <c r="D117" s="135">
        <v>3.798</v>
      </c>
      <c r="E117" s="136">
        <v>0.13700000000000001</v>
      </c>
      <c r="F117" s="137">
        <v>4.2999999999999997E-2</v>
      </c>
      <c r="G117" s="165">
        <v>2.23</v>
      </c>
      <c r="H117" s="166"/>
      <c r="I117" s="168"/>
      <c r="J117" s="39"/>
    </row>
    <row r="118" spans="1:10" ht="27.75" customHeight="1" x14ac:dyDescent="0.35">
      <c r="A118" s="163" t="s">
        <v>609</v>
      </c>
      <c r="B118" s="26" t="s">
        <v>827</v>
      </c>
      <c r="C118" s="170" t="s">
        <v>712</v>
      </c>
      <c r="D118" s="135">
        <v>3.798</v>
      </c>
      <c r="E118" s="136">
        <v>0.13700000000000001</v>
      </c>
      <c r="F118" s="137">
        <v>4.2999999999999997E-2</v>
      </c>
      <c r="G118" s="165">
        <v>2.4</v>
      </c>
      <c r="H118" s="166"/>
      <c r="I118" s="168"/>
      <c r="J118" s="39"/>
    </row>
    <row r="119" spans="1:10" ht="27.75" customHeight="1" x14ac:dyDescent="0.35">
      <c r="A119" s="163" t="s">
        <v>610</v>
      </c>
      <c r="B119" s="26" t="s">
        <v>828</v>
      </c>
      <c r="C119" s="170" t="s">
        <v>712</v>
      </c>
      <c r="D119" s="135">
        <v>3.798</v>
      </c>
      <c r="E119" s="136">
        <v>0.13700000000000001</v>
      </c>
      <c r="F119" s="137">
        <v>4.2999999999999997E-2</v>
      </c>
      <c r="G119" s="165">
        <v>2.75</v>
      </c>
      <c r="H119" s="166"/>
      <c r="I119" s="168"/>
      <c r="J119" s="39"/>
    </row>
    <row r="120" spans="1:10" ht="27.75" customHeight="1" x14ac:dyDescent="0.35">
      <c r="A120" s="163" t="s">
        <v>611</v>
      </c>
      <c r="B120" s="26" t="s">
        <v>829</v>
      </c>
      <c r="C120" s="170" t="s">
        <v>712</v>
      </c>
      <c r="D120" s="135">
        <v>3.798</v>
      </c>
      <c r="E120" s="136">
        <v>0.13700000000000001</v>
      </c>
      <c r="F120" s="137">
        <v>4.2999999999999997E-2</v>
      </c>
      <c r="G120" s="165">
        <v>3.33</v>
      </c>
      <c r="H120" s="166"/>
      <c r="I120" s="168"/>
      <c r="J120" s="39"/>
    </row>
    <row r="121" spans="1:10" ht="27.75" customHeight="1" x14ac:dyDescent="0.35">
      <c r="A121" s="163" t="s">
        <v>612</v>
      </c>
      <c r="B121" s="26" t="s">
        <v>830</v>
      </c>
      <c r="C121" s="170" t="s">
        <v>712</v>
      </c>
      <c r="D121" s="135">
        <v>3.798</v>
      </c>
      <c r="E121" s="136">
        <v>0.13700000000000001</v>
      </c>
      <c r="F121" s="137">
        <v>4.2999999999999997E-2</v>
      </c>
      <c r="G121" s="165">
        <v>5.31</v>
      </c>
      <c r="H121" s="166"/>
      <c r="I121" s="168"/>
      <c r="J121" s="39"/>
    </row>
    <row r="122" spans="1:10" ht="27.75" customHeight="1" x14ac:dyDescent="0.35">
      <c r="A122" s="163" t="s">
        <v>423</v>
      </c>
      <c r="B122" s="26" t="s">
        <v>831</v>
      </c>
      <c r="C122" s="170">
        <v>4</v>
      </c>
      <c r="D122" s="135">
        <v>3.798</v>
      </c>
      <c r="E122" s="136">
        <v>0.13700000000000001</v>
      </c>
      <c r="F122" s="137">
        <v>4.2999999999999997E-2</v>
      </c>
      <c r="G122" s="166"/>
      <c r="H122" s="166"/>
      <c r="I122" s="168"/>
      <c r="J122" s="39"/>
    </row>
    <row r="123" spans="1:10" ht="27.75" customHeight="1" x14ac:dyDescent="0.35">
      <c r="A123" s="163" t="s">
        <v>515</v>
      </c>
      <c r="B123" s="26" t="s">
        <v>832</v>
      </c>
      <c r="C123" s="170">
        <v>0</v>
      </c>
      <c r="D123" s="135">
        <v>2.7080000000000002</v>
      </c>
      <c r="E123" s="136">
        <v>9.2999999999999999E-2</v>
      </c>
      <c r="F123" s="137">
        <v>2.9000000000000001E-2</v>
      </c>
      <c r="G123" s="165">
        <v>4.9800000000000004</v>
      </c>
      <c r="H123" s="165">
        <v>2.0499999999999998</v>
      </c>
      <c r="I123" s="169">
        <v>2.0499999999999998</v>
      </c>
      <c r="J123" s="38">
        <v>8.5999999999999993E-2</v>
      </c>
    </row>
    <row r="124" spans="1:10" ht="27.75" customHeight="1" x14ac:dyDescent="0.35">
      <c r="A124" s="163" t="s">
        <v>516</v>
      </c>
      <c r="B124" s="26" t="s">
        <v>833</v>
      </c>
      <c r="C124" s="170">
        <v>0</v>
      </c>
      <c r="D124" s="135">
        <v>2.7080000000000002</v>
      </c>
      <c r="E124" s="136">
        <v>9.2999999999999999E-2</v>
      </c>
      <c r="F124" s="137">
        <v>2.9000000000000001E-2</v>
      </c>
      <c r="G124" s="165">
        <v>11.15</v>
      </c>
      <c r="H124" s="165">
        <v>2.0499999999999998</v>
      </c>
      <c r="I124" s="169">
        <v>2.0499999999999998</v>
      </c>
      <c r="J124" s="38">
        <v>8.5999999999999993E-2</v>
      </c>
    </row>
    <row r="125" spans="1:10" ht="27.75" customHeight="1" x14ac:dyDescent="0.35">
      <c r="A125" s="163" t="s">
        <v>517</v>
      </c>
      <c r="B125" s="26" t="s">
        <v>834</v>
      </c>
      <c r="C125" s="170">
        <v>0</v>
      </c>
      <c r="D125" s="135">
        <v>2.7080000000000002</v>
      </c>
      <c r="E125" s="136">
        <v>9.2999999999999999E-2</v>
      </c>
      <c r="F125" s="137">
        <v>2.9000000000000001E-2</v>
      </c>
      <c r="G125" s="165">
        <v>15.75</v>
      </c>
      <c r="H125" s="165">
        <v>2.0499999999999998</v>
      </c>
      <c r="I125" s="169">
        <v>2.0499999999999998</v>
      </c>
      <c r="J125" s="38">
        <v>8.5999999999999993E-2</v>
      </c>
    </row>
    <row r="126" spans="1:10" ht="27.75" customHeight="1" x14ac:dyDescent="0.35">
      <c r="A126" s="163" t="s">
        <v>518</v>
      </c>
      <c r="B126" s="26" t="s">
        <v>835</v>
      </c>
      <c r="C126" s="170">
        <v>0</v>
      </c>
      <c r="D126" s="135">
        <v>2.7080000000000002</v>
      </c>
      <c r="E126" s="136">
        <v>9.2999999999999999E-2</v>
      </c>
      <c r="F126" s="137">
        <v>2.9000000000000001E-2</v>
      </c>
      <c r="G126" s="165">
        <v>21.51</v>
      </c>
      <c r="H126" s="165">
        <v>2.0499999999999998</v>
      </c>
      <c r="I126" s="169">
        <v>2.0499999999999998</v>
      </c>
      <c r="J126" s="38">
        <v>8.5999999999999993E-2</v>
      </c>
    </row>
    <row r="127" spans="1:10" ht="27.75" customHeight="1" x14ac:dyDescent="0.35">
      <c r="A127" s="163" t="s">
        <v>519</v>
      </c>
      <c r="B127" s="26" t="s">
        <v>836</v>
      </c>
      <c r="C127" s="170">
        <v>0</v>
      </c>
      <c r="D127" s="135">
        <v>2.7080000000000002</v>
      </c>
      <c r="E127" s="136">
        <v>9.2999999999999999E-2</v>
      </c>
      <c r="F127" s="137">
        <v>2.9000000000000001E-2</v>
      </c>
      <c r="G127" s="165">
        <v>43.63</v>
      </c>
      <c r="H127" s="165">
        <v>2.0499999999999998</v>
      </c>
      <c r="I127" s="169">
        <v>2.0499999999999998</v>
      </c>
      <c r="J127" s="38">
        <v>8.5999999999999993E-2</v>
      </c>
    </row>
    <row r="128" spans="1:10" ht="27.75" customHeight="1" x14ac:dyDescent="0.35">
      <c r="A128" s="163" t="s">
        <v>520</v>
      </c>
      <c r="B128" s="26" t="s">
        <v>837</v>
      </c>
      <c r="C128" s="170">
        <v>0</v>
      </c>
      <c r="D128" s="135">
        <v>2.5070000000000001</v>
      </c>
      <c r="E128" s="136">
        <v>7.8E-2</v>
      </c>
      <c r="F128" s="137">
        <v>2.5000000000000001E-2</v>
      </c>
      <c r="G128" s="165">
        <v>6.29</v>
      </c>
      <c r="H128" s="165">
        <v>2.68</v>
      </c>
      <c r="I128" s="169">
        <v>2.68</v>
      </c>
      <c r="J128" s="38">
        <v>7.8E-2</v>
      </c>
    </row>
    <row r="129" spans="1:10" ht="27.75" customHeight="1" x14ac:dyDescent="0.35">
      <c r="A129" s="163" t="s">
        <v>521</v>
      </c>
      <c r="B129" s="26" t="s">
        <v>838</v>
      </c>
      <c r="C129" s="170">
        <v>0</v>
      </c>
      <c r="D129" s="135">
        <v>2.5070000000000001</v>
      </c>
      <c r="E129" s="136">
        <v>7.8E-2</v>
      </c>
      <c r="F129" s="137">
        <v>2.5000000000000001E-2</v>
      </c>
      <c r="G129" s="165">
        <v>15.62</v>
      </c>
      <c r="H129" s="165">
        <v>2.68</v>
      </c>
      <c r="I129" s="169">
        <v>2.68</v>
      </c>
      <c r="J129" s="38">
        <v>7.8E-2</v>
      </c>
    </row>
    <row r="130" spans="1:10" ht="27.75" customHeight="1" x14ac:dyDescent="0.35">
      <c r="A130" s="163" t="s">
        <v>522</v>
      </c>
      <c r="B130" s="26" t="s">
        <v>839</v>
      </c>
      <c r="C130" s="170">
        <v>0</v>
      </c>
      <c r="D130" s="135">
        <v>2.5070000000000001</v>
      </c>
      <c r="E130" s="136">
        <v>7.8E-2</v>
      </c>
      <c r="F130" s="137">
        <v>2.5000000000000001E-2</v>
      </c>
      <c r="G130" s="165">
        <v>22.59</v>
      </c>
      <c r="H130" s="165">
        <v>2.68</v>
      </c>
      <c r="I130" s="169">
        <v>2.68</v>
      </c>
      <c r="J130" s="38">
        <v>7.8E-2</v>
      </c>
    </row>
    <row r="131" spans="1:10" ht="27.75" customHeight="1" x14ac:dyDescent="0.35">
      <c r="A131" s="163" t="s">
        <v>523</v>
      </c>
      <c r="B131" s="26" t="s">
        <v>840</v>
      </c>
      <c r="C131" s="170">
        <v>0</v>
      </c>
      <c r="D131" s="135">
        <v>2.5070000000000001</v>
      </c>
      <c r="E131" s="136">
        <v>7.8E-2</v>
      </c>
      <c r="F131" s="137">
        <v>2.5000000000000001E-2</v>
      </c>
      <c r="G131" s="165">
        <v>31.31</v>
      </c>
      <c r="H131" s="165">
        <v>2.68</v>
      </c>
      <c r="I131" s="169">
        <v>2.68</v>
      </c>
      <c r="J131" s="38">
        <v>7.8E-2</v>
      </c>
    </row>
    <row r="132" spans="1:10" ht="27.75" customHeight="1" x14ac:dyDescent="0.35">
      <c r="A132" s="163" t="s">
        <v>524</v>
      </c>
      <c r="B132" s="26" t="s">
        <v>841</v>
      </c>
      <c r="C132" s="170">
        <v>0</v>
      </c>
      <c r="D132" s="135">
        <v>2.5070000000000001</v>
      </c>
      <c r="E132" s="136">
        <v>7.8E-2</v>
      </c>
      <c r="F132" s="137">
        <v>2.5000000000000001E-2</v>
      </c>
      <c r="G132" s="165">
        <v>64.78</v>
      </c>
      <c r="H132" s="165">
        <v>2.68</v>
      </c>
      <c r="I132" s="169">
        <v>2.68</v>
      </c>
      <c r="J132" s="38">
        <v>7.8E-2</v>
      </c>
    </row>
    <row r="133" spans="1:10" ht="27.75" customHeight="1" x14ac:dyDescent="0.35">
      <c r="A133" s="163" t="s">
        <v>525</v>
      </c>
      <c r="B133" s="26" t="s">
        <v>842</v>
      </c>
      <c r="C133" s="170">
        <v>0</v>
      </c>
      <c r="D133" s="135">
        <v>2.4279999999999999</v>
      </c>
      <c r="E133" s="136">
        <v>7.0999999999999994E-2</v>
      </c>
      <c r="F133" s="137">
        <v>2.3E-2</v>
      </c>
      <c r="G133" s="165">
        <v>71.02</v>
      </c>
      <c r="H133" s="165">
        <v>2.69</v>
      </c>
      <c r="I133" s="169">
        <v>2.69</v>
      </c>
      <c r="J133" s="38">
        <v>7.4999999999999997E-2</v>
      </c>
    </row>
    <row r="134" spans="1:10" ht="27.75" customHeight="1" x14ac:dyDescent="0.35">
      <c r="A134" s="163" t="s">
        <v>526</v>
      </c>
      <c r="B134" s="26" t="s">
        <v>843</v>
      </c>
      <c r="C134" s="170">
        <v>0</v>
      </c>
      <c r="D134" s="135">
        <v>2.4279999999999999</v>
      </c>
      <c r="E134" s="136">
        <v>7.0999999999999994E-2</v>
      </c>
      <c r="F134" s="137">
        <v>2.3E-2</v>
      </c>
      <c r="G134" s="165">
        <v>145.69</v>
      </c>
      <c r="H134" s="165">
        <v>2.69</v>
      </c>
      <c r="I134" s="169">
        <v>2.69</v>
      </c>
      <c r="J134" s="38">
        <v>7.4999999999999997E-2</v>
      </c>
    </row>
    <row r="135" spans="1:10" ht="27.75" customHeight="1" x14ac:dyDescent="0.35">
      <c r="A135" s="163" t="s">
        <v>527</v>
      </c>
      <c r="B135" s="26" t="s">
        <v>844</v>
      </c>
      <c r="C135" s="170">
        <v>0</v>
      </c>
      <c r="D135" s="135">
        <v>2.4279999999999999</v>
      </c>
      <c r="E135" s="136">
        <v>7.0999999999999994E-2</v>
      </c>
      <c r="F135" s="137">
        <v>2.3E-2</v>
      </c>
      <c r="G135" s="165">
        <v>257.24</v>
      </c>
      <c r="H135" s="165">
        <v>2.69</v>
      </c>
      <c r="I135" s="169">
        <v>2.69</v>
      </c>
      <c r="J135" s="38">
        <v>7.4999999999999997E-2</v>
      </c>
    </row>
    <row r="136" spans="1:10" ht="27.75" customHeight="1" x14ac:dyDescent="0.35">
      <c r="A136" s="163" t="s">
        <v>528</v>
      </c>
      <c r="B136" s="26" t="s">
        <v>845</v>
      </c>
      <c r="C136" s="170">
        <v>0</v>
      </c>
      <c r="D136" s="135">
        <v>2.4279999999999999</v>
      </c>
      <c r="E136" s="136">
        <v>7.0999999999999994E-2</v>
      </c>
      <c r="F136" s="137">
        <v>2.3E-2</v>
      </c>
      <c r="G136" s="165">
        <v>336.21</v>
      </c>
      <c r="H136" s="165">
        <v>2.69</v>
      </c>
      <c r="I136" s="169">
        <v>2.69</v>
      </c>
      <c r="J136" s="38">
        <v>7.4999999999999997E-2</v>
      </c>
    </row>
    <row r="137" spans="1:10" ht="27.75" customHeight="1" x14ac:dyDescent="0.35">
      <c r="A137" s="163" t="s">
        <v>529</v>
      </c>
      <c r="B137" s="26" t="s">
        <v>846</v>
      </c>
      <c r="C137" s="170">
        <v>0</v>
      </c>
      <c r="D137" s="135">
        <v>2.4279999999999999</v>
      </c>
      <c r="E137" s="136">
        <v>7.0999999999999994E-2</v>
      </c>
      <c r="F137" s="137">
        <v>2.3E-2</v>
      </c>
      <c r="G137" s="165">
        <v>836.84</v>
      </c>
      <c r="H137" s="165">
        <v>2.69</v>
      </c>
      <c r="I137" s="169">
        <v>2.69</v>
      </c>
      <c r="J137" s="38">
        <v>7.4999999999999997E-2</v>
      </c>
    </row>
    <row r="138" spans="1:10" ht="27.75" customHeight="1" x14ac:dyDescent="0.35">
      <c r="A138" s="163" t="s">
        <v>424</v>
      </c>
      <c r="B138" s="26" t="s">
        <v>847</v>
      </c>
      <c r="C138" s="170" t="s">
        <v>718</v>
      </c>
      <c r="D138" s="138">
        <v>13.788</v>
      </c>
      <c r="E138" s="139">
        <v>0.61399999999999999</v>
      </c>
      <c r="F138" s="137">
        <v>0.48899999999999999</v>
      </c>
      <c r="G138" s="166"/>
      <c r="H138" s="166"/>
      <c r="I138" s="168"/>
      <c r="J138" s="39"/>
    </row>
    <row r="139" spans="1:10" ht="27.75" customHeight="1" x14ac:dyDescent="0.35">
      <c r="A139" s="163" t="s">
        <v>425</v>
      </c>
      <c r="B139" s="26" t="s">
        <v>848</v>
      </c>
      <c r="C139" s="170" t="s">
        <v>1049</v>
      </c>
      <c r="D139" s="135">
        <v>-4.4850000000000003</v>
      </c>
      <c r="E139" s="136">
        <v>-0.16200000000000001</v>
      </c>
      <c r="F139" s="137">
        <v>-0.05</v>
      </c>
      <c r="G139" s="165">
        <v>0</v>
      </c>
      <c r="H139" s="166"/>
      <c r="I139" s="168"/>
      <c r="J139" s="39"/>
    </row>
    <row r="140" spans="1:10" ht="27.75" customHeight="1" x14ac:dyDescent="0.35">
      <c r="A140" s="163" t="s">
        <v>426</v>
      </c>
      <c r="B140" s="26" t="s">
        <v>849</v>
      </c>
      <c r="C140" s="170">
        <v>0</v>
      </c>
      <c r="D140" s="135">
        <v>-4.0490000000000004</v>
      </c>
      <c r="E140" s="136">
        <v>-0.14099999999999999</v>
      </c>
      <c r="F140" s="137">
        <v>-4.3999999999999997E-2</v>
      </c>
      <c r="G140" s="165">
        <v>0</v>
      </c>
      <c r="H140" s="166"/>
      <c r="I140" s="168"/>
      <c r="J140" s="39"/>
    </row>
    <row r="141" spans="1:10" ht="27.75" customHeight="1" x14ac:dyDescent="0.35">
      <c r="A141" s="163" t="s">
        <v>427</v>
      </c>
      <c r="B141" s="26" t="s">
        <v>850</v>
      </c>
      <c r="C141" s="170">
        <v>0</v>
      </c>
      <c r="D141" s="135">
        <v>-4.4850000000000003</v>
      </c>
      <c r="E141" s="136">
        <v>-0.16200000000000001</v>
      </c>
      <c r="F141" s="137">
        <v>-0.05</v>
      </c>
      <c r="G141" s="165">
        <v>0</v>
      </c>
      <c r="H141" s="166"/>
      <c r="I141" s="168"/>
      <c r="J141" s="38">
        <v>0.14899999999999999</v>
      </c>
    </row>
    <row r="142" spans="1:10" ht="27.75" customHeight="1" x14ac:dyDescent="0.35">
      <c r="A142" s="163" t="s">
        <v>428</v>
      </c>
      <c r="B142" s="26" t="s">
        <v>851</v>
      </c>
      <c r="C142" s="170">
        <v>0</v>
      </c>
      <c r="D142" s="135">
        <v>-4.0490000000000004</v>
      </c>
      <c r="E142" s="136">
        <v>-0.14099999999999999</v>
      </c>
      <c r="F142" s="137">
        <v>-4.3999999999999997E-2</v>
      </c>
      <c r="G142" s="165">
        <v>0</v>
      </c>
      <c r="H142" s="166"/>
      <c r="I142" s="168"/>
      <c r="J142" s="38">
        <v>0.126</v>
      </c>
    </row>
    <row r="143" spans="1:10" ht="27.75" customHeight="1" x14ac:dyDescent="0.35">
      <c r="A143" s="163" t="s">
        <v>429</v>
      </c>
      <c r="B143" s="26" t="s">
        <v>852</v>
      </c>
      <c r="C143" s="170">
        <v>0</v>
      </c>
      <c r="D143" s="135">
        <v>-4.6180000000000003</v>
      </c>
      <c r="E143" s="136">
        <v>-0.14399999999999999</v>
      </c>
      <c r="F143" s="137">
        <v>-4.5999999999999999E-2</v>
      </c>
      <c r="G143" s="165">
        <v>8.2200000000000006</v>
      </c>
      <c r="H143" s="166"/>
      <c r="I143" s="168"/>
      <c r="J143" s="38">
        <v>0.17899999999999999</v>
      </c>
    </row>
    <row r="144" spans="1:10" ht="27.75" customHeight="1" x14ac:dyDescent="0.35">
      <c r="A144" s="163" t="s">
        <v>613</v>
      </c>
      <c r="B144" s="26" t="s">
        <v>853</v>
      </c>
      <c r="C144" s="170" t="s">
        <v>711</v>
      </c>
      <c r="D144" s="135">
        <v>3.4790000000000001</v>
      </c>
      <c r="E144" s="136">
        <v>0.126</v>
      </c>
      <c r="F144" s="137">
        <v>3.9E-2</v>
      </c>
      <c r="G144" s="165">
        <v>1.57</v>
      </c>
      <c r="H144" s="166"/>
      <c r="I144" s="168"/>
      <c r="J144" s="39"/>
    </row>
    <row r="145" spans="1:10" ht="27.75" customHeight="1" x14ac:dyDescent="0.35">
      <c r="A145" s="163" t="s">
        <v>629</v>
      </c>
      <c r="B145" s="26" t="s">
        <v>854</v>
      </c>
      <c r="C145" s="170">
        <v>2</v>
      </c>
      <c r="D145" s="135">
        <v>3.4790000000000001</v>
      </c>
      <c r="E145" s="136">
        <v>0.126</v>
      </c>
      <c r="F145" s="137">
        <v>3.9E-2</v>
      </c>
      <c r="G145" s="166"/>
      <c r="H145" s="166"/>
      <c r="I145" s="168"/>
      <c r="J145" s="39"/>
    </row>
    <row r="146" spans="1:10" ht="27.75" customHeight="1" x14ac:dyDescent="0.35">
      <c r="A146" s="163" t="s">
        <v>614</v>
      </c>
      <c r="B146" s="26" t="s">
        <v>855</v>
      </c>
      <c r="C146" s="170" t="s">
        <v>712</v>
      </c>
      <c r="D146" s="135">
        <v>2.5990000000000002</v>
      </c>
      <c r="E146" s="136">
        <v>9.4E-2</v>
      </c>
      <c r="F146" s="137">
        <v>2.9000000000000001E-2</v>
      </c>
      <c r="G146" s="165">
        <v>1.52</v>
      </c>
      <c r="H146" s="166"/>
      <c r="I146" s="168"/>
      <c r="J146" s="39"/>
    </row>
    <row r="147" spans="1:10" ht="27.75" customHeight="1" x14ac:dyDescent="0.35">
      <c r="A147" s="163" t="s">
        <v>615</v>
      </c>
      <c r="B147" s="26" t="s">
        <v>856</v>
      </c>
      <c r="C147" s="170" t="s">
        <v>712</v>
      </c>
      <c r="D147" s="135">
        <v>2.5990000000000002</v>
      </c>
      <c r="E147" s="136">
        <v>9.4E-2</v>
      </c>
      <c r="F147" s="137">
        <v>2.9000000000000001E-2</v>
      </c>
      <c r="G147" s="165">
        <v>1.64</v>
      </c>
      <c r="H147" s="166"/>
      <c r="I147" s="168"/>
      <c r="J147" s="39"/>
    </row>
    <row r="148" spans="1:10" ht="27.75" customHeight="1" x14ac:dyDescent="0.35">
      <c r="A148" s="163" t="s">
        <v>616</v>
      </c>
      <c r="B148" s="26" t="s">
        <v>857</v>
      </c>
      <c r="C148" s="170" t="s">
        <v>712</v>
      </c>
      <c r="D148" s="135">
        <v>2.5990000000000002</v>
      </c>
      <c r="E148" s="136">
        <v>9.4E-2</v>
      </c>
      <c r="F148" s="137">
        <v>2.9000000000000001E-2</v>
      </c>
      <c r="G148" s="165">
        <v>1.88</v>
      </c>
      <c r="H148" s="166"/>
      <c r="I148" s="168"/>
      <c r="J148" s="39"/>
    </row>
    <row r="149" spans="1:10" ht="27.75" customHeight="1" x14ac:dyDescent="0.35">
      <c r="A149" s="163" t="s">
        <v>617</v>
      </c>
      <c r="B149" s="26" t="s">
        <v>858</v>
      </c>
      <c r="C149" s="170" t="s">
        <v>712</v>
      </c>
      <c r="D149" s="135">
        <v>2.5990000000000002</v>
      </c>
      <c r="E149" s="136">
        <v>9.4E-2</v>
      </c>
      <c r="F149" s="137">
        <v>2.9000000000000001E-2</v>
      </c>
      <c r="G149" s="165">
        <v>2.2799999999999998</v>
      </c>
      <c r="H149" s="166"/>
      <c r="I149" s="168"/>
      <c r="J149" s="39"/>
    </row>
    <row r="150" spans="1:10" ht="27.75" customHeight="1" x14ac:dyDescent="0.35">
      <c r="A150" s="163" t="s">
        <v>618</v>
      </c>
      <c r="B150" s="26" t="s">
        <v>859</v>
      </c>
      <c r="C150" s="170" t="s">
        <v>712</v>
      </c>
      <c r="D150" s="135">
        <v>2.5990000000000002</v>
      </c>
      <c r="E150" s="136">
        <v>9.4E-2</v>
      </c>
      <c r="F150" s="137">
        <v>2.9000000000000001E-2</v>
      </c>
      <c r="G150" s="165">
        <v>3.64</v>
      </c>
      <c r="H150" s="166"/>
      <c r="I150" s="168"/>
      <c r="J150" s="39"/>
    </row>
    <row r="151" spans="1:10" ht="27.75" customHeight="1" x14ac:dyDescent="0.35">
      <c r="A151" s="163" t="s">
        <v>430</v>
      </c>
      <c r="B151" s="26" t="s">
        <v>860</v>
      </c>
      <c r="C151" s="170">
        <v>4</v>
      </c>
      <c r="D151" s="135">
        <v>2.5990000000000002</v>
      </c>
      <c r="E151" s="136">
        <v>9.4E-2</v>
      </c>
      <c r="F151" s="137">
        <v>2.9000000000000001E-2</v>
      </c>
      <c r="G151" s="166"/>
      <c r="H151" s="166"/>
      <c r="I151" s="168"/>
      <c r="J151" s="39"/>
    </row>
    <row r="152" spans="1:10" ht="27.75" customHeight="1" x14ac:dyDescent="0.35">
      <c r="A152" s="163" t="s">
        <v>500</v>
      </c>
      <c r="B152" s="26" t="s">
        <v>861</v>
      </c>
      <c r="C152" s="170">
        <v>0</v>
      </c>
      <c r="D152" s="135">
        <v>1.853</v>
      </c>
      <c r="E152" s="136">
        <v>6.4000000000000001E-2</v>
      </c>
      <c r="F152" s="137">
        <v>0.02</v>
      </c>
      <c r="G152" s="165">
        <v>3.41</v>
      </c>
      <c r="H152" s="165">
        <v>1.4</v>
      </c>
      <c r="I152" s="169">
        <v>1.4</v>
      </c>
      <c r="J152" s="38">
        <v>5.8999999999999997E-2</v>
      </c>
    </row>
    <row r="153" spans="1:10" ht="27.75" customHeight="1" x14ac:dyDescent="0.35">
      <c r="A153" s="163" t="s">
        <v>501</v>
      </c>
      <c r="B153" s="26" t="s">
        <v>862</v>
      </c>
      <c r="C153" s="170">
        <v>0</v>
      </c>
      <c r="D153" s="135">
        <v>1.853</v>
      </c>
      <c r="E153" s="136">
        <v>6.4000000000000001E-2</v>
      </c>
      <c r="F153" s="137">
        <v>0.02</v>
      </c>
      <c r="G153" s="165">
        <v>7.63</v>
      </c>
      <c r="H153" s="165">
        <v>1.4</v>
      </c>
      <c r="I153" s="169">
        <v>1.4</v>
      </c>
      <c r="J153" s="38">
        <v>5.8999999999999997E-2</v>
      </c>
    </row>
    <row r="154" spans="1:10" ht="27.75" customHeight="1" x14ac:dyDescent="0.35">
      <c r="A154" s="163" t="s">
        <v>502</v>
      </c>
      <c r="B154" s="26" t="s">
        <v>863</v>
      </c>
      <c r="C154" s="170">
        <v>0</v>
      </c>
      <c r="D154" s="135">
        <v>1.853</v>
      </c>
      <c r="E154" s="136">
        <v>6.4000000000000001E-2</v>
      </c>
      <c r="F154" s="137">
        <v>0.02</v>
      </c>
      <c r="G154" s="165">
        <v>10.78</v>
      </c>
      <c r="H154" s="165">
        <v>1.4</v>
      </c>
      <c r="I154" s="169">
        <v>1.4</v>
      </c>
      <c r="J154" s="38">
        <v>5.8999999999999997E-2</v>
      </c>
    </row>
    <row r="155" spans="1:10" ht="27.75" customHeight="1" x14ac:dyDescent="0.35">
      <c r="A155" s="163" t="s">
        <v>503</v>
      </c>
      <c r="B155" s="26" t="s">
        <v>864</v>
      </c>
      <c r="C155" s="170">
        <v>0</v>
      </c>
      <c r="D155" s="135">
        <v>1.853</v>
      </c>
      <c r="E155" s="136">
        <v>6.4000000000000001E-2</v>
      </c>
      <c r="F155" s="137">
        <v>0.02</v>
      </c>
      <c r="G155" s="165">
        <v>14.73</v>
      </c>
      <c r="H155" s="165">
        <v>1.4</v>
      </c>
      <c r="I155" s="169">
        <v>1.4</v>
      </c>
      <c r="J155" s="38">
        <v>5.8999999999999997E-2</v>
      </c>
    </row>
    <row r="156" spans="1:10" ht="27.75" customHeight="1" x14ac:dyDescent="0.35">
      <c r="A156" s="163" t="s">
        <v>504</v>
      </c>
      <c r="B156" s="26" t="s">
        <v>865</v>
      </c>
      <c r="C156" s="170">
        <v>0</v>
      </c>
      <c r="D156" s="135">
        <v>1.853</v>
      </c>
      <c r="E156" s="136">
        <v>6.4000000000000001E-2</v>
      </c>
      <c r="F156" s="137">
        <v>0.02</v>
      </c>
      <c r="G156" s="165">
        <v>29.87</v>
      </c>
      <c r="H156" s="165">
        <v>1.4</v>
      </c>
      <c r="I156" s="169">
        <v>1.4</v>
      </c>
      <c r="J156" s="38">
        <v>5.8999999999999997E-2</v>
      </c>
    </row>
    <row r="157" spans="1:10" ht="27.75" customHeight="1" x14ac:dyDescent="0.35">
      <c r="A157" s="163" t="s">
        <v>505</v>
      </c>
      <c r="B157" s="26" t="s">
        <v>866</v>
      </c>
      <c r="C157" s="170">
        <v>0</v>
      </c>
      <c r="D157" s="135">
        <v>1.716</v>
      </c>
      <c r="E157" s="136">
        <v>5.2999999999999999E-2</v>
      </c>
      <c r="F157" s="137">
        <v>1.7000000000000001E-2</v>
      </c>
      <c r="G157" s="165">
        <v>4.3099999999999996</v>
      </c>
      <c r="H157" s="165">
        <v>1.83</v>
      </c>
      <c r="I157" s="169">
        <v>1.83</v>
      </c>
      <c r="J157" s="38">
        <v>5.2999999999999999E-2</v>
      </c>
    </row>
    <row r="158" spans="1:10" ht="27.75" customHeight="1" x14ac:dyDescent="0.35">
      <c r="A158" s="163" t="s">
        <v>506</v>
      </c>
      <c r="B158" s="26" t="s">
        <v>867</v>
      </c>
      <c r="C158" s="170">
        <v>0</v>
      </c>
      <c r="D158" s="135">
        <v>1.716</v>
      </c>
      <c r="E158" s="136">
        <v>5.2999999999999999E-2</v>
      </c>
      <c r="F158" s="137">
        <v>1.7000000000000001E-2</v>
      </c>
      <c r="G158" s="165">
        <v>10.69</v>
      </c>
      <c r="H158" s="165">
        <v>1.83</v>
      </c>
      <c r="I158" s="169">
        <v>1.83</v>
      </c>
      <c r="J158" s="38">
        <v>5.2999999999999999E-2</v>
      </c>
    </row>
    <row r="159" spans="1:10" ht="27.75" customHeight="1" x14ac:dyDescent="0.35">
      <c r="A159" s="163" t="s">
        <v>507</v>
      </c>
      <c r="B159" s="26" t="s">
        <v>868</v>
      </c>
      <c r="C159" s="170">
        <v>0</v>
      </c>
      <c r="D159" s="135">
        <v>1.716</v>
      </c>
      <c r="E159" s="136">
        <v>5.2999999999999999E-2</v>
      </c>
      <c r="F159" s="137">
        <v>1.7000000000000001E-2</v>
      </c>
      <c r="G159" s="165">
        <v>15.46</v>
      </c>
      <c r="H159" s="165">
        <v>1.83</v>
      </c>
      <c r="I159" s="169">
        <v>1.83</v>
      </c>
      <c r="J159" s="38">
        <v>5.2999999999999999E-2</v>
      </c>
    </row>
    <row r="160" spans="1:10" ht="27.75" customHeight="1" x14ac:dyDescent="0.35">
      <c r="A160" s="163" t="s">
        <v>508</v>
      </c>
      <c r="B160" s="26" t="s">
        <v>869</v>
      </c>
      <c r="C160" s="170">
        <v>0</v>
      </c>
      <c r="D160" s="135">
        <v>1.716</v>
      </c>
      <c r="E160" s="136">
        <v>5.2999999999999999E-2</v>
      </c>
      <c r="F160" s="137">
        <v>1.7000000000000001E-2</v>
      </c>
      <c r="G160" s="165">
        <v>21.43</v>
      </c>
      <c r="H160" s="165">
        <v>1.83</v>
      </c>
      <c r="I160" s="169">
        <v>1.83</v>
      </c>
      <c r="J160" s="38">
        <v>5.2999999999999999E-2</v>
      </c>
    </row>
    <row r="161" spans="1:10" ht="27.75" customHeight="1" x14ac:dyDescent="0.35">
      <c r="A161" s="163" t="s">
        <v>509</v>
      </c>
      <c r="B161" s="26" t="s">
        <v>870</v>
      </c>
      <c r="C161" s="170">
        <v>0</v>
      </c>
      <c r="D161" s="135">
        <v>1.716</v>
      </c>
      <c r="E161" s="136">
        <v>5.2999999999999999E-2</v>
      </c>
      <c r="F161" s="137">
        <v>1.7000000000000001E-2</v>
      </c>
      <c r="G161" s="165">
        <v>44.34</v>
      </c>
      <c r="H161" s="165">
        <v>1.83</v>
      </c>
      <c r="I161" s="169">
        <v>1.83</v>
      </c>
      <c r="J161" s="38">
        <v>5.2999999999999999E-2</v>
      </c>
    </row>
    <row r="162" spans="1:10" ht="27.75" customHeight="1" x14ac:dyDescent="0.35">
      <c r="A162" s="163" t="s">
        <v>510</v>
      </c>
      <c r="B162" s="26" t="s">
        <v>871</v>
      </c>
      <c r="C162" s="170">
        <v>0</v>
      </c>
      <c r="D162" s="135">
        <v>1.6619999999999999</v>
      </c>
      <c r="E162" s="136">
        <v>4.9000000000000002E-2</v>
      </c>
      <c r="F162" s="137">
        <v>1.6E-2</v>
      </c>
      <c r="G162" s="165">
        <v>48.61</v>
      </c>
      <c r="H162" s="165">
        <v>1.84</v>
      </c>
      <c r="I162" s="169">
        <v>1.84</v>
      </c>
      <c r="J162" s="38">
        <v>5.1999999999999998E-2</v>
      </c>
    </row>
    <row r="163" spans="1:10" ht="27.75" customHeight="1" x14ac:dyDescent="0.35">
      <c r="A163" s="163" t="s">
        <v>511</v>
      </c>
      <c r="B163" s="26" t="s">
        <v>872</v>
      </c>
      <c r="C163" s="170">
        <v>0</v>
      </c>
      <c r="D163" s="135">
        <v>1.6619999999999999</v>
      </c>
      <c r="E163" s="136">
        <v>4.9000000000000002E-2</v>
      </c>
      <c r="F163" s="137">
        <v>1.6E-2</v>
      </c>
      <c r="G163" s="165">
        <v>99.73</v>
      </c>
      <c r="H163" s="165">
        <v>1.84</v>
      </c>
      <c r="I163" s="169">
        <v>1.84</v>
      </c>
      <c r="J163" s="38">
        <v>5.1999999999999998E-2</v>
      </c>
    </row>
    <row r="164" spans="1:10" ht="27.75" customHeight="1" x14ac:dyDescent="0.35">
      <c r="A164" s="163" t="s">
        <v>512</v>
      </c>
      <c r="B164" s="26" t="s">
        <v>873</v>
      </c>
      <c r="C164" s="170">
        <v>0</v>
      </c>
      <c r="D164" s="135">
        <v>1.6619999999999999</v>
      </c>
      <c r="E164" s="136">
        <v>4.9000000000000002E-2</v>
      </c>
      <c r="F164" s="137">
        <v>1.6E-2</v>
      </c>
      <c r="G164" s="165">
        <v>176.08</v>
      </c>
      <c r="H164" s="165">
        <v>1.84</v>
      </c>
      <c r="I164" s="169">
        <v>1.84</v>
      </c>
      <c r="J164" s="38">
        <v>5.1999999999999998E-2</v>
      </c>
    </row>
    <row r="165" spans="1:10" ht="27.75" customHeight="1" x14ac:dyDescent="0.35">
      <c r="A165" s="163" t="s">
        <v>513</v>
      </c>
      <c r="B165" s="26" t="s">
        <v>874</v>
      </c>
      <c r="C165" s="170">
        <v>0</v>
      </c>
      <c r="D165" s="135">
        <v>1.6619999999999999</v>
      </c>
      <c r="E165" s="136">
        <v>4.9000000000000002E-2</v>
      </c>
      <c r="F165" s="137">
        <v>1.6E-2</v>
      </c>
      <c r="G165" s="165">
        <v>230.14</v>
      </c>
      <c r="H165" s="165">
        <v>1.84</v>
      </c>
      <c r="I165" s="169">
        <v>1.84</v>
      </c>
      <c r="J165" s="38">
        <v>5.1999999999999998E-2</v>
      </c>
    </row>
    <row r="166" spans="1:10" ht="27.75" customHeight="1" x14ac:dyDescent="0.35">
      <c r="A166" s="163" t="s">
        <v>514</v>
      </c>
      <c r="B166" s="26" t="s">
        <v>875</v>
      </c>
      <c r="C166" s="170">
        <v>0</v>
      </c>
      <c r="D166" s="135">
        <v>1.6619999999999999</v>
      </c>
      <c r="E166" s="136">
        <v>4.9000000000000002E-2</v>
      </c>
      <c r="F166" s="137">
        <v>1.6E-2</v>
      </c>
      <c r="G166" s="165">
        <v>572.83000000000004</v>
      </c>
      <c r="H166" s="165">
        <v>1.84</v>
      </c>
      <c r="I166" s="169">
        <v>1.84</v>
      </c>
      <c r="J166" s="38">
        <v>5.1999999999999998E-2</v>
      </c>
    </row>
    <row r="167" spans="1:10" ht="27.75" customHeight="1" x14ac:dyDescent="0.35">
      <c r="A167" s="163" t="s">
        <v>431</v>
      </c>
      <c r="B167" s="26" t="s">
        <v>876</v>
      </c>
      <c r="C167" s="170" t="s">
        <v>718</v>
      </c>
      <c r="D167" s="138">
        <v>9.4380000000000006</v>
      </c>
      <c r="E167" s="139">
        <v>0.42</v>
      </c>
      <c r="F167" s="137">
        <v>0.33400000000000002</v>
      </c>
      <c r="G167" s="166"/>
      <c r="H167" s="166"/>
      <c r="I167" s="168"/>
      <c r="J167" s="39"/>
    </row>
    <row r="168" spans="1:10" ht="27.75" customHeight="1" x14ac:dyDescent="0.35">
      <c r="A168" s="163" t="s">
        <v>432</v>
      </c>
      <c r="B168" s="26" t="s">
        <v>877</v>
      </c>
      <c r="C168" s="170" t="s">
        <v>1049</v>
      </c>
      <c r="D168" s="135">
        <v>-3.07</v>
      </c>
      <c r="E168" s="136">
        <v>-0.111</v>
      </c>
      <c r="F168" s="137">
        <v>-3.4000000000000002E-2</v>
      </c>
      <c r="G168" s="165">
        <v>0</v>
      </c>
      <c r="H168" s="166"/>
      <c r="I168" s="168"/>
      <c r="J168" s="39"/>
    </row>
    <row r="169" spans="1:10" ht="27.75" customHeight="1" x14ac:dyDescent="0.35">
      <c r="A169" s="163" t="s">
        <v>433</v>
      </c>
      <c r="B169" s="26" t="s">
        <v>878</v>
      </c>
      <c r="C169" s="170">
        <v>0</v>
      </c>
      <c r="D169" s="135">
        <v>-2.7709999999999999</v>
      </c>
      <c r="E169" s="136">
        <v>-9.7000000000000003E-2</v>
      </c>
      <c r="F169" s="137">
        <v>-0.03</v>
      </c>
      <c r="G169" s="165">
        <v>0</v>
      </c>
      <c r="H169" s="166"/>
      <c r="I169" s="168"/>
      <c r="J169" s="39"/>
    </row>
    <row r="170" spans="1:10" ht="27.75" customHeight="1" x14ac:dyDescent="0.35">
      <c r="A170" s="163" t="s">
        <v>434</v>
      </c>
      <c r="B170" s="26" t="s">
        <v>879</v>
      </c>
      <c r="C170" s="170">
        <v>0</v>
      </c>
      <c r="D170" s="135">
        <v>-3.07</v>
      </c>
      <c r="E170" s="136">
        <v>-0.111</v>
      </c>
      <c r="F170" s="137">
        <v>-3.4000000000000002E-2</v>
      </c>
      <c r="G170" s="165">
        <v>0</v>
      </c>
      <c r="H170" s="166"/>
      <c r="I170" s="168"/>
      <c r="J170" s="38">
        <v>0.10199999999999999</v>
      </c>
    </row>
    <row r="171" spans="1:10" ht="27.75" customHeight="1" x14ac:dyDescent="0.35">
      <c r="A171" s="163" t="s">
        <v>435</v>
      </c>
      <c r="B171" s="26" t="s">
        <v>880</v>
      </c>
      <c r="C171" s="170">
        <v>0</v>
      </c>
      <c r="D171" s="135">
        <v>-2.7709999999999999</v>
      </c>
      <c r="E171" s="136">
        <v>-9.7000000000000003E-2</v>
      </c>
      <c r="F171" s="137">
        <v>-0.03</v>
      </c>
      <c r="G171" s="165">
        <v>0</v>
      </c>
      <c r="H171" s="166"/>
      <c r="I171" s="168"/>
      <c r="J171" s="38">
        <v>8.5999999999999993E-2</v>
      </c>
    </row>
    <row r="172" spans="1:10" ht="27.75" customHeight="1" x14ac:dyDescent="0.35">
      <c r="A172" s="163" t="s">
        <v>436</v>
      </c>
      <c r="B172" s="26" t="s">
        <v>881</v>
      </c>
      <c r="C172" s="170">
        <v>0</v>
      </c>
      <c r="D172" s="135">
        <v>-3.161</v>
      </c>
      <c r="E172" s="136">
        <v>-9.8000000000000004E-2</v>
      </c>
      <c r="F172" s="137">
        <v>-3.1E-2</v>
      </c>
      <c r="G172" s="165">
        <v>5.62</v>
      </c>
      <c r="H172" s="166"/>
      <c r="I172" s="168"/>
      <c r="J172" s="38">
        <v>0.122</v>
      </c>
    </row>
    <row r="173" spans="1:10" ht="27.75" customHeight="1" x14ac:dyDescent="0.35">
      <c r="A173" s="163" t="s">
        <v>619</v>
      </c>
      <c r="B173" s="26" t="s">
        <v>882</v>
      </c>
      <c r="C173" s="170" t="s">
        <v>711</v>
      </c>
      <c r="D173" s="135">
        <v>0.98399999999999999</v>
      </c>
      <c r="E173" s="136">
        <v>3.5999999999999997E-2</v>
      </c>
      <c r="F173" s="137">
        <v>1.0999999999999999E-2</v>
      </c>
      <c r="G173" s="165">
        <v>0.44</v>
      </c>
      <c r="H173" s="166"/>
      <c r="I173" s="168"/>
      <c r="J173" s="39"/>
    </row>
    <row r="174" spans="1:10" ht="27.75" customHeight="1" x14ac:dyDescent="0.35">
      <c r="A174" s="163" t="s">
        <v>630</v>
      </c>
      <c r="B174" s="26" t="s">
        <v>883</v>
      </c>
      <c r="C174" s="170">
        <v>2</v>
      </c>
      <c r="D174" s="135">
        <v>0.98399999999999999</v>
      </c>
      <c r="E174" s="136">
        <v>3.5999999999999997E-2</v>
      </c>
      <c r="F174" s="137">
        <v>1.0999999999999999E-2</v>
      </c>
      <c r="G174" s="166"/>
      <c r="H174" s="166"/>
      <c r="I174" s="168"/>
      <c r="J174" s="39"/>
    </row>
    <row r="175" spans="1:10" ht="27.75" customHeight="1" x14ac:dyDescent="0.35">
      <c r="A175" s="163" t="s">
        <v>620</v>
      </c>
      <c r="B175" s="26" t="s">
        <v>884</v>
      </c>
      <c r="C175" s="170" t="s">
        <v>712</v>
      </c>
      <c r="D175" s="135">
        <v>0.73499999999999999</v>
      </c>
      <c r="E175" s="136">
        <v>2.7E-2</v>
      </c>
      <c r="F175" s="137">
        <v>8.0000000000000002E-3</v>
      </c>
      <c r="G175" s="165">
        <v>0.43</v>
      </c>
      <c r="H175" s="166"/>
      <c r="I175" s="168"/>
      <c r="J175" s="39"/>
    </row>
    <row r="176" spans="1:10" ht="27.75" customHeight="1" x14ac:dyDescent="0.35">
      <c r="A176" s="163" t="s">
        <v>621</v>
      </c>
      <c r="B176" s="26" t="s">
        <v>885</v>
      </c>
      <c r="C176" s="170" t="s">
        <v>712</v>
      </c>
      <c r="D176" s="135">
        <v>0.73499999999999999</v>
      </c>
      <c r="E176" s="136">
        <v>2.7E-2</v>
      </c>
      <c r="F176" s="137">
        <v>8.0000000000000002E-3</v>
      </c>
      <c r="G176" s="165">
        <v>0.47</v>
      </c>
      <c r="H176" s="166"/>
      <c r="I176" s="168"/>
      <c r="J176" s="39"/>
    </row>
    <row r="177" spans="1:10" ht="27.75" customHeight="1" x14ac:dyDescent="0.35">
      <c r="A177" s="163" t="s">
        <v>622</v>
      </c>
      <c r="B177" s="26" t="s">
        <v>886</v>
      </c>
      <c r="C177" s="170" t="s">
        <v>712</v>
      </c>
      <c r="D177" s="135">
        <v>0.73499999999999999</v>
      </c>
      <c r="E177" s="136">
        <v>2.7E-2</v>
      </c>
      <c r="F177" s="137">
        <v>8.0000000000000002E-3</v>
      </c>
      <c r="G177" s="165">
        <v>0.53</v>
      </c>
      <c r="H177" s="166"/>
      <c r="I177" s="168"/>
      <c r="J177" s="39"/>
    </row>
    <row r="178" spans="1:10" ht="27.75" customHeight="1" x14ac:dyDescent="0.35">
      <c r="A178" s="163" t="s">
        <v>623</v>
      </c>
      <c r="B178" s="26" t="s">
        <v>887</v>
      </c>
      <c r="C178" s="170" t="s">
        <v>712</v>
      </c>
      <c r="D178" s="135">
        <v>0.73499999999999999</v>
      </c>
      <c r="E178" s="136">
        <v>2.7E-2</v>
      </c>
      <c r="F178" s="137">
        <v>8.0000000000000002E-3</v>
      </c>
      <c r="G178" s="165">
        <v>0.64</v>
      </c>
      <c r="H178" s="166"/>
      <c r="I178" s="168"/>
      <c r="J178" s="39"/>
    </row>
    <row r="179" spans="1:10" ht="27.75" customHeight="1" x14ac:dyDescent="0.35">
      <c r="A179" s="163" t="s">
        <v>624</v>
      </c>
      <c r="B179" s="26" t="s">
        <v>888</v>
      </c>
      <c r="C179" s="170" t="s">
        <v>712</v>
      </c>
      <c r="D179" s="135">
        <v>0.73499999999999999</v>
      </c>
      <c r="E179" s="136">
        <v>2.7E-2</v>
      </c>
      <c r="F179" s="137">
        <v>8.0000000000000002E-3</v>
      </c>
      <c r="G179" s="165">
        <v>1.03</v>
      </c>
      <c r="H179" s="166"/>
      <c r="I179" s="168"/>
      <c r="J179" s="39"/>
    </row>
    <row r="180" spans="1:10" ht="27.75" customHeight="1" x14ac:dyDescent="0.35">
      <c r="A180" s="163" t="s">
        <v>437</v>
      </c>
      <c r="B180" s="26" t="s">
        <v>889</v>
      </c>
      <c r="C180" s="170">
        <v>4</v>
      </c>
      <c r="D180" s="135">
        <v>0.73499999999999999</v>
      </c>
      <c r="E180" s="136">
        <v>2.7E-2</v>
      </c>
      <c r="F180" s="137">
        <v>8.0000000000000002E-3</v>
      </c>
      <c r="G180" s="166"/>
      <c r="H180" s="166"/>
      <c r="I180" s="168"/>
      <c r="J180" s="39"/>
    </row>
    <row r="181" spans="1:10" ht="27.75" customHeight="1" x14ac:dyDescent="0.35">
      <c r="A181" s="163" t="s">
        <v>485</v>
      </c>
      <c r="B181" s="26" t="s">
        <v>890</v>
      </c>
      <c r="C181" s="170">
        <v>0</v>
      </c>
      <c r="D181" s="135">
        <v>0.52400000000000002</v>
      </c>
      <c r="E181" s="136">
        <v>1.7999999999999999E-2</v>
      </c>
      <c r="F181" s="137">
        <v>6.0000000000000001E-3</v>
      </c>
      <c r="G181" s="165">
        <v>0.96</v>
      </c>
      <c r="H181" s="165">
        <v>0.4</v>
      </c>
      <c r="I181" s="169">
        <v>0.4</v>
      </c>
      <c r="J181" s="38">
        <v>1.7000000000000001E-2</v>
      </c>
    </row>
    <row r="182" spans="1:10" ht="27.75" customHeight="1" x14ac:dyDescent="0.35">
      <c r="A182" s="163" t="s">
        <v>486</v>
      </c>
      <c r="B182" s="26" t="s">
        <v>891</v>
      </c>
      <c r="C182" s="170">
        <v>0</v>
      </c>
      <c r="D182" s="135">
        <v>0.52400000000000002</v>
      </c>
      <c r="E182" s="136">
        <v>1.7999999999999999E-2</v>
      </c>
      <c r="F182" s="137">
        <v>6.0000000000000001E-3</v>
      </c>
      <c r="G182" s="165">
        <v>2.16</v>
      </c>
      <c r="H182" s="165">
        <v>0.4</v>
      </c>
      <c r="I182" s="169">
        <v>0.4</v>
      </c>
      <c r="J182" s="38">
        <v>1.7000000000000001E-2</v>
      </c>
    </row>
    <row r="183" spans="1:10" ht="27.75" customHeight="1" x14ac:dyDescent="0.35">
      <c r="A183" s="163" t="s">
        <v>487</v>
      </c>
      <c r="B183" s="26" t="s">
        <v>892</v>
      </c>
      <c r="C183" s="170">
        <v>0</v>
      </c>
      <c r="D183" s="135">
        <v>0.52400000000000002</v>
      </c>
      <c r="E183" s="136">
        <v>1.7999999999999999E-2</v>
      </c>
      <c r="F183" s="137">
        <v>6.0000000000000001E-3</v>
      </c>
      <c r="G183" s="165">
        <v>3.05</v>
      </c>
      <c r="H183" s="165">
        <v>0.4</v>
      </c>
      <c r="I183" s="169">
        <v>0.4</v>
      </c>
      <c r="J183" s="38">
        <v>1.7000000000000001E-2</v>
      </c>
    </row>
    <row r="184" spans="1:10" ht="27.75" customHeight="1" x14ac:dyDescent="0.35">
      <c r="A184" s="163" t="s">
        <v>488</v>
      </c>
      <c r="B184" s="26" t="s">
        <v>893</v>
      </c>
      <c r="C184" s="170">
        <v>0</v>
      </c>
      <c r="D184" s="135">
        <v>0.52400000000000002</v>
      </c>
      <c r="E184" s="136">
        <v>1.7999999999999999E-2</v>
      </c>
      <c r="F184" s="137">
        <v>6.0000000000000001E-3</v>
      </c>
      <c r="G184" s="165">
        <v>4.17</v>
      </c>
      <c r="H184" s="165">
        <v>0.4</v>
      </c>
      <c r="I184" s="169">
        <v>0.4</v>
      </c>
      <c r="J184" s="38">
        <v>1.7000000000000001E-2</v>
      </c>
    </row>
    <row r="185" spans="1:10" ht="27.75" customHeight="1" x14ac:dyDescent="0.35">
      <c r="A185" s="163" t="s">
        <v>489</v>
      </c>
      <c r="B185" s="26" t="s">
        <v>894</v>
      </c>
      <c r="C185" s="170">
        <v>0</v>
      </c>
      <c r="D185" s="135">
        <v>0.52400000000000002</v>
      </c>
      <c r="E185" s="136">
        <v>1.7999999999999999E-2</v>
      </c>
      <c r="F185" s="137">
        <v>6.0000000000000001E-3</v>
      </c>
      <c r="G185" s="165">
        <v>8.4499999999999993</v>
      </c>
      <c r="H185" s="165">
        <v>0.4</v>
      </c>
      <c r="I185" s="169">
        <v>0.4</v>
      </c>
      <c r="J185" s="38">
        <v>1.7000000000000001E-2</v>
      </c>
    </row>
    <row r="186" spans="1:10" ht="27.75" customHeight="1" x14ac:dyDescent="0.35">
      <c r="A186" s="163" t="s">
        <v>490</v>
      </c>
      <c r="B186" s="26" t="s">
        <v>895</v>
      </c>
      <c r="C186" s="170">
        <v>0</v>
      </c>
      <c r="D186" s="135">
        <v>0.48499999999999999</v>
      </c>
      <c r="E186" s="136">
        <v>1.4999999999999999E-2</v>
      </c>
      <c r="F186" s="137">
        <v>5.0000000000000001E-3</v>
      </c>
      <c r="G186" s="165">
        <v>1.22</v>
      </c>
      <c r="H186" s="165">
        <v>0.52</v>
      </c>
      <c r="I186" s="169">
        <v>0.52</v>
      </c>
      <c r="J186" s="38">
        <v>1.4999999999999999E-2</v>
      </c>
    </row>
    <row r="187" spans="1:10" ht="27.75" customHeight="1" x14ac:dyDescent="0.35">
      <c r="A187" s="163" t="s">
        <v>491</v>
      </c>
      <c r="B187" s="26" t="s">
        <v>896</v>
      </c>
      <c r="C187" s="170">
        <v>0</v>
      </c>
      <c r="D187" s="135">
        <v>0.48499999999999999</v>
      </c>
      <c r="E187" s="136">
        <v>1.4999999999999999E-2</v>
      </c>
      <c r="F187" s="137">
        <v>5.0000000000000001E-3</v>
      </c>
      <c r="G187" s="165">
        <v>3.02</v>
      </c>
      <c r="H187" s="165">
        <v>0.52</v>
      </c>
      <c r="I187" s="169">
        <v>0.52</v>
      </c>
      <c r="J187" s="38">
        <v>1.4999999999999999E-2</v>
      </c>
    </row>
    <row r="188" spans="1:10" ht="27.75" customHeight="1" x14ac:dyDescent="0.35">
      <c r="A188" s="163" t="s">
        <v>492</v>
      </c>
      <c r="B188" s="26" t="s">
        <v>897</v>
      </c>
      <c r="C188" s="170">
        <v>0</v>
      </c>
      <c r="D188" s="135">
        <v>0.48499999999999999</v>
      </c>
      <c r="E188" s="136">
        <v>1.4999999999999999E-2</v>
      </c>
      <c r="F188" s="137">
        <v>5.0000000000000001E-3</v>
      </c>
      <c r="G188" s="165">
        <v>4.37</v>
      </c>
      <c r="H188" s="165">
        <v>0.52</v>
      </c>
      <c r="I188" s="169">
        <v>0.52</v>
      </c>
      <c r="J188" s="38">
        <v>1.4999999999999999E-2</v>
      </c>
    </row>
    <row r="189" spans="1:10" ht="27.75" customHeight="1" x14ac:dyDescent="0.35">
      <c r="A189" s="163" t="s">
        <v>493</v>
      </c>
      <c r="B189" s="26" t="s">
        <v>898</v>
      </c>
      <c r="C189" s="170">
        <v>0</v>
      </c>
      <c r="D189" s="135">
        <v>0.48499999999999999</v>
      </c>
      <c r="E189" s="136">
        <v>1.4999999999999999E-2</v>
      </c>
      <c r="F189" s="137">
        <v>5.0000000000000001E-3</v>
      </c>
      <c r="G189" s="165">
        <v>6.06</v>
      </c>
      <c r="H189" s="165">
        <v>0.52</v>
      </c>
      <c r="I189" s="169">
        <v>0.52</v>
      </c>
      <c r="J189" s="38">
        <v>1.4999999999999999E-2</v>
      </c>
    </row>
    <row r="190" spans="1:10" ht="27.75" customHeight="1" x14ac:dyDescent="0.35">
      <c r="A190" s="163" t="s">
        <v>494</v>
      </c>
      <c r="B190" s="26" t="s">
        <v>899</v>
      </c>
      <c r="C190" s="170">
        <v>0</v>
      </c>
      <c r="D190" s="135">
        <v>0.48499999999999999</v>
      </c>
      <c r="E190" s="136">
        <v>1.4999999999999999E-2</v>
      </c>
      <c r="F190" s="137">
        <v>5.0000000000000001E-3</v>
      </c>
      <c r="G190" s="165">
        <v>12.54</v>
      </c>
      <c r="H190" s="165">
        <v>0.52</v>
      </c>
      <c r="I190" s="169">
        <v>0.52</v>
      </c>
      <c r="J190" s="38">
        <v>1.4999999999999999E-2</v>
      </c>
    </row>
    <row r="191" spans="1:10" ht="27.75" customHeight="1" x14ac:dyDescent="0.35">
      <c r="A191" s="163" t="s">
        <v>495</v>
      </c>
      <c r="B191" s="26" t="s">
        <v>900</v>
      </c>
      <c r="C191" s="170">
        <v>0</v>
      </c>
      <c r="D191" s="135">
        <v>0.47</v>
      </c>
      <c r="E191" s="136">
        <v>1.4E-2</v>
      </c>
      <c r="F191" s="137">
        <v>4.0000000000000001E-3</v>
      </c>
      <c r="G191" s="165">
        <v>13.75</v>
      </c>
      <c r="H191" s="165">
        <v>0.52</v>
      </c>
      <c r="I191" s="169">
        <v>0.52</v>
      </c>
      <c r="J191" s="38">
        <v>1.4999999999999999E-2</v>
      </c>
    </row>
    <row r="192" spans="1:10" ht="27.75" customHeight="1" x14ac:dyDescent="0.35">
      <c r="A192" s="163" t="s">
        <v>496</v>
      </c>
      <c r="B192" s="26" t="s">
        <v>901</v>
      </c>
      <c r="C192" s="170">
        <v>0</v>
      </c>
      <c r="D192" s="135">
        <v>0.47</v>
      </c>
      <c r="E192" s="136">
        <v>1.4E-2</v>
      </c>
      <c r="F192" s="137">
        <v>4.0000000000000001E-3</v>
      </c>
      <c r="G192" s="165">
        <v>28.21</v>
      </c>
      <c r="H192" s="165">
        <v>0.52</v>
      </c>
      <c r="I192" s="169">
        <v>0.52</v>
      </c>
      <c r="J192" s="38">
        <v>1.4999999999999999E-2</v>
      </c>
    </row>
    <row r="193" spans="1:10" ht="27.75" customHeight="1" x14ac:dyDescent="0.35">
      <c r="A193" s="163" t="s">
        <v>497</v>
      </c>
      <c r="B193" s="26" t="s">
        <v>902</v>
      </c>
      <c r="C193" s="170">
        <v>0</v>
      </c>
      <c r="D193" s="135">
        <v>0.47</v>
      </c>
      <c r="E193" s="136">
        <v>1.4E-2</v>
      </c>
      <c r="F193" s="137">
        <v>4.0000000000000001E-3</v>
      </c>
      <c r="G193" s="165">
        <v>49.8</v>
      </c>
      <c r="H193" s="165">
        <v>0.52</v>
      </c>
      <c r="I193" s="169">
        <v>0.52</v>
      </c>
      <c r="J193" s="38">
        <v>1.4999999999999999E-2</v>
      </c>
    </row>
    <row r="194" spans="1:10" ht="27.75" customHeight="1" x14ac:dyDescent="0.35">
      <c r="A194" s="163" t="s">
        <v>498</v>
      </c>
      <c r="B194" s="26" t="s">
        <v>903</v>
      </c>
      <c r="C194" s="170">
        <v>0</v>
      </c>
      <c r="D194" s="135">
        <v>0.47</v>
      </c>
      <c r="E194" s="136">
        <v>1.4E-2</v>
      </c>
      <c r="F194" s="137">
        <v>4.0000000000000001E-3</v>
      </c>
      <c r="G194" s="165">
        <v>65.09</v>
      </c>
      <c r="H194" s="165">
        <v>0.52</v>
      </c>
      <c r="I194" s="169">
        <v>0.52</v>
      </c>
      <c r="J194" s="38">
        <v>1.4999999999999999E-2</v>
      </c>
    </row>
    <row r="195" spans="1:10" ht="27.75" customHeight="1" x14ac:dyDescent="0.35">
      <c r="A195" s="163" t="s">
        <v>499</v>
      </c>
      <c r="B195" s="26" t="s">
        <v>904</v>
      </c>
      <c r="C195" s="170">
        <v>0</v>
      </c>
      <c r="D195" s="135">
        <v>0.47</v>
      </c>
      <c r="E195" s="136">
        <v>1.4E-2</v>
      </c>
      <c r="F195" s="137">
        <v>4.0000000000000001E-3</v>
      </c>
      <c r="G195" s="165">
        <v>162.02000000000001</v>
      </c>
      <c r="H195" s="165">
        <v>0.52</v>
      </c>
      <c r="I195" s="169">
        <v>0.52</v>
      </c>
      <c r="J195" s="38">
        <v>1.4999999999999999E-2</v>
      </c>
    </row>
    <row r="196" spans="1:10" ht="27.75" customHeight="1" x14ac:dyDescent="0.35">
      <c r="A196" s="163" t="s">
        <v>438</v>
      </c>
      <c r="B196" s="26" t="s">
        <v>905</v>
      </c>
      <c r="C196" s="170" t="s">
        <v>718</v>
      </c>
      <c r="D196" s="138">
        <v>2.67</v>
      </c>
      <c r="E196" s="139">
        <v>0.11899999999999999</v>
      </c>
      <c r="F196" s="137">
        <v>9.5000000000000001E-2</v>
      </c>
      <c r="G196" s="166"/>
      <c r="H196" s="166"/>
      <c r="I196" s="168"/>
      <c r="J196" s="39"/>
    </row>
    <row r="197" spans="1:10" ht="27.75" customHeight="1" x14ac:dyDescent="0.35">
      <c r="A197" s="163" t="s">
        <v>439</v>
      </c>
      <c r="B197" s="26" t="s">
        <v>906</v>
      </c>
      <c r="C197" s="170" t="s">
        <v>1049</v>
      </c>
      <c r="D197" s="135">
        <v>-0.86799999999999999</v>
      </c>
      <c r="E197" s="136">
        <v>-3.1E-2</v>
      </c>
      <c r="F197" s="137">
        <v>-0.01</v>
      </c>
      <c r="G197" s="165">
        <v>0</v>
      </c>
      <c r="H197" s="166"/>
      <c r="I197" s="168"/>
      <c r="J197" s="39"/>
    </row>
    <row r="198" spans="1:10" ht="27.75" customHeight="1" x14ac:dyDescent="0.35">
      <c r="A198" s="163" t="s">
        <v>440</v>
      </c>
      <c r="B198" s="26" t="s">
        <v>907</v>
      </c>
      <c r="C198" s="170">
        <v>0</v>
      </c>
      <c r="D198" s="135">
        <v>-0.78400000000000003</v>
      </c>
      <c r="E198" s="136">
        <v>-2.7E-2</v>
      </c>
      <c r="F198" s="137">
        <v>-8.9999999999999993E-3</v>
      </c>
      <c r="G198" s="165">
        <v>0</v>
      </c>
      <c r="H198" s="166"/>
      <c r="I198" s="168"/>
      <c r="J198" s="39"/>
    </row>
    <row r="199" spans="1:10" ht="27.75" customHeight="1" x14ac:dyDescent="0.35">
      <c r="A199" s="163" t="s">
        <v>441</v>
      </c>
      <c r="B199" s="26" t="s">
        <v>908</v>
      </c>
      <c r="C199" s="170">
        <v>0</v>
      </c>
      <c r="D199" s="135">
        <v>-0.86799999999999999</v>
      </c>
      <c r="E199" s="136">
        <v>-3.1E-2</v>
      </c>
      <c r="F199" s="137">
        <v>-0.01</v>
      </c>
      <c r="G199" s="165">
        <v>0</v>
      </c>
      <c r="H199" s="166"/>
      <c r="I199" s="168"/>
      <c r="J199" s="38">
        <v>2.9000000000000001E-2</v>
      </c>
    </row>
    <row r="200" spans="1:10" ht="27.75" customHeight="1" x14ac:dyDescent="0.35">
      <c r="A200" s="163" t="s">
        <v>442</v>
      </c>
      <c r="B200" s="26" t="s">
        <v>909</v>
      </c>
      <c r="C200" s="170">
        <v>0</v>
      </c>
      <c r="D200" s="135">
        <v>-0.78400000000000003</v>
      </c>
      <c r="E200" s="136">
        <v>-2.7E-2</v>
      </c>
      <c r="F200" s="137">
        <v>-8.9999999999999993E-3</v>
      </c>
      <c r="G200" s="165">
        <v>0</v>
      </c>
      <c r="H200" s="166"/>
      <c r="I200" s="168"/>
      <c r="J200" s="38">
        <v>2.4E-2</v>
      </c>
    </row>
    <row r="201" spans="1:10" ht="27.75" customHeight="1" x14ac:dyDescent="0.35">
      <c r="A201" s="163" t="s">
        <v>443</v>
      </c>
      <c r="B201" s="26" t="s">
        <v>910</v>
      </c>
      <c r="C201" s="170">
        <v>0</v>
      </c>
      <c r="D201" s="135">
        <v>-0.89400000000000002</v>
      </c>
      <c r="E201" s="136">
        <v>-2.8000000000000001E-2</v>
      </c>
      <c r="F201" s="137">
        <v>-8.9999999999999993E-3</v>
      </c>
      <c r="G201" s="165">
        <v>1.59</v>
      </c>
      <c r="H201" s="166"/>
      <c r="I201" s="168"/>
      <c r="J201" s="38">
        <v>3.5000000000000003E-2</v>
      </c>
    </row>
  </sheetData>
  <customSheetViews>
    <customSheetView guid="{5032A364-B81A-48DA-88DA-AB3B86B47EE9}" scale="70" fitToPage="1">
      <selection activeCell="D11" sqref="D11"/>
      <pageMargins left="0.39370078740157483" right="0.35433070866141736" top="0.9055118110236221" bottom="0.74803149606299213" header="0.51181102362204722" footer="0.51181102362204722"/>
      <pageSetup paperSize="9" scale="44" fitToHeight="0" orientation="portrait" r:id="rId1"/>
      <headerFooter differentFirst="1" scaleWithDoc="0">
        <oddFooter>&amp;C&amp;P of &amp;N</oddFooter>
        <firstHeader>&amp;L
Annex 4 - Charges applied to LDNOs with HV/LV end users</firstHeader>
        <firstFooter>&amp;C&amp;P of &amp;N</firstFooter>
      </headerFooter>
    </customSheetView>
  </customSheetViews>
  <mergeCells count="10">
    <mergeCell ref="A2:J2"/>
    <mergeCell ref="F4:J4"/>
    <mergeCell ref="F5:G5"/>
    <mergeCell ref="H9:J9"/>
    <mergeCell ref="F9:G9"/>
    <mergeCell ref="B8:D8"/>
    <mergeCell ref="A4:D4"/>
    <mergeCell ref="F6:G6"/>
    <mergeCell ref="F7:G7"/>
    <mergeCell ref="F8:G8"/>
  </mergeCells>
  <phoneticPr fontId="5" type="noConversion"/>
  <hyperlinks>
    <hyperlink ref="A1" location="Overview!A1" display="Back to Overview" xr:uid="{00000000-0004-0000-0600-000000000000}"/>
  </hyperlinks>
  <pageMargins left="0.39370078740157483" right="0.35433070866141736" top="0.9055118110236221" bottom="0.74803149606299213" header="0.51181102362204722" footer="0.51181102362204722"/>
  <pageSetup paperSize="9" scale="45" fitToHeight="0" orientation="portrait" r:id="rId2"/>
  <headerFooter scaleWithDoc="0">
    <oddHeader>&amp;L
Annex 4 - Charges applied to LDNOs with HV/LV end users</oddHeader>
    <oddFooter>&amp;C&amp;P of &amp;N</oddFooter>
    <firstHeader>&amp;L
Annex 4 - Charges applied to LDNOs with HV/LV end users</firstHeader>
    <firstFooter>&amp;LNote: Where a tariff only has a p/kWh unit rate in Unit Charge 1 then this unit rate applies at all times.&amp;R&amp;P of &amp;N</first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G199"/>
  <sheetViews>
    <sheetView zoomScale="80" zoomScaleNormal="80" zoomScaleSheetLayoutView="100" workbookViewId="0"/>
  </sheetViews>
  <sheetFormatPr defaultRowHeight="12.75" x14ac:dyDescent="0.35"/>
  <cols>
    <col min="1" max="1" width="28.86328125" customWidth="1"/>
    <col min="2" max="7" width="24" customWidth="1"/>
    <col min="8" max="8" width="9.1328125" customWidth="1"/>
  </cols>
  <sheetData>
    <row r="1" spans="1:7" ht="27.75" customHeight="1" x14ac:dyDescent="0.35">
      <c r="A1" s="132" t="s">
        <v>16</v>
      </c>
    </row>
    <row r="2" spans="1:7" ht="44.25" customHeight="1" x14ac:dyDescent="0.35">
      <c r="A2" s="283" t="s">
        <v>1938</v>
      </c>
      <c r="B2" s="283"/>
      <c r="C2" s="283"/>
      <c r="D2" s="283"/>
      <c r="E2" s="283"/>
      <c r="F2" s="283"/>
      <c r="G2" s="283"/>
    </row>
    <row r="3" spans="1:7" ht="47.25" customHeight="1" x14ac:dyDescent="0.35">
      <c r="A3" s="257" t="str">
        <f>Overview!B4&amp; " - Illustrative LLFs for year beginning "&amp;Overview!D4</f>
        <v>South Eastern Power Networks - Illustrative LLFs for year beginning 1 April 2026</v>
      </c>
      <c r="B3" s="258"/>
      <c r="C3" s="258"/>
      <c r="D3" s="258"/>
      <c r="E3" s="258"/>
      <c r="F3" s="258"/>
      <c r="G3" s="259"/>
    </row>
    <row r="4" spans="1:7" ht="9.75" customHeight="1" x14ac:dyDescent="0.35"/>
    <row r="5" spans="1:7" ht="19.5" customHeight="1" x14ac:dyDescent="0.35">
      <c r="A5" s="285" t="s">
        <v>9</v>
      </c>
      <c r="B5" s="285"/>
      <c r="C5" s="20" t="s">
        <v>2</v>
      </c>
      <c r="D5" s="20" t="s">
        <v>3</v>
      </c>
      <c r="E5" s="20" t="s">
        <v>4</v>
      </c>
      <c r="F5" s="20" t="s">
        <v>5</v>
      </c>
      <c r="G5" s="20" t="s">
        <v>672</v>
      </c>
    </row>
    <row r="6" spans="1:7" ht="19.5" customHeight="1" x14ac:dyDescent="0.35">
      <c r="A6" s="285"/>
      <c r="B6" s="285"/>
      <c r="C6" s="20" t="s">
        <v>673</v>
      </c>
      <c r="D6" s="20" t="s">
        <v>674</v>
      </c>
      <c r="E6" s="20" t="s">
        <v>675</v>
      </c>
      <c r="F6" s="20" t="s">
        <v>676</v>
      </c>
      <c r="G6" s="20" t="s">
        <v>677</v>
      </c>
    </row>
    <row r="7" spans="1:7" ht="39.950000000000003" customHeight="1" x14ac:dyDescent="0.35">
      <c r="A7" s="249" t="s">
        <v>678</v>
      </c>
      <c r="B7" s="249"/>
      <c r="C7" s="22" t="s">
        <v>679</v>
      </c>
      <c r="D7" s="21"/>
      <c r="E7" s="80" t="s">
        <v>680</v>
      </c>
      <c r="F7" s="21"/>
      <c r="G7" s="21"/>
    </row>
    <row r="8" spans="1:7" ht="39.950000000000003" customHeight="1" x14ac:dyDescent="0.35">
      <c r="A8" s="249" t="s">
        <v>681</v>
      </c>
      <c r="B8" s="249"/>
      <c r="C8" s="21"/>
      <c r="D8" s="22" t="s">
        <v>682</v>
      </c>
      <c r="E8" s="21"/>
      <c r="F8" s="21"/>
      <c r="G8" s="21"/>
    </row>
    <row r="9" spans="1:7" ht="39.950000000000003" customHeight="1" x14ac:dyDescent="0.35">
      <c r="A9" s="249" t="s">
        <v>683</v>
      </c>
      <c r="B9" s="249"/>
      <c r="C9" s="21"/>
      <c r="D9" s="21"/>
      <c r="E9" s="22" t="s">
        <v>682</v>
      </c>
      <c r="F9" s="21"/>
      <c r="G9" s="21"/>
    </row>
    <row r="10" spans="1:7" ht="39.950000000000003" customHeight="1" x14ac:dyDescent="0.35">
      <c r="A10" s="249" t="s">
        <v>684</v>
      </c>
      <c r="B10" s="249"/>
      <c r="C10" s="21"/>
      <c r="D10" s="21"/>
      <c r="E10" s="21"/>
      <c r="F10" s="80" t="s">
        <v>685</v>
      </c>
      <c r="G10" s="80" t="s">
        <v>686</v>
      </c>
    </row>
    <row r="11" spans="1:7" ht="20.100000000000001" customHeight="1" x14ac:dyDescent="0.35">
      <c r="A11" s="249" t="s">
        <v>10</v>
      </c>
      <c r="B11" s="249"/>
      <c r="C11" s="284" t="s">
        <v>11</v>
      </c>
      <c r="D11" s="284"/>
      <c r="E11" s="284"/>
      <c r="F11" s="284"/>
      <c r="G11" s="284"/>
    </row>
    <row r="12" spans="1:7" x14ac:dyDescent="0.35">
      <c r="B12" s="12"/>
      <c r="C12" s="12"/>
      <c r="D12" s="12"/>
      <c r="E12" s="12"/>
    </row>
    <row r="13" spans="1:7" ht="22.5" customHeight="1" x14ac:dyDescent="0.35">
      <c r="A13" s="285" t="s">
        <v>36</v>
      </c>
      <c r="B13" s="285"/>
      <c r="C13" s="285"/>
      <c r="D13" s="285"/>
      <c r="E13" s="285"/>
      <c r="F13" s="285"/>
      <c r="G13" s="285"/>
    </row>
    <row r="14" spans="1:7" ht="22.5" customHeight="1" x14ac:dyDescent="0.35">
      <c r="A14" s="285" t="s">
        <v>707</v>
      </c>
      <c r="B14" s="285"/>
      <c r="C14" s="285"/>
      <c r="D14" s="285"/>
      <c r="E14" s="285"/>
      <c r="F14" s="285"/>
      <c r="G14" s="285"/>
    </row>
    <row r="15" spans="1:7" ht="33" customHeight="1" x14ac:dyDescent="0.35">
      <c r="A15" s="20" t="s">
        <v>37</v>
      </c>
      <c r="B15" s="20" t="s">
        <v>2</v>
      </c>
      <c r="C15" s="20" t="s">
        <v>3</v>
      </c>
      <c r="D15" s="20" t="s">
        <v>4</v>
      </c>
      <c r="E15" s="20" t="s">
        <v>5</v>
      </c>
      <c r="F15" s="20" t="s">
        <v>672</v>
      </c>
      <c r="G15" s="20" t="s">
        <v>708</v>
      </c>
    </row>
    <row r="16" spans="1:7" ht="109.5" customHeight="1" x14ac:dyDescent="0.35">
      <c r="A16" s="187" t="s">
        <v>38</v>
      </c>
      <c r="B16" s="219">
        <v>1.121</v>
      </c>
      <c r="C16" s="219">
        <v>1.087</v>
      </c>
      <c r="D16" s="219">
        <v>1.107</v>
      </c>
      <c r="E16" s="219">
        <v>1.079</v>
      </c>
      <c r="F16" s="219">
        <v>1.0940000000000001</v>
      </c>
      <c r="G16" s="215" t="s">
        <v>1767</v>
      </c>
    </row>
    <row r="17" spans="1:7" ht="26.45" customHeight="1" x14ac:dyDescent="0.35">
      <c r="A17" s="1" t="s">
        <v>39</v>
      </c>
      <c r="B17" s="216">
        <v>1.042</v>
      </c>
      <c r="C17" s="216">
        <v>1.036</v>
      </c>
      <c r="D17" s="216">
        <v>1.04</v>
      </c>
      <c r="E17" s="216">
        <v>1.0369999999999999</v>
      </c>
      <c r="F17" s="216">
        <v>1.0369999999999999</v>
      </c>
      <c r="G17" s="215" t="s">
        <v>1768</v>
      </c>
    </row>
    <row r="18" spans="1:7" ht="26.45" customHeight="1" x14ac:dyDescent="0.35">
      <c r="A18" s="1" t="s">
        <v>40</v>
      </c>
      <c r="B18" s="216">
        <v>1.0329999999999999</v>
      </c>
      <c r="C18" s="216">
        <v>1.0249999999999999</v>
      </c>
      <c r="D18" s="216">
        <v>1.03</v>
      </c>
      <c r="E18" s="216">
        <v>1.024</v>
      </c>
      <c r="F18" s="216">
        <v>1.0269999999999999</v>
      </c>
      <c r="G18" s="215" t="s">
        <v>1769</v>
      </c>
    </row>
    <row r="19" spans="1:7" ht="22.5" customHeight="1" x14ac:dyDescent="0.35">
      <c r="A19" s="1" t="s">
        <v>41</v>
      </c>
      <c r="B19" s="216">
        <v>1.0229999999999999</v>
      </c>
      <c r="C19" s="216">
        <v>1.0189999999999999</v>
      </c>
      <c r="D19" s="216">
        <v>1.022</v>
      </c>
      <c r="E19" s="216">
        <v>1.0189999999999999</v>
      </c>
      <c r="F19" s="216">
        <v>1.02</v>
      </c>
      <c r="G19" s="215" t="s">
        <v>1770</v>
      </c>
    </row>
    <row r="20" spans="1:7" ht="22.5" customHeight="1" x14ac:dyDescent="0.35">
      <c r="A20" s="1" t="s">
        <v>42</v>
      </c>
      <c r="B20" s="216">
        <v>1.0169999999999999</v>
      </c>
      <c r="C20" s="216">
        <v>1.0129999999999999</v>
      </c>
      <c r="D20" s="216">
        <v>1.016</v>
      </c>
      <c r="E20" s="216">
        <v>1.0129999999999999</v>
      </c>
      <c r="F20" s="216">
        <v>1.014</v>
      </c>
      <c r="G20" s="215" t="s">
        <v>1771</v>
      </c>
    </row>
    <row r="21" spans="1:7" ht="22.5" customHeight="1" x14ac:dyDescent="0.35">
      <c r="A21" s="1" t="s">
        <v>43</v>
      </c>
      <c r="B21" s="216">
        <v>1.0069999999999999</v>
      </c>
      <c r="C21" s="216">
        <v>1.0049999999999999</v>
      </c>
      <c r="D21" s="216">
        <v>1.006</v>
      </c>
      <c r="E21" s="216">
        <v>1.0049999999999999</v>
      </c>
      <c r="F21" s="216">
        <v>1.006</v>
      </c>
      <c r="G21" s="215" t="s">
        <v>1772</v>
      </c>
    </row>
    <row r="23" spans="1:7" ht="22.5" customHeight="1" x14ac:dyDescent="0.35">
      <c r="A23" s="285" t="s">
        <v>44</v>
      </c>
      <c r="B23" s="285"/>
      <c r="C23" s="285"/>
      <c r="D23" s="285"/>
      <c r="E23" s="285"/>
      <c r="F23" s="285"/>
      <c r="G23" s="285"/>
    </row>
    <row r="24" spans="1:7" ht="22.5" customHeight="1" x14ac:dyDescent="0.35">
      <c r="A24" s="285" t="s">
        <v>7</v>
      </c>
      <c r="B24" s="285"/>
      <c r="C24" s="285"/>
      <c r="D24" s="285"/>
      <c r="E24" s="285"/>
      <c r="F24" s="285"/>
      <c r="G24" s="285"/>
    </row>
    <row r="25" spans="1:7" ht="33" customHeight="1" x14ac:dyDescent="0.35">
      <c r="A25" s="20" t="s">
        <v>6</v>
      </c>
      <c r="B25" s="20" t="s">
        <v>2</v>
      </c>
      <c r="C25" s="20" t="s">
        <v>3</v>
      </c>
      <c r="D25" s="20" t="s">
        <v>4</v>
      </c>
      <c r="E25" s="20" t="s">
        <v>5</v>
      </c>
      <c r="F25" s="20" t="s">
        <v>672</v>
      </c>
      <c r="G25" s="20" t="s">
        <v>708</v>
      </c>
    </row>
    <row r="26" spans="1:7" ht="22.5" customHeight="1" x14ac:dyDescent="0.35">
      <c r="A26" s="1" t="s">
        <v>1773</v>
      </c>
      <c r="B26" s="216">
        <v>1.0349999999999999</v>
      </c>
      <c r="C26" s="216">
        <v>1.02</v>
      </c>
      <c r="D26" s="216">
        <v>1.026</v>
      </c>
      <c r="E26" s="216">
        <v>1.022</v>
      </c>
      <c r="F26" s="216">
        <v>1.0129999999999999</v>
      </c>
      <c r="G26" s="217">
        <v>800</v>
      </c>
    </row>
    <row r="27" spans="1:7" ht="22.5" customHeight="1" x14ac:dyDescent="0.35">
      <c r="A27" s="1" t="s">
        <v>1774</v>
      </c>
      <c r="B27" s="216">
        <v>1.0469999999999999</v>
      </c>
      <c r="C27" s="216">
        <v>1.016</v>
      </c>
      <c r="D27" s="216">
        <v>1.048</v>
      </c>
      <c r="E27" s="216">
        <v>1.03</v>
      </c>
      <c r="F27" s="216">
        <v>1.032</v>
      </c>
      <c r="G27" s="217">
        <v>802</v>
      </c>
    </row>
    <row r="28" spans="1:7" ht="22.5" customHeight="1" x14ac:dyDescent="0.35">
      <c r="A28" s="1" t="s">
        <v>1775</v>
      </c>
      <c r="B28" s="216">
        <v>1.0169999999999999</v>
      </c>
      <c r="C28" s="216">
        <v>1.0129999999999999</v>
      </c>
      <c r="D28" s="216">
        <v>1.016</v>
      </c>
      <c r="E28" s="216">
        <v>1.0129999999999999</v>
      </c>
      <c r="F28" s="216">
        <v>1.014</v>
      </c>
      <c r="G28" s="217">
        <v>803</v>
      </c>
    </row>
    <row r="29" spans="1:7" ht="22.5" customHeight="1" x14ac:dyDescent="0.35">
      <c r="A29" s="1" t="s">
        <v>1776</v>
      </c>
      <c r="B29" s="216">
        <v>1.008</v>
      </c>
      <c r="C29" s="216">
        <v>1.0089999999999999</v>
      </c>
      <c r="D29" s="216">
        <v>1.0089999999999999</v>
      </c>
      <c r="E29" s="216">
        <v>1.0089999999999999</v>
      </c>
      <c r="F29" s="216">
        <v>1.0089999999999999</v>
      </c>
      <c r="G29" s="217">
        <v>804</v>
      </c>
    </row>
    <row r="30" spans="1:7" ht="22.5" customHeight="1" x14ac:dyDescent="0.35">
      <c r="A30" s="1" t="s">
        <v>1777</v>
      </c>
      <c r="B30" s="216">
        <v>1.0169999999999999</v>
      </c>
      <c r="C30" s="216">
        <v>1.0129999999999999</v>
      </c>
      <c r="D30" s="216">
        <v>1.016</v>
      </c>
      <c r="E30" s="216">
        <v>1.0129999999999999</v>
      </c>
      <c r="F30" s="216">
        <v>1.014</v>
      </c>
      <c r="G30" s="217">
        <v>805</v>
      </c>
    </row>
    <row r="31" spans="1:7" ht="22.5" customHeight="1" x14ac:dyDescent="0.35">
      <c r="A31" s="1" t="s">
        <v>1778</v>
      </c>
      <c r="B31" s="216">
        <v>1.0169999999999999</v>
      </c>
      <c r="C31" s="216">
        <v>1.0129999999999999</v>
      </c>
      <c r="D31" s="216">
        <v>1.016</v>
      </c>
      <c r="E31" s="216">
        <v>1.0129999999999999</v>
      </c>
      <c r="F31" s="216">
        <v>1.014</v>
      </c>
      <c r="G31" s="217">
        <v>806</v>
      </c>
    </row>
    <row r="32" spans="1:7" ht="22.5" customHeight="1" x14ac:dyDescent="0.35">
      <c r="A32" s="1" t="s">
        <v>1779</v>
      </c>
      <c r="B32" s="216">
        <v>1.0169999999999999</v>
      </c>
      <c r="C32" s="216">
        <v>1.0129999999999999</v>
      </c>
      <c r="D32" s="216">
        <v>1.016</v>
      </c>
      <c r="E32" s="216">
        <v>1.0129999999999999</v>
      </c>
      <c r="F32" s="216">
        <v>1.014</v>
      </c>
      <c r="G32" s="217">
        <v>807</v>
      </c>
    </row>
    <row r="33" spans="1:7" ht="22.5" customHeight="1" x14ac:dyDescent="0.35">
      <c r="A33" s="1" t="s">
        <v>1780</v>
      </c>
      <c r="B33" s="216">
        <v>1.0169999999999999</v>
      </c>
      <c r="C33" s="216">
        <v>1.0129999999999999</v>
      </c>
      <c r="D33" s="216">
        <v>1.016</v>
      </c>
      <c r="E33" s="216">
        <v>1.0129999999999999</v>
      </c>
      <c r="F33" s="216">
        <v>1.014</v>
      </c>
      <c r="G33" s="217">
        <v>808</v>
      </c>
    </row>
    <row r="34" spans="1:7" ht="22.5" customHeight="1" x14ac:dyDescent="0.35">
      <c r="A34" s="1" t="s">
        <v>1781</v>
      </c>
      <c r="B34" s="216">
        <v>1.0169999999999999</v>
      </c>
      <c r="C34" s="216">
        <v>1.0129999999999999</v>
      </c>
      <c r="D34" s="216">
        <v>1.016</v>
      </c>
      <c r="E34" s="216">
        <v>1.0129999999999999</v>
      </c>
      <c r="F34" s="216">
        <v>1.014</v>
      </c>
      <c r="G34" s="217">
        <v>809</v>
      </c>
    </row>
    <row r="35" spans="1:7" ht="22.5" customHeight="1" x14ac:dyDescent="0.35">
      <c r="A35" s="1" t="s">
        <v>1782</v>
      </c>
      <c r="B35" s="216">
        <v>1.0169999999999999</v>
      </c>
      <c r="C35" s="216">
        <v>1.0129999999999999</v>
      </c>
      <c r="D35" s="216">
        <v>1.016</v>
      </c>
      <c r="E35" s="216">
        <v>1.0129999999999999</v>
      </c>
      <c r="F35" s="216">
        <v>1.014</v>
      </c>
      <c r="G35" s="217">
        <v>810</v>
      </c>
    </row>
    <row r="36" spans="1:7" ht="22.5" customHeight="1" x14ac:dyDescent="0.35">
      <c r="A36" s="1" t="s">
        <v>1783</v>
      </c>
      <c r="B36" s="216">
        <v>1.0169999999999999</v>
      </c>
      <c r="C36" s="216">
        <v>1.0129999999999999</v>
      </c>
      <c r="D36" s="216">
        <v>1.016</v>
      </c>
      <c r="E36" s="216">
        <v>1.0129999999999999</v>
      </c>
      <c r="F36" s="216">
        <v>1.014</v>
      </c>
      <c r="G36" s="217">
        <v>811</v>
      </c>
    </row>
    <row r="37" spans="1:7" ht="22.5" customHeight="1" x14ac:dyDescent="0.35">
      <c r="A37" s="1" t="s">
        <v>1784</v>
      </c>
      <c r="B37" s="216">
        <v>1.0169999999999999</v>
      </c>
      <c r="C37" s="216">
        <v>1.0129999999999999</v>
      </c>
      <c r="D37" s="216">
        <v>1.016</v>
      </c>
      <c r="E37" s="216">
        <v>1.0129999999999999</v>
      </c>
      <c r="F37" s="216">
        <v>1.014</v>
      </c>
      <c r="G37" s="217">
        <v>812</v>
      </c>
    </row>
    <row r="38" spans="1:7" ht="22.5" customHeight="1" x14ac:dyDescent="0.35">
      <c r="A38" s="1" t="s">
        <v>1785</v>
      </c>
      <c r="B38" s="216">
        <v>1.0069999999999999</v>
      </c>
      <c r="C38" s="216">
        <v>1.0049999999999999</v>
      </c>
      <c r="D38" s="216">
        <v>1.006</v>
      </c>
      <c r="E38" s="216">
        <v>1.0049999999999999</v>
      </c>
      <c r="F38" s="216">
        <v>1.006</v>
      </c>
      <c r="G38" s="217">
        <v>813</v>
      </c>
    </row>
    <row r="39" spans="1:7" ht="22.5" customHeight="1" x14ac:dyDescent="0.35">
      <c r="A39" s="1" t="s">
        <v>1786</v>
      </c>
      <c r="B39" s="216">
        <v>1.0129999999999999</v>
      </c>
      <c r="C39" s="216">
        <v>1.0129999999999999</v>
      </c>
      <c r="D39" s="216">
        <v>0.999</v>
      </c>
      <c r="E39" s="216">
        <v>1.0189999999999999</v>
      </c>
      <c r="F39" s="216">
        <v>1.0009999999999999</v>
      </c>
      <c r="G39" s="217">
        <v>814</v>
      </c>
    </row>
    <row r="40" spans="1:7" ht="22.5" customHeight="1" x14ac:dyDescent="0.35">
      <c r="A40" s="1" t="s">
        <v>1787</v>
      </c>
      <c r="B40" s="216">
        <v>1.0169999999999999</v>
      </c>
      <c r="C40" s="216">
        <v>1.0129999999999999</v>
      </c>
      <c r="D40" s="216">
        <v>1.016</v>
      </c>
      <c r="E40" s="216">
        <v>1.0129999999999999</v>
      </c>
      <c r="F40" s="216">
        <v>1.014</v>
      </c>
      <c r="G40" s="217">
        <v>815</v>
      </c>
    </row>
    <row r="41" spans="1:7" ht="22.5" customHeight="1" x14ac:dyDescent="0.35">
      <c r="A41" s="1" t="s">
        <v>1788</v>
      </c>
      <c r="B41" s="216">
        <v>1.0169999999999999</v>
      </c>
      <c r="C41" s="216">
        <v>1.0129999999999999</v>
      </c>
      <c r="D41" s="216">
        <v>1.016</v>
      </c>
      <c r="E41" s="216">
        <v>1.0129999999999999</v>
      </c>
      <c r="F41" s="216">
        <v>1.014</v>
      </c>
      <c r="G41" s="217">
        <v>816</v>
      </c>
    </row>
    <row r="42" spans="1:7" ht="22.5" customHeight="1" x14ac:dyDescent="0.35">
      <c r="A42" s="1" t="s">
        <v>1789</v>
      </c>
      <c r="B42" s="216">
        <v>1.0169999999999999</v>
      </c>
      <c r="C42" s="216">
        <v>1.0129999999999999</v>
      </c>
      <c r="D42" s="216">
        <v>1.016</v>
      </c>
      <c r="E42" s="216">
        <v>1.0129999999999999</v>
      </c>
      <c r="F42" s="216">
        <v>1.014</v>
      </c>
      <c r="G42" s="217">
        <v>817</v>
      </c>
    </row>
    <row r="43" spans="1:7" ht="22.5" customHeight="1" x14ac:dyDescent="0.35">
      <c r="A43" s="1" t="s">
        <v>1790</v>
      </c>
      <c r="B43" s="216">
        <v>1.0169999999999999</v>
      </c>
      <c r="C43" s="216">
        <v>1.0129999999999999</v>
      </c>
      <c r="D43" s="216">
        <v>1.016</v>
      </c>
      <c r="E43" s="216">
        <v>1.0129999999999999</v>
      </c>
      <c r="F43" s="216">
        <v>1.014</v>
      </c>
      <c r="G43" s="217">
        <v>818</v>
      </c>
    </row>
    <row r="44" spans="1:7" ht="22.5" customHeight="1" x14ac:dyDescent="0.35">
      <c r="A44" s="1" t="s">
        <v>1791</v>
      </c>
      <c r="B44" s="216">
        <v>1.0169999999999999</v>
      </c>
      <c r="C44" s="216">
        <v>1.0129999999999999</v>
      </c>
      <c r="D44" s="216">
        <v>1.016</v>
      </c>
      <c r="E44" s="216">
        <v>1.0129999999999999</v>
      </c>
      <c r="F44" s="216">
        <v>1.014</v>
      </c>
      <c r="G44" s="217">
        <v>819</v>
      </c>
    </row>
    <row r="45" spans="1:7" ht="22.5" customHeight="1" x14ac:dyDescent="0.35">
      <c r="A45" s="1" t="s">
        <v>1792</v>
      </c>
      <c r="B45" s="216">
        <v>1.0169999999999999</v>
      </c>
      <c r="C45" s="216">
        <v>1.0129999999999999</v>
      </c>
      <c r="D45" s="216">
        <v>1.016</v>
      </c>
      <c r="E45" s="216">
        <v>1.0129999999999999</v>
      </c>
      <c r="F45" s="216">
        <v>1.014</v>
      </c>
      <c r="G45" s="217">
        <v>820</v>
      </c>
    </row>
    <row r="46" spans="1:7" ht="22.5" customHeight="1" x14ac:dyDescent="0.35">
      <c r="A46" s="1" t="s">
        <v>1793</v>
      </c>
      <c r="B46" s="216">
        <v>1.0169999999999999</v>
      </c>
      <c r="C46" s="216">
        <v>1.0129999999999999</v>
      </c>
      <c r="D46" s="216">
        <v>1.016</v>
      </c>
      <c r="E46" s="216">
        <v>1.0129999999999999</v>
      </c>
      <c r="F46" s="216">
        <v>1.014</v>
      </c>
      <c r="G46" s="217">
        <v>821</v>
      </c>
    </row>
    <row r="47" spans="1:7" ht="22.5" customHeight="1" x14ac:dyDescent="0.35">
      <c r="A47" s="1" t="s">
        <v>1794</v>
      </c>
      <c r="B47" s="216">
        <v>1.0169999999999999</v>
      </c>
      <c r="C47" s="216">
        <v>1.0129999999999999</v>
      </c>
      <c r="D47" s="216">
        <v>1.016</v>
      </c>
      <c r="E47" s="216">
        <v>1.0129999999999999</v>
      </c>
      <c r="F47" s="216">
        <v>1.014</v>
      </c>
      <c r="G47" s="217">
        <v>822</v>
      </c>
    </row>
    <row r="48" spans="1:7" ht="22.5" customHeight="1" x14ac:dyDescent="0.35">
      <c r="A48" s="1" t="s">
        <v>1795</v>
      </c>
      <c r="B48" s="216">
        <v>1.0169999999999999</v>
      </c>
      <c r="C48" s="216">
        <v>1.0129999999999999</v>
      </c>
      <c r="D48" s="216">
        <v>1.016</v>
      </c>
      <c r="E48" s="216">
        <v>1.0129999999999999</v>
      </c>
      <c r="F48" s="216">
        <v>1.014</v>
      </c>
      <c r="G48" s="217">
        <v>823</v>
      </c>
    </row>
    <row r="49" spans="1:7" ht="22.5" customHeight="1" x14ac:dyDescent="0.35">
      <c r="A49" s="1" t="s">
        <v>1796</v>
      </c>
      <c r="B49" s="216">
        <v>1.0169999999999999</v>
      </c>
      <c r="C49" s="216">
        <v>1.0129999999999999</v>
      </c>
      <c r="D49" s="216">
        <v>1.016</v>
      </c>
      <c r="E49" s="216">
        <v>1.0129999999999999</v>
      </c>
      <c r="F49" s="216">
        <v>1.014</v>
      </c>
      <c r="G49" s="217">
        <v>824</v>
      </c>
    </row>
    <row r="50" spans="1:7" ht="22.5" customHeight="1" x14ac:dyDescent="0.35">
      <c r="A50" s="1" t="s">
        <v>1797</v>
      </c>
      <c r="B50" s="216">
        <v>1.0169999999999999</v>
      </c>
      <c r="C50" s="216">
        <v>1.0129999999999999</v>
      </c>
      <c r="D50" s="216">
        <v>1.016</v>
      </c>
      <c r="E50" s="216">
        <v>1.0129999999999999</v>
      </c>
      <c r="F50" s="216">
        <v>1.014</v>
      </c>
      <c r="G50" s="217">
        <v>825</v>
      </c>
    </row>
    <row r="51" spans="1:7" ht="22.5" customHeight="1" x14ac:dyDescent="0.35">
      <c r="A51" s="1" t="s">
        <v>1798</v>
      </c>
      <c r="B51" s="216">
        <v>1.0169999999999999</v>
      </c>
      <c r="C51" s="216">
        <v>1.0129999999999999</v>
      </c>
      <c r="D51" s="216">
        <v>1.016</v>
      </c>
      <c r="E51" s="216">
        <v>1.0129999999999999</v>
      </c>
      <c r="F51" s="216">
        <v>1.014</v>
      </c>
      <c r="G51" s="217">
        <v>826</v>
      </c>
    </row>
    <row r="52" spans="1:7" ht="22.5" customHeight="1" x14ac:dyDescent="0.35">
      <c r="A52" s="1" t="s">
        <v>1799</v>
      </c>
      <c r="B52" s="216">
        <v>1.0169999999999999</v>
      </c>
      <c r="C52" s="216">
        <v>1.0129999999999999</v>
      </c>
      <c r="D52" s="216">
        <v>1.016</v>
      </c>
      <c r="E52" s="216">
        <v>1.0129999999999999</v>
      </c>
      <c r="F52" s="216">
        <v>1.014</v>
      </c>
      <c r="G52" s="217">
        <v>827</v>
      </c>
    </row>
    <row r="53" spans="1:7" ht="22.5" customHeight="1" x14ac:dyDescent="0.35">
      <c r="A53" s="1" t="s">
        <v>1800</v>
      </c>
      <c r="B53" s="216">
        <v>1.0169999999999999</v>
      </c>
      <c r="C53" s="216">
        <v>1.0129999999999999</v>
      </c>
      <c r="D53" s="216">
        <v>1.016</v>
      </c>
      <c r="E53" s="216">
        <v>1.0129999999999999</v>
      </c>
      <c r="F53" s="216">
        <v>1.014</v>
      </c>
      <c r="G53" s="217">
        <v>828</v>
      </c>
    </row>
    <row r="54" spans="1:7" ht="22.5" customHeight="1" x14ac:dyDescent="0.35">
      <c r="A54" s="1" t="s">
        <v>1801</v>
      </c>
      <c r="B54" s="216">
        <v>1.0169999999999999</v>
      </c>
      <c r="C54" s="216">
        <v>1.0129999999999999</v>
      </c>
      <c r="D54" s="216">
        <v>1.016</v>
      </c>
      <c r="E54" s="216">
        <v>1.0129999999999999</v>
      </c>
      <c r="F54" s="216">
        <v>1.014</v>
      </c>
      <c r="G54" s="217">
        <v>829</v>
      </c>
    </row>
    <row r="55" spans="1:7" ht="22.5" customHeight="1" x14ac:dyDescent="0.35">
      <c r="A55" s="1" t="s">
        <v>1802</v>
      </c>
      <c r="B55" s="216">
        <v>1.0169999999999999</v>
      </c>
      <c r="C55" s="216">
        <v>1.0129999999999999</v>
      </c>
      <c r="D55" s="216">
        <v>1.016</v>
      </c>
      <c r="E55" s="216">
        <v>1.0129999999999999</v>
      </c>
      <c r="F55" s="216">
        <v>1.014</v>
      </c>
      <c r="G55" s="217">
        <v>830</v>
      </c>
    </row>
    <row r="56" spans="1:7" ht="22.5" customHeight="1" x14ac:dyDescent="0.35">
      <c r="A56" s="1" t="s">
        <v>1803</v>
      </c>
      <c r="B56" s="216">
        <v>1.0169999999999999</v>
      </c>
      <c r="C56" s="216">
        <v>1.0129999999999999</v>
      </c>
      <c r="D56" s="216">
        <v>1.016</v>
      </c>
      <c r="E56" s="216">
        <v>1.0129999999999999</v>
      </c>
      <c r="F56" s="216">
        <v>1.014</v>
      </c>
      <c r="G56" s="217">
        <v>831</v>
      </c>
    </row>
    <row r="57" spans="1:7" ht="22.5" customHeight="1" x14ac:dyDescent="0.35">
      <c r="A57" s="1" t="s">
        <v>1804</v>
      </c>
      <c r="B57" s="216">
        <v>1.0169999999999999</v>
      </c>
      <c r="C57" s="216">
        <v>1.0129999999999999</v>
      </c>
      <c r="D57" s="216">
        <v>1.016</v>
      </c>
      <c r="E57" s="216">
        <v>1.0129999999999999</v>
      </c>
      <c r="F57" s="216">
        <v>1.014</v>
      </c>
      <c r="G57" s="217">
        <v>832</v>
      </c>
    </row>
    <row r="58" spans="1:7" ht="22.5" customHeight="1" x14ac:dyDescent="0.35">
      <c r="A58" s="1" t="s">
        <v>1805</v>
      </c>
      <c r="B58" s="216">
        <v>1.018</v>
      </c>
      <c r="C58" s="216">
        <v>1.014</v>
      </c>
      <c r="D58" s="216">
        <v>1.022</v>
      </c>
      <c r="E58" s="216">
        <v>1.018</v>
      </c>
      <c r="F58" s="216">
        <v>1.016</v>
      </c>
      <c r="G58" s="217">
        <v>833</v>
      </c>
    </row>
    <row r="59" spans="1:7" ht="22.5" customHeight="1" x14ac:dyDescent="0.35">
      <c r="A59" s="1" t="s">
        <v>1806</v>
      </c>
      <c r="B59" s="216">
        <v>1.0229999999999999</v>
      </c>
      <c r="C59" s="216">
        <v>1.0189999999999999</v>
      </c>
      <c r="D59" s="216">
        <v>1.022</v>
      </c>
      <c r="E59" s="216">
        <v>1.0189999999999999</v>
      </c>
      <c r="F59" s="216">
        <v>1.02</v>
      </c>
      <c r="G59" s="217">
        <v>834</v>
      </c>
    </row>
    <row r="60" spans="1:7" ht="22.5" customHeight="1" x14ac:dyDescent="0.35">
      <c r="A60" s="1" t="s">
        <v>1807</v>
      </c>
      <c r="B60" s="216">
        <v>1.0229999999999999</v>
      </c>
      <c r="C60" s="216">
        <v>1.0189999999999999</v>
      </c>
      <c r="D60" s="216">
        <v>1.022</v>
      </c>
      <c r="E60" s="216">
        <v>1.0189999999999999</v>
      </c>
      <c r="F60" s="216">
        <v>1.02</v>
      </c>
      <c r="G60" s="217">
        <v>835</v>
      </c>
    </row>
    <row r="61" spans="1:7" ht="22.5" customHeight="1" x14ac:dyDescent="0.35">
      <c r="A61" s="1" t="s">
        <v>1808</v>
      </c>
      <c r="B61" s="216">
        <v>1.0229999999999999</v>
      </c>
      <c r="C61" s="216">
        <v>1.0189999999999999</v>
      </c>
      <c r="D61" s="216">
        <v>1.022</v>
      </c>
      <c r="E61" s="216">
        <v>1.0189999999999999</v>
      </c>
      <c r="F61" s="216">
        <v>1.02</v>
      </c>
      <c r="G61" s="217">
        <v>837</v>
      </c>
    </row>
    <row r="62" spans="1:7" ht="22.5" customHeight="1" x14ac:dyDescent="0.35">
      <c r="A62" s="1" t="s">
        <v>1809</v>
      </c>
      <c r="B62" s="216">
        <v>1.0229999999999999</v>
      </c>
      <c r="C62" s="216">
        <v>1.0189999999999999</v>
      </c>
      <c r="D62" s="216">
        <v>1.022</v>
      </c>
      <c r="E62" s="216">
        <v>1.0189999999999999</v>
      </c>
      <c r="F62" s="216">
        <v>1.02</v>
      </c>
      <c r="G62" s="217">
        <v>838</v>
      </c>
    </row>
    <row r="63" spans="1:7" ht="22.5" customHeight="1" x14ac:dyDescent="0.35">
      <c r="A63" s="1" t="s">
        <v>1810</v>
      </c>
      <c r="B63" s="216">
        <v>1.0229999999999999</v>
      </c>
      <c r="C63" s="216">
        <v>1.0189999999999999</v>
      </c>
      <c r="D63" s="216">
        <v>1.022</v>
      </c>
      <c r="E63" s="216">
        <v>1.0189999999999999</v>
      </c>
      <c r="F63" s="216">
        <v>1.02</v>
      </c>
      <c r="G63" s="217">
        <v>839</v>
      </c>
    </row>
    <row r="64" spans="1:7" ht="22.5" customHeight="1" x14ac:dyDescent="0.35">
      <c r="A64" s="1" t="s">
        <v>1811</v>
      </c>
      <c r="B64" s="216">
        <v>1.0369999999999999</v>
      </c>
      <c r="C64" s="216">
        <v>1.032</v>
      </c>
      <c r="D64" s="216">
        <v>1.0369999999999999</v>
      </c>
      <c r="E64" s="216">
        <v>1.036</v>
      </c>
      <c r="F64" s="216">
        <v>1.0369999999999999</v>
      </c>
      <c r="G64" s="217">
        <v>840</v>
      </c>
    </row>
    <row r="65" spans="1:7" ht="22.5" customHeight="1" x14ac:dyDescent="0.35">
      <c r="A65" s="1" t="s">
        <v>1812</v>
      </c>
      <c r="B65" s="216">
        <v>1.014</v>
      </c>
      <c r="C65" s="216">
        <v>1.0129999999999999</v>
      </c>
      <c r="D65" s="216">
        <v>1.0129999999999999</v>
      </c>
      <c r="E65" s="216">
        <v>1.0129999999999999</v>
      </c>
      <c r="F65" s="216">
        <v>1.0129999999999999</v>
      </c>
      <c r="G65" s="217">
        <v>841</v>
      </c>
    </row>
    <row r="66" spans="1:7" ht="22.5" customHeight="1" x14ac:dyDescent="0.35">
      <c r="A66" s="1" t="s">
        <v>1813</v>
      </c>
      <c r="B66" s="216">
        <v>1.0289999999999999</v>
      </c>
      <c r="C66" s="216">
        <v>1.026</v>
      </c>
      <c r="D66" s="216">
        <v>1.028</v>
      </c>
      <c r="E66" s="216">
        <v>1.028</v>
      </c>
      <c r="F66" s="216">
        <v>1.028</v>
      </c>
      <c r="G66" s="217">
        <v>842</v>
      </c>
    </row>
    <row r="67" spans="1:7" ht="22.5" customHeight="1" x14ac:dyDescent="0.35">
      <c r="A67" s="1" t="s">
        <v>1814</v>
      </c>
      <c r="B67" s="216">
        <v>1.0169999999999999</v>
      </c>
      <c r="C67" s="216">
        <v>1.0129999999999999</v>
      </c>
      <c r="D67" s="216">
        <v>1.016</v>
      </c>
      <c r="E67" s="216">
        <v>1.0129999999999999</v>
      </c>
      <c r="F67" s="216">
        <v>1.014</v>
      </c>
      <c r="G67" s="217">
        <v>843</v>
      </c>
    </row>
    <row r="68" spans="1:7" ht="22.5" customHeight="1" x14ac:dyDescent="0.35">
      <c r="A68" s="1" t="s">
        <v>1815</v>
      </c>
      <c r="B68" s="216">
        <v>1.0069999999999999</v>
      </c>
      <c r="C68" s="216">
        <v>1.0049999999999999</v>
      </c>
      <c r="D68" s="216">
        <v>1.008</v>
      </c>
      <c r="E68" s="216">
        <v>1.006</v>
      </c>
      <c r="F68" s="216">
        <v>1.006</v>
      </c>
      <c r="G68" s="217">
        <v>844</v>
      </c>
    </row>
    <row r="69" spans="1:7" ht="22.5" customHeight="1" x14ac:dyDescent="0.35">
      <c r="A69" s="1" t="s">
        <v>1816</v>
      </c>
      <c r="B69" s="216">
        <v>1.0169999999999999</v>
      </c>
      <c r="C69" s="216">
        <v>1.0129999999999999</v>
      </c>
      <c r="D69" s="216">
        <v>1.016</v>
      </c>
      <c r="E69" s="216">
        <v>1.0129999999999999</v>
      </c>
      <c r="F69" s="216">
        <v>1.014</v>
      </c>
      <c r="G69" s="217">
        <v>845</v>
      </c>
    </row>
    <row r="70" spans="1:7" ht="22.5" customHeight="1" x14ac:dyDescent="0.35">
      <c r="A70" s="1" t="s">
        <v>1817</v>
      </c>
      <c r="B70" s="216">
        <v>1.0009999999999999</v>
      </c>
      <c r="C70" s="216">
        <v>1.0009999999999999</v>
      </c>
      <c r="D70" s="216">
        <v>1.0009999999999999</v>
      </c>
      <c r="E70" s="216">
        <v>1.0009999999999999</v>
      </c>
      <c r="F70" s="216">
        <v>1.0009999999999999</v>
      </c>
      <c r="G70" s="217">
        <v>846</v>
      </c>
    </row>
    <row r="71" spans="1:7" ht="22.5" customHeight="1" x14ac:dyDescent="0.35">
      <c r="A71" s="1" t="s">
        <v>1939</v>
      </c>
      <c r="B71" s="216">
        <v>1.014</v>
      </c>
      <c r="C71" s="216">
        <v>1.0129999999999999</v>
      </c>
      <c r="D71" s="216">
        <v>1.016</v>
      </c>
      <c r="E71" s="216">
        <v>1.016</v>
      </c>
      <c r="F71" s="216">
        <v>1.0149999999999999</v>
      </c>
      <c r="G71" s="217">
        <v>850</v>
      </c>
    </row>
    <row r="72" spans="1:7" ht="22.5" customHeight="1" x14ac:dyDescent="0.35">
      <c r="A72" s="1" t="s">
        <v>1818</v>
      </c>
      <c r="B72" s="216">
        <v>1.0189999999999999</v>
      </c>
      <c r="C72" s="216">
        <v>1.01</v>
      </c>
      <c r="D72" s="216">
        <v>1.014</v>
      </c>
      <c r="E72" s="216">
        <v>1.01</v>
      </c>
      <c r="F72" s="216">
        <v>1.0149999999999999</v>
      </c>
      <c r="G72" s="217">
        <v>851</v>
      </c>
    </row>
    <row r="73" spans="1:7" ht="22.5" customHeight="1" x14ac:dyDescent="0.35">
      <c r="A73" s="1" t="s">
        <v>1819</v>
      </c>
      <c r="B73" s="216">
        <v>1.0129999999999999</v>
      </c>
      <c r="C73" s="216">
        <v>1.0049999999999999</v>
      </c>
      <c r="D73" s="216">
        <v>1.0049999999999999</v>
      </c>
      <c r="E73" s="216">
        <v>1.0049999999999999</v>
      </c>
      <c r="F73" s="216">
        <v>1.0049999999999999</v>
      </c>
      <c r="G73" s="217">
        <v>852</v>
      </c>
    </row>
    <row r="74" spans="1:7" ht="22.5" customHeight="1" x14ac:dyDescent="0.35">
      <c r="A74" s="1" t="s">
        <v>1820</v>
      </c>
      <c r="B74" s="216">
        <v>1.0109999999999999</v>
      </c>
      <c r="C74" s="216">
        <v>1.012</v>
      </c>
      <c r="D74" s="216">
        <v>1.0149999999999999</v>
      </c>
      <c r="E74" s="216">
        <v>1.01</v>
      </c>
      <c r="F74" s="216">
        <v>1.014</v>
      </c>
      <c r="G74" s="217">
        <v>853</v>
      </c>
    </row>
    <row r="75" spans="1:7" ht="22.5" customHeight="1" x14ac:dyDescent="0.35">
      <c r="A75" s="1" t="s">
        <v>1821</v>
      </c>
      <c r="B75" s="216">
        <v>1.006</v>
      </c>
      <c r="C75" s="216">
        <v>1.0049999999999999</v>
      </c>
      <c r="D75" s="216">
        <v>1.006</v>
      </c>
      <c r="E75" s="216">
        <v>1.006</v>
      </c>
      <c r="F75" s="216">
        <v>1.006</v>
      </c>
      <c r="G75" s="217">
        <v>854</v>
      </c>
    </row>
    <row r="76" spans="1:7" ht="22.5" customHeight="1" x14ac:dyDescent="0.35">
      <c r="A76" s="1" t="s">
        <v>1822</v>
      </c>
      <c r="B76" s="216">
        <v>1.0049999999999999</v>
      </c>
      <c r="C76" s="216">
        <v>1.004</v>
      </c>
      <c r="D76" s="216">
        <v>1.0049999999999999</v>
      </c>
      <c r="E76" s="216">
        <v>1.0029999999999999</v>
      </c>
      <c r="F76" s="216">
        <v>1.0049999999999999</v>
      </c>
      <c r="G76" s="217">
        <v>855</v>
      </c>
    </row>
    <row r="77" spans="1:7" ht="22.5" customHeight="1" x14ac:dyDescent="0.35">
      <c r="A77" s="1" t="s">
        <v>1823</v>
      </c>
      <c r="B77" s="216">
        <v>1.0249999999999999</v>
      </c>
      <c r="C77" s="216">
        <v>1.018</v>
      </c>
      <c r="D77" s="216">
        <v>1.0189999999999999</v>
      </c>
      <c r="E77" s="216">
        <v>1.0129999999999999</v>
      </c>
      <c r="F77" s="216">
        <v>1.0169999999999999</v>
      </c>
      <c r="G77" s="217">
        <v>856</v>
      </c>
    </row>
    <row r="78" spans="1:7" ht="22.5" customHeight="1" x14ac:dyDescent="0.35">
      <c r="A78" s="1" t="s">
        <v>1824</v>
      </c>
      <c r="B78" s="216">
        <v>1.0169999999999999</v>
      </c>
      <c r="C78" s="216">
        <v>1.014</v>
      </c>
      <c r="D78" s="216">
        <v>1.0189999999999999</v>
      </c>
      <c r="E78" s="216">
        <v>1.012</v>
      </c>
      <c r="F78" s="216">
        <v>1.0129999999999999</v>
      </c>
      <c r="G78" s="217">
        <v>857</v>
      </c>
    </row>
    <row r="79" spans="1:7" ht="22.5" customHeight="1" x14ac:dyDescent="0.35">
      <c r="A79" s="1" t="s">
        <v>1825</v>
      </c>
      <c r="B79" s="216">
        <v>1.0109999999999999</v>
      </c>
      <c r="C79" s="216">
        <v>1.0109999999999999</v>
      </c>
      <c r="D79" s="216">
        <v>1.01</v>
      </c>
      <c r="E79" s="216">
        <v>1.01</v>
      </c>
      <c r="F79" s="216">
        <v>1.012</v>
      </c>
      <c r="G79" s="217">
        <v>858</v>
      </c>
    </row>
    <row r="80" spans="1:7" ht="22.5" customHeight="1" x14ac:dyDescent="0.35">
      <c r="A80" s="1" t="s">
        <v>1826</v>
      </c>
      <c r="B80" s="216">
        <v>1.036</v>
      </c>
      <c r="C80" s="216">
        <v>1.0329999999999999</v>
      </c>
      <c r="D80" s="216">
        <v>1.036</v>
      </c>
      <c r="E80" s="216">
        <v>1.032</v>
      </c>
      <c r="F80" s="216">
        <v>1.0329999999999999</v>
      </c>
      <c r="G80" s="217">
        <v>859</v>
      </c>
    </row>
    <row r="81" spans="1:7" ht="22.5" customHeight="1" x14ac:dyDescent="0.35">
      <c r="A81" s="1" t="s">
        <v>1827</v>
      </c>
      <c r="B81" s="216">
        <v>1.0169999999999999</v>
      </c>
      <c r="C81" s="216">
        <v>1.0129999999999999</v>
      </c>
      <c r="D81" s="216">
        <v>1.014</v>
      </c>
      <c r="E81" s="216">
        <v>1.0069999999999999</v>
      </c>
      <c r="F81" s="216">
        <v>1.0149999999999999</v>
      </c>
      <c r="G81" s="217">
        <v>860</v>
      </c>
    </row>
    <row r="82" spans="1:7" ht="22.5" customHeight="1" x14ac:dyDescent="0.35">
      <c r="A82" s="1" t="s">
        <v>1828</v>
      </c>
      <c r="B82" s="216">
        <v>1.0469999999999999</v>
      </c>
      <c r="C82" s="216">
        <v>1.0249999999999999</v>
      </c>
      <c r="D82" s="216">
        <v>1.036</v>
      </c>
      <c r="E82" s="216">
        <v>1.0189999999999999</v>
      </c>
      <c r="F82" s="216">
        <v>1.036</v>
      </c>
      <c r="G82" s="217">
        <v>861</v>
      </c>
    </row>
    <row r="83" spans="1:7" ht="22.5" customHeight="1" x14ac:dyDescent="0.35">
      <c r="A83" s="1" t="s">
        <v>1829</v>
      </c>
      <c r="B83" s="216">
        <v>1.0089999999999999</v>
      </c>
      <c r="C83" s="216">
        <v>1.006</v>
      </c>
      <c r="D83" s="216">
        <v>1.0069999999999999</v>
      </c>
      <c r="E83" s="216">
        <v>1.006</v>
      </c>
      <c r="F83" s="216">
        <v>1.006</v>
      </c>
      <c r="G83" s="217">
        <v>862</v>
      </c>
    </row>
    <row r="84" spans="1:7" ht="22.5" customHeight="1" x14ac:dyDescent="0.35">
      <c r="A84" s="1" t="s">
        <v>1830</v>
      </c>
      <c r="B84" s="216">
        <v>1.0169999999999999</v>
      </c>
      <c r="C84" s="216">
        <v>1.0129999999999999</v>
      </c>
      <c r="D84" s="216">
        <v>1.016</v>
      </c>
      <c r="E84" s="216">
        <v>1.0129999999999999</v>
      </c>
      <c r="F84" s="216">
        <v>1.014</v>
      </c>
      <c r="G84" s="217">
        <v>863</v>
      </c>
    </row>
    <row r="85" spans="1:7" ht="22.5" customHeight="1" x14ac:dyDescent="0.35">
      <c r="A85" s="1" t="s">
        <v>1831</v>
      </c>
      <c r="B85" s="216">
        <v>1.006</v>
      </c>
      <c r="C85" s="216">
        <v>1.004</v>
      </c>
      <c r="D85" s="216">
        <v>1.0049999999999999</v>
      </c>
      <c r="E85" s="216">
        <v>1.0049999999999999</v>
      </c>
      <c r="F85" s="216">
        <v>1.0049999999999999</v>
      </c>
      <c r="G85" s="217">
        <v>864</v>
      </c>
    </row>
    <row r="86" spans="1:7" ht="22.5" customHeight="1" x14ac:dyDescent="0.35">
      <c r="A86" s="1" t="s">
        <v>1832</v>
      </c>
      <c r="B86" s="216">
        <v>1.01</v>
      </c>
      <c r="C86" s="216">
        <v>1.0069999999999999</v>
      </c>
      <c r="D86" s="216">
        <v>1.0109999999999999</v>
      </c>
      <c r="E86" s="216">
        <v>1.0089999999999999</v>
      </c>
      <c r="F86" s="216">
        <v>1.0109999999999999</v>
      </c>
      <c r="G86" s="217">
        <v>865</v>
      </c>
    </row>
    <row r="87" spans="1:7" ht="22.5" customHeight="1" x14ac:dyDescent="0.35">
      <c r="A87" s="1" t="s">
        <v>1833</v>
      </c>
      <c r="B87" s="216">
        <v>1.0189999999999999</v>
      </c>
      <c r="C87" s="216">
        <v>1.0149999999999999</v>
      </c>
      <c r="D87" s="216">
        <v>1.016</v>
      </c>
      <c r="E87" s="216">
        <v>1.0109999999999999</v>
      </c>
      <c r="F87" s="216">
        <v>1.02</v>
      </c>
      <c r="G87" s="217">
        <v>866</v>
      </c>
    </row>
    <row r="88" spans="1:7" ht="22.5" customHeight="1" x14ac:dyDescent="0.35">
      <c r="A88" s="1" t="s">
        <v>1834</v>
      </c>
      <c r="B88" s="216">
        <v>1.038</v>
      </c>
      <c r="C88" s="216">
        <v>1.024</v>
      </c>
      <c r="D88" s="216">
        <v>1.0289999999999999</v>
      </c>
      <c r="E88" s="216">
        <v>1.024</v>
      </c>
      <c r="F88" s="216">
        <v>1.0289999999999999</v>
      </c>
      <c r="G88" s="217">
        <v>867</v>
      </c>
    </row>
    <row r="89" spans="1:7" ht="22.5" customHeight="1" x14ac:dyDescent="0.35">
      <c r="A89" s="1" t="s">
        <v>1835</v>
      </c>
      <c r="B89" s="216">
        <v>1.032</v>
      </c>
      <c r="C89" s="216">
        <v>1.026</v>
      </c>
      <c r="D89" s="216">
        <v>1.0269999999999999</v>
      </c>
      <c r="E89" s="216">
        <v>1.018</v>
      </c>
      <c r="F89" s="216">
        <v>1.02</v>
      </c>
      <c r="G89" s="217">
        <v>869</v>
      </c>
    </row>
    <row r="90" spans="1:7" ht="22.5" customHeight="1" x14ac:dyDescent="0.35">
      <c r="A90" s="1" t="s">
        <v>1836</v>
      </c>
      <c r="B90" s="216">
        <v>1.0269999999999999</v>
      </c>
      <c r="C90" s="216">
        <v>1.0149999999999999</v>
      </c>
      <c r="D90" s="216">
        <v>1.0209999999999999</v>
      </c>
      <c r="E90" s="216">
        <v>1.0129999999999999</v>
      </c>
      <c r="F90" s="216">
        <v>1.012</v>
      </c>
      <c r="G90" s="217">
        <v>870</v>
      </c>
    </row>
    <row r="91" spans="1:7" ht="22.5" customHeight="1" x14ac:dyDescent="0.35">
      <c r="A91" s="1" t="s">
        <v>1837</v>
      </c>
      <c r="B91" s="216">
        <v>1.0169999999999999</v>
      </c>
      <c r="C91" s="216">
        <v>1.0129999999999999</v>
      </c>
      <c r="D91" s="216">
        <v>1.016</v>
      </c>
      <c r="E91" s="216">
        <v>1.0129999999999999</v>
      </c>
      <c r="F91" s="216">
        <v>1.014</v>
      </c>
      <c r="G91" s="217">
        <v>871</v>
      </c>
    </row>
    <row r="92" spans="1:7" ht="22.5" customHeight="1" x14ac:dyDescent="0.35">
      <c r="A92" s="1" t="s">
        <v>1838</v>
      </c>
      <c r="B92" s="216">
        <v>1.0169999999999999</v>
      </c>
      <c r="C92" s="216">
        <v>1.0129999999999999</v>
      </c>
      <c r="D92" s="216">
        <v>1.016</v>
      </c>
      <c r="E92" s="216">
        <v>1.0129999999999999</v>
      </c>
      <c r="F92" s="216">
        <v>1.014</v>
      </c>
      <c r="G92" s="217">
        <v>873</v>
      </c>
    </row>
    <row r="93" spans="1:7" ht="22.5" customHeight="1" x14ac:dyDescent="0.35">
      <c r="A93" s="1" t="s">
        <v>1839</v>
      </c>
      <c r="B93" s="216">
        <v>1.022</v>
      </c>
      <c r="C93" s="216">
        <v>1.022</v>
      </c>
      <c r="D93" s="216">
        <v>1.022</v>
      </c>
      <c r="E93" s="216">
        <v>1.022</v>
      </c>
      <c r="F93" s="216">
        <v>1.022</v>
      </c>
      <c r="G93" s="217">
        <v>874</v>
      </c>
    </row>
    <row r="94" spans="1:7" ht="22.5" customHeight="1" x14ac:dyDescent="0.35">
      <c r="A94" s="1" t="s">
        <v>1840</v>
      </c>
      <c r="B94" s="216">
        <v>1.0109999999999999</v>
      </c>
      <c r="C94" s="216">
        <v>1.01</v>
      </c>
      <c r="D94" s="216">
        <v>1.0109999999999999</v>
      </c>
      <c r="E94" s="216">
        <v>1.0109999999999999</v>
      </c>
      <c r="F94" s="216">
        <v>1.0109999999999999</v>
      </c>
      <c r="G94" s="217">
        <v>875</v>
      </c>
    </row>
    <row r="95" spans="1:7" ht="22.5" customHeight="1" x14ac:dyDescent="0.35">
      <c r="A95" s="1" t="s">
        <v>1841</v>
      </c>
      <c r="B95" s="216">
        <v>1.0229999999999999</v>
      </c>
      <c r="C95" s="216">
        <v>1.0189999999999999</v>
      </c>
      <c r="D95" s="216">
        <v>1.022</v>
      </c>
      <c r="E95" s="216">
        <v>1.0189999999999999</v>
      </c>
      <c r="F95" s="216">
        <v>1.02</v>
      </c>
      <c r="G95" s="217">
        <v>876</v>
      </c>
    </row>
    <row r="96" spans="1:7" ht="22.5" customHeight="1" x14ac:dyDescent="0.35">
      <c r="A96" s="1" t="s">
        <v>1842</v>
      </c>
      <c r="B96" s="216">
        <v>1.0169999999999999</v>
      </c>
      <c r="C96" s="216">
        <v>1.01</v>
      </c>
      <c r="D96" s="216">
        <v>1.006</v>
      </c>
      <c r="E96" s="216">
        <v>1.0149999999999999</v>
      </c>
      <c r="F96" s="216">
        <v>1.0189999999999999</v>
      </c>
      <c r="G96" s="217">
        <v>877</v>
      </c>
    </row>
    <row r="97" spans="1:7" ht="22.5" customHeight="1" x14ac:dyDescent="0.35">
      <c r="A97" s="1" t="s">
        <v>1843</v>
      </c>
      <c r="B97" s="216">
        <v>1.0169999999999999</v>
      </c>
      <c r="C97" s="216">
        <v>1.0129999999999999</v>
      </c>
      <c r="D97" s="216">
        <v>1.016</v>
      </c>
      <c r="E97" s="216">
        <v>1.0129999999999999</v>
      </c>
      <c r="F97" s="216">
        <v>1.014</v>
      </c>
      <c r="G97" s="217">
        <v>878</v>
      </c>
    </row>
    <row r="98" spans="1:7" ht="22.5" customHeight="1" x14ac:dyDescent="0.35">
      <c r="A98" s="1" t="s">
        <v>1844</v>
      </c>
      <c r="B98" s="216">
        <v>1.0069999999999999</v>
      </c>
      <c r="C98" s="216">
        <v>1.006</v>
      </c>
      <c r="D98" s="216">
        <v>1.0069999999999999</v>
      </c>
      <c r="E98" s="216">
        <v>1.0049999999999999</v>
      </c>
      <c r="F98" s="216">
        <v>1.006</v>
      </c>
      <c r="G98" s="217">
        <v>879</v>
      </c>
    </row>
    <row r="99" spans="1:7" ht="22.5" customHeight="1" x14ac:dyDescent="0.35">
      <c r="A99" s="1" t="s">
        <v>1845</v>
      </c>
      <c r="B99" s="216">
        <v>1.0960000000000001</v>
      </c>
      <c r="C99" s="216">
        <v>1.079</v>
      </c>
      <c r="D99" s="216">
        <v>1.0900000000000001</v>
      </c>
      <c r="E99" s="216">
        <v>1.085</v>
      </c>
      <c r="F99" s="216">
        <v>1.1000000000000001</v>
      </c>
      <c r="G99" s="217">
        <v>883</v>
      </c>
    </row>
    <row r="100" spans="1:7" ht="22.5" customHeight="1" x14ac:dyDescent="0.35">
      <c r="A100" s="1" t="s">
        <v>1846</v>
      </c>
      <c r="B100" s="216">
        <v>1.014</v>
      </c>
      <c r="C100" s="216">
        <v>1.0109999999999999</v>
      </c>
      <c r="D100" s="216">
        <v>1.014</v>
      </c>
      <c r="E100" s="216">
        <v>1.012</v>
      </c>
      <c r="F100" s="216">
        <v>1.012</v>
      </c>
      <c r="G100" s="217">
        <v>884</v>
      </c>
    </row>
    <row r="101" spans="1:7" ht="22.5" customHeight="1" x14ac:dyDescent="0.35">
      <c r="A101" s="1" t="s">
        <v>1847</v>
      </c>
      <c r="B101" s="216">
        <v>1.1000000000000001</v>
      </c>
      <c r="C101" s="216">
        <v>1.083</v>
      </c>
      <c r="D101" s="216">
        <v>1.083</v>
      </c>
      <c r="E101" s="216">
        <v>1.077</v>
      </c>
      <c r="F101" s="216">
        <v>1.093</v>
      </c>
      <c r="G101" s="217">
        <v>887</v>
      </c>
    </row>
    <row r="102" spans="1:7" ht="22.5" customHeight="1" x14ac:dyDescent="0.35">
      <c r="A102" s="1" t="s">
        <v>1848</v>
      </c>
      <c r="B102" s="216">
        <v>1.012</v>
      </c>
      <c r="C102" s="216">
        <v>1.012</v>
      </c>
      <c r="D102" s="216">
        <v>1.0129999999999999</v>
      </c>
      <c r="E102" s="216">
        <v>1.0129999999999999</v>
      </c>
      <c r="F102" s="216">
        <v>1.012</v>
      </c>
      <c r="G102" s="217">
        <v>888</v>
      </c>
    </row>
    <row r="103" spans="1:7" ht="22.5" customHeight="1" x14ac:dyDescent="0.35">
      <c r="A103" s="1" t="s">
        <v>1849</v>
      </c>
      <c r="B103" s="216">
        <v>1.022</v>
      </c>
      <c r="C103" s="216">
        <v>1.0229999999999999</v>
      </c>
      <c r="D103" s="216">
        <v>1.022</v>
      </c>
      <c r="E103" s="216">
        <v>1.022</v>
      </c>
      <c r="F103" s="216">
        <v>1.022</v>
      </c>
      <c r="G103" s="217">
        <v>889</v>
      </c>
    </row>
    <row r="104" spans="1:7" ht="22.5" customHeight="1" x14ac:dyDescent="0.35">
      <c r="A104" s="1" t="s">
        <v>1850</v>
      </c>
      <c r="B104" s="216">
        <v>1.0169999999999999</v>
      </c>
      <c r="C104" s="216">
        <v>1.0129999999999999</v>
      </c>
      <c r="D104" s="216">
        <v>1.016</v>
      </c>
      <c r="E104" s="216">
        <v>1.0129999999999999</v>
      </c>
      <c r="F104" s="216">
        <v>1.014</v>
      </c>
      <c r="G104" s="217">
        <v>890</v>
      </c>
    </row>
    <row r="105" spans="1:7" ht="22.5" customHeight="1" x14ac:dyDescent="0.35">
      <c r="A105" s="1" t="s">
        <v>1851</v>
      </c>
      <c r="B105" s="216">
        <v>1.0169999999999999</v>
      </c>
      <c r="C105" s="216">
        <v>1.0129999999999999</v>
      </c>
      <c r="D105" s="216">
        <v>1.016</v>
      </c>
      <c r="E105" s="216">
        <v>1.0129999999999999</v>
      </c>
      <c r="F105" s="216">
        <v>1.014</v>
      </c>
      <c r="G105" s="217">
        <v>891</v>
      </c>
    </row>
    <row r="106" spans="1:7" ht="22.5" customHeight="1" x14ac:dyDescent="0.35">
      <c r="A106" s="1" t="s">
        <v>1852</v>
      </c>
      <c r="B106" s="216">
        <v>1.0169999999999999</v>
      </c>
      <c r="C106" s="216">
        <v>1.0129999999999999</v>
      </c>
      <c r="D106" s="216">
        <v>1.016</v>
      </c>
      <c r="E106" s="216">
        <v>1.0129999999999999</v>
      </c>
      <c r="F106" s="216">
        <v>1.014</v>
      </c>
      <c r="G106" s="217">
        <v>893</v>
      </c>
    </row>
    <row r="107" spans="1:7" ht="22.5" customHeight="1" x14ac:dyDescent="0.35">
      <c r="A107" s="1" t="s">
        <v>1853</v>
      </c>
      <c r="B107" s="216">
        <v>1.0169999999999999</v>
      </c>
      <c r="C107" s="216">
        <v>1.0129999999999999</v>
      </c>
      <c r="D107" s="216">
        <v>1.016</v>
      </c>
      <c r="E107" s="216">
        <v>1.0129999999999999</v>
      </c>
      <c r="F107" s="216">
        <v>1.014</v>
      </c>
      <c r="G107" s="217">
        <v>894</v>
      </c>
    </row>
    <row r="108" spans="1:7" ht="22.5" customHeight="1" x14ac:dyDescent="0.35">
      <c r="A108" s="1" t="s">
        <v>1854</v>
      </c>
      <c r="B108" s="216">
        <v>1.0169999999999999</v>
      </c>
      <c r="C108" s="216">
        <v>1.0129999999999999</v>
      </c>
      <c r="D108" s="216">
        <v>1.016</v>
      </c>
      <c r="E108" s="216">
        <v>1.0129999999999999</v>
      </c>
      <c r="F108" s="216">
        <v>1.014</v>
      </c>
      <c r="G108" s="217">
        <v>895</v>
      </c>
    </row>
    <row r="109" spans="1:7" ht="22.5" customHeight="1" x14ac:dyDescent="0.35">
      <c r="A109" s="1" t="s">
        <v>1855</v>
      </c>
      <c r="B109" s="216">
        <v>1.0169999999999999</v>
      </c>
      <c r="C109" s="216">
        <v>1.0129999999999999</v>
      </c>
      <c r="D109" s="216">
        <v>1.016</v>
      </c>
      <c r="E109" s="216">
        <v>1.0129999999999999</v>
      </c>
      <c r="F109" s="216">
        <v>1.014</v>
      </c>
      <c r="G109" s="217">
        <v>896</v>
      </c>
    </row>
    <row r="110" spans="1:7" ht="22.5" customHeight="1" x14ac:dyDescent="0.35">
      <c r="A110" s="1" t="s">
        <v>1856</v>
      </c>
      <c r="B110" s="216">
        <v>1.002</v>
      </c>
      <c r="C110" s="216">
        <v>1.002</v>
      </c>
      <c r="D110" s="216">
        <v>1.002</v>
      </c>
      <c r="E110" s="216">
        <v>1.002</v>
      </c>
      <c r="F110" s="216">
        <v>1.002</v>
      </c>
      <c r="G110" s="217">
        <v>897</v>
      </c>
    </row>
    <row r="111" spans="1:7" ht="22.5" customHeight="1" x14ac:dyDescent="0.35">
      <c r="A111" s="1" t="s">
        <v>1857</v>
      </c>
      <c r="B111" s="216">
        <v>1.0169999999999999</v>
      </c>
      <c r="C111" s="216">
        <v>1.0129999999999999</v>
      </c>
      <c r="D111" s="216">
        <v>1.016</v>
      </c>
      <c r="E111" s="216">
        <v>1.0129999999999999</v>
      </c>
      <c r="F111" s="216">
        <v>1.014</v>
      </c>
      <c r="G111" s="217">
        <v>898</v>
      </c>
    </row>
    <row r="112" spans="1:7" ht="22.5" customHeight="1" x14ac:dyDescent="0.35">
      <c r="A112" s="1" t="s">
        <v>1858</v>
      </c>
      <c r="B112" s="216">
        <v>1.0169999999999999</v>
      </c>
      <c r="C112" s="216">
        <v>1.0129999999999999</v>
      </c>
      <c r="D112" s="216">
        <v>1.016</v>
      </c>
      <c r="E112" s="216">
        <v>1.0129999999999999</v>
      </c>
      <c r="F112" s="216">
        <v>1.014</v>
      </c>
      <c r="G112" s="217">
        <v>899</v>
      </c>
    </row>
    <row r="113" spans="1:7" ht="22.5" customHeight="1" x14ac:dyDescent="0.35">
      <c r="A113" s="1" t="s">
        <v>1859</v>
      </c>
      <c r="B113" s="216">
        <v>1.0169999999999999</v>
      </c>
      <c r="C113" s="216">
        <v>1.0129999999999999</v>
      </c>
      <c r="D113" s="216">
        <v>1.016</v>
      </c>
      <c r="E113" s="216">
        <v>1.0129999999999999</v>
      </c>
      <c r="F113" s="216">
        <v>1.014</v>
      </c>
      <c r="G113" s="217">
        <v>900</v>
      </c>
    </row>
    <row r="114" spans="1:7" ht="22.5" customHeight="1" x14ac:dyDescent="0.35">
      <c r="A114" s="1" t="s">
        <v>1860</v>
      </c>
      <c r="B114" s="216">
        <v>1.0209999999999999</v>
      </c>
      <c r="C114" s="216">
        <v>1.0229999999999999</v>
      </c>
      <c r="D114" s="216">
        <v>1.0229999999999999</v>
      </c>
      <c r="E114" s="216">
        <v>1.0189999999999999</v>
      </c>
      <c r="F114" s="216">
        <v>1.0189999999999999</v>
      </c>
      <c r="G114" s="217">
        <v>907</v>
      </c>
    </row>
    <row r="115" spans="1:7" ht="22.5" customHeight="1" x14ac:dyDescent="0.35">
      <c r="A115" s="1" t="s">
        <v>1861</v>
      </c>
      <c r="B115" s="216">
        <v>1.0209999999999999</v>
      </c>
      <c r="C115" s="216">
        <v>1.0229999999999999</v>
      </c>
      <c r="D115" s="216">
        <v>1.0229999999999999</v>
      </c>
      <c r="E115" s="216">
        <v>1.0189999999999999</v>
      </c>
      <c r="F115" s="216">
        <v>1.0189999999999999</v>
      </c>
      <c r="G115" s="217">
        <v>924</v>
      </c>
    </row>
    <row r="116" spans="1:7" ht="22.5" customHeight="1" x14ac:dyDescent="0.35">
      <c r="A116" s="1" t="s">
        <v>1862</v>
      </c>
      <c r="B116" s="216">
        <v>1.0069999999999999</v>
      </c>
      <c r="C116" s="216">
        <v>1.0049999999999999</v>
      </c>
      <c r="D116" s="216">
        <v>1.006</v>
      </c>
      <c r="E116" s="216">
        <v>1.0049999999999999</v>
      </c>
      <c r="F116" s="216">
        <v>1.006</v>
      </c>
      <c r="G116" s="217">
        <v>925</v>
      </c>
    </row>
    <row r="118" spans="1:7" ht="22.5" customHeight="1" x14ac:dyDescent="0.35">
      <c r="A118" s="285" t="s">
        <v>44</v>
      </c>
      <c r="B118" s="285"/>
      <c r="C118" s="285"/>
      <c r="D118" s="285"/>
      <c r="E118" s="285"/>
      <c r="F118" s="285"/>
      <c r="G118" s="285"/>
    </row>
    <row r="119" spans="1:7" ht="22.5" customHeight="1" x14ac:dyDescent="0.35">
      <c r="A119" s="285" t="s">
        <v>8</v>
      </c>
      <c r="B119" s="285"/>
      <c r="C119" s="285"/>
      <c r="D119" s="285"/>
      <c r="E119" s="285"/>
      <c r="F119" s="285"/>
      <c r="G119" s="285"/>
    </row>
    <row r="120" spans="1:7" ht="33" customHeight="1" x14ac:dyDescent="0.35">
      <c r="A120" s="20" t="s">
        <v>6</v>
      </c>
      <c r="B120" s="20" t="s">
        <v>2</v>
      </c>
      <c r="C120" s="20" t="s">
        <v>3</v>
      </c>
      <c r="D120" s="20" t="s">
        <v>4</v>
      </c>
      <c r="E120" s="20" t="s">
        <v>5</v>
      </c>
      <c r="F120" s="20" t="s">
        <v>672</v>
      </c>
      <c r="G120" s="20" t="s">
        <v>708</v>
      </c>
    </row>
    <row r="121" spans="1:7" ht="22.5" customHeight="1" x14ac:dyDescent="0.35">
      <c r="A121" s="1" t="s">
        <v>1874</v>
      </c>
      <c r="B121" s="216">
        <v>1.0229999999999999</v>
      </c>
      <c r="C121" s="216">
        <v>1.0189999999999999</v>
      </c>
      <c r="D121" s="216">
        <v>1.022</v>
      </c>
      <c r="E121" s="216">
        <v>1.0189999999999999</v>
      </c>
      <c r="F121" s="216">
        <v>1.02</v>
      </c>
      <c r="G121" s="217">
        <v>691</v>
      </c>
    </row>
    <row r="122" spans="1:7" ht="22.5" customHeight="1" x14ac:dyDescent="0.35">
      <c r="A122" s="1" t="s">
        <v>1875</v>
      </c>
      <c r="B122" s="216">
        <v>1.0229999999999999</v>
      </c>
      <c r="C122" s="216">
        <v>1.0189999999999999</v>
      </c>
      <c r="D122" s="216">
        <v>1.022</v>
      </c>
      <c r="E122" s="216">
        <v>1.0189999999999999</v>
      </c>
      <c r="F122" s="216">
        <v>1.02</v>
      </c>
      <c r="G122" s="217">
        <v>692</v>
      </c>
    </row>
    <row r="123" spans="1:7" ht="22.5" customHeight="1" x14ac:dyDescent="0.35">
      <c r="A123" s="1" t="s">
        <v>1876</v>
      </c>
      <c r="B123" s="216">
        <v>1.0009999999999999</v>
      </c>
      <c r="C123" s="216">
        <v>0.999</v>
      </c>
      <c r="D123" s="216">
        <v>1.002</v>
      </c>
      <c r="E123" s="216">
        <v>1</v>
      </c>
      <c r="F123" s="216">
        <v>1.0009999999999999</v>
      </c>
      <c r="G123" s="217">
        <v>693</v>
      </c>
    </row>
    <row r="124" spans="1:7" ht="22.5" customHeight="1" x14ac:dyDescent="0.35">
      <c r="A124" s="1" t="s">
        <v>1877</v>
      </c>
      <c r="B124" s="216">
        <v>1.0009999999999999</v>
      </c>
      <c r="C124" s="216">
        <v>1</v>
      </c>
      <c r="D124" s="216">
        <v>1</v>
      </c>
      <c r="E124" s="216">
        <v>1</v>
      </c>
      <c r="F124" s="216">
        <v>1</v>
      </c>
      <c r="G124" s="217">
        <v>694</v>
      </c>
    </row>
    <row r="125" spans="1:7" ht="22.5" customHeight="1" x14ac:dyDescent="0.35">
      <c r="A125" s="1" t="s">
        <v>1878</v>
      </c>
      <c r="B125" s="216">
        <v>1.002</v>
      </c>
      <c r="C125" s="216">
        <v>1.0009999999999999</v>
      </c>
      <c r="D125" s="216">
        <v>1.004</v>
      </c>
      <c r="E125" s="216">
        <v>1.0009999999999999</v>
      </c>
      <c r="F125" s="216">
        <v>1.002</v>
      </c>
      <c r="G125" s="217">
        <v>695</v>
      </c>
    </row>
    <row r="126" spans="1:7" ht="22.5" customHeight="1" x14ac:dyDescent="0.35">
      <c r="A126" s="1" t="s">
        <v>1879</v>
      </c>
      <c r="B126" s="216">
        <v>1</v>
      </c>
      <c r="C126" s="216">
        <v>0.999</v>
      </c>
      <c r="D126" s="216">
        <v>1</v>
      </c>
      <c r="E126" s="216">
        <v>1</v>
      </c>
      <c r="F126" s="216">
        <v>1</v>
      </c>
      <c r="G126" s="217">
        <v>696</v>
      </c>
    </row>
    <row r="127" spans="1:7" ht="22.5" customHeight="1" x14ac:dyDescent="0.35">
      <c r="A127" s="1" t="s">
        <v>1880</v>
      </c>
      <c r="B127" s="216">
        <v>1.004</v>
      </c>
      <c r="C127" s="216">
        <v>1.002</v>
      </c>
      <c r="D127" s="216">
        <v>1.0029999999999999</v>
      </c>
      <c r="E127" s="216">
        <v>1.0009999999999999</v>
      </c>
      <c r="F127" s="216">
        <v>1.002</v>
      </c>
      <c r="G127" s="217">
        <v>697</v>
      </c>
    </row>
    <row r="128" spans="1:7" ht="22.5" customHeight="1" x14ac:dyDescent="0.35">
      <c r="A128" s="1" t="s">
        <v>1881</v>
      </c>
      <c r="B128" s="216">
        <v>1.0029999999999999</v>
      </c>
      <c r="C128" s="216">
        <v>0.999</v>
      </c>
      <c r="D128" s="216">
        <v>1.002</v>
      </c>
      <c r="E128" s="216">
        <v>1.0009999999999999</v>
      </c>
      <c r="F128" s="216">
        <v>1.002</v>
      </c>
      <c r="G128" s="217">
        <v>698</v>
      </c>
    </row>
    <row r="129" spans="1:7" ht="22.5" customHeight="1" x14ac:dyDescent="0.35">
      <c r="A129" s="1" t="s">
        <v>1882</v>
      </c>
      <c r="B129" s="216">
        <v>1</v>
      </c>
      <c r="C129" s="216">
        <v>1</v>
      </c>
      <c r="D129" s="216">
        <v>1</v>
      </c>
      <c r="E129" s="216">
        <v>1</v>
      </c>
      <c r="F129" s="216">
        <v>1</v>
      </c>
      <c r="G129" s="217">
        <v>699</v>
      </c>
    </row>
    <row r="130" spans="1:7" ht="22.5" customHeight="1" x14ac:dyDescent="0.35">
      <c r="A130" s="1" t="s">
        <v>1883</v>
      </c>
      <c r="B130" s="216">
        <v>1.0149999999999999</v>
      </c>
      <c r="C130" s="216">
        <v>1.0089999999999999</v>
      </c>
      <c r="D130" s="216">
        <v>1.0129999999999999</v>
      </c>
      <c r="E130" s="216">
        <v>1.0109999999999999</v>
      </c>
      <c r="F130" s="216">
        <v>1.014</v>
      </c>
      <c r="G130" s="217">
        <v>700</v>
      </c>
    </row>
    <row r="131" spans="1:7" ht="22.5" customHeight="1" x14ac:dyDescent="0.35">
      <c r="A131" s="1" t="s">
        <v>1884</v>
      </c>
      <c r="B131" s="216">
        <v>1.044</v>
      </c>
      <c r="C131" s="216">
        <v>1.026</v>
      </c>
      <c r="D131" s="216">
        <v>1.0269999999999999</v>
      </c>
      <c r="E131" s="216">
        <v>1.0249999999999999</v>
      </c>
      <c r="F131" s="216">
        <v>1.04</v>
      </c>
      <c r="G131" s="217">
        <v>701</v>
      </c>
    </row>
    <row r="132" spans="1:7" ht="22.5" customHeight="1" x14ac:dyDescent="0.35">
      <c r="A132" s="1" t="s">
        <v>1885</v>
      </c>
      <c r="B132" s="216">
        <v>0.99199999999999999</v>
      </c>
      <c r="C132" s="216">
        <v>0.99099999999999999</v>
      </c>
      <c r="D132" s="216">
        <v>0.995</v>
      </c>
      <c r="E132" s="216">
        <v>0.999</v>
      </c>
      <c r="F132" s="216">
        <v>0.99299999999999999</v>
      </c>
      <c r="G132" s="217">
        <v>702</v>
      </c>
    </row>
    <row r="133" spans="1:7" ht="22.5" customHeight="1" x14ac:dyDescent="0.35">
      <c r="A133" s="1" t="s">
        <v>1886</v>
      </c>
      <c r="B133" s="216">
        <v>1.0029999999999999</v>
      </c>
      <c r="C133" s="216">
        <v>1.0009999999999999</v>
      </c>
      <c r="D133" s="216">
        <v>1.0029999999999999</v>
      </c>
      <c r="E133" s="216">
        <v>1.0009999999999999</v>
      </c>
      <c r="F133" s="216">
        <v>1.002</v>
      </c>
      <c r="G133" s="217">
        <v>703</v>
      </c>
    </row>
    <row r="134" spans="1:7" ht="22.5" customHeight="1" x14ac:dyDescent="0.35">
      <c r="A134" s="1" t="s">
        <v>1887</v>
      </c>
      <c r="B134" s="216">
        <v>0.999</v>
      </c>
      <c r="C134" s="216">
        <v>0.998</v>
      </c>
      <c r="D134" s="216">
        <v>0.999</v>
      </c>
      <c r="E134" s="216">
        <v>0.999</v>
      </c>
      <c r="F134" s="216">
        <v>0.999</v>
      </c>
      <c r="G134" s="217">
        <v>704</v>
      </c>
    </row>
    <row r="135" spans="1:7" ht="22.5" customHeight="1" x14ac:dyDescent="0.35">
      <c r="A135" s="1" t="s">
        <v>1888</v>
      </c>
      <c r="B135" s="216">
        <v>1.002</v>
      </c>
      <c r="C135" s="216">
        <v>0.999</v>
      </c>
      <c r="D135" s="216">
        <v>1.0009999999999999</v>
      </c>
      <c r="E135" s="216">
        <v>1.002</v>
      </c>
      <c r="F135" s="216">
        <v>1.0009999999999999</v>
      </c>
      <c r="G135" s="217">
        <v>705</v>
      </c>
    </row>
    <row r="136" spans="1:7" ht="22.5" customHeight="1" x14ac:dyDescent="0.35">
      <c r="A136" s="1" t="s">
        <v>1889</v>
      </c>
      <c r="B136" s="216">
        <v>1.0209999999999999</v>
      </c>
      <c r="C136" s="216">
        <v>1.018</v>
      </c>
      <c r="D136" s="216">
        <v>1.024</v>
      </c>
      <c r="E136" s="216">
        <v>1.0169999999999999</v>
      </c>
      <c r="F136" s="216">
        <v>1.0249999999999999</v>
      </c>
      <c r="G136" s="217">
        <v>706</v>
      </c>
    </row>
    <row r="137" spans="1:7" ht="22.5" customHeight="1" x14ac:dyDescent="0.35">
      <c r="A137" s="1" t="s">
        <v>1890</v>
      </c>
      <c r="B137" s="216">
        <v>1.01</v>
      </c>
      <c r="C137" s="216">
        <v>0.998</v>
      </c>
      <c r="D137" s="216">
        <v>1.006</v>
      </c>
      <c r="E137" s="216">
        <v>1.008</v>
      </c>
      <c r="F137" s="216">
        <v>1.002</v>
      </c>
      <c r="G137" s="217">
        <v>707</v>
      </c>
    </row>
    <row r="138" spans="1:7" ht="22.5" customHeight="1" x14ac:dyDescent="0.35">
      <c r="A138" s="1" t="s">
        <v>1891</v>
      </c>
      <c r="B138" s="216">
        <v>1.008</v>
      </c>
      <c r="C138" s="216">
        <v>1.0049999999999999</v>
      </c>
      <c r="D138" s="216">
        <v>1.0069999999999999</v>
      </c>
      <c r="E138" s="216">
        <v>1.006</v>
      </c>
      <c r="F138" s="216">
        <v>1.008</v>
      </c>
      <c r="G138" s="217">
        <v>708</v>
      </c>
    </row>
    <row r="139" spans="1:7" ht="22.5" customHeight="1" x14ac:dyDescent="0.35">
      <c r="A139" s="1" t="s">
        <v>1892</v>
      </c>
      <c r="B139" s="216">
        <v>1.0009999999999999</v>
      </c>
      <c r="C139" s="216">
        <v>0.999</v>
      </c>
      <c r="D139" s="216">
        <v>1</v>
      </c>
      <c r="E139" s="216">
        <v>1.0009999999999999</v>
      </c>
      <c r="F139" s="216">
        <v>1</v>
      </c>
      <c r="G139" s="217">
        <v>709</v>
      </c>
    </row>
    <row r="140" spans="1:7" ht="22.5" customHeight="1" x14ac:dyDescent="0.35">
      <c r="A140" s="1" t="s">
        <v>1893</v>
      </c>
      <c r="B140" s="216">
        <v>0.99399999999999999</v>
      </c>
      <c r="C140" s="216">
        <v>0.99399999999999999</v>
      </c>
      <c r="D140" s="216">
        <v>0.99399999999999999</v>
      </c>
      <c r="E140" s="216">
        <v>0.99399999999999999</v>
      </c>
      <c r="F140" s="216">
        <v>0.99399999999999999</v>
      </c>
      <c r="G140" s="217">
        <v>710</v>
      </c>
    </row>
    <row r="141" spans="1:7" ht="22.5" customHeight="1" x14ac:dyDescent="0.35">
      <c r="A141" s="1" t="s">
        <v>1894</v>
      </c>
      <c r="B141" s="216">
        <v>1.004</v>
      </c>
      <c r="C141" s="216">
        <v>1.0009999999999999</v>
      </c>
      <c r="D141" s="216">
        <v>1.002</v>
      </c>
      <c r="E141" s="216">
        <v>1.0029999999999999</v>
      </c>
      <c r="F141" s="216">
        <v>1.002</v>
      </c>
      <c r="G141" s="217">
        <v>711</v>
      </c>
    </row>
    <row r="142" spans="1:7" ht="22.5" customHeight="1" x14ac:dyDescent="0.35">
      <c r="A142" s="1" t="s">
        <v>1895</v>
      </c>
      <c r="B142" s="216">
        <v>1.016</v>
      </c>
      <c r="C142" s="216">
        <v>1.0169999999999999</v>
      </c>
      <c r="D142" s="216">
        <v>1.0229999999999999</v>
      </c>
      <c r="E142" s="216">
        <v>1.0169999999999999</v>
      </c>
      <c r="F142" s="216">
        <v>1.0289999999999999</v>
      </c>
      <c r="G142" s="217">
        <v>712</v>
      </c>
    </row>
    <row r="143" spans="1:7" ht="22.5" customHeight="1" x14ac:dyDescent="0.35">
      <c r="A143" s="1" t="s">
        <v>1896</v>
      </c>
      <c r="B143" s="216">
        <v>1.016</v>
      </c>
      <c r="C143" s="216">
        <v>1.0169999999999999</v>
      </c>
      <c r="D143" s="216">
        <v>1.0229999999999999</v>
      </c>
      <c r="E143" s="216">
        <v>1.0169999999999999</v>
      </c>
      <c r="F143" s="216">
        <v>1.0289999999999999</v>
      </c>
      <c r="G143" s="217">
        <v>713</v>
      </c>
    </row>
    <row r="144" spans="1:7" ht="22.5" customHeight="1" x14ac:dyDescent="0.35">
      <c r="A144" s="1" t="s">
        <v>1897</v>
      </c>
      <c r="B144" s="216">
        <v>1.034</v>
      </c>
      <c r="C144" s="216">
        <v>1.03</v>
      </c>
      <c r="D144" s="216">
        <v>1.0389999999999999</v>
      </c>
      <c r="E144" s="216">
        <v>1.026</v>
      </c>
      <c r="F144" s="216">
        <v>1.0449999999999999</v>
      </c>
      <c r="G144" s="217">
        <v>714</v>
      </c>
    </row>
    <row r="145" spans="1:7" ht="22.5" customHeight="1" x14ac:dyDescent="0.35">
      <c r="A145" s="1" t="s">
        <v>1898</v>
      </c>
      <c r="B145" s="216">
        <v>1.016</v>
      </c>
      <c r="C145" s="216">
        <v>1.0109999999999999</v>
      </c>
      <c r="D145" s="216">
        <v>1.018</v>
      </c>
      <c r="E145" s="216">
        <v>1.02</v>
      </c>
      <c r="F145" s="216">
        <v>1.026</v>
      </c>
      <c r="G145" s="217">
        <v>715</v>
      </c>
    </row>
    <row r="146" spans="1:7" ht="22.5" customHeight="1" x14ac:dyDescent="0.35">
      <c r="A146" s="1" t="s">
        <v>1899</v>
      </c>
      <c r="B146" s="216">
        <v>1.012</v>
      </c>
      <c r="C146" s="216">
        <v>1.01</v>
      </c>
      <c r="D146" s="216">
        <v>1.014</v>
      </c>
      <c r="E146" s="216">
        <v>1.0069999999999999</v>
      </c>
      <c r="F146" s="216">
        <v>1.014</v>
      </c>
      <c r="G146" s="217">
        <v>716</v>
      </c>
    </row>
    <row r="147" spans="1:7" ht="22.5" customHeight="1" x14ac:dyDescent="0.35">
      <c r="A147" s="1" t="s">
        <v>1900</v>
      </c>
      <c r="B147" s="216">
        <v>1.01</v>
      </c>
      <c r="C147" s="216">
        <v>0.999</v>
      </c>
      <c r="D147" s="216">
        <v>1.0029999999999999</v>
      </c>
      <c r="E147" s="216">
        <v>1.008</v>
      </c>
      <c r="F147" s="216">
        <v>1.0049999999999999</v>
      </c>
      <c r="G147" s="217">
        <v>717</v>
      </c>
    </row>
    <row r="148" spans="1:7" ht="22.5" customHeight="1" x14ac:dyDescent="0.35">
      <c r="A148" s="1" t="s">
        <v>1901</v>
      </c>
      <c r="B148" s="216">
        <v>1.0029999999999999</v>
      </c>
      <c r="C148" s="216">
        <v>1.002</v>
      </c>
      <c r="D148" s="216">
        <v>1.004</v>
      </c>
      <c r="E148" s="216">
        <v>1.002</v>
      </c>
      <c r="F148" s="216">
        <v>1.0049999999999999</v>
      </c>
      <c r="G148" s="217">
        <v>718</v>
      </c>
    </row>
    <row r="149" spans="1:7" ht="22.5" customHeight="1" x14ac:dyDescent="0.35">
      <c r="A149" s="1" t="s">
        <v>1902</v>
      </c>
      <c r="B149" s="216">
        <v>1.002</v>
      </c>
      <c r="C149" s="216">
        <v>1.0009999999999999</v>
      </c>
      <c r="D149" s="216">
        <v>1.002</v>
      </c>
      <c r="E149" s="216">
        <v>1.002</v>
      </c>
      <c r="F149" s="216">
        <v>1.0029999999999999</v>
      </c>
      <c r="G149" s="217">
        <v>719</v>
      </c>
    </row>
    <row r="150" spans="1:7" ht="22.5" customHeight="1" x14ac:dyDescent="0.35">
      <c r="A150" s="1" t="s">
        <v>1903</v>
      </c>
      <c r="B150" s="216">
        <v>0.999</v>
      </c>
      <c r="C150" s="216">
        <v>0.998</v>
      </c>
      <c r="D150" s="216">
        <v>0.999</v>
      </c>
      <c r="E150" s="216">
        <v>0.999</v>
      </c>
      <c r="F150" s="216">
        <v>0.999</v>
      </c>
      <c r="G150" s="217">
        <v>720</v>
      </c>
    </row>
    <row r="151" spans="1:7" ht="22.5" customHeight="1" x14ac:dyDescent="0.35">
      <c r="A151" s="1" t="s">
        <v>1904</v>
      </c>
      <c r="B151" s="216">
        <v>0.995</v>
      </c>
      <c r="C151" s="216">
        <v>0.99399999999999999</v>
      </c>
      <c r="D151" s="216">
        <v>0.99399999999999999</v>
      </c>
      <c r="E151" s="216">
        <v>0.99399999999999999</v>
      </c>
      <c r="F151" s="216">
        <v>0.99399999999999999</v>
      </c>
      <c r="G151" s="217">
        <v>721</v>
      </c>
    </row>
    <row r="152" spans="1:7" ht="22.5" customHeight="1" x14ac:dyDescent="0.35">
      <c r="A152" s="1" t="s">
        <v>1905</v>
      </c>
      <c r="B152" s="216">
        <v>0.998</v>
      </c>
      <c r="C152" s="216">
        <v>0.999</v>
      </c>
      <c r="D152" s="216">
        <v>0.998</v>
      </c>
      <c r="E152" s="216">
        <v>0.998</v>
      </c>
      <c r="F152" s="216">
        <v>0.998</v>
      </c>
      <c r="G152" s="217">
        <v>722</v>
      </c>
    </row>
    <row r="153" spans="1:7" ht="22.5" customHeight="1" x14ac:dyDescent="0.35">
      <c r="A153" s="1" t="s">
        <v>1906</v>
      </c>
      <c r="B153" s="216">
        <v>0.999</v>
      </c>
      <c r="C153" s="216">
        <v>0.998</v>
      </c>
      <c r="D153" s="216">
        <v>0.999</v>
      </c>
      <c r="E153" s="216">
        <v>0.999</v>
      </c>
      <c r="F153" s="216">
        <v>0.999</v>
      </c>
      <c r="G153" s="217">
        <v>724</v>
      </c>
    </row>
    <row r="154" spans="1:7" ht="22.5" customHeight="1" x14ac:dyDescent="0.35">
      <c r="A154" s="1" t="s">
        <v>1907</v>
      </c>
      <c r="B154" s="216">
        <v>1.0169999999999999</v>
      </c>
      <c r="C154" s="216">
        <v>1.0129999999999999</v>
      </c>
      <c r="D154" s="216">
        <v>1.016</v>
      </c>
      <c r="E154" s="216">
        <v>1.0129999999999999</v>
      </c>
      <c r="F154" s="216">
        <v>1.014</v>
      </c>
      <c r="G154" s="217">
        <v>725</v>
      </c>
    </row>
    <row r="155" spans="1:7" ht="22.5" customHeight="1" x14ac:dyDescent="0.35">
      <c r="A155" s="1" t="s">
        <v>1908</v>
      </c>
      <c r="B155" s="216">
        <v>1.0069999999999999</v>
      </c>
      <c r="C155" s="216">
        <v>0.999</v>
      </c>
      <c r="D155" s="216">
        <v>1</v>
      </c>
      <c r="E155" s="216">
        <v>1.002</v>
      </c>
      <c r="F155" s="216">
        <v>1.0109999999999999</v>
      </c>
      <c r="G155" s="217">
        <v>726</v>
      </c>
    </row>
    <row r="156" spans="1:7" ht="22.5" customHeight="1" x14ac:dyDescent="0.35">
      <c r="A156" s="1" t="s">
        <v>1909</v>
      </c>
      <c r="B156" s="216">
        <v>0.999</v>
      </c>
      <c r="C156" s="216">
        <v>0.999</v>
      </c>
      <c r="D156" s="216">
        <v>0.999</v>
      </c>
      <c r="E156" s="216">
        <v>0.999</v>
      </c>
      <c r="F156" s="216">
        <v>0.999</v>
      </c>
      <c r="G156" s="217">
        <v>727</v>
      </c>
    </row>
    <row r="157" spans="1:7" ht="22.5" customHeight="1" x14ac:dyDescent="0.35">
      <c r="A157" s="1" t="s">
        <v>1910</v>
      </c>
      <c r="B157" s="216">
        <v>0.95499999999999996</v>
      </c>
      <c r="C157" s="216">
        <v>0.94499999999999995</v>
      </c>
      <c r="D157" s="216">
        <v>0.94799999999999995</v>
      </c>
      <c r="E157" s="216">
        <v>0.94699999999999995</v>
      </c>
      <c r="F157" s="216">
        <v>0.94799999999999995</v>
      </c>
      <c r="G157" s="217">
        <v>728</v>
      </c>
    </row>
    <row r="158" spans="1:7" ht="22.5" customHeight="1" x14ac:dyDescent="0.35">
      <c r="A158" s="1" t="s">
        <v>1911</v>
      </c>
      <c r="B158" s="216">
        <v>1.0169999999999999</v>
      </c>
      <c r="C158" s="216">
        <v>1.0129999999999999</v>
      </c>
      <c r="D158" s="216">
        <v>1.016</v>
      </c>
      <c r="E158" s="216">
        <v>1.0129999999999999</v>
      </c>
      <c r="F158" s="216">
        <v>1.014</v>
      </c>
      <c r="G158" s="217">
        <v>729</v>
      </c>
    </row>
    <row r="159" spans="1:7" ht="22.5" customHeight="1" x14ac:dyDescent="0.35">
      <c r="A159" s="1" t="s">
        <v>1912</v>
      </c>
      <c r="B159" s="216">
        <v>1.022</v>
      </c>
      <c r="C159" s="216">
        <v>1.01</v>
      </c>
      <c r="D159" s="216">
        <v>1.018</v>
      </c>
      <c r="E159" s="216">
        <v>1.0109999999999999</v>
      </c>
      <c r="F159" s="216">
        <v>1.02</v>
      </c>
      <c r="G159" s="217">
        <v>731</v>
      </c>
    </row>
    <row r="160" spans="1:7" ht="22.5" customHeight="1" x14ac:dyDescent="0.35">
      <c r="A160" s="1" t="s">
        <v>1913</v>
      </c>
      <c r="B160" s="216">
        <v>1</v>
      </c>
      <c r="C160" s="216">
        <v>0.99399999999999999</v>
      </c>
      <c r="D160" s="216">
        <v>0.997</v>
      </c>
      <c r="E160" s="216">
        <v>0.997</v>
      </c>
      <c r="F160" s="216">
        <v>0.996</v>
      </c>
      <c r="G160" s="217">
        <v>732</v>
      </c>
    </row>
    <row r="161" spans="1:7" ht="22.5" customHeight="1" x14ac:dyDescent="0.35">
      <c r="A161" s="1" t="s">
        <v>1940</v>
      </c>
      <c r="B161" s="216">
        <v>0.997</v>
      </c>
      <c r="C161" s="216">
        <v>0.996</v>
      </c>
      <c r="D161" s="216">
        <v>0.997</v>
      </c>
      <c r="E161" s="216">
        <v>0.997</v>
      </c>
      <c r="F161" s="216">
        <v>0.998</v>
      </c>
      <c r="G161" s="217">
        <v>733</v>
      </c>
    </row>
    <row r="162" spans="1:7" ht="22.5" customHeight="1" x14ac:dyDescent="0.35">
      <c r="A162" s="1" t="s">
        <v>1914</v>
      </c>
      <c r="B162" s="216">
        <v>1.004</v>
      </c>
      <c r="C162" s="216">
        <v>0.997</v>
      </c>
      <c r="D162" s="216">
        <v>1.004</v>
      </c>
      <c r="E162" s="216">
        <v>1.01</v>
      </c>
      <c r="F162" s="216">
        <v>1.004</v>
      </c>
      <c r="G162" s="217">
        <v>735</v>
      </c>
    </row>
    <row r="163" spans="1:7" ht="22.5" customHeight="1" x14ac:dyDescent="0.35">
      <c r="A163" s="1" t="s">
        <v>1915</v>
      </c>
      <c r="B163" s="216">
        <v>1.03</v>
      </c>
      <c r="C163" s="216">
        <v>1.0109999999999999</v>
      </c>
      <c r="D163" s="216">
        <v>1.02</v>
      </c>
      <c r="E163" s="216">
        <v>1.0149999999999999</v>
      </c>
      <c r="F163" s="216">
        <v>1.0269999999999999</v>
      </c>
      <c r="G163" s="217">
        <v>736</v>
      </c>
    </row>
    <row r="164" spans="1:7" ht="22.5" customHeight="1" x14ac:dyDescent="0.35">
      <c r="A164" s="1" t="s">
        <v>1916</v>
      </c>
      <c r="B164" s="216">
        <v>1.01</v>
      </c>
      <c r="C164" s="216">
        <v>0.999</v>
      </c>
      <c r="D164" s="216">
        <v>1.0029999999999999</v>
      </c>
      <c r="E164" s="216">
        <v>1.0069999999999999</v>
      </c>
      <c r="F164" s="216">
        <v>1.0029999999999999</v>
      </c>
      <c r="G164" s="217">
        <v>737</v>
      </c>
    </row>
    <row r="165" spans="1:7" ht="22.5" customHeight="1" x14ac:dyDescent="0.35">
      <c r="A165" s="1" t="s">
        <v>1917</v>
      </c>
      <c r="B165" s="216">
        <v>1.0269999999999999</v>
      </c>
      <c r="C165" s="216">
        <v>1.0129999999999999</v>
      </c>
      <c r="D165" s="216">
        <v>1.0089999999999999</v>
      </c>
      <c r="E165" s="216">
        <v>1.0069999999999999</v>
      </c>
      <c r="F165" s="216">
        <v>1.01</v>
      </c>
      <c r="G165" s="217">
        <v>738</v>
      </c>
    </row>
    <row r="166" spans="1:7" ht="22.5" customHeight="1" x14ac:dyDescent="0.35">
      <c r="A166" s="1" t="s">
        <v>1918</v>
      </c>
      <c r="B166" s="216">
        <v>1.02</v>
      </c>
      <c r="C166" s="216">
        <v>1</v>
      </c>
      <c r="D166" s="216">
        <v>1.0109999999999999</v>
      </c>
      <c r="E166" s="216">
        <v>1.016</v>
      </c>
      <c r="F166" s="216">
        <v>1.014</v>
      </c>
      <c r="G166" s="217">
        <v>739</v>
      </c>
    </row>
    <row r="167" spans="1:7" ht="22.5" customHeight="1" x14ac:dyDescent="0.35">
      <c r="A167" s="1" t="s">
        <v>1919</v>
      </c>
      <c r="B167" s="216">
        <v>1.0029999999999999</v>
      </c>
      <c r="C167" s="216">
        <v>0.999</v>
      </c>
      <c r="D167" s="216">
        <v>1.0009999999999999</v>
      </c>
      <c r="E167" s="216">
        <v>1.002</v>
      </c>
      <c r="F167" s="216">
        <v>1.0009999999999999</v>
      </c>
      <c r="G167" s="217">
        <v>740</v>
      </c>
    </row>
    <row r="168" spans="1:7" ht="22.5" customHeight="1" x14ac:dyDescent="0.35">
      <c r="A168" s="1" t="s">
        <v>1920</v>
      </c>
      <c r="B168" s="216">
        <v>1.02</v>
      </c>
      <c r="C168" s="216">
        <v>1.0149999999999999</v>
      </c>
      <c r="D168" s="216">
        <v>1.02</v>
      </c>
      <c r="E168" s="216">
        <v>1.0169999999999999</v>
      </c>
      <c r="F168" s="216">
        <v>1.024</v>
      </c>
      <c r="G168" s="217">
        <v>741</v>
      </c>
    </row>
    <row r="169" spans="1:7" ht="22.5" customHeight="1" x14ac:dyDescent="0.35">
      <c r="A169" s="1" t="s">
        <v>1921</v>
      </c>
      <c r="B169" s="216">
        <v>1.0189999999999999</v>
      </c>
      <c r="C169" s="216">
        <v>1.006</v>
      </c>
      <c r="D169" s="216">
        <v>1.0089999999999999</v>
      </c>
      <c r="E169" s="216">
        <v>1.012</v>
      </c>
      <c r="F169" s="216">
        <v>1.012</v>
      </c>
      <c r="G169" s="217">
        <v>742</v>
      </c>
    </row>
    <row r="170" spans="1:7" ht="22.5" customHeight="1" x14ac:dyDescent="0.35">
      <c r="A170" s="1" t="s">
        <v>1922</v>
      </c>
      <c r="B170" s="216">
        <v>1.002</v>
      </c>
      <c r="C170" s="216">
        <v>1.0009999999999999</v>
      </c>
      <c r="D170" s="216">
        <v>1</v>
      </c>
      <c r="E170" s="216">
        <v>1.0069999999999999</v>
      </c>
      <c r="F170" s="216">
        <v>1.0029999999999999</v>
      </c>
      <c r="G170" s="217">
        <v>743</v>
      </c>
    </row>
    <row r="171" spans="1:7" ht="22.5" customHeight="1" x14ac:dyDescent="0.35">
      <c r="A171" s="1" t="s">
        <v>1923</v>
      </c>
      <c r="B171" s="216">
        <v>1.0189999999999999</v>
      </c>
      <c r="C171" s="216">
        <v>1.0109999999999999</v>
      </c>
      <c r="D171" s="216">
        <v>1.012</v>
      </c>
      <c r="E171" s="216">
        <v>1.0129999999999999</v>
      </c>
      <c r="F171" s="216">
        <v>1.0169999999999999</v>
      </c>
      <c r="G171" s="217">
        <v>744</v>
      </c>
    </row>
    <row r="172" spans="1:7" ht="22.5" customHeight="1" x14ac:dyDescent="0.35">
      <c r="A172" s="1" t="s">
        <v>1924</v>
      </c>
      <c r="B172" s="216">
        <v>1</v>
      </c>
      <c r="C172" s="216">
        <v>0.997</v>
      </c>
      <c r="D172" s="216">
        <v>0.998</v>
      </c>
      <c r="E172" s="216">
        <v>0.999</v>
      </c>
      <c r="F172" s="216">
        <v>0.998</v>
      </c>
      <c r="G172" s="217">
        <v>745</v>
      </c>
    </row>
    <row r="173" spans="1:7" ht="22.5" customHeight="1" x14ac:dyDescent="0.35">
      <c r="A173" s="1" t="s">
        <v>1925</v>
      </c>
      <c r="B173" s="216">
        <v>0.997</v>
      </c>
      <c r="C173" s="216">
        <v>0.997</v>
      </c>
      <c r="D173" s="216">
        <v>0.997</v>
      </c>
      <c r="E173" s="216">
        <v>0.998</v>
      </c>
      <c r="F173" s="216">
        <v>0.998</v>
      </c>
      <c r="G173" s="217">
        <v>746</v>
      </c>
    </row>
    <row r="174" spans="1:7" ht="22.5" customHeight="1" x14ac:dyDescent="0.35">
      <c r="A174" s="1" t="s">
        <v>1926</v>
      </c>
      <c r="B174" s="216">
        <v>1</v>
      </c>
      <c r="C174" s="216">
        <v>0.999</v>
      </c>
      <c r="D174" s="216">
        <v>1.002</v>
      </c>
      <c r="E174" s="216">
        <v>1.0049999999999999</v>
      </c>
      <c r="F174" s="216">
        <v>1.002</v>
      </c>
      <c r="G174" s="217">
        <v>747</v>
      </c>
    </row>
    <row r="175" spans="1:7" ht="22.5" customHeight="1" x14ac:dyDescent="0.35">
      <c r="A175" s="1" t="s">
        <v>1927</v>
      </c>
      <c r="B175" s="216">
        <v>1.008</v>
      </c>
      <c r="C175" s="216">
        <v>1.004</v>
      </c>
      <c r="D175" s="216">
        <v>1.0069999999999999</v>
      </c>
      <c r="E175" s="216">
        <v>1.006</v>
      </c>
      <c r="F175" s="216">
        <v>1.0069999999999999</v>
      </c>
      <c r="G175" s="217">
        <v>748</v>
      </c>
    </row>
    <row r="176" spans="1:7" ht="22.5" customHeight="1" x14ac:dyDescent="0.35">
      <c r="A176" s="1" t="s">
        <v>1928</v>
      </c>
      <c r="B176" s="216">
        <v>1.0049999999999999</v>
      </c>
      <c r="C176" s="216">
        <v>0.98899999999999999</v>
      </c>
      <c r="D176" s="216">
        <v>0.995</v>
      </c>
      <c r="E176" s="216">
        <v>1.002</v>
      </c>
      <c r="F176" s="216">
        <v>0.99</v>
      </c>
      <c r="G176" s="217">
        <v>749</v>
      </c>
    </row>
    <row r="177" spans="1:7" ht="22.5" customHeight="1" x14ac:dyDescent="0.35">
      <c r="A177" s="1" t="s">
        <v>1929</v>
      </c>
      <c r="B177" s="216">
        <v>0.999</v>
      </c>
      <c r="C177" s="216">
        <v>0.997</v>
      </c>
      <c r="D177" s="216">
        <v>0.999</v>
      </c>
      <c r="E177" s="216">
        <v>0.999</v>
      </c>
      <c r="F177" s="216">
        <v>0.999</v>
      </c>
      <c r="G177" s="217">
        <v>750</v>
      </c>
    </row>
    <row r="178" spans="1:7" ht="22.5" customHeight="1" x14ac:dyDescent="0.35">
      <c r="A178" s="1" t="s">
        <v>1930</v>
      </c>
      <c r="B178" s="216">
        <v>0.999</v>
      </c>
      <c r="C178" s="216">
        <v>0.998</v>
      </c>
      <c r="D178" s="216">
        <v>0.998</v>
      </c>
      <c r="E178" s="216">
        <v>1</v>
      </c>
      <c r="F178" s="216">
        <v>0.999</v>
      </c>
      <c r="G178" s="217">
        <v>751</v>
      </c>
    </row>
    <row r="179" spans="1:7" ht="22.5" customHeight="1" x14ac:dyDescent="0.35">
      <c r="A179" s="1" t="s">
        <v>1931</v>
      </c>
      <c r="B179" s="216">
        <v>1.0109999999999999</v>
      </c>
      <c r="C179" s="216">
        <v>1.008</v>
      </c>
      <c r="D179" s="216">
        <v>1.0069999999999999</v>
      </c>
      <c r="E179" s="216">
        <v>1.008</v>
      </c>
      <c r="F179" s="216">
        <v>1.012</v>
      </c>
      <c r="G179" s="217">
        <v>752</v>
      </c>
    </row>
    <row r="180" spans="1:7" ht="22.5" customHeight="1" x14ac:dyDescent="0.35">
      <c r="A180" s="1" t="s">
        <v>1932</v>
      </c>
      <c r="B180" s="216">
        <v>1.002</v>
      </c>
      <c r="C180" s="216">
        <v>0.997</v>
      </c>
      <c r="D180" s="216">
        <v>0.999</v>
      </c>
      <c r="E180" s="216">
        <v>1.002</v>
      </c>
      <c r="F180" s="216">
        <v>0.999</v>
      </c>
      <c r="G180" s="217">
        <v>753</v>
      </c>
    </row>
    <row r="181" spans="1:7" ht="22.5" customHeight="1" x14ac:dyDescent="0.35">
      <c r="A181" s="1" t="s">
        <v>1933</v>
      </c>
      <c r="B181" s="216">
        <v>1.02</v>
      </c>
      <c r="C181" s="216">
        <v>1.012</v>
      </c>
      <c r="D181" s="216">
        <v>1.0169999999999999</v>
      </c>
      <c r="E181" s="216">
        <v>1.016</v>
      </c>
      <c r="F181" s="216">
        <v>1.0189999999999999</v>
      </c>
      <c r="G181" s="217">
        <v>754</v>
      </c>
    </row>
    <row r="182" spans="1:7" ht="22.5" customHeight="1" x14ac:dyDescent="0.35">
      <c r="A182" s="1" t="s">
        <v>1934</v>
      </c>
      <c r="B182" s="216">
        <v>1.01</v>
      </c>
      <c r="C182" s="216">
        <v>1</v>
      </c>
      <c r="D182" s="216">
        <v>1.004</v>
      </c>
      <c r="E182" s="216">
        <v>1.0069999999999999</v>
      </c>
      <c r="F182" s="216">
        <v>1.0069999999999999</v>
      </c>
      <c r="G182" s="217">
        <v>755</v>
      </c>
    </row>
    <row r="183" spans="1:7" ht="22.5" customHeight="1" x14ac:dyDescent="0.35">
      <c r="A183" s="1" t="s">
        <v>1935</v>
      </c>
      <c r="B183" s="216">
        <v>1.018</v>
      </c>
      <c r="C183" s="216">
        <v>1.01</v>
      </c>
      <c r="D183" s="216">
        <v>1.0109999999999999</v>
      </c>
      <c r="E183" s="216">
        <v>1.0069999999999999</v>
      </c>
      <c r="F183" s="216">
        <v>1.0069999999999999</v>
      </c>
      <c r="G183" s="217">
        <v>768</v>
      </c>
    </row>
    <row r="184" spans="1:7" ht="22.5" customHeight="1" x14ac:dyDescent="0.35">
      <c r="A184" s="1" t="s">
        <v>1936</v>
      </c>
      <c r="B184" s="216">
        <v>1.016</v>
      </c>
      <c r="C184" s="216">
        <v>1.0069999999999999</v>
      </c>
      <c r="D184" s="216">
        <v>1.0149999999999999</v>
      </c>
      <c r="E184" s="216">
        <v>1.012</v>
      </c>
      <c r="F184" s="216">
        <v>1.014</v>
      </c>
      <c r="G184" s="217">
        <v>780</v>
      </c>
    </row>
    <row r="185" spans="1:7" ht="22.5" customHeight="1" x14ac:dyDescent="0.35">
      <c r="A185" s="1" t="s">
        <v>1937</v>
      </c>
      <c r="B185" s="216">
        <v>1.0069999999999999</v>
      </c>
      <c r="C185" s="216">
        <v>1.0049999999999999</v>
      </c>
      <c r="D185" s="216">
        <v>1.006</v>
      </c>
      <c r="E185" s="216">
        <v>1.0049999999999999</v>
      </c>
      <c r="F185" s="216">
        <v>1.006</v>
      </c>
      <c r="G185" s="217">
        <v>785</v>
      </c>
    </row>
    <row r="186" spans="1:7" ht="25.5" customHeight="1" x14ac:dyDescent="0.35"/>
    <row r="187" spans="1:7" ht="25.5" customHeight="1" x14ac:dyDescent="0.35">
      <c r="A187" s="282" t="s">
        <v>697</v>
      </c>
      <c r="B187" s="282"/>
      <c r="C187" s="282"/>
      <c r="D187" s="282"/>
      <c r="E187" s="282"/>
      <c r="F187" s="282"/>
      <c r="G187" s="282"/>
    </row>
    <row r="188" spans="1:7" ht="25.5" customHeight="1" x14ac:dyDescent="0.35">
      <c r="A188" s="20" t="s">
        <v>6</v>
      </c>
      <c r="B188" s="20" t="s">
        <v>2</v>
      </c>
      <c r="C188" s="20" t="s">
        <v>3</v>
      </c>
      <c r="D188" s="20" t="s">
        <v>4</v>
      </c>
      <c r="E188" s="20" t="s">
        <v>5</v>
      </c>
      <c r="F188" s="20" t="s">
        <v>672</v>
      </c>
      <c r="G188" s="20" t="s">
        <v>698</v>
      </c>
    </row>
    <row r="189" spans="1:7" ht="30" customHeight="1" x14ac:dyDescent="0.35">
      <c r="A189" s="80" t="s">
        <v>1863</v>
      </c>
      <c r="B189" s="216">
        <v>1.014</v>
      </c>
      <c r="C189" s="216">
        <v>1.012</v>
      </c>
      <c r="D189" s="216">
        <v>1.0129999999999999</v>
      </c>
      <c r="E189" s="216">
        <v>1.0089999999999999</v>
      </c>
      <c r="F189" s="216">
        <v>1.0109999999999999</v>
      </c>
      <c r="G189" s="218">
        <v>1032</v>
      </c>
    </row>
    <row r="190" spans="1:7" ht="30" customHeight="1" x14ac:dyDescent="0.35">
      <c r="A190" s="80" t="s">
        <v>1864</v>
      </c>
      <c r="B190" s="216">
        <v>1.006</v>
      </c>
      <c r="C190" s="216">
        <v>1.0049999999999999</v>
      </c>
      <c r="D190" s="216">
        <v>1.006</v>
      </c>
      <c r="E190" s="216">
        <v>1.004</v>
      </c>
      <c r="F190" s="216">
        <v>1.0049999999999999</v>
      </c>
      <c r="G190" s="218">
        <v>1630</v>
      </c>
    </row>
    <row r="191" spans="1:7" ht="30" customHeight="1" x14ac:dyDescent="0.35">
      <c r="A191" s="80" t="s">
        <v>1865</v>
      </c>
      <c r="B191" s="216">
        <v>1.004</v>
      </c>
      <c r="C191" s="216">
        <v>0.999</v>
      </c>
      <c r="D191" s="216">
        <v>1.0029999999999999</v>
      </c>
      <c r="E191" s="216">
        <v>1</v>
      </c>
      <c r="F191" s="216">
        <v>1.0029999999999999</v>
      </c>
      <c r="G191" s="218">
        <v>7104</v>
      </c>
    </row>
    <row r="192" spans="1:7" ht="30" customHeight="1" x14ac:dyDescent="0.35">
      <c r="A192" s="80" t="s">
        <v>1866</v>
      </c>
      <c r="B192" s="216">
        <v>1.0329999999999999</v>
      </c>
      <c r="C192" s="216">
        <v>1.0249999999999999</v>
      </c>
      <c r="D192" s="216">
        <v>1.03</v>
      </c>
      <c r="E192" s="216">
        <v>1.024</v>
      </c>
      <c r="F192" s="216">
        <v>1.0269999999999999</v>
      </c>
      <c r="G192" s="218">
        <v>7105</v>
      </c>
    </row>
    <row r="193" spans="1:7" ht="30" customHeight="1" x14ac:dyDescent="0.35">
      <c r="A193" s="80" t="s">
        <v>1867</v>
      </c>
      <c r="B193" s="216">
        <v>1.0229999999999999</v>
      </c>
      <c r="C193" s="216">
        <v>1.0189999999999999</v>
      </c>
      <c r="D193" s="216">
        <v>1.022</v>
      </c>
      <c r="E193" s="216">
        <v>1.0189999999999999</v>
      </c>
      <c r="F193" s="216">
        <v>1.02</v>
      </c>
      <c r="G193" s="218">
        <v>7160</v>
      </c>
    </row>
    <row r="194" spans="1:7" ht="30" customHeight="1" x14ac:dyDescent="0.35">
      <c r="A194" s="80" t="s">
        <v>1868</v>
      </c>
      <c r="B194" s="216">
        <v>1.016</v>
      </c>
      <c r="C194" s="216">
        <v>1.016</v>
      </c>
      <c r="D194" s="216">
        <v>1.018</v>
      </c>
      <c r="E194" s="216">
        <v>1.0169999999999999</v>
      </c>
      <c r="F194" s="216">
        <v>1.0169999999999999</v>
      </c>
      <c r="G194" s="218">
        <v>7435</v>
      </c>
    </row>
    <row r="195" spans="1:7" ht="30" customHeight="1" x14ac:dyDescent="0.35">
      <c r="A195" s="80" t="s">
        <v>1869</v>
      </c>
      <c r="B195" s="216">
        <v>1.004</v>
      </c>
      <c r="C195" s="216">
        <v>1.0009999999999999</v>
      </c>
      <c r="D195" s="216">
        <v>1.0009999999999999</v>
      </c>
      <c r="E195" s="216">
        <v>1</v>
      </c>
      <c r="F195" s="216">
        <v>1.002</v>
      </c>
      <c r="G195" s="218">
        <v>7436</v>
      </c>
    </row>
    <row r="196" spans="1:7" ht="30" customHeight="1" x14ac:dyDescent="0.35">
      <c r="A196" s="80" t="s">
        <v>1870</v>
      </c>
      <c r="B196" s="216">
        <v>1</v>
      </c>
      <c r="C196" s="216">
        <v>1</v>
      </c>
      <c r="D196" s="216">
        <v>1</v>
      </c>
      <c r="E196" s="216">
        <v>1</v>
      </c>
      <c r="F196" s="216">
        <v>1</v>
      </c>
      <c r="G196" s="218">
        <v>7441</v>
      </c>
    </row>
    <row r="197" spans="1:7" ht="30" customHeight="1" x14ac:dyDescent="0.35">
      <c r="A197" s="80" t="s">
        <v>1871</v>
      </c>
      <c r="B197" s="216">
        <v>0.999</v>
      </c>
      <c r="C197" s="216">
        <v>0.999</v>
      </c>
      <c r="D197" s="216">
        <v>0.999</v>
      </c>
      <c r="E197" s="216">
        <v>1</v>
      </c>
      <c r="F197" s="216">
        <v>1</v>
      </c>
      <c r="G197" s="218">
        <v>7442</v>
      </c>
    </row>
    <row r="198" spans="1:7" ht="30" customHeight="1" x14ac:dyDescent="0.35">
      <c r="A198" s="80" t="s">
        <v>1872</v>
      </c>
      <c r="B198" s="216">
        <v>1.014</v>
      </c>
      <c r="C198" s="216">
        <v>1.0129999999999999</v>
      </c>
      <c r="D198" s="216">
        <v>1.014</v>
      </c>
      <c r="E198" s="216">
        <v>1.0149999999999999</v>
      </c>
      <c r="F198" s="216">
        <v>1.0149999999999999</v>
      </c>
      <c r="G198" s="218">
        <v>7478</v>
      </c>
    </row>
    <row r="199" spans="1:7" ht="30" customHeight="1" x14ac:dyDescent="0.35">
      <c r="A199" s="80" t="s">
        <v>1873</v>
      </c>
      <c r="B199" s="216">
        <v>1.0049999999999999</v>
      </c>
      <c r="C199" s="216">
        <v>1.0009999999999999</v>
      </c>
      <c r="D199" s="216">
        <v>1.0029999999999999</v>
      </c>
      <c r="E199" s="216">
        <v>1.002</v>
      </c>
      <c r="F199" s="216">
        <v>1.0029999999999999</v>
      </c>
      <c r="G199" s="218">
        <v>7479</v>
      </c>
    </row>
  </sheetData>
  <customSheetViews>
    <customSheetView guid="{5032A364-B81A-48DA-88DA-AB3B86B47EE9}" scale="80" fitToPage="1">
      <pageMargins left="0.70866141732283472" right="0.70866141732283472" top="0.74803149606299213" bottom="0.74803149606299213" header="0.31496062992125984" footer="0.31496062992125984"/>
      <pageSetup paperSize="9" scale="61" fitToHeight="0" orientation="portrait" r:id="rId1"/>
      <headerFooter differentFirst="1" scaleWithDoc="0">
        <oddFooter>&amp;C&amp;P of &amp;N</oddFooter>
        <firstHeader>&amp;L
Annex 5 – Schedule of Line Loss Factors</firstHeader>
        <firstFooter>&amp;C&amp;P of &amp;N</firstFooter>
      </headerFooter>
    </customSheetView>
  </customSheetViews>
  <mergeCells count="16">
    <mergeCell ref="A187:G187"/>
    <mergeCell ref="A3:G3"/>
    <mergeCell ref="A2:G2"/>
    <mergeCell ref="C11:G11"/>
    <mergeCell ref="A9:B9"/>
    <mergeCell ref="A10:B10"/>
    <mergeCell ref="A11:B11"/>
    <mergeCell ref="A5:B6"/>
    <mergeCell ref="A7:B7"/>
    <mergeCell ref="A8:B8"/>
    <mergeCell ref="A119:G119"/>
    <mergeCell ref="A14:G14"/>
    <mergeCell ref="A13:G13"/>
    <mergeCell ref="A23:G23"/>
    <mergeCell ref="A24:G24"/>
    <mergeCell ref="A118:G118"/>
  </mergeCells>
  <phoneticPr fontId="10" type="noConversion"/>
  <hyperlinks>
    <hyperlink ref="A1" location="Overview!A1" display="Back to Overview" xr:uid="{00000000-0004-0000-0700-000000000000}"/>
  </hyperlinks>
  <pageMargins left="0.70866141732283472" right="0.70866141732283472" top="0.74803149606299213" bottom="0.74803149606299213" header="0.31496062992125984" footer="0.31496062992125984"/>
  <pageSetup paperSize="9" scale="51" fitToHeight="0" orientation="portrait" r:id="rId2"/>
  <headerFooter scaleWithDoc="0">
    <oddHeader>&amp;L
Annex 5 – Schedule of Line Loss Factors</oddHeader>
    <oddFooter>&amp;C&amp;P of &amp;N</oddFooter>
    <firstHeader>&amp;L
Annex 5 – Schedule of Line Loss Factors</firstHeader>
    <firstFooter>&amp;C&amp;P of &amp;N</firstFooter>
  </headerFooter>
  <rowBreaks count="2" manualBreakCount="2">
    <brk id="58" max="6" man="1"/>
    <brk id="117" max="6"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A1:S28"/>
  <sheetViews>
    <sheetView zoomScale="85" zoomScaleNormal="85" zoomScaleSheetLayoutView="80" workbookViewId="0"/>
  </sheetViews>
  <sheetFormatPr defaultColWidth="9.1328125" defaultRowHeight="27.75" customHeight="1" x14ac:dyDescent="0.35"/>
  <cols>
    <col min="1" max="2" width="14.73046875" style="2" customWidth="1"/>
    <col min="3" max="3" width="7.86328125" style="2" customWidth="1"/>
    <col min="4" max="4" width="14.73046875" style="2" customWidth="1"/>
    <col min="5" max="5" width="14.73046875" style="3" customWidth="1"/>
    <col min="6" max="6" width="7.86328125" style="3" customWidth="1"/>
    <col min="7" max="7" width="14.73046875" style="2" customWidth="1"/>
    <col min="8" max="8" width="30.73046875" style="3" customWidth="1"/>
    <col min="9" max="10" width="14.73046875" style="3" customWidth="1"/>
    <col min="11" max="11" width="14.73046875" style="10" customWidth="1"/>
    <col min="12" max="13" width="14.73046875" style="4" customWidth="1"/>
    <col min="14" max="19" width="14.73046875" style="2" customWidth="1"/>
    <col min="20" max="16384" width="9.1328125" style="2"/>
  </cols>
  <sheetData>
    <row r="1" spans="1:17" ht="63.75" customHeight="1" x14ac:dyDescent="0.35">
      <c r="A1" s="13" t="s">
        <v>16</v>
      </c>
      <c r="B1" s="13"/>
      <c r="C1" s="13"/>
      <c r="D1" s="286" t="s">
        <v>692</v>
      </c>
      <c r="E1" s="286"/>
      <c r="F1" s="286"/>
      <c r="G1" s="286"/>
      <c r="H1" s="286"/>
      <c r="I1" s="286"/>
      <c r="J1" s="286"/>
      <c r="K1" s="286"/>
      <c r="L1" s="286"/>
      <c r="M1" s="286"/>
      <c r="N1" s="286"/>
      <c r="O1" s="286"/>
      <c r="P1" s="286"/>
      <c r="Q1" s="286"/>
    </row>
    <row r="2" spans="1:17" ht="27.75" customHeight="1" x14ac:dyDescent="0.35">
      <c r="A2" s="257" t="s">
        <v>124</v>
      </c>
      <c r="B2" s="258"/>
      <c r="C2" s="258"/>
      <c r="D2" s="258"/>
      <c r="E2" s="258"/>
      <c r="F2" s="258"/>
      <c r="G2" s="258"/>
      <c r="H2" s="258"/>
      <c r="I2" s="258"/>
      <c r="J2" s="258"/>
      <c r="K2" s="258"/>
      <c r="L2" s="258"/>
      <c r="M2" s="258"/>
      <c r="N2" s="258"/>
      <c r="O2" s="258"/>
      <c r="P2" s="258"/>
      <c r="Q2" s="259"/>
    </row>
    <row r="3" spans="1:17" ht="17.25" customHeight="1" x14ac:dyDescent="0.35">
      <c r="A3" s="13"/>
      <c r="B3" s="13"/>
      <c r="C3" s="13"/>
      <c r="D3" s="13"/>
      <c r="G3" s="23"/>
    </row>
    <row r="4" spans="1:17" s="11" customFormat="1" ht="25.5" customHeight="1" x14ac:dyDescent="0.35">
      <c r="A4" s="257" t="str">
        <f>Overview!B4&amp; " - Effective from "&amp;Overview!D4&amp;" - "&amp;Overview!E4&amp;" new designated EHV charges"</f>
        <v>South Eastern Power Networks - Effective from 1 April 2026 - Final new designated EHV charges</v>
      </c>
      <c r="B4" s="258"/>
      <c r="C4" s="258"/>
      <c r="D4" s="258"/>
      <c r="E4" s="258"/>
      <c r="F4" s="258"/>
      <c r="G4" s="258"/>
      <c r="H4" s="258"/>
      <c r="I4" s="258"/>
      <c r="J4" s="258"/>
      <c r="K4" s="258"/>
      <c r="L4" s="258"/>
      <c r="M4" s="258"/>
      <c r="N4" s="258"/>
      <c r="O4" s="258"/>
      <c r="P4" s="258"/>
      <c r="Q4" s="259"/>
    </row>
    <row r="5" spans="1:17" ht="69.75" customHeight="1" x14ac:dyDescent="0.35">
      <c r="A5" s="196" t="s">
        <v>127</v>
      </c>
      <c r="B5" s="196" t="s">
        <v>46</v>
      </c>
      <c r="C5" s="196" t="s">
        <v>703</v>
      </c>
      <c r="D5" s="196" t="s">
        <v>31</v>
      </c>
      <c r="E5" s="196" t="s">
        <v>47</v>
      </c>
      <c r="F5" s="196" t="s">
        <v>703</v>
      </c>
      <c r="G5" s="196" t="s">
        <v>32</v>
      </c>
      <c r="H5" s="197" t="s">
        <v>26</v>
      </c>
      <c r="I5" s="198" t="s">
        <v>577</v>
      </c>
      <c r="J5" s="197" t="str">
        <f>'Annex 2 Designated EHV charges'!I9</f>
        <v>Import
Super Red
unit charge
(p/kWh)</v>
      </c>
      <c r="K5" s="197" t="str">
        <f>'Annex 2 Designated EHV charges'!J9</f>
        <v>Import
fixed charge
(p/day)</v>
      </c>
      <c r="L5" s="197" t="str">
        <f>'Annex 2 Designated EHV charges'!K9</f>
        <v>Import
capacity charge
(p/kVA/day)</v>
      </c>
      <c r="M5" s="197" t="str">
        <f>'Annex 2 Designated EHV charges'!L9</f>
        <v>Import
exceeded capacity charge
(p/kVA/day)</v>
      </c>
      <c r="N5" s="197" t="str">
        <f>'Annex 2 Designated EHV charges'!M9</f>
        <v>Export
Super Red
unit charge
(p/kWh)</v>
      </c>
      <c r="O5" s="197" t="str">
        <f>'Annex 2 Designated EHV charges'!N9</f>
        <v>Export
fixed charge
(p/day)</v>
      </c>
      <c r="P5" s="197" t="str">
        <f>'Annex 2 Designated EHV charges'!O9</f>
        <v>Export
capacity charge
(p/kVA/day)</v>
      </c>
      <c r="Q5" s="197" t="str">
        <f>'Annex 2 Designated EHV charges'!P9</f>
        <v>Export
exceeded capacity charge
(p/kVA/day)</v>
      </c>
    </row>
    <row r="6" spans="1:17" ht="17.100000000000001" customHeight="1" x14ac:dyDescent="0.35">
      <c r="A6" s="231" t="s">
        <v>1763</v>
      </c>
      <c r="B6" s="221" t="s">
        <v>1764</v>
      </c>
      <c r="C6" s="232"/>
      <c r="D6" s="223" t="s">
        <v>1026</v>
      </c>
      <c r="E6" s="221"/>
      <c r="F6" s="233"/>
      <c r="G6" s="223"/>
      <c r="H6" s="221" t="s">
        <v>1764</v>
      </c>
      <c r="I6" s="226">
        <v>2</v>
      </c>
      <c r="J6" s="227">
        <v>0</v>
      </c>
      <c r="K6" s="228">
        <v>13691.75</v>
      </c>
      <c r="L6" s="228">
        <v>0.79</v>
      </c>
      <c r="M6" s="228">
        <v>0.79</v>
      </c>
      <c r="N6" s="234"/>
      <c r="O6" s="235"/>
      <c r="P6" s="235"/>
      <c r="Q6" s="235"/>
    </row>
    <row r="7" spans="1:17" ht="45" customHeight="1" x14ac:dyDescent="0.35">
      <c r="A7" s="211">
        <v>46113</v>
      </c>
      <c r="B7" s="44" t="s">
        <v>963</v>
      </c>
      <c r="C7" s="93">
        <v>804</v>
      </c>
      <c r="D7" s="56" t="s">
        <v>1765</v>
      </c>
      <c r="E7" s="45" t="s">
        <v>963</v>
      </c>
      <c r="F7" s="93">
        <v>704</v>
      </c>
      <c r="G7" s="56" t="s">
        <v>1766</v>
      </c>
      <c r="H7" s="57" t="s">
        <v>963</v>
      </c>
      <c r="I7" s="195">
        <v>3</v>
      </c>
      <c r="J7" s="61">
        <v>3.0000000000000001E-3</v>
      </c>
      <c r="K7" s="62">
        <v>36548.57</v>
      </c>
      <c r="L7" s="62">
        <v>0.8</v>
      </c>
      <c r="M7" s="62">
        <v>0.8</v>
      </c>
      <c r="N7" s="63">
        <v>-3.0000000000000001E-3</v>
      </c>
      <c r="O7" s="64">
        <v>5980.15</v>
      </c>
      <c r="P7" s="64">
        <v>0.05</v>
      </c>
      <c r="Q7" s="64">
        <v>0.05</v>
      </c>
    </row>
    <row r="8" spans="1:17" ht="42.75" customHeight="1" x14ac:dyDescent="0.35">
      <c r="A8" s="211">
        <v>46113</v>
      </c>
      <c r="B8" s="44" t="s">
        <v>917</v>
      </c>
      <c r="C8" s="93">
        <v>869</v>
      </c>
      <c r="D8" s="56" t="s">
        <v>1031</v>
      </c>
      <c r="E8" s="45"/>
      <c r="F8" s="93"/>
      <c r="G8" s="56"/>
      <c r="H8" s="57" t="s">
        <v>917</v>
      </c>
      <c r="I8" s="195">
        <v>4</v>
      </c>
      <c r="J8" s="212">
        <v>1.5880000000000001</v>
      </c>
      <c r="K8" s="62">
        <v>62823.61</v>
      </c>
      <c r="L8" s="208">
        <v>2.3199999999999998</v>
      </c>
      <c r="M8" s="208">
        <v>2.3199999999999998</v>
      </c>
      <c r="N8" s="209"/>
      <c r="O8" s="210"/>
      <c r="P8" s="210"/>
      <c r="Q8" s="210"/>
    </row>
    <row r="9" spans="1:17" ht="29.25" customHeight="1" x14ac:dyDescent="0.35">
      <c r="A9" s="211">
        <v>46113</v>
      </c>
      <c r="B9" s="44" t="s">
        <v>918</v>
      </c>
      <c r="C9" s="213">
        <v>870</v>
      </c>
      <c r="D9" s="56" t="s">
        <v>1032</v>
      </c>
      <c r="E9" s="45"/>
      <c r="F9" s="214"/>
      <c r="G9" s="56"/>
      <c r="H9" s="46" t="s">
        <v>918</v>
      </c>
      <c r="I9" s="195">
        <v>4</v>
      </c>
      <c r="J9" s="212">
        <v>0.69899999999999995</v>
      </c>
      <c r="K9" s="62">
        <v>61943.3</v>
      </c>
      <c r="L9" s="208">
        <v>2.13</v>
      </c>
      <c r="M9" s="208">
        <v>2.13</v>
      </c>
      <c r="N9" s="209"/>
      <c r="O9" s="210"/>
      <c r="P9" s="210"/>
      <c r="Q9" s="210"/>
    </row>
    <row r="10" spans="1:17" ht="17.100000000000001" customHeight="1" x14ac:dyDescent="0.35">
      <c r="A10" s="211">
        <v>46113</v>
      </c>
      <c r="B10" s="44" t="s">
        <v>921</v>
      </c>
      <c r="C10" s="213">
        <v>837</v>
      </c>
      <c r="D10" s="56">
        <v>1900047386380</v>
      </c>
      <c r="E10" s="45"/>
      <c r="F10" s="214"/>
      <c r="G10" s="56"/>
      <c r="H10" s="46" t="s">
        <v>921</v>
      </c>
      <c r="I10" s="195">
        <v>2</v>
      </c>
      <c r="J10" s="212">
        <v>2.548</v>
      </c>
      <c r="K10" s="62">
        <v>13329.27</v>
      </c>
      <c r="L10" s="208">
        <v>3.09</v>
      </c>
      <c r="M10" s="208">
        <v>3.09</v>
      </c>
      <c r="N10" s="209"/>
      <c r="O10" s="210"/>
      <c r="P10" s="210"/>
      <c r="Q10" s="210"/>
    </row>
    <row r="11" spans="1:17" ht="17.100000000000001" customHeight="1" x14ac:dyDescent="0.35">
      <c r="A11" s="211">
        <v>46113</v>
      </c>
      <c r="B11" s="44" t="s">
        <v>927</v>
      </c>
      <c r="C11" s="93">
        <v>854</v>
      </c>
      <c r="D11" s="56">
        <v>1900060218790</v>
      </c>
      <c r="E11" s="45"/>
      <c r="F11" s="93"/>
      <c r="G11" s="56"/>
      <c r="H11" s="57" t="s">
        <v>927</v>
      </c>
      <c r="I11" s="195">
        <v>3</v>
      </c>
      <c r="J11" s="212">
        <v>0.128</v>
      </c>
      <c r="K11" s="62">
        <v>22529.35</v>
      </c>
      <c r="L11" s="208">
        <v>2.4300000000000002</v>
      </c>
      <c r="M11" s="208">
        <v>2.4300000000000002</v>
      </c>
      <c r="N11" s="63"/>
      <c r="O11" s="64"/>
      <c r="P11" s="64"/>
      <c r="Q11" s="64"/>
    </row>
    <row r="12" spans="1:17" ht="17.100000000000001" customHeight="1" x14ac:dyDescent="0.35">
      <c r="A12" s="211">
        <v>46113</v>
      </c>
      <c r="B12" s="44" t="s">
        <v>929</v>
      </c>
      <c r="C12" s="93">
        <v>856</v>
      </c>
      <c r="D12" s="56">
        <v>1900060219303</v>
      </c>
      <c r="E12" s="45"/>
      <c r="F12" s="93"/>
      <c r="G12" s="56"/>
      <c r="H12" s="57" t="s">
        <v>929</v>
      </c>
      <c r="I12" s="195">
        <v>3</v>
      </c>
      <c r="J12" s="61">
        <v>4.8970000000000002</v>
      </c>
      <c r="K12" s="62">
        <v>22529.35</v>
      </c>
      <c r="L12" s="62">
        <v>2.46</v>
      </c>
      <c r="M12" s="62">
        <v>2.46</v>
      </c>
      <c r="N12" s="209"/>
      <c r="O12" s="210"/>
      <c r="P12" s="210"/>
      <c r="Q12" s="210"/>
    </row>
    <row r="13" spans="1:17" ht="17.100000000000001" customHeight="1" x14ac:dyDescent="0.35">
      <c r="A13" s="211">
        <v>46113</v>
      </c>
      <c r="B13" s="44" t="s">
        <v>1000</v>
      </c>
      <c r="C13" s="213"/>
      <c r="D13" s="56" t="s">
        <v>1021</v>
      </c>
      <c r="E13" s="45" t="s">
        <v>1000</v>
      </c>
      <c r="F13" s="214"/>
      <c r="G13" s="56" t="s">
        <v>1021</v>
      </c>
      <c r="H13" s="46" t="s">
        <v>1000</v>
      </c>
      <c r="I13" s="195">
        <v>3</v>
      </c>
      <c r="J13" s="61">
        <v>3.0000000000000001E-3</v>
      </c>
      <c r="K13" s="62">
        <v>21994.14</v>
      </c>
      <c r="L13" s="62">
        <v>1.56</v>
      </c>
      <c r="M13" s="62">
        <v>1.56</v>
      </c>
      <c r="N13" s="63">
        <v>-0.84099999999999997</v>
      </c>
      <c r="O13" s="64">
        <v>14231.14</v>
      </c>
      <c r="P13" s="64">
        <v>0.05</v>
      </c>
      <c r="Q13" s="64">
        <v>0.05</v>
      </c>
    </row>
    <row r="14" spans="1:17" ht="17.100000000000001" customHeight="1" x14ac:dyDescent="0.35">
      <c r="A14" s="211">
        <v>46113</v>
      </c>
      <c r="B14" s="44" t="s">
        <v>1006</v>
      </c>
      <c r="C14" s="213">
        <v>850</v>
      </c>
      <c r="D14" s="56">
        <v>1900090417133</v>
      </c>
      <c r="E14" s="45" t="s">
        <v>1006</v>
      </c>
      <c r="F14" s="214">
        <v>733</v>
      </c>
      <c r="G14" s="56">
        <v>1900090417212</v>
      </c>
      <c r="H14" s="46" t="s">
        <v>1006</v>
      </c>
      <c r="I14" s="195">
        <v>3</v>
      </c>
      <c r="J14" s="61">
        <v>0</v>
      </c>
      <c r="K14" s="62">
        <v>25294.55</v>
      </c>
      <c r="L14" s="62">
        <v>1.79</v>
      </c>
      <c r="M14" s="62">
        <v>1.79</v>
      </c>
      <c r="N14" s="63">
        <v>-1.256</v>
      </c>
      <c r="O14" s="64">
        <v>3656.81</v>
      </c>
      <c r="P14" s="64">
        <v>0.05</v>
      </c>
      <c r="Q14" s="64">
        <v>0.05</v>
      </c>
    </row>
    <row r="15" spans="1:17" ht="17.100000000000001" customHeight="1" x14ac:dyDescent="0.35">
      <c r="A15" s="44" t="s">
        <v>1763</v>
      </c>
      <c r="B15" s="44" t="s">
        <v>1764</v>
      </c>
      <c r="C15" s="93"/>
      <c r="D15" s="56" t="s">
        <v>1026</v>
      </c>
      <c r="E15" s="45"/>
      <c r="F15" s="93"/>
      <c r="G15" s="56"/>
      <c r="H15" s="57" t="s">
        <v>1764</v>
      </c>
      <c r="I15" s="195">
        <v>3</v>
      </c>
      <c r="J15" s="212">
        <v>0</v>
      </c>
      <c r="K15" s="208">
        <v>32011.74</v>
      </c>
      <c r="L15" s="208">
        <v>0.79</v>
      </c>
      <c r="M15" s="208">
        <v>0.79</v>
      </c>
      <c r="N15" s="209"/>
      <c r="O15" s="210"/>
      <c r="P15" s="210"/>
      <c r="Q15" s="210"/>
    </row>
    <row r="17" spans="1:19" ht="27.75" customHeight="1" x14ac:dyDescent="0.35">
      <c r="A17" s="257" t="str">
        <f>Overview!B4&amp; " - Effective from "&amp;Overview!D4&amp;" - "&amp;Overview!E4&amp;" new designated EHV line loss factors"</f>
        <v>South Eastern Power Networks - Effective from 1 April 2026 - Final new designated EHV line loss factors</v>
      </c>
      <c r="B17" s="258"/>
      <c r="C17" s="258"/>
      <c r="D17" s="258"/>
      <c r="E17" s="258"/>
      <c r="F17" s="258"/>
      <c r="G17" s="258"/>
      <c r="H17" s="258"/>
      <c r="I17" s="258"/>
      <c r="J17" s="258"/>
      <c r="K17" s="258"/>
      <c r="L17" s="258"/>
      <c r="M17" s="258"/>
      <c r="N17" s="258"/>
      <c r="O17" s="258"/>
      <c r="P17" s="258"/>
      <c r="Q17" s="258"/>
      <c r="R17" s="258"/>
      <c r="S17" s="259"/>
    </row>
    <row r="18" spans="1:19" ht="62.25" customHeight="1" x14ac:dyDescent="0.35">
      <c r="A18" s="27" t="s">
        <v>127</v>
      </c>
      <c r="B18" s="27" t="s">
        <v>46</v>
      </c>
      <c r="C18" s="196" t="s">
        <v>703</v>
      </c>
      <c r="D18" s="27" t="s">
        <v>31</v>
      </c>
      <c r="E18" s="27" t="s">
        <v>47</v>
      </c>
      <c r="F18" s="196" t="s">
        <v>703</v>
      </c>
      <c r="G18" s="27" t="s">
        <v>32</v>
      </c>
      <c r="H18" s="72" t="s">
        <v>26</v>
      </c>
      <c r="I18" s="54" t="s">
        <v>577</v>
      </c>
      <c r="J18" s="31" t="s">
        <v>100</v>
      </c>
      <c r="K18" s="31" t="s">
        <v>99</v>
      </c>
      <c r="L18" s="31" t="s">
        <v>101</v>
      </c>
      <c r="M18" s="31" t="s">
        <v>102</v>
      </c>
      <c r="N18" s="31" t="s">
        <v>690</v>
      </c>
      <c r="O18" s="33" t="s">
        <v>103</v>
      </c>
      <c r="P18" s="33" t="s">
        <v>104</v>
      </c>
      <c r="Q18" s="33" t="s">
        <v>105</v>
      </c>
      <c r="R18" s="33" t="s">
        <v>106</v>
      </c>
      <c r="S18" s="33" t="s">
        <v>691</v>
      </c>
    </row>
    <row r="19" spans="1:19" ht="17.100000000000001" customHeight="1" x14ac:dyDescent="0.35">
      <c r="A19" s="44"/>
      <c r="B19" s="44"/>
      <c r="C19" s="44"/>
      <c r="D19" s="44"/>
      <c r="E19" s="45"/>
      <c r="F19" s="34"/>
      <c r="G19" s="34"/>
      <c r="H19" s="35"/>
      <c r="I19" s="35"/>
      <c r="J19" s="36"/>
      <c r="K19" s="36"/>
      <c r="L19" s="29"/>
      <c r="M19" s="30"/>
      <c r="N19" s="30"/>
      <c r="O19" s="32"/>
      <c r="P19" s="32"/>
      <c r="Q19" s="32"/>
      <c r="R19" s="32"/>
      <c r="S19" s="32"/>
    </row>
    <row r="20" spans="1:19" ht="17.100000000000001" customHeight="1" x14ac:dyDescent="0.35">
      <c r="A20" s="44"/>
      <c r="B20" s="44"/>
      <c r="C20" s="44"/>
      <c r="D20" s="44"/>
      <c r="E20" s="45"/>
      <c r="F20" s="34"/>
      <c r="G20" s="34"/>
      <c r="H20" s="35"/>
      <c r="I20" s="35"/>
      <c r="J20" s="36"/>
      <c r="K20" s="36"/>
      <c r="L20" s="29"/>
      <c r="M20" s="30"/>
      <c r="N20" s="30"/>
      <c r="O20" s="32"/>
      <c r="P20" s="32"/>
      <c r="Q20" s="32"/>
      <c r="R20" s="32"/>
      <c r="S20" s="32"/>
    </row>
    <row r="21" spans="1:19" ht="17.100000000000001" customHeight="1" x14ac:dyDescent="0.35">
      <c r="A21" s="44"/>
      <c r="B21" s="44"/>
      <c r="C21" s="44"/>
      <c r="D21" s="44"/>
      <c r="E21" s="45"/>
      <c r="F21" s="34"/>
      <c r="G21" s="34"/>
      <c r="H21" s="35"/>
      <c r="I21" s="35"/>
      <c r="J21" s="36"/>
      <c r="K21" s="36"/>
      <c r="L21" s="29"/>
      <c r="M21" s="30"/>
      <c r="N21" s="30"/>
      <c r="O21" s="32"/>
      <c r="P21" s="32"/>
      <c r="Q21" s="32"/>
      <c r="R21" s="32"/>
      <c r="S21" s="32"/>
    </row>
    <row r="22" spans="1:19" ht="17.100000000000001" customHeight="1" x14ac:dyDescent="0.35">
      <c r="A22" s="44"/>
      <c r="B22" s="44"/>
      <c r="C22" s="44"/>
      <c r="D22" s="44"/>
      <c r="E22" s="45"/>
      <c r="F22" s="34"/>
      <c r="G22" s="34"/>
      <c r="H22" s="35"/>
      <c r="I22" s="35"/>
      <c r="J22" s="36"/>
      <c r="K22" s="36"/>
      <c r="L22" s="29"/>
      <c r="M22" s="30"/>
      <c r="N22" s="30"/>
      <c r="O22" s="32"/>
      <c r="P22" s="32"/>
      <c r="Q22" s="32"/>
      <c r="R22" s="32"/>
      <c r="S22" s="32"/>
    </row>
    <row r="23" spans="1:19" ht="17.100000000000001" customHeight="1" x14ac:dyDescent="0.35">
      <c r="A23" s="44"/>
      <c r="B23" s="44"/>
      <c r="C23" s="44"/>
      <c r="D23" s="44"/>
      <c r="E23" s="45"/>
      <c r="F23" s="34"/>
      <c r="G23" s="34"/>
      <c r="H23" s="35"/>
      <c r="I23" s="35"/>
      <c r="J23" s="36"/>
      <c r="K23" s="36"/>
      <c r="L23" s="29"/>
      <c r="M23" s="30"/>
      <c r="N23" s="30"/>
      <c r="O23" s="32"/>
      <c r="P23" s="32"/>
      <c r="Q23" s="32"/>
      <c r="R23" s="32"/>
      <c r="S23" s="32"/>
    </row>
    <row r="24" spans="1:19" ht="17.100000000000001" customHeight="1" x14ac:dyDescent="0.35">
      <c r="A24" s="44"/>
      <c r="B24" s="44"/>
      <c r="C24" s="44"/>
      <c r="D24" s="44"/>
      <c r="E24" s="45"/>
      <c r="F24" s="34"/>
      <c r="G24" s="34"/>
      <c r="H24" s="35"/>
      <c r="I24" s="35"/>
      <c r="J24" s="36"/>
      <c r="K24" s="36"/>
      <c r="L24" s="29"/>
      <c r="M24" s="30"/>
      <c r="N24" s="30"/>
      <c r="O24" s="32"/>
      <c r="P24" s="32"/>
      <c r="Q24" s="32"/>
      <c r="R24" s="32"/>
      <c r="S24" s="32"/>
    </row>
    <row r="25" spans="1:19" ht="17.100000000000001" customHeight="1" x14ac:dyDescent="0.35">
      <c r="A25" s="44"/>
      <c r="B25" s="44"/>
      <c r="C25" s="44"/>
      <c r="D25" s="44"/>
      <c r="E25" s="45"/>
      <c r="F25" s="34"/>
      <c r="G25" s="34"/>
      <c r="H25" s="35"/>
      <c r="I25" s="35"/>
      <c r="J25" s="36"/>
      <c r="K25" s="36"/>
      <c r="L25" s="29"/>
      <c r="M25" s="30"/>
      <c r="N25" s="30"/>
      <c r="O25" s="32"/>
      <c r="P25" s="32"/>
      <c r="Q25" s="32"/>
      <c r="R25" s="32"/>
      <c r="S25" s="32"/>
    </row>
    <row r="26" spans="1:19" ht="17.100000000000001" customHeight="1" x14ac:dyDescent="0.35">
      <c r="A26" s="44"/>
      <c r="B26" s="44"/>
      <c r="C26" s="44"/>
      <c r="D26" s="44"/>
      <c r="E26" s="45"/>
      <c r="F26" s="34"/>
      <c r="G26" s="34"/>
      <c r="H26" s="35"/>
      <c r="I26" s="35"/>
      <c r="J26" s="36"/>
      <c r="K26" s="36"/>
      <c r="L26" s="29"/>
      <c r="M26" s="30"/>
      <c r="N26" s="30"/>
      <c r="O26" s="32"/>
      <c r="P26" s="32"/>
      <c r="Q26" s="32"/>
      <c r="R26" s="32"/>
      <c r="S26" s="32"/>
    </row>
    <row r="27" spans="1:19" ht="17.100000000000001" customHeight="1" x14ac:dyDescent="0.35">
      <c r="A27" s="44"/>
      <c r="B27" s="44"/>
      <c r="C27" s="44"/>
      <c r="D27" s="44"/>
      <c r="E27" s="45"/>
      <c r="F27" s="34"/>
      <c r="G27" s="34"/>
      <c r="H27" s="35"/>
      <c r="I27" s="35"/>
      <c r="J27" s="36"/>
      <c r="K27" s="36"/>
      <c r="L27" s="29"/>
      <c r="M27" s="30"/>
      <c r="N27" s="30"/>
      <c r="O27" s="32"/>
      <c r="P27" s="32"/>
      <c r="Q27" s="32"/>
      <c r="R27" s="32"/>
      <c r="S27" s="32"/>
    </row>
    <row r="28" spans="1:19" ht="17.100000000000001" customHeight="1" x14ac:dyDescent="0.35">
      <c r="A28" s="44"/>
      <c r="B28" s="44"/>
      <c r="C28" s="44"/>
      <c r="D28" s="44"/>
      <c r="E28" s="45"/>
      <c r="F28" s="34"/>
      <c r="G28" s="34"/>
      <c r="H28" s="35"/>
      <c r="I28" s="35"/>
      <c r="J28" s="36"/>
      <c r="K28" s="36"/>
      <c r="L28" s="29"/>
      <c r="M28" s="30"/>
      <c r="N28" s="30"/>
      <c r="O28" s="32"/>
      <c r="P28" s="32"/>
      <c r="Q28" s="32"/>
      <c r="R28" s="32"/>
      <c r="S28" s="32"/>
    </row>
  </sheetData>
  <customSheetViews>
    <customSheetView guid="{5032A364-B81A-48DA-88DA-AB3B86B47EE9}" scale="80" fitToPage="1">
      <selection activeCell="A4" sqref="A4:M4"/>
      <pageMargins left="0.39370078740157483" right="0.35433070866141736" top="1.1023622047244095" bottom="0.74803149606299213" header="0.35433070866141736" footer="0.51181102362204722"/>
      <pageSetup paperSize="9" scale="71" fitToHeight="0" orientation="landscape" r:id="rId1"/>
      <headerFooter differentFirst="1" scaleWithDoc="0">
        <oddFooter>&amp;C&amp;P of &amp;N</oddFooter>
        <firstHeader>&amp;L
Annex 2 - Schedule of Charges for use of the Distribution System by Designated EHV Properties (including LDNOs with Designated EHV Properties/end-users).</firstHeader>
        <firstFooter>&amp;C&amp;P of &amp;N</firstFooter>
      </headerFooter>
    </customSheetView>
  </customSheetViews>
  <mergeCells count="4">
    <mergeCell ref="A4:Q4"/>
    <mergeCell ref="A2:Q2"/>
    <mergeCell ref="D1:Q1"/>
    <mergeCell ref="A17:S17"/>
  </mergeCells>
  <phoneticPr fontId="35" type="noConversion"/>
  <hyperlinks>
    <hyperlink ref="A1" location="Overview!A1" display="Back to Overview" xr:uid="{00000000-0004-0000-0800-000000000000}"/>
  </hyperlinks>
  <pageMargins left="0.39370078740157483" right="0.35433070866141736" top="1.1023622047244095" bottom="0.55118110236220474" header="0.35433070866141736" footer="0.31496062992125984"/>
  <pageSetup paperSize="9" scale="50" fitToHeight="0" orientation="landscape" r:id="rId2"/>
  <headerFooter scaleWithDoc="0">
    <oddHeader>&amp;L
Annex 6 - New Designated EHV Properties. Addendum to Schedule of Charges for use of the Distribution System by Designated EHV Properties (including LDNOs with Designated EHV Properties/end-users)</oddHeader>
    <oddFooter>&amp;L&amp;8Note: The DNO reserves the right to apply the listed charges to any other MPANs/MSIDs associated with the site. This includes reallocating charges to a traded MPAN at the same site where another MPAN has been disconnected or de-energised.&amp;R&amp;8&amp;P of &amp;N</oddFooter>
    <firstHeader>&amp;L
Annex 6 - New Designated EHV Properties. Addendum to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E164"/>
  <sheetViews>
    <sheetView zoomScale="80" zoomScaleNormal="80" zoomScaleSheetLayoutView="100" workbookViewId="0"/>
  </sheetViews>
  <sheetFormatPr defaultColWidth="9.1328125" defaultRowHeight="27.75" customHeight="1" x14ac:dyDescent="0.35"/>
  <cols>
    <col min="1" max="1" width="63.3984375" style="2" customWidth="1"/>
    <col min="2" max="2" width="17.59765625" style="3" customWidth="1"/>
    <col min="3" max="3" width="8.1328125" style="2" customWidth="1"/>
    <col min="4" max="5" width="17.59765625" style="3" customWidth="1"/>
    <col min="6" max="16384" width="9.1328125" style="2"/>
  </cols>
  <sheetData>
    <row r="1" spans="1:5" ht="27.75" customHeight="1" x14ac:dyDescent="0.35">
      <c r="A1" s="13" t="s">
        <v>16</v>
      </c>
      <c r="B1" s="287"/>
      <c r="C1" s="287"/>
      <c r="D1" s="171"/>
      <c r="E1" s="171"/>
    </row>
    <row r="2" spans="1:5" ht="35.1" customHeight="1" x14ac:dyDescent="0.35">
      <c r="A2" s="257" t="str">
        <f>Overview!B4&amp; " - Effective from "&amp;Overview!D4&amp;" - "&amp;Overview!E4&amp;" Supplier of Last Resort and Eligible Bad Debt Pass-Through Costs"</f>
        <v>South Eastern Power Networks - Effective from 1 April 2026 - Final Supplier of Last Resort and Eligible Bad Debt Pass-Through Costs</v>
      </c>
      <c r="B2" s="258"/>
      <c r="C2" s="258"/>
      <c r="D2" s="258"/>
      <c r="E2" s="259"/>
    </row>
    <row r="3" spans="1:5" s="75" customFormat="1" ht="14.25" customHeight="1" x14ac:dyDescent="0.35">
      <c r="A3" s="81"/>
      <c r="B3" s="81"/>
      <c r="C3" s="81"/>
      <c r="D3" s="81"/>
      <c r="E3" s="81"/>
    </row>
    <row r="4" spans="1:5" ht="78.75" customHeight="1" x14ac:dyDescent="0.35">
      <c r="A4" s="27" t="s">
        <v>116</v>
      </c>
      <c r="B4" s="14" t="s">
        <v>704</v>
      </c>
      <c r="C4" s="14" t="s">
        <v>20</v>
      </c>
      <c r="D4" s="14" t="s">
        <v>445</v>
      </c>
      <c r="E4" s="14" t="s">
        <v>687</v>
      </c>
    </row>
    <row r="5" spans="1:5" ht="32.25" customHeight="1" x14ac:dyDescent="0.35">
      <c r="A5" s="16" t="s">
        <v>631</v>
      </c>
      <c r="B5" s="204">
        <f>IFERROR(INDEX('Annex 1 LV, HV and UMS charges'!$B$12:$B$43,MATCH($A5,'Annex 1 LV, HV and UMS charges'!$A$12:$A$43,0)),IF(INDEX('Annex 4 LDNO charges'!$B$10:$B$199,MATCH($A5,'Annex 4 LDNO charges'!$A$10:$A$199,0))=0,"",INDEX('Annex 4 LDNO charges'!$B$10:$B$199,MATCH($A5,'Annex 4 LDNO charges'!$A$10:$A$199,0))))</f>
        <v>1</v>
      </c>
      <c r="C5" s="205" t="str">
        <f>IFERROR(INDEX('Annex 1 LV, HV and UMS charges'!$C$12:$C$43,MATCH($A5,'Annex 1 LV, HV and UMS charges'!$A$12:$A$43,0)),INDEX('Annex 4 LDNO charges'!$C$10:$C$199,MATCH($A5,'Annex 4 LDNO charges'!$A$10:$A$199,0)))</f>
        <v>0, 1, 2</v>
      </c>
      <c r="D5" s="220">
        <v>0</v>
      </c>
      <c r="E5" s="220">
        <v>0</v>
      </c>
    </row>
    <row r="6" spans="1:5" ht="27" customHeight="1" x14ac:dyDescent="0.35">
      <c r="A6" s="16" t="s">
        <v>578</v>
      </c>
      <c r="B6" s="204">
        <f>IFERROR(INDEX('Annex 1 LV, HV and UMS charges'!$B$12:$B$43,MATCH($A6,'Annex 1 LV, HV and UMS charges'!$A$12:$A$43,0)),IF(INDEX('Annex 4 LDNO charges'!$B$10:$B$199,MATCH($A6,'Annex 4 LDNO charges'!$A$10:$A$199,0))=0,"",INDEX('Annex 4 LDNO charges'!$B$10:$B$199,MATCH($A6,'Annex 4 LDNO charges'!$A$10:$A$199,0))))</f>
        <v>199</v>
      </c>
      <c r="C6" s="205" t="str">
        <f>IFERROR(INDEX('Annex 1 LV, HV and UMS charges'!$C$12:$C$43,MATCH($A6,'Annex 1 LV, HV and UMS charges'!$A$12:$A$43,0)),INDEX('Annex 4 LDNO charges'!$C$10:$C$199,MATCH($A6,'Annex 4 LDNO charges'!$A$10:$A$199,0)))</f>
        <v>0, 3, 4, 5-8</v>
      </c>
      <c r="D6" s="179"/>
      <c r="E6" s="220">
        <v>0</v>
      </c>
    </row>
    <row r="7" spans="1:5" ht="27" customHeight="1" x14ac:dyDescent="0.35">
      <c r="A7" s="16" t="s">
        <v>579</v>
      </c>
      <c r="B7" s="204" t="str">
        <f>IFERROR(INDEX('Annex 1 LV, HV and UMS charges'!$B$12:$B$43,MATCH($A7,'Annex 1 LV, HV and UMS charges'!$A$12:$A$43,0)),IF(INDEX('Annex 4 LDNO charges'!$B$10:$B$199,MATCH($A7,'Annex 4 LDNO charges'!$A$10:$A$199,0))=0,"",INDEX('Annex 4 LDNO charges'!$B$10:$B$199,MATCH($A7,'Annex 4 LDNO charges'!$A$10:$A$199,0))))</f>
        <v>201, N01</v>
      </c>
      <c r="C7" s="205" t="str">
        <f>IFERROR(INDEX('Annex 1 LV, HV and UMS charges'!$C$12:$C$43,MATCH($A7,'Annex 1 LV, HV and UMS charges'!$A$12:$A$43,0)),INDEX('Annex 4 LDNO charges'!$C$10:$C$199,MATCH($A7,'Annex 4 LDNO charges'!$A$10:$A$199,0)))</f>
        <v>0, 3, 4, 5-8</v>
      </c>
      <c r="D7" s="179"/>
      <c r="E7" s="220">
        <v>0</v>
      </c>
    </row>
    <row r="8" spans="1:5" ht="27" customHeight="1" x14ac:dyDescent="0.35">
      <c r="A8" s="16" t="s">
        <v>580</v>
      </c>
      <c r="B8" s="204" t="str">
        <f>IFERROR(INDEX('Annex 1 LV, HV and UMS charges'!$B$12:$B$43,MATCH($A8,'Annex 1 LV, HV and UMS charges'!$A$12:$A$43,0)),IF(INDEX('Annex 4 LDNO charges'!$B$10:$B$199,MATCH($A8,'Annex 4 LDNO charges'!$A$10:$A$199,0))=0,"",INDEX('Annex 4 LDNO charges'!$B$10:$B$199,MATCH($A8,'Annex 4 LDNO charges'!$A$10:$A$199,0))))</f>
        <v>202, N02</v>
      </c>
      <c r="C8" s="205" t="str">
        <f>IFERROR(INDEX('Annex 1 LV, HV and UMS charges'!$C$12:$C$43,MATCH($A8,'Annex 1 LV, HV and UMS charges'!$A$12:$A$43,0)),INDEX('Annex 4 LDNO charges'!$C$10:$C$199,MATCH($A8,'Annex 4 LDNO charges'!$A$10:$A$199,0)))</f>
        <v>0, 3, 4, 5-8</v>
      </c>
      <c r="D8" s="179"/>
      <c r="E8" s="220">
        <v>0</v>
      </c>
    </row>
    <row r="9" spans="1:5" ht="27" customHeight="1" x14ac:dyDescent="0.35">
      <c r="A9" s="16" t="s">
        <v>581</v>
      </c>
      <c r="B9" s="204" t="str">
        <f>IFERROR(INDEX('Annex 1 LV, HV and UMS charges'!$B$12:$B$43,MATCH($A9,'Annex 1 LV, HV and UMS charges'!$A$12:$A$43,0)),IF(INDEX('Annex 4 LDNO charges'!$B$10:$B$199,MATCH($A9,'Annex 4 LDNO charges'!$A$10:$A$199,0))=0,"",INDEX('Annex 4 LDNO charges'!$B$10:$B$199,MATCH($A9,'Annex 4 LDNO charges'!$A$10:$A$199,0))))</f>
        <v>203, N03</v>
      </c>
      <c r="C9" s="205" t="str">
        <f>IFERROR(INDEX('Annex 1 LV, HV and UMS charges'!$C$12:$C$43,MATCH($A9,'Annex 1 LV, HV and UMS charges'!$A$12:$A$43,0)),INDEX('Annex 4 LDNO charges'!$C$10:$C$199,MATCH($A9,'Annex 4 LDNO charges'!$A$10:$A$199,0)))</f>
        <v>0, 3, 4, 5-8</v>
      </c>
      <c r="D9" s="179"/>
      <c r="E9" s="220">
        <v>0</v>
      </c>
    </row>
    <row r="10" spans="1:5" ht="27" customHeight="1" x14ac:dyDescent="0.35">
      <c r="A10" s="16" t="s">
        <v>582</v>
      </c>
      <c r="B10" s="204" t="str">
        <f>IFERROR(INDEX('Annex 1 LV, HV and UMS charges'!$B$12:$B$43,MATCH($A10,'Annex 1 LV, HV and UMS charges'!$A$12:$A$43,0)),IF(INDEX('Annex 4 LDNO charges'!$B$10:$B$199,MATCH($A10,'Annex 4 LDNO charges'!$A$10:$A$199,0))=0,"",INDEX('Annex 4 LDNO charges'!$B$10:$B$199,MATCH($A10,'Annex 4 LDNO charges'!$A$10:$A$199,0))))</f>
        <v>204, N04</v>
      </c>
      <c r="C10" s="205" t="str">
        <f>IFERROR(INDEX('Annex 1 LV, HV and UMS charges'!$C$12:$C$43,MATCH($A10,'Annex 1 LV, HV and UMS charges'!$A$12:$A$43,0)),INDEX('Annex 4 LDNO charges'!$C$10:$C$199,MATCH($A10,'Annex 4 LDNO charges'!$A$10:$A$199,0)))</f>
        <v>0, 3, 4, 5-8</v>
      </c>
      <c r="D10" s="179"/>
      <c r="E10" s="220">
        <v>0</v>
      </c>
    </row>
    <row r="11" spans="1:5" ht="27" customHeight="1" x14ac:dyDescent="0.35">
      <c r="A11" s="163" t="s">
        <v>449</v>
      </c>
      <c r="B11" s="204">
        <f>IFERROR(INDEX('Annex 1 LV, HV and UMS charges'!$B$12:$B$43,MATCH($A11,'Annex 1 LV, HV and UMS charges'!$A$12:$A$43,0)),IF(INDEX('Annex 4 LDNO charges'!$B$10:$B$199,MATCH($A11,'Annex 4 LDNO charges'!$A$10:$A$199,0))=0,"",INDEX('Annex 4 LDNO charges'!$B$10:$B$199,MATCH($A11,'Annex 4 LDNO charges'!$A$10:$A$199,0))))</f>
        <v>70</v>
      </c>
      <c r="C11" s="205">
        <f>IFERROR(INDEX('Annex 1 LV, HV and UMS charges'!$C$12:$C$43,MATCH($A11,'Annex 1 LV, HV and UMS charges'!$A$12:$A$43,0)),INDEX('Annex 4 LDNO charges'!$C$10:$C$199,MATCH($A11,'Annex 4 LDNO charges'!$A$10:$A$199,0)))</f>
        <v>0</v>
      </c>
      <c r="D11" s="179"/>
      <c r="E11" s="220">
        <v>0</v>
      </c>
    </row>
    <row r="12" spans="1:5" ht="27" customHeight="1" x14ac:dyDescent="0.35">
      <c r="A12" s="163" t="s">
        <v>450</v>
      </c>
      <c r="B12" s="204">
        <f>IFERROR(INDEX('Annex 1 LV, HV and UMS charges'!$B$12:$B$43,MATCH($A12,'Annex 1 LV, HV and UMS charges'!$A$12:$A$43,0)),IF(INDEX('Annex 4 LDNO charges'!$B$10:$B$199,MATCH($A12,'Annex 4 LDNO charges'!$A$10:$A$199,0))=0,"",INDEX('Annex 4 LDNO charges'!$B$10:$B$199,MATCH($A12,'Annex 4 LDNO charges'!$A$10:$A$199,0))))</f>
        <v>71</v>
      </c>
      <c r="C12" s="205">
        <f>IFERROR(INDEX('Annex 1 LV, HV and UMS charges'!$C$12:$C$43,MATCH($A12,'Annex 1 LV, HV and UMS charges'!$A$12:$A$43,0)),INDEX('Annex 4 LDNO charges'!$C$10:$C$199,MATCH($A12,'Annex 4 LDNO charges'!$A$10:$A$199,0)))</f>
        <v>0</v>
      </c>
      <c r="D12" s="179"/>
      <c r="E12" s="220">
        <v>0</v>
      </c>
    </row>
    <row r="13" spans="1:5" ht="27" customHeight="1" x14ac:dyDescent="0.35">
      <c r="A13" s="163" t="s">
        <v>451</v>
      </c>
      <c r="B13" s="204">
        <f>IFERROR(INDEX('Annex 1 LV, HV and UMS charges'!$B$12:$B$43,MATCH($A13,'Annex 1 LV, HV and UMS charges'!$A$12:$A$43,0)),IF(INDEX('Annex 4 LDNO charges'!$B$10:$B$199,MATCH($A13,'Annex 4 LDNO charges'!$A$10:$A$199,0))=0,"",INDEX('Annex 4 LDNO charges'!$B$10:$B$199,MATCH($A13,'Annex 4 LDNO charges'!$A$10:$A$199,0))))</f>
        <v>72</v>
      </c>
      <c r="C13" s="205">
        <f>IFERROR(INDEX('Annex 1 LV, HV and UMS charges'!$C$12:$C$43,MATCH($A13,'Annex 1 LV, HV and UMS charges'!$A$12:$A$43,0)),INDEX('Annex 4 LDNO charges'!$C$10:$C$199,MATCH($A13,'Annex 4 LDNO charges'!$A$10:$A$199,0)))</f>
        <v>0</v>
      </c>
      <c r="D13" s="179"/>
      <c r="E13" s="220">
        <v>0</v>
      </c>
    </row>
    <row r="14" spans="1:5" ht="27.75" customHeight="1" x14ac:dyDescent="0.35">
      <c r="A14" s="163" t="s">
        <v>452</v>
      </c>
      <c r="B14" s="204">
        <f>IFERROR(INDEX('Annex 1 LV, HV and UMS charges'!$B$12:$B$43,MATCH($A14,'Annex 1 LV, HV and UMS charges'!$A$12:$A$43,0)),IF(INDEX('Annex 4 LDNO charges'!$B$10:$B$199,MATCH($A14,'Annex 4 LDNO charges'!$A$10:$A$199,0))=0,"",INDEX('Annex 4 LDNO charges'!$B$10:$B$199,MATCH($A14,'Annex 4 LDNO charges'!$A$10:$A$199,0))))</f>
        <v>73</v>
      </c>
      <c r="C14" s="205">
        <f>IFERROR(INDEX('Annex 1 LV, HV and UMS charges'!$C$12:$C$43,MATCH($A14,'Annex 1 LV, HV and UMS charges'!$A$12:$A$43,0)),INDEX('Annex 4 LDNO charges'!$C$10:$C$199,MATCH($A14,'Annex 4 LDNO charges'!$A$10:$A$199,0)))</f>
        <v>0</v>
      </c>
      <c r="D14" s="179"/>
      <c r="E14" s="220">
        <v>0</v>
      </c>
    </row>
    <row r="15" spans="1:5" ht="27.75" customHeight="1" x14ac:dyDescent="0.35">
      <c r="A15" s="167" t="s">
        <v>453</v>
      </c>
      <c r="B15" s="204">
        <f>IFERROR(INDEX('Annex 1 LV, HV and UMS charges'!$B$12:$B$43,MATCH($A15,'Annex 1 LV, HV and UMS charges'!$A$12:$A$43,0)),IF(INDEX('Annex 4 LDNO charges'!$B$10:$B$199,MATCH($A15,'Annex 4 LDNO charges'!$A$10:$A$199,0))=0,"",INDEX('Annex 4 LDNO charges'!$B$10:$B$199,MATCH($A15,'Annex 4 LDNO charges'!$A$10:$A$199,0))))</f>
        <v>74</v>
      </c>
      <c r="C15" s="205">
        <f>IFERROR(INDEX('Annex 1 LV, HV and UMS charges'!$C$12:$C$43,MATCH($A15,'Annex 1 LV, HV and UMS charges'!$A$12:$A$43,0)),INDEX('Annex 4 LDNO charges'!$C$10:$C$199,MATCH($A15,'Annex 4 LDNO charges'!$A$10:$A$199,0)))</f>
        <v>0</v>
      </c>
      <c r="D15" s="179"/>
      <c r="E15" s="220">
        <v>0</v>
      </c>
    </row>
    <row r="16" spans="1:5" ht="27.75" customHeight="1" x14ac:dyDescent="0.35">
      <c r="A16" s="167" t="s">
        <v>454</v>
      </c>
      <c r="B16" s="204">
        <f>IFERROR(INDEX('Annex 1 LV, HV and UMS charges'!$B$12:$B$43,MATCH($A16,'Annex 1 LV, HV and UMS charges'!$A$12:$A$43,0)),IF(INDEX('Annex 4 LDNO charges'!$B$10:$B$199,MATCH($A16,'Annex 4 LDNO charges'!$A$10:$A$199,0))=0,"",INDEX('Annex 4 LDNO charges'!$B$10:$B$199,MATCH($A16,'Annex 4 LDNO charges'!$A$10:$A$199,0))))</f>
        <v>80</v>
      </c>
      <c r="C16" s="205">
        <f>IFERROR(INDEX('Annex 1 LV, HV and UMS charges'!$C$12:$C$43,MATCH($A16,'Annex 1 LV, HV and UMS charges'!$A$12:$A$43,0)),INDEX('Annex 4 LDNO charges'!$C$10:$C$199,MATCH($A16,'Annex 4 LDNO charges'!$A$10:$A$199,0)))</f>
        <v>0</v>
      </c>
      <c r="D16" s="179"/>
      <c r="E16" s="220">
        <v>0</v>
      </c>
    </row>
    <row r="17" spans="1:5" ht="27.75" customHeight="1" x14ac:dyDescent="0.35">
      <c r="A17" s="167" t="s">
        <v>455</v>
      </c>
      <c r="B17" s="204">
        <f>IFERROR(INDEX('Annex 1 LV, HV and UMS charges'!$B$12:$B$43,MATCH($A17,'Annex 1 LV, HV and UMS charges'!$A$12:$A$43,0)),IF(INDEX('Annex 4 LDNO charges'!$B$10:$B$199,MATCH($A17,'Annex 4 LDNO charges'!$A$10:$A$199,0))=0,"",INDEX('Annex 4 LDNO charges'!$B$10:$B$199,MATCH($A17,'Annex 4 LDNO charges'!$A$10:$A$199,0))))</f>
        <v>81</v>
      </c>
      <c r="C17" s="205">
        <f>IFERROR(INDEX('Annex 1 LV, HV and UMS charges'!$C$12:$C$43,MATCH($A17,'Annex 1 LV, HV and UMS charges'!$A$12:$A$43,0)),INDEX('Annex 4 LDNO charges'!$C$10:$C$199,MATCH($A17,'Annex 4 LDNO charges'!$A$10:$A$199,0)))</f>
        <v>0</v>
      </c>
      <c r="D17" s="179"/>
      <c r="E17" s="220">
        <v>0</v>
      </c>
    </row>
    <row r="18" spans="1:5" ht="27.75" customHeight="1" x14ac:dyDescent="0.35">
      <c r="A18" s="167" t="s">
        <v>456</v>
      </c>
      <c r="B18" s="204">
        <f>IFERROR(INDEX('Annex 1 LV, HV and UMS charges'!$B$12:$B$43,MATCH($A18,'Annex 1 LV, HV and UMS charges'!$A$12:$A$43,0)),IF(INDEX('Annex 4 LDNO charges'!$B$10:$B$199,MATCH($A18,'Annex 4 LDNO charges'!$A$10:$A$199,0))=0,"",INDEX('Annex 4 LDNO charges'!$B$10:$B$199,MATCH($A18,'Annex 4 LDNO charges'!$A$10:$A$199,0))))</f>
        <v>82</v>
      </c>
      <c r="C18" s="205">
        <f>IFERROR(INDEX('Annex 1 LV, HV and UMS charges'!$C$12:$C$43,MATCH($A18,'Annex 1 LV, HV and UMS charges'!$A$12:$A$43,0)),INDEX('Annex 4 LDNO charges'!$C$10:$C$199,MATCH($A18,'Annex 4 LDNO charges'!$A$10:$A$199,0)))</f>
        <v>0</v>
      </c>
      <c r="D18" s="179"/>
      <c r="E18" s="220">
        <v>0</v>
      </c>
    </row>
    <row r="19" spans="1:5" ht="27.75" customHeight="1" x14ac:dyDescent="0.35">
      <c r="A19" s="167" t="s">
        <v>457</v>
      </c>
      <c r="B19" s="204">
        <f>IFERROR(INDEX('Annex 1 LV, HV and UMS charges'!$B$12:$B$43,MATCH($A19,'Annex 1 LV, HV and UMS charges'!$A$12:$A$43,0)),IF(INDEX('Annex 4 LDNO charges'!$B$10:$B$199,MATCH($A19,'Annex 4 LDNO charges'!$A$10:$A$199,0))=0,"",INDEX('Annex 4 LDNO charges'!$B$10:$B$199,MATCH($A19,'Annex 4 LDNO charges'!$A$10:$A$199,0))))</f>
        <v>83</v>
      </c>
      <c r="C19" s="205">
        <f>IFERROR(INDEX('Annex 1 LV, HV and UMS charges'!$C$12:$C$43,MATCH($A19,'Annex 1 LV, HV and UMS charges'!$A$12:$A$43,0)),INDEX('Annex 4 LDNO charges'!$C$10:$C$199,MATCH($A19,'Annex 4 LDNO charges'!$A$10:$A$199,0)))</f>
        <v>0</v>
      </c>
      <c r="D19" s="179"/>
      <c r="E19" s="220">
        <v>0</v>
      </c>
    </row>
    <row r="20" spans="1:5" ht="27.75" customHeight="1" x14ac:dyDescent="0.35">
      <c r="A20" s="167" t="s">
        <v>458</v>
      </c>
      <c r="B20" s="204">
        <f>IFERROR(INDEX('Annex 1 LV, HV and UMS charges'!$B$12:$B$43,MATCH($A20,'Annex 1 LV, HV and UMS charges'!$A$12:$A$43,0)),IF(INDEX('Annex 4 LDNO charges'!$B$10:$B$199,MATCH($A20,'Annex 4 LDNO charges'!$A$10:$A$199,0))=0,"",INDEX('Annex 4 LDNO charges'!$B$10:$B$199,MATCH($A20,'Annex 4 LDNO charges'!$A$10:$A$199,0))))</f>
        <v>84</v>
      </c>
      <c r="C20" s="205">
        <f>IFERROR(INDEX('Annex 1 LV, HV and UMS charges'!$C$12:$C$43,MATCH($A20,'Annex 1 LV, HV and UMS charges'!$A$12:$A$43,0)),INDEX('Annex 4 LDNO charges'!$C$10:$C$199,MATCH($A20,'Annex 4 LDNO charges'!$A$10:$A$199,0)))</f>
        <v>0</v>
      </c>
      <c r="D20" s="179"/>
      <c r="E20" s="220">
        <v>0</v>
      </c>
    </row>
    <row r="21" spans="1:5" ht="27.75" customHeight="1" x14ac:dyDescent="0.35">
      <c r="A21" s="167" t="s">
        <v>459</v>
      </c>
      <c r="B21" s="204">
        <f>IFERROR(INDEX('Annex 1 LV, HV and UMS charges'!$B$12:$B$43,MATCH($A21,'Annex 1 LV, HV and UMS charges'!$A$12:$A$43,0)),IF(INDEX('Annex 4 LDNO charges'!$B$10:$B$199,MATCH($A21,'Annex 4 LDNO charges'!$A$10:$A$199,0))=0,"",INDEX('Annex 4 LDNO charges'!$B$10:$B$199,MATCH($A21,'Annex 4 LDNO charges'!$A$10:$A$199,0))))</f>
        <v>90</v>
      </c>
      <c r="C21" s="205">
        <f>IFERROR(INDEX('Annex 1 LV, HV and UMS charges'!$C$12:$C$43,MATCH($A21,'Annex 1 LV, HV and UMS charges'!$A$12:$A$43,0)),INDEX('Annex 4 LDNO charges'!$C$10:$C$199,MATCH($A21,'Annex 4 LDNO charges'!$A$10:$A$199,0)))</f>
        <v>0</v>
      </c>
      <c r="D21" s="179"/>
      <c r="E21" s="220">
        <v>0</v>
      </c>
    </row>
    <row r="22" spans="1:5" ht="27.75" customHeight="1" x14ac:dyDescent="0.35">
      <c r="A22" s="167" t="s">
        <v>460</v>
      </c>
      <c r="B22" s="204">
        <f>IFERROR(INDEX('Annex 1 LV, HV and UMS charges'!$B$12:$B$43,MATCH($A22,'Annex 1 LV, HV and UMS charges'!$A$12:$A$43,0)),IF(INDEX('Annex 4 LDNO charges'!$B$10:$B$199,MATCH($A22,'Annex 4 LDNO charges'!$A$10:$A$199,0))=0,"",INDEX('Annex 4 LDNO charges'!$B$10:$B$199,MATCH($A22,'Annex 4 LDNO charges'!$A$10:$A$199,0))))</f>
        <v>91</v>
      </c>
      <c r="C22" s="205">
        <f>IFERROR(INDEX('Annex 1 LV, HV and UMS charges'!$C$12:$C$43,MATCH($A22,'Annex 1 LV, HV and UMS charges'!$A$12:$A$43,0)),INDEX('Annex 4 LDNO charges'!$C$10:$C$199,MATCH($A22,'Annex 4 LDNO charges'!$A$10:$A$199,0)))</f>
        <v>0</v>
      </c>
      <c r="D22" s="179"/>
      <c r="E22" s="220">
        <v>0</v>
      </c>
    </row>
    <row r="23" spans="1:5" ht="27.75" customHeight="1" x14ac:dyDescent="0.35">
      <c r="A23" s="163" t="s">
        <v>461</v>
      </c>
      <c r="B23" s="204">
        <f>IFERROR(INDEX('Annex 1 LV, HV and UMS charges'!$B$12:$B$43,MATCH($A23,'Annex 1 LV, HV and UMS charges'!$A$12:$A$43,0)),IF(INDEX('Annex 4 LDNO charges'!$B$10:$B$199,MATCH($A23,'Annex 4 LDNO charges'!$A$10:$A$199,0))=0,"",INDEX('Annex 4 LDNO charges'!$B$10:$B$199,MATCH($A23,'Annex 4 LDNO charges'!$A$10:$A$199,0))))</f>
        <v>92</v>
      </c>
      <c r="C23" s="205">
        <f>IFERROR(INDEX('Annex 1 LV, HV and UMS charges'!$C$12:$C$43,MATCH($A23,'Annex 1 LV, HV and UMS charges'!$A$12:$A$43,0)),INDEX('Annex 4 LDNO charges'!$C$10:$C$199,MATCH($A23,'Annex 4 LDNO charges'!$A$10:$A$199,0)))</f>
        <v>0</v>
      </c>
      <c r="D23" s="179"/>
      <c r="E23" s="220">
        <v>0</v>
      </c>
    </row>
    <row r="24" spans="1:5" ht="27.75" customHeight="1" x14ac:dyDescent="0.35">
      <c r="A24" s="163" t="s">
        <v>462</v>
      </c>
      <c r="B24" s="204">
        <f>IFERROR(INDEX('Annex 1 LV, HV and UMS charges'!$B$12:$B$43,MATCH($A24,'Annex 1 LV, HV and UMS charges'!$A$12:$A$43,0)),IF(INDEX('Annex 4 LDNO charges'!$B$10:$B$199,MATCH($A24,'Annex 4 LDNO charges'!$A$10:$A$199,0))=0,"",INDEX('Annex 4 LDNO charges'!$B$10:$B$199,MATCH($A24,'Annex 4 LDNO charges'!$A$10:$A$199,0))))</f>
        <v>93</v>
      </c>
      <c r="C24" s="205">
        <f>IFERROR(INDEX('Annex 1 LV, HV and UMS charges'!$C$12:$C$43,MATCH($A24,'Annex 1 LV, HV and UMS charges'!$A$12:$A$43,0)),INDEX('Annex 4 LDNO charges'!$C$10:$C$199,MATCH($A24,'Annex 4 LDNO charges'!$A$10:$A$199,0)))</f>
        <v>0</v>
      </c>
      <c r="D24" s="179"/>
      <c r="E24" s="220">
        <v>0</v>
      </c>
    </row>
    <row r="25" spans="1:5" ht="27.75" customHeight="1" x14ac:dyDescent="0.35">
      <c r="A25" s="163" t="s">
        <v>463</v>
      </c>
      <c r="B25" s="204">
        <f>IFERROR(INDEX('Annex 1 LV, HV and UMS charges'!$B$12:$B$43,MATCH($A25,'Annex 1 LV, HV and UMS charges'!$A$12:$A$43,0)),IF(INDEX('Annex 4 LDNO charges'!$B$10:$B$199,MATCH($A25,'Annex 4 LDNO charges'!$A$10:$A$199,0))=0,"",INDEX('Annex 4 LDNO charges'!$B$10:$B$199,MATCH($A25,'Annex 4 LDNO charges'!$A$10:$A$199,0))))</f>
        <v>94</v>
      </c>
      <c r="C25" s="205">
        <f>IFERROR(INDEX('Annex 1 LV, HV and UMS charges'!$C$12:$C$43,MATCH($A25,'Annex 1 LV, HV and UMS charges'!$A$12:$A$43,0)),INDEX('Annex 4 LDNO charges'!$C$10:$C$199,MATCH($A25,'Annex 4 LDNO charges'!$A$10:$A$199,0)))</f>
        <v>0</v>
      </c>
      <c r="D25" s="179"/>
      <c r="E25" s="220">
        <v>0</v>
      </c>
    </row>
    <row r="26" spans="1:5" ht="27.75" customHeight="1" x14ac:dyDescent="0.35">
      <c r="A26" s="163" t="s">
        <v>583</v>
      </c>
      <c r="B26" s="204" t="str">
        <f>IFERROR(INDEX('Annex 1 LV, HV and UMS charges'!$B$12:$B$43,MATCH($A26,'Annex 1 LV, HV and UMS charges'!$A$12:$A$43,0)),IF(INDEX('Annex 4 LDNO charges'!$B$10:$B$199,MATCH($A26,'Annex 4 LDNO charges'!$A$10:$A$199,0))=0,"",INDEX('Annex 4 LDNO charges'!$B$10:$B$199,MATCH($A26,'Annex 4 LDNO charges'!$A$10:$A$199,0))))</f>
        <v>A00</v>
      </c>
      <c r="C26" s="205" t="str">
        <f>IFERROR(INDEX('Annex 1 LV, HV and UMS charges'!$C$12:$C$43,MATCH($A26,'Annex 1 LV, HV and UMS charges'!$A$12:$A$43,0)),INDEX('Annex 4 LDNO charges'!$C$10:$C$199,MATCH($A26,'Annex 4 LDNO charges'!$A$10:$A$199,0)))</f>
        <v>0, 1, 2</v>
      </c>
      <c r="D26" s="220">
        <v>0</v>
      </c>
      <c r="E26" s="220">
        <v>0</v>
      </c>
    </row>
    <row r="27" spans="1:5" ht="27.75" customHeight="1" x14ac:dyDescent="0.35">
      <c r="A27" s="163" t="s">
        <v>584</v>
      </c>
      <c r="B27" s="204" t="str">
        <f>IFERROR(INDEX('Annex 1 LV, HV and UMS charges'!$B$12:$B$43,MATCH($A27,'Annex 1 LV, HV and UMS charges'!$A$12:$A$43,0)),IF(INDEX('Annex 4 LDNO charges'!$B$10:$B$199,MATCH($A27,'Annex 4 LDNO charges'!$A$10:$A$199,0))=0,"",INDEX('Annex 4 LDNO charges'!$B$10:$B$199,MATCH($A27,'Annex 4 LDNO charges'!$A$10:$A$199,0))))</f>
        <v>C00</v>
      </c>
      <c r="C27" s="205" t="str">
        <f>IFERROR(INDEX('Annex 1 LV, HV and UMS charges'!$C$12:$C$43,MATCH($A27,'Annex 1 LV, HV and UMS charges'!$A$12:$A$43,0)),INDEX('Annex 4 LDNO charges'!$C$10:$C$199,MATCH($A27,'Annex 4 LDNO charges'!$A$10:$A$199,0)))</f>
        <v>0, 3, 4, 5-8</v>
      </c>
      <c r="D27" s="179"/>
      <c r="E27" s="220">
        <v>0</v>
      </c>
    </row>
    <row r="28" spans="1:5" ht="27.75" customHeight="1" x14ac:dyDescent="0.35">
      <c r="A28" s="163" t="s">
        <v>585</v>
      </c>
      <c r="B28" s="204" t="str">
        <f>IFERROR(INDEX('Annex 1 LV, HV and UMS charges'!$B$12:$B$43,MATCH($A28,'Annex 1 LV, HV and UMS charges'!$A$12:$A$43,0)),IF(INDEX('Annex 4 LDNO charges'!$B$10:$B$199,MATCH($A28,'Annex 4 LDNO charges'!$A$10:$A$199,0))=0,"",INDEX('Annex 4 LDNO charges'!$B$10:$B$199,MATCH($A28,'Annex 4 LDNO charges'!$A$10:$A$199,0))))</f>
        <v>C01</v>
      </c>
      <c r="C28" s="205" t="str">
        <f>IFERROR(INDEX('Annex 1 LV, HV and UMS charges'!$C$12:$C$43,MATCH($A28,'Annex 1 LV, HV and UMS charges'!$A$12:$A$43,0)),INDEX('Annex 4 LDNO charges'!$C$10:$C$199,MATCH($A28,'Annex 4 LDNO charges'!$A$10:$A$199,0)))</f>
        <v>0, 3, 4, 5-8</v>
      </c>
      <c r="D28" s="179"/>
      <c r="E28" s="220">
        <v>0</v>
      </c>
    </row>
    <row r="29" spans="1:5" ht="27.75" customHeight="1" x14ac:dyDescent="0.35">
      <c r="A29" s="163" t="s">
        <v>586</v>
      </c>
      <c r="B29" s="204" t="str">
        <f>IFERROR(INDEX('Annex 1 LV, HV and UMS charges'!$B$12:$B$43,MATCH($A29,'Annex 1 LV, HV and UMS charges'!$A$12:$A$43,0)),IF(INDEX('Annex 4 LDNO charges'!$B$10:$B$199,MATCH($A29,'Annex 4 LDNO charges'!$A$10:$A$199,0))=0,"",INDEX('Annex 4 LDNO charges'!$B$10:$B$199,MATCH($A29,'Annex 4 LDNO charges'!$A$10:$A$199,0))))</f>
        <v>C02</v>
      </c>
      <c r="C29" s="205" t="str">
        <f>IFERROR(INDEX('Annex 1 LV, HV and UMS charges'!$C$12:$C$43,MATCH($A29,'Annex 1 LV, HV and UMS charges'!$A$12:$A$43,0)),INDEX('Annex 4 LDNO charges'!$C$10:$C$199,MATCH($A29,'Annex 4 LDNO charges'!$A$10:$A$199,0)))</f>
        <v>0, 3, 4, 5-8</v>
      </c>
      <c r="D29" s="179"/>
      <c r="E29" s="220">
        <v>0</v>
      </c>
    </row>
    <row r="30" spans="1:5" ht="27.75" customHeight="1" x14ac:dyDescent="0.35">
      <c r="A30" s="163" t="s">
        <v>587</v>
      </c>
      <c r="B30" s="204" t="str">
        <f>IFERROR(INDEX('Annex 1 LV, HV and UMS charges'!$B$12:$B$43,MATCH($A30,'Annex 1 LV, HV and UMS charges'!$A$12:$A$43,0)),IF(INDEX('Annex 4 LDNO charges'!$B$10:$B$199,MATCH($A30,'Annex 4 LDNO charges'!$A$10:$A$199,0))=0,"",INDEX('Annex 4 LDNO charges'!$B$10:$B$199,MATCH($A30,'Annex 4 LDNO charges'!$A$10:$A$199,0))))</f>
        <v>C03</v>
      </c>
      <c r="C30" s="205" t="str">
        <f>IFERROR(INDEX('Annex 1 LV, HV and UMS charges'!$C$12:$C$43,MATCH($A30,'Annex 1 LV, HV and UMS charges'!$A$12:$A$43,0)),INDEX('Annex 4 LDNO charges'!$C$10:$C$199,MATCH($A30,'Annex 4 LDNO charges'!$A$10:$A$199,0)))</f>
        <v>0, 3, 4, 5-8</v>
      </c>
      <c r="D30" s="179"/>
      <c r="E30" s="220">
        <v>0</v>
      </c>
    </row>
    <row r="31" spans="1:5" ht="27.75" customHeight="1" x14ac:dyDescent="0.35">
      <c r="A31" s="163" t="s">
        <v>588</v>
      </c>
      <c r="B31" s="204" t="str">
        <f>IFERROR(INDEX('Annex 1 LV, HV and UMS charges'!$B$12:$B$43,MATCH($A31,'Annex 1 LV, HV and UMS charges'!$A$12:$A$43,0)),IF(INDEX('Annex 4 LDNO charges'!$B$10:$B$199,MATCH($A31,'Annex 4 LDNO charges'!$A$10:$A$199,0))=0,"",INDEX('Annex 4 LDNO charges'!$B$10:$B$199,MATCH($A31,'Annex 4 LDNO charges'!$A$10:$A$199,0))))</f>
        <v>C04</v>
      </c>
      <c r="C31" s="205" t="str">
        <f>IFERROR(INDEX('Annex 1 LV, HV and UMS charges'!$C$12:$C$43,MATCH($A31,'Annex 1 LV, HV and UMS charges'!$A$12:$A$43,0)),INDEX('Annex 4 LDNO charges'!$C$10:$C$199,MATCH($A31,'Annex 4 LDNO charges'!$A$10:$A$199,0)))</f>
        <v>0, 3, 4, 5-8</v>
      </c>
      <c r="D31" s="179"/>
      <c r="E31" s="220">
        <v>0</v>
      </c>
    </row>
    <row r="32" spans="1:5" ht="27.75" customHeight="1" x14ac:dyDescent="0.35">
      <c r="A32" s="163" t="s">
        <v>464</v>
      </c>
      <c r="B32" s="204" t="str">
        <f>IFERROR(INDEX('Annex 1 LV, HV and UMS charges'!$B$12:$B$43,MATCH($A32,'Annex 1 LV, HV and UMS charges'!$A$12:$A$43,0)),IF(INDEX('Annex 4 LDNO charges'!$B$10:$B$199,MATCH($A32,'Annex 4 LDNO charges'!$A$10:$A$199,0))=0,"",INDEX('Annex 4 LDNO charges'!$B$10:$B$199,MATCH($A32,'Annex 4 LDNO charges'!$A$10:$A$199,0))))</f>
        <v>E00</v>
      </c>
      <c r="C32" s="205">
        <f>IFERROR(INDEX('Annex 1 LV, HV and UMS charges'!$C$12:$C$43,MATCH($A32,'Annex 1 LV, HV and UMS charges'!$A$12:$A$43,0)),INDEX('Annex 4 LDNO charges'!$C$10:$C$199,MATCH($A32,'Annex 4 LDNO charges'!$A$10:$A$199,0)))</f>
        <v>0</v>
      </c>
      <c r="D32" s="179"/>
      <c r="E32" s="220">
        <v>0</v>
      </c>
    </row>
    <row r="33" spans="1:5" ht="27.75" customHeight="1" x14ac:dyDescent="0.35">
      <c r="A33" s="163" t="s">
        <v>465</v>
      </c>
      <c r="B33" s="204" t="str">
        <f>IFERROR(INDEX('Annex 1 LV, HV and UMS charges'!$B$12:$B$43,MATCH($A33,'Annex 1 LV, HV and UMS charges'!$A$12:$A$43,0)),IF(INDEX('Annex 4 LDNO charges'!$B$10:$B$199,MATCH($A33,'Annex 4 LDNO charges'!$A$10:$A$199,0))=0,"",INDEX('Annex 4 LDNO charges'!$B$10:$B$199,MATCH($A33,'Annex 4 LDNO charges'!$A$10:$A$199,0))))</f>
        <v>E01</v>
      </c>
      <c r="C33" s="205">
        <f>IFERROR(INDEX('Annex 1 LV, HV and UMS charges'!$C$12:$C$43,MATCH($A33,'Annex 1 LV, HV and UMS charges'!$A$12:$A$43,0)),INDEX('Annex 4 LDNO charges'!$C$10:$C$199,MATCH($A33,'Annex 4 LDNO charges'!$A$10:$A$199,0)))</f>
        <v>0</v>
      </c>
      <c r="D33" s="179"/>
      <c r="E33" s="220">
        <v>0</v>
      </c>
    </row>
    <row r="34" spans="1:5" ht="27.75" customHeight="1" x14ac:dyDescent="0.35">
      <c r="A34" s="163" t="s">
        <v>466</v>
      </c>
      <c r="B34" s="204" t="str">
        <f>IFERROR(INDEX('Annex 1 LV, HV and UMS charges'!$B$12:$B$43,MATCH($A34,'Annex 1 LV, HV and UMS charges'!$A$12:$A$43,0)),IF(INDEX('Annex 4 LDNO charges'!$B$10:$B$199,MATCH($A34,'Annex 4 LDNO charges'!$A$10:$A$199,0))=0,"",INDEX('Annex 4 LDNO charges'!$B$10:$B$199,MATCH($A34,'Annex 4 LDNO charges'!$A$10:$A$199,0))))</f>
        <v>E02</v>
      </c>
      <c r="C34" s="205">
        <f>IFERROR(INDEX('Annex 1 LV, HV and UMS charges'!$C$12:$C$43,MATCH($A34,'Annex 1 LV, HV and UMS charges'!$A$12:$A$43,0)),INDEX('Annex 4 LDNO charges'!$C$10:$C$199,MATCH($A34,'Annex 4 LDNO charges'!$A$10:$A$199,0)))</f>
        <v>0</v>
      </c>
      <c r="D34" s="179"/>
      <c r="E34" s="220">
        <v>0</v>
      </c>
    </row>
    <row r="35" spans="1:5" ht="27.75" customHeight="1" x14ac:dyDescent="0.35">
      <c r="A35" s="163" t="s">
        <v>467</v>
      </c>
      <c r="B35" s="204" t="str">
        <f>IFERROR(INDEX('Annex 1 LV, HV and UMS charges'!$B$12:$B$43,MATCH($A35,'Annex 1 LV, HV and UMS charges'!$A$12:$A$43,0)),IF(INDEX('Annex 4 LDNO charges'!$B$10:$B$199,MATCH($A35,'Annex 4 LDNO charges'!$A$10:$A$199,0))=0,"",INDEX('Annex 4 LDNO charges'!$B$10:$B$199,MATCH($A35,'Annex 4 LDNO charges'!$A$10:$A$199,0))))</f>
        <v>E03</v>
      </c>
      <c r="C35" s="205">
        <f>IFERROR(INDEX('Annex 1 LV, HV and UMS charges'!$C$12:$C$43,MATCH($A35,'Annex 1 LV, HV and UMS charges'!$A$12:$A$43,0)),INDEX('Annex 4 LDNO charges'!$C$10:$C$199,MATCH($A35,'Annex 4 LDNO charges'!$A$10:$A$199,0)))</f>
        <v>0</v>
      </c>
      <c r="D35" s="179"/>
      <c r="E35" s="220">
        <v>0</v>
      </c>
    </row>
    <row r="36" spans="1:5" ht="27.75" customHeight="1" x14ac:dyDescent="0.35">
      <c r="A36" s="163" t="s">
        <v>468</v>
      </c>
      <c r="B36" s="204" t="str">
        <f>IFERROR(INDEX('Annex 1 LV, HV and UMS charges'!$B$12:$B$43,MATCH($A36,'Annex 1 LV, HV and UMS charges'!$A$12:$A$43,0)),IF(INDEX('Annex 4 LDNO charges'!$B$10:$B$199,MATCH($A36,'Annex 4 LDNO charges'!$A$10:$A$199,0))=0,"",INDEX('Annex 4 LDNO charges'!$B$10:$B$199,MATCH($A36,'Annex 4 LDNO charges'!$A$10:$A$199,0))))</f>
        <v>E04</v>
      </c>
      <c r="C36" s="205">
        <f>IFERROR(INDEX('Annex 1 LV, HV and UMS charges'!$C$12:$C$43,MATCH($A36,'Annex 1 LV, HV and UMS charges'!$A$12:$A$43,0)),INDEX('Annex 4 LDNO charges'!$C$10:$C$199,MATCH($A36,'Annex 4 LDNO charges'!$A$10:$A$199,0)))</f>
        <v>0</v>
      </c>
      <c r="D36" s="179"/>
      <c r="E36" s="220">
        <v>0</v>
      </c>
    </row>
    <row r="37" spans="1:5" ht="27.75" customHeight="1" x14ac:dyDescent="0.35">
      <c r="A37" s="167" t="s">
        <v>589</v>
      </c>
      <c r="B37" s="204" t="str">
        <f>IFERROR(INDEX('Annex 1 LV, HV and UMS charges'!$B$12:$B$43,MATCH($A37,'Annex 1 LV, HV and UMS charges'!$A$12:$A$43,0)),IF(INDEX('Annex 4 LDNO charges'!$B$10:$B$199,MATCH($A37,'Annex 4 LDNO charges'!$A$10:$A$199,0))=0,"",INDEX('Annex 4 LDNO charges'!$B$10:$B$199,MATCH($A37,'Annex 4 LDNO charges'!$A$10:$A$199,0))))</f>
        <v>A10</v>
      </c>
      <c r="C37" s="205" t="str">
        <f>IFERROR(INDEX('Annex 1 LV, HV and UMS charges'!$C$12:$C$43,MATCH($A37,'Annex 1 LV, HV and UMS charges'!$A$12:$A$43,0)),INDEX('Annex 4 LDNO charges'!$C$10:$C$199,MATCH($A37,'Annex 4 LDNO charges'!$A$10:$A$199,0)))</f>
        <v>0, 1, 2</v>
      </c>
      <c r="D37" s="220">
        <v>0</v>
      </c>
      <c r="E37" s="220">
        <v>0</v>
      </c>
    </row>
    <row r="38" spans="1:5" ht="27.75" customHeight="1" x14ac:dyDescent="0.35">
      <c r="A38" s="163" t="s">
        <v>590</v>
      </c>
      <c r="B38" s="204" t="str">
        <f>IFERROR(INDEX('Annex 1 LV, HV and UMS charges'!$B$12:$B$43,MATCH($A38,'Annex 1 LV, HV and UMS charges'!$A$12:$A$43,0)),IF(INDEX('Annex 4 LDNO charges'!$B$10:$B$199,MATCH($A38,'Annex 4 LDNO charges'!$A$10:$A$199,0))=0,"",INDEX('Annex 4 LDNO charges'!$B$10:$B$199,MATCH($A38,'Annex 4 LDNO charges'!$A$10:$A$199,0))))</f>
        <v>C10</v>
      </c>
      <c r="C38" s="205" t="str">
        <f>IFERROR(INDEX('Annex 1 LV, HV and UMS charges'!$C$12:$C$43,MATCH($A38,'Annex 1 LV, HV and UMS charges'!$A$12:$A$43,0)),INDEX('Annex 4 LDNO charges'!$C$10:$C$199,MATCH($A38,'Annex 4 LDNO charges'!$A$10:$A$199,0)))</f>
        <v>0, 3, 4, 5-8</v>
      </c>
      <c r="D38" s="179"/>
      <c r="E38" s="220">
        <v>0</v>
      </c>
    </row>
    <row r="39" spans="1:5" ht="27.75" customHeight="1" x14ac:dyDescent="0.35">
      <c r="A39" s="163" t="s">
        <v>591</v>
      </c>
      <c r="B39" s="204" t="str">
        <f>IFERROR(INDEX('Annex 1 LV, HV and UMS charges'!$B$12:$B$43,MATCH($A39,'Annex 1 LV, HV and UMS charges'!$A$12:$A$43,0)),IF(INDEX('Annex 4 LDNO charges'!$B$10:$B$199,MATCH($A39,'Annex 4 LDNO charges'!$A$10:$A$199,0))=0,"",INDEX('Annex 4 LDNO charges'!$B$10:$B$199,MATCH($A39,'Annex 4 LDNO charges'!$A$10:$A$199,0))))</f>
        <v>C11</v>
      </c>
      <c r="C39" s="205" t="str">
        <f>IFERROR(INDEX('Annex 1 LV, HV and UMS charges'!$C$12:$C$43,MATCH($A39,'Annex 1 LV, HV and UMS charges'!$A$12:$A$43,0)),INDEX('Annex 4 LDNO charges'!$C$10:$C$199,MATCH($A39,'Annex 4 LDNO charges'!$A$10:$A$199,0)))</f>
        <v>0, 3, 4, 5-8</v>
      </c>
      <c r="D39" s="179"/>
      <c r="E39" s="220">
        <v>0</v>
      </c>
    </row>
    <row r="40" spans="1:5" ht="27.75" customHeight="1" x14ac:dyDescent="0.35">
      <c r="A40" s="163" t="s">
        <v>592</v>
      </c>
      <c r="B40" s="204" t="str">
        <f>IFERROR(INDEX('Annex 1 LV, HV and UMS charges'!$B$12:$B$43,MATCH($A40,'Annex 1 LV, HV and UMS charges'!$A$12:$A$43,0)),IF(INDEX('Annex 4 LDNO charges'!$B$10:$B$199,MATCH($A40,'Annex 4 LDNO charges'!$A$10:$A$199,0))=0,"",INDEX('Annex 4 LDNO charges'!$B$10:$B$199,MATCH($A40,'Annex 4 LDNO charges'!$A$10:$A$199,0))))</f>
        <v>C12</v>
      </c>
      <c r="C40" s="205" t="str">
        <f>IFERROR(INDEX('Annex 1 LV, HV and UMS charges'!$C$12:$C$43,MATCH($A40,'Annex 1 LV, HV and UMS charges'!$A$12:$A$43,0)),INDEX('Annex 4 LDNO charges'!$C$10:$C$199,MATCH($A40,'Annex 4 LDNO charges'!$A$10:$A$199,0)))</f>
        <v>0, 3, 4, 5-8</v>
      </c>
      <c r="D40" s="179"/>
      <c r="E40" s="220">
        <v>0</v>
      </c>
    </row>
    <row r="41" spans="1:5" ht="27.75" customHeight="1" x14ac:dyDescent="0.35">
      <c r="A41" s="163" t="s">
        <v>593</v>
      </c>
      <c r="B41" s="204" t="str">
        <f>IFERROR(INDEX('Annex 1 LV, HV and UMS charges'!$B$12:$B$43,MATCH($A41,'Annex 1 LV, HV and UMS charges'!$A$12:$A$43,0)),IF(INDEX('Annex 4 LDNO charges'!$B$10:$B$199,MATCH($A41,'Annex 4 LDNO charges'!$A$10:$A$199,0))=0,"",INDEX('Annex 4 LDNO charges'!$B$10:$B$199,MATCH($A41,'Annex 4 LDNO charges'!$A$10:$A$199,0))))</f>
        <v>C13</v>
      </c>
      <c r="C41" s="205" t="str">
        <f>IFERROR(INDEX('Annex 1 LV, HV and UMS charges'!$C$12:$C$43,MATCH($A41,'Annex 1 LV, HV and UMS charges'!$A$12:$A$43,0)),INDEX('Annex 4 LDNO charges'!$C$10:$C$199,MATCH($A41,'Annex 4 LDNO charges'!$A$10:$A$199,0)))</f>
        <v>0, 3, 4, 5-8</v>
      </c>
      <c r="D41" s="179"/>
      <c r="E41" s="220">
        <v>0</v>
      </c>
    </row>
    <row r="42" spans="1:5" ht="27.75" customHeight="1" x14ac:dyDescent="0.35">
      <c r="A42" s="163" t="s">
        <v>594</v>
      </c>
      <c r="B42" s="204" t="str">
        <f>IFERROR(INDEX('Annex 1 LV, HV and UMS charges'!$B$12:$B$43,MATCH($A42,'Annex 1 LV, HV and UMS charges'!$A$12:$A$43,0)),IF(INDEX('Annex 4 LDNO charges'!$B$10:$B$199,MATCH($A42,'Annex 4 LDNO charges'!$A$10:$A$199,0))=0,"",INDEX('Annex 4 LDNO charges'!$B$10:$B$199,MATCH($A42,'Annex 4 LDNO charges'!$A$10:$A$199,0))))</f>
        <v>C14</v>
      </c>
      <c r="C42" s="205" t="str">
        <f>IFERROR(INDEX('Annex 1 LV, HV and UMS charges'!$C$12:$C$43,MATCH($A42,'Annex 1 LV, HV and UMS charges'!$A$12:$A$43,0)),INDEX('Annex 4 LDNO charges'!$C$10:$C$199,MATCH($A42,'Annex 4 LDNO charges'!$A$10:$A$199,0)))</f>
        <v>0, 3, 4, 5-8</v>
      </c>
      <c r="D42" s="179"/>
      <c r="E42" s="220">
        <v>0</v>
      </c>
    </row>
    <row r="43" spans="1:5" ht="27.75" customHeight="1" x14ac:dyDescent="0.35">
      <c r="A43" s="163" t="s">
        <v>470</v>
      </c>
      <c r="B43" s="204" t="str">
        <f>IFERROR(INDEX('Annex 1 LV, HV and UMS charges'!$B$12:$B$43,MATCH($A43,'Annex 1 LV, HV and UMS charges'!$A$12:$A$43,0)),IF(INDEX('Annex 4 LDNO charges'!$B$10:$B$199,MATCH($A43,'Annex 4 LDNO charges'!$A$10:$A$199,0))=0,"",INDEX('Annex 4 LDNO charges'!$B$10:$B$199,MATCH($A43,'Annex 4 LDNO charges'!$A$10:$A$199,0))))</f>
        <v>E10</v>
      </c>
      <c r="C43" s="205">
        <f>IFERROR(INDEX('Annex 1 LV, HV and UMS charges'!$C$12:$C$43,MATCH($A43,'Annex 1 LV, HV and UMS charges'!$A$12:$A$43,0)),INDEX('Annex 4 LDNO charges'!$C$10:$C$199,MATCH($A43,'Annex 4 LDNO charges'!$A$10:$A$199,0)))</f>
        <v>0</v>
      </c>
      <c r="D43" s="179"/>
      <c r="E43" s="220">
        <v>0</v>
      </c>
    </row>
    <row r="44" spans="1:5" ht="27.75" customHeight="1" x14ac:dyDescent="0.35">
      <c r="A44" s="163" t="s">
        <v>471</v>
      </c>
      <c r="B44" s="204" t="str">
        <f>IFERROR(INDEX('Annex 1 LV, HV and UMS charges'!$B$12:$B$43,MATCH($A44,'Annex 1 LV, HV and UMS charges'!$A$12:$A$43,0)),IF(INDEX('Annex 4 LDNO charges'!$B$10:$B$199,MATCH($A44,'Annex 4 LDNO charges'!$A$10:$A$199,0))=0,"",INDEX('Annex 4 LDNO charges'!$B$10:$B$199,MATCH($A44,'Annex 4 LDNO charges'!$A$10:$A$199,0))))</f>
        <v>E11</v>
      </c>
      <c r="C44" s="205">
        <f>IFERROR(INDEX('Annex 1 LV, HV and UMS charges'!$C$12:$C$43,MATCH($A44,'Annex 1 LV, HV and UMS charges'!$A$12:$A$43,0)),INDEX('Annex 4 LDNO charges'!$C$10:$C$199,MATCH($A44,'Annex 4 LDNO charges'!$A$10:$A$199,0)))</f>
        <v>0</v>
      </c>
      <c r="D44" s="179"/>
      <c r="E44" s="220">
        <v>0</v>
      </c>
    </row>
    <row r="45" spans="1:5" ht="27.75" customHeight="1" x14ac:dyDescent="0.35">
      <c r="A45" s="163" t="s">
        <v>472</v>
      </c>
      <c r="B45" s="204" t="str">
        <f>IFERROR(INDEX('Annex 1 LV, HV and UMS charges'!$B$12:$B$43,MATCH($A45,'Annex 1 LV, HV and UMS charges'!$A$12:$A$43,0)),IF(INDEX('Annex 4 LDNO charges'!$B$10:$B$199,MATCH($A45,'Annex 4 LDNO charges'!$A$10:$A$199,0))=0,"",INDEX('Annex 4 LDNO charges'!$B$10:$B$199,MATCH($A45,'Annex 4 LDNO charges'!$A$10:$A$199,0))))</f>
        <v>E12</v>
      </c>
      <c r="C45" s="205">
        <f>IFERROR(INDEX('Annex 1 LV, HV and UMS charges'!$C$12:$C$43,MATCH($A45,'Annex 1 LV, HV and UMS charges'!$A$12:$A$43,0)),INDEX('Annex 4 LDNO charges'!$C$10:$C$199,MATCH($A45,'Annex 4 LDNO charges'!$A$10:$A$199,0)))</f>
        <v>0</v>
      </c>
      <c r="D45" s="179"/>
      <c r="E45" s="220">
        <v>0</v>
      </c>
    </row>
    <row r="46" spans="1:5" ht="27.75" customHeight="1" x14ac:dyDescent="0.35">
      <c r="A46" s="163" t="s">
        <v>473</v>
      </c>
      <c r="B46" s="204" t="str">
        <f>IFERROR(INDEX('Annex 1 LV, HV and UMS charges'!$B$12:$B$43,MATCH($A46,'Annex 1 LV, HV and UMS charges'!$A$12:$A$43,0)),IF(INDEX('Annex 4 LDNO charges'!$B$10:$B$199,MATCH($A46,'Annex 4 LDNO charges'!$A$10:$A$199,0))=0,"",INDEX('Annex 4 LDNO charges'!$B$10:$B$199,MATCH($A46,'Annex 4 LDNO charges'!$A$10:$A$199,0))))</f>
        <v>E13</v>
      </c>
      <c r="C46" s="205">
        <f>IFERROR(INDEX('Annex 1 LV, HV and UMS charges'!$C$12:$C$43,MATCH($A46,'Annex 1 LV, HV and UMS charges'!$A$12:$A$43,0)),INDEX('Annex 4 LDNO charges'!$C$10:$C$199,MATCH($A46,'Annex 4 LDNO charges'!$A$10:$A$199,0)))</f>
        <v>0</v>
      </c>
      <c r="D46" s="179"/>
      <c r="E46" s="220">
        <v>0</v>
      </c>
    </row>
    <row r="47" spans="1:5" ht="27.75" customHeight="1" x14ac:dyDescent="0.35">
      <c r="A47" s="163" t="s">
        <v>474</v>
      </c>
      <c r="B47" s="204" t="str">
        <f>IFERROR(INDEX('Annex 1 LV, HV and UMS charges'!$B$12:$B$43,MATCH($A47,'Annex 1 LV, HV and UMS charges'!$A$12:$A$43,0)),IF(INDEX('Annex 4 LDNO charges'!$B$10:$B$199,MATCH($A47,'Annex 4 LDNO charges'!$A$10:$A$199,0))=0,"",INDEX('Annex 4 LDNO charges'!$B$10:$B$199,MATCH($A47,'Annex 4 LDNO charges'!$A$10:$A$199,0))))</f>
        <v>E14</v>
      </c>
      <c r="C47" s="205">
        <f>IFERROR(INDEX('Annex 1 LV, HV and UMS charges'!$C$12:$C$43,MATCH($A47,'Annex 1 LV, HV and UMS charges'!$A$12:$A$43,0)),INDEX('Annex 4 LDNO charges'!$C$10:$C$199,MATCH($A47,'Annex 4 LDNO charges'!$A$10:$A$199,0)))</f>
        <v>0</v>
      </c>
      <c r="D47" s="179"/>
      <c r="E47" s="220">
        <v>0</v>
      </c>
    </row>
    <row r="48" spans="1:5" ht="27.75" customHeight="1" x14ac:dyDescent="0.35">
      <c r="A48" s="163" t="s">
        <v>475</v>
      </c>
      <c r="B48" s="204" t="str">
        <f>IFERROR(INDEX('Annex 1 LV, HV and UMS charges'!$B$12:$B$43,MATCH($A48,'Annex 1 LV, HV and UMS charges'!$A$12:$A$43,0)),IF(INDEX('Annex 4 LDNO charges'!$B$10:$B$199,MATCH($A48,'Annex 4 LDNO charges'!$A$10:$A$199,0))=0,"",INDEX('Annex 4 LDNO charges'!$B$10:$B$199,MATCH($A48,'Annex 4 LDNO charges'!$A$10:$A$199,0))))</f>
        <v>J10</v>
      </c>
      <c r="C48" s="205">
        <f>IFERROR(INDEX('Annex 1 LV, HV and UMS charges'!$C$12:$C$43,MATCH($A48,'Annex 1 LV, HV and UMS charges'!$A$12:$A$43,0)),INDEX('Annex 4 LDNO charges'!$C$10:$C$199,MATCH($A48,'Annex 4 LDNO charges'!$A$10:$A$199,0)))</f>
        <v>0</v>
      </c>
      <c r="D48" s="179"/>
      <c r="E48" s="220">
        <v>0</v>
      </c>
    </row>
    <row r="49" spans="1:5" ht="27.75" customHeight="1" x14ac:dyDescent="0.35">
      <c r="A49" s="163" t="s">
        <v>476</v>
      </c>
      <c r="B49" s="204" t="str">
        <f>IFERROR(INDEX('Annex 1 LV, HV and UMS charges'!$B$12:$B$43,MATCH($A49,'Annex 1 LV, HV and UMS charges'!$A$12:$A$43,0)),IF(INDEX('Annex 4 LDNO charges'!$B$10:$B$199,MATCH($A49,'Annex 4 LDNO charges'!$A$10:$A$199,0))=0,"",INDEX('Annex 4 LDNO charges'!$B$10:$B$199,MATCH($A49,'Annex 4 LDNO charges'!$A$10:$A$199,0))))</f>
        <v>J11</v>
      </c>
      <c r="C49" s="205">
        <f>IFERROR(INDEX('Annex 1 LV, HV and UMS charges'!$C$12:$C$43,MATCH($A49,'Annex 1 LV, HV and UMS charges'!$A$12:$A$43,0)),INDEX('Annex 4 LDNO charges'!$C$10:$C$199,MATCH($A49,'Annex 4 LDNO charges'!$A$10:$A$199,0)))</f>
        <v>0</v>
      </c>
      <c r="D49" s="179"/>
      <c r="E49" s="220">
        <v>0</v>
      </c>
    </row>
    <row r="50" spans="1:5" ht="27.75" customHeight="1" x14ac:dyDescent="0.35">
      <c r="A50" s="163" t="s">
        <v>477</v>
      </c>
      <c r="B50" s="204" t="str">
        <f>IFERROR(INDEX('Annex 1 LV, HV and UMS charges'!$B$12:$B$43,MATCH($A50,'Annex 1 LV, HV and UMS charges'!$A$12:$A$43,0)),IF(INDEX('Annex 4 LDNO charges'!$B$10:$B$199,MATCH($A50,'Annex 4 LDNO charges'!$A$10:$A$199,0))=0,"",INDEX('Annex 4 LDNO charges'!$B$10:$B$199,MATCH($A50,'Annex 4 LDNO charges'!$A$10:$A$199,0))))</f>
        <v>J12</v>
      </c>
      <c r="C50" s="205">
        <f>IFERROR(INDEX('Annex 1 LV, HV and UMS charges'!$C$12:$C$43,MATCH($A50,'Annex 1 LV, HV and UMS charges'!$A$12:$A$43,0)),INDEX('Annex 4 LDNO charges'!$C$10:$C$199,MATCH($A50,'Annex 4 LDNO charges'!$A$10:$A$199,0)))</f>
        <v>0</v>
      </c>
      <c r="D50" s="179"/>
      <c r="E50" s="220">
        <v>0</v>
      </c>
    </row>
    <row r="51" spans="1:5" ht="27.75" customHeight="1" x14ac:dyDescent="0.35">
      <c r="A51" s="163" t="s">
        <v>478</v>
      </c>
      <c r="B51" s="204" t="str">
        <f>IFERROR(INDEX('Annex 1 LV, HV and UMS charges'!$B$12:$B$43,MATCH($A51,'Annex 1 LV, HV and UMS charges'!$A$12:$A$43,0)),IF(INDEX('Annex 4 LDNO charges'!$B$10:$B$199,MATCH($A51,'Annex 4 LDNO charges'!$A$10:$A$199,0))=0,"",INDEX('Annex 4 LDNO charges'!$B$10:$B$199,MATCH($A51,'Annex 4 LDNO charges'!$A$10:$A$199,0))))</f>
        <v>J13</v>
      </c>
      <c r="C51" s="205">
        <f>IFERROR(INDEX('Annex 1 LV, HV and UMS charges'!$C$12:$C$43,MATCH($A51,'Annex 1 LV, HV and UMS charges'!$A$12:$A$43,0)),INDEX('Annex 4 LDNO charges'!$C$10:$C$199,MATCH($A51,'Annex 4 LDNO charges'!$A$10:$A$199,0)))</f>
        <v>0</v>
      </c>
      <c r="D51" s="179"/>
      <c r="E51" s="220">
        <v>0</v>
      </c>
    </row>
    <row r="52" spans="1:5" ht="27.75" customHeight="1" x14ac:dyDescent="0.35">
      <c r="A52" s="163" t="s">
        <v>479</v>
      </c>
      <c r="B52" s="204" t="str">
        <f>IFERROR(INDEX('Annex 1 LV, HV and UMS charges'!$B$12:$B$43,MATCH($A52,'Annex 1 LV, HV and UMS charges'!$A$12:$A$43,0)),IF(INDEX('Annex 4 LDNO charges'!$B$10:$B$199,MATCH($A52,'Annex 4 LDNO charges'!$A$10:$A$199,0))=0,"",INDEX('Annex 4 LDNO charges'!$B$10:$B$199,MATCH($A52,'Annex 4 LDNO charges'!$A$10:$A$199,0))))</f>
        <v>J14</v>
      </c>
      <c r="C52" s="205">
        <f>IFERROR(INDEX('Annex 1 LV, HV and UMS charges'!$C$12:$C$43,MATCH($A52,'Annex 1 LV, HV and UMS charges'!$A$12:$A$43,0)),INDEX('Annex 4 LDNO charges'!$C$10:$C$199,MATCH($A52,'Annex 4 LDNO charges'!$A$10:$A$199,0)))</f>
        <v>0</v>
      </c>
      <c r="D52" s="179"/>
      <c r="E52" s="220">
        <v>0</v>
      </c>
    </row>
    <row r="53" spans="1:5" ht="27.75" customHeight="1" x14ac:dyDescent="0.35">
      <c r="A53" s="163" t="s">
        <v>480</v>
      </c>
      <c r="B53" s="204" t="str">
        <f>IFERROR(INDEX('Annex 1 LV, HV and UMS charges'!$B$12:$B$43,MATCH($A53,'Annex 1 LV, HV and UMS charges'!$A$12:$A$43,0)),IF(INDEX('Annex 4 LDNO charges'!$B$10:$B$199,MATCH($A53,'Annex 4 LDNO charges'!$A$10:$A$199,0))=0,"",INDEX('Annex 4 LDNO charges'!$B$10:$B$199,MATCH($A53,'Annex 4 LDNO charges'!$A$10:$A$199,0))))</f>
        <v>K10</v>
      </c>
      <c r="C53" s="205">
        <f>IFERROR(INDEX('Annex 1 LV, HV and UMS charges'!$C$12:$C$43,MATCH($A53,'Annex 1 LV, HV and UMS charges'!$A$12:$A$43,0)),INDEX('Annex 4 LDNO charges'!$C$10:$C$199,MATCH($A53,'Annex 4 LDNO charges'!$A$10:$A$199,0)))</f>
        <v>0</v>
      </c>
      <c r="D53" s="179"/>
      <c r="E53" s="220">
        <v>0</v>
      </c>
    </row>
    <row r="54" spans="1:5" ht="27.75" customHeight="1" x14ac:dyDescent="0.35">
      <c r="A54" s="163" t="s">
        <v>481</v>
      </c>
      <c r="B54" s="204" t="str">
        <f>IFERROR(INDEX('Annex 1 LV, HV and UMS charges'!$B$12:$B$43,MATCH($A54,'Annex 1 LV, HV and UMS charges'!$A$12:$A$43,0)),IF(INDEX('Annex 4 LDNO charges'!$B$10:$B$199,MATCH($A54,'Annex 4 LDNO charges'!$A$10:$A$199,0))=0,"",INDEX('Annex 4 LDNO charges'!$B$10:$B$199,MATCH($A54,'Annex 4 LDNO charges'!$A$10:$A$199,0))))</f>
        <v>K11</v>
      </c>
      <c r="C54" s="205">
        <f>IFERROR(INDEX('Annex 1 LV, HV and UMS charges'!$C$12:$C$43,MATCH($A54,'Annex 1 LV, HV and UMS charges'!$A$12:$A$43,0)),INDEX('Annex 4 LDNO charges'!$C$10:$C$199,MATCH($A54,'Annex 4 LDNO charges'!$A$10:$A$199,0)))</f>
        <v>0</v>
      </c>
      <c r="D54" s="179"/>
      <c r="E54" s="220">
        <v>0</v>
      </c>
    </row>
    <row r="55" spans="1:5" ht="27.75" customHeight="1" x14ac:dyDescent="0.35">
      <c r="A55" s="163" t="s">
        <v>482</v>
      </c>
      <c r="B55" s="204" t="str">
        <f>IFERROR(INDEX('Annex 1 LV, HV and UMS charges'!$B$12:$B$43,MATCH($A55,'Annex 1 LV, HV and UMS charges'!$A$12:$A$43,0)),IF(INDEX('Annex 4 LDNO charges'!$B$10:$B$199,MATCH($A55,'Annex 4 LDNO charges'!$A$10:$A$199,0))=0,"",INDEX('Annex 4 LDNO charges'!$B$10:$B$199,MATCH($A55,'Annex 4 LDNO charges'!$A$10:$A$199,0))))</f>
        <v>K12</v>
      </c>
      <c r="C55" s="205">
        <f>IFERROR(INDEX('Annex 1 LV, HV and UMS charges'!$C$12:$C$43,MATCH($A55,'Annex 1 LV, HV and UMS charges'!$A$12:$A$43,0)),INDEX('Annex 4 LDNO charges'!$C$10:$C$199,MATCH($A55,'Annex 4 LDNO charges'!$A$10:$A$199,0)))</f>
        <v>0</v>
      </c>
      <c r="D55" s="179"/>
      <c r="E55" s="220">
        <v>0</v>
      </c>
    </row>
    <row r="56" spans="1:5" ht="27.75" customHeight="1" x14ac:dyDescent="0.35">
      <c r="A56" s="163" t="s">
        <v>483</v>
      </c>
      <c r="B56" s="204" t="str">
        <f>IFERROR(INDEX('Annex 1 LV, HV and UMS charges'!$B$12:$B$43,MATCH($A56,'Annex 1 LV, HV and UMS charges'!$A$12:$A$43,0)),IF(INDEX('Annex 4 LDNO charges'!$B$10:$B$199,MATCH($A56,'Annex 4 LDNO charges'!$A$10:$A$199,0))=0,"",INDEX('Annex 4 LDNO charges'!$B$10:$B$199,MATCH($A56,'Annex 4 LDNO charges'!$A$10:$A$199,0))))</f>
        <v>K13</v>
      </c>
      <c r="C56" s="205">
        <f>IFERROR(INDEX('Annex 1 LV, HV and UMS charges'!$C$12:$C$43,MATCH($A56,'Annex 1 LV, HV and UMS charges'!$A$12:$A$43,0)),INDEX('Annex 4 LDNO charges'!$C$10:$C$199,MATCH($A56,'Annex 4 LDNO charges'!$A$10:$A$199,0)))</f>
        <v>0</v>
      </c>
      <c r="D56" s="179"/>
      <c r="E56" s="220">
        <v>0</v>
      </c>
    </row>
    <row r="57" spans="1:5" ht="27.75" customHeight="1" x14ac:dyDescent="0.35">
      <c r="A57" s="163" t="s">
        <v>484</v>
      </c>
      <c r="B57" s="204" t="str">
        <f>IFERROR(INDEX('Annex 1 LV, HV and UMS charges'!$B$12:$B$43,MATCH($A57,'Annex 1 LV, HV and UMS charges'!$A$12:$A$43,0)),IF(INDEX('Annex 4 LDNO charges'!$B$10:$B$199,MATCH($A57,'Annex 4 LDNO charges'!$A$10:$A$199,0))=0,"",INDEX('Annex 4 LDNO charges'!$B$10:$B$199,MATCH($A57,'Annex 4 LDNO charges'!$A$10:$A$199,0))))</f>
        <v>K14</v>
      </c>
      <c r="C57" s="205">
        <f>IFERROR(INDEX('Annex 1 LV, HV and UMS charges'!$C$12:$C$43,MATCH($A57,'Annex 1 LV, HV and UMS charges'!$A$12:$A$43,0)),INDEX('Annex 4 LDNO charges'!$C$10:$C$199,MATCH($A57,'Annex 4 LDNO charges'!$A$10:$A$199,0)))</f>
        <v>0</v>
      </c>
      <c r="D57" s="179"/>
      <c r="E57" s="220">
        <v>0</v>
      </c>
    </row>
    <row r="58" spans="1:5" ht="27.75" customHeight="1" x14ac:dyDescent="0.35">
      <c r="A58" s="163" t="s">
        <v>595</v>
      </c>
      <c r="B58" s="204" t="str">
        <f>IFERROR(INDEX('Annex 1 LV, HV and UMS charges'!$B$12:$B$43,MATCH($A58,'Annex 1 LV, HV and UMS charges'!$A$12:$A$43,0)),IF(INDEX('Annex 4 LDNO charges'!$B$10:$B$199,MATCH($A58,'Annex 4 LDNO charges'!$A$10:$A$199,0))=0,"",INDEX('Annex 4 LDNO charges'!$B$10:$B$199,MATCH($A58,'Annex 4 LDNO charges'!$A$10:$A$199,0))))</f>
        <v>A20</v>
      </c>
      <c r="C58" s="205" t="str">
        <f>IFERROR(INDEX('Annex 1 LV, HV and UMS charges'!$C$12:$C$43,MATCH($A58,'Annex 1 LV, HV and UMS charges'!$A$12:$A$43,0)),INDEX('Annex 4 LDNO charges'!$C$10:$C$199,MATCH($A58,'Annex 4 LDNO charges'!$A$10:$A$199,0)))</f>
        <v>0, 1, 2</v>
      </c>
      <c r="D58" s="220">
        <v>0</v>
      </c>
      <c r="E58" s="220">
        <v>0</v>
      </c>
    </row>
    <row r="59" spans="1:5" ht="27.75" customHeight="1" x14ac:dyDescent="0.35">
      <c r="A59" s="163" t="s">
        <v>596</v>
      </c>
      <c r="B59" s="204" t="str">
        <f>IFERROR(INDEX('Annex 1 LV, HV and UMS charges'!$B$12:$B$43,MATCH($A59,'Annex 1 LV, HV and UMS charges'!$A$12:$A$43,0)),IF(INDEX('Annex 4 LDNO charges'!$B$10:$B$199,MATCH($A59,'Annex 4 LDNO charges'!$A$10:$A$199,0))=0,"",INDEX('Annex 4 LDNO charges'!$B$10:$B$199,MATCH($A59,'Annex 4 LDNO charges'!$A$10:$A$199,0))))</f>
        <v>C20</v>
      </c>
      <c r="C59" s="205" t="str">
        <f>IFERROR(INDEX('Annex 1 LV, HV and UMS charges'!$C$12:$C$43,MATCH($A59,'Annex 1 LV, HV and UMS charges'!$A$12:$A$43,0)),INDEX('Annex 4 LDNO charges'!$C$10:$C$199,MATCH($A59,'Annex 4 LDNO charges'!$A$10:$A$199,0)))</f>
        <v>0, 3, 4, 5-8</v>
      </c>
      <c r="D59" s="179"/>
      <c r="E59" s="220">
        <v>0</v>
      </c>
    </row>
    <row r="60" spans="1:5" ht="27.75" customHeight="1" x14ac:dyDescent="0.35">
      <c r="A60" s="163" t="s">
        <v>597</v>
      </c>
      <c r="B60" s="204" t="str">
        <f>IFERROR(INDEX('Annex 1 LV, HV and UMS charges'!$B$12:$B$43,MATCH($A60,'Annex 1 LV, HV and UMS charges'!$A$12:$A$43,0)),IF(INDEX('Annex 4 LDNO charges'!$B$10:$B$199,MATCH($A60,'Annex 4 LDNO charges'!$A$10:$A$199,0))=0,"",INDEX('Annex 4 LDNO charges'!$B$10:$B$199,MATCH($A60,'Annex 4 LDNO charges'!$A$10:$A$199,0))))</f>
        <v>C21</v>
      </c>
      <c r="C60" s="205" t="str">
        <f>IFERROR(INDEX('Annex 1 LV, HV and UMS charges'!$C$12:$C$43,MATCH($A60,'Annex 1 LV, HV and UMS charges'!$A$12:$A$43,0)),INDEX('Annex 4 LDNO charges'!$C$10:$C$199,MATCH($A60,'Annex 4 LDNO charges'!$A$10:$A$199,0)))</f>
        <v>0, 3, 4, 5-8</v>
      </c>
      <c r="D60" s="179"/>
      <c r="E60" s="220">
        <v>0</v>
      </c>
    </row>
    <row r="61" spans="1:5" ht="27.75" customHeight="1" x14ac:dyDescent="0.35">
      <c r="A61" s="163" t="s">
        <v>598</v>
      </c>
      <c r="B61" s="204" t="str">
        <f>IFERROR(INDEX('Annex 1 LV, HV and UMS charges'!$B$12:$B$43,MATCH($A61,'Annex 1 LV, HV and UMS charges'!$A$12:$A$43,0)),IF(INDEX('Annex 4 LDNO charges'!$B$10:$B$199,MATCH($A61,'Annex 4 LDNO charges'!$A$10:$A$199,0))=0,"",INDEX('Annex 4 LDNO charges'!$B$10:$B$199,MATCH($A61,'Annex 4 LDNO charges'!$A$10:$A$199,0))))</f>
        <v>C22</v>
      </c>
      <c r="C61" s="205" t="str">
        <f>IFERROR(INDEX('Annex 1 LV, HV and UMS charges'!$C$12:$C$43,MATCH($A61,'Annex 1 LV, HV and UMS charges'!$A$12:$A$43,0)),INDEX('Annex 4 LDNO charges'!$C$10:$C$199,MATCH($A61,'Annex 4 LDNO charges'!$A$10:$A$199,0)))</f>
        <v>0, 3, 4, 5-8</v>
      </c>
      <c r="D61" s="179"/>
      <c r="E61" s="220">
        <v>0</v>
      </c>
    </row>
    <row r="62" spans="1:5" ht="27.75" customHeight="1" x14ac:dyDescent="0.35">
      <c r="A62" s="163" t="s">
        <v>599</v>
      </c>
      <c r="B62" s="204" t="str">
        <f>IFERROR(INDEX('Annex 1 LV, HV and UMS charges'!$B$12:$B$43,MATCH($A62,'Annex 1 LV, HV and UMS charges'!$A$12:$A$43,0)),IF(INDEX('Annex 4 LDNO charges'!$B$10:$B$199,MATCH($A62,'Annex 4 LDNO charges'!$A$10:$A$199,0))=0,"",INDEX('Annex 4 LDNO charges'!$B$10:$B$199,MATCH($A62,'Annex 4 LDNO charges'!$A$10:$A$199,0))))</f>
        <v>C23</v>
      </c>
      <c r="C62" s="205" t="str">
        <f>IFERROR(INDEX('Annex 1 LV, HV and UMS charges'!$C$12:$C$43,MATCH($A62,'Annex 1 LV, HV and UMS charges'!$A$12:$A$43,0)),INDEX('Annex 4 LDNO charges'!$C$10:$C$199,MATCH($A62,'Annex 4 LDNO charges'!$A$10:$A$199,0)))</f>
        <v>0, 3, 4, 5-8</v>
      </c>
      <c r="D62" s="179"/>
      <c r="E62" s="220">
        <v>0</v>
      </c>
    </row>
    <row r="63" spans="1:5" ht="27.75" customHeight="1" x14ac:dyDescent="0.35">
      <c r="A63" s="163" t="s">
        <v>600</v>
      </c>
      <c r="B63" s="204" t="str">
        <f>IFERROR(INDEX('Annex 1 LV, HV and UMS charges'!$B$12:$B$43,MATCH($A63,'Annex 1 LV, HV and UMS charges'!$A$12:$A$43,0)),IF(INDEX('Annex 4 LDNO charges'!$B$10:$B$199,MATCH($A63,'Annex 4 LDNO charges'!$A$10:$A$199,0))=0,"",INDEX('Annex 4 LDNO charges'!$B$10:$B$199,MATCH($A63,'Annex 4 LDNO charges'!$A$10:$A$199,0))))</f>
        <v>C24</v>
      </c>
      <c r="C63" s="205" t="str">
        <f>IFERROR(INDEX('Annex 1 LV, HV and UMS charges'!$C$12:$C$43,MATCH($A63,'Annex 1 LV, HV and UMS charges'!$A$12:$A$43,0)),INDEX('Annex 4 LDNO charges'!$C$10:$C$199,MATCH($A63,'Annex 4 LDNO charges'!$A$10:$A$199,0)))</f>
        <v>0, 3, 4, 5-8</v>
      </c>
      <c r="D63" s="179"/>
      <c r="E63" s="220">
        <v>0</v>
      </c>
    </row>
    <row r="64" spans="1:5" ht="27.75" customHeight="1" x14ac:dyDescent="0.35">
      <c r="A64" s="163" t="s">
        <v>545</v>
      </c>
      <c r="B64" s="204" t="str">
        <f>IFERROR(INDEX('Annex 1 LV, HV and UMS charges'!$B$12:$B$43,MATCH($A64,'Annex 1 LV, HV and UMS charges'!$A$12:$A$43,0)),IF(INDEX('Annex 4 LDNO charges'!$B$10:$B$199,MATCH($A64,'Annex 4 LDNO charges'!$A$10:$A$199,0))=0,"",INDEX('Annex 4 LDNO charges'!$B$10:$B$199,MATCH($A64,'Annex 4 LDNO charges'!$A$10:$A$199,0))))</f>
        <v>E20</v>
      </c>
      <c r="C64" s="205">
        <f>IFERROR(INDEX('Annex 1 LV, HV and UMS charges'!$C$12:$C$43,MATCH($A64,'Annex 1 LV, HV and UMS charges'!$A$12:$A$43,0)),INDEX('Annex 4 LDNO charges'!$C$10:$C$199,MATCH($A64,'Annex 4 LDNO charges'!$A$10:$A$199,0)))</f>
        <v>0</v>
      </c>
      <c r="D64" s="179"/>
      <c r="E64" s="220">
        <v>0</v>
      </c>
    </row>
    <row r="65" spans="1:5" ht="27.75" customHeight="1" x14ac:dyDescent="0.35">
      <c r="A65" s="163" t="s">
        <v>546</v>
      </c>
      <c r="B65" s="204" t="str">
        <f>IFERROR(INDEX('Annex 1 LV, HV and UMS charges'!$B$12:$B$43,MATCH($A65,'Annex 1 LV, HV and UMS charges'!$A$12:$A$43,0)),IF(INDEX('Annex 4 LDNO charges'!$B$10:$B$199,MATCH($A65,'Annex 4 LDNO charges'!$A$10:$A$199,0))=0,"",INDEX('Annex 4 LDNO charges'!$B$10:$B$199,MATCH($A65,'Annex 4 LDNO charges'!$A$10:$A$199,0))))</f>
        <v>E21</v>
      </c>
      <c r="C65" s="205">
        <f>IFERROR(INDEX('Annex 1 LV, HV and UMS charges'!$C$12:$C$43,MATCH($A65,'Annex 1 LV, HV and UMS charges'!$A$12:$A$43,0)),INDEX('Annex 4 LDNO charges'!$C$10:$C$199,MATCH($A65,'Annex 4 LDNO charges'!$A$10:$A$199,0)))</f>
        <v>0</v>
      </c>
      <c r="D65" s="179"/>
      <c r="E65" s="220">
        <v>0</v>
      </c>
    </row>
    <row r="66" spans="1:5" ht="27.75" customHeight="1" x14ac:dyDescent="0.35">
      <c r="A66" s="163" t="s">
        <v>547</v>
      </c>
      <c r="B66" s="204" t="str">
        <f>IFERROR(INDEX('Annex 1 LV, HV and UMS charges'!$B$12:$B$43,MATCH($A66,'Annex 1 LV, HV and UMS charges'!$A$12:$A$43,0)),IF(INDEX('Annex 4 LDNO charges'!$B$10:$B$199,MATCH($A66,'Annex 4 LDNO charges'!$A$10:$A$199,0))=0,"",INDEX('Annex 4 LDNO charges'!$B$10:$B$199,MATCH($A66,'Annex 4 LDNO charges'!$A$10:$A$199,0))))</f>
        <v>E22</v>
      </c>
      <c r="C66" s="205">
        <f>IFERROR(INDEX('Annex 1 LV, HV and UMS charges'!$C$12:$C$43,MATCH($A66,'Annex 1 LV, HV and UMS charges'!$A$12:$A$43,0)),INDEX('Annex 4 LDNO charges'!$C$10:$C$199,MATCH($A66,'Annex 4 LDNO charges'!$A$10:$A$199,0)))</f>
        <v>0</v>
      </c>
      <c r="D66" s="179"/>
      <c r="E66" s="220">
        <v>0</v>
      </c>
    </row>
    <row r="67" spans="1:5" ht="27.75" customHeight="1" x14ac:dyDescent="0.35">
      <c r="A67" s="163" t="s">
        <v>548</v>
      </c>
      <c r="B67" s="204" t="str">
        <f>IFERROR(INDEX('Annex 1 LV, HV and UMS charges'!$B$12:$B$43,MATCH($A67,'Annex 1 LV, HV and UMS charges'!$A$12:$A$43,0)),IF(INDEX('Annex 4 LDNO charges'!$B$10:$B$199,MATCH($A67,'Annex 4 LDNO charges'!$A$10:$A$199,0))=0,"",INDEX('Annex 4 LDNO charges'!$B$10:$B$199,MATCH($A67,'Annex 4 LDNO charges'!$A$10:$A$199,0))))</f>
        <v>E23</v>
      </c>
      <c r="C67" s="205">
        <f>IFERROR(INDEX('Annex 1 LV, HV and UMS charges'!$C$12:$C$43,MATCH($A67,'Annex 1 LV, HV and UMS charges'!$A$12:$A$43,0)),INDEX('Annex 4 LDNO charges'!$C$10:$C$199,MATCH($A67,'Annex 4 LDNO charges'!$A$10:$A$199,0)))</f>
        <v>0</v>
      </c>
      <c r="D67" s="179"/>
      <c r="E67" s="220">
        <v>0</v>
      </c>
    </row>
    <row r="68" spans="1:5" ht="27.75" customHeight="1" x14ac:dyDescent="0.35">
      <c r="A68" s="163" t="s">
        <v>549</v>
      </c>
      <c r="B68" s="204" t="str">
        <f>IFERROR(INDEX('Annex 1 LV, HV and UMS charges'!$B$12:$B$43,MATCH($A68,'Annex 1 LV, HV and UMS charges'!$A$12:$A$43,0)),IF(INDEX('Annex 4 LDNO charges'!$B$10:$B$199,MATCH($A68,'Annex 4 LDNO charges'!$A$10:$A$199,0))=0,"",INDEX('Annex 4 LDNO charges'!$B$10:$B$199,MATCH($A68,'Annex 4 LDNO charges'!$A$10:$A$199,0))))</f>
        <v>E24</v>
      </c>
      <c r="C68" s="205">
        <f>IFERROR(INDEX('Annex 1 LV, HV and UMS charges'!$C$12:$C$43,MATCH($A68,'Annex 1 LV, HV and UMS charges'!$A$12:$A$43,0)),INDEX('Annex 4 LDNO charges'!$C$10:$C$199,MATCH($A68,'Annex 4 LDNO charges'!$A$10:$A$199,0)))</f>
        <v>0</v>
      </c>
      <c r="D68" s="179"/>
      <c r="E68" s="220">
        <v>0</v>
      </c>
    </row>
    <row r="69" spans="1:5" ht="27.75" customHeight="1" x14ac:dyDescent="0.35">
      <c r="A69" s="163" t="s">
        <v>550</v>
      </c>
      <c r="B69" s="204" t="str">
        <f>IFERROR(INDEX('Annex 1 LV, HV and UMS charges'!$B$12:$B$43,MATCH($A69,'Annex 1 LV, HV and UMS charges'!$A$12:$A$43,0)),IF(INDEX('Annex 4 LDNO charges'!$B$10:$B$199,MATCH($A69,'Annex 4 LDNO charges'!$A$10:$A$199,0))=0,"",INDEX('Annex 4 LDNO charges'!$B$10:$B$199,MATCH($A69,'Annex 4 LDNO charges'!$A$10:$A$199,0))))</f>
        <v>J20</v>
      </c>
      <c r="C69" s="205">
        <f>IFERROR(INDEX('Annex 1 LV, HV and UMS charges'!$C$12:$C$43,MATCH($A69,'Annex 1 LV, HV and UMS charges'!$A$12:$A$43,0)),INDEX('Annex 4 LDNO charges'!$C$10:$C$199,MATCH($A69,'Annex 4 LDNO charges'!$A$10:$A$199,0)))</f>
        <v>0</v>
      </c>
      <c r="D69" s="179"/>
      <c r="E69" s="220">
        <v>0</v>
      </c>
    </row>
    <row r="70" spans="1:5" ht="27.75" customHeight="1" x14ac:dyDescent="0.35">
      <c r="A70" s="163" t="s">
        <v>551</v>
      </c>
      <c r="B70" s="204" t="str">
        <f>IFERROR(INDEX('Annex 1 LV, HV and UMS charges'!$B$12:$B$43,MATCH($A70,'Annex 1 LV, HV and UMS charges'!$A$12:$A$43,0)),IF(INDEX('Annex 4 LDNO charges'!$B$10:$B$199,MATCH($A70,'Annex 4 LDNO charges'!$A$10:$A$199,0))=0,"",INDEX('Annex 4 LDNO charges'!$B$10:$B$199,MATCH($A70,'Annex 4 LDNO charges'!$A$10:$A$199,0))))</f>
        <v>J21</v>
      </c>
      <c r="C70" s="205">
        <f>IFERROR(INDEX('Annex 1 LV, HV and UMS charges'!$C$12:$C$43,MATCH($A70,'Annex 1 LV, HV and UMS charges'!$A$12:$A$43,0)),INDEX('Annex 4 LDNO charges'!$C$10:$C$199,MATCH($A70,'Annex 4 LDNO charges'!$A$10:$A$199,0)))</f>
        <v>0</v>
      </c>
      <c r="D70" s="179"/>
      <c r="E70" s="220">
        <v>0</v>
      </c>
    </row>
    <row r="71" spans="1:5" ht="27.75" customHeight="1" x14ac:dyDescent="0.35">
      <c r="A71" s="163" t="s">
        <v>552</v>
      </c>
      <c r="B71" s="204" t="str">
        <f>IFERROR(INDEX('Annex 1 LV, HV and UMS charges'!$B$12:$B$43,MATCH($A71,'Annex 1 LV, HV and UMS charges'!$A$12:$A$43,0)),IF(INDEX('Annex 4 LDNO charges'!$B$10:$B$199,MATCH($A71,'Annex 4 LDNO charges'!$A$10:$A$199,0))=0,"",INDEX('Annex 4 LDNO charges'!$B$10:$B$199,MATCH($A71,'Annex 4 LDNO charges'!$A$10:$A$199,0))))</f>
        <v>J22</v>
      </c>
      <c r="C71" s="205">
        <f>IFERROR(INDEX('Annex 1 LV, HV and UMS charges'!$C$12:$C$43,MATCH($A71,'Annex 1 LV, HV and UMS charges'!$A$12:$A$43,0)),INDEX('Annex 4 LDNO charges'!$C$10:$C$199,MATCH($A71,'Annex 4 LDNO charges'!$A$10:$A$199,0)))</f>
        <v>0</v>
      </c>
      <c r="D71" s="179"/>
      <c r="E71" s="220">
        <v>0</v>
      </c>
    </row>
    <row r="72" spans="1:5" ht="27.75" customHeight="1" x14ac:dyDescent="0.35">
      <c r="A72" s="163" t="s">
        <v>553</v>
      </c>
      <c r="B72" s="204" t="str">
        <f>IFERROR(INDEX('Annex 1 LV, HV and UMS charges'!$B$12:$B$43,MATCH($A72,'Annex 1 LV, HV and UMS charges'!$A$12:$A$43,0)),IF(INDEX('Annex 4 LDNO charges'!$B$10:$B$199,MATCH($A72,'Annex 4 LDNO charges'!$A$10:$A$199,0))=0,"",INDEX('Annex 4 LDNO charges'!$B$10:$B$199,MATCH($A72,'Annex 4 LDNO charges'!$A$10:$A$199,0))))</f>
        <v>J23</v>
      </c>
      <c r="C72" s="205">
        <f>IFERROR(INDEX('Annex 1 LV, HV and UMS charges'!$C$12:$C$43,MATCH($A72,'Annex 1 LV, HV and UMS charges'!$A$12:$A$43,0)),INDEX('Annex 4 LDNO charges'!$C$10:$C$199,MATCH($A72,'Annex 4 LDNO charges'!$A$10:$A$199,0)))</f>
        <v>0</v>
      </c>
      <c r="D72" s="179"/>
      <c r="E72" s="220">
        <v>0</v>
      </c>
    </row>
    <row r="73" spans="1:5" ht="27.75" customHeight="1" x14ac:dyDescent="0.35">
      <c r="A73" s="163" t="s">
        <v>554</v>
      </c>
      <c r="B73" s="204" t="str">
        <f>IFERROR(INDEX('Annex 1 LV, HV and UMS charges'!$B$12:$B$43,MATCH($A73,'Annex 1 LV, HV and UMS charges'!$A$12:$A$43,0)),IF(INDEX('Annex 4 LDNO charges'!$B$10:$B$199,MATCH($A73,'Annex 4 LDNO charges'!$A$10:$A$199,0))=0,"",INDEX('Annex 4 LDNO charges'!$B$10:$B$199,MATCH($A73,'Annex 4 LDNO charges'!$A$10:$A$199,0))))</f>
        <v>J24</v>
      </c>
      <c r="C73" s="205">
        <f>IFERROR(INDEX('Annex 1 LV, HV and UMS charges'!$C$12:$C$43,MATCH($A73,'Annex 1 LV, HV and UMS charges'!$A$12:$A$43,0)),INDEX('Annex 4 LDNO charges'!$C$10:$C$199,MATCH($A73,'Annex 4 LDNO charges'!$A$10:$A$199,0)))</f>
        <v>0</v>
      </c>
      <c r="D73" s="179"/>
      <c r="E73" s="220">
        <v>0</v>
      </c>
    </row>
    <row r="74" spans="1:5" ht="27.75" customHeight="1" x14ac:dyDescent="0.35">
      <c r="A74" s="163" t="s">
        <v>555</v>
      </c>
      <c r="B74" s="204" t="str">
        <f>IFERROR(INDEX('Annex 1 LV, HV and UMS charges'!$B$12:$B$43,MATCH($A74,'Annex 1 LV, HV and UMS charges'!$A$12:$A$43,0)),IF(INDEX('Annex 4 LDNO charges'!$B$10:$B$199,MATCH($A74,'Annex 4 LDNO charges'!$A$10:$A$199,0))=0,"",INDEX('Annex 4 LDNO charges'!$B$10:$B$199,MATCH($A74,'Annex 4 LDNO charges'!$A$10:$A$199,0))))</f>
        <v>K20</v>
      </c>
      <c r="C74" s="205">
        <f>IFERROR(INDEX('Annex 1 LV, HV and UMS charges'!$C$12:$C$43,MATCH($A74,'Annex 1 LV, HV and UMS charges'!$A$12:$A$43,0)),INDEX('Annex 4 LDNO charges'!$C$10:$C$199,MATCH($A74,'Annex 4 LDNO charges'!$A$10:$A$199,0)))</f>
        <v>0</v>
      </c>
      <c r="D74" s="179"/>
      <c r="E74" s="220">
        <v>0</v>
      </c>
    </row>
    <row r="75" spans="1:5" ht="27.75" customHeight="1" x14ac:dyDescent="0.35">
      <c r="A75" s="163" t="s">
        <v>556</v>
      </c>
      <c r="B75" s="204" t="str">
        <f>IFERROR(INDEX('Annex 1 LV, HV and UMS charges'!$B$12:$B$43,MATCH($A75,'Annex 1 LV, HV and UMS charges'!$A$12:$A$43,0)),IF(INDEX('Annex 4 LDNO charges'!$B$10:$B$199,MATCH($A75,'Annex 4 LDNO charges'!$A$10:$A$199,0))=0,"",INDEX('Annex 4 LDNO charges'!$B$10:$B$199,MATCH($A75,'Annex 4 LDNO charges'!$A$10:$A$199,0))))</f>
        <v>K21</v>
      </c>
      <c r="C75" s="205">
        <f>IFERROR(INDEX('Annex 1 LV, HV and UMS charges'!$C$12:$C$43,MATCH($A75,'Annex 1 LV, HV and UMS charges'!$A$12:$A$43,0)),INDEX('Annex 4 LDNO charges'!$C$10:$C$199,MATCH($A75,'Annex 4 LDNO charges'!$A$10:$A$199,0)))</f>
        <v>0</v>
      </c>
      <c r="D75" s="179"/>
      <c r="E75" s="220">
        <v>0</v>
      </c>
    </row>
    <row r="76" spans="1:5" ht="27.75" customHeight="1" x14ac:dyDescent="0.35">
      <c r="A76" s="163" t="s">
        <v>557</v>
      </c>
      <c r="B76" s="204" t="str">
        <f>IFERROR(INDEX('Annex 1 LV, HV and UMS charges'!$B$12:$B$43,MATCH($A76,'Annex 1 LV, HV and UMS charges'!$A$12:$A$43,0)),IF(INDEX('Annex 4 LDNO charges'!$B$10:$B$199,MATCH($A76,'Annex 4 LDNO charges'!$A$10:$A$199,0))=0,"",INDEX('Annex 4 LDNO charges'!$B$10:$B$199,MATCH($A76,'Annex 4 LDNO charges'!$A$10:$A$199,0))))</f>
        <v>K22</v>
      </c>
      <c r="C76" s="205">
        <f>IFERROR(INDEX('Annex 1 LV, HV and UMS charges'!$C$12:$C$43,MATCH($A76,'Annex 1 LV, HV and UMS charges'!$A$12:$A$43,0)),INDEX('Annex 4 LDNO charges'!$C$10:$C$199,MATCH($A76,'Annex 4 LDNO charges'!$A$10:$A$199,0)))</f>
        <v>0</v>
      </c>
      <c r="D76" s="179"/>
      <c r="E76" s="220">
        <v>0</v>
      </c>
    </row>
    <row r="77" spans="1:5" ht="27.75" customHeight="1" x14ac:dyDescent="0.35">
      <c r="A77" s="163" t="s">
        <v>558</v>
      </c>
      <c r="B77" s="204" t="str">
        <f>IFERROR(INDEX('Annex 1 LV, HV and UMS charges'!$B$12:$B$43,MATCH($A77,'Annex 1 LV, HV and UMS charges'!$A$12:$A$43,0)),IF(INDEX('Annex 4 LDNO charges'!$B$10:$B$199,MATCH($A77,'Annex 4 LDNO charges'!$A$10:$A$199,0))=0,"",INDEX('Annex 4 LDNO charges'!$B$10:$B$199,MATCH($A77,'Annex 4 LDNO charges'!$A$10:$A$199,0))))</f>
        <v>K23</v>
      </c>
      <c r="C77" s="205">
        <f>IFERROR(INDEX('Annex 1 LV, HV and UMS charges'!$C$12:$C$43,MATCH($A77,'Annex 1 LV, HV and UMS charges'!$A$12:$A$43,0)),INDEX('Annex 4 LDNO charges'!$C$10:$C$199,MATCH($A77,'Annex 4 LDNO charges'!$A$10:$A$199,0)))</f>
        <v>0</v>
      </c>
      <c r="D77" s="179"/>
      <c r="E77" s="220">
        <v>0</v>
      </c>
    </row>
    <row r="78" spans="1:5" ht="27.75" customHeight="1" x14ac:dyDescent="0.35">
      <c r="A78" s="163" t="s">
        <v>559</v>
      </c>
      <c r="B78" s="204" t="str">
        <f>IFERROR(INDEX('Annex 1 LV, HV and UMS charges'!$B$12:$B$43,MATCH($A78,'Annex 1 LV, HV and UMS charges'!$A$12:$A$43,0)),IF(INDEX('Annex 4 LDNO charges'!$B$10:$B$199,MATCH($A78,'Annex 4 LDNO charges'!$A$10:$A$199,0))=0,"",INDEX('Annex 4 LDNO charges'!$B$10:$B$199,MATCH($A78,'Annex 4 LDNO charges'!$A$10:$A$199,0))))</f>
        <v>K24</v>
      </c>
      <c r="C78" s="205">
        <f>IFERROR(INDEX('Annex 1 LV, HV and UMS charges'!$C$12:$C$43,MATCH($A78,'Annex 1 LV, HV and UMS charges'!$A$12:$A$43,0)),INDEX('Annex 4 LDNO charges'!$C$10:$C$199,MATCH($A78,'Annex 4 LDNO charges'!$A$10:$A$199,0)))</f>
        <v>0</v>
      </c>
      <c r="D78" s="179"/>
      <c r="E78" s="220">
        <v>0</v>
      </c>
    </row>
    <row r="79" spans="1:5" ht="27.75" customHeight="1" x14ac:dyDescent="0.35">
      <c r="A79" s="163" t="s">
        <v>601</v>
      </c>
      <c r="B79" s="204" t="str">
        <f>IFERROR(INDEX('Annex 1 LV, HV and UMS charges'!$B$12:$B$43,MATCH($A79,'Annex 1 LV, HV and UMS charges'!$A$12:$A$43,0)),IF(INDEX('Annex 4 LDNO charges'!$B$10:$B$199,MATCH($A79,'Annex 4 LDNO charges'!$A$10:$A$199,0))=0,"",INDEX('Annex 4 LDNO charges'!$B$10:$B$199,MATCH($A79,'Annex 4 LDNO charges'!$A$10:$A$199,0))))</f>
        <v>A30</v>
      </c>
      <c r="C79" s="205" t="str">
        <f>IFERROR(INDEX('Annex 1 LV, HV and UMS charges'!$C$12:$C$43,MATCH($A79,'Annex 1 LV, HV and UMS charges'!$A$12:$A$43,0)),INDEX('Annex 4 LDNO charges'!$C$10:$C$199,MATCH($A79,'Annex 4 LDNO charges'!$A$10:$A$199,0)))</f>
        <v>0, 1, 2</v>
      </c>
      <c r="D79" s="220">
        <v>0</v>
      </c>
      <c r="E79" s="220">
        <v>0</v>
      </c>
    </row>
    <row r="80" spans="1:5" ht="27.75" customHeight="1" x14ac:dyDescent="0.35">
      <c r="A80" s="163" t="s">
        <v>602</v>
      </c>
      <c r="B80" s="204" t="str">
        <f>IFERROR(INDEX('Annex 1 LV, HV and UMS charges'!$B$12:$B$43,MATCH($A80,'Annex 1 LV, HV and UMS charges'!$A$12:$A$43,0)),IF(INDEX('Annex 4 LDNO charges'!$B$10:$B$199,MATCH($A80,'Annex 4 LDNO charges'!$A$10:$A$199,0))=0,"",INDEX('Annex 4 LDNO charges'!$B$10:$B$199,MATCH($A80,'Annex 4 LDNO charges'!$A$10:$A$199,0))))</f>
        <v>C30</v>
      </c>
      <c r="C80" s="205" t="str">
        <f>IFERROR(INDEX('Annex 1 LV, HV and UMS charges'!$C$12:$C$43,MATCH($A80,'Annex 1 LV, HV and UMS charges'!$A$12:$A$43,0)),INDEX('Annex 4 LDNO charges'!$C$10:$C$199,MATCH($A80,'Annex 4 LDNO charges'!$A$10:$A$199,0)))</f>
        <v>0, 3, 4, 5-8</v>
      </c>
      <c r="D80" s="179"/>
      <c r="E80" s="220">
        <v>0</v>
      </c>
    </row>
    <row r="81" spans="1:5" ht="27.75" customHeight="1" x14ac:dyDescent="0.35">
      <c r="A81" s="163" t="s">
        <v>603</v>
      </c>
      <c r="B81" s="204" t="str">
        <f>IFERROR(INDEX('Annex 1 LV, HV and UMS charges'!$B$12:$B$43,MATCH($A81,'Annex 1 LV, HV and UMS charges'!$A$12:$A$43,0)),IF(INDEX('Annex 4 LDNO charges'!$B$10:$B$199,MATCH($A81,'Annex 4 LDNO charges'!$A$10:$A$199,0))=0,"",INDEX('Annex 4 LDNO charges'!$B$10:$B$199,MATCH($A81,'Annex 4 LDNO charges'!$A$10:$A$199,0))))</f>
        <v>C31</v>
      </c>
      <c r="C81" s="205" t="str">
        <f>IFERROR(INDEX('Annex 1 LV, HV and UMS charges'!$C$12:$C$43,MATCH($A81,'Annex 1 LV, HV and UMS charges'!$A$12:$A$43,0)),INDEX('Annex 4 LDNO charges'!$C$10:$C$199,MATCH($A81,'Annex 4 LDNO charges'!$A$10:$A$199,0)))</f>
        <v>0, 3, 4, 5-8</v>
      </c>
      <c r="D81" s="179"/>
      <c r="E81" s="220">
        <v>0</v>
      </c>
    </row>
    <row r="82" spans="1:5" ht="27.75" customHeight="1" x14ac:dyDescent="0.35">
      <c r="A82" s="163" t="s">
        <v>604</v>
      </c>
      <c r="B82" s="204" t="str">
        <f>IFERROR(INDEX('Annex 1 LV, HV and UMS charges'!$B$12:$B$43,MATCH($A82,'Annex 1 LV, HV and UMS charges'!$A$12:$A$43,0)),IF(INDEX('Annex 4 LDNO charges'!$B$10:$B$199,MATCH($A82,'Annex 4 LDNO charges'!$A$10:$A$199,0))=0,"",INDEX('Annex 4 LDNO charges'!$B$10:$B$199,MATCH($A82,'Annex 4 LDNO charges'!$A$10:$A$199,0))))</f>
        <v>C32</v>
      </c>
      <c r="C82" s="205" t="str">
        <f>IFERROR(INDEX('Annex 1 LV, HV and UMS charges'!$C$12:$C$43,MATCH($A82,'Annex 1 LV, HV and UMS charges'!$A$12:$A$43,0)),INDEX('Annex 4 LDNO charges'!$C$10:$C$199,MATCH($A82,'Annex 4 LDNO charges'!$A$10:$A$199,0)))</f>
        <v>0, 3, 4, 5-8</v>
      </c>
      <c r="D82" s="179"/>
      <c r="E82" s="220">
        <v>0</v>
      </c>
    </row>
    <row r="83" spans="1:5" ht="27.75" customHeight="1" x14ac:dyDescent="0.35">
      <c r="A83" s="163" t="s">
        <v>605</v>
      </c>
      <c r="B83" s="204" t="str">
        <f>IFERROR(INDEX('Annex 1 LV, HV and UMS charges'!$B$12:$B$43,MATCH($A83,'Annex 1 LV, HV and UMS charges'!$A$12:$A$43,0)),IF(INDEX('Annex 4 LDNO charges'!$B$10:$B$199,MATCH($A83,'Annex 4 LDNO charges'!$A$10:$A$199,0))=0,"",INDEX('Annex 4 LDNO charges'!$B$10:$B$199,MATCH($A83,'Annex 4 LDNO charges'!$A$10:$A$199,0))))</f>
        <v>C33</v>
      </c>
      <c r="C83" s="205" t="str">
        <f>IFERROR(INDEX('Annex 1 LV, HV and UMS charges'!$C$12:$C$43,MATCH($A83,'Annex 1 LV, HV and UMS charges'!$A$12:$A$43,0)),INDEX('Annex 4 LDNO charges'!$C$10:$C$199,MATCH($A83,'Annex 4 LDNO charges'!$A$10:$A$199,0)))</f>
        <v>0, 3, 4, 5-8</v>
      </c>
      <c r="D83" s="179"/>
      <c r="E83" s="220">
        <v>0</v>
      </c>
    </row>
    <row r="84" spans="1:5" ht="27.75" customHeight="1" x14ac:dyDescent="0.35">
      <c r="A84" s="163" t="s">
        <v>606</v>
      </c>
      <c r="B84" s="204" t="str">
        <f>IFERROR(INDEX('Annex 1 LV, HV and UMS charges'!$B$12:$B$43,MATCH($A84,'Annex 1 LV, HV and UMS charges'!$A$12:$A$43,0)),IF(INDEX('Annex 4 LDNO charges'!$B$10:$B$199,MATCH($A84,'Annex 4 LDNO charges'!$A$10:$A$199,0))=0,"",INDEX('Annex 4 LDNO charges'!$B$10:$B$199,MATCH($A84,'Annex 4 LDNO charges'!$A$10:$A$199,0))))</f>
        <v>C34</v>
      </c>
      <c r="C84" s="205" t="str">
        <f>IFERROR(INDEX('Annex 1 LV, HV and UMS charges'!$C$12:$C$43,MATCH($A84,'Annex 1 LV, HV and UMS charges'!$A$12:$A$43,0)),INDEX('Annex 4 LDNO charges'!$C$10:$C$199,MATCH($A84,'Annex 4 LDNO charges'!$A$10:$A$199,0)))</f>
        <v>0, 3, 4, 5-8</v>
      </c>
      <c r="D84" s="179"/>
      <c r="E84" s="220">
        <v>0</v>
      </c>
    </row>
    <row r="85" spans="1:5" ht="27.75" customHeight="1" x14ac:dyDescent="0.35">
      <c r="A85" s="163" t="s">
        <v>530</v>
      </c>
      <c r="B85" s="204" t="str">
        <f>IFERROR(INDEX('Annex 1 LV, HV and UMS charges'!$B$12:$B$43,MATCH($A85,'Annex 1 LV, HV and UMS charges'!$A$12:$A$43,0)),IF(INDEX('Annex 4 LDNO charges'!$B$10:$B$199,MATCH($A85,'Annex 4 LDNO charges'!$A$10:$A$199,0))=0,"",INDEX('Annex 4 LDNO charges'!$B$10:$B$199,MATCH($A85,'Annex 4 LDNO charges'!$A$10:$A$199,0))))</f>
        <v>E30</v>
      </c>
      <c r="C85" s="205">
        <f>IFERROR(INDEX('Annex 1 LV, HV and UMS charges'!$C$12:$C$43,MATCH($A85,'Annex 1 LV, HV and UMS charges'!$A$12:$A$43,0)),INDEX('Annex 4 LDNO charges'!$C$10:$C$199,MATCH($A85,'Annex 4 LDNO charges'!$A$10:$A$199,0)))</f>
        <v>0</v>
      </c>
      <c r="D85" s="179"/>
      <c r="E85" s="220">
        <v>0</v>
      </c>
    </row>
    <row r="86" spans="1:5" ht="27.75" customHeight="1" x14ac:dyDescent="0.35">
      <c r="A86" s="163" t="s">
        <v>531</v>
      </c>
      <c r="B86" s="204" t="str">
        <f>IFERROR(INDEX('Annex 1 LV, HV and UMS charges'!$B$12:$B$43,MATCH($A86,'Annex 1 LV, HV and UMS charges'!$A$12:$A$43,0)),IF(INDEX('Annex 4 LDNO charges'!$B$10:$B$199,MATCH($A86,'Annex 4 LDNO charges'!$A$10:$A$199,0))=0,"",INDEX('Annex 4 LDNO charges'!$B$10:$B$199,MATCH($A86,'Annex 4 LDNO charges'!$A$10:$A$199,0))))</f>
        <v>E31</v>
      </c>
      <c r="C86" s="205">
        <f>IFERROR(INDEX('Annex 1 LV, HV and UMS charges'!$C$12:$C$43,MATCH($A86,'Annex 1 LV, HV and UMS charges'!$A$12:$A$43,0)),INDEX('Annex 4 LDNO charges'!$C$10:$C$199,MATCH($A86,'Annex 4 LDNO charges'!$A$10:$A$199,0)))</f>
        <v>0</v>
      </c>
      <c r="D86" s="179"/>
      <c r="E86" s="220">
        <v>0</v>
      </c>
    </row>
    <row r="87" spans="1:5" ht="27.75" customHeight="1" x14ac:dyDescent="0.35">
      <c r="A87" s="163" t="s">
        <v>532</v>
      </c>
      <c r="B87" s="204" t="str">
        <f>IFERROR(INDEX('Annex 1 LV, HV and UMS charges'!$B$12:$B$43,MATCH($A87,'Annex 1 LV, HV and UMS charges'!$A$12:$A$43,0)),IF(INDEX('Annex 4 LDNO charges'!$B$10:$B$199,MATCH($A87,'Annex 4 LDNO charges'!$A$10:$A$199,0))=0,"",INDEX('Annex 4 LDNO charges'!$B$10:$B$199,MATCH($A87,'Annex 4 LDNO charges'!$A$10:$A$199,0))))</f>
        <v>E32</v>
      </c>
      <c r="C87" s="205">
        <f>IFERROR(INDEX('Annex 1 LV, HV and UMS charges'!$C$12:$C$43,MATCH($A87,'Annex 1 LV, HV and UMS charges'!$A$12:$A$43,0)),INDEX('Annex 4 LDNO charges'!$C$10:$C$199,MATCH($A87,'Annex 4 LDNO charges'!$A$10:$A$199,0)))</f>
        <v>0</v>
      </c>
      <c r="D87" s="179"/>
      <c r="E87" s="220">
        <v>0</v>
      </c>
    </row>
    <row r="88" spans="1:5" ht="27.75" customHeight="1" x14ac:dyDescent="0.35">
      <c r="A88" s="163" t="s">
        <v>533</v>
      </c>
      <c r="B88" s="204" t="str">
        <f>IFERROR(INDEX('Annex 1 LV, HV and UMS charges'!$B$12:$B$43,MATCH($A88,'Annex 1 LV, HV and UMS charges'!$A$12:$A$43,0)),IF(INDEX('Annex 4 LDNO charges'!$B$10:$B$199,MATCH($A88,'Annex 4 LDNO charges'!$A$10:$A$199,0))=0,"",INDEX('Annex 4 LDNO charges'!$B$10:$B$199,MATCH($A88,'Annex 4 LDNO charges'!$A$10:$A$199,0))))</f>
        <v>E33</v>
      </c>
      <c r="C88" s="205">
        <f>IFERROR(INDEX('Annex 1 LV, HV and UMS charges'!$C$12:$C$43,MATCH($A88,'Annex 1 LV, HV and UMS charges'!$A$12:$A$43,0)),INDEX('Annex 4 LDNO charges'!$C$10:$C$199,MATCH($A88,'Annex 4 LDNO charges'!$A$10:$A$199,0)))</f>
        <v>0</v>
      </c>
      <c r="D88" s="179"/>
      <c r="E88" s="220">
        <v>0</v>
      </c>
    </row>
    <row r="89" spans="1:5" ht="27.75" customHeight="1" x14ac:dyDescent="0.35">
      <c r="A89" s="163" t="s">
        <v>534</v>
      </c>
      <c r="B89" s="204" t="str">
        <f>IFERROR(INDEX('Annex 1 LV, HV and UMS charges'!$B$12:$B$43,MATCH($A89,'Annex 1 LV, HV and UMS charges'!$A$12:$A$43,0)),IF(INDEX('Annex 4 LDNO charges'!$B$10:$B$199,MATCH($A89,'Annex 4 LDNO charges'!$A$10:$A$199,0))=0,"",INDEX('Annex 4 LDNO charges'!$B$10:$B$199,MATCH($A89,'Annex 4 LDNO charges'!$A$10:$A$199,0))))</f>
        <v>E34</v>
      </c>
      <c r="C89" s="205">
        <f>IFERROR(INDEX('Annex 1 LV, HV and UMS charges'!$C$12:$C$43,MATCH($A89,'Annex 1 LV, HV and UMS charges'!$A$12:$A$43,0)),INDEX('Annex 4 LDNO charges'!$C$10:$C$199,MATCH($A89,'Annex 4 LDNO charges'!$A$10:$A$199,0)))</f>
        <v>0</v>
      </c>
      <c r="D89" s="179"/>
      <c r="E89" s="220">
        <v>0</v>
      </c>
    </row>
    <row r="90" spans="1:5" ht="27.75" customHeight="1" x14ac:dyDescent="0.35">
      <c r="A90" s="163" t="s">
        <v>535</v>
      </c>
      <c r="B90" s="204" t="str">
        <f>IFERROR(INDEX('Annex 1 LV, HV and UMS charges'!$B$12:$B$43,MATCH($A90,'Annex 1 LV, HV and UMS charges'!$A$12:$A$43,0)),IF(INDEX('Annex 4 LDNO charges'!$B$10:$B$199,MATCH($A90,'Annex 4 LDNO charges'!$A$10:$A$199,0))=0,"",INDEX('Annex 4 LDNO charges'!$B$10:$B$199,MATCH($A90,'Annex 4 LDNO charges'!$A$10:$A$199,0))))</f>
        <v>J30</v>
      </c>
      <c r="C90" s="205">
        <f>IFERROR(INDEX('Annex 1 LV, HV and UMS charges'!$C$12:$C$43,MATCH($A90,'Annex 1 LV, HV and UMS charges'!$A$12:$A$43,0)),INDEX('Annex 4 LDNO charges'!$C$10:$C$199,MATCH($A90,'Annex 4 LDNO charges'!$A$10:$A$199,0)))</f>
        <v>0</v>
      </c>
      <c r="D90" s="179"/>
      <c r="E90" s="220">
        <v>0</v>
      </c>
    </row>
    <row r="91" spans="1:5" ht="27.75" customHeight="1" x14ac:dyDescent="0.35">
      <c r="A91" s="163" t="s">
        <v>536</v>
      </c>
      <c r="B91" s="204" t="str">
        <f>IFERROR(INDEX('Annex 1 LV, HV and UMS charges'!$B$12:$B$43,MATCH($A91,'Annex 1 LV, HV and UMS charges'!$A$12:$A$43,0)),IF(INDEX('Annex 4 LDNO charges'!$B$10:$B$199,MATCH($A91,'Annex 4 LDNO charges'!$A$10:$A$199,0))=0,"",INDEX('Annex 4 LDNO charges'!$B$10:$B$199,MATCH($A91,'Annex 4 LDNO charges'!$A$10:$A$199,0))))</f>
        <v>J31</v>
      </c>
      <c r="C91" s="205">
        <f>IFERROR(INDEX('Annex 1 LV, HV and UMS charges'!$C$12:$C$43,MATCH($A91,'Annex 1 LV, HV and UMS charges'!$A$12:$A$43,0)),INDEX('Annex 4 LDNO charges'!$C$10:$C$199,MATCH($A91,'Annex 4 LDNO charges'!$A$10:$A$199,0)))</f>
        <v>0</v>
      </c>
      <c r="D91" s="179"/>
      <c r="E91" s="220">
        <v>0</v>
      </c>
    </row>
    <row r="92" spans="1:5" ht="27.75" customHeight="1" x14ac:dyDescent="0.35">
      <c r="A92" s="163" t="s">
        <v>537</v>
      </c>
      <c r="B92" s="204" t="str">
        <f>IFERROR(INDEX('Annex 1 LV, HV and UMS charges'!$B$12:$B$43,MATCH($A92,'Annex 1 LV, HV and UMS charges'!$A$12:$A$43,0)),IF(INDEX('Annex 4 LDNO charges'!$B$10:$B$199,MATCH($A92,'Annex 4 LDNO charges'!$A$10:$A$199,0))=0,"",INDEX('Annex 4 LDNO charges'!$B$10:$B$199,MATCH($A92,'Annex 4 LDNO charges'!$A$10:$A$199,0))))</f>
        <v>J32</v>
      </c>
      <c r="C92" s="205">
        <f>IFERROR(INDEX('Annex 1 LV, HV and UMS charges'!$C$12:$C$43,MATCH($A92,'Annex 1 LV, HV and UMS charges'!$A$12:$A$43,0)),INDEX('Annex 4 LDNO charges'!$C$10:$C$199,MATCH($A92,'Annex 4 LDNO charges'!$A$10:$A$199,0)))</f>
        <v>0</v>
      </c>
      <c r="D92" s="179"/>
      <c r="E92" s="220">
        <v>0</v>
      </c>
    </row>
    <row r="93" spans="1:5" ht="27.75" customHeight="1" x14ac:dyDescent="0.35">
      <c r="A93" s="163" t="s">
        <v>538</v>
      </c>
      <c r="B93" s="204" t="str">
        <f>IFERROR(INDEX('Annex 1 LV, HV and UMS charges'!$B$12:$B$43,MATCH($A93,'Annex 1 LV, HV and UMS charges'!$A$12:$A$43,0)),IF(INDEX('Annex 4 LDNO charges'!$B$10:$B$199,MATCH($A93,'Annex 4 LDNO charges'!$A$10:$A$199,0))=0,"",INDEX('Annex 4 LDNO charges'!$B$10:$B$199,MATCH($A93,'Annex 4 LDNO charges'!$A$10:$A$199,0))))</f>
        <v>J33</v>
      </c>
      <c r="C93" s="205">
        <f>IFERROR(INDEX('Annex 1 LV, HV and UMS charges'!$C$12:$C$43,MATCH($A93,'Annex 1 LV, HV and UMS charges'!$A$12:$A$43,0)),INDEX('Annex 4 LDNO charges'!$C$10:$C$199,MATCH($A93,'Annex 4 LDNO charges'!$A$10:$A$199,0)))</f>
        <v>0</v>
      </c>
      <c r="D93" s="179"/>
      <c r="E93" s="220">
        <v>0</v>
      </c>
    </row>
    <row r="94" spans="1:5" ht="27.75" customHeight="1" x14ac:dyDescent="0.35">
      <c r="A94" s="163" t="s">
        <v>539</v>
      </c>
      <c r="B94" s="204" t="str">
        <f>IFERROR(INDEX('Annex 1 LV, HV and UMS charges'!$B$12:$B$43,MATCH($A94,'Annex 1 LV, HV and UMS charges'!$A$12:$A$43,0)),IF(INDEX('Annex 4 LDNO charges'!$B$10:$B$199,MATCH($A94,'Annex 4 LDNO charges'!$A$10:$A$199,0))=0,"",INDEX('Annex 4 LDNO charges'!$B$10:$B$199,MATCH($A94,'Annex 4 LDNO charges'!$A$10:$A$199,0))))</f>
        <v>J34</v>
      </c>
      <c r="C94" s="205">
        <f>IFERROR(INDEX('Annex 1 LV, HV and UMS charges'!$C$12:$C$43,MATCH($A94,'Annex 1 LV, HV and UMS charges'!$A$12:$A$43,0)),INDEX('Annex 4 LDNO charges'!$C$10:$C$199,MATCH($A94,'Annex 4 LDNO charges'!$A$10:$A$199,0)))</f>
        <v>0</v>
      </c>
      <c r="D94" s="179"/>
      <c r="E94" s="220">
        <v>0</v>
      </c>
    </row>
    <row r="95" spans="1:5" ht="27.75" customHeight="1" x14ac:dyDescent="0.35">
      <c r="A95" s="163" t="s">
        <v>540</v>
      </c>
      <c r="B95" s="204" t="str">
        <f>IFERROR(INDEX('Annex 1 LV, HV and UMS charges'!$B$12:$B$43,MATCH($A95,'Annex 1 LV, HV and UMS charges'!$A$12:$A$43,0)),IF(INDEX('Annex 4 LDNO charges'!$B$10:$B$199,MATCH($A95,'Annex 4 LDNO charges'!$A$10:$A$199,0))=0,"",INDEX('Annex 4 LDNO charges'!$B$10:$B$199,MATCH($A95,'Annex 4 LDNO charges'!$A$10:$A$199,0))))</f>
        <v>K30</v>
      </c>
      <c r="C95" s="205">
        <f>IFERROR(INDEX('Annex 1 LV, HV and UMS charges'!$C$12:$C$43,MATCH($A95,'Annex 1 LV, HV and UMS charges'!$A$12:$A$43,0)),INDEX('Annex 4 LDNO charges'!$C$10:$C$199,MATCH($A95,'Annex 4 LDNO charges'!$A$10:$A$199,0)))</f>
        <v>0</v>
      </c>
      <c r="D95" s="179"/>
      <c r="E95" s="220">
        <v>0</v>
      </c>
    </row>
    <row r="96" spans="1:5" ht="27.75" customHeight="1" x14ac:dyDescent="0.35">
      <c r="A96" s="163" t="s">
        <v>541</v>
      </c>
      <c r="B96" s="204" t="str">
        <f>IFERROR(INDEX('Annex 1 LV, HV and UMS charges'!$B$12:$B$43,MATCH($A96,'Annex 1 LV, HV and UMS charges'!$A$12:$A$43,0)),IF(INDEX('Annex 4 LDNO charges'!$B$10:$B$199,MATCH($A96,'Annex 4 LDNO charges'!$A$10:$A$199,0))=0,"",INDEX('Annex 4 LDNO charges'!$B$10:$B$199,MATCH($A96,'Annex 4 LDNO charges'!$A$10:$A$199,0))))</f>
        <v>K31</v>
      </c>
      <c r="C96" s="205">
        <f>IFERROR(INDEX('Annex 1 LV, HV and UMS charges'!$C$12:$C$43,MATCH($A96,'Annex 1 LV, HV and UMS charges'!$A$12:$A$43,0)),INDEX('Annex 4 LDNO charges'!$C$10:$C$199,MATCH($A96,'Annex 4 LDNO charges'!$A$10:$A$199,0)))</f>
        <v>0</v>
      </c>
      <c r="D96" s="179"/>
      <c r="E96" s="220">
        <v>0</v>
      </c>
    </row>
    <row r="97" spans="1:5" ht="27.75" customHeight="1" x14ac:dyDescent="0.35">
      <c r="A97" s="163" t="s">
        <v>542</v>
      </c>
      <c r="B97" s="204" t="str">
        <f>IFERROR(INDEX('Annex 1 LV, HV and UMS charges'!$B$12:$B$43,MATCH($A97,'Annex 1 LV, HV and UMS charges'!$A$12:$A$43,0)),IF(INDEX('Annex 4 LDNO charges'!$B$10:$B$199,MATCH($A97,'Annex 4 LDNO charges'!$A$10:$A$199,0))=0,"",INDEX('Annex 4 LDNO charges'!$B$10:$B$199,MATCH($A97,'Annex 4 LDNO charges'!$A$10:$A$199,0))))</f>
        <v>K32</v>
      </c>
      <c r="C97" s="205">
        <f>IFERROR(INDEX('Annex 1 LV, HV and UMS charges'!$C$12:$C$43,MATCH($A97,'Annex 1 LV, HV and UMS charges'!$A$12:$A$43,0)),INDEX('Annex 4 LDNO charges'!$C$10:$C$199,MATCH($A97,'Annex 4 LDNO charges'!$A$10:$A$199,0)))</f>
        <v>0</v>
      </c>
      <c r="D97" s="179"/>
      <c r="E97" s="220">
        <v>0</v>
      </c>
    </row>
    <row r="98" spans="1:5" ht="27.75" customHeight="1" x14ac:dyDescent="0.35">
      <c r="A98" s="163" t="s">
        <v>543</v>
      </c>
      <c r="B98" s="204" t="str">
        <f>IFERROR(INDEX('Annex 1 LV, HV and UMS charges'!$B$12:$B$43,MATCH($A98,'Annex 1 LV, HV and UMS charges'!$A$12:$A$43,0)),IF(INDEX('Annex 4 LDNO charges'!$B$10:$B$199,MATCH($A98,'Annex 4 LDNO charges'!$A$10:$A$199,0))=0,"",INDEX('Annex 4 LDNO charges'!$B$10:$B$199,MATCH($A98,'Annex 4 LDNO charges'!$A$10:$A$199,0))))</f>
        <v>K33</v>
      </c>
      <c r="C98" s="205">
        <f>IFERROR(INDEX('Annex 1 LV, HV and UMS charges'!$C$12:$C$43,MATCH($A98,'Annex 1 LV, HV and UMS charges'!$A$12:$A$43,0)),INDEX('Annex 4 LDNO charges'!$C$10:$C$199,MATCH($A98,'Annex 4 LDNO charges'!$A$10:$A$199,0)))</f>
        <v>0</v>
      </c>
      <c r="D98" s="179"/>
      <c r="E98" s="220">
        <v>0</v>
      </c>
    </row>
    <row r="99" spans="1:5" ht="27.75" customHeight="1" x14ac:dyDescent="0.35">
      <c r="A99" s="163" t="s">
        <v>544</v>
      </c>
      <c r="B99" s="204" t="str">
        <f>IFERROR(INDEX('Annex 1 LV, HV and UMS charges'!$B$12:$B$43,MATCH($A99,'Annex 1 LV, HV and UMS charges'!$A$12:$A$43,0)),IF(INDEX('Annex 4 LDNO charges'!$B$10:$B$199,MATCH($A99,'Annex 4 LDNO charges'!$A$10:$A$199,0))=0,"",INDEX('Annex 4 LDNO charges'!$B$10:$B$199,MATCH($A99,'Annex 4 LDNO charges'!$A$10:$A$199,0))))</f>
        <v>K34</v>
      </c>
      <c r="C99" s="205">
        <f>IFERROR(INDEX('Annex 1 LV, HV and UMS charges'!$C$12:$C$43,MATCH($A99,'Annex 1 LV, HV and UMS charges'!$A$12:$A$43,0)),INDEX('Annex 4 LDNO charges'!$C$10:$C$199,MATCH($A99,'Annex 4 LDNO charges'!$A$10:$A$199,0)))</f>
        <v>0</v>
      </c>
      <c r="D99" s="179"/>
      <c r="E99" s="220">
        <v>0</v>
      </c>
    </row>
    <row r="100" spans="1:5" ht="27.75" customHeight="1" x14ac:dyDescent="0.35">
      <c r="A100" s="163" t="s">
        <v>607</v>
      </c>
      <c r="B100" s="204" t="str">
        <f>IFERROR(INDEX('Annex 1 LV, HV and UMS charges'!$B$12:$B$43,MATCH($A100,'Annex 1 LV, HV and UMS charges'!$A$12:$A$43,0)),IF(INDEX('Annex 4 LDNO charges'!$B$10:$B$199,MATCH($A100,'Annex 4 LDNO charges'!$A$10:$A$199,0))=0,"",INDEX('Annex 4 LDNO charges'!$B$10:$B$199,MATCH($A100,'Annex 4 LDNO charges'!$A$10:$A$199,0))))</f>
        <v>A40</v>
      </c>
      <c r="C100" s="205" t="str">
        <f>IFERROR(INDEX('Annex 1 LV, HV and UMS charges'!$C$12:$C$43,MATCH($A100,'Annex 1 LV, HV and UMS charges'!$A$12:$A$43,0)),INDEX('Annex 4 LDNO charges'!$C$10:$C$199,MATCH($A100,'Annex 4 LDNO charges'!$A$10:$A$199,0)))</f>
        <v>0, 1, 2</v>
      </c>
      <c r="D100" s="220">
        <v>0</v>
      </c>
      <c r="E100" s="220">
        <v>0</v>
      </c>
    </row>
    <row r="101" spans="1:5" ht="27.75" customHeight="1" x14ac:dyDescent="0.35">
      <c r="A101" s="163" t="s">
        <v>608</v>
      </c>
      <c r="B101" s="204" t="str">
        <f>IFERROR(INDEX('Annex 1 LV, HV and UMS charges'!$B$12:$B$43,MATCH($A101,'Annex 1 LV, HV and UMS charges'!$A$12:$A$43,0)),IF(INDEX('Annex 4 LDNO charges'!$B$10:$B$199,MATCH($A101,'Annex 4 LDNO charges'!$A$10:$A$199,0))=0,"",INDEX('Annex 4 LDNO charges'!$B$10:$B$199,MATCH($A101,'Annex 4 LDNO charges'!$A$10:$A$199,0))))</f>
        <v>C40</v>
      </c>
      <c r="C101" s="205" t="str">
        <f>IFERROR(INDEX('Annex 1 LV, HV and UMS charges'!$C$12:$C$43,MATCH($A101,'Annex 1 LV, HV and UMS charges'!$A$12:$A$43,0)),INDEX('Annex 4 LDNO charges'!$C$10:$C$199,MATCH($A101,'Annex 4 LDNO charges'!$A$10:$A$199,0)))</f>
        <v>0, 3, 4, 5-8</v>
      </c>
      <c r="D101" s="179"/>
      <c r="E101" s="220">
        <v>0</v>
      </c>
    </row>
    <row r="102" spans="1:5" ht="27.75" customHeight="1" x14ac:dyDescent="0.35">
      <c r="A102" s="163" t="s">
        <v>609</v>
      </c>
      <c r="B102" s="204" t="str">
        <f>IFERROR(INDEX('Annex 1 LV, HV and UMS charges'!$B$12:$B$43,MATCH($A102,'Annex 1 LV, HV and UMS charges'!$A$12:$A$43,0)),IF(INDEX('Annex 4 LDNO charges'!$B$10:$B$199,MATCH($A102,'Annex 4 LDNO charges'!$A$10:$A$199,0))=0,"",INDEX('Annex 4 LDNO charges'!$B$10:$B$199,MATCH($A102,'Annex 4 LDNO charges'!$A$10:$A$199,0))))</f>
        <v>C41</v>
      </c>
      <c r="C102" s="205" t="str">
        <f>IFERROR(INDEX('Annex 1 LV, HV and UMS charges'!$C$12:$C$43,MATCH($A102,'Annex 1 LV, HV and UMS charges'!$A$12:$A$43,0)),INDEX('Annex 4 LDNO charges'!$C$10:$C$199,MATCH($A102,'Annex 4 LDNO charges'!$A$10:$A$199,0)))</f>
        <v>0, 3, 4, 5-8</v>
      </c>
      <c r="D102" s="179"/>
      <c r="E102" s="220">
        <v>0</v>
      </c>
    </row>
    <row r="103" spans="1:5" ht="27.75" customHeight="1" x14ac:dyDescent="0.35">
      <c r="A103" s="163" t="s">
        <v>610</v>
      </c>
      <c r="B103" s="204" t="str">
        <f>IFERROR(INDEX('Annex 1 LV, HV and UMS charges'!$B$12:$B$43,MATCH($A103,'Annex 1 LV, HV and UMS charges'!$A$12:$A$43,0)),IF(INDEX('Annex 4 LDNO charges'!$B$10:$B$199,MATCH($A103,'Annex 4 LDNO charges'!$A$10:$A$199,0))=0,"",INDEX('Annex 4 LDNO charges'!$B$10:$B$199,MATCH($A103,'Annex 4 LDNO charges'!$A$10:$A$199,0))))</f>
        <v>C42</v>
      </c>
      <c r="C103" s="205" t="str">
        <f>IFERROR(INDEX('Annex 1 LV, HV and UMS charges'!$C$12:$C$43,MATCH($A103,'Annex 1 LV, HV and UMS charges'!$A$12:$A$43,0)),INDEX('Annex 4 LDNO charges'!$C$10:$C$199,MATCH($A103,'Annex 4 LDNO charges'!$A$10:$A$199,0)))</f>
        <v>0, 3, 4, 5-8</v>
      </c>
      <c r="D103" s="179"/>
      <c r="E103" s="220">
        <v>0</v>
      </c>
    </row>
    <row r="104" spans="1:5" ht="27.75" customHeight="1" x14ac:dyDescent="0.35">
      <c r="A104" s="163" t="s">
        <v>611</v>
      </c>
      <c r="B104" s="204" t="str">
        <f>IFERROR(INDEX('Annex 1 LV, HV and UMS charges'!$B$12:$B$43,MATCH($A104,'Annex 1 LV, HV and UMS charges'!$A$12:$A$43,0)),IF(INDEX('Annex 4 LDNO charges'!$B$10:$B$199,MATCH($A104,'Annex 4 LDNO charges'!$A$10:$A$199,0))=0,"",INDEX('Annex 4 LDNO charges'!$B$10:$B$199,MATCH($A104,'Annex 4 LDNO charges'!$A$10:$A$199,0))))</f>
        <v>C43</v>
      </c>
      <c r="C104" s="205" t="str">
        <f>IFERROR(INDEX('Annex 1 LV, HV and UMS charges'!$C$12:$C$43,MATCH($A104,'Annex 1 LV, HV and UMS charges'!$A$12:$A$43,0)),INDEX('Annex 4 LDNO charges'!$C$10:$C$199,MATCH($A104,'Annex 4 LDNO charges'!$A$10:$A$199,0)))</f>
        <v>0, 3, 4, 5-8</v>
      </c>
      <c r="D104" s="179"/>
      <c r="E104" s="220">
        <v>0</v>
      </c>
    </row>
    <row r="105" spans="1:5" ht="27.75" customHeight="1" x14ac:dyDescent="0.35">
      <c r="A105" s="163" t="s">
        <v>612</v>
      </c>
      <c r="B105" s="204" t="str">
        <f>IFERROR(INDEX('Annex 1 LV, HV and UMS charges'!$B$12:$B$43,MATCH($A105,'Annex 1 LV, HV and UMS charges'!$A$12:$A$43,0)),IF(INDEX('Annex 4 LDNO charges'!$B$10:$B$199,MATCH($A105,'Annex 4 LDNO charges'!$A$10:$A$199,0))=0,"",INDEX('Annex 4 LDNO charges'!$B$10:$B$199,MATCH($A105,'Annex 4 LDNO charges'!$A$10:$A$199,0))))</f>
        <v>C44</v>
      </c>
      <c r="C105" s="205" t="str">
        <f>IFERROR(INDEX('Annex 1 LV, HV and UMS charges'!$C$12:$C$43,MATCH($A105,'Annex 1 LV, HV and UMS charges'!$A$12:$A$43,0)),INDEX('Annex 4 LDNO charges'!$C$10:$C$199,MATCH($A105,'Annex 4 LDNO charges'!$A$10:$A$199,0)))</f>
        <v>0, 3, 4, 5-8</v>
      </c>
      <c r="D105" s="179"/>
      <c r="E105" s="220">
        <v>0</v>
      </c>
    </row>
    <row r="106" spans="1:5" ht="27.75" customHeight="1" x14ac:dyDescent="0.35">
      <c r="A106" s="163" t="s">
        <v>515</v>
      </c>
      <c r="B106" s="204" t="str">
        <f>IFERROR(INDEX('Annex 1 LV, HV and UMS charges'!$B$12:$B$43,MATCH($A106,'Annex 1 LV, HV and UMS charges'!$A$12:$A$43,0)),IF(INDEX('Annex 4 LDNO charges'!$B$10:$B$199,MATCH($A106,'Annex 4 LDNO charges'!$A$10:$A$199,0))=0,"",INDEX('Annex 4 LDNO charges'!$B$10:$B$199,MATCH($A106,'Annex 4 LDNO charges'!$A$10:$A$199,0))))</f>
        <v>E40</v>
      </c>
      <c r="C106" s="205">
        <f>IFERROR(INDEX('Annex 1 LV, HV and UMS charges'!$C$12:$C$43,MATCH($A106,'Annex 1 LV, HV and UMS charges'!$A$12:$A$43,0)),INDEX('Annex 4 LDNO charges'!$C$10:$C$199,MATCH($A106,'Annex 4 LDNO charges'!$A$10:$A$199,0)))</f>
        <v>0</v>
      </c>
      <c r="D106" s="179"/>
      <c r="E106" s="220">
        <v>0</v>
      </c>
    </row>
    <row r="107" spans="1:5" ht="27.75" customHeight="1" x14ac:dyDescent="0.35">
      <c r="A107" s="163" t="s">
        <v>516</v>
      </c>
      <c r="B107" s="204" t="str">
        <f>IFERROR(INDEX('Annex 1 LV, HV and UMS charges'!$B$12:$B$43,MATCH($A107,'Annex 1 LV, HV and UMS charges'!$A$12:$A$43,0)),IF(INDEX('Annex 4 LDNO charges'!$B$10:$B$199,MATCH($A107,'Annex 4 LDNO charges'!$A$10:$A$199,0))=0,"",INDEX('Annex 4 LDNO charges'!$B$10:$B$199,MATCH($A107,'Annex 4 LDNO charges'!$A$10:$A$199,0))))</f>
        <v>E41</v>
      </c>
      <c r="C107" s="205">
        <f>IFERROR(INDEX('Annex 1 LV, HV and UMS charges'!$C$12:$C$43,MATCH($A107,'Annex 1 LV, HV and UMS charges'!$A$12:$A$43,0)),INDEX('Annex 4 LDNO charges'!$C$10:$C$199,MATCH($A107,'Annex 4 LDNO charges'!$A$10:$A$199,0)))</f>
        <v>0</v>
      </c>
      <c r="D107" s="179"/>
      <c r="E107" s="220">
        <v>0</v>
      </c>
    </row>
    <row r="108" spans="1:5" ht="27.75" customHeight="1" x14ac:dyDescent="0.35">
      <c r="A108" s="163" t="s">
        <v>517</v>
      </c>
      <c r="B108" s="204" t="str">
        <f>IFERROR(INDEX('Annex 1 LV, HV and UMS charges'!$B$12:$B$43,MATCH($A108,'Annex 1 LV, HV and UMS charges'!$A$12:$A$43,0)),IF(INDEX('Annex 4 LDNO charges'!$B$10:$B$199,MATCH($A108,'Annex 4 LDNO charges'!$A$10:$A$199,0))=0,"",INDEX('Annex 4 LDNO charges'!$B$10:$B$199,MATCH($A108,'Annex 4 LDNO charges'!$A$10:$A$199,0))))</f>
        <v>E42</v>
      </c>
      <c r="C108" s="205">
        <f>IFERROR(INDEX('Annex 1 LV, HV and UMS charges'!$C$12:$C$43,MATCH($A108,'Annex 1 LV, HV and UMS charges'!$A$12:$A$43,0)),INDEX('Annex 4 LDNO charges'!$C$10:$C$199,MATCH($A108,'Annex 4 LDNO charges'!$A$10:$A$199,0)))</f>
        <v>0</v>
      </c>
      <c r="D108" s="179"/>
      <c r="E108" s="220">
        <v>0</v>
      </c>
    </row>
    <row r="109" spans="1:5" ht="27.75" customHeight="1" x14ac:dyDescent="0.35">
      <c r="A109" s="163" t="s">
        <v>518</v>
      </c>
      <c r="B109" s="204" t="str">
        <f>IFERROR(INDEX('Annex 1 LV, HV and UMS charges'!$B$12:$B$43,MATCH($A109,'Annex 1 LV, HV and UMS charges'!$A$12:$A$43,0)),IF(INDEX('Annex 4 LDNO charges'!$B$10:$B$199,MATCH($A109,'Annex 4 LDNO charges'!$A$10:$A$199,0))=0,"",INDEX('Annex 4 LDNO charges'!$B$10:$B$199,MATCH($A109,'Annex 4 LDNO charges'!$A$10:$A$199,0))))</f>
        <v>E43</v>
      </c>
      <c r="C109" s="205">
        <f>IFERROR(INDEX('Annex 1 LV, HV and UMS charges'!$C$12:$C$43,MATCH($A109,'Annex 1 LV, HV and UMS charges'!$A$12:$A$43,0)),INDEX('Annex 4 LDNO charges'!$C$10:$C$199,MATCH($A109,'Annex 4 LDNO charges'!$A$10:$A$199,0)))</f>
        <v>0</v>
      </c>
      <c r="D109" s="179"/>
      <c r="E109" s="220">
        <v>0</v>
      </c>
    </row>
    <row r="110" spans="1:5" ht="27.75" customHeight="1" x14ac:dyDescent="0.35">
      <c r="A110" s="163" t="s">
        <v>519</v>
      </c>
      <c r="B110" s="204" t="str">
        <f>IFERROR(INDEX('Annex 1 LV, HV and UMS charges'!$B$12:$B$43,MATCH($A110,'Annex 1 LV, HV and UMS charges'!$A$12:$A$43,0)),IF(INDEX('Annex 4 LDNO charges'!$B$10:$B$199,MATCH($A110,'Annex 4 LDNO charges'!$A$10:$A$199,0))=0,"",INDEX('Annex 4 LDNO charges'!$B$10:$B$199,MATCH($A110,'Annex 4 LDNO charges'!$A$10:$A$199,0))))</f>
        <v>E44</v>
      </c>
      <c r="C110" s="205">
        <f>IFERROR(INDEX('Annex 1 LV, HV and UMS charges'!$C$12:$C$43,MATCH($A110,'Annex 1 LV, HV and UMS charges'!$A$12:$A$43,0)),INDEX('Annex 4 LDNO charges'!$C$10:$C$199,MATCH($A110,'Annex 4 LDNO charges'!$A$10:$A$199,0)))</f>
        <v>0</v>
      </c>
      <c r="D110" s="179"/>
      <c r="E110" s="220">
        <v>0</v>
      </c>
    </row>
    <row r="111" spans="1:5" ht="27.75" customHeight="1" x14ac:dyDescent="0.35">
      <c r="A111" s="163" t="s">
        <v>520</v>
      </c>
      <c r="B111" s="204" t="str">
        <f>IFERROR(INDEX('Annex 1 LV, HV and UMS charges'!$B$12:$B$43,MATCH($A111,'Annex 1 LV, HV and UMS charges'!$A$12:$A$43,0)),IF(INDEX('Annex 4 LDNO charges'!$B$10:$B$199,MATCH($A111,'Annex 4 LDNO charges'!$A$10:$A$199,0))=0,"",INDEX('Annex 4 LDNO charges'!$B$10:$B$199,MATCH($A111,'Annex 4 LDNO charges'!$A$10:$A$199,0))))</f>
        <v>J40</v>
      </c>
      <c r="C111" s="205">
        <f>IFERROR(INDEX('Annex 1 LV, HV and UMS charges'!$C$12:$C$43,MATCH($A111,'Annex 1 LV, HV and UMS charges'!$A$12:$A$43,0)),INDEX('Annex 4 LDNO charges'!$C$10:$C$199,MATCH($A111,'Annex 4 LDNO charges'!$A$10:$A$199,0)))</f>
        <v>0</v>
      </c>
      <c r="D111" s="179"/>
      <c r="E111" s="220">
        <v>0</v>
      </c>
    </row>
    <row r="112" spans="1:5" ht="27.75" customHeight="1" x14ac:dyDescent="0.35">
      <c r="A112" s="163" t="s">
        <v>521</v>
      </c>
      <c r="B112" s="204" t="str">
        <f>IFERROR(INDEX('Annex 1 LV, HV and UMS charges'!$B$12:$B$43,MATCH($A112,'Annex 1 LV, HV and UMS charges'!$A$12:$A$43,0)),IF(INDEX('Annex 4 LDNO charges'!$B$10:$B$199,MATCH($A112,'Annex 4 LDNO charges'!$A$10:$A$199,0))=0,"",INDEX('Annex 4 LDNO charges'!$B$10:$B$199,MATCH($A112,'Annex 4 LDNO charges'!$A$10:$A$199,0))))</f>
        <v>J41</v>
      </c>
      <c r="C112" s="205">
        <f>IFERROR(INDEX('Annex 1 LV, HV and UMS charges'!$C$12:$C$43,MATCH($A112,'Annex 1 LV, HV and UMS charges'!$A$12:$A$43,0)),INDEX('Annex 4 LDNO charges'!$C$10:$C$199,MATCH($A112,'Annex 4 LDNO charges'!$A$10:$A$199,0)))</f>
        <v>0</v>
      </c>
      <c r="D112" s="179"/>
      <c r="E112" s="220">
        <v>0</v>
      </c>
    </row>
    <row r="113" spans="1:5" ht="27.75" customHeight="1" x14ac:dyDescent="0.35">
      <c r="A113" s="163" t="s">
        <v>522</v>
      </c>
      <c r="B113" s="204" t="str">
        <f>IFERROR(INDEX('Annex 1 LV, HV and UMS charges'!$B$12:$B$43,MATCH($A113,'Annex 1 LV, HV and UMS charges'!$A$12:$A$43,0)),IF(INDEX('Annex 4 LDNO charges'!$B$10:$B$199,MATCH($A113,'Annex 4 LDNO charges'!$A$10:$A$199,0))=0,"",INDEX('Annex 4 LDNO charges'!$B$10:$B$199,MATCH($A113,'Annex 4 LDNO charges'!$A$10:$A$199,0))))</f>
        <v>J42</v>
      </c>
      <c r="C113" s="205">
        <f>IFERROR(INDEX('Annex 1 LV, HV and UMS charges'!$C$12:$C$43,MATCH($A113,'Annex 1 LV, HV and UMS charges'!$A$12:$A$43,0)),INDEX('Annex 4 LDNO charges'!$C$10:$C$199,MATCH($A113,'Annex 4 LDNO charges'!$A$10:$A$199,0)))</f>
        <v>0</v>
      </c>
      <c r="D113" s="179"/>
      <c r="E113" s="220">
        <v>0</v>
      </c>
    </row>
    <row r="114" spans="1:5" ht="27.75" customHeight="1" x14ac:dyDescent="0.35">
      <c r="A114" s="163" t="s">
        <v>523</v>
      </c>
      <c r="B114" s="204" t="str">
        <f>IFERROR(INDEX('Annex 1 LV, HV and UMS charges'!$B$12:$B$43,MATCH($A114,'Annex 1 LV, HV and UMS charges'!$A$12:$A$43,0)),IF(INDEX('Annex 4 LDNO charges'!$B$10:$B$199,MATCH($A114,'Annex 4 LDNO charges'!$A$10:$A$199,0))=0,"",INDEX('Annex 4 LDNO charges'!$B$10:$B$199,MATCH($A114,'Annex 4 LDNO charges'!$A$10:$A$199,0))))</f>
        <v>J43</v>
      </c>
      <c r="C114" s="205">
        <f>IFERROR(INDEX('Annex 1 LV, HV and UMS charges'!$C$12:$C$43,MATCH($A114,'Annex 1 LV, HV and UMS charges'!$A$12:$A$43,0)),INDEX('Annex 4 LDNO charges'!$C$10:$C$199,MATCH($A114,'Annex 4 LDNO charges'!$A$10:$A$199,0)))</f>
        <v>0</v>
      </c>
      <c r="D114" s="179"/>
      <c r="E114" s="220">
        <v>0</v>
      </c>
    </row>
    <row r="115" spans="1:5" ht="27.75" customHeight="1" x14ac:dyDescent="0.35">
      <c r="A115" s="163" t="s">
        <v>524</v>
      </c>
      <c r="B115" s="204" t="str">
        <f>IFERROR(INDEX('Annex 1 LV, HV and UMS charges'!$B$12:$B$43,MATCH($A115,'Annex 1 LV, HV and UMS charges'!$A$12:$A$43,0)),IF(INDEX('Annex 4 LDNO charges'!$B$10:$B$199,MATCH($A115,'Annex 4 LDNO charges'!$A$10:$A$199,0))=0,"",INDEX('Annex 4 LDNO charges'!$B$10:$B$199,MATCH($A115,'Annex 4 LDNO charges'!$A$10:$A$199,0))))</f>
        <v>J44</v>
      </c>
      <c r="C115" s="205">
        <f>IFERROR(INDEX('Annex 1 LV, HV and UMS charges'!$C$12:$C$43,MATCH($A115,'Annex 1 LV, HV and UMS charges'!$A$12:$A$43,0)),INDEX('Annex 4 LDNO charges'!$C$10:$C$199,MATCH($A115,'Annex 4 LDNO charges'!$A$10:$A$199,0)))</f>
        <v>0</v>
      </c>
      <c r="D115" s="179"/>
      <c r="E115" s="220">
        <v>0</v>
      </c>
    </row>
    <row r="116" spans="1:5" ht="27.75" customHeight="1" x14ac:dyDescent="0.35">
      <c r="A116" s="163" t="s">
        <v>525</v>
      </c>
      <c r="B116" s="204" t="str">
        <f>IFERROR(INDEX('Annex 1 LV, HV and UMS charges'!$B$12:$B$43,MATCH($A116,'Annex 1 LV, HV and UMS charges'!$A$12:$A$43,0)),IF(INDEX('Annex 4 LDNO charges'!$B$10:$B$199,MATCH($A116,'Annex 4 LDNO charges'!$A$10:$A$199,0))=0,"",INDEX('Annex 4 LDNO charges'!$B$10:$B$199,MATCH($A116,'Annex 4 LDNO charges'!$A$10:$A$199,0))))</f>
        <v>K40</v>
      </c>
      <c r="C116" s="205">
        <f>IFERROR(INDEX('Annex 1 LV, HV and UMS charges'!$C$12:$C$43,MATCH($A116,'Annex 1 LV, HV and UMS charges'!$A$12:$A$43,0)),INDEX('Annex 4 LDNO charges'!$C$10:$C$199,MATCH($A116,'Annex 4 LDNO charges'!$A$10:$A$199,0)))</f>
        <v>0</v>
      </c>
      <c r="D116" s="179"/>
      <c r="E116" s="220">
        <v>0</v>
      </c>
    </row>
    <row r="117" spans="1:5" ht="27.75" customHeight="1" x14ac:dyDescent="0.35">
      <c r="A117" s="163" t="s">
        <v>526</v>
      </c>
      <c r="B117" s="204" t="str">
        <f>IFERROR(INDEX('Annex 1 LV, HV and UMS charges'!$B$12:$B$43,MATCH($A117,'Annex 1 LV, HV and UMS charges'!$A$12:$A$43,0)),IF(INDEX('Annex 4 LDNO charges'!$B$10:$B$199,MATCH($A117,'Annex 4 LDNO charges'!$A$10:$A$199,0))=0,"",INDEX('Annex 4 LDNO charges'!$B$10:$B$199,MATCH($A117,'Annex 4 LDNO charges'!$A$10:$A$199,0))))</f>
        <v>K41</v>
      </c>
      <c r="C117" s="205">
        <f>IFERROR(INDEX('Annex 1 LV, HV and UMS charges'!$C$12:$C$43,MATCH($A117,'Annex 1 LV, HV and UMS charges'!$A$12:$A$43,0)),INDEX('Annex 4 LDNO charges'!$C$10:$C$199,MATCH($A117,'Annex 4 LDNO charges'!$A$10:$A$199,0)))</f>
        <v>0</v>
      </c>
      <c r="D117" s="179"/>
      <c r="E117" s="220">
        <v>0</v>
      </c>
    </row>
    <row r="118" spans="1:5" ht="27.75" customHeight="1" x14ac:dyDescent="0.35">
      <c r="A118" s="163" t="s">
        <v>527</v>
      </c>
      <c r="B118" s="204" t="str">
        <f>IFERROR(INDEX('Annex 1 LV, HV and UMS charges'!$B$12:$B$43,MATCH($A118,'Annex 1 LV, HV and UMS charges'!$A$12:$A$43,0)),IF(INDEX('Annex 4 LDNO charges'!$B$10:$B$199,MATCH($A118,'Annex 4 LDNO charges'!$A$10:$A$199,0))=0,"",INDEX('Annex 4 LDNO charges'!$B$10:$B$199,MATCH($A118,'Annex 4 LDNO charges'!$A$10:$A$199,0))))</f>
        <v>K42</v>
      </c>
      <c r="C118" s="205">
        <f>IFERROR(INDEX('Annex 1 LV, HV and UMS charges'!$C$12:$C$43,MATCH($A118,'Annex 1 LV, HV and UMS charges'!$A$12:$A$43,0)),INDEX('Annex 4 LDNO charges'!$C$10:$C$199,MATCH($A118,'Annex 4 LDNO charges'!$A$10:$A$199,0)))</f>
        <v>0</v>
      </c>
      <c r="D118" s="179"/>
      <c r="E118" s="220">
        <v>0</v>
      </c>
    </row>
    <row r="119" spans="1:5" ht="27.75" customHeight="1" x14ac:dyDescent="0.35">
      <c r="A119" s="163" t="s">
        <v>528</v>
      </c>
      <c r="B119" s="204" t="str">
        <f>IFERROR(INDEX('Annex 1 LV, HV and UMS charges'!$B$12:$B$43,MATCH($A119,'Annex 1 LV, HV and UMS charges'!$A$12:$A$43,0)),IF(INDEX('Annex 4 LDNO charges'!$B$10:$B$199,MATCH($A119,'Annex 4 LDNO charges'!$A$10:$A$199,0))=0,"",INDEX('Annex 4 LDNO charges'!$B$10:$B$199,MATCH($A119,'Annex 4 LDNO charges'!$A$10:$A$199,0))))</f>
        <v>K43</v>
      </c>
      <c r="C119" s="205">
        <f>IFERROR(INDEX('Annex 1 LV, HV and UMS charges'!$C$12:$C$43,MATCH($A119,'Annex 1 LV, HV and UMS charges'!$A$12:$A$43,0)),INDEX('Annex 4 LDNO charges'!$C$10:$C$199,MATCH($A119,'Annex 4 LDNO charges'!$A$10:$A$199,0)))</f>
        <v>0</v>
      </c>
      <c r="D119" s="179"/>
      <c r="E119" s="220">
        <v>0</v>
      </c>
    </row>
    <row r="120" spans="1:5" ht="27.75" customHeight="1" x14ac:dyDescent="0.35">
      <c r="A120" s="163" t="s">
        <v>529</v>
      </c>
      <c r="B120" s="204" t="str">
        <f>IFERROR(INDEX('Annex 1 LV, HV and UMS charges'!$B$12:$B$43,MATCH($A120,'Annex 1 LV, HV and UMS charges'!$A$12:$A$43,0)),IF(INDEX('Annex 4 LDNO charges'!$B$10:$B$199,MATCH($A120,'Annex 4 LDNO charges'!$A$10:$A$199,0))=0,"",INDEX('Annex 4 LDNO charges'!$B$10:$B$199,MATCH($A120,'Annex 4 LDNO charges'!$A$10:$A$199,0))))</f>
        <v>K44</v>
      </c>
      <c r="C120" s="205">
        <f>IFERROR(INDEX('Annex 1 LV, HV and UMS charges'!$C$12:$C$43,MATCH($A120,'Annex 1 LV, HV and UMS charges'!$A$12:$A$43,0)),INDEX('Annex 4 LDNO charges'!$C$10:$C$199,MATCH($A120,'Annex 4 LDNO charges'!$A$10:$A$199,0)))</f>
        <v>0</v>
      </c>
      <c r="D120" s="179"/>
      <c r="E120" s="220">
        <v>0</v>
      </c>
    </row>
    <row r="121" spans="1:5" ht="27.75" customHeight="1" x14ac:dyDescent="0.35">
      <c r="A121" s="163" t="s">
        <v>613</v>
      </c>
      <c r="B121" s="204" t="str">
        <f>IFERROR(INDEX('Annex 1 LV, HV and UMS charges'!$B$12:$B$43,MATCH($A121,'Annex 1 LV, HV and UMS charges'!$A$12:$A$43,0)),IF(INDEX('Annex 4 LDNO charges'!$B$10:$B$199,MATCH($A121,'Annex 4 LDNO charges'!$A$10:$A$199,0))=0,"",INDEX('Annex 4 LDNO charges'!$B$10:$B$199,MATCH($A121,'Annex 4 LDNO charges'!$A$10:$A$199,0))))</f>
        <v>A50</v>
      </c>
      <c r="C121" s="205" t="str">
        <f>IFERROR(INDEX('Annex 1 LV, HV and UMS charges'!$C$12:$C$43,MATCH($A121,'Annex 1 LV, HV and UMS charges'!$A$12:$A$43,0)),INDEX('Annex 4 LDNO charges'!$C$10:$C$199,MATCH($A121,'Annex 4 LDNO charges'!$A$10:$A$199,0)))</f>
        <v>0, 1, 2</v>
      </c>
      <c r="D121" s="220">
        <v>0</v>
      </c>
      <c r="E121" s="220">
        <v>0</v>
      </c>
    </row>
    <row r="122" spans="1:5" ht="27.75" customHeight="1" x14ac:dyDescent="0.35">
      <c r="A122" s="163" t="s">
        <v>614</v>
      </c>
      <c r="B122" s="204" t="str">
        <f>IFERROR(INDEX('Annex 1 LV, HV and UMS charges'!$B$12:$B$43,MATCH($A122,'Annex 1 LV, HV and UMS charges'!$A$12:$A$43,0)),IF(INDEX('Annex 4 LDNO charges'!$B$10:$B$199,MATCH($A122,'Annex 4 LDNO charges'!$A$10:$A$199,0))=0,"",INDEX('Annex 4 LDNO charges'!$B$10:$B$199,MATCH($A122,'Annex 4 LDNO charges'!$A$10:$A$199,0))))</f>
        <v>C50</v>
      </c>
      <c r="C122" s="205" t="str">
        <f>IFERROR(INDEX('Annex 1 LV, HV and UMS charges'!$C$12:$C$43,MATCH($A122,'Annex 1 LV, HV and UMS charges'!$A$12:$A$43,0)),INDEX('Annex 4 LDNO charges'!$C$10:$C$199,MATCH($A122,'Annex 4 LDNO charges'!$A$10:$A$199,0)))</f>
        <v>0, 3, 4, 5-8</v>
      </c>
      <c r="D122" s="179"/>
      <c r="E122" s="220">
        <v>0</v>
      </c>
    </row>
    <row r="123" spans="1:5" ht="27.75" customHeight="1" x14ac:dyDescent="0.35">
      <c r="A123" s="163" t="s">
        <v>615</v>
      </c>
      <c r="B123" s="204" t="str">
        <f>IFERROR(INDEX('Annex 1 LV, HV and UMS charges'!$B$12:$B$43,MATCH($A123,'Annex 1 LV, HV and UMS charges'!$A$12:$A$43,0)),IF(INDEX('Annex 4 LDNO charges'!$B$10:$B$199,MATCH($A123,'Annex 4 LDNO charges'!$A$10:$A$199,0))=0,"",INDEX('Annex 4 LDNO charges'!$B$10:$B$199,MATCH($A123,'Annex 4 LDNO charges'!$A$10:$A$199,0))))</f>
        <v>C51</v>
      </c>
      <c r="C123" s="205" t="str">
        <f>IFERROR(INDEX('Annex 1 LV, HV and UMS charges'!$C$12:$C$43,MATCH($A123,'Annex 1 LV, HV and UMS charges'!$A$12:$A$43,0)),INDEX('Annex 4 LDNO charges'!$C$10:$C$199,MATCH($A123,'Annex 4 LDNO charges'!$A$10:$A$199,0)))</f>
        <v>0, 3, 4, 5-8</v>
      </c>
      <c r="D123" s="179"/>
      <c r="E123" s="220">
        <v>0</v>
      </c>
    </row>
    <row r="124" spans="1:5" ht="27.75" customHeight="1" x14ac:dyDescent="0.35">
      <c r="A124" s="163" t="s">
        <v>616</v>
      </c>
      <c r="B124" s="204" t="str">
        <f>IFERROR(INDEX('Annex 1 LV, HV and UMS charges'!$B$12:$B$43,MATCH($A124,'Annex 1 LV, HV and UMS charges'!$A$12:$A$43,0)),IF(INDEX('Annex 4 LDNO charges'!$B$10:$B$199,MATCH($A124,'Annex 4 LDNO charges'!$A$10:$A$199,0))=0,"",INDEX('Annex 4 LDNO charges'!$B$10:$B$199,MATCH($A124,'Annex 4 LDNO charges'!$A$10:$A$199,0))))</f>
        <v>C52</v>
      </c>
      <c r="C124" s="205" t="str">
        <f>IFERROR(INDEX('Annex 1 LV, HV and UMS charges'!$C$12:$C$43,MATCH($A124,'Annex 1 LV, HV and UMS charges'!$A$12:$A$43,0)),INDEX('Annex 4 LDNO charges'!$C$10:$C$199,MATCH($A124,'Annex 4 LDNO charges'!$A$10:$A$199,0)))</f>
        <v>0, 3, 4, 5-8</v>
      </c>
      <c r="D124" s="179"/>
      <c r="E124" s="220">
        <v>0</v>
      </c>
    </row>
    <row r="125" spans="1:5" ht="27.75" customHeight="1" x14ac:dyDescent="0.35">
      <c r="A125" s="163" t="s">
        <v>617</v>
      </c>
      <c r="B125" s="204" t="str">
        <f>IFERROR(INDEX('Annex 1 LV, HV and UMS charges'!$B$12:$B$43,MATCH($A125,'Annex 1 LV, HV and UMS charges'!$A$12:$A$43,0)),IF(INDEX('Annex 4 LDNO charges'!$B$10:$B$199,MATCH($A125,'Annex 4 LDNO charges'!$A$10:$A$199,0))=0,"",INDEX('Annex 4 LDNO charges'!$B$10:$B$199,MATCH($A125,'Annex 4 LDNO charges'!$A$10:$A$199,0))))</f>
        <v>C53</v>
      </c>
      <c r="C125" s="205" t="str">
        <f>IFERROR(INDEX('Annex 1 LV, HV and UMS charges'!$C$12:$C$43,MATCH($A125,'Annex 1 LV, HV and UMS charges'!$A$12:$A$43,0)),INDEX('Annex 4 LDNO charges'!$C$10:$C$199,MATCH($A125,'Annex 4 LDNO charges'!$A$10:$A$199,0)))</f>
        <v>0, 3, 4, 5-8</v>
      </c>
      <c r="D125" s="179"/>
      <c r="E125" s="220">
        <v>0</v>
      </c>
    </row>
    <row r="126" spans="1:5" ht="27.75" customHeight="1" x14ac:dyDescent="0.35">
      <c r="A126" s="163" t="s">
        <v>618</v>
      </c>
      <c r="B126" s="204" t="str">
        <f>IFERROR(INDEX('Annex 1 LV, HV and UMS charges'!$B$12:$B$43,MATCH($A126,'Annex 1 LV, HV and UMS charges'!$A$12:$A$43,0)),IF(INDEX('Annex 4 LDNO charges'!$B$10:$B$199,MATCH($A126,'Annex 4 LDNO charges'!$A$10:$A$199,0))=0,"",INDEX('Annex 4 LDNO charges'!$B$10:$B$199,MATCH($A126,'Annex 4 LDNO charges'!$A$10:$A$199,0))))</f>
        <v>C54</v>
      </c>
      <c r="C126" s="205" t="str">
        <f>IFERROR(INDEX('Annex 1 LV, HV and UMS charges'!$C$12:$C$43,MATCH($A126,'Annex 1 LV, HV and UMS charges'!$A$12:$A$43,0)),INDEX('Annex 4 LDNO charges'!$C$10:$C$199,MATCH($A126,'Annex 4 LDNO charges'!$A$10:$A$199,0)))</f>
        <v>0, 3, 4, 5-8</v>
      </c>
      <c r="D126" s="179"/>
      <c r="E126" s="220">
        <v>0</v>
      </c>
    </row>
    <row r="127" spans="1:5" ht="27.75" customHeight="1" x14ac:dyDescent="0.35">
      <c r="A127" s="163" t="s">
        <v>500</v>
      </c>
      <c r="B127" s="204" t="str">
        <f>IFERROR(INDEX('Annex 1 LV, HV and UMS charges'!$B$12:$B$43,MATCH($A127,'Annex 1 LV, HV and UMS charges'!$A$12:$A$43,0)),IF(INDEX('Annex 4 LDNO charges'!$B$10:$B$199,MATCH($A127,'Annex 4 LDNO charges'!$A$10:$A$199,0))=0,"",INDEX('Annex 4 LDNO charges'!$B$10:$B$199,MATCH($A127,'Annex 4 LDNO charges'!$A$10:$A$199,0))))</f>
        <v>E50</v>
      </c>
      <c r="C127" s="205">
        <f>IFERROR(INDEX('Annex 1 LV, HV and UMS charges'!$C$12:$C$43,MATCH($A127,'Annex 1 LV, HV and UMS charges'!$A$12:$A$43,0)),INDEX('Annex 4 LDNO charges'!$C$10:$C$199,MATCH($A127,'Annex 4 LDNO charges'!$A$10:$A$199,0)))</f>
        <v>0</v>
      </c>
      <c r="D127" s="179"/>
      <c r="E127" s="220">
        <v>0</v>
      </c>
    </row>
    <row r="128" spans="1:5" ht="27.75" customHeight="1" x14ac:dyDescent="0.35">
      <c r="A128" s="163" t="s">
        <v>501</v>
      </c>
      <c r="B128" s="204" t="str">
        <f>IFERROR(INDEX('Annex 1 LV, HV and UMS charges'!$B$12:$B$43,MATCH($A128,'Annex 1 LV, HV and UMS charges'!$A$12:$A$43,0)),IF(INDEX('Annex 4 LDNO charges'!$B$10:$B$199,MATCH($A128,'Annex 4 LDNO charges'!$A$10:$A$199,0))=0,"",INDEX('Annex 4 LDNO charges'!$B$10:$B$199,MATCH($A128,'Annex 4 LDNO charges'!$A$10:$A$199,0))))</f>
        <v>E51</v>
      </c>
      <c r="C128" s="205">
        <f>IFERROR(INDEX('Annex 1 LV, HV and UMS charges'!$C$12:$C$43,MATCH($A128,'Annex 1 LV, HV and UMS charges'!$A$12:$A$43,0)),INDEX('Annex 4 LDNO charges'!$C$10:$C$199,MATCH($A128,'Annex 4 LDNO charges'!$A$10:$A$199,0)))</f>
        <v>0</v>
      </c>
      <c r="D128" s="179"/>
      <c r="E128" s="220">
        <v>0</v>
      </c>
    </row>
    <row r="129" spans="1:5" ht="27.75" customHeight="1" x14ac:dyDescent="0.35">
      <c r="A129" s="163" t="s">
        <v>502</v>
      </c>
      <c r="B129" s="204" t="str">
        <f>IFERROR(INDEX('Annex 1 LV, HV and UMS charges'!$B$12:$B$43,MATCH($A129,'Annex 1 LV, HV and UMS charges'!$A$12:$A$43,0)),IF(INDEX('Annex 4 LDNO charges'!$B$10:$B$199,MATCH($A129,'Annex 4 LDNO charges'!$A$10:$A$199,0))=0,"",INDEX('Annex 4 LDNO charges'!$B$10:$B$199,MATCH($A129,'Annex 4 LDNO charges'!$A$10:$A$199,0))))</f>
        <v>E52</v>
      </c>
      <c r="C129" s="205">
        <f>IFERROR(INDEX('Annex 1 LV, HV and UMS charges'!$C$12:$C$43,MATCH($A129,'Annex 1 LV, HV and UMS charges'!$A$12:$A$43,0)),INDEX('Annex 4 LDNO charges'!$C$10:$C$199,MATCH($A129,'Annex 4 LDNO charges'!$A$10:$A$199,0)))</f>
        <v>0</v>
      </c>
      <c r="D129" s="179"/>
      <c r="E129" s="220">
        <v>0</v>
      </c>
    </row>
    <row r="130" spans="1:5" ht="27.75" customHeight="1" x14ac:dyDescent="0.35">
      <c r="A130" s="163" t="s">
        <v>503</v>
      </c>
      <c r="B130" s="204" t="str">
        <f>IFERROR(INDEX('Annex 1 LV, HV and UMS charges'!$B$12:$B$43,MATCH($A130,'Annex 1 LV, HV and UMS charges'!$A$12:$A$43,0)),IF(INDEX('Annex 4 LDNO charges'!$B$10:$B$199,MATCH($A130,'Annex 4 LDNO charges'!$A$10:$A$199,0))=0,"",INDEX('Annex 4 LDNO charges'!$B$10:$B$199,MATCH($A130,'Annex 4 LDNO charges'!$A$10:$A$199,0))))</f>
        <v>E53</v>
      </c>
      <c r="C130" s="205">
        <f>IFERROR(INDEX('Annex 1 LV, HV and UMS charges'!$C$12:$C$43,MATCH($A130,'Annex 1 LV, HV and UMS charges'!$A$12:$A$43,0)),INDEX('Annex 4 LDNO charges'!$C$10:$C$199,MATCH($A130,'Annex 4 LDNO charges'!$A$10:$A$199,0)))</f>
        <v>0</v>
      </c>
      <c r="D130" s="179"/>
      <c r="E130" s="220">
        <v>0</v>
      </c>
    </row>
    <row r="131" spans="1:5" ht="27.75" customHeight="1" x14ac:dyDescent="0.35">
      <c r="A131" s="163" t="s">
        <v>504</v>
      </c>
      <c r="B131" s="204" t="str">
        <f>IFERROR(INDEX('Annex 1 LV, HV and UMS charges'!$B$12:$B$43,MATCH($A131,'Annex 1 LV, HV and UMS charges'!$A$12:$A$43,0)),IF(INDEX('Annex 4 LDNO charges'!$B$10:$B$199,MATCH($A131,'Annex 4 LDNO charges'!$A$10:$A$199,0))=0,"",INDEX('Annex 4 LDNO charges'!$B$10:$B$199,MATCH($A131,'Annex 4 LDNO charges'!$A$10:$A$199,0))))</f>
        <v>E54</v>
      </c>
      <c r="C131" s="205">
        <f>IFERROR(INDEX('Annex 1 LV, HV and UMS charges'!$C$12:$C$43,MATCH($A131,'Annex 1 LV, HV and UMS charges'!$A$12:$A$43,0)),INDEX('Annex 4 LDNO charges'!$C$10:$C$199,MATCH($A131,'Annex 4 LDNO charges'!$A$10:$A$199,0)))</f>
        <v>0</v>
      </c>
      <c r="D131" s="179"/>
      <c r="E131" s="220">
        <v>0</v>
      </c>
    </row>
    <row r="132" spans="1:5" ht="27.75" customHeight="1" x14ac:dyDescent="0.35">
      <c r="A132" s="163" t="s">
        <v>505</v>
      </c>
      <c r="B132" s="204" t="str">
        <f>IFERROR(INDEX('Annex 1 LV, HV and UMS charges'!$B$12:$B$43,MATCH($A132,'Annex 1 LV, HV and UMS charges'!$A$12:$A$43,0)),IF(INDEX('Annex 4 LDNO charges'!$B$10:$B$199,MATCH($A132,'Annex 4 LDNO charges'!$A$10:$A$199,0))=0,"",INDEX('Annex 4 LDNO charges'!$B$10:$B$199,MATCH($A132,'Annex 4 LDNO charges'!$A$10:$A$199,0))))</f>
        <v>J50</v>
      </c>
      <c r="C132" s="205">
        <f>IFERROR(INDEX('Annex 1 LV, HV and UMS charges'!$C$12:$C$43,MATCH($A132,'Annex 1 LV, HV and UMS charges'!$A$12:$A$43,0)),INDEX('Annex 4 LDNO charges'!$C$10:$C$199,MATCH($A132,'Annex 4 LDNO charges'!$A$10:$A$199,0)))</f>
        <v>0</v>
      </c>
      <c r="D132" s="179"/>
      <c r="E132" s="220">
        <v>0</v>
      </c>
    </row>
    <row r="133" spans="1:5" ht="27.75" customHeight="1" x14ac:dyDescent="0.35">
      <c r="A133" s="163" t="s">
        <v>506</v>
      </c>
      <c r="B133" s="204" t="str">
        <f>IFERROR(INDEX('Annex 1 LV, HV and UMS charges'!$B$12:$B$43,MATCH($A133,'Annex 1 LV, HV and UMS charges'!$A$12:$A$43,0)),IF(INDEX('Annex 4 LDNO charges'!$B$10:$B$199,MATCH($A133,'Annex 4 LDNO charges'!$A$10:$A$199,0))=0,"",INDEX('Annex 4 LDNO charges'!$B$10:$B$199,MATCH($A133,'Annex 4 LDNO charges'!$A$10:$A$199,0))))</f>
        <v>J51</v>
      </c>
      <c r="C133" s="205">
        <f>IFERROR(INDEX('Annex 1 LV, HV and UMS charges'!$C$12:$C$43,MATCH($A133,'Annex 1 LV, HV and UMS charges'!$A$12:$A$43,0)),INDEX('Annex 4 LDNO charges'!$C$10:$C$199,MATCH($A133,'Annex 4 LDNO charges'!$A$10:$A$199,0)))</f>
        <v>0</v>
      </c>
      <c r="D133" s="179"/>
      <c r="E133" s="220">
        <v>0</v>
      </c>
    </row>
    <row r="134" spans="1:5" ht="27.75" customHeight="1" x14ac:dyDescent="0.35">
      <c r="A134" s="163" t="s">
        <v>507</v>
      </c>
      <c r="B134" s="204" t="str">
        <f>IFERROR(INDEX('Annex 1 LV, HV and UMS charges'!$B$12:$B$43,MATCH($A134,'Annex 1 LV, HV and UMS charges'!$A$12:$A$43,0)),IF(INDEX('Annex 4 LDNO charges'!$B$10:$B$199,MATCH($A134,'Annex 4 LDNO charges'!$A$10:$A$199,0))=0,"",INDEX('Annex 4 LDNO charges'!$B$10:$B$199,MATCH($A134,'Annex 4 LDNO charges'!$A$10:$A$199,0))))</f>
        <v>J52</v>
      </c>
      <c r="C134" s="205">
        <f>IFERROR(INDEX('Annex 1 LV, HV and UMS charges'!$C$12:$C$43,MATCH($A134,'Annex 1 LV, HV and UMS charges'!$A$12:$A$43,0)),INDEX('Annex 4 LDNO charges'!$C$10:$C$199,MATCH($A134,'Annex 4 LDNO charges'!$A$10:$A$199,0)))</f>
        <v>0</v>
      </c>
      <c r="D134" s="179"/>
      <c r="E134" s="220">
        <v>0</v>
      </c>
    </row>
    <row r="135" spans="1:5" ht="27.75" customHeight="1" x14ac:dyDescent="0.35">
      <c r="A135" s="163" t="s">
        <v>508</v>
      </c>
      <c r="B135" s="204" t="str">
        <f>IFERROR(INDEX('Annex 1 LV, HV and UMS charges'!$B$12:$B$43,MATCH($A135,'Annex 1 LV, HV and UMS charges'!$A$12:$A$43,0)),IF(INDEX('Annex 4 LDNO charges'!$B$10:$B$199,MATCH($A135,'Annex 4 LDNO charges'!$A$10:$A$199,0))=0,"",INDEX('Annex 4 LDNO charges'!$B$10:$B$199,MATCH($A135,'Annex 4 LDNO charges'!$A$10:$A$199,0))))</f>
        <v>J53</v>
      </c>
      <c r="C135" s="205">
        <f>IFERROR(INDEX('Annex 1 LV, HV and UMS charges'!$C$12:$C$43,MATCH($A135,'Annex 1 LV, HV and UMS charges'!$A$12:$A$43,0)),INDEX('Annex 4 LDNO charges'!$C$10:$C$199,MATCH($A135,'Annex 4 LDNO charges'!$A$10:$A$199,0)))</f>
        <v>0</v>
      </c>
      <c r="D135" s="179"/>
      <c r="E135" s="220">
        <v>0</v>
      </c>
    </row>
    <row r="136" spans="1:5" ht="27.75" customHeight="1" x14ac:dyDescent="0.35">
      <c r="A136" s="163" t="s">
        <v>509</v>
      </c>
      <c r="B136" s="204" t="str">
        <f>IFERROR(INDEX('Annex 1 LV, HV and UMS charges'!$B$12:$B$43,MATCH($A136,'Annex 1 LV, HV and UMS charges'!$A$12:$A$43,0)),IF(INDEX('Annex 4 LDNO charges'!$B$10:$B$199,MATCH($A136,'Annex 4 LDNO charges'!$A$10:$A$199,0))=0,"",INDEX('Annex 4 LDNO charges'!$B$10:$B$199,MATCH($A136,'Annex 4 LDNO charges'!$A$10:$A$199,0))))</f>
        <v>J54</v>
      </c>
      <c r="C136" s="205">
        <f>IFERROR(INDEX('Annex 1 LV, HV and UMS charges'!$C$12:$C$43,MATCH($A136,'Annex 1 LV, HV and UMS charges'!$A$12:$A$43,0)),INDEX('Annex 4 LDNO charges'!$C$10:$C$199,MATCH($A136,'Annex 4 LDNO charges'!$A$10:$A$199,0)))</f>
        <v>0</v>
      </c>
      <c r="D136" s="179"/>
      <c r="E136" s="220">
        <v>0</v>
      </c>
    </row>
    <row r="137" spans="1:5" ht="27.75" customHeight="1" x14ac:dyDescent="0.35">
      <c r="A137" s="163" t="s">
        <v>510</v>
      </c>
      <c r="B137" s="204" t="str">
        <f>IFERROR(INDEX('Annex 1 LV, HV and UMS charges'!$B$12:$B$43,MATCH($A137,'Annex 1 LV, HV and UMS charges'!$A$12:$A$43,0)),IF(INDEX('Annex 4 LDNO charges'!$B$10:$B$199,MATCH($A137,'Annex 4 LDNO charges'!$A$10:$A$199,0))=0,"",INDEX('Annex 4 LDNO charges'!$B$10:$B$199,MATCH($A137,'Annex 4 LDNO charges'!$A$10:$A$199,0))))</f>
        <v>K50</v>
      </c>
      <c r="C137" s="205">
        <f>IFERROR(INDEX('Annex 1 LV, HV and UMS charges'!$C$12:$C$43,MATCH($A137,'Annex 1 LV, HV and UMS charges'!$A$12:$A$43,0)),INDEX('Annex 4 LDNO charges'!$C$10:$C$199,MATCH($A137,'Annex 4 LDNO charges'!$A$10:$A$199,0)))</f>
        <v>0</v>
      </c>
      <c r="D137" s="179"/>
      <c r="E137" s="220">
        <v>0</v>
      </c>
    </row>
    <row r="138" spans="1:5" ht="27.75" customHeight="1" x14ac:dyDescent="0.35">
      <c r="A138" s="163" t="s">
        <v>511</v>
      </c>
      <c r="B138" s="204" t="str">
        <f>IFERROR(INDEX('Annex 1 LV, HV and UMS charges'!$B$12:$B$43,MATCH($A138,'Annex 1 LV, HV and UMS charges'!$A$12:$A$43,0)),IF(INDEX('Annex 4 LDNO charges'!$B$10:$B$199,MATCH($A138,'Annex 4 LDNO charges'!$A$10:$A$199,0))=0,"",INDEX('Annex 4 LDNO charges'!$B$10:$B$199,MATCH($A138,'Annex 4 LDNO charges'!$A$10:$A$199,0))))</f>
        <v>K51</v>
      </c>
      <c r="C138" s="205">
        <f>IFERROR(INDEX('Annex 1 LV, HV and UMS charges'!$C$12:$C$43,MATCH($A138,'Annex 1 LV, HV and UMS charges'!$A$12:$A$43,0)),INDEX('Annex 4 LDNO charges'!$C$10:$C$199,MATCH($A138,'Annex 4 LDNO charges'!$A$10:$A$199,0)))</f>
        <v>0</v>
      </c>
      <c r="D138" s="179"/>
      <c r="E138" s="220">
        <v>0</v>
      </c>
    </row>
    <row r="139" spans="1:5" ht="27.75" customHeight="1" x14ac:dyDescent="0.35">
      <c r="A139" s="163" t="s">
        <v>512</v>
      </c>
      <c r="B139" s="204" t="str">
        <f>IFERROR(INDEX('Annex 1 LV, HV and UMS charges'!$B$12:$B$43,MATCH($A139,'Annex 1 LV, HV and UMS charges'!$A$12:$A$43,0)),IF(INDEX('Annex 4 LDNO charges'!$B$10:$B$199,MATCH($A139,'Annex 4 LDNO charges'!$A$10:$A$199,0))=0,"",INDEX('Annex 4 LDNO charges'!$B$10:$B$199,MATCH($A139,'Annex 4 LDNO charges'!$A$10:$A$199,0))))</f>
        <v>K52</v>
      </c>
      <c r="C139" s="205">
        <f>IFERROR(INDEX('Annex 1 LV, HV and UMS charges'!$C$12:$C$43,MATCH($A139,'Annex 1 LV, HV and UMS charges'!$A$12:$A$43,0)),INDEX('Annex 4 LDNO charges'!$C$10:$C$199,MATCH($A139,'Annex 4 LDNO charges'!$A$10:$A$199,0)))</f>
        <v>0</v>
      </c>
      <c r="D139" s="179"/>
      <c r="E139" s="220">
        <v>0</v>
      </c>
    </row>
    <row r="140" spans="1:5" ht="27.75" customHeight="1" x14ac:dyDescent="0.35">
      <c r="A140" s="163" t="s">
        <v>513</v>
      </c>
      <c r="B140" s="204" t="str">
        <f>IFERROR(INDEX('Annex 1 LV, HV and UMS charges'!$B$12:$B$43,MATCH($A140,'Annex 1 LV, HV and UMS charges'!$A$12:$A$43,0)),IF(INDEX('Annex 4 LDNO charges'!$B$10:$B$199,MATCH($A140,'Annex 4 LDNO charges'!$A$10:$A$199,0))=0,"",INDEX('Annex 4 LDNO charges'!$B$10:$B$199,MATCH($A140,'Annex 4 LDNO charges'!$A$10:$A$199,0))))</f>
        <v>K53</v>
      </c>
      <c r="C140" s="205">
        <f>IFERROR(INDEX('Annex 1 LV, HV and UMS charges'!$C$12:$C$43,MATCH($A140,'Annex 1 LV, HV and UMS charges'!$A$12:$A$43,0)),INDEX('Annex 4 LDNO charges'!$C$10:$C$199,MATCH($A140,'Annex 4 LDNO charges'!$A$10:$A$199,0)))</f>
        <v>0</v>
      </c>
      <c r="D140" s="179"/>
      <c r="E140" s="220">
        <v>0</v>
      </c>
    </row>
    <row r="141" spans="1:5" ht="27.75" customHeight="1" x14ac:dyDescent="0.35">
      <c r="A141" s="163" t="s">
        <v>514</v>
      </c>
      <c r="B141" s="204" t="str">
        <f>IFERROR(INDEX('Annex 1 LV, HV and UMS charges'!$B$12:$B$43,MATCH($A141,'Annex 1 LV, HV and UMS charges'!$A$12:$A$43,0)),IF(INDEX('Annex 4 LDNO charges'!$B$10:$B$199,MATCH($A141,'Annex 4 LDNO charges'!$A$10:$A$199,0))=0,"",INDEX('Annex 4 LDNO charges'!$B$10:$B$199,MATCH($A141,'Annex 4 LDNO charges'!$A$10:$A$199,0))))</f>
        <v>K54</v>
      </c>
      <c r="C141" s="205">
        <f>IFERROR(INDEX('Annex 1 LV, HV and UMS charges'!$C$12:$C$43,MATCH($A141,'Annex 1 LV, HV and UMS charges'!$A$12:$A$43,0)),INDEX('Annex 4 LDNO charges'!$C$10:$C$199,MATCH($A141,'Annex 4 LDNO charges'!$A$10:$A$199,0)))</f>
        <v>0</v>
      </c>
      <c r="D141" s="179"/>
      <c r="E141" s="220">
        <v>0</v>
      </c>
    </row>
    <row r="142" spans="1:5" ht="27.75" customHeight="1" x14ac:dyDescent="0.35">
      <c r="A142" s="163" t="s">
        <v>619</v>
      </c>
      <c r="B142" s="204" t="str">
        <f>IFERROR(INDEX('Annex 1 LV, HV and UMS charges'!$B$12:$B$43,MATCH($A142,'Annex 1 LV, HV and UMS charges'!$A$12:$A$43,0)),IF(INDEX('Annex 4 LDNO charges'!$B$10:$B$199,MATCH($A142,'Annex 4 LDNO charges'!$A$10:$A$199,0))=0,"",INDEX('Annex 4 LDNO charges'!$B$10:$B$199,MATCH($A142,'Annex 4 LDNO charges'!$A$10:$A$199,0))))</f>
        <v>A60</v>
      </c>
      <c r="C142" s="205" t="str">
        <f>IFERROR(INDEX('Annex 1 LV, HV and UMS charges'!$C$12:$C$43,MATCH($A142,'Annex 1 LV, HV and UMS charges'!$A$12:$A$43,0)),INDEX('Annex 4 LDNO charges'!$C$10:$C$199,MATCH($A142,'Annex 4 LDNO charges'!$A$10:$A$199,0)))</f>
        <v>0, 1, 2</v>
      </c>
      <c r="D142" s="220">
        <v>0</v>
      </c>
      <c r="E142" s="220">
        <v>0</v>
      </c>
    </row>
    <row r="143" spans="1:5" ht="27.75" customHeight="1" x14ac:dyDescent="0.35">
      <c r="A143" s="163" t="s">
        <v>620</v>
      </c>
      <c r="B143" s="204" t="str">
        <f>IFERROR(INDEX('Annex 1 LV, HV and UMS charges'!$B$12:$B$43,MATCH($A143,'Annex 1 LV, HV and UMS charges'!$A$12:$A$43,0)),IF(INDEX('Annex 4 LDNO charges'!$B$10:$B$199,MATCH($A143,'Annex 4 LDNO charges'!$A$10:$A$199,0))=0,"",INDEX('Annex 4 LDNO charges'!$B$10:$B$199,MATCH($A143,'Annex 4 LDNO charges'!$A$10:$A$199,0))))</f>
        <v>C60</v>
      </c>
      <c r="C143" s="205" t="str">
        <f>IFERROR(INDEX('Annex 1 LV, HV and UMS charges'!$C$12:$C$43,MATCH($A143,'Annex 1 LV, HV and UMS charges'!$A$12:$A$43,0)),INDEX('Annex 4 LDNO charges'!$C$10:$C$199,MATCH($A143,'Annex 4 LDNO charges'!$A$10:$A$199,0)))</f>
        <v>0, 3, 4, 5-8</v>
      </c>
      <c r="D143" s="179"/>
      <c r="E143" s="220">
        <v>0</v>
      </c>
    </row>
    <row r="144" spans="1:5" ht="27.75" customHeight="1" x14ac:dyDescent="0.35">
      <c r="A144" s="163" t="s">
        <v>621</v>
      </c>
      <c r="B144" s="204" t="str">
        <f>IFERROR(INDEX('Annex 1 LV, HV and UMS charges'!$B$12:$B$43,MATCH($A144,'Annex 1 LV, HV and UMS charges'!$A$12:$A$43,0)),IF(INDEX('Annex 4 LDNO charges'!$B$10:$B$199,MATCH($A144,'Annex 4 LDNO charges'!$A$10:$A$199,0))=0,"",INDEX('Annex 4 LDNO charges'!$B$10:$B$199,MATCH($A144,'Annex 4 LDNO charges'!$A$10:$A$199,0))))</f>
        <v>C61</v>
      </c>
      <c r="C144" s="205" t="str">
        <f>IFERROR(INDEX('Annex 1 LV, HV and UMS charges'!$C$12:$C$43,MATCH($A144,'Annex 1 LV, HV and UMS charges'!$A$12:$A$43,0)),INDEX('Annex 4 LDNO charges'!$C$10:$C$199,MATCH($A144,'Annex 4 LDNO charges'!$A$10:$A$199,0)))</f>
        <v>0, 3, 4, 5-8</v>
      </c>
      <c r="D144" s="179"/>
      <c r="E144" s="220">
        <v>0</v>
      </c>
    </row>
    <row r="145" spans="1:5" ht="27.75" customHeight="1" x14ac:dyDescent="0.35">
      <c r="A145" s="163" t="s">
        <v>622</v>
      </c>
      <c r="B145" s="204" t="str">
        <f>IFERROR(INDEX('Annex 1 LV, HV and UMS charges'!$B$12:$B$43,MATCH($A145,'Annex 1 LV, HV and UMS charges'!$A$12:$A$43,0)),IF(INDEX('Annex 4 LDNO charges'!$B$10:$B$199,MATCH($A145,'Annex 4 LDNO charges'!$A$10:$A$199,0))=0,"",INDEX('Annex 4 LDNO charges'!$B$10:$B$199,MATCH($A145,'Annex 4 LDNO charges'!$A$10:$A$199,0))))</f>
        <v>C62</v>
      </c>
      <c r="C145" s="205" t="str">
        <f>IFERROR(INDEX('Annex 1 LV, HV and UMS charges'!$C$12:$C$43,MATCH($A145,'Annex 1 LV, HV and UMS charges'!$A$12:$A$43,0)),INDEX('Annex 4 LDNO charges'!$C$10:$C$199,MATCH($A145,'Annex 4 LDNO charges'!$A$10:$A$199,0)))</f>
        <v>0, 3, 4, 5-8</v>
      </c>
      <c r="D145" s="179"/>
      <c r="E145" s="220">
        <v>0</v>
      </c>
    </row>
    <row r="146" spans="1:5" ht="27.75" customHeight="1" x14ac:dyDescent="0.35">
      <c r="A146" s="163" t="s">
        <v>623</v>
      </c>
      <c r="B146" s="204" t="str">
        <f>IFERROR(INDEX('Annex 1 LV, HV and UMS charges'!$B$12:$B$43,MATCH($A146,'Annex 1 LV, HV and UMS charges'!$A$12:$A$43,0)),IF(INDEX('Annex 4 LDNO charges'!$B$10:$B$199,MATCH($A146,'Annex 4 LDNO charges'!$A$10:$A$199,0))=0,"",INDEX('Annex 4 LDNO charges'!$B$10:$B$199,MATCH($A146,'Annex 4 LDNO charges'!$A$10:$A$199,0))))</f>
        <v>C63</v>
      </c>
      <c r="C146" s="205" t="str">
        <f>IFERROR(INDEX('Annex 1 LV, HV and UMS charges'!$C$12:$C$43,MATCH($A146,'Annex 1 LV, HV and UMS charges'!$A$12:$A$43,0)),INDEX('Annex 4 LDNO charges'!$C$10:$C$199,MATCH($A146,'Annex 4 LDNO charges'!$A$10:$A$199,0)))</f>
        <v>0, 3, 4, 5-8</v>
      </c>
      <c r="D146" s="179"/>
      <c r="E146" s="220">
        <v>0</v>
      </c>
    </row>
    <row r="147" spans="1:5" ht="27.75" customHeight="1" x14ac:dyDescent="0.35">
      <c r="A147" s="163" t="s">
        <v>624</v>
      </c>
      <c r="B147" s="204" t="str">
        <f>IFERROR(INDEX('Annex 1 LV, HV and UMS charges'!$B$12:$B$43,MATCH($A147,'Annex 1 LV, HV and UMS charges'!$A$12:$A$43,0)),IF(INDEX('Annex 4 LDNO charges'!$B$10:$B$199,MATCH($A147,'Annex 4 LDNO charges'!$A$10:$A$199,0))=0,"",INDEX('Annex 4 LDNO charges'!$B$10:$B$199,MATCH($A147,'Annex 4 LDNO charges'!$A$10:$A$199,0))))</f>
        <v>C64</v>
      </c>
      <c r="C147" s="205" t="str">
        <f>IFERROR(INDEX('Annex 1 LV, HV and UMS charges'!$C$12:$C$43,MATCH($A147,'Annex 1 LV, HV and UMS charges'!$A$12:$A$43,0)),INDEX('Annex 4 LDNO charges'!$C$10:$C$199,MATCH($A147,'Annex 4 LDNO charges'!$A$10:$A$199,0)))</f>
        <v>0, 3, 4, 5-8</v>
      </c>
      <c r="D147" s="179"/>
      <c r="E147" s="220">
        <v>0</v>
      </c>
    </row>
    <row r="148" spans="1:5" ht="27.75" customHeight="1" x14ac:dyDescent="0.35">
      <c r="A148" s="163" t="s">
        <v>485</v>
      </c>
      <c r="B148" s="204" t="str">
        <f>IFERROR(INDEX('Annex 1 LV, HV and UMS charges'!$B$12:$B$43,MATCH($A148,'Annex 1 LV, HV and UMS charges'!$A$12:$A$43,0)),IF(INDEX('Annex 4 LDNO charges'!$B$10:$B$199,MATCH($A148,'Annex 4 LDNO charges'!$A$10:$A$199,0))=0,"",INDEX('Annex 4 LDNO charges'!$B$10:$B$199,MATCH($A148,'Annex 4 LDNO charges'!$A$10:$A$199,0))))</f>
        <v>E60</v>
      </c>
      <c r="C148" s="205">
        <f>IFERROR(INDEX('Annex 1 LV, HV and UMS charges'!$C$12:$C$43,MATCH($A148,'Annex 1 LV, HV and UMS charges'!$A$12:$A$43,0)),INDEX('Annex 4 LDNO charges'!$C$10:$C$199,MATCH($A148,'Annex 4 LDNO charges'!$A$10:$A$199,0)))</f>
        <v>0</v>
      </c>
      <c r="D148" s="179"/>
      <c r="E148" s="220">
        <v>0</v>
      </c>
    </row>
    <row r="149" spans="1:5" ht="27.75" customHeight="1" x14ac:dyDescent="0.35">
      <c r="A149" s="163" t="s">
        <v>486</v>
      </c>
      <c r="B149" s="204" t="str">
        <f>IFERROR(INDEX('Annex 1 LV, HV and UMS charges'!$B$12:$B$43,MATCH($A149,'Annex 1 LV, HV and UMS charges'!$A$12:$A$43,0)),IF(INDEX('Annex 4 LDNO charges'!$B$10:$B$199,MATCH($A149,'Annex 4 LDNO charges'!$A$10:$A$199,0))=0,"",INDEX('Annex 4 LDNO charges'!$B$10:$B$199,MATCH($A149,'Annex 4 LDNO charges'!$A$10:$A$199,0))))</f>
        <v>E61</v>
      </c>
      <c r="C149" s="205">
        <f>IFERROR(INDEX('Annex 1 LV, HV and UMS charges'!$C$12:$C$43,MATCH($A149,'Annex 1 LV, HV and UMS charges'!$A$12:$A$43,0)),INDEX('Annex 4 LDNO charges'!$C$10:$C$199,MATCH($A149,'Annex 4 LDNO charges'!$A$10:$A$199,0)))</f>
        <v>0</v>
      </c>
      <c r="D149" s="179"/>
      <c r="E149" s="220">
        <v>0</v>
      </c>
    </row>
    <row r="150" spans="1:5" ht="27.75" customHeight="1" x14ac:dyDescent="0.35">
      <c r="A150" s="163" t="s">
        <v>487</v>
      </c>
      <c r="B150" s="204" t="str">
        <f>IFERROR(INDEX('Annex 1 LV, HV and UMS charges'!$B$12:$B$43,MATCH($A150,'Annex 1 LV, HV and UMS charges'!$A$12:$A$43,0)),IF(INDEX('Annex 4 LDNO charges'!$B$10:$B$199,MATCH($A150,'Annex 4 LDNO charges'!$A$10:$A$199,0))=0,"",INDEX('Annex 4 LDNO charges'!$B$10:$B$199,MATCH($A150,'Annex 4 LDNO charges'!$A$10:$A$199,0))))</f>
        <v>E62</v>
      </c>
      <c r="C150" s="205">
        <f>IFERROR(INDEX('Annex 1 LV, HV and UMS charges'!$C$12:$C$43,MATCH($A150,'Annex 1 LV, HV and UMS charges'!$A$12:$A$43,0)),INDEX('Annex 4 LDNO charges'!$C$10:$C$199,MATCH($A150,'Annex 4 LDNO charges'!$A$10:$A$199,0)))</f>
        <v>0</v>
      </c>
      <c r="D150" s="179"/>
      <c r="E150" s="220">
        <v>0</v>
      </c>
    </row>
    <row r="151" spans="1:5" ht="27.75" customHeight="1" x14ac:dyDescent="0.35">
      <c r="A151" s="163" t="s">
        <v>488</v>
      </c>
      <c r="B151" s="204" t="str">
        <f>IFERROR(INDEX('Annex 1 LV, HV and UMS charges'!$B$12:$B$43,MATCH($A151,'Annex 1 LV, HV and UMS charges'!$A$12:$A$43,0)),IF(INDEX('Annex 4 LDNO charges'!$B$10:$B$199,MATCH($A151,'Annex 4 LDNO charges'!$A$10:$A$199,0))=0,"",INDEX('Annex 4 LDNO charges'!$B$10:$B$199,MATCH($A151,'Annex 4 LDNO charges'!$A$10:$A$199,0))))</f>
        <v>E63</v>
      </c>
      <c r="C151" s="205">
        <f>IFERROR(INDEX('Annex 1 LV, HV and UMS charges'!$C$12:$C$43,MATCH($A151,'Annex 1 LV, HV and UMS charges'!$A$12:$A$43,0)),INDEX('Annex 4 LDNO charges'!$C$10:$C$199,MATCH($A151,'Annex 4 LDNO charges'!$A$10:$A$199,0)))</f>
        <v>0</v>
      </c>
      <c r="D151" s="179"/>
      <c r="E151" s="220">
        <v>0</v>
      </c>
    </row>
    <row r="152" spans="1:5" ht="27.75" customHeight="1" x14ac:dyDescent="0.35">
      <c r="A152" s="163" t="s">
        <v>489</v>
      </c>
      <c r="B152" s="204" t="str">
        <f>IFERROR(INDEX('Annex 1 LV, HV and UMS charges'!$B$12:$B$43,MATCH($A152,'Annex 1 LV, HV and UMS charges'!$A$12:$A$43,0)),IF(INDEX('Annex 4 LDNO charges'!$B$10:$B$199,MATCH($A152,'Annex 4 LDNO charges'!$A$10:$A$199,0))=0,"",INDEX('Annex 4 LDNO charges'!$B$10:$B$199,MATCH($A152,'Annex 4 LDNO charges'!$A$10:$A$199,0))))</f>
        <v>E64</v>
      </c>
      <c r="C152" s="205">
        <f>IFERROR(INDEX('Annex 1 LV, HV and UMS charges'!$C$12:$C$43,MATCH($A152,'Annex 1 LV, HV and UMS charges'!$A$12:$A$43,0)),INDEX('Annex 4 LDNO charges'!$C$10:$C$199,MATCH($A152,'Annex 4 LDNO charges'!$A$10:$A$199,0)))</f>
        <v>0</v>
      </c>
      <c r="D152" s="179"/>
      <c r="E152" s="220">
        <v>0</v>
      </c>
    </row>
    <row r="153" spans="1:5" ht="27.75" customHeight="1" x14ac:dyDescent="0.35">
      <c r="A153" s="163" t="s">
        <v>490</v>
      </c>
      <c r="B153" s="204" t="str">
        <f>IFERROR(INDEX('Annex 1 LV, HV and UMS charges'!$B$12:$B$43,MATCH($A153,'Annex 1 LV, HV and UMS charges'!$A$12:$A$43,0)),IF(INDEX('Annex 4 LDNO charges'!$B$10:$B$199,MATCH($A153,'Annex 4 LDNO charges'!$A$10:$A$199,0))=0,"",INDEX('Annex 4 LDNO charges'!$B$10:$B$199,MATCH($A153,'Annex 4 LDNO charges'!$A$10:$A$199,0))))</f>
        <v>J60</v>
      </c>
      <c r="C153" s="205">
        <f>IFERROR(INDEX('Annex 1 LV, HV and UMS charges'!$C$12:$C$43,MATCH($A153,'Annex 1 LV, HV and UMS charges'!$A$12:$A$43,0)),INDEX('Annex 4 LDNO charges'!$C$10:$C$199,MATCH($A153,'Annex 4 LDNO charges'!$A$10:$A$199,0)))</f>
        <v>0</v>
      </c>
      <c r="D153" s="179"/>
      <c r="E153" s="220">
        <v>0</v>
      </c>
    </row>
    <row r="154" spans="1:5" ht="27.75" customHeight="1" x14ac:dyDescent="0.35">
      <c r="A154" s="163" t="s">
        <v>491</v>
      </c>
      <c r="B154" s="204" t="str">
        <f>IFERROR(INDEX('Annex 1 LV, HV and UMS charges'!$B$12:$B$43,MATCH($A154,'Annex 1 LV, HV and UMS charges'!$A$12:$A$43,0)),IF(INDEX('Annex 4 LDNO charges'!$B$10:$B$199,MATCH($A154,'Annex 4 LDNO charges'!$A$10:$A$199,0))=0,"",INDEX('Annex 4 LDNO charges'!$B$10:$B$199,MATCH($A154,'Annex 4 LDNO charges'!$A$10:$A$199,0))))</f>
        <v>J61</v>
      </c>
      <c r="C154" s="205">
        <f>IFERROR(INDEX('Annex 1 LV, HV and UMS charges'!$C$12:$C$43,MATCH($A154,'Annex 1 LV, HV and UMS charges'!$A$12:$A$43,0)),INDEX('Annex 4 LDNO charges'!$C$10:$C$199,MATCH($A154,'Annex 4 LDNO charges'!$A$10:$A$199,0)))</f>
        <v>0</v>
      </c>
      <c r="D154" s="179"/>
      <c r="E154" s="220">
        <v>0</v>
      </c>
    </row>
    <row r="155" spans="1:5" ht="27.75" customHeight="1" x14ac:dyDescent="0.35">
      <c r="A155" s="163" t="s">
        <v>492</v>
      </c>
      <c r="B155" s="204" t="str">
        <f>IFERROR(INDEX('Annex 1 LV, HV and UMS charges'!$B$12:$B$43,MATCH($A155,'Annex 1 LV, HV and UMS charges'!$A$12:$A$43,0)),IF(INDEX('Annex 4 LDNO charges'!$B$10:$B$199,MATCH($A155,'Annex 4 LDNO charges'!$A$10:$A$199,0))=0,"",INDEX('Annex 4 LDNO charges'!$B$10:$B$199,MATCH($A155,'Annex 4 LDNO charges'!$A$10:$A$199,0))))</f>
        <v>J62</v>
      </c>
      <c r="C155" s="205">
        <f>IFERROR(INDEX('Annex 1 LV, HV and UMS charges'!$C$12:$C$43,MATCH($A155,'Annex 1 LV, HV and UMS charges'!$A$12:$A$43,0)),INDEX('Annex 4 LDNO charges'!$C$10:$C$199,MATCH($A155,'Annex 4 LDNO charges'!$A$10:$A$199,0)))</f>
        <v>0</v>
      </c>
      <c r="D155" s="179"/>
      <c r="E155" s="220">
        <v>0</v>
      </c>
    </row>
    <row r="156" spans="1:5" ht="27.75" customHeight="1" x14ac:dyDescent="0.35">
      <c r="A156" s="163" t="s">
        <v>493</v>
      </c>
      <c r="B156" s="204" t="str">
        <f>IFERROR(INDEX('Annex 1 LV, HV and UMS charges'!$B$12:$B$43,MATCH($A156,'Annex 1 LV, HV and UMS charges'!$A$12:$A$43,0)),IF(INDEX('Annex 4 LDNO charges'!$B$10:$B$199,MATCH($A156,'Annex 4 LDNO charges'!$A$10:$A$199,0))=0,"",INDEX('Annex 4 LDNO charges'!$B$10:$B$199,MATCH($A156,'Annex 4 LDNO charges'!$A$10:$A$199,0))))</f>
        <v>J63</v>
      </c>
      <c r="C156" s="205">
        <f>IFERROR(INDEX('Annex 1 LV, HV and UMS charges'!$C$12:$C$43,MATCH($A156,'Annex 1 LV, HV and UMS charges'!$A$12:$A$43,0)),INDEX('Annex 4 LDNO charges'!$C$10:$C$199,MATCH($A156,'Annex 4 LDNO charges'!$A$10:$A$199,0)))</f>
        <v>0</v>
      </c>
      <c r="D156" s="179"/>
      <c r="E156" s="220">
        <v>0</v>
      </c>
    </row>
    <row r="157" spans="1:5" ht="27.75" customHeight="1" x14ac:dyDescent="0.35">
      <c r="A157" s="163" t="s">
        <v>494</v>
      </c>
      <c r="B157" s="204" t="str">
        <f>IFERROR(INDEX('Annex 1 LV, HV and UMS charges'!$B$12:$B$43,MATCH($A157,'Annex 1 LV, HV and UMS charges'!$A$12:$A$43,0)),IF(INDEX('Annex 4 LDNO charges'!$B$10:$B$199,MATCH($A157,'Annex 4 LDNO charges'!$A$10:$A$199,0))=0,"",INDEX('Annex 4 LDNO charges'!$B$10:$B$199,MATCH($A157,'Annex 4 LDNO charges'!$A$10:$A$199,0))))</f>
        <v>J64</v>
      </c>
      <c r="C157" s="205">
        <f>IFERROR(INDEX('Annex 1 LV, HV and UMS charges'!$C$12:$C$43,MATCH($A157,'Annex 1 LV, HV and UMS charges'!$A$12:$A$43,0)),INDEX('Annex 4 LDNO charges'!$C$10:$C$199,MATCH($A157,'Annex 4 LDNO charges'!$A$10:$A$199,0)))</f>
        <v>0</v>
      </c>
      <c r="D157" s="179"/>
      <c r="E157" s="220">
        <v>0</v>
      </c>
    </row>
    <row r="158" spans="1:5" ht="27.75" customHeight="1" x14ac:dyDescent="0.35">
      <c r="A158" s="163" t="s">
        <v>495</v>
      </c>
      <c r="B158" s="204" t="str">
        <f>IFERROR(INDEX('Annex 1 LV, HV and UMS charges'!$B$12:$B$43,MATCH($A158,'Annex 1 LV, HV and UMS charges'!$A$12:$A$43,0)),IF(INDEX('Annex 4 LDNO charges'!$B$10:$B$199,MATCH($A158,'Annex 4 LDNO charges'!$A$10:$A$199,0))=0,"",INDEX('Annex 4 LDNO charges'!$B$10:$B$199,MATCH($A158,'Annex 4 LDNO charges'!$A$10:$A$199,0))))</f>
        <v>K60</v>
      </c>
      <c r="C158" s="205">
        <f>IFERROR(INDEX('Annex 1 LV, HV and UMS charges'!$C$12:$C$43,MATCH($A158,'Annex 1 LV, HV and UMS charges'!$A$12:$A$43,0)),INDEX('Annex 4 LDNO charges'!$C$10:$C$199,MATCH($A158,'Annex 4 LDNO charges'!$A$10:$A$199,0)))</f>
        <v>0</v>
      </c>
      <c r="D158" s="179"/>
      <c r="E158" s="220">
        <v>0</v>
      </c>
    </row>
    <row r="159" spans="1:5" ht="27.75" customHeight="1" x14ac:dyDescent="0.35">
      <c r="A159" s="163" t="s">
        <v>496</v>
      </c>
      <c r="B159" s="204" t="str">
        <f>IFERROR(INDEX('Annex 1 LV, HV and UMS charges'!$B$12:$B$43,MATCH($A159,'Annex 1 LV, HV and UMS charges'!$A$12:$A$43,0)),IF(INDEX('Annex 4 LDNO charges'!$B$10:$B$199,MATCH($A159,'Annex 4 LDNO charges'!$A$10:$A$199,0))=0,"",INDEX('Annex 4 LDNO charges'!$B$10:$B$199,MATCH($A159,'Annex 4 LDNO charges'!$A$10:$A$199,0))))</f>
        <v>K61</v>
      </c>
      <c r="C159" s="205">
        <f>IFERROR(INDEX('Annex 1 LV, HV and UMS charges'!$C$12:$C$43,MATCH($A159,'Annex 1 LV, HV and UMS charges'!$A$12:$A$43,0)),INDEX('Annex 4 LDNO charges'!$C$10:$C$199,MATCH($A159,'Annex 4 LDNO charges'!$A$10:$A$199,0)))</f>
        <v>0</v>
      </c>
      <c r="D159" s="179"/>
      <c r="E159" s="220">
        <v>0</v>
      </c>
    </row>
    <row r="160" spans="1:5" ht="27.75" customHeight="1" x14ac:dyDescent="0.35">
      <c r="A160" s="163" t="s">
        <v>497</v>
      </c>
      <c r="B160" s="204" t="str">
        <f>IFERROR(INDEX('Annex 1 LV, HV and UMS charges'!$B$12:$B$43,MATCH($A160,'Annex 1 LV, HV and UMS charges'!$A$12:$A$43,0)),IF(INDEX('Annex 4 LDNO charges'!$B$10:$B$199,MATCH($A160,'Annex 4 LDNO charges'!$A$10:$A$199,0))=0,"",INDEX('Annex 4 LDNO charges'!$B$10:$B$199,MATCH($A160,'Annex 4 LDNO charges'!$A$10:$A$199,0))))</f>
        <v>K62</v>
      </c>
      <c r="C160" s="205">
        <f>IFERROR(INDEX('Annex 1 LV, HV and UMS charges'!$C$12:$C$43,MATCH($A160,'Annex 1 LV, HV and UMS charges'!$A$12:$A$43,0)),INDEX('Annex 4 LDNO charges'!$C$10:$C$199,MATCH($A160,'Annex 4 LDNO charges'!$A$10:$A$199,0)))</f>
        <v>0</v>
      </c>
      <c r="D160" s="179"/>
      <c r="E160" s="220">
        <v>0</v>
      </c>
    </row>
    <row r="161" spans="1:5" ht="27.75" customHeight="1" x14ac:dyDescent="0.35">
      <c r="A161" s="163" t="s">
        <v>498</v>
      </c>
      <c r="B161" s="204" t="str">
        <f>IFERROR(INDEX('Annex 1 LV, HV and UMS charges'!$B$12:$B$43,MATCH($A161,'Annex 1 LV, HV and UMS charges'!$A$12:$A$43,0)),IF(INDEX('Annex 4 LDNO charges'!$B$10:$B$199,MATCH($A161,'Annex 4 LDNO charges'!$A$10:$A$199,0))=0,"",INDEX('Annex 4 LDNO charges'!$B$10:$B$199,MATCH($A161,'Annex 4 LDNO charges'!$A$10:$A$199,0))))</f>
        <v>K63</v>
      </c>
      <c r="C161" s="205">
        <f>IFERROR(INDEX('Annex 1 LV, HV and UMS charges'!$C$12:$C$43,MATCH($A161,'Annex 1 LV, HV and UMS charges'!$A$12:$A$43,0)),INDEX('Annex 4 LDNO charges'!$C$10:$C$199,MATCH($A161,'Annex 4 LDNO charges'!$A$10:$A$199,0)))</f>
        <v>0</v>
      </c>
      <c r="D161" s="179"/>
      <c r="E161" s="220">
        <v>0</v>
      </c>
    </row>
    <row r="162" spans="1:5" ht="27.75" customHeight="1" x14ac:dyDescent="0.35">
      <c r="A162" s="163" t="s">
        <v>499</v>
      </c>
      <c r="B162" s="204" t="str">
        <f>IFERROR(INDEX('Annex 1 LV, HV and UMS charges'!$B$12:$B$43,MATCH($A162,'Annex 1 LV, HV and UMS charges'!$A$12:$A$43,0)),IF(INDEX('Annex 4 LDNO charges'!$B$10:$B$199,MATCH($A162,'Annex 4 LDNO charges'!$A$10:$A$199,0))=0,"",INDEX('Annex 4 LDNO charges'!$B$10:$B$199,MATCH($A162,'Annex 4 LDNO charges'!$A$10:$A$199,0))))</f>
        <v>K64</v>
      </c>
      <c r="C162" s="205">
        <f>IFERROR(INDEX('Annex 1 LV, HV and UMS charges'!$C$12:$C$43,MATCH($A162,'Annex 1 LV, HV and UMS charges'!$A$12:$A$43,0)),INDEX('Annex 4 LDNO charges'!$C$10:$C$199,MATCH($A162,'Annex 4 LDNO charges'!$A$10:$A$199,0)))</f>
        <v>0</v>
      </c>
      <c r="D162" s="179"/>
      <c r="E162" s="220">
        <v>0</v>
      </c>
    </row>
    <row r="163" spans="1:5" ht="27.75" customHeight="1" x14ac:dyDescent="0.35">
      <c r="A163" s="2" t="s">
        <v>663</v>
      </c>
      <c r="B163" s="2"/>
      <c r="C163" s="3"/>
    </row>
    <row r="164" spans="1:5" ht="27.75" customHeight="1" x14ac:dyDescent="0.35">
      <c r="A164" s="2" t="s">
        <v>664</v>
      </c>
      <c r="B164" s="2"/>
      <c r="C164" s="3"/>
    </row>
  </sheetData>
  <mergeCells count="2">
    <mergeCell ref="A2:E2"/>
    <mergeCell ref="B1:C1"/>
  </mergeCells>
  <hyperlinks>
    <hyperlink ref="A1" location="Overview!A1" display="Back to Overview" xr:uid="{00000000-0004-0000-0900-000000000000}"/>
  </hyperlinks>
  <pageMargins left="0.39370078740157483" right="0.39370078740157483" top="0.9055118110236221" bottom="0.74803149606299213" header="0.51181102362204722" footer="0.51181102362204722"/>
  <pageSetup paperSize="9" scale="78" fitToHeight="10" orientation="portrait" r:id="rId1"/>
  <headerFooter scaleWithDoc="0">
    <oddHeader>&amp;L&amp;"Arial,Bold"
&amp;"Arial,Regular"Annex 7&amp;"Arial,Bold" &amp;"Arial,Regular"- Schedule of Charges to recover Excess Supplier of Last Resort pass-through costs</oddHeader>
    <oddFooter>&amp;C&amp;P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pageSetUpPr fitToPage="1"/>
  </sheetPr>
  <dimension ref="A1:D385"/>
  <sheetViews>
    <sheetView zoomScale="90" zoomScaleNormal="90" zoomScaleSheetLayoutView="100" workbookViewId="0"/>
  </sheetViews>
  <sheetFormatPr defaultColWidth="9.1328125" defaultRowHeight="27.75" customHeight="1" x14ac:dyDescent="0.35"/>
  <cols>
    <col min="1" max="1" width="29.86328125" style="2" customWidth="1"/>
    <col min="2" max="2" width="48.59765625" style="2" customWidth="1"/>
    <col min="3" max="4" width="23.73046875" style="3" customWidth="1"/>
    <col min="5" max="16384" width="9.1328125" style="2"/>
  </cols>
  <sheetData>
    <row r="1" spans="1:4" ht="27.75" customHeight="1" x14ac:dyDescent="0.35">
      <c r="A1" s="13" t="s">
        <v>16</v>
      </c>
      <c r="B1" s="3"/>
      <c r="C1" s="2"/>
    </row>
    <row r="2" spans="1:4" s="11" customFormat="1" ht="22.5" customHeight="1" x14ac:dyDescent="0.35">
      <c r="A2" s="257" t="str">
        <f>Overview!B4&amp; " - Effective from "&amp;Overview!D4&amp;" - "&amp;Overview!E4&amp;" Nodal/Zonal charges"</f>
        <v>South Eastern Power Networks - Effective from 1 April 2026 - Final Nodal/Zonal charges</v>
      </c>
      <c r="B2" s="258"/>
      <c r="C2" s="258"/>
      <c r="D2" s="259"/>
    </row>
    <row r="3" spans="1:4" s="11" customFormat="1" ht="9" customHeight="1" x14ac:dyDescent="0.35"/>
    <row r="4" spans="1:4" ht="60.75" customHeight="1" x14ac:dyDescent="0.35">
      <c r="A4" s="20" t="s">
        <v>45</v>
      </c>
      <c r="B4" s="20" t="s">
        <v>0</v>
      </c>
      <c r="C4" s="20" t="s">
        <v>29</v>
      </c>
      <c r="D4" s="20" t="s">
        <v>30</v>
      </c>
    </row>
    <row r="5" spans="1:4" ht="21.75" customHeight="1" x14ac:dyDescent="0.35">
      <c r="A5" s="7" t="s">
        <v>1050</v>
      </c>
      <c r="B5" s="8" t="s">
        <v>1051</v>
      </c>
      <c r="C5" s="199">
        <v>1.4814739599344795E-2</v>
      </c>
      <c r="D5" s="199">
        <v>10.307327831752374</v>
      </c>
    </row>
    <row r="6" spans="1:4" ht="21.75" customHeight="1" x14ac:dyDescent="0.35">
      <c r="A6" s="7" t="s">
        <v>1052</v>
      </c>
      <c r="B6" s="8" t="s">
        <v>1053</v>
      </c>
      <c r="C6" s="199">
        <v>0.21802705485807902</v>
      </c>
      <c r="D6" s="199">
        <v>9.9760148608444972</v>
      </c>
    </row>
    <row r="7" spans="1:4" ht="21.75" customHeight="1" x14ac:dyDescent="0.35">
      <c r="A7" s="7" t="s">
        <v>1054</v>
      </c>
      <c r="B7" s="8" t="s">
        <v>1053</v>
      </c>
      <c r="C7" s="199">
        <v>1.4596959395357774E-2</v>
      </c>
      <c r="D7" s="199">
        <v>10.340609784854918</v>
      </c>
    </row>
    <row r="8" spans="1:4" ht="21.75" customHeight="1" x14ac:dyDescent="0.35">
      <c r="A8" s="7" t="s">
        <v>1055</v>
      </c>
      <c r="B8" s="8" t="s">
        <v>1056</v>
      </c>
      <c r="C8" s="199">
        <v>1.171723398545401</v>
      </c>
      <c r="D8" s="199">
        <v>7.0376737470472008</v>
      </c>
    </row>
    <row r="9" spans="1:4" ht="21.75" customHeight="1" x14ac:dyDescent="0.35">
      <c r="A9" s="7" t="s">
        <v>1057</v>
      </c>
      <c r="B9" s="8" t="s">
        <v>1056</v>
      </c>
      <c r="C9" s="199">
        <v>-0.16666038675456174</v>
      </c>
      <c r="D9" s="199">
        <v>24.503173249448899</v>
      </c>
    </row>
    <row r="10" spans="1:4" ht="21.75" customHeight="1" x14ac:dyDescent="0.35">
      <c r="A10" s="7" t="s">
        <v>1058</v>
      </c>
      <c r="B10" s="8" t="s">
        <v>1059</v>
      </c>
      <c r="C10" s="199">
        <v>1.254643271926595</v>
      </c>
      <c r="D10" s="199">
        <v>5.0845317849765186</v>
      </c>
    </row>
    <row r="11" spans="1:4" ht="21.75" customHeight="1" x14ac:dyDescent="0.35">
      <c r="A11" s="7" t="s">
        <v>1060</v>
      </c>
      <c r="B11" s="8" t="s">
        <v>1061</v>
      </c>
      <c r="C11" s="199">
        <v>0.57778415808380235</v>
      </c>
      <c r="D11" s="199">
        <v>0.15455323047717567</v>
      </c>
    </row>
    <row r="12" spans="1:4" ht="21.75" customHeight="1" x14ac:dyDescent="0.35">
      <c r="A12" s="7" t="s">
        <v>1062</v>
      </c>
      <c r="B12" s="8" t="s">
        <v>1063</v>
      </c>
      <c r="C12" s="199">
        <v>0.53180488197969322</v>
      </c>
      <c r="D12" s="199">
        <v>11.892779824504586</v>
      </c>
    </row>
    <row r="13" spans="1:4" ht="21.75" customHeight="1" x14ac:dyDescent="0.35">
      <c r="A13" s="7" t="s">
        <v>1064</v>
      </c>
      <c r="B13" s="8" t="s">
        <v>1065</v>
      </c>
      <c r="C13" s="199">
        <v>0.439484342917219</v>
      </c>
      <c r="D13" s="199">
        <v>23.565281768307962</v>
      </c>
    </row>
    <row r="14" spans="1:4" ht="21.75" customHeight="1" x14ac:dyDescent="0.35">
      <c r="A14" s="7" t="s">
        <v>1066</v>
      </c>
      <c r="B14" s="8" t="s">
        <v>1067</v>
      </c>
      <c r="C14" s="199">
        <v>1.3839700101970931</v>
      </c>
      <c r="D14" s="199">
        <v>10.574751328801778</v>
      </c>
    </row>
    <row r="15" spans="1:4" ht="21.75" customHeight="1" x14ac:dyDescent="0.35">
      <c r="A15" s="7" t="s">
        <v>1068</v>
      </c>
      <c r="B15" s="8" t="s">
        <v>1069</v>
      </c>
      <c r="C15" s="199">
        <v>2.346038249282361</v>
      </c>
      <c r="D15" s="199">
        <v>4.7555703344028304</v>
      </c>
    </row>
    <row r="16" spans="1:4" ht="21.75" customHeight="1" x14ac:dyDescent="0.35">
      <c r="A16" s="7" t="s">
        <v>1070</v>
      </c>
      <c r="B16" s="8" t="s">
        <v>1071</v>
      </c>
      <c r="C16" s="199">
        <v>0.75472572985641884</v>
      </c>
      <c r="D16" s="199">
        <v>3.0048727901942991</v>
      </c>
    </row>
    <row r="17" spans="1:4" ht="21.75" customHeight="1" x14ac:dyDescent="0.35">
      <c r="A17" s="7" t="s">
        <v>1072</v>
      </c>
      <c r="B17" s="8" t="s">
        <v>1073</v>
      </c>
      <c r="C17" s="199">
        <v>1.3312474728802886</v>
      </c>
      <c r="D17" s="199">
        <v>24.628309567769481</v>
      </c>
    </row>
    <row r="18" spans="1:4" ht="21.75" customHeight="1" x14ac:dyDescent="0.35">
      <c r="A18" s="7" t="s">
        <v>1074</v>
      </c>
      <c r="B18" s="8" t="s">
        <v>1075</v>
      </c>
      <c r="C18" s="199">
        <v>2.5755199526859895</v>
      </c>
      <c r="D18" s="199">
        <v>30.599903023318255</v>
      </c>
    </row>
    <row r="19" spans="1:4" ht="21.75" customHeight="1" x14ac:dyDescent="0.35">
      <c r="A19" s="7" t="s">
        <v>1076</v>
      </c>
      <c r="B19" s="8" t="s">
        <v>1077</v>
      </c>
      <c r="C19" s="199">
        <v>8.4842102460752442E-3</v>
      </c>
      <c r="D19" s="199">
        <v>1.0197392240396175</v>
      </c>
    </row>
    <row r="20" spans="1:4" ht="21.75" customHeight="1" x14ac:dyDescent="0.35">
      <c r="A20" s="7" t="s">
        <v>1078</v>
      </c>
      <c r="B20" s="8" t="s">
        <v>1077</v>
      </c>
      <c r="C20" s="199">
        <v>8.6270225441232549E-3</v>
      </c>
      <c r="D20" s="199">
        <v>1.0449495084979554</v>
      </c>
    </row>
    <row r="21" spans="1:4" ht="21.75" customHeight="1" x14ac:dyDescent="0.35">
      <c r="A21" s="7" t="s">
        <v>1079</v>
      </c>
      <c r="B21" s="8" t="s">
        <v>1080</v>
      </c>
      <c r="C21" s="199">
        <v>0.53752883684902097</v>
      </c>
      <c r="D21" s="199">
        <v>6.9996488033106772</v>
      </c>
    </row>
    <row r="22" spans="1:4" ht="21.75" customHeight="1" x14ac:dyDescent="0.35">
      <c r="A22" s="7" t="s">
        <v>1081</v>
      </c>
      <c r="B22" s="8" t="s">
        <v>1082</v>
      </c>
      <c r="C22" s="199">
        <v>1.3752871162956559</v>
      </c>
      <c r="D22" s="199">
        <v>11.12459866708512</v>
      </c>
    </row>
    <row r="23" spans="1:4" ht="21.75" customHeight="1" x14ac:dyDescent="0.35">
      <c r="A23" s="7" t="s">
        <v>1083</v>
      </c>
      <c r="B23" s="8" t="s">
        <v>1082</v>
      </c>
      <c r="C23" s="199">
        <v>1.2783210902818112</v>
      </c>
      <c r="D23" s="199">
        <v>6.6710057199656525</v>
      </c>
    </row>
    <row r="24" spans="1:4" ht="21.75" customHeight="1" x14ac:dyDescent="0.35">
      <c r="A24" s="7" t="s">
        <v>1084</v>
      </c>
      <c r="B24" s="8" t="s">
        <v>1085</v>
      </c>
      <c r="C24" s="199">
        <v>0.25702380277738951</v>
      </c>
      <c r="D24" s="199">
        <v>0.52028142259901344</v>
      </c>
    </row>
    <row r="25" spans="1:4" ht="21.75" customHeight="1" x14ac:dyDescent="0.35">
      <c r="A25" s="7" t="s">
        <v>1086</v>
      </c>
      <c r="B25" s="8" t="s">
        <v>1087</v>
      </c>
      <c r="C25" s="199">
        <v>1.5730276453852023</v>
      </c>
      <c r="D25" s="199">
        <v>12.415520461784961</v>
      </c>
    </row>
    <row r="26" spans="1:4" ht="21.75" customHeight="1" x14ac:dyDescent="0.35">
      <c r="A26" s="7" t="s">
        <v>1088</v>
      </c>
      <c r="B26" s="8" t="s">
        <v>1089</v>
      </c>
      <c r="C26" s="199">
        <v>0.4492804697700763</v>
      </c>
      <c r="D26" s="199">
        <v>20.489277741376185</v>
      </c>
    </row>
    <row r="27" spans="1:4" ht="21.75" customHeight="1" x14ac:dyDescent="0.35">
      <c r="A27" s="7" t="s">
        <v>1090</v>
      </c>
      <c r="B27" s="8" t="s">
        <v>1091</v>
      </c>
      <c r="C27" s="199">
        <v>0.13116763109974305</v>
      </c>
      <c r="D27" s="199">
        <v>3.6370750982752789</v>
      </c>
    </row>
    <row r="28" spans="1:4" ht="27.75" customHeight="1" x14ac:dyDescent="0.35">
      <c r="A28" s="7" t="s">
        <v>1092</v>
      </c>
      <c r="B28" s="8" t="s">
        <v>1091</v>
      </c>
      <c r="C28" s="199">
        <v>0.13395856657375421</v>
      </c>
      <c r="D28" s="199">
        <v>3.4982103035459868</v>
      </c>
    </row>
    <row r="29" spans="1:4" ht="27.75" customHeight="1" x14ac:dyDescent="0.35">
      <c r="A29" s="7" t="s">
        <v>1093</v>
      </c>
      <c r="B29" s="8" t="s">
        <v>1094</v>
      </c>
      <c r="C29" s="199">
        <v>0.63607135528075398</v>
      </c>
      <c r="D29" s="199">
        <v>8.9114509287930872</v>
      </c>
    </row>
    <row r="30" spans="1:4" ht="27.75" customHeight="1" x14ac:dyDescent="0.35">
      <c r="A30" s="7" t="s">
        <v>1095</v>
      </c>
      <c r="B30" s="8" t="s">
        <v>1096</v>
      </c>
      <c r="C30" s="199">
        <v>0.56264808829312984</v>
      </c>
      <c r="D30" s="199">
        <v>12.332452622695184</v>
      </c>
    </row>
    <row r="31" spans="1:4" ht="27.75" customHeight="1" x14ac:dyDescent="0.35">
      <c r="A31" s="7" t="s">
        <v>1097</v>
      </c>
      <c r="B31" s="8" t="s">
        <v>1098</v>
      </c>
      <c r="C31" s="199">
        <v>1.1853889846013568</v>
      </c>
      <c r="D31" s="199">
        <v>8.9179081130206121</v>
      </c>
    </row>
    <row r="32" spans="1:4" ht="27.75" customHeight="1" x14ac:dyDescent="0.35">
      <c r="A32" s="7" t="s">
        <v>1099</v>
      </c>
      <c r="B32" s="8" t="s">
        <v>1100</v>
      </c>
      <c r="C32" s="199">
        <v>0.65213294948216027</v>
      </c>
      <c r="D32" s="199">
        <v>30.989697196490575</v>
      </c>
    </row>
    <row r="33" spans="1:4" ht="27.75" customHeight="1" x14ac:dyDescent="0.35">
      <c r="A33" s="7" t="s">
        <v>1101</v>
      </c>
      <c r="B33" s="8" t="s">
        <v>1102</v>
      </c>
      <c r="C33" s="199">
        <v>0.20747130468511918</v>
      </c>
      <c r="D33" s="199">
        <v>-8.2289061776612896E-2</v>
      </c>
    </row>
    <row r="34" spans="1:4" ht="27.75" customHeight="1" x14ac:dyDescent="0.35">
      <c r="A34" s="7" t="s">
        <v>1103</v>
      </c>
      <c r="B34" s="8" t="s">
        <v>1102</v>
      </c>
      <c r="C34" s="199">
        <v>0.2215993581346607</v>
      </c>
      <c r="D34" s="199">
        <v>-2.473943056799386E-2</v>
      </c>
    </row>
    <row r="35" spans="1:4" ht="27.75" customHeight="1" x14ac:dyDescent="0.35">
      <c r="A35" s="7" t="s">
        <v>1104</v>
      </c>
      <c r="B35" s="8" t="s">
        <v>1105</v>
      </c>
      <c r="C35" s="199">
        <v>5.1590071135060853</v>
      </c>
      <c r="D35" s="199">
        <v>7.5466274615201083</v>
      </c>
    </row>
    <row r="36" spans="1:4" ht="27.75" customHeight="1" x14ac:dyDescent="0.35">
      <c r="A36" s="7" t="s">
        <v>1106</v>
      </c>
      <c r="B36" s="8" t="s">
        <v>1107</v>
      </c>
      <c r="C36" s="199">
        <v>1.301333188153257</v>
      </c>
      <c r="D36" s="199">
        <v>2.2017738144313208</v>
      </c>
    </row>
    <row r="37" spans="1:4" ht="27.75" customHeight="1" x14ac:dyDescent="0.35">
      <c r="A37" s="7" t="s">
        <v>1108</v>
      </c>
      <c r="B37" s="8" t="s">
        <v>1109</v>
      </c>
      <c r="C37" s="199">
        <v>2.180625490900709</v>
      </c>
      <c r="D37" s="199">
        <v>6.3755954310436946</v>
      </c>
    </row>
    <row r="38" spans="1:4" ht="27.75" customHeight="1" x14ac:dyDescent="0.35">
      <c r="A38" s="7" t="s">
        <v>1110</v>
      </c>
      <c r="B38" s="8" t="s">
        <v>1109</v>
      </c>
      <c r="C38" s="199">
        <v>0.16687944812433173</v>
      </c>
      <c r="D38" s="199">
        <v>2.117684892463501</v>
      </c>
    </row>
    <row r="39" spans="1:4" ht="27.75" customHeight="1" x14ac:dyDescent="0.35">
      <c r="A39" s="7" t="s">
        <v>1111</v>
      </c>
      <c r="B39" s="8" t="s">
        <v>1112</v>
      </c>
      <c r="C39" s="199">
        <v>0.84666297081300024</v>
      </c>
      <c r="D39" s="199">
        <v>9.2307459626319357</v>
      </c>
    </row>
    <row r="40" spans="1:4" ht="27.75" customHeight="1" x14ac:dyDescent="0.35">
      <c r="A40" s="7" t="s">
        <v>1113</v>
      </c>
      <c r="B40" s="8" t="s">
        <v>1112</v>
      </c>
      <c r="C40" s="199">
        <v>1.3374859426144206</v>
      </c>
      <c r="D40" s="199">
        <v>16.835469873881983</v>
      </c>
    </row>
    <row r="41" spans="1:4" ht="27.75" customHeight="1" x14ac:dyDescent="0.35">
      <c r="A41" s="7" t="s">
        <v>1114</v>
      </c>
      <c r="B41" s="8" t="s">
        <v>1115</v>
      </c>
      <c r="C41" s="199">
        <v>0.10162433891565373</v>
      </c>
      <c r="D41" s="199">
        <v>3.0385006553736953</v>
      </c>
    </row>
    <row r="42" spans="1:4" ht="27.75" customHeight="1" x14ac:dyDescent="0.35">
      <c r="A42" s="7" t="s">
        <v>1116</v>
      </c>
      <c r="B42" s="8" t="s">
        <v>1115</v>
      </c>
      <c r="C42" s="199">
        <v>0.10161756235213888</v>
      </c>
      <c r="D42" s="199">
        <v>3.0346235680136093</v>
      </c>
    </row>
    <row r="43" spans="1:4" ht="27.75" customHeight="1" x14ac:dyDescent="0.35">
      <c r="A43" s="7" t="s">
        <v>1117</v>
      </c>
      <c r="B43" s="8" t="s">
        <v>1118</v>
      </c>
      <c r="C43" s="199">
        <v>3.0991779489617133</v>
      </c>
      <c r="D43" s="199">
        <v>6.4806740877087066</v>
      </c>
    </row>
    <row r="44" spans="1:4" ht="27.75" customHeight="1" x14ac:dyDescent="0.35">
      <c r="A44" s="7" t="s">
        <v>1119</v>
      </c>
      <c r="B44" s="8" t="s">
        <v>1120</v>
      </c>
      <c r="C44" s="199">
        <v>1.2840774898337575</v>
      </c>
      <c r="D44" s="199">
        <v>2.9707595654167243</v>
      </c>
    </row>
    <row r="45" spans="1:4" ht="27.75" customHeight="1" x14ac:dyDescent="0.35">
      <c r="A45" s="7" t="s">
        <v>1121</v>
      </c>
      <c r="B45" s="8" t="s">
        <v>1122</v>
      </c>
      <c r="C45" s="199">
        <v>1.2683471835754836</v>
      </c>
      <c r="D45" s="199">
        <v>25.496530746210023</v>
      </c>
    </row>
    <row r="46" spans="1:4" ht="27.75" customHeight="1" x14ac:dyDescent="0.35">
      <c r="A46" s="7" t="s">
        <v>1123</v>
      </c>
      <c r="B46" s="8" t="s">
        <v>1122</v>
      </c>
      <c r="C46" s="199">
        <v>0.31650362334943638</v>
      </c>
      <c r="D46" s="199">
        <v>14.015955213048224</v>
      </c>
    </row>
    <row r="47" spans="1:4" ht="27.75" customHeight="1" x14ac:dyDescent="0.35">
      <c r="A47" s="7" t="s">
        <v>1124</v>
      </c>
      <c r="B47" s="8" t="s">
        <v>1125</v>
      </c>
      <c r="C47" s="199">
        <v>1.5577747947446858</v>
      </c>
      <c r="D47" s="199">
        <v>4.2123226464283716</v>
      </c>
    </row>
    <row r="48" spans="1:4" ht="27.75" customHeight="1" x14ac:dyDescent="0.35">
      <c r="A48" s="7" t="s">
        <v>1126</v>
      </c>
      <c r="B48" s="8" t="s">
        <v>1125</v>
      </c>
      <c r="C48" s="199">
        <v>2.1513083075130522E-2</v>
      </c>
      <c r="D48" s="199">
        <v>2.2218032249145461</v>
      </c>
    </row>
    <row r="49" spans="1:4" ht="27.75" customHeight="1" x14ac:dyDescent="0.35">
      <c r="A49" s="7" t="s">
        <v>1127</v>
      </c>
      <c r="B49" s="8" t="s">
        <v>1128</v>
      </c>
      <c r="C49" s="199">
        <v>2.4326611748332652</v>
      </c>
      <c r="D49" s="199">
        <v>14.814534017226062</v>
      </c>
    </row>
    <row r="50" spans="1:4" ht="27.75" customHeight="1" x14ac:dyDescent="0.35">
      <c r="A50" s="7" t="s">
        <v>1129</v>
      </c>
      <c r="B50" s="8" t="s">
        <v>1130</v>
      </c>
      <c r="C50" s="199">
        <v>1.9187798290164619</v>
      </c>
      <c r="D50" s="199">
        <v>12.254057078766269</v>
      </c>
    </row>
    <row r="51" spans="1:4" ht="27.75" customHeight="1" x14ac:dyDescent="0.35">
      <c r="A51" s="7" t="s">
        <v>1131</v>
      </c>
      <c r="B51" s="8" t="s">
        <v>1132</v>
      </c>
      <c r="C51" s="199">
        <v>0.45244842992799467</v>
      </c>
      <c r="D51" s="199">
        <v>5.9669712006514954</v>
      </c>
    </row>
    <row r="52" spans="1:4" ht="27.75" customHeight="1" x14ac:dyDescent="0.35">
      <c r="A52" s="7" t="s">
        <v>1133</v>
      </c>
      <c r="B52" s="8" t="s">
        <v>1134</v>
      </c>
      <c r="C52" s="199">
        <v>3.8498947246266297</v>
      </c>
      <c r="D52" s="199">
        <v>2.0868314553492016</v>
      </c>
    </row>
    <row r="53" spans="1:4" ht="27.75" customHeight="1" x14ac:dyDescent="0.35">
      <c r="A53" s="7" t="s">
        <v>1135</v>
      </c>
      <c r="B53" s="8" t="s">
        <v>1136</v>
      </c>
      <c r="C53" s="199">
        <v>10.680322580700055</v>
      </c>
      <c r="D53" s="199">
        <v>17.822162642148882</v>
      </c>
    </row>
    <row r="54" spans="1:4" ht="27.75" customHeight="1" x14ac:dyDescent="0.35">
      <c r="A54" s="7" t="s">
        <v>1137</v>
      </c>
      <c r="B54" s="8" t="s">
        <v>1138</v>
      </c>
      <c r="C54" s="199">
        <v>3.243898085492217</v>
      </c>
      <c r="D54" s="199">
        <v>43.309696593055278</v>
      </c>
    </row>
    <row r="55" spans="1:4" ht="27.75" customHeight="1" x14ac:dyDescent="0.35">
      <c r="A55" s="7" t="s">
        <v>1139</v>
      </c>
      <c r="B55" s="8" t="s">
        <v>1140</v>
      </c>
      <c r="C55" s="199">
        <v>2.6486323436280976</v>
      </c>
      <c r="D55" s="199">
        <v>6.6339013661388035</v>
      </c>
    </row>
    <row r="56" spans="1:4" ht="27.75" customHeight="1" x14ac:dyDescent="0.35">
      <c r="A56" s="7" t="s">
        <v>1141</v>
      </c>
      <c r="B56" s="8" t="s">
        <v>1142</v>
      </c>
      <c r="C56" s="199">
        <v>1.0305019447168491</v>
      </c>
      <c r="D56" s="199">
        <v>7.2740457276186623</v>
      </c>
    </row>
    <row r="57" spans="1:4" ht="27.75" customHeight="1" x14ac:dyDescent="0.35">
      <c r="A57" s="7" t="s">
        <v>1143</v>
      </c>
      <c r="B57" s="8" t="s">
        <v>1144</v>
      </c>
      <c r="C57" s="199">
        <v>1.6958171883302147</v>
      </c>
      <c r="D57" s="199">
        <v>3.34228294100713</v>
      </c>
    </row>
    <row r="58" spans="1:4" ht="27.75" customHeight="1" x14ac:dyDescent="0.35">
      <c r="A58" s="7" t="s">
        <v>1145</v>
      </c>
      <c r="B58" s="8" t="s">
        <v>1146</v>
      </c>
      <c r="C58" s="199">
        <v>4.5287993221926393E-2</v>
      </c>
      <c r="D58" s="199">
        <v>1.6332508520812605</v>
      </c>
    </row>
    <row r="59" spans="1:4" ht="27.75" customHeight="1" x14ac:dyDescent="0.35">
      <c r="A59" s="7" t="s">
        <v>1147</v>
      </c>
      <c r="B59" s="8" t="s">
        <v>1148</v>
      </c>
      <c r="C59" s="199">
        <v>3.0390302258652238</v>
      </c>
      <c r="D59" s="199">
        <v>35.384621778434251</v>
      </c>
    </row>
    <row r="60" spans="1:4" ht="27.75" customHeight="1" x14ac:dyDescent="0.35">
      <c r="A60" s="7" t="s">
        <v>1149</v>
      </c>
      <c r="B60" s="8" t="s">
        <v>1150</v>
      </c>
      <c r="C60" s="199">
        <v>0.50549291799194507</v>
      </c>
      <c r="D60" s="199">
        <v>17.763242113815316</v>
      </c>
    </row>
    <row r="61" spans="1:4" ht="27.75" customHeight="1" x14ac:dyDescent="0.35">
      <c r="A61" s="7" t="s">
        <v>1151</v>
      </c>
      <c r="B61" s="8" t="s">
        <v>1152</v>
      </c>
      <c r="C61" s="199">
        <v>1.8170087417537357E-2</v>
      </c>
      <c r="D61" s="199">
        <v>-0.22931302662210934</v>
      </c>
    </row>
    <row r="62" spans="1:4" ht="27.75" customHeight="1" x14ac:dyDescent="0.35">
      <c r="A62" s="7" t="s">
        <v>1153</v>
      </c>
      <c r="B62" s="8" t="s">
        <v>1154</v>
      </c>
      <c r="C62" s="199">
        <v>2.2138346378255389E-3</v>
      </c>
      <c r="D62" s="199">
        <v>-0.24838753493132121</v>
      </c>
    </row>
    <row r="63" spans="1:4" ht="27.75" customHeight="1" x14ac:dyDescent="0.35">
      <c r="A63" s="7" t="s">
        <v>1155</v>
      </c>
      <c r="B63" s="8" t="s">
        <v>1154</v>
      </c>
      <c r="C63" s="199">
        <v>2.2133522736165106E-3</v>
      </c>
      <c r="D63" s="199">
        <v>-0.24827816741570885</v>
      </c>
    </row>
    <row r="64" spans="1:4" ht="27.75" customHeight="1" x14ac:dyDescent="0.35">
      <c r="A64" s="7" t="s">
        <v>1156</v>
      </c>
      <c r="B64" s="8" t="s">
        <v>1157</v>
      </c>
      <c r="C64" s="199">
        <v>-2.2121221210812512</v>
      </c>
      <c r="D64" s="199">
        <v>22.521929472957812</v>
      </c>
    </row>
    <row r="65" spans="1:4" ht="27.75" customHeight="1" x14ac:dyDescent="0.35">
      <c r="A65" s="7" t="s">
        <v>1158</v>
      </c>
      <c r="B65" s="8" t="s">
        <v>1159</v>
      </c>
      <c r="C65" s="199">
        <v>1.3942449626183702</v>
      </c>
      <c r="D65" s="199">
        <v>0.61640441854016159</v>
      </c>
    </row>
    <row r="66" spans="1:4" ht="27.75" customHeight="1" x14ac:dyDescent="0.35">
      <c r="A66" s="7" t="s">
        <v>1160</v>
      </c>
      <c r="B66" s="8" t="s">
        <v>1161</v>
      </c>
      <c r="C66" s="199">
        <v>0.23218147637074321</v>
      </c>
      <c r="D66" s="199">
        <v>1.7928103458477378</v>
      </c>
    </row>
    <row r="67" spans="1:4" ht="27.75" customHeight="1" x14ac:dyDescent="0.35">
      <c r="A67" s="7" t="s">
        <v>1162</v>
      </c>
      <c r="B67" s="8" t="s">
        <v>1163</v>
      </c>
      <c r="C67" s="199">
        <v>0.28238450879091515</v>
      </c>
      <c r="D67" s="199">
        <v>16.368534815162242</v>
      </c>
    </row>
    <row r="68" spans="1:4" ht="27.75" customHeight="1" x14ac:dyDescent="0.35">
      <c r="A68" s="7" t="s">
        <v>1164</v>
      </c>
      <c r="B68" s="8" t="s">
        <v>1165</v>
      </c>
      <c r="C68" s="199">
        <v>2.9061026412787925</v>
      </c>
      <c r="D68" s="199">
        <v>35.284070519401155</v>
      </c>
    </row>
    <row r="69" spans="1:4" ht="27.75" customHeight="1" x14ac:dyDescent="0.35">
      <c r="A69" s="7" t="s">
        <v>1166</v>
      </c>
      <c r="B69" s="8" t="s">
        <v>1165</v>
      </c>
      <c r="C69" s="199">
        <v>0.37448115168467688</v>
      </c>
      <c r="D69" s="199">
        <v>10.675543202057968</v>
      </c>
    </row>
    <row r="70" spans="1:4" ht="27.75" customHeight="1" x14ac:dyDescent="0.35">
      <c r="A70" s="7" t="s">
        <v>1167</v>
      </c>
      <c r="B70" s="8" t="s">
        <v>1168</v>
      </c>
      <c r="C70" s="199">
        <v>0.95420858012674392</v>
      </c>
      <c r="D70" s="199">
        <v>-1.1213117762286884</v>
      </c>
    </row>
    <row r="71" spans="1:4" ht="27.75" customHeight="1" x14ac:dyDescent="0.35">
      <c r="A71" s="7" t="s">
        <v>1169</v>
      </c>
      <c r="B71" s="8" t="s">
        <v>1170</v>
      </c>
      <c r="C71" s="199">
        <v>0.54550607698660891</v>
      </c>
      <c r="D71" s="199">
        <v>6.9286376532562919</v>
      </c>
    </row>
    <row r="72" spans="1:4" ht="27.75" customHeight="1" x14ac:dyDescent="0.35">
      <c r="A72" s="7" t="s">
        <v>1171</v>
      </c>
      <c r="B72" s="8" t="s">
        <v>1172</v>
      </c>
      <c r="C72" s="199">
        <v>2.7416925860480466</v>
      </c>
      <c r="D72" s="199">
        <v>19.866959808182983</v>
      </c>
    </row>
    <row r="73" spans="1:4" ht="27.75" customHeight="1" x14ac:dyDescent="0.35">
      <c r="A73" s="7" t="s">
        <v>1173</v>
      </c>
      <c r="B73" s="8" t="s">
        <v>1172</v>
      </c>
      <c r="C73" s="199">
        <v>3.1099647292790383E-2</v>
      </c>
      <c r="D73" s="199">
        <v>14.214856661173592</v>
      </c>
    </row>
    <row r="74" spans="1:4" ht="27.75" customHeight="1" x14ac:dyDescent="0.35">
      <c r="A74" s="7" t="s">
        <v>1174</v>
      </c>
      <c r="B74" s="8" t="s">
        <v>1175</v>
      </c>
      <c r="C74" s="199">
        <v>4.4991172438341245</v>
      </c>
      <c r="D74" s="199">
        <v>1.0349417955234292</v>
      </c>
    </row>
    <row r="75" spans="1:4" ht="27.75" customHeight="1" x14ac:dyDescent="0.35">
      <c r="A75" s="7" t="s">
        <v>1176</v>
      </c>
      <c r="B75" s="8" t="s">
        <v>1177</v>
      </c>
      <c r="C75" s="199">
        <v>1.0351151431588246</v>
      </c>
      <c r="D75" s="199">
        <v>8.3880306477897264</v>
      </c>
    </row>
    <row r="76" spans="1:4" ht="27.75" customHeight="1" x14ac:dyDescent="0.35">
      <c r="A76" s="7" t="s">
        <v>1178</v>
      </c>
      <c r="B76" s="8" t="s">
        <v>1177</v>
      </c>
      <c r="C76" s="199">
        <v>0.36365172888867159</v>
      </c>
      <c r="D76" s="199">
        <v>2.718427673148109</v>
      </c>
    </row>
    <row r="77" spans="1:4" ht="27.75" customHeight="1" x14ac:dyDescent="0.35">
      <c r="A77" s="7" t="s">
        <v>1179</v>
      </c>
      <c r="B77" s="8" t="s">
        <v>1180</v>
      </c>
      <c r="C77" s="199">
        <v>5.3585409936126288E-2</v>
      </c>
      <c r="D77" s="199">
        <v>-5.4808698656919219</v>
      </c>
    </row>
    <row r="78" spans="1:4" ht="27.75" customHeight="1" x14ac:dyDescent="0.35">
      <c r="A78" s="7" t="s">
        <v>1181</v>
      </c>
      <c r="B78" s="8" t="s">
        <v>1182</v>
      </c>
      <c r="C78" s="199">
        <v>5.0880870980933362E-3</v>
      </c>
      <c r="D78" s="199">
        <v>-0.97246393015032839</v>
      </c>
    </row>
    <row r="79" spans="1:4" ht="27.75" customHeight="1" x14ac:dyDescent="0.35">
      <c r="A79" s="7" t="s">
        <v>1183</v>
      </c>
      <c r="B79" s="8" t="s">
        <v>1184</v>
      </c>
      <c r="C79" s="199">
        <v>1.9317264564434271E-2</v>
      </c>
      <c r="D79" s="199">
        <v>25.264190055079268</v>
      </c>
    </row>
    <row r="80" spans="1:4" ht="27.75" customHeight="1" x14ac:dyDescent="0.35">
      <c r="A80" s="7" t="s">
        <v>1185</v>
      </c>
      <c r="B80" s="8" t="s">
        <v>1186</v>
      </c>
      <c r="C80" s="199">
        <v>2.3031486800124954</v>
      </c>
      <c r="D80" s="199">
        <v>23.82333541196207</v>
      </c>
    </row>
    <row r="81" spans="1:4" ht="27.75" customHeight="1" x14ac:dyDescent="0.35">
      <c r="A81" s="7" t="s">
        <v>1187</v>
      </c>
      <c r="B81" s="8" t="s">
        <v>1188</v>
      </c>
      <c r="C81" s="199">
        <v>2.1623570928064435</v>
      </c>
      <c r="D81" s="199">
        <v>8.7738892415430492</v>
      </c>
    </row>
    <row r="82" spans="1:4" ht="27.75" customHeight="1" x14ac:dyDescent="0.35">
      <c r="A82" s="7" t="s">
        <v>1189</v>
      </c>
      <c r="B82" s="8" t="s">
        <v>1190</v>
      </c>
      <c r="C82" s="199">
        <v>2.4641248864257284</v>
      </c>
      <c r="D82" s="199">
        <v>11.195800784401921</v>
      </c>
    </row>
    <row r="83" spans="1:4" ht="27.75" customHeight="1" x14ac:dyDescent="0.35">
      <c r="A83" s="7" t="s">
        <v>1191</v>
      </c>
      <c r="B83" s="8" t="s">
        <v>1192</v>
      </c>
      <c r="C83" s="199">
        <v>2.7783233253867641</v>
      </c>
      <c r="D83" s="199">
        <v>12.47277183436065</v>
      </c>
    </row>
    <row r="84" spans="1:4" ht="27.75" customHeight="1" x14ac:dyDescent="0.35">
      <c r="A84" s="7" t="s">
        <v>1193</v>
      </c>
      <c r="B84" s="8" t="s">
        <v>1192</v>
      </c>
      <c r="C84" s="199">
        <v>0.25017473989680172</v>
      </c>
      <c r="D84" s="199">
        <v>2.4751839711841619</v>
      </c>
    </row>
    <row r="85" spans="1:4" ht="27.75" customHeight="1" x14ac:dyDescent="0.35">
      <c r="A85" s="7" t="s">
        <v>1194</v>
      </c>
      <c r="B85" s="8" t="s">
        <v>1195</v>
      </c>
      <c r="C85" s="199">
        <v>1.4117790676866728</v>
      </c>
      <c r="D85" s="199">
        <v>28.247610830773475</v>
      </c>
    </row>
    <row r="86" spans="1:4" ht="27.75" customHeight="1" x14ac:dyDescent="0.35">
      <c r="A86" s="7" t="s">
        <v>1196</v>
      </c>
      <c r="B86" s="8" t="s">
        <v>1197</v>
      </c>
      <c r="C86" s="199">
        <v>0.37753149206384184</v>
      </c>
      <c r="D86" s="199">
        <v>40.514777398225462</v>
      </c>
    </row>
    <row r="87" spans="1:4" ht="27.75" customHeight="1" x14ac:dyDescent="0.35">
      <c r="A87" s="7" t="s">
        <v>1198</v>
      </c>
      <c r="B87" s="8" t="s">
        <v>1197</v>
      </c>
      <c r="C87" s="199">
        <v>6.243462219029243E-2</v>
      </c>
      <c r="D87" s="199">
        <v>3.6870432814981511</v>
      </c>
    </row>
    <row r="88" spans="1:4" ht="27.75" customHeight="1" x14ac:dyDescent="0.35">
      <c r="A88" s="7" t="s">
        <v>1199</v>
      </c>
      <c r="B88" s="8" t="s">
        <v>1200</v>
      </c>
      <c r="C88" s="199">
        <v>0.7501638631460964</v>
      </c>
      <c r="D88" s="199">
        <v>10.415098357611145</v>
      </c>
    </row>
    <row r="89" spans="1:4" ht="27.75" customHeight="1" x14ac:dyDescent="0.35">
      <c r="A89" s="7" t="s">
        <v>1201</v>
      </c>
      <c r="B89" s="8" t="s">
        <v>1202</v>
      </c>
      <c r="C89" s="199">
        <v>0.41625386534482089</v>
      </c>
      <c r="D89" s="199">
        <v>27.833394145806167</v>
      </c>
    </row>
    <row r="90" spans="1:4" ht="27.75" customHeight="1" x14ac:dyDescent="0.35">
      <c r="A90" s="7" t="s">
        <v>1203</v>
      </c>
      <c r="B90" s="8" t="s">
        <v>1204</v>
      </c>
      <c r="C90" s="199">
        <v>-9.5008045462964402E-2</v>
      </c>
      <c r="D90" s="199">
        <v>25.64059321891046</v>
      </c>
    </row>
    <row r="91" spans="1:4" ht="27.75" customHeight="1" x14ac:dyDescent="0.35">
      <c r="A91" s="7" t="s">
        <v>1205</v>
      </c>
      <c r="B91" s="8" t="s">
        <v>1206</v>
      </c>
      <c r="C91" s="199">
        <v>1.4108947045238502</v>
      </c>
      <c r="D91" s="199">
        <v>3.8882652107371962</v>
      </c>
    </row>
    <row r="92" spans="1:4" ht="27.75" customHeight="1" x14ac:dyDescent="0.35">
      <c r="A92" s="7" t="s">
        <v>1207</v>
      </c>
      <c r="B92" s="8" t="s">
        <v>1208</v>
      </c>
      <c r="C92" s="199">
        <v>1.7699179684069605E-2</v>
      </c>
      <c r="D92" s="199">
        <v>2.9770356336125543</v>
      </c>
    </row>
    <row r="93" spans="1:4" ht="27.75" customHeight="1" x14ac:dyDescent="0.35">
      <c r="A93" s="7" t="s">
        <v>1209</v>
      </c>
      <c r="B93" s="8" t="s">
        <v>1210</v>
      </c>
      <c r="C93" s="199">
        <v>4.6014025290997906E-2</v>
      </c>
      <c r="D93" s="199">
        <v>16.486903084187304</v>
      </c>
    </row>
    <row r="94" spans="1:4" ht="27.75" customHeight="1" x14ac:dyDescent="0.35">
      <c r="A94" s="7" t="s">
        <v>1211</v>
      </c>
      <c r="B94" s="8" t="s">
        <v>1212</v>
      </c>
      <c r="C94" s="199">
        <v>0</v>
      </c>
      <c r="D94" s="199">
        <v>-5.5045995080680488</v>
      </c>
    </row>
    <row r="95" spans="1:4" ht="27.75" customHeight="1" x14ac:dyDescent="0.35">
      <c r="A95" s="7" t="s">
        <v>1213</v>
      </c>
      <c r="B95" s="8" t="s">
        <v>1214</v>
      </c>
      <c r="C95" s="199">
        <v>2.0949306661526692</v>
      </c>
      <c r="D95" s="199">
        <v>0.11743992165668393</v>
      </c>
    </row>
    <row r="96" spans="1:4" ht="27.75" customHeight="1" x14ac:dyDescent="0.35">
      <c r="A96" s="7" t="s">
        <v>1215</v>
      </c>
      <c r="B96" s="8" t="s">
        <v>1216</v>
      </c>
      <c r="C96" s="199">
        <v>0.73750427162651344</v>
      </c>
      <c r="D96" s="199">
        <v>9.3016852036838173</v>
      </c>
    </row>
    <row r="97" spans="1:4" ht="27.75" customHeight="1" x14ac:dyDescent="0.35">
      <c r="A97" s="7" t="s">
        <v>1217</v>
      </c>
      <c r="B97" s="8" t="s">
        <v>1218</v>
      </c>
      <c r="C97" s="199">
        <v>0.47062165253368671</v>
      </c>
      <c r="D97" s="199">
        <v>-2.4211733382021214</v>
      </c>
    </row>
    <row r="98" spans="1:4" ht="27.75" customHeight="1" x14ac:dyDescent="0.35">
      <c r="A98" s="7" t="s">
        <v>1219</v>
      </c>
      <c r="B98" s="8" t="s">
        <v>1220</v>
      </c>
      <c r="C98" s="199">
        <v>0.62402600794406393</v>
      </c>
      <c r="D98" s="199">
        <v>7.3677148584255614E-2</v>
      </c>
    </row>
    <row r="99" spans="1:4" ht="27.75" customHeight="1" x14ac:dyDescent="0.35">
      <c r="A99" s="7" t="s">
        <v>1221</v>
      </c>
      <c r="B99" s="8" t="s">
        <v>1222</v>
      </c>
      <c r="C99" s="199">
        <v>2.8024316675388246</v>
      </c>
      <c r="D99" s="199">
        <v>8.6775737103315063</v>
      </c>
    </row>
    <row r="100" spans="1:4" ht="27.75" customHeight="1" x14ac:dyDescent="0.35">
      <c r="A100" s="7" t="s">
        <v>1223</v>
      </c>
      <c r="B100" s="8" t="s">
        <v>1224</v>
      </c>
      <c r="C100" s="199">
        <v>0.21590566827836832</v>
      </c>
      <c r="D100" s="199">
        <v>9.0578112217544149</v>
      </c>
    </row>
    <row r="101" spans="1:4" ht="27.75" customHeight="1" x14ac:dyDescent="0.35">
      <c r="A101" s="7" t="s">
        <v>1225</v>
      </c>
      <c r="B101" s="8" t="s">
        <v>1226</v>
      </c>
      <c r="C101" s="199">
        <v>2.9083625780405802</v>
      </c>
      <c r="D101" s="199">
        <v>9.951790681968129</v>
      </c>
    </row>
    <row r="102" spans="1:4" ht="27.75" customHeight="1" x14ac:dyDescent="0.35">
      <c r="A102" s="7" t="s">
        <v>1227</v>
      </c>
      <c r="B102" s="8" t="s">
        <v>1228</v>
      </c>
      <c r="C102" s="199">
        <v>0.43396999771716993</v>
      </c>
      <c r="D102" s="199">
        <v>30.284341243542894</v>
      </c>
    </row>
    <row r="103" spans="1:4" ht="27.75" customHeight="1" x14ac:dyDescent="0.35">
      <c r="A103" s="7" t="s">
        <v>1229</v>
      </c>
      <c r="B103" s="8" t="s">
        <v>1230</v>
      </c>
      <c r="C103" s="199">
        <v>4.3260952465243939E-2</v>
      </c>
      <c r="D103" s="199">
        <v>11.984922078590197</v>
      </c>
    </row>
    <row r="104" spans="1:4" ht="27.75" customHeight="1" x14ac:dyDescent="0.35">
      <c r="A104" s="7" t="s">
        <v>1231</v>
      </c>
      <c r="B104" s="8" t="s">
        <v>1232</v>
      </c>
      <c r="C104" s="199">
        <v>2.8560281649793757E-2</v>
      </c>
      <c r="D104" s="199">
        <v>4.5127977132118051</v>
      </c>
    </row>
    <row r="105" spans="1:4" ht="27.75" customHeight="1" x14ac:dyDescent="0.35">
      <c r="A105" s="7" t="s">
        <v>1233</v>
      </c>
      <c r="B105" s="8" t="s">
        <v>1234</v>
      </c>
      <c r="C105" s="199">
        <v>1.3799523338642115</v>
      </c>
      <c r="D105" s="199">
        <v>10.889617137455343</v>
      </c>
    </row>
    <row r="106" spans="1:4" ht="27.75" customHeight="1" x14ac:dyDescent="0.35">
      <c r="A106" s="7" t="s">
        <v>1235</v>
      </c>
      <c r="B106" s="8" t="s">
        <v>1236</v>
      </c>
      <c r="C106" s="199">
        <v>0.76512404382781363</v>
      </c>
      <c r="D106" s="199">
        <v>6.1311856658395225</v>
      </c>
    </row>
    <row r="107" spans="1:4" ht="27.75" customHeight="1" x14ac:dyDescent="0.35">
      <c r="A107" s="7" t="s">
        <v>1237</v>
      </c>
      <c r="B107" s="8" t="s">
        <v>1238</v>
      </c>
      <c r="C107" s="199">
        <v>3.2758578322459736E-2</v>
      </c>
      <c r="D107" s="199">
        <v>4.2146097082150122</v>
      </c>
    </row>
    <row r="108" spans="1:4" ht="27.75" customHeight="1" x14ac:dyDescent="0.35">
      <c r="A108" s="7" t="s">
        <v>1239</v>
      </c>
      <c r="B108" s="8" t="s">
        <v>1238</v>
      </c>
      <c r="C108" s="199">
        <v>3.276628887173301E-2</v>
      </c>
      <c r="D108" s="199">
        <v>4.1200382328654204</v>
      </c>
    </row>
    <row r="109" spans="1:4" ht="27.75" customHeight="1" x14ac:dyDescent="0.35">
      <c r="A109" s="7" t="s">
        <v>1240</v>
      </c>
      <c r="B109" s="8" t="s">
        <v>1241</v>
      </c>
      <c r="C109" s="199">
        <v>1.876316706167518E-2</v>
      </c>
      <c r="D109" s="199">
        <v>12.300942560860456</v>
      </c>
    </row>
    <row r="110" spans="1:4" ht="27.75" customHeight="1" x14ac:dyDescent="0.35">
      <c r="A110" s="7" t="s">
        <v>1242</v>
      </c>
      <c r="B110" s="8" t="s">
        <v>1243</v>
      </c>
      <c r="C110" s="199">
        <v>3.9061306253710457</v>
      </c>
      <c r="D110" s="199">
        <v>0.90129611442889268</v>
      </c>
    </row>
    <row r="111" spans="1:4" ht="27.75" customHeight="1" x14ac:dyDescent="0.35">
      <c r="A111" s="7" t="s">
        <v>1244</v>
      </c>
      <c r="B111" s="8" t="s">
        <v>1243</v>
      </c>
      <c r="C111" s="199">
        <v>3.0810333148637339</v>
      </c>
      <c r="D111" s="199">
        <v>0.89032970545974766</v>
      </c>
    </row>
    <row r="112" spans="1:4" ht="27.75" customHeight="1" x14ac:dyDescent="0.35">
      <c r="A112" s="7" t="s">
        <v>1245</v>
      </c>
      <c r="B112" s="8" t="s">
        <v>1246</v>
      </c>
      <c r="C112" s="199">
        <v>0.11055697164495715</v>
      </c>
      <c r="D112" s="199">
        <v>19.038849107050481</v>
      </c>
    </row>
    <row r="113" spans="1:4" ht="27.75" customHeight="1" x14ac:dyDescent="0.35">
      <c r="A113" s="7" t="s">
        <v>1247</v>
      </c>
      <c r="B113" s="8" t="s">
        <v>1248</v>
      </c>
      <c r="C113" s="199">
        <v>0.85888004442316768</v>
      </c>
      <c r="D113" s="199">
        <v>8.9472583959156999</v>
      </c>
    </row>
    <row r="114" spans="1:4" ht="27.75" customHeight="1" x14ac:dyDescent="0.35">
      <c r="A114" s="7" t="s">
        <v>1249</v>
      </c>
      <c r="B114" s="8" t="s">
        <v>1250</v>
      </c>
      <c r="C114" s="199">
        <v>0.12541234882722024</v>
      </c>
      <c r="D114" s="199">
        <v>30.110781962623999</v>
      </c>
    </row>
    <row r="115" spans="1:4" ht="27.75" customHeight="1" x14ac:dyDescent="0.35">
      <c r="A115" s="7" t="s">
        <v>1251</v>
      </c>
      <c r="B115" s="8" t="s">
        <v>1252</v>
      </c>
      <c r="C115" s="199">
        <v>0.2259666208921744</v>
      </c>
      <c r="D115" s="199">
        <v>4.3630274252273719E-2</v>
      </c>
    </row>
    <row r="116" spans="1:4" ht="27.75" customHeight="1" x14ac:dyDescent="0.35">
      <c r="A116" s="7" t="s">
        <v>1253</v>
      </c>
      <c r="B116" s="8" t="s">
        <v>1254</v>
      </c>
      <c r="C116" s="199">
        <v>0.105995288426808</v>
      </c>
      <c r="D116" s="199">
        <v>11.254342697894884</v>
      </c>
    </row>
    <row r="117" spans="1:4" ht="27.75" customHeight="1" x14ac:dyDescent="0.35">
      <c r="A117" s="7" t="s">
        <v>1255</v>
      </c>
      <c r="B117" s="8" t="s">
        <v>1256</v>
      </c>
      <c r="C117" s="199">
        <v>0.64491942609554354</v>
      </c>
      <c r="D117" s="199">
        <v>4.2186956712191606</v>
      </c>
    </row>
    <row r="118" spans="1:4" ht="27.75" customHeight="1" x14ac:dyDescent="0.35">
      <c r="A118" s="7" t="s">
        <v>1257</v>
      </c>
      <c r="B118" s="8" t="s">
        <v>1258</v>
      </c>
      <c r="C118" s="199">
        <v>2.3283629691399232</v>
      </c>
      <c r="D118" s="199">
        <v>37.38123057026791</v>
      </c>
    </row>
    <row r="119" spans="1:4" ht="27.75" customHeight="1" x14ac:dyDescent="0.35">
      <c r="A119" s="7" t="s">
        <v>1259</v>
      </c>
      <c r="B119" s="8" t="s">
        <v>1260</v>
      </c>
      <c r="C119" s="199">
        <v>0.9288887266185234</v>
      </c>
      <c r="D119" s="199">
        <v>19.589708807201049</v>
      </c>
    </row>
    <row r="120" spans="1:4" ht="27.75" customHeight="1" x14ac:dyDescent="0.35">
      <c r="A120" s="7" t="s">
        <v>1261</v>
      </c>
      <c r="B120" s="8" t="s">
        <v>1262</v>
      </c>
      <c r="C120" s="199">
        <v>6.2616513593739649</v>
      </c>
      <c r="D120" s="199">
        <v>2.4221331880602928</v>
      </c>
    </row>
    <row r="121" spans="1:4" ht="27.75" customHeight="1" x14ac:dyDescent="0.35">
      <c r="A121" s="7" t="s">
        <v>1263</v>
      </c>
      <c r="B121" s="8" t="s">
        <v>1264</v>
      </c>
      <c r="C121" s="199">
        <v>1.9832445337219382</v>
      </c>
      <c r="D121" s="199">
        <v>11.956284910473489</v>
      </c>
    </row>
    <row r="122" spans="1:4" ht="27.75" customHeight="1" x14ac:dyDescent="0.35">
      <c r="A122" s="7" t="s">
        <v>1265</v>
      </c>
      <c r="B122" s="8" t="s">
        <v>1266</v>
      </c>
      <c r="C122" s="199">
        <v>0.35634362134179953</v>
      </c>
      <c r="D122" s="199">
        <v>9.1614686112713617</v>
      </c>
    </row>
    <row r="123" spans="1:4" ht="27.75" customHeight="1" x14ac:dyDescent="0.35">
      <c r="A123" s="7" t="s">
        <v>1267</v>
      </c>
      <c r="B123" s="8" t="s">
        <v>1268</v>
      </c>
      <c r="C123" s="199">
        <v>0.12042198103090208</v>
      </c>
      <c r="D123" s="199">
        <v>24.194418508346921</v>
      </c>
    </row>
    <row r="124" spans="1:4" ht="27.75" customHeight="1" x14ac:dyDescent="0.35">
      <c r="A124" s="7" t="s">
        <v>1269</v>
      </c>
      <c r="B124" s="8" t="s">
        <v>1270</v>
      </c>
      <c r="C124" s="199">
        <v>0.67637422973259032</v>
      </c>
      <c r="D124" s="199">
        <v>7.3221540784333463</v>
      </c>
    </row>
    <row r="125" spans="1:4" ht="27.75" customHeight="1" x14ac:dyDescent="0.35">
      <c r="A125" s="7" t="s">
        <v>1271</v>
      </c>
      <c r="B125" s="8" t="s">
        <v>1272</v>
      </c>
      <c r="C125" s="199">
        <v>0.66570314117693874</v>
      </c>
      <c r="D125" s="199">
        <v>9.0520606973297042</v>
      </c>
    </row>
    <row r="126" spans="1:4" ht="27.75" customHeight="1" x14ac:dyDescent="0.35">
      <c r="A126" s="7" t="s">
        <v>1273</v>
      </c>
      <c r="B126" s="8" t="s">
        <v>1274</v>
      </c>
      <c r="C126" s="199">
        <v>6.4403563554992035E-2</v>
      </c>
      <c r="D126" s="199">
        <v>6.4065868609773798E-4</v>
      </c>
    </row>
    <row r="127" spans="1:4" ht="27.75" customHeight="1" x14ac:dyDescent="0.35">
      <c r="A127" s="7" t="s">
        <v>1275</v>
      </c>
      <c r="B127" s="8" t="s">
        <v>1276</v>
      </c>
      <c r="C127" s="199">
        <v>1.391553153998528</v>
      </c>
      <c r="D127" s="199">
        <v>0.50328380879338852</v>
      </c>
    </row>
    <row r="128" spans="1:4" ht="27.75" customHeight="1" x14ac:dyDescent="0.35">
      <c r="A128" s="7" t="s">
        <v>1277</v>
      </c>
      <c r="B128" s="8" t="s">
        <v>1276</v>
      </c>
      <c r="C128" s="199">
        <v>1.3842598788577838</v>
      </c>
      <c r="D128" s="199">
        <v>0.50324772964805731</v>
      </c>
    </row>
    <row r="129" spans="1:4" ht="27.75" customHeight="1" x14ac:dyDescent="0.35">
      <c r="A129" s="7" t="s">
        <v>1278</v>
      </c>
      <c r="B129" s="8" t="s">
        <v>1279</v>
      </c>
      <c r="C129" s="199">
        <v>0.63289895537994956</v>
      </c>
      <c r="D129" s="199">
        <v>-3.4466020721822034E-4</v>
      </c>
    </row>
    <row r="130" spans="1:4" ht="27.75" customHeight="1" x14ac:dyDescent="0.35">
      <c r="A130" s="7" t="s">
        <v>1280</v>
      </c>
      <c r="B130" s="8" t="s">
        <v>1279</v>
      </c>
      <c r="C130" s="199">
        <v>0.42354880163555464</v>
      </c>
      <c r="D130" s="199">
        <v>6.27334101618481E-4</v>
      </c>
    </row>
    <row r="131" spans="1:4" ht="27.75" customHeight="1" x14ac:dyDescent="0.35">
      <c r="A131" s="7" t="s">
        <v>1281</v>
      </c>
      <c r="B131" s="8" t="s">
        <v>1282</v>
      </c>
      <c r="C131" s="199">
        <v>0.22865742932481642</v>
      </c>
      <c r="D131" s="199">
        <v>9.4158392203453189</v>
      </c>
    </row>
    <row r="132" spans="1:4" ht="27.75" customHeight="1" x14ac:dyDescent="0.35">
      <c r="A132" s="7" t="s">
        <v>1283</v>
      </c>
      <c r="B132" s="8" t="s">
        <v>1284</v>
      </c>
      <c r="C132" s="199">
        <v>4.9544812730541601</v>
      </c>
      <c r="D132" s="199">
        <v>16.509337713135068</v>
      </c>
    </row>
    <row r="133" spans="1:4" ht="27.75" customHeight="1" x14ac:dyDescent="0.35">
      <c r="A133" s="7" t="s">
        <v>1285</v>
      </c>
      <c r="B133" s="8" t="s">
        <v>1286</v>
      </c>
      <c r="C133" s="199">
        <v>0.2851307045709699</v>
      </c>
      <c r="D133" s="199">
        <v>8.8513195314274427</v>
      </c>
    </row>
    <row r="134" spans="1:4" ht="27.75" customHeight="1" x14ac:dyDescent="0.35">
      <c r="A134" s="7" t="s">
        <v>1287</v>
      </c>
      <c r="B134" s="8" t="s">
        <v>1288</v>
      </c>
      <c r="C134" s="199">
        <v>0.27140665283152937</v>
      </c>
      <c r="D134" s="199">
        <v>8.3313024857260594</v>
      </c>
    </row>
    <row r="135" spans="1:4" ht="27.75" customHeight="1" x14ac:dyDescent="0.35">
      <c r="A135" s="7" t="s">
        <v>1289</v>
      </c>
      <c r="B135" s="8" t="s">
        <v>1290</v>
      </c>
      <c r="C135" s="199">
        <v>-2.303620309331992</v>
      </c>
      <c r="D135" s="199">
        <v>13.990484204754022</v>
      </c>
    </row>
    <row r="136" spans="1:4" ht="27.75" customHeight="1" x14ac:dyDescent="0.35">
      <c r="A136" s="7" t="s">
        <v>1291</v>
      </c>
      <c r="B136" s="8" t="s">
        <v>1292</v>
      </c>
      <c r="C136" s="199">
        <v>1.2931026684388141</v>
      </c>
      <c r="D136" s="199">
        <v>12.346073459319367</v>
      </c>
    </row>
    <row r="137" spans="1:4" ht="27.75" customHeight="1" x14ac:dyDescent="0.35">
      <c r="A137" s="7" t="s">
        <v>1293</v>
      </c>
      <c r="B137" s="8" t="s">
        <v>1294</v>
      </c>
      <c r="C137" s="199">
        <v>5.1703676508033126E-2</v>
      </c>
      <c r="D137" s="199">
        <v>-0.64826803373959463</v>
      </c>
    </row>
    <row r="138" spans="1:4" ht="27.75" customHeight="1" x14ac:dyDescent="0.35">
      <c r="A138" s="7" t="s">
        <v>1295</v>
      </c>
      <c r="B138" s="8" t="s">
        <v>1294</v>
      </c>
      <c r="C138" s="199">
        <v>5.1696653704952605E-2</v>
      </c>
      <c r="D138" s="199">
        <v>-0.7431490886940475</v>
      </c>
    </row>
    <row r="139" spans="1:4" ht="27.75" customHeight="1" x14ac:dyDescent="0.35">
      <c r="A139" s="7" t="s">
        <v>1296</v>
      </c>
      <c r="B139" s="8" t="s">
        <v>1297</v>
      </c>
      <c r="C139" s="199">
        <v>1.1460443080715681</v>
      </c>
      <c r="D139" s="199">
        <v>47.148200111398623</v>
      </c>
    </row>
    <row r="140" spans="1:4" ht="27.75" customHeight="1" x14ac:dyDescent="0.35">
      <c r="A140" s="7" t="s">
        <v>1298</v>
      </c>
      <c r="B140" s="8" t="s">
        <v>1299</v>
      </c>
      <c r="C140" s="199">
        <v>0.67899854904740287</v>
      </c>
      <c r="D140" s="199">
        <v>0.63334932376904651</v>
      </c>
    </row>
    <row r="141" spans="1:4" ht="27.75" customHeight="1" x14ac:dyDescent="0.35">
      <c r="A141" s="7" t="s">
        <v>1300</v>
      </c>
      <c r="B141" s="8" t="s">
        <v>1301</v>
      </c>
      <c r="C141" s="199">
        <v>2.9051157820110654E-2</v>
      </c>
      <c r="D141" s="199">
        <v>5.3775342667834902</v>
      </c>
    </row>
    <row r="142" spans="1:4" ht="27.75" customHeight="1" x14ac:dyDescent="0.35">
      <c r="A142" s="7" t="s">
        <v>1302</v>
      </c>
      <c r="B142" s="8" t="s">
        <v>1303</v>
      </c>
      <c r="C142" s="199">
        <v>0</v>
      </c>
      <c r="D142" s="199">
        <v>11.317418109447393</v>
      </c>
    </row>
    <row r="143" spans="1:4" ht="27.75" customHeight="1" x14ac:dyDescent="0.35">
      <c r="A143" s="7" t="s">
        <v>1304</v>
      </c>
      <c r="B143" s="8" t="s">
        <v>1305</v>
      </c>
      <c r="C143" s="199">
        <v>0</v>
      </c>
      <c r="D143" s="199">
        <v>8.9224946955628894</v>
      </c>
    </row>
    <row r="144" spans="1:4" ht="27.75" customHeight="1" x14ac:dyDescent="0.35">
      <c r="A144" s="7" t="s">
        <v>1306</v>
      </c>
      <c r="B144" s="8" t="s">
        <v>1307</v>
      </c>
      <c r="C144" s="199">
        <v>3.1888726283879371E-4</v>
      </c>
      <c r="D144" s="199">
        <v>2.5097547988109496E-3</v>
      </c>
    </row>
    <row r="145" spans="1:4" ht="27.75" customHeight="1" x14ac:dyDescent="0.35">
      <c r="A145" s="7" t="s">
        <v>1308</v>
      </c>
      <c r="B145" s="8" t="s">
        <v>1309</v>
      </c>
      <c r="C145" s="199">
        <v>0.37238061719107551</v>
      </c>
      <c r="D145" s="199">
        <v>25.901494125766234</v>
      </c>
    </row>
    <row r="146" spans="1:4" ht="27.75" customHeight="1" x14ac:dyDescent="0.35">
      <c r="A146" s="7" t="s">
        <v>1310</v>
      </c>
      <c r="B146" s="8" t="s">
        <v>1311</v>
      </c>
      <c r="C146" s="199">
        <v>1.1877000168986648E-2</v>
      </c>
      <c r="D146" s="199">
        <v>8.0622753638556368</v>
      </c>
    </row>
    <row r="147" spans="1:4" ht="27.75" customHeight="1" x14ac:dyDescent="0.35">
      <c r="A147" s="7" t="s">
        <v>1312</v>
      </c>
      <c r="B147" s="8" t="s">
        <v>1311</v>
      </c>
      <c r="C147" s="199">
        <v>1.1986536555490653E-2</v>
      </c>
      <c r="D147" s="199">
        <v>8.0573790197694866</v>
      </c>
    </row>
    <row r="148" spans="1:4" ht="27.75" customHeight="1" x14ac:dyDescent="0.35">
      <c r="A148" s="7" t="s">
        <v>1313</v>
      </c>
      <c r="B148" s="8" t="s">
        <v>1314</v>
      </c>
      <c r="C148" s="199">
        <v>0.32328482848356255</v>
      </c>
      <c r="D148" s="199">
        <v>7.6340937280259755</v>
      </c>
    </row>
    <row r="149" spans="1:4" ht="27.75" customHeight="1" x14ac:dyDescent="0.35">
      <c r="A149" s="7" t="s">
        <v>1315</v>
      </c>
      <c r="B149" s="8" t="s">
        <v>1316</v>
      </c>
      <c r="C149" s="199">
        <v>1.1798904476061747</v>
      </c>
      <c r="D149" s="199">
        <v>12.211310988999807</v>
      </c>
    </row>
    <row r="150" spans="1:4" ht="27.75" customHeight="1" x14ac:dyDescent="0.35">
      <c r="A150" s="7" t="s">
        <v>1317</v>
      </c>
      <c r="B150" s="8" t="s">
        <v>1318</v>
      </c>
      <c r="C150" s="199">
        <v>1.0644400647418311</v>
      </c>
      <c r="D150" s="199">
        <v>48.494186353346436</v>
      </c>
    </row>
    <row r="151" spans="1:4" ht="27.75" customHeight="1" x14ac:dyDescent="0.35">
      <c r="A151" s="7" t="s">
        <v>1319</v>
      </c>
      <c r="B151" s="8" t="s">
        <v>1320</v>
      </c>
      <c r="C151" s="199">
        <v>1.3392107844664474</v>
      </c>
      <c r="D151" s="199">
        <v>16.719514872481785</v>
      </c>
    </row>
    <row r="152" spans="1:4" ht="27.75" customHeight="1" x14ac:dyDescent="0.35">
      <c r="A152" s="7" t="s">
        <v>1321</v>
      </c>
      <c r="B152" s="8" t="s">
        <v>1322</v>
      </c>
      <c r="C152" s="199">
        <v>6.6475583214281014E-2</v>
      </c>
      <c r="D152" s="199">
        <v>8.0942798727805965</v>
      </c>
    </row>
    <row r="153" spans="1:4" ht="27.75" customHeight="1" x14ac:dyDescent="0.35">
      <c r="A153" s="7" t="s">
        <v>1323</v>
      </c>
      <c r="B153" s="8" t="s">
        <v>1322</v>
      </c>
      <c r="C153" s="199">
        <v>0.21047724872455026</v>
      </c>
      <c r="D153" s="199">
        <v>2.8228121938735518</v>
      </c>
    </row>
    <row r="154" spans="1:4" ht="27.75" customHeight="1" x14ac:dyDescent="0.35">
      <c r="A154" s="7" t="s">
        <v>1324</v>
      </c>
      <c r="B154" s="8" t="s">
        <v>1325</v>
      </c>
      <c r="C154" s="199">
        <v>0.95179408323036507</v>
      </c>
      <c r="D154" s="199">
        <v>17.996717376791374</v>
      </c>
    </row>
    <row r="155" spans="1:4" ht="27.75" customHeight="1" x14ac:dyDescent="0.35">
      <c r="A155" s="7" t="s">
        <v>1326</v>
      </c>
      <c r="B155" s="8" t="s">
        <v>1327</v>
      </c>
      <c r="C155" s="199">
        <v>0</v>
      </c>
      <c r="D155" s="199">
        <v>3.0341356018016716</v>
      </c>
    </row>
    <row r="156" spans="1:4" ht="27.75" customHeight="1" x14ac:dyDescent="0.35">
      <c r="A156" s="7" t="s">
        <v>1328</v>
      </c>
      <c r="B156" s="8" t="s">
        <v>1329</v>
      </c>
      <c r="C156" s="199">
        <v>0.37025185837389479</v>
      </c>
      <c r="D156" s="199">
        <v>2.1418474424960605</v>
      </c>
    </row>
    <row r="157" spans="1:4" ht="27.75" customHeight="1" x14ac:dyDescent="0.35">
      <c r="A157" s="7" t="s">
        <v>1330</v>
      </c>
      <c r="B157" s="8" t="s">
        <v>1331</v>
      </c>
      <c r="C157" s="199">
        <v>0.48386393479466516</v>
      </c>
      <c r="D157" s="199">
        <v>1.9757541923856881</v>
      </c>
    </row>
    <row r="158" spans="1:4" ht="27.75" customHeight="1" x14ac:dyDescent="0.35">
      <c r="A158" s="7" t="s">
        <v>1332</v>
      </c>
      <c r="B158" s="8" t="s">
        <v>1333</v>
      </c>
      <c r="C158" s="199">
        <v>2.9724086274985599</v>
      </c>
      <c r="D158" s="199">
        <v>4.4311332317728107</v>
      </c>
    </row>
    <row r="159" spans="1:4" ht="27.75" customHeight="1" x14ac:dyDescent="0.35">
      <c r="A159" s="7" t="s">
        <v>1334</v>
      </c>
      <c r="B159" s="8" t="s">
        <v>1335</v>
      </c>
      <c r="C159" s="199">
        <v>2.1077154038771133</v>
      </c>
      <c r="D159" s="199">
        <v>8.4072489389424501</v>
      </c>
    </row>
    <row r="160" spans="1:4" ht="27.75" customHeight="1" x14ac:dyDescent="0.35">
      <c r="A160" s="7" t="s">
        <v>1336</v>
      </c>
      <c r="B160" s="8" t="s">
        <v>1337</v>
      </c>
      <c r="C160" s="199">
        <v>3.2598775167078617</v>
      </c>
      <c r="D160" s="199">
        <v>0.19918448183009385</v>
      </c>
    </row>
    <row r="161" spans="1:4" ht="27.75" customHeight="1" x14ac:dyDescent="0.35">
      <c r="A161" s="7" t="s">
        <v>1338</v>
      </c>
      <c r="B161" s="8" t="s">
        <v>1339</v>
      </c>
      <c r="C161" s="199">
        <v>7.6489062977675104E-2</v>
      </c>
      <c r="D161" s="199">
        <v>1.4952699807844785</v>
      </c>
    </row>
    <row r="162" spans="1:4" ht="27.75" customHeight="1" x14ac:dyDescent="0.35">
      <c r="A162" s="7" t="s">
        <v>1340</v>
      </c>
      <c r="B162" s="8" t="s">
        <v>1339</v>
      </c>
      <c r="C162" s="199">
        <v>7.692925382911002E-2</v>
      </c>
      <c r="D162" s="199">
        <v>1.5013450879693973</v>
      </c>
    </row>
    <row r="163" spans="1:4" ht="27.75" customHeight="1" x14ac:dyDescent="0.35">
      <c r="A163" s="7" t="s">
        <v>1341</v>
      </c>
      <c r="B163" s="8" t="s">
        <v>1342</v>
      </c>
      <c r="C163" s="199">
        <v>0.23618627831427444</v>
      </c>
      <c r="D163" s="199">
        <v>7.1182438151340612</v>
      </c>
    </row>
    <row r="164" spans="1:4" ht="27.75" customHeight="1" x14ac:dyDescent="0.35">
      <c r="A164" s="7" t="s">
        <v>1343</v>
      </c>
      <c r="B164" s="8" t="s">
        <v>1344</v>
      </c>
      <c r="C164" s="199">
        <v>0.92572955147627578</v>
      </c>
      <c r="D164" s="199">
        <v>9.2109391944322994</v>
      </c>
    </row>
    <row r="165" spans="1:4" ht="27.75" customHeight="1" x14ac:dyDescent="0.35">
      <c r="A165" s="7" t="s">
        <v>1345</v>
      </c>
      <c r="B165" s="8" t="s">
        <v>1346</v>
      </c>
      <c r="C165" s="199">
        <v>2.1985327614513199</v>
      </c>
      <c r="D165" s="199">
        <v>7.4120639684997975</v>
      </c>
    </row>
    <row r="166" spans="1:4" ht="27.75" customHeight="1" x14ac:dyDescent="0.35">
      <c r="A166" s="7" t="s">
        <v>1347</v>
      </c>
      <c r="B166" s="8" t="s">
        <v>1348</v>
      </c>
      <c r="C166" s="199">
        <v>1.0744674398484262</v>
      </c>
      <c r="D166" s="199">
        <v>15.292279074709169</v>
      </c>
    </row>
    <row r="167" spans="1:4" ht="27.75" customHeight="1" x14ac:dyDescent="0.35">
      <c r="A167" s="7" t="s">
        <v>1349</v>
      </c>
      <c r="B167" s="8" t="s">
        <v>1350</v>
      </c>
      <c r="C167" s="199">
        <v>0.94743115465550121</v>
      </c>
      <c r="D167" s="199">
        <v>15.653404974828273</v>
      </c>
    </row>
    <row r="168" spans="1:4" ht="27.75" customHeight="1" x14ac:dyDescent="0.35">
      <c r="A168" s="7" t="s">
        <v>1351</v>
      </c>
      <c r="B168" s="8" t="s">
        <v>1352</v>
      </c>
      <c r="C168" s="199">
        <v>1.4436723683209107</v>
      </c>
      <c r="D168" s="199">
        <v>16.070806939516462</v>
      </c>
    </row>
    <row r="169" spans="1:4" ht="27.75" customHeight="1" x14ac:dyDescent="0.35">
      <c r="A169" s="7" t="s">
        <v>1353</v>
      </c>
      <c r="B169" s="8" t="s">
        <v>1354</v>
      </c>
      <c r="C169" s="199">
        <v>-0.45502587597428157</v>
      </c>
      <c r="D169" s="199">
        <v>17.608937437144917</v>
      </c>
    </row>
    <row r="170" spans="1:4" ht="27.75" customHeight="1" x14ac:dyDescent="0.35">
      <c r="A170" s="7" t="s">
        <v>1355</v>
      </c>
      <c r="B170" s="8" t="s">
        <v>1356</v>
      </c>
      <c r="C170" s="199">
        <v>2.3309425359598643</v>
      </c>
      <c r="D170" s="199">
        <v>20.276354646886951</v>
      </c>
    </row>
    <row r="171" spans="1:4" ht="27.75" customHeight="1" x14ac:dyDescent="0.35">
      <c r="A171" s="7" t="s">
        <v>1357</v>
      </c>
      <c r="B171" s="8" t="s">
        <v>1358</v>
      </c>
      <c r="C171" s="199">
        <v>0.43656780332471368</v>
      </c>
      <c r="D171" s="199">
        <v>7.994673994298827</v>
      </c>
    </row>
    <row r="172" spans="1:4" ht="27.75" customHeight="1" x14ac:dyDescent="0.35">
      <c r="A172" s="7" t="s">
        <v>1359</v>
      </c>
      <c r="B172" s="8" t="s">
        <v>1360</v>
      </c>
      <c r="C172" s="199">
        <v>0.78876928844337546</v>
      </c>
      <c r="D172" s="199">
        <v>26.208543918783175</v>
      </c>
    </row>
    <row r="173" spans="1:4" ht="27.75" customHeight="1" x14ac:dyDescent="0.35">
      <c r="A173" s="7" t="s">
        <v>1361</v>
      </c>
      <c r="B173" s="8" t="s">
        <v>1362</v>
      </c>
      <c r="C173" s="199">
        <v>0.56058404335797596</v>
      </c>
      <c r="D173" s="199">
        <v>2.5514661753901189</v>
      </c>
    </row>
    <row r="174" spans="1:4" ht="27.75" customHeight="1" x14ac:dyDescent="0.35">
      <c r="A174" s="7" t="s">
        <v>1363</v>
      </c>
      <c r="B174" s="8" t="s">
        <v>1362</v>
      </c>
      <c r="C174" s="199">
        <v>0.59988813121766749</v>
      </c>
      <c r="D174" s="199">
        <v>2.185390867010419</v>
      </c>
    </row>
    <row r="175" spans="1:4" ht="27.75" customHeight="1" x14ac:dyDescent="0.35">
      <c r="A175" s="7" t="s">
        <v>1364</v>
      </c>
      <c r="B175" s="8" t="s">
        <v>1365</v>
      </c>
      <c r="C175" s="199">
        <v>0.16773810550340551</v>
      </c>
      <c r="D175" s="199">
        <v>14.981655904119918</v>
      </c>
    </row>
    <row r="176" spans="1:4" ht="27.75" customHeight="1" x14ac:dyDescent="0.35">
      <c r="A176" s="7" t="s">
        <v>1366</v>
      </c>
      <c r="B176" s="8" t="s">
        <v>1367</v>
      </c>
      <c r="C176" s="199">
        <v>0.8142912309854744</v>
      </c>
      <c r="D176" s="199">
        <v>22.94103931596085</v>
      </c>
    </row>
    <row r="177" spans="1:4" ht="27.75" customHeight="1" x14ac:dyDescent="0.35">
      <c r="A177" s="7" t="s">
        <v>1368</v>
      </c>
      <c r="B177" s="8" t="s">
        <v>1369</v>
      </c>
      <c r="C177" s="199">
        <v>0.33806853366982853</v>
      </c>
      <c r="D177" s="199">
        <v>10.811079635159595</v>
      </c>
    </row>
    <row r="178" spans="1:4" ht="27.75" customHeight="1" x14ac:dyDescent="0.35">
      <c r="A178" s="7" t="s">
        <v>1370</v>
      </c>
      <c r="B178" s="8" t="s">
        <v>1371</v>
      </c>
      <c r="C178" s="199">
        <v>9.1259099889809125E-2</v>
      </c>
      <c r="D178" s="199">
        <v>18.095829861153923</v>
      </c>
    </row>
    <row r="179" spans="1:4" ht="27.75" customHeight="1" x14ac:dyDescent="0.35">
      <c r="A179" s="7" t="s">
        <v>1372</v>
      </c>
      <c r="B179" s="8" t="s">
        <v>1373</v>
      </c>
      <c r="C179" s="199">
        <v>0.20427505873035612</v>
      </c>
      <c r="D179" s="199">
        <v>1.6423206499266214</v>
      </c>
    </row>
    <row r="180" spans="1:4" ht="27.75" customHeight="1" x14ac:dyDescent="0.35">
      <c r="A180" s="7" t="s">
        <v>1374</v>
      </c>
      <c r="B180" s="8" t="s">
        <v>1375</v>
      </c>
      <c r="C180" s="199">
        <v>4.8751678421610774E-2</v>
      </c>
      <c r="D180" s="199">
        <v>6.2317416686183806</v>
      </c>
    </row>
    <row r="181" spans="1:4" ht="27.75" customHeight="1" x14ac:dyDescent="0.35">
      <c r="A181" s="7" t="s">
        <v>1376</v>
      </c>
      <c r="B181" s="8" t="s">
        <v>1377</v>
      </c>
      <c r="C181" s="199">
        <v>0.56064479074498097</v>
      </c>
      <c r="D181" s="199">
        <v>5.9989857547185821</v>
      </c>
    </row>
    <row r="182" spans="1:4" ht="27.75" customHeight="1" x14ac:dyDescent="0.35">
      <c r="A182" s="7" t="s">
        <v>1378</v>
      </c>
      <c r="B182" s="8" t="s">
        <v>1379</v>
      </c>
      <c r="C182" s="199">
        <v>1.034260947988046</v>
      </c>
      <c r="D182" s="199">
        <v>7.2784499616514919</v>
      </c>
    </row>
    <row r="183" spans="1:4" ht="27.75" customHeight="1" x14ac:dyDescent="0.35">
      <c r="A183" s="7" t="s">
        <v>1380</v>
      </c>
      <c r="B183" s="8" t="s">
        <v>1381</v>
      </c>
      <c r="C183" s="199">
        <v>0</v>
      </c>
      <c r="D183" s="199">
        <v>-7.040464822118471E-2</v>
      </c>
    </row>
    <row r="184" spans="1:4" ht="27.75" customHeight="1" x14ac:dyDescent="0.35">
      <c r="A184" s="7" t="s">
        <v>1382</v>
      </c>
      <c r="B184" s="8" t="s">
        <v>1381</v>
      </c>
      <c r="C184" s="199">
        <v>0</v>
      </c>
      <c r="D184" s="199">
        <v>-0.14321465442200709</v>
      </c>
    </row>
    <row r="185" spans="1:4" ht="27.75" customHeight="1" x14ac:dyDescent="0.35">
      <c r="A185" s="7" t="s">
        <v>1383</v>
      </c>
      <c r="B185" s="8" t="s">
        <v>1384</v>
      </c>
      <c r="C185" s="199">
        <v>0.25949559141751349</v>
      </c>
      <c r="D185" s="199">
        <v>27.472487337091206</v>
      </c>
    </row>
    <row r="186" spans="1:4" ht="27.75" customHeight="1" x14ac:dyDescent="0.35">
      <c r="A186" s="7" t="s">
        <v>1385</v>
      </c>
      <c r="B186" s="8" t="s">
        <v>1386</v>
      </c>
      <c r="C186" s="199">
        <v>0.44707124220652633</v>
      </c>
      <c r="D186" s="199">
        <v>3.0413665241654657</v>
      </c>
    </row>
    <row r="187" spans="1:4" ht="27.75" customHeight="1" x14ac:dyDescent="0.35">
      <c r="A187" s="7" t="s">
        <v>1387</v>
      </c>
      <c r="B187" s="8" t="s">
        <v>1388</v>
      </c>
      <c r="C187" s="199">
        <v>0.37628909678934575</v>
      </c>
      <c r="D187" s="199">
        <v>2.6598090837282093</v>
      </c>
    </row>
    <row r="188" spans="1:4" ht="27.75" customHeight="1" x14ac:dyDescent="0.35">
      <c r="A188" s="7" t="s">
        <v>1389</v>
      </c>
      <c r="B188" s="8" t="s">
        <v>1390</v>
      </c>
      <c r="C188" s="199">
        <v>1.481229180047293</v>
      </c>
      <c r="D188" s="199">
        <v>8.5599442627625812</v>
      </c>
    </row>
    <row r="189" spans="1:4" ht="27.75" customHeight="1" x14ac:dyDescent="0.35">
      <c r="A189" s="7" t="s">
        <v>1391</v>
      </c>
      <c r="B189" s="8" t="s">
        <v>1392</v>
      </c>
      <c r="C189" s="199">
        <v>1.6784618024883169</v>
      </c>
      <c r="D189" s="199">
        <v>19.811315562652666</v>
      </c>
    </row>
    <row r="190" spans="1:4" ht="27.75" customHeight="1" x14ac:dyDescent="0.35">
      <c r="A190" s="7" t="s">
        <v>1393</v>
      </c>
      <c r="B190" s="8" t="s">
        <v>1394</v>
      </c>
      <c r="C190" s="199">
        <v>0.15942006209674581</v>
      </c>
      <c r="D190" s="199">
        <v>5.6643111598834963</v>
      </c>
    </row>
    <row r="191" spans="1:4" ht="27.75" customHeight="1" x14ac:dyDescent="0.35">
      <c r="A191" s="7" t="s">
        <v>1395</v>
      </c>
      <c r="B191" s="8" t="s">
        <v>1394</v>
      </c>
      <c r="C191" s="199">
        <v>0.16654769831052424</v>
      </c>
      <c r="D191" s="199">
        <v>3.4801132223638893</v>
      </c>
    </row>
    <row r="192" spans="1:4" ht="27.75" customHeight="1" x14ac:dyDescent="0.35">
      <c r="A192" s="7" t="s">
        <v>1396</v>
      </c>
      <c r="B192" s="8" t="s">
        <v>1397</v>
      </c>
      <c r="C192" s="199">
        <v>0.16280791538409972</v>
      </c>
      <c r="D192" s="199">
        <v>9.408630609153569</v>
      </c>
    </row>
    <row r="193" spans="1:4" ht="27.75" customHeight="1" x14ac:dyDescent="0.35">
      <c r="A193" s="7" t="s">
        <v>1398</v>
      </c>
      <c r="B193" s="8" t="s">
        <v>1397</v>
      </c>
      <c r="C193" s="199">
        <v>0.16265960775402249</v>
      </c>
      <c r="D193" s="199">
        <v>9.0998438448328471</v>
      </c>
    </row>
    <row r="194" spans="1:4" ht="27.75" customHeight="1" x14ac:dyDescent="0.35">
      <c r="A194" s="7" t="s">
        <v>1399</v>
      </c>
      <c r="B194" s="8" t="s">
        <v>1400</v>
      </c>
      <c r="C194" s="199">
        <v>0</v>
      </c>
      <c r="D194" s="199">
        <v>1.3708993003894603</v>
      </c>
    </row>
    <row r="195" spans="1:4" ht="27.75" customHeight="1" x14ac:dyDescent="0.35">
      <c r="A195" s="7" t="s">
        <v>1401</v>
      </c>
      <c r="B195" s="8" t="s">
        <v>1402</v>
      </c>
      <c r="C195" s="199">
        <v>1.0979752697365546</v>
      </c>
      <c r="D195" s="199">
        <v>14.774133956188475</v>
      </c>
    </row>
    <row r="196" spans="1:4" ht="27.75" customHeight="1" x14ac:dyDescent="0.35">
      <c r="A196" s="7" t="s">
        <v>1403</v>
      </c>
      <c r="B196" s="8" t="s">
        <v>1404</v>
      </c>
      <c r="C196" s="199">
        <v>0.2107679168401978</v>
      </c>
      <c r="D196" s="199">
        <v>0.82676435571930984</v>
      </c>
    </row>
    <row r="197" spans="1:4" ht="27.75" customHeight="1" x14ac:dyDescent="0.35">
      <c r="A197" s="7" t="s">
        <v>1405</v>
      </c>
      <c r="B197" s="8" t="s">
        <v>1406</v>
      </c>
      <c r="C197" s="199">
        <v>0.31824318863067091</v>
      </c>
      <c r="D197" s="199">
        <v>6.486220708670924</v>
      </c>
    </row>
    <row r="198" spans="1:4" ht="27.75" customHeight="1" x14ac:dyDescent="0.35">
      <c r="A198" s="7" t="s">
        <v>1407</v>
      </c>
      <c r="B198" s="8" t="s">
        <v>1406</v>
      </c>
      <c r="C198" s="199">
        <v>0.84123330597325985</v>
      </c>
      <c r="D198" s="199">
        <v>5.405860348766832</v>
      </c>
    </row>
    <row r="199" spans="1:4" ht="27.75" customHeight="1" x14ac:dyDescent="0.35">
      <c r="A199" s="7" t="s">
        <v>1408</v>
      </c>
      <c r="B199" s="8" t="s">
        <v>1409</v>
      </c>
      <c r="C199" s="199">
        <v>7.4179170347996362</v>
      </c>
      <c r="D199" s="199">
        <v>21.194534096933751</v>
      </c>
    </row>
    <row r="200" spans="1:4" ht="27.75" customHeight="1" x14ac:dyDescent="0.35">
      <c r="A200" s="7" t="s">
        <v>1410</v>
      </c>
      <c r="B200" s="8" t="s">
        <v>1411</v>
      </c>
      <c r="C200" s="199">
        <v>5.019289342441645E-3</v>
      </c>
      <c r="D200" s="199">
        <v>18.991954826849391</v>
      </c>
    </row>
    <row r="201" spans="1:4" ht="27.75" customHeight="1" x14ac:dyDescent="0.35">
      <c r="A201" s="7" t="s">
        <v>1412</v>
      </c>
      <c r="B201" s="8" t="s">
        <v>1413</v>
      </c>
      <c r="C201" s="199">
        <v>1.6554356596822588</v>
      </c>
      <c r="D201" s="199">
        <v>9.5672068200732809</v>
      </c>
    </row>
    <row r="202" spans="1:4" ht="27.75" customHeight="1" x14ac:dyDescent="0.35">
      <c r="A202" s="7" t="s">
        <v>1414</v>
      </c>
      <c r="B202" s="8" t="s">
        <v>1415</v>
      </c>
      <c r="C202" s="199">
        <v>2.1774353775866908</v>
      </c>
      <c r="D202" s="199">
        <v>1.9265126075830237</v>
      </c>
    </row>
    <row r="203" spans="1:4" ht="27.75" customHeight="1" x14ac:dyDescent="0.35">
      <c r="A203" s="7" t="s">
        <v>1416</v>
      </c>
      <c r="B203" s="8" t="s">
        <v>1417</v>
      </c>
      <c r="C203" s="199">
        <v>0.22324212353810005</v>
      </c>
      <c r="D203" s="199">
        <v>6.1979393015724575</v>
      </c>
    </row>
    <row r="204" spans="1:4" ht="27.75" customHeight="1" x14ac:dyDescent="0.35">
      <c r="A204" s="7" t="s">
        <v>1418</v>
      </c>
      <c r="B204" s="8" t="s">
        <v>1419</v>
      </c>
      <c r="C204" s="199">
        <v>0.47562039094381681</v>
      </c>
      <c r="D204" s="199">
        <v>17.651792281234918</v>
      </c>
    </row>
    <row r="205" spans="1:4" ht="27.75" customHeight="1" x14ac:dyDescent="0.35">
      <c r="A205" s="7" t="s">
        <v>1420</v>
      </c>
      <c r="B205" s="8" t="s">
        <v>1421</v>
      </c>
      <c r="C205" s="199">
        <v>1.3983418280018822</v>
      </c>
      <c r="D205" s="199">
        <v>3.590891560369041</v>
      </c>
    </row>
    <row r="206" spans="1:4" ht="27.75" customHeight="1" x14ac:dyDescent="0.35">
      <c r="A206" s="7" t="s">
        <v>1422</v>
      </c>
      <c r="B206" s="8" t="s">
        <v>1423</v>
      </c>
      <c r="C206" s="199">
        <v>0.48420418992223657</v>
      </c>
      <c r="D206" s="199">
        <v>1.4070400784383021</v>
      </c>
    </row>
    <row r="207" spans="1:4" ht="27.75" customHeight="1" x14ac:dyDescent="0.35">
      <c r="A207" s="7" t="s">
        <v>1424</v>
      </c>
      <c r="B207" s="8" t="s">
        <v>1425</v>
      </c>
      <c r="C207" s="199">
        <v>0.88817269654491737</v>
      </c>
      <c r="D207" s="199">
        <v>6.8733793587141978</v>
      </c>
    </row>
    <row r="208" spans="1:4" ht="27.75" customHeight="1" x14ac:dyDescent="0.35">
      <c r="A208" s="7" t="s">
        <v>1426</v>
      </c>
      <c r="B208" s="8" t="s">
        <v>1427</v>
      </c>
      <c r="C208" s="199">
        <v>2.0750966345420136E-2</v>
      </c>
      <c r="D208" s="199">
        <v>0.82525589871240235</v>
      </c>
    </row>
    <row r="209" spans="1:4" ht="27.75" customHeight="1" x14ac:dyDescent="0.35">
      <c r="A209" s="7" t="s">
        <v>1428</v>
      </c>
      <c r="B209" s="8" t="s">
        <v>1427</v>
      </c>
      <c r="C209" s="199">
        <v>2.0746193005806761E-2</v>
      </c>
      <c r="D209" s="199">
        <v>0.82556543348269851</v>
      </c>
    </row>
    <row r="210" spans="1:4" ht="27.75" customHeight="1" x14ac:dyDescent="0.35">
      <c r="A210" s="7" t="s">
        <v>1429</v>
      </c>
      <c r="B210" s="8" t="s">
        <v>1430</v>
      </c>
      <c r="C210" s="199">
        <v>0.56142916103215601</v>
      </c>
      <c r="D210" s="199">
        <v>11.979583395876571</v>
      </c>
    </row>
    <row r="211" spans="1:4" ht="27.75" customHeight="1" x14ac:dyDescent="0.35">
      <c r="A211" s="7" t="s">
        <v>1431</v>
      </c>
      <c r="B211" s="8" t="s">
        <v>1432</v>
      </c>
      <c r="C211" s="199">
        <v>0.80612382161619178</v>
      </c>
      <c r="D211" s="199">
        <v>11.992640402902779</v>
      </c>
    </row>
    <row r="212" spans="1:4" ht="27.75" customHeight="1" x14ac:dyDescent="0.35">
      <c r="A212" s="7" t="s">
        <v>1433</v>
      </c>
      <c r="B212" s="8" t="s">
        <v>1434</v>
      </c>
      <c r="C212" s="199">
        <v>0.97603306772461718</v>
      </c>
      <c r="D212" s="199">
        <v>15.538904836859675</v>
      </c>
    </row>
    <row r="213" spans="1:4" ht="27.75" customHeight="1" x14ac:dyDescent="0.35">
      <c r="A213" s="7" t="s">
        <v>1435</v>
      </c>
      <c r="B213" s="8" t="s">
        <v>1436</v>
      </c>
      <c r="C213" s="199">
        <v>8.6142661794813232E-6</v>
      </c>
      <c r="D213" s="199">
        <v>-5.4370584836515405</v>
      </c>
    </row>
    <row r="214" spans="1:4" ht="27.75" customHeight="1" x14ac:dyDescent="0.35">
      <c r="A214" s="7" t="s">
        <v>1437</v>
      </c>
      <c r="B214" s="8" t="s">
        <v>1438</v>
      </c>
      <c r="C214" s="199">
        <v>1.1672448236404327</v>
      </c>
      <c r="D214" s="199">
        <v>0.58515611601882844</v>
      </c>
    </row>
    <row r="215" spans="1:4" ht="27.75" customHeight="1" x14ac:dyDescent="0.35">
      <c r="A215" s="7" t="s">
        <v>1439</v>
      </c>
      <c r="B215" s="8" t="s">
        <v>1440</v>
      </c>
      <c r="C215" s="199">
        <v>0.4862142570815004</v>
      </c>
      <c r="D215" s="199">
        <v>4.2074396556625359E-3</v>
      </c>
    </row>
    <row r="216" spans="1:4" ht="27.75" customHeight="1" x14ac:dyDescent="0.35">
      <c r="A216" s="7" t="s">
        <v>1441</v>
      </c>
      <c r="B216" s="8" t="s">
        <v>1442</v>
      </c>
      <c r="C216" s="199">
        <v>0.49671695514203473</v>
      </c>
      <c r="D216" s="199">
        <v>24.433681400958996</v>
      </c>
    </row>
    <row r="217" spans="1:4" ht="27.75" customHeight="1" x14ac:dyDescent="0.35">
      <c r="A217" s="7" t="s">
        <v>1443</v>
      </c>
      <c r="B217" s="8" t="s">
        <v>1444</v>
      </c>
      <c r="C217" s="199">
        <v>0.87367532045190044</v>
      </c>
      <c r="D217" s="199">
        <v>2.8730730526851955</v>
      </c>
    </row>
    <row r="218" spans="1:4" ht="27.75" customHeight="1" x14ac:dyDescent="0.35">
      <c r="A218" s="7" t="s">
        <v>1445</v>
      </c>
      <c r="B218" s="8" t="s">
        <v>1446</v>
      </c>
      <c r="C218" s="199">
        <v>0.38684826758990459</v>
      </c>
      <c r="D218" s="199">
        <v>8.5617549007568385</v>
      </c>
    </row>
    <row r="219" spans="1:4" ht="27.75" customHeight="1" x14ac:dyDescent="0.35">
      <c r="A219" s="7" t="s">
        <v>1447</v>
      </c>
      <c r="B219" s="8" t="s">
        <v>1448</v>
      </c>
      <c r="C219" s="199">
        <v>9.843640720899749E-2</v>
      </c>
      <c r="D219" s="199">
        <v>5.636348566866074</v>
      </c>
    </row>
    <row r="220" spans="1:4" ht="27.75" customHeight="1" x14ac:dyDescent="0.35">
      <c r="A220" s="7" t="s">
        <v>1449</v>
      </c>
      <c r="B220" s="8" t="s">
        <v>1450</v>
      </c>
      <c r="C220" s="199">
        <v>1.1022389870288152</v>
      </c>
      <c r="D220" s="199">
        <v>3.643628024005038</v>
      </c>
    </row>
    <row r="221" spans="1:4" ht="27.75" customHeight="1" x14ac:dyDescent="0.35">
      <c r="A221" s="7" t="s">
        <v>1451</v>
      </c>
      <c r="B221" s="8" t="s">
        <v>1450</v>
      </c>
      <c r="C221" s="199">
        <v>6.0396556181794639E-2</v>
      </c>
      <c r="D221" s="199">
        <v>0.8034349273981144</v>
      </c>
    </row>
    <row r="222" spans="1:4" ht="27.75" customHeight="1" x14ac:dyDescent="0.35">
      <c r="A222" s="7" t="s">
        <v>1452</v>
      </c>
      <c r="B222" s="8" t="s">
        <v>1453</v>
      </c>
      <c r="C222" s="199">
        <v>1.2523348543203698</v>
      </c>
      <c r="D222" s="199">
        <v>-1.1772255751912717</v>
      </c>
    </row>
    <row r="223" spans="1:4" ht="27.75" customHeight="1" x14ac:dyDescent="0.35">
      <c r="A223" s="7" t="s">
        <v>1454</v>
      </c>
      <c r="B223" s="8" t="s">
        <v>1455</v>
      </c>
      <c r="C223" s="199">
        <v>0.32110497880085243</v>
      </c>
      <c r="D223" s="199">
        <v>11.634789173605352</v>
      </c>
    </row>
    <row r="224" spans="1:4" ht="27.75" customHeight="1" x14ac:dyDescent="0.35">
      <c r="A224" s="7" t="s">
        <v>1456</v>
      </c>
      <c r="B224" s="8" t="s">
        <v>1457</v>
      </c>
      <c r="C224" s="199">
        <v>1.8157333594165457</v>
      </c>
      <c r="D224" s="199">
        <v>21.197010586102003</v>
      </c>
    </row>
    <row r="225" spans="1:4" ht="27.75" customHeight="1" x14ac:dyDescent="0.35">
      <c r="A225" s="7" t="s">
        <v>1458</v>
      </c>
      <c r="B225" s="8" t="s">
        <v>1459</v>
      </c>
      <c r="C225" s="199">
        <v>0.14604518868711044</v>
      </c>
      <c r="D225" s="199">
        <v>7.1559798419138279</v>
      </c>
    </row>
    <row r="226" spans="1:4" ht="27.75" customHeight="1" x14ac:dyDescent="0.35">
      <c r="A226" s="7" t="s">
        <v>1460</v>
      </c>
      <c r="B226" s="8" t="s">
        <v>1459</v>
      </c>
      <c r="C226" s="199">
        <v>0.15035279645283992</v>
      </c>
      <c r="D226" s="199">
        <v>7.2480187546897508</v>
      </c>
    </row>
    <row r="227" spans="1:4" ht="27.75" customHeight="1" x14ac:dyDescent="0.35">
      <c r="A227" s="7" t="s">
        <v>1461</v>
      </c>
      <c r="B227" s="8" t="s">
        <v>1462</v>
      </c>
      <c r="C227" s="199">
        <v>0.97368147762730195</v>
      </c>
      <c r="D227" s="199">
        <v>7.0218371224909157</v>
      </c>
    </row>
    <row r="228" spans="1:4" ht="27.75" customHeight="1" x14ac:dyDescent="0.35">
      <c r="A228" s="7" t="s">
        <v>1463</v>
      </c>
      <c r="B228" s="8" t="s">
        <v>1464</v>
      </c>
      <c r="C228" s="199">
        <v>0.97456601528762543</v>
      </c>
      <c r="D228" s="199">
        <v>6.8392035911046731</v>
      </c>
    </row>
    <row r="229" spans="1:4" ht="27.75" customHeight="1" x14ac:dyDescent="0.35">
      <c r="A229" s="7" t="s">
        <v>1465</v>
      </c>
      <c r="B229" s="8" t="s">
        <v>1466</v>
      </c>
      <c r="C229" s="199">
        <v>6.5209629748747264E-2</v>
      </c>
      <c r="D229" s="199">
        <v>3.0303159133311874</v>
      </c>
    </row>
    <row r="230" spans="1:4" ht="27.75" customHeight="1" x14ac:dyDescent="0.35">
      <c r="A230" s="7" t="s">
        <v>1467</v>
      </c>
      <c r="B230" s="8" t="s">
        <v>1468</v>
      </c>
      <c r="C230" s="199">
        <v>6.09678194246151E-2</v>
      </c>
      <c r="D230" s="199">
        <v>4.0025540109152544</v>
      </c>
    </row>
    <row r="231" spans="1:4" ht="27.75" customHeight="1" x14ac:dyDescent="0.35">
      <c r="A231" s="7" t="s">
        <v>1469</v>
      </c>
      <c r="B231" s="8" t="s">
        <v>1468</v>
      </c>
      <c r="C231" s="199">
        <v>6.0969777312344001E-2</v>
      </c>
      <c r="D231" s="199">
        <v>4.0031569244855953</v>
      </c>
    </row>
    <row r="232" spans="1:4" ht="27.75" customHeight="1" x14ac:dyDescent="0.35">
      <c r="A232" s="7" t="s">
        <v>1470</v>
      </c>
      <c r="B232" s="8" t="s">
        <v>1471</v>
      </c>
      <c r="C232" s="199">
        <v>8.9623715788308578E-2</v>
      </c>
      <c r="D232" s="199">
        <v>4.1527893825669293E-2</v>
      </c>
    </row>
    <row r="233" spans="1:4" ht="27.75" customHeight="1" x14ac:dyDescent="0.35">
      <c r="A233" s="7" t="s">
        <v>1472</v>
      </c>
      <c r="B233" s="8" t="s">
        <v>1473</v>
      </c>
      <c r="C233" s="199">
        <v>0.89323059029891805</v>
      </c>
      <c r="D233" s="199">
        <v>3.2414715363554149E-2</v>
      </c>
    </row>
    <row r="234" spans="1:4" ht="27.75" customHeight="1" x14ac:dyDescent="0.35">
      <c r="A234" s="7" t="s">
        <v>1474</v>
      </c>
      <c r="B234" s="8" t="s">
        <v>1475</v>
      </c>
      <c r="C234" s="199">
        <v>6.2431404913273501E-2</v>
      </c>
      <c r="D234" s="199">
        <v>0.73575067695922902</v>
      </c>
    </row>
    <row r="235" spans="1:4" ht="27.75" customHeight="1" x14ac:dyDescent="0.35">
      <c r="A235" s="7" t="s">
        <v>1476</v>
      </c>
      <c r="B235" s="8" t="s">
        <v>1477</v>
      </c>
      <c r="C235" s="199">
        <v>2.1378658336948324</v>
      </c>
      <c r="D235" s="199">
        <v>7.3501191926172039E-3</v>
      </c>
    </row>
    <row r="236" spans="1:4" ht="27.75" customHeight="1" x14ac:dyDescent="0.35">
      <c r="A236" s="7" t="s">
        <v>1478</v>
      </c>
      <c r="B236" s="8" t="s">
        <v>1479</v>
      </c>
      <c r="C236" s="199">
        <v>1.8155013168858871</v>
      </c>
      <c r="D236" s="199">
        <v>2.0691691322188834</v>
      </c>
    </row>
    <row r="237" spans="1:4" ht="27.75" customHeight="1" x14ac:dyDescent="0.35">
      <c r="A237" s="7" t="s">
        <v>1480</v>
      </c>
      <c r="B237" s="8" t="s">
        <v>1481</v>
      </c>
      <c r="C237" s="199">
        <v>12.579337280415848</v>
      </c>
      <c r="D237" s="199">
        <v>3.1114897016263257</v>
      </c>
    </row>
    <row r="238" spans="1:4" ht="27.75" customHeight="1" x14ac:dyDescent="0.35">
      <c r="A238" s="7" t="s">
        <v>1482</v>
      </c>
      <c r="B238" s="8" t="s">
        <v>1483</v>
      </c>
      <c r="C238" s="199">
        <v>4.8503429138607999</v>
      </c>
      <c r="D238" s="199">
        <v>0.47681566181495671</v>
      </c>
    </row>
    <row r="239" spans="1:4" ht="27.75" customHeight="1" x14ac:dyDescent="0.35">
      <c r="A239" s="7" t="s">
        <v>1484</v>
      </c>
      <c r="B239" s="8" t="s">
        <v>1485</v>
      </c>
      <c r="C239" s="199">
        <v>0.74629128423061075</v>
      </c>
      <c r="D239" s="199">
        <v>1.7457308942268885</v>
      </c>
    </row>
    <row r="240" spans="1:4" ht="27.75" customHeight="1" x14ac:dyDescent="0.35">
      <c r="A240" s="7" t="s">
        <v>1486</v>
      </c>
      <c r="B240" s="8" t="s">
        <v>1487</v>
      </c>
      <c r="C240" s="199">
        <v>0.74366602527766001</v>
      </c>
      <c r="D240" s="199">
        <v>1.7404164650989831</v>
      </c>
    </row>
    <row r="241" spans="1:4" ht="27.75" customHeight="1" x14ac:dyDescent="0.35">
      <c r="A241" s="7" t="s">
        <v>1488</v>
      </c>
      <c r="B241" s="8" t="s">
        <v>1487</v>
      </c>
      <c r="C241" s="199">
        <v>0.74366602527766001</v>
      </c>
      <c r="D241" s="199">
        <v>1.7404164650989831</v>
      </c>
    </row>
    <row r="242" spans="1:4" ht="27.75" customHeight="1" x14ac:dyDescent="0.35">
      <c r="A242" s="7" t="s">
        <v>1489</v>
      </c>
      <c r="B242" s="8" t="s">
        <v>1490</v>
      </c>
      <c r="C242" s="199">
        <v>0</v>
      </c>
      <c r="D242" s="199">
        <v>0</v>
      </c>
    </row>
    <row r="243" spans="1:4" ht="27.75" customHeight="1" x14ac:dyDescent="0.35">
      <c r="A243" s="7" t="s">
        <v>1491</v>
      </c>
      <c r="B243" s="8" t="s">
        <v>1490</v>
      </c>
      <c r="C243" s="199">
        <v>2.9134375870538824</v>
      </c>
      <c r="D243" s="199">
        <v>-4.2151252354319962E-2</v>
      </c>
    </row>
    <row r="244" spans="1:4" ht="27.75" customHeight="1" x14ac:dyDescent="0.35">
      <c r="A244" s="7" t="s">
        <v>1492</v>
      </c>
      <c r="B244" s="8" t="s">
        <v>1493</v>
      </c>
      <c r="C244" s="199">
        <v>1.5288566624701692</v>
      </c>
      <c r="D244" s="199">
        <v>6.1461097629555574</v>
      </c>
    </row>
    <row r="245" spans="1:4" ht="27.75" customHeight="1" x14ac:dyDescent="0.35">
      <c r="A245" s="7" t="s">
        <v>1494</v>
      </c>
      <c r="B245" s="8" t="s">
        <v>1495</v>
      </c>
      <c r="C245" s="199">
        <v>5.1496427567662099E-4</v>
      </c>
      <c r="D245" s="199">
        <v>6.6542117130125181E-3</v>
      </c>
    </row>
    <row r="246" spans="1:4" ht="27.75" customHeight="1" x14ac:dyDescent="0.35">
      <c r="A246" s="7" t="s">
        <v>1496</v>
      </c>
      <c r="B246" s="8" t="s">
        <v>1497</v>
      </c>
      <c r="C246" s="199">
        <v>0.57097713633521474</v>
      </c>
      <c r="D246" s="199">
        <v>1.8717457426031847</v>
      </c>
    </row>
    <row r="247" spans="1:4" ht="27.75" customHeight="1" x14ac:dyDescent="0.35">
      <c r="A247" s="7" t="s">
        <v>1498</v>
      </c>
      <c r="B247" s="8" t="s">
        <v>1499</v>
      </c>
      <c r="C247" s="199">
        <v>2.3818111834925322</v>
      </c>
      <c r="D247" s="199">
        <v>0.31346287381979526</v>
      </c>
    </row>
    <row r="248" spans="1:4" ht="27.75" customHeight="1" x14ac:dyDescent="0.35">
      <c r="A248" s="7" t="s">
        <v>1500</v>
      </c>
      <c r="B248" s="8" t="s">
        <v>1501</v>
      </c>
      <c r="C248" s="199">
        <v>12.626362094476365</v>
      </c>
      <c r="D248" s="199">
        <v>-1.850442525978075</v>
      </c>
    </row>
    <row r="249" spans="1:4" ht="27.75" customHeight="1" x14ac:dyDescent="0.35">
      <c r="A249" s="7" t="s">
        <v>1502</v>
      </c>
      <c r="B249" s="8" t="s">
        <v>1503</v>
      </c>
      <c r="C249" s="199">
        <v>2.1382713551418302</v>
      </c>
      <c r="D249" s="199">
        <v>0.45146937922580044</v>
      </c>
    </row>
    <row r="250" spans="1:4" ht="27.75" customHeight="1" x14ac:dyDescent="0.35">
      <c r="A250" s="7" t="s">
        <v>1504</v>
      </c>
      <c r="B250" s="8" t="s">
        <v>1505</v>
      </c>
      <c r="C250" s="199">
        <v>0</v>
      </c>
      <c r="D250" s="199">
        <v>0</v>
      </c>
    </row>
    <row r="251" spans="1:4" ht="27.75" customHeight="1" x14ac:dyDescent="0.35">
      <c r="A251" s="7" t="s">
        <v>1506</v>
      </c>
      <c r="B251" s="8" t="s">
        <v>1507</v>
      </c>
      <c r="C251" s="199">
        <v>0</v>
      </c>
      <c r="D251" s="199">
        <v>9.1762776195624998</v>
      </c>
    </row>
    <row r="252" spans="1:4" ht="27.75" customHeight="1" x14ac:dyDescent="0.35">
      <c r="A252" s="7" t="s">
        <v>1508</v>
      </c>
      <c r="B252" s="8" t="s">
        <v>1509</v>
      </c>
      <c r="C252" s="199">
        <v>0.62738721502685724</v>
      </c>
      <c r="D252" s="199">
        <v>15.831958492630697</v>
      </c>
    </row>
    <row r="253" spans="1:4" ht="27.75" customHeight="1" x14ac:dyDescent="0.35">
      <c r="A253" s="7" t="s">
        <v>1510</v>
      </c>
      <c r="B253" s="8" t="s">
        <v>1511</v>
      </c>
      <c r="C253" s="199">
        <v>0.27949162680663475</v>
      </c>
      <c r="D253" s="199">
        <v>1.5512444351973961E-2</v>
      </c>
    </row>
    <row r="254" spans="1:4" ht="27.75" customHeight="1" x14ac:dyDescent="0.35">
      <c r="A254" s="7" t="s">
        <v>1512</v>
      </c>
      <c r="B254" s="8" t="s">
        <v>1513</v>
      </c>
      <c r="C254" s="199">
        <v>0.25794407884215004</v>
      </c>
      <c r="D254" s="199">
        <v>6.2532456278339446</v>
      </c>
    </row>
    <row r="255" spans="1:4" ht="27.75" customHeight="1" x14ac:dyDescent="0.35">
      <c r="A255" s="7" t="s">
        <v>1514</v>
      </c>
      <c r="B255" s="8" t="s">
        <v>1513</v>
      </c>
      <c r="C255" s="199">
        <v>0.25794407884215004</v>
      </c>
      <c r="D255" s="199">
        <v>6.2532456278339446</v>
      </c>
    </row>
    <row r="256" spans="1:4" ht="27.75" customHeight="1" x14ac:dyDescent="0.35">
      <c r="A256" s="7" t="s">
        <v>1515</v>
      </c>
      <c r="B256" s="8" t="s">
        <v>1516</v>
      </c>
      <c r="C256" s="199">
        <v>5.9792297947220206E-2</v>
      </c>
      <c r="D256" s="199">
        <v>0.15760544550250941</v>
      </c>
    </row>
    <row r="257" spans="1:4" ht="27.75" customHeight="1" x14ac:dyDescent="0.35">
      <c r="A257" s="7" t="s">
        <v>1517</v>
      </c>
      <c r="B257" s="8" t="s">
        <v>1518</v>
      </c>
      <c r="C257" s="199">
        <v>0.51003593327763952</v>
      </c>
      <c r="D257" s="199">
        <v>0.19476474840014224</v>
      </c>
    </row>
    <row r="258" spans="1:4" ht="27.75" customHeight="1" x14ac:dyDescent="0.35">
      <c r="A258" s="7" t="s">
        <v>1519</v>
      </c>
      <c r="B258" s="8" t="s">
        <v>1520</v>
      </c>
      <c r="C258" s="199">
        <v>3.2899657350196216</v>
      </c>
      <c r="D258" s="199">
        <v>-9.6803849112239868E-2</v>
      </c>
    </row>
    <row r="259" spans="1:4" ht="27.75" customHeight="1" x14ac:dyDescent="0.35">
      <c r="A259" s="7" t="s">
        <v>1521</v>
      </c>
      <c r="B259" s="8" t="s">
        <v>1522</v>
      </c>
      <c r="C259" s="199">
        <v>2.8566903306544198</v>
      </c>
      <c r="D259" s="199">
        <v>0.11650170979718867</v>
      </c>
    </row>
    <row r="260" spans="1:4" ht="27.75" customHeight="1" x14ac:dyDescent="0.35">
      <c r="A260" s="7" t="s">
        <v>1523</v>
      </c>
      <c r="B260" s="8" t="s">
        <v>1524</v>
      </c>
      <c r="C260" s="199">
        <v>1.5782107510194978</v>
      </c>
      <c r="D260" s="199">
        <v>0.12075142154786178</v>
      </c>
    </row>
    <row r="261" spans="1:4" ht="27.75" customHeight="1" x14ac:dyDescent="0.35">
      <c r="A261" s="7" t="s">
        <v>1525</v>
      </c>
      <c r="B261" s="8" t="s">
        <v>1526</v>
      </c>
      <c r="C261" s="199">
        <v>0</v>
      </c>
      <c r="D261" s="199">
        <v>2.4806634589597172</v>
      </c>
    </row>
    <row r="262" spans="1:4" ht="27.75" customHeight="1" x14ac:dyDescent="0.35">
      <c r="A262" s="7" t="s">
        <v>1527</v>
      </c>
      <c r="B262" s="8" t="s">
        <v>1528</v>
      </c>
      <c r="C262" s="199">
        <v>0</v>
      </c>
      <c r="D262" s="199">
        <v>1.4821269319945656</v>
      </c>
    </row>
    <row r="263" spans="1:4" ht="27.75" customHeight="1" x14ac:dyDescent="0.35">
      <c r="A263" s="7" t="s">
        <v>1529</v>
      </c>
      <c r="B263" s="8" t="s">
        <v>1530</v>
      </c>
      <c r="C263" s="199">
        <v>-0.17645472917113825</v>
      </c>
      <c r="D263" s="199">
        <v>0.92216205035006771</v>
      </c>
    </row>
    <row r="264" spans="1:4" ht="27.75" customHeight="1" x14ac:dyDescent="0.35">
      <c r="A264" s="7" t="s">
        <v>1531</v>
      </c>
      <c r="B264" s="8" t="s">
        <v>1532</v>
      </c>
      <c r="C264" s="199">
        <v>3.977389694868112</v>
      </c>
      <c r="D264" s="199">
        <v>1.1169860774308038</v>
      </c>
    </row>
    <row r="265" spans="1:4" ht="27.75" customHeight="1" x14ac:dyDescent="0.35">
      <c r="A265" s="7" t="s">
        <v>1533</v>
      </c>
      <c r="B265" s="8" t="s">
        <v>1534</v>
      </c>
      <c r="C265" s="199">
        <v>1.2330235995864085</v>
      </c>
      <c r="D265" s="199">
        <v>2.4068690611885302</v>
      </c>
    </row>
    <row r="266" spans="1:4" ht="27.75" customHeight="1" x14ac:dyDescent="0.35">
      <c r="A266" s="7" t="s">
        <v>1535</v>
      </c>
      <c r="B266" s="8" t="s">
        <v>1536</v>
      </c>
      <c r="C266" s="199">
        <v>0.94708428797222588</v>
      </c>
      <c r="D266" s="199">
        <v>4.8776015902433816</v>
      </c>
    </row>
    <row r="267" spans="1:4" ht="27.75" customHeight="1" x14ac:dyDescent="0.35">
      <c r="A267" s="7" t="s">
        <v>1537</v>
      </c>
      <c r="B267" s="8" t="s">
        <v>1538</v>
      </c>
      <c r="C267" s="199">
        <v>0</v>
      </c>
      <c r="D267" s="199">
        <v>10.164830859822899</v>
      </c>
    </row>
    <row r="268" spans="1:4" ht="27.75" customHeight="1" x14ac:dyDescent="0.35">
      <c r="A268" s="7" t="s">
        <v>1539</v>
      </c>
      <c r="B268" s="8" t="s">
        <v>1540</v>
      </c>
      <c r="C268" s="199">
        <v>0.78094027756620177</v>
      </c>
      <c r="D268" s="199">
        <v>11.98773043026077</v>
      </c>
    </row>
    <row r="269" spans="1:4" ht="27.75" customHeight="1" x14ac:dyDescent="0.35">
      <c r="A269" s="7" t="s">
        <v>1541</v>
      </c>
      <c r="B269" s="8" t="s">
        <v>1540</v>
      </c>
      <c r="C269" s="199">
        <v>0.78094027756620177</v>
      </c>
      <c r="D269" s="199">
        <v>11.98773043026077</v>
      </c>
    </row>
    <row r="270" spans="1:4" ht="27.75" customHeight="1" x14ac:dyDescent="0.35">
      <c r="A270" s="7" t="s">
        <v>1542</v>
      </c>
      <c r="B270" s="8" t="s">
        <v>1543</v>
      </c>
      <c r="C270" s="199">
        <v>0.35970056994865324</v>
      </c>
      <c r="D270" s="199">
        <v>-5.7421412368531337</v>
      </c>
    </row>
    <row r="271" spans="1:4" ht="27.75" customHeight="1" x14ac:dyDescent="0.35">
      <c r="A271" s="7" t="s">
        <v>1544</v>
      </c>
      <c r="B271" s="8" t="s">
        <v>1545</v>
      </c>
      <c r="C271" s="199">
        <v>0.62381213838391725</v>
      </c>
      <c r="D271" s="199">
        <v>20.687118037218703</v>
      </c>
    </row>
    <row r="272" spans="1:4" ht="27.75" customHeight="1" x14ac:dyDescent="0.35">
      <c r="A272" s="7" t="s">
        <v>1546</v>
      </c>
      <c r="B272" s="8" t="s">
        <v>1545</v>
      </c>
      <c r="C272" s="199">
        <v>0.62381213838391725</v>
      </c>
      <c r="D272" s="199">
        <v>20.687118037218703</v>
      </c>
    </row>
    <row r="273" spans="1:4" ht="27.75" customHeight="1" x14ac:dyDescent="0.35">
      <c r="A273" s="7" t="s">
        <v>1547</v>
      </c>
      <c r="B273" s="8" t="s">
        <v>1548</v>
      </c>
      <c r="C273" s="199">
        <v>0</v>
      </c>
      <c r="D273" s="199">
        <v>0</v>
      </c>
    </row>
    <row r="274" spans="1:4" ht="27.75" customHeight="1" x14ac:dyDescent="0.35">
      <c r="A274" s="7" t="s">
        <v>1549</v>
      </c>
      <c r="B274" s="8" t="s">
        <v>1550</v>
      </c>
      <c r="C274" s="199">
        <v>1.5828098082870006</v>
      </c>
      <c r="D274" s="199">
        <v>2.4808702946745731</v>
      </c>
    </row>
    <row r="275" spans="1:4" ht="27.75" customHeight="1" x14ac:dyDescent="0.35">
      <c r="A275" s="7" t="s">
        <v>1551</v>
      </c>
      <c r="B275" s="8" t="s">
        <v>1552</v>
      </c>
      <c r="C275" s="199">
        <v>3.8230517549148448</v>
      </c>
      <c r="D275" s="199">
        <v>5.5753480196359089</v>
      </c>
    </row>
    <row r="276" spans="1:4" ht="27.75" customHeight="1" x14ac:dyDescent="0.35">
      <c r="A276" s="7" t="s">
        <v>1553</v>
      </c>
      <c r="B276" s="8" t="s">
        <v>1554</v>
      </c>
      <c r="C276" s="199">
        <v>1.6699899732424659</v>
      </c>
      <c r="D276" s="199">
        <v>5.1859601545915446</v>
      </c>
    </row>
    <row r="277" spans="1:4" ht="27.75" customHeight="1" x14ac:dyDescent="0.35">
      <c r="A277" s="7" t="s">
        <v>1555</v>
      </c>
      <c r="B277" s="8" t="s">
        <v>1556</v>
      </c>
      <c r="C277" s="199">
        <v>2.1434190398513993</v>
      </c>
      <c r="D277" s="199">
        <v>3.2349024004828077</v>
      </c>
    </row>
    <row r="278" spans="1:4" ht="27.75" customHeight="1" x14ac:dyDescent="0.35">
      <c r="A278" s="7" t="s">
        <v>1557</v>
      </c>
      <c r="B278" s="8" t="s">
        <v>1558</v>
      </c>
      <c r="C278" s="199">
        <v>2.0956079803056289</v>
      </c>
      <c r="D278" s="199">
        <v>1.6689805079489712</v>
      </c>
    </row>
    <row r="279" spans="1:4" ht="27.75" customHeight="1" x14ac:dyDescent="0.35">
      <c r="A279" s="7" t="s">
        <v>1559</v>
      </c>
      <c r="B279" s="8" t="s">
        <v>1560</v>
      </c>
      <c r="C279" s="199">
        <v>2.3246643376257357</v>
      </c>
      <c r="D279" s="199">
        <v>0.49256157669726119</v>
      </c>
    </row>
    <row r="280" spans="1:4" ht="27.75" customHeight="1" x14ac:dyDescent="0.35">
      <c r="A280" s="7" t="s">
        <v>1561</v>
      </c>
      <c r="B280" s="8" t="s">
        <v>1562</v>
      </c>
      <c r="C280" s="199">
        <v>3.2036792995254739</v>
      </c>
      <c r="D280" s="199">
        <v>0</v>
      </c>
    </row>
    <row r="281" spans="1:4" ht="27.75" customHeight="1" x14ac:dyDescent="0.35">
      <c r="A281" s="7" t="s">
        <v>1563</v>
      </c>
      <c r="B281" s="8" t="s">
        <v>1564</v>
      </c>
      <c r="C281" s="199">
        <v>0.10034617310395823</v>
      </c>
      <c r="D281" s="199">
        <v>0</v>
      </c>
    </row>
    <row r="282" spans="1:4" ht="27.75" customHeight="1" x14ac:dyDescent="0.35">
      <c r="A282" s="7" t="s">
        <v>1565</v>
      </c>
      <c r="B282" s="8" t="s">
        <v>1566</v>
      </c>
      <c r="C282" s="199">
        <v>1.0833149984919133</v>
      </c>
      <c r="D282" s="199">
        <v>0.14313612685542768</v>
      </c>
    </row>
    <row r="283" spans="1:4" ht="27.75" customHeight="1" x14ac:dyDescent="0.35">
      <c r="A283" s="7" t="s">
        <v>1567</v>
      </c>
      <c r="B283" s="8" t="s">
        <v>1568</v>
      </c>
      <c r="C283" s="199">
        <v>0.20726400498013695</v>
      </c>
      <c r="D283" s="199">
        <v>10.666274405314265</v>
      </c>
    </row>
    <row r="284" spans="1:4" ht="27.75" customHeight="1" x14ac:dyDescent="0.35">
      <c r="A284" s="7" t="s">
        <v>1569</v>
      </c>
      <c r="B284" s="8" t="s">
        <v>1570</v>
      </c>
      <c r="C284" s="199">
        <v>1.4238775538593784</v>
      </c>
      <c r="D284" s="199">
        <v>-1.0499688250646972</v>
      </c>
    </row>
    <row r="285" spans="1:4" ht="27.75" customHeight="1" x14ac:dyDescent="0.35">
      <c r="A285" s="7" t="s">
        <v>1571</v>
      </c>
      <c r="B285" s="8" t="s">
        <v>1572</v>
      </c>
      <c r="C285" s="199">
        <v>7.2327085545971217</v>
      </c>
      <c r="D285" s="199">
        <v>5.4186618055587044</v>
      </c>
    </row>
    <row r="286" spans="1:4" ht="27.75" customHeight="1" x14ac:dyDescent="0.35">
      <c r="A286" s="7" t="s">
        <v>1573</v>
      </c>
      <c r="B286" s="8" t="s">
        <v>1574</v>
      </c>
      <c r="C286" s="199">
        <v>0.40553321877313653</v>
      </c>
      <c r="D286" s="199">
        <v>-1.2448406928865039</v>
      </c>
    </row>
    <row r="287" spans="1:4" ht="27.75" customHeight="1" x14ac:dyDescent="0.35">
      <c r="A287" s="7" t="s">
        <v>1575</v>
      </c>
      <c r="B287" s="8" t="s">
        <v>1576</v>
      </c>
      <c r="C287" s="199">
        <v>1.266396451870911</v>
      </c>
      <c r="D287" s="199">
        <v>1.2911153020808456E-2</v>
      </c>
    </row>
    <row r="288" spans="1:4" ht="27.75" customHeight="1" x14ac:dyDescent="0.35">
      <c r="A288" s="7" t="s">
        <v>1577</v>
      </c>
      <c r="B288" s="8" t="s">
        <v>1578</v>
      </c>
      <c r="C288" s="199">
        <v>2.3817188517763768</v>
      </c>
      <c r="D288" s="199">
        <v>0.31346283374371109</v>
      </c>
    </row>
    <row r="289" spans="1:4" ht="27.75" customHeight="1" x14ac:dyDescent="0.35">
      <c r="A289" s="7" t="s">
        <v>1579</v>
      </c>
      <c r="B289" s="8" t="s">
        <v>1580</v>
      </c>
      <c r="C289" s="199">
        <v>4.4800491699103659</v>
      </c>
      <c r="D289" s="199">
        <v>10.694734259873423</v>
      </c>
    </row>
    <row r="290" spans="1:4" ht="27.75" customHeight="1" x14ac:dyDescent="0.35">
      <c r="A290" s="7" t="s">
        <v>1581</v>
      </c>
      <c r="B290" s="8" t="s">
        <v>1582</v>
      </c>
      <c r="C290" s="199">
        <v>0.36746628165001693</v>
      </c>
      <c r="D290" s="199">
        <v>-5.8142387004641982</v>
      </c>
    </row>
    <row r="291" spans="1:4" ht="27.75" customHeight="1" x14ac:dyDescent="0.35">
      <c r="A291" s="7" t="s">
        <v>1583</v>
      </c>
      <c r="B291" s="8" t="s">
        <v>1584</v>
      </c>
      <c r="C291" s="199">
        <v>12.15876764899363</v>
      </c>
      <c r="D291" s="199">
        <v>-1.794986173427128</v>
      </c>
    </row>
    <row r="292" spans="1:4" ht="27.75" customHeight="1" x14ac:dyDescent="0.35">
      <c r="A292" s="7" t="s">
        <v>1585</v>
      </c>
      <c r="B292" s="8" t="s">
        <v>1586</v>
      </c>
      <c r="C292" s="199">
        <v>0</v>
      </c>
      <c r="D292" s="199">
        <v>0</v>
      </c>
    </row>
    <row r="293" spans="1:4" ht="27.75" customHeight="1" x14ac:dyDescent="0.35">
      <c r="A293" s="7" t="s">
        <v>1587</v>
      </c>
      <c r="B293" s="8" t="s">
        <v>1588</v>
      </c>
      <c r="C293" s="199">
        <v>-1.8692220512882041</v>
      </c>
      <c r="D293" s="199">
        <v>-2.1129801727628443</v>
      </c>
    </row>
    <row r="294" spans="1:4" ht="27.75" customHeight="1" x14ac:dyDescent="0.35">
      <c r="A294" s="7" t="s">
        <v>1589</v>
      </c>
      <c r="B294" s="8" t="s">
        <v>1590</v>
      </c>
      <c r="C294" s="199">
        <v>4.7366161639434008</v>
      </c>
      <c r="D294" s="199">
        <v>6.2260334748951127</v>
      </c>
    </row>
    <row r="295" spans="1:4" ht="27.75" customHeight="1" x14ac:dyDescent="0.35">
      <c r="A295" s="7" t="s">
        <v>1591</v>
      </c>
      <c r="B295" s="8" t="s">
        <v>1592</v>
      </c>
      <c r="C295" s="199">
        <v>12.028327496641619</v>
      </c>
      <c r="D295" s="199">
        <v>6.24274091386682</v>
      </c>
    </row>
    <row r="296" spans="1:4" ht="27.75" customHeight="1" x14ac:dyDescent="0.35">
      <c r="A296" s="7" t="s">
        <v>1593</v>
      </c>
      <c r="B296" s="8" t="s">
        <v>1594</v>
      </c>
      <c r="C296" s="199">
        <v>0</v>
      </c>
      <c r="D296" s="199">
        <v>0</v>
      </c>
    </row>
    <row r="297" spans="1:4" ht="27.75" customHeight="1" x14ac:dyDescent="0.35">
      <c r="A297" s="7" t="s">
        <v>1595</v>
      </c>
      <c r="B297" s="8" t="s">
        <v>1596</v>
      </c>
      <c r="C297" s="199">
        <v>2.2254689102449025E-7</v>
      </c>
      <c r="D297" s="199">
        <v>0</v>
      </c>
    </row>
    <row r="298" spans="1:4" ht="27.75" customHeight="1" x14ac:dyDescent="0.35">
      <c r="A298" s="7" t="s">
        <v>1597</v>
      </c>
      <c r="B298" s="8" t="s">
        <v>1598</v>
      </c>
      <c r="C298" s="199">
        <v>7.2424584002037236</v>
      </c>
      <c r="D298" s="199">
        <v>3.2832649002671328</v>
      </c>
    </row>
    <row r="299" spans="1:4" ht="27.75" customHeight="1" x14ac:dyDescent="0.35">
      <c r="A299" s="7" t="s">
        <v>1599</v>
      </c>
      <c r="B299" s="8" t="s">
        <v>1600</v>
      </c>
      <c r="C299" s="199">
        <v>2.0604773264066836</v>
      </c>
      <c r="D299" s="199">
        <v>0.81995591971285342</v>
      </c>
    </row>
    <row r="300" spans="1:4" ht="27.75" customHeight="1" x14ac:dyDescent="0.35">
      <c r="A300" s="7" t="s">
        <v>1601</v>
      </c>
      <c r="B300" s="8" t="s">
        <v>1602</v>
      </c>
      <c r="C300" s="199">
        <v>1.9720780281179076</v>
      </c>
      <c r="D300" s="199">
        <v>3.9703149777119546</v>
      </c>
    </row>
    <row r="301" spans="1:4" ht="27.75" customHeight="1" x14ac:dyDescent="0.35">
      <c r="A301" s="7" t="s">
        <v>1603</v>
      </c>
      <c r="B301" s="8" t="s">
        <v>1604</v>
      </c>
      <c r="C301" s="199">
        <v>5.6719730983919376</v>
      </c>
      <c r="D301" s="199">
        <v>6.9433999874157761</v>
      </c>
    </row>
    <row r="302" spans="1:4" ht="27.75" customHeight="1" x14ac:dyDescent="0.35">
      <c r="A302" s="7" t="s">
        <v>1605</v>
      </c>
      <c r="B302" s="8" t="s">
        <v>1606</v>
      </c>
      <c r="C302" s="199">
        <v>0.51022593332698252</v>
      </c>
      <c r="D302" s="199">
        <v>0.19483684041158944</v>
      </c>
    </row>
    <row r="303" spans="1:4" ht="27.75" customHeight="1" x14ac:dyDescent="0.35">
      <c r="A303" s="7" t="s">
        <v>1607</v>
      </c>
      <c r="B303" s="8" t="s">
        <v>1608</v>
      </c>
      <c r="C303" s="199">
        <v>0.4386769952471446</v>
      </c>
      <c r="D303" s="199">
        <v>0.81425104532446912</v>
      </c>
    </row>
    <row r="304" spans="1:4" ht="27.75" customHeight="1" x14ac:dyDescent="0.35">
      <c r="A304" s="7" t="s">
        <v>1609</v>
      </c>
      <c r="B304" s="8" t="s">
        <v>1610</v>
      </c>
      <c r="C304" s="199">
        <v>0.51013254925620011</v>
      </c>
      <c r="D304" s="199">
        <v>0.19480152659432021</v>
      </c>
    </row>
    <row r="305" spans="1:4" ht="27.75" customHeight="1" x14ac:dyDescent="0.35">
      <c r="A305" s="7" t="s">
        <v>1611</v>
      </c>
      <c r="B305" s="8" t="s">
        <v>1612</v>
      </c>
      <c r="C305" s="199">
        <v>-5.8004764029781372E-2</v>
      </c>
      <c r="D305" s="199">
        <v>-1.0657837207015661</v>
      </c>
    </row>
    <row r="306" spans="1:4" ht="27.75" customHeight="1" x14ac:dyDescent="0.35">
      <c r="A306" s="7" t="s">
        <v>1613</v>
      </c>
      <c r="B306" s="8" t="s">
        <v>1614</v>
      </c>
      <c r="C306" s="199">
        <v>7.6616085136294156</v>
      </c>
      <c r="D306" s="199">
        <v>10.943468266040576</v>
      </c>
    </row>
    <row r="307" spans="1:4" ht="27.75" customHeight="1" x14ac:dyDescent="0.35">
      <c r="A307" s="7" t="s">
        <v>1615</v>
      </c>
      <c r="B307" s="8" t="s">
        <v>1616</v>
      </c>
      <c r="C307" s="199">
        <v>0.44436401179311602</v>
      </c>
      <c r="D307" s="199">
        <v>3.0902524752779467E-3</v>
      </c>
    </row>
    <row r="308" spans="1:4" ht="27.75" customHeight="1" x14ac:dyDescent="0.35">
      <c r="A308" s="7" t="s">
        <v>1617</v>
      </c>
      <c r="B308" s="8" t="s">
        <v>1618</v>
      </c>
      <c r="C308" s="199">
        <v>2.6213700957361343</v>
      </c>
      <c r="D308" s="199">
        <v>0.16711138203396991</v>
      </c>
    </row>
    <row r="309" spans="1:4" ht="27.75" customHeight="1" x14ac:dyDescent="0.35">
      <c r="A309" s="7" t="s">
        <v>1619</v>
      </c>
      <c r="B309" s="8" t="s">
        <v>1620</v>
      </c>
      <c r="C309" s="199">
        <v>9.6198008022431498</v>
      </c>
      <c r="D309" s="199">
        <v>11.88324919203386</v>
      </c>
    </row>
    <row r="310" spans="1:4" ht="27.75" customHeight="1" x14ac:dyDescent="0.35">
      <c r="A310" s="7" t="s">
        <v>1621</v>
      </c>
      <c r="B310" s="8" t="s">
        <v>1622</v>
      </c>
      <c r="C310" s="199">
        <v>1.5415106929426625</v>
      </c>
      <c r="D310" s="199">
        <v>-1.3153045523136279E-2</v>
      </c>
    </row>
    <row r="311" spans="1:4" ht="27.75" customHeight="1" x14ac:dyDescent="0.35">
      <c r="A311" s="7" t="s">
        <v>1623</v>
      </c>
      <c r="B311" s="8" t="s">
        <v>1622</v>
      </c>
      <c r="C311" s="199">
        <v>1.5415205786971435</v>
      </c>
      <c r="D311" s="199">
        <v>-1.3153438540318342E-2</v>
      </c>
    </row>
    <row r="312" spans="1:4" ht="27.75" customHeight="1" x14ac:dyDescent="0.35">
      <c r="A312" s="7" t="s">
        <v>1624</v>
      </c>
      <c r="B312" s="8" t="s">
        <v>1625</v>
      </c>
      <c r="C312" s="199">
        <v>4.052533378756177</v>
      </c>
      <c r="D312" s="199">
        <v>0.53671012336695445</v>
      </c>
    </row>
    <row r="313" spans="1:4" ht="27.75" customHeight="1" x14ac:dyDescent="0.35">
      <c r="A313" s="7" t="s">
        <v>1626</v>
      </c>
      <c r="B313" s="8" t="s">
        <v>1627</v>
      </c>
      <c r="C313" s="199">
        <v>0.88974649099256597</v>
      </c>
      <c r="D313" s="199">
        <v>0.31577108626578804</v>
      </c>
    </row>
    <row r="314" spans="1:4" ht="27.75" customHeight="1" x14ac:dyDescent="0.35">
      <c r="A314" s="7" t="s">
        <v>1628</v>
      </c>
      <c r="B314" s="8" t="s">
        <v>1629</v>
      </c>
      <c r="C314" s="199">
        <v>8.1666607314408122</v>
      </c>
      <c r="D314" s="199">
        <v>14.934610420083338</v>
      </c>
    </row>
    <row r="315" spans="1:4" ht="27.75" customHeight="1" x14ac:dyDescent="0.35">
      <c r="A315" s="7" t="s">
        <v>1630</v>
      </c>
      <c r="B315" s="8" t="s">
        <v>1631</v>
      </c>
      <c r="C315" s="199">
        <v>5.6719730983919376</v>
      </c>
      <c r="D315" s="199">
        <v>6.9433999874157761</v>
      </c>
    </row>
    <row r="316" spans="1:4" ht="27.75" customHeight="1" x14ac:dyDescent="0.35">
      <c r="A316" s="7" t="s">
        <v>1632</v>
      </c>
      <c r="B316" s="8" t="s">
        <v>1633</v>
      </c>
      <c r="C316" s="199">
        <v>1.0853760214227135</v>
      </c>
      <c r="D316" s="199">
        <v>6.6101032870430385E-2</v>
      </c>
    </row>
    <row r="317" spans="1:4" ht="27.75" customHeight="1" x14ac:dyDescent="0.35">
      <c r="A317" s="7" t="s">
        <v>1634</v>
      </c>
      <c r="B317" s="8" t="s">
        <v>1635</v>
      </c>
      <c r="C317" s="199">
        <v>0.48621647419162622</v>
      </c>
      <c r="D317" s="199">
        <v>4.2074565357208714E-3</v>
      </c>
    </row>
    <row r="318" spans="1:4" ht="27.75" customHeight="1" x14ac:dyDescent="0.35">
      <c r="A318" s="7" t="s">
        <v>1636</v>
      </c>
      <c r="B318" s="8" t="s">
        <v>1637</v>
      </c>
      <c r="C318" s="199">
        <v>-7.9536999732178204E-3</v>
      </c>
      <c r="D318" s="199">
        <v>3.8417681747522394</v>
      </c>
    </row>
    <row r="319" spans="1:4" ht="27.75" customHeight="1" x14ac:dyDescent="0.35">
      <c r="A319" s="7" t="s">
        <v>1638</v>
      </c>
      <c r="B319" s="8" t="s">
        <v>1639</v>
      </c>
      <c r="C319" s="199">
        <v>5.0837805129202049</v>
      </c>
      <c r="D319" s="199">
        <v>0.13177248549921111</v>
      </c>
    </row>
    <row r="320" spans="1:4" ht="27.75" customHeight="1" x14ac:dyDescent="0.35">
      <c r="A320" s="7" t="s">
        <v>1640</v>
      </c>
      <c r="B320" s="8" t="s">
        <v>1641</v>
      </c>
      <c r="C320" s="199">
        <v>0.18050942059894376</v>
      </c>
      <c r="D320" s="199">
        <v>0.14749357130947455</v>
      </c>
    </row>
    <row r="321" spans="1:4" ht="27.75" customHeight="1" x14ac:dyDescent="0.35">
      <c r="A321" s="7" t="s">
        <v>1642</v>
      </c>
      <c r="B321" s="8" t="s">
        <v>1643</v>
      </c>
      <c r="C321" s="199">
        <v>-5.8635512844026228E-3</v>
      </c>
      <c r="D321" s="199">
        <v>-0.65423974386871941</v>
      </c>
    </row>
    <row r="322" spans="1:4" ht="27.75" customHeight="1" x14ac:dyDescent="0.35">
      <c r="A322" s="7" t="s">
        <v>1644</v>
      </c>
      <c r="B322" s="8" t="s">
        <v>1643</v>
      </c>
      <c r="C322" s="199">
        <v>-2.4276696765587105E-2</v>
      </c>
      <c r="D322" s="199">
        <v>-0.16284202048097746</v>
      </c>
    </row>
    <row r="323" spans="1:4" ht="27.75" customHeight="1" x14ac:dyDescent="0.35">
      <c r="A323" s="7" t="s">
        <v>1645</v>
      </c>
      <c r="B323" s="8" t="s">
        <v>1646</v>
      </c>
      <c r="C323" s="199">
        <v>0.98495838077371034</v>
      </c>
      <c r="D323" s="199">
        <v>0.13664773060977531</v>
      </c>
    </row>
    <row r="324" spans="1:4" ht="27.75" customHeight="1" x14ac:dyDescent="0.35">
      <c r="A324" s="7" t="s">
        <v>1647</v>
      </c>
      <c r="B324" s="8" t="s">
        <v>1648</v>
      </c>
      <c r="C324" s="199">
        <v>7.4830660059704733E-3</v>
      </c>
      <c r="D324" s="199">
        <v>0</v>
      </c>
    </row>
    <row r="325" spans="1:4" ht="27.75" customHeight="1" x14ac:dyDescent="0.35">
      <c r="A325" s="7" t="s">
        <v>1649</v>
      </c>
      <c r="B325" s="8" t="s">
        <v>1650</v>
      </c>
      <c r="C325" s="199">
        <v>0</v>
      </c>
      <c r="D325" s="199">
        <v>7.6008295513002544</v>
      </c>
    </row>
    <row r="326" spans="1:4" ht="27.75" customHeight="1" x14ac:dyDescent="0.35">
      <c r="A326" s="7" t="s">
        <v>1651</v>
      </c>
      <c r="B326" s="8" t="s">
        <v>1652</v>
      </c>
      <c r="C326" s="199">
        <v>1.0823765457809214</v>
      </c>
      <c r="D326" s="199">
        <v>1.3823305161614015</v>
      </c>
    </row>
    <row r="327" spans="1:4" ht="27.75" customHeight="1" x14ac:dyDescent="0.35">
      <c r="A327" s="7" t="s">
        <v>1653</v>
      </c>
      <c r="B327" s="8" t="s">
        <v>1654</v>
      </c>
      <c r="C327" s="199">
        <v>7.836647535002976E-2</v>
      </c>
      <c r="D327" s="199">
        <v>2.0988078136916955E-3</v>
      </c>
    </row>
    <row r="328" spans="1:4" ht="27.75" customHeight="1" x14ac:dyDescent="0.35">
      <c r="A328" s="7" t="s">
        <v>1655</v>
      </c>
      <c r="B328" s="8" t="s">
        <v>1656</v>
      </c>
      <c r="C328" s="199">
        <v>0.61313998484489096</v>
      </c>
      <c r="D328" s="199">
        <v>1.8738567441430072</v>
      </c>
    </row>
    <row r="329" spans="1:4" ht="27.75" customHeight="1" x14ac:dyDescent="0.35">
      <c r="A329" s="7" t="s">
        <v>1657</v>
      </c>
      <c r="B329" s="8" t="s">
        <v>1658</v>
      </c>
      <c r="C329" s="199">
        <v>4.9796309391678721E-2</v>
      </c>
      <c r="D329" s="199">
        <v>-0.17984466253443926</v>
      </c>
    </row>
    <row r="330" spans="1:4" ht="27.75" customHeight="1" x14ac:dyDescent="0.35">
      <c r="A330" s="7" t="s">
        <v>1659</v>
      </c>
      <c r="B330" s="8" t="s">
        <v>1658</v>
      </c>
      <c r="C330" s="199">
        <v>4.994997770989202E-2</v>
      </c>
      <c r="D330" s="199">
        <v>-0.17926354982314827</v>
      </c>
    </row>
    <row r="331" spans="1:4" ht="27.75" customHeight="1" x14ac:dyDescent="0.35">
      <c r="A331" s="7" t="s">
        <v>1660</v>
      </c>
      <c r="B331" s="8" t="s">
        <v>1661</v>
      </c>
      <c r="C331" s="199">
        <v>1.7997601550756377</v>
      </c>
      <c r="D331" s="199">
        <v>10.78619501887329</v>
      </c>
    </row>
    <row r="332" spans="1:4" ht="27.75" customHeight="1" x14ac:dyDescent="0.35">
      <c r="A332" s="7" t="s">
        <v>1662</v>
      </c>
      <c r="B332" s="8" t="s">
        <v>1663</v>
      </c>
      <c r="C332" s="199">
        <v>0.10284315596536842</v>
      </c>
      <c r="D332" s="199">
        <v>5.4788643547355909</v>
      </c>
    </row>
    <row r="333" spans="1:4" ht="27.75" customHeight="1" x14ac:dyDescent="0.35">
      <c r="A333" s="7" t="s">
        <v>1664</v>
      </c>
      <c r="B333" s="8" t="s">
        <v>1663</v>
      </c>
      <c r="C333" s="199">
        <v>0.10256551792229462</v>
      </c>
      <c r="D333" s="199">
        <v>5.7681775433562024</v>
      </c>
    </row>
    <row r="334" spans="1:4" ht="27.75" customHeight="1" x14ac:dyDescent="0.35">
      <c r="A334" s="7" t="s">
        <v>1665</v>
      </c>
      <c r="B334" s="8" t="s">
        <v>1666</v>
      </c>
      <c r="C334" s="199">
        <v>8.0493296682199261E-2</v>
      </c>
      <c r="D334" s="199">
        <v>-0.72735363705892064</v>
      </c>
    </row>
    <row r="335" spans="1:4" ht="27.75" customHeight="1" x14ac:dyDescent="0.35">
      <c r="A335" s="7" t="s">
        <v>1667</v>
      </c>
      <c r="B335" s="8" t="s">
        <v>1668</v>
      </c>
      <c r="C335" s="199">
        <v>0.23534132461673801</v>
      </c>
      <c r="D335" s="199">
        <v>27.566089516301837</v>
      </c>
    </row>
    <row r="336" spans="1:4" ht="27.75" customHeight="1" x14ac:dyDescent="0.35">
      <c r="A336" s="7" t="s">
        <v>1669</v>
      </c>
      <c r="B336" s="8" t="s">
        <v>1670</v>
      </c>
      <c r="C336" s="199">
        <v>7.4120994050071914E-2</v>
      </c>
      <c r="D336" s="199">
        <v>21.386475669679758</v>
      </c>
    </row>
    <row r="337" spans="1:4" ht="27.75" customHeight="1" x14ac:dyDescent="0.35">
      <c r="A337" s="7" t="s">
        <v>1671</v>
      </c>
      <c r="B337" s="8" t="s">
        <v>1672</v>
      </c>
      <c r="C337" s="199">
        <v>1.2168295779695625E-2</v>
      </c>
      <c r="D337" s="199">
        <v>8.9168153483496795</v>
      </c>
    </row>
    <row r="338" spans="1:4" ht="27.75" customHeight="1" x14ac:dyDescent="0.35">
      <c r="A338" s="7" t="s">
        <v>1673</v>
      </c>
      <c r="B338" s="8" t="s">
        <v>1674</v>
      </c>
      <c r="C338" s="199">
        <v>0.18296906784476299</v>
      </c>
      <c r="D338" s="199">
        <v>0.36027742056085887</v>
      </c>
    </row>
    <row r="339" spans="1:4" ht="27.75" customHeight="1" x14ac:dyDescent="0.35">
      <c r="A339" s="7" t="s">
        <v>1675</v>
      </c>
      <c r="B339" s="8" t="s">
        <v>1676</v>
      </c>
      <c r="C339" s="199">
        <v>3.5579335256839997E-2</v>
      </c>
      <c r="D339" s="199">
        <v>2.0635816316648148</v>
      </c>
    </row>
    <row r="340" spans="1:4" ht="27.75" customHeight="1" x14ac:dyDescent="0.35">
      <c r="A340" s="7" t="s">
        <v>1677</v>
      </c>
      <c r="B340" s="8" t="s">
        <v>1678</v>
      </c>
      <c r="C340" s="199">
        <v>8.4832058441019847E-2</v>
      </c>
      <c r="D340" s="199">
        <v>2.6177250523679736</v>
      </c>
    </row>
    <row r="341" spans="1:4" ht="27.75" customHeight="1" x14ac:dyDescent="0.35">
      <c r="A341" s="7" t="s">
        <v>1679</v>
      </c>
      <c r="B341" s="8" t="s">
        <v>1680</v>
      </c>
      <c r="C341" s="199">
        <v>0</v>
      </c>
      <c r="D341" s="199">
        <v>0.94715184953933607</v>
      </c>
    </row>
    <row r="342" spans="1:4" ht="27.75" customHeight="1" x14ac:dyDescent="0.35">
      <c r="A342" s="7" t="s">
        <v>1681</v>
      </c>
      <c r="B342" s="8" t="s">
        <v>1682</v>
      </c>
      <c r="C342" s="199">
        <v>0.31484448909903329</v>
      </c>
      <c r="D342" s="199">
        <v>1.3487108154695604</v>
      </c>
    </row>
    <row r="343" spans="1:4" ht="27.75" customHeight="1" x14ac:dyDescent="0.35">
      <c r="A343" s="7" t="s">
        <v>1683</v>
      </c>
      <c r="B343" s="8" t="s">
        <v>1684</v>
      </c>
      <c r="C343" s="199">
        <v>1.5605173569317674</v>
      </c>
      <c r="D343" s="199">
        <v>25.807105500465049</v>
      </c>
    </row>
    <row r="344" spans="1:4" ht="27.75" customHeight="1" x14ac:dyDescent="0.35">
      <c r="A344" s="7" t="s">
        <v>1685</v>
      </c>
      <c r="B344" s="8" t="s">
        <v>1686</v>
      </c>
      <c r="C344" s="199">
        <v>0.54489639567485382</v>
      </c>
      <c r="D344" s="199">
        <v>14.198682825678148</v>
      </c>
    </row>
    <row r="345" spans="1:4" ht="27.75" customHeight="1" x14ac:dyDescent="0.35">
      <c r="A345" s="7" t="s">
        <v>1687</v>
      </c>
      <c r="B345" s="8" t="s">
        <v>1688</v>
      </c>
      <c r="C345" s="199">
        <v>0.45780512971698006</v>
      </c>
      <c r="D345" s="199">
        <v>5.0518446778173978</v>
      </c>
    </row>
    <row r="346" spans="1:4" ht="27.75" customHeight="1" x14ac:dyDescent="0.35">
      <c r="A346" s="7" t="s">
        <v>1689</v>
      </c>
      <c r="B346" s="8" t="s">
        <v>1688</v>
      </c>
      <c r="C346" s="199">
        <v>2.4650074652272469</v>
      </c>
      <c r="D346" s="199">
        <v>5.458035839985719</v>
      </c>
    </row>
    <row r="347" spans="1:4" ht="27.75" customHeight="1" x14ac:dyDescent="0.35">
      <c r="A347" s="7" t="s">
        <v>1690</v>
      </c>
      <c r="B347" s="8" t="s">
        <v>1691</v>
      </c>
      <c r="C347" s="199">
        <v>2.4643653091791076</v>
      </c>
      <c r="D347" s="199">
        <v>5.4566907194329612</v>
      </c>
    </row>
    <row r="348" spans="1:4" ht="27.75" customHeight="1" x14ac:dyDescent="0.35">
      <c r="A348" s="7" t="s">
        <v>1692</v>
      </c>
      <c r="B348" s="8" t="s">
        <v>1693</v>
      </c>
      <c r="C348" s="199">
        <v>0.76521138770265207</v>
      </c>
      <c r="D348" s="199">
        <v>18.110695026571815</v>
      </c>
    </row>
    <row r="349" spans="1:4" ht="27.75" customHeight="1" x14ac:dyDescent="0.35">
      <c r="A349" s="7" t="s">
        <v>1694</v>
      </c>
      <c r="B349" s="8" t="s">
        <v>1695</v>
      </c>
      <c r="C349" s="199">
        <v>0.82252979999292553</v>
      </c>
      <c r="D349" s="199">
        <v>3.9412390388801102</v>
      </c>
    </row>
    <row r="350" spans="1:4" ht="27.75" customHeight="1" x14ac:dyDescent="0.35">
      <c r="A350" s="7" t="s">
        <v>1696</v>
      </c>
      <c r="B350" s="8" t="s">
        <v>1697</v>
      </c>
      <c r="C350" s="199">
        <v>0.52971633212520675</v>
      </c>
      <c r="D350" s="199">
        <v>6.367886525732942</v>
      </c>
    </row>
    <row r="351" spans="1:4" ht="27.75" customHeight="1" x14ac:dyDescent="0.35">
      <c r="A351" s="7" t="s">
        <v>1698</v>
      </c>
      <c r="B351" s="8" t="s">
        <v>1699</v>
      </c>
      <c r="C351" s="199">
        <v>0.24629648387969008</v>
      </c>
      <c r="D351" s="199">
        <v>23.137960520594035</v>
      </c>
    </row>
    <row r="352" spans="1:4" ht="27.75" customHeight="1" x14ac:dyDescent="0.35">
      <c r="A352" s="7" t="s">
        <v>1700</v>
      </c>
      <c r="B352" s="8" t="s">
        <v>1701</v>
      </c>
      <c r="C352" s="199">
        <v>0.82021438043593109</v>
      </c>
      <c r="D352" s="199">
        <v>7.8840997681979808</v>
      </c>
    </row>
    <row r="353" spans="1:4" ht="27.75" customHeight="1" x14ac:dyDescent="0.35">
      <c r="A353" s="7" t="s">
        <v>1702</v>
      </c>
      <c r="B353" s="8" t="s">
        <v>1703</v>
      </c>
      <c r="C353" s="199">
        <v>0.30583154762879333</v>
      </c>
      <c r="D353" s="199">
        <v>8.6116794615959513</v>
      </c>
    </row>
    <row r="354" spans="1:4" ht="27.75" customHeight="1" x14ac:dyDescent="0.35">
      <c r="A354" s="7" t="s">
        <v>1704</v>
      </c>
      <c r="B354" s="8" t="s">
        <v>1705</v>
      </c>
      <c r="C354" s="199">
        <v>-1.1655240781114049</v>
      </c>
      <c r="D354" s="199">
        <v>8.4893902075534129</v>
      </c>
    </row>
    <row r="355" spans="1:4" ht="27.75" customHeight="1" x14ac:dyDescent="0.35">
      <c r="A355" s="7" t="s">
        <v>1706</v>
      </c>
      <c r="B355" s="8" t="s">
        <v>1705</v>
      </c>
      <c r="C355" s="199">
        <v>-1.1653923328848743</v>
      </c>
      <c r="D355" s="199">
        <v>8.4888217017571694</v>
      </c>
    </row>
    <row r="356" spans="1:4" ht="27.75" customHeight="1" x14ac:dyDescent="0.35">
      <c r="A356" s="7" t="s">
        <v>1707</v>
      </c>
      <c r="B356" s="8" t="s">
        <v>1708</v>
      </c>
      <c r="C356" s="199">
        <v>8.7499788218454194E-2</v>
      </c>
      <c r="D356" s="199">
        <v>12.244041440539814</v>
      </c>
    </row>
    <row r="357" spans="1:4" ht="27.75" customHeight="1" x14ac:dyDescent="0.35">
      <c r="A357" s="7" t="s">
        <v>1709</v>
      </c>
      <c r="B357" s="8" t="s">
        <v>1708</v>
      </c>
      <c r="C357" s="199">
        <v>8.7224607210008784E-2</v>
      </c>
      <c r="D357" s="199">
        <v>12.397461916183957</v>
      </c>
    </row>
    <row r="358" spans="1:4" ht="27.75" customHeight="1" x14ac:dyDescent="0.35">
      <c r="A358" s="7" t="s">
        <v>1710</v>
      </c>
      <c r="B358" s="8" t="s">
        <v>1711</v>
      </c>
      <c r="C358" s="199">
        <v>0.7240561349327661</v>
      </c>
      <c r="D358" s="199">
        <v>29.316523574606194</v>
      </c>
    </row>
    <row r="359" spans="1:4" ht="27.75" customHeight="1" x14ac:dyDescent="0.35">
      <c r="A359" s="7" t="s">
        <v>1712</v>
      </c>
      <c r="B359" s="8" t="s">
        <v>1713</v>
      </c>
      <c r="C359" s="199">
        <v>0.64226838453745283</v>
      </c>
      <c r="D359" s="199">
        <v>15.107889276766992</v>
      </c>
    </row>
    <row r="360" spans="1:4" ht="27.75" customHeight="1" x14ac:dyDescent="0.35">
      <c r="A360" s="7" t="s">
        <v>1714</v>
      </c>
      <c r="B360" s="8" t="s">
        <v>1715</v>
      </c>
      <c r="C360" s="199">
        <v>4.1013746382611309</v>
      </c>
      <c r="D360" s="199">
        <v>16.373640947122624</v>
      </c>
    </row>
    <row r="361" spans="1:4" ht="27.75" customHeight="1" x14ac:dyDescent="0.35">
      <c r="A361" s="7" t="s">
        <v>1716</v>
      </c>
      <c r="B361" s="8" t="s">
        <v>1717</v>
      </c>
      <c r="C361" s="199">
        <v>0</v>
      </c>
      <c r="D361" s="199">
        <v>11.513485043517365</v>
      </c>
    </row>
    <row r="362" spans="1:4" ht="27.75" customHeight="1" x14ac:dyDescent="0.35">
      <c r="A362" s="7" t="s">
        <v>1718</v>
      </c>
      <c r="B362" s="8" t="s">
        <v>1717</v>
      </c>
      <c r="C362" s="199">
        <v>0</v>
      </c>
      <c r="D362" s="199">
        <v>11.667246571408661</v>
      </c>
    </row>
    <row r="363" spans="1:4" ht="27.75" customHeight="1" x14ac:dyDescent="0.35">
      <c r="A363" s="7" t="s">
        <v>1719</v>
      </c>
      <c r="B363" s="8" t="s">
        <v>1720</v>
      </c>
      <c r="C363" s="199">
        <v>6.7407108033881364</v>
      </c>
      <c r="D363" s="199">
        <v>16.451767148199188</v>
      </c>
    </row>
    <row r="364" spans="1:4" ht="27.75" customHeight="1" x14ac:dyDescent="0.35">
      <c r="A364" s="7" t="s">
        <v>1721</v>
      </c>
      <c r="B364" s="8" t="s">
        <v>1722</v>
      </c>
      <c r="C364" s="199">
        <v>0.94241370054581908</v>
      </c>
      <c r="D364" s="199">
        <v>4.5694885033306472</v>
      </c>
    </row>
    <row r="365" spans="1:4" ht="27.75" customHeight="1" x14ac:dyDescent="0.35">
      <c r="A365" s="7" t="s">
        <v>1723</v>
      </c>
      <c r="B365" s="8" t="s">
        <v>1722</v>
      </c>
      <c r="C365" s="199">
        <v>0.56292921020817022</v>
      </c>
      <c r="D365" s="199">
        <v>4.5433932791067875</v>
      </c>
    </row>
    <row r="366" spans="1:4" ht="27.75" customHeight="1" x14ac:dyDescent="0.35">
      <c r="A366" s="7" t="s">
        <v>1724</v>
      </c>
      <c r="B366" s="8" t="s">
        <v>1725</v>
      </c>
      <c r="C366" s="199">
        <v>0.99322864862880578</v>
      </c>
      <c r="D366" s="199">
        <v>33.571047077602394</v>
      </c>
    </row>
    <row r="367" spans="1:4" ht="27.75" customHeight="1" x14ac:dyDescent="0.35">
      <c r="A367" s="7" t="s">
        <v>1726</v>
      </c>
      <c r="B367" s="8" t="s">
        <v>1727</v>
      </c>
      <c r="C367" s="199">
        <v>4.2105839362505693</v>
      </c>
      <c r="D367" s="199">
        <v>20.692753418092984</v>
      </c>
    </row>
    <row r="368" spans="1:4" ht="27.75" customHeight="1" x14ac:dyDescent="0.35">
      <c r="A368" s="7" t="s">
        <v>1728</v>
      </c>
      <c r="B368" s="8" t="s">
        <v>1729</v>
      </c>
      <c r="C368" s="199">
        <v>0.68535401495673587</v>
      </c>
      <c r="D368" s="199">
        <v>11.707260306581261</v>
      </c>
    </row>
    <row r="369" spans="1:4" ht="27.75" customHeight="1" x14ac:dyDescent="0.35">
      <c r="A369" s="7" t="s">
        <v>1730</v>
      </c>
      <c r="B369" s="8" t="s">
        <v>1731</v>
      </c>
      <c r="C369" s="199">
        <v>3.0789229926716466</v>
      </c>
      <c r="D369" s="199">
        <v>6.8169000387037979</v>
      </c>
    </row>
    <row r="370" spans="1:4" ht="27.75" customHeight="1" x14ac:dyDescent="0.35">
      <c r="A370" s="7" t="s">
        <v>1732</v>
      </c>
      <c r="B370" s="8" t="s">
        <v>1733</v>
      </c>
      <c r="C370" s="199">
        <v>0.27327133544476312</v>
      </c>
      <c r="D370" s="199">
        <v>21.328249680078624</v>
      </c>
    </row>
    <row r="371" spans="1:4" ht="27.75" customHeight="1" x14ac:dyDescent="0.35">
      <c r="A371" s="7" t="s">
        <v>1734</v>
      </c>
      <c r="B371" s="8" t="s">
        <v>1735</v>
      </c>
      <c r="C371" s="199">
        <v>0.65179052961054662</v>
      </c>
      <c r="D371" s="199">
        <v>6.9596905775707549</v>
      </c>
    </row>
    <row r="372" spans="1:4" ht="27.75" customHeight="1" x14ac:dyDescent="0.35">
      <c r="A372" s="7" t="s">
        <v>1736</v>
      </c>
      <c r="B372" s="8" t="s">
        <v>1737</v>
      </c>
      <c r="C372" s="199">
        <v>4.4435802632412633</v>
      </c>
      <c r="D372" s="199">
        <v>26.426410724588877</v>
      </c>
    </row>
    <row r="373" spans="1:4" ht="27.75" customHeight="1" x14ac:dyDescent="0.35">
      <c r="A373" s="7" t="s">
        <v>1738</v>
      </c>
      <c r="B373" s="8" t="s">
        <v>1739</v>
      </c>
      <c r="C373" s="199">
        <v>3.600010463854479</v>
      </c>
      <c r="D373" s="199">
        <v>5.09316780163488E-3</v>
      </c>
    </row>
    <row r="374" spans="1:4" ht="27.75" customHeight="1" x14ac:dyDescent="0.35">
      <c r="A374" s="7" t="s">
        <v>1740</v>
      </c>
      <c r="B374" s="8" t="s">
        <v>1741</v>
      </c>
      <c r="C374" s="199">
        <v>1.7528412934351676</v>
      </c>
      <c r="D374" s="199">
        <v>17.546602558455845</v>
      </c>
    </row>
    <row r="375" spans="1:4" ht="27.75" customHeight="1" x14ac:dyDescent="0.35">
      <c r="A375" s="7" t="s">
        <v>1742</v>
      </c>
      <c r="B375" s="8" t="s">
        <v>1743</v>
      </c>
      <c r="C375" s="199">
        <v>1.9494096361612669</v>
      </c>
      <c r="D375" s="199">
        <v>17.095092616947195</v>
      </c>
    </row>
    <row r="376" spans="1:4" ht="27.75" customHeight="1" x14ac:dyDescent="0.35">
      <c r="A376" s="7" t="s">
        <v>1744</v>
      </c>
      <c r="B376" s="8" t="s">
        <v>1745</v>
      </c>
      <c r="C376" s="199">
        <v>1.0741676572120002</v>
      </c>
      <c r="D376" s="199">
        <v>20.254038975698336</v>
      </c>
    </row>
    <row r="377" spans="1:4" ht="27.75" customHeight="1" x14ac:dyDescent="0.35">
      <c r="A377" s="7" t="s">
        <v>1746</v>
      </c>
      <c r="B377" s="8" t="s">
        <v>1747</v>
      </c>
      <c r="C377" s="199">
        <v>3.2661761571056451</v>
      </c>
      <c r="D377" s="199">
        <v>10.140003277204238</v>
      </c>
    </row>
    <row r="378" spans="1:4" ht="27.75" customHeight="1" x14ac:dyDescent="0.35">
      <c r="A378" s="7" t="s">
        <v>1748</v>
      </c>
      <c r="B378" s="8" t="s">
        <v>1749</v>
      </c>
      <c r="C378" s="199">
        <v>0.35026353933337112</v>
      </c>
      <c r="D378" s="199">
        <v>5.8394387710329028</v>
      </c>
    </row>
    <row r="379" spans="1:4" ht="27.75" customHeight="1" x14ac:dyDescent="0.35">
      <c r="A379" s="7" t="s">
        <v>1750</v>
      </c>
      <c r="B379" s="8" t="s">
        <v>1751</v>
      </c>
      <c r="C379" s="199">
        <v>1.301413370693377</v>
      </c>
      <c r="D379" s="199">
        <v>19.802057895186703</v>
      </c>
    </row>
    <row r="380" spans="1:4" ht="27.75" customHeight="1" x14ac:dyDescent="0.35">
      <c r="A380" s="7" t="s">
        <v>1752</v>
      </c>
      <c r="B380" s="8" t="s">
        <v>1753</v>
      </c>
      <c r="C380" s="199">
        <v>1.9299017939177092</v>
      </c>
      <c r="D380" s="199">
        <v>21.667276977029349</v>
      </c>
    </row>
    <row r="381" spans="1:4" ht="27.75" customHeight="1" x14ac:dyDescent="0.35">
      <c r="A381" s="7" t="s">
        <v>1754</v>
      </c>
      <c r="B381" s="8" t="s">
        <v>1755</v>
      </c>
      <c r="C381" s="199">
        <v>4.4391187392824003</v>
      </c>
      <c r="D381" s="199">
        <v>17.112093903848987</v>
      </c>
    </row>
    <row r="382" spans="1:4" ht="27.75" customHeight="1" x14ac:dyDescent="0.35">
      <c r="A382" s="7" t="s">
        <v>1756</v>
      </c>
      <c r="B382" s="8" t="s">
        <v>1757</v>
      </c>
      <c r="C382" s="199">
        <v>1.3991867779770493</v>
      </c>
      <c r="D382" s="199">
        <v>7.4535534326709598</v>
      </c>
    </row>
    <row r="383" spans="1:4" ht="27.75" customHeight="1" x14ac:dyDescent="0.35">
      <c r="A383" s="7" t="s">
        <v>1758</v>
      </c>
      <c r="B383" s="8" t="s">
        <v>1759</v>
      </c>
      <c r="C383" s="199">
        <v>0.87964698666901486</v>
      </c>
      <c r="D383" s="199">
        <v>10.034142560986176</v>
      </c>
    </row>
    <row r="384" spans="1:4" ht="27.75" customHeight="1" x14ac:dyDescent="0.35">
      <c r="A384" s="7" t="s">
        <v>1760</v>
      </c>
      <c r="B384" s="8" t="s">
        <v>1759</v>
      </c>
      <c r="C384" s="199">
        <v>1.8317282652199807</v>
      </c>
      <c r="D384" s="199">
        <v>7.5464722756994558</v>
      </c>
    </row>
    <row r="385" spans="1:4" ht="27.75" customHeight="1" x14ac:dyDescent="0.35">
      <c r="A385" s="7" t="s">
        <v>1761</v>
      </c>
      <c r="B385" s="8" t="s">
        <v>1762</v>
      </c>
      <c r="C385" s="199">
        <v>1.5024927793771889</v>
      </c>
      <c r="D385" s="199">
        <v>47.095304126719888</v>
      </c>
    </row>
  </sheetData>
  <sheetProtection selectLockedCells="1" selectUnlockedCells="1"/>
  <customSheetViews>
    <customSheetView guid="{5032A364-B81A-48DA-88DA-AB3B86B47EE9}" scale="70" fitToPage="1">
      <selection activeCell="A2" sqref="A2:XFD3"/>
      <pageMargins left="0.39370078740157483" right="0.35433070866141736" top="0.82677165354330717" bottom="0.74803149606299213" header="0.51181102362204722" footer="0.51181102362204722"/>
      <pageSetup paperSize="9" scale="64" fitToHeight="0" orientation="portrait" r:id="rId1"/>
      <headerFooter differentFirst="1" scaleWithDoc="0">
        <oddFooter>&amp;C&amp;P of &amp;N</oddFooter>
        <firstHeader>&amp;L
Annex 6 - Un-scaled [nodal /network group] costs</firstHeader>
        <firstFooter>&amp;C&amp;P of &amp;N</firstFooter>
      </headerFooter>
    </customSheetView>
  </customSheetViews>
  <mergeCells count="1">
    <mergeCell ref="A2:D2"/>
  </mergeCells>
  <phoneticPr fontId="5" type="noConversion"/>
  <hyperlinks>
    <hyperlink ref="A1" location="Overview!A1" display="Back to Overview" xr:uid="{00000000-0004-0000-0A00-000000000000}"/>
  </hyperlinks>
  <pageMargins left="0.39370078740157483" right="0.35433070866141736" top="0.82677165354330717" bottom="0.74803149606299213" header="0.51181102362204722" footer="0.51181102362204722"/>
  <pageSetup paperSize="9" scale="77" fitToHeight="0" orientation="portrait" r:id="rId2"/>
  <headerFooter differentFirst="1" scaleWithDoc="0">
    <oddFooter>&amp;C&amp;P of &amp;N</oddFooter>
    <firstHeader>&amp;LUn-scaled [nodal /network group] costs</firstHeader>
    <firstFooter>&amp;C&amp;P of &amp;N</first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pageSetUpPr fitToPage="1"/>
  </sheetPr>
  <dimension ref="A1:H764"/>
  <sheetViews>
    <sheetView zoomScale="90" zoomScaleNormal="90" zoomScaleSheetLayoutView="100" workbookViewId="0"/>
  </sheetViews>
  <sheetFormatPr defaultColWidth="11.59765625" defaultRowHeight="12.75" x14ac:dyDescent="0.35"/>
  <cols>
    <col min="1" max="1" width="13.86328125" style="151" customWidth="1"/>
    <col min="2" max="2" width="37.3984375" style="151" bestFit="1" customWidth="1"/>
    <col min="3" max="3" width="19" style="152" customWidth="1"/>
    <col min="4" max="4" width="5.265625" style="151" bestFit="1" customWidth="1"/>
    <col min="5" max="5" width="4.73046875" style="151" customWidth="1"/>
    <col min="6" max="6" width="29.1328125" style="151" bestFit="1" customWidth="1"/>
    <col min="7" max="7" width="11.59765625" style="151"/>
    <col min="8" max="8" width="64.59765625" style="151" bestFit="1" customWidth="1"/>
    <col min="9" max="16384" width="11.59765625" style="151"/>
  </cols>
  <sheetData>
    <row r="1" spans="1:8" ht="26.25" customHeight="1" x14ac:dyDescent="0.6">
      <c r="A1" s="154" t="s">
        <v>16</v>
      </c>
      <c r="H1" s="153"/>
    </row>
    <row r="2" spans="1:8" ht="12.75" customHeight="1" x14ac:dyDescent="0.35">
      <c r="A2" s="154"/>
    </row>
    <row r="3" spans="1:8" ht="12.75" customHeight="1" x14ac:dyDescent="0.35">
      <c r="A3" s="154"/>
    </row>
    <row r="4" spans="1:8" ht="12.75" customHeight="1" x14ac:dyDescent="0.35">
      <c r="A4" s="154"/>
    </row>
    <row r="5" spans="1:8" ht="12.75" customHeight="1" x14ac:dyDescent="0.35">
      <c r="A5" s="154"/>
    </row>
    <row r="6" spans="1:8" ht="12.75" customHeight="1" x14ac:dyDescent="0.35">
      <c r="A6" s="154"/>
    </row>
    <row r="7" spans="1:8" ht="12.75" customHeight="1" x14ac:dyDescent="0.35">
      <c r="A7" s="154"/>
    </row>
    <row r="8" spans="1:8" ht="12.75" customHeight="1" x14ac:dyDescent="0.35">
      <c r="A8" s="154"/>
    </row>
    <row r="9" spans="1:8" ht="12.75" customHeight="1" x14ac:dyDescent="0.35">
      <c r="A9" s="154"/>
    </row>
    <row r="10" spans="1:8" ht="12.75" customHeight="1" x14ac:dyDescent="0.35">
      <c r="A10" s="154"/>
    </row>
    <row r="11" spans="1:8" ht="12.75" customHeight="1" x14ac:dyDescent="0.35">
      <c r="A11" s="154"/>
    </row>
    <row r="12" spans="1:8" ht="12.75" customHeight="1" x14ac:dyDescent="0.35">
      <c r="A12" s="154"/>
    </row>
    <row r="13" spans="1:8" ht="12.75" customHeight="1" x14ac:dyDescent="0.35">
      <c r="A13" s="154"/>
    </row>
    <row r="14" spans="1:8" ht="12.75" customHeight="1" x14ac:dyDescent="0.35">
      <c r="A14" s="154"/>
    </row>
    <row r="15" spans="1:8" ht="12.75" customHeight="1" x14ac:dyDescent="0.35">
      <c r="A15" s="154"/>
    </row>
    <row r="16" spans="1:8" ht="12.75" customHeight="1" x14ac:dyDescent="0.35">
      <c r="A16" s="154"/>
    </row>
    <row r="17" spans="1:8" ht="12.75" customHeight="1" x14ac:dyDescent="0.35">
      <c r="A17" s="154"/>
    </row>
    <row r="18" spans="1:8" ht="12.75" customHeight="1" x14ac:dyDescent="0.35">
      <c r="A18" s="154"/>
    </row>
    <row r="19" spans="1:8" ht="12.75" customHeight="1" x14ac:dyDescent="0.35">
      <c r="A19" s="154"/>
    </row>
    <row r="20" spans="1:8" ht="12.75" customHeight="1" x14ac:dyDescent="0.35">
      <c r="A20" s="154"/>
    </row>
    <row r="21" spans="1:8" ht="12.75" customHeight="1" x14ac:dyDescent="0.35">
      <c r="A21" s="154"/>
    </row>
    <row r="22" spans="1:8" ht="12.75" customHeight="1" x14ac:dyDescent="0.35">
      <c r="A22" s="154"/>
    </row>
    <row r="23" spans="1:8" ht="12.75" customHeight="1" x14ac:dyDescent="0.35">
      <c r="A23" s="154"/>
    </row>
    <row r="24" spans="1:8" ht="12.75" customHeight="1" x14ac:dyDescent="0.35">
      <c r="A24" s="154"/>
    </row>
    <row r="25" spans="1:8" ht="12.75" customHeight="1" x14ac:dyDescent="0.35">
      <c r="A25" s="154"/>
    </row>
    <row r="26" spans="1:8" ht="12.75" customHeight="1" x14ac:dyDescent="0.35">
      <c r="A26" s="154"/>
    </row>
    <row r="27" spans="1:8" ht="12.75" customHeight="1" x14ac:dyDescent="0.35">
      <c r="A27" s="154"/>
    </row>
    <row r="28" spans="1:8" s="156" customFormat="1" ht="52.5" x14ac:dyDescent="0.35">
      <c r="A28" s="53" t="s">
        <v>156</v>
      </c>
      <c r="B28" s="53" t="s">
        <v>157</v>
      </c>
      <c r="C28" s="53" t="s">
        <v>384</v>
      </c>
      <c r="D28" s="155"/>
      <c r="E28" s="155"/>
      <c r="F28" s="53" t="s">
        <v>385</v>
      </c>
      <c r="G28" s="53" t="s">
        <v>386</v>
      </c>
      <c r="H28" s="53" t="s">
        <v>387</v>
      </c>
    </row>
    <row r="29" spans="1:8" x14ac:dyDescent="0.35">
      <c r="A29" s="161">
        <v>3</v>
      </c>
      <c r="B29" s="157" t="s">
        <v>158</v>
      </c>
      <c r="C29" s="160" t="s">
        <v>393</v>
      </c>
      <c r="F29" s="151" t="s">
        <v>390</v>
      </c>
      <c r="G29" s="158">
        <v>43626</v>
      </c>
      <c r="H29" s="151" t="s">
        <v>391</v>
      </c>
    </row>
    <row r="30" spans="1:8" x14ac:dyDescent="0.35">
      <c r="A30" s="161">
        <v>4</v>
      </c>
      <c r="B30" s="157" t="s">
        <v>158</v>
      </c>
      <c r="C30" s="160" t="s">
        <v>393</v>
      </c>
      <c r="F30" s="151" t="s">
        <v>395</v>
      </c>
      <c r="G30" s="158">
        <v>43626</v>
      </c>
      <c r="H30" s="151" t="s">
        <v>391</v>
      </c>
    </row>
    <row r="31" spans="1:8" x14ac:dyDescent="0.35">
      <c r="A31" s="161">
        <v>5</v>
      </c>
      <c r="B31" s="157" t="s">
        <v>159</v>
      </c>
      <c r="C31" s="160" t="s">
        <v>393</v>
      </c>
      <c r="F31" s="151" t="s">
        <v>394</v>
      </c>
      <c r="G31" s="158">
        <v>43626</v>
      </c>
      <c r="H31" s="151" t="s">
        <v>391</v>
      </c>
    </row>
    <row r="32" spans="1:8" x14ac:dyDescent="0.35">
      <c r="A32" s="161">
        <v>6</v>
      </c>
      <c r="B32" s="157" t="s">
        <v>160</v>
      </c>
      <c r="C32" s="160" t="s">
        <v>393</v>
      </c>
      <c r="F32" s="151" t="s">
        <v>396</v>
      </c>
      <c r="G32" s="158">
        <v>43626</v>
      </c>
      <c r="H32" s="151" t="s">
        <v>397</v>
      </c>
    </row>
    <row r="33" spans="1:8" x14ac:dyDescent="0.35">
      <c r="A33" s="161">
        <v>7</v>
      </c>
      <c r="B33" s="157" t="s">
        <v>160</v>
      </c>
      <c r="C33" s="160" t="s">
        <v>393</v>
      </c>
      <c r="G33" s="158"/>
      <c r="H33" s="159"/>
    </row>
    <row r="34" spans="1:8" x14ac:dyDescent="0.35">
      <c r="A34" s="161">
        <v>8</v>
      </c>
      <c r="B34" s="157" t="s">
        <v>160</v>
      </c>
      <c r="C34" s="160" t="s">
        <v>393</v>
      </c>
      <c r="F34" s="159"/>
      <c r="G34" s="158"/>
    </row>
    <row r="35" spans="1:8" x14ac:dyDescent="0.35">
      <c r="A35" s="161">
        <v>9</v>
      </c>
      <c r="B35" s="157" t="s">
        <v>160</v>
      </c>
      <c r="C35" s="160" t="s">
        <v>393</v>
      </c>
      <c r="G35" s="158"/>
      <c r="H35" s="159"/>
    </row>
    <row r="36" spans="1:8" x14ac:dyDescent="0.35">
      <c r="A36" s="161">
        <v>10</v>
      </c>
      <c r="B36" s="157" t="s">
        <v>160</v>
      </c>
      <c r="C36" s="160" t="s">
        <v>393</v>
      </c>
      <c r="G36" s="158"/>
      <c r="H36" s="159"/>
    </row>
    <row r="37" spans="1:8" x14ac:dyDescent="0.35">
      <c r="A37" s="161">
        <v>11</v>
      </c>
      <c r="B37" s="157" t="s">
        <v>160</v>
      </c>
      <c r="C37" s="160" t="s">
        <v>393</v>
      </c>
      <c r="G37" s="158"/>
    </row>
    <row r="38" spans="1:8" x14ac:dyDescent="0.35">
      <c r="A38" s="161">
        <v>12</v>
      </c>
      <c r="B38" s="157" t="s">
        <v>160</v>
      </c>
      <c r="C38" s="160" t="s">
        <v>393</v>
      </c>
      <c r="G38" s="158"/>
    </row>
    <row r="39" spans="1:8" x14ac:dyDescent="0.35">
      <c r="A39" s="161">
        <v>13</v>
      </c>
      <c r="B39" s="157" t="s">
        <v>161</v>
      </c>
      <c r="C39" s="160" t="s">
        <v>393</v>
      </c>
      <c r="G39" s="158"/>
    </row>
    <row r="40" spans="1:8" x14ac:dyDescent="0.35">
      <c r="A40" s="161">
        <v>15</v>
      </c>
      <c r="B40" s="157" t="s">
        <v>161</v>
      </c>
      <c r="C40" s="160" t="s">
        <v>393</v>
      </c>
      <c r="F40" s="159"/>
      <c r="G40" s="158"/>
      <c r="H40" s="159"/>
    </row>
    <row r="41" spans="1:8" x14ac:dyDescent="0.35">
      <c r="A41" s="161">
        <v>16</v>
      </c>
      <c r="B41" s="157" t="s">
        <v>162</v>
      </c>
      <c r="C41" s="160" t="s">
        <v>393</v>
      </c>
      <c r="G41" s="158"/>
      <c r="H41" s="159"/>
    </row>
    <row r="42" spans="1:8" x14ac:dyDescent="0.35">
      <c r="A42" s="161">
        <v>17</v>
      </c>
      <c r="B42" s="157" t="s">
        <v>162</v>
      </c>
      <c r="C42" s="160" t="s">
        <v>393</v>
      </c>
      <c r="G42" s="158"/>
    </row>
    <row r="43" spans="1:8" x14ac:dyDescent="0.35">
      <c r="A43" s="161">
        <v>18</v>
      </c>
      <c r="B43" s="157" t="s">
        <v>162</v>
      </c>
      <c r="C43" s="160" t="s">
        <v>393</v>
      </c>
      <c r="G43" s="158"/>
    </row>
    <row r="44" spans="1:8" x14ac:dyDescent="0.35">
      <c r="A44" s="161">
        <v>19</v>
      </c>
      <c r="B44" s="157" t="s">
        <v>162</v>
      </c>
      <c r="C44" s="160" t="s">
        <v>393</v>
      </c>
      <c r="G44" s="158"/>
    </row>
    <row r="45" spans="1:8" x14ac:dyDescent="0.35">
      <c r="A45" s="161">
        <v>20</v>
      </c>
      <c r="B45" s="157" t="s">
        <v>162</v>
      </c>
      <c r="C45" s="160" t="s">
        <v>393</v>
      </c>
      <c r="G45" s="158"/>
    </row>
    <row r="46" spans="1:8" x14ac:dyDescent="0.35">
      <c r="A46" s="161">
        <v>21</v>
      </c>
      <c r="B46" s="157" t="s">
        <v>162</v>
      </c>
      <c r="C46" s="160" t="s">
        <v>393</v>
      </c>
      <c r="G46" s="158"/>
    </row>
    <row r="47" spans="1:8" x14ac:dyDescent="0.35">
      <c r="A47" s="161">
        <v>22</v>
      </c>
      <c r="B47" s="157" t="s">
        <v>162</v>
      </c>
      <c r="C47" s="160" t="s">
        <v>393</v>
      </c>
      <c r="G47" s="158"/>
    </row>
    <row r="48" spans="1:8" x14ac:dyDescent="0.35">
      <c r="A48" s="161">
        <v>23</v>
      </c>
      <c r="B48" s="157" t="s">
        <v>163</v>
      </c>
      <c r="C48" s="160" t="s">
        <v>393</v>
      </c>
      <c r="G48" s="158"/>
    </row>
    <row r="49" spans="1:8" x14ac:dyDescent="0.35">
      <c r="A49" s="161">
        <v>24</v>
      </c>
      <c r="B49" s="157" t="s">
        <v>163</v>
      </c>
      <c r="C49" s="160" t="s">
        <v>393</v>
      </c>
      <c r="G49" s="158"/>
    </row>
    <row r="50" spans="1:8" x14ac:dyDescent="0.35">
      <c r="A50" s="161">
        <v>25</v>
      </c>
      <c r="B50" s="157" t="s">
        <v>163</v>
      </c>
      <c r="C50" s="160" t="s">
        <v>393</v>
      </c>
      <c r="G50" s="158"/>
    </row>
    <row r="51" spans="1:8" x14ac:dyDescent="0.35">
      <c r="A51" s="161">
        <v>26</v>
      </c>
      <c r="B51" s="157" t="s">
        <v>163</v>
      </c>
      <c r="C51" s="160" t="s">
        <v>393</v>
      </c>
      <c r="G51" s="158"/>
    </row>
    <row r="52" spans="1:8" x14ac:dyDescent="0.35">
      <c r="A52" s="161">
        <v>28</v>
      </c>
      <c r="B52" s="157" t="s">
        <v>163</v>
      </c>
      <c r="C52" s="160" t="s">
        <v>393</v>
      </c>
      <c r="G52" s="158"/>
    </row>
    <row r="53" spans="1:8" x14ac:dyDescent="0.35">
      <c r="A53" s="161">
        <v>29</v>
      </c>
      <c r="B53" s="157" t="s">
        <v>163</v>
      </c>
      <c r="C53" s="160" t="s">
        <v>393</v>
      </c>
      <c r="G53" s="158"/>
    </row>
    <row r="54" spans="1:8" x14ac:dyDescent="0.35">
      <c r="A54" s="161">
        <v>30</v>
      </c>
      <c r="B54" s="157" t="s">
        <v>163</v>
      </c>
      <c r="C54" s="160" t="s">
        <v>393</v>
      </c>
      <c r="G54" s="158"/>
    </row>
    <row r="55" spans="1:8" x14ac:dyDescent="0.35">
      <c r="A55" s="161">
        <v>31</v>
      </c>
      <c r="B55" s="157" t="s">
        <v>163</v>
      </c>
      <c r="C55" s="160" t="s">
        <v>393</v>
      </c>
      <c r="G55" s="158"/>
    </row>
    <row r="56" spans="1:8" x14ac:dyDescent="0.35">
      <c r="A56" s="161">
        <v>32</v>
      </c>
      <c r="B56" s="157" t="s">
        <v>163</v>
      </c>
      <c r="C56" s="160" t="s">
        <v>393</v>
      </c>
      <c r="F56" s="159"/>
      <c r="G56" s="158"/>
      <c r="H56" s="159"/>
    </row>
    <row r="57" spans="1:8" x14ac:dyDescent="0.35">
      <c r="A57" s="161">
        <v>33</v>
      </c>
      <c r="B57" s="157" t="s">
        <v>163</v>
      </c>
      <c r="C57" s="160" t="s">
        <v>393</v>
      </c>
      <c r="F57" s="159"/>
      <c r="G57" s="158"/>
      <c r="H57" s="159"/>
    </row>
    <row r="58" spans="1:8" x14ac:dyDescent="0.35">
      <c r="A58" s="161">
        <v>34</v>
      </c>
      <c r="B58" s="157" t="s">
        <v>163</v>
      </c>
      <c r="C58" s="160" t="s">
        <v>393</v>
      </c>
      <c r="F58" s="159"/>
      <c r="G58" s="158"/>
      <c r="H58" s="159"/>
    </row>
    <row r="59" spans="1:8" x14ac:dyDescent="0.35">
      <c r="A59" s="161">
        <v>35</v>
      </c>
      <c r="B59" s="157" t="s">
        <v>163</v>
      </c>
      <c r="C59" s="160" t="s">
        <v>393</v>
      </c>
      <c r="F59" s="159"/>
      <c r="G59" s="158"/>
      <c r="H59" s="159"/>
    </row>
    <row r="60" spans="1:8" x14ac:dyDescent="0.35">
      <c r="A60" s="161">
        <v>36</v>
      </c>
      <c r="B60" s="157" t="s">
        <v>163</v>
      </c>
      <c r="C60" s="160" t="s">
        <v>393</v>
      </c>
      <c r="F60" s="159"/>
      <c r="G60" s="158"/>
      <c r="H60" s="159"/>
    </row>
    <row r="61" spans="1:8" x14ac:dyDescent="0.35">
      <c r="A61" s="161">
        <v>37</v>
      </c>
      <c r="B61" s="157" t="s">
        <v>163</v>
      </c>
      <c r="C61" s="160" t="s">
        <v>393</v>
      </c>
      <c r="F61" s="159"/>
      <c r="G61" s="158"/>
      <c r="H61" s="159"/>
    </row>
    <row r="62" spans="1:8" x14ac:dyDescent="0.35">
      <c r="A62" s="161">
        <v>38</v>
      </c>
      <c r="B62" s="157" t="s">
        <v>163</v>
      </c>
      <c r="C62" s="160" t="s">
        <v>393</v>
      </c>
      <c r="F62" s="159"/>
      <c r="G62" s="158"/>
      <c r="H62" s="159"/>
    </row>
    <row r="63" spans="1:8" x14ac:dyDescent="0.35">
      <c r="A63" s="161">
        <v>39</v>
      </c>
      <c r="B63" s="157" t="s">
        <v>163</v>
      </c>
      <c r="C63" s="160" t="s">
        <v>393</v>
      </c>
      <c r="F63" s="159"/>
      <c r="G63" s="158"/>
      <c r="H63" s="159"/>
    </row>
    <row r="64" spans="1:8" x14ac:dyDescent="0.35">
      <c r="A64" s="161">
        <v>40</v>
      </c>
      <c r="B64" s="157" t="s">
        <v>162</v>
      </c>
      <c r="C64" s="160" t="s">
        <v>393</v>
      </c>
      <c r="F64" s="159"/>
      <c r="G64" s="158"/>
      <c r="H64" s="159"/>
    </row>
    <row r="65" spans="1:8" x14ac:dyDescent="0.35">
      <c r="A65" s="161">
        <v>41</v>
      </c>
      <c r="B65" s="157" t="s">
        <v>164</v>
      </c>
      <c r="C65" s="160" t="s">
        <v>393</v>
      </c>
      <c r="F65" s="159"/>
      <c r="G65" s="158"/>
      <c r="H65" s="159"/>
    </row>
    <row r="66" spans="1:8" x14ac:dyDescent="0.35">
      <c r="A66" s="161">
        <v>42</v>
      </c>
      <c r="B66" s="157" t="s">
        <v>165</v>
      </c>
      <c r="C66" s="160" t="s">
        <v>393</v>
      </c>
      <c r="F66" s="159"/>
      <c r="G66" s="158"/>
      <c r="H66" s="159"/>
    </row>
    <row r="67" spans="1:8" x14ac:dyDescent="0.35">
      <c r="A67" s="161">
        <v>43</v>
      </c>
      <c r="B67" s="157" t="s">
        <v>165</v>
      </c>
      <c r="C67" s="160" t="s">
        <v>393</v>
      </c>
      <c r="F67" s="159"/>
      <c r="G67" s="158"/>
      <c r="H67" s="159"/>
    </row>
    <row r="68" spans="1:8" x14ac:dyDescent="0.35">
      <c r="A68" s="161">
        <v>44</v>
      </c>
      <c r="B68" s="157" t="s">
        <v>164</v>
      </c>
      <c r="C68" s="160" t="s">
        <v>393</v>
      </c>
      <c r="F68" s="159"/>
      <c r="G68" s="158"/>
      <c r="H68" s="159"/>
    </row>
    <row r="69" spans="1:8" x14ac:dyDescent="0.35">
      <c r="A69" s="161">
        <v>45</v>
      </c>
      <c r="B69" s="157" t="s">
        <v>166</v>
      </c>
      <c r="C69" s="160" t="s">
        <v>393</v>
      </c>
      <c r="F69" s="159"/>
      <c r="G69" s="158"/>
      <c r="H69" s="159"/>
    </row>
    <row r="70" spans="1:8" x14ac:dyDescent="0.35">
      <c r="A70" s="161">
        <v>46</v>
      </c>
      <c r="B70" s="157" t="s">
        <v>167</v>
      </c>
      <c r="C70" s="160" t="s">
        <v>393</v>
      </c>
      <c r="F70" s="159"/>
      <c r="G70" s="158"/>
      <c r="H70" s="159"/>
    </row>
    <row r="71" spans="1:8" x14ac:dyDescent="0.35">
      <c r="A71" s="161">
        <v>47</v>
      </c>
      <c r="B71" s="157" t="s">
        <v>168</v>
      </c>
      <c r="C71" s="160" t="s">
        <v>393</v>
      </c>
      <c r="F71" s="159"/>
      <c r="G71" s="158"/>
      <c r="H71" s="159"/>
    </row>
    <row r="72" spans="1:8" x14ac:dyDescent="0.35">
      <c r="A72" s="161">
        <v>48</v>
      </c>
      <c r="B72" s="157" t="s">
        <v>169</v>
      </c>
      <c r="C72" s="160" t="s">
        <v>393</v>
      </c>
      <c r="F72" s="159"/>
      <c r="G72" s="158"/>
      <c r="H72" s="159"/>
    </row>
    <row r="73" spans="1:8" x14ac:dyDescent="0.35">
      <c r="A73" s="161">
        <v>49</v>
      </c>
      <c r="B73" s="157" t="s">
        <v>162</v>
      </c>
      <c r="C73" s="160" t="s">
        <v>393</v>
      </c>
      <c r="F73" s="159"/>
      <c r="G73" s="158"/>
      <c r="H73" s="159"/>
    </row>
    <row r="74" spans="1:8" x14ac:dyDescent="0.35">
      <c r="A74" s="161">
        <v>50</v>
      </c>
      <c r="B74" s="157" t="s">
        <v>170</v>
      </c>
      <c r="C74" s="160" t="s">
        <v>393</v>
      </c>
      <c r="F74" s="159"/>
      <c r="G74" s="158"/>
      <c r="H74" s="159"/>
    </row>
    <row r="75" spans="1:8" x14ac:dyDescent="0.35">
      <c r="A75" s="161">
        <v>51</v>
      </c>
      <c r="B75" s="157" t="s">
        <v>171</v>
      </c>
      <c r="C75" s="160" t="s">
        <v>392</v>
      </c>
      <c r="F75" s="159"/>
      <c r="G75" s="158"/>
      <c r="H75" s="159"/>
    </row>
    <row r="76" spans="1:8" x14ac:dyDescent="0.35">
      <c r="A76" s="161">
        <v>52</v>
      </c>
      <c r="B76" s="157" t="s">
        <v>172</v>
      </c>
      <c r="C76" s="160" t="s">
        <v>393</v>
      </c>
      <c r="F76" s="159"/>
      <c r="G76" s="158"/>
      <c r="H76" s="159"/>
    </row>
    <row r="77" spans="1:8" x14ac:dyDescent="0.35">
      <c r="A77" s="161">
        <v>53</v>
      </c>
      <c r="B77" s="157" t="s">
        <v>172</v>
      </c>
      <c r="C77" s="160" t="s">
        <v>393</v>
      </c>
      <c r="F77" s="159"/>
      <c r="G77" s="158"/>
      <c r="H77" s="159"/>
    </row>
    <row r="78" spans="1:8" x14ac:dyDescent="0.35">
      <c r="A78" s="161">
        <v>55</v>
      </c>
      <c r="B78" s="157" t="s">
        <v>172</v>
      </c>
      <c r="C78" s="160" t="s">
        <v>393</v>
      </c>
      <c r="F78" s="159"/>
      <c r="G78" s="158"/>
      <c r="H78" s="159"/>
    </row>
    <row r="79" spans="1:8" x14ac:dyDescent="0.35">
      <c r="A79" s="161">
        <v>56</v>
      </c>
      <c r="B79" s="157" t="s">
        <v>172</v>
      </c>
      <c r="C79" s="160" t="s">
        <v>393</v>
      </c>
      <c r="F79" s="159"/>
      <c r="G79" s="158"/>
      <c r="H79" s="159"/>
    </row>
    <row r="80" spans="1:8" x14ac:dyDescent="0.35">
      <c r="A80" s="161">
        <v>57</v>
      </c>
      <c r="B80" s="157" t="s">
        <v>172</v>
      </c>
      <c r="C80" s="160" t="s">
        <v>393</v>
      </c>
      <c r="F80" s="159"/>
      <c r="G80" s="158"/>
      <c r="H80" s="159"/>
    </row>
    <row r="81" spans="1:8" x14ac:dyDescent="0.35">
      <c r="A81" s="161">
        <v>58</v>
      </c>
      <c r="B81" s="157" t="s">
        <v>173</v>
      </c>
      <c r="C81" s="160" t="s">
        <v>392</v>
      </c>
      <c r="F81" s="159"/>
      <c r="G81" s="158"/>
      <c r="H81" s="159"/>
    </row>
    <row r="82" spans="1:8" x14ac:dyDescent="0.35">
      <c r="A82" s="161">
        <v>59</v>
      </c>
      <c r="B82" s="157" t="s">
        <v>172</v>
      </c>
      <c r="C82" s="160" t="s">
        <v>393</v>
      </c>
      <c r="F82" s="159"/>
      <c r="G82" s="158"/>
      <c r="H82" s="159"/>
    </row>
    <row r="83" spans="1:8" x14ac:dyDescent="0.35">
      <c r="A83" s="161">
        <v>60</v>
      </c>
      <c r="B83" s="157" t="s">
        <v>172</v>
      </c>
      <c r="C83" s="160" t="s">
        <v>393</v>
      </c>
      <c r="F83" s="159"/>
      <c r="G83" s="158"/>
      <c r="H83" s="159"/>
    </row>
    <row r="84" spans="1:8" x14ac:dyDescent="0.35">
      <c r="A84" s="161">
        <v>62</v>
      </c>
      <c r="B84" s="157" t="s">
        <v>174</v>
      </c>
      <c r="C84" s="160" t="s">
        <v>392</v>
      </c>
    </row>
    <row r="85" spans="1:8" x14ac:dyDescent="0.35">
      <c r="A85" s="161">
        <v>63</v>
      </c>
      <c r="B85" s="157" t="s">
        <v>165</v>
      </c>
      <c r="C85" s="160" t="s">
        <v>393</v>
      </c>
    </row>
    <row r="86" spans="1:8" x14ac:dyDescent="0.35">
      <c r="A86" s="161">
        <v>64</v>
      </c>
      <c r="B86" s="157" t="s">
        <v>172</v>
      </c>
      <c r="C86" s="160" t="s">
        <v>393</v>
      </c>
    </row>
    <row r="87" spans="1:8" x14ac:dyDescent="0.35">
      <c r="A87" s="161">
        <v>65</v>
      </c>
      <c r="B87" s="157" t="s">
        <v>175</v>
      </c>
      <c r="C87" s="160" t="s">
        <v>393</v>
      </c>
    </row>
    <row r="88" spans="1:8" x14ac:dyDescent="0.35">
      <c r="A88" s="161">
        <v>66</v>
      </c>
      <c r="B88" s="157" t="s">
        <v>175</v>
      </c>
      <c r="C88" s="160" t="s">
        <v>393</v>
      </c>
    </row>
    <row r="89" spans="1:8" x14ac:dyDescent="0.35">
      <c r="A89" s="161">
        <v>67</v>
      </c>
      <c r="B89" s="157" t="s">
        <v>176</v>
      </c>
      <c r="C89" s="160" t="s">
        <v>393</v>
      </c>
    </row>
    <row r="90" spans="1:8" x14ac:dyDescent="0.35">
      <c r="A90" s="161">
        <v>71</v>
      </c>
      <c r="B90" s="157" t="s">
        <v>176</v>
      </c>
      <c r="C90" s="160" t="s">
        <v>393</v>
      </c>
    </row>
    <row r="91" spans="1:8" x14ac:dyDescent="0.35">
      <c r="A91" s="161">
        <v>72</v>
      </c>
      <c r="B91" s="157" t="s">
        <v>176</v>
      </c>
      <c r="C91" s="160" t="s">
        <v>393</v>
      </c>
    </row>
    <row r="92" spans="1:8" x14ac:dyDescent="0.35">
      <c r="A92" s="161">
        <v>73</v>
      </c>
      <c r="B92" s="157" t="s">
        <v>176</v>
      </c>
      <c r="C92" s="160" t="s">
        <v>393</v>
      </c>
    </row>
    <row r="93" spans="1:8" x14ac:dyDescent="0.35">
      <c r="A93" s="161">
        <v>74</v>
      </c>
      <c r="B93" s="157" t="s">
        <v>177</v>
      </c>
      <c r="C93" s="160" t="s">
        <v>393</v>
      </c>
    </row>
    <row r="94" spans="1:8" x14ac:dyDescent="0.35">
      <c r="A94" s="161">
        <v>75</v>
      </c>
      <c r="B94" s="157" t="s">
        <v>178</v>
      </c>
      <c r="C94" s="160" t="s">
        <v>393</v>
      </c>
    </row>
    <row r="95" spans="1:8" x14ac:dyDescent="0.35">
      <c r="A95" s="161">
        <v>76</v>
      </c>
      <c r="B95" s="157" t="s">
        <v>178</v>
      </c>
      <c r="C95" s="160" t="s">
        <v>393</v>
      </c>
    </row>
    <row r="96" spans="1:8" x14ac:dyDescent="0.35">
      <c r="A96" s="161">
        <v>77</v>
      </c>
      <c r="B96" s="157" t="s">
        <v>178</v>
      </c>
      <c r="C96" s="160" t="s">
        <v>393</v>
      </c>
    </row>
    <row r="97" spans="1:3" x14ac:dyDescent="0.35">
      <c r="A97" s="161">
        <v>78</v>
      </c>
      <c r="B97" s="157" t="s">
        <v>179</v>
      </c>
      <c r="C97" s="160" t="s">
        <v>393</v>
      </c>
    </row>
    <row r="98" spans="1:3" x14ac:dyDescent="0.35">
      <c r="A98" s="161">
        <v>79</v>
      </c>
      <c r="B98" s="157" t="s">
        <v>180</v>
      </c>
      <c r="C98" s="160" t="s">
        <v>392</v>
      </c>
    </row>
    <row r="99" spans="1:3" x14ac:dyDescent="0.35">
      <c r="A99" s="161">
        <v>80</v>
      </c>
      <c r="B99" s="157" t="s">
        <v>181</v>
      </c>
      <c r="C99" s="160" t="s">
        <v>393</v>
      </c>
    </row>
    <row r="100" spans="1:3" x14ac:dyDescent="0.35">
      <c r="A100" s="161">
        <v>81</v>
      </c>
      <c r="B100" s="157" t="s">
        <v>182</v>
      </c>
      <c r="C100" s="160" t="s">
        <v>393</v>
      </c>
    </row>
    <row r="101" spans="1:3" x14ac:dyDescent="0.35">
      <c r="A101" s="161">
        <v>82</v>
      </c>
      <c r="B101" s="157" t="s">
        <v>183</v>
      </c>
      <c r="C101" s="160" t="s">
        <v>393</v>
      </c>
    </row>
    <row r="102" spans="1:3" x14ac:dyDescent="0.35">
      <c r="A102" s="161">
        <v>83</v>
      </c>
      <c r="B102" s="157" t="s">
        <v>183</v>
      </c>
      <c r="C102" s="160" t="s">
        <v>393</v>
      </c>
    </row>
    <row r="103" spans="1:3" x14ac:dyDescent="0.35">
      <c r="A103" s="161">
        <v>84</v>
      </c>
      <c r="B103" s="157" t="s">
        <v>183</v>
      </c>
      <c r="C103" s="160" t="s">
        <v>393</v>
      </c>
    </row>
    <row r="104" spans="1:3" x14ac:dyDescent="0.35">
      <c r="A104" s="161">
        <v>85</v>
      </c>
      <c r="B104" s="157" t="s">
        <v>183</v>
      </c>
      <c r="C104" s="160" t="s">
        <v>393</v>
      </c>
    </row>
    <row r="105" spans="1:3" x14ac:dyDescent="0.35">
      <c r="A105" s="161">
        <v>86</v>
      </c>
      <c r="B105" s="157" t="s">
        <v>183</v>
      </c>
      <c r="C105" s="160" t="s">
        <v>393</v>
      </c>
    </row>
    <row r="106" spans="1:3" x14ac:dyDescent="0.35">
      <c r="A106" s="161">
        <v>87</v>
      </c>
      <c r="B106" s="157" t="s">
        <v>183</v>
      </c>
      <c r="C106" s="160" t="s">
        <v>393</v>
      </c>
    </row>
    <row r="107" spans="1:3" x14ac:dyDescent="0.35">
      <c r="A107" s="161">
        <v>88</v>
      </c>
      <c r="B107" s="157" t="s">
        <v>183</v>
      </c>
      <c r="C107" s="160" t="s">
        <v>393</v>
      </c>
    </row>
    <row r="108" spans="1:3" x14ac:dyDescent="0.35">
      <c r="A108" s="161">
        <v>91</v>
      </c>
      <c r="B108" s="157" t="s">
        <v>184</v>
      </c>
      <c r="C108" s="160" t="s">
        <v>393</v>
      </c>
    </row>
    <row r="109" spans="1:3" x14ac:dyDescent="0.35">
      <c r="A109" s="161">
        <v>92</v>
      </c>
      <c r="B109" s="157" t="s">
        <v>184</v>
      </c>
      <c r="C109" s="160" t="s">
        <v>393</v>
      </c>
    </row>
    <row r="110" spans="1:3" x14ac:dyDescent="0.35">
      <c r="A110" s="161">
        <v>93</v>
      </c>
      <c r="B110" s="157" t="s">
        <v>185</v>
      </c>
      <c r="C110" s="160" t="s">
        <v>392</v>
      </c>
    </row>
    <row r="111" spans="1:3" x14ac:dyDescent="0.35">
      <c r="A111" s="161">
        <v>94</v>
      </c>
      <c r="B111" s="157" t="s">
        <v>184</v>
      </c>
      <c r="C111" s="160" t="s">
        <v>393</v>
      </c>
    </row>
    <row r="112" spans="1:3" x14ac:dyDescent="0.35">
      <c r="A112" s="161">
        <v>95</v>
      </c>
      <c r="B112" s="157" t="s">
        <v>184</v>
      </c>
      <c r="C112" s="160" t="s">
        <v>393</v>
      </c>
    </row>
    <row r="113" spans="1:3" x14ac:dyDescent="0.35">
      <c r="A113" s="161">
        <v>96</v>
      </c>
      <c r="B113" s="157" t="s">
        <v>184</v>
      </c>
      <c r="C113" s="160" t="s">
        <v>393</v>
      </c>
    </row>
    <row r="114" spans="1:3" x14ac:dyDescent="0.35">
      <c r="A114" s="161">
        <v>97</v>
      </c>
      <c r="B114" s="157" t="s">
        <v>186</v>
      </c>
      <c r="C114" s="160" t="s">
        <v>393</v>
      </c>
    </row>
    <row r="115" spans="1:3" x14ac:dyDescent="0.35">
      <c r="A115" s="161">
        <v>98</v>
      </c>
      <c r="B115" s="157" t="s">
        <v>187</v>
      </c>
      <c r="C115" s="160" t="s">
        <v>393</v>
      </c>
    </row>
    <row r="116" spans="1:3" x14ac:dyDescent="0.35">
      <c r="A116" s="161">
        <v>99</v>
      </c>
      <c r="B116" s="157" t="s">
        <v>188</v>
      </c>
      <c r="C116" s="160" t="s">
        <v>393</v>
      </c>
    </row>
    <row r="117" spans="1:3" x14ac:dyDescent="0.35">
      <c r="A117" s="161">
        <v>100</v>
      </c>
      <c r="B117" s="157" t="s">
        <v>188</v>
      </c>
      <c r="C117" s="160" t="s">
        <v>393</v>
      </c>
    </row>
    <row r="118" spans="1:3" x14ac:dyDescent="0.35">
      <c r="A118" s="161">
        <v>101</v>
      </c>
      <c r="B118" s="157" t="s">
        <v>189</v>
      </c>
      <c r="C118" s="160" t="s">
        <v>393</v>
      </c>
    </row>
    <row r="119" spans="1:3" x14ac:dyDescent="0.35">
      <c r="A119" s="161">
        <v>102</v>
      </c>
      <c r="B119" s="157" t="s">
        <v>189</v>
      </c>
      <c r="C119" s="160" t="s">
        <v>393</v>
      </c>
    </row>
    <row r="120" spans="1:3" x14ac:dyDescent="0.35">
      <c r="A120" s="161">
        <v>103</v>
      </c>
      <c r="B120" s="157" t="s">
        <v>189</v>
      </c>
      <c r="C120" s="160" t="s">
        <v>393</v>
      </c>
    </row>
    <row r="121" spans="1:3" x14ac:dyDescent="0.35">
      <c r="A121" s="161">
        <v>104</v>
      </c>
      <c r="B121" s="157" t="s">
        <v>190</v>
      </c>
      <c r="C121" s="160" t="s">
        <v>393</v>
      </c>
    </row>
    <row r="122" spans="1:3" x14ac:dyDescent="0.35">
      <c r="A122" s="161">
        <v>105</v>
      </c>
      <c r="B122" s="157" t="s">
        <v>190</v>
      </c>
      <c r="C122" s="160" t="s">
        <v>393</v>
      </c>
    </row>
    <row r="123" spans="1:3" x14ac:dyDescent="0.35">
      <c r="A123" s="161">
        <v>106</v>
      </c>
      <c r="B123" s="157" t="s">
        <v>190</v>
      </c>
      <c r="C123" s="160" t="s">
        <v>393</v>
      </c>
    </row>
    <row r="124" spans="1:3" x14ac:dyDescent="0.35">
      <c r="A124" s="161">
        <v>107</v>
      </c>
      <c r="B124" s="157" t="s">
        <v>190</v>
      </c>
      <c r="C124" s="160" t="s">
        <v>393</v>
      </c>
    </row>
    <row r="125" spans="1:3" x14ac:dyDescent="0.35">
      <c r="A125" s="161">
        <v>108</v>
      </c>
      <c r="B125" s="157" t="s">
        <v>190</v>
      </c>
      <c r="C125" s="160" t="s">
        <v>393</v>
      </c>
    </row>
    <row r="126" spans="1:3" x14ac:dyDescent="0.35">
      <c r="A126" s="161">
        <v>109</v>
      </c>
      <c r="B126" s="157" t="s">
        <v>190</v>
      </c>
      <c r="C126" s="160" t="s">
        <v>393</v>
      </c>
    </row>
    <row r="127" spans="1:3" x14ac:dyDescent="0.35">
      <c r="A127" s="161">
        <v>110</v>
      </c>
      <c r="B127" s="157" t="s">
        <v>190</v>
      </c>
      <c r="C127" s="160" t="s">
        <v>393</v>
      </c>
    </row>
    <row r="128" spans="1:3" x14ac:dyDescent="0.35">
      <c r="A128" s="161">
        <v>111</v>
      </c>
      <c r="B128" s="157" t="s">
        <v>191</v>
      </c>
      <c r="C128" s="160" t="s">
        <v>393</v>
      </c>
    </row>
    <row r="129" spans="1:3" x14ac:dyDescent="0.35">
      <c r="A129" s="161">
        <v>112</v>
      </c>
      <c r="B129" s="157" t="s">
        <v>192</v>
      </c>
      <c r="C129" s="160" t="s">
        <v>393</v>
      </c>
    </row>
    <row r="130" spans="1:3" x14ac:dyDescent="0.35">
      <c r="A130" s="161">
        <v>113</v>
      </c>
      <c r="B130" s="157" t="s">
        <v>192</v>
      </c>
      <c r="C130" s="160" t="s">
        <v>393</v>
      </c>
    </row>
    <row r="131" spans="1:3" x14ac:dyDescent="0.35">
      <c r="A131" s="161">
        <v>115</v>
      </c>
      <c r="B131" s="157" t="s">
        <v>192</v>
      </c>
      <c r="C131" s="160" t="s">
        <v>393</v>
      </c>
    </row>
    <row r="132" spans="1:3" x14ac:dyDescent="0.35">
      <c r="A132" s="161">
        <v>116</v>
      </c>
      <c r="B132" s="157" t="s">
        <v>192</v>
      </c>
      <c r="C132" s="160" t="s">
        <v>393</v>
      </c>
    </row>
    <row r="133" spans="1:3" x14ac:dyDescent="0.35">
      <c r="A133" s="161">
        <v>117</v>
      </c>
      <c r="B133" s="157" t="s">
        <v>192</v>
      </c>
      <c r="C133" s="160" t="s">
        <v>393</v>
      </c>
    </row>
    <row r="134" spans="1:3" x14ac:dyDescent="0.35">
      <c r="A134" s="161">
        <v>118</v>
      </c>
      <c r="B134" s="157" t="s">
        <v>193</v>
      </c>
      <c r="C134" s="160" t="s">
        <v>393</v>
      </c>
    </row>
    <row r="135" spans="1:3" x14ac:dyDescent="0.35">
      <c r="A135" s="161">
        <v>119</v>
      </c>
      <c r="B135" s="157" t="s">
        <v>193</v>
      </c>
      <c r="C135" s="160" t="s">
        <v>393</v>
      </c>
    </row>
    <row r="136" spans="1:3" x14ac:dyDescent="0.35">
      <c r="A136" s="161">
        <v>120</v>
      </c>
      <c r="B136" s="157" t="s">
        <v>165</v>
      </c>
      <c r="C136" s="160" t="s">
        <v>393</v>
      </c>
    </row>
    <row r="137" spans="1:3" x14ac:dyDescent="0.35">
      <c r="A137" s="161">
        <v>121</v>
      </c>
      <c r="B137" s="157" t="s">
        <v>194</v>
      </c>
      <c r="C137" s="160" t="s">
        <v>392</v>
      </c>
    </row>
    <row r="138" spans="1:3" x14ac:dyDescent="0.35">
      <c r="A138" s="161">
        <v>122</v>
      </c>
      <c r="B138" s="157" t="s">
        <v>195</v>
      </c>
      <c r="C138" s="160" t="s">
        <v>392</v>
      </c>
    </row>
    <row r="139" spans="1:3" x14ac:dyDescent="0.35">
      <c r="A139" s="161">
        <v>123</v>
      </c>
      <c r="B139" s="157" t="s">
        <v>196</v>
      </c>
      <c r="C139" s="160" t="s">
        <v>392</v>
      </c>
    </row>
    <row r="140" spans="1:3" x14ac:dyDescent="0.35">
      <c r="A140" s="161">
        <v>124</v>
      </c>
      <c r="B140" s="157" t="s">
        <v>196</v>
      </c>
      <c r="C140" s="160" t="s">
        <v>392</v>
      </c>
    </row>
    <row r="141" spans="1:3" x14ac:dyDescent="0.35">
      <c r="A141" s="161">
        <v>125</v>
      </c>
      <c r="B141" s="157" t="s">
        <v>196</v>
      </c>
      <c r="C141" s="160" t="s">
        <v>392</v>
      </c>
    </row>
    <row r="142" spans="1:3" x14ac:dyDescent="0.35">
      <c r="A142" s="161">
        <v>126</v>
      </c>
      <c r="B142" s="157" t="s">
        <v>197</v>
      </c>
      <c r="C142" s="160" t="s">
        <v>392</v>
      </c>
    </row>
    <row r="143" spans="1:3" x14ac:dyDescent="0.35">
      <c r="A143" s="161">
        <v>127</v>
      </c>
      <c r="B143" s="157" t="s">
        <v>198</v>
      </c>
      <c r="C143" s="160" t="s">
        <v>392</v>
      </c>
    </row>
    <row r="144" spans="1:3" x14ac:dyDescent="0.35">
      <c r="A144" s="161">
        <v>128</v>
      </c>
      <c r="B144" s="157" t="s">
        <v>199</v>
      </c>
      <c r="C144" s="160" t="s">
        <v>392</v>
      </c>
    </row>
    <row r="145" spans="1:3" x14ac:dyDescent="0.35">
      <c r="A145" s="161">
        <v>129</v>
      </c>
      <c r="B145" s="157" t="s">
        <v>198</v>
      </c>
      <c r="C145" s="160" t="s">
        <v>392</v>
      </c>
    </row>
    <row r="146" spans="1:3" x14ac:dyDescent="0.35">
      <c r="A146" s="161">
        <v>130</v>
      </c>
      <c r="B146" s="157" t="s">
        <v>200</v>
      </c>
      <c r="C146" s="160" t="s">
        <v>392</v>
      </c>
    </row>
    <row r="147" spans="1:3" x14ac:dyDescent="0.35">
      <c r="A147" s="161">
        <v>131</v>
      </c>
      <c r="B147" s="157" t="s">
        <v>200</v>
      </c>
      <c r="C147" s="160" t="s">
        <v>392</v>
      </c>
    </row>
    <row r="148" spans="1:3" x14ac:dyDescent="0.35">
      <c r="A148" s="161">
        <v>132</v>
      </c>
      <c r="B148" s="157" t="s">
        <v>201</v>
      </c>
      <c r="C148" s="160" t="s">
        <v>392</v>
      </c>
    </row>
    <row r="149" spans="1:3" x14ac:dyDescent="0.35">
      <c r="A149" s="161">
        <v>133</v>
      </c>
      <c r="B149" s="157" t="s">
        <v>201</v>
      </c>
      <c r="C149" s="160" t="s">
        <v>392</v>
      </c>
    </row>
    <row r="150" spans="1:3" x14ac:dyDescent="0.35">
      <c r="A150" s="161">
        <v>134</v>
      </c>
      <c r="B150" s="157" t="s">
        <v>201</v>
      </c>
      <c r="C150" s="160" t="s">
        <v>392</v>
      </c>
    </row>
    <row r="151" spans="1:3" x14ac:dyDescent="0.35">
      <c r="A151" s="161">
        <v>135</v>
      </c>
      <c r="B151" s="157" t="s">
        <v>201</v>
      </c>
      <c r="C151" s="160" t="s">
        <v>392</v>
      </c>
    </row>
    <row r="152" spans="1:3" x14ac:dyDescent="0.35">
      <c r="A152" s="161">
        <v>136</v>
      </c>
      <c r="B152" s="157" t="s">
        <v>201</v>
      </c>
      <c r="C152" s="160" t="s">
        <v>392</v>
      </c>
    </row>
    <row r="153" spans="1:3" x14ac:dyDescent="0.35">
      <c r="A153" s="161">
        <v>137</v>
      </c>
      <c r="B153" s="157" t="s">
        <v>201</v>
      </c>
      <c r="C153" s="160" t="s">
        <v>392</v>
      </c>
    </row>
    <row r="154" spans="1:3" x14ac:dyDescent="0.35">
      <c r="A154" s="161">
        <v>138</v>
      </c>
      <c r="B154" s="157" t="s">
        <v>201</v>
      </c>
      <c r="C154" s="160" t="s">
        <v>392</v>
      </c>
    </row>
    <row r="155" spans="1:3" x14ac:dyDescent="0.35">
      <c r="A155" s="161">
        <v>140</v>
      </c>
      <c r="B155" s="157" t="s">
        <v>185</v>
      </c>
      <c r="C155" s="160" t="s">
        <v>392</v>
      </c>
    </row>
    <row r="156" spans="1:3" x14ac:dyDescent="0.35">
      <c r="A156" s="161">
        <v>141</v>
      </c>
      <c r="B156" s="157" t="s">
        <v>202</v>
      </c>
      <c r="C156" s="160" t="s">
        <v>392</v>
      </c>
    </row>
    <row r="157" spans="1:3" x14ac:dyDescent="0.35">
      <c r="A157" s="161">
        <v>142</v>
      </c>
      <c r="B157" s="157" t="s">
        <v>202</v>
      </c>
      <c r="C157" s="160" t="s">
        <v>392</v>
      </c>
    </row>
    <row r="158" spans="1:3" x14ac:dyDescent="0.35">
      <c r="A158" s="161">
        <v>143</v>
      </c>
      <c r="B158" s="157" t="s">
        <v>188</v>
      </c>
      <c r="C158" s="160" t="s">
        <v>393</v>
      </c>
    </row>
    <row r="159" spans="1:3" x14ac:dyDescent="0.35">
      <c r="A159" s="161">
        <v>144</v>
      </c>
      <c r="B159" s="157" t="s">
        <v>203</v>
      </c>
      <c r="C159" s="160" t="s">
        <v>392</v>
      </c>
    </row>
    <row r="160" spans="1:3" x14ac:dyDescent="0.35">
      <c r="A160" s="161">
        <v>145</v>
      </c>
      <c r="B160" s="157" t="s">
        <v>203</v>
      </c>
      <c r="C160" s="160" t="s">
        <v>392</v>
      </c>
    </row>
    <row r="161" spans="1:3" x14ac:dyDescent="0.35">
      <c r="A161" s="161">
        <v>146</v>
      </c>
      <c r="B161" s="157" t="s">
        <v>203</v>
      </c>
      <c r="C161" s="160" t="s">
        <v>392</v>
      </c>
    </row>
    <row r="162" spans="1:3" x14ac:dyDescent="0.35">
      <c r="A162" s="161">
        <v>147</v>
      </c>
      <c r="B162" s="157" t="s">
        <v>203</v>
      </c>
      <c r="C162" s="160" t="s">
        <v>392</v>
      </c>
    </row>
    <row r="163" spans="1:3" x14ac:dyDescent="0.35">
      <c r="A163" s="161">
        <v>148</v>
      </c>
      <c r="B163" s="157" t="s">
        <v>204</v>
      </c>
      <c r="C163" s="160" t="s">
        <v>392</v>
      </c>
    </row>
    <row r="164" spans="1:3" x14ac:dyDescent="0.35">
      <c r="A164" s="161">
        <v>149</v>
      </c>
      <c r="B164" s="157" t="s">
        <v>205</v>
      </c>
      <c r="C164" s="160" t="s">
        <v>392</v>
      </c>
    </row>
    <row r="165" spans="1:3" x14ac:dyDescent="0.35">
      <c r="A165" s="161">
        <v>150</v>
      </c>
      <c r="B165" s="157" t="s">
        <v>197</v>
      </c>
      <c r="C165" s="160" t="s">
        <v>392</v>
      </c>
    </row>
    <row r="166" spans="1:3" x14ac:dyDescent="0.35">
      <c r="A166" s="161">
        <v>151</v>
      </c>
      <c r="B166" s="157" t="s">
        <v>197</v>
      </c>
      <c r="C166" s="160" t="s">
        <v>392</v>
      </c>
    </row>
    <row r="167" spans="1:3" x14ac:dyDescent="0.35">
      <c r="A167" s="161">
        <v>152</v>
      </c>
      <c r="B167" s="157" t="s">
        <v>197</v>
      </c>
      <c r="C167" s="160" t="s">
        <v>392</v>
      </c>
    </row>
    <row r="168" spans="1:3" x14ac:dyDescent="0.35">
      <c r="A168" s="161">
        <v>153</v>
      </c>
      <c r="B168" s="157" t="s">
        <v>197</v>
      </c>
      <c r="C168" s="160" t="s">
        <v>392</v>
      </c>
    </row>
    <row r="169" spans="1:3" x14ac:dyDescent="0.35">
      <c r="A169" s="161">
        <v>154</v>
      </c>
      <c r="B169" s="157" t="s">
        <v>197</v>
      </c>
      <c r="C169" s="160" t="s">
        <v>392</v>
      </c>
    </row>
    <row r="170" spans="1:3" x14ac:dyDescent="0.35">
      <c r="A170" s="161">
        <v>155</v>
      </c>
      <c r="B170" s="157" t="s">
        <v>185</v>
      </c>
      <c r="C170" s="160" t="s">
        <v>393</v>
      </c>
    </row>
    <row r="171" spans="1:3" x14ac:dyDescent="0.35">
      <c r="A171" s="161">
        <v>156</v>
      </c>
      <c r="B171" s="157" t="s">
        <v>197</v>
      </c>
      <c r="C171" s="160" t="s">
        <v>392</v>
      </c>
    </row>
    <row r="172" spans="1:3" x14ac:dyDescent="0.35">
      <c r="A172" s="161">
        <v>157</v>
      </c>
      <c r="B172" s="157" t="s">
        <v>197</v>
      </c>
      <c r="C172" s="160" t="s">
        <v>392</v>
      </c>
    </row>
    <row r="173" spans="1:3" x14ac:dyDescent="0.35">
      <c r="A173" s="161">
        <v>158</v>
      </c>
      <c r="B173" s="157" t="s">
        <v>197</v>
      </c>
      <c r="C173" s="160" t="s">
        <v>392</v>
      </c>
    </row>
    <row r="174" spans="1:3" x14ac:dyDescent="0.35">
      <c r="A174" s="161">
        <v>159</v>
      </c>
      <c r="B174" s="157" t="s">
        <v>172</v>
      </c>
      <c r="C174" s="160" t="s">
        <v>393</v>
      </c>
    </row>
    <row r="175" spans="1:3" x14ac:dyDescent="0.35">
      <c r="A175" s="161">
        <v>160</v>
      </c>
      <c r="B175" s="157" t="s">
        <v>197</v>
      </c>
      <c r="C175" s="160" t="s">
        <v>392</v>
      </c>
    </row>
    <row r="176" spans="1:3" x14ac:dyDescent="0.35">
      <c r="A176" s="161">
        <v>161</v>
      </c>
      <c r="B176" s="157" t="s">
        <v>197</v>
      </c>
      <c r="C176" s="160" t="s">
        <v>392</v>
      </c>
    </row>
    <row r="177" spans="1:3" x14ac:dyDescent="0.35">
      <c r="A177" s="161">
        <v>162</v>
      </c>
      <c r="B177" s="157" t="s">
        <v>197</v>
      </c>
      <c r="C177" s="160" t="s">
        <v>392</v>
      </c>
    </row>
    <row r="178" spans="1:3" x14ac:dyDescent="0.35">
      <c r="A178" s="161">
        <v>163</v>
      </c>
      <c r="B178" s="157" t="s">
        <v>197</v>
      </c>
      <c r="C178" s="160" t="s">
        <v>392</v>
      </c>
    </row>
    <row r="179" spans="1:3" x14ac:dyDescent="0.35">
      <c r="A179" s="161">
        <v>164</v>
      </c>
      <c r="B179" s="157" t="s">
        <v>197</v>
      </c>
      <c r="C179" s="160" t="s">
        <v>392</v>
      </c>
    </row>
    <row r="180" spans="1:3" x14ac:dyDescent="0.35">
      <c r="A180" s="161">
        <v>165</v>
      </c>
      <c r="B180" s="157" t="s">
        <v>197</v>
      </c>
      <c r="C180" s="160" t="s">
        <v>392</v>
      </c>
    </row>
    <row r="181" spans="1:3" x14ac:dyDescent="0.35">
      <c r="A181" s="161">
        <v>166</v>
      </c>
      <c r="B181" s="157" t="s">
        <v>197</v>
      </c>
      <c r="C181" s="160" t="s">
        <v>392</v>
      </c>
    </row>
    <row r="182" spans="1:3" x14ac:dyDescent="0.35">
      <c r="A182" s="161">
        <v>167</v>
      </c>
      <c r="B182" s="157" t="s">
        <v>197</v>
      </c>
      <c r="C182" s="160" t="s">
        <v>392</v>
      </c>
    </row>
    <row r="183" spans="1:3" x14ac:dyDescent="0.35">
      <c r="A183" s="161">
        <v>168</v>
      </c>
      <c r="B183" s="157" t="s">
        <v>197</v>
      </c>
      <c r="C183" s="160" t="s">
        <v>392</v>
      </c>
    </row>
    <row r="184" spans="1:3" x14ac:dyDescent="0.35">
      <c r="A184" s="161">
        <v>169</v>
      </c>
      <c r="B184" s="157" t="s">
        <v>197</v>
      </c>
      <c r="C184" s="160" t="s">
        <v>392</v>
      </c>
    </row>
    <row r="185" spans="1:3" x14ac:dyDescent="0.35">
      <c r="A185" s="161">
        <v>170</v>
      </c>
      <c r="B185" s="157" t="s">
        <v>197</v>
      </c>
      <c r="C185" s="160" t="s">
        <v>392</v>
      </c>
    </row>
    <row r="186" spans="1:3" x14ac:dyDescent="0.35">
      <c r="A186" s="161">
        <v>171</v>
      </c>
      <c r="B186" s="157" t="s">
        <v>197</v>
      </c>
      <c r="C186" s="160" t="s">
        <v>392</v>
      </c>
    </row>
    <row r="187" spans="1:3" x14ac:dyDescent="0.35">
      <c r="A187" s="161">
        <v>172</v>
      </c>
      <c r="B187" s="157" t="s">
        <v>197</v>
      </c>
      <c r="C187" s="160" t="s">
        <v>392</v>
      </c>
    </row>
    <row r="188" spans="1:3" x14ac:dyDescent="0.35">
      <c r="A188" s="161">
        <v>173</v>
      </c>
      <c r="B188" s="157" t="s">
        <v>197</v>
      </c>
      <c r="C188" s="160" t="s">
        <v>392</v>
      </c>
    </row>
    <row r="189" spans="1:3" x14ac:dyDescent="0.35">
      <c r="A189" s="161">
        <v>174</v>
      </c>
      <c r="B189" s="157" t="s">
        <v>197</v>
      </c>
      <c r="C189" s="160" t="s">
        <v>392</v>
      </c>
    </row>
    <row r="190" spans="1:3" x14ac:dyDescent="0.35">
      <c r="A190" s="161">
        <v>175</v>
      </c>
      <c r="B190" s="157" t="s">
        <v>197</v>
      </c>
      <c r="C190" s="160" t="s">
        <v>392</v>
      </c>
    </row>
    <row r="191" spans="1:3" x14ac:dyDescent="0.35">
      <c r="A191" s="161">
        <v>176</v>
      </c>
      <c r="B191" s="157" t="s">
        <v>197</v>
      </c>
      <c r="C191" s="160" t="s">
        <v>392</v>
      </c>
    </row>
    <row r="192" spans="1:3" x14ac:dyDescent="0.35">
      <c r="A192" s="161">
        <v>177</v>
      </c>
      <c r="B192" s="157" t="s">
        <v>197</v>
      </c>
      <c r="C192" s="160" t="s">
        <v>392</v>
      </c>
    </row>
    <row r="193" spans="1:3" x14ac:dyDescent="0.35">
      <c r="A193" s="161">
        <v>178</v>
      </c>
      <c r="B193" s="157" t="s">
        <v>206</v>
      </c>
      <c r="C193" s="160" t="s">
        <v>392</v>
      </c>
    </row>
    <row r="194" spans="1:3" x14ac:dyDescent="0.35">
      <c r="A194" s="161">
        <v>179</v>
      </c>
      <c r="B194" s="157" t="s">
        <v>197</v>
      </c>
      <c r="C194" s="160" t="s">
        <v>392</v>
      </c>
    </row>
    <row r="195" spans="1:3" x14ac:dyDescent="0.35">
      <c r="A195" s="161">
        <v>180</v>
      </c>
      <c r="B195" s="157" t="s">
        <v>197</v>
      </c>
      <c r="C195" s="160" t="s">
        <v>392</v>
      </c>
    </row>
    <row r="196" spans="1:3" x14ac:dyDescent="0.35">
      <c r="A196" s="161">
        <v>181</v>
      </c>
      <c r="B196" s="157" t="s">
        <v>197</v>
      </c>
      <c r="C196" s="160" t="s">
        <v>392</v>
      </c>
    </row>
    <row r="197" spans="1:3" x14ac:dyDescent="0.35">
      <c r="A197" s="161">
        <v>182</v>
      </c>
      <c r="B197" s="157" t="s">
        <v>197</v>
      </c>
      <c r="C197" s="160" t="s">
        <v>392</v>
      </c>
    </row>
    <row r="198" spans="1:3" x14ac:dyDescent="0.35">
      <c r="A198" s="161">
        <v>183</v>
      </c>
      <c r="B198" s="157" t="s">
        <v>197</v>
      </c>
      <c r="C198" s="160" t="s">
        <v>392</v>
      </c>
    </row>
    <row r="199" spans="1:3" x14ac:dyDescent="0.35">
      <c r="A199" s="161">
        <v>184</v>
      </c>
      <c r="B199" s="157" t="s">
        <v>197</v>
      </c>
      <c r="C199" s="160" t="s">
        <v>392</v>
      </c>
    </row>
    <row r="200" spans="1:3" x14ac:dyDescent="0.35">
      <c r="A200" s="161">
        <v>185</v>
      </c>
      <c r="B200" s="157" t="s">
        <v>197</v>
      </c>
      <c r="C200" s="160" t="s">
        <v>392</v>
      </c>
    </row>
    <row r="201" spans="1:3" x14ac:dyDescent="0.35">
      <c r="A201" s="161">
        <v>186</v>
      </c>
      <c r="B201" s="157" t="s">
        <v>197</v>
      </c>
      <c r="C201" s="160" t="s">
        <v>392</v>
      </c>
    </row>
    <row r="202" spans="1:3" x14ac:dyDescent="0.35">
      <c r="A202" s="161">
        <v>187</v>
      </c>
      <c r="B202" s="157" t="s">
        <v>197</v>
      </c>
      <c r="C202" s="160" t="s">
        <v>392</v>
      </c>
    </row>
    <row r="203" spans="1:3" x14ac:dyDescent="0.35">
      <c r="A203" s="161">
        <v>188</v>
      </c>
      <c r="B203" s="157" t="s">
        <v>197</v>
      </c>
      <c r="C203" s="160" t="s">
        <v>392</v>
      </c>
    </row>
    <row r="204" spans="1:3" x14ac:dyDescent="0.35">
      <c r="A204" s="161">
        <v>189</v>
      </c>
      <c r="B204" s="157" t="s">
        <v>197</v>
      </c>
      <c r="C204" s="160" t="s">
        <v>393</v>
      </c>
    </row>
    <row r="205" spans="1:3" x14ac:dyDescent="0.35">
      <c r="A205" s="161">
        <v>190</v>
      </c>
      <c r="B205" s="157" t="s">
        <v>197</v>
      </c>
      <c r="C205" s="160" t="s">
        <v>393</v>
      </c>
    </row>
    <row r="206" spans="1:3" x14ac:dyDescent="0.35">
      <c r="A206" s="161">
        <v>191</v>
      </c>
      <c r="B206" s="157" t="s">
        <v>197</v>
      </c>
      <c r="C206" s="160" t="s">
        <v>393</v>
      </c>
    </row>
    <row r="207" spans="1:3" x14ac:dyDescent="0.35">
      <c r="A207" s="161">
        <v>192</v>
      </c>
      <c r="B207" s="157" t="s">
        <v>197</v>
      </c>
      <c r="C207" s="160" t="s">
        <v>393</v>
      </c>
    </row>
    <row r="208" spans="1:3" x14ac:dyDescent="0.35">
      <c r="A208" s="161">
        <v>193</v>
      </c>
      <c r="B208" s="157" t="s">
        <v>197</v>
      </c>
      <c r="C208" s="160" t="s">
        <v>393</v>
      </c>
    </row>
    <row r="209" spans="1:3" x14ac:dyDescent="0.35">
      <c r="A209" s="161">
        <v>194</v>
      </c>
      <c r="B209" s="157" t="s">
        <v>197</v>
      </c>
      <c r="C209" s="160" t="s">
        <v>393</v>
      </c>
    </row>
    <row r="210" spans="1:3" x14ac:dyDescent="0.35">
      <c r="A210" s="161">
        <v>195</v>
      </c>
      <c r="B210" s="157" t="s">
        <v>197</v>
      </c>
      <c r="C210" s="160" t="s">
        <v>393</v>
      </c>
    </row>
    <row r="211" spans="1:3" x14ac:dyDescent="0.35">
      <c r="A211" s="161">
        <v>196</v>
      </c>
      <c r="B211" s="157" t="s">
        <v>197</v>
      </c>
      <c r="C211" s="160" t="s">
        <v>393</v>
      </c>
    </row>
    <row r="212" spans="1:3" x14ac:dyDescent="0.35">
      <c r="A212" s="161">
        <v>197</v>
      </c>
      <c r="B212" s="157" t="s">
        <v>197</v>
      </c>
      <c r="C212" s="160" t="s">
        <v>393</v>
      </c>
    </row>
    <row r="213" spans="1:3" x14ac:dyDescent="0.35">
      <c r="A213" s="161">
        <v>198</v>
      </c>
      <c r="B213" s="157" t="s">
        <v>197</v>
      </c>
      <c r="C213" s="160" t="s">
        <v>393</v>
      </c>
    </row>
    <row r="214" spans="1:3" x14ac:dyDescent="0.35">
      <c r="A214" s="161">
        <v>199</v>
      </c>
      <c r="B214" s="157" t="s">
        <v>197</v>
      </c>
      <c r="C214" s="160" t="s">
        <v>393</v>
      </c>
    </row>
    <row r="215" spans="1:3" x14ac:dyDescent="0.35">
      <c r="A215" s="161">
        <v>201</v>
      </c>
      <c r="B215" s="157" t="s">
        <v>197</v>
      </c>
      <c r="C215" s="160" t="s">
        <v>393</v>
      </c>
    </row>
    <row r="216" spans="1:3" x14ac:dyDescent="0.35">
      <c r="A216" s="161">
        <v>202</v>
      </c>
      <c r="B216" s="157" t="s">
        <v>197</v>
      </c>
      <c r="C216" s="160" t="s">
        <v>393</v>
      </c>
    </row>
    <row r="217" spans="1:3" x14ac:dyDescent="0.35">
      <c r="A217" s="161">
        <v>203</v>
      </c>
      <c r="B217" s="157" t="s">
        <v>197</v>
      </c>
      <c r="C217" s="160" t="s">
        <v>393</v>
      </c>
    </row>
    <row r="218" spans="1:3" x14ac:dyDescent="0.35">
      <c r="A218" s="161">
        <v>204</v>
      </c>
      <c r="B218" s="157" t="s">
        <v>197</v>
      </c>
      <c r="C218" s="160" t="s">
        <v>393</v>
      </c>
    </row>
    <row r="219" spans="1:3" x14ac:dyDescent="0.35">
      <c r="A219" s="161">
        <v>205</v>
      </c>
      <c r="B219" s="157" t="s">
        <v>197</v>
      </c>
      <c r="C219" s="160" t="s">
        <v>393</v>
      </c>
    </row>
    <row r="220" spans="1:3" x14ac:dyDescent="0.35">
      <c r="A220" s="161">
        <v>206</v>
      </c>
      <c r="B220" s="157" t="s">
        <v>197</v>
      </c>
      <c r="C220" s="160" t="s">
        <v>393</v>
      </c>
    </row>
    <row r="221" spans="1:3" x14ac:dyDescent="0.35">
      <c r="A221" s="161">
        <v>207</v>
      </c>
      <c r="B221" s="157" t="s">
        <v>197</v>
      </c>
      <c r="C221" s="160" t="s">
        <v>393</v>
      </c>
    </row>
    <row r="222" spans="1:3" x14ac:dyDescent="0.35">
      <c r="A222" s="161">
        <v>208</v>
      </c>
      <c r="B222" s="157" t="s">
        <v>197</v>
      </c>
      <c r="C222" s="160" t="s">
        <v>393</v>
      </c>
    </row>
    <row r="223" spans="1:3" x14ac:dyDescent="0.35">
      <c r="A223" s="161">
        <v>209</v>
      </c>
      <c r="B223" s="157" t="s">
        <v>197</v>
      </c>
      <c r="C223" s="160" t="s">
        <v>392</v>
      </c>
    </row>
    <row r="224" spans="1:3" x14ac:dyDescent="0.35">
      <c r="A224" s="161">
        <v>210</v>
      </c>
      <c r="B224" s="157" t="s">
        <v>197</v>
      </c>
      <c r="C224" s="160" t="s">
        <v>392</v>
      </c>
    </row>
    <row r="225" spans="1:3" x14ac:dyDescent="0.35">
      <c r="A225" s="161">
        <v>211</v>
      </c>
      <c r="B225" s="157" t="s">
        <v>197</v>
      </c>
      <c r="C225" s="160" t="s">
        <v>392</v>
      </c>
    </row>
    <row r="226" spans="1:3" x14ac:dyDescent="0.35">
      <c r="A226" s="161">
        <v>212</v>
      </c>
      <c r="B226" s="157" t="s">
        <v>197</v>
      </c>
      <c r="C226" s="160" t="s">
        <v>392</v>
      </c>
    </row>
    <row r="227" spans="1:3" x14ac:dyDescent="0.35">
      <c r="A227" s="161">
        <v>213</v>
      </c>
      <c r="B227" s="157" t="s">
        <v>197</v>
      </c>
      <c r="C227" s="160" t="s">
        <v>392</v>
      </c>
    </row>
    <row r="228" spans="1:3" x14ac:dyDescent="0.35">
      <c r="A228" s="161">
        <v>214</v>
      </c>
      <c r="B228" s="157" t="s">
        <v>197</v>
      </c>
      <c r="C228" s="160" t="s">
        <v>392</v>
      </c>
    </row>
    <row r="229" spans="1:3" x14ac:dyDescent="0.35">
      <c r="A229" s="161">
        <v>215</v>
      </c>
      <c r="B229" s="157" t="s">
        <v>197</v>
      </c>
      <c r="C229" s="160" t="s">
        <v>392</v>
      </c>
    </row>
    <row r="230" spans="1:3" x14ac:dyDescent="0.35">
      <c r="A230" s="161">
        <v>216</v>
      </c>
      <c r="B230" s="157" t="s">
        <v>197</v>
      </c>
      <c r="C230" s="160" t="s">
        <v>392</v>
      </c>
    </row>
    <row r="231" spans="1:3" x14ac:dyDescent="0.35">
      <c r="A231" s="161">
        <v>217</v>
      </c>
      <c r="B231" s="157" t="s">
        <v>197</v>
      </c>
      <c r="C231" s="160" t="s">
        <v>392</v>
      </c>
    </row>
    <row r="232" spans="1:3" x14ac:dyDescent="0.35">
      <c r="A232" s="161">
        <v>218</v>
      </c>
      <c r="B232" s="157" t="s">
        <v>197</v>
      </c>
      <c r="C232" s="160" t="s">
        <v>392</v>
      </c>
    </row>
    <row r="233" spans="1:3" x14ac:dyDescent="0.35">
      <c r="A233" s="161">
        <v>219</v>
      </c>
      <c r="B233" s="157" t="s">
        <v>197</v>
      </c>
      <c r="C233" s="160" t="s">
        <v>392</v>
      </c>
    </row>
    <row r="234" spans="1:3" x14ac:dyDescent="0.35">
      <c r="A234" s="161">
        <v>220</v>
      </c>
      <c r="B234" s="157" t="s">
        <v>197</v>
      </c>
      <c r="C234" s="160" t="s">
        <v>392</v>
      </c>
    </row>
    <row r="235" spans="1:3" x14ac:dyDescent="0.35">
      <c r="A235" s="161">
        <v>221</v>
      </c>
      <c r="B235" s="157" t="s">
        <v>197</v>
      </c>
      <c r="C235" s="160" t="s">
        <v>392</v>
      </c>
    </row>
    <row r="236" spans="1:3" x14ac:dyDescent="0.35">
      <c r="A236" s="161">
        <v>222</v>
      </c>
      <c r="B236" s="157" t="s">
        <v>197</v>
      </c>
      <c r="C236" s="160" t="s">
        <v>392</v>
      </c>
    </row>
    <row r="237" spans="1:3" x14ac:dyDescent="0.35">
      <c r="A237" s="161">
        <v>223</v>
      </c>
      <c r="B237" s="157" t="s">
        <v>197</v>
      </c>
      <c r="C237" s="160" t="s">
        <v>392</v>
      </c>
    </row>
    <row r="238" spans="1:3" x14ac:dyDescent="0.35">
      <c r="A238" s="161">
        <v>224</v>
      </c>
      <c r="B238" s="157" t="s">
        <v>197</v>
      </c>
      <c r="C238" s="160" t="s">
        <v>392</v>
      </c>
    </row>
    <row r="239" spans="1:3" x14ac:dyDescent="0.35">
      <c r="A239" s="161">
        <v>225</v>
      </c>
      <c r="B239" s="157" t="s">
        <v>197</v>
      </c>
      <c r="C239" s="160" t="s">
        <v>392</v>
      </c>
    </row>
    <row r="240" spans="1:3" x14ac:dyDescent="0.35">
      <c r="A240" s="161">
        <v>226</v>
      </c>
      <c r="B240" s="157" t="s">
        <v>197</v>
      </c>
      <c r="C240" s="160" t="s">
        <v>392</v>
      </c>
    </row>
    <row r="241" spans="1:3" x14ac:dyDescent="0.35">
      <c r="A241" s="161">
        <v>227</v>
      </c>
      <c r="B241" s="157" t="s">
        <v>197</v>
      </c>
      <c r="C241" s="160" t="s">
        <v>392</v>
      </c>
    </row>
    <row r="242" spans="1:3" x14ac:dyDescent="0.35">
      <c r="A242" s="161">
        <v>228</v>
      </c>
      <c r="B242" s="157" t="s">
        <v>207</v>
      </c>
      <c r="C242" s="160" t="s">
        <v>393</v>
      </c>
    </row>
    <row r="243" spans="1:3" x14ac:dyDescent="0.35">
      <c r="A243" s="161">
        <v>229</v>
      </c>
      <c r="B243" s="157" t="s">
        <v>207</v>
      </c>
      <c r="C243" s="160" t="s">
        <v>393</v>
      </c>
    </row>
    <row r="244" spans="1:3" x14ac:dyDescent="0.35">
      <c r="A244" s="161">
        <v>230</v>
      </c>
      <c r="B244" s="157" t="s">
        <v>197</v>
      </c>
      <c r="C244" s="160" t="s">
        <v>393</v>
      </c>
    </row>
    <row r="245" spans="1:3" x14ac:dyDescent="0.35">
      <c r="A245" s="161">
        <v>231</v>
      </c>
      <c r="B245" s="157" t="s">
        <v>185</v>
      </c>
      <c r="C245" s="160" t="s">
        <v>392</v>
      </c>
    </row>
    <row r="246" spans="1:3" x14ac:dyDescent="0.35">
      <c r="A246" s="161">
        <v>233</v>
      </c>
      <c r="B246" s="157" t="s">
        <v>185</v>
      </c>
      <c r="C246" s="160" t="s">
        <v>392</v>
      </c>
    </row>
    <row r="247" spans="1:3" x14ac:dyDescent="0.35">
      <c r="A247" s="161">
        <v>234</v>
      </c>
      <c r="B247" s="157" t="s">
        <v>185</v>
      </c>
      <c r="C247" s="160" t="s">
        <v>392</v>
      </c>
    </row>
    <row r="248" spans="1:3" x14ac:dyDescent="0.35">
      <c r="A248" s="161">
        <v>235</v>
      </c>
      <c r="B248" s="157" t="s">
        <v>185</v>
      </c>
      <c r="C248" s="160" t="s">
        <v>392</v>
      </c>
    </row>
    <row r="249" spans="1:3" x14ac:dyDescent="0.35">
      <c r="A249" s="161">
        <v>236</v>
      </c>
      <c r="B249" s="157" t="s">
        <v>185</v>
      </c>
      <c r="C249" s="160" t="s">
        <v>392</v>
      </c>
    </row>
    <row r="250" spans="1:3" x14ac:dyDescent="0.35">
      <c r="A250" s="161">
        <v>237</v>
      </c>
      <c r="B250" s="157" t="s">
        <v>185</v>
      </c>
      <c r="C250" s="160" t="s">
        <v>392</v>
      </c>
    </row>
    <row r="251" spans="1:3" x14ac:dyDescent="0.35">
      <c r="A251" s="161">
        <v>238</v>
      </c>
      <c r="B251" s="157" t="s">
        <v>197</v>
      </c>
      <c r="C251" s="160" t="s">
        <v>392</v>
      </c>
    </row>
    <row r="252" spans="1:3" x14ac:dyDescent="0.35">
      <c r="A252" s="161">
        <v>241</v>
      </c>
      <c r="B252" s="157" t="s">
        <v>208</v>
      </c>
      <c r="C252" s="160" t="s">
        <v>392</v>
      </c>
    </row>
    <row r="253" spans="1:3" x14ac:dyDescent="0.35">
      <c r="A253" s="161">
        <v>242</v>
      </c>
      <c r="B253" s="157" t="s">
        <v>209</v>
      </c>
      <c r="C253" s="160" t="s">
        <v>392</v>
      </c>
    </row>
    <row r="254" spans="1:3" x14ac:dyDescent="0.35">
      <c r="A254" s="161">
        <v>243</v>
      </c>
      <c r="B254" s="157" t="s">
        <v>173</v>
      </c>
      <c r="C254" s="160" t="s">
        <v>392</v>
      </c>
    </row>
    <row r="255" spans="1:3" x14ac:dyDescent="0.35">
      <c r="A255" s="161">
        <v>244</v>
      </c>
      <c r="B255" s="157" t="s">
        <v>197</v>
      </c>
      <c r="C255" s="160" t="s">
        <v>392</v>
      </c>
    </row>
    <row r="256" spans="1:3" x14ac:dyDescent="0.35">
      <c r="A256" s="161">
        <v>245</v>
      </c>
      <c r="B256" s="157" t="s">
        <v>209</v>
      </c>
      <c r="C256" s="160" t="s">
        <v>392</v>
      </c>
    </row>
    <row r="257" spans="1:3" x14ac:dyDescent="0.35">
      <c r="A257" s="161">
        <v>246</v>
      </c>
      <c r="B257" s="157" t="s">
        <v>210</v>
      </c>
      <c r="C257" s="160" t="s">
        <v>392</v>
      </c>
    </row>
    <row r="258" spans="1:3" x14ac:dyDescent="0.35">
      <c r="A258" s="161">
        <v>247</v>
      </c>
      <c r="B258" s="157" t="s">
        <v>209</v>
      </c>
      <c r="C258" s="160" t="s">
        <v>392</v>
      </c>
    </row>
    <row r="259" spans="1:3" x14ac:dyDescent="0.35">
      <c r="A259" s="161">
        <v>248</v>
      </c>
      <c r="B259" s="157" t="s">
        <v>197</v>
      </c>
      <c r="C259" s="160" t="s">
        <v>392</v>
      </c>
    </row>
    <row r="260" spans="1:3" x14ac:dyDescent="0.35">
      <c r="A260" s="161">
        <v>249</v>
      </c>
      <c r="B260" s="157" t="s">
        <v>209</v>
      </c>
      <c r="C260" s="160" t="s">
        <v>392</v>
      </c>
    </row>
    <row r="261" spans="1:3" x14ac:dyDescent="0.35">
      <c r="A261" s="161">
        <v>250</v>
      </c>
      <c r="B261" s="157" t="s">
        <v>211</v>
      </c>
      <c r="C261" s="160" t="s">
        <v>393</v>
      </c>
    </row>
    <row r="262" spans="1:3" x14ac:dyDescent="0.35">
      <c r="A262" s="161">
        <v>251</v>
      </c>
      <c r="B262" s="157" t="s">
        <v>211</v>
      </c>
      <c r="C262" s="160" t="s">
        <v>393</v>
      </c>
    </row>
    <row r="263" spans="1:3" x14ac:dyDescent="0.35">
      <c r="A263" s="161">
        <v>252</v>
      </c>
      <c r="B263" s="157" t="s">
        <v>211</v>
      </c>
      <c r="C263" s="160" t="s">
        <v>393</v>
      </c>
    </row>
    <row r="264" spans="1:3" x14ac:dyDescent="0.35">
      <c r="A264" s="161">
        <v>253</v>
      </c>
      <c r="B264" s="157" t="s">
        <v>211</v>
      </c>
      <c r="C264" s="160" t="s">
        <v>393</v>
      </c>
    </row>
    <row r="265" spans="1:3" x14ac:dyDescent="0.35">
      <c r="A265" s="161">
        <v>254</v>
      </c>
      <c r="B265" s="157" t="s">
        <v>212</v>
      </c>
      <c r="C265" s="160" t="s">
        <v>392</v>
      </c>
    </row>
    <row r="266" spans="1:3" x14ac:dyDescent="0.35">
      <c r="A266" s="161">
        <v>255</v>
      </c>
      <c r="B266" s="157" t="s">
        <v>213</v>
      </c>
      <c r="C266" s="160" t="s">
        <v>392</v>
      </c>
    </row>
    <row r="267" spans="1:3" x14ac:dyDescent="0.35">
      <c r="A267" s="161">
        <v>257</v>
      </c>
      <c r="B267" s="157" t="s">
        <v>214</v>
      </c>
      <c r="C267" s="160" t="s">
        <v>392</v>
      </c>
    </row>
    <row r="268" spans="1:3" x14ac:dyDescent="0.35">
      <c r="A268" s="161">
        <v>258</v>
      </c>
      <c r="B268" s="157" t="s">
        <v>215</v>
      </c>
      <c r="C268" s="160" t="s">
        <v>392</v>
      </c>
    </row>
    <row r="269" spans="1:3" x14ac:dyDescent="0.35">
      <c r="A269" s="161">
        <v>259</v>
      </c>
      <c r="B269" s="157" t="s">
        <v>216</v>
      </c>
      <c r="C269" s="160" t="s">
        <v>392</v>
      </c>
    </row>
    <row r="270" spans="1:3" x14ac:dyDescent="0.35">
      <c r="A270" s="161">
        <v>260</v>
      </c>
      <c r="B270" s="157" t="s">
        <v>215</v>
      </c>
      <c r="C270" s="160" t="s">
        <v>393</v>
      </c>
    </row>
    <row r="271" spans="1:3" x14ac:dyDescent="0.35">
      <c r="A271" s="161">
        <v>261</v>
      </c>
      <c r="B271" s="157" t="s">
        <v>215</v>
      </c>
      <c r="C271" s="160" t="s">
        <v>392</v>
      </c>
    </row>
    <row r="272" spans="1:3" x14ac:dyDescent="0.35">
      <c r="A272" s="161">
        <v>262</v>
      </c>
      <c r="B272" s="157" t="s">
        <v>215</v>
      </c>
      <c r="C272" s="160" t="s">
        <v>392</v>
      </c>
    </row>
    <row r="273" spans="1:3" x14ac:dyDescent="0.35">
      <c r="A273" s="161">
        <v>263</v>
      </c>
      <c r="B273" s="157" t="s">
        <v>215</v>
      </c>
      <c r="C273" s="160" t="s">
        <v>392</v>
      </c>
    </row>
    <row r="274" spans="1:3" x14ac:dyDescent="0.35">
      <c r="A274" s="161">
        <v>264</v>
      </c>
      <c r="B274" s="157" t="s">
        <v>215</v>
      </c>
      <c r="C274" s="160" t="s">
        <v>392</v>
      </c>
    </row>
    <row r="275" spans="1:3" x14ac:dyDescent="0.35">
      <c r="A275" s="161">
        <v>265</v>
      </c>
      <c r="B275" s="157" t="s">
        <v>217</v>
      </c>
      <c r="C275" s="160" t="s">
        <v>393</v>
      </c>
    </row>
    <row r="276" spans="1:3" x14ac:dyDescent="0.35">
      <c r="A276" s="161">
        <v>266</v>
      </c>
      <c r="B276" s="157" t="s">
        <v>217</v>
      </c>
      <c r="C276" s="160" t="s">
        <v>393</v>
      </c>
    </row>
    <row r="277" spans="1:3" x14ac:dyDescent="0.35">
      <c r="A277" s="161">
        <v>267</v>
      </c>
      <c r="B277" s="157" t="s">
        <v>217</v>
      </c>
      <c r="C277" s="160" t="s">
        <v>393</v>
      </c>
    </row>
    <row r="278" spans="1:3" x14ac:dyDescent="0.35">
      <c r="A278" s="161">
        <v>268</v>
      </c>
      <c r="B278" s="157" t="s">
        <v>217</v>
      </c>
      <c r="C278" s="160" t="s">
        <v>393</v>
      </c>
    </row>
    <row r="279" spans="1:3" x14ac:dyDescent="0.35">
      <c r="A279" s="161">
        <v>269</v>
      </c>
      <c r="B279" s="157" t="s">
        <v>217</v>
      </c>
      <c r="C279" s="160" t="s">
        <v>393</v>
      </c>
    </row>
    <row r="280" spans="1:3" x14ac:dyDescent="0.35">
      <c r="A280" s="161">
        <v>270</v>
      </c>
      <c r="B280" s="157" t="s">
        <v>217</v>
      </c>
      <c r="C280" s="160" t="s">
        <v>393</v>
      </c>
    </row>
    <row r="281" spans="1:3" x14ac:dyDescent="0.35">
      <c r="A281" s="161">
        <v>271</v>
      </c>
      <c r="B281" s="157" t="s">
        <v>217</v>
      </c>
      <c r="C281" s="160" t="s">
        <v>393</v>
      </c>
    </row>
    <row r="282" spans="1:3" x14ac:dyDescent="0.35">
      <c r="A282" s="161">
        <v>272</v>
      </c>
      <c r="B282" s="157" t="s">
        <v>217</v>
      </c>
      <c r="C282" s="160" t="s">
        <v>393</v>
      </c>
    </row>
    <row r="283" spans="1:3" x14ac:dyDescent="0.35">
      <c r="A283" s="161">
        <v>273</v>
      </c>
      <c r="B283" s="157" t="s">
        <v>217</v>
      </c>
      <c r="C283" s="160" t="s">
        <v>393</v>
      </c>
    </row>
    <row r="284" spans="1:3" x14ac:dyDescent="0.35">
      <c r="A284" s="161">
        <v>274</v>
      </c>
      <c r="B284" s="157" t="s">
        <v>217</v>
      </c>
      <c r="C284" s="160" t="s">
        <v>393</v>
      </c>
    </row>
    <row r="285" spans="1:3" x14ac:dyDescent="0.35">
      <c r="A285" s="161">
        <v>276</v>
      </c>
      <c r="B285" s="157" t="s">
        <v>217</v>
      </c>
      <c r="C285" s="160" t="s">
        <v>393</v>
      </c>
    </row>
    <row r="286" spans="1:3" x14ac:dyDescent="0.35">
      <c r="A286" s="161">
        <v>277</v>
      </c>
      <c r="B286" s="157" t="s">
        <v>218</v>
      </c>
      <c r="C286" s="160" t="s">
        <v>393</v>
      </c>
    </row>
    <row r="287" spans="1:3" x14ac:dyDescent="0.35">
      <c r="A287" s="161">
        <v>278</v>
      </c>
      <c r="B287" s="157" t="s">
        <v>219</v>
      </c>
      <c r="C287" s="160" t="s">
        <v>393</v>
      </c>
    </row>
    <row r="288" spans="1:3" x14ac:dyDescent="0.35">
      <c r="A288" s="161">
        <v>279</v>
      </c>
      <c r="B288" s="157" t="s">
        <v>220</v>
      </c>
      <c r="C288" s="160" t="s">
        <v>393</v>
      </c>
    </row>
    <row r="289" spans="1:3" x14ac:dyDescent="0.35">
      <c r="A289" s="161">
        <v>280</v>
      </c>
      <c r="B289" s="157" t="s">
        <v>221</v>
      </c>
      <c r="C289" s="160" t="s">
        <v>393</v>
      </c>
    </row>
    <row r="290" spans="1:3" x14ac:dyDescent="0.35">
      <c r="A290" s="161">
        <v>281</v>
      </c>
      <c r="B290" s="157" t="s">
        <v>222</v>
      </c>
      <c r="C290" s="160" t="s">
        <v>392</v>
      </c>
    </row>
    <row r="291" spans="1:3" x14ac:dyDescent="0.35">
      <c r="A291" s="161">
        <v>283</v>
      </c>
      <c r="B291" s="157" t="s">
        <v>223</v>
      </c>
      <c r="C291" s="160" t="s">
        <v>392</v>
      </c>
    </row>
    <row r="292" spans="1:3" x14ac:dyDescent="0.35">
      <c r="A292" s="161">
        <v>284</v>
      </c>
      <c r="B292" s="157" t="s">
        <v>165</v>
      </c>
      <c r="C292" s="160" t="s">
        <v>393</v>
      </c>
    </row>
    <row r="293" spans="1:3" x14ac:dyDescent="0.35">
      <c r="A293" s="161">
        <v>285</v>
      </c>
      <c r="B293" s="157" t="s">
        <v>165</v>
      </c>
      <c r="C293" s="160" t="s">
        <v>393</v>
      </c>
    </row>
    <row r="294" spans="1:3" x14ac:dyDescent="0.35">
      <c r="A294" s="161">
        <v>286</v>
      </c>
      <c r="B294" s="157" t="s">
        <v>224</v>
      </c>
      <c r="C294" s="160" t="s">
        <v>393</v>
      </c>
    </row>
    <row r="295" spans="1:3" x14ac:dyDescent="0.35">
      <c r="A295" s="161">
        <v>287</v>
      </c>
      <c r="B295" s="157" t="s">
        <v>225</v>
      </c>
      <c r="C295" s="160" t="s">
        <v>393</v>
      </c>
    </row>
    <row r="296" spans="1:3" x14ac:dyDescent="0.35">
      <c r="A296" s="161">
        <v>288</v>
      </c>
      <c r="B296" s="157" t="s">
        <v>226</v>
      </c>
      <c r="C296" s="160" t="s">
        <v>393</v>
      </c>
    </row>
    <row r="297" spans="1:3" x14ac:dyDescent="0.35">
      <c r="A297" s="161">
        <v>289</v>
      </c>
      <c r="B297" s="157" t="s">
        <v>226</v>
      </c>
      <c r="C297" s="160" t="s">
        <v>393</v>
      </c>
    </row>
    <row r="298" spans="1:3" x14ac:dyDescent="0.35">
      <c r="A298" s="161">
        <v>290</v>
      </c>
      <c r="B298" s="157" t="s">
        <v>226</v>
      </c>
      <c r="C298" s="160" t="s">
        <v>393</v>
      </c>
    </row>
    <row r="299" spans="1:3" x14ac:dyDescent="0.35">
      <c r="A299" s="161">
        <v>291</v>
      </c>
      <c r="B299" s="157" t="s">
        <v>226</v>
      </c>
      <c r="C299" s="160" t="s">
        <v>393</v>
      </c>
    </row>
    <row r="300" spans="1:3" x14ac:dyDescent="0.35">
      <c r="A300" s="161">
        <v>292</v>
      </c>
      <c r="B300" s="157" t="s">
        <v>226</v>
      </c>
      <c r="C300" s="160" t="s">
        <v>393</v>
      </c>
    </row>
    <row r="301" spans="1:3" x14ac:dyDescent="0.35">
      <c r="A301" s="161">
        <v>297</v>
      </c>
      <c r="B301" s="157" t="s">
        <v>226</v>
      </c>
      <c r="C301" s="160" t="s">
        <v>393</v>
      </c>
    </row>
    <row r="302" spans="1:3" x14ac:dyDescent="0.35">
      <c r="A302" s="161">
        <v>298</v>
      </c>
      <c r="B302" s="157" t="s">
        <v>226</v>
      </c>
      <c r="C302" s="160" t="s">
        <v>393</v>
      </c>
    </row>
    <row r="303" spans="1:3" x14ac:dyDescent="0.35">
      <c r="A303" s="161">
        <v>299</v>
      </c>
      <c r="B303" s="157" t="s">
        <v>226</v>
      </c>
      <c r="C303" s="160" t="s">
        <v>393</v>
      </c>
    </row>
    <row r="304" spans="1:3" x14ac:dyDescent="0.35">
      <c r="A304" s="161">
        <v>300</v>
      </c>
      <c r="B304" s="157" t="s">
        <v>227</v>
      </c>
      <c r="C304" s="160" t="s">
        <v>392</v>
      </c>
    </row>
    <row r="305" spans="1:3" x14ac:dyDescent="0.35">
      <c r="A305" s="161">
        <v>301</v>
      </c>
      <c r="B305" s="157" t="s">
        <v>228</v>
      </c>
      <c r="C305" s="160" t="s">
        <v>392</v>
      </c>
    </row>
    <row r="306" spans="1:3" x14ac:dyDescent="0.35">
      <c r="A306" s="161">
        <v>302</v>
      </c>
      <c r="B306" s="157" t="s">
        <v>229</v>
      </c>
      <c r="C306" s="160" t="s">
        <v>392</v>
      </c>
    </row>
    <row r="307" spans="1:3" x14ac:dyDescent="0.35">
      <c r="A307" s="161">
        <v>303</v>
      </c>
      <c r="B307" s="157" t="s">
        <v>226</v>
      </c>
      <c r="C307" s="160" t="s">
        <v>393</v>
      </c>
    </row>
    <row r="308" spans="1:3" x14ac:dyDescent="0.35">
      <c r="A308" s="161">
        <v>304</v>
      </c>
      <c r="B308" s="157" t="s">
        <v>226</v>
      </c>
      <c r="C308" s="160" t="s">
        <v>393</v>
      </c>
    </row>
    <row r="309" spans="1:3" x14ac:dyDescent="0.35">
      <c r="A309" s="161">
        <v>305</v>
      </c>
      <c r="B309" s="157" t="s">
        <v>230</v>
      </c>
      <c r="C309" s="160" t="s">
        <v>392</v>
      </c>
    </row>
    <row r="310" spans="1:3" x14ac:dyDescent="0.35">
      <c r="A310" s="161">
        <v>306</v>
      </c>
      <c r="B310" s="157" t="s">
        <v>230</v>
      </c>
      <c r="C310" s="160" t="s">
        <v>392</v>
      </c>
    </row>
    <row r="311" spans="1:3" x14ac:dyDescent="0.35">
      <c r="A311" s="161">
        <v>307</v>
      </c>
      <c r="B311" s="157" t="s">
        <v>230</v>
      </c>
      <c r="C311" s="160" t="s">
        <v>392</v>
      </c>
    </row>
    <row r="312" spans="1:3" x14ac:dyDescent="0.35">
      <c r="A312" s="161">
        <v>308</v>
      </c>
      <c r="B312" s="157" t="s">
        <v>230</v>
      </c>
      <c r="C312" s="160" t="s">
        <v>392</v>
      </c>
    </row>
    <row r="313" spans="1:3" x14ac:dyDescent="0.35">
      <c r="A313" s="161">
        <v>309</v>
      </c>
      <c r="B313" s="157" t="s">
        <v>231</v>
      </c>
      <c r="C313" s="160" t="s">
        <v>392</v>
      </c>
    </row>
    <row r="314" spans="1:3" x14ac:dyDescent="0.35">
      <c r="A314" s="161">
        <v>310</v>
      </c>
      <c r="B314" s="157" t="s">
        <v>232</v>
      </c>
      <c r="C314" s="160" t="s">
        <v>392</v>
      </c>
    </row>
    <row r="315" spans="1:3" x14ac:dyDescent="0.35">
      <c r="A315" s="161">
        <v>312</v>
      </c>
      <c r="B315" s="157" t="s">
        <v>233</v>
      </c>
      <c r="C315" s="160" t="s">
        <v>392</v>
      </c>
    </row>
    <row r="316" spans="1:3" x14ac:dyDescent="0.35">
      <c r="A316" s="161">
        <v>313</v>
      </c>
      <c r="B316" s="157" t="s">
        <v>234</v>
      </c>
      <c r="C316" s="160" t="s">
        <v>393</v>
      </c>
    </row>
    <row r="317" spans="1:3" x14ac:dyDescent="0.35">
      <c r="A317" s="161">
        <v>314</v>
      </c>
      <c r="B317" s="157" t="s">
        <v>235</v>
      </c>
      <c r="C317" s="160" t="s">
        <v>393</v>
      </c>
    </row>
    <row r="318" spans="1:3" x14ac:dyDescent="0.35">
      <c r="A318" s="161">
        <v>315</v>
      </c>
      <c r="B318" s="157" t="s">
        <v>236</v>
      </c>
      <c r="C318" s="160" t="s">
        <v>393</v>
      </c>
    </row>
    <row r="319" spans="1:3" x14ac:dyDescent="0.35">
      <c r="A319" s="161">
        <v>316</v>
      </c>
      <c r="B319" s="157" t="s">
        <v>237</v>
      </c>
      <c r="C319" s="160" t="s">
        <v>392</v>
      </c>
    </row>
    <row r="320" spans="1:3" x14ac:dyDescent="0.35">
      <c r="A320" s="161">
        <v>317</v>
      </c>
      <c r="B320" s="157" t="s">
        <v>237</v>
      </c>
      <c r="C320" s="160" t="s">
        <v>392</v>
      </c>
    </row>
    <row r="321" spans="1:3" x14ac:dyDescent="0.35">
      <c r="A321" s="161">
        <v>318</v>
      </c>
      <c r="B321" s="157" t="s">
        <v>237</v>
      </c>
      <c r="C321" s="160" t="s">
        <v>392</v>
      </c>
    </row>
    <row r="322" spans="1:3" x14ac:dyDescent="0.35">
      <c r="A322" s="161">
        <v>319</v>
      </c>
      <c r="B322" s="157" t="s">
        <v>238</v>
      </c>
      <c r="C322" s="160" t="s">
        <v>392</v>
      </c>
    </row>
    <row r="323" spans="1:3" x14ac:dyDescent="0.35">
      <c r="A323" s="161">
        <v>320</v>
      </c>
      <c r="B323" s="157" t="s">
        <v>237</v>
      </c>
      <c r="C323" s="160" t="s">
        <v>392</v>
      </c>
    </row>
    <row r="324" spans="1:3" x14ac:dyDescent="0.35">
      <c r="A324" s="161">
        <v>321</v>
      </c>
      <c r="B324" s="157" t="s">
        <v>237</v>
      </c>
      <c r="C324" s="160" t="s">
        <v>392</v>
      </c>
    </row>
    <row r="325" spans="1:3" x14ac:dyDescent="0.35">
      <c r="A325" s="161">
        <v>322</v>
      </c>
      <c r="B325" s="157" t="s">
        <v>237</v>
      </c>
      <c r="C325" s="160" t="s">
        <v>392</v>
      </c>
    </row>
    <row r="326" spans="1:3" x14ac:dyDescent="0.35">
      <c r="A326" s="161">
        <v>323</v>
      </c>
      <c r="B326" s="157" t="s">
        <v>237</v>
      </c>
      <c r="C326" s="160" t="s">
        <v>392</v>
      </c>
    </row>
    <row r="327" spans="1:3" x14ac:dyDescent="0.35">
      <c r="A327" s="161">
        <v>324</v>
      </c>
      <c r="B327" s="157" t="s">
        <v>239</v>
      </c>
      <c r="C327" s="160" t="s">
        <v>392</v>
      </c>
    </row>
    <row r="328" spans="1:3" x14ac:dyDescent="0.35">
      <c r="A328" s="161">
        <v>325</v>
      </c>
      <c r="B328" s="157" t="s">
        <v>240</v>
      </c>
      <c r="C328" s="160" t="s">
        <v>392</v>
      </c>
    </row>
    <row r="329" spans="1:3" x14ac:dyDescent="0.35">
      <c r="A329" s="161">
        <v>326</v>
      </c>
      <c r="B329" s="157" t="s">
        <v>240</v>
      </c>
      <c r="C329" s="160" t="s">
        <v>392</v>
      </c>
    </row>
    <row r="330" spans="1:3" x14ac:dyDescent="0.35">
      <c r="A330" s="161">
        <v>327</v>
      </c>
      <c r="B330" s="157" t="s">
        <v>240</v>
      </c>
      <c r="C330" s="160" t="s">
        <v>392</v>
      </c>
    </row>
    <row r="331" spans="1:3" x14ac:dyDescent="0.35">
      <c r="A331" s="161">
        <v>328</v>
      </c>
      <c r="B331" s="157" t="s">
        <v>240</v>
      </c>
      <c r="C331" s="160" t="s">
        <v>392</v>
      </c>
    </row>
    <row r="332" spans="1:3" x14ac:dyDescent="0.35">
      <c r="A332" s="161">
        <v>329</v>
      </c>
      <c r="B332" s="157" t="s">
        <v>240</v>
      </c>
      <c r="C332" s="160" t="s">
        <v>392</v>
      </c>
    </row>
    <row r="333" spans="1:3" x14ac:dyDescent="0.35">
      <c r="A333" s="161">
        <v>330</v>
      </c>
      <c r="B333" s="157" t="s">
        <v>240</v>
      </c>
      <c r="C333" s="160" t="s">
        <v>392</v>
      </c>
    </row>
    <row r="334" spans="1:3" x14ac:dyDescent="0.35">
      <c r="A334" s="161">
        <v>331</v>
      </c>
      <c r="B334" s="157" t="s">
        <v>240</v>
      </c>
      <c r="C334" s="160" t="s">
        <v>392</v>
      </c>
    </row>
    <row r="335" spans="1:3" x14ac:dyDescent="0.35">
      <c r="A335" s="161">
        <v>332</v>
      </c>
      <c r="B335" s="157" t="s">
        <v>240</v>
      </c>
      <c r="C335" s="160" t="s">
        <v>393</v>
      </c>
    </row>
    <row r="336" spans="1:3" x14ac:dyDescent="0.35">
      <c r="A336" s="161">
        <v>334</v>
      </c>
      <c r="B336" s="157" t="s">
        <v>241</v>
      </c>
      <c r="C336" s="160" t="s">
        <v>392</v>
      </c>
    </row>
    <row r="337" spans="1:3" x14ac:dyDescent="0.35">
      <c r="A337" s="161">
        <v>335</v>
      </c>
      <c r="B337" s="157" t="s">
        <v>242</v>
      </c>
      <c r="C337" s="160" t="s">
        <v>392</v>
      </c>
    </row>
    <row r="338" spans="1:3" x14ac:dyDescent="0.35">
      <c r="A338" s="161">
        <v>336</v>
      </c>
      <c r="B338" s="157" t="s">
        <v>243</v>
      </c>
      <c r="C338" s="160" t="s">
        <v>393</v>
      </c>
    </row>
    <row r="339" spans="1:3" x14ac:dyDescent="0.35">
      <c r="A339" s="161">
        <v>337</v>
      </c>
      <c r="B339" s="157" t="s">
        <v>243</v>
      </c>
      <c r="C339" s="160" t="s">
        <v>393</v>
      </c>
    </row>
    <row r="340" spans="1:3" x14ac:dyDescent="0.35">
      <c r="A340" s="161">
        <v>338</v>
      </c>
      <c r="B340" s="157" t="s">
        <v>244</v>
      </c>
      <c r="C340" s="160" t="s">
        <v>392</v>
      </c>
    </row>
    <row r="341" spans="1:3" x14ac:dyDescent="0.35">
      <c r="A341" s="161">
        <v>339</v>
      </c>
      <c r="B341" s="157" t="s">
        <v>245</v>
      </c>
      <c r="C341" s="160" t="s">
        <v>393</v>
      </c>
    </row>
    <row r="342" spans="1:3" x14ac:dyDescent="0.35">
      <c r="A342" s="161">
        <v>340</v>
      </c>
      <c r="B342" s="157" t="s">
        <v>245</v>
      </c>
      <c r="C342" s="160" t="s">
        <v>393</v>
      </c>
    </row>
    <row r="343" spans="1:3" x14ac:dyDescent="0.35">
      <c r="A343" s="161">
        <v>341</v>
      </c>
      <c r="B343" s="157" t="s">
        <v>245</v>
      </c>
      <c r="C343" s="160" t="s">
        <v>393</v>
      </c>
    </row>
    <row r="344" spans="1:3" x14ac:dyDescent="0.35">
      <c r="A344" s="161">
        <v>342</v>
      </c>
      <c r="B344" s="157" t="s">
        <v>246</v>
      </c>
      <c r="C344" s="160" t="s">
        <v>392</v>
      </c>
    </row>
    <row r="345" spans="1:3" x14ac:dyDescent="0.35">
      <c r="A345" s="161">
        <v>343</v>
      </c>
      <c r="B345" s="157" t="s">
        <v>247</v>
      </c>
      <c r="C345" s="160" t="s">
        <v>392</v>
      </c>
    </row>
    <row r="346" spans="1:3" x14ac:dyDescent="0.35">
      <c r="A346" s="161">
        <v>344</v>
      </c>
      <c r="B346" s="157" t="s">
        <v>248</v>
      </c>
      <c r="C346" s="160" t="s">
        <v>392</v>
      </c>
    </row>
    <row r="347" spans="1:3" x14ac:dyDescent="0.35">
      <c r="A347" s="161">
        <v>344</v>
      </c>
      <c r="B347" s="157" t="s">
        <v>248</v>
      </c>
      <c r="C347" s="160" t="s">
        <v>393</v>
      </c>
    </row>
    <row r="348" spans="1:3" x14ac:dyDescent="0.35">
      <c r="A348" s="161">
        <v>345</v>
      </c>
      <c r="B348" s="157" t="s">
        <v>249</v>
      </c>
      <c r="C348" s="160" t="s">
        <v>392</v>
      </c>
    </row>
    <row r="349" spans="1:3" x14ac:dyDescent="0.35">
      <c r="A349" s="161">
        <v>346</v>
      </c>
      <c r="B349" s="157" t="s">
        <v>250</v>
      </c>
      <c r="C349" s="160" t="s">
        <v>393</v>
      </c>
    </row>
    <row r="350" spans="1:3" x14ac:dyDescent="0.35">
      <c r="A350" s="161">
        <v>347</v>
      </c>
      <c r="B350" s="157" t="s">
        <v>251</v>
      </c>
      <c r="C350" s="160" t="s">
        <v>393</v>
      </c>
    </row>
    <row r="351" spans="1:3" x14ac:dyDescent="0.35">
      <c r="A351" s="161">
        <v>348</v>
      </c>
      <c r="B351" s="157" t="s">
        <v>251</v>
      </c>
      <c r="C351" s="160" t="s">
        <v>393</v>
      </c>
    </row>
    <row r="352" spans="1:3" x14ac:dyDescent="0.35">
      <c r="A352" s="161">
        <v>349</v>
      </c>
      <c r="B352" s="157" t="s">
        <v>197</v>
      </c>
      <c r="C352" s="160" t="s">
        <v>392</v>
      </c>
    </row>
    <row r="353" spans="1:3" x14ac:dyDescent="0.35">
      <c r="A353" s="161">
        <v>350</v>
      </c>
      <c r="B353" s="157" t="s">
        <v>252</v>
      </c>
      <c r="C353" s="160" t="s">
        <v>393</v>
      </c>
    </row>
    <row r="354" spans="1:3" x14ac:dyDescent="0.35">
      <c r="A354" s="161">
        <v>351</v>
      </c>
      <c r="B354" s="157" t="s">
        <v>253</v>
      </c>
      <c r="C354" s="160" t="s">
        <v>392</v>
      </c>
    </row>
    <row r="355" spans="1:3" x14ac:dyDescent="0.35">
      <c r="A355" s="161">
        <v>352</v>
      </c>
      <c r="B355" s="157" t="s">
        <v>254</v>
      </c>
      <c r="C355" s="160" t="s">
        <v>392</v>
      </c>
    </row>
    <row r="356" spans="1:3" x14ac:dyDescent="0.35">
      <c r="A356" s="161">
        <v>353</v>
      </c>
      <c r="B356" s="157" t="s">
        <v>255</v>
      </c>
      <c r="C356" s="160" t="s">
        <v>392</v>
      </c>
    </row>
    <row r="357" spans="1:3" x14ac:dyDescent="0.35">
      <c r="A357" s="161">
        <v>354</v>
      </c>
      <c r="B357" s="157" t="s">
        <v>172</v>
      </c>
      <c r="C357" s="160" t="s">
        <v>393</v>
      </c>
    </row>
    <row r="358" spans="1:3" x14ac:dyDescent="0.35">
      <c r="A358" s="161">
        <v>355</v>
      </c>
      <c r="B358" s="157" t="s">
        <v>256</v>
      </c>
      <c r="C358" s="160" t="s">
        <v>392</v>
      </c>
    </row>
    <row r="359" spans="1:3" x14ac:dyDescent="0.35">
      <c r="A359" s="161">
        <v>357</v>
      </c>
      <c r="B359" s="157" t="s">
        <v>257</v>
      </c>
      <c r="C359" s="160" t="s">
        <v>393</v>
      </c>
    </row>
    <row r="360" spans="1:3" x14ac:dyDescent="0.35">
      <c r="A360" s="161">
        <v>358</v>
      </c>
      <c r="B360" s="157" t="s">
        <v>257</v>
      </c>
      <c r="C360" s="160" t="s">
        <v>393</v>
      </c>
    </row>
    <row r="361" spans="1:3" x14ac:dyDescent="0.35">
      <c r="A361" s="161">
        <v>359</v>
      </c>
      <c r="B361" s="157" t="s">
        <v>257</v>
      </c>
      <c r="C361" s="160" t="s">
        <v>393</v>
      </c>
    </row>
    <row r="362" spans="1:3" x14ac:dyDescent="0.35">
      <c r="A362" s="161">
        <v>360</v>
      </c>
      <c r="B362" s="157" t="s">
        <v>257</v>
      </c>
      <c r="C362" s="160" t="s">
        <v>393</v>
      </c>
    </row>
    <row r="363" spans="1:3" x14ac:dyDescent="0.35">
      <c r="A363" s="161">
        <v>361</v>
      </c>
      <c r="B363" s="157" t="s">
        <v>257</v>
      </c>
      <c r="C363" s="160" t="s">
        <v>393</v>
      </c>
    </row>
    <row r="364" spans="1:3" x14ac:dyDescent="0.35">
      <c r="A364" s="161">
        <v>362</v>
      </c>
      <c r="B364" s="157" t="s">
        <v>257</v>
      </c>
      <c r="C364" s="160" t="s">
        <v>393</v>
      </c>
    </row>
    <row r="365" spans="1:3" x14ac:dyDescent="0.35">
      <c r="A365" s="161">
        <v>363</v>
      </c>
      <c r="B365" s="157" t="s">
        <v>257</v>
      </c>
      <c r="C365" s="160" t="s">
        <v>393</v>
      </c>
    </row>
    <row r="366" spans="1:3" x14ac:dyDescent="0.35">
      <c r="A366" s="161">
        <v>364</v>
      </c>
      <c r="B366" s="157" t="s">
        <v>257</v>
      </c>
      <c r="C366" s="160" t="s">
        <v>393</v>
      </c>
    </row>
    <row r="367" spans="1:3" x14ac:dyDescent="0.35">
      <c r="A367" s="161">
        <v>365</v>
      </c>
      <c r="B367" s="157" t="s">
        <v>257</v>
      </c>
      <c r="C367" s="160" t="s">
        <v>393</v>
      </c>
    </row>
    <row r="368" spans="1:3" x14ac:dyDescent="0.35">
      <c r="A368" s="161">
        <v>366</v>
      </c>
      <c r="B368" s="157" t="s">
        <v>257</v>
      </c>
      <c r="C368" s="160" t="s">
        <v>393</v>
      </c>
    </row>
    <row r="369" spans="1:3" x14ac:dyDescent="0.35">
      <c r="A369" s="161">
        <v>367</v>
      </c>
      <c r="B369" s="157" t="s">
        <v>257</v>
      </c>
      <c r="C369" s="160" t="s">
        <v>393</v>
      </c>
    </row>
    <row r="370" spans="1:3" x14ac:dyDescent="0.35">
      <c r="A370" s="161">
        <v>368</v>
      </c>
      <c r="B370" s="157" t="s">
        <v>257</v>
      </c>
      <c r="C370" s="160" t="s">
        <v>393</v>
      </c>
    </row>
    <row r="371" spans="1:3" x14ac:dyDescent="0.35">
      <c r="A371" s="161">
        <v>369</v>
      </c>
      <c r="B371" s="157" t="s">
        <v>257</v>
      </c>
      <c r="C371" s="160" t="s">
        <v>393</v>
      </c>
    </row>
    <row r="372" spans="1:3" x14ac:dyDescent="0.35">
      <c r="A372" s="161">
        <v>370</v>
      </c>
      <c r="B372" s="157" t="s">
        <v>257</v>
      </c>
      <c r="C372" s="160" t="s">
        <v>393</v>
      </c>
    </row>
    <row r="373" spans="1:3" x14ac:dyDescent="0.35">
      <c r="A373" s="161">
        <v>371</v>
      </c>
      <c r="B373" s="157" t="s">
        <v>257</v>
      </c>
      <c r="C373" s="160" t="s">
        <v>393</v>
      </c>
    </row>
    <row r="374" spans="1:3" x14ac:dyDescent="0.35">
      <c r="A374" s="161">
        <v>372</v>
      </c>
      <c r="B374" s="157" t="s">
        <v>237</v>
      </c>
      <c r="C374" s="160" t="s">
        <v>392</v>
      </c>
    </row>
    <row r="375" spans="1:3" x14ac:dyDescent="0.35">
      <c r="A375" s="161">
        <v>373</v>
      </c>
      <c r="B375" s="157" t="s">
        <v>185</v>
      </c>
      <c r="C375" s="160" t="s">
        <v>392</v>
      </c>
    </row>
    <row r="376" spans="1:3" x14ac:dyDescent="0.35">
      <c r="A376" s="161">
        <v>374</v>
      </c>
      <c r="B376" s="157" t="s">
        <v>185</v>
      </c>
      <c r="C376" s="160" t="s">
        <v>392</v>
      </c>
    </row>
    <row r="377" spans="1:3" x14ac:dyDescent="0.35">
      <c r="A377" s="161">
        <v>375</v>
      </c>
      <c r="B377" s="157" t="s">
        <v>185</v>
      </c>
      <c r="C377" s="160" t="s">
        <v>392</v>
      </c>
    </row>
    <row r="378" spans="1:3" x14ac:dyDescent="0.35">
      <c r="A378" s="161">
        <v>376</v>
      </c>
      <c r="B378" s="157" t="s">
        <v>185</v>
      </c>
      <c r="C378" s="160" t="s">
        <v>392</v>
      </c>
    </row>
    <row r="379" spans="1:3" x14ac:dyDescent="0.35">
      <c r="A379" s="161">
        <v>377</v>
      </c>
      <c r="B379" s="157" t="s">
        <v>185</v>
      </c>
      <c r="C379" s="160" t="s">
        <v>392</v>
      </c>
    </row>
    <row r="380" spans="1:3" x14ac:dyDescent="0.35">
      <c r="A380" s="161">
        <v>378</v>
      </c>
      <c r="B380" s="157" t="s">
        <v>185</v>
      </c>
      <c r="C380" s="160" t="s">
        <v>392</v>
      </c>
    </row>
    <row r="381" spans="1:3" x14ac:dyDescent="0.35">
      <c r="A381" s="161">
        <v>380</v>
      </c>
      <c r="B381" s="157" t="s">
        <v>185</v>
      </c>
      <c r="C381" s="160" t="s">
        <v>392</v>
      </c>
    </row>
    <row r="382" spans="1:3" x14ac:dyDescent="0.35">
      <c r="A382" s="161">
        <v>381</v>
      </c>
      <c r="B382" s="157" t="s">
        <v>185</v>
      </c>
      <c r="C382" s="160" t="s">
        <v>392</v>
      </c>
    </row>
    <row r="383" spans="1:3" x14ac:dyDescent="0.35">
      <c r="A383" s="161">
        <v>382</v>
      </c>
      <c r="B383" s="157" t="s">
        <v>185</v>
      </c>
      <c r="C383" s="160" t="s">
        <v>392</v>
      </c>
    </row>
    <row r="384" spans="1:3" x14ac:dyDescent="0.35">
      <c r="A384" s="161">
        <v>384</v>
      </c>
      <c r="B384" s="157" t="s">
        <v>197</v>
      </c>
      <c r="C384" s="160" t="s">
        <v>392</v>
      </c>
    </row>
    <row r="385" spans="1:3" x14ac:dyDescent="0.35">
      <c r="A385" s="161">
        <v>385</v>
      </c>
      <c r="B385" s="157" t="s">
        <v>185</v>
      </c>
      <c r="C385" s="160" t="s">
        <v>393</v>
      </c>
    </row>
    <row r="386" spans="1:3" x14ac:dyDescent="0.35">
      <c r="A386" s="161">
        <v>386</v>
      </c>
      <c r="B386" s="157" t="s">
        <v>165</v>
      </c>
      <c r="C386" s="160" t="s">
        <v>393</v>
      </c>
    </row>
    <row r="387" spans="1:3" x14ac:dyDescent="0.35">
      <c r="A387" s="161">
        <v>387</v>
      </c>
      <c r="B387" s="157" t="s">
        <v>190</v>
      </c>
      <c r="C387" s="160" t="s">
        <v>393</v>
      </c>
    </row>
    <row r="388" spans="1:3" x14ac:dyDescent="0.35">
      <c r="A388" s="161">
        <v>388</v>
      </c>
      <c r="B388" s="157" t="s">
        <v>185</v>
      </c>
      <c r="C388" s="160" t="s">
        <v>393</v>
      </c>
    </row>
    <row r="389" spans="1:3" x14ac:dyDescent="0.35">
      <c r="A389" s="161">
        <v>389</v>
      </c>
      <c r="B389" s="157" t="s">
        <v>176</v>
      </c>
      <c r="C389" s="160" t="s">
        <v>393</v>
      </c>
    </row>
    <row r="390" spans="1:3" x14ac:dyDescent="0.35">
      <c r="A390" s="161">
        <v>390</v>
      </c>
      <c r="B390" s="157" t="s">
        <v>185</v>
      </c>
      <c r="C390" s="160" t="s">
        <v>392</v>
      </c>
    </row>
    <row r="391" spans="1:3" x14ac:dyDescent="0.35">
      <c r="A391" s="161">
        <v>391</v>
      </c>
      <c r="B391" s="157" t="s">
        <v>258</v>
      </c>
      <c r="C391" s="160" t="s">
        <v>393</v>
      </c>
    </row>
    <row r="392" spans="1:3" x14ac:dyDescent="0.35">
      <c r="A392" s="161">
        <v>392</v>
      </c>
      <c r="B392" s="157" t="s">
        <v>259</v>
      </c>
      <c r="C392" s="160" t="s">
        <v>392</v>
      </c>
    </row>
    <row r="393" spans="1:3" x14ac:dyDescent="0.35">
      <c r="A393" s="161">
        <v>393</v>
      </c>
      <c r="B393" s="157" t="s">
        <v>260</v>
      </c>
      <c r="C393" s="160" t="s">
        <v>392</v>
      </c>
    </row>
    <row r="394" spans="1:3" x14ac:dyDescent="0.35">
      <c r="A394" s="161">
        <v>394</v>
      </c>
      <c r="B394" s="157" t="s">
        <v>216</v>
      </c>
      <c r="C394" s="160" t="s">
        <v>392</v>
      </c>
    </row>
    <row r="395" spans="1:3" x14ac:dyDescent="0.35">
      <c r="A395" s="161">
        <v>395</v>
      </c>
      <c r="B395" s="157" t="s">
        <v>261</v>
      </c>
      <c r="C395" s="160" t="s">
        <v>392</v>
      </c>
    </row>
    <row r="396" spans="1:3" x14ac:dyDescent="0.35">
      <c r="A396" s="161">
        <v>396</v>
      </c>
      <c r="B396" s="157" t="s">
        <v>195</v>
      </c>
      <c r="C396" s="160" t="s">
        <v>392</v>
      </c>
    </row>
    <row r="397" spans="1:3" x14ac:dyDescent="0.35">
      <c r="A397" s="161">
        <v>397</v>
      </c>
      <c r="B397" s="157" t="s">
        <v>262</v>
      </c>
      <c r="C397" s="160" t="s">
        <v>392</v>
      </c>
    </row>
    <row r="398" spans="1:3" x14ac:dyDescent="0.35">
      <c r="A398" s="161">
        <v>398</v>
      </c>
      <c r="B398" s="157" t="s">
        <v>263</v>
      </c>
      <c r="C398" s="160" t="s">
        <v>392</v>
      </c>
    </row>
    <row r="399" spans="1:3" x14ac:dyDescent="0.35">
      <c r="A399" s="161">
        <v>399</v>
      </c>
      <c r="B399" s="157" t="s">
        <v>264</v>
      </c>
      <c r="C399" s="160" t="s">
        <v>393</v>
      </c>
    </row>
    <row r="400" spans="1:3" x14ac:dyDescent="0.35">
      <c r="A400" s="161">
        <v>400</v>
      </c>
      <c r="B400" s="157" t="s">
        <v>215</v>
      </c>
      <c r="C400" s="160" t="s">
        <v>392</v>
      </c>
    </row>
    <row r="401" spans="1:3" x14ac:dyDescent="0.35">
      <c r="A401" s="161">
        <v>401</v>
      </c>
      <c r="B401" s="157" t="s">
        <v>265</v>
      </c>
      <c r="C401" s="160" t="s">
        <v>393</v>
      </c>
    </row>
    <row r="402" spans="1:3" x14ac:dyDescent="0.35">
      <c r="A402" s="161">
        <v>403</v>
      </c>
      <c r="B402" s="157" t="s">
        <v>171</v>
      </c>
      <c r="C402" s="160" t="s">
        <v>392</v>
      </c>
    </row>
    <row r="403" spans="1:3" x14ac:dyDescent="0.35">
      <c r="A403" s="161">
        <v>404</v>
      </c>
      <c r="B403" s="157" t="s">
        <v>266</v>
      </c>
      <c r="C403" s="160" t="s">
        <v>392</v>
      </c>
    </row>
    <row r="404" spans="1:3" x14ac:dyDescent="0.35">
      <c r="A404" s="161">
        <v>405</v>
      </c>
      <c r="B404" s="157" t="s">
        <v>267</v>
      </c>
      <c r="C404" s="160" t="s">
        <v>393</v>
      </c>
    </row>
    <row r="405" spans="1:3" x14ac:dyDescent="0.35">
      <c r="A405" s="161">
        <v>406</v>
      </c>
      <c r="B405" s="157" t="s">
        <v>268</v>
      </c>
      <c r="C405" s="160" t="s">
        <v>393</v>
      </c>
    </row>
    <row r="406" spans="1:3" x14ac:dyDescent="0.35">
      <c r="A406" s="161">
        <v>407</v>
      </c>
      <c r="B406" s="157" t="s">
        <v>269</v>
      </c>
      <c r="C406" s="160" t="s">
        <v>393</v>
      </c>
    </row>
    <row r="407" spans="1:3" x14ac:dyDescent="0.35">
      <c r="A407" s="161">
        <v>408</v>
      </c>
      <c r="B407" s="157" t="s">
        <v>270</v>
      </c>
      <c r="C407" s="160" t="s">
        <v>393</v>
      </c>
    </row>
    <row r="408" spans="1:3" x14ac:dyDescent="0.35">
      <c r="A408" s="161">
        <v>409</v>
      </c>
      <c r="B408" s="157" t="s">
        <v>271</v>
      </c>
      <c r="C408" s="160" t="s">
        <v>393</v>
      </c>
    </row>
    <row r="409" spans="1:3" x14ac:dyDescent="0.35">
      <c r="A409" s="161">
        <v>410</v>
      </c>
      <c r="B409" s="157" t="s">
        <v>272</v>
      </c>
      <c r="C409" s="160" t="s">
        <v>393</v>
      </c>
    </row>
    <row r="410" spans="1:3" x14ac:dyDescent="0.35">
      <c r="A410" s="161">
        <v>411</v>
      </c>
      <c r="B410" s="157" t="s">
        <v>273</v>
      </c>
      <c r="C410" s="160" t="s">
        <v>393</v>
      </c>
    </row>
    <row r="411" spans="1:3" x14ac:dyDescent="0.35">
      <c r="A411" s="161">
        <v>412</v>
      </c>
      <c r="B411" s="157" t="s">
        <v>274</v>
      </c>
      <c r="C411" s="160" t="s">
        <v>393</v>
      </c>
    </row>
    <row r="412" spans="1:3" x14ac:dyDescent="0.35">
      <c r="A412" s="161">
        <v>413</v>
      </c>
      <c r="B412" s="157" t="s">
        <v>275</v>
      </c>
      <c r="C412" s="160" t="s">
        <v>393</v>
      </c>
    </row>
    <row r="413" spans="1:3" x14ac:dyDescent="0.35">
      <c r="A413" s="161">
        <v>414</v>
      </c>
      <c r="B413" s="157" t="s">
        <v>276</v>
      </c>
      <c r="C413" s="160" t="s">
        <v>393</v>
      </c>
    </row>
    <row r="414" spans="1:3" x14ac:dyDescent="0.35">
      <c r="A414" s="161">
        <v>415</v>
      </c>
      <c r="B414" s="157" t="s">
        <v>277</v>
      </c>
      <c r="C414" s="160" t="s">
        <v>393</v>
      </c>
    </row>
    <row r="415" spans="1:3" x14ac:dyDescent="0.35">
      <c r="A415" s="161">
        <v>416</v>
      </c>
      <c r="B415" s="157" t="s">
        <v>278</v>
      </c>
      <c r="C415" s="160" t="s">
        <v>393</v>
      </c>
    </row>
    <row r="416" spans="1:3" x14ac:dyDescent="0.35">
      <c r="A416" s="161">
        <v>417</v>
      </c>
      <c r="B416" s="157" t="s">
        <v>279</v>
      </c>
      <c r="C416" s="160" t="s">
        <v>393</v>
      </c>
    </row>
    <row r="417" spans="1:3" x14ac:dyDescent="0.35">
      <c r="A417" s="161">
        <v>418</v>
      </c>
      <c r="B417" s="157" t="s">
        <v>280</v>
      </c>
      <c r="C417" s="160" t="s">
        <v>393</v>
      </c>
    </row>
    <row r="418" spans="1:3" x14ac:dyDescent="0.35">
      <c r="A418" s="161">
        <v>419</v>
      </c>
      <c r="B418" s="157" t="s">
        <v>281</v>
      </c>
      <c r="C418" s="160" t="s">
        <v>393</v>
      </c>
    </row>
    <row r="419" spans="1:3" x14ac:dyDescent="0.35">
      <c r="A419" s="161">
        <v>420</v>
      </c>
      <c r="B419" s="157" t="s">
        <v>282</v>
      </c>
      <c r="C419" s="160" t="s">
        <v>393</v>
      </c>
    </row>
    <row r="420" spans="1:3" x14ac:dyDescent="0.35">
      <c r="A420" s="161">
        <v>421</v>
      </c>
      <c r="B420" s="157" t="s">
        <v>283</v>
      </c>
      <c r="C420" s="160" t="s">
        <v>393</v>
      </c>
    </row>
    <row r="421" spans="1:3" x14ac:dyDescent="0.35">
      <c r="A421" s="161">
        <v>422</v>
      </c>
      <c r="B421" s="157" t="s">
        <v>284</v>
      </c>
      <c r="C421" s="160" t="s">
        <v>393</v>
      </c>
    </row>
    <row r="422" spans="1:3" x14ac:dyDescent="0.35">
      <c r="A422" s="161">
        <v>423</v>
      </c>
      <c r="B422" s="157" t="s">
        <v>285</v>
      </c>
      <c r="C422" s="160" t="s">
        <v>393</v>
      </c>
    </row>
    <row r="423" spans="1:3" x14ac:dyDescent="0.35">
      <c r="A423" s="161">
        <v>424</v>
      </c>
      <c r="B423" s="157" t="s">
        <v>286</v>
      </c>
      <c r="C423" s="160" t="s">
        <v>393</v>
      </c>
    </row>
    <row r="424" spans="1:3" x14ac:dyDescent="0.35">
      <c r="A424" s="161">
        <v>425</v>
      </c>
      <c r="B424" s="157" t="s">
        <v>287</v>
      </c>
      <c r="C424" s="160" t="s">
        <v>392</v>
      </c>
    </row>
    <row r="425" spans="1:3" x14ac:dyDescent="0.35">
      <c r="A425" s="161">
        <v>426</v>
      </c>
      <c r="B425" s="157" t="s">
        <v>197</v>
      </c>
      <c r="C425" s="160" t="s">
        <v>392</v>
      </c>
    </row>
    <row r="426" spans="1:3" x14ac:dyDescent="0.35">
      <c r="A426" s="161">
        <v>427</v>
      </c>
      <c r="B426" s="157" t="s">
        <v>288</v>
      </c>
      <c r="C426" s="160" t="s">
        <v>392</v>
      </c>
    </row>
    <row r="427" spans="1:3" x14ac:dyDescent="0.35">
      <c r="A427" s="161">
        <v>428</v>
      </c>
      <c r="B427" s="157" t="s">
        <v>289</v>
      </c>
      <c r="C427" s="160" t="s">
        <v>388</v>
      </c>
    </row>
    <row r="428" spans="1:3" x14ac:dyDescent="0.35">
      <c r="A428" s="161">
        <v>429</v>
      </c>
      <c r="B428" s="157" t="s">
        <v>290</v>
      </c>
      <c r="C428" s="160" t="s">
        <v>388</v>
      </c>
    </row>
    <row r="429" spans="1:3" x14ac:dyDescent="0.35">
      <c r="A429" s="161">
        <v>430</v>
      </c>
      <c r="B429" s="157" t="s">
        <v>291</v>
      </c>
      <c r="C429" s="160" t="s">
        <v>388</v>
      </c>
    </row>
    <row r="430" spans="1:3" x14ac:dyDescent="0.35">
      <c r="A430" s="161">
        <v>431</v>
      </c>
      <c r="B430" s="157" t="s">
        <v>292</v>
      </c>
      <c r="C430" s="160" t="s">
        <v>388</v>
      </c>
    </row>
    <row r="431" spans="1:3" x14ac:dyDescent="0.35">
      <c r="A431" s="161">
        <v>432</v>
      </c>
      <c r="B431" s="157" t="s">
        <v>197</v>
      </c>
      <c r="C431" s="160" t="s">
        <v>392</v>
      </c>
    </row>
    <row r="432" spans="1:3" x14ac:dyDescent="0.35">
      <c r="A432" s="161">
        <v>434</v>
      </c>
      <c r="B432" s="157" t="s">
        <v>293</v>
      </c>
      <c r="C432" s="160" t="s">
        <v>393</v>
      </c>
    </row>
    <row r="433" spans="1:3" x14ac:dyDescent="0.35">
      <c r="A433" s="161">
        <v>435</v>
      </c>
      <c r="B433" s="157" t="s">
        <v>294</v>
      </c>
      <c r="C433" s="160" t="s">
        <v>392</v>
      </c>
    </row>
    <row r="434" spans="1:3" x14ac:dyDescent="0.35">
      <c r="A434" s="161">
        <v>436</v>
      </c>
      <c r="B434" s="157" t="s">
        <v>295</v>
      </c>
      <c r="C434" s="160" t="s">
        <v>392</v>
      </c>
    </row>
    <row r="435" spans="1:3" x14ac:dyDescent="0.35">
      <c r="A435" s="161">
        <v>437</v>
      </c>
      <c r="B435" s="157" t="s">
        <v>296</v>
      </c>
      <c r="C435" s="160" t="s">
        <v>392</v>
      </c>
    </row>
    <row r="436" spans="1:3" x14ac:dyDescent="0.35">
      <c r="A436" s="161">
        <v>439</v>
      </c>
      <c r="B436" s="157" t="s">
        <v>297</v>
      </c>
      <c r="C436" s="160" t="s">
        <v>392</v>
      </c>
    </row>
    <row r="437" spans="1:3" x14ac:dyDescent="0.35">
      <c r="A437" s="161">
        <v>440</v>
      </c>
      <c r="B437" s="157" t="s">
        <v>298</v>
      </c>
      <c r="C437" s="160" t="s">
        <v>392</v>
      </c>
    </row>
    <row r="438" spans="1:3" x14ac:dyDescent="0.35">
      <c r="A438" s="161">
        <v>441</v>
      </c>
      <c r="B438" s="157" t="s">
        <v>201</v>
      </c>
      <c r="C438" s="160" t="s">
        <v>392</v>
      </c>
    </row>
    <row r="439" spans="1:3" x14ac:dyDescent="0.35">
      <c r="A439" s="161">
        <v>442</v>
      </c>
      <c r="B439" s="157" t="s">
        <v>197</v>
      </c>
      <c r="C439" s="160" t="s">
        <v>393</v>
      </c>
    </row>
    <row r="440" spans="1:3" x14ac:dyDescent="0.35">
      <c r="A440" s="161">
        <v>443</v>
      </c>
      <c r="B440" s="157" t="s">
        <v>237</v>
      </c>
      <c r="C440" s="160" t="s">
        <v>392</v>
      </c>
    </row>
    <row r="441" spans="1:3" x14ac:dyDescent="0.35">
      <c r="A441" s="161">
        <v>444</v>
      </c>
      <c r="B441" s="157" t="s">
        <v>240</v>
      </c>
      <c r="C441" s="160" t="s">
        <v>392</v>
      </c>
    </row>
    <row r="442" spans="1:3" x14ac:dyDescent="0.35">
      <c r="A442" s="161">
        <v>444</v>
      </c>
      <c r="B442" s="157" t="s">
        <v>240</v>
      </c>
      <c r="C442" s="160" t="s">
        <v>393</v>
      </c>
    </row>
    <row r="443" spans="1:3" x14ac:dyDescent="0.35">
      <c r="A443" s="161">
        <v>445</v>
      </c>
      <c r="B443" s="157" t="s">
        <v>299</v>
      </c>
      <c r="C443" s="160" t="s">
        <v>392</v>
      </c>
    </row>
    <row r="444" spans="1:3" x14ac:dyDescent="0.35">
      <c r="A444" s="161">
        <v>446</v>
      </c>
      <c r="B444" s="157" t="s">
        <v>299</v>
      </c>
      <c r="C444" s="160" t="s">
        <v>392</v>
      </c>
    </row>
    <row r="445" spans="1:3" x14ac:dyDescent="0.35">
      <c r="A445" s="161">
        <v>447</v>
      </c>
      <c r="B445" s="157" t="s">
        <v>211</v>
      </c>
      <c r="C445" s="160" t="s">
        <v>392</v>
      </c>
    </row>
    <row r="446" spans="1:3" x14ac:dyDescent="0.35">
      <c r="A446" s="161">
        <v>448</v>
      </c>
      <c r="B446" s="157" t="s">
        <v>211</v>
      </c>
      <c r="C446" s="160" t="s">
        <v>392</v>
      </c>
    </row>
    <row r="447" spans="1:3" x14ac:dyDescent="0.35">
      <c r="A447" s="161">
        <v>449</v>
      </c>
      <c r="B447" s="157" t="s">
        <v>211</v>
      </c>
      <c r="C447" s="160" t="s">
        <v>392</v>
      </c>
    </row>
    <row r="448" spans="1:3" x14ac:dyDescent="0.35">
      <c r="A448" s="161">
        <v>450</v>
      </c>
      <c r="B448" s="157" t="s">
        <v>211</v>
      </c>
      <c r="C448" s="160" t="s">
        <v>392</v>
      </c>
    </row>
    <row r="449" spans="1:3" x14ac:dyDescent="0.35">
      <c r="A449" s="161">
        <v>451</v>
      </c>
      <c r="B449" s="157" t="s">
        <v>211</v>
      </c>
      <c r="C449" s="160" t="s">
        <v>392</v>
      </c>
    </row>
    <row r="450" spans="1:3" x14ac:dyDescent="0.35">
      <c r="A450" s="161">
        <v>452</v>
      </c>
      <c r="B450" s="157" t="s">
        <v>211</v>
      </c>
      <c r="C450" s="160" t="s">
        <v>392</v>
      </c>
    </row>
    <row r="451" spans="1:3" x14ac:dyDescent="0.35">
      <c r="A451" s="161">
        <v>453</v>
      </c>
      <c r="B451" s="157" t="s">
        <v>211</v>
      </c>
      <c r="C451" s="160" t="s">
        <v>392</v>
      </c>
    </row>
    <row r="452" spans="1:3" x14ac:dyDescent="0.35">
      <c r="A452" s="161">
        <v>454</v>
      </c>
      <c r="B452" s="157" t="s">
        <v>211</v>
      </c>
      <c r="C452" s="160" t="s">
        <v>392</v>
      </c>
    </row>
    <row r="453" spans="1:3" x14ac:dyDescent="0.35">
      <c r="A453" s="161">
        <v>455</v>
      </c>
      <c r="B453" s="157" t="s">
        <v>211</v>
      </c>
      <c r="C453" s="160" t="s">
        <v>392</v>
      </c>
    </row>
    <row r="454" spans="1:3" x14ac:dyDescent="0.35">
      <c r="A454" s="161">
        <v>456</v>
      </c>
      <c r="B454" s="157" t="s">
        <v>211</v>
      </c>
      <c r="C454" s="160" t="s">
        <v>392</v>
      </c>
    </row>
    <row r="455" spans="1:3" x14ac:dyDescent="0.35">
      <c r="A455" s="161">
        <v>459</v>
      </c>
      <c r="B455" s="157" t="s">
        <v>211</v>
      </c>
      <c r="C455" s="160" t="s">
        <v>392</v>
      </c>
    </row>
    <row r="456" spans="1:3" x14ac:dyDescent="0.35">
      <c r="A456" s="161">
        <v>460</v>
      </c>
      <c r="B456" s="157" t="s">
        <v>300</v>
      </c>
      <c r="C456" s="160" t="s">
        <v>393</v>
      </c>
    </row>
    <row r="457" spans="1:3" x14ac:dyDescent="0.35">
      <c r="A457" s="161">
        <v>461</v>
      </c>
      <c r="B457" s="157" t="s">
        <v>300</v>
      </c>
      <c r="C457" s="160" t="s">
        <v>393</v>
      </c>
    </row>
    <row r="458" spans="1:3" x14ac:dyDescent="0.35">
      <c r="A458" s="161">
        <v>462</v>
      </c>
      <c r="B458" s="157" t="s">
        <v>301</v>
      </c>
      <c r="C458" s="160" t="s">
        <v>393</v>
      </c>
    </row>
    <row r="459" spans="1:3" x14ac:dyDescent="0.35">
      <c r="A459" s="161">
        <v>463</v>
      </c>
      <c r="B459" s="157" t="s">
        <v>302</v>
      </c>
      <c r="C459" s="160" t="s">
        <v>393</v>
      </c>
    </row>
    <row r="460" spans="1:3" x14ac:dyDescent="0.35">
      <c r="A460" s="161">
        <v>464</v>
      </c>
      <c r="B460" s="157" t="s">
        <v>303</v>
      </c>
      <c r="C460" s="160" t="s">
        <v>392</v>
      </c>
    </row>
    <row r="461" spans="1:3" x14ac:dyDescent="0.35">
      <c r="A461" s="161">
        <v>465</v>
      </c>
      <c r="B461" s="157" t="s">
        <v>304</v>
      </c>
      <c r="C461" s="160" t="s">
        <v>392</v>
      </c>
    </row>
    <row r="462" spans="1:3" x14ac:dyDescent="0.35">
      <c r="A462" s="161">
        <v>466</v>
      </c>
      <c r="B462" s="157" t="s">
        <v>305</v>
      </c>
      <c r="C462" s="160" t="s">
        <v>392</v>
      </c>
    </row>
    <row r="463" spans="1:3" x14ac:dyDescent="0.35">
      <c r="A463" s="161">
        <v>467</v>
      </c>
      <c r="B463" s="157" t="s">
        <v>305</v>
      </c>
      <c r="C463" s="160" t="s">
        <v>392</v>
      </c>
    </row>
    <row r="464" spans="1:3" x14ac:dyDescent="0.35">
      <c r="A464" s="161">
        <v>468</v>
      </c>
      <c r="B464" s="157" t="s">
        <v>305</v>
      </c>
      <c r="C464" s="160" t="s">
        <v>392</v>
      </c>
    </row>
    <row r="465" spans="1:3" x14ac:dyDescent="0.35">
      <c r="A465" s="161">
        <v>469</v>
      </c>
      <c r="B465" s="157" t="s">
        <v>305</v>
      </c>
      <c r="C465" s="160" t="s">
        <v>392</v>
      </c>
    </row>
    <row r="466" spans="1:3" x14ac:dyDescent="0.35">
      <c r="A466" s="161">
        <v>470</v>
      </c>
      <c r="B466" s="157" t="s">
        <v>305</v>
      </c>
      <c r="C466" s="160" t="s">
        <v>392</v>
      </c>
    </row>
    <row r="467" spans="1:3" x14ac:dyDescent="0.35">
      <c r="A467" s="161">
        <v>473</v>
      </c>
      <c r="B467" s="157" t="s">
        <v>306</v>
      </c>
      <c r="C467" s="160" t="s">
        <v>392</v>
      </c>
    </row>
    <row r="468" spans="1:3" x14ac:dyDescent="0.35">
      <c r="A468" s="161">
        <v>474</v>
      </c>
      <c r="B468" s="157" t="s">
        <v>307</v>
      </c>
      <c r="C468" s="160" t="s">
        <v>393</v>
      </c>
    </row>
    <row r="469" spans="1:3" x14ac:dyDescent="0.35">
      <c r="A469" s="161">
        <v>475</v>
      </c>
      <c r="B469" s="157" t="s">
        <v>308</v>
      </c>
      <c r="C469" s="160" t="s">
        <v>392</v>
      </c>
    </row>
    <row r="470" spans="1:3" x14ac:dyDescent="0.35">
      <c r="A470" s="161">
        <v>476</v>
      </c>
      <c r="B470" s="157" t="s">
        <v>309</v>
      </c>
      <c r="C470" s="160" t="s">
        <v>393</v>
      </c>
    </row>
    <row r="471" spans="1:3" x14ac:dyDescent="0.35">
      <c r="A471" s="161">
        <v>477</v>
      </c>
      <c r="B471" s="157" t="s">
        <v>309</v>
      </c>
      <c r="C471" s="160" t="s">
        <v>393</v>
      </c>
    </row>
    <row r="472" spans="1:3" x14ac:dyDescent="0.35">
      <c r="A472" s="161">
        <v>478</v>
      </c>
      <c r="B472" s="157" t="s">
        <v>240</v>
      </c>
      <c r="C472" s="160" t="s">
        <v>392</v>
      </c>
    </row>
    <row r="473" spans="1:3" x14ac:dyDescent="0.35">
      <c r="A473" s="161">
        <v>479</v>
      </c>
      <c r="B473" s="157" t="s">
        <v>297</v>
      </c>
      <c r="C473" s="160" t="s">
        <v>392</v>
      </c>
    </row>
    <row r="474" spans="1:3" x14ac:dyDescent="0.35">
      <c r="A474" s="161">
        <v>480</v>
      </c>
      <c r="B474" s="157" t="s">
        <v>297</v>
      </c>
      <c r="C474" s="160" t="s">
        <v>392</v>
      </c>
    </row>
    <row r="475" spans="1:3" x14ac:dyDescent="0.35">
      <c r="A475" s="161">
        <v>481</v>
      </c>
      <c r="B475" s="157" t="s">
        <v>297</v>
      </c>
      <c r="C475" s="160" t="s">
        <v>392</v>
      </c>
    </row>
    <row r="476" spans="1:3" x14ac:dyDescent="0.35">
      <c r="A476" s="161">
        <v>482</v>
      </c>
      <c r="B476" s="157" t="s">
        <v>310</v>
      </c>
      <c r="C476" s="160" t="s">
        <v>389</v>
      </c>
    </row>
    <row r="477" spans="1:3" x14ac:dyDescent="0.35">
      <c r="A477" s="161">
        <v>483</v>
      </c>
      <c r="B477" s="157" t="s">
        <v>311</v>
      </c>
      <c r="C477" s="160" t="s">
        <v>389</v>
      </c>
    </row>
    <row r="478" spans="1:3" x14ac:dyDescent="0.35">
      <c r="A478" s="161">
        <v>484</v>
      </c>
      <c r="B478" s="157" t="s">
        <v>312</v>
      </c>
      <c r="C478" s="160" t="s">
        <v>389</v>
      </c>
    </row>
    <row r="479" spans="1:3" x14ac:dyDescent="0.35">
      <c r="A479" s="161">
        <v>485</v>
      </c>
      <c r="B479" s="157" t="s">
        <v>313</v>
      </c>
      <c r="C479" s="160" t="s">
        <v>389</v>
      </c>
    </row>
    <row r="480" spans="1:3" x14ac:dyDescent="0.35">
      <c r="A480" s="161">
        <v>486</v>
      </c>
      <c r="B480" s="157" t="s">
        <v>314</v>
      </c>
      <c r="C480" s="160" t="s">
        <v>389</v>
      </c>
    </row>
    <row r="481" spans="1:3" x14ac:dyDescent="0.35">
      <c r="A481" s="161">
        <v>487</v>
      </c>
      <c r="B481" s="157" t="s">
        <v>315</v>
      </c>
      <c r="C481" s="160" t="s">
        <v>389</v>
      </c>
    </row>
    <row r="482" spans="1:3" x14ac:dyDescent="0.35">
      <c r="A482" s="161">
        <v>488</v>
      </c>
      <c r="B482" s="157" t="s">
        <v>316</v>
      </c>
      <c r="C482" s="160" t="s">
        <v>389</v>
      </c>
    </row>
    <row r="483" spans="1:3" x14ac:dyDescent="0.35">
      <c r="A483" s="161">
        <v>489</v>
      </c>
      <c r="B483" s="157" t="s">
        <v>317</v>
      </c>
      <c r="C483" s="160" t="s">
        <v>389</v>
      </c>
    </row>
    <row r="484" spans="1:3" x14ac:dyDescent="0.35">
      <c r="A484" s="161">
        <v>490</v>
      </c>
      <c r="B484" s="157" t="s">
        <v>318</v>
      </c>
      <c r="C484" s="160" t="s">
        <v>389</v>
      </c>
    </row>
    <row r="485" spans="1:3" x14ac:dyDescent="0.35">
      <c r="A485" s="161">
        <v>491</v>
      </c>
      <c r="B485" s="157" t="s">
        <v>319</v>
      </c>
      <c r="C485" s="160" t="s">
        <v>389</v>
      </c>
    </row>
    <row r="486" spans="1:3" x14ac:dyDescent="0.35">
      <c r="A486" s="161">
        <v>492</v>
      </c>
      <c r="B486" s="157" t="s">
        <v>320</v>
      </c>
      <c r="C486" s="160" t="s">
        <v>389</v>
      </c>
    </row>
    <row r="487" spans="1:3" x14ac:dyDescent="0.35">
      <c r="A487" s="161">
        <v>493</v>
      </c>
      <c r="B487" s="157" t="s">
        <v>321</v>
      </c>
      <c r="C487" s="160" t="s">
        <v>389</v>
      </c>
    </row>
    <row r="488" spans="1:3" x14ac:dyDescent="0.35">
      <c r="A488" s="161">
        <v>494</v>
      </c>
      <c r="B488" s="157" t="s">
        <v>322</v>
      </c>
      <c r="C488" s="160" t="s">
        <v>389</v>
      </c>
    </row>
    <row r="489" spans="1:3" x14ac:dyDescent="0.35">
      <c r="A489" s="161">
        <v>495</v>
      </c>
      <c r="B489" s="157" t="s">
        <v>323</v>
      </c>
      <c r="C489" s="160" t="s">
        <v>389</v>
      </c>
    </row>
    <row r="490" spans="1:3" x14ac:dyDescent="0.35">
      <c r="A490" s="161">
        <v>496</v>
      </c>
      <c r="B490" s="157" t="s">
        <v>324</v>
      </c>
      <c r="C490" s="160" t="s">
        <v>389</v>
      </c>
    </row>
    <row r="491" spans="1:3" x14ac:dyDescent="0.35">
      <c r="A491" s="161">
        <v>497</v>
      </c>
      <c r="B491" s="157" t="s">
        <v>325</v>
      </c>
      <c r="C491" s="160" t="s">
        <v>389</v>
      </c>
    </row>
    <row r="492" spans="1:3" x14ac:dyDescent="0.35">
      <c r="A492" s="161">
        <v>498</v>
      </c>
      <c r="B492" s="157" t="s">
        <v>326</v>
      </c>
      <c r="C492" s="160" t="s">
        <v>389</v>
      </c>
    </row>
    <row r="493" spans="1:3" x14ac:dyDescent="0.35">
      <c r="A493" s="161">
        <v>701</v>
      </c>
      <c r="B493" s="157" t="s">
        <v>327</v>
      </c>
      <c r="C493" s="160" t="s">
        <v>393</v>
      </c>
    </row>
    <row r="494" spans="1:3" x14ac:dyDescent="0.35">
      <c r="A494" s="161">
        <v>702</v>
      </c>
      <c r="B494" s="157" t="s">
        <v>327</v>
      </c>
      <c r="C494" s="160" t="s">
        <v>393</v>
      </c>
    </row>
    <row r="495" spans="1:3" x14ac:dyDescent="0.35">
      <c r="A495" s="161">
        <v>703</v>
      </c>
      <c r="B495" s="157" t="s">
        <v>263</v>
      </c>
      <c r="C495" s="160" t="s">
        <v>393</v>
      </c>
    </row>
    <row r="496" spans="1:3" x14ac:dyDescent="0.35">
      <c r="A496" s="161">
        <v>704</v>
      </c>
      <c r="B496" s="157" t="s">
        <v>263</v>
      </c>
      <c r="C496" s="160" t="s">
        <v>393</v>
      </c>
    </row>
    <row r="497" spans="1:3" x14ac:dyDescent="0.35">
      <c r="A497" s="161">
        <v>705</v>
      </c>
      <c r="B497" s="157" t="s">
        <v>263</v>
      </c>
      <c r="C497" s="160" t="s">
        <v>393</v>
      </c>
    </row>
    <row r="498" spans="1:3" x14ac:dyDescent="0.35">
      <c r="A498" s="161">
        <v>706</v>
      </c>
      <c r="B498" s="157" t="s">
        <v>263</v>
      </c>
      <c r="C498" s="160" t="s">
        <v>393</v>
      </c>
    </row>
    <row r="499" spans="1:3" x14ac:dyDescent="0.35">
      <c r="A499" s="161">
        <v>707</v>
      </c>
      <c r="B499" s="157" t="s">
        <v>263</v>
      </c>
      <c r="C499" s="160" t="s">
        <v>393</v>
      </c>
    </row>
    <row r="500" spans="1:3" x14ac:dyDescent="0.35">
      <c r="A500" s="161">
        <v>708</v>
      </c>
      <c r="B500" s="157" t="s">
        <v>263</v>
      </c>
      <c r="C500" s="160" t="s">
        <v>393</v>
      </c>
    </row>
    <row r="501" spans="1:3" x14ac:dyDescent="0.35">
      <c r="A501" s="161">
        <v>709</v>
      </c>
      <c r="B501" s="157" t="s">
        <v>263</v>
      </c>
      <c r="C501" s="160" t="s">
        <v>393</v>
      </c>
    </row>
    <row r="502" spans="1:3" x14ac:dyDescent="0.35">
      <c r="A502" s="161">
        <v>710</v>
      </c>
      <c r="B502" s="157" t="s">
        <v>263</v>
      </c>
      <c r="C502" s="160" t="s">
        <v>393</v>
      </c>
    </row>
    <row r="503" spans="1:3" x14ac:dyDescent="0.35">
      <c r="A503" s="161">
        <v>711</v>
      </c>
      <c r="B503" s="157" t="s">
        <v>263</v>
      </c>
      <c r="C503" s="160" t="s">
        <v>393</v>
      </c>
    </row>
    <row r="504" spans="1:3" x14ac:dyDescent="0.35">
      <c r="A504" s="161">
        <v>712</v>
      </c>
      <c r="B504" s="157" t="s">
        <v>328</v>
      </c>
      <c r="C504" s="160" t="s">
        <v>393</v>
      </c>
    </row>
    <row r="505" spans="1:3" x14ac:dyDescent="0.35">
      <c r="A505" s="161">
        <v>713</v>
      </c>
      <c r="B505" s="157" t="s">
        <v>328</v>
      </c>
      <c r="C505" s="160" t="s">
        <v>393</v>
      </c>
    </row>
    <row r="506" spans="1:3" x14ac:dyDescent="0.35">
      <c r="A506" s="161">
        <v>714</v>
      </c>
      <c r="B506" s="157" t="s">
        <v>328</v>
      </c>
      <c r="C506" s="160" t="s">
        <v>393</v>
      </c>
    </row>
    <row r="507" spans="1:3" x14ac:dyDescent="0.35">
      <c r="A507" s="161">
        <v>715</v>
      </c>
      <c r="B507" s="157" t="s">
        <v>328</v>
      </c>
      <c r="C507" s="160" t="s">
        <v>393</v>
      </c>
    </row>
    <row r="508" spans="1:3" x14ac:dyDescent="0.35">
      <c r="A508" s="161">
        <v>716</v>
      </c>
      <c r="B508" s="157" t="s">
        <v>329</v>
      </c>
      <c r="C508" s="160" t="s">
        <v>393</v>
      </c>
    </row>
    <row r="509" spans="1:3" x14ac:dyDescent="0.35">
      <c r="A509" s="161">
        <v>717</v>
      </c>
      <c r="B509" s="157" t="s">
        <v>329</v>
      </c>
      <c r="C509" s="160" t="s">
        <v>393</v>
      </c>
    </row>
    <row r="510" spans="1:3" x14ac:dyDescent="0.35">
      <c r="A510" s="161">
        <v>718</v>
      </c>
      <c r="B510" s="157" t="s">
        <v>330</v>
      </c>
      <c r="C510" s="160" t="s">
        <v>393</v>
      </c>
    </row>
    <row r="511" spans="1:3" x14ac:dyDescent="0.35">
      <c r="A511" s="161">
        <v>719</v>
      </c>
      <c r="B511" s="157" t="s">
        <v>330</v>
      </c>
      <c r="C511" s="160" t="s">
        <v>393</v>
      </c>
    </row>
    <row r="512" spans="1:3" x14ac:dyDescent="0.35">
      <c r="A512" s="161">
        <v>720</v>
      </c>
      <c r="B512" s="157" t="s">
        <v>198</v>
      </c>
      <c r="C512" s="160" t="s">
        <v>392</v>
      </c>
    </row>
    <row r="513" spans="1:3" x14ac:dyDescent="0.35">
      <c r="A513" s="161">
        <v>721</v>
      </c>
      <c r="B513" s="157" t="s">
        <v>331</v>
      </c>
      <c r="C513" s="160" t="s">
        <v>392</v>
      </c>
    </row>
    <row r="514" spans="1:3" x14ac:dyDescent="0.35">
      <c r="A514" s="161">
        <v>722</v>
      </c>
      <c r="B514" s="157" t="s">
        <v>331</v>
      </c>
      <c r="C514" s="160" t="s">
        <v>392</v>
      </c>
    </row>
    <row r="515" spans="1:3" x14ac:dyDescent="0.35">
      <c r="A515" s="161">
        <v>723</v>
      </c>
      <c r="B515" s="157" t="s">
        <v>331</v>
      </c>
      <c r="C515" s="160" t="s">
        <v>392</v>
      </c>
    </row>
    <row r="516" spans="1:3" x14ac:dyDescent="0.35">
      <c r="A516" s="161">
        <v>724</v>
      </c>
      <c r="B516" s="157" t="s">
        <v>331</v>
      </c>
      <c r="C516" s="160" t="s">
        <v>392</v>
      </c>
    </row>
    <row r="517" spans="1:3" x14ac:dyDescent="0.35">
      <c r="A517" s="161">
        <v>725</v>
      </c>
      <c r="B517" s="157" t="s">
        <v>331</v>
      </c>
      <c r="C517" s="160" t="s">
        <v>392</v>
      </c>
    </row>
    <row r="518" spans="1:3" x14ac:dyDescent="0.35">
      <c r="A518" s="161">
        <v>726</v>
      </c>
      <c r="B518" s="157" t="s">
        <v>331</v>
      </c>
      <c r="C518" s="160" t="s">
        <v>392</v>
      </c>
    </row>
    <row r="519" spans="1:3" x14ac:dyDescent="0.35">
      <c r="A519" s="161">
        <v>727</v>
      </c>
      <c r="B519" s="157" t="s">
        <v>331</v>
      </c>
      <c r="C519" s="160" t="s">
        <v>392</v>
      </c>
    </row>
    <row r="520" spans="1:3" x14ac:dyDescent="0.35">
      <c r="A520" s="161">
        <v>728</v>
      </c>
      <c r="B520" s="157" t="s">
        <v>332</v>
      </c>
      <c r="C520" s="160" t="s">
        <v>392</v>
      </c>
    </row>
    <row r="521" spans="1:3" x14ac:dyDescent="0.35">
      <c r="A521" s="161">
        <v>729</v>
      </c>
      <c r="B521" s="157" t="s">
        <v>331</v>
      </c>
      <c r="C521" s="160" t="s">
        <v>392</v>
      </c>
    </row>
    <row r="522" spans="1:3" x14ac:dyDescent="0.35">
      <c r="A522" s="161">
        <v>730</v>
      </c>
      <c r="B522" s="157" t="s">
        <v>332</v>
      </c>
      <c r="C522" s="160" t="s">
        <v>392</v>
      </c>
    </row>
    <row r="523" spans="1:3" x14ac:dyDescent="0.35">
      <c r="A523" s="161">
        <v>731</v>
      </c>
      <c r="B523" s="157" t="s">
        <v>331</v>
      </c>
      <c r="C523" s="160" t="s">
        <v>392</v>
      </c>
    </row>
    <row r="524" spans="1:3" x14ac:dyDescent="0.35">
      <c r="A524" s="161">
        <v>732</v>
      </c>
      <c r="B524" s="157" t="s">
        <v>332</v>
      </c>
      <c r="C524" s="160" t="s">
        <v>392</v>
      </c>
    </row>
    <row r="525" spans="1:3" x14ac:dyDescent="0.35">
      <c r="A525" s="161">
        <v>733</v>
      </c>
      <c r="B525" s="157" t="s">
        <v>331</v>
      </c>
      <c r="C525" s="160" t="s">
        <v>392</v>
      </c>
    </row>
    <row r="526" spans="1:3" x14ac:dyDescent="0.35">
      <c r="A526" s="161">
        <v>734</v>
      </c>
      <c r="B526" s="157" t="s">
        <v>332</v>
      </c>
      <c r="C526" s="160" t="s">
        <v>392</v>
      </c>
    </row>
    <row r="527" spans="1:3" x14ac:dyDescent="0.35">
      <c r="A527" s="161">
        <v>735</v>
      </c>
      <c r="B527" s="157" t="s">
        <v>331</v>
      </c>
      <c r="C527" s="160" t="s">
        <v>392</v>
      </c>
    </row>
    <row r="528" spans="1:3" x14ac:dyDescent="0.35">
      <c r="A528" s="161">
        <v>736</v>
      </c>
      <c r="B528" s="157" t="s">
        <v>332</v>
      </c>
      <c r="C528" s="160" t="s">
        <v>392</v>
      </c>
    </row>
    <row r="529" spans="1:3" x14ac:dyDescent="0.35">
      <c r="A529" s="161">
        <v>737</v>
      </c>
      <c r="B529" s="157" t="s">
        <v>331</v>
      </c>
      <c r="C529" s="160" t="s">
        <v>392</v>
      </c>
    </row>
    <row r="530" spans="1:3" x14ac:dyDescent="0.35">
      <c r="A530" s="161">
        <v>738</v>
      </c>
      <c r="B530" s="157" t="s">
        <v>332</v>
      </c>
      <c r="C530" s="160" t="s">
        <v>392</v>
      </c>
    </row>
    <row r="531" spans="1:3" x14ac:dyDescent="0.35">
      <c r="A531" s="161">
        <v>739</v>
      </c>
      <c r="B531" s="157" t="s">
        <v>331</v>
      </c>
      <c r="C531" s="160" t="s">
        <v>392</v>
      </c>
    </row>
    <row r="532" spans="1:3" x14ac:dyDescent="0.35">
      <c r="A532" s="161">
        <v>740</v>
      </c>
      <c r="B532" s="157" t="s">
        <v>332</v>
      </c>
      <c r="C532" s="160" t="s">
        <v>392</v>
      </c>
    </row>
    <row r="533" spans="1:3" x14ac:dyDescent="0.35">
      <c r="A533" s="161">
        <v>741</v>
      </c>
      <c r="B533" s="157" t="s">
        <v>331</v>
      </c>
      <c r="C533" s="160" t="s">
        <v>392</v>
      </c>
    </row>
    <row r="534" spans="1:3" x14ac:dyDescent="0.35">
      <c r="A534" s="161">
        <v>742</v>
      </c>
      <c r="B534" s="157" t="s">
        <v>332</v>
      </c>
      <c r="C534" s="160" t="s">
        <v>392</v>
      </c>
    </row>
    <row r="535" spans="1:3" x14ac:dyDescent="0.35">
      <c r="A535" s="161">
        <v>743</v>
      </c>
      <c r="B535" s="157" t="s">
        <v>331</v>
      </c>
      <c r="C535" s="160" t="s">
        <v>392</v>
      </c>
    </row>
    <row r="536" spans="1:3" x14ac:dyDescent="0.35">
      <c r="A536" s="161">
        <v>744</v>
      </c>
      <c r="B536" s="157" t="s">
        <v>332</v>
      </c>
      <c r="C536" s="160" t="s">
        <v>392</v>
      </c>
    </row>
    <row r="537" spans="1:3" x14ac:dyDescent="0.35">
      <c r="A537" s="161">
        <v>745</v>
      </c>
      <c r="B537" s="157" t="s">
        <v>331</v>
      </c>
      <c r="C537" s="160" t="s">
        <v>392</v>
      </c>
    </row>
    <row r="538" spans="1:3" x14ac:dyDescent="0.35">
      <c r="A538" s="161">
        <v>746</v>
      </c>
      <c r="B538" s="157" t="s">
        <v>332</v>
      </c>
      <c r="C538" s="160" t="s">
        <v>392</v>
      </c>
    </row>
    <row r="539" spans="1:3" x14ac:dyDescent="0.35">
      <c r="A539" s="161">
        <v>747</v>
      </c>
      <c r="B539" s="157" t="s">
        <v>331</v>
      </c>
      <c r="C539" s="160" t="s">
        <v>392</v>
      </c>
    </row>
    <row r="540" spans="1:3" x14ac:dyDescent="0.35">
      <c r="A540" s="161">
        <v>748</v>
      </c>
      <c r="B540" s="157" t="s">
        <v>331</v>
      </c>
      <c r="C540" s="160" t="s">
        <v>392</v>
      </c>
    </row>
    <row r="541" spans="1:3" x14ac:dyDescent="0.35">
      <c r="A541" s="161">
        <v>749</v>
      </c>
      <c r="B541" s="157" t="s">
        <v>332</v>
      </c>
      <c r="C541" s="160" t="s">
        <v>392</v>
      </c>
    </row>
    <row r="542" spans="1:3" x14ac:dyDescent="0.35">
      <c r="A542" s="161">
        <v>752</v>
      </c>
      <c r="B542" s="157" t="s">
        <v>331</v>
      </c>
      <c r="C542" s="160" t="s">
        <v>392</v>
      </c>
    </row>
    <row r="543" spans="1:3" x14ac:dyDescent="0.35">
      <c r="A543" s="161">
        <v>753</v>
      </c>
      <c r="B543" s="157" t="s">
        <v>333</v>
      </c>
      <c r="C543" s="160" t="s">
        <v>392</v>
      </c>
    </row>
    <row r="544" spans="1:3" x14ac:dyDescent="0.35">
      <c r="A544" s="161">
        <v>754</v>
      </c>
      <c r="B544" s="157" t="s">
        <v>331</v>
      </c>
      <c r="C544" s="160" t="s">
        <v>392</v>
      </c>
    </row>
    <row r="545" spans="1:3" x14ac:dyDescent="0.35">
      <c r="A545" s="161">
        <v>755</v>
      </c>
      <c r="B545" s="157" t="s">
        <v>333</v>
      </c>
      <c r="C545" s="160" t="s">
        <v>392</v>
      </c>
    </row>
    <row r="546" spans="1:3" x14ac:dyDescent="0.35">
      <c r="A546" s="161">
        <v>756</v>
      </c>
      <c r="B546" s="157" t="s">
        <v>331</v>
      </c>
      <c r="C546" s="160" t="s">
        <v>392</v>
      </c>
    </row>
    <row r="547" spans="1:3" x14ac:dyDescent="0.35">
      <c r="A547" s="161">
        <v>757</v>
      </c>
      <c r="B547" s="157" t="s">
        <v>333</v>
      </c>
      <c r="C547" s="160" t="s">
        <v>392</v>
      </c>
    </row>
    <row r="548" spans="1:3" x14ac:dyDescent="0.35">
      <c r="A548" s="161">
        <v>758</v>
      </c>
      <c r="B548" s="157" t="s">
        <v>331</v>
      </c>
      <c r="C548" s="160" t="s">
        <v>392</v>
      </c>
    </row>
    <row r="549" spans="1:3" x14ac:dyDescent="0.35">
      <c r="A549" s="161">
        <v>759</v>
      </c>
      <c r="B549" s="157" t="s">
        <v>333</v>
      </c>
      <c r="C549" s="160" t="s">
        <v>392</v>
      </c>
    </row>
    <row r="550" spans="1:3" x14ac:dyDescent="0.35">
      <c r="A550" s="161">
        <v>760</v>
      </c>
      <c r="B550" s="157" t="s">
        <v>331</v>
      </c>
      <c r="C550" s="160" t="s">
        <v>392</v>
      </c>
    </row>
    <row r="551" spans="1:3" x14ac:dyDescent="0.35">
      <c r="A551" s="161">
        <v>761</v>
      </c>
      <c r="B551" s="157" t="s">
        <v>333</v>
      </c>
      <c r="C551" s="160" t="s">
        <v>392</v>
      </c>
    </row>
    <row r="552" spans="1:3" x14ac:dyDescent="0.35">
      <c r="A552" s="161">
        <v>762</v>
      </c>
      <c r="B552" s="157" t="s">
        <v>331</v>
      </c>
      <c r="C552" s="160" t="s">
        <v>392</v>
      </c>
    </row>
    <row r="553" spans="1:3" x14ac:dyDescent="0.35">
      <c r="A553" s="161">
        <v>763</v>
      </c>
      <c r="B553" s="157" t="s">
        <v>333</v>
      </c>
      <c r="C553" s="160" t="s">
        <v>392</v>
      </c>
    </row>
    <row r="554" spans="1:3" x14ac:dyDescent="0.35">
      <c r="A554" s="161">
        <v>764</v>
      </c>
      <c r="B554" s="157" t="s">
        <v>331</v>
      </c>
      <c r="C554" s="160" t="s">
        <v>392</v>
      </c>
    </row>
    <row r="555" spans="1:3" x14ac:dyDescent="0.35">
      <c r="A555" s="161">
        <v>765</v>
      </c>
      <c r="B555" s="157" t="s">
        <v>333</v>
      </c>
      <c r="C555" s="160" t="s">
        <v>392</v>
      </c>
    </row>
    <row r="556" spans="1:3" x14ac:dyDescent="0.35">
      <c r="A556" s="161">
        <v>766</v>
      </c>
      <c r="B556" s="157" t="s">
        <v>331</v>
      </c>
      <c r="C556" s="160" t="s">
        <v>392</v>
      </c>
    </row>
    <row r="557" spans="1:3" x14ac:dyDescent="0.35">
      <c r="A557" s="161">
        <v>767</v>
      </c>
      <c r="B557" s="157" t="s">
        <v>333</v>
      </c>
      <c r="C557" s="160" t="s">
        <v>392</v>
      </c>
    </row>
    <row r="558" spans="1:3" x14ac:dyDescent="0.35">
      <c r="A558" s="161">
        <v>768</v>
      </c>
      <c r="B558" s="157" t="s">
        <v>331</v>
      </c>
      <c r="C558" s="160" t="s">
        <v>392</v>
      </c>
    </row>
    <row r="559" spans="1:3" x14ac:dyDescent="0.35">
      <c r="A559" s="161">
        <v>769</v>
      </c>
      <c r="B559" s="157" t="s">
        <v>333</v>
      </c>
      <c r="C559" s="160" t="s">
        <v>392</v>
      </c>
    </row>
    <row r="560" spans="1:3" x14ac:dyDescent="0.35">
      <c r="A560" s="161">
        <v>770</v>
      </c>
      <c r="B560" s="157" t="s">
        <v>334</v>
      </c>
      <c r="C560" s="160" t="s">
        <v>392</v>
      </c>
    </row>
    <row r="561" spans="1:3" x14ac:dyDescent="0.35">
      <c r="A561" s="161">
        <v>775</v>
      </c>
      <c r="B561" s="157" t="s">
        <v>335</v>
      </c>
      <c r="C561" s="160" t="s">
        <v>392</v>
      </c>
    </row>
    <row r="562" spans="1:3" x14ac:dyDescent="0.35">
      <c r="A562" s="161">
        <v>776</v>
      </c>
      <c r="B562" s="157" t="s">
        <v>335</v>
      </c>
      <c r="C562" s="160" t="s">
        <v>392</v>
      </c>
    </row>
    <row r="563" spans="1:3" x14ac:dyDescent="0.35">
      <c r="A563" s="161">
        <v>781</v>
      </c>
      <c r="B563" s="157" t="s">
        <v>331</v>
      </c>
      <c r="C563" s="160" t="s">
        <v>393</v>
      </c>
    </row>
    <row r="564" spans="1:3" x14ac:dyDescent="0.35">
      <c r="A564" s="161">
        <v>782</v>
      </c>
      <c r="B564" s="157" t="s">
        <v>331</v>
      </c>
      <c r="C564" s="160" t="s">
        <v>392</v>
      </c>
    </row>
    <row r="565" spans="1:3" x14ac:dyDescent="0.35">
      <c r="A565" s="161">
        <v>783</v>
      </c>
      <c r="B565" s="157" t="s">
        <v>331</v>
      </c>
      <c r="C565" s="160" t="s">
        <v>392</v>
      </c>
    </row>
    <row r="566" spans="1:3" x14ac:dyDescent="0.35">
      <c r="A566" s="161">
        <v>784</v>
      </c>
      <c r="B566" s="157" t="s">
        <v>331</v>
      </c>
      <c r="C566" s="160" t="s">
        <v>392</v>
      </c>
    </row>
    <row r="567" spans="1:3" x14ac:dyDescent="0.35">
      <c r="A567" s="161">
        <v>785</v>
      </c>
      <c r="B567" s="157" t="s">
        <v>331</v>
      </c>
      <c r="C567" s="160" t="s">
        <v>392</v>
      </c>
    </row>
    <row r="568" spans="1:3" x14ac:dyDescent="0.35">
      <c r="A568" s="161">
        <v>786</v>
      </c>
      <c r="B568" s="157" t="s">
        <v>331</v>
      </c>
      <c r="C568" s="160" t="s">
        <v>392</v>
      </c>
    </row>
    <row r="569" spans="1:3" x14ac:dyDescent="0.35">
      <c r="A569" s="161">
        <v>787</v>
      </c>
      <c r="B569" s="157" t="s">
        <v>336</v>
      </c>
      <c r="C569" s="160" t="s">
        <v>392</v>
      </c>
    </row>
    <row r="570" spans="1:3" x14ac:dyDescent="0.35">
      <c r="A570" s="161">
        <v>788</v>
      </c>
      <c r="B570" s="157" t="s">
        <v>337</v>
      </c>
      <c r="C570" s="160" t="s">
        <v>392</v>
      </c>
    </row>
    <row r="571" spans="1:3" x14ac:dyDescent="0.35">
      <c r="A571" s="161">
        <v>789</v>
      </c>
      <c r="B571" s="157" t="s">
        <v>338</v>
      </c>
      <c r="C571" s="160" t="s">
        <v>392</v>
      </c>
    </row>
    <row r="572" spans="1:3" x14ac:dyDescent="0.35">
      <c r="A572" s="161">
        <v>790</v>
      </c>
      <c r="B572" s="157" t="s">
        <v>339</v>
      </c>
      <c r="C572" s="160" t="s">
        <v>392</v>
      </c>
    </row>
    <row r="573" spans="1:3" x14ac:dyDescent="0.35">
      <c r="A573" s="161">
        <v>791</v>
      </c>
      <c r="B573" s="157" t="s">
        <v>340</v>
      </c>
      <c r="C573" s="160" t="s">
        <v>392</v>
      </c>
    </row>
    <row r="574" spans="1:3" x14ac:dyDescent="0.35">
      <c r="A574" s="161">
        <v>792</v>
      </c>
      <c r="B574" s="157" t="s">
        <v>341</v>
      </c>
      <c r="C574" s="160" t="s">
        <v>392</v>
      </c>
    </row>
    <row r="575" spans="1:3" x14ac:dyDescent="0.35">
      <c r="A575" s="161">
        <v>793</v>
      </c>
      <c r="B575" s="157" t="s">
        <v>331</v>
      </c>
      <c r="C575" s="160" t="s">
        <v>392</v>
      </c>
    </row>
    <row r="576" spans="1:3" x14ac:dyDescent="0.35">
      <c r="A576" s="161">
        <v>794</v>
      </c>
      <c r="B576" s="157" t="s">
        <v>332</v>
      </c>
      <c r="C576" s="160" t="s">
        <v>392</v>
      </c>
    </row>
    <row r="577" spans="1:3" x14ac:dyDescent="0.35">
      <c r="A577" s="161">
        <v>801</v>
      </c>
      <c r="B577" s="157" t="s">
        <v>260</v>
      </c>
      <c r="C577" s="160" t="s">
        <v>392</v>
      </c>
    </row>
    <row r="578" spans="1:3" x14ac:dyDescent="0.35">
      <c r="A578" s="161">
        <v>802</v>
      </c>
      <c r="B578" s="157" t="s">
        <v>342</v>
      </c>
      <c r="C578" s="160" t="s">
        <v>392</v>
      </c>
    </row>
    <row r="579" spans="1:3" x14ac:dyDescent="0.35">
      <c r="A579" s="161">
        <v>803</v>
      </c>
      <c r="B579" s="157" t="s">
        <v>343</v>
      </c>
      <c r="C579" s="160" t="s">
        <v>393</v>
      </c>
    </row>
    <row r="580" spans="1:3" x14ac:dyDescent="0.35">
      <c r="A580" s="161">
        <v>804</v>
      </c>
      <c r="B580" s="157" t="s">
        <v>342</v>
      </c>
      <c r="C580" s="160" t="s">
        <v>392</v>
      </c>
    </row>
    <row r="581" spans="1:3" x14ac:dyDescent="0.35">
      <c r="A581" s="161">
        <v>805</v>
      </c>
      <c r="B581" s="157" t="s">
        <v>343</v>
      </c>
      <c r="C581" s="160" t="s">
        <v>393</v>
      </c>
    </row>
    <row r="582" spans="1:3" x14ac:dyDescent="0.35">
      <c r="A582" s="161">
        <v>806</v>
      </c>
      <c r="B582" s="157" t="s">
        <v>342</v>
      </c>
      <c r="C582" s="160" t="s">
        <v>392</v>
      </c>
    </row>
    <row r="583" spans="1:3" x14ac:dyDescent="0.35">
      <c r="A583" s="161">
        <v>807</v>
      </c>
      <c r="B583" s="157" t="s">
        <v>343</v>
      </c>
      <c r="C583" s="160" t="s">
        <v>393</v>
      </c>
    </row>
    <row r="584" spans="1:3" x14ac:dyDescent="0.35">
      <c r="A584" s="161">
        <v>808</v>
      </c>
      <c r="B584" s="157" t="s">
        <v>342</v>
      </c>
      <c r="C584" s="160" t="s">
        <v>392</v>
      </c>
    </row>
    <row r="585" spans="1:3" x14ac:dyDescent="0.35">
      <c r="A585" s="161">
        <v>809</v>
      </c>
      <c r="B585" s="157" t="s">
        <v>343</v>
      </c>
      <c r="C585" s="160" t="s">
        <v>393</v>
      </c>
    </row>
    <row r="586" spans="1:3" x14ac:dyDescent="0.35">
      <c r="A586" s="161">
        <v>810</v>
      </c>
      <c r="B586" s="157" t="s">
        <v>342</v>
      </c>
      <c r="C586" s="160" t="s">
        <v>392</v>
      </c>
    </row>
    <row r="587" spans="1:3" x14ac:dyDescent="0.35">
      <c r="A587" s="161">
        <v>811</v>
      </c>
      <c r="B587" s="157" t="s">
        <v>343</v>
      </c>
      <c r="C587" s="160" t="s">
        <v>393</v>
      </c>
    </row>
    <row r="588" spans="1:3" x14ac:dyDescent="0.35">
      <c r="A588" s="161">
        <v>812</v>
      </c>
      <c r="B588" s="157" t="s">
        <v>342</v>
      </c>
      <c r="C588" s="160" t="s">
        <v>392</v>
      </c>
    </row>
    <row r="589" spans="1:3" x14ac:dyDescent="0.35">
      <c r="A589" s="161">
        <v>813</v>
      </c>
      <c r="B589" s="157" t="s">
        <v>343</v>
      </c>
      <c r="C589" s="160" t="s">
        <v>393</v>
      </c>
    </row>
    <row r="590" spans="1:3" x14ac:dyDescent="0.35">
      <c r="A590" s="161">
        <v>814</v>
      </c>
      <c r="B590" s="157" t="s">
        <v>342</v>
      </c>
      <c r="C590" s="160" t="s">
        <v>392</v>
      </c>
    </row>
    <row r="591" spans="1:3" x14ac:dyDescent="0.35">
      <c r="A591" s="161">
        <v>815</v>
      </c>
      <c r="B591" s="157" t="s">
        <v>343</v>
      </c>
      <c r="C591" s="160" t="s">
        <v>393</v>
      </c>
    </row>
    <row r="592" spans="1:3" x14ac:dyDescent="0.35">
      <c r="A592" s="161">
        <v>816</v>
      </c>
      <c r="B592" s="157" t="s">
        <v>342</v>
      </c>
      <c r="C592" s="160" t="s">
        <v>392</v>
      </c>
    </row>
    <row r="593" spans="1:3" x14ac:dyDescent="0.35">
      <c r="A593" s="161">
        <v>817</v>
      </c>
      <c r="B593" s="157" t="s">
        <v>343</v>
      </c>
      <c r="C593" s="160" t="s">
        <v>393</v>
      </c>
    </row>
    <row r="594" spans="1:3" x14ac:dyDescent="0.35">
      <c r="A594" s="161">
        <v>818</v>
      </c>
      <c r="B594" s="157" t="s">
        <v>342</v>
      </c>
      <c r="C594" s="160" t="s">
        <v>392</v>
      </c>
    </row>
    <row r="595" spans="1:3" x14ac:dyDescent="0.35">
      <c r="A595" s="161">
        <v>819</v>
      </c>
      <c r="B595" s="157" t="s">
        <v>343</v>
      </c>
      <c r="C595" s="160" t="s">
        <v>393</v>
      </c>
    </row>
    <row r="596" spans="1:3" x14ac:dyDescent="0.35">
      <c r="A596" s="161">
        <v>820</v>
      </c>
      <c r="B596" s="157" t="s">
        <v>342</v>
      </c>
      <c r="C596" s="160" t="s">
        <v>392</v>
      </c>
    </row>
    <row r="597" spans="1:3" x14ac:dyDescent="0.35">
      <c r="A597" s="161">
        <v>821</v>
      </c>
      <c r="B597" s="157" t="s">
        <v>343</v>
      </c>
      <c r="C597" s="160" t="s">
        <v>393</v>
      </c>
    </row>
    <row r="598" spans="1:3" x14ac:dyDescent="0.35">
      <c r="A598" s="161">
        <v>822</v>
      </c>
      <c r="B598" s="157" t="s">
        <v>342</v>
      </c>
      <c r="C598" s="160" t="s">
        <v>392</v>
      </c>
    </row>
    <row r="599" spans="1:3" x14ac:dyDescent="0.35">
      <c r="A599" s="161">
        <v>823</v>
      </c>
      <c r="B599" s="157" t="s">
        <v>343</v>
      </c>
      <c r="C599" s="160" t="s">
        <v>393</v>
      </c>
    </row>
    <row r="600" spans="1:3" x14ac:dyDescent="0.35">
      <c r="A600" s="161">
        <v>824</v>
      </c>
      <c r="B600" s="157" t="s">
        <v>342</v>
      </c>
      <c r="C600" s="160" t="s">
        <v>392</v>
      </c>
    </row>
    <row r="601" spans="1:3" x14ac:dyDescent="0.35">
      <c r="A601" s="161">
        <v>825</v>
      </c>
      <c r="B601" s="157" t="s">
        <v>343</v>
      </c>
      <c r="C601" s="160" t="s">
        <v>393</v>
      </c>
    </row>
    <row r="602" spans="1:3" x14ac:dyDescent="0.35">
      <c r="A602" s="161">
        <v>826</v>
      </c>
      <c r="B602" s="157" t="s">
        <v>342</v>
      </c>
      <c r="C602" s="160" t="s">
        <v>392</v>
      </c>
    </row>
    <row r="603" spans="1:3" x14ac:dyDescent="0.35">
      <c r="A603" s="161">
        <v>827</v>
      </c>
      <c r="B603" s="157" t="s">
        <v>343</v>
      </c>
      <c r="C603" s="160" t="s">
        <v>393</v>
      </c>
    </row>
    <row r="604" spans="1:3" x14ac:dyDescent="0.35">
      <c r="A604" s="161">
        <v>828</v>
      </c>
      <c r="B604" s="157" t="s">
        <v>342</v>
      </c>
      <c r="C604" s="160" t="s">
        <v>392</v>
      </c>
    </row>
    <row r="605" spans="1:3" x14ac:dyDescent="0.35">
      <c r="A605" s="161">
        <v>829</v>
      </c>
      <c r="B605" s="157" t="s">
        <v>343</v>
      </c>
      <c r="C605" s="160" t="s">
        <v>393</v>
      </c>
    </row>
    <row r="606" spans="1:3" x14ac:dyDescent="0.35">
      <c r="A606" s="161">
        <v>830</v>
      </c>
      <c r="B606" s="157" t="s">
        <v>342</v>
      </c>
      <c r="C606" s="160" t="s">
        <v>392</v>
      </c>
    </row>
    <row r="607" spans="1:3" x14ac:dyDescent="0.35">
      <c r="A607" s="161">
        <v>831</v>
      </c>
      <c r="B607" s="157" t="s">
        <v>343</v>
      </c>
      <c r="C607" s="160" t="s">
        <v>393</v>
      </c>
    </row>
    <row r="608" spans="1:3" x14ac:dyDescent="0.35">
      <c r="A608" s="161">
        <v>832</v>
      </c>
      <c r="B608" s="157" t="s">
        <v>342</v>
      </c>
      <c r="C608" s="160" t="s">
        <v>392</v>
      </c>
    </row>
    <row r="609" spans="1:3" x14ac:dyDescent="0.35">
      <c r="A609" s="161">
        <v>833</v>
      </c>
      <c r="B609" s="157" t="s">
        <v>343</v>
      </c>
      <c r="C609" s="160" t="s">
        <v>393</v>
      </c>
    </row>
    <row r="610" spans="1:3" x14ac:dyDescent="0.35">
      <c r="A610" s="161">
        <v>834</v>
      </c>
      <c r="B610" s="157" t="s">
        <v>342</v>
      </c>
      <c r="C610" s="160" t="s">
        <v>392</v>
      </c>
    </row>
    <row r="611" spans="1:3" x14ac:dyDescent="0.35">
      <c r="A611" s="161">
        <v>835</v>
      </c>
      <c r="B611" s="157" t="s">
        <v>343</v>
      </c>
      <c r="C611" s="160" t="s">
        <v>393</v>
      </c>
    </row>
    <row r="612" spans="1:3" x14ac:dyDescent="0.35">
      <c r="A612" s="161">
        <v>836</v>
      </c>
      <c r="B612" s="157" t="s">
        <v>342</v>
      </c>
      <c r="C612" s="160" t="s">
        <v>392</v>
      </c>
    </row>
    <row r="613" spans="1:3" x14ac:dyDescent="0.35">
      <c r="A613" s="161">
        <v>837</v>
      </c>
      <c r="B613" s="157" t="s">
        <v>343</v>
      </c>
      <c r="C613" s="160" t="s">
        <v>393</v>
      </c>
    </row>
    <row r="614" spans="1:3" x14ac:dyDescent="0.35">
      <c r="A614" s="161">
        <v>838</v>
      </c>
      <c r="B614" s="157" t="s">
        <v>342</v>
      </c>
      <c r="C614" s="160" t="s">
        <v>392</v>
      </c>
    </row>
    <row r="615" spans="1:3" x14ac:dyDescent="0.35">
      <c r="A615" s="161">
        <v>839</v>
      </c>
      <c r="B615" s="157" t="s">
        <v>343</v>
      </c>
      <c r="C615" s="160" t="s">
        <v>393</v>
      </c>
    </row>
    <row r="616" spans="1:3" x14ac:dyDescent="0.35">
      <c r="A616" s="161">
        <v>840</v>
      </c>
      <c r="B616" s="157" t="s">
        <v>342</v>
      </c>
      <c r="C616" s="160" t="s">
        <v>392</v>
      </c>
    </row>
    <row r="617" spans="1:3" x14ac:dyDescent="0.35">
      <c r="A617" s="161">
        <v>841</v>
      </c>
      <c r="B617" s="157" t="s">
        <v>343</v>
      </c>
      <c r="C617" s="160" t="s">
        <v>393</v>
      </c>
    </row>
    <row r="618" spans="1:3" x14ac:dyDescent="0.35">
      <c r="A618" s="161">
        <v>842</v>
      </c>
      <c r="B618" s="157" t="s">
        <v>342</v>
      </c>
      <c r="C618" s="160" t="s">
        <v>392</v>
      </c>
    </row>
    <row r="619" spans="1:3" x14ac:dyDescent="0.35">
      <c r="A619" s="161">
        <v>843</v>
      </c>
      <c r="B619" s="157" t="s">
        <v>343</v>
      </c>
      <c r="C619" s="160" t="s">
        <v>393</v>
      </c>
    </row>
    <row r="620" spans="1:3" x14ac:dyDescent="0.35">
      <c r="A620" s="161">
        <v>844</v>
      </c>
      <c r="B620" s="157" t="s">
        <v>342</v>
      </c>
      <c r="C620" s="160" t="s">
        <v>392</v>
      </c>
    </row>
    <row r="621" spans="1:3" x14ac:dyDescent="0.35">
      <c r="A621" s="161">
        <v>845</v>
      </c>
      <c r="B621" s="157" t="s">
        <v>343</v>
      </c>
      <c r="C621" s="160" t="s">
        <v>393</v>
      </c>
    </row>
    <row r="622" spans="1:3" x14ac:dyDescent="0.35">
      <c r="A622" s="161">
        <v>846</v>
      </c>
      <c r="B622" s="157" t="s">
        <v>342</v>
      </c>
      <c r="C622" s="160" t="s">
        <v>392</v>
      </c>
    </row>
    <row r="623" spans="1:3" x14ac:dyDescent="0.35">
      <c r="A623" s="161">
        <v>847</v>
      </c>
      <c r="B623" s="157" t="s">
        <v>343</v>
      </c>
      <c r="C623" s="160" t="s">
        <v>393</v>
      </c>
    </row>
    <row r="624" spans="1:3" x14ac:dyDescent="0.35">
      <c r="A624" s="161">
        <v>848</v>
      </c>
      <c r="B624" s="157" t="s">
        <v>342</v>
      </c>
      <c r="C624" s="160" t="s">
        <v>392</v>
      </c>
    </row>
    <row r="625" spans="1:3" x14ac:dyDescent="0.35">
      <c r="A625" s="161">
        <v>849</v>
      </c>
      <c r="B625" s="157" t="s">
        <v>343</v>
      </c>
      <c r="C625" s="160" t="s">
        <v>393</v>
      </c>
    </row>
    <row r="626" spans="1:3" x14ac:dyDescent="0.35">
      <c r="A626" s="161">
        <v>850</v>
      </c>
      <c r="B626" s="157" t="s">
        <v>343</v>
      </c>
      <c r="C626" s="160" t="s">
        <v>393</v>
      </c>
    </row>
    <row r="627" spans="1:3" x14ac:dyDescent="0.35">
      <c r="A627" s="161">
        <v>851</v>
      </c>
      <c r="B627" s="157" t="s">
        <v>343</v>
      </c>
      <c r="C627" s="160" t="s">
        <v>393</v>
      </c>
    </row>
    <row r="628" spans="1:3" x14ac:dyDescent="0.35">
      <c r="A628" s="161">
        <v>852</v>
      </c>
      <c r="B628" s="157" t="s">
        <v>342</v>
      </c>
      <c r="C628" s="160" t="s">
        <v>392</v>
      </c>
    </row>
    <row r="629" spans="1:3" x14ac:dyDescent="0.35">
      <c r="A629" s="161">
        <v>853</v>
      </c>
      <c r="B629" s="157" t="s">
        <v>342</v>
      </c>
      <c r="C629" s="160" t="s">
        <v>392</v>
      </c>
    </row>
    <row r="630" spans="1:3" x14ac:dyDescent="0.35">
      <c r="A630" s="161">
        <v>854</v>
      </c>
      <c r="B630" s="157" t="s">
        <v>342</v>
      </c>
      <c r="C630" s="160" t="s">
        <v>392</v>
      </c>
    </row>
    <row r="631" spans="1:3" x14ac:dyDescent="0.35">
      <c r="A631" s="161">
        <v>855</v>
      </c>
      <c r="B631" s="157" t="s">
        <v>342</v>
      </c>
      <c r="C631" s="160" t="s">
        <v>392</v>
      </c>
    </row>
    <row r="632" spans="1:3" x14ac:dyDescent="0.35">
      <c r="A632" s="161">
        <v>856</v>
      </c>
      <c r="B632" s="157" t="s">
        <v>342</v>
      </c>
      <c r="C632" s="160" t="s">
        <v>392</v>
      </c>
    </row>
    <row r="633" spans="1:3" x14ac:dyDescent="0.35">
      <c r="A633" s="161">
        <v>857</v>
      </c>
      <c r="B633" s="157" t="s">
        <v>342</v>
      </c>
      <c r="C633" s="160" t="s">
        <v>392</v>
      </c>
    </row>
    <row r="634" spans="1:3" x14ac:dyDescent="0.35">
      <c r="A634" s="161">
        <v>858</v>
      </c>
      <c r="B634" s="157" t="s">
        <v>342</v>
      </c>
      <c r="C634" s="160" t="s">
        <v>392</v>
      </c>
    </row>
    <row r="635" spans="1:3" x14ac:dyDescent="0.35">
      <c r="A635" s="161">
        <v>859</v>
      </c>
      <c r="B635" s="157" t="s">
        <v>342</v>
      </c>
      <c r="C635" s="160" t="s">
        <v>392</v>
      </c>
    </row>
    <row r="636" spans="1:3" x14ac:dyDescent="0.35">
      <c r="A636" s="161">
        <v>860</v>
      </c>
      <c r="B636" s="157" t="s">
        <v>342</v>
      </c>
      <c r="C636" s="160" t="s">
        <v>392</v>
      </c>
    </row>
    <row r="637" spans="1:3" x14ac:dyDescent="0.35">
      <c r="A637" s="161">
        <v>861</v>
      </c>
      <c r="B637" s="157" t="s">
        <v>342</v>
      </c>
      <c r="C637" s="160" t="s">
        <v>392</v>
      </c>
    </row>
    <row r="638" spans="1:3" x14ac:dyDescent="0.35">
      <c r="A638" s="161">
        <v>862</v>
      </c>
      <c r="B638" s="157" t="s">
        <v>342</v>
      </c>
      <c r="C638" s="160" t="s">
        <v>392</v>
      </c>
    </row>
    <row r="639" spans="1:3" x14ac:dyDescent="0.35">
      <c r="A639" s="161">
        <v>863</v>
      </c>
      <c r="B639" s="157" t="s">
        <v>342</v>
      </c>
      <c r="C639" s="160" t="s">
        <v>392</v>
      </c>
    </row>
    <row r="640" spans="1:3" x14ac:dyDescent="0.35">
      <c r="A640" s="161">
        <v>864</v>
      </c>
      <c r="B640" s="157" t="s">
        <v>342</v>
      </c>
      <c r="C640" s="160" t="s">
        <v>392</v>
      </c>
    </row>
    <row r="641" spans="1:3" x14ac:dyDescent="0.35">
      <c r="A641" s="161">
        <v>865</v>
      </c>
      <c r="B641" s="157" t="s">
        <v>342</v>
      </c>
      <c r="C641" s="160" t="s">
        <v>392</v>
      </c>
    </row>
    <row r="642" spans="1:3" x14ac:dyDescent="0.35">
      <c r="A642" s="161">
        <v>866</v>
      </c>
      <c r="B642" s="157" t="s">
        <v>343</v>
      </c>
      <c r="C642" s="160" t="s">
        <v>393</v>
      </c>
    </row>
    <row r="643" spans="1:3" x14ac:dyDescent="0.35">
      <c r="A643" s="161">
        <v>867</v>
      </c>
      <c r="B643" s="157" t="s">
        <v>342</v>
      </c>
      <c r="C643" s="160" t="s">
        <v>392</v>
      </c>
    </row>
    <row r="644" spans="1:3" x14ac:dyDescent="0.35">
      <c r="A644" s="161">
        <v>868</v>
      </c>
      <c r="B644" s="157" t="s">
        <v>343</v>
      </c>
      <c r="C644" s="160" t="s">
        <v>393</v>
      </c>
    </row>
    <row r="645" spans="1:3" x14ac:dyDescent="0.35">
      <c r="A645" s="161">
        <v>869</v>
      </c>
      <c r="B645" s="157" t="s">
        <v>342</v>
      </c>
      <c r="C645" s="160" t="s">
        <v>392</v>
      </c>
    </row>
    <row r="646" spans="1:3" x14ac:dyDescent="0.35">
      <c r="A646" s="161">
        <v>870</v>
      </c>
      <c r="B646" s="157" t="s">
        <v>343</v>
      </c>
      <c r="C646" s="160" t="s">
        <v>393</v>
      </c>
    </row>
    <row r="647" spans="1:3" x14ac:dyDescent="0.35">
      <c r="A647" s="161">
        <v>871</v>
      </c>
      <c r="B647" s="157" t="s">
        <v>342</v>
      </c>
      <c r="C647" s="160" t="s">
        <v>392</v>
      </c>
    </row>
    <row r="648" spans="1:3" x14ac:dyDescent="0.35">
      <c r="A648" s="161">
        <v>872</v>
      </c>
      <c r="B648" s="157" t="s">
        <v>343</v>
      </c>
      <c r="C648" s="160" t="s">
        <v>393</v>
      </c>
    </row>
    <row r="649" spans="1:3" x14ac:dyDescent="0.35">
      <c r="A649" s="161">
        <v>873</v>
      </c>
      <c r="B649" s="157" t="s">
        <v>342</v>
      </c>
      <c r="C649" s="160" t="s">
        <v>392</v>
      </c>
    </row>
    <row r="650" spans="1:3" x14ac:dyDescent="0.35">
      <c r="A650" s="161">
        <v>874</v>
      </c>
      <c r="B650" s="157" t="s">
        <v>343</v>
      </c>
      <c r="C650" s="160" t="s">
        <v>393</v>
      </c>
    </row>
    <row r="651" spans="1:3" x14ac:dyDescent="0.35">
      <c r="A651" s="161">
        <v>875</v>
      </c>
      <c r="B651" s="157" t="s">
        <v>342</v>
      </c>
      <c r="C651" s="160" t="s">
        <v>392</v>
      </c>
    </row>
    <row r="652" spans="1:3" x14ac:dyDescent="0.35">
      <c r="A652" s="161">
        <v>876</v>
      </c>
      <c r="B652" s="157" t="s">
        <v>343</v>
      </c>
      <c r="C652" s="160" t="s">
        <v>393</v>
      </c>
    </row>
    <row r="653" spans="1:3" x14ac:dyDescent="0.35">
      <c r="A653" s="161">
        <v>877</v>
      </c>
      <c r="B653" s="157" t="s">
        <v>342</v>
      </c>
      <c r="C653" s="160" t="s">
        <v>392</v>
      </c>
    </row>
    <row r="654" spans="1:3" x14ac:dyDescent="0.35">
      <c r="A654" s="161">
        <v>878</v>
      </c>
      <c r="B654" s="157" t="s">
        <v>343</v>
      </c>
      <c r="C654" s="160" t="s">
        <v>393</v>
      </c>
    </row>
    <row r="655" spans="1:3" x14ac:dyDescent="0.35">
      <c r="A655" s="161">
        <v>879</v>
      </c>
      <c r="B655" s="157" t="s">
        <v>342</v>
      </c>
      <c r="C655" s="160" t="s">
        <v>392</v>
      </c>
    </row>
    <row r="656" spans="1:3" x14ac:dyDescent="0.35">
      <c r="A656" s="161">
        <v>880</v>
      </c>
      <c r="B656" s="157" t="s">
        <v>343</v>
      </c>
      <c r="C656" s="160" t="s">
        <v>393</v>
      </c>
    </row>
    <row r="657" spans="1:3" x14ac:dyDescent="0.35">
      <c r="A657" s="161">
        <v>881</v>
      </c>
      <c r="B657" s="157" t="s">
        <v>342</v>
      </c>
      <c r="C657" s="160" t="s">
        <v>392</v>
      </c>
    </row>
    <row r="658" spans="1:3" x14ac:dyDescent="0.35">
      <c r="A658" s="161">
        <v>882</v>
      </c>
      <c r="B658" s="157" t="s">
        <v>343</v>
      </c>
      <c r="C658" s="160" t="s">
        <v>393</v>
      </c>
    </row>
    <row r="659" spans="1:3" x14ac:dyDescent="0.35">
      <c r="A659" s="161">
        <v>883</v>
      </c>
      <c r="B659" s="157" t="s">
        <v>342</v>
      </c>
      <c r="C659" s="160" t="s">
        <v>392</v>
      </c>
    </row>
    <row r="660" spans="1:3" x14ac:dyDescent="0.35">
      <c r="A660" s="161">
        <v>884</v>
      </c>
      <c r="B660" s="157" t="s">
        <v>343</v>
      </c>
      <c r="C660" s="160" t="s">
        <v>393</v>
      </c>
    </row>
    <row r="661" spans="1:3" x14ac:dyDescent="0.35">
      <c r="A661" s="161">
        <v>885</v>
      </c>
      <c r="B661" s="157" t="s">
        <v>342</v>
      </c>
      <c r="C661" s="160" t="s">
        <v>392</v>
      </c>
    </row>
    <row r="662" spans="1:3" x14ac:dyDescent="0.35">
      <c r="A662" s="161">
        <v>886</v>
      </c>
      <c r="B662" s="157" t="s">
        <v>343</v>
      </c>
      <c r="C662" s="160" t="s">
        <v>393</v>
      </c>
    </row>
    <row r="663" spans="1:3" x14ac:dyDescent="0.35">
      <c r="A663" s="161">
        <v>887</v>
      </c>
      <c r="B663" s="157" t="s">
        <v>342</v>
      </c>
      <c r="C663" s="160" t="s">
        <v>392</v>
      </c>
    </row>
    <row r="664" spans="1:3" x14ac:dyDescent="0.35">
      <c r="A664" s="161">
        <v>888</v>
      </c>
      <c r="B664" s="157" t="s">
        <v>343</v>
      </c>
      <c r="C664" s="160" t="s">
        <v>393</v>
      </c>
    </row>
    <row r="665" spans="1:3" x14ac:dyDescent="0.35">
      <c r="A665" s="161">
        <v>889</v>
      </c>
      <c r="B665" s="157" t="s">
        <v>342</v>
      </c>
      <c r="C665" s="160" t="s">
        <v>392</v>
      </c>
    </row>
    <row r="666" spans="1:3" x14ac:dyDescent="0.35">
      <c r="A666" s="161">
        <v>890</v>
      </c>
      <c r="B666" s="157" t="s">
        <v>343</v>
      </c>
      <c r="C666" s="160" t="s">
        <v>393</v>
      </c>
    </row>
    <row r="667" spans="1:3" x14ac:dyDescent="0.35">
      <c r="A667" s="161">
        <v>891</v>
      </c>
      <c r="B667" s="157" t="s">
        <v>343</v>
      </c>
      <c r="C667" s="160" t="s">
        <v>393</v>
      </c>
    </row>
    <row r="668" spans="1:3" x14ac:dyDescent="0.35">
      <c r="A668" s="161">
        <v>892</v>
      </c>
      <c r="B668" s="157" t="s">
        <v>343</v>
      </c>
      <c r="C668" s="160" t="s">
        <v>393</v>
      </c>
    </row>
    <row r="669" spans="1:3" x14ac:dyDescent="0.35">
      <c r="A669" s="161">
        <v>893</v>
      </c>
      <c r="B669" s="157" t="s">
        <v>343</v>
      </c>
      <c r="C669" s="160" t="s">
        <v>393</v>
      </c>
    </row>
    <row r="670" spans="1:3" x14ac:dyDescent="0.35">
      <c r="A670" s="161">
        <v>894</v>
      </c>
      <c r="B670" s="157" t="s">
        <v>301</v>
      </c>
      <c r="C670" s="160" t="s">
        <v>393</v>
      </c>
    </row>
    <row r="671" spans="1:3" x14ac:dyDescent="0.35">
      <c r="A671" s="161">
        <v>895</v>
      </c>
      <c r="B671" s="157" t="s">
        <v>301</v>
      </c>
      <c r="C671" s="160" t="s">
        <v>393</v>
      </c>
    </row>
    <row r="672" spans="1:3" x14ac:dyDescent="0.35">
      <c r="A672" s="161">
        <v>896</v>
      </c>
      <c r="B672" s="157" t="s">
        <v>301</v>
      </c>
      <c r="C672" s="160" t="s">
        <v>393</v>
      </c>
    </row>
    <row r="673" spans="1:3" x14ac:dyDescent="0.35">
      <c r="A673" s="161">
        <v>897</v>
      </c>
      <c r="B673" s="157" t="s">
        <v>343</v>
      </c>
      <c r="C673" s="160" t="s">
        <v>393</v>
      </c>
    </row>
    <row r="674" spans="1:3" x14ac:dyDescent="0.35">
      <c r="A674" s="161">
        <v>898</v>
      </c>
      <c r="B674" s="157" t="s">
        <v>343</v>
      </c>
      <c r="C674" s="160" t="s">
        <v>393</v>
      </c>
    </row>
    <row r="675" spans="1:3" x14ac:dyDescent="0.35">
      <c r="A675" s="161">
        <v>899</v>
      </c>
      <c r="B675" s="157" t="s">
        <v>344</v>
      </c>
      <c r="C675" s="160" t="s">
        <v>393</v>
      </c>
    </row>
    <row r="676" spans="1:3" x14ac:dyDescent="0.35">
      <c r="A676" s="161">
        <v>900</v>
      </c>
      <c r="B676" s="157" t="s">
        <v>344</v>
      </c>
      <c r="C676" s="160" t="s">
        <v>393</v>
      </c>
    </row>
    <row r="677" spans="1:3" x14ac:dyDescent="0.35">
      <c r="A677" s="161">
        <v>901</v>
      </c>
      <c r="B677" s="157" t="s">
        <v>344</v>
      </c>
      <c r="C677" s="160" t="s">
        <v>393</v>
      </c>
    </row>
    <row r="678" spans="1:3" x14ac:dyDescent="0.35">
      <c r="A678" s="161">
        <v>902</v>
      </c>
      <c r="B678" s="157" t="s">
        <v>344</v>
      </c>
      <c r="C678" s="160" t="s">
        <v>393</v>
      </c>
    </row>
    <row r="679" spans="1:3" x14ac:dyDescent="0.35">
      <c r="A679" s="161">
        <v>903</v>
      </c>
      <c r="B679" s="157" t="s">
        <v>344</v>
      </c>
      <c r="C679" s="160" t="s">
        <v>393</v>
      </c>
    </row>
    <row r="680" spans="1:3" x14ac:dyDescent="0.35">
      <c r="A680" s="161">
        <v>904</v>
      </c>
      <c r="B680" s="157" t="s">
        <v>345</v>
      </c>
      <c r="C680" s="160" t="s">
        <v>393</v>
      </c>
    </row>
    <row r="681" spans="1:3" x14ac:dyDescent="0.35">
      <c r="A681" s="161">
        <v>905</v>
      </c>
      <c r="B681" s="157" t="s">
        <v>345</v>
      </c>
      <c r="C681" s="160" t="s">
        <v>393</v>
      </c>
    </row>
    <row r="682" spans="1:3" x14ac:dyDescent="0.35">
      <c r="A682" s="161">
        <v>906</v>
      </c>
      <c r="B682" s="157" t="s">
        <v>345</v>
      </c>
      <c r="C682" s="160" t="s">
        <v>393</v>
      </c>
    </row>
    <row r="683" spans="1:3" x14ac:dyDescent="0.35">
      <c r="A683" s="161">
        <v>907</v>
      </c>
      <c r="B683" s="157" t="s">
        <v>346</v>
      </c>
      <c r="C683" s="160" t="s">
        <v>393</v>
      </c>
    </row>
    <row r="684" spans="1:3" x14ac:dyDescent="0.35">
      <c r="A684" s="161">
        <v>908</v>
      </c>
      <c r="B684" s="157" t="s">
        <v>346</v>
      </c>
      <c r="C684" s="160" t="s">
        <v>393</v>
      </c>
    </row>
    <row r="685" spans="1:3" x14ac:dyDescent="0.35">
      <c r="A685" s="161">
        <v>909</v>
      </c>
      <c r="B685" s="157" t="s">
        <v>346</v>
      </c>
      <c r="C685" s="160" t="s">
        <v>393</v>
      </c>
    </row>
    <row r="686" spans="1:3" x14ac:dyDescent="0.35">
      <c r="A686" s="161">
        <v>910</v>
      </c>
      <c r="B686" s="157" t="s">
        <v>346</v>
      </c>
      <c r="C686" s="160" t="s">
        <v>393</v>
      </c>
    </row>
    <row r="687" spans="1:3" x14ac:dyDescent="0.35">
      <c r="A687" s="161">
        <v>911</v>
      </c>
      <c r="B687" s="157" t="s">
        <v>346</v>
      </c>
      <c r="C687" s="160" t="s">
        <v>393</v>
      </c>
    </row>
    <row r="688" spans="1:3" x14ac:dyDescent="0.35">
      <c r="A688" s="161">
        <v>912</v>
      </c>
      <c r="B688" s="157" t="s">
        <v>346</v>
      </c>
      <c r="C688" s="160" t="s">
        <v>393</v>
      </c>
    </row>
    <row r="689" spans="1:3" x14ac:dyDescent="0.35">
      <c r="A689" s="161">
        <v>913</v>
      </c>
      <c r="B689" s="157" t="s">
        <v>346</v>
      </c>
      <c r="C689" s="160" t="s">
        <v>393</v>
      </c>
    </row>
    <row r="690" spans="1:3" x14ac:dyDescent="0.35">
      <c r="A690" s="161">
        <v>914</v>
      </c>
      <c r="B690" s="157" t="s">
        <v>347</v>
      </c>
      <c r="C690" s="160" t="s">
        <v>392</v>
      </c>
    </row>
    <row r="691" spans="1:3" x14ac:dyDescent="0.35">
      <c r="A691" s="161">
        <v>915</v>
      </c>
      <c r="B691" s="157" t="s">
        <v>301</v>
      </c>
      <c r="C691" s="160" t="s">
        <v>392</v>
      </c>
    </row>
    <row r="692" spans="1:3" x14ac:dyDescent="0.35">
      <c r="A692" s="161">
        <v>916</v>
      </c>
      <c r="B692" s="157" t="s">
        <v>301</v>
      </c>
      <c r="C692" s="160" t="s">
        <v>392</v>
      </c>
    </row>
    <row r="693" spans="1:3" x14ac:dyDescent="0.35">
      <c r="A693" s="161">
        <v>917</v>
      </c>
      <c r="B693" s="157" t="s">
        <v>301</v>
      </c>
      <c r="C693" s="160" t="s">
        <v>392</v>
      </c>
    </row>
    <row r="694" spans="1:3" x14ac:dyDescent="0.35">
      <c r="A694" s="161">
        <v>918</v>
      </c>
      <c r="B694" s="157" t="s">
        <v>237</v>
      </c>
      <c r="C694" s="160" t="s">
        <v>392</v>
      </c>
    </row>
    <row r="695" spans="1:3" x14ac:dyDescent="0.35">
      <c r="A695" s="161">
        <v>919</v>
      </c>
      <c r="B695" s="157" t="s">
        <v>348</v>
      </c>
      <c r="C695" s="160" t="s">
        <v>392</v>
      </c>
    </row>
    <row r="696" spans="1:3" x14ac:dyDescent="0.35">
      <c r="A696" s="161">
        <v>920</v>
      </c>
      <c r="B696" s="157" t="s">
        <v>348</v>
      </c>
      <c r="C696" s="160" t="s">
        <v>392</v>
      </c>
    </row>
    <row r="697" spans="1:3" x14ac:dyDescent="0.35">
      <c r="A697" s="161">
        <v>922</v>
      </c>
      <c r="B697" s="157" t="s">
        <v>260</v>
      </c>
      <c r="C697" s="160" t="s">
        <v>392</v>
      </c>
    </row>
    <row r="698" spans="1:3" x14ac:dyDescent="0.35">
      <c r="A698" s="161">
        <v>923</v>
      </c>
      <c r="B698" s="157" t="s">
        <v>260</v>
      </c>
      <c r="C698" s="160" t="s">
        <v>392</v>
      </c>
    </row>
    <row r="699" spans="1:3" x14ac:dyDescent="0.35">
      <c r="A699" s="161">
        <v>924</v>
      </c>
      <c r="B699" s="157" t="s">
        <v>260</v>
      </c>
      <c r="C699" s="160" t="s">
        <v>392</v>
      </c>
    </row>
    <row r="700" spans="1:3" x14ac:dyDescent="0.35">
      <c r="A700" s="161">
        <v>925</v>
      </c>
      <c r="B700" s="157" t="s">
        <v>349</v>
      </c>
      <c r="C700" s="160" t="s">
        <v>388</v>
      </c>
    </row>
    <row r="701" spans="1:3" x14ac:dyDescent="0.35">
      <c r="A701" s="161">
        <v>926</v>
      </c>
      <c r="B701" s="157" t="s">
        <v>290</v>
      </c>
      <c r="C701" s="160" t="s">
        <v>388</v>
      </c>
    </row>
    <row r="702" spans="1:3" x14ac:dyDescent="0.35">
      <c r="A702" s="161">
        <v>927</v>
      </c>
      <c r="B702" s="157" t="s">
        <v>292</v>
      </c>
      <c r="C702" s="160" t="s">
        <v>388</v>
      </c>
    </row>
    <row r="703" spans="1:3" x14ac:dyDescent="0.35">
      <c r="A703" s="161">
        <v>928</v>
      </c>
      <c r="B703" s="157" t="s">
        <v>291</v>
      </c>
      <c r="C703" s="160" t="s">
        <v>388</v>
      </c>
    </row>
    <row r="704" spans="1:3" x14ac:dyDescent="0.35">
      <c r="A704" s="161">
        <v>929</v>
      </c>
      <c r="B704" s="157" t="s">
        <v>344</v>
      </c>
      <c r="C704" s="160" t="s">
        <v>393</v>
      </c>
    </row>
    <row r="705" spans="1:3" x14ac:dyDescent="0.35">
      <c r="A705" s="161">
        <v>930</v>
      </c>
      <c r="B705" s="157" t="s">
        <v>344</v>
      </c>
      <c r="C705" s="160" t="s">
        <v>393</v>
      </c>
    </row>
    <row r="706" spans="1:3" x14ac:dyDescent="0.35">
      <c r="A706" s="161">
        <v>931</v>
      </c>
      <c r="B706" s="157" t="s">
        <v>344</v>
      </c>
      <c r="C706" s="160" t="s">
        <v>393</v>
      </c>
    </row>
    <row r="707" spans="1:3" x14ac:dyDescent="0.35">
      <c r="A707" s="161">
        <v>932</v>
      </c>
      <c r="B707" s="157" t="s">
        <v>350</v>
      </c>
      <c r="C707" s="160" t="s">
        <v>392</v>
      </c>
    </row>
    <row r="708" spans="1:3" x14ac:dyDescent="0.35">
      <c r="A708" s="161">
        <v>933</v>
      </c>
      <c r="B708" s="157" t="s">
        <v>342</v>
      </c>
      <c r="C708" s="160" t="s">
        <v>392</v>
      </c>
    </row>
    <row r="709" spans="1:3" x14ac:dyDescent="0.35">
      <c r="A709" s="161">
        <v>934</v>
      </c>
      <c r="B709" s="157" t="s">
        <v>343</v>
      </c>
      <c r="C709" s="160" t="s">
        <v>393</v>
      </c>
    </row>
    <row r="710" spans="1:3" x14ac:dyDescent="0.35">
      <c r="A710" s="161">
        <v>935</v>
      </c>
      <c r="B710" s="157" t="s">
        <v>351</v>
      </c>
      <c r="C710" s="160" t="s">
        <v>392</v>
      </c>
    </row>
    <row r="711" spans="1:3" x14ac:dyDescent="0.35">
      <c r="A711" s="161">
        <v>936</v>
      </c>
      <c r="B711" s="157" t="s">
        <v>351</v>
      </c>
      <c r="C711" s="160" t="s">
        <v>392</v>
      </c>
    </row>
    <row r="712" spans="1:3" x14ac:dyDescent="0.35">
      <c r="A712" s="161">
        <v>937</v>
      </c>
      <c r="B712" s="157" t="s">
        <v>351</v>
      </c>
      <c r="C712" s="160" t="s">
        <v>392</v>
      </c>
    </row>
    <row r="713" spans="1:3" x14ac:dyDescent="0.35">
      <c r="A713" s="161">
        <v>938</v>
      </c>
      <c r="B713" s="157" t="s">
        <v>351</v>
      </c>
      <c r="C713" s="160" t="s">
        <v>392</v>
      </c>
    </row>
    <row r="714" spans="1:3" x14ac:dyDescent="0.35">
      <c r="A714" s="161">
        <v>939</v>
      </c>
      <c r="B714" s="157" t="s">
        <v>351</v>
      </c>
      <c r="C714" s="160" t="s">
        <v>392</v>
      </c>
    </row>
    <row r="715" spans="1:3" x14ac:dyDescent="0.35">
      <c r="A715" s="161">
        <v>940</v>
      </c>
      <c r="B715" s="157" t="s">
        <v>352</v>
      </c>
      <c r="C715" s="160" t="s">
        <v>389</v>
      </c>
    </row>
    <row r="716" spans="1:3" x14ac:dyDescent="0.35">
      <c r="A716" s="161">
        <v>941</v>
      </c>
      <c r="B716" s="157" t="s">
        <v>353</v>
      </c>
      <c r="C716" s="160" t="s">
        <v>389</v>
      </c>
    </row>
    <row r="717" spans="1:3" x14ac:dyDescent="0.35">
      <c r="A717" s="161">
        <v>942</v>
      </c>
      <c r="B717" s="157" t="s">
        <v>206</v>
      </c>
      <c r="C717" s="160" t="s">
        <v>392</v>
      </c>
    </row>
    <row r="718" spans="1:3" x14ac:dyDescent="0.35">
      <c r="A718" s="161">
        <v>943</v>
      </c>
      <c r="B718" s="157" t="s">
        <v>197</v>
      </c>
      <c r="C718" s="160" t="s">
        <v>392</v>
      </c>
    </row>
    <row r="719" spans="1:3" x14ac:dyDescent="0.35">
      <c r="A719" s="161">
        <v>944</v>
      </c>
      <c r="B719" s="157" t="s">
        <v>197</v>
      </c>
      <c r="C719" s="160" t="s">
        <v>392</v>
      </c>
    </row>
    <row r="720" spans="1:3" x14ac:dyDescent="0.35">
      <c r="A720" s="161">
        <v>945</v>
      </c>
      <c r="B720" s="157" t="s">
        <v>197</v>
      </c>
      <c r="C720" s="160" t="s">
        <v>392</v>
      </c>
    </row>
    <row r="721" spans="1:3" x14ac:dyDescent="0.35">
      <c r="A721" s="161">
        <v>946</v>
      </c>
      <c r="B721" s="157" t="s">
        <v>197</v>
      </c>
      <c r="C721" s="160" t="s">
        <v>392</v>
      </c>
    </row>
    <row r="722" spans="1:3" x14ac:dyDescent="0.35">
      <c r="A722" s="161">
        <v>947</v>
      </c>
      <c r="B722" s="157" t="s">
        <v>354</v>
      </c>
      <c r="C722" s="160" t="s">
        <v>392</v>
      </c>
    </row>
    <row r="723" spans="1:3" x14ac:dyDescent="0.35">
      <c r="A723" s="161">
        <v>948</v>
      </c>
      <c r="B723" s="157" t="s">
        <v>355</v>
      </c>
      <c r="C723" s="160" t="s">
        <v>392</v>
      </c>
    </row>
    <row r="724" spans="1:3" x14ac:dyDescent="0.35">
      <c r="A724" s="161">
        <v>949</v>
      </c>
      <c r="B724" s="157" t="s">
        <v>356</v>
      </c>
      <c r="C724" s="160" t="s">
        <v>392</v>
      </c>
    </row>
    <row r="725" spans="1:3" x14ac:dyDescent="0.35">
      <c r="A725" s="161">
        <v>950</v>
      </c>
      <c r="B725" s="157" t="s">
        <v>357</v>
      </c>
      <c r="C725" s="160" t="s">
        <v>393</v>
      </c>
    </row>
    <row r="726" spans="1:3" x14ac:dyDescent="0.35">
      <c r="A726" s="161">
        <v>951</v>
      </c>
      <c r="B726" s="157" t="s">
        <v>358</v>
      </c>
      <c r="C726" s="160" t="s">
        <v>393</v>
      </c>
    </row>
    <row r="727" spans="1:3" x14ac:dyDescent="0.35">
      <c r="A727" s="161">
        <v>952</v>
      </c>
      <c r="B727" s="157" t="s">
        <v>359</v>
      </c>
      <c r="C727" s="160" t="s">
        <v>392</v>
      </c>
    </row>
    <row r="728" spans="1:3" x14ac:dyDescent="0.35">
      <c r="A728" s="161">
        <v>953</v>
      </c>
      <c r="B728" s="157" t="s">
        <v>360</v>
      </c>
      <c r="C728" s="160" t="s">
        <v>392</v>
      </c>
    </row>
    <row r="729" spans="1:3" x14ac:dyDescent="0.35">
      <c r="A729" s="161">
        <v>954</v>
      </c>
      <c r="B729" s="157" t="s">
        <v>361</v>
      </c>
      <c r="C729" s="160" t="s">
        <v>392</v>
      </c>
    </row>
    <row r="730" spans="1:3" x14ac:dyDescent="0.35">
      <c r="A730" s="161">
        <v>955</v>
      </c>
      <c r="B730" s="157" t="s">
        <v>362</v>
      </c>
      <c r="C730" s="160" t="s">
        <v>392</v>
      </c>
    </row>
    <row r="731" spans="1:3" x14ac:dyDescent="0.35">
      <c r="A731" s="161">
        <v>956</v>
      </c>
      <c r="B731" s="157" t="s">
        <v>363</v>
      </c>
      <c r="C731" s="160" t="s">
        <v>392</v>
      </c>
    </row>
    <row r="732" spans="1:3" x14ac:dyDescent="0.35">
      <c r="A732" s="161">
        <v>957</v>
      </c>
      <c r="B732" s="157" t="s">
        <v>364</v>
      </c>
      <c r="C732" s="160" t="s">
        <v>392</v>
      </c>
    </row>
    <row r="733" spans="1:3" x14ac:dyDescent="0.35">
      <c r="A733" s="161">
        <v>958</v>
      </c>
      <c r="B733" s="157" t="s">
        <v>365</v>
      </c>
      <c r="C733" s="160" t="s">
        <v>392</v>
      </c>
    </row>
    <row r="734" spans="1:3" x14ac:dyDescent="0.35">
      <c r="A734" s="161">
        <v>959</v>
      </c>
      <c r="B734" s="157" t="s">
        <v>366</v>
      </c>
      <c r="C734" s="160" t="s">
        <v>392</v>
      </c>
    </row>
    <row r="735" spans="1:3" x14ac:dyDescent="0.35">
      <c r="A735" s="161">
        <v>960</v>
      </c>
      <c r="B735" s="157" t="s">
        <v>367</v>
      </c>
      <c r="C735" s="160" t="s">
        <v>392</v>
      </c>
    </row>
    <row r="736" spans="1:3" x14ac:dyDescent="0.35">
      <c r="A736" s="161">
        <v>961</v>
      </c>
      <c r="B736" s="157" t="s">
        <v>368</v>
      </c>
      <c r="C736" s="160" t="s">
        <v>392</v>
      </c>
    </row>
    <row r="737" spans="1:3" x14ac:dyDescent="0.35">
      <c r="A737" s="161">
        <v>962</v>
      </c>
      <c r="B737" s="157" t="s">
        <v>369</v>
      </c>
      <c r="C737" s="160" t="s">
        <v>392</v>
      </c>
    </row>
    <row r="738" spans="1:3" x14ac:dyDescent="0.35">
      <c r="A738" s="161">
        <v>963</v>
      </c>
      <c r="B738" s="157" t="s">
        <v>370</v>
      </c>
      <c r="C738" s="160" t="s">
        <v>392</v>
      </c>
    </row>
    <row r="739" spans="1:3" x14ac:dyDescent="0.35">
      <c r="A739" s="161">
        <v>964</v>
      </c>
      <c r="B739" s="157" t="s">
        <v>371</v>
      </c>
      <c r="C739" s="160" t="s">
        <v>392</v>
      </c>
    </row>
    <row r="740" spans="1:3" x14ac:dyDescent="0.35">
      <c r="A740" s="161">
        <v>965</v>
      </c>
      <c r="B740" s="157" t="s">
        <v>372</v>
      </c>
      <c r="C740" s="160" t="s">
        <v>392</v>
      </c>
    </row>
    <row r="741" spans="1:3" x14ac:dyDescent="0.35">
      <c r="A741" s="161">
        <v>966</v>
      </c>
      <c r="B741" s="157" t="s">
        <v>217</v>
      </c>
      <c r="C741" s="160" t="s">
        <v>393</v>
      </c>
    </row>
    <row r="742" spans="1:3" x14ac:dyDescent="0.35">
      <c r="A742" s="161">
        <v>967</v>
      </c>
      <c r="B742" s="157" t="s">
        <v>229</v>
      </c>
      <c r="C742" s="160" t="s">
        <v>392</v>
      </c>
    </row>
    <row r="743" spans="1:3" x14ac:dyDescent="0.35">
      <c r="A743" s="161">
        <v>968</v>
      </c>
      <c r="B743" s="157" t="s">
        <v>229</v>
      </c>
      <c r="C743" s="160" t="s">
        <v>392</v>
      </c>
    </row>
    <row r="744" spans="1:3" x14ac:dyDescent="0.35">
      <c r="A744" s="161">
        <v>969</v>
      </c>
      <c r="B744" s="157" t="s">
        <v>372</v>
      </c>
      <c r="C744" s="160" t="s">
        <v>392</v>
      </c>
    </row>
    <row r="745" spans="1:3" x14ac:dyDescent="0.35">
      <c r="A745" s="161">
        <v>970</v>
      </c>
      <c r="B745" s="157" t="s">
        <v>185</v>
      </c>
      <c r="C745" s="160" t="s">
        <v>392</v>
      </c>
    </row>
    <row r="746" spans="1:3" x14ac:dyDescent="0.35">
      <c r="A746" s="161">
        <v>971</v>
      </c>
      <c r="B746" s="157" t="s">
        <v>373</v>
      </c>
      <c r="C746" s="160" t="s">
        <v>392</v>
      </c>
    </row>
    <row r="747" spans="1:3" x14ac:dyDescent="0.35">
      <c r="A747" s="161">
        <v>972</v>
      </c>
      <c r="B747" s="157" t="s">
        <v>374</v>
      </c>
      <c r="C747" s="160" t="s">
        <v>392</v>
      </c>
    </row>
    <row r="748" spans="1:3" x14ac:dyDescent="0.35">
      <c r="A748" s="161">
        <v>973</v>
      </c>
      <c r="B748" s="157" t="s">
        <v>227</v>
      </c>
      <c r="C748" s="160" t="s">
        <v>392</v>
      </c>
    </row>
    <row r="749" spans="1:3" x14ac:dyDescent="0.35">
      <c r="A749" s="161">
        <v>974</v>
      </c>
      <c r="B749" s="157" t="s">
        <v>253</v>
      </c>
      <c r="C749" s="160" t="s">
        <v>392</v>
      </c>
    </row>
    <row r="750" spans="1:3" x14ac:dyDescent="0.35">
      <c r="A750" s="161">
        <v>975</v>
      </c>
      <c r="B750" s="157" t="s">
        <v>375</v>
      </c>
      <c r="C750" s="160" t="s">
        <v>392</v>
      </c>
    </row>
    <row r="751" spans="1:3" x14ac:dyDescent="0.35">
      <c r="A751" s="161">
        <v>976</v>
      </c>
      <c r="B751" s="157" t="s">
        <v>376</v>
      </c>
      <c r="C751" s="160" t="s">
        <v>392</v>
      </c>
    </row>
    <row r="752" spans="1:3" x14ac:dyDescent="0.35">
      <c r="A752" s="161">
        <v>978</v>
      </c>
      <c r="B752" s="157" t="s">
        <v>211</v>
      </c>
      <c r="C752" s="160" t="s">
        <v>393</v>
      </c>
    </row>
    <row r="753" spans="1:3" x14ac:dyDescent="0.35">
      <c r="A753" s="161">
        <v>979</v>
      </c>
      <c r="B753" s="157" t="s">
        <v>250</v>
      </c>
      <c r="C753" s="160" t="s">
        <v>393</v>
      </c>
    </row>
    <row r="754" spans="1:3" x14ac:dyDescent="0.35">
      <c r="A754" s="161">
        <v>980</v>
      </c>
      <c r="B754" s="157" t="s">
        <v>377</v>
      </c>
      <c r="C754" s="160" t="s">
        <v>392</v>
      </c>
    </row>
    <row r="755" spans="1:3" x14ac:dyDescent="0.35">
      <c r="A755" s="161">
        <v>981</v>
      </c>
      <c r="B755" s="157" t="s">
        <v>378</v>
      </c>
      <c r="C755" s="160" t="s">
        <v>393</v>
      </c>
    </row>
    <row r="756" spans="1:3" x14ac:dyDescent="0.35">
      <c r="A756" s="161">
        <v>982</v>
      </c>
      <c r="B756" s="157" t="s">
        <v>379</v>
      </c>
      <c r="C756" s="160" t="s">
        <v>392</v>
      </c>
    </row>
    <row r="757" spans="1:3" x14ac:dyDescent="0.35">
      <c r="A757" s="161">
        <v>983</v>
      </c>
      <c r="B757" s="157" t="s">
        <v>380</v>
      </c>
      <c r="C757" s="160" t="s">
        <v>392</v>
      </c>
    </row>
    <row r="758" spans="1:3" x14ac:dyDescent="0.35">
      <c r="A758" s="161">
        <v>984</v>
      </c>
      <c r="B758" s="157" t="s">
        <v>381</v>
      </c>
      <c r="C758" s="160" t="s">
        <v>392</v>
      </c>
    </row>
    <row r="759" spans="1:3" x14ac:dyDescent="0.35">
      <c r="A759" s="161">
        <v>985</v>
      </c>
      <c r="B759" s="157" t="s">
        <v>382</v>
      </c>
      <c r="C759" s="160" t="s">
        <v>392</v>
      </c>
    </row>
    <row r="760" spans="1:3" x14ac:dyDescent="0.35">
      <c r="A760" s="161">
        <v>989</v>
      </c>
      <c r="B760" s="157" t="s">
        <v>266</v>
      </c>
      <c r="C760" s="160" t="s">
        <v>392</v>
      </c>
    </row>
    <row r="761" spans="1:3" x14ac:dyDescent="0.35">
      <c r="A761" s="161">
        <v>990</v>
      </c>
      <c r="B761" s="157" t="s">
        <v>267</v>
      </c>
      <c r="C761" s="160" t="s">
        <v>393</v>
      </c>
    </row>
    <row r="762" spans="1:3" x14ac:dyDescent="0.35">
      <c r="A762" s="161">
        <v>991</v>
      </c>
      <c r="B762" s="157" t="s">
        <v>217</v>
      </c>
      <c r="C762" s="160" t="s">
        <v>393</v>
      </c>
    </row>
    <row r="763" spans="1:3" x14ac:dyDescent="0.35">
      <c r="A763" s="161">
        <v>996</v>
      </c>
      <c r="B763" s="157" t="s">
        <v>296</v>
      </c>
      <c r="C763" s="160" t="s">
        <v>392</v>
      </c>
    </row>
    <row r="764" spans="1:3" x14ac:dyDescent="0.35">
      <c r="A764" s="161">
        <v>997</v>
      </c>
      <c r="B764" s="157" t="s">
        <v>383</v>
      </c>
      <c r="C764" s="160" t="s">
        <v>392</v>
      </c>
    </row>
  </sheetData>
  <hyperlinks>
    <hyperlink ref="A1" location="Overview!A1" display="Back to Overview" xr:uid="{00000000-0004-0000-0B00-000000000000}"/>
    <hyperlink ref="A1" location="Overview!A1" display="Back to Overview" xr:uid="{00000000-0004-0000-0B00-000001000000}"/>
  </hyperlinks>
  <pageMargins left="0.74803149606299213" right="0.74803149606299213" top="0.98425196850393704" bottom="0.98425196850393704" header="0.51181102362204722" footer="0.51181102362204722"/>
  <pageSetup paperSize="9" scale="47" fitToHeight="0" orientation="portrait" r:id="rId1"/>
  <headerFooter differentFirst="1" scaleWithDoc="0">
    <oddFooter>&amp;C&amp;P of &amp;N</oddFooter>
    <firstHeader>&amp;LSSC TPP Unit Rate Lookup Table</firstHeader>
    <firstFooter>&amp;C&amp;P of &amp;N</first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22"/>
  <sheetViews>
    <sheetView tabSelected="1" workbookViewId="0">
      <selection activeCell="K15" sqref="K15"/>
    </sheetView>
  </sheetViews>
  <sheetFormatPr defaultRowHeight="12.75" x14ac:dyDescent="0.35"/>
  <cols>
    <col min="1" max="1" width="32.1328125" bestFit="1" customWidth="1"/>
    <col min="2" max="2" width="11.86328125" bestFit="1" customWidth="1"/>
    <col min="3" max="3" width="5.3984375" bestFit="1" customWidth="1"/>
    <col min="4" max="4" width="16.3984375" customWidth="1"/>
    <col min="5" max="6" width="16.1328125" bestFit="1" customWidth="1"/>
  </cols>
  <sheetData>
    <row r="1" spans="1:9" x14ac:dyDescent="0.35">
      <c r="A1" s="154" t="s">
        <v>16</v>
      </c>
      <c r="B1" s="154"/>
    </row>
    <row r="2" spans="1:9" ht="36.75" customHeight="1" x14ac:dyDescent="0.35">
      <c r="A2" s="257" t="str">
        <f>Overview!B4&amp; " - Effective from "&amp;Overview!C4&amp;" - "&amp;Overview!E4&amp;" Residual Charging Bands"</f>
        <v>South Eastern Power Networks - Effective from 2026/27 - Final Residual Charging Bands</v>
      </c>
      <c r="B2" s="258"/>
      <c r="C2" s="258"/>
      <c r="D2" s="258"/>
      <c r="E2" s="258"/>
      <c r="F2" s="259"/>
    </row>
    <row r="4" spans="1:9" ht="39.4" x14ac:dyDescent="0.35">
      <c r="A4" s="175" t="s">
        <v>565</v>
      </c>
      <c r="B4" s="175" t="s">
        <v>561</v>
      </c>
      <c r="C4" s="175" t="s">
        <v>566</v>
      </c>
      <c r="D4" s="175" t="s">
        <v>570</v>
      </c>
      <c r="E4" s="175" t="s">
        <v>571</v>
      </c>
      <c r="F4" s="20" t="s">
        <v>693</v>
      </c>
    </row>
    <row r="5" spans="1:9" ht="13.5" x14ac:dyDescent="0.35">
      <c r="A5" s="176" t="s">
        <v>128</v>
      </c>
      <c r="B5" s="177" t="s">
        <v>563</v>
      </c>
      <c r="C5" s="177" t="s">
        <v>564</v>
      </c>
      <c r="D5" s="181" t="s">
        <v>564</v>
      </c>
      <c r="E5" s="181" t="s">
        <v>564</v>
      </c>
      <c r="F5" s="180">
        <v>3.1645446705813138</v>
      </c>
    </row>
    <row r="6" spans="1:9" ht="14.25" customHeight="1" x14ac:dyDescent="0.35">
      <c r="A6" s="288" t="s">
        <v>573</v>
      </c>
      <c r="B6" s="177">
        <v>1</v>
      </c>
      <c r="C6" s="177" t="s">
        <v>567</v>
      </c>
      <c r="D6" s="182">
        <v>0</v>
      </c>
      <c r="E6" s="182">
        <v>3986</v>
      </c>
      <c r="F6" s="180">
        <v>2.6980924942872337</v>
      </c>
      <c r="H6" s="42">
        <v>10.039999999999999</v>
      </c>
      <c r="I6">
        <f>(H6/100)*365.25</f>
        <v>36.671099999999996</v>
      </c>
    </row>
    <row r="7" spans="1:9" ht="13.9" x14ac:dyDescent="0.35">
      <c r="A7" s="289"/>
      <c r="B7" s="177">
        <v>2</v>
      </c>
      <c r="C7" s="177" t="s">
        <v>567</v>
      </c>
      <c r="D7" s="182">
        <v>3986</v>
      </c>
      <c r="E7" s="182">
        <v>13677</v>
      </c>
      <c r="F7" s="180">
        <v>8.0170197628252566</v>
      </c>
      <c r="H7" s="42">
        <v>11.5</v>
      </c>
      <c r="I7">
        <f t="shared" ref="I7:I17" si="0">(H7*365.25)/100</f>
        <v>42.003749999999997</v>
      </c>
    </row>
    <row r="8" spans="1:9" ht="13.9" x14ac:dyDescent="0.35">
      <c r="A8" s="289"/>
      <c r="B8" s="177">
        <v>3</v>
      </c>
      <c r="C8" s="177" t="s">
        <v>567</v>
      </c>
      <c r="D8" s="182">
        <v>13677</v>
      </c>
      <c r="E8" s="182">
        <v>27543</v>
      </c>
      <c r="F8" s="180">
        <v>16.819534099702263</v>
      </c>
      <c r="H8" s="42">
        <v>13.91</v>
      </c>
      <c r="I8">
        <f t="shared" si="0"/>
        <v>50.806274999999999</v>
      </c>
    </row>
    <row r="9" spans="1:9" ht="13.9" x14ac:dyDescent="0.35">
      <c r="A9" s="290"/>
      <c r="B9" s="177">
        <v>4</v>
      </c>
      <c r="C9" s="177" t="s">
        <v>567</v>
      </c>
      <c r="D9" s="182">
        <v>27543</v>
      </c>
      <c r="E9" s="182" t="s">
        <v>569</v>
      </c>
      <c r="F9" s="180">
        <v>47.096837337421682</v>
      </c>
      <c r="H9" s="42">
        <v>22.2</v>
      </c>
      <c r="I9">
        <f t="shared" si="0"/>
        <v>81.085499999999996</v>
      </c>
    </row>
    <row r="10" spans="1:9" ht="13.9" x14ac:dyDescent="0.35">
      <c r="A10" s="288" t="s">
        <v>576</v>
      </c>
      <c r="B10" s="177">
        <v>1</v>
      </c>
      <c r="C10" s="177" t="s">
        <v>568</v>
      </c>
      <c r="D10" s="182">
        <v>0</v>
      </c>
      <c r="E10" s="182">
        <v>90</v>
      </c>
      <c r="F10" s="180">
        <v>94.00202946344109</v>
      </c>
      <c r="H10" s="42">
        <v>46.56</v>
      </c>
      <c r="I10">
        <f t="shared" si="0"/>
        <v>170.06040000000002</v>
      </c>
    </row>
    <row r="11" spans="1:9" ht="13.9" x14ac:dyDescent="0.35">
      <c r="A11" s="289"/>
      <c r="B11" s="177">
        <v>2</v>
      </c>
      <c r="C11" s="177" t="s">
        <v>568</v>
      </c>
      <c r="D11" s="182">
        <v>90</v>
      </c>
      <c r="E11" s="182">
        <v>150</v>
      </c>
      <c r="F11" s="180">
        <v>164.26262114678283</v>
      </c>
      <c r="H11" s="42">
        <v>65.81</v>
      </c>
      <c r="I11">
        <f t="shared" si="0"/>
        <v>240.371025</v>
      </c>
    </row>
    <row r="12" spans="1:9" ht="13.9" x14ac:dyDescent="0.35">
      <c r="A12" s="289"/>
      <c r="B12" s="177">
        <v>3</v>
      </c>
      <c r="C12" s="177" t="s">
        <v>568</v>
      </c>
      <c r="D12" s="182">
        <v>150</v>
      </c>
      <c r="E12" s="182">
        <v>250</v>
      </c>
      <c r="F12" s="180">
        <v>252.0906862493174</v>
      </c>
      <c r="H12" s="42">
        <v>89.87</v>
      </c>
      <c r="I12">
        <f t="shared" si="0"/>
        <v>328.25017500000001</v>
      </c>
    </row>
    <row r="13" spans="1:9" ht="13.9" x14ac:dyDescent="0.35">
      <c r="A13" s="290"/>
      <c r="B13" s="177">
        <v>4</v>
      </c>
      <c r="C13" s="177" t="s">
        <v>568</v>
      </c>
      <c r="D13" s="182">
        <v>250</v>
      </c>
      <c r="E13" s="182" t="s">
        <v>569</v>
      </c>
      <c r="F13" s="180">
        <v>589.37338814740133</v>
      </c>
      <c r="H13" s="42">
        <v>182.28</v>
      </c>
      <c r="I13">
        <f t="shared" si="0"/>
        <v>665.7777000000001</v>
      </c>
    </row>
    <row r="14" spans="1:9" ht="13.9" x14ac:dyDescent="0.35">
      <c r="A14" s="288" t="s">
        <v>575</v>
      </c>
      <c r="B14" s="177">
        <v>1</v>
      </c>
      <c r="C14" s="177" t="s">
        <v>568</v>
      </c>
      <c r="D14" s="182">
        <v>0</v>
      </c>
      <c r="E14" s="182">
        <v>500</v>
      </c>
      <c r="F14" s="180">
        <v>674.7644662152502</v>
      </c>
      <c r="H14" s="42">
        <v>360.69</v>
      </c>
      <c r="I14">
        <f t="shared" si="0"/>
        <v>1317.4202249999998</v>
      </c>
    </row>
    <row r="15" spans="1:9" ht="13.9" x14ac:dyDescent="0.35">
      <c r="A15" s="289"/>
      <c r="B15" s="177">
        <v>2</v>
      </c>
      <c r="C15" s="177" t="s">
        <v>568</v>
      </c>
      <c r="D15" s="182">
        <v>500</v>
      </c>
      <c r="E15" s="182">
        <v>1100</v>
      </c>
      <c r="F15" s="180">
        <v>1682.7299328372762</v>
      </c>
      <c r="H15" s="42">
        <v>636.85</v>
      </c>
      <c r="I15">
        <f t="shared" si="0"/>
        <v>2326.0946249999997</v>
      </c>
    </row>
    <row r="16" spans="1:9" ht="13.9" x14ac:dyDescent="0.35">
      <c r="A16" s="289"/>
      <c r="B16" s="177">
        <v>3</v>
      </c>
      <c r="C16" s="177" t="s">
        <v>568</v>
      </c>
      <c r="D16" s="182">
        <v>1100</v>
      </c>
      <c r="E16" s="182">
        <v>2000</v>
      </c>
      <c r="F16" s="180">
        <v>2396.3833646445796</v>
      </c>
      <c r="H16" s="42">
        <v>832.37</v>
      </c>
      <c r="I16">
        <f t="shared" si="0"/>
        <v>3040.2314249999999</v>
      </c>
    </row>
    <row r="17" spans="1:9" ht="13.9" x14ac:dyDescent="0.35">
      <c r="A17" s="290"/>
      <c r="B17" s="177">
        <v>4</v>
      </c>
      <c r="C17" s="177" t="s">
        <v>568</v>
      </c>
      <c r="D17" s="182">
        <v>2000</v>
      </c>
      <c r="E17" s="182" t="s">
        <v>569</v>
      </c>
      <c r="F17" s="180">
        <v>6920.3119373160825</v>
      </c>
      <c r="H17" s="42">
        <v>2071.8000000000002</v>
      </c>
      <c r="I17">
        <f t="shared" si="0"/>
        <v>7567.2495000000008</v>
      </c>
    </row>
    <row r="18" spans="1:9" ht="13.5" x14ac:dyDescent="0.35">
      <c r="A18" s="291" t="s">
        <v>574</v>
      </c>
      <c r="B18" s="177">
        <v>1</v>
      </c>
      <c r="C18" s="177" t="s">
        <v>568</v>
      </c>
      <c r="D18" s="182">
        <v>0</v>
      </c>
      <c r="E18" s="182">
        <v>3500</v>
      </c>
      <c r="F18" s="180">
        <v>9237.9800161281564</v>
      </c>
    </row>
    <row r="19" spans="1:9" ht="13.5" x14ac:dyDescent="0.35">
      <c r="A19" s="292"/>
      <c r="B19" s="177">
        <v>2</v>
      </c>
      <c r="C19" s="177" t="s">
        <v>568</v>
      </c>
      <c r="D19" s="182">
        <v>3500</v>
      </c>
      <c r="E19" s="182">
        <v>11000</v>
      </c>
      <c r="F19" s="180">
        <v>44473.172302288607</v>
      </c>
    </row>
    <row r="20" spans="1:9" ht="13.5" x14ac:dyDescent="0.35">
      <c r="A20" s="292"/>
      <c r="B20" s="177">
        <v>3</v>
      </c>
      <c r="C20" s="177" t="s">
        <v>568</v>
      </c>
      <c r="D20" s="182">
        <v>11000</v>
      </c>
      <c r="E20" s="182">
        <v>20000</v>
      </c>
      <c r="F20" s="180">
        <v>120036.35145644013</v>
      </c>
    </row>
    <row r="21" spans="1:9" ht="13.5" x14ac:dyDescent="0.35">
      <c r="A21" s="293"/>
      <c r="B21" s="177">
        <v>4</v>
      </c>
      <c r="C21" s="177" t="s">
        <v>568</v>
      </c>
      <c r="D21" s="182">
        <v>20000</v>
      </c>
      <c r="E21" s="182" t="s">
        <v>569</v>
      </c>
      <c r="F21" s="180">
        <v>227029.21878279699</v>
      </c>
    </row>
    <row r="22" spans="1:9" x14ac:dyDescent="0.35">
      <c r="A22" t="s">
        <v>572</v>
      </c>
    </row>
  </sheetData>
  <mergeCells count="5">
    <mergeCell ref="A10:A13"/>
    <mergeCell ref="A14:A17"/>
    <mergeCell ref="A18:A21"/>
    <mergeCell ref="A6:A9"/>
    <mergeCell ref="A2:F2"/>
  </mergeCells>
  <hyperlinks>
    <hyperlink ref="A1" location="Overview!A1" display="Back to Overview" xr:uid="{00000000-0004-0000-0C00-000000000000}"/>
  </hyperlink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41"/>
  <sheetViews>
    <sheetView showGridLines="0" zoomScaleNormal="100" workbookViewId="0"/>
  </sheetViews>
  <sheetFormatPr defaultRowHeight="12.75" x14ac:dyDescent="0.35"/>
  <cols>
    <col min="1" max="1" width="44.86328125" customWidth="1"/>
    <col min="2" max="2" width="38.265625" customWidth="1"/>
  </cols>
  <sheetData>
    <row r="1" spans="1:2" x14ac:dyDescent="0.35">
      <c r="A1" s="154" t="s">
        <v>16</v>
      </c>
    </row>
    <row r="2" spans="1:2" ht="33" customHeight="1" x14ac:dyDescent="0.35">
      <c r="A2" s="257" t="str">
        <f>Overview!C4&amp;" - Effective from "&amp;Overview!D4&amp;" - "&amp;Overview!F4&amp;" TNUoS Mapping"</f>
        <v>2026/27 - Effective from 1 April 2026 -  TNUoS Mapping</v>
      </c>
      <c r="B2" s="259"/>
    </row>
    <row r="3" spans="1:2" ht="8.25" customHeight="1" x14ac:dyDescent="0.35"/>
    <row r="4" spans="1:2" ht="20.25" customHeight="1" x14ac:dyDescent="0.35">
      <c r="A4" s="175" t="s">
        <v>632</v>
      </c>
      <c r="B4" s="175" t="s">
        <v>633</v>
      </c>
    </row>
    <row r="5" spans="1:2" ht="15.75" customHeight="1" x14ac:dyDescent="0.35">
      <c r="A5" s="200" t="s">
        <v>631</v>
      </c>
      <c r="B5" s="200" t="s">
        <v>634</v>
      </c>
    </row>
    <row r="6" spans="1:2" ht="15.75" customHeight="1" x14ac:dyDescent="0.35">
      <c r="A6" s="201" t="s">
        <v>448</v>
      </c>
      <c r="B6" s="201" t="s">
        <v>635</v>
      </c>
    </row>
    <row r="7" spans="1:2" ht="15.75" customHeight="1" x14ac:dyDescent="0.35">
      <c r="A7" s="201" t="s">
        <v>578</v>
      </c>
      <c r="B7" s="201" t="str">
        <f>$B$6</f>
        <v>n/a (Non-Final Demand Site)</v>
      </c>
    </row>
    <row r="8" spans="1:2" ht="15.75" customHeight="1" x14ac:dyDescent="0.35">
      <c r="A8" s="200" t="s">
        <v>579</v>
      </c>
      <c r="B8" s="200" t="s">
        <v>636</v>
      </c>
    </row>
    <row r="9" spans="1:2" ht="15.75" customHeight="1" x14ac:dyDescent="0.35">
      <c r="A9" s="200" t="s">
        <v>580</v>
      </c>
      <c r="B9" s="200" t="s">
        <v>637</v>
      </c>
    </row>
    <row r="10" spans="1:2" ht="15.75" customHeight="1" x14ac:dyDescent="0.35">
      <c r="A10" s="200" t="s">
        <v>581</v>
      </c>
      <c r="B10" s="200" t="s">
        <v>638</v>
      </c>
    </row>
    <row r="11" spans="1:2" ht="15.75" customHeight="1" x14ac:dyDescent="0.35">
      <c r="A11" s="200" t="s">
        <v>582</v>
      </c>
      <c r="B11" s="200" t="s">
        <v>639</v>
      </c>
    </row>
    <row r="12" spans="1:2" ht="15.75" customHeight="1" x14ac:dyDescent="0.35">
      <c r="A12" s="201" t="s">
        <v>129</v>
      </c>
      <c r="B12" s="201" t="str">
        <f t="shared" ref="B12:B13" si="0">$B$6</f>
        <v>n/a (Non-Final Demand Site)</v>
      </c>
    </row>
    <row r="13" spans="1:2" ht="15.75" customHeight="1" x14ac:dyDescent="0.35">
      <c r="A13" s="201" t="s">
        <v>449</v>
      </c>
      <c r="B13" s="201" t="str">
        <f t="shared" si="0"/>
        <v>n/a (Non-Final Demand Site)</v>
      </c>
    </row>
    <row r="14" spans="1:2" ht="15.75" customHeight="1" x14ac:dyDescent="0.35">
      <c r="A14" s="200" t="s">
        <v>450</v>
      </c>
      <c r="B14" s="200" t="s">
        <v>640</v>
      </c>
    </row>
    <row r="15" spans="1:2" ht="15.75" customHeight="1" x14ac:dyDescent="0.35">
      <c r="A15" s="200" t="s">
        <v>451</v>
      </c>
      <c r="B15" s="200" t="s">
        <v>641</v>
      </c>
    </row>
    <row r="16" spans="1:2" ht="15.75" customHeight="1" x14ac:dyDescent="0.35">
      <c r="A16" s="200" t="s">
        <v>452</v>
      </c>
      <c r="B16" s="200" t="s">
        <v>642</v>
      </c>
    </row>
    <row r="17" spans="1:2" ht="15.75" customHeight="1" x14ac:dyDescent="0.35">
      <c r="A17" s="200" t="s">
        <v>453</v>
      </c>
      <c r="B17" s="200" t="s">
        <v>643</v>
      </c>
    </row>
    <row r="18" spans="1:2" ht="15.75" customHeight="1" x14ac:dyDescent="0.35">
      <c r="A18" s="201" t="s">
        <v>454</v>
      </c>
      <c r="B18" s="201" t="str">
        <f>$B$6</f>
        <v>n/a (Non-Final Demand Site)</v>
      </c>
    </row>
    <row r="19" spans="1:2" ht="15.75" customHeight="1" x14ac:dyDescent="0.35">
      <c r="A19" s="200" t="s">
        <v>455</v>
      </c>
      <c r="B19" s="200" t="s">
        <v>640</v>
      </c>
    </row>
    <row r="20" spans="1:2" ht="15.75" customHeight="1" x14ac:dyDescent="0.35">
      <c r="A20" s="200" t="s">
        <v>456</v>
      </c>
      <c r="B20" s="200" t="s">
        <v>641</v>
      </c>
    </row>
    <row r="21" spans="1:2" ht="15.75" customHeight="1" x14ac:dyDescent="0.35">
      <c r="A21" s="200" t="s">
        <v>457</v>
      </c>
      <c r="B21" s="200" t="s">
        <v>642</v>
      </c>
    </row>
    <row r="22" spans="1:2" ht="15.75" customHeight="1" x14ac:dyDescent="0.35">
      <c r="A22" s="200" t="s">
        <v>458</v>
      </c>
      <c r="B22" s="200" t="s">
        <v>643</v>
      </c>
    </row>
    <row r="23" spans="1:2" ht="15.75" customHeight="1" x14ac:dyDescent="0.35">
      <c r="A23" s="201" t="s">
        <v>459</v>
      </c>
      <c r="B23" s="201" t="str">
        <f>$B$6</f>
        <v>n/a (Non-Final Demand Site)</v>
      </c>
    </row>
    <row r="24" spans="1:2" ht="15.75" customHeight="1" x14ac:dyDescent="0.35">
      <c r="A24" s="200" t="s">
        <v>460</v>
      </c>
      <c r="B24" s="200" t="s">
        <v>644</v>
      </c>
    </row>
    <row r="25" spans="1:2" ht="15.75" customHeight="1" x14ac:dyDescent="0.35">
      <c r="A25" s="200" t="s">
        <v>461</v>
      </c>
      <c r="B25" s="200" t="s">
        <v>645</v>
      </c>
    </row>
    <row r="26" spans="1:2" ht="15.75" customHeight="1" x14ac:dyDescent="0.35">
      <c r="A26" s="200" t="s">
        <v>462</v>
      </c>
      <c r="B26" s="200" t="s">
        <v>646</v>
      </c>
    </row>
    <row r="27" spans="1:2" ht="15.75" customHeight="1" x14ac:dyDescent="0.35">
      <c r="A27" s="200" t="s">
        <v>463</v>
      </c>
      <c r="B27" s="200" t="s">
        <v>647</v>
      </c>
    </row>
    <row r="28" spans="1:2" ht="15.75" customHeight="1" x14ac:dyDescent="0.35">
      <c r="A28" s="201" t="s">
        <v>130</v>
      </c>
      <c r="B28" s="201" t="s">
        <v>648</v>
      </c>
    </row>
    <row r="29" spans="1:2" ht="15.75" customHeight="1" x14ac:dyDescent="0.35">
      <c r="A29" s="201" t="s">
        <v>131</v>
      </c>
      <c r="B29" s="201" t="str">
        <f t="shared" ref="B29:B37" si="1">$B$6</f>
        <v>n/a (Non-Final Demand Site)</v>
      </c>
    </row>
    <row r="30" spans="1:2" ht="15.75" customHeight="1" x14ac:dyDescent="0.35">
      <c r="A30" s="201" t="s">
        <v>132</v>
      </c>
      <c r="B30" s="201" t="str">
        <f t="shared" si="1"/>
        <v>n/a (Non-Final Demand Site)</v>
      </c>
    </row>
    <row r="31" spans="1:2" ht="15.75" customHeight="1" x14ac:dyDescent="0.35">
      <c r="A31" s="201" t="s">
        <v>133</v>
      </c>
      <c r="B31" s="201" t="str">
        <f t="shared" si="1"/>
        <v>n/a (Non-Final Demand Site)</v>
      </c>
    </row>
    <row r="32" spans="1:2" ht="15.75" customHeight="1" x14ac:dyDescent="0.35">
      <c r="A32" s="201" t="s">
        <v>134</v>
      </c>
      <c r="B32" s="201" t="str">
        <f t="shared" si="1"/>
        <v>n/a (Non-Final Demand Site)</v>
      </c>
    </row>
    <row r="33" spans="1:2" ht="15.75" customHeight="1" x14ac:dyDescent="0.35">
      <c r="A33" s="201" t="s">
        <v>135</v>
      </c>
      <c r="B33" s="201" t="str">
        <f t="shared" si="1"/>
        <v>n/a (Non-Final Demand Site)</v>
      </c>
    </row>
    <row r="34" spans="1:2" ht="15.75" customHeight="1" x14ac:dyDescent="0.35">
      <c r="A34" s="201" t="s">
        <v>136</v>
      </c>
      <c r="B34" s="201" t="str">
        <f t="shared" si="1"/>
        <v>n/a (Non-Final Demand Site)</v>
      </c>
    </row>
    <row r="35" spans="1:2" ht="15.75" customHeight="1" x14ac:dyDescent="0.35">
      <c r="A35" s="201" t="s">
        <v>137</v>
      </c>
      <c r="B35" s="201" t="str">
        <f t="shared" si="1"/>
        <v>n/a (Non-Final Demand Site)</v>
      </c>
    </row>
    <row r="36" spans="1:2" ht="15.75" customHeight="1" x14ac:dyDescent="0.35">
      <c r="A36" s="201" t="s">
        <v>138</v>
      </c>
      <c r="B36" s="201" t="str">
        <f t="shared" si="1"/>
        <v>n/a (Non-Final Demand Site)</v>
      </c>
    </row>
    <row r="37" spans="1:2" ht="15.75" customHeight="1" x14ac:dyDescent="0.35">
      <c r="A37" s="201" t="s">
        <v>653</v>
      </c>
      <c r="B37" s="201" t="str">
        <f t="shared" si="1"/>
        <v>n/a (Non-Final Demand Site)</v>
      </c>
    </row>
    <row r="38" spans="1:2" ht="15.75" customHeight="1" x14ac:dyDescent="0.35">
      <c r="A38" s="200" t="s">
        <v>654</v>
      </c>
      <c r="B38" s="200" t="s">
        <v>649</v>
      </c>
    </row>
    <row r="39" spans="1:2" ht="15.75" customHeight="1" x14ac:dyDescent="0.35">
      <c r="A39" s="200" t="s">
        <v>655</v>
      </c>
      <c r="B39" s="200" t="s">
        <v>650</v>
      </c>
    </row>
    <row r="40" spans="1:2" ht="15.75" customHeight="1" x14ac:dyDescent="0.35">
      <c r="A40" s="200" t="s">
        <v>656</v>
      </c>
      <c r="B40" s="200" t="s">
        <v>651</v>
      </c>
    </row>
    <row r="41" spans="1:2" ht="15.75" customHeight="1" x14ac:dyDescent="0.35">
      <c r="A41" s="200" t="s">
        <v>657</v>
      </c>
      <c r="B41" s="200" t="s">
        <v>652</v>
      </c>
    </row>
  </sheetData>
  <mergeCells count="1">
    <mergeCell ref="A2:B2"/>
  </mergeCells>
  <hyperlinks>
    <hyperlink ref="A1" location="Overview!A1" display="Back to Overview" xr:uid="{564C6D85-AEA0-441E-B605-C50AC13976D7}"/>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2">
    <pageSetUpPr fitToPage="1"/>
  </sheetPr>
  <dimension ref="A1:EW34"/>
  <sheetViews>
    <sheetView zoomScale="90" zoomScaleNormal="90" workbookViewId="0">
      <selection activeCell="B1" sqref="B1"/>
    </sheetView>
  </sheetViews>
  <sheetFormatPr defaultRowHeight="12.75" x14ac:dyDescent="0.35"/>
  <cols>
    <col min="1" max="1" width="2.3984375" customWidth="1"/>
    <col min="2" max="2" width="33.73046875" customWidth="1"/>
    <col min="3" max="4" width="14.1328125" customWidth="1"/>
    <col min="5" max="9" width="12.1328125" customWidth="1"/>
    <col min="10" max="10" width="5.59765625" customWidth="1"/>
    <col min="11" max="11" width="5.265625" customWidth="1"/>
    <col min="12" max="12" width="35.265625" customWidth="1"/>
    <col min="13" max="20" width="11.73046875" customWidth="1"/>
    <col min="28" max="35" width="9.1328125" hidden="1" customWidth="1"/>
  </cols>
  <sheetData>
    <row r="1" spans="1:153" x14ac:dyDescent="0.35">
      <c r="B1" s="91" t="s">
        <v>16</v>
      </c>
    </row>
    <row r="2" spans="1:153" s="2" customFormat="1" ht="21.75" customHeight="1" x14ac:dyDescent="0.35">
      <c r="B2" s="294" t="str">
        <f>Overview!B4&amp; " - Effective from "&amp;Overview!D4&amp;" - "&amp;Overview!E4</f>
        <v>South Eastern Power Networks - Effective from 1 April 2026 - Final</v>
      </c>
      <c r="C2" s="295"/>
      <c r="D2" s="295"/>
      <c r="E2" s="295"/>
      <c r="F2" s="295"/>
      <c r="G2" s="295"/>
      <c r="H2" s="295"/>
      <c r="I2" s="295"/>
      <c r="J2" s="295"/>
      <c r="K2" s="295"/>
      <c r="L2" s="295"/>
      <c r="M2" s="295"/>
      <c r="N2" s="295"/>
      <c r="O2" s="295"/>
      <c r="P2" s="295"/>
      <c r="Q2" s="295"/>
      <c r="R2" s="295"/>
      <c r="S2" s="295"/>
      <c r="T2" s="296"/>
      <c r="U2"/>
      <c r="V2"/>
      <c r="W2"/>
      <c r="X2"/>
      <c r="Y2"/>
      <c r="Z2"/>
      <c r="AA2"/>
      <c r="AB2" s="27" t="s">
        <v>116</v>
      </c>
      <c r="AC2" s="52" t="s">
        <v>141</v>
      </c>
      <c r="AD2" s="52" t="s">
        <v>143</v>
      </c>
      <c r="AE2" s="52" t="s">
        <v>142</v>
      </c>
      <c r="AF2" s="14" t="s">
        <v>21</v>
      </c>
      <c r="AG2" s="14" t="s">
        <v>22</v>
      </c>
      <c r="AH2" s="27" t="s">
        <v>117</v>
      </c>
      <c r="AI2" s="14" t="s">
        <v>28</v>
      </c>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row>
    <row r="3" spans="1:153" s="107" customFormat="1" ht="9" customHeight="1" x14ac:dyDescent="0.35">
      <c r="A3" s="106"/>
      <c r="B3" s="106"/>
      <c r="C3" s="106"/>
      <c r="D3" s="106"/>
      <c r="E3" s="106"/>
      <c r="F3" s="106"/>
      <c r="G3" s="106"/>
      <c r="H3" s="106"/>
      <c r="I3" s="106"/>
      <c r="J3" s="106"/>
      <c r="K3" s="106"/>
      <c r="L3"/>
      <c r="M3"/>
      <c r="N3"/>
      <c r="O3"/>
      <c r="P3"/>
      <c r="Q3"/>
      <c r="R3"/>
      <c r="S3"/>
      <c r="T3"/>
      <c r="U3"/>
      <c r="V3"/>
      <c r="W3"/>
      <c r="X3"/>
      <c r="Y3"/>
      <c r="Z3"/>
      <c r="AA3"/>
      <c r="AB3" s="16" t="s">
        <v>631</v>
      </c>
      <c r="AC3" s="140" t="s">
        <v>147</v>
      </c>
      <c r="AD3" s="141" t="s">
        <v>149</v>
      </c>
      <c r="AE3" s="142" t="s">
        <v>142</v>
      </c>
      <c r="AF3" s="148" t="s">
        <v>151</v>
      </c>
      <c r="AG3" s="143" t="s">
        <v>154</v>
      </c>
      <c r="AH3" s="143" t="s">
        <v>154</v>
      </c>
      <c r="AI3" s="144" t="s">
        <v>154</v>
      </c>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row>
    <row r="4" spans="1:153" ht="26.25" customHeight="1" x14ac:dyDescent="0.35">
      <c r="B4" s="300" t="s">
        <v>145</v>
      </c>
      <c r="C4" s="301"/>
      <c r="D4" s="301"/>
      <c r="E4" s="301"/>
      <c r="F4" s="301"/>
      <c r="G4" s="301"/>
      <c r="H4" s="301"/>
      <c r="I4" s="302"/>
      <c r="L4" s="300" t="s">
        <v>146</v>
      </c>
      <c r="M4" s="301"/>
      <c r="N4" s="301"/>
      <c r="O4" s="301"/>
      <c r="P4" s="301"/>
      <c r="Q4" s="301"/>
      <c r="R4" s="301"/>
      <c r="S4" s="301"/>
      <c r="T4" s="302"/>
      <c r="AB4" s="16" t="s">
        <v>448</v>
      </c>
      <c r="AC4" s="140" t="s">
        <v>147</v>
      </c>
      <c r="AD4" s="141" t="s">
        <v>149</v>
      </c>
      <c r="AE4" s="142" t="s">
        <v>142</v>
      </c>
      <c r="AF4" s="143" t="s">
        <v>154</v>
      </c>
      <c r="AG4" s="143" t="s">
        <v>154</v>
      </c>
      <c r="AH4" s="143" t="s">
        <v>154</v>
      </c>
      <c r="AI4" s="144" t="s">
        <v>154</v>
      </c>
    </row>
    <row r="5" spans="1:153" ht="27.75" customHeight="1" x14ac:dyDescent="0.35">
      <c r="B5" s="303" t="s">
        <v>94</v>
      </c>
      <c r="C5" s="303"/>
      <c r="D5" s="303"/>
      <c r="E5" s="303"/>
      <c r="F5" s="303"/>
      <c r="G5" s="303"/>
      <c r="H5" s="303"/>
      <c r="I5" s="303"/>
      <c r="L5" s="238" t="s">
        <v>696</v>
      </c>
      <c r="M5" s="238"/>
      <c r="N5" s="238"/>
      <c r="O5" s="238"/>
      <c r="P5" s="238"/>
      <c r="Q5" s="238"/>
      <c r="R5" s="238"/>
      <c r="S5" s="238"/>
      <c r="T5" s="238"/>
      <c r="AB5" s="16" t="s">
        <v>578</v>
      </c>
      <c r="AC5" s="140" t="s">
        <v>147</v>
      </c>
      <c r="AD5" s="141" t="s">
        <v>149</v>
      </c>
      <c r="AE5" s="142" t="s">
        <v>142</v>
      </c>
      <c r="AF5" s="148" t="s">
        <v>151</v>
      </c>
      <c r="AG5" s="143" t="s">
        <v>154</v>
      </c>
      <c r="AH5" s="143" t="s">
        <v>154</v>
      </c>
      <c r="AI5" s="144" t="s">
        <v>154</v>
      </c>
    </row>
    <row r="6" spans="1:153" s="108" customFormat="1" ht="27.75" customHeight="1" x14ac:dyDescent="0.35">
      <c r="B6" s="238" t="s">
        <v>694</v>
      </c>
      <c r="C6" s="238"/>
      <c r="D6" s="238"/>
      <c r="E6" s="238"/>
      <c r="F6" s="238"/>
      <c r="G6" s="238"/>
      <c r="H6" s="238"/>
      <c r="I6" s="238"/>
      <c r="L6" s="238" t="s">
        <v>695</v>
      </c>
      <c r="M6" s="238"/>
      <c r="N6" s="238"/>
      <c r="O6" s="238"/>
      <c r="P6" s="238"/>
      <c r="Q6" s="238"/>
      <c r="R6" s="238"/>
      <c r="S6" s="238"/>
      <c r="T6" s="238"/>
      <c r="AB6" s="16" t="s">
        <v>579</v>
      </c>
      <c r="AC6" s="140" t="s">
        <v>147</v>
      </c>
      <c r="AD6" s="141" t="s">
        <v>149</v>
      </c>
      <c r="AE6" s="142" t="s">
        <v>142</v>
      </c>
      <c r="AF6" s="148" t="s">
        <v>151</v>
      </c>
      <c r="AG6" s="143" t="s">
        <v>154</v>
      </c>
      <c r="AH6" s="143" t="s">
        <v>154</v>
      </c>
      <c r="AI6" s="144" t="s">
        <v>154</v>
      </c>
    </row>
    <row r="7" spans="1:153" ht="18" customHeight="1" x14ac:dyDescent="0.35">
      <c r="B7" s="303" t="s">
        <v>95</v>
      </c>
      <c r="C7" s="303"/>
      <c r="D7" s="303"/>
      <c r="E7" s="303"/>
      <c r="F7" s="303"/>
      <c r="G7" s="303"/>
      <c r="H7" s="303"/>
      <c r="I7" s="303"/>
      <c r="L7" s="303" t="s">
        <v>96</v>
      </c>
      <c r="M7" s="303"/>
      <c r="N7" s="303"/>
      <c r="O7" s="303"/>
      <c r="P7" s="303"/>
      <c r="Q7" s="303"/>
      <c r="R7" s="303"/>
      <c r="S7" s="303"/>
      <c r="T7" s="303"/>
      <c r="AB7" s="16" t="s">
        <v>580</v>
      </c>
      <c r="AC7" s="140" t="s">
        <v>147</v>
      </c>
      <c r="AD7" s="141" t="s">
        <v>149</v>
      </c>
      <c r="AE7" s="142" t="s">
        <v>142</v>
      </c>
      <c r="AF7" s="148" t="s">
        <v>151</v>
      </c>
      <c r="AG7" s="143" t="s">
        <v>154</v>
      </c>
      <c r="AH7" s="143" t="s">
        <v>154</v>
      </c>
      <c r="AI7" s="144" t="s">
        <v>154</v>
      </c>
    </row>
    <row r="8" spans="1:153" ht="8.25" customHeight="1" x14ac:dyDescent="0.35">
      <c r="AB8" s="16" t="s">
        <v>581</v>
      </c>
      <c r="AC8" s="140" t="s">
        <v>147</v>
      </c>
      <c r="AD8" s="141" t="s">
        <v>149</v>
      </c>
      <c r="AE8" s="142" t="s">
        <v>142</v>
      </c>
      <c r="AF8" s="148" t="s">
        <v>151</v>
      </c>
      <c r="AG8" s="143" t="s">
        <v>154</v>
      </c>
      <c r="AH8" s="143" t="s">
        <v>154</v>
      </c>
      <c r="AI8" s="144" t="s">
        <v>154</v>
      </c>
    </row>
    <row r="9" spans="1:153" ht="72" customHeight="1" x14ac:dyDescent="0.35">
      <c r="B9" s="109" t="s">
        <v>97</v>
      </c>
      <c r="C9" s="110" t="str">
        <f>IFERROR(_xlfn.XLOOKUP($B$10,$AB$2:$AB$34,AC$2:AC$34),AC2)</f>
        <v>Red/black unit charge
p/kWh</v>
      </c>
      <c r="D9" s="110" t="str">
        <f t="shared" ref="D9:I9" si="0">IFERROR(_xlfn.XLOOKUP($B$10,$AB$2:$AB$34,AD$2:AD$34),AD2)</f>
        <v>Amber/yellow unit charge
p/kWh</v>
      </c>
      <c r="E9" s="110" t="str">
        <f t="shared" si="0"/>
        <v>Green unit charge
p/kWh</v>
      </c>
      <c r="F9" s="110" t="str">
        <f t="shared" si="0"/>
        <v>Fixed charge p/MPAN/day</v>
      </c>
      <c r="G9" s="110" t="str">
        <f t="shared" si="0"/>
        <v>Capacity charge p/kVA/day</v>
      </c>
      <c r="H9" s="110" t="str">
        <f t="shared" si="0"/>
        <v>Exceeded capacity charge
p/kVA/day</v>
      </c>
      <c r="I9" s="110" t="str">
        <f t="shared" si="0"/>
        <v>Reactive power charge
p/kVArh</v>
      </c>
      <c r="L9" s="109" t="s">
        <v>98</v>
      </c>
      <c r="M9" s="127" t="str">
        <f>'Annex 2 Designated EHV charges'!I9</f>
        <v>Import
Super Red
unit charge
(p/kWh)</v>
      </c>
      <c r="N9" s="127" t="str">
        <f>'Annex 2 Designated EHV charges'!J9</f>
        <v>Import
fixed charge
(p/day)</v>
      </c>
      <c r="O9" s="127" t="str">
        <f>'Annex 2 Designated EHV charges'!K9</f>
        <v>Import
capacity charge
(p/kVA/day)</v>
      </c>
      <c r="P9" s="127" t="str">
        <f>'Annex 2 Designated EHV charges'!L9</f>
        <v>Import
exceeded capacity charge
(p/kVA/day)</v>
      </c>
      <c r="Q9" s="128" t="str">
        <f>'Annex 2 Designated EHV charges'!M9</f>
        <v>Export
Super Red
unit charge
(p/kWh)</v>
      </c>
      <c r="R9" s="128" t="str">
        <f>'Annex 2 Designated EHV charges'!N9</f>
        <v>Export
fixed charge
(p/day)</v>
      </c>
      <c r="S9" s="128" t="str">
        <f>'Annex 2 Designated EHV charges'!O9</f>
        <v>Export
capacity charge
(p/kVA/day)</v>
      </c>
      <c r="T9" s="128" t="str">
        <f>'Annex 2 Designated EHV charges'!P9</f>
        <v>Export
exceeded capacity charge
(p/kVA/day)</v>
      </c>
      <c r="AB9" s="16" t="s">
        <v>582</v>
      </c>
      <c r="AC9" s="140" t="s">
        <v>147</v>
      </c>
      <c r="AD9" s="141" t="s">
        <v>149</v>
      </c>
      <c r="AE9" s="142" t="s">
        <v>142</v>
      </c>
      <c r="AF9" s="148" t="s">
        <v>151</v>
      </c>
      <c r="AG9" s="143" t="s">
        <v>154</v>
      </c>
      <c r="AH9" s="143" t="s">
        <v>154</v>
      </c>
      <c r="AI9" s="144" t="s">
        <v>154</v>
      </c>
    </row>
    <row r="10" spans="1:153" ht="30" customHeight="1" x14ac:dyDescent="0.35">
      <c r="B10" s="100"/>
      <c r="C10" s="124" t="str">
        <f>IFERROR(VLOOKUP($B$10,'Annex 1 LV, HV and UMS charges'!$A:$K,4,FALSE),"")</f>
        <v/>
      </c>
      <c r="D10" s="125" t="str">
        <f>IFERROR(VLOOKUP($B$10,'Annex 1 LV, HV and UMS charges'!$A:$K,5,FALSE),"")</f>
        <v/>
      </c>
      <c r="E10" s="125" t="str">
        <f>IFERROR(VLOOKUP($B$10,'Annex 1 LV, HV and UMS charges'!$A:$K,6,FALSE),"")</f>
        <v/>
      </c>
      <c r="F10" s="102" t="str">
        <f>IFERROR(VLOOKUP($B$10,'Annex 1 LV, HV and UMS charges'!$A:$K,7,FALSE),"")</f>
        <v/>
      </c>
      <c r="G10" s="102" t="str">
        <f>IFERROR(VLOOKUP($B$10,'Annex 1 LV, HV and UMS charges'!$A:$K,8,FALSE),"")</f>
        <v/>
      </c>
      <c r="H10" s="102" t="str">
        <f>IFERROR(VLOOKUP($B$10,'Annex 1 LV, HV and UMS charges'!$A:$K,9,FALSE),"")</f>
        <v/>
      </c>
      <c r="I10" s="202" t="str">
        <f>IFERROR(VLOOKUP($B$10,'Annex 1 LV, HV and UMS charges'!$A:$K,10,FALSE),"")</f>
        <v/>
      </c>
      <c r="L10" s="100"/>
      <c r="M10" s="202">
        <f>IFERROR(_xlfn.XLOOKUP($L$10,'Annex 2 Designated EHV charges'!$G:$G,'Annex 2 Designated EHV charges'!I:I),"")</f>
        <v>0</v>
      </c>
      <c r="N10" s="102">
        <f>IFERROR(_xlfn.XLOOKUP($L$10,'Annex 2 Designated EHV charges'!$G:$G,'Annex 2 Designated EHV charges'!J:J),"")</f>
        <v>0</v>
      </c>
      <c r="O10" s="102">
        <f>IFERROR(_xlfn.XLOOKUP($L$10,'Annex 2 Designated EHV charges'!$G:$G,'Annex 2 Designated EHV charges'!K:K),"")</f>
        <v>0</v>
      </c>
      <c r="P10" s="102">
        <f>IFERROR(_xlfn.XLOOKUP($L$10,'Annex 2 Designated EHV charges'!$G:$G,'Annex 2 Designated EHV charges'!L:L),"")</f>
        <v>0</v>
      </c>
      <c r="Q10" s="203">
        <f>IFERROR(_xlfn.XLOOKUP($L$10,'Annex 2 Designated EHV charges'!$G:$G,'Annex 2 Designated EHV charges'!M:M),"")</f>
        <v>0</v>
      </c>
      <c r="R10" s="112">
        <f>IFERROR(_xlfn.XLOOKUP($L$10,'Annex 2 Designated EHV charges'!$G:$G,'Annex 2 Designated EHV charges'!N:N),"")</f>
        <v>0</v>
      </c>
      <c r="S10" s="112">
        <f>IFERROR(_xlfn.XLOOKUP($L$10,'Annex 2 Designated EHV charges'!$G:$G,'Annex 2 Designated EHV charges'!O:O),"")</f>
        <v>0</v>
      </c>
      <c r="T10" s="112">
        <f>IFERROR(_xlfn.XLOOKUP($L$10,'Annex 2 Designated EHV charges'!$G:$G,'Annex 2 Designated EHV charges'!P:P),"")</f>
        <v>0</v>
      </c>
      <c r="AB10" s="16" t="s">
        <v>129</v>
      </c>
      <c r="AC10" s="140" t="s">
        <v>147</v>
      </c>
      <c r="AD10" s="141" t="s">
        <v>149</v>
      </c>
      <c r="AE10" s="142" t="s">
        <v>142</v>
      </c>
      <c r="AF10" s="143" t="s">
        <v>154</v>
      </c>
      <c r="AG10" s="143" t="s">
        <v>154</v>
      </c>
      <c r="AH10" s="143" t="s">
        <v>154</v>
      </c>
      <c r="AI10" s="144" t="s">
        <v>154</v>
      </c>
    </row>
    <row r="11" spans="1:153" ht="7.5" customHeight="1" x14ac:dyDescent="0.35">
      <c r="AB11" s="16" t="s">
        <v>449</v>
      </c>
      <c r="AC11" s="140" t="s">
        <v>147</v>
      </c>
      <c r="AD11" s="141" t="s">
        <v>149</v>
      </c>
      <c r="AE11" s="142" t="s">
        <v>142</v>
      </c>
      <c r="AF11" s="148" t="s">
        <v>151</v>
      </c>
      <c r="AG11" s="148" t="s">
        <v>152</v>
      </c>
      <c r="AH11" s="149" t="s">
        <v>153</v>
      </c>
      <c r="AI11" s="150" t="s">
        <v>28</v>
      </c>
    </row>
    <row r="12" spans="1:153" ht="88.5" customHeight="1" x14ac:dyDescent="0.35">
      <c r="B12" s="113" t="s">
        <v>64</v>
      </c>
      <c r="C12" s="110" t="str">
        <f>C9</f>
        <v>Red/black unit charge
p/kWh</v>
      </c>
      <c r="D12" s="110" t="str">
        <f>D9</f>
        <v>Amber/yellow unit charge
p/kWh</v>
      </c>
      <c r="E12" s="110" t="str">
        <f>E9</f>
        <v>Green unit charge
p/kWh</v>
      </c>
      <c r="F12" s="110" t="s">
        <v>65</v>
      </c>
      <c r="G12" s="110" t="s">
        <v>62</v>
      </c>
      <c r="H12" s="110" t="s">
        <v>120</v>
      </c>
      <c r="I12" s="110" t="s">
        <v>63</v>
      </c>
      <c r="L12" s="113" t="s">
        <v>64</v>
      </c>
      <c r="M12" s="110" t="s">
        <v>84</v>
      </c>
      <c r="N12" s="110" t="s">
        <v>65</v>
      </c>
      <c r="O12" s="110" t="s">
        <v>80</v>
      </c>
      <c r="P12" s="110" t="s">
        <v>120</v>
      </c>
      <c r="Q12" s="111" t="s">
        <v>82</v>
      </c>
      <c r="R12" s="111" t="s">
        <v>65</v>
      </c>
      <c r="S12" s="111" t="s">
        <v>81</v>
      </c>
      <c r="T12" s="111" t="s">
        <v>120</v>
      </c>
      <c r="AB12" s="16" t="s">
        <v>450</v>
      </c>
      <c r="AC12" s="140" t="s">
        <v>147</v>
      </c>
      <c r="AD12" s="141" t="s">
        <v>149</v>
      </c>
      <c r="AE12" s="142" t="s">
        <v>142</v>
      </c>
      <c r="AF12" s="148" t="s">
        <v>151</v>
      </c>
      <c r="AG12" s="148" t="s">
        <v>152</v>
      </c>
      <c r="AH12" s="149" t="s">
        <v>153</v>
      </c>
      <c r="AI12" s="150" t="s">
        <v>28</v>
      </c>
    </row>
    <row r="13" spans="1:153" ht="30" customHeight="1" x14ac:dyDescent="0.35">
      <c r="B13" s="114" t="s">
        <v>66</v>
      </c>
      <c r="C13" s="119"/>
      <c r="D13" s="119"/>
      <c r="E13" s="119"/>
      <c r="F13" s="119"/>
      <c r="G13" s="119"/>
      <c r="H13" s="119"/>
      <c r="I13" s="119"/>
      <c r="L13" s="114" t="s">
        <v>66</v>
      </c>
      <c r="M13" s="103"/>
      <c r="N13" s="103"/>
      <c r="O13" s="103"/>
      <c r="P13" s="103"/>
      <c r="Q13" s="104"/>
      <c r="R13" s="104">
        <f>N13</f>
        <v>0</v>
      </c>
      <c r="S13" s="104"/>
      <c r="T13" s="104"/>
      <c r="AB13" s="16" t="s">
        <v>451</v>
      </c>
      <c r="AC13" s="140" t="s">
        <v>147</v>
      </c>
      <c r="AD13" s="141" t="s">
        <v>149</v>
      </c>
      <c r="AE13" s="142" t="s">
        <v>142</v>
      </c>
      <c r="AF13" s="148" t="s">
        <v>151</v>
      </c>
      <c r="AG13" s="148" t="s">
        <v>152</v>
      </c>
      <c r="AH13" s="149" t="s">
        <v>153</v>
      </c>
      <c r="AI13" s="150" t="s">
        <v>28</v>
      </c>
    </row>
    <row r="14" spans="1:153" ht="30" customHeight="1" x14ac:dyDescent="0.35">
      <c r="B14" s="115" t="s">
        <v>68</v>
      </c>
      <c r="C14" s="101">
        <f t="shared" ref="C14:I14" si="1">C13</f>
        <v>0</v>
      </c>
      <c r="D14" s="101">
        <f t="shared" si="1"/>
        <v>0</v>
      </c>
      <c r="E14" s="101">
        <f t="shared" si="1"/>
        <v>0</v>
      </c>
      <c r="F14" s="101">
        <f t="shared" si="1"/>
        <v>0</v>
      </c>
      <c r="G14" s="101">
        <f t="shared" si="1"/>
        <v>0</v>
      </c>
      <c r="H14" s="206">
        <f t="shared" si="1"/>
        <v>0</v>
      </c>
      <c r="I14" s="206">
        <f t="shared" si="1"/>
        <v>0</v>
      </c>
      <c r="L14" s="115" t="s">
        <v>68</v>
      </c>
      <c r="M14" s="101">
        <f>M13</f>
        <v>0</v>
      </c>
      <c r="N14" s="101">
        <f t="shared" ref="N14:T14" si="2">N13</f>
        <v>0</v>
      </c>
      <c r="O14" s="101">
        <f t="shared" si="2"/>
        <v>0</v>
      </c>
      <c r="P14" s="101">
        <f t="shared" si="2"/>
        <v>0</v>
      </c>
      <c r="Q14" s="105">
        <f t="shared" si="2"/>
        <v>0</v>
      </c>
      <c r="R14" s="105">
        <f t="shared" si="2"/>
        <v>0</v>
      </c>
      <c r="S14" s="105">
        <f t="shared" si="2"/>
        <v>0</v>
      </c>
      <c r="T14" s="105">
        <f t="shared" si="2"/>
        <v>0</v>
      </c>
      <c r="AB14" s="16" t="s">
        <v>452</v>
      </c>
      <c r="AC14" s="140" t="s">
        <v>147</v>
      </c>
      <c r="AD14" s="141" t="s">
        <v>149</v>
      </c>
      <c r="AE14" s="142" t="s">
        <v>142</v>
      </c>
      <c r="AF14" s="148" t="s">
        <v>151</v>
      </c>
      <c r="AG14" s="148" t="s">
        <v>152</v>
      </c>
      <c r="AH14" s="149" t="s">
        <v>153</v>
      </c>
      <c r="AI14" s="150" t="s">
        <v>28</v>
      </c>
    </row>
    <row r="15" spans="1:153" ht="7.5" customHeight="1" x14ac:dyDescent="0.35">
      <c r="AB15" s="16" t="s">
        <v>453</v>
      </c>
      <c r="AC15" s="140" t="s">
        <v>147</v>
      </c>
      <c r="AD15" s="141" t="s">
        <v>149</v>
      </c>
      <c r="AE15" s="142" t="s">
        <v>142</v>
      </c>
      <c r="AF15" s="148" t="s">
        <v>151</v>
      </c>
      <c r="AG15" s="148" t="s">
        <v>152</v>
      </c>
      <c r="AH15" s="149" t="s">
        <v>153</v>
      </c>
      <c r="AI15" s="150" t="s">
        <v>28</v>
      </c>
    </row>
    <row r="16" spans="1:153" ht="63.75" customHeight="1" x14ac:dyDescent="0.35">
      <c r="B16" s="113" t="s">
        <v>67</v>
      </c>
      <c r="C16" s="110" t="s">
        <v>77</v>
      </c>
      <c r="D16" s="110" t="s">
        <v>78</v>
      </c>
      <c r="E16" s="110" t="s">
        <v>79</v>
      </c>
      <c r="F16" s="110" t="s">
        <v>73</v>
      </c>
      <c r="G16" s="110" t="s">
        <v>72</v>
      </c>
      <c r="H16" s="110" t="s">
        <v>121</v>
      </c>
      <c r="I16" s="110" t="s">
        <v>71</v>
      </c>
      <c r="L16" s="113" t="s">
        <v>67</v>
      </c>
      <c r="M16" s="110" t="s">
        <v>85</v>
      </c>
      <c r="N16" s="110" t="s">
        <v>83</v>
      </c>
      <c r="O16" s="110" t="s">
        <v>88</v>
      </c>
      <c r="P16" s="110" t="s">
        <v>122</v>
      </c>
      <c r="Q16" s="111" t="s">
        <v>86</v>
      </c>
      <c r="R16" s="111" t="s">
        <v>87</v>
      </c>
      <c r="S16" s="111" t="s">
        <v>89</v>
      </c>
      <c r="T16" s="111" t="s">
        <v>123</v>
      </c>
      <c r="AB16" s="16" t="s">
        <v>454</v>
      </c>
      <c r="AC16" s="140" t="s">
        <v>147</v>
      </c>
      <c r="AD16" s="141" t="s">
        <v>149</v>
      </c>
      <c r="AE16" s="142" t="s">
        <v>142</v>
      </c>
      <c r="AF16" s="148" t="s">
        <v>151</v>
      </c>
      <c r="AG16" s="148" t="s">
        <v>152</v>
      </c>
      <c r="AH16" s="149" t="s">
        <v>153</v>
      </c>
      <c r="AI16" s="150" t="s">
        <v>28</v>
      </c>
    </row>
    <row r="17" spans="2:35" ht="30" customHeight="1" x14ac:dyDescent="0.35">
      <c r="B17" s="114" t="s">
        <v>69</v>
      </c>
      <c r="C17" s="120" t="str">
        <f>IFERROR(C10*C13/100,"")</f>
        <v/>
      </c>
      <c r="D17" s="120" t="str">
        <f t="shared" ref="D17:I17" si="3">IFERROR(D10*D13/100,"")</f>
        <v/>
      </c>
      <c r="E17" s="120" t="str">
        <f t="shared" si="3"/>
        <v/>
      </c>
      <c r="F17" s="120" t="str">
        <f t="shared" si="3"/>
        <v/>
      </c>
      <c r="G17" s="120" t="str">
        <f>IFERROR(G10*G13*F13/100,"")</f>
        <v/>
      </c>
      <c r="H17" s="120" t="str">
        <f>IFERROR(H10*H13*F13/100,"")</f>
        <v/>
      </c>
      <c r="I17" s="120" t="str">
        <f t="shared" si="3"/>
        <v/>
      </c>
      <c r="L17" s="116" t="s">
        <v>69</v>
      </c>
      <c r="M17" s="120">
        <f>IFERROR(M10*M13/100,"")</f>
        <v>0</v>
      </c>
      <c r="N17" s="120">
        <f>IFERROR(N10*N13/100,"")</f>
        <v>0</v>
      </c>
      <c r="O17" s="120">
        <f>IFERROR(O10*O13*N13/100,"")</f>
        <v>0</v>
      </c>
      <c r="P17" s="120">
        <f>IFERROR(P10*P13*N13/100,"")</f>
        <v>0</v>
      </c>
      <c r="Q17" s="121">
        <f>IFERROR(Q10*Q13/100,"")</f>
        <v>0</v>
      </c>
      <c r="R17" s="121">
        <f>IFERROR(R10*R13/100,"")</f>
        <v>0</v>
      </c>
      <c r="S17" s="121">
        <f>IFERROR(S10*S13*R13/100,"")</f>
        <v>0</v>
      </c>
      <c r="T17" s="121">
        <f>IFERROR(T10*T13*R13/100,"")</f>
        <v>0</v>
      </c>
      <c r="AB17" s="16" t="s">
        <v>455</v>
      </c>
      <c r="AC17" s="140" t="s">
        <v>147</v>
      </c>
      <c r="AD17" s="141" t="s">
        <v>149</v>
      </c>
      <c r="AE17" s="142" t="s">
        <v>142</v>
      </c>
      <c r="AF17" s="148" t="s">
        <v>151</v>
      </c>
      <c r="AG17" s="148" t="s">
        <v>152</v>
      </c>
      <c r="AH17" s="149" t="s">
        <v>153</v>
      </c>
      <c r="AI17" s="150" t="s">
        <v>28</v>
      </c>
    </row>
    <row r="18" spans="2:35" ht="30" customHeight="1" x14ac:dyDescent="0.35">
      <c r="B18" s="115" t="s">
        <v>70</v>
      </c>
      <c r="C18" s="122" t="str">
        <f>IFERROR(C10*C14/100,"")</f>
        <v/>
      </c>
      <c r="D18" s="122" t="str">
        <f t="shared" ref="D18:I18" si="4">IFERROR(D10*D14/100,"")</f>
        <v/>
      </c>
      <c r="E18" s="122" t="str">
        <f t="shared" si="4"/>
        <v/>
      </c>
      <c r="F18" s="122" t="str">
        <f t="shared" si="4"/>
        <v/>
      </c>
      <c r="G18" s="122" t="str">
        <f>IFERROR(G10*G14*F14/100,"")</f>
        <v/>
      </c>
      <c r="H18" s="122" t="str">
        <f>IFERROR(H10*H14*F14/100,"")</f>
        <v/>
      </c>
      <c r="I18" s="122" t="str">
        <f t="shared" si="4"/>
        <v/>
      </c>
      <c r="L18" s="117" t="s">
        <v>70</v>
      </c>
      <c r="M18" s="122">
        <f>IFERROR(M10*M14/100,"")</f>
        <v>0</v>
      </c>
      <c r="N18" s="122">
        <f>IFERROR(N10*N14/100,"")</f>
        <v>0</v>
      </c>
      <c r="O18" s="122">
        <f>IFERROR(O10*O14*N14/100,"")</f>
        <v>0</v>
      </c>
      <c r="P18" s="122">
        <f>IFERROR(P10*P14*N14/100,"")</f>
        <v>0</v>
      </c>
      <c r="Q18" s="123">
        <f>IFERROR(Q10*Q14/100,"")</f>
        <v>0</v>
      </c>
      <c r="R18" s="123">
        <f>IFERROR(R10*R14/100,"")</f>
        <v>0</v>
      </c>
      <c r="S18" s="123">
        <f>IFERROR(S10*S14*R14/100,"")</f>
        <v>0</v>
      </c>
      <c r="T18" s="123">
        <f>IFERROR(T10*T14*R14/100,"")</f>
        <v>0</v>
      </c>
      <c r="AB18" s="16" t="s">
        <v>456</v>
      </c>
      <c r="AC18" s="140" t="s">
        <v>147</v>
      </c>
      <c r="AD18" s="141" t="s">
        <v>149</v>
      </c>
      <c r="AE18" s="142" t="s">
        <v>142</v>
      </c>
      <c r="AF18" s="148" t="s">
        <v>151</v>
      </c>
      <c r="AG18" s="148" t="s">
        <v>152</v>
      </c>
      <c r="AH18" s="149" t="s">
        <v>153</v>
      </c>
      <c r="AI18" s="150" t="s">
        <v>28</v>
      </c>
    </row>
    <row r="19" spans="2:35" ht="7.5" customHeight="1" x14ac:dyDescent="0.35">
      <c r="AB19" s="16" t="s">
        <v>457</v>
      </c>
      <c r="AC19" s="140" t="s">
        <v>147</v>
      </c>
      <c r="AD19" s="141" t="s">
        <v>149</v>
      </c>
      <c r="AE19" s="142" t="s">
        <v>142</v>
      </c>
      <c r="AF19" s="148" t="s">
        <v>151</v>
      </c>
      <c r="AG19" s="148" t="s">
        <v>152</v>
      </c>
      <c r="AH19" s="149" t="s">
        <v>153</v>
      </c>
      <c r="AI19" s="150" t="s">
        <v>28</v>
      </c>
    </row>
    <row r="20" spans="2:35" ht="39.75" customHeight="1" x14ac:dyDescent="0.35">
      <c r="C20" s="118" t="s">
        <v>74</v>
      </c>
      <c r="M20" s="110" t="s">
        <v>90</v>
      </c>
      <c r="N20" s="111" t="s">
        <v>91</v>
      </c>
      <c r="AB20" s="16" t="s">
        <v>458</v>
      </c>
      <c r="AC20" s="140" t="s">
        <v>147</v>
      </c>
      <c r="AD20" s="141" t="s">
        <v>149</v>
      </c>
      <c r="AE20" s="142" t="s">
        <v>142</v>
      </c>
      <c r="AF20" s="148" t="s">
        <v>151</v>
      </c>
      <c r="AG20" s="148" t="s">
        <v>152</v>
      </c>
      <c r="AH20" s="149" t="s">
        <v>153</v>
      </c>
      <c r="AI20" s="150" t="s">
        <v>28</v>
      </c>
    </row>
    <row r="21" spans="2:35" ht="30" customHeight="1" x14ac:dyDescent="0.35">
      <c r="B21" s="114" t="s">
        <v>69</v>
      </c>
      <c r="C21" s="120">
        <f>SUM(C17:I17)</f>
        <v>0</v>
      </c>
      <c r="L21" s="114" t="s">
        <v>69</v>
      </c>
      <c r="M21" s="120">
        <f>SUM(M17:P17)</f>
        <v>0</v>
      </c>
      <c r="N21" s="121">
        <f>SUM(Q17:T17)</f>
        <v>0</v>
      </c>
      <c r="AB21" s="16" t="s">
        <v>459</v>
      </c>
      <c r="AC21" s="140" t="s">
        <v>147</v>
      </c>
      <c r="AD21" s="141" t="s">
        <v>149</v>
      </c>
      <c r="AE21" s="142" t="s">
        <v>142</v>
      </c>
      <c r="AF21" s="148" t="s">
        <v>151</v>
      </c>
      <c r="AG21" s="148" t="s">
        <v>152</v>
      </c>
      <c r="AH21" s="149" t="s">
        <v>153</v>
      </c>
      <c r="AI21" s="150" t="s">
        <v>28</v>
      </c>
    </row>
    <row r="22" spans="2:35" ht="30" customHeight="1" x14ac:dyDescent="0.35">
      <c r="B22" s="115" t="s">
        <v>70</v>
      </c>
      <c r="C22" s="122">
        <f>SUM(C18:I18)</f>
        <v>0</v>
      </c>
      <c r="L22" s="115" t="s">
        <v>70</v>
      </c>
      <c r="M22" s="122">
        <f>SUM(M18:P18)</f>
        <v>0</v>
      </c>
      <c r="N22" s="123">
        <f>SUM(Q18:T18)</f>
        <v>0</v>
      </c>
      <c r="AB22" s="16" t="s">
        <v>460</v>
      </c>
      <c r="AC22" s="140" t="s">
        <v>147</v>
      </c>
      <c r="AD22" s="141" t="s">
        <v>149</v>
      </c>
      <c r="AE22" s="142" t="s">
        <v>142</v>
      </c>
      <c r="AF22" s="148" t="s">
        <v>151</v>
      </c>
      <c r="AG22" s="148" t="s">
        <v>152</v>
      </c>
      <c r="AH22" s="149" t="s">
        <v>153</v>
      </c>
      <c r="AI22" s="150" t="s">
        <v>28</v>
      </c>
    </row>
    <row r="23" spans="2:35" ht="27.75" customHeight="1" x14ac:dyDescent="0.35">
      <c r="AB23" s="16" t="s">
        <v>461</v>
      </c>
      <c r="AC23" s="140" t="s">
        <v>147</v>
      </c>
      <c r="AD23" s="141" t="s">
        <v>149</v>
      </c>
      <c r="AE23" s="142" t="s">
        <v>142</v>
      </c>
      <c r="AF23" s="148" t="s">
        <v>151</v>
      </c>
      <c r="AG23" s="148" t="s">
        <v>152</v>
      </c>
      <c r="AH23" s="149" t="s">
        <v>153</v>
      </c>
      <c r="AI23" s="150" t="s">
        <v>28</v>
      </c>
    </row>
    <row r="24" spans="2:35" ht="30.75" customHeight="1" x14ac:dyDescent="0.35">
      <c r="B24" s="297" t="s">
        <v>92</v>
      </c>
      <c r="C24" s="298"/>
      <c r="D24" s="299"/>
      <c r="L24" s="297" t="s">
        <v>93</v>
      </c>
      <c r="M24" s="298"/>
      <c r="N24" s="299"/>
      <c r="AB24" s="16" t="s">
        <v>462</v>
      </c>
      <c r="AC24" s="140" t="s">
        <v>147</v>
      </c>
      <c r="AD24" s="141" t="s">
        <v>149</v>
      </c>
      <c r="AE24" s="142" t="s">
        <v>142</v>
      </c>
      <c r="AF24" s="148" t="s">
        <v>151</v>
      </c>
      <c r="AG24" s="148" t="s">
        <v>152</v>
      </c>
      <c r="AH24" s="149" t="s">
        <v>153</v>
      </c>
      <c r="AI24" s="150" t="s">
        <v>28</v>
      </c>
    </row>
    <row r="25" spans="2:35" ht="40.5" x14ac:dyDescent="0.35">
      <c r="AB25" s="16" t="s">
        <v>463</v>
      </c>
      <c r="AC25" s="140" t="s">
        <v>147</v>
      </c>
      <c r="AD25" s="141" t="s">
        <v>149</v>
      </c>
      <c r="AE25" s="142" t="s">
        <v>142</v>
      </c>
      <c r="AF25" s="148" t="s">
        <v>151</v>
      </c>
      <c r="AG25" s="148" t="s">
        <v>152</v>
      </c>
      <c r="AH25" s="149" t="s">
        <v>153</v>
      </c>
      <c r="AI25" s="150" t="s">
        <v>28</v>
      </c>
    </row>
    <row r="26" spans="2:35" ht="39.4" x14ac:dyDescent="0.35">
      <c r="AB26" s="16" t="s">
        <v>130</v>
      </c>
      <c r="AC26" s="146" t="s">
        <v>148</v>
      </c>
      <c r="AD26" s="147" t="s">
        <v>150</v>
      </c>
      <c r="AE26" s="142" t="s">
        <v>142</v>
      </c>
      <c r="AF26" s="143" t="s">
        <v>154</v>
      </c>
      <c r="AG26" s="143" t="s">
        <v>154</v>
      </c>
      <c r="AH26" s="143" t="s">
        <v>154</v>
      </c>
      <c r="AI26" s="143" t="s">
        <v>154</v>
      </c>
    </row>
    <row r="27" spans="2:35" ht="65.650000000000006" x14ac:dyDescent="0.35">
      <c r="AB27" s="16" t="s">
        <v>131</v>
      </c>
      <c r="AC27" s="140" t="s">
        <v>147</v>
      </c>
      <c r="AD27" s="141" t="s">
        <v>149</v>
      </c>
      <c r="AE27" s="142" t="s">
        <v>142</v>
      </c>
      <c r="AF27" s="148" t="s">
        <v>151</v>
      </c>
      <c r="AG27" s="143" t="s">
        <v>154</v>
      </c>
      <c r="AH27" s="143" t="s">
        <v>154</v>
      </c>
      <c r="AI27" s="143" t="s">
        <v>154</v>
      </c>
    </row>
    <row r="28" spans="2:35" ht="65.650000000000006" x14ac:dyDescent="0.35">
      <c r="AB28" s="16" t="s">
        <v>132</v>
      </c>
      <c r="AC28" s="140" t="s">
        <v>147</v>
      </c>
      <c r="AD28" s="141" t="s">
        <v>149</v>
      </c>
      <c r="AE28" s="142" t="s">
        <v>142</v>
      </c>
      <c r="AF28" s="148" t="s">
        <v>151</v>
      </c>
      <c r="AG28" s="143" t="s">
        <v>154</v>
      </c>
      <c r="AH28" s="143" t="s">
        <v>154</v>
      </c>
      <c r="AI28" s="143" t="s">
        <v>154</v>
      </c>
    </row>
    <row r="29" spans="2:35" ht="52.5" x14ac:dyDescent="0.35">
      <c r="AB29" s="16" t="s">
        <v>133</v>
      </c>
      <c r="AC29" s="140" t="s">
        <v>147</v>
      </c>
      <c r="AD29" s="141" t="s">
        <v>149</v>
      </c>
      <c r="AE29" s="142" t="s">
        <v>142</v>
      </c>
      <c r="AF29" s="148" t="s">
        <v>151</v>
      </c>
      <c r="AG29" s="143" t="s">
        <v>154</v>
      </c>
      <c r="AH29" s="143" t="s">
        <v>154</v>
      </c>
      <c r="AI29" s="145" t="s">
        <v>28</v>
      </c>
    </row>
    <row r="30" spans="2:35" ht="78.75" x14ac:dyDescent="0.35">
      <c r="AB30" s="16" t="s">
        <v>134</v>
      </c>
      <c r="AC30" s="140" t="s">
        <v>147</v>
      </c>
      <c r="AD30" s="141" t="s">
        <v>149</v>
      </c>
      <c r="AE30" s="142" t="s">
        <v>142</v>
      </c>
      <c r="AF30" s="148" t="s">
        <v>151</v>
      </c>
      <c r="AG30" s="143" t="s">
        <v>154</v>
      </c>
      <c r="AH30" s="143" t="s">
        <v>154</v>
      </c>
      <c r="AI30" s="143" t="s">
        <v>154</v>
      </c>
    </row>
    <row r="31" spans="2:35" ht="52.5" x14ac:dyDescent="0.35">
      <c r="AB31" s="16" t="s">
        <v>135</v>
      </c>
      <c r="AC31" s="140" t="s">
        <v>147</v>
      </c>
      <c r="AD31" s="141" t="s">
        <v>149</v>
      </c>
      <c r="AE31" s="142" t="s">
        <v>142</v>
      </c>
      <c r="AF31" s="148" t="s">
        <v>151</v>
      </c>
      <c r="AG31" s="143" t="s">
        <v>154</v>
      </c>
      <c r="AH31" s="143" t="s">
        <v>154</v>
      </c>
      <c r="AI31" s="145" t="s">
        <v>28</v>
      </c>
    </row>
    <row r="32" spans="2:35" ht="78.75" x14ac:dyDescent="0.35">
      <c r="AB32" s="16" t="s">
        <v>136</v>
      </c>
      <c r="AC32" s="140" t="s">
        <v>147</v>
      </c>
      <c r="AD32" s="141" t="s">
        <v>149</v>
      </c>
      <c r="AE32" s="142" t="s">
        <v>142</v>
      </c>
      <c r="AF32" s="148" t="s">
        <v>151</v>
      </c>
      <c r="AG32" s="143" t="s">
        <v>154</v>
      </c>
      <c r="AH32" s="143" t="s">
        <v>154</v>
      </c>
      <c r="AI32" s="143" t="s">
        <v>154</v>
      </c>
    </row>
    <row r="33" spans="28:35" ht="52.5" x14ac:dyDescent="0.35">
      <c r="AB33" s="16" t="s">
        <v>137</v>
      </c>
      <c r="AC33" s="140" t="s">
        <v>147</v>
      </c>
      <c r="AD33" s="141" t="s">
        <v>149</v>
      </c>
      <c r="AE33" s="142" t="s">
        <v>142</v>
      </c>
      <c r="AF33" s="148" t="s">
        <v>151</v>
      </c>
      <c r="AG33" s="143" t="s">
        <v>154</v>
      </c>
      <c r="AH33" s="143" t="s">
        <v>154</v>
      </c>
      <c r="AI33" s="145" t="s">
        <v>28</v>
      </c>
    </row>
    <row r="34" spans="28:35" ht="78.75" x14ac:dyDescent="0.35">
      <c r="AB34" s="16" t="s">
        <v>138</v>
      </c>
      <c r="AC34" s="140" t="s">
        <v>147</v>
      </c>
      <c r="AD34" s="141" t="s">
        <v>149</v>
      </c>
      <c r="AE34" s="142" t="s">
        <v>142</v>
      </c>
      <c r="AF34" s="148" t="s">
        <v>151</v>
      </c>
      <c r="AG34" s="143" t="s">
        <v>154</v>
      </c>
      <c r="AH34" s="143" t="s">
        <v>154</v>
      </c>
      <c r="AI34" s="143" t="s">
        <v>154</v>
      </c>
    </row>
  </sheetData>
  <dataConsolidate/>
  <mergeCells count="11">
    <mergeCell ref="B2:T2"/>
    <mergeCell ref="B24:D24"/>
    <mergeCell ref="L24:N24"/>
    <mergeCell ref="B4:I4"/>
    <mergeCell ref="L4:T4"/>
    <mergeCell ref="B6:I6"/>
    <mergeCell ref="B5:I5"/>
    <mergeCell ref="B7:I7"/>
    <mergeCell ref="L5:T5"/>
    <mergeCell ref="L6:T6"/>
    <mergeCell ref="L7:T7"/>
  </mergeCells>
  <conditionalFormatting sqref="C9:I9">
    <cfRule type="containsText" dxfId="2" priority="3" operator="containsText" text="n/a">
      <formula>NOT(ISERROR(SEARCH("n/a",C9)))</formula>
    </cfRule>
  </conditionalFormatting>
  <conditionalFormatting sqref="C10:I10 C12:I14 C16:I18">
    <cfRule type="expression" dxfId="1" priority="2">
      <formula>C$9="n/a"</formula>
    </cfRule>
  </conditionalFormatting>
  <conditionalFormatting sqref="Q9:T10 Q12:T14 Q16:T18">
    <cfRule type="expression" dxfId="0" priority="1">
      <formula>$T$10=""</formula>
    </cfRule>
  </conditionalFormatting>
  <hyperlinks>
    <hyperlink ref="B1" location="Overview!A1" display="Back to Overview" xr:uid="{00000000-0004-0000-0E00-000000000000}"/>
  </hyperlinks>
  <pageMargins left="0.70866141732283472" right="0.70866141732283472" top="0.74803149606299213" bottom="0.74803149606299213" header="0.31496062992125984" footer="0.31496062992125984"/>
  <pageSetup paperSize="9" scale="30" orientation="landscape" r:id="rId1"/>
  <ignoredErrors>
    <ignoredError sqref="G17:G18" formula="1"/>
    <ignoredError sqref="M14:T14 R13 C14:G14" unlockedFormula="1"/>
  </ignoredErrors>
  <drawing r:id="rId2"/>
  <extLst>
    <ext xmlns:x14="http://schemas.microsoft.com/office/spreadsheetml/2009/9/main" uri="{CCE6A557-97BC-4b89-ADB6-D9C93CAAB3DF}">
      <x14:dataValidations xmlns:xm="http://schemas.microsoft.com/office/excel/2006/main" count="2">
        <x14:dataValidation type="list" errorStyle="information" allowBlank="1" showInputMessage="1" showErrorMessage="1" promptTitle="Tariff selection" prompt="Choose tariff from drop down list" xr:uid="{00000000-0002-0000-0E00-000001000000}">
          <x14:formula1>
            <xm:f>'Annex 1 LV, HV and UMS charges'!$A$12:$A$43</xm:f>
          </x14:formula1>
          <xm:sqref>B10</xm:sqref>
        </x14:dataValidation>
        <x14:dataValidation type="list" errorStyle="information" allowBlank="1" showInputMessage="1" showErrorMessage="1" promptTitle="Choose site" prompt="Select the EHV site that you would like to calculate charges." xr:uid="{00000000-0002-0000-0E00-000000000000}">
          <x14:formula1>
            <xm:f>'Annex 2 Designated EHV charges'!$G$10:$G$111</xm:f>
          </x14:formula1>
          <xm:sqref>L10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20</vt:i4>
      </vt:variant>
    </vt:vector>
  </HeadingPairs>
  <TitlesOfParts>
    <vt:vector size="35" baseType="lpstr">
      <vt:lpstr>Overview</vt:lpstr>
      <vt:lpstr>Annex 1 LV, HV and UMS charges</vt:lpstr>
      <vt:lpstr>Annex 2 Designated EHV charges</vt:lpstr>
      <vt:lpstr>Annex 2a Import</vt:lpstr>
      <vt:lpstr>Annex 2b Export</vt:lpstr>
      <vt:lpstr>Annex 3 Preserved charges</vt:lpstr>
      <vt:lpstr>Annex 4 LDNO charges</vt:lpstr>
      <vt:lpstr>Annex 5 LLFs</vt:lpstr>
      <vt:lpstr>Annex 6 New or Amended EHV</vt:lpstr>
      <vt:lpstr>Annex 7 Pass-Through Costs</vt:lpstr>
      <vt:lpstr>Nodal prices</vt:lpstr>
      <vt:lpstr>SSC unit rate lookup</vt:lpstr>
      <vt:lpstr>Residual Charging Bands</vt:lpstr>
      <vt:lpstr>TNUoS Mapping</vt:lpstr>
      <vt:lpstr>Charge Calculator</vt:lpstr>
      <vt:lpstr>'Annex 1 LV, HV and UMS charges'!Print_Area</vt:lpstr>
      <vt:lpstr>'Annex 2 Designated EHV charges'!Print_Area</vt:lpstr>
      <vt:lpstr>'Annex 2a Import'!Print_Area</vt:lpstr>
      <vt:lpstr>'Annex 2b Export'!Print_Area</vt:lpstr>
      <vt:lpstr>'Annex 3 Preserved charges'!Print_Area</vt:lpstr>
      <vt:lpstr>'Annex 4 LDNO charges'!Print_Area</vt:lpstr>
      <vt:lpstr>'Annex 5 LLFs'!Print_Area</vt:lpstr>
      <vt:lpstr>'Annex 6 New or Amended EHV'!Print_Area</vt:lpstr>
      <vt:lpstr>'Annex 7 Pass-Through Costs'!Print_Area</vt:lpstr>
      <vt:lpstr>'Nodal prices'!Print_Area</vt:lpstr>
      <vt:lpstr>'Annex 1 LV, HV and UMS charges'!Print_Titles</vt:lpstr>
      <vt:lpstr>'Annex 2 Designated EHV charges'!Print_Titles</vt:lpstr>
      <vt:lpstr>'Annex 2a Import'!Print_Titles</vt:lpstr>
      <vt:lpstr>'Annex 2b Export'!Print_Titles</vt:lpstr>
      <vt:lpstr>'Annex 4 LDNO charges'!Print_Titles</vt:lpstr>
      <vt:lpstr>'Annex 5 LLFs'!Print_Titles</vt:lpstr>
      <vt:lpstr>'Annex 6 New or Amended EHV'!Print_Titles</vt:lpstr>
      <vt:lpstr>'Annex 7 Pass-Through Costs'!Print_Titles</vt:lpstr>
      <vt:lpstr>'Nodal prices'!Print_Titles</vt:lpstr>
      <vt:lpstr>'SSC unit rate lookup'!Print_Titles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UK Power Networks</dc:creator>
  <cp:lastModifiedBy>Bennett, Luke W</cp:lastModifiedBy>
  <cp:lastPrinted>2025-12-23T13:15:36Z</cp:lastPrinted>
  <dcterms:created xsi:type="dcterms:W3CDTF">2009-11-12T11:38:00Z</dcterms:created>
  <dcterms:modified xsi:type="dcterms:W3CDTF">2026-06-17T12:26:07Z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LPManualFileClassification">
    <vt:lpwstr>{0F742C78-7CA1-4A83-96D0-F7EDA8C31D24}</vt:lpwstr>
  </property>
  <property fmtid="{D5CDD505-2E9C-101B-9397-08002B2CF9AE}" pid="3" name="DLPManualFileClassificationLastModifiedBy">
    <vt:lpwstr>AD03\Lee.Wells</vt:lpwstr>
  </property>
  <property fmtid="{D5CDD505-2E9C-101B-9397-08002B2CF9AE}" pid="4" name="DLPManualFileClassificationLastModificationDate">
    <vt:lpwstr>1573145826</vt:lpwstr>
  </property>
  <property fmtid="{D5CDD505-2E9C-101B-9397-08002B2CF9AE}" pid="5" name="DLPManualFileClassificationVersion">
    <vt:lpwstr>11.0.400.15</vt:lpwstr>
  </property>
  <property fmtid="{D5CDD505-2E9C-101B-9397-08002B2CF9AE}" pid="6" name="MSIP_Label_24fe2fa2-8093-4776-8a20-2d25f8c7acf2_Enabled">
    <vt:lpwstr>true</vt:lpwstr>
  </property>
  <property fmtid="{D5CDD505-2E9C-101B-9397-08002B2CF9AE}" pid="7" name="MSIP_Label_24fe2fa2-8093-4776-8a20-2d25f8c7acf2_SetDate">
    <vt:lpwstr>2023-11-02T11:09:09Z</vt:lpwstr>
  </property>
  <property fmtid="{D5CDD505-2E9C-101B-9397-08002B2CF9AE}" pid="8" name="MSIP_Label_24fe2fa2-8093-4776-8a20-2d25f8c7acf2_Method">
    <vt:lpwstr>Standard</vt:lpwstr>
  </property>
  <property fmtid="{D5CDD505-2E9C-101B-9397-08002B2CF9AE}" pid="9" name="MSIP_Label_24fe2fa2-8093-4776-8a20-2d25f8c7acf2_Name">
    <vt:lpwstr>Internal</vt:lpwstr>
  </property>
  <property fmtid="{D5CDD505-2E9C-101B-9397-08002B2CF9AE}" pid="10" name="MSIP_Label_24fe2fa2-8093-4776-8a20-2d25f8c7acf2_SiteId">
    <vt:lpwstr>887a239c-e092-45fe-92c8-d902c3681567</vt:lpwstr>
  </property>
  <property fmtid="{D5CDD505-2E9C-101B-9397-08002B2CF9AE}" pid="11" name="MSIP_Label_24fe2fa2-8093-4776-8a20-2d25f8c7acf2_ActionId">
    <vt:lpwstr>ea1176df-2158-4496-b928-dbcfdf5818ea</vt:lpwstr>
  </property>
  <property fmtid="{D5CDD505-2E9C-101B-9397-08002B2CF9AE}" pid="12" name="MSIP_Label_24fe2fa2-8093-4776-8a20-2d25f8c7acf2_ContentBits">
    <vt:lpwstr>0</vt:lpwstr>
  </property>
</Properties>
</file>