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codeName="ThisWorkbook" defaultThemeVersion="124226"/>
  <mc:AlternateContent xmlns:mc="http://schemas.openxmlformats.org/markup-compatibility/2006">
    <mc:Choice Requires="x15">
      <x15ac:absPath xmlns:x15ac="http://schemas.microsoft.com/office/spreadsheetml/2010/11/ac" url="https://d.docs.live.net/7066f27c462c27b8/Summer Work 2020/Electricity Import Prices/Code Run Folder/Input/DNO Spreadsheets/2020/"/>
    </mc:Choice>
  </mc:AlternateContent>
  <xr:revisionPtr revIDLastSave="0" documentId="11_38400ED1EF377ABEA2AE6D8A9A1879E16411A1A8" xr6:coauthVersionLast="45" xr6:coauthVersionMax="45" xr10:uidLastSave="{00000000-0000-0000-0000-000000000000}"/>
  <bookViews>
    <workbookView xWindow="4400" yWindow="840" windowWidth="22000" windowHeight="15860" tabRatio="785" activeTab="1"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2" hidden="1">'Annex 2 EHV charges'!$A$9:$M$359</definedName>
    <definedName name="_xlnm._FilterDatabase" localSheetId="3" hidden="1">'Annex 2a Import'!$A$4:$G$353</definedName>
    <definedName name="_xlnm._FilterDatabase" localSheetId="4" hidden="1">'Annex 2b Export'!$A$4:$G$282</definedName>
    <definedName name="_xlnm._FilterDatabase" localSheetId="9" hidden="1">'Nodal prices'!$A$4:$D$784</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charges'!$A$2:$M$149</definedName>
    <definedName name="_xlnm.Print_Area" localSheetId="3">'Annex 2a Import'!$A$2:$G$150</definedName>
    <definedName name="_xlnm.Print_Area" localSheetId="4">'Annex 2b Export'!$A$2:$G$140</definedName>
    <definedName name="_xlnm.Print_Area" localSheetId="5">'Annex 3 Preserved charges'!$A$2:$J$19</definedName>
    <definedName name="_xlnm.Print_Area" localSheetId="6">'Annex 4 LDNO charges'!$A$2:$J$191</definedName>
    <definedName name="_xlnm.Print_Area" localSheetId="7">'Annex 5 LLFs'!$A$2:$F$382</definedName>
    <definedName name="_xlnm.Print_Area" localSheetId="8">'Annex 6 new or amended EHV'!$A$4:$R$28</definedName>
    <definedName name="_xlnm.Print_Area" localSheetId="9">'Nodal prices'!$A$2:$D$26</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or amended EHV'!$4:$5</definedName>
    <definedName name="_xlnm.Print_Titles" localSheetId="9">'Nodal prices'!$2:$3</definedName>
    <definedName name="_xlnm.Print_Titles" localSheetId="10">'SSC TPR unit rate lookup'!$28:$28</definedName>
    <definedName name="YesNo">'[1]CSAD 2.1 Site Specific&amp;EHV'!$AG$54:$AG$54</definedName>
    <definedName name="Z_5032A364_B81A_48DA_88DA_AB3B86B47EE9_.wvu.PrintArea" localSheetId="1" hidden="1">'Annex 1 LV and HV charges'!$A$2:$K$45</definedName>
    <definedName name="Z_5032A364_B81A_48DA_88DA_AB3B86B47EE9_.wvu.PrintArea" localSheetId="2" hidden="1">'Annex 2 EHV charges'!$A$2:$I$19</definedName>
    <definedName name="Z_5032A364_B81A_48DA_88DA_AB3B86B47EE9_.wvu.PrintArea" localSheetId="5" hidden="1">'Annex 3 Preserved charges'!$A$2:$J$19</definedName>
    <definedName name="Z_5032A364_B81A_48DA_88DA_AB3B86B47EE9_.wvu.PrintArea" localSheetId="6" hidden="1">'Annex 4 LDNO charges'!$A$2:$I$191</definedName>
    <definedName name="Z_5032A364_B81A_48DA_88DA_AB3B86B47EE9_.wvu.PrintArea" localSheetId="7" hidden="1">'Annex 5 LLFs'!$A$3:$F$382</definedName>
    <definedName name="Z_5032A364_B81A_48DA_88DA_AB3B86B47EE9_.wvu.PrintArea" localSheetId="8" hidden="1">'Annex 6 new or amended EHV'!$A$1:$P$28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8" l="1"/>
  <c r="H5" i="8"/>
  <c r="I5" i="8"/>
  <c r="J5" i="8"/>
  <c r="K5" i="8"/>
  <c r="L5" i="8"/>
  <c r="M5" i="8"/>
  <c r="N5" i="8"/>
  <c r="A17" i="8"/>
  <c r="A4" i="8"/>
  <c r="B13" i="1" l="1"/>
  <c r="I14" i="15" l="1"/>
  <c r="H14" i="15"/>
  <c r="B2" i="15" l="1"/>
  <c r="A2" i="7"/>
  <c r="A3" i="6"/>
  <c r="A2" i="5"/>
  <c r="A2" i="4" l="1"/>
  <c r="A2" i="14"/>
  <c r="A2" i="13"/>
  <c r="A2" i="12" l="1"/>
  <c r="A2" i="2" l="1"/>
  <c r="I10" i="15" l="1"/>
  <c r="H10" i="15"/>
  <c r="B11" i="1"/>
  <c r="B9" i="1"/>
  <c r="H17" i="15" l="1"/>
  <c r="R9" i="15"/>
  <c r="S9" i="15"/>
  <c r="T9" i="15"/>
  <c r="Q9" i="15"/>
  <c r="N9" i="15"/>
  <c r="O9" i="15"/>
  <c r="P9" i="15"/>
  <c r="M9" i="15"/>
  <c r="D9" i="15"/>
  <c r="E9" i="15"/>
  <c r="F9" i="15"/>
  <c r="G9" i="15"/>
  <c r="I9" i="15"/>
  <c r="H9" i="15"/>
  <c r="C9" i="15"/>
  <c r="E4" i="14" l="1"/>
  <c r="F4" i="14"/>
  <c r="G4" i="14"/>
  <c r="D4" i="14"/>
  <c r="E4" i="13"/>
  <c r="F4" i="13"/>
  <c r="G4" i="13"/>
  <c r="D4" i="13"/>
  <c r="H13" i="5"/>
  <c r="J13" i="5"/>
  <c r="I13" i="5"/>
  <c r="G13" i="5"/>
  <c r="F13" i="5"/>
  <c r="E13" i="5"/>
  <c r="D13" i="5"/>
  <c r="N10" i="15" l="1"/>
  <c r="C14" i="15" l="1"/>
  <c r="R13" i="15" l="1"/>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S17" i="15" l="1"/>
  <c r="T18" i="15"/>
  <c r="R17" i="15"/>
  <c r="P18" i="15"/>
  <c r="M21" i="15"/>
  <c r="T17" i="15"/>
  <c r="M18" i="15"/>
  <c r="Q18" i="15"/>
  <c r="N18" i="15"/>
  <c r="S18" i="15"/>
  <c r="O18" i="15"/>
  <c r="R18" i="15"/>
  <c r="N21" i="15" l="1"/>
  <c r="M22" i="15"/>
  <c r="N22" i="15"/>
  <c r="E10" i="15"/>
  <c r="G10" i="15"/>
  <c r="C10" i="15"/>
  <c r="C17" i="15" s="1"/>
  <c r="F10" i="15"/>
  <c r="D10" i="15"/>
  <c r="C18" i="15" l="1"/>
  <c r="G17" i="15"/>
  <c r="G18" i="15"/>
  <c r="D17" i="15"/>
  <c r="D18" i="15"/>
  <c r="E18" i="15"/>
  <c r="E17" i="15"/>
  <c r="F17" i="15"/>
  <c r="F18" i="15"/>
  <c r="I17" i="15"/>
  <c r="I18" i="15"/>
  <c r="C21" i="15" l="1"/>
  <c r="C22" i="15"/>
</calcChain>
</file>

<file path=xl/sharedStrings.xml><?xml version="1.0" encoding="utf-8"?>
<sst xmlns="http://schemas.openxmlformats.org/spreadsheetml/2006/main" count="5251" uniqueCount="1985">
  <si>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</si>
  <si>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</si>
  <si>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</si>
  <si>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</si>
  <si>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</si>
  <si>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</si>
  <si>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</si>
  <si>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</si>
  <si>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</si>
  <si>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</si>
  <si>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</si>
  <si>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</si>
  <si>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</si>
  <si>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</si>
  <si>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</si>
  <si>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</si>
  <si>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</si>
  <si>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</si>
  <si>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</si>
  <si>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</si>
  <si>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</si>
  <si>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</si>
  <si>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</si>
  <si>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</si>
  <si>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</si>
  <si>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</si>
  <si>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</si>
  <si>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</si>
  <si>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</si>
  <si>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</si>
  <si>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</si>
  <si>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</si>
  <si>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</si>
  <si>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</si>
  <si>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</si>
  <si>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</si>
  <si>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</si>
  <si>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</si>
  <si>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</si>
  <si>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</si>
  <si>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</si>
  <si>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</si>
  <si>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</si>
  <si>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</si>
  <si>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</si>
  <si>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</si>
  <si>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</si>
  <si>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</si>
  <si>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</si>
  <si>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</si>
  <si>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</si>
  <si>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</si>
  <si>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</si>
  <si>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</si>
  <si>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</si>
  <si>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</si>
  <si>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</si>
  <si>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</si>
  <si>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</si>
  <si>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</si>
  <si>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</si>
  <si>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</si>
  <si>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</si>
  <si>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</si>
  <si>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</si>
  <si>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</si>
  <si>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</si>
  <si>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</si>
  <si>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</si>
  <si>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</si>
  <si>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</si>
  <si>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</si>
  <si>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</si>
  <si>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</si>
  <si>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</si>
  <si>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</si>
  <si>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</si>
  <si>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</si>
  <si>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</si>
  <si>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</si>
  <si>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</si>
  <si>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</si>
  <si>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</si>
  <si>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</si>
  <si>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</si>
  <si>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</si>
  <si>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</si>
  <si>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</si>
  <si>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</si>
  <si>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</si>
  <si>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</si>
  <si>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</si>
  <si>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</si>
  <si>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</si>
  <si>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</si>
  <si>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</si>
  <si>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</si>
  <si>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</si>
  <si>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</si>
  <si>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</si>
  <si>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</si>
  <si>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</si>
  <si>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</si>
  <si>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</si>
  <si>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</si>
  <si>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</si>
  <si>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</si>
  <si>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</si>
  <si>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</si>
  <si>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</si>
  <si>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</si>
  <si>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</si>
  <si>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</si>
  <si>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</si>
  <si>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</si>
  <si>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</si>
  <si>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</si>
  <si>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</si>
  <si>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</si>
  <si>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</si>
  <si>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</si>
  <si>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</si>
  <si>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</si>
  <si>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</si>
  <si>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</si>
  <si>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</si>
  <si>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</si>
  <si>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</si>
  <si>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</si>
  <si>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</si>
  <si>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</si>
  <si>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</si>
  <si>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</si>
  <si>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</si>
  <si>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</si>
  <si>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</si>
  <si>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</si>
  <si>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</si>
  <si>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</si>
  <si>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</si>
  <si>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</si>
  <si>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</si>
  <si>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</si>
  <si>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</si>
  <si>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</si>
  <si>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</si>
  <si>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</si>
  <si>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</si>
  <si>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</si>
  <si>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</si>
  <si>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</si>
  <si>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</si>
  <si>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</si>
  <si>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</si>
  <si>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</si>
  <si>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</si>
  <si>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</si>
  <si>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</si>
  <si>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</si>
  <si>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</si>
  <si>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</si>
  <si>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</si>
  <si>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</si>
  <si>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</si>
  <si>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</si>
  <si>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</si>
  <si>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</si>
  <si>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</si>
  <si>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</si>
  <si>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</si>
  <si>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</si>
  <si>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</si>
  <si>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</si>
  <si>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</si>
  <si>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</si>
  <si>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</si>
  <si>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</si>
  <si>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</si>
  <si>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</si>
  <si>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</si>
  <si>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</si>
  <si>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</si>
  <si>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</si>
  <si>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</si>
  <si>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</si>
  <si>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</si>
  <si>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</si>
  <si>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</si>
  <si>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</si>
  <si>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</si>
  <si>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</si>
  <si>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</si>
  <si>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</si>
  <si>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</si>
  <si>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</si>
  <si>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</si>
  <si>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</si>
  <si>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</si>
  <si>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</si>
  <si>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</si>
  <si>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</si>
  <si>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</si>
  <si>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</si>
  <si>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</si>
  <si>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</si>
  <si>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</si>
  <si>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</si>
  <si>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</si>
  <si>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</si>
  <si>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</si>
  <si>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</si>
  <si>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</si>
  <si>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</si>
  <si>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</si>
  <si>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</si>
  <si>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</si>
  <si>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</si>
  <si>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</si>
  <si>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</si>
  <si>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</si>
  <si>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</si>
  <si>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</si>
  <si>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</si>
  <si>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</si>
  <si>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</si>
  <si>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</si>
  <si>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</si>
  <si>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</si>
  <si>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</si>
  <si>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</si>
  <si>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</si>
  <si>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</si>
  <si>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</si>
  <si>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</si>
  <si>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</si>
  <si>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</si>
  <si>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</si>
  <si>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</si>
  <si>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</si>
  <si>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</si>
  <si>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</si>
  <si>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</si>
  <si>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</si>
  <si>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</si>
  <si>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</si>
  <si>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</si>
  <si>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</si>
  <si>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</si>
  <si>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</si>
  <si>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</si>
  <si>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</si>
  <si>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</si>
  <si>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</si>
  <si>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</si>
  <si>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</si>
  <si>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</si>
  <si>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</si>
  <si>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</si>
  <si>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</si>
  <si>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</si>
  <si>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</si>
  <si>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</si>
  <si>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</si>
  <si>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</si>
  <si>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</si>
  <si>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</si>
  <si>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</si>
  <si>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</si>
  <si>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</si>
  <si>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</si>
  <si>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</si>
  <si>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</si>
  <si>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</si>
  <si>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</si>
  <si>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</si>
  <si>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</si>
  <si>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</si>
  <si>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</si>
  <si>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</si>
  <si>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</si>
  <si>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</si>
  <si>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</si>
  <si>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</si>
  <si>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</si>
  <si>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</si>
  <si>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</si>
  <si>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</si>
  <si>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</si>
  <si>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</si>
  <si>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</si>
  <si>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</si>
  <si>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</si>
  <si>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</si>
  <si>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</si>
  <si>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</si>
  <si>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</si>
  <si>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</si>
  <si>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</si>
  <si>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</si>
  <si>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</si>
  <si>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</si>
  <si>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</si>
  <si>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</si>
  <si>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</si>
  <si>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</si>
  <si>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</si>
  <si>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</si>
  <si>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</si>
  <si>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</si>
  <si>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</si>
  <si>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</si>
  <si>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</si>
  <si>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</si>
  <si>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</si>
  <si>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</si>
  <si>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</si>
  <si>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</si>
  <si>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</si>
  <si>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</si>
  <si>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</si>
  <si>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</si>
  <si>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</si>
  <si>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</si>
  <si>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</si>
  <si>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</si>
  <si>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</si>
  <si>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</si>
  <si>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</si>
  <si>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</si>
  <si>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</si>
  <si>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</si>
  <si>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</si>
  <si>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</si>
  <si>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</si>
  <si>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</si>
  <si>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</si>
  <si>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</si>
  <si>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</si>
  <si>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</si>
  <si>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</si>
  <si>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</si>
  <si>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</si>
  <si>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</si>
  <si>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</si>
  <si>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</si>
  <si>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</si>
  <si>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</si>
  <si>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</si>
  <si>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</si>
  <si>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</si>
  <si>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</si>
  <si>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</si>
  <si>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</si>
  <si>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</si>
  <si>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</si>
  <si>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</si>
  <si>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</si>
  <si>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</si>
  <si>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</si>
  <si>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</si>
  <si>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</si>
  <si>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</si>
  <si>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</si>
  <si>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</si>
  <si>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</si>
  <si>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</si>
  <si>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</si>
  <si>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</si>
  <si>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</si>
  <si>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</si>
  <si>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</si>
  <si>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</si>
  <si>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</si>
  <si>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</si>
  <si>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</si>
  <si>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</si>
  <si>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</si>
  <si>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</si>
  <si>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</si>
  <si>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</si>
  <si>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</si>
  <si>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</si>
  <si>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</si>
  <si>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</si>
  <si>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</si>
  <si>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</si>
  <si>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</si>
  <si>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</si>
  <si>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</si>
  <si>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</si>
  <si>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</si>
  <si>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</si>
  <si>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</si>
  <si>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</si>
  <si>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</si>
  <si>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</si>
  <si>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</si>
  <si>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</si>
  <si>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</si>
  <si>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</si>
  <si>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</si>
  <si>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</si>
  <si>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</si>
  <si>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</si>
  <si>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</si>
  <si>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</si>
  <si>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</si>
  <si>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</si>
  <si>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</si>
  <si>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</si>
  <si>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</si>
  <si>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</si>
  <si>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</si>
  <si>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</si>
  <si>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</si>
  <si>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</si>
  <si>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</si>
  <si>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</si>
  <si>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</si>
  <si>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</si>
  <si>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</si>
  <si>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</si>
  <si>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</si>
  <si>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</si>
  <si>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</si>
  <si>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</si>
  <si>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</si>
  <si>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</si>
  <si>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</si>
  <si>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</si>
  <si>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</si>
  <si>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</si>
  <si>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</si>
  <si>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</si>
  <si>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</si>
  <si>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</si>
  <si>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</si>
  <si>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</si>
  <si>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</si>
  <si>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</si>
  <si>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</si>
  <si>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</si>
  <si>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</si>
  <si>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</si>
  <si>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</si>
  <si>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</si>
  <si>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</si>
  <si>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</si>
  <si>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</si>
  <si>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</si>
  <si>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</si>
  <si>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</si>
  <si>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</si>
  <si>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</si>
  <si>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</si>
  <si>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</si>
  <si>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</si>
  <si>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</si>
  <si>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</si>
  <si>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</si>
  <si>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</si>
  <si>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</si>
  <si>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</si>
  <si>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</si>
  <si>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</si>
  <si>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</si>
  <si>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</si>
  <si>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</si>
  <si>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</si>
  <si>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</si>
  <si>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</si>
  <si>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</si>
  <si>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</si>
  <si>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</si>
  <si>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</si>
  <si>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</si>
  <si>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</si>
  <si>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</si>
  <si>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</si>
  <si>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</si>
  <si>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</si>
  <si>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</si>
  <si>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</si>
  <si>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</si>
  <si>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</si>
  <si>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</si>
  <si>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</si>
  <si>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</si>
  <si>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</si>
  <si>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</si>
  <si>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</si>
  <si>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</si>
  <si>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</si>
  <si>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</si>
  <si>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</si>
  <si>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</si>
  <si>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</si>
  <si>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</si>
  <si>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</si>
  <si>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</si>
  <si>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</si>
  <si>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</si>
  <si>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</si>
  <si>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</si>
  <si>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</si>
  <si>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</si>
  <si>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</si>
  <si>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</si>
  <si>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</si>
  <si>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</si>
  <si>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</si>
  <si>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</si>
  <si>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</si>
  <si>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</si>
  <si>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</si>
  <si>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</si>
  <si>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</si>
  <si>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</si>
  <si>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</si>
  <si>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</si>
  <si>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</si>
  <si>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</si>
  <si>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</si>
  <si>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</si>
  <si>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</si>
  <si>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</si>
  <si>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</si>
  <si>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</si>
  <si>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</si>
  <si>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</si>
  <si>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</si>
  <si>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</si>
  <si>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</si>
  <si>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</si>
  <si>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</si>
  <si>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</si>
  <si>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</si>
  <si>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</si>
  <si>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</si>
  <si>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</si>
  <si>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</si>
  <si>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</si>
  <si>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</si>
  <si>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</si>
  <si>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</si>
  <si>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</si>
  <si>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</si>
  <si>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</si>
  <si>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</si>
  <si>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</si>
  <si>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</si>
  <si>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</si>
  <si>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</si>
  <si>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</si>
  <si>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</si>
  <si>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</si>
  <si>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</si>
  <si>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</si>
  <si>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</si>
  <si>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</si>
  <si>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</si>
  <si>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</si>
  <si>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</si>
  <si>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</si>
  <si>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</si>
  <si>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</si>
  <si>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</si>
  <si>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</si>
  <si>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</si>
  <si>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</si>
  <si>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</si>
  <si>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</si>
  <si>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</si>
  <si>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</si>
  <si>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</si>
  <si>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</si>
  <si>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</si>
  <si>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</si>
  <si>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</si>
  <si>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</si>
  <si>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</si>
  <si>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</si>
  <si>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</si>
  <si>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</si>
  <si>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</si>
  <si>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</si>
  <si>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</si>
  <si>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</si>
  <si>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</si>
  <si>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</si>
  <si>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</si>
  <si>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</si>
  <si>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</si>
  <si>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</si>
  <si>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</si>
  <si>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</si>
  <si>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</si>
  <si>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</si>
  <si>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</si>
  <si>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</si>
  <si>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</si>
  <si>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</si>
  <si>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</si>
  <si>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</si>
  <si>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</si>
  <si>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</si>
  <si>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</si>
  <si>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</si>
  <si>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</si>
  <si>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</si>
  <si>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</si>
  <si>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</si>
  <si>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</si>
  <si>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</si>
  <si>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</si>
  <si>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</si>
  <si>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</si>
  <si>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</si>
  <si>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</si>
  <si>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</si>
  <si>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</si>
  <si>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</si>
  <si>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</si>
  <si>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</si>
  <si>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</si>
  <si>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</si>
  <si>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</si>
  <si>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</si>
  <si>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</si>
  <si>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</si>
  <si>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</si>
  <si>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</si>
  <si>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</si>
  <si>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</si>
  <si>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</si>
  <si>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</si>
  <si>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</si>
  <si>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</si>
  <si>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</si>
  <si>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</si>
  <si>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</si>
  <si>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</si>
  <si>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</si>
  <si>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</si>
  <si>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</si>
  <si>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</si>
  <si>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</si>
  <si>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</si>
  <si>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</si>
  <si>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</si>
  <si>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</si>
  <si>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</si>
  <si>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</si>
  <si>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</si>
  <si>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</si>
  <si>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</si>
  <si>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</si>
  <si>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</si>
  <si>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</si>
  <si>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</si>
  <si>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</si>
  <si>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</si>
  <si>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</si>
  <si>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</si>
  <si>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</si>
  <si>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</si>
  <si>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</si>
  <si>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</si>
  <si>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</si>
  <si>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</si>
  <si>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</si>
  <si>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</si>
  <si>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</si>
  <si>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</si>
  <si>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</si>
  <si>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</si>
  <si>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</si>
  <si>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</si>
  <si>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</si>
  <si>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</si>
  <si>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</si>
  <si>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</si>
  <si>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</si>
  <si>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</si>
  <si>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</si>
  <si>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</si>
  <si>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</si>
  <si>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</si>
  <si>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</si>
  <si>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</si>
  <si>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</si>
  <si>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</si>
  <si>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</si>
  <si>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</si>
  <si>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</si>
  <si>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</si>
  <si>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</si>
  <si>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</si>
  <si>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</si>
  <si>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</si>
  <si>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</si>
  <si>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</si>
  <si>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</si>
  <si>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</si>
  <si>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</si>
  <si>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</si>
  <si>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6  Charges for New or Amended Designated EHV Properties</t>
  </si>
  <si>
    <t>Effective from date</t>
  </si>
  <si>
    <t>Southern Electric Power Distribution plc</t>
  </si>
  <si>
    <t>2020/21</t>
  </si>
  <si>
    <t>1 April 2020</t>
  </si>
  <si>
    <t>Annex 2 and Annex 6 - Import/Export unique identifier columns removed.</t>
  </si>
  <si>
    <t>16:30 - 19:30</t>
  </si>
  <si>
    <t xml:space="preserve">Tariff </t>
  </si>
  <si>
    <t>Import LLFC</t>
  </si>
  <si>
    <t>Export LLFC</t>
  </si>
  <si>
    <t>Unit charges in the Red Time Band apply – between [16:30] and [19:30], Monday to Friday including bank holidays.</t>
  </si>
  <si>
    <t>Unit charges in the Amber Time Band apply – between [07:00] and [16:30] and [19:30] and [22:00], Monday to Friday including bank holidays, and [09:30] and [21:30] Saturday and Sunday.</t>
  </si>
  <si>
    <t>Unit charges in the Green Time Band apply – between [00:00] and [07:00] and [22:00] and [24:00], Monday to Friday including bank holidays, and [00:00] and [09:30] and [21:30] and [24:00], Saturday and Sunday.</t>
  </si>
  <si>
    <t>Monday to Friday
Nov to Feb</t>
  </si>
  <si>
    <t>Winter Weekday Peak</t>
  </si>
  <si>
    <t>Winter Weekday</t>
  </si>
  <si>
    <t>Other</t>
  </si>
  <si>
    <t>Night</t>
  </si>
  <si>
    <t>132/33kV generic</t>
  </si>
  <si>
    <t>Tariff</t>
  </si>
  <si>
    <t>Monday to Friday 
(Including Bank Holidays)
March to October</t>
  </si>
  <si>
    <t>07:00 - 22:00</t>
  </si>
  <si>
    <t>07:00 - 16:30
19:30 - 22:00</t>
  </si>
  <si>
    <t xml:space="preserve">Monday to Friday 
(Including Bank Holidays)
November to February </t>
  </si>
  <si>
    <t>00:00 - 07:00
22:00 - 24:00</t>
  </si>
  <si>
    <t>Monday to Friday 
(Including Bank Holidays)
April to March</t>
  </si>
  <si>
    <t>09:30 - 21:30</t>
  </si>
  <si>
    <t>00:00 - 09:30
21:30 - 24:00</t>
  </si>
  <si>
    <t>Saturday and Sunday 
All Year</t>
  </si>
  <si>
    <t>124-125</t>
  </si>
  <si>
    <t>112-114, 116-120, 122-123</t>
  </si>
  <si>
    <t>138-139, 141-143, 145</t>
  </si>
  <si>
    <t>605-606</t>
  </si>
  <si>
    <t>Saturday and Sunday
All Year and
Monday to Friday
Mar to Oct</t>
  </si>
  <si>
    <t>16:00 – 19:00</t>
  </si>
  <si>
    <t>20:00 – 00:30</t>
  </si>
  <si>
    <t>00:30 – 07:30</t>
  </si>
  <si>
    <t>07:30 – 16:00
19:00 – 20:00</t>
  </si>
  <si>
    <t>07:30 – 00:30</t>
  </si>
  <si>
    <t>Annex 5 has been intentionally left blank as this Statement of Charges and Other Tables document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</si>
  <si>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Tariff 001</t>
  </si>
  <si>
    <t>Tariff 002</t>
  </si>
  <si>
    <t>Tariff 003</t>
  </si>
  <si>
    <t>Tariff 004</t>
  </si>
  <si>
    <t>Tariff 005</t>
  </si>
  <si>
    <t>Tariff 006</t>
  </si>
  <si>
    <t>Tariff 007</t>
  </si>
  <si>
    <t>Tariff 008</t>
  </si>
  <si>
    <t>Tariff 009</t>
  </si>
  <si>
    <t>Tariff 010</t>
  </si>
  <si>
    <t>Tariff 011</t>
  </si>
  <si>
    <t>Tariff 012</t>
  </si>
  <si>
    <t>Tariff 013</t>
  </si>
  <si>
    <t>Tariff 014</t>
  </si>
  <si>
    <t>Tariff 015</t>
  </si>
  <si>
    <t>Tariff 016</t>
  </si>
  <si>
    <t>Tariff 017</t>
  </si>
  <si>
    <t>Tariff 018</t>
  </si>
  <si>
    <t>Tariff 019</t>
  </si>
  <si>
    <t>Tariff 020</t>
  </si>
  <si>
    <t>Tariff 021</t>
  </si>
  <si>
    <t>Tariff 022</t>
  </si>
  <si>
    <t>Tariff 023</t>
  </si>
  <si>
    <t>Tariff 024</t>
  </si>
  <si>
    <t>Tariff 025</t>
  </si>
  <si>
    <t>Tariff 026</t>
  </si>
  <si>
    <t>Tariff 027</t>
  </si>
  <si>
    <t>Tariff 028</t>
  </si>
  <si>
    <t>Tariff 029</t>
  </si>
  <si>
    <t>Tariff 030</t>
  </si>
  <si>
    <t>Tariff 031</t>
  </si>
  <si>
    <t>Tariff 032</t>
  </si>
  <si>
    <t>Tariff 033</t>
  </si>
  <si>
    <t>Tariff 034</t>
  </si>
  <si>
    <t>Tariff 035</t>
  </si>
  <si>
    <t>Tariff 036</t>
  </si>
  <si>
    <t>Tariff 037</t>
  </si>
  <si>
    <t>Tariff 038</t>
  </si>
  <si>
    <t>Tariff 039</t>
  </si>
  <si>
    <t>Tariff 040</t>
  </si>
  <si>
    <t>Tariff 041</t>
  </si>
  <si>
    <t>Tariff 042</t>
  </si>
  <si>
    <t>Tariff 043</t>
  </si>
  <si>
    <t>Tariff 044</t>
  </si>
  <si>
    <t>Tariff 045</t>
  </si>
  <si>
    <t>Tariff 046</t>
  </si>
  <si>
    <t>Tariff 047</t>
  </si>
  <si>
    <t>Tariff 048</t>
  </si>
  <si>
    <t>Tariff 049</t>
  </si>
  <si>
    <t>Tariff 050</t>
  </si>
  <si>
    <t>Tariff 051</t>
  </si>
  <si>
    <t>Tariff 052</t>
  </si>
  <si>
    <t>Tariff 053</t>
  </si>
  <si>
    <t>Tariff 054</t>
  </si>
  <si>
    <t>Tariff 055</t>
  </si>
  <si>
    <t>Tariff 056</t>
  </si>
  <si>
    <t>Tariff 057</t>
  </si>
  <si>
    <t>Tariff 058</t>
  </si>
  <si>
    <t>Tariff 059</t>
  </si>
  <si>
    <t>Tariff 060</t>
  </si>
  <si>
    <t>Tariff 061</t>
  </si>
  <si>
    <t>Tariff 062</t>
  </si>
  <si>
    <t>Tariff 063</t>
  </si>
  <si>
    <t>Tariff 064</t>
  </si>
  <si>
    <t>Tariff 065</t>
  </si>
  <si>
    <t>Tariff 066</t>
  </si>
  <si>
    <t>Tariff 067</t>
  </si>
  <si>
    <t>Tariff 068</t>
  </si>
  <si>
    <t>Tariff 069</t>
  </si>
  <si>
    <t>Tariff 070</t>
  </si>
  <si>
    <t>Tariff 071</t>
  </si>
  <si>
    <t>Tariff 072</t>
  </si>
  <si>
    <t>Tariff 073</t>
  </si>
  <si>
    <t>Tariff 074</t>
  </si>
  <si>
    <t>Tariff 075</t>
  </si>
  <si>
    <t>Tariff 076</t>
  </si>
  <si>
    <t>Tariff 077</t>
  </si>
  <si>
    <t>Tariff 078</t>
  </si>
  <si>
    <t>Tariff 079</t>
  </si>
  <si>
    <t>Tariff 080</t>
  </si>
  <si>
    <t>Tariff 081</t>
  </si>
  <si>
    <t>Tariff 082</t>
  </si>
  <si>
    <t>Tariff 083</t>
  </si>
  <si>
    <t>Tariff 084</t>
  </si>
  <si>
    <t>Tariff 085</t>
  </si>
  <si>
    <t>Tariff 086</t>
  </si>
  <si>
    <t>Tariff 087</t>
  </si>
  <si>
    <t>Tariff 088</t>
  </si>
  <si>
    <t>Tariff 089</t>
  </si>
  <si>
    <t>Tariff 090</t>
  </si>
  <si>
    <t>Tariff 091</t>
  </si>
  <si>
    <t>Tariff 092</t>
  </si>
  <si>
    <t>Tariff 093</t>
  </si>
  <si>
    <t>Tariff 095</t>
  </si>
  <si>
    <t>Tariff 096</t>
  </si>
  <si>
    <t>Tariff 097</t>
  </si>
  <si>
    <t>Tariff 098</t>
  </si>
  <si>
    <t>Tariff 099</t>
  </si>
  <si>
    <t>Tariff 101</t>
  </si>
  <si>
    <t>Tariff 102</t>
  </si>
  <si>
    <t>Tariff 103</t>
  </si>
  <si>
    <t>Tariff 104</t>
  </si>
  <si>
    <t>Tariff 105</t>
  </si>
  <si>
    <t>Tariff 106</t>
  </si>
  <si>
    <t>Tariff 107</t>
  </si>
  <si>
    <t>Tariff 108</t>
  </si>
  <si>
    <t>Tariff 110</t>
  </si>
  <si>
    <t>Tariff 111</t>
  </si>
  <si>
    <t>Tariff 112</t>
  </si>
  <si>
    <t>Tariff 113</t>
  </si>
  <si>
    <t>Tariff 114</t>
  </si>
  <si>
    <t>Tariff 115</t>
  </si>
  <si>
    <t>Tariff 116</t>
  </si>
  <si>
    <t>Tariff 117</t>
  </si>
  <si>
    <t>Tariff 119</t>
  </si>
  <si>
    <t>Tariff 120</t>
  </si>
  <si>
    <t>Tariff 121</t>
  </si>
  <si>
    <t>Tariff 122</t>
  </si>
  <si>
    <t>Tariff 123</t>
  </si>
  <si>
    <t>Tariff 124</t>
  </si>
  <si>
    <t>Tariff 125</t>
  </si>
  <si>
    <t>Tariff 126</t>
  </si>
  <si>
    <t>Tariff 127</t>
  </si>
  <si>
    <t>Tariff 128</t>
  </si>
  <si>
    <t>Tariff 129</t>
  </si>
  <si>
    <t>Tariff 131</t>
  </si>
  <si>
    <t>Tariff 132</t>
  </si>
  <si>
    <t>Tariff 134</t>
  </si>
  <si>
    <t>Tariff 135</t>
  </si>
  <si>
    <t>Tariff 136</t>
  </si>
  <si>
    <t>Tariff 137</t>
  </si>
  <si>
    <t>Tariff 138</t>
  </si>
  <si>
    <t>Tariff 139</t>
  </si>
  <si>
    <t>Tariff 140</t>
  </si>
  <si>
    <t>Tariff 143</t>
  </si>
  <si>
    <t>Tariff 144</t>
  </si>
  <si>
    <t>Tariff 146</t>
  </si>
  <si>
    <t>Tariff 147</t>
  </si>
  <si>
    <t>Tariff 148</t>
  </si>
  <si>
    <t>Tariff 149</t>
  </si>
  <si>
    <t>Tariff 151</t>
  </si>
  <si>
    <t>Tariff 152</t>
  </si>
  <si>
    <t>Tariff 153</t>
  </si>
  <si>
    <t>Tariff 154</t>
  </si>
  <si>
    <t>Tariff 155</t>
  </si>
  <si>
    <t>Tariff 156</t>
  </si>
  <si>
    <t>Tariff 158</t>
  </si>
  <si>
    <t>Tariff 160</t>
  </si>
  <si>
    <t>Tariff 161</t>
  </si>
  <si>
    <t>Tariff 162</t>
  </si>
  <si>
    <t>Tariff 164</t>
  </si>
  <si>
    <t>Tariff 165</t>
  </si>
  <si>
    <t>Tariff 167</t>
  </si>
  <si>
    <t>Tariff 168</t>
  </si>
  <si>
    <t>Tariff 169</t>
  </si>
  <si>
    <t>Tariff 170</t>
  </si>
  <si>
    <t>Tariff 171</t>
  </si>
  <si>
    <t>Tariff 173</t>
  </si>
  <si>
    <t>Tariff 174</t>
  </si>
  <si>
    <t>Tariff 175</t>
  </si>
  <si>
    <t>Tariff 176</t>
  </si>
  <si>
    <t>Tariff 177</t>
  </si>
  <si>
    <t>Tariff 178</t>
  </si>
  <si>
    <t>Tariff 179</t>
  </si>
  <si>
    <t>Tariff 180</t>
  </si>
  <si>
    <t>Tariff 181</t>
  </si>
  <si>
    <t>Tariff 182</t>
  </si>
  <si>
    <t>Tariff 184</t>
  </si>
  <si>
    <t>Tariff 185</t>
  </si>
  <si>
    <t>Tariff 186</t>
  </si>
  <si>
    <t>Tariff 187</t>
  </si>
  <si>
    <t>Tariff 188</t>
  </si>
  <si>
    <t>Tariff 189</t>
  </si>
  <si>
    <t>Tariff 190</t>
  </si>
  <si>
    <t>Tariff 191</t>
  </si>
  <si>
    <t>Tariff 192</t>
  </si>
  <si>
    <t>Tariff 194</t>
  </si>
  <si>
    <t>Tariff 196</t>
  </si>
  <si>
    <t>Tariff 198</t>
  </si>
  <si>
    <t>Tariff 199</t>
  </si>
  <si>
    <t>Tariff 201</t>
  </si>
  <si>
    <t>Tariff 202</t>
  </si>
  <si>
    <t>Tariff 205</t>
  </si>
  <si>
    <t>Tariff 206</t>
  </si>
  <si>
    <t>Tariff 208</t>
  </si>
  <si>
    <t>Tariff 209</t>
  </si>
  <si>
    <t>Tariff 211</t>
  </si>
  <si>
    <t>Tariff 212</t>
  </si>
  <si>
    <t>Tariff 213</t>
  </si>
  <si>
    <t>Tariff 214</t>
  </si>
  <si>
    <t>Tariff 215</t>
  </si>
  <si>
    <t>Tariff 218</t>
  </si>
  <si>
    <t>Tariff 219</t>
  </si>
  <si>
    <t>Tariff 220</t>
  </si>
  <si>
    <t>Tariff 222</t>
  </si>
  <si>
    <t>Tariff 223</t>
  </si>
  <si>
    <t>Tariff 225</t>
  </si>
  <si>
    <t>Tariff 227</t>
  </si>
  <si>
    <t>Tariff 228</t>
  </si>
  <si>
    <t>Tariff 229</t>
  </si>
  <si>
    <t>Tariff 230</t>
  </si>
  <si>
    <t>Tariff 233</t>
  </si>
  <si>
    <t>Tariff 234</t>
  </si>
  <si>
    <t>Tariff 235</t>
  </si>
  <si>
    <t>Tariff 238</t>
  </si>
  <si>
    <t>Tariff 240</t>
  </si>
  <si>
    <t>Tariff 243</t>
  </si>
  <si>
    <t>Tariff 244</t>
  </si>
  <si>
    <t>Tariff 245</t>
  </si>
  <si>
    <t>Tariff 246</t>
  </si>
  <si>
    <t>Tariff 247</t>
  </si>
  <si>
    <t>Tariff 248</t>
  </si>
  <si>
    <t>Tariff 249</t>
  </si>
  <si>
    <t>Tariff 250</t>
  </si>
  <si>
    <t>Tariff 251</t>
  </si>
  <si>
    <t>Tariff 252</t>
  </si>
  <si>
    <t>Tariff 253</t>
  </si>
  <si>
    <t>Tariff 254</t>
  </si>
  <si>
    <t>Tariff 255</t>
  </si>
  <si>
    <t>Tariff 256</t>
  </si>
  <si>
    <t>Tariff 257</t>
  </si>
  <si>
    <t>Tariff 258</t>
  </si>
  <si>
    <t>Tariff 260</t>
  </si>
  <si>
    <t>Tariff 262</t>
  </si>
  <si>
    <t>Tariff 264</t>
  </si>
  <si>
    <t>Tariff 265</t>
  </si>
  <si>
    <t>Tariff 269</t>
  </si>
  <si>
    <t>Tariff 270</t>
  </si>
  <si>
    <t>Tariff 271</t>
  </si>
  <si>
    <t>Tariff 275</t>
  </si>
  <si>
    <t>Tariff 276</t>
  </si>
  <si>
    <t>Tariff 277</t>
  </si>
  <si>
    <t>Tariff 279</t>
  </si>
  <si>
    <t>Tariff 280</t>
  </si>
  <si>
    <t>Tariff 283</t>
  </si>
  <si>
    <t>Tariff 284</t>
  </si>
  <si>
    <t>Tariff 286</t>
  </si>
  <si>
    <t>Tariff 291</t>
  </si>
  <si>
    <t>Tariff 292</t>
  </si>
  <si>
    <t>Tariff 293</t>
  </si>
  <si>
    <t>Tariff 294</t>
  </si>
  <si>
    <t>Tariff 295</t>
  </si>
  <si>
    <t>Tariff 296</t>
  </si>
  <si>
    <t>Tariff 300</t>
  </si>
  <si>
    <t>Tariff 301</t>
  </si>
  <si>
    <t>Tariff 304</t>
  </si>
  <si>
    <t>Tariff 305</t>
  </si>
  <si>
    <t>Tariff 306</t>
  </si>
  <si>
    <t>Tariff 311</t>
  </si>
  <si>
    <t>Tariff 312</t>
  </si>
  <si>
    <t>Tariff 313</t>
  </si>
  <si>
    <t>Tariff 316</t>
  </si>
  <si>
    <t>Tariff 318</t>
  </si>
  <si>
    <t>Tariff 320</t>
  </si>
  <si>
    <t>Tariff 322</t>
  </si>
  <si>
    <t>Tariff 325</t>
  </si>
  <si>
    <t>Tariff 329</t>
  </si>
  <si>
    <t>Tariff 331</t>
  </si>
  <si>
    <t>Tariff 332</t>
  </si>
  <si>
    <t>Tariff 339</t>
  </si>
  <si>
    <t>Tariff 340</t>
  </si>
  <si>
    <t>Tariff 341</t>
  </si>
  <si>
    <t>Tariff 342</t>
  </si>
  <si>
    <t>Tariff 343</t>
  </si>
  <si>
    <t>Tariff 344</t>
  </si>
  <si>
    <t>Tariff 345</t>
  </si>
  <si>
    <t>Tariff 346</t>
  </si>
  <si>
    <t>Tariff 347</t>
  </si>
  <si>
    <t>Tariff 348</t>
  </si>
  <si>
    <t>Tariff 349</t>
  </si>
  <si>
    <t>Tariff 353</t>
  </si>
  <si>
    <t>Tariff 354</t>
  </si>
  <si>
    <t>Tariff 356</t>
  </si>
  <si>
    <t>Tariff 359</t>
  </si>
  <si>
    <t>Tariff 362</t>
  </si>
  <si>
    <t>Tariff 363</t>
  </si>
  <si>
    <t>Tariff 365</t>
  </si>
  <si>
    <t>Tariff 366</t>
  </si>
  <si>
    <t>Tariff 367</t>
  </si>
  <si>
    <t>Tariff 368</t>
  </si>
  <si>
    <t>Tariff 369</t>
  </si>
  <si>
    <t>Tariff 374</t>
  </si>
  <si>
    <t>Tariff 377</t>
  </si>
  <si>
    <t>Tariff 378</t>
  </si>
  <si>
    <t>Tariff 379</t>
  </si>
  <si>
    <t>Tariff 380</t>
  </si>
  <si>
    <t>Tariff 381</t>
  </si>
  <si>
    <t>Tariff 385</t>
  </si>
  <si>
    <t>Tariff 390</t>
  </si>
  <si>
    <t>Tariff 391</t>
  </si>
  <si>
    <t>Tariff 392</t>
  </si>
  <si>
    <t>Tariff 394</t>
  </si>
  <si>
    <t>Tariff 395</t>
  </si>
  <si>
    <t>Tariff 396</t>
  </si>
  <si>
    <t>Tariff 398</t>
  </si>
  <si>
    <t>Tariff 400</t>
  </si>
  <si>
    <t>Tariff 402</t>
  </si>
  <si>
    <t>Tariff 403</t>
  </si>
  <si>
    <t>Tariff 405</t>
  </si>
  <si>
    <t>Tariff 406</t>
  </si>
  <si>
    <t>Tariff 408</t>
  </si>
  <si>
    <t>Tariff 409</t>
  </si>
  <si>
    <t>Tariff 410</t>
  </si>
  <si>
    <t>Tariff 411</t>
  </si>
  <si>
    <t>Tariff 413</t>
  </si>
  <si>
    <t>Tariff 414</t>
  </si>
  <si>
    <t>Tariff 415</t>
  </si>
  <si>
    <t>Tariff 416</t>
  </si>
  <si>
    <t>Tariff 417</t>
  </si>
  <si>
    <t>Tariff 418</t>
  </si>
  <si>
    <t>Tariff 419</t>
  </si>
  <si>
    <t>Tariff 420</t>
  </si>
  <si>
    <t>Tariff 422</t>
  </si>
  <si>
    <t>Tariff 423</t>
  </si>
  <si>
    <t>Tariff 424</t>
  </si>
  <si>
    <t>Tariff 425</t>
  </si>
  <si>
    <t>Tariff 426</t>
  </si>
  <si>
    <t>Tariff 427</t>
  </si>
  <si>
    <t>Tariff 428</t>
  </si>
  <si>
    <t>Tariff 429</t>
  </si>
  <si>
    <t>Tariff 430</t>
  </si>
  <si>
    <t>Tariff 431</t>
  </si>
  <si>
    <t>Tariff 432</t>
  </si>
  <si>
    <t>Tariff 433</t>
  </si>
  <si>
    <t>Tariff 434</t>
  </si>
  <si>
    <t>Tariff 435</t>
  </si>
  <si>
    <t>Tariff 436</t>
  </si>
  <si>
    <t>Tariff 437</t>
  </si>
  <si>
    <t>Tariff 438</t>
  </si>
  <si>
    <t>Tariff 439</t>
  </si>
  <si>
    <t>Tariff 440</t>
  </si>
  <si>
    <t>Tariff 441</t>
  </si>
  <si>
    <t>Tariff 442</t>
  </si>
  <si>
    <t>Tariff 443</t>
  </si>
  <si>
    <t>Tariff 444</t>
  </si>
  <si>
    <t>Tariff 445</t>
  </si>
  <si>
    <t>Tariff 446</t>
  </si>
  <si>
    <t>Tariff 447</t>
  </si>
  <si>
    <t>Tariff 448</t>
  </si>
  <si>
    <t>Tariff 449</t>
  </si>
  <si>
    <t>Tariff 450</t>
  </si>
  <si>
    <t>Tariff 451</t>
  </si>
  <si>
    <t>Tariff 452</t>
  </si>
  <si>
    <t>Tariff 453</t>
  </si>
  <si>
    <t>Tariff 454</t>
  </si>
  <si>
    <t>Tariff 455</t>
  </si>
  <si>
    <t>Tariff 456</t>
  </si>
  <si>
    <t>Tariff 457</t>
  </si>
  <si>
    <t>Tariff 458</t>
  </si>
  <si>
    <t>Tariff 459</t>
  </si>
  <si>
    <t>Y00</t>
  </si>
  <si>
    <t>Y01</t>
  </si>
  <si>
    <t>Y02</t>
  </si>
  <si>
    <t>Y03</t>
  </si>
  <si>
    <t>Y04</t>
  </si>
  <si>
    <t>Y05</t>
  </si>
  <si>
    <t>Y06</t>
  </si>
  <si>
    <t>Y07</t>
  </si>
  <si>
    <t>Y08</t>
  </si>
  <si>
    <t>Y09</t>
  </si>
  <si>
    <t>Y10</t>
  </si>
  <si>
    <t>Y11</t>
  </si>
  <si>
    <t>Y12</t>
  </si>
  <si>
    <t>Y13</t>
  </si>
  <si>
    <t>Y14</t>
  </si>
  <si>
    <t>Y15</t>
  </si>
  <si>
    <t>Y16</t>
  </si>
  <si>
    <t>Y17</t>
  </si>
  <si>
    <t>Y18</t>
  </si>
  <si>
    <t>Y20</t>
  </si>
  <si>
    <t>Y21</t>
  </si>
  <si>
    <t>Y22</t>
  </si>
  <si>
    <t>Y23</t>
  </si>
  <si>
    <t>Y24</t>
  </si>
  <si>
    <t>Y25</t>
  </si>
  <si>
    <t>Z00</t>
  </si>
  <si>
    <t>Z01</t>
  </si>
  <si>
    <t>Z02</t>
  </si>
  <si>
    <t>Z03</t>
  </si>
  <si>
    <t>Z04</t>
  </si>
  <si>
    <t>Z05</t>
  </si>
  <si>
    <t>Z06</t>
  </si>
  <si>
    <t>Z07</t>
  </si>
  <si>
    <t>Z08</t>
  </si>
  <si>
    <t>Z09</t>
  </si>
  <si>
    <t>Z10</t>
  </si>
  <si>
    <t>Z11</t>
  </si>
  <si>
    <t>Z13</t>
  </si>
  <si>
    <t>Z14</t>
  </si>
  <si>
    <t>Z15</t>
  </si>
  <si>
    <t>Z16</t>
  </si>
  <si>
    <t>Z17</t>
  </si>
  <si>
    <t>Z18</t>
  </si>
  <si>
    <t>Z20</t>
  </si>
  <si>
    <t>Z21</t>
  </si>
  <si>
    <t>Z22</t>
  </si>
  <si>
    <t>Z23</t>
  </si>
  <si>
    <t>Z24</t>
  </si>
  <si>
    <t>Z25</t>
  </si>
  <si>
    <t>2000027387210, 2000054817604, 2000055899218</t>
  </si>
  <si>
    <t>2000050275631, 2000056717878, 2000056717887</t>
  </si>
  <si>
    <t>2000055209191, 2000055209207, 2000055209216, 2000055209225, 2000055209234, 2000055209252, 2000055209243</t>
  </si>
  <si>
    <t xml:space="preserve"> - </t>
  </si>
  <si>
    <t>2000050363794, 2000056235458</t>
  </si>
  <si>
    <t>2000055373760, 2000055373779, 2000055373788, 2000055373797, 2000055373802, 2000055373811, 2000055373820, 2000055373830, 2000056698230, 2000056698240, 2000056698259, 2000056698268, 2000056698277, 2000056698286, 2000056793498, 2000056793503</t>
  </si>
  <si>
    <t>2000056580947, 2000056580956</t>
  </si>
  <si>
    <t>2000056495496, 2000056496295</t>
  </si>
  <si>
    <t>2000056623634, 2000056638213</t>
  </si>
  <si>
    <t>2000056598002, 2000056598085</t>
  </si>
  <si>
    <t>2000055899236, 2000055899245</t>
  </si>
  <si>
    <t>2000056495501, 2000056496300</t>
  </si>
  <si>
    <t>8&amp;0</t>
  </si>
  <si>
    <t>100-103, 108-111, 154-155, 160</t>
  </si>
  <si>
    <t>104-107, 156-157, 161</t>
  </si>
  <si>
    <t>115, 121, 150-153</t>
  </si>
  <si>
    <t>126-128, 133-134, 162, 473</t>
  </si>
  <si>
    <t>129-131, 135-136, 163, 474</t>
  </si>
  <si>
    <t>140, 144</t>
  </si>
  <si>
    <t>164, 400-401, 475, 479</t>
  </si>
  <si>
    <t>165, 456</t>
  </si>
  <si>
    <t>166, 457</t>
  </si>
  <si>
    <t>453, 470</t>
  </si>
  <si>
    <t>455, H99</t>
  </si>
  <si>
    <t>476, 658</t>
  </si>
  <si>
    <t>500, 586</t>
  </si>
  <si>
    <t>501, 587</t>
  </si>
  <si>
    <t>502, 588</t>
  </si>
  <si>
    <t>503, 589</t>
  </si>
  <si>
    <t>931, 993</t>
  </si>
  <si>
    <t>1, 477, 909</t>
  </si>
  <si>
    <t>7, 79</t>
  </si>
  <si>
    <t>8, 80</t>
  </si>
  <si>
    <t>146, 210</t>
  </si>
  <si>
    <t>147, 211</t>
  </si>
  <si>
    <t>5, H98</t>
  </si>
  <si>
    <t>148, 212</t>
  </si>
  <si>
    <t>6, 478, 910</t>
  </si>
  <si>
    <t>149, 213</t>
  </si>
  <si>
    <t>Mannington</t>
  </si>
  <si>
    <t>Melksham</t>
  </si>
  <si>
    <t>Fleet &amp; Bramley</t>
  </si>
  <si>
    <t>Amersham</t>
  </si>
  <si>
    <t>Bramley (ANDO &amp; THAT)</t>
  </si>
  <si>
    <t>Axminster</t>
  </si>
  <si>
    <t>Bramley (BASI)</t>
  </si>
  <si>
    <t>Minety</t>
  </si>
  <si>
    <t>Fawley &amp; Nursling</t>
  </si>
  <si>
    <t>Botley Wood</t>
  </si>
  <si>
    <t>Iver 132</t>
  </si>
  <si>
    <t>Lovedean A2</t>
  </si>
  <si>
    <t>Cowley126</t>
  </si>
  <si>
    <t>Cowley34</t>
  </si>
  <si>
    <t>Laleham</t>
  </si>
  <si>
    <t>Lovedean A1</t>
  </si>
  <si>
    <t>GSP:IVES-SN3A   132.00</t>
  </si>
  <si>
    <t>Chickerell</t>
  </si>
  <si>
    <t>Ealing</t>
  </si>
  <si>
    <t>Willesden</t>
  </si>
  <si>
    <t>North Hyde</t>
  </si>
  <si>
    <t>Iver 66</t>
  </si>
  <si>
    <t>GSP:NHYD-SN2    66.000</t>
  </si>
  <si>
    <t>Bicester North</t>
  </si>
  <si>
    <t>GSPHYB:Axminster &amp; Chickerell</t>
  </si>
  <si>
    <t>Shaftesbury</t>
  </si>
  <si>
    <t>Alton &amp; Fernhurst</t>
  </si>
  <si>
    <t>Aldershot</t>
  </si>
  <si>
    <t>Amesbury</t>
  </si>
  <si>
    <t>Andover</t>
  </si>
  <si>
    <t>Chichester &amp; Hunston</t>
  </si>
  <si>
    <t>Arnewood</t>
  </si>
  <si>
    <t>Basingstoke A1MTA A2MTA 60's</t>
  </si>
  <si>
    <t>Basingstoke A1MTB A2MTB 90's</t>
  </si>
  <si>
    <t>Basingstoke A3MT A4MT 90's</t>
  </si>
  <si>
    <t>Witney &amp; Yarnton</t>
  </si>
  <si>
    <t>Cirencester</t>
  </si>
  <si>
    <t>Bournemouth</t>
  </si>
  <si>
    <t>Fareham 2x90MVA</t>
  </si>
  <si>
    <t>Botley Wood 2x90MVA</t>
  </si>
  <si>
    <t>Bracknell Reserve</t>
  </si>
  <si>
    <t>Bracknell Main</t>
  </si>
  <si>
    <t>Wokingham</t>
  </si>
  <si>
    <t>Burghfield Reserve</t>
  </si>
  <si>
    <t>Camberley Main Bar</t>
  </si>
  <si>
    <t>Camberley Reserve Bar</t>
  </si>
  <si>
    <t>Chalvey</t>
  </si>
  <si>
    <t>Chippenham</t>
  </si>
  <si>
    <t>Christchurch</t>
  </si>
  <si>
    <t>Cowley 2x90MVA</t>
  </si>
  <si>
    <t>Cowley 2x45MVA</t>
  </si>
  <si>
    <t>Cowes &amp; Wootton Common</t>
  </si>
  <si>
    <t>Coxmoor Wood</t>
  </si>
  <si>
    <t>Denham</t>
  </si>
  <si>
    <t>Drayton</t>
  </si>
  <si>
    <t>East Bedfont 22 &amp; 11 kV</t>
  </si>
  <si>
    <t>BSP:EVPV-E      33.000</t>
  </si>
  <si>
    <t>Swindon</t>
  </si>
  <si>
    <t>Fareham 2x60MVA</t>
  </si>
  <si>
    <t>BSP:FAFG-C1     33.000</t>
  </si>
  <si>
    <t>BSP:FABS-C1     33.000</t>
  </si>
  <si>
    <t>BSP:RYBS-C1     33.000</t>
  </si>
  <si>
    <t>BSP:RYEC-C1     33.000</t>
  </si>
  <si>
    <t>Frome</t>
  </si>
  <si>
    <t>Fort Widley &amp; Wymering</t>
  </si>
  <si>
    <t>Poole</t>
  </si>
  <si>
    <t>Havant</t>
  </si>
  <si>
    <t>BSP:KNFG-C      33.000</t>
  </si>
  <si>
    <t>Headington</t>
  </si>
  <si>
    <t>High Wycombe</t>
  </si>
  <si>
    <t>Langley</t>
  </si>
  <si>
    <t>Longford</t>
  </si>
  <si>
    <t>Loudwater</t>
  </si>
  <si>
    <t>Lytchett</t>
  </si>
  <si>
    <t>Maidenhead</t>
  </si>
  <si>
    <t>Mannington 3x60MVA</t>
  </si>
  <si>
    <t>BSP:MILLRE-C    33.000</t>
  </si>
  <si>
    <t>BSP:WLBS-C      33.000</t>
  </si>
  <si>
    <t>BSP:MIBS-C1     33.000</t>
  </si>
  <si>
    <t>BSP:MIBS-C2     33.000</t>
  </si>
  <si>
    <t>BSP:MIES-C      33.000</t>
  </si>
  <si>
    <t>Netley Common</t>
  </si>
  <si>
    <t>Norrington</t>
  </si>
  <si>
    <t>BSP:BFBS-C      33.000</t>
  </si>
  <si>
    <t>Osney</t>
  </si>
  <si>
    <t>Portsmouth</t>
  </si>
  <si>
    <t>Pyestock &amp; Cody Park</t>
  </si>
  <si>
    <t>RAE Farnborough</t>
  </si>
  <si>
    <t>Reading</t>
  </si>
  <si>
    <t>Reading Town</t>
  </si>
  <si>
    <t>Redhill</t>
  </si>
  <si>
    <t>Rownhams</t>
  </si>
  <si>
    <t>BSP:SALB-C      33.000</t>
  </si>
  <si>
    <t>BSP:CHUB-C      33.000</t>
  </si>
  <si>
    <t>Salisbury</t>
  </si>
  <si>
    <t>Southampton 2x60MVA</t>
  </si>
  <si>
    <t>Southampton 2x90MVA</t>
  </si>
  <si>
    <t>Slough &amp; Slough South</t>
  </si>
  <si>
    <t>Cippenham</t>
  </si>
  <si>
    <t>Staines 1</t>
  </si>
  <si>
    <t>Staines 2</t>
  </si>
  <si>
    <t>Stratton 2x90MVA</t>
  </si>
  <si>
    <t>Stratton 2x60MVA</t>
  </si>
  <si>
    <t>BSP:TCBS-C      33.000</t>
  </si>
  <si>
    <t>Thatcham</t>
  </si>
  <si>
    <t>Toothill</t>
  </si>
  <si>
    <t>Twickenham (EDF)</t>
  </si>
  <si>
    <t>Upton</t>
  </si>
  <si>
    <t>BSP:LYPV-C      33.000</t>
  </si>
  <si>
    <t>Velmore</t>
  </si>
  <si>
    <t>Wareham</t>
  </si>
  <si>
    <t>BSP:ROPV-C      33.000</t>
  </si>
  <si>
    <t>BSP:SNFA-C      33.000</t>
  </si>
  <si>
    <t>West Grafton</t>
  </si>
  <si>
    <t>BSP:SAPV-C      33.000</t>
  </si>
  <si>
    <t>Winchester</t>
  </si>
  <si>
    <t>BSP:WYME-C      33.000</t>
  </si>
  <si>
    <t>Yeovil</t>
  </si>
  <si>
    <t>Chickerell 2x90MVA</t>
  </si>
  <si>
    <t>BSP:QMR-C1      33.000</t>
  </si>
  <si>
    <t>Burghfield Main</t>
  </si>
  <si>
    <t>Heathrow North</t>
  </si>
  <si>
    <t>BSP:NHYD-C7     25.000</t>
  </si>
  <si>
    <t>North Hyde 22kV</t>
  </si>
  <si>
    <t>Acton Lane</t>
  </si>
  <si>
    <t>Ealing 22kV</t>
  </si>
  <si>
    <t>HYB:Chippenham &amp; Norrington</t>
  </si>
  <si>
    <t>HYB:Yeovil &amp; Chickerell 2x90MVA</t>
  </si>
  <si>
    <t>ALRE-E      11.000</t>
  </si>
  <si>
    <t>ALTL-E1     11.000</t>
  </si>
  <si>
    <t>ALTL-E2     11.000</t>
  </si>
  <si>
    <t>ARGR-E      11.000</t>
  </si>
  <si>
    <t>ASHR-E      11.000</t>
  </si>
  <si>
    <t>LIDS-E      11.000</t>
  </si>
  <si>
    <t>BILS-E      11.000</t>
  </si>
  <si>
    <t>FEPV-E      11.000</t>
  </si>
  <si>
    <t>BIRD-E      11.000</t>
  </si>
  <si>
    <t>BLED-E      11.000</t>
  </si>
  <si>
    <t>ALPV-E      11.000</t>
  </si>
  <si>
    <t>BOCF-E      11.000</t>
  </si>
  <si>
    <t>BORD-E      11.000</t>
  </si>
  <si>
    <t>PRPB-E      11.000</t>
  </si>
  <si>
    <t>BOTW-E      11.000</t>
  </si>
  <si>
    <t>PEEL-E      11.000</t>
  </si>
  <si>
    <t>FUPV-E1     11.000</t>
  </si>
  <si>
    <t>FUGE-E2     11.000</t>
  </si>
  <si>
    <t>PMFG-E      11.000</t>
  </si>
  <si>
    <t>PEAF-E      11.000</t>
  </si>
  <si>
    <t>BURF-E      11.000</t>
  </si>
  <si>
    <t>HUMG-E      11.000</t>
  </si>
  <si>
    <t>CART-E      11.000</t>
  </si>
  <si>
    <t>CHAR-E      11.000</t>
  </si>
  <si>
    <t>POLL-E      11.000</t>
  </si>
  <si>
    <t>CHHE-E2     11.000</t>
  </si>
  <si>
    <t>DONN-E      11.000</t>
  </si>
  <si>
    <t>CHIN-E      11.000</t>
  </si>
  <si>
    <t>PRPV-C      11.000</t>
  </si>
  <si>
    <t>CPPG-E1     11.000</t>
  </si>
  <si>
    <t>CIRT-E      11.000</t>
  </si>
  <si>
    <t>CRIC-E      11.000</t>
  </si>
  <si>
    <t>CULH-E1     11.000</t>
  </si>
  <si>
    <t>CULJ-E      11.000</t>
  </si>
  <si>
    <t>DEDD-E      11.000</t>
  </si>
  <si>
    <t>DIDC-E1     11.000</t>
  </si>
  <si>
    <t>DIDC-E2     11.000</t>
  </si>
  <si>
    <t>EBED-E      11.000</t>
  </si>
  <si>
    <t>ESSO-E1     11.800</t>
  </si>
  <si>
    <t>ESSO-E2     11.800</t>
  </si>
  <si>
    <t>ESSO-E3     12.500</t>
  </si>
  <si>
    <t>EYNS-E      11.000</t>
  </si>
  <si>
    <t>FAIR-E      11.000</t>
  </si>
  <si>
    <t>FAREHPV-E   11.000</t>
  </si>
  <si>
    <t>FAWN-E1     11.000</t>
  </si>
  <si>
    <t>FAWN-E3     11.000</t>
  </si>
  <si>
    <t>FAWN-E4     11.000</t>
  </si>
  <si>
    <t>FAWN-E5     11.000</t>
  </si>
  <si>
    <t>FAWS-E1     11.000</t>
  </si>
  <si>
    <t>FAWS-E3     11.000</t>
  </si>
  <si>
    <t>FAWS-E4     11.000</t>
  </si>
  <si>
    <t>FAWC-E1     11.000</t>
  </si>
  <si>
    <t>FIVO-E      11.000</t>
  </si>
  <si>
    <t>STSE-E      11.000</t>
  </si>
  <si>
    <t>FYFI-E      11.000</t>
  </si>
  <si>
    <t>HABO-E      11.000</t>
  </si>
  <si>
    <t>BILL-E      11.000</t>
  </si>
  <si>
    <t>HARS-E1     11.000</t>
  </si>
  <si>
    <t>HARS-E2     11.000</t>
  </si>
  <si>
    <t>HARW-E1     11.000</t>
  </si>
  <si>
    <t>HASL-E      11.000</t>
  </si>
  <si>
    <t>PEAPV-E     11.000</t>
  </si>
  <si>
    <t>HERR-E      11.000</t>
  </si>
  <si>
    <t>KEMB-E      11.000</t>
  </si>
  <si>
    <t>KHPV-E1     11.000</t>
  </si>
  <si>
    <t>KHPV-E2     11.000</t>
  </si>
  <si>
    <t>KIDD-E      11.000</t>
  </si>
  <si>
    <t>LABU-E      11.000</t>
  </si>
  <si>
    <t>LANC-E      11.000</t>
  </si>
  <si>
    <t>LEAF-E      11.000</t>
  </si>
  <si>
    <t>LOBS-E      11.000</t>
  </si>
  <si>
    <t>LOVR-E      11.000</t>
  </si>
  <si>
    <t>LYNC-E      11.000</t>
  </si>
  <si>
    <t>BPEF-E      11.000</t>
  </si>
  <si>
    <t>MANR-E      11.000</t>
  </si>
  <si>
    <t>MARK-E      11.000</t>
  </si>
  <si>
    <t>MAWO-E      11.000</t>
  </si>
  <si>
    <t>MIDH-E      11.000</t>
  </si>
  <si>
    <t>MILLRE-E1   11.000</t>
  </si>
  <si>
    <t>MILLRE-E2   11.000</t>
  </si>
  <si>
    <t>MINV-E      11.000</t>
  </si>
  <si>
    <t>NLEA-E      11.000</t>
  </si>
  <si>
    <t>PETE-E      11.000</t>
  </si>
  <si>
    <t>FEGEN-E     11.000</t>
  </si>
  <si>
    <t>PLAI-E      11.000</t>
  </si>
  <si>
    <t>PORP-E      11.000</t>
  </si>
  <si>
    <t>PREC-E      11.000</t>
  </si>
  <si>
    <t>PREC-LV     11.000</t>
  </si>
  <si>
    <t>PYES-E      11.000</t>
  </si>
  <si>
    <t>PYES-E1     11.000</t>
  </si>
  <si>
    <t>COEP-E1     11.000</t>
  </si>
  <si>
    <t>REAU-E      11.000</t>
  </si>
  <si>
    <t>RISS-E      11.000</t>
  </si>
  <si>
    <t>MERPV-LV    11.000</t>
  </si>
  <si>
    <t>ROSG-E      11.000</t>
  </si>
  <si>
    <t>WEPV_E      11.000</t>
  </si>
  <si>
    <t>FIPV-E      11.000</t>
  </si>
  <si>
    <t>ROPV-E      11.000</t>
  </si>
  <si>
    <t>SBER-E      11.000</t>
  </si>
  <si>
    <t>SIDPV-E     11.000</t>
  </si>
  <si>
    <t>DECOYPV-E   11.000</t>
  </si>
  <si>
    <t>SELS-E      11.000</t>
  </si>
  <si>
    <t>BURG-E1     11.000</t>
  </si>
  <si>
    <t>SHIO-E      11.000</t>
  </si>
  <si>
    <t>MANFPV-E    11.000</t>
  </si>
  <si>
    <t>OVPV-E      11.000</t>
  </si>
  <si>
    <t>SLTE-12     11.000</t>
  </si>
  <si>
    <t>STLA-E      11.000</t>
  </si>
  <si>
    <t>STRA-E7     11.000</t>
  </si>
  <si>
    <t>SWIN-E      11.000</t>
  </si>
  <si>
    <t>GALI-E      11.000</t>
  </si>
  <si>
    <t>TRAE-E      11.000</t>
  </si>
  <si>
    <t>UFPV-E      11.000</t>
  </si>
  <si>
    <t>UPPV-E      11.000</t>
  </si>
  <si>
    <t>SBHPV-E     11.000</t>
  </si>
  <si>
    <t>RIRA-E      11.000</t>
  </si>
  <si>
    <t>WHWA-E      11.000</t>
  </si>
  <si>
    <t>WILS-E      11.000</t>
  </si>
  <si>
    <t>WINH-E1     11.000</t>
  </si>
  <si>
    <t>WINP-E      11.000</t>
  </si>
  <si>
    <t>WITT-E      11.000</t>
  </si>
  <si>
    <t>WOOB-E      11.000</t>
  </si>
  <si>
    <t>ALLD-E      11.000</t>
  </si>
  <si>
    <t>WYST-E      11.000</t>
  </si>
  <si>
    <t>WYTC-E      11.000</t>
  </si>
  <si>
    <t>YARN-E      11.000</t>
  </si>
  <si>
    <t>WOOD-E      11.000</t>
  </si>
  <si>
    <t>CHIC-E2     11.000</t>
  </si>
  <si>
    <t>ANDO-E      11.000</t>
  </si>
  <si>
    <t>ANDE-E      11.000</t>
  </si>
  <si>
    <t>ANDT-E      11.000</t>
  </si>
  <si>
    <t>BARS-E      11.000</t>
  </si>
  <si>
    <t>HURT-E      11.000</t>
  </si>
  <si>
    <t>MIDW-E      11.000</t>
  </si>
  <si>
    <t>POWA-E      11.000</t>
  </si>
  <si>
    <t>THRU-E      11.000</t>
  </si>
  <si>
    <t>WHIT-E      11.000</t>
  </si>
  <si>
    <t>WHER-E      11.000</t>
  </si>
  <si>
    <t>ENVI-E1     11.000</t>
  </si>
  <si>
    <t>ALDE-E      11.000</t>
  </si>
  <si>
    <t>BROM-E      11.000</t>
  </si>
  <si>
    <t>CALN-E      11.000</t>
  </si>
  <si>
    <t>COCK-E      11.000</t>
  </si>
  <si>
    <t>LYNE-E      11.000</t>
  </si>
  <si>
    <t>MALM-E      11.000</t>
  </si>
  <si>
    <t>ROWD-E      11.000</t>
  </si>
  <si>
    <t>SUTB-E      11.000</t>
  </si>
  <si>
    <t>TETB-E      11.000</t>
  </si>
  <si>
    <t>YATK-E      11.000</t>
  </si>
  <si>
    <t>CHIP-E      11.000</t>
  </si>
  <si>
    <t>WYKR-E      11.000</t>
  </si>
  <si>
    <t>KFPV-E      11.000</t>
  </si>
  <si>
    <t>HPPV-E      11.000</t>
  </si>
  <si>
    <t>BAPV-LV     11.000</t>
  </si>
  <si>
    <t>BRUT-E      11.000</t>
  </si>
  <si>
    <t>CODF-E      11.000</t>
  </si>
  <si>
    <t>CROC-E      11.000</t>
  </si>
  <si>
    <t>FROM-E1     11.000</t>
  </si>
  <si>
    <t>HOLW-E      11.000</t>
  </si>
  <si>
    <t>WARM-E      11.000</t>
  </si>
  <si>
    <t>WBUR-E      11.000</t>
  </si>
  <si>
    <t>HAWK-E      11.000</t>
  </si>
  <si>
    <t>FROM-E2     11.000</t>
  </si>
  <si>
    <t>BMPV-E      11.000</t>
  </si>
  <si>
    <t>MKPV-E      11.000</t>
  </si>
  <si>
    <t>WWPV-E      11.000</t>
  </si>
  <si>
    <t>EFPV-E      11.000</t>
  </si>
  <si>
    <t>BRHA-E0     11.000</t>
  </si>
  <si>
    <t>MRGA-LV     11.000</t>
  </si>
  <si>
    <t>ASHP-E      11.000</t>
  </si>
  <si>
    <t>STAD-E      11.000</t>
  </si>
  <si>
    <t>BRAA-E      11.000</t>
  </si>
  <si>
    <t>AVOR-E      11.000</t>
  </si>
  <si>
    <t>MELT-E      11.000</t>
  </si>
  <si>
    <t>TROT-E      11.000</t>
  </si>
  <si>
    <t>CORS-E      11.000</t>
  </si>
  <si>
    <t>DEVI-E      11.000</t>
  </si>
  <si>
    <t>EASE-E      11.000</t>
  </si>
  <si>
    <t>SPPE-E      11.000</t>
  </si>
  <si>
    <t>SPQW-EM1    11.000</t>
  </si>
  <si>
    <t>ROPV-C      11.000</t>
  </si>
  <si>
    <t>NOPV-E      11.000</t>
  </si>
  <si>
    <t>SMPV-E      11.000</t>
  </si>
  <si>
    <t>LOPV-E      11.000</t>
  </si>
  <si>
    <t>SPRNW11     11.000</t>
  </si>
  <si>
    <t>LEGN-LV     11.000</t>
  </si>
  <si>
    <t>ROGN-LV     11.000</t>
  </si>
  <si>
    <t>NOME-E      11.000</t>
  </si>
  <si>
    <t>MTG1-LV     11.000</t>
  </si>
  <si>
    <t>BLAB-E      11.000</t>
  </si>
  <si>
    <t>FARI-E      11.000</t>
  </si>
  <si>
    <t>LECH-E      11.000</t>
  </si>
  <si>
    <t>SHVE-E      11.000</t>
  </si>
  <si>
    <t>STAF-E      11.000</t>
  </si>
  <si>
    <t>PRSS-E1     11.000</t>
  </si>
  <si>
    <t>PRSS-E2     11.000</t>
  </si>
  <si>
    <t>DORS-E      11.000</t>
  </si>
  <si>
    <t>DRAW-E      11.000</t>
  </si>
  <si>
    <t>HOND-E      11.000</t>
  </si>
  <si>
    <t>PAKN-E      11.000</t>
  </si>
  <si>
    <t>PLES-E      11.000</t>
  </si>
  <si>
    <t>WMPV-E      11.000</t>
  </si>
  <si>
    <t>CEPV-E      11.000</t>
  </si>
  <si>
    <t>PYPV-E      11.000</t>
  </si>
  <si>
    <t>RFPV-E      11.000</t>
  </si>
  <si>
    <t>DORC-E      11.000</t>
  </si>
  <si>
    <t>TOOT-E      11.000</t>
  </si>
  <si>
    <t>CHIE-E      11.000</t>
  </si>
  <si>
    <t>QUAR-E      11.000</t>
  </si>
  <si>
    <t>RUPV-E      11.000</t>
  </si>
  <si>
    <t>MARS-E      11.000</t>
  </si>
  <si>
    <t>PEWS-E1     11.000</t>
  </si>
  <si>
    <t>RAMS-E      11.000</t>
  </si>
  <si>
    <t>TIDW-E      11.000</t>
  </si>
  <si>
    <t>WGRV-E      11.000</t>
  </si>
  <si>
    <t>BOWE-E      11.000</t>
  </si>
  <si>
    <t>WYCM-E1     11.000</t>
  </si>
  <si>
    <t>FLAH-E      11.000</t>
  </si>
  <si>
    <t>WELE-E      11.000</t>
  </si>
  <si>
    <t>BERI-E      11.000</t>
  </si>
  <si>
    <t>KENN-E      11.000</t>
  </si>
  <si>
    <t>PRSC-E      11.000</t>
  </si>
  <si>
    <t>COLO-E      11.000</t>
  </si>
  <si>
    <t>ROSH-E      11.000</t>
  </si>
  <si>
    <t>UNIS-E2     11.000</t>
  </si>
  <si>
    <t>WALL-E      11.000</t>
  </si>
  <si>
    <t>CHOL-E      11.000</t>
  </si>
  <si>
    <t>FULS-E      11.000</t>
  </si>
  <si>
    <t>GROV-E      11.000</t>
  </si>
  <si>
    <t>WANT-E      11.000</t>
  </si>
  <si>
    <t>WINL-E      11.000</t>
  </si>
  <si>
    <t>SUTC-E      11.000</t>
  </si>
  <si>
    <t>MILT-E      11.000</t>
  </si>
  <si>
    <t>LAPV-E      11.000</t>
  </si>
  <si>
    <t>ARNC-E      11.000</t>
  </si>
  <si>
    <t>BICE-E1     11.000</t>
  </si>
  <si>
    <t>COTT-E      11.000</t>
  </si>
  <si>
    <t>OLDR-E      11.000</t>
  </si>
  <si>
    <t>UPPH-E      11.000</t>
  </si>
  <si>
    <t>WHEA-E      11.000</t>
  </si>
  <si>
    <t>HEAD-E      11.000</t>
  </si>
  <si>
    <t>SHPV-E      11.000</t>
  </si>
  <si>
    <t>ARDLEYGEN-E 11.000</t>
  </si>
  <si>
    <t>RWPV-E      11.000</t>
  </si>
  <si>
    <t>CHIS-E      11.000</t>
  </si>
  <si>
    <t>NUFF-E      11.000</t>
  </si>
  <si>
    <t>STOK-E      11.000</t>
  </si>
  <si>
    <t>WATL-E      11.000</t>
  </si>
  <si>
    <t>FRYL-E      11.000</t>
  </si>
  <si>
    <t>HIGW-E      11.000</t>
  </si>
  <si>
    <t>HIWT-E      11.000</t>
  </si>
  <si>
    <t>LITM-E      11.000</t>
  </si>
  <si>
    <t>FRER-E      11.000</t>
  </si>
  <si>
    <t>STEB-E      11.000</t>
  </si>
  <si>
    <t>WOOR-E      11.000</t>
  </si>
  <si>
    <t>NHIN-E      11.000</t>
  </si>
  <si>
    <t>OSNE-E      11.000</t>
  </si>
  <si>
    <t>UNIP-E      11.000</t>
  </si>
  <si>
    <t>FARR-E1     11.000</t>
  </si>
  <si>
    <t>TAPL-E      11.000</t>
  </si>
  <si>
    <t>PETA-E      11.000</t>
  </si>
  <si>
    <t>CHAL-E      11.000</t>
  </si>
  <si>
    <t>CLAR-E      11.000</t>
  </si>
  <si>
    <t>BRWR-E      11.000</t>
  </si>
  <si>
    <t>FARR-E2     11.000</t>
  </si>
  <si>
    <t>ADY-LV      11.000</t>
  </si>
  <si>
    <t>BRDW-E      11.000</t>
  </si>
  <si>
    <t>POYL-E      11.000</t>
  </si>
  <si>
    <t>LAKE-E      11.000</t>
  </si>
  <si>
    <t>CAUS-E      11.000</t>
  </si>
  <si>
    <t>STAN-E      11.000</t>
  </si>
  <si>
    <t>EGHA-E      11.000</t>
  </si>
  <si>
    <t>SUNX-E      11.000</t>
  </si>
  <si>
    <t>SIDR-E      11.000</t>
  </si>
  <si>
    <t>SUNX-E2     11.000</t>
  </si>
  <si>
    <t>BEEN-E      11.000</t>
  </si>
  <si>
    <t>COUR-E      11.000</t>
  </si>
  <si>
    <t>KENH-E      11.000</t>
  </si>
  <si>
    <t>MORT-E      11.000</t>
  </si>
  <si>
    <t>PADW-E      11.000</t>
  </si>
  <si>
    <t>PANG-E      11.000</t>
  </si>
  <si>
    <t>THEA-E      11.000</t>
  </si>
  <si>
    <t>SCOT-E      11.000</t>
  </si>
  <si>
    <t>TRAG-E      11.000</t>
  </si>
  <si>
    <t>WHIW-E      11.000</t>
  </si>
  <si>
    <t>WILR-E      11.000</t>
  </si>
  <si>
    <t>WOCO-E      11.000</t>
  </si>
  <si>
    <t>GREP-E      11.000</t>
  </si>
  <si>
    <t>GORI-E      11.000</t>
  </si>
  <si>
    <t>PING-E      11.000</t>
  </si>
  <si>
    <t>HUNG-E      11.000</t>
  </si>
  <si>
    <t>KING-E      11.000</t>
  </si>
  <si>
    <t>KINT-E      11.000</t>
  </si>
  <si>
    <t>LAMB-E      11.000</t>
  </si>
  <si>
    <t>LECK-E      11.000</t>
  </si>
  <si>
    <t>LOVL-E      11.000</t>
  </si>
  <si>
    <t>RIVE-E      11.000</t>
  </si>
  <si>
    <t>STJO-E      11.000</t>
  </si>
  <si>
    <t>TADL-E      11.000</t>
  </si>
  <si>
    <t>THAT-E      11.000</t>
  </si>
  <si>
    <t>YATT-E      11.000</t>
  </si>
  <si>
    <t>BALH-E      11.000</t>
  </si>
  <si>
    <t>GREC-E      11.000</t>
  </si>
  <si>
    <t>AWBH-E      11.000</t>
  </si>
  <si>
    <t>HARH-HV     11.000</t>
  </si>
  <si>
    <t>CAVE-E      11.000</t>
  </si>
  <si>
    <t>LITH-E      11.000</t>
  </si>
  <si>
    <t>REAT-E1     11.000</t>
  </si>
  <si>
    <t>REAT-E2     11.000</t>
  </si>
  <si>
    <t>TMAL-E      11.000</t>
  </si>
  <si>
    <t>KIDE-E      11.000</t>
  </si>
  <si>
    <t>NORA-E      11.000</t>
  </si>
  <si>
    <t>READ-E      11.000</t>
  </si>
  <si>
    <t>SILS-E      11.000</t>
  </si>
  <si>
    <t>TWYF-E      11.000</t>
  </si>
  <si>
    <t>HENL-E      11.000</t>
  </si>
  <si>
    <t>TONG-E      11.000</t>
  </si>
  <si>
    <t>FARN-E      11.000</t>
  </si>
  <si>
    <t>HIND-E      11.000</t>
  </si>
  <si>
    <t>MILF-E      11.000</t>
  </si>
  <si>
    <t>GODA-E      11.000</t>
  </si>
  <si>
    <t>NORM-E      11.000</t>
  </si>
  <si>
    <t>ALSH-E      11.000</t>
  </si>
  <si>
    <t>ARBO-E      11.000</t>
  </si>
  <si>
    <t>AWRE-E      11.000</t>
  </si>
  <si>
    <t>BASI-E      11.000</t>
  </si>
  <si>
    <t>BRAG-E      11.000</t>
  </si>
  <si>
    <t>BROS-E      11.000</t>
  </si>
  <si>
    <t>DOWG-E      11.000</t>
  </si>
  <si>
    <t>HOOK-E      11.000</t>
  </si>
  <si>
    <t>HOUN-E1     11.000</t>
  </si>
  <si>
    <t>OAKR-E      11.000</t>
  </si>
  <si>
    <t>OVER-E      11.000</t>
  </si>
  <si>
    <t>CHNM-E      11.000</t>
  </si>
  <si>
    <t>JAYC-E      11.000</t>
  </si>
  <si>
    <t>HDPV-E      11.000</t>
  </si>
  <si>
    <t>CHINBA-LV   11.000</t>
  </si>
  <si>
    <t>BASIST-LV   11.000</t>
  </si>
  <si>
    <t>THOB-E1     11.000</t>
  </si>
  <si>
    <t>ASCO-E      11.000</t>
  </si>
  <si>
    <t>BAGS-E      11.000</t>
  </si>
  <si>
    <t>BRKN-E      11.000</t>
  </si>
  <si>
    <t>CHOB-E      11.000</t>
  </si>
  <si>
    <t>EHAM-E      11.000</t>
  </si>
  <si>
    <t>ELMR-E      11.000</t>
  </si>
  <si>
    <t>MVEE-E      11.000</t>
  </si>
  <si>
    <t>SUNN-F      11.000</t>
  </si>
  <si>
    <t>WARF-E      11.000</t>
  </si>
  <si>
    <t>WOKI-E      11.000</t>
  </si>
  <si>
    <t>CAMB-E      11.000</t>
  </si>
  <si>
    <t>COVE-E      11.000</t>
  </si>
  <si>
    <t>FABO-E      11.000</t>
  </si>
  <si>
    <t>FRIM-E      11.000</t>
  </si>
  <si>
    <t>KINR-E      11.000</t>
  </si>
  <si>
    <t>QUEE-E      11.000</t>
  </si>
  <si>
    <t>SAND-E      11.000</t>
  </si>
  <si>
    <t>CROW-E      11.000</t>
  </si>
  <si>
    <t>HAWL-E      11.000</t>
  </si>
  <si>
    <t>COXW-E      11.000</t>
  </si>
  <si>
    <t>CROO-E      11.000</t>
  </si>
  <si>
    <t>HITL-E      11.000</t>
  </si>
  <si>
    <t>WREC-E      11.000</t>
  </si>
  <si>
    <t>FARA-E      11.000</t>
  </si>
  <si>
    <t>TILLGEN-E   11.000</t>
  </si>
  <si>
    <t>FARNGEN-E2  11.000</t>
  </si>
  <si>
    <t>FARNGEN-E1  11.000</t>
  </si>
  <si>
    <t>MAID-E      11.000</t>
  </si>
  <si>
    <t>CORD-E      11.000</t>
  </si>
  <si>
    <t>KNOH-E      11.000</t>
  </si>
  <si>
    <t>TEMF-E      11.000</t>
  </si>
  <si>
    <t>PARG-E      11.000</t>
  </si>
  <si>
    <t>WHLE-E      11.000</t>
  </si>
  <si>
    <t>PEEL2-E     11.000</t>
  </si>
  <si>
    <t>HOEF-E      11.000</t>
  </si>
  <si>
    <t>WEND-E      11.000</t>
  </si>
  <si>
    <t>NFAR-E2     11.000</t>
  </si>
  <si>
    <t>PLET-E1     11.000</t>
  </si>
  <si>
    <t>TITC-E      11.000</t>
  </si>
  <si>
    <t>LEOS-E      11.000</t>
  </si>
  <si>
    <t>ZETR-E      11.000</t>
  </si>
  <si>
    <t>ROWP-E      11.000</t>
  </si>
  <si>
    <t>BRHU-E1     11.000</t>
  </si>
  <si>
    <t>PLTG-E      11.000</t>
  </si>
  <si>
    <t>DOWN-E      11.000</t>
  </si>
  <si>
    <t>MEYR-E      11.000</t>
  </si>
  <si>
    <t>LEIP-E      11.000</t>
  </si>
  <si>
    <t>EMSW-E      11.000</t>
  </si>
  <si>
    <t>GABH-E      11.000</t>
  </si>
  <si>
    <t>BROC-E      11.000</t>
  </si>
  <si>
    <t>HORN-E      11.000</t>
  </si>
  <si>
    <t>HERM-E      11.000</t>
  </si>
  <si>
    <t>GRES-E      11.000</t>
  </si>
  <si>
    <t>FRAP-E      11.000</t>
  </si>
  <si>
    <t>EAST-E      11.000</t>
  </si>
  <si>
    <t>BRAR-E      11.000</t>
  </si>
  <si>
    <t>WATE-E      11.000</t>
  </si>
  <si>
    <t>FARL-E      11.000</t>
  </si>
  <si>
    <t>PURB-E      11.000</t>
  </si>
  <si>
    <t>HILS-E      11.000</t>
  </si>
  <si>
    <t>COLP-E      11.000</t>
  </si>
  <si>
    <t>POCH-E      11.000</t>
  </si>
  <si>
    <t>WYME-E1     11.000</t>
  </si>
  <si>
    <t>WYME-E2     11.000</t>
  </si>
  <si>
    <t>GAMR-E      11.000</t>
  </si>
  <si>
    <t>HILI-EG     11.000</t>
  </si>
  <si>
    <t>LANG-E      11.000</t>
  </si>
  <si>
    <t>BUTA-E      11.000</t>
  </si>
  <si>
    <t>BISH-E2     11.000</t>
  </si>
  <si>
    <t>NETC-E      11.000</t>
  </si>
  <si>
    <t>BISW-E      11.000</t>
  </si>
  <si>
    <t>BITT-E      11.000</t>
  </si>
  <si>
    <t>TOWP-E      11.000</t>
  </si>
  <si>
    <t>WEST-E      11.000</t>
  </si>
  <si>
    <t>HAMB-E      11.000</t>
  </si>
  <si>
    <t>WOOL-E      11.000</t>
  </si>
  <si>
    <t>NEPV-E      11.000</t>
  </si>
  <si>
    <t>LAND-E      11.000</t>
  </si>
  <si>
    <t>BISO-E      11.000</t>
  </si>
  <si>
    <t>CHAN-E      11.000</t>
  </si>
  <si>
    <t>BASS-E      11.000</t>
  </si>
  <si>
    <t>EASN-E      11.000</t>
  </si>
  <si>
    <t>WIDL-F      6.6000</t>
  </si>
  <si>
    <t>VELM-E      11.000</t>
  </si>
  <si>
    <t>HEDE-E      11.000</t>
  </si>
  <si>
    <t>PEAK-E1     11.000</t>
  </si>
  <si>
    <t>SOUG-E      11.000</t>
  </si>
  <si>
    <t>REGE-E      11.000</t>
  </si>
  <si>
    <t>BEVV-F1     6.6000</t>
  </si>
  <si>
    <t>WESP-E      11.000</t>
  </si>
  <si>
    <t>SHIR-E      11.000</t>
  </si>
  <si>
    <t>WOML-F      6.6000</t>
  </si>
  <si>
    <t>OLDD-F      6.6000</t>
  </si>
  <si>
    <t>CENB-E      11.000</t>
  </si>
  <si>
    <t>CHAP-F      6.6000</t>
  </si>
  <si>
    <t>SOUS-F      6.6000</t>
  </si>
  <si>
    <t>PRTW-E      11.000</t>
  </si>
  <si>
    <t>SFBS-E      11.000</t>
  </si>
  <si>
    <t>HAST-E      11.000</t>
  </si>
  <si>
    <t>IBMH-E      11.000</t>
  </si>
  <si>
    <t>STCR-E      11.000</t>
  </si>
  <si>
    <t>GORR-E      11.000</t>
  </si>
  <si>
    <t>DUNB-E      11.000</t>
  </si>
  <si>
    <t>HOUG-E      11.000</t>
  </si>
  <si>
    <t>RUSS-E      11.000</t>
  </si>
  <si>
    <t>WSBS-E      11.000</t>
  </si>
  <si>
    <t>TOTT-E      11.000</t>
  </si>
  <si>
    <t>SILK-E      11.000</t>
  </si>
  <si>
    <t>NBAD-E      11.000</t>
  </si>
  <si>
    <t>ROMS-E      11.000</t>
  </si>
  <si>
    <t>MAYB-E      11.000</t>
  </si>
  <si>
    <t>FLET-E      11.000</t>
  </si>
  <si>
    <t>LORD-E      11.000</t>
  </si>
  <si>
    <t>MBBS-E      11.000</t>
  </si>
  <si>
    <t>BOTR-E      11.000</t>
  </si>
  <si>
    <t>NRPG-E      11.000</t>
  </si>
  <si>
    <t>UPTL-E      11.000</t>
  </si>
  <si>
    <t>COWE-E      11.000</t>
  </si>
  <si>
    <t>SHAL-E      11.000</t>
  </si>
  <si>
    <t>FRES-E      11.000</t>
  </si>
  <si>
    <t>NEWP-E      11.000</t>
  </si>
  <si>
    <t>BINS-E      11.000</t>
  </si>
  <si>
    <t>RYDE-E      11.000</t>
  </si>
  <si>
    <t>SADO-E      11.000</t>
  </si>
  <si>
    <t>SHAN-E      11.000</t>
  </si>
  <si>
    <t>VENT-E      11.000</t>
  </si>
  <si>
    <t>ARRN-E      11.000</t>
  </si>
  <si>
    <t>SFPV-E      11.000</t>
  </si>
  <si>
    <t>DFPV-E      11.000</t>
  </si>
  <si>
    <t>HFPV-E      11.000</t>
  </si>
  <si>
    <t>FFPV-E      11.000</t>
  </si>
  <si>
    <t>WCPV-E      11.000</t>
  </si>
  <si>
    <t>SLPV-E      11.000</t>
  </si>
  <si>
    <t>PTE-E       11.000</t>
  </si>
  <si>
    <t>HAMW-E      11.000</t>
  </si>
  <si>
    <t>POLE-E      11.000</t>
  </si>
  <si>
    <t>SBOU-E      11.000</t>
  </si>
  <si>
    <t>BOSE-E      11.000</t>
  </si>
  <si>
    <t>CHRI-E      11.000</t>
  </si>
  <si>
    <t>SOME-E      11.000</t>
  </si>
  <si>
    <t>OFPV-E      11.000</t>
  </si>
  <si>
    <t>NMPV-E      11.000</t>
  </si>
  <si>
    <t>NEWM-E      11.000</t>
  </si>
  <si>
    <t>HINC-E      11.000</t>
  </si>
  <si>
    <t>LYMI-E      11.000</t>
  </si>
  <si>
    <t>MILS-E      11.000</t>
  </si>
  <si>
    <t>EHOW-E      11.000</t>
  </si>
  <si>
    <t>REHI-E      11.000</t>
  </si>
  <si>
    <t>WINT-E      11.000</t>
  </si>
  <si>
    <t>PAPV-E      11.000</t>
  </si>
  <si>
    <t>FEDO-E      11.000</t>
  </si>
  <si>
    <t>FOIN-E      11.000</t>
  </si>
  <si>
    <t>HINM-E      11.000</t>
  </si>
  <si>
    <t>MANN-E      11.000</t>
  </si>
  <si>
    <t>MILA-E      11.000</t>
  </si>
  <si>
    <t>NEWS-E      11.000</t>
  </si>
  <si>
    <t>ROCK-E      11.000</t>
  </si>
  <si>
    <t>VERW-E      11.000</t>
  </si>
  <si>
    <t>VERW-E1     11.000</t>
  </si>
  <si>
    <t>WIMB-E      11.000</t>
  </si>
  <si>
    <t>WSTG-E      11.000</t>
  </si>
  <si>
    <t>RILG-E      11.000</t>
  </si>
  <si>
    <t>HLPV-E      11.000</t>
  </si>
  <si>
    <t>CRPV-E      11.000</t>
  </si>
  <si>
    <t>WHPV-LV     11.000</t>
  </si>
  <si>
    <t>WBRE-E      11.000</t>
  </si>
  <si>
    <t>BEME-E      11.000</t>
  </si>
  <si>
    <t>HOMI-E      11.000</t>
  </si>
  <si>
    <t>HULR-E      11.000</t>
  </si>
  <si>
    <t>NETH-E      11.000</t>
  </si>
  <si>
    <t>PETF-E      11.000</t>
  </si>
  <si>
    <t>RELY-E      11.000</t>
  </si>
  <si>
    <t>TEFF-E      11.000</t>
  </si>
  <si>
    <t>STAP-E      11.000</t>
  </si>
  <si>
    <t>ALDN-E      11.000</t>
  </si>
  <si>
    <t>BOUV-E      11.000</t>
  </si>
  <si>
    <t>CENT-E      11.000</t>
  </si>
  <si>
    <t>ELEH-E      11.000</t>
  </si>
  <si>
    <t>PARS-E      11.000</t>
  </si>
  <si>
    <t>PARN-E      11.000</t>
  </si>
  <si>
    <t>WBOU-E      11.000</t>
  </si>
  <si>
    <t>PDCM-E1     11.000</t>
  </si>
  <si>
    <t>SHAF-E      11.000</t>
  </si>
  <si>
    <t>SHRO-E      11.000</t>
  </si>
  <si>
    <t>TARR-E      11.000</t>
  </si>
  <si>
    <t>GSTM-E      11.000</t>
  </si>
  <si>
    <t>MINC-E      11.000</t>
  </si>
  <si>
    <t>TISB-E      11.000</t>
  </si>
  <si>
    <t>HENS-E      11.000</t>
  </si>
  <si>
    <t>WICA-E      11.000</t>
  </si>
  <si>
    <t>BOUR-E      11.000</t>
  </si>
  <si>
    <t>WSTO-E      11.000</t>
  </si>
  <si>
    <t>GILL-E      11.000</t>
  </si>
  <si>
    <t>HVPV-E      11.000</t>
  </si>
  <si>
    <t>CAPV-E      11.000</t>
  </si>
  <si>
    <t>AADV-E      11.000</t>
  </si>
  <si>
    <t>BOVI-E      11.000</t>
  </si>
  <si>
    <t>WART-E      11.000</t>
  </si>
  <si>
    <t>BUSH-E      11.000</t>
  </si>
  <si>
    <t>SWAN-E      11.000</t>
  </si>
  <si>
    <t>TRLG-E      11.000</t>
  </si>
  <si>
    <t>TRPV-E      11.000</t>
  </si>
  <si>
    <t>STAPLE-E    11.000</t>
  </si>
  <si>
    <t>WIBK-E      11.000</t>
  </si>
  <si>
    <t>CREE-E      11.000</t>
  </si>
  <si>
    <t>CORM-E      11.000</t>
  </si>
  <si>
    <t>BLAN-E      11.000</t>
  </si>
  <si>
    <t>HOLB-E      11.000</t>
  </si>
  <si>
    <t>REDBR-E     11.000</t>
  </si>
  <si>
    <t>LEESPV-E    11.000</t>
  </si>
  <si>
    <t>NEWTPV-E    11.000</t>
  </si>
  <si>
    <t>HEPV-E      11.000</t>
  </si>
  <si>
    <t>RATF-E      11.000</t>
  </si>
  <si>
    <t>BOSD-E      11.000</t>
  </si>
  <si>
    <t>PARH-E      11.000</t>
  </si>
  <si>
    <t>ENFO-E      11.000</t>
  </si>
  <si>
    <t>STNG-F      6.6000</t>
  </si>
  <si>
    <t>BULF-F      6.6000</t>
  </si>
  <si>
    <t>TIWD-F      6.6000</t>
  </si>
  <si>
    <t>PHPV-E      11.000</t>
  </si>
  <si>
    <t>SBPV-E      11.000</t>
  </si>
  <si>
    <t>YEOV-E      11.000</t>
  </si>
  <si>
    <t>PULH-E      11.000</t>
  </si>
  <si>
    <t>YETM-E      11.000</t>
  </si>
  <si>
    <t>SHER-E      11.000</t>
  </si>
  <si>
    <t>MILP-E      11.000</t>
  </si>
  <si>
    <t>LARK-E      11.000</t>
  </si>
  <si>
    <t>CHTC-E      11.000</t>
  </si>
  <si>
    <t>SPAR-E      11.000</t>
  </si>
  <si>
    <t>DIMM-E      11.000</t>
  </si>
  <si>
    <t>WHEN-E1     11.000</t>
  </si>
  <si>
    <t>CWPV-E      11.000</t>
  </si>
  <si>
    <t>SUPV-E      11.000</t>
  </si>
  <si>
    <t>SCPV-E      11.000</t>
  </si>
  <si>
    <t>SOPV-E      11.000</t>
  </si>
  <si>
    <t>BBCR-E2     11.000</t>
  </si>
  <si>
    <t>BOWLA-E     11.000</t>
  </si>
  <si>
    <t>BEND-E      11.000</t>
  </si>
  <si>
    <t>CERA-E      11.000</t>
  </si>
  <si>
    <t>PIDD-E      11.000</t>
  </si>
  <si>
    <t>PUDD-E      11.000</t>
  </si>
  <si>
    <t>MAIN-E      11.000</t>
  </si>
  <si>
    <t>CHMI-E      11.000</t>
  </si>
  <si>
    <t>WEYM-E      11.000</t>
  </si>
  <si>
    <t>REDL-E      11.000</t>
  </si>
  <si>
    <t>DORT-E      11.000</t>
  </si>
  <si>
    <t>CHIC-E1     11.000</t>
  </si>
  <si>
    <t>NLPV-E      11.000</t>
  </si>
  <si>
    <t>BPPV-E      11.000</t>
  </si>
  <si>
    <t>NORT-E      11.000</t>
  </si>
  <si>
    <t>IMPC-E      11.000</t>
  </si>
  <si>
    <t>HIIN-E      11.000</t>
  </si>
  <si>
    <t>NOHO-E      11.000</t>
  </si>
  <si>
    <t>UXBR-E2     11.000</t>
  </si>
  <si>
    <t>YIEW-E1     11.000</t>
  </si>
  <si>
    <t>YIEW-E2     11.000</t>
  </si>
  <si>
    <t>BEAC-F      6.6000</t>
  </si>
  <si>
    <t>BEAC-F3     6.6000</t>
  </si>
  <si>
    <t>BEAC-F4     6.6000</t>
  </si>
  <si>
    <t>COKL-F      6.6000</t>
  </si>
  <si>
    <t>DENA-F      6.6000</t>
  </si>
  <si>
    <t>GERX-F      6.6000</t>
  </si>
  <si>
    <t>GRAR-FM1    6.6000</t>
  </si>
  <si>
    <t>GRAR-FM2    6.6000</t>
  </si>
  <si>
    <t>HARE-F      6.6000</t>
  </si>
  <si>
    <t>WAPW-G1     3.3000</t>
  </si>
  <si>
    <t>WAPW-G4     11.000</t>
  </si>
  <si>
    <t>SUTL-E      11.000</t>
  </si>
  <si>
    <t>UPTO-E1     11.000</t>
  </si>
  <si>
    <t>HAYE-E1     11.000</t>
  </si>
  <si>
    <t>NHYD-E1     11.000</t>
  </si>
  <si>
    <t>VIFR-E      11.000</t>
  </si>
  <si>
    <t>HEAT-E1     11.000</t>
  </si>
  <si>
    <t>BRDE-E      11.000</t>
  </si>
  <si>
    <t>SPRR-FM1    6.6000</t>
  </si>
  <si>
    <t>TGRE-F      6.6000</t>
  </si>
  <si>
    <t>PERI-E      11.000</t>
  </si>
  <si>
    <t>GREE-E2     11.000</t>
  </si>
  <si>
    <t>VOLA-E1     11.000</t>
  </si>
  <si>
    <t>CANB-FM1    6.6000</t>
  </si>
  <si>
    <t>CANB-FM2    6.6000</t>
  </si>
  <si>
    <t>LEAP-F      6.6000</t>
  </si>
  <si>
    <t>PARR-F      6.6000</t>
  </si>
  <si>
    <t>GOLD-F      6.6000</t>
  </si>
  <si>
    <t>EALI-E1     11.000</t>
  </si>
  <si>
    <t>EALI-E2     11.000</t>
  </si>
  <si>
    <t>SOUR-E1     11.000</t>
  </si>
  <si>
    <t>COPD-E      11.000</t>
  </si>
  <si>
    <t>IRBR-E      11.000</t>
  </si>
  <si>
    <t>BRIR-E1     11.000</t>
  </si>
  <si>
    <t>BOSM-E      11.000</t>
  </si>
  <si>
    <t>BREN-E1     11.000</t>
  </si>
  <si>
    <t>HARL-E      11.000</t>
  </si>
  <si>
    <t>DEAG-E      11.000</t>
  </si>
  <si>
    <t>NFEL-E      11.000</t>
  </si>
  <si>
    <t>FELT-F1     6.6000</t>
  </si>
  <si>
    <t>FELT-F2     6.6000</t>
  </si>
  <si>
    <t>CHUR-E      11.000</t>
  </si>
  <si>
    <t>ASHC-G1     3.3000</t>
  </si>
  <si>
    <t>ASHC-G2     3.3000</t>
  </si>
  <si>
    <t>HOPA-F      6.6000</t>
  </si>
  <si>
    <t>SUNG-E      11.000</t>
  </si>
  <si>
    <t>ASHC-SUB-G  3.3000</t>
  </si>
  <si>
    <t>ASHC-G3     3.3000</t>
  </si>
  <si>
    <t>BRAV-E      11.000</t>
  </si>
  <si>
    <t>CHAS-E      11.000</t>
  </si>
  <si>
    <t>CRES-E      11.000</t>
  </si>
  <si>
    <t>ECHO-E      11.000</t>
  </si>
  <si>
    <t>FOXT-E      11.000</t>
  </si>
  <si>
    <t>GOLF-E      11.000</t>
  </si>
  <si>
    <t>HOTE-E      11.000</t>
  </si>
  <si>
    <t>INDI-E      11.000</t>
  </si>
  <si>
    <t>DELT-E      11.000</t>
  </si>
  <si>
    <t>East Claydon GSP</t>
  </si>
  <si>
    <t>Version: 1.2 - 01/04/20</t>
  </si>
  <si>
    <t>100-131, 133-136, 138-145, 150-157, 160-166, 400-401, 453, 456-457, 470,473-475, 479, 500-503, 520, 586-589 / 1, 2, 7, 8, 79, 80, 477, 909, 931, 993</t>
  </si>
  <si>
    <t xml:space="preserve">476, 605, 606, 658 / 5, 6, 148, 149, 212, 213, 478, 910, H98 </t>
  </si>
  <si>
    <t>700-719, 729-732, 735, 739, 745, 746, H96 / 734, 736, 737, 738, 740-743, 748, 749, H97</t>
  </si>
  <si>
    <t>897 / 933</t>
  </si>
  <si>
    <t>898 / 934</t>
  </si>
  <si>
    <t>899 / 935</t>
  </si>
  <si>
    <t>N/A</t>
  </si>
  <si>
    <t>Y26</t>
  </si>
  <si>
    <t>Z26</t>
  </si>
  <si>
    <t>Y27</t>
  </si>
  <si>
    <t>Z27</t>
  </si>
  <si>
    <t>Y28</t>
  </si>
  <si>
    <t>Z28</t>
  </si>
  <si>
    <t>2000054784320, 2000054784330</t>
  </si>
  <si>
    <t xml:space="preserve"> 405, 455, H99 / 3, 4, 146, 147, 210, 211, 932</t>
  </si>
  <si>
    <t>https://www.ofgem.gov.uk/publications-and-updates/decision-grant-derogations-all-distribution-network-operators-distribution-use-system-charges-202021</t>
  </si>
  <si>
    <t>No other tariffs are affected by this change</t>
  </si>
  <si>
    <t xml:space="preserve">Annex 4 -The LDNO HV Demand tariffs have been updated in compliance with Ofgem’s direction published 13-02-20.  Details of the direction can be found at: 
</t>
  </si>
  <si>
    <t xml:space="preserve">The LDNO HV Demand tariffs have been updated in compliance with Ofgem’s direction published 13-02-20.  Details of the direction can be found on the Ofgem website (link on 'Overview' worksheet). 
No other tariffs are affected by this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</si>
</sst>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 #,##0.00_-;_-* &quot;-&quot;??_-;_-@_-"/>
    <numFmt numFmtId="165" formatCode="0.00_ ;[Red]\-0.00\ "/>
    <numFmt numFmtId="166" formatCode="0.000"/>
    <numFmt numFmtId="167" formatCode="#,##0.000"/>
    <numFmt numFmtId="168" formatCode="_(?,???,??0.000_);[Red]\(?,???,??0.000\);_(?,???,???.???_)"/>
    <numFmt numFmtId="169" formatCode="_(?,???,??0.00_);[Red]\(?,???,??0.00\);_(?,???,???.??_)"/>
    <numFmt numFmtId="170" formatCode="#"/>
    <numFmt numFmtId="171" formatCode="\ _(???,???,??0.000_);[Red]\ \(???,???,??0.000\);"/>
    <numFmt numFmtId="172" formatCode="\ _(???,???,??0.00_);[Red]\ \(???,???,??0.00\);"/>
    <numFmt numFmtId="173" formatCode="0000"/>
    <numFmt numFmtId="174" formatCode="00000"/>
    <numFmt numFmtId="175" formatCode="0.000_ ;[Red]\-0.000\ "/>
    <numFmt numFmtId="176" formatCode="0.00;[Red]\-0.00;?;"/>
    <numFmt numFmtId="177" formatCode="#,##0;\-#,##0;;"/>
    <numFmt numFmtId="178" formatCode="000"/>
    <numFmt numFmtId="179" formatCode="#,##0;[Red]\-#,##0;;"/>
    <numFmt numFmtId="180" formatCode="0.000;[Red]\-0.000;?;"/>
    <numFmt numFmtId="181" formatCode="0.000_ ;\-0.000\ "/>
    <numFmt numFmtId="182" formatCode="\L\o\c\a\t\i\o\n\ 0"/>
  </numFmts>
  <fonts count="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8"/>
      <name val="Arial"/>
      <family val="2"/>
    </font>
    <font>
      <b/>
      <sz val="11"/>
      <color theme="4"/>
      <name val="Calibri"/>
      <family val="2"/>
      <scheme val="minor"/>
    </font>
    <font>
      <b/>
      <sz val="11"/>
      <color theme="1"/>
      <name val="Calibri"/>
      <family val="2"/>
      <scheme val="minor"/>
    </font>
    <font>
      <u/>
      <sz val="11"/>
      <color theme="10"/>
      <name val="Calibri"/>
      <family val="2"/>
      <scheme val="minor"/>
    </font>
    <font>
      <sz val="11"/>
      <color rgb="FF006100"/>
      <name val="Arial"/>
      <family val="2"/>
    </font>
    <font>
      <sz val="11"/>
      <color rgb="FF9C0006"/>
      <name val="Arial"/>
      <family val="2"/>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rgb="FF000000"/>
      </patternFill>
    </fill>
    <fill>
      <patternFill patternType="solid">
        <fgColor rgb="FFC6EFCE"/>
      </patternFill>
    </fill>
    <fill>
      <patternFill patternType="solid">
        <fgColor rgb="FFFF9999"/>
        <bgColor indexed="64"/>
      </patternFill>
    </fill>
    <fill>
      <patternFill patternType="solid">
        <fgColor rgb="FFFFC7CE"/>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s>
  <cellStyleXfs count="33">
    <xf numFmtId="0" fontId="0" fillId="0" borderId="0"/>
    <xf numFmtId="0" fontId="7" fillId="0" borderId="0"/>
    <xf numFmtId="0" fontId="14" fillId="0" borderId="0" applyNumberFormat="0" applyFill="0" applyBorder="0" applyAlignment="0" applyProtection="0"/>
    <xf numFmtId="0" fontId="15" fillId="5" borderId="7" applyNumberFormat="0" applyAlignment="0" applyProtection="0"/>
    <xf numFmtId="0" fontId="16" fillId="0" borderId="0" applyNumberFormat="0" applyFill="0" applyBorder="0" applyAlignment="0" applyProtection="0">
      <alignment vertical="top"/>
      <protection locked="0"/>
    </xf>
    <xf numFmtId="0" fontId="22" fillId="0" borderId="9" applyNumberFormat="0" applyFill="0" applyAlignment="0" applyProtection="0"/>
    <xf numFmtId="0" fontId="14" fillId="0" borderId="10" applyNumberFormat="0" applyFill="0" applyAlignment="0" applyProtection="0"/>
    <xf numFmtId="0" fontId="9" fillId="0" borderId="0"/>
    <xf numFmtId="164" fontId="9" fillId="0" borderId="0" applyFont="0" applyFill="0" applyBorder="0" applyAlignment="0" applyProtection="0"/>
    <xf numFmtId="0" fontId="28" fillId="24" borderId="0" applyNumberFormat="0" applyBorder="0" applyAlignment="0" applyProtection="0"/>
    <xf numFmtId="0" fontId="6" fillId="6"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6" fillId="27" borderId="0" applyNumberFormat="0" applyBorder="0" applyAlignment="0" applyProtection="0"/>
    <xf numFmtId="0" fontId="28" fillId="28" borderId="0" applyNumberFormat="0" applyBorder="0" applyAlignment="0" applyProtection="0"/>
    <xf numFmtId="0" fontId="33" fillId="0" borderId="0"/>
    <xf numFmtId="0" fontId="35" fillId="36" borderId="0" applyNumberFormat="0" applyBorder="0" applyAlignment="0" applyProtection="0"/>
    <xf numFmtId="0" fontId="5" fillId="6" borderId="0" applyNumberFormat="0" applyBorder="0" applyAlignment="0" applyProtection="0"/>
    <xf numFmtId="0" fontId="5" fillId="27" borderId="0" applyNumberFormat="0" applyBorder="0" applyAlignment="0" applyProtection="0"/>
    <xf numFmtId="164" fontId="9" fillId="0" borderId="0" applyFont="0" applyFill="0" applyBorder="0" applyAlignment="0" applyProtection="0"/>
    <xf numFmtId="0" fontId="35" fillId="36" borderId="0" applyNumberFormat="0" applyBorder="0" applyAlignment="0" applyProtection="0"/>
    <xf numFmtId="0" fontId="4" fillId="0" borderId="0"/>
    <xf numFmtId="0" fontId="4" fillId="0" borderId="0"/>
    <xf numFmtId="2" fontId="37" fillId="0" borderId="0" applyNumberFormat="0" applyFill="0" applyBorder="0" applyAlignment="0" applyProtection="0"/>
    <xf numFmtId="0" fontId="3" fillId="0" borderId="0"/>
    <xf numFmtId="0" fontId="39" fillId="0" borderId="0" applyNumberFormat="0" applyFill="0" applyBorder="0" applyAlignment="0" applyProtection="0"/>
    <xf numFmtId="0" fontId="2" fillId="0" borderId="0"/>
    <xf numFmtId="0" fontId="2" fillId="0" borderId="0"/>
    <xf numFmtId="0" fontId="40" fillId="38" borderId="0" applyNumberFormat="0" applyBorder="0" applyAlignment="0" applyProtection="0"/>
    <xf numFmtId="0" fontId="1" fillId="0" borderId="0"/>
    <xf numFmtId="0" fontId="1" fillId="39" borderId="0" applyNumberFormat="0" applyBorder="0" applyAlignment="0" applyProtection="0">
      <alignment horizontal="center"/>
    </xf>
    <xf numFmtId="0" fontId="41" fillId="40" borderId="0" applyNumberFormat="0" applyBorder="0" applyAlignment="0" applyProtection="0"/>
    <xf numFmtId="0" fontId="1" fillId="0" borderId="0"/>
  </cellStyleXfs>
  <cellXfs count="330">
    <xf numFmtId="0" fontId="0" fillId="0" borderId="0" xfId="0"/>
    <xf numFmtId="0" fontId="9"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5" fontId="0" fillId="2" borderId="0" xfId="0" applyNumberFormat="1" applyFill="1" applyAlignment="1">
      <alignment horizontal="center" vertical="center"/>
    </xf>
    <xf numFmtId="166" fontId="0" fillId="2" borderId="0" xfId="0" applyNumberFormat="1" applyFill="1" applyAlignment="1">
      <alignment horizontal="center" vertical="center"/>
    </xf>
    <xf numFmtId="2" fontId="0" fillId="2" borderId="0" xfId="0" applyNumberFormat="1" applyFill="1" applyAlignment="1">
      <alignment horizontal="center" vertical="center"/>
    </xf>
    <xf numFmtId="167" fontId="0" fillId="2" borderId="0" xfId="0" applyNumberFormat="1" applyFill="1" applyAlignment="1">
      <alignment horizontal="center" vertical="center"/>
    </xf>
    <xf numFmtId="0" fontId="11" fillId="2" borderId="0" xfId="0" applyFont="1" applyFill="1" applyAlignment="1">
      <alignment vertical="center"/>
    </xf>
    <xf numFmtId="0" fontId="9" fillId="0" borderId="0" xfId="0" applyFont="1" applyBorder="1" applyAlignment="1">
      <alignment wrapText="1"/>
    </xf>
    <xf numFmtId="0" fontId="10" fillId="0" borderId="0" xfId="0" applyFont="1" applyBorder="1" applyAlignment="1">
      <alignment vertical="top" wrapText="1"/>
    </xf>
    <xf numFmtId="0" fontId="0" fillId="0" borderId="0" xfId="0" applyBorder="1"/>
    <xf numFmtId="0" fontId="17" fillId="2" borderId="0" xfId="4" applyFont="1" applyFill="1" applyAlignment="1" applyProtection="1">
      <alignment vertical="center"/>
    </xf>
    <xf numFmtId="0" fontId="10" fillId="7" borderId="1" xfId="0" applyFont="1" applyFill="1" applyBorder="1" applyAlignment="1">
      <alignment horizontal="center" vertical="center" wrapText="1"/>
    </xf>
    <xf numFmtId="0" fontId="9" fillId="0" borderId="1" xfId="0" quotePrefix="1" applyFont="1" applyBorder="1" applyAlignment="1">
      <alignment horizontal="left" vertical="top" wrapText="1"/>
    </xf>
    <xf numFmtId="0" fontId="10" fillId="7" borderId="1" xfId="0" applyFont="1" applyFill="1" applyBorder="1" applyAlignment="1" applyProtection="1">
      <alignment vertical="center" wrapText="1"/>
      <protection locked="0"/>
    </xf>
    <xf numFmtId="0" fontId="18" fillId="4" borderId="1" xfId="0" applyFont="1" applyFill="1" applyBorder="1" applyAlignment="1" applyProtection="1">
      <alignment horizontal="center" vertical="center" wrapText="1"/>
      <protection locked="0"/>
    </xf>
    <xf numFmtId="168" fontId="0" fillId="9" borderId="1" xfId="0" applyNumberFormat="1" applyFill="1" applyBorder="1" applyAlignment="1" applyProtection="1">
      <alignment horizontal="center" vertical="center"/>
      <protection locked="0"/>
    </xf>
    <xf numFmtId="169" fontId="0" fillId="10" borderId="1" xfId="0" applyNumberFormat="1" applyFill="1" applyBorder="1" applyAlignment="1" applyProtection="1">
      <alignment horizontal="center" vertical="center"/>
      <protection locked="0"/>
    </xf>
    <xf numFmtId="0" fontId="10" fillId="7" borderId="1" xfId="0" applyFont="1" applyFill="1" applyBorder="1" applyAlignment="1" applyProtection="1">
      <alignment horizontal="center" vertical="center" wrapText="1"/>
      <protection locked="0"/>
    </xf>
    <xf numFmtId="0" fontId="9" fillId="0" borderId="6" xfId="0" applyFont="1" applyBorder="1" applyAlignment="1">
      <alignment horizontal="center" vertical="center" wrapText="1"/>
    </xf>
    <xf numFmtId="0" fontId="9" fillId="2" borderId="0" xfId="0" applyFont="1" applyFill="1" applyAlignment="1">
      <alignment vertical="center"/>
    </xf>
    <xf numFmtId="0" fontId="0" fillId="0" borderId="0" xfId="0" applyProtection="1">
      <protection locked="0"/>
    </xf>
    <xf numFmtId="0" fontId="10" fillId="7" borderId="1" xfId="0" applyFont="1" applyFill="1" applyBorder="1" applyAlignment="1" applyProtection="1">
      <alignment horizontal="center" vertical="center" wrapText="1"/>
    </xf>
    <xf numFmtId="0" fontId="10" fillId="7" borderId="1" xfId="0" applyFont="1" applyFill="1" applyBorder="1" applyAlignment="1" applyProtection="1">
      <alignment vertical="center" wrapText="1"/>
    </xf>
    <xf numFmtId="170" fontId="9" fillId="3" borderId="1" xfId="0" applyNumberFormat="1" applyFont="1" applyFill="1" applyBorder="1" applyAlignment="1" applyProtection="1">
      <alignment horizontal="center" vertical="center"/>
      <protection locked="0"/>
    </xf>
    <xf numFmtId="49" fontId="18" fillId="8" borderId="1" xfId="0" applyNumberFormat="1" applyFont="1" applyFill="1" applyBorder="1" applyAlignment="1" applyProtection="1">
      <alignment horizontal="center" vertical="center" wrapText="1"/>
      <protection locked="0"/>
    </xf>
    <xf numFmtId="0" fontId="10" fillId="7" borderId="1" xfId="0" quotePrefix="1" applyFont="1" applyFill="1" applyBorder="1" applyAlignment="1">
      <alignment horizontal="center" vertical="center" wrapText="1"/>
    </xf>
    <xf numFmtId="49" fontId="19" fillId="5" borderId="7" xfId="3" applyNumberFormat="1" applyFont="1" applyAlignment="1" applyProtection="1">
      <alignment horizontal="center" vertical="center" wrapText="1"/>
      <protection locked="0"/>
    </xf>
    <xf numFmtId="171" fontId="21" fillId="12" borderId="1" xfId="0" applyNumberFormat="1" applyFont="1" applyFill="1" applyBorder="1" applyAlignment="1" applyProtection="1">
      <alignment horizontal="center" vertical="center"/>
      <protection locked="0"/>
    </xf>
    <xf numFmtId="172" fontId="21" fillId="12" borderId="1" xfId="0" applyNumberFormat="1" applyFont="1" applyFill="1" applyBorder="1" applyAlignment="1" applyProtection="1">
      <alignment horizontal="center" vertical="center"/>
      <protection locked="0"/>
    </xf>
    <xf numFmtId="171" fontId="21" fillId="14" borderId="1" xfId="0" applyNumberFormat="1" applyFont="1" applyFill="1" applyBorder="1" applyAlignment="1" applyProtection="1">
      <alignment horizontal="center" vertical="center"/>
      <protection locked="0"/>
    </xf>
    <xf numFmtId="172" fontId="21" fillId="14" borderId="1" xfId="0" applyNumberFormat="1" applyFont="1" applyFill="1" applyBorder="1" applyAlignment="1" applyProtection="1">
      <alignment horizontal="center" vertical="center"/>
      <protection locked="0"/>
    </xf>
    <xf numFmtId="0" fontId="10" fillId="13" borderId="1" xfId="0" quotePrefix="1" applyFont="1" applyFill="1" applyBorder="1" applyAlignment="1">
      <alignment horizontal="center" vertical="center" wrapText="1"/>
    </xf>
    <xf numFmtId="172" fontId="21" fillId="15" borderId="1" xfId="0" applyNumberFormat="1" applyFont="1" applyFill="1" applyBorder="1" applyAlignment="1" applyProtection="1">
      <alignment horizontal="center" vertical="center"/>
      <protection locked="0"/>
    </xf>
    <xf numFmtId="0" fontId="10" fillId="16" borderId="1" xfId="0" quotePrefix="1" applyFont="1" applyFill="1" applyBorder="1" applyAlignment="1">
      <alignment horizontal="center" vertical="center" wrapText="1"/>
    </xf>
    <xf numFmtId="49" fontId="9" fillId="9" borderId="1" xfId="0" applyNumberFormat="1" applyFont="1" applyFill="1" applyBorder="1" applyAlignment="1" applyProtection="1">
      <alignment horizontal="left" vertical="top" wrapText="1"/>
      <protection locked="0"/>
    </xf>
    <xf numFmtId="171" fontId="21" fillId="9" borderId="1" xfId="0" applyNumberFormat="1" applyFont="1" applyFill="1" applyBorder="1" applyAlignment="1" applyProtection="1">
      <alignment horizontal="center" vertical="center"/>
      <protection locked="0"/>
    </xf>
    <xf numFmtId="172" fontId="21"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10" fillId="7" borderId="1" xfId="0" quotePrefix="1" applyFont="1" applyFill="1" applyBorder="1" applyAlignment="1" applyProtection="1">
      <alignment horizontal="center" vertical="center" wrapText="1"/>
    </xf>
    <xf numFmtId="0" fontId="9" fillId="0" borderId="0" xfId="7" applyAlignment="1">
      <alignment horizontal="center" vertical="top" wrapText="1"/>
    </xf>
    <xf numFmtId="0" fontId="9" fillId="0" borderId="0" xfId="7"/>
    <xf numFmtId="0" fontId="9" fillId="0" borderId="0" xfId="7" applyAlignment="1">
      <alignment horizontal="left"/>
    </xf>
    <xf numFmtId="0" fontId="9" fillId="0" borderId="0" xfId="7" applyAlignment="1">
      <alignment horizontal="center" vertical="center" wrapText="1"/>
    </xf>
    <xf numFmtId="49" fontId="24" fillId="8" borderId="1" xfId="0" applyNumberFormat="1" applyFont="1" applyFill="1" applyBorder="1" applyAlignment="1" applyProtection="1">
      <alignment horizontal="center" vertical="center" wrapText="1"/>
      <protection locked="0"/>
    </xf>
    <xf numFmtId="175" fontId="24" fillId="9" borderId="1" xfId="0" applyNumberFormat="1" applyFont="1" applyFill="1" applyBorder="1" applyAlignment="1" applyProtection="1">
      <alignment horizontal="center" vertical="center"/>
      <protection locked="0"/>
    </xf>
    <xf numFmtId="175" fontId="24" fillId="3" borderId="1" xfId="0" applyNumberFormat="1" applyFont="1" applyFill="1" applyBorder="1" applyAlignment="1" applyProtection="1">
      <alignment horizontal="center" vertical="center"/>
      <protection locked="0"/>
    </xf>
    <xf numFmtId="2" fontId="24" fillId="10" borderId="1" xfId="0" applyNumberFormat="1" applyFont="1" applyFill="1" applyBorder="1" applyAlignment="1" applyProtection="1">
      <alignment horizontal="center" vertical="center"/>
      <protection locked="0"/>
    </xf>
    <xf numFmtId="0" fontId="24" fillId="8" borderId="1" xfId="0" applyFont="1" applyFill="1" applyBorder="1" applyAlignment="1" applyProtection="1">
      <alignment horizontal="center" vertical="center" wrapText="1"/>
      <protection locked="0"/>
    </xf>
    <xf numFmtId="3" fontId="24" fillId="8" borderId="1" xfId="0" applyNumberFormat="1" applyFont="1" applyFill="1" applyBorder="1" applyAlignment="1" applyProtection="1">
      <alignment horizontal="center" vertical="center" wrapText="1"/>
      <protection locked="0"/>
    </xf>
    <xf numFmtId="0" fontId="26" fillId="0" borderId="1" xfId="1" applyFont="1" applyFill="1" applyBorder="1" applyAlignment="1" applyProtection="1">
      <alignment horizontal="center" vertical="center" wrapText="1"/>
    </xf>
    <xf numFmtId="165" fontId="24" fillId="10" borderId="1" xfId="0" applyNumberFormat="1" applyFont="1" applyFill="1" applyBorder="1" applyAlignment="1" applyProtection="1">
      <alignment horizontal="center" vertical="center"/>
      <protection locked="0"/>
    </xf>
    <xf numFmtId="165" fontId="24" fillId="3" borderId="1" xfId="0" applyNumberFormat="1" applyFont="1" applyFill="1" applyBorder="1" applyAlignment="1" applyProtection="1">
      <alignment horizontal="center" vertical="center"/>
      <protection locked="0"/>
    </xf>
    <xf numFmtId="0" fontId="24" fillId="0" borderId="1" xfId="0" applyFont="1" applyBorder="1" applyAlignment="1" applyProtection="1">
      <alignment horizontal="center" vertical="center" wrapText="1"/>
    </xf>
    <xf numFmtId="49" fontId="9" fillId="9" borderId="1" xfId="0" quotePrefix="1" applyNumberFormat="1" applyFont="1" applyFill="1" applyBorder="1" applyAlignment="1" applyProtection="1">
      <alignment horizontal="left" vertical="center" wrapText="1"/>
      <protection locked="0"/>
    </xf>
    <xf numFmtId="49" fontId="9" fillId="9" borderId="1" xfId="0" applyNumberFormat="1" applyFont="1" applyFill="1" applyBorder="1" applyAlignment="1" applyProtection="1">
      <alignment horizontal="left" vertical="center" wrapText="1"/>
      <protection locked="0"/>
    </xf>
    <xf numFmtId="0" fontId="0" fillId="17" borderId="0" xfId="0" applyFill="1"/>
    <xf numFmtId="0" fontId="16" fillId="2" borderId="0" xfId="4" applyFont="1" applyFill="1" applyAlignment="1" applyProtection="1">
      <alignment vertical="center"/>
    </xf>
    <xf numFmtId="0" fontId="9" fillId="2" borderId="0" xfId="7" applyFont="1" applyFill="1" applyAlignment="1">
      <alignment vertical="center"/>
    </xf>
    <xf numFmtId="0" fontId="11" fillId="2" borderId="0" xfId="7" applyFont="1" applyFill="1" applyAlignment="1">
      <alignment vertical="center"/>
    </xf>
    <xf numFmtId="0" fontId="10" fillId="7" borderId="1" xfId="7" quotePrefix="1" applyFont="1" applyFill="1" applyBorder="1" applyAlignment="1">
      <alignment horizontal="center" vertical="center" wrapText="1"/>
    </xf>
    <xf numFmtId="0" fontId="10" fillId="7" borderId="1" xfId="7" applyFont="1" applyFill="1" applyBorder="1" applyAlignment="1">
      <alignment horizontal="center" vertical="center" wrapText="1"/>
    </xf>
    <xf numFmtId="49" fontId="27" fillId="7" borderId="1" xfId="7" applyNumberFormat="1" applyFont="1" applyFill="1" applyBorder="1" applyAlignment="1">
      <alignment horizontal="center" vertical="center" wrapText="1"/>
    </xf>
    <xf numFmtId="49" fontId="10" fillId="7" borderId="1" xfId="7" applyNumberFormat="1" applyFont="1" applyFill="1" applyBorder="1" applyAlignment="1">
      <alignment horizontal="center" vertical="center" wrapText="1"/>
    </xf>
    <xf numFmtId="0" fontId="9" fillId="2" borderId="0" xfId="7" applyFont="1" applyFill="1" applyAlignment="1">
      <alignment horizontal="center" vertical="center"/>
    </xf>
    <xf numFmtId="167" fontId="9" fillId="2" borderId="0" xfId="7" applyNumberFormat="1" applyFont="1" applyFill="1" applyAlignment="1">
      <alignment horizontal="center" vertical="center"/>
    </xf>
    <xf numFmtId="0" fontId="9" fillId="2" borderId="0" xfId="7" applyFont="1" applyFill="1"/>
    <xf numFmtId="175" fontId="7" fillId="12" borderId="1" xfId="7" applyNumberFormat="1" applyFont="1" applyFill="1" applyBorder="1" applyAlignment="1" applyProtection="1">
      <alignment horizontal="center" vertical="center"/>
      <protection locked="0"/>
    </xf>
    <xf numFmtId="165" fontId="7" fillId="12" borderId="1" xfId="7" applyNumberFormat="1" applyFont="1" applyFill="1" applyBorder="1" applyAlignment="1" applyProtection="1">
      <alignment horizontal="center" vertical="center"/>
      <protection locked="0"/>
    </xf>
    <xf numFmtId="175" fontId="7" fillId="9" borderId="1" xfId="7" applyNumberFormat="1" applyFont="1" applyFill="1" applyBorder="1" applyAlignment="1" applyProtection="1">
      <alignment horizontal="center" vertical="center"/>
      <protection locked="0"/>
    </xf>
    <xf numFmtId="165" fontId="7" fillId="9" borderId="1" xfId="7" applyNumberFormat="1" applyFont="1" applyFill="1" applyBorder="1" applyAlignment="1" applyProtection="1">
      <alignment horizontal="center" vertical="center"/>
      <protection locked="0"/>
    </xf>
    <xf numFmtId="0" fontId="24" fillId="17" borderId="1" xfId="0" applyNumberFormat="1" applyFont="1" applyFill="1" applyBorder="1" applyAlignment="1" applyProtection="1">
      <alignment horizontal="center" vertical="center" wrapText="1"/>
      <protection locked="0"/>
    </xf>
    <xf numFmtId="0" fontId="9" fillId="0" borderId="0" xfId="0" applyFont="1" applyProtection="1">
      <protection locked="0"/>
    </xf>
    <xf numFmtId="49" fontId="14" fillId="6" borderId="0" xfId="2" quotePrefix="1" applyNumberFormat="1" applyFont="1" applyFill="1" applyAlignment="1" applyProtection="1">
      <alignment horizontal="left" vertical="center" wrapText="1"/>
      <protection locked="0"/>
    </xf>
    <xf numFmtId="49" fontId="14" fillId="6" borderId="0" xfId="2" applyNumberFormat="1" applyFont="1" applyFill="1" applyAlignment="1" applyProtection="1">
      <alignment vertical="center" wrapText="1"/>
      <protection locked="0"/>
    </xf>
    <xf numFmtId="49" fontId="22" fillId="0" borderId="0" xfId="5" applyNumberFormat="1" applyFont="1" applyBorder="1" applyAlignment="1" applyProtection="1">
      <alignment vertical="center"/>
      <protection locked="0"/>
    </xf>
    <xf numFmtId="0" fontId="9" fillId="0" borderId="0" xfId="0" applyFont="1" applyBorder="1" applyProtection="1">
      <protection locked="0"/>
    </xf>
    <xf numFmtId="49" fontId="14" fillId="6" borderId="0" xfId="2" applyNumberFormat="1" applyFont="1" applyFill="1" applyBorder="1" applyAlignment="1" applyProtection="1">
      <alignment vertical="center" wrapText="1"/>
      <protection locked="0"/>
    </xf>
    <xf numFmtId="49" fontId="14" fillId="0" borderId="0" xfId="6" applyNumberFormat="1" applyFont="1" applyBorder="1" applyAlignment="1" applyProtection="1">
      <alignment vertical="center"/>
      <protection locked="0"/>
    </xf>
    <xf numFmtId="49" fontId="14" fillId="0" borderId="0" xfId="6" quotePrefix="1" applyNumberFormat="1" applyFont="1" applyBorder="1" applyAlignment="1" applyProtection="1">
      <alignment horizontal="left" vertical="center"/>
      <protection locked="0"/>
    </xf>
    <xf numFmtId="49" fontId="27"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6" fillId="0" borderId="0" xfId="4" applyAlignment="1" applyProtection="1">
      <alignment horizontal="left" vertical="top"/>
    </xf>
    <xf numFmtId="0" fontId="10" fillId="7" borderId="6" xfId="0" applyFont="1" applyFill="1" applyBorder="1" applyAlignment="1" applyProtection="1">
      <alignment vertical="center" wrapText="1"/>
      <protection locked="0"/>
    </xf>
    <xf numFmtId="0" fontId="0" fillId="17" borderId="0" xfId="0" applyFill="1" applyAlignment="1">
      <alignment vertical="center"/>
    </xf>
    <xf numFmtId="0" fontId="29" fillId="20" borderId="1" xfId="0" applyFont="1" applyFill="1" applyBorder="1" applyAlignment="1" applyProtection="1">
      <alignment horizontal="center" vertical="center" wrapText="1"/>
      <protection locked="0"/>
    </xf>
    <xf numFmtId="0" fontId="10" fillId="0" borderId="6" xfId="0" applyFont="1" applyBorder="1" applyAlignment="1">
      <alignment vertical="center" wrapText="1"/>
    </xf>
    <xf numFmtId="0" fontId="10" fillId="0" borderId="1" xfId="0" applyFont="1" applyBorder="1" applyAlignment="1">
      <alignment vertical="center" wrapText="1"/>
    </xf>
    <xf numFmtId="0" fontId="29" fillId="21" borderId="1" xfId="0" applyFont="1" applyFill="1" applyBorder="1" applyAlignment="1" applyProtection="1">
      <alignment horizontal="center" vertical="center" wrapText="1"/>
      <protection locked="0"/>
    </xf>
    <xf numFmtId="0" fontId="10" fillId="22" borderId="1" xfId="0" applyFont="1" applyFill="1" applyBorder="1" applyAlignment="1" applyProtection="1">
      <alignment horizontal="center" vertical="center" wrapText="1"/>
      <protection locked="0"/>
    </xf>
    <xf numFmtId="0" fontId="9" fillId="0" borderId="1" xfId="0" applyFont="1" applyFill="1" applyBorder="1" applyAlignment="1">
      <alignment horizontal="center" vertical="center" wrapText="1"/>
    </xf>
    <xf numFmtId="0" fontId="20"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11" fillId="17" borderId="0" xfId="7" applyFont="1" applyFill="1" applyBorder="1" applyAlignment="1">
      <alignment vertical="center"/>
    </xf>
    <xf numFmtId="0" fontId="20" fillId="17" borderId="0" xfId="2" applyNumberFormat="1" applyFont="1" applyFill="1" applyBorder="1" applyAlignment="1" applyProtection="1">
      <alignment horizontal="center" vertical="center" wrapText="1"/>
    </xf>
    <xf numFmtId="0" fontId="10" fillId="17" borderId="0" xfId="0" applyFont="1" applyFill="1" applyBorder="1" applyAlignment="1">
      <alignment horizontal="left" vertical="center" wrapText="1"/>
    </xf>
    <xf numFmtId="0" fontId="9" fillId="17" borderId="0" xfId="0" applyFont="1" applyFill="1" applyBorder="1" applyAlignment="1">
      <alignment horizontal="left" vertical="center" wrapText="1"/>
    </xf>
    <xf numFmtId="0" fontId="10" fillId="17" borderId="4" xfId="0" applyFont="1" applyFill="1" applyBorder="1" applyAlignment="1">
      <alignment horizontal="left" vertical="center" wrapText="1"/>
    </xf>
    <xf numFmtId="0" fontId="9" fillId="17" borderId="4"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20" fillId="17" borderId="8" xfId="2" applyNumberFormat="1" applyFont="1" applyFill="1" applyBorder="1" applyAlignment="1">
      <alignment horizontal="center" vertical="center" wrapText="1"/>
    </xf>
    <xf numFmtId="14" fontId="9" fillId="0" borderId="0" xfId="7" applyNumberFormat="1"/>
    <xf numFmtId="0" fontId="9" fillId="0" borderId="0" xfId="7" quotePrefix="1" applyAlignment="1">
      <alignment horizontal="left"/>
    </xf>
    <xf numFmtId="0" fontId="16" fillId="0" borderId="0" xfId="4" applyAlignment="1" applyProtection="1"/>
    <xf numFmtId="0" fontId="16" fillId="2" borderId="0" xfId="4" applyFont="1" applyFill="1" applyAlignment="1" applyProtection="1">
      <alignment vertical="center"/>
      <protection hidden="1"/>
    </xf>
    <xf numFmtId="178" fontId="9" fillId="9" borderId="1" xfId="7" applyNumberFormat="1" applyFont="1" applyFill="1" applyBorder="1" applyAlignment="1">
      <alignment horizontal="center" vertical="center" wrapText="1"/>
    </xf>
    <xf numFmtId="175" fontId="7" fillId="23" borderId="1" xfId="7" applyNumberFormat="1" applyFont="1" applyFill="1" applyBorder="1" applyAlignment="1" applyProtection="1">
      <alignment horizontal="center" vertical="center"/>
    </xf>
    <xf numFmtId="164" fontId="7" fillId="23" borderId="1" xfId="8" applyFont="1" applyFill="1" applyBorder="1" applyAlignment="1" applyProtection="1">
      <alignment horizontal="center" vertical="center"/>
    </xf>
    <xf numFmtId="165" fontId="7" fillId="23" borderId="1" xfId="7" applyNumberFormat="1" applyFont="1" applyFill="1" applyBorder="1" applyAlignment="1" applyProtection="1">
      <alignment horizontal="center" vertical="center"/>
    </xf>
    <xf numFmtId="166" fontId="7" fillId="12" borderId="1" xfId="7" applyNumberFormat="1" applyFont="1" applyFill="1" applyBorder="1" applyAlignment="1" applyProtection="1">
      <alignment horizontal="center" vertical="center"/>
    </xf>
    <xf numFmtId="173" fontId="9" fillId="30" borderId="0" xfId="7" applyNumberFormat="1" applyFill="1"/>
    <xf numFmtId="174" fontId="9" fillId="30" borderId="0" xfId="7" applyNumberFormat="1" applyFill="1"/>
    <xf numFmtId="0" fontId="9" fillId="30" borderId="0" xfId="7" applyFill="1"/>
    <xf numFmtId="0" fontId="9" fillId="30" borderId="0" xfId="7" applyFill="1" applyAlignment="1">
      <alignment horizontal="left"/>
    </xf>
    <xf numFmtId="0" fontId="9" fillId="11" borderId="1" xfId="14" applyFont="1" applyFill="1" applyBorder="1" applyAlignment="1" applyProtection="1">
      <alignment vertical="center"/>
      <protection locked="0"/>
    </xf>
    <xf numFmtId="177" fontId="9" fillId="32" borderId="1" xfId="11" applyNumberFormat="1" applyFont="1" applyFill="1" applyBorder="1" applyAlignment="1" applyProtection="1">
      <alignment vertical="center"/>
      <protection locked="0"/>
    </xf>
    <xf numFmtId="176" fontId="6" fillId="31" borderId="1" xfId="10" applyNumberFormat="1" applyFill="1" applyBorder="1" applyAlignment="1" applyProtection="1">
      <alignment vertical="center"/>
    </xf>
    <xf numFmtId="177" fontId="9" fillId="31" borderId="1" xfId="10" applyNumberFormat="1" applyFont="1" applyFill="1" applyBorder="1" applyAlignment="1" applyProtection="1">
      <alignment vertical="center"/>
      <protection locked="0"/>
    </xf>
    <xf numFmtId="177" fontId="9" fillId="34" borderId="1" xfId="10" applyNumberFormat="1" applyFont="1" applyFill="1" applyBorder="1" applyAlignment="1" applyProtection="1">
      <alignment vertical="center"/>
      <protection locked="0"/>
    </xf>
    <xf numFmtId="177" fontId="9"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20"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10" fillId="7" borderId="6" xfId="0" applyFont="1" applyFill="1" applyBorder="1" applyAlignment="1" applyProtection="1">
      <alignment horizontal="left" vertical="center" wrapText="1"/>
    </xf>
    <xf numFmtId="0" fontId="9" fillId="11" borderId="1" xfId="9" quotePrefix="1" applyFont="1" applyFill="1" applyBorder="1" applyAlignment="1" applyProtection="1">
      <alignment horizontal="center" vertical="center" wrapText="1"/>
    </xf>
    <xf numFmtId="0" fontId="9" fillId="33" borderId="1" xfId="12" quotePrefix="1" applyFont="1" applyFill="1" applyBorder="1" applyAlignment="1" applyProtection="1">
      <alignment horizontal="center" vertical="center" wrapText="1"/>
    </xf>
    <xf numFmtId="176" fontId="6" fillId="34" borderId="1" xfId="13" applyNumberFormat="1" applyFill="1" applyBorder="1" applyAlignment="1" applyProtection="1">
      <alignment vertical="center"/>
    </xf>
    <xf numFmtId="0" fontId="10" fillId="7" borderId="1" xfId="0" applyFont="1" applyFill="1" applyBorder="1" applyAlignment="1" applyProtection="1">
      <alignment horizontal="left" vertical="center" wrapText="1"/>
    </xf>
    <xf numFmtId="0" fontId="9" fillId="11" borderId="1" xfId="14" applyFont="1" applyFill="1" applyBorder="1" applyAlignment="1" applyProtection="1">
      <alignment vertical="center" wrapText="1"/>
    </xf>
    <xf numFmtId="0" fontId="9" fillId="29" borderId="1" xfId="14" applyFont="1" applyFill="1" applyBorder="1" applyAlignment="1" applyProtection="1">
      <alignmen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9" fillId="7" borderId="1" xfId="0" applyFont="1" applyFill="1" applyBorder="1" applyAlignment="1" applyProtection="1">
      <alignment horizontal="center" vertical="center" wrapText="1"/>
    </xf>
    <xf numFmtId="177" fontId="6" fillId="31" borderId="1" xfId="10" applyNumberFormat="1" applyFill="1" applyBorder="1" applyAlignment="1" applyProtection="1">
      <alignment vertical="center"/>
      <protection locked="0"/>
    </xf>
    <xf numFmtId="179" fontId="6" fillId="31" borderId="1" xfId="10" applyNumberFormat="1" applyFill="1" applyBorder="1" applyAlignment="1" applyProtection="1">
      <alignment vertical="center"/>
    </xf>
    <xf numFmtId="179" fontId="6" fillId="34" borderId="1" xfId="10" applyNumberFormat="1" applyFill="1" applyBorder="1" applyAlignment="1" applyProtection="1">
      <alignment vertical="center"/>
    </xf>
    <xf numFmtId="179" fontId="9" fillId="32" borderId="1" xfId="11" applyNumberFormat="1" applyFont="1" applyFill="1" applyBorder="1" applyAlignment="1" applyProtection="1">
      <alignment vertical="center"/>
    </xf>
    <xf numFmtId="179" fontId="9" fillId="35" borderId="1" xfId="11" applyNumberFormat="1" applyFont="1" applyFill="1" applyBorder="1" applyAlignment="1" applyProtection="1">
      <alignment vertical="center"/>
    </xf>
    <xf numFmtId="180" fontId="6" fillId="31" borderId="5" xfId="10" applyNumberFormat="1" applyFill="1" applyBorder="1" applyAlignment="1" applyProtection="1">
      <alignment vertical="center"/>
    </xf>
    <xf numFmtId="180" fontId="6" fillId="31" borderId="1" xfId="10" applyNumberFormat="1" applyFill="1" applyBorder="1" applyAlignment="1" applyProtection="1">
      <alignment vertical="center"/>
    </xf>
    <xf numFmtId="0" fontId="32" fillId="0" borderId="0" xfId="7" applyFont="1"/>
    <xf numFmtId="0" fontId="10" fillId="7" borderId="1" xfId="0" applyFont="1" applyFill="1" applyBorder="1" applyAlignment="1">
      <alignment horizontal="center" vertical="center" wrapText="1"/>
    </xf>
    <xf numFmtId="2" fontId="10" fillId="7" borderId="1" xfId="7" applyNumberFormat="1" applyFont="1" applyFill="1" applyBorder="1" applyAlignment="1">
      <alignment horizontal="center" vertical="center" wrapText="1"/>
    </xf>
    <xf numFmtId="49" fontId="9" fillId="11" borderId="1" xfId="9" quotePrefix="1" applyNumberFormat="1" applyFont="1" applyFill="1" applyBorder="1" applyAlignment="1" applyProtection="1">
      <alignment horizontal="center" vertical="center" wrapText="1"/>
    </xf>
    <xf numFmtId="49" fontId="9" fillId="33" borderId="1" xfId="12" quotePrefix="1" applyNumberFormat="1" applyFont="1" applyFill="1" applyBorder="1" applyAlignment="1" applyProtection="1">
      <alignment horizontal="center" vertical="center" wrapText="1"/>
    </xf>
    <xf numFmtId="0" fontId="10" fillId="0" borderId="1" xfId="0" applyFont="1" applyBorder="1" applyAlignment="1">
      <alignment horizontal="left" vertical="center" wrapText="1"/>
    </xf>
    <xf numFmtId="49" fontId="14" fillId="6" borderId="0" xfId="2" applyNumberFormat="1" applyFont="1" applyFill="1" applyAlignment="1" applyProtection="1">
      <alignment horizontal="center" vertical="center" wrapText="1"/>
      <protection locked="0"/>
    </xf>
    <xf numFmtId="49" fontId="14" fillId="6" borderId="0" xfId="2" quotePrefix="1" applyNumberFormat="1" applyFont="1" applyFill="1" applyAlignment="1" applyProtection="1">
      <alignment horizontal="center" vertical="center" wrapText="1"/>
      <protection locked="0"/>
    </xf>
    <xf numFmtId="49" fontId="27" fillId="7" borderId="1" xfId="7" quotePrefix="1" applyNumberFormat="1" applyFont="1" applyFill="1" applyBorder="1" applyAlignment="1">
      <alignment horizontal="center" vertical="center" wrapText="1"/>
    </xf>
    <xf numFmtId="0" fontId="0" fillId="0" borderId="0" xfId="0" applyFill="1"/>
    <xf numFmtId="0" fontId="17" fillId="0" borderId="0" xfId="4" applyFont="1" applyFill="1" applyBorder="1" applyAlignment="1" applyProtection="1">
      <alignment vertical="center"/>
    </xf>
    <xf numFmtId="0" fontId="16" fillId="0" borderId="0" xfId="4" applyFont="1" applyFill="1" applyAlignment="1" applyProtection="1">
      <alignment horizontal="left" vertical="center"/>
    </xf>
    <xf numFmtId="0" fontId="9" fillId="0" borderId="0" xfId="7" quotePrefix="1" applyFont="1" applyAlignment="1">
      <alignment horizontal="left"/>
    </xf>
    <xf numFmtId="0" fontId="9" fillId="0" borderId="0" xfId="7" applyFont="1"/>
    <xf numFmtId="49" fontId="22" fillId="0" borderId="0" xfId="5" quotePrefix="1" applyNumberFormat="1" applyFont="1" applyBorder="1" applyAlignment="1" applyProtection="1">
      <alignment horizontal="left" vertical="center"/>
      <protection locked="0"/>
    </xf>
    <xf numFmtId="2" fontId="24" fillId="3" borderId="1" xfId="0" applyNumberFormat="1" applyFont="1" applyFill="1" applyBorder="1" applyAlignment="1" applyProtection="1">
      <alignment horizontal="center" vertical="center"/>
      <protection locked="0"/>
    </xf>
    <xf numFmtId="2" fontId="24" fillId="3" borderId="1" xfId="0" applyNumberFormat="1" applyFont="1" applyFill="1" applyBorder="1" applyAlignment="1" applyProtection="1">
      <alignment horizontal="center" vertical="center"/>
    </xf>
    <xf numFmtId="2" fontId="24" fillId="10" borderId="1" xfId="0" applyNumberFormat="1" applyFont="1" applyFill="1" applyBorder="1" applyAlignment="1" applyProtection="1">
      <alignment horizontal="center" vertical="center"/>
    </xf>
    <xf numFmtId="2" fontId="24" fillId="4" borderId="1" xfId="0" applyNumberFormat="1" applyFont="1" applyFill="1" applyBorder="1" applyAlignment="1" applyProtection="1">
      <alignment horizontal="center" vertical="center"/>
    </xf>
    <xf numFmtId="165" fontId="24" fillId="10" borderId="1" xfId="0" applyNumberFormat="1" applyFont="1" applyFill="1" applyBorder="1" applyAlignment="1" applyProtection="1">
      <alignment horizontal="center" vertical="center"/>
    </xf>
    <xf numFmtId="181" fontId="25" fillId="18" borderId="1" xfId="0" applyNumberFormat="1" applyFont="1" applyFill="1" applyBorder="1" applyAlignment="1" applyProtection="1">
      <alignment horizontal="center" vertical="center"/>
      <protection locked="0"/>
    </xf>
    <xf numFmtId="181" fontId="24" fillId="19" borderId="1" xfId="0" applyNumberFormat="1" applyFont="1" applyFill="1" applyBorder="1" applyAlignment="1" applyProtection="1">
      <alignment horizontal="center" vertical="center"/>
      <protection locked="0"/>
    </xf>
    <xf numFmtId="181" fontId="25" fillId="20" borderId="1" xfId="0" applyNumberFormat="1" applyFont="1" applyFill="1" applyBorder="1" applyAlignment="1" applyProtection="1">
      <alignment horizontal="center" vertical="center"/>
      <protection locked="0"/>
    </xf>
    <xf numFmtId="181" fontId="25" fillId="21" borderId="1" xfId="0" applyNumberFormat="1" applyFont="1" applyFill="1" applyBorder="1" applyAlignment="1" applyProtection="1">
      <alignment horizontal="center" vertical="center"/>
      <protection locked="0"/>
    </xf>
    <xf numFmtId="181" fontId="24" fillId="22" borderId="1" xfId="0" applyNumberFormat="1" applyFont="1" applyFill="1" applyBorder="1" applyAlignment="1" applyProtection="1">
      <alignment horizontal="center" vertical="center"/>
      <protection locked="0"/>
    </xf>
    <xf numFmtId="0" fontId="9" fillId="0" borderId="0" xfId="0" quotePrefix="1" applyFont="1" applyAlignment="1" applyProtection="1">
      <alignment horizontal="left" vertical="top" wrapText="1"/>
      <protection locked="0"/>
    </xf>
    <xf numFmtId="0" fontId="36" fillId="0" borderId="0" xfId="7" applyFont="1"/>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29" fillId="18" borderId="1" xfId="0" applyFont="1" applyFill="1" applyBorder="1" applyAlignment="1" applyProtection="1">
      <alignment horizontal="center" vertical="center" wrapText="1"/>
      <protection locked="0"/>
    </xf>
    <xf numFmtId="0" fontId="12" fillId="0" borderId="1" xfId="0" applyFont="1" applyBorder="1" applyAlignment="1">
      <alignment vertical="top" wrapText="1"/>
    </xf>
    <xf numFmtId="0" fontId="10" fillId="0" borderId="0" xfId="0" applyFont="1" applyAlignment="1" applyProtection="1">
      <alignment horizontal="left" vertical="top" wrapText="1"/>
      <protection locked="0"/>
    </xf>
    <xf numFmtId="0" fontId="35" fillId="17" borderId="8" xfId="16" quotePrefix="1" applyFill="1" applyBorder="1" applyAlignment="1">
      <alignment horizontal="left" vertical="top" wrapText="1"/>
    </xf>
    <xf numFmtId="0" fontId="9" fillId="2" borderId="0" xfId="7" quotePrefix="1" applyFont="1" applyFill="1" applyBorder="1" applyAlignment="1">
      <alignment vertical="center" wrapText="1"/>
    </xf>
    <xf numFmtId="0" fontId="0" fillId="2" borderId="11" xfId="0" applyFill="1" applyBorder="1"/>
    <xf numFmtId="0" fontId="0" fillId="2" borderId="0" xfId="0" applyFill="1" applyBorder="1"/>
    <xf numFmtId="0" fontId="24" fillId="4" borderId="1" xfId="0" applyFont="1" applyFill="1" applyBorder="1" applyAlignment="1" applyProtection="1">
      <alignment horizontal="center" vertical="center" wrapText="1"/>
      <protection locked="0"/>
    </xf>
    <xf numFmtId="170" fontId="10" fillId="3" borderId="1" xfId="0" applyNumberFormat="1" applyFont="1" applyFill="1" applyBorder="1" applyAlignment="1" applyProtection="1">
      <alignment horizontal="center" vertical="center"/>
      <protection locked="0"/>
    </xf>
    <xf numFmtId="49" fontId="24" fillId="8" borderId="0" xfId="0" applyNumberFormat="1" applyFont="1" applyFill="1" applyAlignment="1" applyProtection="1">
      <alignment horizontal="center" vertical="center" wrapText="1"/>
      <protection locked="0"/>
    </xf>
    <xf numFmtId="0" fontId="10" fillId="0" borderId="6" xfId="0" applyFont="1" applyBorder="1" applyAlignment="1" applyProtection="1">
      <alignment vertical="center" wrapText="1"/>
    </xf>
    <xf numFmtId="0" fontId="9" fillId="0" borderId="6" xfId="0" applyFont="1" applyBorder="1" applyAlignment="1" applyProtection="1">
      <alignment horizontal="center" vertical="center" wrapText="1"/>
    </xf>
    <xf numFmtId="0" fontId="9" fillId="0" borderId="1" xfId="0" quotePrefix="1"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9" fillId="37" borderId="1" xfId="0" applyFont="1" applyFill="1" applyBorder="1" applyAlignment="1" applyProtection="1">
      <alignment horizontal="center" vertical="center" wrapText="1"/>
    </xf>
    <xf numFmtId="0" fontId="0" fillId="0" borderId="8" xfId="0" applyBorder="1" applyAlignment="1"/>
    <xf numFmtId="0" fontId="9" fillId="17" borderId="1" xfId="0" applyFont="1" applyFill="1" applyBorder="1" applyAlignment="1">
      <alignment horizontal="center" vertical="center" wrapText="1"/>
    </xf>
    <xf numFmtId="0" fontId="10" fillId="0" borderId="3" xfId="0" applyFont="1" applyBorder="1" applyAlignment="1">
      <alignment vertical="center" wrapText="1"/>
    </xf>
    <xf numFmtId="0" fontId="20" fillId="17" borderId="0" xfId="2" applyNumberFormat="1" applyFont="1" applyFill="1" applyBorder="1" applyAlignment="1" applyProtection="1">
      <alignment vertical="center" wrapText="1"/>
    </xf>
    <xf numFmtId="0" fontId="0" fillId="2" borderId="0" xfId="0" applyFill="1" applyProtection="1"/>
    <xf numFmtId="0" fontId="10" fillId="7" borderId="6" xfId="0" applyFont="1" applyFill="1" applyBorder="1" applyAlignment="1" applyProtection="1">
      <alignment vertical="center" wrapText="1"/>
    </xf>
    <xf numFmtId="0" fontId="29" fillId="18" borderId="1" xfId="0" applyFont="1" applyFill="1" applyBorder="1" applyAlignment="1" applyProtection="1">
      <alignment horizontal="center" vertical="center" wrapText="1"/>
    </xf>
    <xf numFmtId="175" fontId="24" fillId="19" borderId="3" xfId="0" applyNumberFormat="1" applyFont="1" applyFill="1" applyBorder="1" applyAlignment="1" applyProtection="1">
      <alignment horizontal="center" vertical="center" wrapText="1"/>
    </xf>
    <xf numFmtId="0" fontId="29" fillId="20" borderId="1" xfId="0" applyFont="1" applyFill="1" applyBorder="1" applyAlignment="1" applyProtection="1">
      <alignment horizontal="center" vertical="center" wrapText="1"/>
    </xf>
    <xf numFmtId="0" fontId="29" fillId="21" borderId="1" xfId="0" applyFont="1" applyFill="1" applyBorder="1" applyAlignment="1" applyProtection="1">
      <alignment horizontal="center" vertical="center" wrapText="1"/>
    </xf>
    <xf numFmtId="0" fontId="10" fillId="22" borderId="1" xfId="0" applyFont="1" applyFill="1" applyBorder="1" applyAlignment="1" applyProtection="1">
      <alignment horizontal="center" vertical="center" wrapText="1"/>
    </xf>
    <xf numFmtId="0" fontId="9" fillId="4" borderId="3" xfId="0" applyFont="1" applyFill="1" applyBorder="1" applyAlignment="1" applyProtection="1">
      <alignment vertical="center" wrapText="1"/>
    </xf>
    <xf numFmtId="0" fontId="9" fillId="4" borderId="1" xfId="0" applyFont="1" applyFill="1" applyBorder="1" applyAlignment="1" applyProtection="1">
      <alignment horizontal="center" vertical="center" wrapText="1"/>
    </xf>
    <xf numFmtId="0" fontId="9" fillId="0" borderId="1" xfId="0" applyFont="1" applyFill="1" applyBorder="1" applyAlignment="1" applyProtection="1">
      <alignment horizontal="center" vertical="center" wrapText="1"/>
    </xf>
    <xf numFmtId="0" fontId="9" fillId="0" borderId="4" xfId="0" applyFont="1" applyBorder="1" applyAlignment="1" applyProtection="1">
      <alignment horizontal="center" vertical="center" wrapText="1"/>
    </xf>
    <xf numFmtId="0" fontId="9" fillId="17" borderId="1" xfId="0" applyFont="1" applyFill="1" applyBorder="1" applyAlignment="1" applyProtection="1">
      <alignment horizontal="center" vertical="center" wrapText="1"/>
    </xf>
    <xf numFmtId="0" fontId="10" fillId="0" borderId="1" xfId="0" applyFont="1" applyBorder="1" applyAlignment="1" applyProtection="1">
      <alignment vertical="center" wrapText="1"/>
    </xf>
    <xf numFmtId="0" fontId="20" fillId="17" borderId="12" xfId="2" applyNumberFormat="1" applyFont="1" applyFill="1" applyBorder="1" applyAlignment="1" applyProtection="1">
      <alignment horizontal="center" vertical="center" wrapText="1"/>
    </xf>
    <xf numFmtId="0" fontId="0" fillId="17" borderId="0" xfId="0" applyFill="1" applyProtection="1"/>
    <xf numFmtId="0" fontId="0" fillId="17" borderId="0" xfId="0" applyFill="1" applyAlignment="1" applyProtection="1">
      <alignment vertical="center"/>
    </xf>
    <xf numFmtId="0" fontId="0" fillId="17" borderId="0" xfId="0" applyFill="1" applyBorder="1" applyAlignment="1" applyProtection="1">
      <alignment vertical="center"/>
    </xf>
    <xf numFmtId="0" fontId="0" fillId="17" borderId="0" xfId="0" applyFill="1" applyBorder="1" applyProtection="1"/>
    <xf numFmtId="0" fontId="9" fillId="0" borderId="0" xfId="0" applyFont="1" applyAlignment="1">
      <alignment horizontal="center" vertical="center"/>
    </xf>
    <xf numFmtId="49" fontId="0" fillId="11" borderId="1" xfId="0" applyNumberFormat="1" applyFill="1" applyBorder="1" applyAlignment="1" applyProtection="1">
      <alignment horizontal="left" vertical="center" wrapText="1"/>
      <protection locked="0"/>
    </xf>
    <xf numFmtId="49" fontId="0" fillId="11" borderId="1" xfId="0" applyNumberFormat="1" applyFill="1" applyBorder="1" applyAlignment="1" applyProtection="1">
      <alignment horizontal="left" vertical="top" wrapText="1"/>
      <protection locked="0"/>
    </xf>
    <xf numFmtId="0" fontId="16" fillId="2" borderId="0" xfId="4" applyFont="1" applyFill="1" applyAlignment="1" applyProtection="1">
      <alignment horizontal="center" vertical="center"/>
    </xf>
    <xf numFmtId="1" fontId="9" fillId="9" borderId="1" xfId="7" applyNumberFormat="1" applyFont="1" applyFill="1" applyBorder="1" applyAlignment="1" applyProtection="1">
      <alignment horizontal="center" vertical="center" wrapText="1"/>
      <protection locked="0"/>
    </xf>
    <xf numFmtId="0" fontId="9" fillId="11" borderId="1" xfId="7" applyNumberFormat="1" applyFont="1" applyFill="1" applyBorder="1" applyAlignment="1" applyProtection="1">
      <alignment horizontal="center" vertical="center" wrapText="1"/>
      <protection locked="0"/>
    </xf>
    <xf numFmtId="0" fontId="10" fillId="17" borderId="4" xfId="0" applyFont="1" applyFill="1" applyBorder="1" applyAlignment="1">
      <alignment horizontal="center" vertical="center" wrapText="1"/>
    </xf>
    <xf numFmtId="0" fontId="9" fillId="11" borderId="1" xfId="7" applyNumberFormat="1" applyFont="1" applyFill="1" applyBorder="1" applyAlignment="1" applyProtection="1">
      <alignment horizontal="center" vertical="center" wrapText="1"/>
    </xf>
    <xf numFmtId="1" fontId="9" fillId="9" borderId="1" xfId="7" applyNumberFormat="1" applyFont="1" applyFill="1" applyBorder="1" applyAlignment="1" applyProtection="1">
      <alignment horizontal="center" vertical="center" wrapText="1"/>
    </xf>
    <xf numFmtId="0" fontId="9" fillId="9" borderId="1" xfId="7" applyNumberFormat="1" applyFont="1" applyFill="1" applyBorder="1" applyAlignment="1" applyProtection="1">
      <alignment horizontal="center" vertical="center" wrapText="1"/>
    </xf>
    <xf numFmtId="2" fontId="7" fillId="12" borderId="1" xfId="7" applyNumberFormat="1" applyFont="1" applyFill="1" applyBorder="1" applyAlignment="1" applyProtection="1">
      <alignment horizontal="center" vertical="center"/>
    </xf>
    <xf numFmtId="1" fontId="9" fillId="9" borderId="1" xfId="7" quotePrefix="1" applyNumberFormat="1" applyFont="1" applyFill="1" applyBorder="1" applyAlignment="1" applyProtection="1">
      <alignment horizontal="center" vertical="center" wrapText="1"/>
      <protection locked="0"/>
    </xf>
    <xf numFmtId="1" fontId="9" fillId="9" borderId="1" xfId="7" quotePrefix="1" applyNumberFormat="1" applyFont="1" applyFill="1" applyBorder="1" applyAlignment="1" applyProtection="1">
      <alignment horizontal="center" vertical="center" wrapText="1"/>
    </xf>
    <xf numFmtId="182" fontId="38" fillId="11" borderId="1" xfId="0" applyNumberFormat="1" applyFont="1" applyFill="1" applyBorder="1" applyAlignment="1" applyProtection="1">
      <alignment horizontal="center" vertical="center"/>
    </xf>
    <xf numFmtId="0" fontId="0" fillId="2" borderId="1" xfId="0" applyFill="1" applyBorder="1" applyAlignment="1" applyProtection="1">
      <alignment horizontal="center" vertical="center"/>
    </xf>
    <xf numFmtId="166" fontId="0" fillId="2" borderId="1" xfId="0" applyNumberFormat="1" applyFill="1" applyBorder="1" applyAlignment="1" applyProtection="1">
      <alignment horizontal="center" vertical="center"/>
    </xf>
    <xf numFmtId="166" fontId="0" fillId="0" borderId="1" xfId="0" applyNumberFormat="1" applyBorder="1" applyAlignment="1">
      <alignment horizontal="center" vertical="center"/>
    </xf>
    <xf numFmtId="0" fontId="9" fillId="0" borderId="0" xfId="0" applyFont="1" applyBorder="1" applyAlignment="1">
      <alignment vertical="center" wrapText="1"/>
    </xf>
    <xf numFmtId="0" fontId="0" fillId="0" borderId="0" xfId="0" applyBorder="1" applyAlignment="1">
      <alignment vertical="center"/>
    </xf>
    <xf numFmtId="0" fontId="0" fillId="0" borderId="1" xfId="0" applyBorder="1" applyAlignment="1">
      <alignment horizontal="center" vertical="center"/>
    </xf>
    <xf numFmtId="0" fontId="10" fillId="11" borderId="1" xfId="7" applyNumberFormat="1" applyFont="1" applyFill="1" applyBorder="1" applyAlignment="1" applyProtection="1">
      <alignment horizontal="center" vertical="center" wrapText="1"/>
    </xf>
    <xf numFmtId="166" fontId="9" fillId="0" borderId="1" xfId="0" applyNumberFormat="1" applyFont="1" applyBorder="1" applyAlignment="1">
      <alignment horizontal="center" vertical="center"/>
    </xf>
    <xf numFmtId="0" fontId="9" fillId="0" borderId="0" xfId="0" quotePrefix="1"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10" fillId="2" borderId="1" xfId="0" applyFont="1" applyFill="1" applyBorder="1" applyAlignment="1">
      <alignment vertical="top"/>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178" fontId="9" fillId="31" borderId="1" xfId="7" applyNumberFormat="1" applyFont="1" applyFill="1" applyBorder="1" applyAlignment="1">
      <alignment horizontal="center" vertical="center" wrapText="1"/>
    </xf>
    <xf numFmtId="1" fontId="9" fillId="31" borderId="1" xfId="7" applyNumberFormat="1" applyFont="1" applyFill="1" applyBorder="1" applyAlignment="1" applyProtection="1">
      <alignment horizontal="center" vertical="center" wrapText="1"/>
      <protection locked="0"/>
    </xf>
    <xf numFmtId="0" fontId="9" fillId="0" borderId="0" xfId="0" quotePrefix="1"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166"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9" fillId="0" borderId="0" xfId="0" quotePrefix="1" applyFont="1" applyAlignment="1">
      <alignment horizontal="left" wrapText="1"/>
    </xf>
    <xf numFmtId="0" fontId="23" fillId="0" borderId="0" xfId="0" quotePrefix="1" applyNumberFormat="1" applyFont="1" applyAlignment="1" applyProtection="1">
      <alignment horizontal="left" vertical="top" wrapText="1"/>
    </xf>
    <xf numFmtId="0" fontId="18" fillId="0" borderId="0" xfId="0" quotePrefix="1" applyNumberFormat="1" applyFont="1" applyAlignment="1" applyProtection="1">
      <alignment horizontal="left" vertical="top" wrapText="1"/>
    </xf>
    <xf numFmtId="0" fontId="9" fillId="0" borderId="0" xfId="0" quotePrefix="1"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18" fillId="0" borderId="0" xfId="0" quotePrefix="1" applyNumberFormat="1" applyFont="1" applyFill="1" applyAlignment="1" applyProtection="1">
      <alignment horizontal="left" vertical="top" wrapText="1"/>
    </xf>
    <xf numFmtId="49" fontId="14" fillId="6" borderId="0" xfId="2" applyNumberFormat="1" applyFont="1" applyFill="1" applyAlignment="1" applyProtection="1">
      <alignment horizontal="center" vertical="center" wrapText="1"/>
      <protection locked="0"/>
    </xf>
    <xf numFmtId="0" fontId="16" fillId="0" borderId="0" xfId="4" applyAlignment="1" applyProtection="1">
      <alignment horizontal="left" vertical="top" wrapText="1"/>
      <protection locked="0"/>
    </xf>
    <xf numFmtId="0" fontId="16" fillId="0" borderId="0" xfId="4" applyAlignment="1" applyProtection="1">
      <alignment horizontal="left" vertical="top" wrapText="1"/>
    </xf>
    <xf numFmtId="49" fontId="14" fillId="6" borderId="0" xfId="2" applyNumberFormat="1" applyFont="1" applyFill="1" applyAlignment="1" applyProtection="1">
      <alignment horizontal="left" vertical="center" wrapText="1"/>
      <protection locked="0"/>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2" borderId="8" xfId="7" quotePrefix="1" applyFont="1" applyFill="1" applyBorder="1" applyAlignment="1">
      <alignment horizontal="center" vertical="center" wrapText="1"/>
    </xf>
    <xf numFmtId="0" fontId="20" fillId="6" borderId="1" xfId="2" applyNumberFormat="1" applyFont="1" applyFill="1" applyBorder="1" applyAlignment="1">
      <alignment horizontal="center" vertical="center" wrapText="1"/>
    </xf>
    <xf numFmtId="175" fontId="24" fillId="19" borderId="3" xfId="0" applyNumberFormat="1" applyFont="1" applyFill="1" applyBorder="1" applyAlignment="1" applyProtection="1">
      <alignment horizontal="center" vertical="center"/>
      <protection locked="0"/>
    </xf>
    <xf numFmtId="175" fontId="24" fillId="19" borderId="5" xfId="0" applyNumberFormat="1" applyFont="1" applyFill="1" applyBorder="1" applyAlignment="1" applyProtection="1">
      <alignment horizontal="center" vertical="center"/>
      <protection locked="0"/>
    </xf>
    <xf numFmtId="0" fontId="9" fillId="4" borderId="1" xfId="0" applyFont="1" applyFill="1" applyBorder="1" applyAlignment="1">
      <alignment horizontal="center" vertical="center" wrapText="1"/>
    </xf>
    <xf numFmtId="0" fontId="10" fillId="7" borderId="3" xfId="0" applyFont="1" applyFill="1" applyBorder="1" applyAlignment="1" applyProtection="1">
      <alignment horizontal="center" vertical="center" wrapText="1"/>
      <protection locked="0"/>
    </xf>
    <xf numFmtId="0" fontId="10" fillId="7" borderId="5" xfId="0" applyFont="1" applyFill="1" applyBorder="1" applyAlignment="1" applyProtection="1">
      <alignment horizontal="center" vertical="center" wrapText="1"/>
      <protection locked="0"/>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17" borderId="1" xfId="0" applyFont="1" applyFill="1" applyBorder="1" applyAlignment="1">
      <alignment horizontal="center" vertical="center" wrapText="1"/>
    </xf>
    <xf numFmtId="0" fontId="29" fillId="18" borderId="1" xfId="0" applyFont="1" applyFill="1" applyBorder="1" applyAlignment="1" applyProtection="1">
      <alignment horizontal="center" vertical="center" wrapText="1"/>
      <protection locked="0"/>
    </xf>
    <xf numFmtId="0" fontId="9" fillId="2" borderId="8" xfId="0" quotePrefix="1" applyFont="1" applyFill="1" applyBorder="1" applyAlignment="1">
      <alignment horizontal="left" vertical="center" wrapText="1"/>
    </xf>
    <xf numFmtId="0" fontId="20" fillId="6" borderId="3" xfId="2"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9" fillId="2" borderId="8" xfId="7" quotePrefix="1" applyFont="1" applyFill="1" applyBorder="1" applyAlignment="1">
      <alignment vertical="center" wrapText="1"/>
    </xf>
    <xf numFmtId="0" fontId="0" fillId="0" borderId="8" xfId="0" applyBorder="1" applyAlignment="1">
      <alignment vertical="center" wrapText="1"/>
    </xf>
    <xf numFmtId="0" fontId="9" fillId="0" borderId="1" xfId="0" applyFont="1" applyBorder="1" applyAlignment="1">
      <alignment horizontal="center" vertical="center" wrapText="1"/>
    </xf>
    <xf numFmtId="0" fontId="10" fillId="7" borderId="11" xfId="0" applyFont="1" applyFill="1" applyBorder="1" applyAlignment="1" applyProtection="1">
      <alignment horizontal="center" vertical="center" wrapText="1"/>
      <protection locked="0"/>
    </xf>
    <xf numFmtId="0" fontId="10" fillId="7" borderId="0" xfId="0" applyFont="1" applyFill="1" applyBorder="1" applyAlignment="1" applyProtection="1">
      <alignment horizontal="center" vertical="center" wrapText="1"/>
      <protection locked="0"/>
    </xf>
    <xf numFmtId="0" fontId="9" fillId="2" borderId="8" xfId="7" quotePrefix="1" applyFont="1" applyFill="1" applyBorder="1" applyAlignment="1">
      <alignment horizontal="left" vertical="center" wrapText="1"/>
    </xf>
    <xf numFmtId="0" fontId="0" fillId="0" borderId="8" xfId="0" applyBorder="1" applyAlignment="1">
      <alignment horizontal="left" vertical="center" wrapText="1"/>
    </xf>
    <xf numFmtId="0" fontId="8" fillId="0" borderId="1" xfId="0" applyFont="1" applyBorder="1" applyAlignment="1">
      <alignment vertical="center" wrapText="1"/>
    </xf>
    <xf numFmtId="0" fontId="0" fillId="0" borderId="1" xfId="0" applyBorder="1" applyAlignment="1">
      <alignment vertical="center"/>
    </xf>
    <xf numFmtId="0" fontId="10" fillId="7" borderId="1" xfId="0" applyFont="1" applyFill="1" applyBorder="1" applyAlignment="1">
      <alignment horizontal="center" vertical="center" wrapText="1"/>
    </xf>
    <xf numFmtId="0" fontId="8" fillId="0" borderId="1" xfId="0" applyFont="1" applyBorder="1" applyAlignment="1">
      <alignment wrapText="1"/>
    </xf>
    <xf numFmtId="0" fontId="0" fillId="0" borderId="1" xfId="0" applyBorder="1" applyAlignment="1"/>
    <xf numFmtId="0" fontId="8" fillId="0" borderId="3" xfId="0" applyFont="1" applyBorder="1" applyAlignment="1">
      <alignment vertical="center" wrapText="1"/>
    </xf>
    <xf numFmtId="0" fontId="8"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12" fillId="0" borderId="1" xfId="0" applyFont="1" applyBorder="1" applyAlignment="1">
      <alignment wrapText="1"/>
    </xf>
    <xf numFmtId="0" fontId="10" fillId="0" borderId="1" xfId="0" applyFont="1" applyBorder="1" applyAlignment="1"/>
    <xf numFmtId="0" fontId="12" fillId="0" borderId="1" xfId="0" applyFont="1" applyBorder="1" applyAlignment="1">
      <alignment vertical="top" wrapText="1"/>
    </xf>
    <xf numFmtId="0" fontId="0" fillId="0" borderId="1" xfId="0" applyBorder="1" applyAlignment="1">
      <alignment vertical="top" wrapText="1"/>
    </xf>
    <xf numFmtId="0" fontId="9" fillId="2"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9" fillId="0" borderId="3" xfId="0" applyFont="1" applyBorder="1" applyAlignment="1" applyProtection="1">
      <alignment horizontal="left" vertical="center" wrapText="1"/>
    </xf>
    <xf numFmtId="0" fontId="9" fillId="0" borderId="4" xfId="0" applyFont="1" applyBorder="1" applyAlignment="1" applyProtection="1">
      <alignment horizontal="left" vertical="center" wrapText="1"/>
    </xf>
    <xf numFmtId="0" fontId="9" fillId="0" borderId="5" xfId="0" applyFont="1" applyBorder="1" applyAlignment="1" applyProtection="1">
      <alignment horizontal="left" vertical="center" wrapText="1"/>
    </xf>
    <xf numFmtId="0" fontId="9" fillId="0" borderId="1" xfId="0" applyFont="1" applyBorder="1" applyAlignment="1" applyProtection="1">
      <alignment horizontal="left" vertical="center" wrapText="1"/>
    </xf>
    <xf numFmtId="0" fontId="10" fillId="0" borderId="1" xfId="0" applyFont="1" applyBorder="1" applyAlignment="1" applyProtection="1">
      <alignment horizontal="left" vertical="center" wrapText="1"/>
    </xf>
    <xf numFmtId="0" fontId="35" fillId="0" borderId="8" xfId="16" quotePrefix="1" applyFill="1" applyBorder="1" applyAlignment="1" applyProtection="1">
      <alignment horizontal="left" vertical="center" wrapText="1"/>
    </xf>
    <xf numFmtId="0" fontId="35" fillId="0" borderId="8" xfId="16" quotePrefix="1" applyFill="1" applyBorder="1" applyAlignment="1" applyProtection="1">
      <alignment horizontal="center" vertical="center" wrapText="1"/>
    </xf>
    <xf numFmtId="0" fontId="20" fillId="6" borderId="1" xfId="2" applyNumberFormat="1" applyFont="1" applyFill="1" applyBorder="1" applyAlignment="1" applyProtection="1">
      <alignment horizontal="center" vertical="center" wrapText="1"/>
    </xf>
    <xf numFmtId="0" fontId="10" fillId="7" borderId="3" xfId="0" applyFont="1" applyFill="1" applyBorder="1" applyAlignment="1" applyProtection="1">
      <alignment horizontal="center" vertical="center" wrapText="1"/>
    </xf>
    <xf numFmtId="0" fontId="10" fillId="7" borderId="5" xfId="0" applyFont="1" applyFill="1" applyBorder="1" applyAlignment="1" applyProtection="1">
      <alignment horizontal="center" vertical="center" wrapText="1"/>
    </xf>
    <xf numFmtId="0" fontId="9" fillId="0" borderId="8" xfId="0" applyFont="1" applyFill="1" applyBorder="1" applyAlignment="1">
      <alignment horizontal="left" vertical="center" wrapText="1"/>
    </xf>
    <xf numFmtId="0" fontId="0" fillId="0" borderId="8" xfId="0" applyFill="1" applyBorder="1" applyAlignment="1">
      <alignment horizontal="left" vertical="center" wrapText="1"/>
    </xf>
    <xf numFmtId="0" fontId="10" fillId="7" borderId="6" xfId="0" applyFont="1" applyFill="1" applyBorder="1" applyAlignment="1" applyProtection="1">
      <alignment horizontal="center" vertical="center" wrapText="1"/>
      <protection locked="0"/>
    </xf>
    <xf numFmtId="0" fontId="10" fillId="7" borderId="2" xfId="0" applyFont="1" applyFill="1" applyBorder="1" applyAlignment="1" applyProtection="1">
      <alignment horizontal="center" vertical="center" wrapText="1"/>
      <protection locked="0"/>
    </xf>
    <xf numFmtId="0" fontId="10" fillId="7" borderId="4" xfId="0" applyFont="1" applyFill="1" applyBorder="1" applyAlignment="1" applyProtection="1">
      <alignment horizontal="center" vertical="center" wrapText="1"/>
      <protection locked="0"/>
    </xf>
    <xf numFmtId="0" fontId="20" fillId="6" borderId="3" xfId="2" quotePrefix="1" applyNumberFormat="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0" fillId="0" borderId="8" xfId="0" applyBorder="1" applyAlignment="1"/>
    <xf numFmtId="0" fontId="20" fillId="6" borderId="4" xfId="2" applyNumberFormat="1" applyFont="1" applyFill="1" applyBorder="1" applyAlignment="1">
      <alignment horizontal="center" vertical="center" wrapText="1"/>
    </xf>
    <xf numFmtId="0" fontId="20" fillId="6" borderId="5" xfId="2" applyNumberFormat="1" applyFont="1" applyFill="1" applyBorder="1" applyAlignment="1">
      <alignment horizontal="center" vertical="center" wrapText="1"/>
    </xf>
    <xf numFmtId="0" fontId="16" fillId="0" borderId="0" xfId="4" applyFill="1" applyAlignment="1" applyProtection="1">
      <alignment horizontal="left" vertical="center"/>
    </xf>
    <xf numFmtId="0" fontId="30" fillId="6" borderId="3" xfId="2" applyNumberFormat="1" applyFont="1" applyFill="1" applyBorder="1" applyAlignment="1" applyProtection="1">
      <alignment horizontal="center" vertical="center" wrapText="1"/>
    </xf>
    <xf numFmtId="0" fontId="30" fillId="6" borderId="4" xfId="2" applyNumberFormat="1" applyFont="1" applyFill="1" applyBorder="1" applyAlignment="1" applyProtection="1">
      <alignment horizontal="center" vertical="center" wrapText="1"/>
    </xf>
    <xf numFmtId="0" fontId="30" fillId="6" borderId="5" xfId="2" applyNumberFormat="1" applyFont="1" applyFill="1" applyBorder="1" applyAlignment="1" applyProtection="1">
      <alignment horizontal="center" vertical="center" wrapText="1"/>
    </xf>
    <xf numFmtId="0" fontId="10" fillId="7" borderId="3" xfId="0" applyFont="1" applyFill="1" applyBorder="1" applyAlignment="1" applyProtection="1">
      <alignment horizontal="left" vertical="center" wrapText="1"/>
    </xf>
    <xf numFmtId="0" fontId="10" fillId="7" borderId="4" xfId="0" applyFont="1" applyFill="1" applyBorder="1" applyAlignment="1" applyProtection="1">
      <alignment horizontal="left" vertical="center" wrapText="1"/>
    </xf>
    <xf numFmtId="0" fontId="10" fillId="7" borderId="5" xfId="0" applyFont="1" applyFill="1" applyBorder="1" applyAlignment="1" applyProtection="1">
      <alignment horizontal="left" vertical="center" wrapText="1"/>
    </xf>
    <xf numFmtId="0" fontId="30" fillId="6" borderId="3" xfId="2" applyNumberFormat="1" applyFont="1" applyFill="1" applyBorder="1" applyAlignment="1" applyProtection="1">
      <alignment horizontal="left" vertical="center" wrapText="1"/>
    </xf>
    <xf numFmtId="0" fontId="30" fillId="6" borderId="4" xfId="2" applyNumberFormat="1" applyFont="1" applyFill="1" applyBorder="1" applyAlignment="1" applyProtection="1">
      <alignment horizontal="left" vertical="center" wrapText="1"/>
    </xf>
    <xf numFmtId="0" fontId="30" fillId="6" borderId="5" xfId="2" applyNumberFormat="1" applyFont="1" applyFill="1" applyBorder="1" applyAlignment="1" applyProtection="1">
      <alignment horizontal="left" vertical="center" wrapText="1"/>
    </xf>
    <xf numFmtId="0" fontId="9" fillId="0" borderId="0" xfId="0" quotePrefix="1" applyFont="1" applyAlignment="1" applyProtection="1">
      <alignment horizontal="left" vertical="top" wrapText="1"/>
    </xf>
    <xf numFmtId="0" fontId="9" fillId="0" borderId="0" xfId="0" quotePrefix="1" applyFont="1" applyAlignment="1" applyProtection="1">
      <alignment horizontal="left"/>
    </xf>
  </cellXfs>
  <cellStyles count="33">
    <cellStyle name="40% - Accent1" xfId="10" builtinId="31"/>
    <cellStyle name="40% - Accent1 2" xfId="17" xr:uid="{00000000-0005-0000-0000-000001000000}"/>
    <cellStyle name="40% - Accent4" xfId="13" builtinId="43"/>
    <cellStyle name="40% - Accent4 2" xfId="18" xr:uid="{00000000-0005-0000-0000-000003000000}"/>
    <cellStyle name="60% - Accent2" xfId="11" builtinId="36"/>
    <cellStyle name="Accent1" xfId="9" builtinId="29"/>
    <cellStyle name="Accent4" xfId="12" builtinId="41"/>
    <cellStyle name="Accent6" xfId="14" builtinId="49"/>
    <cellStyle name="Bad 2" xfId="31" xr:uid="{00000000-0005-0000-0000-000008000000}"/>
    <cellStyle name="Comma 2" xfId="8" xr:uid="{00000000-0005-0000-0000-000009000000}"/>
    <cellStyle name="Comma 2 2" xfId="19" xr:uid="{00000000-0005-0000-0000-00000A000000}"/>
    <cellStyle name="Fixed_CEPATNEI" xfId="30" xr:uid="{00000000-0005-0000-0000-00000B000000}"/>
    <cellStyle name="Good 2" xfId="28" xr:uid="{00000000-0005-0000-0000-00000C000000}"/>
    <cellStyle name="Heading 2" xfId="5" builtinId="17"/>
    <cellStyle name="Heading 3" xfId="6" builtinId="18"/>
    <cellStyle name="Heading 4" xfId="2" builtinId="19"/>
    <cellStyle name="Hyperlink" xfId="4" builtinId="8"/>
    <cellStyle name="Hyperlink 2" xfId="25" xr:uid="{00000000-0005-0000-0000-000011000000}"/>
    <cellStyle name="Input" xfId="3" builtinId="20"/>
    <cellStyle name="LinksFrom_CEPATNEI" xfId="23" xr:uid="{00000000-0005-0000-0000-000013000000}"/>
    <cellStyle name="Neutral" xfId="16" builtinId="28"/>
    <cellStyle name="Neutral 2" xfId="20" xr:uid="{00000000-0005-0000-0000-000015000000}"/>
    <cellStyle name="Normal" xfId="0" builtinId="0"/>
    <cellStyle name="Normal 2" xfId="7" xr:uid="{00000000-0005-0000-0000-000017000000}"/>
    <cellStyle name="Normal 2 2" xfId="27" xr:uid="{00000000-0005-0000-0000-000018000000}"/>
    <cellStyle name="Normal 2 3" xfId="32" xr:uid="{00000000-0005-0000-0000-000019000000}"/>
    <cellStyle name="Normal 3" xfId="15" xr:uid="{00000000-0005-0000-0000-00001A000000}"/>
    <cellStyle name="Normal 3 2" xfId="22" xr:uid="{00000000-0005-0000-0000-00001B000000}"/>
    <cellStyle name="Normal 3_Annex 3 Preserved charges" xfId="21" xr:uid="{00000000-0005-0000-0000-00001C000000}"/>
    <cellStyle name="Normal 4" xfId="24" xr:uid="{00000000-0005-0000-0000-00001D000000}"/>
    <cellStyle name="Normal 5" xfId="26" xr:uid="{00000000-0005-0000-0000-00001E000000}"/>
    <cellStyle name="Normal 6" xfId="29" xr:uid="{00000000-0005-0000-0000-00001F000000}"/>
    <cellStyle name="Normal_Sheet1" xfId="1" xr:uid="{00000000-0005-0000-0000-000020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CFFCC"/>
      <color rgb="FFB8D2BB"/>
      <color rgb="FFFFCC99"/>
      <color rgb="FFFFBE82"/>
      <color rgb="FFB4FFCC"/>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SCSNS/LLFs/2015-16/LLF%20Audit%20Changes/Blank%20Documents/CP1407-v2.0_E_BSCP128_Appendix-5_v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Notes"/>
      <sheetName val="CSAD 2.1 Site Specific&amp;EHV"/>
      <sheetName val="CSAD 2.2 - Generic LLFCs"/>
      <sheetName val="Applicable LLFCs"/>
      <sheetName val="Sheet3"/>
    </sheetNames>
    <sheetDataSet>
      <sheetData sheetId="0"/>
      <sheetData sheetId="1"/>
      <sheetData sheetId="2">
        <row r="54">
          <cell r="AG54" t="str">
            <v>Yes</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fgem.gov.uk/publications-and-updates/decision-grant-derogations-all-distribution-network-operators-distribution-use-system-charges-202021"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32"/>
  <sheetViews>
    <sheetView showGridLines="0" topLeftCell="A9" zoomScale="90" zoomScaleNormal="90" zoomScaleSheetLayoutView="100" workbookViewId="0">
      <selection activeCell="B4" sqref="B4"/>
    </sheetView>
  </sheetViews>
  <sheetFormatPr baseColWidth="10" defaultColWidth="8.83203125" defaultRowHeight="13" x14ac:dyDescent="0.15"/>
  <cols>
    <col min="1" max="1" width="70.33203125" customWidth="1"/>
    <col min="2" max="2" width="42.1640625" customWidth="1"/>
    <col min="3" max="3" width="28" customWidth="1"/>
    <col min="4" max="4" width="18.1640625" customWidth="1"/>
    <col min="5" max="5" width="21.5" customWidth="1"/>
  </cols>
  <sheetData>
    <row r="1" spans="1:8" x14ac:dyDescent="0.15">
      <c r="A1" s="23"/>
      <c r="B1" s="23"/>
      <c r="C1" s="23"/>
      <c r="D1" s="23"/>
      <c r="E1" s="23"/>
    </row>
    <row r="2" spans="1:8" ht="17" x14ac:dyDescent="0.15">
      <c r="A2" s="160" t="s">
        <v>641</v>
      </c>
      <c r="B2" s="74"/>
      <c r="C2" s="74"/>
      <c r="D2" s="74"/>
      <c r="E2" s="74"/>
    </row>
    <row r="3" spans="1:8" ht="15" x14ac:dyDescent="0.15">
      <c r="A3" s="78"/>
      <c r="B3" s="153" t="s">
        <v>642</v>
      </c>
      <c r="C3" s="152" t="s">
        <v>686</v>
      </c>
      <c r="D3" s="152" t="s">
        <v>91</v>
      </c>
      <c r="E3" s="152" t="s">
        <v>90</v>
      </c>
    </row>
    <row r="4" spans="1:8" ht="30" customHeight="1" x14ac:dyDescent="0.15">
      <c r="A4" s="75" t="s">
        <v>641</v>
      </c>
      <c r="B4" s="29" t="s">
        <v>708</v>
      </c>
      <c r="C4" s="29" t="s">
        <v>709</v>
      </c>
      <c r="D4" s="29" t="s">
        <v>710</v>
      </c>
      <c r="E4" s="29" t="s">
        <v>640</v>
      </c>
    </row>
    <row r="5" spans="1:8" x14ac:dyDescent="0.15">
      <c r="A5" s="74"/>
      <c r="B5" s="74"/>
      <c r="C5" s="74"/>
      <c r="D5" s="74"/>
      <c r="E5" s="74"/>
    </row>
    <row r="6" spans="1:8" ht="17" x14ac:dyDescent="0.15">
      <c r="A6" s="77" t="s">
        <v>85</v>
      </c>
      <c r="B6" s="74"/>
      <c r="C6" s="74"/>
      <c r="D6" s="74"/>
      <c r="E6" s="74"/>
    </row>
    <row r="7" spans="1:8" ht="15" x14ac:dyDescent="0.15">
      <c r="A7" s="79" t="s">
        <v>86</v>
      </c>
      <c r="B7" s="254" t="s">
        <v>87</v>
      </c>
      <c r="C7" s="254"/>
      <c r="D7" s="254"/>
      <c r="E7" s="254"/>
    </row>
    <row r="8" spans="1:8" ht="30" customHeight="1" x14ac:dyDescent="0.15">
      <c r="A8" s="84" t="s">
        <v>471</v>
      </c>
      <c r="B8" s="247" t="s">
        <v>702</v>
      </c>
      <c r="C8" s="247"/>
      <c r="D8" s="247"/>
      <c r="E8" s="247"/>
    </row>
    <row r="9" spans="1:8" ht="30" customHeight="1" x14ac:dyDescent="0.15">
      <c r="A9" s="84" t="s">
        <v>472</v>
      </c>
      <c r="B9" s="24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Southern Electric Power Distribution plc Licence area.</v>
      </c>
      <c r="C9" s="247"/>
      <c r="D9" s="247"/>
      <c r="E9" s="247"/>
    </row>
    <row r="10" spans="1:8" ht="30" customHeight="1" x14ac:dyDescent="0.15">
      <c r="A10" s="84" t="s">
        <v>473</v>
      </c>
      <c r="B10" s="247" t="s">
        <v>89</v>
      </c>
      <c r="C10" s="247"/>
      <c r="D10" s="247"/>
      <c r="E10" s="247"/>
    </row>
    <row r="11" spans="1:8" ht="61.5" customHeight="1" x14ac:dyDescent="0.15">
      <c r="A11" s="84" t="s">
        <v>474</v>
      </c>
      <c r="B11" s="24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Southern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7"/>
      <c r="D11" s="247"/>
      <c r="E11" s="247"/>
      <c r="F11" s="246"/>
      <c r="G11" s="246"/>
      <c r="H11" s="246"/>
    </row>
    <row r="12" spans="1:8" ht="86.25" customHeight="1" x14ac:dyDescent="0.15">
      <c r="A12" s="84" t="s">
        <v>180</v>
      </c>
      <c r="B12" s="250" t="s">
        <v>745</v>
      </c>
      <c r="C12" s="250"/>
      <c r="D12" s="250"/>
      <c r="E12" s="250"/>
    </row>
    <row r="13" spans="1:8" ht="47.25" customHeight="1" x14ac:dyDescent="0.15">
      <c r="A13" s="84" t="s">
        <v>706</v>
      </c>
      <c r="B13" s="24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Southern Electric Power Distribution plc Licence area.</v>
      </c>
      <c r="C13" s="247"/>
      <c r="D13" s="247"/>
      <c r="E13" s="247"/>
    </row>
    <row r="14" spans="1:8" ht="29.25" customHeight="1" x14ac:dyDescent="0.15">
      <c r="A14" s="84" t="s">
        <v>452</v>
      </c>
      <c r="B14" s="247" t="s">
        <v>585</v>
      </c>
      <c r="C14" s="247"/>
      <c r="D14" s="247"/>
      <c r="E14" s="247"/>
    </row>
    <row r="15" spans="1:8" ht="30" customHeight="1" x14ac:dyDescent="0.15">
      <c r="A15" s="84" t="s">
        <v>447</v>
      </c>
      <c r="B15" s="247" t="s">
        <v>448</v>
      </c>
      <c r="C15" s="247"/>
      <c r="D15" s="247"/>
      <c r="E15" s="247"/>
    </row>
    <row r="16" spans="1:8" ht="30" customHeight="1" x14ac:dyDescent="0.15">
      <c r="A16" s="84" t="s">
        <v>527</v>
      </c>
      <c r="B16" s="247" t="s">
        <v>526</v>
      </c>
      <c r="C16" s="247"/>
      <c r="D16" s="247"/>
      <c r="E16" s="247"/>
    </row>
    <row r="17" spans="1:5" x14ac:dyDescent="0.15">
      <c r="A17" s="74"/>
      <c r="B17" s="74"/>
      <c r="C17" s="74"/>
      <c r="D17" s="74"/>
      <c r="E17" s="74"/>
    </row>
    <row r="18" spans="1:5" ht="14" x14ac:dyDescent="0.15">
      <c r="A18" s="80" t="s">
        <v>96</v>
      </c>
      <c r="B18" s="74"/>
      <c r="C18" s="74"/>
      <c r="D18" s="74"/>
      <c r="E18" s="74"/>
    </row>
    <row r="19" spans="1:5" ht="14" x14ac:dyDescent="0.15">
      <c r="A19" s="79"/>
      <c r="B19" s="251"/>
      <c r="C19" s="251"/>
      <c r="D19" s="251"/>
      <c r="E19" s="251"/>
    </row>
    <row r="20" spans="1:5" ht="32.25" customHeight="1" x14ac:dyDescent="0.15">
      <c r="A20" s="248" t="s">
        <v>507</v>
      </c>
      <c r="B20" s="249"/>
      <c r="C20" s="249"/>
      <c r="D20" s="249"/>
      <c r="E20" s="249"/>
    </row>
    <row r="21" spans="1:5" x14ac:dyDescent="0.15">
      <c r="A21" s="249" t="s">
        <v>711</v>
      </c>
      <c r="B21" s="248"/>
      <c r="C21" s="248"/>
      <c r="D21" s="248"/>
      <c r="E21" s="248"/>
    </row>
    <row r="22" spans="1:5" x14ac:dyDescent="0.15">
      <c r="A22" s="235"/>
      <c r="B22" s="234"/>
      <c r="C22" s="234"/>
      <c r="D22" s="234"/>
      <c r="E22" s="234"/>
    </row>
    <row r="23" spans="1:5" ht="12.75" customHeight="1" x14ac:dyDescent="0.15">
      <c r="A23" s="249" t="s">
        <v>1983</v>
      </c>
      <c r="B23" s="248"/>
      <c r="C23" s="248"/>
      <c r="D23" s="248"/>
      <c r="E23" s="248"/>
    </row>
    <row r="24" spans="1:5" x14ac:dyDescent="0.15">
      <c r="A24" s="252" t="s">
        <v>1981</v>
      </c>
      <c r="B24" s="253"/>
      <c r="C24" s="253"/>
      <c r="D24" s="241"/>
      <c r="E24" s="241"/>
    </row>
    <row r="25" spans="1:5" ht="14" x14ac:dyDescent="0.15">
      <c r="A25" s="242" t="s">
        <v>1982</v>
      </c>
      <c r="B25" s="241"/>
      <c r="C25" s="241"/>
      <c r="D25" s="241"/>
      <c r="E25" s="241"/>
    </row>
    <row r="26" spans="1:5" x14ac:dyDescent="0.15">
      <c r="A26" s="242"/>
      <c r="B26" s="241"/>
      <c r="C26" s="241"/>
      <c r="D26" s="241"/>
      <c r="E26" s="241"/>
    </row>
    <row r="27" spans="1:5" ht="14" x14ac:dyDescent="0.15">
      <c r="A27" s="177" t="s">
        <v>1965</v>
      </c>
      <c r="B27" s="171"/>
      <c r="C27" s="171"/>
      <c r="D27" s="171"/>
      <c r="E27" s="171"/>
    </row>
    <row r="28" spans="1:5" x14ac:dyDescent="0.15">
      <c r="A28" s="74"/>
      <c r="B28" s="74"/>
      <c r="C28" s="74"/>
      <c r="D28" s="74"/>
      <c r="E28" s="74"/>
    </row>
    <row r="29" spans="1:5" ht="14" x14ac:dyDescent="0.15">
      <c r="A29" s="81" t="s">
        <v>97</v>
      </c>
      <c r="B29" s="74"/>
      <c r="C29" s="74"/>
      <c r="D29" s="74"/>
      <c r="E29" s="74"/>
    </row>
    <row r="30" spans="1:5" ht="14" x14ac:dyDescent="0.15">
      <c r="A30" s="76"/>
      <c r="B30" s="251"/>
      <c r="C30" s="251"/>
      <c r="D30" s="251"/>
      <c r="E30" s="251"/>
    </row>
    <row r="31" spans="1:5" ht="28.5" customHeight="1" x14ac:dyDescent="0.15">
      <c r="A31" s="248" t="s">
        <v>475</v>
      </c>
      <c r="B31" s="249"/>
      <c r="C31" s="249"/>
      <c r="D31" s="249"/>
      <c r="E31" s="249"/>
    </row>
    <row r="32" spans="1:5" ht="28.5" customHeight="1" x14ac:dyDescent="0.15">
      <c r="A32" s="245" t="s">
        <v>639</v>
      </c>
      <c r="B32" s="245"/>
      <c r="C32" s="245"/>
      <c r="D32" s="245"/>
      <c r="E32" s="245"/>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32:E32"/>
    <mergeCell ref="F11:H11"/>
    <mergeCell ref="B15:E15"/>
    <mergeCell ref="A20:E20"/>
    <mergeCell ref="A31:E31"/>
    <mergeCell ref="B12:E12"/>
    <mergeCell ref="B14:E14"/>
    <mergeCell ref="B13:E13"/>
    <mergeCell ref="B16:E16"/>
    <mergeCell ref="B19:E19"/>
    <mergeCell ref="B30:E30"/>
    <mergeCell ref="A21:E21"/>
    <mergeCell ref="A23:E23"/>
    <mergeCell ref="A24:C24"/>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 ref="A24:C24" r:id="rId1" display="https://www.ofgem.gov.uk/publications-and-updates/decision-grant-derogations-all-distribution-network-operators-distribution-use-system-charges-202021" xr:uid="{00000000-0004-0000-0000-000009000000}"/>
  </hyperlinks>
  <pageMargins left="0.70866141732283472" right="0.70866141732283472" top="0.74803149606299213" bottom="0.74803149606299213" header="0.31496062992125984" footer="0.31496062992125984"/>
  <pageSetup paperSize="9" scale="6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6"/>
  <sheetViews>
    <sheetView tabSelected="1" topLeftCell="A27" zoomScale="85" zoomScaleNormal="85" zoomScaleSheetLayoutView="100" workbookViewId="0">
      <selection activeCell="A41" sqref="A41"/>
    </sheetView>
  </sheetViews>
  <sheetFormatPr baseColWidth="10" defaultColWidth="9.1640625" defaultRowHeight="27.75" customHeight="1" x14ac:dyDescent="0.15"/>
  <cols>
    <col min="1" max="1" width="49" style="2" bestFit="1" customWidth="1"/>
    <col min="2" max="2" width="17.5" style="3" customWidth="1"/>
    <col min="3" max="3" width="6.83203125" style="2" customWidth="1"/>
    <col min="4" max="4" width="17.5" style="2" customWidth="1"/>
    <col min="5" max="7" width="17.5" style="3" customWidth="1"/>
    <col min="8" max="9" width="17.5" style="7" customWidth="1"/>
    <col min="10" max="10" width="17.5" style="5" customWidth="1"/>
    <col min="11" max="11" width="17.5" style="6" customWidth="1"/>
    <col min="12" max="12" width="1.5" style="4" customWidth="1"/>
    <col min="13" max="13" width="15.5" style="4" customWidth="1"/>
    <col min="14" max="14" width="47.5" style="2" bestFit="1" customWidth="1"/>
    <col min="15" max="15" width="43.1640625" style="2" bestFit="1" customWidth="1"/>
    <col min="16" max="16" width="15.5" style="2" customWidth="1"/>
    <col min="17" max="16384" width="9.1640625" style="2"/>
  </cols>
  <sheetData>
    <row r="1" spans="1:13" ht="27.75" customHeight="1" x14ac:dyDescent="0.15">
      <c r="A1" s="107" t="s">
        <v>88</v>
      </c>
      <c r="B1" s="178"/>
      <c r="C1" s="178"/>
      <c r="D1" s="178"/>
      <c r="E1" s="260" t="s">
        <v>701</v>
      </c>
      <c r="F1" s="260"/>
      <c r="G1" s="260"/>
      <c r="H1" s="260"/>
      <c r="I1" s="260"/>
      <c r="J1" s="260"/>
      <c r="K1" s="260"/>
      <c r="L1" s="179"/>
      <c r="M1" s="179"/>
    </row>
    <row r="2" spans="1:13" ht="27" customHeight="1" x14ac:dyDescent="0.15">
      <c r="A2" s="261" t="str">
        <f>Overview!B4&amp; " - Effective from "&amp;Overview!D4&amp;" - "&amp;Overview!E4&amp;" LV and HV charges"</f>
        <v>Southern Electric Power Distribution plc - Effective from 1 April 2020 - Final LV and HV charges</v>
      </c>
      <c r="B2" s="261"/>
      <c r="C2" s="261"/>
      <c r="D2" s="261"/>
      <c r="E2" s="261"/>
      <c r="F2" s="261"/>
      <c r="G2" s="261"/>
      <c r="H2" s="261"/>
      <c r="I2" s="261"/>
      <c r="J2" s="261"/>
      <c r="K2" s="261"/>
      <c r="L2" s="180"/>
      <c r="M2" s="181"/>
    </row>
    <row r="3" spans="1:13" s="95" customFormat="1" ht="15" customHeight="1" x14ac:dyDescent="0.15">
      <c r="A3" s="93"/>
      <c r="B3" s="93"/>
      <c r="C3" s="93"/>
      <c r="D3" s="93"/>
      <c r="E3" s="93"/>
      <c r="F3" s="93"/>
      <c r="G3" s="93"/>
      <c r="H3" s="93"/>
      <c r="I3" s="93"/>
      <c r="J3" s="93"/>
      <c r="K3" s="93"/>
      <c r="L3" s="94"/>
      <c r="M3" s="94"/>
    </row>
    <row r="4" spans="1:13" ht="27" customHeight="1" x14ac:dyDescent="0.15">
      <c r="A4" s="261" t="s">
        <v>497</v>
      </c>
      <c r="B4" s="261"/>
      <c r="C4" s="261"/>
      <c r="D4" s="261"/>
      <c r="E4" s="261"/>
      <c r="F4" s="93"/>
      <c r="G4" s="261" t="s">
        <v>496</v>
      </c>
      <c r="H4" s="261"/>
      <c r="I4" s="261"/>
      <c r="J4" s="261"/>
      <c r="K4" s="261"/>
      <c r="M4" s="2"/>
    </row>
    <row r="5" spans="1:13" ht="28.5" customHeight="1" x14ac:dyDescent="0.15">
      <c r="A5" s="85" t="s">
        <v>81</v>
      </c>
      <c r="B5" s="175" t="s">
        <v>488</v>
      </c>
      <c r="C5" s="262" t="s">
        <v>489</v>
      </c>
      <c r="D5" s="263"/>
      <c r="E5" s="87" t="s">
        <v>490</v>
      </c>
      <c r="F5" s="93"/>
      <c r="G5" s="265"/>
      <c r="H5" s="266"/>
      <c r="I5" s="90" t="s">
        <v>494</v>
      </c>
      <c r="J5" s="91" t="s">
        <v>495</v>
      </c>
      <c r="K5" s="87" t="s">
        <v>490</v>
      </c>
      <c r="L5" s="93"/>
      <c r="M5" s="2"/>
    </row>
    <row r="6" spans="1:13" ht="38.25" customHeight="1" x14ac:dyDescent="0.15">
      <c r="A6" s="88" t="s">
        <v>491</v>
      </c>
      <c r="B6" s="21" t="s">
        <v>712</v>
      </c>
      <c r="C6" s="264"/>
      <c r="D6" s="264"/>
      <c r="E6" s="174"/>
      <c r="F6" s="93"/>
      <c r="G6" s="259" t="s">
        <v>726</v>
      </c>
      <c r="H6" s="259"/>
      <c r="I6" s="174"/>
      <c r="J6" s="92" t="s">
        <v>727</v>
      </c>
      <c r="K6" s="174"/>
      <c r="L6" s="93"/>
      <c r="M6" s="2"/>
    </row>
    <row r="7" spans="1:13" ht="38.25" customHeight="1" x14ac:dyDescent="0.15">
      <c r="A7" s="88" t="s">
        <v>491</v>
      </c>
      <c r="B7" s="174"/>
      <c r="C7" s="267" t="s">
        <v>728</v>
      </c>
      <c r="D7" s="268"/>
      <c r="E7" s="174"/>
      <c r="F7" s="93"/>
      <c r="G7" s="259" t="s">
        <v>729</v>
      </c>
      <c r="H7" s="259"/>
      <c r="I7" s="173" t="s">
        <v>712</v>
      </c>
      <c r="J7" s="92" t="s">
        <v>728</v>
      </c>
      <c r="K7" s="174"/>
      <c r="L7" s="93"/>
      <c r="M7" s="2"/>
    </row>
    <row r="8" spans="1:13" ht="38.25" customHeight="1" x14ac:dyDescent="0.15">
      <c r="A8" s="88" t="s">
        <v>491</v>
      </c>
      <c r="B8" s="174"/>
      <c r="C8" s="264"/>
      <c r="D8" s="264"/>
      <c r="E8" s="191" t="s">
        <v>730</v>
      </c>
      <c r="F8" s="93"/>
      <c r="G8" s="259" t="s">
        <v>731</v>
      </c>
      <c r="H8" s="259"/>
      <c r="I8" s="174"/>
      <c r="J8" s="174"/>
      <c r="K8" s="191" t="s">
        <v>730</v>
      </c>
      <c r="L8" s="93"/>
      <c r="M8" s="2"/>
    </row>
    <row r="9" spans="1:13" s="86" customFormat="1" ht="38.25" customHeight="1" x14ac:dyDescent="0.15">
      <c r="A9" s="192" t="s">
        <v>84</v>
      </c>
      <c r="B9" s="174"/>
      <c r="C9" s="269" t="s">
        <v>732</v>
      </c>
      <c r="D9" s="269"/>
      <c r="E9" s="191" t="s">
        <v>733</v>
      </c>
      <c r="F9" s="93"/>
      <c r="G9" s="259" t="s">
        <v>734</v>
      </c>
      <c r="H9" s="259"/>
      <c r="I9" s="174"/>
      <c r="J9" s="92" t="s">
        <v>732</v>
      </c>
      <c r="K9" s="191" t="s">
        <v>733</v>
      </c>
      <c r="L9" s="93"/>
    </row>
    <row r="10" spans="1:13" s="95" customFormat="1" ht="18" customHeight="1" x14ac:dyDescent="0.15">
      <c r="A10" s="89" t="s">
        <v>82</v>
      </c>
      <c r="B10" s="255" t="s">
        <v>83</v>
      </c>
      <c r="C10" s="256"/>
      <c r="D10" s="256"/>
      <c r="E10" s="257"/>
      <c r="F10" s="93"/>
      <c r="G10" s="259" t="s">
        <v>82</v>
      </c>
      <c r="H10" s="259"/>
      <c r="I10" s="258" t="s">
        <v>83</v>
      </c>
      <c r="J10" s="258"/>
      <c r="K10" s="258"/>
      <c r="L10" s="93"/>
    </row>
    <row r="11" spans="1:13" s="95" customFormat="1" ht="27" customHeight="1" x14ac:dyDescent="0.15">
      <c r="A11" s="93"/>
      <c r="B11" s="93"/>
      <c r="C11" s="93"/>
      <c r="D11" s="93"/>
      <c r="E11" s="93"/>
      <c r="F11" s="94"/>
      <c r="G11" s="94"/>
      <c r="H11" s="94"/>
      <c r="I11" s="94"/>
      <c r="J11" s="94"/>
      <c r="K11" s="94"/>
      <c r="L11" s="94"/>
      <c r="M11" s="94"/>
    </row>
    <row r="12" spans="1:13" s="95" customFormat="1" ht="12.75" customHeight="1" x14ac:dyDescent="0.15">
      <c r="A12" s="93"/>
      <c r="B12" s="93"/>
      <c r="C12" s="93"/>
      <c r="D12" s="93"/>
      <c r="E12" s="93"/>
      <c r="F12" s="93"/>
      <c r="G12" s="93"/>
      <c r="H12" s="93"/>
      <c r="I12" s="93"/>
      <c r="J12" s="93"/>
      <c r="K12" s="93"/>
      <c r="L12" s="94"/>
      <c r="M12" s="94"/>
    </row>
    <row r="13" spans="1:13" ht="78.75" customHeight="1" x14ac:dyDescent="0.15">
      <c r="A13" s="28" t="s">
        <v>687</v>
      </c>
      <c r="B13" s="83" t="s">
        <v>92</v>
      </c>
      <c r="C13" s="83" t="s">
        <v>93</v>
      </c>
      <c r="D13" s="28" t="s">
        <v>633</v>
      </c>
      <c r="E13" s="28" t="s">
        <v>634</v>
      </c>
      <c r="F13" s="28" t="s">
        <v>635</v>
      </c>
      <c r="G13" s="83" t="s">
        <v>94</v>
      </c>
      <c r="H13" s="83" t="s">
        <v>95</v>
      </c>
      <c r="I13" s="28" t="s">
        <v>688</v>
      </c>
      <c r="J13" s="83" t="s">
        <v>453</v>
      </c>
      <c r="K13" s="83" t="s">
        <v>50</v>
      </c>
    </row>
    <row r="14" spans="1:13" ht="30" x14ac:dyDescent="0.15">
      <c r="A14" s="16" t="s">
        <v>0</v>
      </c>
      <c r="B14" s="46" t="s">
        <v>1158</v>
      </c>
      <c r="C14" s="73">
        <v>1</v>
      </c>
      <c r="D14" s="47">
        <v>1.9339999999999999</v>
      </c>
      <c r="E14" s="48"/>
      <c r="F14" s="48"/>
      <c r="G14" s="53">
        <v>3.51</v>
      </c>
      <c r="H14" s="54"/>
      <c r="I14" s="54"/>
      <c r="J14" s="48"/>
      <c r="K14" s="50"/>
    </row>
    <row r="15" spans="1:13" ht="30" x14ac:dyDescent="0.15">
      <c r="A15" s="16" t="s">
        <v>1</v>
      </c>
      <c r="B15" s="46" t="s">
        <v>1159</v>
      </c>
      <c r="C15" s="73">
        <v>2</v>
      </c>
      <c r="D15" s="47">
        <v>2.387</v>
      </c>
      <c r="E15" s="47">
        <v>0.441</v>
      </c>
      <c r="F15" s="48"/>
      <c r="G15" s="53">
        <v>3.51</v>
      </c>
      <c r="H15" s="54"/>
      <c r="I15" s="54"/>
      <c r="J15" s="48"/>
      <c r="K15" s="50" t="s">
        <v>735</v>
      </c>
    </row>
    <row r="16" spans="1:13" ht="32.25" customHeight="1" x14ac:dyDescent="0.15">
      <c r="A16" s="16" t="s">
        <v>11</v>
      </c>
      <c r="B16" s="46" t="s">
        <v>1160</v>
      </c>
      <c r="C16" s="73">
        <v>2</v>
      </c>
      <c r="D16" s="47">
        <v>0.53700000000000003</v>
      </c>
      <c r="E16" s="48"/>
      <c r="F16" s="48"/>
      <c r="G16" s="54"/>
      <c r="H16" s="54"/>
      <c r="I16" s="54"/>
      <c r="J16" s="48"/>
      <c r="K16" s="50" t="s">
        <v>736</v>
      </c>
    </row>
    <row r="17" spans="1:11" ht="32.25" customHeight="1" x14ac:dyDescent="0.15">
      <c r="A17" s="16" t="s">
        <v>12</v>
      </c>
      <c r="B17" s="51" t="s">
        <v>1161</v>
      </c>
      <c r="C17" s="73">
        <v>3</v>
      </c>
      <c r="D17" s="47">
        <v>1.7769999999999999</v>
      </c>
      <c r="E17" s="48"/>
      <c r="F17" s="48"/>
      <c r="G17" s="53">
        <v>5.25</v>
      </c>
      <c r="H17" s="54"/>
      <c r="I17" s="54"/>
      <c r="J17" s="48"/>
      <c r="K17" s="50"/>
    </row>
    <row r="18" spans="1:11" ht="32.25" customHeight="1" x14ac:dyDescent="0.15">
      <c r="A18" s="16" t="s">
        <v>13</v>
      </c>
      <c r="B18" s="46" t="s">
        <v>1162</v>
      </c>
      <c r="C18" s="73">
        <v>4</v>
      </c>
      <c r="D18" s="47">
        <v>2.59</v>
      </c>
      <c r="E18" s="47">
        <v>0.59099999999999997</v>
      </c>
      <c r="F18" s="48"/>
      <c r="G18" s="53">
        <v>5.25</v>
      </c>
      <c r="H18" s="54"/>
      <c r="I18" s="54"/>
      <c r="J18" s="48"/>
      <c r="K18" s="50"/>
    </row>
    <row r="19" spans="1:11" ht="32.25" customHeight="1" x14ac:dyDescent="0.15">
      <c r="A19" s="16" t="s">
        <v>14</v>
      </c>
      <c r="B19" s="46" t="s">
        <v>1163</v>
      </c>
      <c r="C19" s="73">
        <v>4</v>
      </c>
      <c r="D19" s="47">
        <v>0.66500000000000004</v>
      </c>
      <c r="E19" s="48"/>
      <c r="F19" s="48"/>
      <c r="G19" s="54"/>
      <c r="H19" s="54"/>
      <c r="I19" s="54"/>
      <c r="J19" s="48"/>
      <c r="K19" s="50" t="s">
        <v>737</v>
      </c>
    </row>
    <row r="20" spans="1:11" ht="32.25" customHeight="1" x14ac:dyDescent="0.15">
      <c r="A20" s="16" t="s">
        <v>2</v>
      </c>
      <c r="B20" s="51" t="s">
        <v>1164</v>
      </c>
      <c r="C20" s="73" t="s">
        <v>20</v>
      </c>
      <c r="D20" s="47">
        <v>1.484</v>
      </c>
      <c r="E20" s="47">
        <v>0.43</v>
      </c>
      <c r="F20" s="48"/>
      <c r="G20" s="53">
        <v>28.97</v>
      </c>
      <c r="H20" s="54"/>
      <c r="I20" s="54"/>
      <c r="J20" s="48"/>
      <c r="K20" s="50"/>
    </row>
    <row r="21" spans="1:11" ht="32.25" customHeight="1" x14ac:dyDescent="0.15">
      <c r="A21" s="16" t="s">
        <v>15</v>
      </c>
      <c r="B21" s="46">
        <v>405</v>
      </c>
      <c r="C21" s="73" t="s">
        <v>20</v>
      </c>
      <c r="D21" s="47">
        <v>1.276</v>
      </c>
      <c r="E21" s="47">
        <v>0.40899999999999997</v>
      </c>
      <c r="F21" s="48"/>
      <c r="G21" s="53">
        <v>25.78</v>
      </c>
      <c r="H21" s="54"/>
      <c r="I21" s="54"/>
      <c r="J21" s="48"/>
      <c r="K21" s="50"/>
    </row>
    <row r="22" spans="1:11" ht="32.25" customHeight="1" x14ac:dyDescent="0.15">
      <c r="A22" s="16" t="s">
        <v>16</v>
      </c>
      <c r="B22" s="46"/>
      <c r="C22" s="73" t="s">
        <v>20</v>
      </c>
      <c r="D22" s="47">
        <v>0.86199999999999999</v>
      </c>
      <c r="E22" s="47">
        <v>0.36799999999999999</v>
      </c>
      <c r="F22" s="48"/>
      <c r="G22" s="53">
        <v>288.70999999999998</v>
      </c>
      <c r="H22" s="54"/>
      <c r="I22" s="54"/>
      <c r="J22" s="48"/>
      <c r="K22" s="50" t="s">
        <v>738</v>
      </c>
    </row>
    <row r="23" spans="1:11" ht="32.25" customHeight="1" x14ac:dyDescent="0.15">
      <c r="A23" s="16" t="s">
        <v>560</v>
      </c>
      <c r="B23" s="46" t="s">
        <v>1165</v>
      </c>
      <c r="C23" s="73">
        <v>0</v>
      </c>
      <c r="D23" s="166">
        <v>8.6999999999999993</v>
      </c>
      <c r="E23" s="167">
        <v>1.1990000000000001</v>
      </c>
      <c r="F23" s="168">
        <v>0.38600000000000001</v>
      </c>
      <c r="G23" s="53">
        <v>3.51</v>
      </c>
      <c r="H23" s="54"/>
      <c r="I23" s="54"/>
      <c r="J23" s="48"/>
      <c r="K23" s="50"/>
    </row>
    <row r="24" spans="1:11" ht="32.25" customHeight="1" x14ac:dyDescent="0.15">
      <c r="A24" s="16" t="s">
        <v>561</v>
      </c>
      <c r="B24" s="46" t="s">
        <v>1166</v>
      </c>
      <c r="C24" s="73">
        <v>0</v>
      </c>
      <c r="D24" s="166">
        <v>9.1649999999999991</v>
      </c>
      <c r="E24" s="167">
        <v>1.2470000000000001</v>
      </c>
      <c r="F24" s="168">
        <v>0.38900000000000001</v>
      </c>
      <c r="G24" s="53">
        <v>5.25</v>
      </c>
      <c r="H24" s="54"/>
      <c r="I24" s="54"/>
      <c r="J24" s="48"/>
      <c r="K24" s="50"/>
    </row>
    <row r="25" spans="1:11" ht="32.25" customHeight="1" x14ac:dyDescent="0.15">
      <c r="A25" s="16" t="s">
        <v>17</v>
      </c>
      <c r="B25" s="50" t="s">
        <v>1167</v>
      </c>
      <c r="C25" s="73">
        <v>0</v>
      </c>
      <c r="D25" s="166">
        <v>6.27</v>
      </c>
      <c r="E25" s="167">
        <v>0.86599999999999999</v>
      </c>
      <c r="F25" s="168">
        <v>0.36499999999999999</v>
      </c>
      <c r="G25" s="53">
        <v>16.489999999999998</v>
      </c>
      <c r="H25" s="53">
        <v>2.42</v>
      </c>
      <c r="I25" s="165">
        <v>4.58</v>
      </c>
      <c r="J25" s="47">
        <v>0.20399999999999999</v>
      </c>
      <c r="K25" s="50"/>
    </row>
    <row r="26" spans="1:11" ht="32.25" customHeight="1" x14ac:dyDescent="0.15">
      <c r="A26" s="16" t="s">
        <v>18</v>
      </c>
      <c r="B26" s="50" t="s">
        <v>1168</v>
      </c>
      <c r="C26" s="73">
        <v>0</v>
      </c>
      <c r="D26" s="166">
        <v>4.8639999999999999</v>
      </c>
      <c r="E26" s="167">
        <v>0.60499999999999998</v>
      </c>
      <c r="F26" s="168">
        <v>0.34699999999999998</v>
      </c>
      <c r="G26" s="53">
        <v>25.78</v>
      </c>
      <c r="H26" s="53">
        <v>4.28</v>
      </c>
      <c r="I26" s="165">
        <v>5.77</v>
      </c>
      <c r="J26" s="47">
        <v>0.129</v>
      </c>
      <c r="K26" s="50"/>
    </row>
    <row r="27" spans="1:11" ht="32.25" customHeight="1" x14ac:dyDescent="0.15">
      <c r="A27" s="16" t="s">
        <v>19</v>
      </c>
      <c r="B27" s="50" t="s">
        <v>1169</v>
      </c>
      <c r="C27" s="73">
        <v>0</v>
      </c>
      <c r="D27" s="166">
        <v>3.544</v>
      </c>
      <c r="E27" s="167">
        <v>0.498</v>
      </c>
      <c r="F27" s="168">
        <v>0.34200000000000003</v>
      </c>
      <c r="G27" s="53">
        <v>147.36000000000001</v>
      </c>
      <c r="H27" s="53">
        <v>5.28</v>
      </c>
      <c r="I27" s="165">
        <v>6.55</v>
      </c>
      <c r="J27" s="47">
        <v>8.5999999999999993E-2</v>
      </c>
      <c r="K27" s="50"/>
    </row>
    <row r="28" spans="1:11" ht="32.25" customHeight="1" x14ac:dyDescent="0.15">
      <c r="A28" s="16" t="s">
        <v>182</v>
      </c>
      <c r="B28" s="50" t="s">
        <v>1170</v>
      </c>
      <c r="C28" s="73">
        <v>8</v>
      </c>
      <c r="D28" s="47">
        <v>2.601</v>
      </c>
      <c r="E28" s="48"/>
      <c r="F28" s="48"/>
      <c r="G28" s="54"/>
      <c r="H28" s="54"/>
      <c r="I28" s="54"/>
      <c r="J28" s="48"/>
      <c r="K28" s="50"/>
    </row>
    <row r="29" spans="1:11" ht="32.25" customHeight="1" x14ac:dyDescent="0.15">
      <c r="A29" s="16" t="s">
        <v>183</v>
      </c>
      <c r="B29" s="50" t="s">
        <v>1171</v>
      </c>
      <c r="C29" s="73">
        <v>1</v>
      </c>
      <c r="D29" s="47">
        <v>2.657</v>
      </c>
      <c r="E29" s="48"/>
      <c r="F29" s="48"/>
      <c r="G29" s="54"/>
      <c r="H29" s="54"/>
      <c r="I29" s="54"/>
      <c r="J29" s="48"/>
      <c r="K29" s="50"/>
    </row>
    <row r="30" spans="1:11" ht="32.25" customHeight="1" x14ac:dyDescent="0.15">
      <c r="A30" s="16" t="s">
        <v>184</v>
      </c>
      <c r="B30" s="50" t="s">
        <v>1172</v>
      </c>
      <c r="C30" s="73">
        <v>1</v>
      </c>
      <c r="D30" s="47">
        <v>3.4009999999999998</v>
      </c>
      <c r="E30" s="48"/>
      <c r="F30" s="48"/>
      <c r="G30" s="54"/>
      <c r="H30" s="54"/>
      <c r="I30" s="54"/>
      <c r="J30" s="48"/>
      <c r="K30" s="50"/>
    </row>
    <row r="31" spans="1:11" ht="32.25" customHeight="1" x14ac:dyDescent="0.15">
      <c r="A31" s="16" t="s">
        <v>185</v>
      </c>
      <c r="B31" s="50" t="s">
        <v>1173</v>
      </c>
      <c r="C31" s="73">
        <v>1</v>
      </c>
      <c r="D31" s="47">
        <v>2.6110000000000002</v>
      </c>
      <c r="E31" s="48"/>
      <c r="F31" s="48"/>
      <c r="G31" s="54"/>
      <c r="H31" s="54"/>
      <c r="I31" s="54"/>
      <c r="J31" s="48"/>
      <c r="K31" s="50"/>
    </row>
    <row r="32" spans="1:11" ht="32.25" customHeight="1" x14ac:dyDescent="0.15">
      <c r="A32" s="16" t="s">
        <v>3</v>
      </c>
      <c r="B32" s="50">
        <v>520</v>
      </c>
      <c r="C32" s="73">
        <v>0</v>
      </c>
      <c r="D32" s="169">
        <v>13.724</v>
      </c>
      <c r="E32" s="170">
        <v>2.5760000000000001</v>
      </c>
      <c r="F32" s="168">
        <v>1.839</v>
      </c>
      <c r="G32" s="54"/>
      <c r="H32" s="54"/>
      <c r="I32" s="54"/>
      <c r="J32" s="48"/>
      <c r="K32" s="50"/>
    </row>
    <row r="33" spans="1:11" ht="32.25" customHeight="1" x14ac:dyDescent="0.15">
      <c r="A33" s="16" t="s">
        <v>562</v>
      </c>
      <c r="B33" s="51" t="s">
        <v>1174</v>
      </c>
      <c r="C33" s="73" t="s">
        <v>1157</v>
      </c>
      <c r="D33" s="47">
        <v>-0.79400000000000004</v>
      </c>
      <c r="E33" s="48"/>
      <c r="F33" s="48"/>
      <c r="G33" s="53">
        <v>0</v>
      </c>
      <c r="H33" s="54"/>
      <c r="I33" s="54"/>
      <c r="J33" s="48"/>
      <c r="K33" s="50"/>
    </row>
    <row r="34" spans="1:11" ht="32.25" customHeight="1" x14ac:dyDescent="0.15">
      <c r="A34" s="16" t="s">
        <v>10</v>
      </c>
      <c r="B34" s="46">
        <v>932</v>
      </c>
      <c r="C34" s="73">
        <v>8</v>
      </c>
      <c r="D34" s="47">
        <v>-0.69499999999999995</v>
      </c>
      <c r="E34" s="48"/>
      <c r="F34" s="48"/>
      <c r="G34" s="53">
        <v>0</v>
      </c>
      <c r="H34" s="54"/>
      <c r="I34" s="54"/>
      <c r="J34" s="48"/>
      <c r="K34" s="50"/>
    </row>
    <row r="35" spans="1:11" ht="32.25" customHeight="1" x14ac:dyDescent="0.15">
      <c r="A35" s="16" t="s">
        <v>4</v>
      </c>
      <c r="B35" s="50" t="s">
        <v>1175</v>
      </c>
      <c r="C35" s="73">
        <v>0</v>
      </c>
      <c r="D35" s="47">
        <v>-0.79400000000000004</v>
      </c>
      <c r="E35" s="48"/>
      <c r="F35" s="48"/>
      <c r="G35" s="53">
        <v>0</v>
      </c>
      <c r="H35" s="54"/>
      <c r="I35" s="54"/>
      <c r="J35" s="47">
        <v>0.186</v>
      </c>
      <c r="K35" s="50"/>
    </row>
    <row r="36" spans="1:11" ht="32.25" customHeight="1" x14ac:dyDescent="0.15">
      <c r="A36" s="16" t="s">
        <v>695</v>
      </c>
      <c r="B36" s="50" t="s">
        <v>1176</v>
      </c>
      <c r="C36" s="73">
        <v>0</v>
      </c>
      <c r="D36" s="47">
        <v>-0.79400000000000004</v>
      </c>
      <c r="E36" s="48"/>
      <c r="F36" s="48"/>
      <c r="G36" s="53">
        <v>0</v>
      </c>
      <c r="H36" s="54"/>
      <c r="I36" s="54"/>
      <c r="J36" s="48"/>
      <c r="K36" s="50"/>
    </row>
    <row r="37" spans="1:11" ht="32.25" customHeight="1" x14ac:dyDescent="0.15">
      <c r="A37" s="16" t="s">
        <v>5</v>
      </c>
      <c r="B37" s="50">
        <v>2</v>
      </c>
      <c r="C37" s="73">
        <v>0</v>
      </c>
      <c r="D37" s="166">
        <v>-5.5359999999999996</v>
      </c>
      <c r="E37" s="167">
        <v>-0.57099999999999995</v>
      </c>
      <c r="F37" s="168">
        <v>-3.3000000000000002E-2</v>
      </c>
      <c r="G37" s="53">
        <v>0</v>
      </c>
      <c r="H37" s="54"/>
      <c r="I37" s="54"/>
      <c r="J37" s="47">
        <v>0.186</v>
      </c>
      <c r="K37" s="50"/>
    </row>
    <row r="38" spans="1:11" ht="32.25" customHeight="1" x14ac:dyDescent="0.15">
      <c r="A38" s="16" t="s">
        <v>696</v>
      </c>
      <c r="B38" s="50" t="s">
        <v>1177</v>
      </c>
      <c r="C38" s="73">
        <v>0</v>
      </c>
      <c r="D38" s="166">
        <v>-5.5359999999999996</v>
      </c>
      <c r="E38" s="167">
        <v>-0.57099999999999995</v>
      </c>
      <c r="F38" s="168">
        <v>-3.3000000000000002E-2</v>
      </c>
      <c r="G38" s="53">
        <v>0</v>
      </c>
      <c r="H38" s="54"/>
      <c r="I38" s="54"/>
      <c r="J38" s="48"/>
      <c r="K38" s="50"/>
    </row>
    <row r="39" spans="1:11" ht="32.25" customHeight="1" x14ac:dyDescent="0.15">
      <c r="A39" s="16" t="s">
        <v>6</v>
      </c>
      <c r="B39" s="50">
        <v>3</v>
      </c>
      <c r="C39" s="73">
        <v>0</v>
      </c>
      <c r="D39" s="47">
        <v>-0.69499999999999995</v>
      </c>
      <c r="E39" s="48"/>
      <c r="F39" s="48"/>
      <c r="G39" s="53">
        <v>0</v>
      </c>
      <c r="H39" s="54"/>
      <c r="I39" s="54"/>
      <c r="J39" s="47">
        <v>0.16600000000000001</v>
      </c>
      <c r="K39" s="50"/>
    </row>
    <row r="40" spans="1:11" ht="32.25" customHeight="1" x14ac:dyDescent="0.15">
      <c r="A40" s="16" t="s">
        <v>697</v>
      </c>
      <c r="B40" s="50" t="s">
        <v>1178</v>
      </c>
      <c r="C40" s="73">
        <v>0</v>
      </c>
      <c r="D40" s="47">
        <v>-0.69499999999999995</v>
      </c>
      <c r="E40" s="48"/>
      <c r="F40" s="48"/>
      <c r="G40" s="53">
        <v>0</v>
      </c>
      <c r="H40" s="54"/>
      <c r="I40" s="54"/>
      <c r="J40" s="48"/>
      <c r="K40" s="50"/>
    </row>
    <row r="41" spans="1:11" ht="32.25" customHeight="1" x14ac:dyDescent="0.15">
      <c r="A41" s="16" t="s">
        <v>7</v>
      </c>
      <c r="B41" s="50">
        <v>4</v>
      </c>
      <c r="C41" s="73">
        <v>0</v>
      </c>
      <c r="D41" s="166">
        <v>-4.9939999999999998</v>
      </c>
      <c r="E41" s="167">
        <v>-0.47499999999999998</v>
      </c>
      <c r="F41" s="168">
        <v>-2.5999999999999999E-2</v>
      </c>
      <c r="G41" s="53">
        <v>0</v>
      </c>
      <c r="H41" s="54"/>
      <c r="I41" s="54"/>
      <c r="J41" s="47">
        <v>0.16600000000000001</v>
      </c>
      <c r="K41" s="50"/>
    </row>
    <row r="42" spans="1:11" ht="32.25" customHeight="1" x14ac:dyDescent="0.15">
      <c r="A42" s="16" t="s">
        <v>698</v>
      </c>
      <c r="B42" s="50" t="s">
        <v>1179</v>
      </c>
      <c r="C42" s="73">
        <v>0</v>
      </c>
      <c r="D42" s="166">
        <v>-4.9939999999999998</v>
      </c>
      <c r="E42" s="167">
        <v>-0.47499999999999998</v>
      </c>
      <c r="F42" s="168">
        <v>-2.5999999999999999E-2</v>
      </c>
      <c r="G42" s="53">
        <v>0</v>
      </c>
      <c r="H42" s="54"/>
      <c r="I42" s="54"/>
      <c r="J42" s="48"/>
      <c r="K42" s="50"/>
    </row>
    <row r="43" spans="1:11" ht="32.25" customHeight="1" x14ac:dyDescent="0.15">
      <c r="A43" s="16" t="s">
        <v>8</v>
      </c>
      <c r="B43" s="50" t="s">
        <v>1180</v>
      </c>
      <c r="C43" s="73">
        <v>0</v>
      </c>
      <c r="D43" s="47">
        <v>-0.46</v>
      </c>
      <c r="E43" s="48"/>
      <c r="F43" s="48"/>
      <c r="G43" s="53">
        <v>242.78</v>
      </c>
      <c r="H43" s="54"/>
      <c r="I43" s="54"/>
      <c r="J43" s="47">
        <v>0.14699999999999999</v>
      </c>
      <c r="K43" s="50"/>
    </row>
    <row r="44" spans="1:11" ht="32.25" customHeight="1" x14ac:dyDescent="0.15">
      <c r="A44" s="16" t="s">
        <v>699</v>
      </c>
      <c r="B44" s="50" t="s">
        <v>1181</v>
      </c>
      <c r="C44" s="73">
        <v>0</v>
      </c>
      <c r="D44" s="47">
        <v>-0.46</v>
      </c>
      <c r="E44" s="48"/>
      <c r="F44" s="48"/>
      <c r="G44" s="53">
        <v>242.78</v>
      </c>
      <c r="H44" s="54"/>
      <c r="I44" s="54"/>
      <c r="J44" s="48"/>
      <c r="K44" s="50"/>
    </row>
    <row r="45" spans="1:11" ht="32.25" customHeight="1" x14ac:dyDescent="0.15">
      <c r="A45" s="16" t="s">
        <v>9</v>
      </c>
      <c r="B45" s="50" t="s">
        <v>1182</v>
      </c>
      <c r="C45" s="73">
        <v>0</v>
      </c>
      <c r="D45" s="166">
        <v>-3.8380000000000001</v>
      </c>
      <c r="E45" s="167">
        <v>-0.22700000000000001</v>
      </c>
      <c r="F45" s="168">
        <v>-8.0000000000000002E-3</v>
      </c>
      <c r="G45" s="53">
        <v>242.78</v>
      </c>
      <c r="H45" s="54"/>
      <c r="I45" s="54"/>
      <c r="J45" s="47">
        <v>0.14699999999999999</v>
      </c>
      <c r="K45" s="50"/>
    </row>
    <row r="46" spans="1:11" ht="32.25" customHeight="1" x14ac:dyDescent="0.15">
      <c r="A46" s="16" t="s">
        <v>700</v>
      </c>
      <c r="B46" s="50" t="s">
        <v>1183</v>
      </c>
      <c r="C46" s="73">
        <v>0</v>
      </c>
      <c r="D46" s="166">
        <v>-3.8380000000000001</v>
      </c>
      <c r="E46" s="167">
        <v>-0.22700000000000001</v>
      </c>
      <c r="F46" s="168">
        <v>-8.0000000000000002E-3</v>
      </c>
      <c r="G46" s="53">
        <v>242.78</v>
      </c>
      <c r="H46" s="54"/>
      <c r="I46" s="54"/>
      <c r="J46" s="48"/>
      <c r="K46" s="50"/>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C9:D9"/>
    <mergeCell ref="B10:E10"/>
    <mergeCell ref="I10:K10"/>
    <mergeCell ref="G8:H8"/>
    <mergeCell ref="E1:K1"/>
    <mergeCell ref="G10:H10"/>
    <mergeCell ref="A2:K2"/>
    <mergeCell ref="C5:D5"/>
    <mergeCell ref="C6:D6"/>
    <mergeCell ref="G5:H5"/>
    <mergeCell ref="G6:H6"/>
    <mergeCell ref="G4:K4"/>
    <mergeCell ref="A4:E4"/>
    <mergeCell ref="C7:D7"/>
    <mergeCell ref="G9:H9"/>
    <mergeCell ref="G7:H7"/>
    <mergeCell ref="C8:D8"/>
  </mergeCells>
  <phoneticPr fontId="8"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B36 B38"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M359"/>
  <sheetViews>
    <sheetView zoomScale="85" zoomScaleNormal="85" zoomScaleSheetLayoutView="100" workbookViewId="0"/>
  </sheetViews>
  <sheetFormatPr baseColWidth="10" defaultColWidth="9.1640625" defaultRowHeight="13" x14ac:dyDescent="0.15"/>
  <cols>
    <col min="1" max="1" width="7.6640625" style="60" customWidth="1"/>
    <col min="2" max="2" width="16.5" style="66" customWidth="1"/>
    <col min="3" max="3" width="7.6640625" style="60" customWidth="1"/>
    <col min="4" max="4" width="15.5" style="66" customWidth="1"/>
    <col min="5" max="5" width="10.5" style="66" customWidth="1"/>
    <col min="6" max="8" width="15.83203125" style="66" customWidth="1"/>
    <col min="9" max="9" width="15.83203125" style="67" customWidth="1"/>
    <col min="10" max="11" width="15.83203125" style="68" customWidth="1"/>
    <col min="12" max="13" width="15.83203125" style="60" customWidth="1"/>
    <col min="14" max="16384" width="9.1640625" style="60"/>
  </cols>
  <sheetData>
    <row r="1" spans="1:13" ht="46.5" customHeight="1" x14ac:dyDescent="0.15">
      <c r="A1" s="59" t="s">
        <v>88</v>
      </c>
      <c r="B1" s="215"/>
      <c r="C1" s="271"/>
      <c r="D1" s="271"/>
      <c r="E1" s="275" t="s">
        <v>181</v>
      </c>
      <c r="F1" s="276"/>
      <c r="G1" s="276"/>
      <c r="H1" s="276"/>
      <c r="I1" s="276"/>
      <c r="J1" s="276"/>
      <c r="K1" s="276"/>
      <c r="L1" s="276"/>
      <c r="M1" s="276"/>
    </row>
    <row r="2" spans="1:13" s="61" customFormat="1" ht="51" customHeight="1" x14ac:dyDescent="0.15">
      <c r="A2" s="272" t="str">
        <f>Overview!B4&amp; " - Effective from "&amp;Overview!D4&amp;" - "&amp;Overview!E4&amp;" EDCM charges"</f>
        <v>Southern Electric Power Distribution plc - Effective from 1 April 2020 - Final EDCM charges</v>
      </c>
      <c r="B2" s="273"/>
      <c r="C2" s="273"/>
      <c r="D2" s="273"/>
      <c r="E2" s="273"/>
      <c r="F2" s="273"/>
      <c r="G2" s="273"/>
      <c r="H2" s="273"/>
      <c r="I2" s="273"/>
      <c r="J2" s="273"/>
      <c r="K2" s="273"/>
      <c r="L2" s="273"/>
      <c r="M2" s="274"/>
    </row>
    <row r="3" spans="1:13" s="96" customFormat="1" ht="18" x14ac:dyDescent="0.15">
      <c r="A3" s="93"/>
      <c r="B3" s="93"/>
      <c r="C3" s="93"/>
      <c r="D3" s="93"/>
      <c r="E3" s="93"/>
      <c r="F3" s="93"/>
      <c r="G3" s="93"/>
      <c r="H3" s="93"/>
      <c r="I3" s="93"/>
      <c r="J3" s="93"/>
      <c r="K3" s="93"/>
      <c r="L3" s="93"/>
      <c r="M3" s="93"/>
    </row>
    <row r="4" spans="1:13" s="96" customFormat="1" ht="18" x14ac:dyDescent="0.15">
      <c r="A4" s="261" t="s">
        <v>498</v>
      </c>
      <c r="B4" s="261"/>
      <c r="C4" s="261"/>
      <c r="D4" s="261"/>
      <c r="E4" s="261"/>
      <c r="F4" s="261"/>
      <c r="G4" s="93"/>
      <c r="H4" s="93"/>
      <c r="I4" s="93"/>
      <c r="J4" s="93"/>
      <c r="K4" s="93"/>
      <c r="L4" s="93"/>
      <c r="M4" s="93"/>
    </row>
    <row r="5" spans="1:13" s="96" customFormat="1" ht="18" x14ac:dyDescent="0.15">
      <c r="A5" s="278" t="s">
        <v>81</v>
      </c>
      <c r="B5" s="279"/>
      <c r="C5" s="279"/>
      <c r="D5" s="270" t="s">
        <v>493</v>
      </c>
      <c r="E5" s="270"/>
      <c r="F5" s="270"/>
      <c r="G5" s="93"/>
      <c r="H5" s="93"/>
      <c r="I5" s="93"/>
      <c r="J5" s="93"/>
      <c r="K5" s="93"/>
      <c r="L5" s="93"/>
      <c r="M5" s="93"/>
    </row>
    <row r="6" spans="1:13" s="96" customFormat="1" ht="39.75" customHeight="1" x14ac:dyDescent="0.15">
      <c r="A6" s="259" t="s">
        <v>492</v>
      </c>
      <c r="B6" s="259"/>
      <c r="C6" s="259"/>
      <c r="D6" s="277" t="s">
        <v>712</v>
      </c>
      <c r="E6" s="277"/>
      <c r="F6" s="277"/>
      <c r="G6" s="93"/>
      <c r="H6" s="93"/>
      <c r="I6" s="93"/>
      <c r="J6" s="93"/>
      <c r="K6" s="93"/>
      <c r="L6" s="93"/>
      <c r="M6" s="93"/>
    </row>
    <row r="7" spans="1:13" s="96" customFormat="1" ht="18" x14ac:dyDescent="0.15">
      <c r="A7" s="259" t="s">
        <v>82</v>
      </c>
      <c r="B7" s="259"/>
      <c r="C7" s="259"/>
      <c r="D7" s="277" t="s">
        <v>83</v>
      </c>
      <c r="E7" s="277"/>
      <c r="F7" s="277"/>
      <c r="G7" s="93"/>
      <c r="H7" s="93"/>
      <c r="I7" s="93"/>
      <c r="J7" s="93"/>
      <c r="K7" s="93"/>
      <c r="L7" s="93"/>
      <c r="M7" s="93"/>
    </row>
    <row r="8" spans="1:13" s="96" customFormat="1" ht="18" x14ac:dyDescent="0.15">
      <c r="A8" s="93"/>
      <c r="B8" s="93"/>
      <c r="C8" s="93"/>
      <c r="D8" s="93"/>
      <c r="E8" s="93"/>
      <c r="F8" s="93"/>
      <c r="G8" s="93"/>
      <c r="H8" s="93"/>
      <c r="I8" s="93"/>
      <c r="J8" s="93"/>
      <c r="K8" s="93"/>
      <c r="L8" s="93"/>
      <c r="M8" s="93"/>
    </row>
    <row r="9" spans="1:13" ht="69" customHeight="1" x14ac:dyDescent="0.15">
      <c r="A9" s="63" t="s">
        <v>714</v>
      </c>
      <c r="B9" s="62" t="s">
        <v>469</v>
      </c>
      <c r="C9" s="63" t="s">
        <v>715</v>
      </c>
      <c r="D9" s="62" t="s">
        <v>470</v>
      </c>
      <c r="E9" s="64" t="s">
        <v>713</v>
      </c>
      <c r="F9" s="65" t="s">
        <v>631</v>
      </c>
      <c r="G9" s="64" t="s">
        <v>486</v>
      </c>
      <c r="H9" s="64" t="s">
        <v>627</v>
      </c>
      <c r="I9" s="154" t="s">
        <v>689</v>
      </c>
      <c r="J9" s="65" t="s">
        <v>632</v>
      </c>
      <c r="K9" s="64" t="s">
        <v>487</v>
      </c>
      <c r="L9" s="64" t="s">
        <v>628</v>
      </c>
      <c r="M9" s="154" t="s">
        <v>690</v>
      </c>
    </row>
    <row r="10" spans="1:13" ht="14" x14ac:dyDescent="0.15">
      <c r="A10" s="108">
        <v>700</v>
      </c>
      <c r="B10" s="216">
        <v>2000027373741</v>
      </c>
      <c r="C10" s="108"/>
      <c r="D10" s="216"/>
      <c r="E10" s="217" t="s">
        <v>746</v>
      </c>
      <c r="F10" s="69">
        <v>0</v>
      </c>
      <c r="G10" s="70">
        <v>13766.71</v>
      </c>
      <c r="H10" s="70">
        <v>1.74</v>
      </c>
      <c r="I10" s="70">
        <v>1.74</v>
      </c>
      <c r="J10" s="71">
        <v>0</v>
      </c>
      <c r="K10" s="72">
        <v>0</v>
      </c>
      <c r="L10" s="72">
        <v>0</v>
      </c>
      <c r="M10" s="72">
        <v>0</v>
      </c>
    </row>
    <row r="11" spans="1:13" ht="14" x14ac:dyDescent="0.15">
      <c r="A11" s="108">
        <v>701</v>
      </c>
      <c r="B11" s="216">
        <v>2000027366674</v>
      </c>
      <c r="C11" s="108"/>
      <c r="D11" s="216"/>
      <c r="E11" s="217" t="s">
        <v>747</v>
      </c>
      <c r="F11" s="69">
        <v>2.4590000000000001</v>
      </c>
      <c r="G11" s="70">
        <v>8394.49</v>
      </c>
      <c r="H11" s="70">
        <v>2.2400000000000002</v>
      </c>
      <c r="I11" s="70">
        <v>2.2400000000000002</v>
      </c>
      <c r="J11" s="71">
        <v>0</v>
      </c>
      <c r="K11" s="72">
        <v>0</v>
      </c>
      <c r="L11" s="72">
        <v>0</v>
      </c>
      <c r="M11" s="72">
        <v>0</v>
      </c>
    </row>
    <row r="12" spans="1:13" ht="14" x14ac:dyDescent="0.15">
      <c r="A12" s="108">
        <v>702</v>
      </c>
      <c r="B12" s="216">
        <v>2000027342238</v>
      </c>
      <c r="C12" s="108"/>
      <c r="D12" s="216"/>
      <c r="E12" s="217" t="s">
        <v>748</v>
      </c>
      <c r="F12" s="69">
        <v>0.40600000000000003</v>
      </c>
      <c r="G12" s="70">
        <v>5159.3599999999997</v>
      </c>
      <c r="H12" s="70">
        <v>1.78</v>
      </c>
      <c r="I12" s="70">
        <v>1.78</v>
      </c>
      <c r="J12" s="71">
        <v>0</v>
      </c>
      <c r="K12" s="72">
        <v>0</v>
      </c>
      <c r="L12" s="72">
        <v>0</v>
      </c>
      <c r="M12" s="72">
        <v>0</v>
      </c>
    </row>
    <row r="13" spans="1:13" ht="14" x14ac:dyDescent="0.15">
      <c r="A13" s="108">
        <v>704</v>
      </c>
      <c r="B13" s="216">
        <v>2000027343640</v>
      </c>
      <c r="C13" s="108">
        <v>734</v>
      </c>
      <c r="D13" s="216">
        <v>2000050928900</v>
      </c>
      <c r="E13" s="217" t="s">
        <v>749</v>
      </c>
      <c r="F13" s="69">
        <v>1.2090000000000001</v>
      </c>
      <c r="G13" s="70">
        <v>1.97</v>
      </c>
      <c r="H13" s="70">
        <v>1.57</v>
      </c>
      <c r="I13" s="70">
        <v>1.57</v>
      </c>
      <c r="J13" s="71">
        <v>0</v>
      </c>
      <c r="K13" s="72">
        <v>269.86</v>
      </c>
      <c r="L13" s="72">
        <v>0.05</v>
      </c>
      <c r="M13" s="72">
        <v>0.05</v>
      </c>
    </row>
    <row r="14" spans="1:13" ht="14" x14ac:dyDescent="0.15">
      <c r="A14" s="108">
        <v>706</v>
      </c>
      <c r="B14" s="216">
        <v>2000027419271</v>
      </c>
      <c r="C14" s="108">
        <v>736</v>
      </c>
      <c r="D14" s="216">
        <v>2000050932127</v>
      </c>
      <c r="E14" s="217" t="s">
        <v>750</v>
      </c>
      <c r="F14" s="69">
        <v>1.014</v>
      </c>
      <c r="G14" s="70">
        <v>9.4</v>
      </c>
      <c r="H14" s="70">
        <v>1.44</v>
      </c>
      <c r="I14" s="70">
        <v>1.44</v>
      </c>
      <c r="J14" s="71">
        <v>0</v>
      </c>
      <c r="K14" s="72">
        <v>432.39</v>
      </c>
      <c r="L14" s="72">
        <v>0.05</v>
      </c>
      <c r="M14" s="72">
        <v>0.05</v>
      </c>
    </row>
    <row r="15" spans="1:13" ht="14" x14ac:dyDescent="0.15">
      <c r="A15" s="108">
        <v>707</v>
      </c>
      <c r="B15" s="216">
        <v>2000027427398</v>
      </c>
      <c r="C15" s="108">
        <v>737</v>
      </c>
      <c r="D15" s="216">
        <v>2000050935800</v>
      </c>
      <c r="E15" s="217" t="s">
        <v>751</v>
      </c>
      <c r="F15" s="69">
        <v>0.14899999999999999</v>
      </c>
      <c r="G15" s="70">
        <v>52.68</v>
      </c>
      <c r="H15" s="70">
        <v>2.64</v>
      </c>
      <c r="I15" s="70">
        <v>2.64</v>
      </c>
      <c r="J15" s="71">
        <v>0</v>
      </c>
      <c r="K15" s="72">
        <v>0</v>
      </c>
      <c r="L15" s="72">
        <v>0</v>
      </c>
      <c r="M15" s="72">
        <v>0</v>
      </c>
    </row>
    <row r="16" spans="1:13" ht="14" x14ac:dyDescent="0.15">
      <c r="A16" s="108">
        <v>708</v>
      </c>
      <c r="B16" s="216">
        <v>2000052675995</v>
      </c>
      <c r="C16" s="108"/>
      <c r="D16" s="216"/>
      <c r="E16" s="217" t="s">
        <v>752</v>
      </c>
      <c r="F16" s="69">
        <v>6.6920000000000002</v>
      </c>
      <c r="G16" s="70">
        <v>6470.94</v>
      </c>
      <c r="H16" s="70">
        <v>1.72</v>
      </c>
      <c r="I16" s="70">
        <v>1.72</v>
      </c>
      <c r="J16" s="71">
        <v>0</v>
      </c>
      <c r="K16" s="72">
        <v>0</v>
      </c>
      <c r="L16" s="72">
        <v>0</v>
      </c>
      <c r="M16" s="72">
        <v>0</v>
      </c>
    </row>
    <row r="17" spans="1:13" ht="14" x14ac:dyDescent="0.15">
      <c r="A17" s="108">
        <v>709</v>
      </c>
      <c r="B17" s="216">
        <v>2000054624149</v>
      </c>
      <c r="C17" s="108"/>
      <c r="D17" s="216"/>
      <c r="E17" s="217" t="s">
        <v>753</v>
      </c>
      <c r="F17" s="69">
        <v>1.024</v>
      </c>
      <c r="G17" s="70">
        <v>490.92</v>
      </c>
      <c r="H17" s="70">
        <v>3.18</v>
      </c>
      <c r="I17" s="70">
        <v>3.18</v>
      </c>
      <c r="J17" s="71">
        <v>0</v>
      </c>
      <c r="K17" s="72">
        <v>0</v>
      </c>
      <c r="L17" s="72">
        <v>0</v>
      </c>
      <c r="M17" s="72">
        <v>0</v>
      </c>
    </row>
    <row r="18" spans="1:13" ht="42" x14ac:dyDescent="0.15">
      <c r="A18" s="108">
        <v>710</v>
      </c>
      <c r="B18" s="216" t="s">
        <v>1145</v>
      </c>
      <c r="C18" s="108">
        <v>740</v>
      </c>
      <c r="D18" s="216" t="s">
        <v>1155</v>
      </c>
      <c r="E18" s="217" t="s">
        <v>754</v>
      </c>
      <c r="F18" s="69">
        <v>0</v>
      </c>
      <c r="G18" s="70">
        <v>9674.43</v>
      </c>
      <c r="H18" s="70">
        <v>2.0099999999999998</v>
      </c>
      <c r="I18" s="70">
        <v>2.0099999999999998</v>
      </c>
      <c r="J18" s="71">
        <v>0</v>
      </c>
      <c r="K18" s="72">
        <v>4299.75</v>
      </c>
      <c r="L18" s="72">
        <v>0.05</v>
      </c>
      <c r="M18" s="72">
        <v>0.05</v>
      </c>
    </row>
    <row r="19" spans="1:13" ht="14" x14ac:dyDescent="0.15">
      <c r="A19" s="108">
        <v>711</v>
      </c>
      <c r="B19" s="216">
        <v>2000027852497</v>
      </c>
      <c r="C19" s="108"/>
      <c r="D19" s="216"/>
      <c r="E19" s="217" t="s">
        <v>755</v>
      </c>
      <c r="F19" s="69">
        <v>0</v>
      </c>
      <c r="G19" s="70">
        <v>7188.49</v>
      </c>
      <c r="H19" s="70">
        <v>3.06</v>
      </c>
      <c r="I19" s="70">
        <v>3.06</v>
      </c>
      <c r="J19" s="71">
        <v>0</v>
      </c>
      <c r="K19" s="72">
        <v>0</v>
      </c>
      <c r="L19" s="72">
        <v>0</v>
      </c>
      <c r="M19" s="72">
        <v>0</v>
      </c>
    </row>
    <row r="20" spans="1:13" ht="14" x14ac:dyDescent="0.15">
      <c r="A20" s="108">
        <v>712</v>
      </c>
      <c r="B20" s="216">
        <v>2000055085297</v>
      </c>
      <c r="C20" s="108"/>
      <c r="D20" s="216"/>
      <c r="E20" s="217" t="s">
        <v>756</v>
      </c>
      <c r="F20" s="69">
        <v>1.0549999999999999</v>
      </c>
      <c r="G20" s="70">
        <v>3899.52</v>
      </c>
      <c r="H20" s="70">
        <v>1.87</v>
      </c>
      <c r="I20" s="70">
        <v>1.87</v>
      </c>
      <c r="J20" s="71">
        <v>0</v>
      </c>
      <c r="K20" s="72">
        <v>0</v>
      </c>
      <c r="L20" s="72">
        <v>0</v>
      </c>
      <c r="M20" s="72">
        <v>0</v>
      </c>
    </row>
    <row r="21" spans="1:13" ht="14" x14ac:dyDescent="0.15">
      <c r="A21" s="108">
        <v>713</v>
      </c>
      <c r="B21" s="216">
        <v>2000055085302</v>
      </c>
      <c r="C21" s="108"/>
      <c r="D21" s="216"/>
      <c r="E21" s="217" t="s">
        <v>757</v>
      </c>
      <c r="F21" s="69">
        <v>1.03</v>
      </c>
      <c r="G21" s="70">
        <v>9804.94</v>
      </c>
      <c r="H21" s="70">
        <v>1.29</v>
      </c>
      <c r="I21" s="70">
        <v>1.29</v>
      </c>
      <c r="J21" s="71">
        <v>0</v>
      </c>
      <c r="K21" s="72">
        <v>0</v>
      </c>
      <c r="L21" s="72">
        <v>0</v>
      </c>
      <c r="M21" s="72">
        <v>0</v>
      </c>
    </row>
    <row r="22" spans="1:13" ht="14" x14ac:dyDescent="0.15">
      <c r="A22" s="108">
        <v>714</v>
      </c>
      <c r="B22" s="216">
        <v>2000027366665</v>
      </c>
      <c r="C22" s="108"/>
      <c r="D22" s="216"/>
      <c r="E22" s="217" t="s">
        <v>758</v>
      </c>
      <c r="F22" s="69">
        <v>1.2849999999999999</v>
      </c>
      <c r="G22" s="70">
        <v>572.74</v>
      </c>
      <c r="H22" s="70">
        <v>2.56</v>
      </c>
      <c r="I22" s="70">
        <v>2.56</v>
      </c>
      <c r="J22" s="71">
        <v>0</v>
      </c>
      <c r="K22" s="72">
        <v>0</v>
      </c>
      <c r="L22" s="72">
        <v>0</v>
      </c>
      <c r="M22" s="72">
        <v>0</v>
      </c>
    </row>
    <row r="23" spans="1:13" ht="14" x14ac:dyDescent="0.15">
      <c r="A23" s="108">
        <v>715</v>
      </c>
      <c r="B23" s="216">
        <v>2000051063430</v>
      </c>
      <c r="C23" s="108"/>
      <c r="D23" s="216"/>
      <c r="E23" s="217" t="s">
        <v>759</v>
      </c>
      <c r="F23" s="69">
        <v>2.4369999999999998</v>
      </c>
      <c r="G23" s="70">
        <v>175.93</v>
      </c>
      <c r="H23" s="70">
        <v>2.65</v>
      </c>
      <c r="I23" s="70">
        <v>2.65</v>
      </c>
      <c r="J23" s="71">
        <v>0</v>
      </c>
      <c r="K23" s="72">
        <v>0</v>
      </c>
      <c r="L23" s="72">
        <v>0</v>
      </c>
      <c r="M23" s="72">
        <v>0</v>
      </c>
    </row>
    <row r="24" spans="1:13" ht="14" x14ac:dyDescent="0.15">
      <c r="A24" s="108">
        <v>716</v>
      </c>
      <c r="B24" s="216">
        <v>2000027366762</v>
      </c>
      <c r="C24" s="108"/>
      <c r="D24" s="216"/>
      <c r="E24" s="217" t="s">
        <v>760</v>
      </c>
      <c r="F24" s="69">
        <v>0</v>
      </c>
      <c r="G24" s="70">
        <v>81.819999999999993</v>
      </c>
      <c r="H24" s="70">
        <v>5.03</v>
      </c>
      <c r="I24" s="70">
        <v>5.03</v>
      </c>
      <c r="J24" s="71">
        <v>0</v>
      </c>
      <c r="K24" s="72">
        <v>0</v>
      </c>
      <c r="L24" s="72">
        <v>0</v>
      </c>
      <c r="M24" s="72">
        <v>0</v>
      </c>
    </row>
    <row r="25" spans="1:13" ht="14" x14ac:dyDescent="0.15">
      <c r="A25" s="108">
        <v>717</v>
      </c>
      <c r="B25" s="216">
        <v>2000027373403</v>
      </c>
      <c r="C25" s="108"/>
      <c r="D25" s="216"/>
      <c r="E25" s="217" t="s">
        <v>761</v>
      </c>
      <c r="F25" s="69">
        <v>1.7829999999999999</v>
      </c>
      <c r="G25" s="70">
        <v>81.819999999999993</v>
      </c>
      <c r="H25" s="70">
        <v>3.73</v>
      </c>
      <c r="I25" s="70">
        <v>3.73</v>
      </c>
      <c r="J25" s="71">
        <v>0</v>
      </c>
      <c r="K25" s="72">
        <v>0</v>
      </c>
      <c r="L25" s="72">
        <v>0</v>
      </c>
      <c r="M25" s="72">
        <v>0</v>
      </c>
    </row>
    <row r="26" spans="1:13" ht="14" x14ac:dyDescent="0.15">
      <c r="A26" s="108">
        <v>718</v>
      </c>
      <c r="B26" s="216">
        <v>2000050571060</v>
      </c>
      <c r="C26" s="108">
        <v>738</v>
      </c>
      <c r="D26" s="216">
        <v>2000051080338</v>
      </c>
      <c r="E26" s="217" t="s">
        <v>762</v>
      </c>
      <c r="F26" s="69">
        <v>1.0669999999999999</v>
      </c>
      <c r="G26" s="70">
        <v>575.45000000000005</v>
      </c>
      <c r="H26" s="70">
        <v>1.28</v>
      </c>
      <c r="I26" s="70">
        <v>1.28</v>
      </c>
      <c r="J26" s="71">
        <v>0</v>
      </c>
      <c r="K26" s="72">
        <v>0</v>
      </c>
      <c r="L26" s="72">
        <v>0</v>
      </c>
      <c r="M26" s="72">
        <v>0</v>
      </c>
    </row>
    <row r="27" spans="1:13" ht="14" x14ac:dyDescent="0.15">
      <c r="A27" s="108">
        <v>719</v>
      </c>
      <c r="B27" s="216">
        <v>2000027419449</v>
      </c>
      <c r="C27" s="108"/>
      <c r="D27" s="216"/>
      <c r="E27" s="217" t="s">
        <v>763</v>
      </c>
      <c r="F27" s="69">
        <v>1.038</v>
      </c>
      <c r="G27" s="70">
        <v>81.819999999999993</v>
      </c>
      <c r="H27" s="70">
        <v>2.52</v>
      </c>
      <c r="I27" s="70">
        <v>2.52</v>
      </c>
      <c r="J27" s="71">
        <v>0</v>
      </c>
      <c r="K27" s="72">
        <v>0</v>
      </c>
      <c r="L27" s="72">
        <v>0</v>
      </c>
      <c r="M27" s="72">
        <v>0</v>
      </c>
    </row>
    <row r="28" spans="1:13" ht="14" x14ac:dyDescent="0.15">
      <c r="A28" s="108">
        <v>800</v>
      </c>
      <c r="B28" s="216">
        <v>2000050277851</v>
      </c>
      <c r="C28" s="108"/>
      <c r="D28" s="216"/>
      <c r="E28" s="217" t="s">
        <v>764</v>
      </c>
      <c r="F28" s="69">
        <v>0</v>
      </c>
      <c r="G28" s="70">
        <v>697.42</v>
      </c>
      <c r="H28" s="70">
        <v>1.44</v>
      </c>
      <c r="I28" s="70">
        <v>1.44</v>
      </c>
      <c r="J28" s="71">
        <v>0</v>
      </c>
      <c r="K28" s="72">
        <v>0</v>
      </c>
      <c r="L28" s="72">
        <v>0</v>
      </c>
      <c r="M28" s="72">
        <v>0</v>
      </c>
    </row>
    <row r="29" spans="1:13" ht="14" x14ac:dyDescent="0.15">
      <c r="A29" s="108">
        <v>801</v>
      </c>
      <c r="B29" s="216">
        <v>2000050393707</v>
      </c>
      <c r="C29" s="108"/>
      <c r="D29" s="216"/>
      <c r="E29" s="217" t="s">
        <v>765</v>
      </c>
      <c r="F29" s="69">
        <v>0</v>
      </c>
      <c r="G29" s="70">
        <v>697.42</v>
      </c>
      <c r="H29" s="70">
        <v>1.56</v>
      </c>
      <c r="I29" s="70">
        <v>1.56</v>
      </c>
      <c r="J29" s="71">
        <v>0</v>
      </c>
      <c r="K29" s="72">
        <v>0</v>
      </c>
      <c r="L29" s="72">
        <v>0</v>
      </c>
      <c r="M29" s="72">
        <v>0</v>
      </c>
    </row>
    <row r="30" spans="1:13" ht="14" x14ac:dyDescent="0.15">
      <c r="A30" s="108">
        <v>802</v>
      </c>
      <c r="B30" s="216">
        <v>2000027366841</v>
      </c>
      <c r="C30" s="108"/>
      <c r="D30" s="216"/>
      <c r="E30" s="217" t="s">
        <v>766</v>
      </c>
      <c r="F30" s="69">
        <v>0.78800000000000003</v>
      </c>
      <c r="G30" s="70">
        <v>201.99</v>
      </c>
      <c r="H30" s="70">
        <v>3.35</v>
      </c>
      <c r="I30" s="70">
        <v>3.35</v>
      </c>
      <c r="J30" s="71">
        <v>0</v>
      </c>
      <c r="K30" s="72">
        <v>0</v>
      </c>
      <c r="L30" s="72">
        <v>0</v>
      </c>
      <c r="M30" s="72">
        <v>0</v>
      </c>
    </row>
    <row r="31" spans="1:13" ht="14" x14ac:dyDescent="0.15">
      <c r="A31" s="108">
        <v>803</v>
      </c>
      <c r="B31" s="216">
        <v>2000050277513</v>
      </c>
      <c r="C31" s="108"/>
      <c r="D31" s="216"/>
      <c r="E31" s="217" t="s">
        <v>767</v>
      </c>
      <c r="F31" s="69">
        <v>0</v>
      </c>
      <c r="G31" s="70">
        <v>857.37</v>
      </c>
      <c r="H31" s="70">
        <v>2.4300000000000002</v>
      </c>
      <c r="I31" s="70">
        <v>2.4300000000000002</v>
      </c>
      <c r="J31" s="71">
        <v>0</v>
      </c>
      <c r="K31" s="72">
        <v>0</v>
      </c>
      <c r="L31" s="72">
        <v>0</v>
      </c>
      <c r="M31" s="72">
        <v>0</v>
      </c>
    </row>
    <row r="32" spans="1:13" ht="14" x14ac:dyDescent="0.15">
      <c r="A32" s="108">
        <v>817</v>
      </c>
      <c r="B32" s="216">
        <v>2000050481327</v>
      </c>
      <c r="C32" s="108"/>
      <c r="D32" s="216"/>
      <c r="E32" s="217" t="s">
        <v>768</v>
      </c>
      <c r="F32" s="69">
        <v>0</v>
      </c>
      <c r="G32" s="70">
        <v>643.03</v>
      </c>
      <c r="H32" s="70">
        <v>2.4</v>
      </c>
      <c r="I32" s="70">
        <v>2.4</v>
      </c>
      <c r="J32" s="71">
        <v>0</v>
      </c>
      <c r="K32" s="72">
        <v>0</v>
      </c>
      <c r="L32" s="72">
        <v>0</v>
      </c>
      <c r="M32" s="72">
        <v>0</v>
      </c>
    </row>
    <row r="33" spans="1:13" ht="14" x14ac:dyDescent="0.15">
      <c r="A33" s="108">
        <v>837</v>
      </c>
      <c r="B33" s="216">
        <v>2000050481309</v>
      </c>
      <c r="C33" s="108"/>
      <c r="D33" s="216"/>
      <c r="E33" s="217" t="s">
        <v>769</v>
      </c>
      <c r="F33" s="69">
        <v>0</v>
      </c>
      <c r="G33" s="70">
        <v>643.03</v>
      </c>
      <c r="H33" s="70">
        <v>3.94</v>
      </c>
      <c r="I33" s="70">
        <v>3.94</v>
      </c>
      <c r="J33" s="71">
        <v>0</v>
      </c>
      <c r="K33" s="72">
        <v>0</v>
      </c>
      <c r="L33" s="72">
        <v>0</v>
      </c>
      <c r="M33" s="72">
        <v>0</v>
      </c>
    </row>
    <row r="34" spans="1:13" ht="42" x14ac:dyDescent="0.15">
      <c r="A34" s="108">
        <v>804</v>
      </c>
      <c r="B34" s="216" t="s">
        <v>1146</v>
      </c>
      <c r="C34" s="108"/>
      <c r="D34" s="216"/>
      <c r="E34" s="217" t="s">
        <v>770</v>
      </c>
      <c r="F34" s="69">
        <v>1.1950000000000001</v>
      </c>
      <c r="G34" s="70">
        <v>1046.1300000000001</v>
      </c>
      <c r="H34" s="70">
        <v>1.23</v>
      </c>
      <c r="I34" s="70">
        <v>1.23</v>
      </c>
      <c r="J34" s="71">
        <v>0</v>
      </c>
      <c r="K34" s="72">
        <v>0</v>
      </c>
      <c r="L34" s="72">
        <v>0</v>
      </c>
      <c r="M34" s="72">
        <v>0</v>
      </c>
    </row>
    <row r="35" spans="1:13" ht="14" x14ac:dyDescent="0.15">
      <c r="A35" s="108">
        <v>805</v>
      </c>
      <c r="B35" s="216">
        <v>2000027474820</v>
      </c>
      <c r="C35" s="108"/>
      <c r="D35" s="216"/>
      <c r="E35" s="217" t="s">
        <v>771</v>
      </c>
      <c r="F35" s="69">
        <v>0</v>
      </c>
      <c r="G35" s="70">
        <v>213.67</v>
      </c>
      <c r="H35" s="70">
        <v>1.97</v>
      </c>
      <c r="I35" s="70">
        <v>1.97</v>
      </c>
      <c r="J35" s="71">
        <v>0</v>
      </c>
      <c r="K35" s="72">
        <v>0</v>
      </c>
      <c r="L35" s="72">
        <v>0</v>
      </c>
      <c r="M35" s="72">
        <v>0</v>
      </c>
    </row>
    <row r="36" spans="1:13" ht="14" x14ac:dyDescent="0.15">
      <c r="A36" s="108">
        <v>806</v>
      </c>
      <c r="B36" s="216">
        <v>2000027454188</v>
      </c>
      <c r="C36" s="108"/>
      <c r="D36" s="216"/>
      <c r="E36" s="217" t="s">
        <v>772</v>
      </c>
      <c r="F36" s="69">
        <v>4.1539999999999999</v>
      </c>
      <c r="G36" s="70">
        <v>697.42</v>
      </c>
      <c r="H36" s="70">
        <v>1.48</v>
      </c>
      <c r="I36" s="70">
        <v>1.48</v>
      </c>
      <c r="J36" s="71">
        <v>0</v>
      </c>
      <c r="K36" s="72">
        <v>0</v>
      </c>
      <c r="L36" s="72">
        <v>0</v>
      </c>
      <c r="M36" s="72">
        <v>0</v>
      </c>
    </row>
    <row r="37" spans="1:13" ht="14" x14ac:dyDescent="0.15">
      <c r="A37" s="108">
        <v>807</v>
      </c>
      <c r="B37" s="216">
        <v>2000027454452</v>
      </c>
      <c r="C37" s="108"/>
      <c r="D37" s="216"/>
      <c r="E37" s="217" t="s">
        <v>773</v>
      </c>
      <c r="F37" s="69">
        <v>6.1189999999999998</v>
      </c>
      <c r="G37" s="70">
        <v>348.71</v>
      </c>
      <c r="H37" s="70">
        <v>2.48</v>
      </c>
      <c r="I37" s="70">
        <v>2.48</v>
      </c>
      <c r="J37" s="71">
        <v>0</v>
      </c>
      <c r="K37" s="72">
        <v>0</v>
      </c>
      <c r="L37" s="72">
        <v>0</v>
      </c>
      <c r="M37" s="72">
        <v>0</v>
      </c>
    </row>
    <row r="38" spans="1:13" ht="14" x14ac:dyDescent="0.15">
      <c r="A38" s="108">
        <v>808</v>
      </c>
      <c r="B38" s="216">
        <v>2000052503790</v>
      </c>
      <c r="C38" s="108"/>
      <c r="D38" s="216"/>
      <c r="E38" s="217" t="s">
        <v>774</v>
      </c>
      <c r="F38" s="69">
        <v>0.76200000000000001</v>
      </c>
      <c r="G38" s="70">
        <v>697.42</v>
      </c>
      <c r="H38" s="70">
        <v>1.55</v>
      </c>
      <c r="I38" s="70">
        <v>1.55</v>
      </c>
      <c r="J38" s="71">
        <v>0</v>
      </c>
      <c r="K38" s="72">
        <v>0</v>
      </c>
      <c r="L38" s="72">
        <v>0</v>
      </c>
      <c r="M38" s="72">
        <v>0</v>
      </c>
    </row>
    <row r="39" spans="1:13" ht="14" x14ac:dyDescent="0.15">
      <c r="A39" s="108">
        <v>809</v>
      </c>
      <c r="B39" s="216">
        <v>2000027297816</v>
      </c>
      <c r="C39" s="108"/>
      <c r="D39" s="216"/>
      <c r="E39" s="217" t="s">
        <v>775</v>
      </c>
      <c r="F39" s="69">
        <v>0</v>
      </c>
      <c r="G39" s="70">
        <v>398.35</v>
      </c>
      <c r="H39" s="70">
        <v>0.34</v>
      </c>
      <c r="I39" s="70">
        <v>0.34</v>
      </c>
      <c r="J39" s="71">
        <v>0</v>
      </c>
      <c r="K39" s="72">
        <v>0</v>
      </c>
      <c r="L39" s="72">
        <v>0</v>
      </c>
      <c r="M39" s="72">
        <v>0</v>
      </c>
    </row>
    <row r="40" spans="1:13" ht="14" x14ac:dyDescent="0.15">
      <c r="A40" s="108">
        <v>810</v>
      </c>
      <c r="B40" s="216">
        <v>2000050467030</v>
      </c>
      <c r="C40" s="108">
        <v>918</v>
      </c>
      <c r="D40" s="216">
        <v>2000027292534</v>
      </c>
      <c r="E40" s="217" t="s">
        <v>776</v>
      </c>
      <c r="F40" s="69">
        <v>0</v>
      </c>
      <c r="G40" s="70">
        <v>810.41</v>
      </c>
      <c r="H40" s="70">
        <v>0.45</v>
      </c>
      <c r="I40" s="70">
        <v>0.45</v>
      </c>
      <c r="J40" s="71">
        <v>0</v>
      </c>
      <c r="K40" s="72">
        <v>0</v>
      </c>
      <c r="L40" s="72">
        <v>0</v>
      </c>
      <c r="M40" s="72">
        <v>0</v>
      </c>
    </row>
    <row r="41" spans="1:13" ht="14" x14ac:dyDescent="0.15">
      <c r="A41" s="108">
        <v>811</v>
      </c>
      <c r="B41" s="216">
        <v>2000051063927</v>
      </c>
      <c r="C41" s="108"/>
      <c r="D41" s="216"/>
      <c r="E41" s="217" t="s">
        <v>777</v>
      </c>
      <c r="F41" s="69">
        <v>0</v>
      </c>
      <c r="G41" s="70">
        <v>412.74</v>
      </c>
      <c r="H41" s="70">
        <v>6</v>
      </c>
      <c r="I41" s="70">
        <v>6</v>
      </c>
      <c r="J41" s="71">
        <v>0</v>
      </c>
      <c r="K41" s="72">
        <v>0</v>
      </c>
      <c r="L41" s="72">
        <v>0</v>
      </c>
      <c r="M41" s="72">
        <v>0</v>
      </c>
    </row>
    <row r="42" spans="1:13" ht="14" x14ac:dyDescent="0.15">
      <c r="A42" s="108">
        <v>812</v>
      </c>
      <c r="B42" s="216">
        <v>2000027339192</v>
      </c>
      <c r="C42" s="108"/>
      <c r="D42" s="216"/>
      <c r="E42" s="217" t="s">
        <v>778</v>
      </c>
      <c r="F42" s="69">
        <v>0.40600000000000003</v>
      </c>
      <c r="G42" s="70">
        <v>1.82</v>
      </c>
      <c r="H42" s="70">
        <v>2.76</v>
      </c>
      <c r="I42" s="70">
        <v>2.76</v>
      </c>
      <c r="J42" s="71">
        <v>0</v>
      </c>
      <c r="K42" s="72">
        <v>0</v>
      </c>
      <c r="L42" s="72">
        <v>0</v>
      </c>
      <c r="M42" s="72">
        <v>0</v>
      </c>
    </row>
    <row r="43" spans="1:13" ht="14" x14ac:dyDescent="0.15">
      <c r="A43" s="108">
        <v>812</v>
      </c>
      <c r="B43" s="216">
        <v>2000050544330</v>
      </c>
      <c r="C43" s="108"/>
      <c r="D43" s="216"/>
      <c r="E43" s="217" t="s">
        <v>779</v>
      </c>
      <c r="F43" s="69">
        <v>0.39900000000000002</v>
      </c>
      <c r="G43" s="70">
        <v>1.82</v>
      </c>
      <c r="H43" s="70">
        <v>2.78</v>
      </c>
      <c r="I43" s="70">
        <v>2.78</v>
      </c>
      <c r="J43" s="71">
        <v>0</v>
      </c>
      <c r="K43" s="72">
        <v>0</v>
      </c>
      <c r="L43" s="72">
        <v>0</v>
      </c>
      <c r="M43" s="72">
        <v>0</v>
      </c>
    </row>
    <row r="44" spans="1:13" ht="98" x14ac:dyDescent="0.15">
      <c r="A44" s="108">
        <v>813</v>
      </c>
      <c r="B44" s="216" t="s">
        <v>1147</v>
      </c>
      <c r="C44" s="108"/>
      <c r="D44" s="216"/>
      <c r="E44" s="217" t="s">
        <v>780</v>
      </c>
      <c r="F44" s="69">
        <v>0</v>
      </c>
      <c r="G44" s="70">
        <v>5026.04</v>
      </c>
      <c r="H44" s="70">
        <v>3.72</v>
      </c>
      <c r="I44" s="70">
        <v>3.72</v>
      </c>
      <c r="J44" s="71">
        <v>0</v>
      </c>
      <c r="K44" s="72">
        <v>0</v>
      </c>
      <c r="L44" s="72">
        <v>0</v>
      </c>
      <c r="M44" s="72">
        <v>0</v>
      </c>
    </row>
    <row r="45" spans="1:13" ht="14" x14ac:dyDescent="0.15">
      <c r="A45" s="108">
        <v>814</v>
      </c>
      <c r="B45" s="216">
        <v>2000027340036</v>
      </c>
      <c r="C45" s="108">
        <v>929</v>
      </c>
      <c r="D45" s="216">
        <v>2000054899591</v>
      </c>
      <c r="E45" s="217" t="s">
        <v>781</v>
      </c>
      <c r="F45" s="69">
        <v>0.40400000000000003</v>
      </c>
      <c r="G45" s="70">
        <v>267.91000000000003</v>
      </c>
      <c r="H45" s="70">
        <v>0.69</v>
      </c>
      <c r="I45" s="70">
        <v>0.69</v>
      </c>
      <c r="J45" s="71">
        <v>0</v>
      </c>
      <c r="K45" s="72">
        <v>417.18</v>
      </c>
      <c r="L45" s="72">
        <v>0.05</v>
      </c>
      <c r="M45" s="72">
        <v>0.05</v>
      </c>
    </row>
    <row r="46" spans="1:13" ht="14" x14ac:dyDescent="0.15">
      <c r="A46" s="108">
        <v>815</v>
      </c>
      <c r="B46" s="216">
        <v>2000027454648</v>
      </c>
      <c r="C46" s="108">
        <v>924</v>
      </c>
      <c r="D46" s="216">
        <v>2000054397290</v>
      </c>
      <c r="E46" s="217" t="s">
        <v>782</v>
      </c>
      <c r="F46" s="69">
        <v>0</v>
      </c>
      <c r="G46" s="70">
        <v>1731.23</v>
      </c>
      <c r="H46" s="70">
        <v>1.22</v>
      </c>
      <c r="I46" s="70">
        <v>1.22</v>
      </c>
      <c r="J46" s="71">
        <v>0</v>
      </c>
      <c r="K46" s="72">
        <v>946.85</v>
      </c>
      <c r="L46" s="72">
        <v>0.05</v>
      </c>
      <c r="M46" s="72">
        <v>0.05</v>
      </c>
    </row>
    <row r="47" spans="1:13" ht="14" x14ac:dyDescent="0.15">
      <c r="A47" s="108">
        <v>816</v>
      </c>
      <c r="B47" s="216">
        <v>2000027306995</v>
      </c>
      <c r="C47" s="108">
        <v>937</v>
      </c>
      <c r="D47" s="216">
        <v>2000050795630</v>
      </c>
      <c r="E47" s="217" t="s">
        <v>783</v>
      </c>
      <c r="F47" s="69">
        <v>0</v>
      </c>
      <c r="G47" s="70">
        <v>436.34</v>
      </c>
      <c r="H47" s="70">
        <v>1.94</v>
      </c>
      <c r="I47" s="70">
        <v>1.94</v>
      </c>
      <c r="J47" s="71">
        <v>0</v>
      </c>
      <c r="K47" s="72">
        <v>545.42999999999995</v>
      </c>
      <c r="L47" s="72">
        <v>0.05</v>
      </c>
      <c r="M47" s="72">
        <v>0.05</v>
      </c>
    </row>
    <row r="48" spans="1:13" ht="14" x14ac:dyDescent="0.15">
      <c r="A48" s="108">
        <v>818</v>
      </c>
      <c r="B48" s="216">
        <v>2000050277160</v>
      </c>
      <c r="C48" s="108"/>
      <c r="D48" s="216"/>
      <c r="E48" s="217" t="s">
        <v>784</v>
      </c>
      <c r="F48" s="69">
        <v>0</v>
      </c>
      <c r="G48" s="70">
        <v>42902.73</v>
      </c>
      <c r="H48" s="70">
        <v>9.85</v>
      </c>
      <c r="I48" s="70">
        <v>9.85</v>
      </c>
      <c r="J48" s="71">
        <v>0</v>
      </c>
      <c r="K48" s="72">
        <v>0</v>
      </c>
      <c r="L48" s="72">
        <v>0</v>
      </c>
      <c r="M48" s="72">
        <v>0</v>
      </c>
    </row>
    <row r="49" spans="1:13" ht="14" x14ac:dyDescent="0.15">
      <c r="A49" s="108">
        <v>819</v>
      </c>
      <c r="B49" s="216">
        <v>2000027466068</v>
      </c>
      <c r="C49" s="108"/>
      <c r="D49" s="216"/>
      <c r="E49" s="217" t="s">
        <v>785</v>
      </c>
      <c r="F49" s="69">
        <v>0</v>
      </c>
      <c r="G49" s="70">
        <v>84.33</v>
      </c>
      <c r="H49" s="70">
        <v>2.1800000000000002</v>
      </c>
      <c r="I49" s="70">
        <v>2.1800000000000002</v>
      </c>
      <c r="J49" s="71">
        <v>0</v>
      </c>
      <c r="K49" s="72">
        <v>0</v>
      </c>
      <c r="L49" s="72">
        <v>0</v>
      </c>
      <c r="M49" s="72">
        <v>0</v>
      </c>
    </row>
    <row r="50" spans="1:13" ht="14" x14ac:dyDescent="0.15">
      <c r="A50" s="108">
        <v>7174</v>
      </c>
      <c r="B50" s="216">
        <v>7174</v>
      </c>
      <c r="C50" s="108">
        <v>7174</v>
      </c>
      <c r="D50" s="216">
        <v>7174</v>
      </c>
      <c r="E50" s="217" t="s">
        <v>786</v>
      </c>
      <c r="F50" s="69">
        <v>0</v>
      </c>
      <c r="G50" s="70">
        <v>209.95</v>
      </c>
      <c r="H50" s="70">
        <v>0.71</v>
      </c>
      <c r="I50" s="70">
        <v>0.71</v>
      </c>
      <c r="J50" s="71">
        <v>0</v>
      </c>
      <c r="K50" s="72">
        <v>0</v>
      </c>
      <c r="L50" s="72">
        <v>0</v>
      </c>
      <c r="M50" s="72">
        <v>0</v>
      </c>
    </row>
    <row r="51" spans="1:13" ht="14" x14ac:dyDescent="0.15">
      <c r="A51" s="108" t="s">
        <v>1972</v>
      </c>
      <c r="B51" s="216">
        <v>2000027462090</v>
      </c>
      <c r="C51" s="108"/>
      <c r="D51" s="216"/>
      <c r="E51" s="217" t="s">
        <v>787</v>
      </c>
      <c r="F51" s="69">
        <v>0</v>
      </c>
      <c r="G51" s="70">
        <v>1055.8699999999999</v>
      </c>
      <c r="H51" s="70">
        <v>1.17</v>
      </c>
      <c r="I51" s="70">
        <v>1.17</v>
      </c>
      <c r="J51" s="71">
        <v>0</v>
      </c>
      <c r="K51" s="72">
        <v>0</v>
      </c>
      <c r="L51" s="72">
        <v>0</v>
      </c>
      <c r="M51" s="72">
        <v>0</v>
      </c>
    </row>
    <row r="52" spans="1:13" ht="14" x14ac:dyDescent="0.15">
      <c r="A52" s="108">
        <v>823</v>
      </c>
      <c r="B52" s="216">
        <v>2000053759147</v>
      </c>
      <c r="C52" s="108">
        <v>923</v>
      </c>
      <c r="D52" s="216">
        <v>2000053759174</v>
      </c>
      <c r="E52" s="217" t="s">
        <v>788</v>
      </c>
      <c r="F52" s="69">
        <v>0</v>
      </c>
      <c r="G52" s="70">
        <v>150.07</v>
      </c>
      <c r="H52" s="70">
        <v>0.63</v>
      </c>
      <c r="I52" s="70">
        <v>0.63</v>
      </c>
      <c r="J52" s="71">
        <v>0</v>
      </c>
      <c r="K52" s="72">
        <v>1371.61</v>
      </c>
      <c r="L52" s="72">
        <v>0.05</v>
      </c>
      <c r="M52" s="72">
        <v>0.05</v>
      </c>
    </row>
    <row r="53" spans="1:13" ht="14" x14ac:dyDescent="0.15">
      <c r="A53" s="108">
        <v>824</v>
      </c>
      <c r="B53" s="216">
        <v>2000027366498</v>
      </c>
      <c r="C53" s="108"/>
      <c r="D53" s="216"/>
      <c r="E53" s="217" t="s">
        <v>789</v>
      </c>
      <c r="F53" s="69">
        <v>1.3009999999999999</v>
      </c>
      <c r="G53" s="70">
        <v>1969.92</v>
      </c>
      <c r="H53" s="70">
        <v>2.92</v>
      </c>
      <c r="I53" s="70">
        <v>2.92</v>
      </c>
      <c r="J53" s="71">
        <v>0</v>
      </c>
      <c r="K53" s="72">
        <v>0</v>
      </c>
      <c r="L53" s="72">
        <v>0</v>
      </c>
      <c r="M53" s="72">
        <v>0</v>
      </c>
    </row>
    <row r="54" spans="1:13" ht="14" x14ac:dyDescent="0.15">
      <c r="A54" s="108">
        <v>825</v>
      </c>
      <c r="B54" s="216">
        <v>2000027323866</v>
      </c>
      <c r="C54" s="108"/>
      <c r="D54" s="216"/>
      <c r="E54" s="217" t="s">
        <v>790</v>
      </c>
      <c r="F54" s="69">
        <v>0</v>
      </c>
      <c r="G54" s="70">
        <v>16332.73</v>
      </c>
      <c r="H54" s="70">
        <v>3.06</v>
      </c>
      <c r="I54" s="70">
        <v>3.06</v>
      </c>
      <c r="J54" s="71">
        <v>0</v>
      </c>
      <c r="K54" s="72">
        <v>0</v>
      </c>
      <c r="L54" s="72">
        <v>0</v>
      </c>
      <c r="M54" s="72">
        <v>0</v>
      </c>
    </row>
    <row r="55" spans="1:13" ht="14" x14ac:dyDescent="0.15">
      <c r="A55" s="108">
        <v>826</v>
      </c>
      <c r="B55" s="216">
        <v>2000027318634</v>
      </c>
      <c r="C55" s="108"/>
      <c r="D55" s="216"/>
      <c r="E55" s="217" t="s">
        <v>791</v>
      </c>
      <c r="F55" s="69">
        <v>0</v>
      </c>
      <c r="G55" s="70">
        <v>5860.11</v>
      </c>
      <c r="H55" s="70">
        <v>2.14</v>
      </c>
      <c r="I55" s="70">
        <v>2.14</v>
      </c>
      <c r="J55" s="71">
        <v>0</v>
      </c>
      <c r="K55" s="72">
        <v>0</v>
      </c>
      <c r="L55" s="72">
        <v>0</v>
      </c>
      <c r="M55" s="72">
        <v>0</v>
      </c>
    </row>
    <row r="56" spans="1:13" ht="14" x14ac:dyDescent="0.15">
      <c r="A56" s="108">
        <v>827</v>
      </c>
      <c r="B56" s="216">
        <v>2000052503805</v>
      </c>
      <c r="C56" s="108"/>
      <c r="D56" s="216"/>
      <c r="E56" s="217" t="s">
        <v>792</v>
      </c>
      <c r="F56" s="69">
        <v>0.75600000000000001</v>
      </c>
      <c r="G56" s="70">
        <v>697.42</v>
      </c>
      <c r="H56" s="70">
        <v>2.58</v>
      </c>
      <c r="I56" s="70">
        <v>2.58</v>
      </c>
      <c r="J56" s="71">
        <v>0</v>
      </c>
      <c r="K56" s="72">
        <v>0</v>
      </c>
      <c r="L56" s="72">
        <v>0</v>
      </c>
      <c r="M56" s="72">
        <v>0</v>
      </c>
    </row>
    <row r="57" spans="1:13" ht="14" x14ac:dyDescent="0.15">
      <c r="A57" s="108">
        <v>897</v>
      </c>
      <c r="B57" s="216">
        <v>2000027877385</v>
      </c>
      <c r="C57" s="108"/>
      <c r="D57" s="216"/>
      <c r="E57" s="217" t="s">
        <v>793</v>
      </c>
      <c r="F57" s="69">
        <v>1.7849999999999999</v>
      </c>
      <c r="G57" s="70">
        <v>5369.75</v>
      </c>
      <c r="H57" s="70">
        <v>2.75</v>
      </c>
      <c r="I57" s="70">
        <v>2.75</v>
      </c>
      <c r="J57" s="71">
        <v>0</v>
      </c>
      <c r="K57" s="72">
        <v>0</v>
      </c>
      <c r="L57" s="72">
        <v>0</v>
      </c>
      <c r="M57" s="72">
        <v>0</v>
      </c>
    </row>
    <row r="58" spans="1:13" ht="14" x14ac:dyDescent="0.15">
      <c r="A58" s="108">
        <v>829</v>
      </c>
      <c r="B58" s="216">
        <v>2000050275552</v>
      </c>
      <c r="C58" s="108"/>
      <c r="D58" s="216"/>
      <c r="E58" s="217" t="s">
        <v>794</v>
      </c>
      <c r="F58" s="69">
        <v>0</v>
      </c>
      <c r="G58" s="70">
        <v>4007.74</v>
      </c>
      <c r="H58" s="70">
        <v>1.54</v>
      </c>
      <c r="I58" s="70">
        <v>1.54</v>
      </c>
      <c r="J58" s="71">
        <v>0</v>
      </c>
      <c r="K58" s="72">
        <v>0</v>
      </c>
      <c r="L58" s="72">
        <v>0</v>
      </c>
      <c r="M58" s="72">
        <v>0</v>
      </c>
    </row>
    <row r="59" spans="1:13" ht="14" x14ac:dyDescent="0.15">
      <c r="A59" s="108">
        <v>820</v>
      </c>
      <c r="B59" s="216">
        <v>2000052993042</v>
      </c>
      <c r="C59" s="108"/>
      <c r="D59" s="216"/>
      <c r="E59" s="217" t="s">
        <v>795</v>
      </c>
      <c r="F59" s="69">
        <v>1.048</v>
      </c>
      <c r="G59" s="70">
        <v>196.35</v>
      </c>
      <c r="H59" s="70">
        <v>0.92</v>
      </c>
      <c r="I59" s="70">
        <v>0.92</v>
      </c>
      <c r="J59" s="71">
        <v>0</v>
      </c>
      <c r="K59" s="72">
        <v>0</v>
      </c>
      <c r="L59" s="72">
        <v>0</v>
      </c>
      <c r="M59" s="72">
        <v>0</v>
      </c>
    </row>
    <row r="60" spans="1:13" ht="14" x14ac:dyDescent="0.15">
      <c r="A60" s="108">
        <v>830</v>
      </c>
      <c r="B60" s="216">
        <v>2000050277986</v>
      </c>
      <c r="C60" s="108"/>
      <c r="D60" s="216"/>
      <c r="E60" s="217" t="s">
        <v>796</v>
      </c>
      <c r="F60" s="69">
        <v>0</v>
      </c>
      <c r="G60" s="70">
        <v>21776.639999999999</v>
      </c>
      <c r="H60" s="70">
        <v>0.73</v>
      </c>
      <c r="I60" s="70">
        <v>0.73</v>
      </c>
      <c r="J60" s="71">
        <v>0</v>
      </c>
      <c r="K60" s="72">
        <v>0</v>
      </c>
      <c r="L60" s="72">
        <v>0</v>
      </c>
      <c r="M60" s="72">
        <v>0</v>
      </c>
    </row>
    <row r="61" spans="1:13" ht="14" x14ac:dyDescent="0.15">
      <c r="A61" s="108">
        <v>854</v>
      </c>
      <c r="B61" s="216">
        <v>2000052369584</v>
      </c>
      <c r="C61" s="108"/>
      <c r="D61" s="216"/>
      <c r="E61" s="217" t="s">
        <v>797</v>
      </c>
      <c r="F61" s="69">
        <v>0</v>
      </c>
      <c r="G61" s="70">
        <v>21341.5</v>
      </c>
      <c r="H61" s="70">
        <v>1.7</v>
      </c>
      <c r="I61" s="70">
        <v>1.7</v>
      </c>
      <c r="J61" s="71">
        <v>0</v>
      </c>
      <c r="K61" s="72">
        <v>0</v>
      </c>
      <c r="L61" s="72">
        <v>0</v>
      </c>
      <c r="M61" s="72">
        <v>0</v>
      </c>
    </row>
    <row r="62" spans="1:13" ht="14" x14ac:dyDescent="0.15">
      <c r="A62" s="108">
        <v>835</v>
      </c>
      <c r="B62" s="216">
        <v>2000050275543</v>
      </c>
      <c r="C62" s="108"/>
      <c r="D62" s="216"/>
      <c r="E62" s="217" t="s">
        <v>798</v>
      </c>
      <c r="F62" s="69">
        <v>0</v>
      </c>
      <c r="G62" s="70">
        <v>2347.9</v>
      </c>
      <c r="H62" s="70">
        <v>1.25</v>
      </c>
      <c r="I62" s="70">
        <v>1.25</v>
      </c>
      <c r="J62" s="71">
        <v>0</v>
      </c>
      <c r="K62" s="72">
        <v>0</v>
      </c>
      <c r="L62" s="72">
        <v>0</v>
      </c>
      <c r="M62" s="72">
        <v>0</v>
      </c>
    </row>
    <row r="63" spans="1:13" ht="14" x14ac:dyDescent="0.15">
      <c r="A63" s="108">
        <v>836</v>
      </c>
      <c r="B63" s="216">
        <v>2000051425787</v>
      </c>
      <c r="C63" s="108"/>
      <c r="D63" s="216"/>
      <c r="E63" s="217" t="s">
        <v>799</v>
      </c>
      <c r="F63" s="69">
        <v>0</v>
      </c>
      <c r="G63" s="70">
        <v>684.68</v>
      </c>
      <c r="H63" s="70">
        <v>4.05</v>
      </c>
      <c r="I63" s="70">
        <v>4.05</v>
      </c>
      <c r="J63" s="71">
        <v>0</v>
      </c>
      <c r="K63" s="72">
        <v>0</v>
      </c>
      <c r="L63" s="72">
        <v>0</v>
      </c>
      <c r="M63" s="72">
        <v>0</v>
      </c>
    </row>
    <row r="64" spans="1:13" ht="14" x14ac:dyDescent="0.15">
      <c r="A64" s="108">
        <v>4033</v>
      </c>
      <c r="B64" s="216">
        <v>4033</v>
      </c>
      <c r="C64" s="108">
        <v>4032</v>
      </c>
      <c r="D64" s="216">
        <v>4032</v>
      </c>
      <c r="E64" s="217" t="s">
        <v>800</v>
      </c>
      <c r="F64" s="69">
        <v>0</v>
      </c>
      <c r="G64" s="70">
        <v>0.14000000000000001</v>
      </c>
      <c r="H64" s="70">
        <v>1.69</v>
      </c>
      <c r="I64" s="70">
        <v>1.69</v>
      </c>
      <c r="J64" s="71">
        <v>0</v>
      </c>
      <c r="K64" s="72">
        <v>7.16</v>
      </c>
      <c r="L64" s="72">
        <v>0.05</v>
      </c>
      <c r="M64" s="72">
        <v>0.05</v>
      </c>
    </row>
    <row r="65" spans="1:13" ht="14" x14ac:dyDescent="0.15">
      <c r="A65" s="108">
        <v>4548</v>
      </c>
      <c r="B65" s="216">
        <v>4548</v>
      </c>
      <c r="C65" s="108">
        <v>4548</v>
      </c>
      <c r="D65" s="216">
        <v>4548</v>
      </c>
      <c r="E65" s="217" t="s">
        <v>801</v>
      </c>
      <c r="F65" s="69">
        <v>0</v>
      </c>
      <c r="G65" s="70">
        <v>0.03</v>
      </c>
      <c r="H65" s="70">
        <v>1.0900000000000001</v>
      </c>
      <c r="I65" s="70">
        <v>1.0900000000000001</v>
      </c>
      <c r="J65" s="71">
        <v>0</v>
      </c>
      <c r="K65" s="72">
        <v>7.27</v>
      </c>
      <c r="L65" s="72">
        <v>0.05</v>
      </c>
      <c r="M65" s="72">
        <v>0.05</v>
      </c>
    </row>
    <row r="66" spans="1:13" ht="14" x14ac:dyDescent="0.15">
      <c r="A66" s="108">
        <v>839</v>
      </c>
      <c r="B66" s="216">
        <v>2000053874062</v>
      </c>
      <c r="C66" s="108">
        <v>925</v>
      </c>
      <c r="D66" s="216">
        <v>2000053874080</v>
      </c>
      <c r="E66" s="217" t="s">
        <v>802</v>
      </c>
      <c r="F66" s="69">
        <v>0</v>
      </c>
      <c r="G66" s="70">
        <v>1.87</v>
      </c>
      <c r="H66" s="70">
        <v>2.5299999999999998</v>
      </c>
      <c r="I66" s="70">
        <v>2.5299999999999998</v>
      </c>
      <c r="J66" s="71">
        <v>0</v>
      </c>
      <c r="K66" s="72">
        <v>262.12</v>
      </c>
      <c r="L66" s="72">
        <v>0.05</v>
      </c>
      <c r="M66" s="72">
        <v>0.05</v>
      </c>
    </row>
    <row r="67" spans="1:13" ht="14" x14ac:dyDescent="0.15">
      <c r="A67" s="108">
        <v>505</v>
      </c>
      <c r="B67" s="216">
        <v>2000053874105</v>
      </c>
      <c r="C67" s="108">
        <v>521</v>
      </c>
      <c r="D67" s="216">
        <v>2000053874123</v>
      </c>
      <c r="E67" s="217" t="s">
        <v>803</v>
      </c>
      <c r="F67" s="69">
        <v>0</v>
      </c>
      <c r="G67" s="70">
        <v>2.81</v>
      </c>
      <c r="H67" s="70">
        <v>2.35</v>
      </c>
      <c r="I67" s="70">
        <v>2.35</v>
      </c>
      <c r="J67" s="71">
        <v>0</v>
      </c>
      <c r="K67" s="72">
        <v>383.75</v>
      </c>
      <c r="L67" s="72">
        <v>0.05</v>
      </c>
      <c r="M67" s="72">
        <v>0.05</v>
      </c>
    </row>
    <row r="68" spans="1:13" ht="14" x14ac:dyDescent="0.15">
      <c r="A68" s="108">
        <v>840</v>
      </c>
      <c r="B68" s="216">
        <v>2000051011929</v>
      </c>
      <c r="C68" s="108">
        <v>930</v>
      </c>
      <c r="D68" s="216">
        <v>2000051034322</v>
      </c>
      <c r="E68" s="217" t="s">
        <v>804</v>
      </c>
      <c r="F68" s="69">
        <v>0</v>
      </c>
      <c r="G68" s="70">
        <v>22.03</v>
      </c>
      <c r="H68" s="70">
        <v>0.69</v>
      </c>
      <c r="I68" s="70">
        <v>0.69</v>
      </c>
      <c r="J68" s="71">
        <v>0</v>
      </c>
      <c r="K68" s="72">
        <v>0</v>
      </c>
      <c r="L68" s="72">
        <v>0</v>
      </c>
      <c r="M68" s="72">
        <v>0</v>
      </c>
    </row>
    <row r="69" spans="1:13" ht="14" x14ac:dyDescent="0.15">
      <c r="A69" s="108">
        <v>7393</v>
      </c>
      <c r="B69" s="216">
        <v>7393</v>
      </c>
      <c r="C69" s="108">
        <v>7390</v>
      </c>
      <c r="D69" s="216">
        <v>7390</v>
      </c>
      <c r="E69" s="217" t="s">
        <v>805</v>
      </c>
      <c r="F69" s="69">
        <v>1.1160000000000001</v>
      </c>
      <c r="G69" s="70">
        <v>2.6</v>
      </c>
      <c r="H69" s="70">
        <v>1.25</v>
      </c>
      <c r="I69" s="70">
        <v>1.25</v>
      </c>
      <c r="J69" s="71">
        <v>0</v>
      </c>
      <c r="K69" s="72">
        <v>337.66</v>
      </c>
      <c r="L69" s="72">
        <v>0.05</v>
      </c>
      <c r="M69" s="72">
        <v>0.05</v>
      </c>
    </row>
    <row r="70" spans="1:13" ht="14" x14ac:dyDescent="0.15">
      <c r="A70" s="108">
        <v>7394</v>
      </c>
      <c r="B70" s="216">
        <v>7394</v>
      </c>
      <c r="C70" s="108">
        <v>7391</v>
      </c>
      <c r="D70" s="216">
        <v>7391</v>
      </c>
      <c r="E70" s="217" t="s">
        <v>806</v>
      </c>
      <c r="F70" s="69">
        <v>0</v>
      </c>
      <c r="G70" s="70">
        <v>1.96</v>
      </c>
      <c r="H70" s="70">
        <v>1.35</v>
      </c>
      <c r="I70" s="70">
        <v>1.35</v>
      </c>
      <c r="J70" s="71">
        <v>0</v>
      </c>
      <c r="K70" s="72">
        <v>0</v>
      </c>
      <c r="L70" s="72">
        <v>0</v>
      </c>
      <c r="M70" s="72">
        <v>0</v>
      </c>
    </row>
    <row r="71" spans="1:13" ht="14" x14ac:dyDescent="0.15">
      <c r="A71" s="108">
        <v>844</v>
      </c>
      <c r="B71" s="216">
        <v>2000027491213</v>
      </c>
      <c r="C71" s="108">
        <v>917</v>
      </c>
      <c r="D71" s="216">
        <v>2000050932697</v>
      </c>
      <c r="E71" s="217" t="s">
        <v>807</v>
      </c>
      <c r="F71" s="69">
        <v>0</v>
      </c>
      <c r="G71" s="70">
        <v>15.89</v>
      </c>
      <c r="H71" s="70">
        <v>0.68</v>
      </c>
      <c r="I71" s="70">
        <v>0.68</v>
      </c>
      <c r="J71" s="71">
        <v>0</v>
      </c>
      <c r="K71" s="72">
        <v>1112.08</v>
      </c>
      <c r="L71" s="72">
        <v>0.05</v>
      </c>
      <c r="M71" s="72">
        <v>0.05</v>
      </c>
    </row>
    <row r="72" spans="1:13" ht="14" x14ac:dyDescent="0.15">
      <c r="A72" s="108">
        <v>844</v>
      </c>
      <c r="B72" s="216">
        <v>2000050044320</v>
      </c>
      <c r="C72" s="108">
        <v>917</v>
      </c>
      <c r="D72" s="216">
        <v>2000051079954</v>
      </c>
      <c r="E72" s="217" t="s">
        <v>808</v>
      </c>
      <c r="F72" s="69">
        <v>0</v>
      </c>
      <c r="G72" s="70">
        <v>7.39</v>
      </c>
      <c r="H72" s="70">
        <v>0.68</v>
      </c>
      <c r="I72" s="70">
        <v>0.68</v>
      </c>
      <c r="J72" s="71">
        <v>0</v>
      </c>
      <c r="K72" s="72">
        <v>0</v>
      </c>
      <c r="L72" s="72">
        <v>0</v>
      </c>
      <c r="M72" s="72">
        <v>0</v>
      </c>
    </row>
    <row r="73" spans="1:13" ht="14" x14ac:dyDescent="0.15">
      <c r="A73" s="108">
        <v>844</v>
      </c>
      <c r="B73" s="216">
        <v>2000052468930</v>
      </c>
      <c r="C73" s="108">
        <v>917</v>
      </c>
      <c r="D73" s="216">
        <v>2000052231228</v>
      </c>
      <c r="E73" s="217" t="s">
        <v>809</v>
      </c>
      <c r="F73" s="69">
        <v>0</v>
      </c>
      <c r="G73" s="70">
        <v>1.91</v>
      </c>
      <c r="H73" s="70">
        <v>0.68</v>
      </c>
      <c r="I73" s="70">
        <v>0.68</v>
      </c>
      <c r="J73" s="71">
        <v>0</v>
      </c>
      <c r="K73" s="72">
        <v>0</v>
      </c>
      <c r="L73" s="72">
        <v>0</v>
      </c>
      <c r="M73" s="72">
        <v>0</v>
      </c>
    </row>
    <row r="74" spans="1:13" ht="14" x14ac:dyDescent="0.15">
      <c r="A74" s="108">
        <v>845</v>
      </c>
      <c r="B74" s="216">
        <v>2000050437959</v>
      </c>
      <c r="C74" s="108"/>
      <c r="D74" s="216"/>
      <c r="E74" s="217" t="s">
        <v>810</v>
      </c>
      <c r="F74" s="69">
        <v>0</v>
      </c>
      <c r="G74" s="70">
        <v>3465.76</v>
      </c>
      <c r="H74" s="70">
        <v>4.79</v>
      </c>
      <c r="I74" s="70">
        <v>4.79</v>
      </c>
      <c r="J74" s="71">
        <v>0</v>
      </c>
      <c r="K74" s="72">
        <v>0</v>
      </c>
      <c r="L74" s="72">
        <v>0</v>
      </c>
      <c r="M74" s="72">
        <v>0</v>
      </c>
    </row>
    <row r="75" spans="1:13" ht="14" x14ac:dyDescent="0.15">
      <c r="A75" s="108">
        <v>846</v>
      </c>
      <c r="B75" s="216">
        <v>2000050552457</v>
      </c>
      <c r="C75" s="108">
        <v>927</v>
      </c>
      <c r="D75" s="216">
        <v>2000050570312</v>
      </c>
      <c r="E75" s="217" t="s">
        <v>811</v>
      </c>
      <c r="F75" s="69">
        <v>1.4279999999999999</v>
      </c>
      <c r="G75" s="70">
        <v>9.6</v>
      </c>
      <c r="H75" s="70">
        <v>0.69</v>
      </c>
      <c r="I75" s="70">
        <v>0.69</v>
      </c>
      <c r="J75" s="71">
        <v>0</v>
      </c>
      <c r="K75" s="72">
        <v>0</v>
      </c>
      <c r="L75" s="72">
        <v>0</v>
      </c>
      <c r="M75" s="72">
        <v>0</v>
      </c>
    </row>
    <row r="76" spans="1:13" ht="14" x14ac:dyDescent="0.15">
      <c r="A76" s="108">
        <v>847</v>
      </c>
      <c r="B76" s="216">
        <v>2000050662007</v>
      </c>
      <c r="C76" s="108">
        <v>928</v>
      </c>
      <c r="D76" s="216">
        <v>2000050662016</v>
      </c>
      <c r="E76" s="217" t="s">
        <v>812</v>
      </c>
      <c r="F76" s="69">
        <v>0</v>
      </c>
      <c r="G76" s="70">
        <v>21</v>
      </c>
      <c r="H76" s="70">
        <v>0.78</v>
      </c>
      <c r="I76" s="70">
        <v>0.78</v>
      </c>
      <c r="J76" s="71">
        <v>0</v>
      </c>
      <c r="K76" s="72">
        <v>0</v>
      </c>
      <c r="L76" s="72">
        <v>0</v>
      </c>
      <c r="M76" s="72">
        <v>0</v>
      </c>
    </row>
    <row r="77" spans="1:13" ht="14" x14ac:dyDescent="0.15">
      <c r="A77" s="108">
        <v>849</v>
      </c>
      <c r="B77" s="216">
        <v>2000052866920</v>
      </c>
      <c r="C77" s="108"/>
      <c r="D77" s="216"/>
      <c r="E77" s="217" t="s">
        <v>813</v>
      </c>
      <c r="F77" s="69">
        <v>0</v>
      </c>
      <c r="G77" s="70">
        <v>3957.04</v>
      </c>
      <c r="H77" s="70">
        <v>3.58</v>
      </c>
      <c r="I77" s="70">
        <v>3.58</v>
      </c>
      <c r="J77" s="71">
        <v>0</v>
      </c>
      <c r="K77" s="72">
        <v>0</v>
      </c>
      <c r="L77" s="72">
        <v>0</v>
      </c>
      <c r="M77" s="72">
        <v>0</v>
      </c>
    </row>
    <row r="78" spans="1:13" ht="14" x14ac:dyDescent="0.15">
      <c r="A78" s="108">
        <v>851</v>
      </c>
      <c r="B78" s="216">
        <v>2000051336018</v>
      </c>
      <c r="C78" s="108"/>
      <c r="D78" s="216"/>
      <c r="E78" s="217" t="s">
        <v>814</v>
      </c>
      <c r="F78" s="69">
        <v>0</v>
      </c>
      <c r="G78" s="70">
        <v>843.25</v>
      </c>
      <c r="H78" s="70">
        <v>1.51</v>
      </c>
      <c r="I78" s="70">
        <v>1.51</v>
      </c>
      <c r="J78" s="71">
        <v>0</v>
      </c>
      <c r="K78" s="72">
        <v>0</v>
      </c>
      <c r="L78" s="72">
        <v>0</v>
      </c>
      <c r="M78" s="72">
        <v>0</v>
      </c>
    </row>
    <row r="79" spans="1:13" ht="14" x14ac:dyDescent="0.15">
      <c r="A79" s="108">
        <v>853</v>
      </c>
      <c r="B79" s="216">
        <v>2000052659600</v>
      </c>
      <c r="C79" s="108">
        <v>938</v>
      </c>
      <c r="D79" s="216">
        <v>2000052659585</v>
      </c>
      <c r="E79" s="217" t="s">
        <v>815</v>
      </c>
      <c r="F79" s="69">
        <v>1.875</v>
      </c>
      <c r="G79" s="70">
        <v>246.92</v>
      </c>
      <c r="H79" s="70">
        <v>1.21</v>
      </c>
      <c r="I79" s="70">
        <v>1.21</v>
      </c>
      <c r="J79" s="71">
        <v>0</v>
      </c>
      <c r="K79" s="72">
        <v>0</v>
      </c>
      <c r="L79" s="72">
        <v>0</v>
      </c>
      <c r="M79" s="72">
        <v>0</v>
      </c>
    </row>
    <row r="80" spans="1:13" ht="14" x14ac:dyDescent="0.15">
      <c r="A80" s="108">
        <v>855</v>
      </c>
      <c r="B80" s="216">
        <v>2000050276556</v>
      </c>
      <c r="C80" s="108"/>
      <c r="D80" s="216"/>
      <c r="E80" s="217" t="s">
        <v>816</v>
      </c>
      <c r="F80" s="69">
        <v>0.72699999999999998</v>
      </c>
      <c r="G80" s="70">
        <v>348.71</v>
      </c>
      <c r="H80" s="70">
        <v>1.68</v>
      </c>
      <c r="I80" s="70">
        <v>1.68</v>
      </c>
      <c r="J80" s="71">
        <v>0</v>
      </c>
      <c r="K80" s="72">
        <v>0</v>
      </c>
      <c r="L80" s="72">
        <v>0</v>
      </c>
      <c r="M80" s="72">
        <v>0</v>
      </c>
    </row>
    <row r="81" spans="1:13" ht="14" x14ac:dyDescent="0.15">
      <c r="A81" s="108">
        <v>856</v>
      </c>
      <c r="B81" s="216">
        <v>2000054315483</v>
      </c>
      <c r="C81" s="108"/>
      <c r="D81" s="216"/>
      <c r="E81" s="217" t="s">
        <v>817</v>
      </c>
      <c r="F81" s="69">
        <v>0</v>
      </c>
      <c r="G81" s="70">
        <v>348.71</v>
      </c>
      <c r="H81" s="70">
        <v>2.12</v>
      </c>
      <c r="I81" s="70">
        <v>2.12</v>
      </c>
      <c r="J81" s="71">
        <v>0</v>
      </c>
      <c r="K81" s="72">
        <v>0</v>
      </c>
      <c r="L81" s="72">
        <v>0</v>
      </c>
      <c r="M81" s="72">
        <v>0</v>
      </c>
    </row>
    <row r="82" spans="1:13" ht="14" x14ac:dyDescent="0.15">
      <c r="A82" s="108">
        <v>857</v>
      </c>
      <c r="B82" s="216">
        <v>2000054359392</v>
      </c>
      <c r="C82" s="108"/>
      <c r="D82" s="216"/>
      <c r="E82" s="217" t="s">
        <v>818</v>
      </c>
      <c r="F82" s="69">
        <v>0</v>
      </c>
      <c r="G82" s="70">
        <v>201.99</v>
      </c>
      <c r="H82" s="70">
        <v>1.88</v>
      </c>
      <c r="I82" s="70">
        <v>1.88</v>
      </c>
      <c r="J82" s="71">
        <v>0</v>
      </c>
      <c r="K82" s="72">
        <v>0</v>
      </c>
      <c r="L82" s="72">
        <v>0</v>
      </c>
      <c r="M82" s="72">
        <v>0</v>
      </c>
    </row>
    <row r="83" spans="1:13" ht="14" x14ac:dyDescent="0.15">
      <c r="A83" s="108">
        <v>858</v>
      </c>
      <c r="B83" s="216">
        <v>2000051445019</v>
      </c>
      <c r="C83" s="108">
        <v>921</v>
      </c>
      <c r="D83" s="216">
        <v>2000051445143</v>
      </c>
      <c r="E83" s="217" t="s">
        <v>819</v>
      </c>
      <c r="F83" s="69">
        <v>0.432</v>
      </c>
      <c r="G83" s="70">
        <v>4.0199999999999996</v>
      </c>
      <c r="H83" s="70">
        <v>0.81</v>
      </c>
      <c r="I83" s="70">
        <v>0.81</v>
      </c>
      <c r="J83" s="71">
        <v>0</v>
      </c>
      <c r="K83" s="72">
        <v>334.7</v>
      </c>
      <c r="L83" s="72">
        <v>0.05</v>
      </c>
      <c r="M83" s="72">
        <v>0.05</v>
      </c>
    </row>
    <row r="84" spans="1:13" ht="14" x14ac:dyDescent="0.15">
      <c r="A84" s="108">
        <v>859</v>
      </c>
      <c r="B84" s="216">
        <v>2000054431783</v>
      </c>
      <c r="C84" s="108">
        <v>922</v>
      </c>
      <c r="D84" s="216">
        <v>2000054431792</v>
      </c>
      <c r="E84" s="217" t="s">
        <v>820</v>
      </c>
      <c r="F84" s="69">
        <v>6.2779999999999996</v>
      </c>
      <c r="G84" s="70">
        <v>9.89</v>
      </c>
      <c r="H84" s="70">
        <v>0.68</v>
      </c>
      <c r="I84" s="70">
        <v>0.68</v>
      </c>
      <c r="J84" s="71">
        <v>0</v>
      </c>
      <c r="K84" s="72">
        <v>197.74</v>
      </c>
      <c r="L84" s="72">
        <v>0.05</v>
      </c>
      <c r="M84" s="72">
        <v>0.05</v>
      </c>
    </row>
    <row r="85" spans="1:13" ht="14" x14ac:dyDescent="0.15">
      <c r="A85" s="108">
        <v>860</v>
      </c>
      <c r="B85" s="216">
        <v>2000054674344</v>
      </c>
      <c r="C85" s="108">
        <v>939</v>
      </c>
      <c r="D85" s="216">
        <v>2000054674353</v>
      </c>
      <c r="E85" s="217" t="s">
        <v>821</v>
      </c>
      <c r="F85" s="69">
        <v>6.5250000000000004</v>
      </c>
      <c r="G85" s="70">
        <v>183.47</v>
      </c>
      <c r="H85" s="70">
        <v>1.0900000000000001</v>
      </c>
      <c r="I85" s="70">
        <v>1.0900000000000001</v>
      </c>
      <c r="J85" s="71">
        <v>0</v>
      </c>
      <c r="K85" s="72">
        <v>2038.61</v>
      </c>
      <c r="L85" s="72">
        <v>0.05</v>
      </c>
      <c r="M85" s="72">
        <v>0.05</v>
      </c>
    </row>
    <row r="86" spans="1:13" ht="14" x14ac:dyDescent="0.15">
      <c r="A86" s="108">
        <v>7303</v>
      </c>
      <c r="B86" s="216">
        <v>7303</v>
      </c>
      <c r="C86" s="108"/>
      <c r="D86" s="216"/>
      <c r="E86" s="217" t="s">
        <v>822</v>
      </c>
      <c r="F86" s="69">
        <v>0.621</v>
      </c>
      <c r="G86" s="70">
        <v>0</v>
      </c>
      <c r="H86" s="70">
        <v>6.04</v>
      </c>
      <c r="I86" s="70">
        <v>6.04</v>
      </c>
      <c r="J86" s="71">
        <v>0</v>
      </c>
      <c r="K86" s="72">
        <v>0</v>
      </c>
      <c r="L86" s="72">
        <v>0</v>
      </c>
      <c r="M86" s="72">
        <v>0</v>
      </c>
    </row>
    <row r="87" spans="1:13" ht="14" x14ac:dyDescent="0.15">
      <c r="A87" s="108">
        <v>863</v>
      </c>
      <c r="B87" s="216">
        <v>2000055109274</v>
      </c>
      <c r="C87" s="108">
        <v>941</v>
      </c>
      <c r="D87" s="216">
        <v>2000055109283</v>
      </c>
      <c r="E87" s="217" t="s">
        <v>823</v>
      </c>
      <c r="F87" s="69">
        <v>0</v>
      </c>
      <c r="G87" s="70">
        <v>0.5</v>
      </c>
      <c r="H87" s="70">
        <v>4.4400000000000004</v>
      </c>
      <c r="I87" s="70">
        <v>4.4400000000000004</v>
      </c>
      <c r="J87" s="71">
        <v>0</v>
      </c>
      <c r="K87" s="72">
        <v>250.6</v>
      </c>
      <c r="L87" s="72">
        <v>0.05</v>
      </c>
      <c r="M87" s="72">
        <v>0.05</v>
      </c>
    </row>
    <row r="88" spans="1:13" ht="14" x14ac:dyDescent="0.15">
      <c r="A88" s="108">
        <v>852</v>
      </c>
      <c r="B88" s="216">
        <v>2000055132440</v>
      </c>
      <c r="C88" s="108">
        <v>926</v>
      </c>
      <c r="D88" s="216">
        <v>2000055132450</v>
      </c>
      <c r="E88" s="217" t="s">
        <v>824</v>
      </c>
      <c r="F88" s="69">
        <v>0</v>
      </c>
      <c r="G88" s="70">
        <v>2.4900000000000002</v>
      </c>
      <c r="H88" s="70">
        <v>1.1200000000000001</v>
      </c>
      <c r="I88" s="70">
        <v>1.1200000000000001</v>
      </c>
      <c r="J88" s="71">
        <v>0</v>
      </c>
      <c r="K88" s="72">
        <v>248.61</v>
      </c>
      <c r="L88" s="72">
        <v>0.05</v>
      </c>
      <c r="M88" s="72">
        <v>0.05</v>
      </c>
    </row>
    <row r="89" spans="1:13" ht="14" x14ac:dyDescent="0.15">
      <c r="A89" s="108">
        <v>862</v>
      </c>
      <c r="B89" s="216">
        <v>2000055138985</v>
      </c>
      <c r="C89" s="108">
        <v>940</v>
      </c>
      <c r="D89" s="216">
        <v>2000055138762</v>
      </c>
      <c r="E89" s="217" t="s">
        <v>825</v>
      </c>
      <c r="F89" s="69">
        <v>0</v>
      </c>
      <c r="G89" s="70">
        <v>1</v>
      </c>
      <c r="H89" s="70">
        <v>1.46</v>
      </c>
      <c r="I89" s="70">
        <v>1.46</v>
      </c>
      <c r="J89" s="71">
        <v>0</v>
      </c>
      <c r="K89" s="72">
        <v>250.1</v>
      </c>
      <c r="L89" s="72">
        <v>0.05</v>
      </c>
      <c r="M89" s="72">
        <v>0.05</v>
      </c>
    </row>
    <row r="90" spans="1:13" ht="14" x14ac:dyDescent="0.15">
      <c r="A90" s="108">
        <v>864</v>
      </c>
      <c r="B90" s="216">
        <v>2000055125815</v>
      </c>
      <c r="C90" s="108">
        <v>942</v>
      </c>
      <c r="D90" s="216">
        <v>2000055125824</v>
      </c>
      <c r="E90" s="217" t="s">
        <v>826</v>
      </c>
      <c r="F90" s="69">
        <v>0.40200000000000002</v>
      </c>
      <c r="G90" s="70">
        <v>5.52</v>
      </c>
      <c r="H90" s="70">
        <v>1.22</v>
      </c>
      <c r="I90" s="70">
        <v>1.22</v>
      </c>
      <c r="J90" s="71">
        <v>0</v>
      </c>
      <c r="K90" s="72">
        <v>497.22</v>
      </c>
      <c r="L90" s="72">
        <v>0.05</v>
      </c>
      <c r="M90" s="72">
        <v>0.05</v>
      </c>
    </row>
    <row r="91" spans="1:13" ht="14" x14ac:dyDescent="0.15">
      <c r="A91" s="108">
        <v>865</v>
      </c>
      <c r="B91" s="216">
        <v>2000055125842</v>
      </c>
      <c r="C91" s="108">
        <v>943</v>
      </c>
      <c r="D91" s="216">
        <v>2000055125833</v>
      </c>
      <c r="E91" s="217" t="s">
        <v>827</v>
      </c>
      <c r="F91" s="69">
        <v>0.40600000000000003</v>
      </c>
      <c r="G91" s="70">
        <v>2.41</v>
      </c>
      <c r="H91" s="70">
        <v>3.27</v>
      </c>
      <c r="I91" s="70">
        <v>3.27</v>
      </c>
      <c r="J91" s="71">
        <v>0</v>
      </c>
      <c r="K91" s="72">
        <v>723.11</v>
      </c>
      <c r="L91" s="72">
        <v>0.05</v>
      </c>
      <c r="M91" s="72">
        <v>0.05</v>
      </c>
    </row>
    <row r="92" spans="1:13" ht="14" x14ac:dyDescent="0.15">
      <c r="A92" s="108">
        <v>866</v>
      </c>
      <c r="B92" s="216">
        <v>2000055213940</v>
      </c>
      <c r="C92" s="108">
        <v>944</v>
      </c>
      <c r="D92" s="216">
        <v>2000055213969</v>
      </c>
      <c r="E92" s="217" t="s">
        <v>828</v>
      </c>
      <c r="F92" s="69">
        <v>0.40600000000000003</v>
      </c>
      <c r="G92" s="70">
        <v>1.1499999999999999</v>
      </c>
      <c r="H92" s="70">
        <v>3.55</v>
      </c>
      <c r="I92" s="70">
        <v>3.55</v>
      </c>
      <c r="J92" s="71">
        <v>0</v>
      </c>
      <c r="K92" s="72">
        <v>344.44</v>
      </c>
      <c r="L92" s="72">
        <v>0.05</v>
      </c>
      <c r="M92" s="72">
        <v>0.05</v>
      </c>
    </row>
    <row r="93" spans="1:13" ht="14" x14ac:dyDescent="0.15">
      <c r="A93" s="108">
        <v>861</v>
      </c>
      <c r="B93" s="216">
        <v>2000055029502</v>
      </c>
      <c r="C93" s="108"/>
      <c r="D93" s="216"/>
      <c r="E93" s="217" t="s">
        <v>829</v>
      </c>
      <c r="F93" s="69">
        <v>0</v>
      </c>
      <c r="G93" s="70">
        <v>81.819999999999993</v>
      </c>
      <c r="H93" s="70">
        <v>1.37</v>
      </c>
      <c r="I93" s="70">
        <v>1.37</v>
      </c>
      <c r="J93" s="71">
        <v>0</v>
      </c>
      <c r="K93" s="72">
        <v>0</v>
      </c>
      <c r="L93" s="72">
        <v>0</v>
      </c>
      <c r="M93" s="72">
        <v>0</v>
      </c>
    </row>
    <row r="94" spans="1:13" ht="14" x14ac:dyDescent="0.15">
      <c r="A94" s="108">
        <v>861</v>
      </c>
      <c r="B94" s="216">
        <v>2000055029511</v>
      </c>
      <c r="C94" s="108"/>
      <c r="D94" s="216"/>
      <c r="E94" s="217" t="s">
        <v>830</v>
      </c>
      <c r="F94" s="69">
        <v>0</v>
      </c>
      <c r="G94" s="70">
        <v>81.819999999999993</v>
      </c>
      <c r="H94" s="70">
        <v>1.36</v>
      </c>
      <c r="I94" s="70">
        <v>1.36</v>
      </c>
      <c r="J94" s="71">
        <v>0</v>
      </c>
      <c r="K94" s="72">
        <v>0</v>
      </c>
      <c r="L94" s="72">
        <v>0</v>
      </c>
      <c r="M94" s="72">
        <v>0</v>
      </c>
    </row>
    <row r="95" spans="1:13" ht="14" x14ac:dyDescent="0.15">
      <c r="A95" s="108">
        <v>861</v>
      </c>
      <c r="B95" s="216">
        <v>2000055029520</v>
      </c>
      <c r="C95" s="108"/>
      <c r="D95" s="216"/>
      <c r="E95" s="217" t="s">
        <v>831</v>
      </c>
      <c r="F95" s="69">
        <v>0</v>
      </c>
      <c r="G95" s="70">
        <v>81.819999999999993</v>
      </c>
      <c r="H95" s="70">
        <v>0.88</v>
      </c>
      <c r="I95" s="70">
        <v>0.88</v>
      </c>
      <c r="J95" s="71">
        <v>0</v>
      </c>
      <c r="K95" s="72">
        <v>0</v>
      </c>
      <c r="L95" s="72">
        <v>0</v>
      </c>
      <c r="M95" s="72">
        <v>0</v>
      </c>
    </row>
    <row r="96" spans="1:13" ht="14" x14ac:dyDescent="0.15">
      <c r="A96" s="108">
        <v>861</v>
      </c>
      <c r="B96" s="216">
        <v>2000055029530</v>
      </c>
      <c r="C96" s="108"/>
      <c r="D96" s="216"/>
      <c r="E96" s="217" t="s">
        <v>832</v>
      </c>
      <c r="F96" s="69">
        <v>0</v>
      </c>
      <c r="G96" s="70">
        <v>81.819999999999993</v>
      </c>
      <c r="H96" s="70">
        <v>0.88</v>
      </c>
      <c r="I96" s="70">
        <v>0.88</v>
      </c>
      <c r="J96" s="71">
        <v>0</v>
      </c>
      <c r="K96" s="72">
        <v>0</v>
      </c>
      <c r="L96" s="72">
        <v>0</v>
      </c>
      <c r="M96" s="72">
        <v>0</v>
      </c>
    </row>
    <row r="97" spans="1:13" ht="14" x14ac:dyDescent="0.15">
      <c r="A97" s="108">
        <v>861</v>
      </c>
      <c r="B97" s="216">
        <v>2000055029549</v>
      </c>
      <c r="C97" s="108"/>
      <c r="D97" s="216"/>
      <c r="E97" s="217" t="s">
        <v>833</v>
      </c>
      <c r="F97" s="69">
        <v>0</v>
      </c>
      <c r="G97" s="70">
        <v>81.819999999999993</v>
      </c>
      <c r="H97" s="70">
        <v>0.88</v>
      </c>
      <c r="I97" s="70">
        <v>0.88</v>
      </c>
      <c r="J97" s="71">
        <v>0</v>
      </c>
      <c r="K97" s="72">
        <v>0</v>
      </c>
      <c r="L97" s="72">
        <v>0</v>
      </c>
      <c r="M97" s="72">
        <v>0</v>
      </c>
    </row>
    <row r="98" spans="1:13" ht="14" x14ac:dyDescent="0.15">
      <c r="A98" s="108">
        <v>861</v>
      </c>
      <c r="B98" s="216">
        <v>2000055029558</v>
      </c>
      <c r="C98" s="108"/>
      <c r="D98" s="216"/>
      <c r="E98" s="217" t="s">
        <v>834</v>
      </c>
      <c r="F98" s="69">
        <v>0</v>
      </c>
      <c r="G98" s="70">
        <v>81.819999999999993</v>
      </c>
      <c r="H98" s="70">
        <v>0.88</v>
      </c>
      <c r="I98" s="70">
        <v>0.88</v>
      </c>
      <c r="J98" s="71">
        <v>0</v>
      </c>
      <c r="K98" s="72">
        <v>0</v>
      </c>
      <c r="L98" s="72">
        <v>0</v>
      </c>
      <c r="M98" s="72">
        <v>0</v>
      </c>
    </row>
    <row r="99" spans="1:13" ht="14" x14ac:dyDescent="0.15">
      <c r="A99" s="108">
        <v>7096</v>
      </c>
      <c r="B99" s="216">
        <v>7096</v>
      </c>
      <c r="C99" s="108">
        <v>7081</v>
      </c>
      <c r="D99" s="216">
        <v>7081</v>
      </c>
      <c r="E99" s="217" t="s">
        <v>835</v>
      </c>
      <c r="F99" s="69">
        <v>0</v>
      </c>
      <c r="G99" s="70">
        <v>2433.39</v>
      </c>
      <c r="H99" s="70">
        <v>1.5</v>
      </c>
      <c r="I99" s="70">
        <v>1.5</v>
      </c>
      <c r="J99" s="71">
        <v>0</v>
      </c>
      <c r="K99" s="72">
        <v>0</v>
      </c>
      <c r="L99" s="72">
        <v>0</v>
      </c>
      <c r="M99" s="72">
        <v>0</v>
      </c>
    </row>
    <row r="100" spans="1:13" ht="14" x14ac:dyDescent="0.15">
      <c r="A100" s="108"/>
      <c r="B100" s="216"/>
      <c r="C100" s="108">
        <v>7095</v>
      </c>
      <c r="D100" s="216">
        <v>7095</v>
      </c>
      <c r="E100" s="217" t="s">
        <v>836</v>
      </c>
      <c r="F100" s="69">
        <v>0</v>
      </c>
      <c r="G100" s="70">
        <v>0</v>
      </c>
      <c r="H100" s="70">
        <v>0</v>
      </c>
      <c r="I100" s="70">
        <v>0</v>
      </c>
      <c r="J100" s="71">
        <v>0</v>
      </c>
      <c r="K100" s="72">
        <v>4134.83</v>
      </c>
      <c r="L100" s="72">
        <v>0.05</v>
      </c>
      <c r="M100" s="72">
        <v>0.05</v>
      </c>
    </row>
    <row r="101" spans="1:13" ht="14" x14ac:dyDescent="0.15">
      <c r="A101" s="108">
        <v>7098</v>
      </c>
      <c r="B101" s="216">
        <v>7098</v>
      </c>
      <c r="C101" s="108"/>
      <c r="D101" s="216"/>
      <c r="E101" s="217" t="s">
        <v>837</v>
      </c>
      <c r="F101" s="69">
        <v>0</v>
      </c>
      <c r="G101" s="70">
        <v>7.3</v>
      </c>
      <c r="H101" s="70">
        <v>1.36</v>
      </c>
      <c r="I101" s="70">
        <v>1.36</v>
      </c>
      <c r="J101" s="71">
        <v>0</v>
      </c>
      <c r="K101" s="72">
        <v>0</v>
      </c>
      <c r="L101" s="72">
        <v>0</v>
      </c>
      <c r="M101" s="72">
        <v>0</v>
      </c>
    </row>
    <row r="102" spans="1:13" ht="14" x14ac:dyDescent="0.15">
      <c r="A102" s="108">
        <v>7097</v>
      </c>
      <c r="B102" s="216">
        <v>7097</v>
      </c>
      <c r="C102" s="108"/>
      <c r="D102" s="216"/>
      <c r="E102" s="217" t="s">
        <v>838</v>
      </c>
      <c r="F102" s="69">
        <v>0</v>
      </c>
      <c r="G102" s="70">
        <v>16614.75</v>
      </c>
      <c r="H102" s="70">
        <v>1.35</v>
      </c>
      <c r="I102" s="70">
        <v>1.35</v>
      </c>
      <c r="J102" s="71">
        <v>0</v>
      </c>
      <c r="K102" s="72">
        <v>0</v>
      </c>
      <c r="L102" s="72">
        <v>0</v>
      </c>
      <c r="M102" s="72">
        <v>0</v>
      </c>
    </row>
    <row r="103" spans="1:13" ht="14" x14ac:dyDescent="0.15">
      <c r="A103" s="108">
        <v>833</v>
      </c>
      <c r="B103" s="216">
        <v>2000051300396</v>
      </c>
      <c r="C103" s="108"/>
      <c r="D103" s="216"/>
      <c r="E103" s="217" t="s">
        <v>839</v>
      </c>
      <c r="F103" s="69">
        <v>0</v>
      </c>
      <c r="G103" s="70">
        <v>6587.69</v>
      </c>
      <c r="H103" s="70">
        <v>1.71</v>
      </c>
      <c r="I103" s="70">
        <v>1.71</v>
      </c>
      <c r="J103" s="71">
        <v>0</v>
      </c>
      <c r="K103" s="72">
        <v>0</v>
      </c>
      <c r="L103" s="72">
        <v>0</v>
      </c>
      <c r="M103" s="72">
        <v>0</v>
      </c>
    </row>
    <row r="104" spans="1:13" ht="14" x14ac:dyDescent="0.15">
      <c r="A104" s="108">
        <v>867</v>
      </c>
      <c r="B104" s="216">
        <v>2000055426205</v>
      </c>
      <c r="C104" s="108">
        <v>946</v>
      </c>
      <c r="D104" s="216">
        <v>2000055426214</v>
      </c>
      <c r="E104" s="217" t="s">
        <v>840</v>
      </c>
      <c r="F104" s="69">
        <v>0</v>
      </c>
      <c r="G104" s="70">
        <v>3.65</v>
      </c>
      <c r="H104" s="70">
        <v>1.1200000000000001</v>
      </c>
      <c r="I104" s="70">
        <v>1.1200000000000001</v>
      </c>
      <c r="J104" s="71">
        <v>0</v>
      </c>
      <c r="K104" s="72">
        <v>364.57</v>
      </c>
      <c r="L104" s="72">
        <v>0.05</v>
      </c>
      <c r="M104" s="72">
        <v>0.05</v>
      </c>
    </row>
    <row r="105" spans="1:13" ht="14" x14ac:dyDescent="0.15">
      <c r="A105" s="108">
        <v>868</v>
      </c>
      <c r="B105" s="216">
        <v>2000055426232</v>
      </c>
      <c r="C105" s="108">
        <v>947</v>
      </c>
      <c r="D105" s="216">
        <v>2000055426241</v>
      </c>
      <c r="E105" s="217" t="s">
        <v>841</v>
      </c>
      <c r="F105" s="69">
        <v>0</v>
      </c>
      <c r="G105" s="70">
        <v>8.01</v>
      </c>
      <c r="H105" s="70">
        <v>1.65</v>
      </c>
      <c r="I105" s="70">
        <v>1.65</v>
      </c>
      <c r="J105" s="71">
        <v>0</v>
      </c>
      <c r="K105" s="72">
        <v>800.73</v>
      </c>
      <c r="L105" s="72">
        <v>0.05</v>
      </c>
      <c r="M105" s="72">
        <v>0.05</v>
      </c>
    </row>
    <row r="106" spans="1:13" ht="14" x14ac:dyDescent="0.15">
      <c r="A106" s="108">
        <v>869</v>
      </c>
      <c r="B106" s="216">
        <v>2000055481447</v>
      </c>
      <c r="C106" s="108">
        <v>948</v>
      </c>
      <c r="D106" s="216">
        <v>2000055481456</v>
      </c>
      <c r="E106" s="217" t="s">
        <v>842</v>
      </c>
      <c r="F106" s="69">
        <v>2.21</v>
      </c>
      <c r="G106" s="70">
        <v>2.38</v>
      </c>
      <c r="H106" s="70">
        <v>1.18</v>
      </c>
      <c r="I106" s="70">
        <v>1.18</v>
      </c>
      <c r="J106" s="71">
        <v>0</v>
      </c>
      <c r="K106" s="72">
        <v>570.23</v>
      </c>
      <c r="L106" s="72">
        <v>0.05</v>
      </c>
      <c r="M106" s="72">
        <v>0.05</v>
      </c>
    </row>
    <row r="107" spans="1:13" ht="14" x14ac:dyDescent="0.15">
      <c r="A107" s="108">
        <v>870</v>
      </c>
      <c r="B107" s="216">
        <v>2000055580574</v>
      </c>
      <c r="C107" s="108">
        <v>949</v>
      </c>
      <c r="D107" s="216">
        <v>2000055580583</v>
      </c>
      <c r="E107" s="217" t="s">
        <v>843</v>
      </c>
      <c r="F107" s="69">
        <v>0</v>
      </c>
      <c r="G107" s="70">
        <v>4.12</v>
      </c>
      <c r="H107" s="70">
        <v>1.0900000000000001</v>
      </c>
      <c r="I107" s="70">
        <v>1.0900000000000001</v>
      </c>
      <c r="J107" s="71">
        <v>0</v>
      </c>
      <c r="K107" s="72">
        <v>576.51</v>
      </c>
      <c r="L107" s="72">
        <v>0.05</v>
      </c>
      <c r="M107" s="72">
        <v>0.05</v>
      </c>
    </row>
    <row r="108" spans="1:13" ht="14" x14ac:dyDescent="0.15">
      <c r="A108" s="108">
        <v>872</v>
      </c>
      <c r="B108" s="216">
        <v>2000055580592</v>
      </c>
      <c r="C108" s="108">
        <v>611</v>
      </c>
      <c r="D108" s="216">
        <v>2000055580608</v>
      </c>
      <c r="E108" s="217" t="s">
        <v>844</v>
      </c>
      <c r="F108" s="69">
        <v>6.3739999999999997</v>
      </c>
      <c r="G108" s="70">
        <v>6.04</v>
      </c>
      <c r="H108" s="70">
        <v>0.88</v>
      </c>
      <c r="I108" s="70">
        <v>0.88</v>
      </c>
      <c r="J108" s="71">
        <v>0</v>
      </c>
      <c r="K108" s="72">
        <v>362.18</v>
      </c>
      <c r="L108" s="72">
        <v>0.05</v>
      </c>
      <c r="M108" s="72">
        <v>0.05</v>
      </c>
    </row>
    <row r="109" spans="1:13" ht="14" x14ac:dyDescent="0.15">
      <c r="A109" s="108">
        <v>873</v>
      </c>
      <c r="B109" s="216">
        <v>2000055582785</v>
      </c>
      <c r="C109" s="108">
        <v>612</v>
      </c>
      <c r="D109" s="216">
        <v>2000055582794</v>
      </c>
      <c r="E109" s="217" t="s">
        <v>845</v>
      </c>
      <c r="F109" s="69">
        <v>0.40200000000000002</v>
      </c>
      <c r="G109" s="70">
        <v>5.66</v>
      </c>
      <c r="H109" s="70">
        <v>1.53</v>
      </c>
      <c r="I109" s="70">
        <v>1.53</v>
      </c>
      <c r="J109" s="71">
        <v>0</v>
      </c>
      <c r="K109" s="72">
        <v>1132.6400000000001</v>
      </c>
      <c r="L109" s="72">
        <v>0.05</v>
      </c>
      <c r="M109" s="72">
        <v>0.05</v>
      </c>
    </row>
    <row r="110" spans="1:13" ht="14" x14ac:dyDescent="0.15">
      <c r="A110" s="108">
        <v>874</v>
      </c>
      <c r="B110" s="216">
        <v>2000055634982</v>
      </c>
      <c r="C110" s="108">
        <v>613</v>
      </c>
      <c r="D110" s="216">
        <v>2000055634991</v>
      </c>
      <c r="E110" s="217" t="s">
        <v>846</v>
      </c>
      <c r="F110" s="69">
        <v>0</v>
      </c>
      <c r="G110" s="70">
        <v>3.79</v>
      </c>
      <c r="H110" s="70">
        <v>1.72</v>
      </c>
      <c r="I110" s="70">
        <v>1.72</v>
      </c>
      <c r="J110" s="71">
        <v>0</v>
      </c>
      <c r="K110" s="72">
        <v>379.03</v>
      </c>
      <c r="L110" s="72">
        <v>0.05</v>
      </c>
      <c r="M110" s="72">
        <v>0.05</v>
      </c>
    </row>
    <row r="111" spans="1:13" ht="14" x14ac:dyDescent="0.15">
      <c r="A111" s="108">
        <v>875</v>
      </c>
      <c r="B111" s="216">
        <v>2000055643198</v>
      </c>
      <c r="C111" s="108">
        <v>614</v>
      </c>
      <c r="D111" s="216">
        <v>2000055643203</v>
      </c>
      <c r="E111" s="217" t="s">
        <v>847</v>
      </c>
      <c r="F111" s="69">
        <v>0.40400000000000003</v>
      </c>
      <c r="G111" s="70">
        <v>2.81</v>
      </c>
      <c r="H111" s="70">
        <v>1.81</v>
      </c>
      <c r="I111" s="70">
        <v>1.81</v>
      </c>
      <c r="J111" s="71">
        <v>0</v>
      </c>
      <c r="K111" s="72">
        <v>365.41</v>
      </c>
      <c r="L111" s="72">
        <v>0.05</v>
      </c>
      <c r="M111" s="72">
        <v>0.05</v>
      </c>
    </row>
    <row r="112" spans="1:13" ht="14" x14ac:dyDescent="0.15">
      <c r="A112" s="108">
        <v>705</v>
      </c>
      <c r="B112" s="216">
        <v>2000051981890</v>
      </c>
      <c r="C112" s="108"/>
      <c r="D112" s="216"/>
      <c r="E112" s="217" t="s">
        <v>848</v>
      </c>
      <c r="F112" s="69">
        <v>0</v>
      </c>
      <c r="G112" s="70">
        <v>163.63999999999999</v>
      </c>
      <c r="H112" s="70">
        <v>3.35</v>
      </c>
      <c r="I112" s="70">
        <v>3.35</v>
      </c>
      <c r="J112" s="71">
        <v>0</v>
      </c>
      <c r="K112" s="72">
        <v>0</v>
      </c>
      <c r="L112" s="72">
        <v>0</v>
      </c>
      <c r="M112" s="72">
        <v>0</v>
      </c>
    </row>
    <row r="113" spans="1:13" ht="14" x14ac:dyDescent="0.15">
      <c r="A113" s="108">
        <v>876</v>
      </c>
      <c r="B113" s="216">
        <v>2000055872892</v>
      </c>
      <c r="C113" s="108">
        <v>615</v>
      </c>
      <c r="D113" s="216">
        <v>2000055872917</v>
      </c>
      <c r="E113" s="217" t="s">
        <v>849</v>
      </c>
      <c r="F113" s="69">
        <v>0.40300000000000002</v>
      </c>
      <c r="G113" s="70">
        <v>3.53</v>
      </c>
      <c r="H113" s="70">
        <v>1.37</v>
      </c>
      <c r="I113" s="70">
        <v>1.37</v>
      </c>
      <c r="J113" s="71">
        <v>0</v>
      </c>
      <c r="K113" s="72">
        <v>847.18</v>
      </c>
      <c r="L113" s="72">
        <v>0.05</v>
      </c>
      <c r="M113" s="72">
        <v>0.05</v>
      </c>
    </row>
    <row r="114" spans="1:13" ht="14" x14ac:dyDescent="0.15">
      <c r="A114" s="108">
        <v>877</v>
      </c>
      <c r="B114" s="216">
        <v>2000055600255</v>
      </c>
      <c r="C114" s="108">
        <v>616</v>
      </c>
      <c r="D114" s="216">
        <v>2000055600291</v>
      </c>
      <c r="E114" s="217" t="s">
        <v>850</v>
      </c>
      <c r="F114" s="69">
        <v>0</v>
      </c>
      <c r="G114" s="70">
        <v>13.92</v>
      </c>
      <c r="H114" s="70">
        <v>0.92</v>
      </c>
      <c r="I114" s="70">
        <v>0.92</v>
      </c>
      <c r="J114" s="71">
        <v>0</v>
      </c>
      <c r="K114" s="72">
        <v>654.29999999999995</v>
      </c>
      <c r="L114" s="72">
        <v>0.05</v>
      </c>
      <c r="M114" s="72">
        <v>0.05</v>
      </c>
    </row>
    <row r="115" spans="1:13" ht="14" x14ac:dyDescent="0.15">
      <c r="A115" s="108">
        <v>878</v>
      </c>
      <c r="B115" s="216">
        <v>2000055600194</v>
      </c>
      <c r="C115" s="108">
        <v>617</v>
      </c>
      <c r="D115" s="216">
        <v>2000055600200</v>
      </c>
      <c r="E115" s="217" t="s">
        <v>851</v>
      </c>
      <c r="F115" s="69">
        <v>0.39500000000000002</v>
      </c>
      <c r="G115" s="70">
        <v>11.25</v>
      </c>
      <c r="H115" s="70">
        <v>1.01</v>
      </c>
      <c r="I115" s="70">
        <v>1.01</v>
      </c>
      <c r="J115" s="71">
        <v>0</v>
      </c>
      <c r="K115" s="72">
        <v>634.35</v>
      </c>
      <c r="L115" s="72">
        <v>0.05</v>
      </c>
      <c r="M115" s="72">
        <v>0.05</v>
      </c>
    </row>
    <row r="116" spans="1:13" ht="14" x14ac:dyDescent="0.15">
      <c r="A116" s="108">
        <v>880</v>
      </c>
      <c r="B116" s="216">
        <v>2000055918093</v>
      </c>
      <c r="C116" s="108">
        <v>619</v>
      </c>
      <c r="D116" s="216">
        <v>2000055918109</v>
      </c>
      <c r="E116" s="217" t="s">
        <v>852</v>
      </c>
      <c r="F116" s="69">
        <v>0</v>
      </c>
      <c r="G116" s="70">
        <v>3.04</v>
      </c>
      <c r="H116" s="70">
        <v>1.81</v>
      </c>
      <c r="I116" s="70">
        <v>1.81</v>
      </c>
      <c r="J116" s="71">
        <v>0</v>
      </c>
      <c r="K116" s="72">
        <v>365.18</v>
      </c>
      <c r="L116" s="72">
        <v>0.05</v>
      </c>
      <c r="M116" s="72">
        <v>0.05</v>
      </c>
    </row>
    <row r="117" spans="1:13" ht="14" x14ac:dyDescent="0.15">
      <c r="A117" s="108">
        <v>881</v>
      </c>
      <c r="B117" s="216">
        <v>2000055969256</v>
      </c>
      <c r="C117" s="108">
        <v>620</v>
      </c>
      <c r="D117" s="216">
        <v>2000055969265</v>
      </c>
      <c r="E117" s="217" t="s">
        <v>853</v>
      </c>
      <c r="F117" s="69">
        <v>1.1879999999999999</v>
      </c>
      <c r="G117" s="70">
        <v>3.58</v>
      </c>
      <c r="H117" s="70">
        <v>1.4</v>
      </c>
      <c r="I117" s="70">
        <v>1.4</v>
      </c>
      <c r="J117" s="71">
        <v>0</v>
      </c>
      <c r="K117" s="72">
        <v>715.01</v>
      </c>
      <c r="L117" s="72">
        <v>0.05</v>
      </c>
      <c r="M117" s="72">
        <v>0.05</v>
      </c>
    </row>
    <row r="118" spans="1:13" ht="14" x14ac:dyDescent="0.15">
      <c r="A118" s="108">
        <v>882</v>
      </c>
      <c r="B118" s="216">
        <v>2000055600352</v>
      </c>
      <c r="C118" s="108">
        <v>621</v>
      </c>
      <c r="D118" s="216">
        <v>2000055600399</v>
      </c>
      <c r="E118" s="217" t="s">
        <v>854</v>
      </c>
      <c r="F118" s="69">
        <v>0</v>
      </c>
      <c r="G118" s="70">
        <v>3.65</v>
      </c>
      <c r="H118" s="70">
        <v>1.1299999999999999</v>
      </c>
      <c r="I118" s="70">
        <v>1.1299999999999999</v>
      </c>
      <c r="J118" s="71">
        <v>0</v>
      </c>
      <c r="K118" s="72">
        <v>364.57</v>
      </c>
      <c r="L118" s="72">
        <v>0.05</v>
      </c>
      <c r="M118" s="72">
        <v>0.05</v>
      </c>
    </row>
    <row r="119" spans="1:13" ht="14" x14ac:dyDescent="0.15">
      <c r="A119" s="108">
        <v>883</v>
      </c>
      <c r="B119" s="216">
        <v>2000055582767</v>
      </c>
      <c r="C119" s="108">
        <v>622</v>
      </c>
      <c r="D119" s="216">
        <v>2000055582776</v>
      </c>
      <c r="E119" s="217" t="s">
        <v>855</v>
      </c>
      <c r="F119" s="69">
        <v>0</v>
      </c>
      <c r="G119" s="70">
        <v>15.43</v>
      </c>
      <c r="H119" s="70">
        <v>1.1200000000000001</v>
      </c>
      <c r="I119" s="70">
        <v>1.1200000000000001</v>
      </c>
      <c r="J119" s="71">
        <v>0</v>
      </c>
      <c r="K119" s="72">
        <v>1542.6</v>
      </c>
      <c r="L119" s="72">
        <v>0.05</v>
      </c>
      <c r="M119" s="72">
        <v>0.05</v>
      </c>
    </row>
    <row r="120" spans="1:13" ht="14" x14ac:dyDescent="0.15">
      <c r="A120" s="108">
        <v>884</v>
      </c>
      <c r="B120" s="216">
        <v>2000056041495</v>
      </c>
      <c r="C120" s="108">
        <v>623</v>
      </c>
      <c r="D120" s="216">
        <v>2000056041510</v>
      </c>
      <c r="E120" s="217" t="s">
        <v>856</v>
      </c>
      <c r="F120" s="69">
        <v>2.355</v>
      </c>
      <c r="G120" s="70">
        <v>16.850000000000001</v>
      </c>
      <c r="H120" s="70">
        <v>1</v>
      </c>
      <c r="I120" s="70">
        <v>1</v>
      </c>
      <c r="J120" s="71">
        <v>0</v>
      </c>
      <c r="K120" s="72">
        <v>2948.69</v>
      </c>
      <c r="L120" s="72">
        <v>0.05</v>
      </c>
      <c r="M120" s="72">
        <v>0.05</v>
      </c>
    </row>
    <row r="121" spans="1:13" ht="14" x14ac:dyDescent="0.15">
      <c r="A121" s="108">
        <v>349</v>
      </c>
      <c r="B121" s="216">
        <v>2000056041500</v>
      </c>
      <c r="C121" s="108">
        <v>504</v>
      </c>
      <c r="D121" s="216">
        <v>2000056041529</v>
      </c>
      <c r="E121" s="217" t="s">
        <v>857</v>
      </c>
      <c r="F121" s="69">
        <v>2.3490000000000002</v>
      </c>
      <c r="G121" s="70">
        <v>16.850000000000001</v>
      </c>
      <c r="H121" s="70">
        <v>1.2</v>
      </c>
      <c r="I121" s="70">
        <v>1.2</v>
      </c>
      <c r="J121" s="71">
        <v>0</v>
      </c>
      <c r="K121" s="72">
        <v>2948.69</v>
      </c>
      <c r="L121" s="72">
        <v>0.05</v>
      </c>
      <c r="M121" s="72">
        <v>0.05</v>
      </c>
    </row>
    <row r="122" spans="1:13" ht="14" x14ac:dyDescent="0.15">
      <c r="A122" s="108">
        <v>885</v>
      </c>
      <c r="B122" s="216">
        <v>2000055916254</v>
      </c>
      <c r="C122" s="108">
        <v>624</v>
      </c>
      <c r="D122" s="216">
        <v>2000055916263</v>
      </c>
      <c r="E122" s="217" t="s">
        <v>858</v>
      </c>
      <c r="F122" s="69">
        <v>0</v>
      </c>
      <c r="G122" s="70">
        <v>3.31</v>
      </c>
      <c r="H122" s="70">
        <v>2.88</v>
      </c>
      <c r="I122" s="70">
        <v>2.88</v>
      </c>
      <c r="J122" s="71">
        <v>0</v>
      </c>
      <c r="K122" s="72">
        <v>992.66</v>
      </c>
      <c r="L122" s="72">
        <v>0.05</v>
      </c>
      <c r="M122" s="72">
        <v>0.05</v>
      </c>
    </row>
    <row r="123" spans="1:13" ht="14" x14ac:dyDescent="0.15">
      <c r="A123" s="108">
        <v>886</v>
      </c>
      <c r="B123" s="216">
        <v>2000055860113</v>
      </c>
      <c r="C123" s="108">
        <v>625</v>
      </c>
      <c r="D123" s="216">
        <v>2000055860122</v>
      </c>
      <c r="E123" s="217" t="s">
        <v>859</v>
      </c>
      <c r="F123" s="69">
        <v>0.40100000000000002</v>
      </c>
      <c r="G123" s="70">
        <v>2.0299999999999998</v>
      </c>
      <c r="H123" s="70">
        <v>1.68</v>
      </c>
      <c r="I123" s="70">
        <v>1.68</v>
      </c>
      <c r="J123" s="71">
        <v>0</v>
      </c>
      <c r="K123" s="72">
        <v>161.62</v>
      </c>
      <c r="L123" s="72">
        <v>0.05</v>
      </c>
      <c r="M123" s="72">
        <v>0.05</v>
      </c>
    </row>
    <row r="124" spans="1:13" ht="14" x14ac:dyDescent="0.15">
      <c r="A124" s="108">
        <v>888</v>
      </c>
      <c r="B124" s="216">
        <v>2000055899574</v>
      </c>
      <c r="C124" s="108">
        <v>627</v>
      </c>
      <c r="D124" s="216">
        <v>2000055899583</v>
      </c>
      <c r="E124" s="217" t="s">
        <v>860</v>
      </c>
      <c r="F124" s="69">
        <v>0.40300000000000002</v>
      </c>
      <c r="G124" s="70">
        <v>1.93</v>
      </c>
      <c r="H124" s="70">
        <v>1.1200000000000001</v>
      </c>
      <c r="I124" s="70">
        <v>1.1200000000000001</v>
      </c>
      <c r="J124" s="71">
        <v>0</v>
      </c>
      <c r="K124" s="72">
        <v>366.29</v>
      </c>
      <c r="L124" s="72">
        <v>0.05</v>
      </c>
      <c r="M124" s="72">
        <v>0.05</v>
      </c>
    </row>
    <row r="125" spans="1:13" ht="14" x14ac:dyDescent="0.15">
      <c r="A125" s="108">
        <v>889</v>
      </c>
      <c r="B125" s="216">
        <v>2000055899529</v>
      </c>
      <c r="C125" s="108">
        <v>628</v>
      </c>
      <c r="D125" s="216">
        <v>2000055899538</v>
      </c>
      <c r="E125" s="217" t="s">
        <v>861</v>
      </c>
      <c r="F125" s="69">
        <v>6.1980000000000004</v>
      </c>
      <c r="G125" s="70">
        <v>21.1</v>
      </c>
      <c r="H125" s="70">
        <v>1.1200000000000001</v>
      </c>
      <c r="I125" s="70">
        <v>1.1200000000000001</v>
      </c>
      <c r="J125" s="71">
        <v>0</v>
      </c>
      <c r="K125" s="72">
        <v>2025.98</v>
      </c>
      <c r="L125" s="72">
        <v>0.05</v>
      </c>
      <c r="M125" s="72">
        <v>0.05</v>
      </c>
    </row>
    <row r="126" spans="1:13" ht="14" x14ac:dyDescent="0.15">
      <c r="A126" s="108">
        <v>890</v>
      </c>
      <c r="B126" s="216">
        <v>2000056041556</v>
      </c>
      <c r="C126" s="108">
        <v>629</v>
      </c>
      <c r="D126" s="216">
        <v>2000056041565</v>
      </c>
      <c r="E126" s="217" t="s">
        <v>862</v>
      </c>
      <c r="F126" s="69">
        <v>6.274</v>
      </c>
      <c r="G126" s="70">
        <v>42.44</v>
      </c>
      <c r="H126" s="70">
        <v>0.95</v>
      </c>
      <c r="I126" s="70">
        <v>0.95</v>
      </c>
      <c r="J126" s="71">
        <v>0</v>
      </c>
      <c r="K126" s="72">
        <v>2146.98</v>
      </c>
      <c r="L126" s="72">
        <v>0.05</v>
      </c>
      <c r="M126" s="72">
        <v>0.05</v>
      </c>
    </row>
    <row r="127" spans="1:13" ht="14" x14ac:dyDescent="0.15">
      <c r="A127" s="108">
        <v>834</v>
      </c>
      <c r="B127" s="216" t="s">
        <v>1148</v>
      </c>
      <c r="C127" s="108">
        <v>914</v>
      </c>
      <c r="D127" s="216" t="s">
        <v>1148</v>
      </c>
      <c r="E127" s="217" t="s">
        <v>863</v>
      </c>
      <c r="F127" s="69">
        <v>0</v>
      </c>
      <c r="G127" s="70">
        <v>3669.42</v>
      </c>
      <c r="H127" s="70">
        <v>2.25</v>
      </c>
      <c r="I127" s="70">
        <v>2.25</v>
      </c>
      <c r="J127" s="71">
        <v>0</v>
      </c>
      <c r="K127" s="72">
        <v>1013.38</v>
      </c>
      <c r="L127" s="72">
        <v>0.05</v>
      </c>
      <c r="M127" s="72">
        <v>0.05</v>
      </c>
    </row>
    <row r="128" spans="1:13" ht="28" x14ac:dyDescent="0.15">
      <c r="A128" s="108">
        <v>891</v>
      </c>
      <c r="B128" s="216" t="s">
        <v>1149</v>
      </c>
      <c r="C128" s="108"/>
      <c r="D128" s="216"/>
      <c r="E128" s="217" t="s">
        <v>864</v>
      </c>
      <c r="F128" s="69">
        <v>0</v>
      </c>
      <c r="G128" s="70">
        <v>2112.42</v>
      </c>
      <c r="H128" s="70">
        <v>2.2200000000000002</v>
      </c>
      <c r="I128" s="70">
        <v>2.2200000000000002</v>
      </c>
      <c r="J128" s="71">
        <v>0</v>
      </c>
      <c r="K128" s="72">
        <v>0</v>
      </c>
      <c r="L128" s="72">
        <v>0</v>
      </c>
      <c r="M128" s="72">
        <v>0</v>
      </c>
    </row>
    <row r="129" spans="1:13" ht="14" x14ac:dyDescent="0.15">
      <c r="A129" s="108">
        <v>892</v>
      </c>
      <c r="B129" s="216">
        <v>2000055582800</v>
      </c>
      <c r="C129" s="108">
        <v>630</v>
      </c>
      <c r="D129" s="216">
        <v>2000055582819</v>
      </c>
      <c r="E129" s="217" t="s">
        <v>865</v>
      </c>
      <c r="F129" s="69">
        <v>6.2530000000000001</v>
      </c>
      <c r="G129" s="70">
        <v>1.47</v>
      </c>
      <c r="H129" s="70">
        <v>2.0099999999999998</v>
      </c>
      <c r="I129" s="70">
        <v>2.0099999999999998</v>
      </c>
      <c r="J129" s="71">
        <v>0</v>
      </c>
      <c r="K129" s="72">
        <v>366.75</v>
      </c>
      <c r="L129" s="72">
        <v>0.05</v>
      </c>
      <c r="M129" s="72">
        <v>0.05</v>
      </c>
    </row>
    <row r="130" spans="1:13" ht="14" x14ac:dyDescent="0.15">
      <c r="A130" s="108">
        <v>893</v>
      </c>
      <c r="B130" s="216">
        <v>2000056442147</v>
      </c>
      <c r="C130" s="108">
        <v>631</v>
      </c>
      <c r="D130" s="216">
        <v>2000056442156</v>
      </c>
      <c r="E130" s="217" t="s">
        <v>866</v>
      </c>
      <c r="F130" s="69">
        <v>6.1890000000000001</v>
      </c>
      <c r="G130" s="70">
        <v>2.73</v>
      </c>
      <c r="H130" s="70">
        <v>0.92</v>
      </c>
      <c r="I130" s="70">
        <v>0.92</v>
      </c>
      <c r="J130" s="71">
        <v>0</v>
      </c>
      <c r="K130" s="72">
        <v>168.49</v>
      </c>
      <c r="L130" s="72">
        <v>0.05</v>
      </c>
      <c r="M130" s="72">
        <v>0.05</v>
      </c>
    </row>
    <row r="131" spans="1:13" ht="14" x14ac:dyDescent="0.15">
      <c r="A131" s="108">
        <v>894</v>
      </c>
      <c r="B131" s="216">
        <v>2000055894939</v>
      </c>
      <c r="C131" s="108">
        <v>632</v>
      </c>
      <c r="D131" s="216">
        <v>2000055894948</v>
      </c>
      <c r="E131" s="217" t="s">
        <v>867</v>
      </c>
      <c r="F131" s="69">
        <v>1.8720000000000001</v>
      </c>
      <c r="G131" s="70">
        <v>1.36</v>
      </c>
      <c r="H131" s="70">
        <v>1.65</v>
      </c>
      <c r="I131" s="70">
        <v>1.65</v>
      </c>
      <c r="J131" s="71">
        <v>0</v>
      </c>
      <c r="K131" s="72">
        <v>366.86</v>
      </c>
      <c r="L131" s="72">
        <v>0.05</v>
      </c>
      <c r="M131" s="72">
        <v>0.05</v>
      </c>
    </row>
    <row r="132" spans="1:13" ht="14" x14ac:dyDescent="0.15">
      <c r="A132" s="108">
        <v>895</v>
      </c>
      <c r="B132" s="216">
        <v>2000055630116</v>
      </c>
      <c r="C132" s="108">
        <v>633</v>
      </c>
      <c r="D132" s="216">
        <v>2000055630125</v>
      </c>
      <c r="E132" s="217" t="s">
        <v>868</v>
      </c>
      <c r="F132" s="69">
        <v>0</v>
      </c>
      <c r="G132" s="70">
        <v>3.92</v>
      </c>
      <c r="H132" s="70">
        <v>0.92</v>
      </c>
      <c r="I132" s="70">
        <v>0.92</v>
      </c>
      <c r="J132" s="71">
        <v>0</v>
      </c>
      <c r="K132" s="72">
        <v>247.18</v>
      </c>
      <c r="L132" s="72">
        <v>0.05</v>
      </c>
      <c r="M132" s="72">
        <v>0.05</v>
      </c>
    </row>
    <row r="133" spans="1:13" ht="14" x14ac:dyDescent="0.15">
      <c r="A133" s="108">
        <v>896</v>
      </c>
      <c r="B133" s="216">
        <v>2000055845773</v>
      </c>
      <c r="C133" s="108">
        <v>634</v>
      </c>
      <c r="D133" s="216">
        <v>2000055845782</v>
      </c>
      <c r="E133" s="217" t="s">
        <v>869</v>
      </c>
      <c r="F133" s="69">
        <v>1.173</v>
      </c>
      <c r="G133" s="70">
        <v>2.12</v>
      </c>
      <c r="H133" s="70">
        <v>1.06</v>
      </c>
      <c r="I133" s="70">
        <v>1.06</v>
      </c>
      <c r="J133" s="71">
        <v>0</v>
      </c>
      <c r="K133" s="72">
        <v>248.98</v>
      </c>
      <c r="L133" s="72">
        <v>0.05</v>
      </c>
      <c r="M133" s="72">
        <v>0.05</v>
      </c>
    </row>
    <row r="134" spans="1:13" ht="14" x14ac:dyDescent="0.15">
      <c r="A134" s="108">
        <v>720</v>
      </c>
      <c r="B134" s="216">
        <v>2000055856970</v>
      </c>
      <c r="C134" s="108">
        <v>635</v>
      </c>
      <c r="D134" s="216">
        <v>2000055856989</v>
      </c>
      <c r="E134" s="217" t="s">
        <v>870</v>
      </c>
      <c r="F134" s="69">
        <v>0</v>
      </c>
      <c r="G134" s="70">
        <v>5.64</v>
      </c>
      <c r="H134" s="70">
        <v>2.73</v>
      </c>
      <c r="I134" s="70">
        <v>2.73</v>
      </c>
      <c r="J134" s="71">
        <v>0</v>
      </c>
      <c r="K134" s="72">
        <v>1691.07</v>
      </c>
      <c r="L134" s="72">
        <v>0.05</v>
      </c>
      <c r="M134" s="72">
        <v>0.05</v>
      </c>
    </row>
    <row r="135" spans="1:13" ht="14" x14ac:dyDescent="0.15">
      <c r="A135" s="108">
        <v>848</v>
      </c>
      <c r="B135" s="216">
        <v>2000056875315</v>
      </c>
      <c r="C135" s="108">
        <v>648</v>
      </c>
      <c r="D135" s="216">
        <v>2000056875324</v>
      </c>
      <c r="E135" s="217" t="s">
        <v>871</v>
      </c>
      <c r="F135" s="69">
        <v>0.56899999999999995</v>
      </c>
      <c r="G135" s="70">
        <v>94.47</v>
      </c>
      <c r="H135" s="70">
        <v>0.94</v>
      </c>
      <c r="I135" s="70">
        <v>0.94</v>
      </c>
      <c r="J135" s="71">
        <v>0</v>
      </c>
      <c r="K135" s="72">
        <v>3239.12</v>
      </c>
      <c r="L135" s="72">
        <v>0.05</v>
      </c>
      <c r="M135" s="72">
        <v>0.05</v>
      </c>
    </row>
    <row r="136" spans="1:13" ht="14" x14ac:dyDescent="0.15">
      <c r="A136" s="108">
        <v>722</v>
      </c>
      <c r="B136" s="216">
        <v>2000027480851</v>
      </c>
      <c r="C136" s="108">
        <v>637</v>
      </c>
      <c r="D136" s="216" t="s">
        <v>1148</v>
      </c>
      <c r="E136" s="217" t="s">
        <v>872</v>
      </c>
      <c r="F136" s="69">
        <v>0</v>
      </c>
      <c r="G136" s="70">
        <v>95.19</v>
      </c>
      <c r="H136" s="70">
        <v>1.42</v>
      </c>
      <c r="I136" s="70">
        <v>1.42</v>
      </c>
      <c r="J136" s="71">
        <v>0</v>
      </c>
      <c r="K136" s="72">
        <v>3481.08</v>
      </c>
      <c r="L136" s="72">
        <v>0.05</v>
      </c>
      <c r="M136" s="72">
        <v>0.05</v>
      </c>
    </row>
    <row r="137" spans="1:13" ht="14" x14ac:dyDescent="0.15">
      <c r="A137" s="108">
        <v>724</v>
      </c>
      <c r="B137" s="216">
        <v>2000055874997</v>
      </c>
      <c r="C137" s="108">
        <v>639</v>
      </c>
      <c r="D137" s="216">
        <v>2000055875003</v>
      </c>
      <c r="E137" s="217" t="s">
        <v>873</v>
      </c>
      <c r="F137" s="69">
        <v>6.2779999999999996</v>
      </c>
      <c r="G137" s="70">
        <v>22.56</v>
      </c>
      <c r="H137" s="70">
        <v>0.68</v>
      </c>
      <c r="I137" s="70">
        <v>0.68</v>
      </c>
      <c r="J137" s="71">
        <v>0</v>
      </c>
      <c r="K137" s="72">
        <v>1323.77</v>
      </c>
      <c r="L137" s="72">
        <v>0.05</v>
      </c>
      <c r="M137" s="72">
        <v>0.05</v>
      </c>
    </row>
    <row r="138" spans="1:13" ht="14" x14ac:dyDescent="0.15">
      <c r="A138" s="108">
        <v>725</v>
      </c>
      <c r="B138" s="216">
        <v>2000055996659</v>
      </c>
      <c r="C138" s="108">
        <v>640</v>
      </c>
      <c r="D138" s="216">
        <v>2000055996668</v>
      </c>
      <c r="E138" s="217" t="s">
        <v>874</v>
      </c>
      <c r="F138" s="69">
        <v>0</v>
      </c>
      <c r="G138" s="70">
        <v>5.38</v>
      </c>
      <c r="H138" s="70">
        <v>1.39</v>
      </c>
      <c r="I138" s="70">
        <v>1.39</v>
      </c>
      <c r="J138" s="71">
        <v>0</v>
      </c>
      <c r="K138" s="72">
        <v>362.84</v>
      </c>
      <c r="L138" s="72">
        <v>0.05</v>
      </c>
      <c r="M138" s="72">
        <v>0.05</v>
      </c>
    </row>
    <row r="139" spans="1:13" ht="14" x14ac:dyDescent="0.15">
      <c r="A139" s="108">
        <v>726</v>
      </c>
      <c r="B139" s="216">
        <v>2000055627860</v>
      </c>
      <c r="C139" s="108">
        <v>641</v>
      </c>
      <c r="D139" s="216">
        <v>2000055627888</v>
      </c>
      <c r="E139" s="217" t="s">
        <v>875</v>
      </c>
      <c r="F139" s="69">
        <v>2.3340000000000001</v>
      </c>
      <c r="G139" s="70">
        <v>4.3</v>
      </c>
      <c r="H139" s="70">
        <v>0.94</v>
      </c>
      <c r="I139" s="70">
        <v>0.94</v>
      </c>
      <c r="J139" s="71">
        <v>0</v>
      </c>
      <c r="K139" s="72">
        <v>246.79</v>
      </c>
      <c r="L139" s="72">
        <v>0.05</v>
      </c>
      <c r="M139" s="72">
        <v>0.05</v>
      </c>
    </row>
    <row r="140" spans="1:13" ht="14" x14ac:dyDescent="0.15">
      <c r="A140" s="108">
        <v>727</v>
      </c>
      <c r="B140" s="216">
        <v>2000055899788</v>
      </c>
      <c r="C140" s="108">
        <v>642</v>
      </c>
      <c r="D140" s="216">
        <v>2000055899797</v>
      </c>
      <c r="E140" s="217" t="s">
        <v>876</v>
      </c>
      <c r="F140" s="69">
        <v>0.39300000000000002</v>
      </c>
      <c r="G140" s="70">
        <v>12.71</v>
      </c>
      <c r="H140" s="70">
        <v>0.93</v>
      </c>
      <c r="I140" s="70">
        <v>0.93</v>
      </c>
      <c r="J140" s="71">
        <v>0</v>
      </c>
      <c r="K140" s="72">
        <v>775.23</v>
      </c>
      <c r="L140" s="72">
        <v>0.05</v>
      </c>
      <c r="M140" s="72">
        <v>0.05</v>
      </c>
    </row>
    <row r="141" spans="1:13" ht="14" x14ac:dyDescent="0.15">
      <c r="A141" s="108">
        <v>831</v>
      </c>
      <c r="B141" s="216">
        <v>2000055924005</v>
      </c>
      <c r="C141" s="108">
        <v>645</v>
      </c>
      <c r="D141" s="216">
        <v>2000055924014</v>
      </c>
      <c r="E141" s="217" t="s">
        <v>877</v>
      </c>
      <c r="F141" s="69">
        <v>0</v>
      </c>
      <c r="G141" s="70">
        <v>18.239999999999998</v>
      </c>
      <c r="H141" s="70">
        <v>1.17</v>
      </c>
      <c r="I141" s="70">
        <v>1.17</v>
      </c>
      <c r="J141" s="71">
        <v>0</v>
      </c>
      <c r="K141" s="72">
        <v>1678.47</v>
      </c>
      <c r="L141" s="72">
        <v>0.05</v>
      </c>
      <c r="M141" s="72">
        <v>0.05</v>
      </c>
    </row>
    <row r="142" spans="1:13" ht="14" x14ac:dyDescent="0.15">
      <c r="A142" s="108">
        <v>832</v>
      </c>
      <c r="B142" s="216">
        <v>2000055878690</v>
      </c>
      <c r="C142" s="108">
        <v>646</v>
      </c>
      <c r="D142" s="216">
        <v>2000055878705</v>
      </c>
      <c r="E142" s="217" t="s">
        <v>878</v>
      </c>
      <c r="F142" s="69">
        <v>0.40500000000000003</v>
      </c>
      <c r="G142" s="70">
        <v>3.19</v>
      </c>
      <c r="H142" s="70">
        <v>2.5499999999999998</v>
      </c>
      <c r="I142" s="70">
        <v>2.5499999999999998</v>
      </c>
      <c r="J142" s="71">
        <v>0</v>
      </c>
      <c r="K142" s="72">
        <v>819.41</v>
      </c>
      <c r="L142" s="72">
        <v>0.05</v>
      </c>
      <c r="M142" s="72">
        <v>0.05</v>
      </c>
    </row>
    <row r="143" spans="1:13" ht="14" x14ac:dyDescent="0.15">
      <c r="A143" s="108" t="s">
        <v>1096</v>
      </c>
      <c r="B143" s="216">
        <v>2000056762133</v>
      </c>
      <c r="C143" s="108" t="s">
        <v>1121</v>
      </c>
      <c r="D143" s="216">
        <v>2000056762142</v>
      </c>
      <c r="E143" s="217" t="s">
        <v>879</v>
      </c>
      <c r="F143" s="69">
        <v>0.58799999999999997</v>
      </c>
      <c r="G143" s="70">
        <v>9.86</v>
      </c>
      <c r="H143" s="70">
        <v>1.03</v>
      </c>
      <c r="I143" s="70">
        <v>1.03</v>
      </c>
      <c r="J143" s="71">
        <v>0</v>
      </c>
      <c r="K143" s="72">
        <v>986.11</v>
      </c>
      <c r="L143" s="72">
        <v>0.05</v>
      </c>
      <c r="M143" s="72">
        <v>0.05</v>
      </c>
    </row>
    <row r="144" spans="1:13" ht="14" x14ac:dyDescent="0.15">
      <c r="A144" s="108">
        <v>850</v>
      </c>
      <c r="B144" s="216">
        <v>2000055901285</v>
      </c>
      <c r="C144" s="108">
        <v>649</v>
      </c>
      <c r="D144" s="216">
        <v>2000055901300</v>
      </c>
      <c r="E144" s="217" t="s">
        <v>880</v>
      </c>
      <c r="F144" s="69">
        <v>6.0460000000000003</v>
      </c>
      <c r="G144" s="70">
        <v>9.01</v>
      </c>
      <c r="H144" s="70">
        <v>0.8</v>
      </c>
      <c r="I144" s="70">
        <v>0.8</v>
      </c>
      <c r="J144" s="71">
        <v>0</v>
      </c>
      <c r="K144" s="72">
        <v>324.52999999999997</v>
      </c>
      <c r="L144" s="72">
        <v>0.05</v>
      </c>
      <c r="M144" s="72">
        <v>0.05</v>
      </c>
    </row>
    <row r="145" spans="1:13" ht="14" x14ac:dyDescent="0.15">
      <c r="A145" s="108">
        <v>661</v>
      </c>
      <c r="B145" s="216">
        <v>2000055901346</v>
      </c>
      <c r="C145" s="108">
        <v>911</v>
      </c>
      <c r="D145" s="216">
        <v>2000055901355</v>
      </c>
      <c r="E145" s="217" t="s">
        <v>881</v>
      </c>
      <c r="F145" s="69">
        <v>6.0129999999999999</v>
      </c>
      <c r="G145" s="70">
        <v>5.66</v>
      </c>
      <c r="H145" s="70">
        <v>0.89</v>
      </c>
      <c r="I145" s="70">
        <v>0.89</v>
      </c>
      <c r="J145" s="71">
        <v>0</v>
      </c>
      <c r="K145" s="72">
        <v>362.55</v>
      </c>
      <c r="L145" s="72">
        <v>0.05</v>
      </c>
      <c r="M145" s="72">
        <v>0.05</v>
      </c>
    </row>
    <row r="146" spans="1:13" ht="14" x14ac:dyDescent="0.15">
      <c r="A146" s="108">
        <v>662</v>
      </c>
      <c r="B146" s="216">
        <v>2000055899389</v>
      </c>
      <c r="C146" s="108">
        <v>912</v>
      </c>
      <c r="D146" s="216">
        <v>2000055899398</v>
      </c>
      <c r="E146" s="217" t="s">
        <v>882</v>
      </c>
      <c r="F146" s="69">
        <v>0.40500000000000003</v>
      </c>
      <c r="G146" s="70">
        <v>6.79</v>
      </c>
      <c r="H146" s="70">
        <v>1.45</v>
      </c>
      <c r="I146" s="70">
        <v>1.45</v>
      </c>
      <c r="J146" s="71">
        <v>0</v>
      </c>
      <c r="K146" s="72">
        <v>1086.3599999999999</v>
      </c>
      <c r="L146" s="72">
        <v>0.05</v>
      </c>
      <c r="M146" s="72">
        <v>0.05</v>
      </c>
    </row>
    <row r="147" spans="1:13" ht="14" x14ac:dyDescent="0.15">
      <c r="A147" s="108">
        <v>452</v>
      </c>
      <c r="B147" s="216">
        <v>2000056479100</v>
      </c>
      <c r="C147" s="108">
        <v>952</v>
      </c>
      <c r="D147" s="216">
        <v>2000056479110</v>
      </c>
      <c r="E147" s="217" t="s">
        <v>883</v>
      </c>
      <c r="F147" s="69">
        <v>0.59099999999999997</v>
      </c>
      <c r="G147" s="70">
        <v>20.73</v>
      </c>
      <c r="H147" s="70">
        <v>1.17</v>
      </c>
      <c r="I147" s="70">
        <v>1.17</v>
      </c>
      <c r="J147" s="71">
        <v>0</v>
      </c>
      <c r="K147" s="72">
        <v>1843.08</v>
      </c>
      <c r="L147" s="72">
        <v>0.05</v>
      </c>
      <c r="M147" s="72">
        <v>0.05</v>
      </c>
    </row>
    <row r="148" spans="1:13" ht="14" x14ac:dyDescent="0.15">
      <c r="A148" s="108">
        <v>663</v>
      </c>
      <c r="B148" s="216">
        <v>2000055858718</v>
      </c>
      <c r="C148" s="108">
        <v>913</v>
      </c>
      <c r="D148" s="216">
        <v>2000055858727</v>
      </c>
      <c r="E148" s="217" t="s">
        <v>884</v>
      </c>
      <c r="F148" s="69">
        <v>0.40300000000000002</v>
      </c>
      <c r="G148" s="70">
        <v>3.36</v>
      </c>
      <c r="H148" s="70">
        <v>0.85</v>
      </c>
      <c r="I148" s="70">
        <v>0.85</v>
      </c>
      <c r="J148" s="71">
        <v>0</v>
      </c>
      <c r="K148" s="72">
        <v>739.13</v>
      </c>
      <c r="L148" s="72">
        <v>0.05</v>
      </c>
      <c r="M148" s="72">
        <v>0.05</v>
      </c>
    </row>
    <row r="149" spans="1:13" ht="14" x14ac:dyDescent="0.15">
      <c r="A149" s="108">
        <v>897</v>
      </c>
      <c r="B149" s="216">
        <v>2000056951250</v>
      </c>
      <c r="C149" s="108">
        <v>933</v>
      </c>
      <c r="D149" s="216">
        <v>2000056951269</v>
      </c>
      <c r="E149" s="217" t="s">
        <v>885</v>
      </c>
      <c r="F149" s="69">
        <v>0</v>
      </c>
      <c r="G149" s="70">
        <v>714.33</v>
      </c>
      <c r="H149" s="70">
        <v>0.9</v>
      </c>
      <c r="I149" s="70">
        <v>0.9</v>
      </c>
      <c r="J149" s="71">
        <v>0</v>
      </c>
      <c r="K149" s="72">
        <v>6593.8</v>
      </c>
      <c r="L149" s="72">
        <v>0.05</v>
      </c>
      <c r="M149" s="72">
        <v>0.05</v>
      </c>
    </row>
    <row r="150" spans="1:13" ht="14" x14ac:dyDescent="0.15">
      <c r="A150" s="108">
        <v>458</v>
      </c>
      <c r="B150" s="216">
        <v>2000056277271</v>
      </c>
      <c r="C150" s="108">
        <v>958</v>
      </c>
      <c r="D150" s="216">
        <v>2000056277280</v>
      </c>
      <c r="E150" s="217" t="s">
        <v>886</v>
      </c>
      <c r="F150" s="69">
        <v>5.8860000000000001</v>
      </c>
      <c r="G150" s="70">
        <v>10.66</v>
      </c>
      <c r="H150" s="70">
        <v>1.22</v>
      </c>
      <c r="I150" s="70">
        <v>1.22</v>
      </c>
      <c r="J150" s="71">
        <v>0</v>
      </c>
      <c r="K150" s="72">
        <v>357.56</v>
      </c>
      <c r="L150" s="72">
        <v>0.05</v>
      </c>
      <c r="M150" s="72">
        <v>0.05</v>
      </c>
    </row>
    <row r="151" spans="1:13" ht="14" x14ac:dyDescent="0.15">
      <c r="A151" s="108">
        <v>596</v>
      </c>
      <c r="B151" s="216">
        <v>2000056113290</v>
      </c>
      <c r="C151" s="108">
        <v>626</v>
      </c>
      <c r="D151" s="216">
        <v>2000056113323</v>
      </c>
      <c r="E151" s="217" t="s">
        <v>887</v>
      </c>
      <c r="F151" s="69">
        <v>1.0029999999999999</v>
      </c>
      <c r="G151" s="70">
        <v>3.65</v>
      </c>
      <c r="H151" s="70">
        <v>1.31</v>
      </c>
      <c r="I151" s="70">
        <v>1.31</v>
      </c>
      <c r="J151" s="71">
        <v>0</v>
      </c>
      <c r="K151" s="72">
        <v>364.57</v>
      </c>
      <c r="L151" s="72">
        <v>0.05</v>
      </c>
      <c r="M151" s="72">
        <v>0.05</v>
      </c>
    </row>
    <row r="152" spans="1:13" ht="14" x14ac:dyDescent="0.15">
      <c r="A152" s="108">
        <v>597</v>
      </c>
      <c r="B152" s="216">
        <v>2000056188505</v>
      </c>
      <c r="C152" s="108">
        <v>607</v>
      </c>
      <c r="D152" s="216">
        <v>2000056212628</v>
      </c>
      <c r="E152" s="217" t="s">
        <v>888</v>
      </c>
      <c r="F152" s="69">
        <v>0</v>
      </c>
      <c r="G152" s="70">
        <v>4.01</v>
      </c>
      <c r="H152" s="70">
        <v>1.84</v>
      </c>
      <c r="I152" s="70">
        <v>1.84</v>
      </c>
      <c r="J152" s="71">
        <v>0</v>
      </c>
      <c r="K152" s="72">
        <v>364.21</v>
      </c>
      <c r="L152" s="72">
        <v>0.05</v>
      </c>
      <c r="M152" s="72">
        <v>0.05</v>
      </c>
    </row>
    <row r="153" spans="1:13" ht="14" x14ac:dyDescent="0.15">
      <c r="A153" s="108">
        <v>665</v>
      </c>
      <c r="B153" s="216">
        <v>2000055924023</v>
      </c>
      <c r="C153" s="108">
        <v>915</v>
      </c>
      <c r="D153" s="216">
        <v>2000055924032</v>
      </c>
      <c r="E153" s="217" t="s">
        <v>889</v>
      </c>
      <c r="F153" s="69">
        <v>6.1390000000000002</v>
      </c>
      <c r="G153" s="70">
        <v>17.47</v>
      </c>
      <c r="H153" s="70">
        <v>1.26</v>
      </c>
      <c r="I153" s="70">
        <v>1.26</v>
      </c>
      <c r="J153" s="71">
        <v>0</v>
      </c>
      <c r="K153" s="72">
        <v>978.49</v>
      </c>
      <c r="L153" s="72">
        <v>0.05</v>
      </c>
      <c r="M153" s="72">
        <v>0.05</v>
      </c>
    </row>
    <row r="154" spans="1:13" ht="14" x14ac:dyDescent="0.15">
      <c r="A154" s="108">
        <v>598</v>
      </c>
      <c r="B154" s="216">
        <v>2000056127229</v>
      </c>
      <c r="C154" s="108">
        <v>608</v>
      </c>
      <c r="D154" s="216">
        <v>2000056127292</v>
      </c>
      <c r="E154" s="217" t="s">
        <v>890</v>
      </c>
      <c r="F154" s="69">
        <v>0.60299999999999998</v>
      </c>
      <c r="G154" s="70">
        <v>5.94</v>
      </c>
      <c r="H154" s="70">
        <v>2.2200000000000002</v>
      </c>
      <c r="I154" s="70">
        <v>2.2200000000000002</v>
      </c>
      <c r="J154" s="71">
        <v>0</v>
      </c>
      <c r="K154" s="72">
        <v>1319.59</v>
      </c>
      <c r="L154" s="72">
        <v>0.05</v>
      </c>
      <c r="M154" s="72">
        <v>0.05</v>
      </c>
    </row>
    <row r="155" spans="1:13" ht="14" x14ac:dyDescent="0.15">
      <c r="A155" s="108">
        <v>459</v>
      </c>
      <c r="B155" s="216">
        <v>2000056455252</v>
      </c>
      <c r="C155" s="108">
        <v>959</v>
      </c>
      <c r="D155" s="216">
        <v>2000056455270</v>
      </c>
      <c r="E155" s="217" t="s">
        <v>891</v>
      </c>
      <c r="F155" s="69">
        <v>0.4</v>
      </c>
      <c r="G155" s="70">
        <v>5.34</v>
      </c>
      <c r="H155" s="70">
        <v>1</v>
      </c>
      <c r="I155" s="70">
        <v>1</v>
      </c>
      <c r="J155" s="71">
        <v>0</v>
      </c>
      <c r="K155" s="72">
        <v>362.88</v>
      </c>
      <c r="L155" s="72">
        <v>0.05</v>
      </c>
      <c r="M155" s="72">
        <v>0.05</v>
      </c>
    </row>
    <row r="156" spans="1:13" ht="14" x14ac:dyDescent="0.15">
      <c r="A156" s="108">
        <v>599</v>
      </c>
      <c r="B156" s="216">
        <v>2000056021300</v>
      </c>
      <c r="C156" s="108">
        <v>609</v>
      </c>
      <c r="D156" s="216">
        <v>2000056021319</v>
      </c>
      <c r="E156" s="217" t="s">
        <v>892</v>
      </c>
      <c r="F156" s="69">
        <v>0.40300000000000002</v>
      </c>
      <c r="G156" s="70">
        <v>42.78</v>
      </c>
      <c r="H156" s="70">
        <v>1.23</v>
      </c>
      <c r="I156" s="70">
        <v>1.23</v>
      </c>
      <c r="J156" s="71">
        <v>0</v>
      </c>
      <c r="K156" s="72">
        <v>4277.99</v>
      </c>
      <c r="L156" s="72">
        <v>0.05</v>
      </c>
      <c r="M156" s="72">
        <v>0.05</v>
      </c>
    </row>
    <row r="157" spans="1:13" ht="14" x14ac:dyDescent="0.15">
      <c r="A157" s="108">
        <v>666</v>
      </c>
      <c r="B157" s="216">
        <v>2000055815004</v>
      </c>
      <c r="C157" s="108">
        <v>916</v>
      </c>
      <c r="D157" s="216">
        <v>2000055815013</v>
      </c>
      <c r="E157" s="217" t="s">
        <v>893</v>
      </c>
      <c r="F157" s="69">
        <v>0.4</v>
      </c>
      <c r="G157" s="70">
        <v>23.61</v>
      </c>
      <c r="H157" s="70">
        <v>1.07</v>
      </c>
      <c r="I157" s="70">
        <v>1.07</v>
      </c>
      <c r="J157" s="71">
        <v>0</v>
      </c>
      <c r="K157" s="72">
        <v>1534.42</v>
      </c>
      <c r="L157" s="72">
        <v>0.05</v>
      </c>
      <c r="M157" s="72">
        <v>0.05</v>
      </c>
    </row>
    <row r="158" spans="1:13" ht="14" x14ac:dyDescent="0.15">
      <c r="A158" s="108">
        <v>460</v>
      </c>
      <c r="B158" s="216">
        <v>2000056244977</v>
      </c>
      <c r="C158" s="108">
        <v>960</v>
      </c>
      <c r="D158" s="216">
        <v>2000056244986</v>
      </c>
      <c r="E158" s="217" t="s">
        <v>894</v>
      </c>
      <c r="F158" s="69">
        <v>0.39100000000000001</v>
      </c>
      <c r="G158" s="70">
        <v>9.56</v>
      </c>
      <c r="H158" s="70">
        <v>0.78</v>
      </c>
      <c r="I158" s="70">
        <v>0.78</v>
      </c>
      <c r="J158" s="71">
        <v>0</v>
      </c>
      <c r="K158" s="72">
        <v>358.65</v>
      </c>
      <c r="L158" s="72">
        <v>0.05</v>
      </c>
      <c r="M158" s="72">
        <v>0.05</v>
      </c>
    </row>
    <row r="159" spans="1:13" ht="14" x14ac:dyDescent="0.15">
      <c r="A159" s="108">
        <v>650</v>
      </c>
      <c r="B159" s="216">
        <v>2000056148799</v>
      </c>
      <c r="C159" s="108">
        <v>600</v>
      </c>
      <c r="D159" s="216">
        <v>2000056148804</v>
      </c>
      <c r="E159" s="217" t="s">
        <v>895</v>
      </c>
      <c r="F159" s="69">
        <v>2.3690000000000002</v>
      </c>
      <c r="G159" s="70">
        <v>7.06</v>
      </c>
      <c r="H159" s="70">
        <v>2.1</v>
      </c>
      <c r="I159" s="70">
        <v>2.1</v>
      </c>
      <c r="J159" s="71">
        <v>0</v>
      </c>
      <c r="K159" s="72">
        <v>1412.27</v>
      </c>
      <c r="L159" s="72">
        <v>0.05</v>
      </c>
      <c r="M159" s="72">
        <v>0.05</v>
      </c>
    </row>
    <row r="160" spans="1:13" ht="14" x14ac:dyDescent="0.15">
      <c r="A160" s="108">
        <v>651</v>
      </c>
      <c r="B160" s="216">
        <v>2000056082126</v>
      </c>
      <c r="C160" s="108">
        <v>601</v>
      </c>
      <c r="D160" s="216">
        <v>2000056082135</v>
      </c>
      <c r="E160" s="217" t="s">
        <v>896</v>
      </c>
      <c r="F160" s="69">
        <v>1.2</v>
      </c>
      <c r="G160" s="70">
        <v>1.36</v>
      </c>
      <c r="H160" s="70">
        <v>1.87</v>
      </c>
      <c r="I160" s="70">
        <v>1.87</v>
      </c>
      <c r="J160" s="71">
        <v>0</v>
      </c>
      <c r="K160" s="72">
        <v>476.35</v>
      </c>
      <c r="L160" s="72">
        <v>0.05</v>
      </c>
      <c r="M160" s="72">
        <v>0.05</v>
      </c>
    </row>
    <row r="161" spans="1:13" ht="14" x14ac:dyDescent="0.15">
      <c r="A161" s="108">
        <v>652</v>
      </c>
      <c r="B161" s="216">
        <v>2000056194252</v>
      </c>
      <c r="C161" s="108">
        <v>602</v>
      </c>
      <c r="D161" s="216">
        <v>2000056194261</v>
      </c>
      <c r="E161" s="217" t="s">
        <v>897</v>
      </c>
      <c r="F161" s="69">
        <v>6.0289999999999999</v>
      </c>
      <c r="G161" s="70">
        <v>12.87</v>
      </c>
      <c r="H161" s="70">
        <v>0.88</v>
      </c>
      <c r="I161" s="70">
        <v>0.88</v>
      </c>
      <c r="J161" s="71">
        <v>0</v>
      </c>
      <c r="K161" s="72">
        <v>424.69</v>
      </c>
      <c r="L161" s="72">
        <v>0.05</v>
      </c>
      <c r="M161" s="72">
        <v>0.05</v>
      </c>
    </row>
    <row r="162" spans="1:13" ht="14" x14ac:dyDescent="0.15">
      <c r="A162" s="108">
        <v>667</v>
      </c>
      <c r="B162" s="216">
        <v>2000055881610</v>
      </c>
      <c r="C162" s="108">
        <v>647</v>
      </c>
      <c r="D162" s="216">
        <v>2000055881629</v>
      </c>
      <c r="E162" s="217" t="s">
        <v>898</v>
      </c>
      <c r="F162" s="69">
        <v>1.204</v>
      </c>
      <c r="G162" s="70">
        <v>8.34</v>
      </c>
      <c r="H162" s="70">
        <v>1.36</v>
      </c>
      <c r="I162" s="70">
        <v>1.36</v>
      </c>
      <c r="J162" s="71">
        <v>0</v>
      </c>
      <c r="K162" s="72">
        <v>987.63</v>
      </c>
      <c r="L162" s="72">
        <v>0.05</v>
      </c>
      <c r="M162" s="72">
        <v>0.05</v>
      </c>
    </row>
    <row r="163" spans="1:13" ht="14" x14ac:dyDescent="0.15">
      <c r="A163" s="108">
        <v>465</v>
      </c>
      <c r="B163" s="216">
        <v>2000056474803</v>
      </c>
      <c r="C163" s="108">
        <v>954</v>
      </c>
      <c r="D163" s="216">
        <v>2000056474812</v>
      </c>
      <c r="E163" s="217" t="s">
        <v>899</v>
      </c>
      <c r="F163" s="69">
        <v>0</v>
      </c>
      <c r="G163" s="70">
        <v>10.58</v>
      </c>
      <c r="H163" s="70">
        <v>0.84</v>
      </c>
      <c r="I163" s="70">
        <v>0.84</v>
      </c>
      <c r="J163" s="71">
        <v>0</v>
      </c>
      <c r="K163" s="72">
        <v>1058.3800000000001</v>
      </c>
      <c r="L163" s="72">
        <v>0.05</v>
      </c>
      <c r="M163" s="72">
        <v>0.05</v>
      </c>
    </row>
    <row r="164" spans="1:13" ht="14" x14ac:dyDescent="0.15">
      <c r="A164" s="108">
        <v>653</v>
      </c>
      <c r="B164" s="216">
        <v>2000056179477</v>
      </c>
      <c r="C164" s="108">
        <v>603</v>
      </c>
      <c r="D164" s="216">
        <v>2000056179495</v>
      </c>
      <c r="E164" s="217" t="s">
        <v>900</v>
      </c>
      <c r="F164" s="69">
        <v>0.99299999999999999</v>
      </c>
      <c r="G164" s="70">
        <v>7.25</v>
      </c>
      <c r="H164" s="70">
        <v>0.99</v>
      </c>
      <c r="I164" s="70">
        <v>0.99</v>
      </c>
      <c r="J164" s="71">
        <v>0</v>
      </c>
      <c r="K164" s="72">
        <v>638.34</v>
      </c>
      <c r="L164" s="72">
        <v>0.05</v>
      </c>
      <c r="M164" s="72">
        <v>0.05</v>
      </c>
    </row>
    <row r="165" spans="1:13" ht="14" x14ac:dyDescent="0.15">
      <c r="A165" s="108">
        <v>654</v>
      </c>
      <c r="B165" s="216">
        <v>2000056205295</v>
      </c>
      <c r="C165" s="108">
        <v>604</v>
      </c>
      <c r="D165" s="216">
        <v>2000056205310</v>
      </c>
      <c r="E165" s="217" t="s">
        <v>901</v>
      </c>
      <c r="F165" s="69">
        <v>0.39800000000000002</v>
      </c>
      <c r="G165" s="70">
        <v>6.63</v>
      </c>
      <c r="H165" s="70">
        <v>0.98</v>
      </c>
      <c r="I165" s="70">
        <v>0.98</v>
      </c>
      <c r="J165" s="71">
        <v>0</v>
      </c>
      <c r="K165" s="72">
        <v>1029.49</v>
      </c>
      <c r="L165" s="72">
        <v>0.05</v>
      </c>
      <c r="M165" s="72">
        <v>0.05</v>
      </c>
    </row>
    <row r="166" spans="1:13" ht="14" x14ac:dyDescent="0.15">
      <c r="A166" s="108">
        <v>656</v>
      </c>
      <c r="B166" s="216">
        <v>2000056199942</v>
      </c>
      <c r="C166" s="108">
        <v>636</v>
      </c>
      <c r="D166" s="216">
        <v>2000056199951</v>
      </c>
      <c r="E166" s="217" t="s">
        <v>902</v>
      </c>
      <c r="F166" s="69">
        <v>0.40200000000000002</v>
      </c>
      <c r="G166" s="70">
        <v>4.34</v>
      </c>
      <c r="H166" s="70">
        <v>1.17</v>
      </c>
      <c r="I166" s="70">
        <v>1.17</v>
      </c>
      <c r="J166" s="71">
        <v>0</v>
      </c>
      <c r="K166" s="72">
        <v>473.37</v>
      </c>
      <c r="L166" s="72">
        <v>0.05</v>
      </c>
      <c r="M166" s="72">
        <v>0.05</v>
      </c>
    </row>
    <row r="167" spans="1:13" ht="14" x14ac:dyDescent="0.15">
      <c r="A167" s="108">
        <v>664</v>
      </c>
      <c r="B167" s="216">
        <v>2000056063709</v>
      </c>
      <c r="C167" s="108">
        <v>964</v>
      </c>
      <c r="D167" s="216">
        <v>2000056063718</v>
      </c>
      <c r="E167" s="217" t="s">
        <v>903</v>
      </c>
      <c r="F167" s="69">
        <v>0</v>
      </c>
      <c r="G167" s="70">
        <v>19.8</v>
      </c>
      <c r="H167" s="70">
        <v>0.82</v>
      </c>
      <c r="I167" s="70">
        <v>0.82</v>
      </c>
      <c r="J167" s="71">
        <v>0</v>
      </c>
      <c r="K167" s="72">
        <v>1436.03</v>
      </c>
      <c r="L167" s="72">
        <v>0.05</v>
      </c>
      <c r="M167" s="72">
        <v>0.05</v>
      </c>
    </row>
    <row r="168" spans="1:13" ht="14" x14ac:dyDescent="0.15">
      <c r="A168" s="108">
        <v>524</v>
      </c>
      <c r="B168" s="216">
        <v>2000056300470</v>
      </c>
      <c r="C168" s="108">
        <v>404</v>
      </c>
      <c r="D168" s="216">
        <v>2000056300489</v>
      </c>
      <c r="E168" s="217" t="s">
        <v>904</v>
      </c>
      <c r="F168" s="69">
        <v>0</v>
      </c>
      <c r="G168" s="70">
        <v>1.48</v>
      </c>
      <c r="H168" s="70">
        <v>1.52</v>
      </c>
      <c r="I168" s="70">
        <v>1.52</v>
      </c>
      <c r="J168" s="71">
        <v>0</v>
      </c>
      <c r="K168" s="72">
        <v>366.74</v>
      </c>
      <c r="L168" s="72">
        <v>0.05</v>
      </c>
      <c r="M168" s="72">
        <v>0.05</v>
      </c>
    </row>
    <row r="169" spans="1:13" ht="14" x14ac:dyDescent="0.15">
      <c r="A169" s="108">
        <v>675</v>
      </c>
      <c r="B169" s="216">
        <v>2000055907808</v>
      </c>
      <c r="C169" s="108">
        <v>945</v>
      </c>
      <c r="D169" s="216">
        <v>2000055907817</v>
      </c>
      <c r="E169" s="217" t="s">
        <v>905</v>
      </c>
      <c r="F169" s="69">
        <v>1</v>
      </c>
      <c r="G169" s="70">
        <v>2.2000000000000002</v>
      </c>
      <c r="H169" s="70">
        <v>1.65</v>
      </c>
      <c r="I169" s="70">
        <v>1.65</v>
      </c>
      <c r="J169" s="71">
        <v>0</v>
      </c>
      <c r="K169" s="72">
        <v>366.02</v>
      </c>
      <c r="L169" s="72">
        <v>0.05</v>
      </c>
      <c r="M169" s="72">
        <v>0.05</v>
      </c>
    </row>
    <row r="170" spans="1:13" ht="14" x14ac:dyDescent="0.15">
      <c r="A170" s="108">
        <v>676</v>
      </c>
      <c r="B170" s="216">
        <v>2000055904773</v>
      </c>
      <c r="C170" s="108">
        <v>936</v>
      </c>
      <c r="D170" s="216">
        <v>2000055904782</v>
      </c>
      <c r="E170" s="217" t="s">
        <v>906</v>
      </c>
      <c r="F170" s="69">
        <v>6.2329999999999997</v>
      </c>
      <c r="G170" s="70">
        <v>4.05</v>
      </c>
      <c r="H170" s="70">
        <v>1.24</v>
      </c>
      <c r="I170" s="70">
        <v>1.24</v>
      </c>
      <c r="J170" s="71">
        <v>0</v>
      </c>
      <c r="K170" s="72">
        <v>364.17</v>
      </c>
      <c r="L170" s="72">
        <v>0.05</v>
      </c>
      <c r="M170" s="72">
        <v>0.05</v>
      </c>
    </row>
    <row r="171" spans="1:13" ht="14" x14ac:dyDescent="0.15">
      <c r="A171" s="108">
        <v>681</v>
      </c>
      <c r="B171" s="216">
        <v>2000055926119</v>
      </c>
      <c r="C171" s="108">
        <v>781</v>
      </c>
      <c r="D171" s="216">
        <v>2000055926128</v>
      </c>
      <c r="E171" s="217" t="s">
        <v>907</v>
      </c>
      <c r="F171" s="69">
        <v>0.41199999999999998</v>
      </c>
      <c r="G171" s="70">
        <v>22.3</v>
      </c>
      <c r="H171" s="70">
        <v>0.73</v>
      </c>
      <c r="I171" s="70">
        <v>0.73</v>
      </c>
      <c r="J171" s="71">
        <v>0</v>
      </c>
      <c r="K171" s="72">
        <v>524.75</v>
      </c>
      <c r="L171" s="72">
        <v>0.05</v>
      </c>
      <c r="M171" s="72">
        <v>0.05</v>
      </c>
    </row>
    <row r="172" spans="1:13" ht="14" x14ac:dyDescent="0.15">
      <c r="A172" s="108">
        <v>668</v>
      </c>
      <c r="B172" s="216">
        <v>2000056199766</v>
      </c>
      <c r="C172" s="108">
        <v>968</v>
      </c>
      <c r="D172" s="216">
        <v>2000056199793</v>
      </c>
      <c r="E172" s="217" t="s">
        <v>908</v>
      </c>
      <c r="F172" s="69">
        <v>0.40500000000000003</v>
      </c>
      <c r="G172" s="70">
        <v>22.86</v>
      </c>
      <c r="H172" s="70">
        <v>1.1200000000000001</v>
      </c>
      <c r="I172" s="70">
        <v>1.1200000000000001</v>
      </c>
      <c r="J172" s="71">
        <v>0</v>
      </c>
      <c r="K172" s="72">
        <v>1323.48</v>
      </c>
      <c r="L172" s="72">
        <v>0.05</v>
      </c>
      <c r="M172" s="72">
        <v>0.05</v>
      </c>
    </row>
    <row r="173" spans="1:13" ht="14" x14ac:dyDescent="0.15">
      <c r="A173" s="108">
        <v>670</v>
      </c>
      <c r="B173" s="216">
        <v>2000056222885</v>
      </c>
      <c r="C173" s="108">
        <v>970</v>
      </c>
      <c r="D173" s="216">
        <v>2000056222894</v>
      </c>
      <c r="E173" s="217" t="s">
        <v>909</v>
      </c>
      <c r="F173" s="69">
        <v>2.3410000000000002</v>
      </c>
      <c r="G173" s="70">
        <v>7.29</v>
      </c>
      <c r="H173" s="70">
        <v>0.88</v>
      </c>
      <c r="I173" s="70">
        <v>0.88</v>
      </c>
      <c r="J173" s="71">
        <v>0</v>
      </c>
      <c r="K173" s="72">
        <v>360.93</v>
      </c>
      <c r="L173" s="72">
        <v>0.05</v>
      </c>
      <c r="M173" s="72">
        <v>0.05</v>
      </c>
    </row>
    <row r="174" spans="1:13" ht="14" x14ac:dyDescent="0.15">
      <c r="A174" s="108">
        <v>671</v>
      </c>
      <c r="B174" s="216">
        <v>2000056002307</v>
      </c>
      <c r="C174" s="108">
        <v>971</v>
      </c>
      <c r="D174" s="216">
        <v>2000056002316</v>
      </c>
      <c r="E174" s="217" t="s">
        <v>910</v>
      </c>
      <c r="F174" s="69">
        <v>6.2590000000000003</v>
      </c>
      <c r="G174" s="70">
        <v>11.34</v>
      </c>
      <c r="H174" s="70">
        <v>1.19</v>
      </c>
      <c r="I174" s="70">
        <v>1.19</v>
      </c>
      <c r="J174" s="71">
        <v>0</v>
      </c>
      <c r="K174" s="72">
        <v>2495.6</v>
      </c>
      <c r="L174" s="72">
        <v>0.05</v>
      </c>
      <c r="M174" s="72">
        <v>0.05</v>
      </c>
    </row>
    <row r="175" spans="1:13" ht="14" x14ac:dyDescent="0.15">
      <c r="A175" s="108">
        <v>677</v>
      </c>
      <c r="B175" s="216">
        <v>2000055904791</v>
      </c>
      <c r="C175" s="108">
        <v>777</v>
      </c>
      <c r="D175" s="216">
        <v>2000055904807</v>
      </c>
      <c r="E175" s="217" t="s">
        <v>911</v>
      </c>
      <c r="F175" s="69">
        <v>0</v>
      </c>
      <c r="G175" s="70">
        <v>5.44</v>
      </c>
      <c r="H175" s="70">
        <v>0.72</v>
      </c>
      <c r="I175" s="70">
        <v>0.72</v>
      </c>
      <c r="J175" s="71">
        <v>0</v>
      </c>
      <c r="K175" s="72">
        <v>362.78</v>
      </c>
      <c r="L175" s="72">
        <v>0.05</v>
      </c>
      <c r="M175" s="72">
        <v>0.05</v>
      </c>
    </row>
    <row r="176" spans="1:13" ht="14" x14ac:dyDescent="0.15">
      <c r="A176" s="108">
        <v>678</v>
      </c>
      <c r="B176" s="216">
        <v>2000055916272</v>
      </c>
      <c r="C176" s="108">
        <v>778</v>
      </c>
      <c r="D176" s="216">
        <v>2000055916281</v>
      </c>
      <c r="E176" s="217" t="s">
        <v>912</v>
      </c>
      <c r="F176" s="69">
        <v>0</v>
      </c>
      <c r="G176" s="70">
        <v>6.04</v>
      </c>
      <c r="H176" s="70">
        <v>1.1499999999999999</v>
      </c>
      <c r="I176" s="70">
        <v>1.1499999999999999</v>
      </c>
      <c r="J176" s="71">
        <v>0</v>
      </c>
      <c r="K176" s="72">
        <v>362.18</v>
      </c>
      <c r="L176" s="72">
        <v>0.05</v>
      </c>
      <c r="M176" s="72">
        <v>0.05</v>
      </c>
    </row>
    <row r="177" spans="1:13" ht="14" x14ac:dyDescent="0.15">
      <c r="A177" s="108">
        <v>679</v>
      </c>
      <c r="B177" s="216">
        <v>2000055891167</v>
      </c>
      <c r="C177" s="108">
        <v>779</v>
      </c>
      <c r="D177" s="216">
        <v>2000055891176</v>
      </c>
      <c r="E177" s="217" t="s">
        <v>913</v>
      </c>
      <c r="F177" s="69">
        <v>2.3759999999999999</v>
      </c>
      <c r="G177" s="70">
        <v>11.28</v>
      </c>
      <c r="H177" s="70">
        <v>1.29</v>
      </c>
      <c r="I177" s="70">
        <v>1.29</v>
      </c>
      <c r="J177" s="71">
        <v>0</v>
      </c>
      <c r="K177" s="72">
        <v>1127.02</v>
      </c>
      <c r="L177" s="72">
        <v>0.05</v>
      </c>
      <c r="M177" s="72">
        <v>0.05</v>
      </c>
    </row>
    <row r="178" spans="1:13" ht="14" x14ac:dyDescent="0.15">
      <c r="A178" s="108">
        <v>672</v>
      </c>
      <c r="B178" s="216">
        <v>2000056147378</v>
      </c>
      <c r="C178" s="108">
        <v>972</v>
      </c>
      <c r="D178" s="216">
        <v>2000056147387</v>
      </c>
      <c r="E178" s="217" t="s">
        <v>914</v>
      </c>
      <c r="F178" s="69">
        <v>1.875</v>
      </c>
      <c r="G178" s="70">
        <v>4.84</v>
      </c>
      <c r="H178" s="70">
        <v>3.04</v>
      </c>
      <c r="I178" s="70">
        <v>3.04</v>
      </c>
      <c r="J178" s="71">
        <v>0</v>
      </c>
      <c r="K178" s="72">
        <v>2151.73</v>
      </c>
      <c r="L178" s="72">
        <v>0.05</v>
      </c>
      <c r="M178" s="72">
        <v>0.05</v>
      </c>
    </row>
    <row r="179" spans="1:13" ht="14" x14ac:dyDescent="0.15">
      <c r="A179" s="108">
        <v>680</v>
      </c>
      <c r="B179" s="216">
        <v>2000055908537</v>
      </c>
      <c r="C179" s="108">
        <v>780</v>
      </c>
      <c r="D179" s="216">
        <v>2000055908546</v>
      </c>
      <c r="E179" s="217" t="s">
        <v>915</v>
      </c>
      <c r="F179" s="69">
        <v>6.2389999999999999</v>
      </c>
      <c r="G179" s="70">
        <v>2.39</v>
      </c>
      <c r="H179" s="70">
        <v>1.23</v>
      </c>
      <c r="I179" s="70">
        <v>1.23</v>
      </c>
      <c r="J179" s="71">
        <v>0</v>
      </c>
      <c r="K179" s="72">
        <v>248.71</v>
      </c>
      <c r="L179" s="72">
        <v>0.05</v>
      </c>
      <c r="M179" s="72">
        <v>0.05</v>
      </c>
    </row>
    <row r="180" spans="1:13" ht="14" x14ac:dyDescent="0.15">
      <c r="A180" s="108">
        <v>674</v>
      </c>
      <c r="B180" s="216">
        <v>2000056049271</v>
      </c>
      <c r="C180" s="108">
        <v>974</v>
      </c>
      <c r="D180" s="216">
        <v>2000056049280</v>
      </c>
      <c r="E180" s="217" t="s">
        <v>916</v>
      </c>
      <c r="F180" s="69">
        <v>6.1829999999999998</v>
      </c>
      <c r="G180" s="70">
        <v>2.41</v>
      </c>
      <c r="H180" s="70">
        <v>0.97</v>
      </c>
      <c r="I180" s="70">
        <v>0.97</v>
      </c>
      <c r="J180" s="71">
        <v>0</v>
      </c>
      <c r="K180" s="72">
        <v>248.69</v>
      </c>
      <c r="L180" s="72">
        <v>0.05</v>
      </c>
      <c r="M180" s="72">
        <v>0.05</v>
      </c>
    </row>
    <row r="181" spans="1:13" ht="14" x14ac:dyDescent="0.15">
      <c r="A181" s="108">
        <v>682</v>
      </c>
      <c r="B181" s="216">
        <v>2000056049305</v>
      </c>
      <c r="C181" s="108">
        <v>782</v>
      </c>
      <c r="D181" s="216">
        <v>2000056049314</v>
      </c>
      <c r="E181" s="217" t="s">
        <v>917</v>
      </c>
      <c r="F181" s="69">
        <v>6.1349999999999998</v>
      </c>
      <c r="G181" s="70">
        <v>2.5299999999999998</v>
      </c>
      <c r="H181" s="70">
        <v>0.97</v>
      </c>
      <c r="I181" s="70">
        <v>0.97</v>
      </c>
      <c r="J181" s="71">
        <v>0</v>
      </c>
      <c r="K181" s="72">
        <v>248.57</v>
      </c>
      <c r="L181" s="72">
        <v>0.05</v>
      </c>
      <c r="M181" s="72">
        <v>0.05</v>
      </c>
    </row>
    <row r="182" spans="1:13" ht="14" x14ac:dyDescent="0.15">
      <c r="A182" s="108" t="s">
        <v>1097</v>
      </c>
      <c r="B182" s="216">
        <v>2000056827906</v>
      </c>
      <c r="C182" s="108" t="s">
        <v>1122</v>
      </c>
      <c r="D182" s="216">
        <v>2000056827915</v>
      </c>
      <c r="E182" s="217" t="s">
        <v>918</v>
      </c>
      <c r="F182" s="69">
        <v>6.234</v>
      </c>
      <c r="G182" s="70">
        <v>13.66</v>
      </c>
      <c r="H182" s="70">
        <v>0.78</v>
      </c>
      <c r="I182" s="70">
        <v>0.78</v>
      </c>
      <c r="J182" s="71">
        <v>0</v>
      </c>
      <c r="K182" s="72">
        <v>237.44</v>
      </c>
      <c r="L182" s="72">
        <v>0.05</v>
      </c>
      <c r="M182" s="72">
        <v>0.05</v>
      </c>
    </row>
    <row r="183" spans="1:13" ht="14" x14ac:dyDescent="0.15">
      <c r="A183" s="108">
        <v>683</v>
      </c>
      <c r="B183" s="216">
        <v>2000056169804</v>
      </c>
      <c r="C183" s="108">
        <v>783</v>
      </c>
      <c r="D183" s="216">
        <v>2000056169822</v>
      </c>
      <c r="E183" s="217" t="s">
        <v>919</v>
      </c>
      <c r="F183" s="69">
        <v>2.3690000000000002</v>
      </c>
      <c r="G183" s="70">
        <v>3.45</v>
      </c>
      <c r="H183" s="70">
        <v>1.53</v>
      </c>
      <c r="I183" s="70">
        <v>1.53</v>
      </c>
      <c r="J183" s="71">
        <v>0</v>
      </c>
      <c r="K183" s="72">
        <v>751.64</v>
      </c>
      <c r="L183" s="72">
        <v>0.05</v>
      </c>
      <c r="M183" s="72">
        <v>0.05</v>
      </c>
    </row>
    <row r="184" spans="1:13" ht="14" x14ac:dyDescent="0.15">
      <c r="A184" s="108">
        <v>684</v>
      </c>
      <c r="B184" s="216">
        <v>2000056179662</v>
      </c>
      <c r="C184" s="108">
        <v>784</v>
      </c>
      <c r="D184" s="216">
        <v>2000056179680</v>
      </c>
      <c r="E184" s="217" t="s">
        <v>920</v>
      </c>
      <c r="F184" s="69">
        <v>6.2510000000000003</v>
      </c>
      <c r="G184" s="70">
        <v>11.3</v>
      </c>
      <c r="H184" s="70">
        <v>1.23</v>
      </c>
      <c r="I184" s="70">
        <v>1.23</v>
      </c>
      <c r="J184" s="71">
        <v>0</v>
      </c>
      <c r="K184" s="72">
        <v>1057.6600000000001</v>
      </c>
      <c r="L184" s="72">
        <v>0.05</v>
      </c>
      <c r="M184" s="72">
        <v>0.05</v>
      </c>
    </row>
    <row r="185" spans="1:13" ht="14" x14ac:dyDescent="0.15">
      <c r="A185" s="108">
        <v>685</v>
      </c>
      <c r="B185" s="216">
        <v>2000056107107</v>
      </c>
      <c r="C185" s="108">
        <v>785</v>
      </c>
      <c r="D185" s="216">
        <v>2000056107125</v>
      </c>
      <c r="E185" s="217" t="s">
        <v>921</v>
      </c>
      <c r="F185" s="69">
        <v>6.218</v>
      </c>
      <c r="G185" s="70">
        <v>2.72</v>
      </c>
      <c r="H185" s="70">
        <v>1.61</v>
      </c>
      <c r="I185" s="70">
        <v>1.61</v>
      </c>
      <c r="J185" s="71">
        <v>0</v>
      </c>
      <c r="K185" s="72">
        <v>365.5</v>
      </c>
      <c r="L185" s="72">
        <v>0.05</v>
      </c>
      <c r="M185" s="72">
        <v>0.05</v>
      </c>
    </row>
    <row r="186" spans="1:13" ht="14" x14ac:dyDescent="0.15">
      <c r="A186" s="108">
        <v>686</v>
      </c>
      <c r="B186" s="216">
        <v>2000056113954</v>
      </c>
      <c r="C186" s="108">
        <v>786</v>
      </c>
      <c r="D186" s="216">
        <v>2000056113963</v>
      </c>
      <c r="E186" s="217" t="s">
        <v>922</v>
      </c>
      <c r="F186" s="69">
        <v>0.40300000000000002</v>
      </c>
      <c r="G186" s="70">
        <v>3.34</v>
      </c>
      <c r="H186" s="70">
        <v>1.62</v>
      </c>
      <c r="I186" s="70">
        <v>1.62</v>
      </c>
      <c r="J186" s="71">
        <v>0</v>
      </c>
      <c r="K186" s="72">
        <v>364.88</v>
      </c>
      <c r="L186" s="72">
        <v>0.05</v>
      </c>
      <c r="M186" s="72">
        <v>0.05</v>
      </c>
    </row>
    <row r="187" spans="1:13" ht="14" x14ac:dyDescent="0.15">
      <c r="A187" s="108">
        <v>687</v>
      </c>
      <c r="B187" s="216">
        <v>2000056138132</v>
      </c>
      <c r="C187" s="108">
        <v>787</v>
      </c>
      <c r="D187" s="216">
        <v>2000056138160</v>
      </c>
      <c r="E187" s="217" t="s">
        <v>923</v>
      </c>
      <c r="F187" s="69">
        <v>0.40400000000000003</v>
      </c>
      <c r="G187" s="70">
        <v>1.22</v>
      </c>
      <c r="H187" s="70">
        <v>1.53</v>
      </c>
      <c r="I187" s="70">
        <v>1.53</v>
      </c>
      <c r="J187" s="71">
        <v>0</v>
      </c>
      <c r="K187" s="72">
        <v>367</v>
      </c>
      <c r="L187" s="72">
        <v>0.05</v>
      </c>
      <c r="M187" s="72">
        <v>0.05</v>
      </c>
    </row>
    <row r="188" spans="1:13" ht="14" x14ac:dyDescent="0.15">
      <c r="A188" s="108">
        <v>688</v>
      </c>
      <c r="B188" s="216">
        <v>2000056167913</v>
      </c>
      <c r="C188" s="108">
        <v>788</v>
      </c>
      <c r="D188" s="216">
        <v>2000056167922</v>
      </c>
      <c r="E188" s="217" t="s">
        <v>924</v>
      </c>
      <c r="F188" s="69">
        <v>2.3660000000000001</v>
      </c>
      <c r="G188" s="70">
        <v>0.52</v>
      </c>
      <c r="H188" s="70">
        <v>2.39</v>
      </c>
      <c r="I188" s="70">
        <v>2.39</v>
      </c>
      <c r="J188" s="71">
        <v>0</v>
      </c>
      <c r="K188" s="72">
        <v>250.58</v>
      </c>
      <c r="L188" s="72">
        <v>0.05</v>
      </c>
      <c r="M188" s="72">
        <v>0.05</v>
      </c>
    </row>
    <row r="189" spans="1:13" ht="14" x14ac:dyDescent="0.15">
      <c r="A189" s="108">
        <v>525</v>
      </c>
      <c r="B189" s="216">
        <v>2000056537756</v>
      </c>
      <c r="C189" s="108">
        <v>956</v>
      </c>
      <c r="D189" s="216">
        <v>2000056537783</v>
      </c>
      <c r="E189" s="217" t="s">
        <v>925</v>
      </c>
      <c r="F189" s="69">
        <v>0.59599999999999997</v>
      </c>
      <c r="G189" s="70">
        <v>16.46</v>
      </c>
      <c r="H189" s="70">
        <v>1.5</v>
      </c>
      <c r="I189" s="70">
        <v>1.5</v>
      </c>
      <c r="J189" s="71">
        <v>0</v>
      </c>
      <c r="K189" s="72">
        <v>2908.37</v>
      </c>
      <c r="L189" s="72">
        <v>0.05</v>
      </c>
      <c r="M189" s="72">
        <v>0.05</v>
      </c>
    </row>
    <row r="190" spans="1:13" ht="14" x14ac:dyDescent="0.15">
      <c r="A190" s="108">
        <v>689</v>
      </c>
      <c r="B190" s="216">
        <v>2000055874960</v>
      </c>
      <c r="C190" s="108">
        <v>789</v>
      </c>
      <c r="D190" s="216">
        <v>2000055874979</v>
      </c>
      <c r="E190" s="217" t="s">
        <v>926</v>
      </c>
      <c r="F190" s="69">
        <v>0</v>
      </c>
      <c r="G190" s="70">
        <v>1156.1500000000001</v>
      </c>
      <c r="H190" s="70">
        <v>0.78</v>
      </c>
      <c r="I190" s="70">
        <v>0.78</v>
      </c>
      <c r="J190" s="71">
        <v>0</v>
      </c>
      <c r="K190" s="72">
        <v>7157.12</v>
      </c>
      <c r="L190" s="72">
        <v>0.05</v>
      </c>
      <c r="M190" s="72">
        <v>0.05</v>
      </c>
    </row>
    <row r="191" spans="1:13" ht="14" x14ac:dyDescent="0.15">
      <c r="A191" s="108">
        <v>690</v>
      </c>
      <c r="B191" s="216">
        <v>2000056147225</v>
      </c>
      <c r="C191" s="108">
        <v>790</v>
      </c>
      <c r="D191" s="216">
        <v>2000056147261</v>
      </c>
      <c r="E191" s="217" t="s">
        <v>927</v>
      </c>
      <c r="F191" s="69">
        <v>0</v>
      </c>
      <c r="G191" s="70">
        <v>4.5</v>
      </c>
      <c r="H191" s="70">
        <v>1.1599999999999999</v>
      </c>
      <c r="I191" s="70">
        <v>1.1599999999999999</v>
      </c>
      <c r="J191" s="71">
        <v>0</v>
      </c>
      <c r="K191" s="72">
        <v>750.58</v>
      </c>
      <c r="L191" s="72">
        <v>0.05</v>
      </c>
      <c r="M191" s="72">
        <v>0.05</v>
      </c>
    </row>
    <row r="192" spans="1:13" ht="14" x14ac:dyDescent="0.15">
      <c r="A192" s="108">
        <v>691</v>
      </c>
      <c r="B192" s="216">
        <v>2000055932200</v>
      </c>
      <c r="C192" s="108">
        <v>791</v>
      </c>
      <c r="D192" s="216">
        <v>2000055932238</v>
      </c>
      <c r="E192" s="217" t="s">
        <v>928</v>
      </c>
      <c r="F192" s="69">
        <v>0</v>
      </c>
      <c r="G192" s="70">
        <v>0.73</v>
      </c>
      <c r="H192" s="70">
        <v>4.37</v>
      </c>
      <c r="I192" s="70">
        <v>4.37</v>
      </c>
      <c r="J192" s="71">
        <v>0</v>
      </c>
      <c r="K192" s="72">
        <v>367.48</v>
      </c>
      <c r="L192" s="72">
        <v>0.05</v>
      </c>
      <c r="M192" s="72">
        <v>0.05</v>
      </c>
    </row>
    <row r="193" spans="1:13" ht="224" x14ac:dyDescent="0.15">
      <c r="A193" s="108">
        <v>729</v>
      </c>
      <c r="B193" s="216" t="s">
        <v>1150</v>
      </c>
      <c r="C193" s="108"/>
      <c r="D193" s="216"/>
      <c r="E193" s="217" t="s">
        <v>929</v>
      </c>
      <c r="F193" s="69">
        <v>0.95799999999999996</v>
      </c>
      <c r="G193" s="70">
        <v>8805.8700000000008</v>
      </c>
      <c r="H193" s="70">
        <v>1.45</v>
      </c>
      <c r="I193" s="70">
        <v>1.45</v>
      </c>
      <c r="J193" s="71">
        <v>0</v>
      </c>
      <c r="K193" s="72">
        <v>0</v>
      </c>
      <c r="L193" s="72">
        <v>0</v>
      </c>
      <c r="M193" s="72">
        <v>0</v>
      </c>
    </row>
    <row r="194" spans="1:13" ht="14" x14ac:dyDescent="0.15">
      <c r="A194" s="108">
        <v>527</v>
      </c>
      <c r="B194" s="216">
        <v>2000056441375</v>
      </c>
      <c r="C194" s="108">
        <v>962</v>
      </c>
      <c r="D194" s="216">
        <v>2000056441384</v>
      </c>
      <c r="E194" s="217" t="s">
        <v>930</v>
      </c>
      <c r="F194" s="69">
        <v>0</v>
      </c>
      <c r="G194" s="70">
        <v>4</v>
      </c>
      <c r="H194" s="70">
        <v>1.39</v>
      </c>
      <c r="I194" s="70">
        <v>1.39</v>
      </c>
      <c r="J194" s="71">
        <v>0</v>
      </c>
      <c r="K194" s="72">
        <v>433.56</v>
      </c>
      <c r="L194" s="72">
        <v>0.05</v>
      </c>
      <c r="M194" s="72">
        <v>0.05</v>
      </c>
    </row>
    <row r="195" spans="1:13" ht="14" x14ac:dyDescent="0.15">
      <c r="A195" s="108">
        <v>692</v>
      </c>
      <c r="B195" s="216">
        <v>2000056204956</v>
      </c>
      <c r="C195" s="108">
        <v>792</v>
      </c>
      <c r="D195" s="216">
        <v>2000056204965</v>
      </c>
      <c r="E195" s="217" t="s">
        <v>931</v>
      </c>
      <c r="F195" s="69">
        <v>0</v>
      </c>
      <c r="G195" s="70">
        <v>44.2</v>
      </c>
      <c r="H195" s="70">
        <v>2.12</v>
      </c>
      <c r="I195" s="70">
        <v>2.12</v>
      </c>
      <c r="J195" s="71">
        <v>0</v>
      </c>
      <c r="K195" s="72">
        <v>5156.2299999999996</v>
      </c>
      <c r="L195" s="72">
        <v>0.05</v>
      </c>
      <c r="M195" s="72">
        <v>0.05</v>
      </c>
    </row>
    <row r="196" spans="1:13" ht="14" x14ac:dyDescent="0.15">
      <c r="A196" s="108">
        <v>897</v>
      </c>
      <c r="B196" s="216" t="s">
        <v>1148</v>
      </c>
      <c r="C196" s="108">
        <v>933</v>
      </c>
      <c r="D196" s="216" t="s">
        <v>1148</v>
      </c>
      <c r="E196" s="217" t="s">
        <v>932</v>
      </c>
      <c r="F196" s="69">
        <v>0.40100000000000002</v>
      </c>
      <c r="G196" s="70">
        <v>3.34</v>
      </c>
      <c r="H196" s="70">
        <v>1.1100000000000001</v>
      </c>
      <c r="I196" s="70">
        <v>1.1100000000000001</v>
      </c>
      <c r="J196" s="71">
        <v>0</v>
      </c>
      <c r="K196" s="72">
        <v>364.88</v>
      </c>
      <c r="L196" s="72">
        <v>0.05</v>
      </c>
      <c r="M196" s="72">
        <v>0.05</v>
      </c>
    </row>
    <row r="197" spans="1:13" ht="14" x14ac:dyDescent="0.15">
      <c r="A197" s="108">
        <v>528</v>
      </c>
      <c r="B197" s="216">
        <v>2000056213152</v>
      </c>
      <c r="C197" s="108">
        <v>618</v>
      </c>
      <c r="D197" s="216">
        <v>2000056439613</v>
      </c>
      <c r="E197" s="217" t="s">
        <v>933</v>
      </c>
      <c r="F197" s="69">
        <v>0</v>
      </c>
      <c r="G197" s="70">
        <v>12.79</v>
      </c>
      <c r="H197" s="70">
        <v>1.9</v>
      </c>
      <c r="I197" s="70">
        <v>1.9</v>
      </c>
      <c r="J197" s="71">
        <v>0</v>
      </c>
      <c r="K197" s="72">
        <v>3478.19</v>
      </c>
      <c r="L197" s="72">
        <v>0.05</v>
      </c>
      <c r="M197" s="72">
        <v>0.05</v>
      </c>
    </row>
    <row r="198" spans="1:13" ht="14" x14ac:dyDescent="0.15">
      <c r="A198" s="108">
        <v>693</v>
      </c>
      <c r="B198" s="216">
        <v>2000056147396</v>
      </c>
      <c r="C198" s="108">
        <v>793</v>
      </c>
      <c r="D198" s="216">
        <v>2000056147401</v>
      </c>
      <c r="E198" s="217" t="s">
        <v>934</v>
      </c>
      <c r="F198" s="69">
        <v>2.371</v>
      </c>
      <c r="G198" s="70">
        <v>1.17</v>
      </c>
      <c r="H198" s="70">
        <v>1.97</v>
      </c>
      <c r="I198" s="70">
        <v>1.97</v>
      </c>
      <c r="J198" s="71">
        <v>0</v>
      </c>
      <c r="K198" s="72">
        <v>367.05</v>
      </c>
      <c r="L198" s="72">
        <v>0.05</v>
      </c>
      <c r="M198" s="72">
        <v>0.05</v>
      </c>
    </row>
    <row r="199" spans="1:13" ht="14" x14ac:dyDescent="0.15">
      <c r="A199" s="108">
        <v>529</v>
      </c>
      <c r="B199" s="216">
        <v>2000056359669</v>
      </c>
      <c r="C199" s="108">
        <v>989</v>
      </c>
      <c r="D199" s="216">
        <v>2000056359863</v>
      </c>
      <c r="E199" s="217" t="s">
        <v>935</v>
      </c>
      <c r="F199" s="69">
        <v>0</v>
      </c>
      <c r="G199" s="70">
        <v>18.010000000000002</v>
      </c>
      <c r="H199" s="70">
        <v>1.41</v>
      </c>
      <c r="I199" s="70">
        <v>1.41</v>
      </c>
      <c r="J199" s="71">
        <v>0</v>
      </c>
      <c r="K199" s="72">
        <v>2521.7800000000002</v>
      </c>
      <c r="L199" s="72">
        <v>0.05</v>
      </c>
      <c r="M199" s="72">
        <v>0.05</v>
      </c>
    </row>
    <row r="200" spans="1:13" ht="14" x14ac:dyDescent="0.15">
      <c r="A200" s="108">
        <v>694</v>
      </c>
      <c r="B200" s="216">
        <v>2000056202391</v>
      </c>
      <c r="C200" s="108">
        <v>794</v>
      </c>
      <c r="D200" s="216">
        <v>2000056202407</v>
      </c>
      <c r="E200" s="217" t="s">
        <v>936</v>
      </c>
      <c r="F200" s="69">
        <v>0.98599999999999999</v>
      </c>
      <c r="G200" s="70">
        <v>14.21</v>
      </c>
      <c r="H200" s="70">
        <v>0.91</v>
      </c>
      <c r="I200" s="70">
        <v>0.91</v>
      </c>
      <c r="J200" s="71">
        <v>0</v>
      </c>
      <c r="K200" s="72">
        <v>1332.13</v>
      </c>
      <c r="L200" s="72">
        <v>0.05</v>
      </c>
      <c r="M200" s="72">
        <v>0.05</v>
      </c>
    </row>
    <row r="201" spans="1:13" ht="14" x14ac:dyDescent="0.15">
      <c r="A201" s="108">
        <v>585</v>
      </c>
      <c r="B201" s="216">
        <v>2000056452109</v>
      </c>
      <c r="C201" s="108">
        <v>963</v>
      </c>
      <c r="D201" s="216">
        <v>2000056452118</v>
      </c>
      <c r="E201" s="217" t="s">
        <v>937</v>
      </c>
      <c r="F201" s="69">
        <v>0.40200000000000002</v>
      </c>
      <c r="G201" s="70">
        <v>6.69</v>
      </c>
      <c r="H201" s="70">
        <v>1.1499999999999999</v>
      </c>
      <c r="I201" s="70">
        <v>1.1499999999999999</v>
      </c>
      <c r="J201" s="71">
        <v>0</v>
      </c>
      <c r="K201" s="72">
        <v>500.22</v>
      </c>
      <c r="L201" s="72">
        <v>0.05</v>
      </c>
      <c r="M201" s="72">
        <v>0.05</v>
      </c>
    </row>
    <row r="202" spans="1:13" ht="14" x14ac:dyDescent="0.15">
      <c r="A202" s="108">
        <v>695</v>
      </c>
      <c r="B202" s="216">
        <v>2000056186400</v>
      </c>
      <c r="C202" s="108">
        <v>795</v>
      </c>
      <c r="D202" s="216">
        <v>2000056186438</v>
      </c>
      <c r="E202" s="217" t="s">
        <v>938</v>
      </c>
      <c r="F202" s="69">
        <v>0</v>
      </c>
      <c r="G202" s="70">
        <v>30.67</v>
      </c>
      <c r="H202" s="70">
        <v>1.06</v>
      </c>
      <c r="I202" s="70">
        <v>1.06</v>
      </c>
      <c r="J202" s="71">
        <v>0</v>
      </c>
      <c r="K202" s="72">
        <v>6301.16</v>
      </c>
      <c r="L202" s="72">
        <v>0.05</v>
      </c>
      <c r="M202" s="72">
        <v>0.05</v>
      </c>
    </row>
    <row r="203" spans="1:13" ht="14" x14ac:dyDescent="0.15">
      <c r="A203" s="108">
        <v>696</v>
      </c>
      <c r="B203" s="216">
        <v>2000056166440</v>
      </c>
      <c r="C203" s="108">
        <v>796</v>
      </c>
      <c r="D203" s="216">
        <v>2000056166469</v>
      </c>
      <c r="E203" s="217" t="s">
        <v>939</v>
      </c>
      <c r="F203" s="69">
        <v>6.2439999999999998</v>
      </c>
      <c r="G203" s="70">
        <v>38.159999999999997</v>
      </c>
      <c r="H203" s="70">
        <v>1.67</v>
      </c>
      <c r="I203" s="70">
        <v>1.67</v>
      </c>
      <c r="J203" s="71">
        <v>0</v>
      </c>
      <c r="K203" s="72">
        <v>3052.74</v>
      </c>
      <c r="L203" s="72">
        <v>0.05</v>
      </c>
      <c r="M203" s="72">
        <v>0.05</v>
      </c>
    </row>
    <row r="204" spans="1:13" ht="14" x14ac:dyDescent="0.15">
      <c r="A204" s="108" t="s">
        <v>1098</v>
      </c>
      <c r="B204" s="216">
        <v>2000056792652</v>
      </c>
      <c r="C204" s="108" t="s">
        <v>1123</v>
      </c>
      <c r="D204" s="216">
        <v>2000056792661</v>
      </c>
      <c r="E204" s="217" t="s">
        <v>940</v>
      </c>
      <c r="F204" s="69">
        <v>0</v>
      </c>
      <c r="G204" s="70">
        <v>1.96</v>
      </c>
      <c r="H204" s="70">
        <v>2.46</v>
      </c>
      <c r="I204" s="70">
        <v>2.46</v>
      </c>
      <c r="J204" s="71">
        <v>0</v>
      </c>
      <c r="K204" s="72">
        <v>470.28</v>
      </c>
      <c r="L204" s="72">
        <v>0.05</v>
      </c>
      <c r="M204" s="72">
        <v>0.05</v>
      </c>
    </row>
    <row r="205" spans="1:13" ht="14" x14ac:dyDescent="0.15">
      <c r="A205" s="108">
        <v>897</v>
      </c>
      <c r="B205" s="216" t="s">
        <v>1148</v>
      </c>
      <c r="C205" s="108">
        <v>933</v>
      </c>
      <c r="D205" s="216" t="s">
        <v>1148</v>
      </c>
      <c r="E205" s="217" t="s">
        <v>941</v>
      </c>
      <c r="F205" s="69">
        <v>0</v>
      </c>
      <c r="G205" s="70">
        <v>7.97</v>
      </c>
      <c r="H205" s="70">
        <v>1.1100000000000001</v>
      </c>
      <c r="I205" s="70">
        <v>1.1100000000000001</v>
      </c>
      <c r="J205" s="71">
        <v>0</v>
      </c>
      <c r="K205" s="72">
        <v>637.63</v>
      </c>
      <c r="L205" s="72">
        <v>0.05</v>
      </c>
      <c r="M205" s="72">
        <v>0.05</v>
      </c>
    </row>
    <row r="206" spans="1:13" ht="14" x14ac:dyDescent="0.15">
      <c r="A206" s="108">
        <v>595</v>
      </c>
      <c r="B206" s="216">
        <v>2000056384832</v>
      </c>
      <c r="C206" s="108">
        <v>980</v>
      </c>
      <c r="D206" s="216">
        <v>2000056384850</v>
      </c>
      <c r="E206" s="217" t="s">
        <v>942</v>
      </c>
      <c r="F206" s="69">
        <v>6.1859999999999999</v>
      </c>
      <c r="G206" s="70">
        <v>13.28</v>
      </c>
      <c r="H206" s="70">
        <v>0.82</v>
      </c>
      <c r="I206" s="70">
        <v>0.82</v>
      </c>
      <c r="J206" s="71">
        <v>0</v>
      </c>
      <c r="K206" s="72">
        <v>438.15</v>
      </c>
      <c r="L206" s="72">
        <v>0.05</v>
      </c>
      <c r="M206" s="72">
        <v>0.05</v>
      </c>
    </row>
    <row r="207" spans="1:13" ht="14" x14ac:dyDescent="0.15">
      <c r="A207" s="108">
        <v>655</v>
      </c>
      <c r="B207" s="216">
        <v>2000056536112</v>
      </c>
      <c r="C207" s="108">
        <v>955</v>
      </c>
      <c r="D207" s="216">
        <v>2000056536121</v>
      </c>
      <c r="E207" s="217" t="s">
        <v>943</v>
      </c>
      <c r="F207" s="69">
        <v>0</v>
      </c>
      <c r="G207" s="70">
        <v>2.87</v>
      </c>
      <c r="H207" s="70">
        <v>1.29</v>
      </c>
      <c r="I207" s="70">
        <v>1.29</v>
      </c>
      <c r="J207" s="71">
        <v>0</v>
      </c>
      <c r="K207" s="72">
        <v>667.94</v>
      </c>
      <c r="L207" s="72">
        <v>0.05</v>
      </c>
      <c r="M207" s="72">
        <v>0.05</v>
      </c>
    </row>
    <row r="208" spans="1:13" ht="14" x14ac:dyDescent="0.15">
      <c r="A208" s="108">
        <v>657</v>
      </c>
      <c r="B208" s="216">
        <v>2000056456256</v>
      </c>
      <c r="C208" s="108">
        <v>957</v>
      </c>
      <c r="D208" s="216">
        <v>2000056456265</v>
      </c>
      <c r="E208" s="217" t="s">
        <v>944</v>
      </c>
      <c r="F208" s="69">
        <v>0</v>
      </c>
      <c r="G208" s="70">
        <v>22.83</v>
      </c>
      <c r="H208" s="70">
        <v>1.26</v>
      </c>
      <c r="I208" s="70">
        <v>1.26</v>
      </c>
      <c r="J208" s="71">
        <v>0</v>
      </c>
      <c r="K208" s="72">
        <v>228.27</v>
      </c>
      <c r="L208" s="72">
        <v>0.05</v>
      </c>
      <c r="M208" s="72">
        <v>0.05</v>
      </c>
    </row>
    <row r="209" spans="1:13" ht="14" x14ac:dyDescent="0.15">
      <c r="A209" s="108">
        <v>659</v>
      </c>
      <c r="B209" s="216">
        <v>2000056439998</v>
      </c>
      <c r="C209" s="108">
        <v>999</v>
      </c>
      <c r="D209" s="216">
        <v>2000056440006</v>
      </c>
      <c r="E209" s="217" t="s">
        <v>945</v>
      </c>
      <c r="F209" s="69">
        <v>0</v>
      </c>
      <c r="G209" s="70">
        <v>3.53</v>
      </c>
      <c r="H209" s="70">
        <v>0.89</v>
      </c>
      <c r="I209" s="70">
        <v>0.89</v>
      </c>
      <c r="J209" s="71">
        <v>0</v>
      </c>
      <c r="K209" s="72">
        <v>330.8</v>
      </c>
      <c r="L209" s="72">
        <v>0.05</v>
      </c>
      <c r="M209" s="72">
        <v>0.05</v>
      </c>
    </row>
    <row r="210" spans="1:13" ht="14" x14ac:dyDescent="0.15">
      <c r="A210" s="108">
        <v>660</v>
      </c>
      <c r="B210" s="216">
        <v>2000056420339</v>
      </c>
      <c r="C210" s="108">
        <v>450</v>
      </c>
      <c r="D210" s="216">
        <v>2000056420348</v>
      </c>
      <c r="E210" s="217" t="s">
        <v>946</v>
      </c>
      <c r="F210" s="69">
        <v>0.98499999999999999</v>
      </c>
      <c r="G210" s="70">
        <v>6.34</v>
      </c>
      <c r="H210" s="70">
        <v>0.96</v>
      </c>
      <c r="I210" s="70">
        <v>0.96</v>
      </c>
      <c r="J210" s="71">
        <v>0</v>
      </c>
      <c r="K210" s="72">
        <v>431.22</v>
      </c>
      <c r="L210" s="72">
        <v>0.05</v>
      </c>
      <c r="M210" s="72">
        <v>0.05</v>
      </c>
    </row>
    <row r="211" spans="1:13" ht="14" x14ac:dyDescent="0.15">
      <c r="A211" s="108">
        <v>697</v>
      </c>
      <c r="B211" s="216">
        <v>2000056202416</v>
      </c>
      <c r="C211" s="108">
        <v>797</v>
      </c>
      <c r="D211" s="216">
        <v>2000056202425</v>
      </c>
      <c r="E211" s="217" t="s">
        <v>947</v>
      </c>
      <c r="F211" s="69">
        <v>0</v>
      </c>
      <c r="G211" s="70">
        <v>8.2899999999999991</v>
      </c>
      <c r="H211" s="70">
        <v>1.25</v>
      </c>
      <c r="I211" s="70">
        <v>1.25</v>
      </c>
      <c r="J211" s="71">
        <v>0</v>
      </c>
      <c r="K211" s="72">
        <v>637.30999999999995</v>
      </c>
      <c r="L211" s="72">
        <v>0.05</v>
      </c>
      <c r="M211" s="72">
        <v>0.05</v>
      </c>
    </row>
    <row r="212" spans="1:13" ht="14" x14ac:dyDescent="0.15">
      <c r="A212" s="108">
        <v>897</v>
      </c>
      <c r="B212" s="216" t="s">
        <v>1148</v>
      </c>
      <c r="C212" s="108">
        <v>933</v>
      </c>
      <c r="D212" s="216" t="s">
        <v>1148</v>
      </c>
      <c r="E212" s="217" t="s">
        <v>948</v>
      </c>
      <c r="F212" s="69">
        <v>6.2140000000000004</v>
      </c>
      <c r="G212" s="70">
        <v>140.63</v>
      </c>
      <c r="H212" s="70">
        <v>0.97</v>
      </c>
      <c r="I212" s="70">
        <v>0.97</v>
      </c>
      <c r="J212" s="71">
        <v>0</v>
      </c>
      <c r="K212" s="72">
        <v>12187.67</v>
      </c>
      <c r="L212" s="72">
        <v>0.05</v>
      </c>
      <c r="M212" s="72">
        <v>0.05</v>
      </c>
    </row>
    <row r="213" spans="1:13" ht="14" x14ac:dyDescent="0.15">
      <c r="A213" s="108">
        <v>669</v>
      </c>
      <c r="B213" s="216">
        <v>2000056532456</v>
      </c>
      <c r="C213" s="108">
        <v>369</v>
      </c>
      <c r="D213" s="216">
        <v>2000056532483</v>
      </c>
      <c r="E213" s="217" t="s">
        <v>949</v>
      </c>
      <c r="F213" s="69">
        <v>0.40200000000000002</v>
      </c>
      <c r="G213" s="70">
        <v>10.49</v>
      </c>
      <c r="H213" s="70">
        <v>0.86</v>
      </c>
      <c r="I213" s="70">
        <v>0.86</v>
      </c>
      <c r="J213" s="71">
        <v>0</v>
      </c>
      <c r="K213" s="72">
        <v>461.74</v>
      </c>
      <c r="L213" s="72">
        <v>0.05</v>
      </c>
      <c r="M213" s="72">
        <v>0.05</v>
      </c>
    </row>
    <row r="214" spans="1:13" ht="14" x14ac:dyDescent="0.15">
      <c r="A214" s="108">
        <v>7311</v>
      </c>
      <c r="B214" s="216">
        <v>7311</v>
      </c>
      <c r="C214" s="108">
        <v>7310</v>
      </c>
      <c r="D214" s="216">
        <v>7310</v>
      </c>
      <c r="E214" s="217" t="s">
        <v>950</v>
      </c>
      <c r="F214" s="69">
        <v>2.448</v>
      </c>
      <c r="G214" s="70">
        <v>66.81</v>
      </c>
      <c r="H214" s="70">
        <v>0.71</v>
      </c>
      <c r="I214" s="70">
        <v>0.71</v>
      </c>
      <c r="J214" s="71">
        <v>0</v>
      </c>
      <c r="K214" s="72">
        <v>1002.15</v>
      </c>
      <c r="L214" s="72">
        <v>0.05</v>
      </c>
      <c r="M214" s="72">
        <v>0.05</v>
      </c>
    </row>
    <row r="215" spans="1:13" ht="14" x14ac:dyDescent="0.15">
      <c r="A215" s="108">
        <v>698</v>
      </c>
      <c r="B215" s="216">
        <v>2000056199613</v>
      </c>
      <c r="C215" s="108">
        <v>798</v>
      </c>
      <c r="D215" s="216">
        <v>2000056199701</v>
      </c>
      <c r="E215" s="217" t="s">
        <v>951</v>
      </c>
      <c r="F215" s="69">
        <v>5.8140000000000001</v>
      </c>
      <c r="G215" s="70">
        <v>75.95</v>
      </c>
      <c r="H215" s="70">
        <v>0.72</v>
      </c>
      <c r="I215" s="70">
        <v>0.72</v>
      </c>
      <c r="J215" s="71">
        <v>0</v>
      </c>
      <c r="K215" s="72">
        <v>569.64</v>
      </c>
      <c r="L215" s="72">
        <v>0.05</v>
      </c>
      <c r="M215" s="72">
        <v>0.05</v>
      </c>
    </row>
    <row r="216" spans="1:13" ht="14" x14ac:dyDescent="0.15">
      <c r="A216" s="108">
        <v>897</v>
      </c>
      <c r="B216" s="216" t="s">
        <v>1148</v>
      </c>
      <c r="C216" s="108">
        <v>933</v>
      </c>
      <c r="D216" s="216" t="s">
        <v>1148</v>
      </c>
      <c r="E216" s="217" t="s">
        <v>952</v>
      </c>
      <c r="F216" s="69">
        <v>0</v>
      </c>
      <c r="G216" s="70">
        <v>37.33</v>
      </c>
      <c r="H216" s="70">
        <v>0.97</v>
      </c>
      <c r="I216" s="70">
        <v>0.97</v>
      </c>
      <c r="J216" s="71">
        <v>0</v>
      </c>
      <c r="K216" s="72">
        <v>3484.23</v>
      </c>
      <c r="L216" s="72">
        <v>0.05</v>
      </c>
      <c r="M216" s="72">
        <v>0.05</v>
      </c>
    </row>
    <row r="217" spans="1:13" ht="14" x14ac:dyDescent="0.15">
      <c r="A217" s="108">
        <v>699</v>
      </c>
      <c r="B217" s="216">
        <v>2000056191526</v>
      </c>
      <c r="C217" s="108">
        <v>799</v>
      </c>
      <c r="D217" s="216">
        <v>2000056191535</v>
      </c>
      <c r="E217" s="217" t="s">
        <v>953</v>
      </c>
      <c r="F217" s="69">
        <v>0</v>
      </c>
      <c r="G217" s="70">
        <v>26.07</v>
      </c>
      <c r="H217" s="70">
        <v>1.95</v>
      </c>
      <c r="I217" s="70">
        <v>1.95</v>
      </c>
      <c r="J217" s="71">
        <v>0</v>
      </c>
      <c r="K217" s="72">
        <v>7847.08</v>
      </c>
      <c r="L217" s="72">
        <v>0.05</v>
      </c>
      <c r="M217" s="72">
        <v>0.05</v>
      </c>
    </row>
    <row r="218" spans="1:13" ht="14" x14ac:dyDescent="0.15">
      <c r="A218" s="108">
        <v>899</v>
      </c>
      <c r="B218" s="216" t="s">
        <v>1148</v>
      </c>
      <c r="C218" s="108">
        <v>935</v>
      </c>
      <c r="D218" s="216" t="s">
        <v>1148</v>
      </c>
      <c r="E218" s="217" t="s">
        <v>954</v>
      </c>
      <c r="F218" s="69">
        <v>0</v>
      </c>
      <c r="G218" s="70">
        <v>7.38</v>
      </c>
      <c r="H218" s="70">
        <v>0.95</v>
      </c>
      <c r="I218" s="70">
        <v>0.95</v>
      </c>
      <c r="J218" s="71">
        <v>0</v>
      </c>
      <c r="K218" s="72">
        <v>3105.82</v>
      </c>
      <c r="L218" s="72">
        <v>0.05</v>
      </c>
      <c r="M218" s="72">
        <v>0.05</v>
      </c>
    </row>
    <row r="219" spans="1:13" ht="28" x14ac:dyDescent="0.15">
      <c r="A219" s="108">
        <v>703</v>
      </c>
      <c r="B219" s="216" t="s">
        <v>1151</v>
      </c>
      <c r="C219" s="108"/>
      <c r="D219" s="216"/>
      <c r="E219" s="217" t="s">
        <v>955</v>
      </c>
      <c r="F219" s="69">
        <v>0</v>
      </c>
      <c r="G219" s="70">
        <v>35241.79</v>
      </c>
      <c r="H219" s="70">
        <v>1.69</v>
      </c>
      <c r="I219" s="70">
        <v>1.69</v>
      </c>
      <c r="J219" s="71">
        <v>0</v>
      </c>
      <c r="K219" s="72">
        <v>0</v>
      </c>
      <c r="L219" s="72">
        <v>0</v>
      </c>
      <c r="M219" s="72">
        <v>0</v>
      </c>
    </row>
    <row r="220" spans="1:13" ht="14" x14ac:dyDescent="0.15">
      <c r="A220" s="108">
        <v>730</v>
      </c>
      <c r="B220" s="216">
        <v>2000056058754</v>
      </c>
      <c r="C220" s="108">
        <v>741</v>
      </c>
      <c r="D220" s="216">
        <v>2000056058763</v>
      </c>
      <c r="E220" s="217" t="s">
        <v>956</v>
      </c>
      <c r="F220" s="69">
        <v>0.83799999999999997</v>
      </c>
      <c r="G220" s="70">
        <v>1.82</v>
      </c>
      <c r="H220" s="70">
        <v>2.78</v>
      </c>
      <c r="I220" s="70">
        <v>2.78</v>
      </c>
      <c r="J220" s="71">
        <v>0</v>
      </c>
      <c r="K220" s="72">
        <v>80</v>
      </c>
      <c r="L220" s="72">
        <v>0.05</v>
      </c>
      <c r="M220" s="72">
        <v>0.05</v>
      </c>
    </row>
    <row r="221" spans="1:13" ht="14" x14ac:dyDescent="0.15">
      <c r="A221" s="108">
        <v>731</v>
      </c>
      <c r="B221" s="216">
        <v>2000056151106</v>
      </c>
      <c r="C221" s="108">
        <v>742</v>
      </c>
      <c r="D221" s="216">
        <v>2000056151115</v>
      </c>
      <c r="E221" s="217" t="s">
        <v>957</v>
      </c>
      <c r="F221" s="69">
        <v>1.1259999999999999</v>
      </c>
      <c r="G221" s="70">
        <v>31.17</v>
      </c>
      <c r="H221" s="70">
        <v>0.97</v>
      </c>
      <c r="I221" s="70">
        <v>0.97</v>
      </c>
      <c r="J221" s="71">
        <v>0</v>
      </c>
      <c r="K221" s="72">
        <v>50.65</v>
      </c>
      <c r="L221" s="72">
        <v>0.05</v>
      </c>
      <c r="M221" s="72">
        <v>0.05</v>
      </c>
    </row>
    <row r="222" spans="1:13" ht="14" x14ac:dyDescent="0.15">
      <c r="A222" s="108">
        <v>732</v>
      </c>
      <c r="B222" s="216">
        <v>2000056098818</v>
      </c>
      <c r="C222" s="108">
        <v>743</v>
      </c>
      <c r="D222" s="216">
        <v>2000056098827</v>
      </c>
      <c r="E222" s="217" t="s">
        <v>958</v>
      </c>
      <c r="F222" s="69">
        <v>0.83</v>
      </c>
      <c r="G222" s="70">
        <v>1.6</v>
      </c>
      <c r="H222" s="70">
        <v>1.0900000000000001</v>
      </c>
      <c r="I222" s="70">
        <v>1.0900000000000001</v>
      </c>
      <c r="J222" s="71">
        <v>0</v>
      </c>
      <c r="K222" s="72">
        <v>80.22</v>
      </c>
      <c r="L222" s="72">
        <v>0.05</v>
      </c>
      <c r="M222" s="72">
        <v>0.05</v>
      </c>
    </row>
    <row r="223" spans="1:13" ht="14" x14ac:dyDescent="0.15">
      <c r="A223" s="108">
        <v>673</v>
      </c>
      <c r="B223" s="216">
        <v>2000056551324</v>
      </c>
      <c r="C223" s="108">
        <v>403</v>
      </c>
      <c r="D223" s="216">
        <v>2000056551333</v>
      </c>
      <c r="E223" s="217" t="s">
        <v>959</v>
      </c>
      <c r="F223" s="69">
        <v>0</v>
      </c>
      <c r="G223" s="70">
        <v>22.56</v>
      </c>
      <c r="H223" s="70">
        <v>0.77</v>
      </c>
      <c r="I223" s="70">
        <v>0.77</v>
      </c>
      <c r="J223" s="71">
        <v>0</v>
      </c>
      <c r="K223" s="72">
        <v>1082.9000000000001</v>
      </c>
      <c r="L223" s="72">
        <v>0.05</v>
      </c>
      <c r="M223" s="72">
        <v>0.05</v>
      </c>
    </row>
    <row r="224" spans="1:13" ht="14" x14ac:dyDescent="0.15">
      <c r="A224" s="108">
        <v>721</v>
      </c>
      <c r="B224" s="216">
        <v>2000056562292</v>
      </c>
      <c r="C224" s="108">
        <v>451</v>
      </c>
      <c r="D224" s="216">
        <v>2000056562317</v>
      </c>
      <c r="E224" s="217" t="s">
        <v>960</v>
      </c>
      <c r="F224" s="69">
        <v>0</v>
      </c>
      <c r="G224" s="70">
        <v>405</v>
      </c>
      <c r="H224" s="70">
        <v>1.26</v>
      </c>
      <c r="I224" s="70">
        <v>1.26</v>
      </c>
      <c r="J224" s="71">
        <v>0</v>
      </c>
      <c r="K224" s="72">
        <v>3393.93</v>
      </c>
      <c r="L224" s="72">
        <v>0.05</v>
      </c>
      <c r="M224" s="72">
        <v>0.05</v>
      </c>
    </row>
    <row r="225" spans="1:13" ht="14" x14ac:dyDescent="0.15">
      <c r="A225" s="108">
        <v>728</v>
      </c>
      <c r="B225" s="216">
        <v>2000056194191</v>
      </c>
      <c r="C225" s="108">
        <v>978</v>
      </c>
      <c r="D225" s="216">
        <v>2000056194207</v>
      </c>
      <c r="E225" s="217" t="s">
        <v>961</v>
      </c>
      <c r="F225" s="69">
        <v>0.40400000000000003</v>
      </c>
      <c r="G225" s="70">
        <v>3.77</v>
      </c>
      <c r="H225" s="70">
        <v>1.69</v>
      </c>
      <c r="I225" s="70">
        <v>1.69</v>
      </c>
      <c r="J225" s="71">
        <v>0</v>
      </c>
      <c r="K225" s="72">
        <v>1452.06</v>
      </c>
      <c r="L225" s="72">
        <v>0.05</v>
      </c>
      <c r="M225" s="72">
        <v>0.05</v>
      </c>
    </row>
    <row r="226" spans="1:13" ht="14" x14ac:dyDescent="0.15">
      <c r="A226" s="108">
        <v>901</v>
      </c>
      <c r="B226" s="216">
        <v>2000056139215</v>
      </c>
      <c r="C226" s="108">
        <v>991</v>
      </c>
      <c r="D226" s="216">
        <v>2000056139224</v>
      </c>
      <c r="E226" s="217" t="s">
        <v>962</v>
      </c>
      <c r="F226" s="69">
        <v>2.3759999999999999</v>
      </c>
      <c r="G226" s="70">
        <v>8.26</v>
      </c>
      <c r="H226" s="70">
        <v>3.74</v>
      </c>
      <c r="I226" s="70">
        <v>3.74</v>
      </c>
      <c r="J226" s="71">
        <v>0</v>
      </c>
      <c r="K226" s="72">
        <v>4679.38</v>
      </c>
      <c r="L226" s="72">
        <v>0.05</v>
      </c>
      <c r="M226" s="72">
        <v>0.05</v>
      </c>
    </row>
    <row r="227" spans="1:13" ht="14" x14ac:dyDescent="0.15">
      <c r="A227" s="108">
        <v>904</v>
      </c>
      <c r="B227" s="216">
        <v>2000056219952</v>
      </c>
      <c r="C227" s="108">
        <v>994</v>
      </c>
      <c r="D227" s="216">
        <v>2000056219980</v>
      </c>
      <c r="E227" s="217" t="s">
        <v>963</v>
      </c>
      <c r="F227" s="69">
        <v>6.2469999999999999</v>
      </c>
      <c r="G227" s="70">
        <v>4.8099999999999996</v>
      </c>
      <c r="H227" s="70">
        <v>1.28</v>
      </c>
      <c r="I227" s="70">
        <v>1.28</v>
      </c>
      <c r="J227" s="71">
        <v>0</v>
      </c>
      <c r="K227" s="72">
        <v>432.75</v>
      </c>
      <c r="L227" s="72">
        <v>0.05</v>
      </c>
      <c r="M227" s="72">
        <v>0.05</v>
      </c>
    </row>
    <row r="228" spans="1:13" ht="14" x14ac:dyDescent="0.15">
      <c r="A228" s="108">
        <v>905</v>
      </c>
      <c r="B228" s="216">
        <v>2000056200010</v>
      </c>
      <c r="C228" s="108">
        <v>995</v>
      </c>
      <c r="D228" s="216">
        <v>2000056200029</v>
      </c>
      <c r="E228" s="217" t="s">
        <v>964</v>
      </c>
      <c r="F228" s="69">
        <v>1.002</v>
      </c>
      <c r="G228" s="70">
        <v>3.03</v>
      </c>
      <c r="H228" s="70">
        <v>1.26</v>
      </c>
      <c r="I228" s="70">
        <v>1.26</v>
      </c>
      <c r="J228" s="71">
        <v>0</v>
      </c>
      <c r="K228" s="72">
        <v>434.53</v>
      </c>
      <c r="L228" s="72">
        <v>0.05</v>
      </c>
      <c r="M228" s="72">
        <v>0.05</v>
      </c>
    </row>
    <row r="229" spans="1:13" ht="14" x14ac:dyDescent="0.15">
      <c r="A229" s="108">
        <v>906</v>
      </c>
      <c r="B229" s="216">
        <v>2000056138977</v>
      </c>
      <c r="C229" s="108">
        <v>996</v>
      </c>
      <c r="D229" s="216">
        <v>2000056139001</v>
      </c>
      <c r="E229" s="217" t="s">
        <v>965</v>
      </c>
      <c r="F229" s="69">
        <v>0</v>
      </c>
      <c r="G229" s="70">
        <v>2.42</v>
      </c>
      <c r="H229" s="70">
        <v>2.65</v>
      </c>
      <c r="I229" s="70">
        <v>2.65</v>
      </c>
      <c r="J229" s="71">
        <v>0</v>
      </c>
      <c r="K229" s="72">
        <v>435.15</v>
      </c>
      <c r="L229" s="72">
        <v>0.05</v>
      </c>
      <c r="M229" s="72">
        <v>0.05</v>
      </c>
    </row>
    <row r="230" spans="1:13" ht="14" x14ac:dyDescent="0.15">
      <c r="A230" s="108">
        <v>907</v>
      </c>
      <c r="B230" s="216">
        <v>2000056212033</v>
      </c>
      <c r="C230" s="108">
        <v>997</v>
      </c>
      <c r="D230" s="216">
        <v>2000056212042</v>
      </c>
      <c r="E230" s="217" t="s">
        <v>966</v>
      </c>
      <c r="F230" s="69">
        <v>5.9660000000000002</v>
      </c>
      <c r="G230" s="70">
        <v>37.46</v>
      </c>
      <c r="H230" s="70">
        <v>0.74</v>
      </c>
      <c r="I230" s="70">
        <v>0.74</v>
      </c>
      <c r="J230" s="71">
        <v>0</v>
      </c>
      <c r="K230" s="72">
        <v>681.13</v>
      </c>
      <c r="L230" s="72">
        <v>0.05</v>
      </c>
      <c r="M230" s="72">
        <v>0.05</v>
      </c>
    </row>
    <row r="231" spans="1:13" ht="14" x14ac:dyDescent="0.15">
      <c r="A231" s="108">
        <v>908</v>
      </c>
      <c r="B231" s="216">
        <v>2000056139395</v>
      </c>
      <c r="C231" s="108">
        <v>998</v>
      </c>
      <c r="D231" s="216">
        <v>2000056139438</v>
      </c>
      <c r="E231" s="217" t="s">
        <v>967</v>
      </c>
      <c r="F231" s="69">
        <v>1.1970000000000001</v>
      </c>
      <c r="G231" s="70">
        <v>16.850000000000001</v>
      </c>
      <c r="H231" s="70">
        <v>1.39</v>
      </c>
      <c r="I231" s="70">
        <v>1.39</v>
      </c>
      <c r="J231" s="71">
        <v>0</v>
      </c>
      <c r="K231" s="72">
        <v>7161.71</v>
      </c>
      <c r="L231" s="72">
        <v>0.05</v>
      </c>
      <c r="M231" s="72">
        <v>0.05</v>
      </c>
    </row>
    <row r="232" spans="1:13" ht="14" x14ac:dyDescent="0.15">
      <c r="A232" s="108">
        <v>723</v>
      </c>
      <c r="B232" s="216">
        <v>2000056530788</v>
      </c>
      <c r="C232" s="108">
        <v>953</v>
      </c>
      <c r="D232" s="216">
        <v>2000056530797</v>
      </c>
      <c r="E232" s="217" t="s">
        <v>968</v>
      </c>
      <c r="F232" s="69">
        <v>0</v>
      </c>
      <c r="G232" s="70">
        <v>105.29</v>
      </c>
      <c r="H232" s="70">
        <v>0.84</v>
      </c>
      <c r="I232" s="70">
        <v>0.84</v>
      </c>
      <c r="J232" s="71">
        <v>0</v>
      </c>
      <c r="K232" s="72">
        <v>12766.81</v>
      </c>
      <c r="L232" s="72">
        <v>0.05</v>
      </c>
      <c r="M232" s="72">
        <v>0.05</v>
      </c>
    </row>
    <row r="233" spans="1:13" ht="14" x14ac:dyDescent="0.15">
      <c r="A233" s="108">
        <v>765</v>
      </c>
      <c r="B233" s="216">
        <v>2000056469176</v>
      </c>
      <c r="C233" s="108">
        <v>983</v>
      </c>
      <c r="D233" s="216">
        <v>2000056469185</v>
      </c>
      <c r="E233" s="217" t="s">
        <v>969</v>
      </c>
      <c r="F233" s="69">
        <v>0</v>
      </c>
      <c r="G233" s="70">
        <v>15.75</v>
      </c>
      <c r="H233" s="70">
        <v>0.8</v>
      </c>
      <c r="I233" s="70">
        <v>0.8</v>
      </c>
      <c r="J233" s="71">
        <v>0</v>
      </c>
      <c r="K233" s="72">
        <v>629.85</v>
      </c>
      <c r="L233" s="72">
        <v>0.05</v>
      </c>
      <c r="M233" s="72">
        <v>0.05</v>
      </c>
    </row>
    <row r="234" spans="1:13" ht="14" x14ac:dyDescent="0.15">
      <c r="A234" s="108" t="s">
        <v>1099</v>
      </c>
      <c r="B234" s="216">
        <v>2000056842124</v>
      </c>
      <c r="C234" s="108" t="s">
        <v>1124</v>
      </c>
      <c r="D234" s="216">
        <v>2000056842133</v>
      </c>
      <c r="E234" s="217" t="s">
        <v>970</v>
      </c>
      <c r="F234" s="69">
        <v>0.40500000000000003</v>
      </c>
      <c r="G234" s="70">
        <v>1.87</v>
      </c>
      <c r="H234" s="70">
        <v>1.58</v>
      </c>
      <c r="I234" s="70">
        <v>1.58</v>
      </c>
      <c r="J234" s="71">
        <v>0</v>
      </c>
      <c r="K234" s="72">
        <v>435.7</v>
      </c>
      <c r="L234" s="72">
        <v>0.05</v>
      </c>
      <c r="M234" s="72">
        <v>0.05</v>
      </c>
    </row>
    <row r="235" spans="1:13" ht="14" x14ac:dyDescent="0.15">
      <c r="A235" s="108" t="s">
        <v>1100</v>
      </c>
      <c r="B235" s="216">
        <v>2000056642707</v>
      </c>
      <c r="C235" s="108" t="s">
        <v>1125</v>
      </c>
      <c r="D235" s="216">
        <v>2000056642716</v>
      </c>
      <c r="E235" s="217" t="s">
        <v>971</v>
      </c>
      <c r="F235" s="69">
        <v>1.0049999999999999</v>
      </c>
      <c r="G235" s="70">
        <v>11.07</v>
      </c>
      <c r="H235" s="70">
        <v>0.98</v>
      </c>
      <c r="I235" s="70">
        <v>0.98</v>
      </c>
      <c r="J235" s="71">
        <v>0</v>
      </c>
      <c r="K235" s="72">
        <v>442.91</v>
      </c>
      <c r="L235" s="72">
        <v>0.05</v>
      </c>
      <c r="M235" s="72">
        <v>0.05</v>
      </c>
    </row>
    <row r="236" spans="1:13" ht="14" x14ac:dyDescent="0.15">
      <c r="A236" s="108">
        <v>897</v>
      </c>
      <c r="B236" s="216">
        <v>2000056488531</v>
      </c>
      <c r="C236" s="108">
        <v>933</v>
      </c>
      <c r="D236" s="216">
        <v>2000056488513</v>
      </c>
      <c r="E236" s="217" t="s">
        <v>972</v>
      </c>
      <c r="F236" s="69">
        <v>0</v>
      </c>
      <c r="G236" s="70">
        <v>0.95</v>
      </c>
      <c r="H236" s="70">
        <v>1.65</v>
      </c>
      <c r="I236" s="70">
        <v>1.65</v>
      </c>
      <c r="J236" s="71">
        <v>0</v>
      </c>
      <c r="K236" s="72">
        <v>505.96</v>
      </c>
      <c r="L236" s="72">
        <v>0.05</v>
      </c>
      <c r="M236" s="72">
        <v>0.05</v>
      </c>
    </row>
    <row r="237" spans="1:13" ht="14" x14ac:dyDescent="0.15">
      <c r="A237" s="108" t="s">
        <v>1101</v>
      </c>
      <c r="B237" s="216">
        <v>2000056866055</v>
      </c>
      <c r="C237" s="108" t="s">
        <v>1126</v>
      </c>
      <c r="D237" s="216">
        <v>2000056866064</v>
      </c>
      <c r="E237" s="217" t="s">
        <v>973</v>
      </c>
      <c r="F237" s="69">
        <v>0</v>
      </c>
      <c r="G237" s="70">
        <v>6.68</v>
      </c>
      <c r="H237" s="70">
        <v>1.72</v>
      </c>
      <c r="I237" s="70">
        <v>1.72</v>
      </c>
      <c r="J237" s="71">
        <v>0</v>
      </c>
      <c r="K237" s="72">
        <v>430.88</v>
      </c>
      <c r="L237" s="72">
        <v>0.05</v>
      </c>
      <c r="M237" s="72">
        <v>0.05</v>
      </c>
    </row>
    <row r="238" spans="1:13" ht="14" x14ac:dyDescent="0.15">
      <c r="A238" s="108">
        <v>897</v>
      </c>
      <c r="B238" s="216">
        <v>2000056872582</v>
      </c>
      <c r="C238" s="108">
        <v>933</v>
      </c>
      <c r="D238" s="216">
        <v>2000056872607</v>
      </c>
      <c r="E238" s="217" t="s">
        <v>974</v>
      </c>
      <c r="F238" s="69">
        <v>0</v>
      </c>
      <c r="G238" s="70">
        <v>10.58</v>
      </c>
      <c r="H238" s="70">
        <v>2.57</v>
      </c>
      <c r="I238" s="70">
        <v>2.57</v>
      </c>
      <c r="J238" s="71">
        <v>0</v>
      </c>
      <c r="K238" s="72">
        <v>1058.3800000000001</v>
      </c>
      <c r="L238" s="72">
        <v>0.05</v>
      </c>
      <c r="M238" s="72">
        <v>0.05</v>
      </c>
    </row>
    <row r="239" spans="1:13" ht="14" x14ac:dyDescent="0.15">
      <c r="A239" s="108">
        <v>766</v>
      </c>
      <c r="B239" s="216">
        <v>2000056537213</v>
      </c>
      <c r="C239" s="108">
        <v>966</v>
      </c>
      <c r="D239" s="216">
        <v>2000056537222</v>
      </c>
      <c r="E239" s="217" t="s">
        <v>975</v>
      </c>
      <c r="F239" s="69">
        <v>0.997</v>
      </c>
      <c r="G239" s="70">
        <v>14.52</v>
      </c>
      <c r="H239" s="70">
        <v>1.05</v>
      </c>
      <c r="I239" s="70">
        <v>1.05</v>
      </c>
      <c r="J239" s="71">
        <v>0</v>
      </c>
      <c r="K239" s="72">
        <v>1193.1400000000001</v>
      </c>
      <c r="L239" s="72">
        <v>0.05</v>
      </c>
      <c r="M239" s="72">
        <v>0.05</v>
      </c>
    </row>
    <row r="240" spans="1:13" ht="14" x14ac:dyDescent="0.15">
      <c r="A240" s="108" t="s">
        <v>1102</v>
      </c>
      <c r="B240" s="216">
        <v>2000056521960</v>
      </c>
      <c r="C240" s="108" t="s">
        <v>1127</v>
      </c>
      <c r="D240" s="216">
        <v>2000056522003</v>
      </c>
      <c r="E240" s="217" t="s">
        <v>976</v>
      </c>
      <c r="F240" s="69">
        <v>1.1200000000000001</v>
      </c>
      <c r="G240" s="70">
        <v>10.24</v>
      </c>
      <c r="H240" s="70">
        <v>0.69</v>
      </c>
      <c r="I240" s="70">
        <v>0.69</v>
      </c>
      <c r="J240" s="71">
        <v>0</v>
      </c>
      <c r="K240" s="72">
        <v>240.86</v>
      </c>
      <c r="L240" s="72">
        <v>0.05</v>
      </c>
      <c r="M240" s="72">
        <v>0.05</v>
      </c>
    </row>
    <row r="241" spans="1:13" ht="14" x14ac:dyDescent="0.15">
      <c r="A241" s="108" t="s">
        <v>1973</v>
      </c>
      <c r="B241" s="216">
        <v>2000056839896</v>
      </c>
      <c r="C241" s="108" t="s">
        <v>1974</v>
      </c>
      <c r="D241" s="216">
        <v>2000056839901</v>
      </c>
      <c r="E241" s="217" t="s">
        <v>977</v>
      </c>
      <c r="F241" s="69">
        <v>0.59499999999999997</v>
      </c>
      <c r="G241" s="70">
        <v>5.23</v>
      </c>
      <c r="H241" s="70">
        <v>1.32</v>
      </c>
      <c r="I241" s="70">
        <v>1.32</v>
      </c>
      <c r="J241" s="71">
        <v>0</v>
      </c>
      <c r="K241" s="72">
        <v>432.33</v>
      </c>
      <c r="L241" s="72">
        <v>0.05</v>
      </c>
      <c r="M241" s="72">
        <v>0.05</v>
      </c>
    </row>
    <row r="242" spans="1:13" ht="14" x14ac:dyDescent="0.15">
      <c r="A242" s="108">
        <v>897</v>
      </c>
      <c r="B242" s="216" t="s">
        <v>1148</v>
      </c>
      <c r="C242" s="108">
        <v>933</v>
      </c>
      <c r="D242" s="216" t="s">
        <v>1148</v>
      </c>
      <c r="E242" s="217" t="s">
        <v>978</v>
      </c>
      <c r="F242" s="69">
        <v>0.995</v>
      </c>
      <c r="G242" s="70">
        <v>25.52</v>
      </c>
      <c r="H242" s="70">
        <v>1.1100000000000001</v>
      </c>
      <c r="I242" s="70">
        <v>1.1100000000000001</v>
      </c>
      <c r="J242" s="71">
        <v>0</v>
      </c>
      <c r="K242" s="72">
        <v>693.07</v>
      </c>
      <c r="L242" s="72">
        <v>0.05</v>
      </c>
      <c r="M242" s="72">
        <v>0.05</v>
      </c>
    </row>
    <row r="243" spans="1:13" ht="14" x14ac:dyDescent="0.15">
      <c r="A243" s="108">
        <v>767</v>
      </c>
      <c r="B243" s="216">
        <v>2000056535670</v>
      </c>
      <c r="C243" s="108">
        <v>467</v>
      </c>
      <c r="D243" s="216">
        <v>2000056535740</v>
      </c>
      <c r="E243" s="217" t="s">
        <v>979</v>
      </c>
      <c r="F243" s="69">
        <v>6.1959999999999997</v>
      </c>
      <c r="G243" s="70">
        <v>3.59</v>
      </c>
      <c r="H243" s="70">
        <v>1.0900000000000001</v>
      </c>
      <c r="I243" s="70">
        <v>1.0900000000000001</v>
      </c>
      <c r="J243" s="71">
        <v>0</v>
      </c>
      <c r="K243" s="72">
        <v>537.99</v>
      </c>
      <c r="L243" s="72">
        <v>0.05</v>
      </c>
      <c r="M243" s="72">
        <v>0.05</v>
      </c>
    </row>
    <row r="244" spans="1:13" ht="14" x14ac:dyDescent="0.15">
      <c r="A244" s="108">
        <v>768</v>
      </c>
      <c r="B244" s="216">
        <v>2000056345452</v>
      </c>
      <c r="C244" s="108">
        <v>468</v>
      </c>
      <c r="D244" s="216">
        <v>2000056345461</v>
      </c>
      <c r="E244" s="217" t="s">
        <v>980</v>
      </c>
      <c r="F244" s="69">
        <v>5.8239999999999998</v>
      </c>
      <c r="G244" s="70">
        <v>21.89</v>
      </c>
      <c r="H244" s="70">
        <v>0.77</v>
      </c>
      <c r="I244" s="70">
        <v>0.77</v>
      </c>
      <c r="J244" s="71">
        <v>0</v>
      </c>
      <c r="K244" s="72">
        <v>766.05</v>
      </c>
      <c r="L244" s="72">
        <v>0.05</v>
      </c>
      <c r="M244" s="72">
        <v>0.05</v>
      </c>
    </row>
    <row r="245" spans="1:13" ht="14" x14ac:dyDescent="0.15">
      <c r="A245" s="108" t="s">
        <v>1103</v>
      </c>
      <c r="B245" s="216">
        <v>2000056520910</v>
      </c>
      <c r="C245" s="108" t="s">
        <v>1128</v>
      </c>
      <c r="D245" s="216">
        <v>2000056520957</v>
      </c>
      <c r="E245" s="217" t="s">
        <v>981</v>
      </c>
      <c r="F245" s="69">
        <v>1.1240000000000001</v>
      </c>
      <c r="G245" s="70">
        <v>10.53</v>
      </c>
      <c r="H245" s="70">
        <v>0.7</v>
      </c>
      <c r="I245" s="70">
        <v>0.7</v>
      </c>
      <c r="J245" s="71">
        <v>0</v>
      </c>
      <c r="K245" s="72">
        <v>240.57</v>
      </c>
      <c r="L245" s="72">
        <v>0.05</v>
      </c>
      <c r="M245" s="72">
        <v>0.05</v>
      </c>
    </row>
    <row r="246" spans="1:13" ht="14" x14ac:dyDescent="0.15">
      <c r="A246" s="108" t="s">
        <v>1975</v>
      </c>
      <c r="B246" s="216">
        <v>2000056860080</v>
      </c>
      <c r="C246" s="108" t="s">
        <v>1976</v>
      </c>
      <c r="D246" s="216">
        <v>2000056860090</v>
      </c>
      <c r="E246" s="217" t="s">
        <v>982</v>
      </c>
      <c r="F246" s="69">
        <v>1.1040000000000001</v>
      </c>
      <c r="G246" s="70">
        <v>17.53</v>
      </c>
      <c r="H246" s="70">
        <v>0.91</v>
      </c>
      <c r="I246" s="70">
        <v>0.91</v>
      </c>
      <c r="J246" s="71">
        <v>0</v>
      </c>
      <c r="K246" s="72">
        <v>701.06</v>
      </c>
      <c r="L246" s="72">
        <v>0.05</v>
      </c>
      <c r="M246" s="72">
        <v>0.05</v>
      </c>
    </row>
    <row r="247" spans="1:13" ht="28" x14ac:dyDescent="0.15">
      <c r="A247" s="108">
        <v>769</v>
      </c>
      <c r="B247" s="216" t="s">
        <v>1152</v>
      </c>
      <c r="C247" s="108">
        <v>984</v>
      </c>
      <c r="D247" s="216" t="s">
        <v>1156</v>
      </c>
      <c r="E247" s="217" t="s">
        <v>983</v>
      </c>
      <c r="F247" s="69">
        <v>0.39600000000000002</v>
      </c>
      <c r="G247" s="70">
        <v>3.54</v>
      </c>
      <c r="H247" s="70">
        <v>0.8</v>
      </c>
      <c r="I247" s="70">
        <v>0.8</v>
      </c>
      <c r="J247" s="71">
        <v>0</v>
      </c>
      <c r="K247" s="72">
        <v>247.56</v>
      </c>
      <c r="L247" s="72">
        <v>0.05</v>
      </c>
      <c r="M247" s="72">
        <v>0.05</v>
      </c>
    </row>
    <row r="248" spans="1:13" ht="14" x14ac:dyDescent="0.15">
      <c r="A248" s="108" t="s">
        <v>1104</v>
      </c>
      <c r="B248" s="216">
        <v>2000056865497</v>
      </c>
      <c r="C248" s="108" t="s">
        <v>1129</v>
      </c>
      <c r="D248" s="216">
        <v>2000056865479</v>
      </c>
      <c r="E248" s="217" t="s">
        <v>984</v>
      </c>
      <c r="F248" s="69">
        <v>6.0549999999999997</v>
      </c>
      <c r="G248" s="70">
        <v>17.28</v>
      </c>
      <c r="H248" s="70">
        <v>0.84</v>
      </c>
      <c r="I248" s="70">
        <v>0.84</v>
      </c>
      <c r="J248" s="71">
        <v>0</v>
      </c>
      <c r="K248" s="72">
        <v>628.32000000000005</v>
      </c>
      <c r="L248" s="72">
        <v>0.05</v>
      </c>
      <c r="M248" s="72">
        <v>0.05</v>
      </c>
    </row>
    <row r="249" spans="1:13" ht="14" x14ac:dyDescent="0.15">
      <c r="A249" s="108">
        <v>771</v>
      </c>
      <c r="B249" s="216">
        <v>2000056477646</v>
      </c>
      <c r="C249" s="108">
        <v>951</v>
      </c>
      <c r="D249" s="216">
        <v>2000056477682</v>
      </c>
      <c r="E249" s="217" t="s">
        <v>985</v>
      </c>
      <c r="F249" s="69">
        <v>0.39700000000000002</v>
      </c>
      <c r="G249" s="70">
        <v>5.4</v>
      </c>
      <c r="H249" s="70">
        <v>0.71</v>
      </c>
      <c r="I249" s="70">
        <v>0.71</v>
      </c>
      <c r="J249" s="71">
        <v>0</v>
      </c>
      <c r="K249" s="72">
        <v>432.16</v>
      </c>
      <c r="L249" s="72">
        <v>0.05</v>
      </c>
      <c r="M249" s="72">
        <v>0.05</v>
      </c>
    </row>
    <row r="250" spans="1:13" ht="14" x14ac:dyDescent="0.15">
      <c r="A250" s="108">
        <v>772</v>
      </c>
      <c r="B250" s="216">
        <v>2000056384363</v>
      </c>
      <c r="C250" s="108">
        <v>402</v>
      </c>
      <c r="D250" s="216">
        <v>2000056384372</v>
      </c>
      <c r="E250" s="217" t="s">
        <v>986</v>
      </c>
      <c r="F250" s="69">
        <v>0</v>
      </c>
      <c r="G250" s="70">
        <v>15.75</v>
      </c>
      <c r="H250" s="70">
        <v>0.78</v>
      </c>
      <c r="I250" s="70">
        <v>0.78</v>
      </c>
      <c r="J250" s="71">
        <v>0</v>
      </c>
      <c r="K250" s="72">
        <v>629.85</v>
      </c>
      <c r="L250" s="72">
        <v>0.05</v>
      </c>
      <c r="M250" s="72">
        <v>0.05</v>
      </c>
    </row>
    <row r="251" spans="1:13" ht="14" x14ac:dyDescent="0.15">
      <c r="A251" s="108" t="s">
        <v>1105</v>
      </c>
      <c r="B251" s="216">
        <v>2000056771909</v>
      </c>
      <c r="C251" s="108" t="s">
        <v>1130</v>
      </c>
      <c r="D251" s="216">
        <v>2000056771918</v>
      </c>
      <c r="E251" s="217" t="s">
        <v>987</v>
      </c>
      <c r="F251" s="69">
        <v>0</v>
      </c>
      <c r="G251" s="70">
        <v>33.78</v>
      </c>
      <c r="H251" s="70">
        <v>0.68</v>
      </c>
      <c r="I251" s="70">
        <v>0.68</v>
      </c>
      <c r="J251" s="71">
        <v>0</v>
      </c>
      <c r="K251" s="72">
        <v>1422.05</v>
      </c>
      <c r="L251" s="72">
        <v>0.05</v>
      </c>
      <c r="M251" s="72">
        <v>0.05</v>
      </c>
    </row>
    <row r="252" spans="1:13" ht="14" x14ac:dyDescent="0.15">
      <c r="A252" s="108" t="s">
        <v>1106</v>
      </c>
      <c r="B252" s="216">
        <v>2000056474868</v>
      </c>
      <c r="C252" s="108" t="s">
        <v>1131</v>
      </c>
      <c r="D252" s="216">
        <v>2000056474877</v>
      </c>
      <c r="E252" s="217" t="s">
        <v>988</v>
      </c>
      <c r="F252" s="69">
        <v>0</v>
      </c>
      <c r="G252" s="70">
        <v>20.97</v>
      </c>
      <c r="H252" s="70">
        <v>1.24</v>
      </c>
      <c r="I252" s="70">
        <v>1.24</v>
      </c>
      <c r="J252" s="71">
        <v>0</v>
      </c>
      <c r="K252" s="72">
        <v>2325.7800000000002</v>
      </c>
      <c r="L252" s="72">
        <v>0.05</v>
      </c>
      <c r="M252" s="72">
        <v>0.05</v>
      </c>
    </row>
    <row r="253" spans="1:13" ht="14" x14ac:dyDescent="0.15">
      <c r="A253" s="108">
        <v>774</v>
      </c>
      <c r="B253" s="216">
        <v>2000056474380</v>
      </c>
      <c r="C253" s="108">
        <v>644</v>
      </c>
      <c r="D253" s="216">
        <v>2000056474399</v>
      </c>
      <c r="E253" s="217" t="s">
        <v>989</v>
      </c>
      <c r="F253" s="69">
        <v>0</v>
      </c>
      <c r="G253" s="70">
        <v>1.25</v>
      </c>
      <c r="H253" s="70">
        <v>1.94</v>
      </c>
      <c r="I253" s="70">
        <v>1.94</v>
      </c>
      <c r="J253" s="71">
        <v>0</v>
      </c>
      <c r="K253" s="72">
        <v>249.85</v>
      </c>
      <c r="L253" s="72">
        <v>0.05</v>
      </c>
      <c r="M253" s="72">
        <v>0.05</v>
      </c>
    </row>
    <row r="254" spans="1:13" ht="14" x14ac:dyDescent="0.15">
      <c r="A254" s="108" t="s">
        <v>1107</v>
      </c>
      <c r="B254" s="216">
        <v>2000056631430</v>
      </c>
      <c r="C254" s="108" t="s">
        <v>1132</v>
      </c>
      <c r="D254" s="216">
        <v>2000056631440</v>
      </c>
      <c r="E254" s="217" t="s">
        <v>990</v>
      </c>
      <c r="F254" s="69">
        <v>0</v>
      </c>
      <c r="G254" s="70">
        <v>1.25</v>
      </c>
      <c r="H254" s="70">
        <v>1.76</v>
      </c>
      <c r="I254" s="70">
        <v>1.76</v>
      </c>
      <c r="J254" s="71">
        <v>0</v>
      </c>
      <c r="K254" s="72">
        <v>249.85</v>
      </c>
      <c r="L254" s="72">
        <v>0.05</v>
      </c>
      <c r="M254" s="72">
        <v>0.05</v>
      </c>
    </row>
    <row r="255" spans="1:13" ht="14" x14ac:dyDescent="0.15">
      <c r="A255" s="108">
        <v>733</v>
      </c>
      <c r="B255" s="216">
        <v>2000056705135</v>
      </c>
      <c r="C255" s="108">
        <v>744</v>
      </c>
      <c r="D255" s="216">
        <v>2000056705144</v>
      </c>
      <c r="E255" s="217" t="s">
        <v>991</v>
      </c>
      <c r="F255" s="69">
        <v>0</v>
      </c>
      <c r="G255" s="70">
        <v>38.89</v>
      </c>
      <c r="H255" s="70">
        <v>0.81</v>
      </c>
      <c r="I255" s="70">
        <v>0.81</v>
      </c>
      <c r="J255" s="71">
        <v>0</v>
      </c>
      <c r="K255" s="72">
        <v>1767.31</v>
      </c>
      <c r="L255" s="72">
        <v>0.05</v>
      </c>
      <c r="M255" s="72">
        <v>0.05</v>
      </c>
    </row>
    <row r="256" spans="1:13" ht="14" x14ac:dyDescent="0.15">
      <c r="A256" s="108">
        <v>775</v>
      </c>
      <c r="B256" s="216">
        <v>2000056366860</v>
      </c>
      <c r="C256" s="108">
        <v>986</v>
      </c>
      <c r="D256" s="216">
        <v>2000056366930</v>
      </c>
      <c r="E256" s="217" t="s">
        <v>992</v>
      </c>
      <c r="F256" s="69">
        <v>6.2</v>
      </c>
      <c r="G256" s="70">
        <v>8.58</v>
      </c>
      <c r="H256" s="70">
        <v>1.28</v>
      </c>
      <c r="I256" s="70">
        <v>1.28</v>
      </c>
      <c r="J256" s="71">
        <v>0</v>
      </c>
      <c r="K256" s="72">
        <v>428.98</v>
      </c>
      <c r="L256" s="72">
        <v>0.05</v>
      </c>
      <c r="M256" s="72">
        <v>0.05</v>
      </c>
    </row>
    <row r="257" spans="1:13" ht="28" x14ac:dyDescent="0.15">
      <c r="A257" s="108" t="s">
        <v>1108</v>
      </c>
      <c r="B257" s="216" t="s">
        <v>1153</v>
      </c>
      <c r="C257" s="108"/>
      <c r="D257" s="216"/>
      <c r="E257" s="217" t="s">
        <v>993</v>
      </c>
      <c r="F257" s="69">
        <v>0.43099999999999999</v>
      </c>
      <c r="G257" s="70">
        <v>502.2</v>
      </c>
      <c r="H257" s="70">
        <v>1.33</v>
      </c>
      <c r="I257" s="70">
        <v>1.33</v>
      </c>
      <c r="J257" s="71">
        <v>0</v>
      </c>
      <c r="K257" s="72">
        <v>0</v>
      </c>
      <c r="L257" s="72">
        <v>0</v>
      </c>
      <c r="M257" s="72">
        <v>0</v>
      </c>
    </row>
    <row r="258" spans="1:13" ht="14" x14ac:dyDescent="0.15">
      <c r="A258" s="108">
        <v>776</v>
      </c>
      <c r="B258" s="216">
        <v>2000056563570</v>
      </c>
      <c r="C258" s="108">
        <v>976</v>
      </c>
      <c r="D258" s="216">
        <v>2000056563589</v>
      </c>
      <c r="E258" s="217" t="s">
        <v>994</v>
      </c>
      <c r="F258" s="69">
        <v>0.96699999999999997</v>
      </c>
      <c r="G258" s="70">
        <v>27.19</v>
      </c>
      <c r="H258" s="70">
        <v>0.71</v>
      </c>
      <c r="I258" s="70">
        <v>0.71</v>
      </c>
      <c r="J258" s="71">
        <v>0</v>
      </c>
      <c r="K258" s="72">
        <v>410.37</v>
      </c>
      <c r="L258" s="72">
        <v>0.05</v>
      </c>
      <c r="M258" s="72">
        <v>0.05</v>
      </c>
    </row>
    <row r="259" spans="1:13" ht="14" x14ac:dyDescent="0.15">
      <c r="A259" s="108" t="s">
        <v>1109</v>
      </c>
      <c r="B259" s="216">
        <v>2000056866037</v>
      </c>
      <c r="C259" s="108" t="s">
        <v>1133</v>
      </c>
      <c r="D259" s="216">
        <v>2000056866046</v>
      </c>
      <c r="E259" s="217" t="s">
        <v>995</v>
      </c>
      <c r="F259" s="69">
        <v>2.331</v>
      </c>
      <c r="G259" s="70">
        <v>21.88</v>
      </c>
      <c r="H259" s="70">
        <v>0.74</v>
      </c>
      <c r="I259" s="70">
        <v>0.74</v>
      </c>
      <c r="J259" s="71">
        <v>0</v>
      </c>
      <c r="K259" s="72">
        <v>415.68</v>
      </c>
      <c r="L259" s="72">
        <v>0.05</v>
      </c>
      <c r="M259" s="72">
        <v>0.05</v>
      </c>
    </row>
    <row r="260" spans="1:13" ht="14" x14ac:dyDescent="0.15">
      <c r="A260" s="108">
        <v>739</v>
      </c>
      <c r="B260" s="216" t="s">
        <v>1148</v>
      </c>
      <c r="C260" s="108">
        <v>749</v>
      </c>
      <c r="D260" s="216" t="s">
        <v>1148</v>
      </c>
      <c r="E260" s="217" t="s">
        <v>996</v>
      </c>
      <c r="F260" s="69">
        <v>2.3540000000000001</v>
      </c>
      <c r="G260" s="70">
        <v>2.82</v>
      </c>
      <c r="H260" s="70">
        <v>1.47</v>
      </c>
      <c r="I260" s="70">
        <v>1.47</v>
      </c>
      <c r="J260" s="71">
        <v>0</v>
      </c>
      <c r="K260" s="72">
        <v>242.57</v>
      </c>
      <c r="L260" s="72">
        <v>0.05</v>
      </c>
      <c r="M260" s="72">
        <v>0.05</v>
      </c>
    </row>
    <row r="261" spans="1:13" ht="14" x14ac:dyDescent="0.15">
      <c r="A261" s="108" t="s">
        <v>1110</v>
      </c>
      <c r="B261" s="216">
        <v>2000056848135</v>
      </c>
      <c r="C261" s="108" t="s">
        <v>1134</v>
      </c>
      <c r="D261" s="216">
        <v>2000056848144</v>
      </c>
      <c r="E261" s="217" t="s">
        <v>997</v>
      </c>
      <c r="F261" s="69">
        <v>0</v>
      </c>
      <c r="G261" s="70">
        <v>4.01</v>
      </c>
      <c r="H261" s="70">
        <v>1.57</v>
      </c>
      <c r="I261" s="70">
        <v>1.57</v>
      </c>
      <c r="J261" s="71">
        <v>0</v>
      </c>
      <c r="K261" s="72">
        <v>641.59</v>
      </c>
      <c r="L261" s="72">
        <v>0.05</v>
      </c>
      <c r="M261" s="72">
        <v>0.05</v>
      </c>
    </row>
    <row r="262" spans="1:13" ht="14" x14ac:dyDescent="0.15">
      <c r="A262" s="108">
        <v>897</v>
      </c>
      <c r="B262" s="216" t="s">
        <v>1148</v>
      </c>
      <c r="C262" s="108">
        <v>933</v>
      </c>
      <c r="D262" s="216" t="s">
        <v>1148</v>
      </c>
      <c r="E262" s="217" t="s">
        <v>998</v>
      </c>
      <c r="F262" s="69">
        <v>2.3540000000000001</v>
      </c>
      <c r="G262" s="70">
        <v>1173.18</v>
      </c>
      <c r="H262" s="70">
        <v>1.04</v>
      </c>
      <c r="I262" s="70">
        <v>1.04</v>
      </c>
      <c r="J262" s="71">
        <v>0</v>
      </c>
      <c r="K262" s="72">
        <v>1173.18</v>
      </c>
      <c r="L262" s="72">
        <v>0.05</v>
      </c>
      <c r="M262" s="72">
        <v>0.05</v>
      </c>
    </row>
    <row r="263" spans="1:13" ht="14" x14ac:dyDescent="0.15">
      <c r="A263" s="108" t="s">
        <v>1111</v>
      </c>
      <c r="B263" s="216">
        <v>2000056774592</v>
      </c>
      <c r="C263" s="108" t="s">
        <v>1135</v>
      </c>
      <c r="D263" s="216">
        <v>2000056774608</v>
      </c>
      <c r="E263" s="217" t="s">
        <v>999</v>
      </c>
      <c r="F263" s="69">
        <v>0.39900000000000002</v>
      </c>
      <c r="G263" s="70">
        <v>5.19</v>
      </c>
      <c r="H263" s="70">
        <v>0.76</v>
      </c>
      <c r="I263" s="70">
        <v>0.76</v>
      </c>
      <c r="J263" s="71">
        <v>0</v>
      </c>
      <c r="K263" s="72">
        <v>432.37</v>
      </c>
      <c r="L263" s="72">
        <v>0.05</v>
      </c>
      <c r="M263" s="72">
        <v>0.05</v>
      </c>
    </row>
    <row r="264" spans="1:13" ht="14" x14ac:dyDescent="0.15">
      <c r="A264" s="108" t="s">
        <v>1112</v>
      </c>
      <c r="B264" s="216">
        <v>2000056647928</v>
      </c>
      <c r="C264" s="108" t="s">
        <v>1136</v>
      </c>
      <c r="D264" s="216">
        <v>2000056647946</v>
      </c>
      <c r="E264" s="217" t="s">
        <v>1000</v>
      </c>
      <c r="F264" s="69">
        <v>0</v>
      </c>
      <c r="G264" s="70">
        <v>1.61</v>
      </c>
      <c r="H264" s="70">
        <v>1.55</v>
      </c>
      <c r="I264" s="70">
        <v>1.55</v>
      </c>
      <c r="J264" s="71">
        <v>0</v>
      </c>
      <c r="K264" s="72">
        <v>257.3</v>
      </c>
      <c r="L264" s="72">
        <v>0.05</v>
      </c>
      <c r="M264" s="72">
        <v>0.05</v>
      </c>
    </row>
    <row r="265" spans="1:13" ht="14" x14ac:dyDescent="0.15">
      <c r="A265" s="108">
        <v>897</v>
      </c>
      <c r="B265" s="216" t="s">
        <v>1148</v>
      </c>
      <c r="C265" s="108">
        <v>933</v>
      </c>
      <c r="D265" s="216" t="s">
        <v>1148</v>
      </c>
      <c r="E265" s="217" t="s">
        <v>1001</v>
      </c>
      <c r="F265" s="69">
        <v>0</v>
      </c>
      <c r="G265" s="70">
        <v>16.12</v>
      </c>
      <c r="H265" s="70">
        <v>1.1100000000000001</v>
      </c>
      <c r="I265" s="70">
        <v>1.1100000000000001</v>
      </c>
      <c r="J265" s="71">
        <v>0</v>
      </c>
      <c r="K265" s="72">
        <v>1330.21</v>
      </c>
      <c r="L265" s="72">
        <v>0.05</v>
      </c>
      <c r="M265" s="72">
        <v>0.05</v>
      </c>
    </row>
    <row r="266" spans="1:13" ht="14" x14ac:dyDescent="0.15">
      <c r="A266" s="108" t="s">
        <v>1113</v>
      </c>
      <c r="B266" s="216">
        <v>2000056456743</v>
      </c>
      <c r="C266" s="108" t="s">
        <v>1137</v>
      </c>
      <c r="D266" s="216">
        <v>2000056456850</v>
      </c>
      <c r="E266" s="217" t="s">
        <v>1002</v>
      </c>
      <c r="F266" s="69">
        <v>0</v>
      </c>
      <c r="G266" s="70">
        <v>22.83</v>
      </c>
      <c r="H266" s="70">
        <v>1.25</v>
      </c>
      <c r="I266" s="70">
        <v>1.25</v>
      </c>
      <c r="J266" s="71">
        <v>0</v>
      </c>
      <c r="K266" s="72">
        <v>228.27</v>
      </c>
      <c r="L266" s="72">
        <v>0.05</v>
      </c>
      <c r="M266" s="72">
        <v>0.05</v>
      </c>
    </row>
    <row r="267" spans="1:13" ht="14" x14ac:dyDescent="0.15">
      <c r="A267" s="108" t="s">
        <v>1114</v>
      </c>
      <c r="B267" s="216">
        <v>2000056872183</v>
      </c>
      <c r="C267" s="108" t="s">
        <v>1138</v>
      </c>
      <c r="D267" s="216">
        <v>2000056872305</v>
      </c>
      <c r="E267" s="217" t="s">
        <v>1003</v>
      </c>
      <c r="F267" s="69">
        <v>0</v>
      </c>
      <c r="G267" s="70">
        <v>186.74</v>
      </c>
      <c r="H267" s="70">
        <v>0.94</v>
      </c>
      <c r="I267" s="70">
        <v>0.94</v>
      </c>
      <c r="J267" s="71">
        <v>0</v>
      </c>
      <c r="K267" s="72">
        <v>809.22</v>
      </c>
      <c r="L267" s="72">
        <v>0.05</v>
      </c>
      <c r="M267" s="72">
        <v>0.05</v>
      </c>
    </row>
    <row r="268" spans="1:13" ht="14" x14ac:dyDescent="0.15">
      <c r="A268" s="108">
        <v>897</v>
      </c>
      <c r="B268" s="216" t="s">
        <v>1148</v>
      </c>
      <c r="C268" s="108">
        <v>933</v>
      </c>
      <c r="D268" s="216" t="s">
        <v>1148</v>
      </c>
      <c r="E268" s="217" t="s">
        <v>1004</v>
      </c>
      <c r="F268" s="69">
        <v>0</v>
      </c>
      <c r="G268" s="70">
        <v>580.05999999999995</v>
      </c>
      <c r="H268" s="70">
        <v>1.65</v>
      </c>
      <c r="I268" s="70">
        <v>1.65</v>
      </c>
      <c r="J268" s="71">
        <v>0</v>
      </c>
      <c r="K268" s="72">
        <v>3080.19</v>
      </c>
      <c r="L268" s="72">
        <v>0.05</v>
      </c>
      <c r="M268" s="72">
        <v>0.05</v>
      </c>
    </row>
    <row r="269" spans="1:13" ht="14" x14ac:dyDescent="0.15">
      <c r="A269" s="108">
        <v>838</v>
      </c>
      <c r="B269" s="216">
        <v>2000056479129</v>
      </c>
      <c r="C269" s="108">
        <v>638</v>
      </c>
      <c r="D269" s="216">
        <v>2000056479138</v>
      </c>
      <c r="E269" s="217" t="s">
        <v>1005</v>
      </c>
      <c r="F269" s="69">
        <v>6.1660000000000004</v>
      </c>
      <c r="G269" s="70">
        <v>38.229999999999997</v>
      </c>
      <c r="H269" s="70">
        <v>0.87</v>
      </c>
      <c r="I269" s="70">
        <v>0.87</v>
      </c>
      <c r="J269" s="71">
        <v>0</v>
      </c>
      <c r="K269" s="72">
        <v>1662.13</v>
      </c>
      <c r="L269" s="72">
        <v>0.05</v>
      </c>
      <c r="M269" s="72">
        <v>0.05</v>
      </c>
    </row>
    <row r="270" spans="1:13" ht="14" x14ac:dyDescent="0.15">
      <c r="A270" s="108">
        <v>843</v>
      </c>
      <c r="B270" s="216">
        <v>2000056465942</v>
      </c>
      <c r="C270" s="108">
        <v>643</v>
      </c>
      <c r="D270" s="216">
        <v>2000056465970</v>
      </c>
      <c r="E270" s="217" t="s">
        <v>1006</v>
      </c>
      <c r="F270" s="69">
        <v>0</v>
      </c>
      <c r="G270" s="70">
        <v>3.45</v>
      </c>
      <c r="H270" s="70">
        <v>0.86</v>
      </c>
      <c r="I270" s="70">
        <v>0.86</v>
      </c>
      <c r="J270" s="71">
        <v>0</v>
      </c>
      <c r="K270" s="72">
        <v>264.02</v>
      </c>
      <c r="L270" s="72">
        <v>0.05</v>
      </c>
      <c r="M270" s="72">
        <v>0.05</v>
      </c>
    </row>
    <row r="271" spans="1:13" ht="14" x14ac:dyDescent="0.15">
      <c r="A271" s="108">
        <v>871</v>
      </c>
      <c r="B271" s="216">
        <v>2000056504928</v>
      </c>
      <c r="C271" s="108">
        <v>981</v>
      </c>
      <c r="D271" s="216">
        <v>2000056504937</v>
      </c>
      <c r="E271" s="217" t="s">
        <v>1007</v>
      </c>
      <c r="F271" s="69">
        <v>0</v>
      </c>
      <c r="G271" s="70">
        <v>6.12</v>
      </c>
      <c r="H271" s="70">
        <v>1.36</v>
      </c>
      <c r="I271" s="70">
        <v>1.36</v>
      </c>
      <c r="J271" s="71">
        <v>0</v>
      </c>
      <c r="K271" s="72">
        <v>244.98</v>
      </c>
      <c r="L271" s="72">
        <v>0.05</v>
      </c>
      <c r="M271" s="72">
        <v>0.05</v>
      </c>
    </row>
    <row r="272" spans="1:13" ht="14" x14ac:dyDescent="0.15">
      <c r="A272" s="108">
        <v>879</v>
      </c>
      <c r="B272" s="216">
        <v>2000056522323</v>
      </c>
      <c r="C272" s="108">
        <v>988</v>
      </c>
      <c r="D272" s="216">
        <v>2000056522332</v>
      </c>
      <c r="E272" s="217" t="s">
        <v>1008</v>
      </c>
      <c r="F272" s="69">
        <v>0</v>
      </c>
      <c r="G272" s="70">
        <v>8.94</v>
      </c>
      <c r="H272" s="70">
        <v>0.98</v>
      </c>
      <c r="I272" s="70">
        <v>0.98</v>
      </c>
      <c r="J272" s="71">
        <v>0</v>
      </c>
      <c r="K272" s="72">
        <v>569.13</v>
      </c>
      <c r="L272" s="72">
        <v>0.05</v>
      </c>
      <c r="M272" s="72">
        <v>0.05</v>
      </c>
    </row>
    <row r="273" spans="1:13" ht="14" x14ac:dyDescent="0.15">
      <c r="A273" s="108">
        <v>887</v>
      </c>
      <c r="B273" s="216">
        <v>2000056527544</v>
      </c>
      <c r="C273" s="108">
        <v>992</v>
      </c>
      <c r="D273" s="216">
        <v>2000056527562</v>
      </c>
      <c r="E273" s="217" t="s">
        <v>1009</v>
      </c>
      <c r="F273" s="69">
        <v>0.40300000000000002</v>
      </c>
      <c r="G273" s="70">
        <v>28.08</v>
      </c>
      <c r="H273" s="70">
        <v>1.1599999999999999</v>
      </c>
      <c r="I273" s="70">
        <v>1.1599999999999999</v>
      </c>
      <c r="J273" s="71">
        <v>0</v>
      </c>
      <c r="K273" s="72">
        <v>5989.88</v>
      </c>
      <c r="L273" s="72">
        <v>0.05</v>
      </c>
      <c r="M273" s="72">
        <v>0.05</v>
      </c>
    </row>
    <row r="274" spans="1:13" ht="14" x14ac:dyDescent="0.15">
      <c r="A274" s="108">
        <v>900</v>
      </c>
      <c r="B274" s="216">
        <v>2000056873470</v>
      </c>
      <c r="C274" s="108">
        <v>950</v>
      </c>
      <c r="D274" s="216">
        <v>2000056873498</v>
      </c>
      <c r="E274" s="217" t="s">
        <v>1010</v>
      </c>
      <c r="F274" s="69">
        <v>0.39600000000000002</v>
      </c>
      <c r="G274" s="70">
        <v>7.5</v>
      </c>
      <c r="H274" s="70">
        <v>0.91</v>
      </c>
      <c r="I274" s="70">
        <v>0.91</v>
      </c>
      <c r="J274" s="71">
        <v>0</v>
      </c>
      <c r="K274" s="72">
        <v>599.84</v>
      </c>
      <c r="L274" s="72">
        <v>0.05</v>
      </c>
      <c r="M274" s="72">
        <v>0.05</v>
      </c>
    </row>
    <row r="275" spans="1:13" ht="28" x14ac:dyDescent="0.15">
      <c r="A275" s="108">
        <v>897</v>
      </c>
      <c r="B275" s="216" t="s">
        <v>1154</v>
      </c>
      <c r="C275" s="108"/>
      <c r="D275" s="216"/>
      <c r="E275" s="217" t="s">
        <v>1011</v>
      </c>
      <c r="F275" s="69">
        <v>1.9059999999999999</v>
      </c>
      <c r="G275" s="70">
        <v>4563.0600000000004</v>
      </c>
      <c r="H275" s="70">
        <v>2.41</v>
      </c>
      <c r="I275" s="70">
        <v>2.41</v>
      </c>
      <c r="J275" s="71">
        <v>0</v>
      </c>
      <c r="K275" s="72">
        <v>0</v>
      </c>
      <c r="L275" s="72">
        <v>0</v>
      </c>
      <c r="M275" s="72">
        <v>0</v>
      </c>
    </row>
    <row r="276" spans="1:13" ht="14" x14ac:dyDescent="0.15">
      <c r="A276" s="108" t="s">
        <v>1115</v>
      </c>
      <c r="B276" s="216">
        <v>2000056873512</v>
      </c>
      <c r="C276" s="108" t="s">
        <v>1139</v>
      </c>
      <c r="D276" s="216">
        <v>2000056873530</v>
      </c>
      <c r="E276" s="217" t="s">
        <v>1012</v>
      </c>
      <c r="F276" s="69">
        <v>0.97299999999999998</v>
      </c>
      <c r="G276" s="70">
        <v>19.88</v>
      </c>
      <c r="H276" s="70">
        <v>0.81</v>
      </c>
      <c r="I276" s="70">
        <v>0.81</v>
      </c>
      <c r="J276" s="71">
        <v>0</v>
      </c>
      <c r="K276" s="72">
        <v>828.21</v>
      </c>
      <c r="L276" s="72">
        <v>0.05</v>
      </c>
      <c r="M276" s="72">
        <v>0.05</v>
      </c>
    </row>
    <row r="277" spans="1:13" ht="14" x14ac:dyDescent="0.15">
      <c r="A277" s="108" t="s">
        <v>1116</v>
      </c>
      <c r="B277" s="216">
        <v>2000056644670</v>
      </c>
      <c r="C277" s="108" t="s">
        <v>1140</v>
      </c>
      <c r="D277" s="216">
        <v>2000056644680</v>
      </c>
      <c r="E277" s="217" t="s">
        <v>1013</v>
      </c>
      <c r="F277" s="69">
        <v>6.0739999999999998</v>
      </c>
      <c r="G277" s="70">
        <v>2.73</v>
      </c>
      <c r="H277" s="70">
        <v>0.79</v>
      </c>
      <c r="I277" s="70">
        <v>0.79</v>
      </c>
      <c r="J277" s="71">
        <v>0</v>
      </c>
      <c r="K277" s="72">
        <v>168.49</v>
      </c>
      <c r="L277" s="72">
        <v>0.05</v>
      </c>
      <c r="M277" s="72">
        <v>0.05</v>
      </c>
    </row>
    <row r="278" spans="1:13" ht="14" x14ac:dyDescent="0.15">
      <c r="A278" s="108">
        <v>897</v>
      </c>
      <c r="B278" s="216">
        <v>2000056774788</v>
      </c>
      <c r="C278" s="108">
        <v>933</v>
      </c>
      <c r="D278" s="216">
        <v>2000056774797</v>
      </c>
      <c r="E278" s="217" t="s">
        <v>1014</v>
      </c>
      <c r="F278" s="69">
        <v>0</v>
      </c>
      <c r="G278" s="70">
        <v>12.79</v>
      </c>
      <c r="H278" s="70">
        <v>0.68</v>
      </c>
      <c r="I278" s="70">
        <v>0.68</v>
      </c>
      <c r="J278" s="71">
        <v>0</v>
      </c>
      <c r="K278" s="72">
        <v>3375.52</v>
      </c>
      <c r="L278" s="72">
        <v>0.05</v>
      </c>
      <c r="M278" s="72">
        <v>0.05</v>
      </c>
    </row>
    <row r="279" spans="1:13" ht="14" x14ac:dyDescent="0.15">
      <c r="A279" s="108">
        <v>897</v>
      </c>
      <c r="B279" s="216" t="s">
        <v>1148</v>
      </c>
      <c r="C279" s="108">
        <v>933</v>
      </c>
      <c r="D279" s="216" t="s">
        <v>1148</v>
      </c>
      <c r="E279" s="217" t="s">
        <v>1015</v>
      </c>
      <c r="F279" s="69">
        <v>0</v>
      </c>
      <c r="G279" s="70">
        <v>206.66</v>
      </c>
      <c r="H279" s="70">
        <v>1.22</v>
      </c>
      <c r="I279" s="70">
        <v>1.22</v>
      </c>
      <c r="J279" s="71">
        <v>0</v>
      </c>
      <c r="K279" s="72">
        <v>15499.43</v>
      </c>
      <c r="L279" s="72">
        <v>0.05</v>
      </c>
      <c r="M279" s="72">
        <v>0.05</v>
      </c>
    </row>
    <row r="280" spans="1:13" ht="14" x14ac:dyDescent="0.15">
      <c r="A280" s="108">
        <v>897</v>
      </c>
      <c r="B280" s="216" t="s">
        <v>1148</v>
      </c>
      <c r="C280" s="108">
        <v>933</v>
      </c>
      <c r="D280" s="216" t="s">
        <v>1148</v>
      </c>
      <c r="E280" s="217" t="s">
        <v>1016</v>
      </c>
      <c r="F280" s="69">
        <v>6.2140000000000004</v>
      </c>
      <c r="G280" s="70">
        <v>6.58</v>
      </c>
      <c r="H280" s="70">
        <v>1.55</v>
      </c>
      <c r="I280" s="70">
        <v>1.55</v>
      </c>
      <c r="J280" s="71">
        <v>0</v>
      </c>
      <c r="K280" s="72">
        <v>328.8</v>
      </c>
      <c r="L280" s="72">
        <v>0.05</v>
      </c>
      <c r="M280" s="72">
        <v>0.05</v>
      </c>
    </row>
    <row r="281" spans="1:13" ht="14" x14ac:dyDescent="0.15">
      <c r="A281" s="108">
        <v>897</v>
      </c>
      <c r="B281" s="216">
        <v>2000057382881</v>
      </c>
      <c r="C281" s="108">
        <v>933</v>
      </c>
      <c r="D281" s="216">
        <v>2000057382890</v>
      </c>
      <c r="E281" s="217" t="s">
        <v>1017</v>
      </c>
      <c r="F281" s="69">
        <v>0</v>
      </c>
      <c r="G281" s="70">
        <v>2.74</v>
      </c>
      <c r="H281" s="70">
        <v>0.97</v>
      </c>
      <c r="I281" s="70">
        <v>0.97</v>
      </c>
      <c r="J281" s="71">
        <v>0</v>
      </c>
      <c r="K281" s="72">
        <v>210.93</v>
      </c>
      <c r="L281" s="72">
        <v>0.05</v>
      </c>
      <c r="M281" s="72">
        <v>0.05</v>
      </c>
    </row>
    <row r="282" spans="1:13" ht="14" x14ac:dyDescent="0.15">
      <c r="A282" s="108">
        <v>897</v>
      </c>
      <c r="B282" s="216" t="s">
        <v>1148</v>
      </c>
      <c r="C282" s="108">
        <v>933</v>
      </c>
      <c r="D282" s="216" t="s">
        <v>1148</v>
      </c>
      <c r="E282" s="217" t="s">
        <v>1018</v>
      </c>
      <c r="F282" s="69">
        <v>0</v>
      </c>
      <c r="G282" s="70">
        <v>37.42</v>
      </c>
      <c r="H282" s="70">
        <v>1.1100000000000001</v>
      </c>
      <c r="I282" s="70">
        <v>1.1100000000000001</v>
      </c>
      <c r="J282" s="71">
        <v>0</v>
      </c>
      <c r="K282" s="72">
        <v>1496.88</v>
      </c>
      <c r="L282" s="72">
        <v>0.05</v>
      </c>
      <c r="M282" s="72">
        <v>0.05</v>
      </c>
    </row>
    <row r="283" spans="1:13" ht="14" x14ac:dyDescent="0.15">
      <c r="A283" s="108">
        <v>897</v>
      </c>
      <c r="B283" s="216" t="s">
        <v>1148</v>
      </c>
      <c r="C283" s="108">
        <v>933</v>
      </c>
      <c r="D283" s="216" t="s">
        <v>1148</v>
      </c>
      <c r="E283" s="217" t="s">
        <v>1019</v>
      </c>
      <c r="F283" s="69">
        <v>0.40100000000000002</v>
      </c>
      <c r="G283" s="70">
        <v>1708.98</v>
      </c>
      <c r="H283" s="70">
        <v>1.32</v>
      </c>
      <c r="I283" s="70">
        <v>1.32</v>
      </c>
      <c r="J283" s="71">
        <v>0</v>
      </c>
      <c r="K283" s="72">
        <v>8675.85</v>
      </c>
      <c r="L283" s="72">
        <v>0.05</v>
      </c>
      <c r="M283" s="72">
        <v>0.05</v>
      </c>
    </row>
    <row r="284" spans="1:13" ht="14" x14ac:dyDescent="0.15">
      <c r="A284" s="108">
        <v>899</v>
      </c>
      <c r="B284" s="216" t="s">
        <v>1148</v>
      </c>
      <c r="C284" s="108">
        <v>935</v>
      </c>
      <c r="D284" s="216" t="s">
        <v>1148</v>
      </c>
      <c r="E284" s="217" t="s">
        <v>1020</v>
      </c>
      <c r="F284" s="69">
        <v>0</v>
      </c>
      <c r="G284" s="70">
        <v>136</v>
      </c>
      <c r="H284" s="70">
        <v>1.38</v>
      </c>
      <c r="I284" s="70">
        <v>1.38</v>
      </c>
      <c r="J284" s="71">
        <v>0</v>
      </c>
      <c r="K284" s="72">
        <v>11199.98</v>
      </c>
      <c r="L284" s="72">
        <v>0.05</v>
      </c>
      <c r="M284" s="72">
        <v>0.05</v>
      </c>
    </row>
    <row r="285" spans="1:13" ht="14" x14ac:dyDescent="0.15">
      <c r="A285" s="108">
        <v>897</v>
      </c>
      <c r="B285" s="216" t="s">
        <v>1148</v>
      </c>
      <c r="C285" s="108">
        <v>933</v>
      </c>
      <c r="D285" s="216" t="s">
        <v>1148</v>
      </c>
      <c r="E285" s="217" t="s">
        <v>1021</v>
      </c>
      <c r="F285" s="69">
        <v>0.40100000000000002</v>
      </c>
      <c r="G285" s="70">
        <v>298.16000000000003</v>
      </c>
      <c r="H285" s="70">
        <v>1.1100000000000001</v>
      </c>
      <c r="I285" s="70">
        <v>1.1100000000000001</v>
      </c>
      <c r="J285" s="71">
        <v>0</v>
      </c>
      <c r="K285" s="72">
        <v>298.16000000000003</v>
      </c>
      <c r="L285" s="72">
        <v>0.05</v>
      </c>
      <c r="M285" s="72">
        <v>0.05</v>
      </c>
    </row>
    <row r="286" spans="1:13" ht="14" x14ac:dyDescent="0.15">
      <c r="A286" s="108">
        <v>7372</v>
      </c>
      <c r="B286" s="216">
        <v>7372</v>
      </c>
      <c r="C286" s="108">
        <v>7373</v>
      </c>
      <c r="D286" s="216">
        <v>7373</v>
      </c>
      <c r="E286" s="217" t="s">
        <v>1022</v>
      </c>
      <c r="F286" s="69">
        <v>1.85</v>
      </c>
      <c r="G286" s="70">
        <v>22.21</v>
      </c>
      <c r="H286" s="70">
        <v>1.1100000000000001</v>
      </c>
      <c r="I286" s="70">
        <v>1.1100000000000001</v>
      </c>
      <c r="J286" s="71">
        <v>0</v>
      </c>
      <c r="K286" s="72">
        <v>493.65</v>
      </c>
      <c r="L286" s="72">
        <v>0.05</v>
      </c>
      <c r="M286" s="72">
        <v>0.05</v>
      </c>
    </row>
    <row r="287" spans="1:13" ht="14" x14ac:dyDescent="0.15">
      <c r="A287" s="108">
        <v>897</v>
      </c>
      <c r="B287" s="216" t="s">
        <v>1148</v>
      </c>
      <c r="C287" s="108">
        <v>933</v>
      </c>
      <c r="D287" s="216" t="s">
        <v>1148</v>
      </c>
      <c r="E287" s="217" t="s">
        <v>1023</v>
      </c>
      <c r="F287" s="69">
        <v>0.995</v>
      </c>
      <c r="G287" s="70">
        <v>128.37</v>
      </c>
      <c r="H287" s="70">
        <v>1.1100000000000001</v>
      </c>
      <c r="I287" s="70">
        <v>1.1100000000000001</v>
      </c>
      <c r="J287" s="71">
        <v>0</v>
      </c>
      <c r="K287" s="72">
        <v>128.37</v>
      </c>
      <c r="L287" s="72">
        <v>0.05</v>
      </c>
      <c r="M287" s="72">
        <v>0.05</v>
      </c>
    </row>
    <row r="288" spans="1:13" ht="14" x14ac:dyDescent="0.15">
      <c r="A288" s="108">
        <v>899</v>
      </c>
      <c r="B288" s="216" t="s">
        <v>1148</v>
      </c>
      <c r="C288" s="108">
        <v>935</v>
      </c>
      <c r="D288" s="216" t="s">
        <v>1148</v>
      </c>
      <c r="E288" s="217" t="s">
        <v>1024</v>
      </c>
      <c r="F288" s="69">
        <v>0</v>
      </c>
      <c r="G288" s="70">
        <v>18.18</v>
      </c>
      <c r="H288" s="70">
        <v>0.91</v>
      </c>
      <c r="I288" s="70">
        <v>0.91</v>
      </c>
      <c r="J288" s="71">
        <v>0</v>
      </c>
      <c r="K288" s="72">
        <v>1710.98</v>
      </c>
      <c r="L288" s="72">
        <v>0.05</v>
      </c>
      <c r="M288" s="72">
        <v>0.05</v>
      </c>
    </row>
    <row r="289" spans="1:13" ht="14" x14ac:dyDescent="0.15">
      <c r="A289" s="108">
        <v>897</v>
      </c>
      <c r="B289" s="216" t="s">
        <v>1148</v>
      </c>
      <c r="C289" s="108">
        <v>933</v>
      </c>
      <c r="D289" s="216" t="s">
        <v>1148</v>
      </c>
      <c r="E289" s="217" t="s">
        <v>1025</v>
      </c>
      <c r="F289" s="69">
        <v>0</v>
      </c>
      <c r="G289" s="70">
        <v>67.86</v>
      </c>
      <c r="H289" s="70">
        <v>1.96</v>
      </c>
      <c r="I289" s="70">
        <v>1.96</v>
      </c>
      <c r="J289" s="71">
        <v>0</v>
      </c>
      <c r="K289" s="72">
        <v>1323.19</v>
      </c>
      <c r="L289" s="72">
        <v>0.05</v>
      </c>
      <c r="M289" s="72">
        <v>0.05</v>
      </c>
    </row>
    <row r="290" spans="1:13" ht="14" x14ac:dyDescent="0.15">
      <c r="A290" s="108">
        <v>897</v>
      </c>
      <c r="B290" s="216" t="s">
        <v>1148</v>
      </c>
      <c r="C290" s="108">
        <v>933</v>
      </c>
      <c r="D290" s="216" t="s">
        <v>1148</v>
      </c>
      <c r="E290" s="217" t="s">
        <v>1026</v>
      </c>
      <c r="F290" s="69">
        <v>0</v>
      </c>
      <c r="G290" s="70">
        <v>0.83</v>
      </c>
      <c r="H290" s="70">
        <v>1.96</v>
      </c>
      <c r="I290" s="70">
        <v>1.96</v>
      </c>
      <c r="J290" s="71">
        <v>0</v>
      </c>
      <c r="K290" s="72">
        <v>330.89</v>
      </c>
      <c r="L290" s="72">
        <v>0.05</v>
      </c>
      <c r="M290" s="72">
        <v>0.05</v>
      </c>
    </row>
    <row r="291" spans="1:13" ht="14" x14ac:dyDescent="0.15">
      <c r="A291" s="108" t="s">
        <v>1117</v>
      </c>
      <c r="B291" s="216">
        <v>2000056721085</v>
      </c>
      <c r="C291" s="108" t="s">
        <v>1141</v>
      </c>
      <c r="D291" s="216">
        <v>2000056721128</v>
      </c>
      <c r="E291" s="217" t="s">
        <v>1027</v>
      </c>
      <c r="F291" s="69">
        <v>1.9930000000000001</v>
      </c>
      <c r="G291" s="70">
        <v>10.27</v>
      </c>
      <c r="H291" s="70">
        <v>0.77</v>
      </c>
      <c r="I291" s="70">
        <v>0.77</v>
      </c>
      <c r="J291" s="71">
        <v>0</v>
      </c>
      <c r="K291" s="72">
        <v>246.47</v>
      </c>
      <c r="L291" s="72">
        <v>0.05</v>
      </c>
      <c r="M291" s="72">
        <v>0.05</v>
      </c>
    </row>
    <row r="292" spans="1:13" ht="14" x14ac:dyDescent="0.15">
      <c r="A292" s="108">
        <v>897</v>
      </c>
      <c r="B292" s="216" t="s">
        <v>1148</v>
      </c>
      <c r="C292" s="108">
        <v>933</v>
      </c>
      <c r="D292" s="216" t="s">
        <v>1148</v>
      </c>
      <c r="E292" s="217" t="s">
        <v>1028</v>
      </c>
      <c r="F292" s="69">
        <v>0</v>
      </c>
      <c r="G292" s="70">
        <v>275.35000000000002</v>
      </c>
      <c r="H292" s="70">
        <v>0.97</v>
      </c>
      <c r="I292" s="70">
        <v>0.97</v>
      </c>
      <c r="J292" s="71">
        <v>0</v>
      </c>
      <c r="K292" s="72">
        <v>275.35000000000002</v>
      </c>
      <c r="L292" s="72">
        <v>0.05</v>
      </c>
      <c r="M292" s="72">
        <v>0.05</v>
      </c>
    </row>
    <row r="293" spans="1:13" ht="14" x14ac:dyDescent="0.15">
      <c r="A293" s="108">
        <v>897</v>
      </c>
      <c r="B293" s="216" t="s">
        <v>1148</v>
      </c>
      <c r="C293" s="108">
        <v>933</v>
      </c>
      <c r="D293" s="216" t="s">
        <v>1148</v>
      </c>
      <c r="E293" s="217" t="s">
        <v>1029</v>
      </c>
      <c r="F293" s="69">
        <v>2.3540000000000001</v>
      </c>
      <c r="G293" s="70">
        <v>4.25</v>
      </c>
      <c r="H293" s="70">
        <v>1.1100000000000001</v>
      </c>
      <c r="I293" s="70">
        <v>1.1100000000000001</v>
      </c>
      <c r="J293" s="71">
        <v>0</v>
      </c>
      <c r="K293" s="72">
        <v>467.82</v>
      </c>
      <c r="L293" s="72">
        <v>0.05</v>
      </c>
      <c r="M293" s="72">
        <v>0.05</v>
      </c>
    </row>
    <row r="294" spans="1:13" ht="14" x14ac:dyDescent="0.15">
      <c r="A294" s="108" t="s">
        <v>1118</v>
      </c>
      <c r="B294" s="216">
        <v>2000056873489</v>
      </c>
      <c r="C294" s="108" t="s">
        <v>1142</v>
      </c>
      <c r="D294" s="216">
        <v>2000056873503</v>
      </c>
      <c r="E294" s="217" t="s">
        <v>1030</v>
      </c>
      <c r="F294" s="69">
        <v>0.4</v>
      </c>
      <c r="G294" s="70">
        <v>60.73</v>
      </c>
      <c r="H294" s="70">
        <v>0.8</v>
      </c>
      <c r="I294" s="70">
        <v>0.8</v>
      </c>
      <c r="J294" s="71">
        <v>0</v>
      </c>
      <c r="K294" s="72">
        <v>60.73</v>
      </c>
      <c r="L294" s="72">
        <v>0.05</v>
      </c>
      <c r="M294" s="72">
        <v>0.05</v>
      </c>
    </row>
    <row r="295" spans="1:13" ht="14" x14ac:dyDescent="0.15">
      <c r="A295" s="108">
        <v>897</v>
      </c>
      <c r="B295" s="216" t="s">
        <v>1148</v>
      </c>
      <c r="C295" s="108"/>
      <c r="D295" s="216"/>
      <c r="E295" s="217" t="s">
        <v>1031</v>
      </c>
      <c r="F295" s="69">
        <v>0</v>
      </c>
      <c r="G295" s="70">
        <v>6715.45</v>
      </c>
      <c r="H295" s="70">
        <v>1.29</v>
      </c>
      <c r="I295" s="70">
        <v>1.29</v>
      </c>
      <c r="J295" s="71">
        <v>0</v>
      </c>
      <c r="K295" s="72">
        <v>0</v>
      </c>
      <c r="L295" s="72">
        <v>0</v>
      </c>
      <c r="M295" s="72">
        <v>0</v>
      </c>
    </row>
    <row r="296" spans="1:13" ht="14" x14ac:dyDescent="0.15">
      <c r="A296" s="108">
        <v>897</v>
      </c>
      <c r="B296" s="216">
        <v>2000056970234</v>
      </c>
      <c r="C296" s="108">
        <v>933</v>
      </c>
      <c r="D296" s="216">
        <v>2000056970243</v>
      </c>
      <c r="E296" s="217" t="s">
        <v>1032</v>
      </c>
      <c r="F296" s="69">
        <v>0</v>
      </c>
      <c r="G296" s="70">
        <v>10.62</v>
      </c>
      <c r="H296" s="70">
        <v>0.82</v>
      </c>
      <c r="I296" s="70">
        <v>0.82</v>
      </c>
      <c r="J296" s="71">
        <v>0</v>
      </c>
      <c r="K296" s="72">
        <v>255.41</v>
      </c>
      <c r="L296" s="72">
        <v>0.05</v>
      </c>
      <c r="M296" s="72">
        <v>0.05</v>
      </c>
    </row>
    <row r="297" spans="1:13" ht="14" x14ac:dyDescent="0.15">
      <c r="A297" s="108">
        <v>897</v>
      </c>
      <c r="B297" s="223" t="s">
        <v>563</v>
      </c>
      <c r="C297" s="108">
        <v>933</v>
      </c>
      <c r="D297" s="223" t="s">
        <v>563</v>
      </c>
      <c r="E297" s="217" t="s">
        <v>1033</v>
      </c>
      <c r="F297" s="69">
        <v>6.2779999999999996</v>
      </c>
      <c r="G297" s="70">
        <v>275.35000000000002</v>
      </c>
      <c r="H297" s="70">
        <v>0.62</v>
      </c>
      <c r="I297" s="70">
        <v>0.62</v>
      </c>
      <c r="J297" s="71">
        <v>0</v>
      </c>
      <c r="K297" s="72">
        <v>275.35000000000002</v>
      </c>
      <c r="L297" s="72">
        <v>0.05</v>
      </c>
      <c r="M297" s="72">
        <v>0.05</v>
      </c>
    </row>
    <row r="298" spans="1:13" ht="14" x14ac:dyDescent="0.15">
      <c r="A298" s="108">
        <v>739</v>
      </c>
      <c r="B298" s="216" t="s">
        <v>1148</v>
      </c>
      <c r="C298" s="108">
        <v>749</v>
      </c>
      <c r="D298" s="216" t="s">
        <v>1148</v>
      </c>
      <c r="E298" s="217" t="s">
        <v>1034</v>
      </c>
      <c r="F298" s="69">
        <v>0.995</v>
      </c>
      <c r="G298" s="70">
        <v>65.680000000000007</v>
      </c>
      <c r="H298" s="70">
        <v>1.47</v>
      </c>
      <c r="I298" s="70">
        <v>1.47</v>
      </c>
      <c r="J298" s="71">
        <v>0</v>
      </c>
      <c r="K298" s="72">
        <v>65.680000000000007</v>
      </c>
      <c r="L298" s="72">
        <v>0.05</v>
      </c>
      <c r="M298" s="72">
        <v>0.05</v>
      </c>
    </row>
    <row r="299" spans="1:13" ht="14" x14ac:dyDescent="0.15">
      <c r="A299" s="108" t="s">
        <v>1119</v>
      </c>
      <c r="B299" s="216">
        <v>2000056879230</v>
      </c>
      <c r="C299" s="108" t="s">
        <v>1143</v>
      </c>
      <c r="D299" s="216">
        <v>2000056879240</v>
      </c>
      <c r="E299" s="217" t="s">
        <v>1035</v>
      </c>
      <c r="F299" s="69">
        <v>0</v>
      </c>
      <c r="G299" s="70">
        <v>1.6</v>
      </c>
      <c r="H299" s="70">
        <v>1.01</v>
      </c>
      <c r="I299" s="70">
        <v>1.01</v>
      </c>
      <c r="J299" s="71">
        <v>0</v>
      </c>
      <c r="K299" s="72">
        <v>177.05</v>
      </c>
      <c r="L299" s="72">
        <v>0.05</v>
      </c>
      <c r="M299" s="72">
        <v>0.05</v>
      </c>
    </row>
    <row r="300" spans="1:13" ht="14" x14ac:dyDescent="0.15">
      <c r="A300" s="108" t="s">
        <v>1120</v>
      </c>
      <c r="B300" s="216">
        <v>2000056873521</v>
      </c>
      <c r="C300" s="108" t="s">
        <v>1144</v>
      </c>
      <c r="D300" s="216">
        <v>2000056873540</v>
      </c>
      <c r="E300" s="217" t="s">
        <v>1036</v>
      </c>
      <c r="F300" s="69">
        <v>0.94</v>
      </c>
      <c r="G300" s="70">
        <v>101.77</v>
      </c>
      <c r="H300" s="70">
        <v>0.76</v>
      </c>
      <c r="I300" s="70">
        <v>0.76</v>
      </c>
      <c r="J300" s="71">
        <v>0</v>
      </c>
      <c r="K300" s="72">
        <v>101.77</v>
      </c>
      <c r="L300" s="72">
        <v>0.05</v>
      </c>
      <c r="M300" s="72">
        <v>0.05</v>
      </c>
    </row>
    <row r="301" spans="1:13" ht="14" x14ac:dyDescent="0.15">
      <c r="A301" s="108">
        <v>897</v>
      </c>
      <c r="B301" s="216">
        <v>2000057162785</v>
      </c>
      <c r="C301" s="108">
        <v>933</v>
      </c>
      <c r="D301" s="216">
        <v>2000057162794</v>
      </c>
      <c r="E301" s="217" t="s">
        <v>1037</v>
      </c>
      <c r="F301" s="69">
        <v>0.40100000000000002</v>
      </c>
      <c r="G301" s="70">
        <v>216.42</v>
      </c>
      <c r="H301" s="70">
        <v>1.1100000000000001</v>
      </c>
      <c r="I301" s="70">
        <v>1.1100000000000001</v>
      </c>
      <c r="J301" s="71">
        <v>0</v>
      </c>
      <c r="K301" s="72">
        <v>432.83</v>
      </c>
      <c r="L301" s="72">
        <v>0.05</v>
      </c>
      <c r="M301" s="72">
        <v>0.05</v>
      </c>
    </row>
    <row r="302" spans="1:13" ht="14" x14ac:dyDescent="0.15">
      <c r="A302" s="108">
        <v>899</v>
      </c>
      <c r="B302" s="216" t="s">
        <v>1148</v>
      </c>
      <c r="C302" s="108">
        <v>935</v>
      </c>
      <c r="D302" s="216" t="s">
        <v>1148</v>
      </c>
      <c r="E302" s="217" t="s">
        <v>1038</v>
      </c>
      <c r="F302" s="69">
        <v>0</v>
      </c>
      <c r="G302" s="70">
        <v>28.34</v>
      </c>
      <c r="H302" s="70">
        <v>1.38</v>
      </c>
      <c r="I302" s="70">
        <v>1.38</v>
      </c>
      <c r="J302" s="71">
        <v>0</v>
      </c>
      <c r="K302" s="72">
        <v>2334.11</v>
      </c>
      <c r="L302" s="72">
        <v>0.05</v>
      </c>
      <c r="M302" s="72">
        <v>0.05</v>
      </c>
    </row>
    <row r="303" spans="1:13" ht="14" x14ac:dyDescent="0.15">
      <c r="A303" s="108">
        <v>897</v>
      </c>
      <c r="B303" s="216" t="s">
        <v>1148</v>
      </c>
      <c r="C303" s="108">
        <v>933</v>
      </c>
      <c r="D303" s="216" t="s">
        <v>1148</v>
      </c>
      <c r="E303" s="217" t="s">
        <v>1039</v>
      </c>
      <c r="F303" s="69">
        <v>0.995</v>
      </c>
      <c r="G303" s="70">
        <v>73.22</v>
      </c>
      <c r="H303" s="70">
        <v>1.1100000000000001</v>
      </c>
      <c r="I303" s="70">
        <v>1.1100000000000001</v>
      </c>
      <c r="J303" s="71">
        <v>0</v>
      </c>
      <c r="K303" s="72">
        <v>1627.14</v>
      </c>
      <c r="L303" s="72">
        <v>0.05</v>
      </c>
      <c r="M303" s="72">
        <v>0.05</v>
      </c>
    </row>
    <row r="304" spans="1:13" ht="14" x14ac:dyDescent="0.15">
      <c r="A304" s="108">
        <v>897</v>
      </c>
      <c r="B304" s="216" t="s">
        <v>1148</v>
      </c>
      <c r="C304" s="108">
        <v>933</v>
      </c>
      <c r="D304" s="216" t="s">
        <v>1148</v>
      </c>
      <c r="E304" s="217" t="s">
        <v>1040</v>
      </c>
      <c r="F304" s="69">
        <v>0</v>
      </c>
      <c r="G304" s="70">
        <v>5.19</v>
      </c>
      <c r="H304" s="70">
        <v>1.96</v>
      </c>
      <c r="I304" s="70">
        <v>1.96</v>
      </c>
      <c r="J304" s="71">
        <v>0</v>
      </c>
      <c r="K304" s="72">
        <v>432.37</v>
      </c>
      <c r="L304" s="72">
        <v>0.05</v>
      </c>
      <c r="M304" s="72">
        <v>0.05</v>
      </c>
    </row>
    <row r="305" spans="1:13" ht="14" x14ac:dyDescent="0.15">
      <c r="A305" s="108">
        <v>897</v>
      </c>
      <c r="B305" s="216" t="s">
        <v>1148</v>
      </c>
      <c r="C305" s="108">
        <v>933</v>
      </c>
      <c r="D305" s="216" t="s">
        <v>1148</v>
      </c>
      <c r="E305" s="217" t="s">
        <v>1041</v>
      </c>
      <c r="F305" s="69">
        <v>0.40100000000000002</v>
      </c>
      <c r="G305" s="70">
        <v>16.420000000000002</v>
      </c>
      <c r="H305" s="70">
        <v>1.1100000000000001</v>
      </c>
      <c r="I305" s="70">
        <v>1.1100000000000001</v>
      </c>
      <c r="J305" s="71">
        <v>0</v>
      </c>
      <c r="K305" s="72">
        <v>386.47</v>
      </c>
      <c r="L305" s="72">
        <v>0.05</v>
      </c>
      <c r="M305" s="72">
        <v>0.05</v>
      </c>
    </row>
    <row r="306" spans="1:13" ht="14" x14ac:dyDescent="0.15">
      <c r="A306" s="108">
        <v>897</v>
      </c>
      <c r="B306" s="216" t="s">
        <v>1148</v>
      </c>
      <c r="C306" s="108">
        <v>933</v>
      </c>
      <c r="D306" s="216" t="s">
        <v>1148</v>
      </c>
      <c r="E306" s="217" t="s">
        <v>1042</v>
      </c>
      <c r="F306" s="69">
        <v>0</v>
      </c>
      <c r="G306" s="70">
        <v>370.24</v>
      </c>
      <c r="H306" s="70">
        <v>0.97</v>
      </c>
      <c r="I306" s="70">
        <v>0.97</v>
      </c>
      <c r="J306" s="71">
        <v>0</v>
      </c>
      <c r="K306" s="72">
        <v>370.24</v>
      </c>
      <c r="L306" s="72">
        <v>0.05</v>
      </c>
      <c r="M306" s="72">
        <v>0.05</v>
      </c>
    </row>
    <row r="307" spans="1:13" ht="14" x14ac:dyDescent="0.15">
      <c r="A307" s="108">
        <v>897</v>
      </c>
      <c r="B307" s="216" t="s">
        <v>1148</v>
      </c>
      <c r="C307" s="108">
        <v>933</v>
      </c>
      <c r="D307" s="216" t="s">
        <v>1148</v>
      </c>
      <c r="E307" s="217" t="s">
        <v>1043</v>
      </c>
      <c r="F307" s="69">
        <v>2.3540000000000001</v>
      </c>
      <c r="G307" s="70">
        <v>0.64</v>
      </c>
      <c r="H307" s="70">
        <v>1.1100000000000001</v>
      </c>
      <c r="I307" s="70">
        <v>1.1100000000000001</v>
      </c>
      <c r="J307" s="71">
        <v>0</v>
      </c>
      <c r="K307" s="72">
        <v>256.10000000000002</v>
      </c>
      <c r="L307" s="72">
        <v>0.05</v>
      </c>
      <c r="M307" s="72">
        <v>0.05</v>
      </c>
    </row>
    <row r="308" spans="1:13" ht="14" x14ac:dyDescent="0.15">
      <c r="A308" s="108">
        <v>899</v>
      </c>
      <c r="B308" s="216" t="s">
        <v>1148</v>
      </c>
      <c r="C308" s="108">
        <v>935</v>
      </c>
      <c r="D308" s="216" t="s">
        <v>1148</v>
      </c>
      <c r="E308" s="217" t="s">
        <v>1044</v>
      </c>
      <c r="F308" s="69">
        <v>0</v>
      </c>
      <c r="G308" s="70">
        <v>1181.23</v>
      </c>
      <c r="H308" s="70">
        <v>0.56000000000000005</v>
      </c>
      <c r="I308" s="70">
        <v>0.56000000000000005</v>
      </c>
      <c r="J308" s="71">
        <v>0</v>
      </c>
      <c r="K308" s="72">
        <v>1181.23</v>
      </c>
      <c r="L308" s="72">
        <v>0.05</v>
      </c>
      <c r="M308" s="72">
        <v>0.05</v>
      </c>
    </row>
    <row r="309" spans="1:13" ht="14" x14ac:dyDescent="0.15">
      <c r="A309" s="108">
        <v>899</v>
      </c>
      <c r="B309" s="216" t="s">
        <v>1148</v>
      </c>
      <c r="C309" s="108">
        <v>935</v>
      </c>
      <c r="D309" s="216" t="s">
        <v>1148</v>
      </c>
      <c r="E309" s="217" t="s">
        <v>1045</v>
      </c>
      <c r="F309" s="69">
        <v>0</v>
      </c>
      <c r="G309" s="70">
        <v>1181.23</v>
      </c>
      <c r="H309" s="70">
        <v>0.87</v>
      </c>
      <c r="I309" s="70">
        <v>0.87</v>
      </c>
      <c r="J309" s="71">
        <v>0</v>
      </c>
      <c r="K309" s="72">
        <v>1181.23</v>
      </c>
      <c r="L309" s="72">
        <v>0.05</v>
      </c>
      <c r="M309" s="72">
        <v>0.05</v>
      </c>
    </row>
    <row r="310" spans="1:13" ht="14" x14ac:dyDescent="0.15">
      <c r="A310" s="108">
        <v>899</v>
      </c>
      <c r="B310" s="216" t="s">
        <v>1148</v>
      </c>
      <c r="C310" s="108"/>
      <c r="D310" s="216"/>
      <c r="E310" s="217" t="s">
        <v>1046</v>
      </c>
      <c r="F310" s="69">
        <v>0</v>
      </c>
      <c r="G310" s="70">
        <v>5177.8999999999996</v>
      </c>
      <c r="H310" s="70">
        <v>0.92</v>
      </c>
      <c r="I310" s="70">
        <v>0.92</v>
      </c>
      <c r="J310" s="71">
        <v>0</v>
      </c>
      <c r="K310" s="72">
        <v>0</v>
      </c>
      <c r="L310" s="72">
        <v>0</v>
      </c>
      <c r="M310" s="72">
        <v>0</v>
      </c>
    </row>
    <row r="311" spans="1:13" ht="14" x14ac:dyDescent="0.15">
      <c r="A311" s="108">
        <v>897</v>
      </c>
      <c r="B311" s="216" t="s">
        <v>1148</v>
      </c>
      <c r="C311" s="108">
        <v>933</v>
      </c>
      <c r="D311" s="216" t="s">
        <v>1148</v>
      </c>
      <c r="E311" s="217" t="s">
        <v>1047</v>
      </c>
      <c r="F311" s="69">
        <v>0</v>
      </c>
      <c r="G311" s="70">
        <v>13.81</v>
      </c>
      <c r="H311" s="70">
        <v>1.1100000000000001</v>
      </c>
      <c r="I311" s="70">
        <v>1.1100000000000001</v>
      </c>
      <c r="J311" s="71">
        <v>0</v>
      </c>
      <c r="K311" s="72">
        <v>448.04</v>
      </c>
      <c r="L311" s="72">
        <v>0.05</v>
      </c>
      <c r="M311" s="72">
        <v>0.05</v>
      </c>
    </row>
    <row r="312" spans="1:13" ht="14" x14ac:dyDescent="0.15">
      <c r="A312" s="108">
        <v>899</v>
      </c>
      <c r="B312" s="216" t="s">
        <v>1148</v>
      </c>
      <c r="C312" s="108">
        <v>935</v>
      </c>
      <c r="D312" s="216" t="s">
        <v>1148</v>
      </c>
      <c r="E312" s="217" t="s">
        <v>1048</v>
      </c>
      <c r="F312" s="69">
        <v>0</v>
      </c>
      <c r="G312" s="70">
        <v>1181.23</v>
      </c>
      <c r="H312" s="70">
        <v>1.47</v>
      </c>
      <c r="I312" s="70">
        <v>1.47</v>
      </c>
      <c r="J312" s="71">
        <v>0</v>
      </c>
      <c r="K312" s="72">
        <v>1181.23</v>
      </c>
      <c r="L312" s="72">
        <v>0.05</v>
      </c>
      <c r="M312" s="72">
        <v>0.05</v>
      </c>
    </row>
    <row r="313" spans="1:13" ht="14" x14ac:dyDescent="0.15">
      <c r="A313" s="108">
        <v>897</v>
      </c>
      <c r="B313" s="216" t="s">
        <v>1148</v>
      </c>
      <c r="C313" s="108">
        <v>933</v>
      </c>
      <c r="D313" s="216" t="s">
        <v>1148</v>
      </c>
      <c r="E313" s="217" t="s">
        <v>1049</v>
      </c>
      <c r="F313" s="69">
        <v>6.2140000000000004</v>
      </c>
      <c r="G313" s="70">
        <v>31.01</v>
      </c>
      <c r="H313" s="70">
        <v>1.38</v>
      </c>
      <c r="I313" s="70">
        <v>1.38</v>
      </c>
      <c r="J313" s="71">
        <v>0</v>
      </c>
      <c r="K313" s="72">
        <v>371.88</v>
      </c>
      <c r="L313" s="72">
        <v>0.05</v>
      </c>
      <c r="M313" s="72">
        <v>0.05</v>
      </c>
    </row>
    <row r="314" spans="1:13" ht="14" x14ac:dyDescent="0.15">
      <c r="A314" s="108">
        <v>897</v>
      </c>
      <c r="B314" s="216" t="s">
        <v>1148</v>
      </c>
      <c r="C314" s="108">
        <v>933</v>
      </c>
      <c r="D314" s="216" t="s">
        <v>1148</v>
      </c>
      <c r="E314" s="217" t="s">
        <v>1050</v>
      </c>
      <c r="F314" s="69">
        <v>0.995</v>
      </c>
      <c r="G314" s="70">
        <v>441.41</v>
      </c>
      <c r="H314" s="70">
        <v>1.1100000000000001</v>
      </c>
      <c r="I314" s="70">
        <v>1.1100000000000001</v>
      </c>
      <c r="J314" s="71">
        <v>0</v>
      </c>
      <c r="K314" s="72">
        <v>441.41</v>
      </c>
      <c r="L314" s="72">
        <v>0.05</v>
      </c>
      <c r="M314" s="72">
        <v>0.05</v>
      </c>
    </row>
    <row r="315" spans="1:13" ht="14" x14ac:dyDescent="0.15">
      <c r="A315" s="108">
        <v>897</v>
      </c>
      <c r="B315" s="216">
        <v>2000057082465</v>
      </c>
      <c r="C315" s="108">
        <v>933</v>
      </c>
      <c r="D315" s="216">
        <v>2000057082474</v>
      </c>
      <c r="E315" s="217" t="s">
        <v>1051</v>
      </c>
      <c r="F315" s="69">
        <v>0</v>
      </c>
      <c r="G315" s="70">
        <v>93.36</v>
      </c>
      <c r="H315" s="70">
        <v>1.65</v>
      </c>
      <c r="I315" s="70">
        <v>1.65</v>
      </c>
      <c r="J315" s="71">
        <v>0</v>
      </c>
      <c r="K315" s="72">
        <v>163.38</v>
      </c>
      <c r="L315" s="72">
        <v>0.05</v>
      </c>
      <c r="M315" s="72">
        <v>0.05</v>
      </c>
    </row>
    <row r="316" spans="1:13" ht="14" x14ac:dyDescent="0.15">
      <c r="A316" s="108">
        <v>897</v>
      </c>
      <c r="B316" s="216" t="s">
        <v>1148</v>
      </c>
      <c r="C316" s="108">
        <v>933</v>
      </c>
      <c r="D316" s="216" t="s">
        <v>1148</v>
      </c>
      <c r="E316" s="217" t="s">
        <v>1052</v>
      </c>
      <c r="F316" s="69">
        <v>0</v>
      </c>
      <c r="G316" s="70">
        <v>477.91</v>
      </c>
      <c r="H316" s="70">
        <v>0.97</v>
      </c>
      <c r="I316" s="70">
        <v>0.97</v>
      </c>
      <c r="J316" s="71">
        <v>0</v>
      </c>
      <c r="K316" s="72">
        <v>477.91</v>
      </c>
      <c r="L316" s="72">
        <v>0.05</v>
      </c>
      <c r="M316" s="72">
        <v>0.05</v>
      </c>
    </row>
    <row r="317" spans="1:13" ht="14" x14ac:dyDescent="0.15">
      <c r="A317" s="108">
        <v>897</v>
      </c>
      <c r="B317" s="216" t="s">
        <v>1148</v>
      </c>
      <c r="C317" s="108">
        <v>933</v>
      </c>
      <c r="D317" s="216" t="s">
        <v>1148</v>
      </c>
      <c r="E317" s="217" t="s">
        <v>1053</v>
      </c>
      <c r="F317" s="69">
        <v>0.40100000000000002</v>
      </c>
      <c r="G317" s="70">
        <v>17.32</v>
      </c>
      <c r="H317" s="70">
        <v>1.1100000000000001</v>
      </c>
      <c r="I317" s="70">
        <v>1.1100000000000001</v>
      </c>
      <c r="J317" s="71">
        <v>0</v>
      </c>
      <c r="K317" s="72">
        <v>657.47</v>
      </c>
      <c r="L317" s="72">
        <v>0.05</v>
      </c>
      <c r="M317" s="72">
        <v>0.05</v>
      </c>
    </row>
    <row r="318" spans="1:13" ht="14" x14ac:dyDescent="0.15">
      <c r="A318" s="108" t="s">
        <v>1977</v>
      </c>
      <c r="B318" s="216">
        <v>2000057173796</v>
      </c>
      <c r="C318" s="108" t="s">
        <v>1978</v>
      </c>
      <c r="D318" s="216">
        <v>2000056212186</v>
      </c>
      <c r="E318" s="217" t="s">
        <v>1054</v>
      </c>
      <c r="F318" s="69">
        <v>0.40600000000000003</v>
      </c>
      <c r="G318" s="70">
        <v>1.41</v>
      </c>
      <c r="H318" s="70">
        <v>0.68</v>
      </c>
      <c r="I318" s="70">
        <v>0.68</v>
      </c>
      <c r="J318" s="71">
        <v>0</v>
      </c>
      <c r="K318" s="72">
        <v>203.16</v>
      </c>
      <c r="L318" s="72">
        <v>0.05</v>
      </c>
      <c r="M318" s="72">
        <v>0.05</v>
      </c>
    </row>
    <row r="319" spans="1:13" ht="14" x14ac:dyDescent="0.15">
      <c r="A319" s="108">
        <v>897</v>
      </c>
      <c r="B319" s="216" t="s">
        <v>1148</v>
      </c>
      <c r="C319" s="108">
        <v>933</v>
      </c>
      <c r="D319" s="216" t="s">
        <v>1148</v>
      </c>
      <c r="E319" s="217" t="s">
        <v>1055</v>
      </c>
      <c r="F319" s="69">
        <v>6.2140000000000004</v>
      </c>
      <c r="G319" s="70">
        <v>122.7</v>
      </c>
      <c r="H319" s="70">
        <v>1.51</v>
      </c>
      <c r="I319" s="70">
        <v>1.51</v>
      </c>
      <c r="J319" s="71">
        <v>0</v>
      </c>
      <c r="K319" s="72">
        <v>122.7</v>
      </c>
      <c r="L319" s="72">
        <v>0.05</v>
      </c>
      <c r="M319" s="72">
        <v>0.05</v>
      </c>
    </row>
    <row r="320" spans="1:13" ht="14" x14ac:dyDescent="0.15">
      <c r="A320" s="108">
        <v>897</v>
      </c>
      <c r="B320" s="216" t="s">
        <v>1148</v>
      </c>
      <c r="C320" s="108">
        <v>933</v>
      </c>
      <c r="D320" s="216" t="s">
        <v>1148</v>
      </c>
      <c r="E320" s="217" t="s">
        <v>1056</v>
      </c>
      <c r="F320" s="69">
        <v>2.3540000000000001</v>
      </c>
      <c r="G320" s="70">
        <v>28.43</v>
      </c>
      <c r="H320" s="70">
        <v>1.47</v>
      </c>
      <c r="I320" s="70">
        <v>1.47</v>
      </c>
      <c r="J320" s="71">
        <v>0</v>
      </c>
      <c r="K320" s="72">
        <v>373.84</v>
      </c>
      <c r="L320" s="72">
        <v>0.05</v>
      </c>
      <c r="M320" s="72">
        <v>0.05</v>
      </c>
    </row>
    <row r="321" spans="1:13" ht="14" x14ac:dyDescent="0.15">
      <c r="A321" s="108">
        <v>897</v>
      </c>
      <c r="B321" s="216" t="s">
        <v>1148</v>
      </c>
      <c r="C321" s="108">
        <v>933</v>
      </c>
      <c r="D321" s="216" t="s">
        <v>1148</v>
      </c>
      <c r="E321" s="217" t="s">
        <v>1057</v>
      </c>
      <c r="F321" s="69">
        <v>2.3540000000000001</v>
      </c>
      <c r="G321" s="70">
        <v>2.88</v>
      </c>
      <c r="H321" s="70">
        <v>1.37</v>
      </c>
      <c r="I321" s="70">
        <v>1.37</v>
      </c>
      <c r="J321" s="71">
        <v>0</v>
      </c>
      <c r="K321" s="72">
        <v>716.25</v>
      </c>
      <c r="L321" s="72">
        <v>0.05</v>
      </c>
      <c r="M321" s="72">
        <v>0.05</v>
      </c>
    </row>
    <row r="322" spans="1:13" ht="14" x14ac:dyDescent="0.15">
      <c r="A322" s="108">
        <v>739</v>
      </c>
      <c r="B322" s="216" t="s">
        <v>1148</v>
      </c>
      <c r="C322" s="108">
        <v>749</v>
      </c>
      <c r="D322" s="216" t="s">
        <v>1148</v>
      </c>
      <c r="E322" s="217" t="s">
        <v>1058</v>
      </c>
      <c r="F322" s="69">
        <v>0.40100000000000002</v>
      </c>
      <c r="G322" s="70">
        <v>73.849999999999994</v>
      </c>
      <c r="H322" s="70">
        <v>1.47</v>
      </c>
      <c r="I322" s="70">
        <v>1.47</v>
      </c>
      <c r="J322" s="71">
        <v>0</v>
      </c>
      <c r="K322" s="72">
        <v>184.62</v>
      </c>
      <c r="L322" s="72">
        <v>0.05</v>
      </c>
      <c r="M322" s="72">
        <v>0.05</v>
      </c>
    </row>
    <row r="323" spans="1:13" ht="14" x14ac:dyDescent="0.15">
      <c r="A323" s="108">
        <v>897</v>
      </c>
      <c r="B323" s="216" t="s">
        <v>1148</v>
      </c>
      <c r="C323" s="108">
        <v>933</v>
      </c>
      <c r="D323" s="216" t="s">
        <v>1148</v>
      </c>
      <c r="E323" s="217" t="s">
        <v>1059</v>
      </c>
      <c r="F323" s="69">
        <v>0</v>
      </c>
      <c r="G323" s="70">
        <v>2042.65</v>
      </c>
      <c r="H323" s="70">
        <v>0.97</v>
      </c>
      <c r="I323" s="70">
        <v>0.97</v>
      </c>
      <c r="J323" s="71">
        <v>0</v>
      </c>
      <c r="K323" s="72">
        <v>2042.65</v>
      </c>
      <c r="L323" s="72">
        <v>0.05</v>
      </c>
      <c r="M323" s="72">
        <v>0.05</v>
      </c>
    </row>
    <row r="324" spans="1:13" ht="14" x14ac:dyDescent="0.15">
      <c r="A324" s="108">
        <v>897</v>
      </c>
      <c r="B324" s="216" t="s">
        <v>1148</v>
      </c>
      <c r="C324" s="108">
        <v>933</v>
      </c>
      <c r="D324" s="216" t="s">
        <v>1148</v>
      </c>
      <c r="E324" s="217" t="s">
        <v>1060</v>
      </c>
      <c r="F324" s="69">
        <v>0</v>
      </c>
      <c r="G324" s="70">
        <v>1.78</v>
      </c>
      <c r="H324" s="70">
        <v>1.1499999999999999</v>
      </c>
      <c r="I324" s="70">
        <v>1.1499999999999999</v>
      </c>
      <c r="J324" s="71">
        <v>0</v>
      </c>
      <c r="K324" s="72">
        <v>647.47</v>
      </c>
      <c r="L324" s="72">
        <v>0.05</v>
      </c>
      <c r="M324" s="72">
        <v>0.05</v>
      </c>
    </row>
    <row r="325" spans="1:13" ht="14" x14ac:dyDescent="0.15">
      <c r="A325" s="108">
        <v>897</v>
      </c>
      <c r="B325" s="216" t="s">
        <v>1148</v>
      </c>
      <c r="C325" s="108">
        <v>933</v>
      </c>
      <c r="D325" s="216" t="s">
        <v>1148</v>
      </c>
      <c r="E325" s="217" t="s">
        <v>1061</v>
      </c>
      <c r="F325" s="69">
        <v>0.995</v>
      </c>
      <c r="G325" s="70">
        <v>3.18</v>
      </c>
      <c r="H325" s="70">
        <v>1.1100000000000001</v>
      </c>
      <c r="I325" s="70">
        <v>1.1100000000000001</v>
      </c>
      <c r="J325" s="71">
        <v>0</v>
      </c>
      <c r="K325" s="72">
        <v>424.16</v>
      </c>
      <c r="L325" s="72">
        <v>0.05</v>
      </c>
      <c r="M325" s="72">
        <v>0.05</v>
      </c>
    </row>
    <row r="326" spans="1:13" ht="14" x14ac:dyDescent="0.15">
      <c r="A326" s="108">
        <v>897</v>
      </c>
      <c r="B326" s="216" t="s">
        <v>1148</v>
      </c>
      <c r="C326" s="108">
        <v>933</v>
      </c>
      <c r="D326" s="216" t="s">
        <v>1148</v>
      </c>
      <c r="E326" s="217" t="s">
        <v>1062</v>
      </c>
      <c r="F326" s="69">
        <v>0</v>
      </c>
      <c r="G326" s="70">
        <v>128.37</v>
      </c>
      <c r="H326" s="70">
        <v>1.1499999999999999</v>
      </c>
      <c r="I326" s="70">
        <v>1.1499999999999999</v>
      </c>
      <c r="J326" s="71">
        <v>0</v>
      </c>
      <c r="K326" s="72">
        <v>128.37</v>
      </c>
      <c r="L326" s="72">
        <v>0.05</v>
      </c>
      <c r="M326" s="72">
        <v>0.05</v>
      </c>
    </row>
    <row r="327" spans="1:13" ht="14" x14ac:dyDescent="0.15">
      <c r="A327" s="108">
        <v>897</v>
      </c>
      <c r="B327" s="216" t="s">
        <v>1148</v>
      </c>
      <c r="C327" s="108">
        <v>933</v>
      </c>
      <c r="D327" s="216" t="s">
        <v>1148</v>
      </c>
      <c r="E327" s="217" t="s">
        <v>1063</v>
      </c>
      <c r="F327" s="69">
        <v>0</v>
      </c>
      <c r="G327" s="70">
        <v>203.27</v>
      </c>
      <c r="H327" s="70">
        <v>1.1100000000000001</v>
      </c>
      <c r="I327" s="70">
        <v>1.1100000000000001</v>
      </c>
      <c r="J327" s="71">
        <v>0</v>
      </c>
      <c r="K327" s="72">
        <v>203.27</v>
      </c>
      <c r="L327" s="72">
        <v>0.05</v>
      </c>
      <c r="M327" s="72">
        <v>0.05</v>
      </c>
    </row>
    <row r="328" spans="1:13" ht="14" x14ac:dyDescent="0.15">
      <c r="A328" s="108">
        <v>739</v>
      </c>
      <c r="B328" s="216" t="s">
        <v>1148</v>
      </c>
      <c r="C328" s="108">
        <v>749</v>
      </c>
      <c r="D328" s="216" t="s">
        <v>1148</v>
      </c>
      <c r="E328" s="217" t="s">
        <v>1064</v>
      </c>
      <c r="F328" s="69">
        <v>0.59499999999999997</v>
      </c>
      <c r="G328" s="70">
        <v>8.5500000000000007</v>
      </c>
      <c r="H328" s="70">
        <v>1.63</v>
      </c>
      <c r="I328" s="70">
        <v>1.63</v>
      </c>
      <c r="J328" s="71">
        <v>0</v>
      </c>
      <c r="K328" s="72">
        <v>273.45</v>
      </c>
      <c r="L328" s="72">
        <v>0.05</v>
      </c>
      <c r="M328" s="72">
        <v>0.05</v>
      </c>
    </row>
    <row r="329" spans="1:13" ht="14" x14ac:dyDescent="0.15">
      <c r="A329" s="108">
        <v>739</v>
      </c>
      <c r="B329" s="216" t="s">
        <v>1148</v>
      </c>
      <c r="C329" s="108">
        <v>749</v>
      </c>
      <c r="D329" s="216" t="s">
        <v>1148</v>
      </c>
      <c r="E329" s="217" t="s">
        <v>1065</v>
      </c>
      <c r="F329" s="69">
        <v>0.40100000000000002</v>
      </c>
      <c r="G329" s="70">
        <v>9.77</v>
      </c>
      <c r="H329" s="70">
        <v>1.47</v>
      </c>
      <c r="I329" s="70">
        <v>1.47</v>
      </c>
      <c r="J329" s="71">
        <v>0</v>
      </c>
      <c r="K329" s="72">
        <v>366.36</v>
      </c>
      <c r="L329" s="72">
        <v>0.05</v>
      </c>
      <c r="M329" s="72">
        <v>0.05</v>
      </c>
    </row>
    <row r="330" spans="1:13" ht="14" x14ac:dyDescent="0.15">
      <c r="A330" s="108">
        <v>739</v>
      </c>
      <c r="B330" s="216" t="s">
        <v>1148</v>
      </c>
      <c r="C330" s="108">
        <v>749</v>
      </c>
      <c r="D330" s="216" t="s">
        <v>1148</v>
      </c>
      <c r="E330" s="217" t="s">
        <v>1066</v>
      </c>
      <c r="F330" s="69">
        <v>0</v>
      </c>
      <c r="G330" s="70">
        <v>51.01</v>
      </c>
      <c r="H330" s="70">
        <v>1.51</v>
      </c>
      <c r="I330" s="70">
        <v>1.51</v>
      </c>
      <c r="J330" s="71">
        <v>0</v>
      </c>
      <c r="K330" s="72">
        <v>1836.4</v>
      </c>
      <c r="L330" s="72">
        <v>0.05</v>
      </c>
      <c r="M330" s="72">
        <v>0.05</v>
      </c>
    </row>
    <row r="331" spans="1:13" ht="14" x14ac:dyDescent="0.15">
      <c r="A331" s="108">
        <v>897</v>
      </c>
      <c r="B331" s="216" t="s">
        <v>1148</v>
      </c>
      <c r="C331" s="108">
        <v>933</v>
      </c>
      <c r="D331" s="216" t="s">
        <v>1148</v>
      </c>
      <c r="E331" s="217" t="s">
        <v>1067</v>
      </c>
      <c r="F331" s="69">
        <v>0</v>
      </c>
      <c r="G331" s="70">
        <v>776.27</v>
      </c>
      <c r="H331" s="70">
        <v>0.97</v>
      </c>
      <c r="I331" s="70">
        <v>0.97</v>
      </c>
      <c r="J331" s="71">
        <v>0</v>
      </c>
      <c r="K331" s="72">
        <v>776.27</v>
      </c>
      <c r="L331" s="72">
        <v>0.05</v>
      </c>
      <c r="M331" s="72">
        <v>0.05</v>
      </c>
    </row>
    <row r="332" spans="1:13" ht="14" x14ac:dyDescent="0.15">
      <c r="A332" s="108">
        <v>897</v>
      </c>
      <c r="B332" s="216" t="s">
        <v>1148</v>
      </c>
      <c r="C332" s="108">
        <v>933</v>
      </c>
      <c r="D332" s="216" t="s">
        <v>1148</v>
      </c>
      <c r="E332" s="217" t="s">
        <v>1068</v>
      </c>
      <c r="F332" s="69">
        <v>0.995</v>
      </c>
      <c r="G332" s="70">
        <v>128.37</v>
      </c>
      <c r="H332" s="70">
        <v>1.1100000000000001</v>
      </c>
      <c r="I332" s="70">
        <v>1.1100000000000001</v>
      </c>
      <c r="J332" s="71">
        <v>0</v>
      </c>
      <c r="K332" s="72">
        <v>128.37</v>
      </c>
      <c r="L332" s="72">
        <v>0.05</v>
      </c>
      <c r="M332" s="72">
        <v>0.05</v>
      </c>
    </row>
    <row r="333" spans="1:13" ht="14" x14ac:dyDescent="0.15">
      <c r="A333" s="108">
        <v>897</v>
      </c>
      <c r="B333" s="216" t="s">
        <v>1148</v>
      </c>
      <c r="C333" s="108">
        <v>933</v>
      </c>
      <c r="D333" s="216" t="s">
        <v>1148</v>
      </c>
      <c r="E333" s="217" t="s">
        <v>1069</v>
      </c>
      <c r="F333" s="69">
        <v>0</v>
      </c>
      <c r="G333" s="70">
        <v>11.96</v>
      </c>
      <c r="H333" s="70">
        <v>1.1499999999999999</v>
      </c>
      <c r="I333" s="70">
        <v>1.1499999999999999</v>
      </c>
      <c r="J333" s="71">
        <v>0</v>
      </c>
      <c r="K333" s="72">
        <v>687.47</v>
      </c>
      <c r="L333" s="72">
        <v>0.05</v>
      </c>
      <c r="M333" s="72">
        <v>0.05</v>
      </c>
    </row>
    <row r="334" spans="1:13" ht="14" x14ac:dyDescent="0.15">
      <c r="A334" s="108">
        <v>897</v>
      </c>
      <c r="B334" s="216" t="s">
        <v>1148</v>
      </c>
      <c r="C334" s="108">
        <v>933</v>
      </c>
      <c r="D334" s="216" t="s">
        <v>1148</v>
      </c>
      <c r="E334" s="217" t="s">
        <v>1070</v>
      </c>
      <c r="F334" s="69">
        <v>0</v>
      </c>
      <c r="G334" s="70">
        <v>372.98</v>
      </c>
      <c r="H334" s="70">
        <v>0.97</v>
      </c>
      <c r="I334" s="70">
        <v>0.97</v>
      </c>
      <c r="J334" s="71">
        <v>0</v>
      </c>
      <c r="K334" s="72">
        <v>372.98</v>
      </c>
      <c r="L334" s="72">
        <v>0.05</v>
      </c>
      <c r="M334" s="72">
        <v>0.05</v>
      </c>
    </row>
    <row r="335" spans="1:13" ht="14" x14ac:dyDescent="0.15">
      <c r="A335" s="108">
        <v>897</v>
      </c>
      <c r="B335" s="216" t="s">
        <v>1148</v>
      </c>
      <c r="C335" s="108">
        <v>933</v>
      </c>
      <c r="D335" s="216" t="s">
        <v>1148</v>
      </c>
      <c r="E335" s="217" t="s">
        <v>1071</v>
      </c>
      <c r="F335" s="69">
        <v>0</v>
      </c>
      <c r="G335" s="70">
        <v>128.37</v>
      </c>
      <c r="H335" s="70">
        <v>1.1100000000000001</v>
      </c>
      <c r="I335" s="70">
        <v>1.1100000000000001</v>
      </c>
      <c r="J335" s="71">
        <v>0</v>
      </c>
      <c r="K335" s="72">
        <v>128.37</v>
      </c>
      <c r="L335" s="72">
        <v>0.05</v>
      </c>
      <c r="M335" s="72">
        <v>0.05</v>
      </c>
    </row>
    <row r="336" spans="1:13" ht="14" x14ac:dyDescent="0.15">
      <c r="A336" s="108">
        <v>739</v>
      </c>
      <c r="B336" s="216" t="s">
        <v>1148</v>
      </c>
      <c r="C336" s="108">
        <v>749</v>
      </c>
      <c r="D336" s="216" t="s">
        <v>1148</v>
      </c>
      <c r="E336" s="217" t="s">
        <v>1072</v>
      </c>
      <c r="F336" s="69">
        <v>0</v>
      </c>
      <c r="G336" s="70">
        <v>151.46</v>
      </c>
      <c r="H336" s="70">
        <v>1.47</v>
      </c>
      <c r="I336" s="70">
        <v>1.47</v>
      </c>
      <c r="J336" s="71">
        <v>0</v>
      </c>
      <c r="K336" s="72">
        <v>151.46</v>
      </c>
      <c r="L336" s="72">
        <v>0.05</v>
      </c>
      <c r="M336" s="72">
        <v>0.05</v>
      </c>
    </row>
    <row r="337" spans="1:13" ht="14" x14ac:dyDescent="0.15">
      <c r="A337" s="108">
        <v>739</v>
      </c>
      <c r="B337" s="216" t="s">
        <v>1148</v>
      </c>
      <c r="C337" s="108">
        <v>749</v>
      </c>
      <c r="D337" s="216" t="s">
        <v>1148</v>
      </c>
      <c r="E337" s="217" t="s">
        <v>1073</v>
      </c>
      <c r="F337" s="69">
        <v>0</v>
      </c>
      <c r="G337" s="70">
        <v>130.54</v>
      </c>
      <c r="H337" s="70">
        <v>1.47</v>
      </c>
      <c r="I337" s="70">
        <v>1.47</v>
      </c>
      <c r="J337" s="71">
        <v>0</v>
      </c>
      <c r="K337" s="72">
        <v>130.54</v>
      </c>
      <c r="L337" s="72">
        <v>0.05</v>
      </c>
      <c r="M337" s="72">
        <v>0.05</v>
      </c>
    </row>
    <row r="338" spans="1:13" ht="14" x14ac:dyDescent="0.15">
      <c r="A338" s="108">
        <v>897</v>
      </c>
      <c r="B338" s="216" t="s">
        <v>1148</v>
      </c>
      <c r="C338" s="108">
        <v>933</v>
      </c>
      <c r="D338" s="216" t="s">
        <v>1148</v>
      </c>
      <c r="E338" s="217" t="s">
        <v>1074</v>
      </c>
      <c r="F338" s="69">
        <v>0</v>
      </c>
      <c r="G338" s="70">
        <v>10.33</v>
      </c>
      <c r="H338" s="70">
        <v>1.1499999999999999</v>
      </c>
      <c r="I338" s="70">
        <v>1.1499999999999999</v>
      </c>
      <c r="J338" s="71">
        <v>0</v>
      </c>
      <c r="K338" s="72">
        <v>246.4</v>
      </c>
      <c r="L338" s="72">
        <v>0.05</v>
      </c>
      <c r="M338" s="72">
        <v>0.05</v>
      </c>
    </row>
    <row r="339" spans="1:13" ht="14" x14ac:dyDescent="0.15">
      <c r="A339" s="108">
        <v>897</v>
      </c>
      <c r="B339" s="216" t="s">
        <v>1148</v>
      </c>
      <c r="C339" s="108">
        <v>933</v>
      </c>
      <c r="D339" s="216" t="s">
        <v>1148</v>
      </c>
      <c r="E339" s="217" t="s">
        <v>1075</v>
      </c>
      <c r="F339" s="69">
        <v>0</v>
      </c>
      <c r="G339" s="70">
        <v>29.41</v>
      </c>
      <c r="H339" s="70">
        <v>1</v>
      </c>
      <c r="I339" s="70">
        <v>1</v>
      </c>
      <c r="J339" s="71">
        <v>0</v>
      </c>
      <c r="K339" s="72">
        <v>1176.4100000000001</v>
      </c>
      <c r="L339" s="72">
        <v>0.05</v>
      </c>
      <c r="M339" s="72">
        <v>0.05</v>
      </c>
    </row>
    <row r="340" spans="1:13" ht="14" x14ac:dyDescent="0.15">
      <c r="A340" s="108">
        <v>897</v>
      </c>
      <c r="B340" s="216" t="s">
        <v>1148</v>
      </c>
      <c r="C340" s="108">
        <v>933</v>
      </c>
      <c r="D340" s="216" t="s">
        <v>1148</v>
      </c>
      <c r="E340" s="217" t="s">
        <v>1076</v>
      </c>
      <c r="F340" s="69">
        <v>0</v>
      </c>
      <c r="G340" s="70">
        <v>4.37</v>
      </c>
      <c r="H340" s="70">
        <v>1.69</v>
      </c>
      <c r="I340" s="70">
        <v>1.69</v>
      </c>
      <c r="J340" s="71">
        <v>0</v>
      </c>
      <c r="K340" s="72">
        <v>436.84</v>
      </c>
      <c r="L340" s="72">
        <v>0.05</v>
      </c>
      <c r="M340" s="72">
        <v>0.05</v>
      </c>
    </row>
    <row r="341" spans="1:13" ht="14" x14ac:dyDescent="0.15">
      <c r="A341" s="108">
        <v>897</v>
      </c>
      <c r="B341" s="216" t="s">
        <v>1148</v>
      </c>
      <c r="C341" s="108">
        <v>933</v>
      </c>
      <c r="D341" s="216" t="s">
        <v>1148</v>
      </c>
      <c r="E341" s="217" t="s">
        <v>1077</v>
      </c>
      <c r="F341" s="69">
        <v>0.995</v>
      </c>
      <c r="G341" s="70">
        <v>4.2300000000000004</v>
      </c>
      <c r="H341" s="70">
        <v>1.19</v>
      </c>
      <c r="I341" s="70">
        <v>1.19</v>
      </c>
      <c r="J341" s="71">
        <v>0</v>
      </c>
      <c r="K341" s="72">
        <v>423.11</v>
      </c>
      <c r="L341" s="72">
        <v>0.05</v>
      </c>
      <c r="M341" s="72">
        <v>0.05</v>
      </c>
    </row>
    <row r="342" spans="1:13" ht="14" x14ac:dyDescent="0.15">
      <c r="A342" s="108">
        <v>897</v>
      </c>
      <c r="B342" s="216" t="s">
        <v>1148</v>
      </c>
      <c r="C342" s="108">
        <v>933</v>
      </c>
      <c r="D342" s="216" t="s">
        <v>1148</v>
      </c>
      <c r="E342" s="217" t="s">
        <v>1078</v>
      </c>
      <c r="F342" s="69">
        <v>0</v>
      </c>
      <c r="G342" s="70">
        <v>7.3</v>
      </c>
      <c r="H342" s="70">
        <v>1.1499999999999999</v>
      </c>
      <c r="I342" s="70">
        <v>1.1499999999999999</v>
      </c>
      <c r="J342" s="71">
        <v>0</v>
      </c>
      <c r="K342" s="72">
        <v>249.44</v>
      </c>
      <c r="L342" s="72">
        <v>0.05</v>
      </c>
      <c r="M342" s="72">
        <v>0.05</v>
      </c>
    </row>
    <row r="343" spans="1:13" ht="14" x14ac:dyDescent="0.15">
      <c r="A343" s="108">
        <v>739</v>
      </c>
      <c r="B343" s="216" t="s">
        <v>1148</v>
      </c>
      <c r="C343" s="108">
        <v>749</v>
      </c>
      <c r="D343" s="216" t="s">
        <v>1148</v>
      </c>
      <c r="E343" s="217" t="s">
        <v>1079</v>
      </c>
      <c r="F343" s="69">
        <v>0</v>
      </c>
      <c r="G343" s="70">
        <v>251.05</v>
      </c>
      <c r="H343" s="70">
        <v>2.98</v>
      </c>
      <c r="I343" s="70">
        <v>2.98</v>
      </c>
      <c r="J343" s="71">
        <v>0</v>
      </c>
      <c r="K343" s="72">
        <v>251.05</v>
      </c>
      <c r="L343" s="72">
        <v>0.05</v>
      </c>
      <c r="M343" s="72">
        <v>0.05</v>
      </c>
    </row>
    <row r="344" spans="1:13" ht="14" x14ac:dyDescent="0.15">
      <c r="A344" s="108">
        <v>897</v>
      </c>
      <c r="B344" s="216" t="s">
        <v>1148</v>
      </c>
      <c r="C344" s="108">
        <v>933</v>
      </c>
      <c r="D344" s="216" t="s">
        <v>1148</v>
      </c>
      <c r="E344" s="217" t="s">
        <v>1080</v>
      </c>
      <c r="F344" s="69">
        <v>0</v>
      </c>
      <c r="G344" s="70">
        <v>688.5</v>
      </c>
      <c r="H344" s="70">
        <v>0.97</v>
      </c>
      <c r="I344" s="70">
        <v>0.97</v>
      </c>
      <c r="J344" s="71">
        <v>0</v>
      </c>
      <c r="K344" s="72">
        <v>688.5</v>
      </c>
      <c r="L344" s="72">
        <v>0.05</v>
      </c>
      <c r="M344" s="72">
        <v>0.05</v>
      </c>
    </row>
    <row r="345" spans="1:13" ht="14" x14ac:dyDescent="0.15">
      <c r="A345" s="108">
        <v>899</v>
      </c>
      <c r="B345" s="216" t="s">
        <v>1148</v>
      </c>
      <c r="C345" s="108">
        <v>935</v>
      </c>
      <c r="D345" s="216" t="s">
        <v>1148</v>
      </c>
      <c r="E345" s="217" t="s">
        <v>1081</v>
      </c>
      <c r="F345" s="69">
        <v>0</v>
      </c>
      <c r="G345" s="70">
        <v>4194.3999999999996</v>
      </c>
      <c r="H345" s="70">
        <v>0.56000000000000005</v>
      </c>
      <c r="I345" s="70">
        <v>0.56000000000000005</v>
      </c>
      <c r="J345" s="71">
        <v>0</v>
      </c>
      <c r="K345" s="72">
        <v>4194.3999999999996</v>
      </c>
      <c r="L345" s="72">
        <v>0.05</v>
      </c>
      <c r="M345" s="72">
        <v>0.05</v>
      </c>
    </row>
    <row r="346" spans="1:13" ht="14" x14ac:dyDescent="0.15">
      <c r="A346" s="108">
        <v>897</v>
      </c>
      <c r="B346" s="216" t="s">
        <v>1148</v>
      </c>
      <c r="C346" s="108">
        <v>933</v>
      </c>
      <c r="D346" s="216" t="s">
        <v>1148</v>
      </c>
      <c r="E346" s="217" t="s">
        <v>1082</v>
      </c>
      <c r="F346" s="69">
        <v>2.3540000000000001</v>
      </c>
      <c r="G346" s="70">
        <v>1016.65</v>
      </c>
      <c r="H346" s="70">
        <v>0.97</v>
      </c>
      <c r="I346" s="70">
        <v>0.97</v>
      </c>
      <c r="J346" s="71">
        <v>0</v>
      </c>
      <c r="K346" s="72">
        <v>1016.65</v>
      </c>
      <c r="L346" s="72">
        <v>0.05</v>
      </c>
      <c r="M346" s="72">
        <v>0.05</v>
      </c>
    </row>
    <row r="347" spans="1:13" ht="14" x14ac:dyDescent="0.15">
      <c r="A347" s="108">
        <v>898</v>
      </c>
      <c r="B347" s="216" t="s">
        <v>1148</v>
      </c>
      <c r="C347" s="108"/>
      <c r="D347" s="216"/>
      <c r="E347" s="217" t="s">
        <v>1083</v>
      </c>
      <c r="F347" s="69">
        <v>1.339</v>
      </c>
      <c r="G347" s="70">
        <v>427.34</v>
      </c>
      <c r="H347" s="70">
        <v>2.41</v>
      </c>
      <c r="I347" s="70">
        <v>2.41</v>
      </c>
      <c r="J347" s="71">
        <v>0</v>
      </c>
      <c r="K347" s="72">
        <v>0</v>
      </c>
      <c r="L347" s="72">
        <v>0</v>
      </c>
      <c r="M347" s="72">
        <v>0</v>
      </c>
    </row>
    <row r="348" spans="1:13" ht="14" x14ac:dyDescent="0.15">
      <c r="A348" s="108">
        <v>897</v>
      </c>
      <c r="B348" s="216" t="s">
        <v>1148</v>
      </c>
      <c r="C348" s="108">
        <v>933</v>
      </c>
      <c r="D348" s="216" t="s">
        <v>1148</v>
      </c>
      <c r="E348" s="217" t="s">
        <v>1084</v>
      </c>
      <c r="F348" s="69">
        <v>1.1879999999999999</v>
      </c>
      <c r="G348" s="70">
        <v>106.84</v>
      </c>
      <c r="H348" s="70">
        <v>1.22</v>
      </c>
      <c r="I348" s="70">
        <v>1.22</v>
      </c>
      <c r="J348" s="71">
        <v>0</v>
      </c>
      <c r="K348" s="72">
        <v>106.84</v>
      </c>
      <c r="L348" s="72">
        <v>0.05</v>
      </c>
      <c r="M348" s="72">
        <v>0.05</v>
      </c>
    </row>
    <row r="349" spans="1:13" ht="14" x14ac:dyDescent="0.15">
      <c r="A349" s="108">
        <v>897</v>
      </c>
      <c r="B349" s="216" t="s">
        <v>1148</v>
      </c>
      <c r="C349" s="108">
        <v>933</v>
      </c>
      <c r="D349" s="216" t="s">
        <v>1148</v>
      </c>
      <c r="E349" s="217" t="s">
        <v>1085</v>
      </c>
      <c r="F349" s="69">
        <v>0</v>
      </c>
      <c r="G349" s="70">
        <v>660.4</v>
      </c>
      <c r="H349" s="70">
        <v>1</v>
      </c>
      <c r="I349" s="70">
        <v>1</v>
      </c>
      <c r="J349" s="71">
        <v>0</v>
      </c>
      <c r="K349" s="72">
        <v>660.4</v>
      </c>
      <c r="L349" s="72">
        <v>0.05</v>
      </c>
      <c r="M349" s="72">
        <v>0.05</v>
      </c>
    </row>
    <row r="350" spans="1:13" ht="14" x14ac:dyDescent="0.15">
      <c r="A350" s="108">
        <v>739</v>
      </c>
      <c r="B350" s="216" t="s">
        <v>1148</v>
      </c>
      <c r="C350" s="108"/>
      <c r="D350" s="216"/>
      <c r="E350" s="217" t="s">
        <v>1086</v>
      </c>
      <c r="F350" s="69">
        <v>1.087</v>
      </c>
      <c r="G350" s="70">
        <v>317.04000000000002</v>
      </c>
      <c r="H350" s="70">
        <v>12.49</v>
      </c>
      <c r="I350" s="70">
        <v>12.49</v>
      </c>
      <c r="J350" s="71">
        <v>0</v>
      </c>
      <c r="K350" s="72">
        <v>0</v>
      </c>
      <c r="L350" s="72">
        <v>0</v>
      </c>
      <c r="M350" s="72">
        <v>0</v>
      </c>
    </row>
    <row r="351" spans="1:13" ht="14" x14ac:dyDescent="0.15">
      <c r="A351" s="108">
        <v>897</v>
      </c>
      <c r="B351" s="216" t="s">
        <v>1148</v>
      </c>
      <c r="C351" s="108">
        <v>933</v>
      </c>
      <c r="D351" s="216" t="s">
        <v>1148</v>
      </c>
      <c r="E351" s="217" t="s">
        <v>1087</v>
      </c>
      <c r="F351" s="69">
        <v>0</v>
      </c>
      <c r="G351" s="70">
        <v>6.26</v>
      </c>
      <c r="H351" s="70">
        <v>1.25</v>
      </c>
      <c r="I351" s="70">
        <v>1.25</v>
      </c>
      <c r="J351" s="71">
        <v>0</v>
      </c>
      <c r="K351" s="72">
        <v>250.48</v>
      </c>
      <c r="L351" s="72">
        <v>0.05</v>
      </c>
      <c r="M351" s="72">
        <v>0.05</v>
      </c>
    </row>
    <row r="352" spans="1:13" ht="14" x14ac:dyDescent="0.15">
      <c r="A352" s="108">
        <v>897</v>
      </c>
      <c r="B352" s="216" t="s">
        <v>1148</v>
      </c>
      <c r="C352" s="108">
        <v>933</v>
      </c>
      <c r="D352" s="216" t="s">
        <v>1148</v>
      </c>
      <c r="E352" s="217" t="s">
        <v>1088</v>
      </c>
      <c r="F352" s="69">
        <v>0</v>
      </c>
      <c r="G352" s="70">
        <v>13.09</v>
      </c>
      <c r="H352" s="70">
        <v>2.57</v>
      </c>
      <c r="I352" s="70">
        <v>2.57</v>
      </c>
      <c r="J352" s="71">
        <v>0</v>
      </c>
      <c r="K352" s="72">
        <v>448.76</v>
      </c>
      <c r="L352" s="72">
        <v>0.05</v>
      </c>
      <c r="M352" s="72">
        <v>0.05</v>
      </c>
    </row>
    <row r="353" spans="1:13" ht="28" x14ac:dyDescent="0.15">
      <c r="A353" s="108">
        <v>745</v>
      </c>
      <c r="B353" s="216" t="s">
        <v>1979</v>
      </c>
      <c r="C353" s="108"/>
      <c r="D353" s="216"/>
      <c r="E353" s="217" t="s">
        <v>1089</v>
      </c>
      <c r="F353" s="69">
        <v>0.438</v>
      </c>
      <c r="G353" s="70">
        <v>5127.3100000000004</v>
      </c>
      <c r="H353" s="70">
        <v>3.77</v>
      </c>
      <c r="I353" s="70">
        <v>3.77</v>
      </c>
      <c r="J353" s="71">
        <v>0</v>
      </c>
      <c r="K353" s="72">
        <v>0</v>
      </c>
      <c r="L353" s="72">
        <v>0</v>
      </c>
      <c r="M353" s="72">
        <v>0</v>
      </c>
    </row>
    <row r="354" spans="1:13" ht="14" x14ac:dyDescent="0.15">
      <c r="A354" s="108">
        <v>897</v>
      </c>
      <c r="B354" s="216" t="s">
        <v>1148</v>
      </c>
      <c r="C354" s="108">
        <v>933</v>
      </c>
      <c r="D354" s="216" t="s">
        <v>1148</v>
      </c>
      <c r="E354" s="217" t="s">
        <v>1090</v>
      </c>
      <c r="F354" s="69">
        <v>0</v>
      </c>
      <c r="G354" s="70">
        <v>976.27</v>
      </c>
      <c r="H354" s="70">
        <v>0.97</v>
      </c>
      <c r="I354" s="70">
        <v>0.97</v>
      </c>
      <c r="J354" s="71">
        <v>0</v>
      </c>
      <c r="K354" s="72">
        <v>976.27</v>
      </c>
      <c r="L354" s="72">
        <v>0.05</v>
      </c>
      <c r="M354" s="72">
        <v>0.05</v>
      </c>
    </row>
    <row r="355" spans="1:13" ht="14" x14ac:dyDescent="0.15">
      <c r="A355" s="239">
        <v>898</v>
      </c>
      <c r="B355" s="240">
        <v>2000057337337</v>
      </c>
      <c r="C355" s="108"/>
      <c r="D355" s="216"/>
      <c r="E355" s="217" t="s">
        <v>1091</v>
      </c>
      <c r="F355" s="69">
        <v>0</v>
      </c>
      <c r="G355" s="70">
        <v>14259.28</v>
      </c>
      <c r="H355" s="70">
        <v>3.07</v>
      </c>
      <c r="I355" s="70">
        <v>3.07</v>
      </c>
      <c r="J355" s="71">
        <v>0</v>
      </c>
      <c r="K355" s="72">
        <v>0</v>
      </c>
      <c r="L355" s="72">
        <v>0</v>
      </c>
      <c r="M355" s="72">
        <v>0</v>
      </c>
    </row>
    <row r="356" spans="1:13" ht="14" x14ac:dyDescent="0.15">
      <c r="A356" s="108">
        <v>899</v>
      </c>
      <c r="B356" s="216" t="s">
        <v>1148</v>
      </c>
      <c r="C356" s="108">
        <v>935</v>
      </c>
      <c r="D356" s="216" t="s">
        <v>1148</v>
      </c>
      <c r="E356" s="217" t="s">
        <v>1092</v>
      </c>
      <c r="F356" s="69">
        <v>0</v>
      </c>
      <c r="G356" s="70">
        <v>3479.06</v>
      </c>
      <c r="H356" s="70">
        <v>1.92</v>
      </c>
      <c r="I356" s="70">
        <v>1.92</v>
      </c>
      <c r="J356" s="71">
        <v>0</v>
      </c>
      <c r="K356" s="72">
        <v>3479.06</v>
      </c>
      <c r="L356" s="72">
        <v>0.05</v>
      </c>
      <c r="M356" s="72">
        <v>0.05</v>
      </c>
    </row>
    <row r="357" spans="1:13" ht="14" x14ac:dyDescent="0.15">
      <c r="A357" s="108">
        <v>899</v>
      </c>
      <c r="B357" s="216" t="s">
        <v>1148</v>
      </c>
      <c r="C357" s="108">
        <v>935</v>
      </c>
      <c r="D357" s="216" t="s">
        <v>1148</v>
      </c>
      <c r="E357" s="217" t="s">
        <v>1093</v>
      </c>
      <c r="F357" s="69">
        <v>0</v>
      </c>
      <c r="G357" s="70">
        <v>1098.58</v>
      </c>
      <c r="H357" s="70">
        <v>0.95</v>
      </c>
      <c r="I357" s="70">
        <v>0.95</v>
      </c>
      <c r="J357" s="71">
        <v>0</v>
      </c>
      <c r="K357" s="72">
        <v>1856.22</v>
      </c>
      <c r="L357" s="72">
        <v>0.05</v>
      </c>
      <c r="M357" s="72">
        <v>0.05</v>
      </c>
    </row>
    <row r="358" spans="1:13" ht="14" x14ac:dyDescent="0.15">
      <c r="A358" s="108">
        <v>739</v>
      </c>
      <c r="B358" s="216" t="s">
        <v>1148</v>
      </c>
      <c r="C358" s="108">
        <v>749</v>
      </c>
      <c r="D358" s="216" t="s">
        <v>1148</v>
      </c>
      <c r="E358" s="217" t="s">
        <v>1094</v>
      </c>
      <c r="F358" s="69">
        <v>0</v>
      </c>
      <c r="G358" s="70">
        <v>510.24</v>
      </c>
      <c r="H358" s="70">
        <v>2.23</v>
      </c>
      <c r="I358" s="70">
        <v>2.23</v>
      </c>
      <c r="J358" s="71">
        <v>0</v>
      </c>
      <c r="K358" s="72">
        <v>510.24</v>
      </c>
      <c r="L358" s="72">
        <v>0.05</v>
      </c>
      <c r="M358" s="72">
        <v>0.05</v>
      </c>
    </row>
    <row r="359" spans="1:13" ht="14" x14ac:dyDescent="0.15">
      <c r="A359" s="108">
        <v>739</v>
      </c>
      <c r="B359" s="216" t="s">
        <v>1148</v>
      </c>
      <c r="C359" s="108"/>
      <c r="D359" s="216"/>
      <c r="E359" s="217" t="s">
        <v>1095</v>
      </c>
      <c r="F359" s="69">
        <v>0</v>
      </c>
      <c r="G359" s="70">
        <v>129.4</v>
      </c>
      <c r="H359" s="70">
        <v>2.84</v>
      </c>
      <c r="I359" s="70">
        <v>2.84</v>
      </c>
      <c r="J359" s="71">
        <v>0</v>
      </c>
      <c r="K359" s="72">
        <v>0</v>
      </c>
      <c r="L359" s="72">
        <v>0</v>
      </c>
      <c r="M359" s="72">
        <v>0</v>
      </c>
    </row>
  </sheetData>
  <mergeCells count="10">
    <mergeCell ref="D6:F6"/>
    <mergeCell ref="D7:F7"/>
    <mergeCell ref="A5:C5"/>
    <mergeCell ref="A6:C6"/>
    <mergeCell ref="A7:C7"/>
    <mergeCell ref="A4:F4"/>
    <mergeCell ref="D5:F5"/>
    <mergeCell ref="C1:D1"/>
    <mergeCell ref="A2:M2"/>
    <mergeCell ref="E1:M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G353"/>
  <sheetViews>
    <sheetView zoomScale="90" zoomScaleNormal="90" zoomScaleSheetLayoutView="100" workbookViewId="0">
      <selection sqref="A1:G1"/>
    </sheetView>
  </sheetViews>
  <sheetFormatPr baseColWidth="10" defaultColWidth="9.1640625" defaultRowHeight="13" x14ac:dyDescent="0.15"/>
  <cols>
    <col min="1" max="1" width="14.6640625" style="60" customWidth="1"/>
    <col min="2" max="2" width="20.83203125" style="60" customWidth="1"/>
    <col min="3" max="3" width="17.33203125" style="66" customWidth="1"/>
    <col min="4" max="4" width="15.83203125" style="66" customWidth="1"/>
    <col min="5" max="5" width="15.83203125" style="67" customWidth="1"/>
    <col min="6" max="7" width="15.83203125" style="68" customWidth="1"/>
    <col min="8" max="16384" width="9.1640625" style="60"/>
  </cols>
  <sheetData>
    <row r="1" spans="1:7" ht="43.5" customHeight="1" x14ac:dyDescent="0.15">
      <c r="A1" s="280" t="s">
        <v>181</v>
      </c>
      <c r="B1" s="281"/>
      <c r="C1" s="281"/>
      <c r="D1" s="281"/>
      <c r="E1" s="281"/>
      <c r="F1" s="281"/>
      <c r="G1" s="281"/>
    </row>
    <row r="2" spans="1:7" s="61" customFormat="1" ht="45.75" customHeight="1" x14ac:dyDescent="0.15">
      <c r="A2" s="272" t="str">
        <f>Overview!B4&amp; " - Effective from "&amp;Overview!D4&amp;" - "&amp;Overview!E4&amp;" EDCM import charges"</f>
        <v>Southern Electric Power Distribution plc - Effective from 1 April 2020 - Final EDCM import charges</v>
      </c>
      <c r="B2" s="273"/>
      <c r="C2" s="273"/>
      <c r="D2" s="273"/>
      <c r="E2" s="273"/>
      <c r="F2" s="273"/>
      <c r="G2" s="274"/>
    </row>
    <row r="3" spans="1:7" s="96" customFormat="1" ht="18" x14ac:dyDescent="0.15">
      <c r="A3" s="100"/>
      <c r="B3" s="100"/>
      <c r="C3" s="218"/>
      <c r="D3" s="101"/>
      <c r="E3" s="102"/>
      <c r="F3" s="102"/>
      <c r="G3" s="103"/>
    </row>
    <row r="4" spans="1:7" ht="56" x14ac:dyDescent="0.15">
      <c r="A4" s="63" t="s">
        <v>714</v>
      </c>
      <c r="B4" s="62" t="s">
        <v>469</v>
      </c>
      <c r="C4" s="64" t="s">
        <v>725</v>
      </c>
      <c r="D4" s="148" t="str">
        <f>'Annex 2 EHV charges'!F9</f>
        <v>Import
Super Red
unit charge
(p/kWh)</v>
      </c>
      <c r="E4" s="148" t="str">
        <f>'Annex 2 EHV charges'!G9</f>
        <v>Import
fixed charge
(p/day)</v>
      </c>
      <c r="F4" s="148" t="str">
        <f>'Annex 2 EHV charges'!H9</f>
        <v>Import
capacity charge
(p/kVA/day)</v>
      </c>
      <c r="G4" s="148" t="str">
        <f>'Annex 2 EHV charges'!I9</f>
        <v>Import
exceeded capacity charge
(p/kVA/day)</v>
      </c>
    </row>
    <row r="5" spans="1:7" ht="14" x14ac:dyDescent="0.15">
      <c r="A5" s="108">
        <v>700</v>
      </c>
      <c r="B5" s="216">
        <v>2000027373741</v>
      </c>
      <c r="C5" s="219" t="s">
        <v>746</v>
      </c>
      <c r="D5" s="112">
        <v>0</v>
      </c>
      <c r="E5" s="222">
        <v>13766.71</v>
      </c>
      <c r="F5" s="222">
        <v>1.74</v>
      </c>
      <c r="G5" s="222">
        <v>1.74</v>
      </c>
    </row>
    <row r="6" spans="1:7" ht="14" x14ac:dyDescent="0.15">
      <c r="A6" s="108">
        <v>701</v>
      </c>
      <c r="B6" s="216">
        <v>2000027366674</v>
      </c>
      <c r="C6" s="219" t="s">
        <v>747</v>
      </c>
      <c r="D6" s="112">
        <v>2.4590000000000001</v>
      </c>
      <c r="E6" s="222">
        <v>8394.49</v>
      </c>
      <c r="F6" s="222">
        <v>2.2400000000000002</v>
      </c>
      <c r="G6" s="222">
        <v>2.2400000000000002</v>
      </c>
    </row>
    <row r="7" spans="1:7" ht="14" x14ac:dyDescent="0.15">
      <c r="A7" s="108">
        <v>702</v>
      </c>
      <c r="B7" s="216">
        <v>2000027342238</v>
      </c>
      <c r="C7" s="219" t="s">
        <v>748</v>
      </c>
      <c r="D7" s="112">
        <v>0.40600000000000003</v>
      </c>
      <c r="E7" s="222">
        <v>5159.3599999999997</v>
      </c>
      <c r="F7" s="222">
        <v>1.78</v>
      </c>
      <c r="G7" s="222">
        <v>1.78</v>
      </c>
    </row>
    <row r="8" spans="1:7" ht="14" x14ac:dyDescent="0.15">
      <c r="A8" s="108">
        <v>704</v>
      </c>
      <c r="B8" s="216">
        <v>2000027343640</v>
      </c>
      <c r="C8" s="219" t="s">
        <v>749</v>
      </c>
      <c r="D8" s="112">
        <v>1.2090000000000001</v>
      </c>
      <c r="E8" s="222">
        <v>1.97</v>
      </c>
      <c r="F8" s="222">
        <v>1.57</v>
      </c>
      <c r="G8" s="222">
        <v>1.57</v>
      </c>
    </row>
    <row r="9" spans="1:7" ht="14" x14ac:dyDescent="0.15">
      <c r="A9" s="108">
        <v>706</v>
      </c>
      <c r="B9" s="216">
        <v>2000027419271</v>
      </c>
      <c r="C9" s="219" t="s">
        <v>750</v>
      </c>
      <c r="D9" s="112">
        <v>1.014</v>
      </c>
      <c r="E9" s="222">
        <v>9.4</v>
      </c>
      <c r="F9" s="222">
        <v>1.44</v>
      </c>
      <c r="G9" s="222">
        <v>1.44</v>
      </c>
    </row>
    <row r="10" spans="1:7" ht="14" x14ac:dyDescent="0.15">
      <c r="A10" s="108">
        <v>707</v>
      </c>
      <c r="B10" s="216">
        <v>2000027427398</v>
      </c>
      <c r="C10" s="219" t="s">
        <v>751</v>
      </c>
      <c r="D10" s="112">
        <v>0.14899999999999999</v>
      </c>
      <c r="E10" s="222">
        <v>52.68</v>
      </c>
      <c r="F10" s="222">
        <v>2.64</v>
      </c>
      <c r="G10" s="222">
        <v>2.64</v>
      </c>
    </row>
    <row r="11" spans="1:7" ht="14" x14ac:dyDescent="0.15">
      <c r="A11" s="108">
        <v>708</v>
      </c>
      <c r="B11" s="216">
        <v>2000052675995</v>
      </c>
      <c r="C11" s="219" t="s">
        <v>752</v>
      </c>
      <c r="D11" s="112">
        <v>6.6920000000000002</v>
      </c>
      <c r="E11" s="222">
        <v>6470.94</v>
      </c>
      <c r="F11" s="222">
        <v>1.72</v>
      </c>
      <c r="G11" s="222">
        <v>1.72</v>
      </c>
    </row>
    <row r="12" spans="1:7" ht="14" x14ac:dyDescent="0.15">
      <c r="A12" s="108">
        <v>709</v>
      </c>
      <c r="B12" s="216">
        <v>2000054624149</v>
      </c>
      <c r="C12" s="219" t="s">
        <v>753</v>
      </c>
      <c r="D12" s="112">
        <v>1.024</v>
      </c>
      <c r="E12" s="222">
        <v>490.92</v>
      </c>
      <c r="F12" s="222">
        <v>3.18</v>
      </c>
      <c r="G12" s="222">
        <v>3.18</v>
      </c>
    </row>
    <row r="13" spans="1:7" ht="42" x14ac:dyDescent="0.15">
      <c r="A13" s="108">
        <v>710</v>
      </c>
      <c r="B13" s="216" t="s">
        <v>1145</v>
      </c>
      <c r="C13" s="219" t="s">
        <v>754</v>
      </c>
      <c r="D13" s="112">
        <v>0</v>
      </c>
      <c r="E13" s="222">
        <v>9674.43</v>
      </c>
      <c r="F13" s="222">
        <v>2.0099999999999998</v>
      </c>
      <c r="G13" s="222">
        <v>2.0099999999999998</v>
      </c>
    </row>
    <row r="14" spans="1:7" ht="14" x14ac:dyDescent="0.15">
      <c r="A14" s="108">
        <v>711</v>
      </c>
      <c r="B14" s="216">
        <v>2000027852497</v>
      </c>
      <c r="C14" s="219" t="s">
        <v>755</v>
      </c>
      <c r="D14" s="112">
        <v>0</v>
      </c>
      <c r="E14" s="222">
        <v>7188.49</v>
      </c>
      <c r="F14" s="222">
        <v>3.06</v>
      </c>
      <c r="G14" s="222">
        <v>3.06</v>
      </c>
    </row>
    <row r="15" spans="1:7" ht="14" x14ac:dyDescent="0.15">
      <c r="A15" s="108">
        <v>712</v>
      </c>
      <c r="B15" s="216">
        <v>2000055085297</v>
      </c>
      <c r="C15" s="219" t="s">
        <v>756</v>
      </c>
      <c r="D15" s="112">
        <v>1.0549999999999999</v>
      </c>
      <c r="E15" s="222">
        <v>3899.52</v>
      </c>
      <c r="F15" s="222">
        <v>1.87</v>
      </c>
      <c r="G15" s="222">
        <v>1.87</v>
      </c>
    </row>
    <row r="16" spans="1:7" ht="14" x14ac:dyDescent="0.15">
      <c r="A16" s="108">
        <v>713</v>
      </c>
      <c r="B16" s="216">
        <v>2000055085302</v>
      </c>
      <c r="C16" s="219" t="s">
        <v>757</v>
      </c>
      <c r="D16" s="112">
        <v>1.03</v>
      </c>
      <c r="E16" s="222">
        <v>9804.94</v>
      </c>
      <c r="F16" s="222">
        <v>1.29</v>
      </c>
      <c r="G16" s="222">
        <v>1.29</v>
      </c>
    </row>
    <row r="17" spans="1:7" ht="14" x14ac:dyDescent="0.15">
      <c r="A17" s="108">
        <v>714</v>
      </c>
      <c r="B17" s="216">
        <v>2000027366665</v>
      </c>
      <c r="C17" s="219" t="s">
        <v>758</v>
      </c>
      <c r="D17" s="112">
        <v>1.2849999999999999</v>
      </c>
      <c r="E17" s="222">
        <v>572.74</v>
      </c>
      <c r="F17" s="222">
        <v>2.56</v>
      </c>
      <c r="G17" s="222">
        <v>2.56</v>
      </c>
    </row>
    <row r="18" spans="1:7" ht="14" x14ac:dyDescent="0.15">
      <c r="A18" s="108">
        <v>715</v>
      </c>
      <c r="B18" s="216">
        <v>2000051063430</v>
      </c>
      <c r="C18" s="219" t="s">
        <v>759</v>
      </c>
      <c r="D18" s="112">
        <v>2.4369999999999998</v>
      </c>
      <c r="E18" s="222">
        <v>175.93</v>
      </c>
      <c r="F18" s="222">
        <v>2.65</v>
      </c>
      <c r="G18" s="222">
        <v>2.65</v>
      </c>
    </row>
    <row r="19" spans="1:7" ht="14" x14ac:dyDescent="0.15">
      <c r="A19" s="108">
        <v>716</v>
      </c>
      <c r="B19" s="216">
        <v>2000027366762</v>
      </c>
      <c r="C19" s="219" t="s">
        <v>760</v>
      </c>
      <c r="D19" s="112">
        <v>0</v>
      </c>
      <c r="E19" s="222">
        <v>81.819999999999993</v>
      </c>
      <c r="F19" s="222">
        <v>5.03</v>
      </c>
      <c r="G19" s="222">
        <v>5.03</v>
      </c>
    </row>
    <row r="20" spans="1:7" ht="14" x14ac:dyDescent="0.15">
      <c r="A20" s="108">
        <v>717</v>
      </c>
      <c r="B20" s="216">
        <v>2000027373403</v>
      </c>
      <c r="C20" s="219" t="s">
        <v>761</v>
      </c>
      <c r="D20" s="112">
        <v>1.7829999999999999</v>
      </c>
      <c r="E20" s="222">
        <v>81.819999999999993</v>
      </c>
      <c r="F20" s="222">
        <v>3.73</v>
      </c>
      <c r="G20" s="222">
        <v>3.73</v>
      </c>
    </row>
    <row r="21" spans="1:7" ht="14" x14ac:dyDescent="0.15">
      <c r="A21" s="108">
        <v>718</v>
      </c>
      <c r="B21" s="216">
        <v>2000050571060</v>
      </c>
      <c r="C21" s="219" t="s">
        <v>762</v>
      </c>
      <c r="D21" s="112">
        <v>1.0669999999999999</v>
      </c>
      <c r="E21" s="222">
        <v>575.45000000000005</v>
      </c>
      <c r="F21" s="222">
        <v>1.28</v>
      </c>
      <c r="G21" s="222">
        <v>1.28</v>
      </c>
    </row>
    <row r="22" spans="1:7" ht="14" x14ac:dyDescent="0.15">
      <c r="A22" s="108">
        <v>719</v>
      </c>
      <c r="B22" s="216">
        <v>2000027419449</v>
      </c>
      <c r="C22" s="219" t="s">
        <v>763</v>
      </c>
      <c r="D22" s="112">
        <v>1.038</v>
      </c>
      <c r="E22" s="222">
        <v>81.819999999999993</v>
      </c>
      <c r="F22" s="222">
        <v>2.52</v>
      </c>
      <c r="G22" s="222">
        <v>2.52</v>
      </c>
    </row>
    <row r="23" spans="1:7" ht="14" x14ac:dyDescent="0.15">
      <c r="A23" s="108">
        <v>800</v>
      </c>
      <c r="B23" s="216">
        <v>2000050277851</v>
      </c>
      <c r="C23" s="219" t="s">
        <v>764</v>
      </c>
      <c r="D23" s="112">
        <v>0</v>
      </c>
      <c r="E23" s="222">
        <v>697.42</v>
      </c>
      <c r="F23" s="222">
        <v>1.44</v>
      </c>
      <c r="G23" s="222">
        <v>1.44</v>
      </c>
    </row>
    <row r="24" spans="1:7" ht="14" x14ac:dyDescent="0.15">
      <c r="A24" s="108">
        <v>801</v>
      </c>
      <c r="B24" s="216">
        <v>2000050393707</v>
      </c>
      <c r="C24" s="219" t="s">
        <v>765</v>
      </c>
      <c r="D24" s="112">
        <v>0</v>
      </c>
      <c r="E24" s="222">
        <v>697.42</v>
      </c>
      <c r="F24" s="222">
        <v>1.56</v>
      </c>
      <c r="G24" s="222">
        <v>1.56</v>
      </c>
    </row>
    <row r="25" spans="1:7" ht="14" x14ac:dyDescent="0.15">
      <c r="A25" s="108">
        <v>802</v>
      </c>
      <c r="B25" s="216">
        <v>2000027366841</v>
      </c>
      <c r="C25" s="219" t="s">
        <v>766</v>
      </c>
      <c r="D25" s="112">
        <v>0.78800000000000003</v>
      </c>
      <c r="E25" s="222">
        <v>201.99</v>
      </c>
      <c r="F25" s="222">
        <v>3.35</v>
      </c>
      <c r="G25" s="222">
        <v>3.35</v>
      </c>
    </row>
    <row r="26" spans="1:7" ht="14" x14ac:dyDescent="0.15">
      <c r="A26" s="108">
        <v>803</v>
      </c>
      <c r="B26" s="216">
        <v>2000050277513</v>
      </c>
      <c r="C26" s="219" t="s">
        <v>767</v>
      </c>
      <c r="D26" s="112">
        <v>0</v>
      </c>
      <c r="E26" s="222">
        <v>857.37</v>
      </c>
      <c r="F26" s="222">
        <v>2.4300000000000002</v>
      </c>
      <c r="G26" s="222">
        <v>2.4300000000000002</v>
      </c>
    </row>
    <row r="27" spans="1:7" ht="14" x14ac:dyDescent="0.15">
      <c r="A27" s="108">
        <v>817</v>
      </c>
      <c r="B27" s="216">
        <v>2000050481327</v>
      </c>
      <c r="C27" s="219" t="s">
        <v>768</v>
      </c>
      <c r="D27" s="112">
        <v>0</v>
      </c>
      <c r="E27" s="222">
        <v>643.03</v>
      </c>
      <c r="F27" s="222">
        <v>2.4</v>
      </c>
      <c r="G27" s="222">
        <v>2.4</v>
      </c>
    </row>
    <row r="28" spans="1:7" ht="14" x14ac:dyDescent="0.15">
      <c r="A28" s="108">
        <v>837</v>
      </c>
      <c r="B28" s="216">
        <v>2000050481309</v>
      </c>
      <c r="C28" s="219" t="s">
        <v>769</v>
      </c>
      <c r="D28" s="112">
        <v>0</v>
      </c>
      <c r="E28" s="222">
        <v>643.03</v>
      </c>
      <c r="F28" s="222">
        <v>3.94</v>
      </c>
      <c r="G28" s="222">
        <v>3.94</v>
      </c>
    </row>
    <row r="29" spans="1:7" ht="42" x14ac:dyDescent="0.15">
      <c r="A29" s="108">
        <v>804</v>
      </c>
      <c r="B29" s="216" t="s">
        <v>1146</v>
      </c>
      <c r="C29" s="219" t="s">
        <v>770</v>
      </c>
      <c r="D29" s="112">
        <v>1.1950000000000001</v>
      </c>
      <c r="E29" s="222">
        <v>1046.1300000000001</v>
      </c>
      <c r="F29" s="222">
        <v>1.23</v>
      </c>
      <c r="G29" s="222">
        <v>1.23</v>
      </c>
    </row>
    <row r="30" spans="1:7" ht="14" x14ac:dyDescent="0.15">
      <c r="A30" s="108">
        <v>805</v>
      </c>
      <c r="B30" s="216">
        <v>2000027474820</v>
      </c>
      <c r="C30" s="219" t="s">
        <v>771</v>
      </c>
      <c r="D30" s="112">
        <v>0</v>
      </c>
      <c r="E30" s="222">
        <v>213.67</v>
      </c>
      <c r="F30" s="222">
        <v>1.97</v>
      </c>
      <c r="G30" s="222">
        <v>1.97</v>
      </c>
    </row>
    <row r="31" spans="1:7" ht="14" x14ac:dyDescent="0.15">
      <c r="A31" s="108">
        <v>806</v>
      </c>
      <c r="B31" s="216">
        <v>2000027454188</v>
      </c>
      <c r="C31" s="219" t="s">
        <v>772</v>
      </c>
      <c r="D31" s="112">
        <v>4.1539999999999999</v>
      </c>
      <c r="E31" s="222">
        <v>697.42</v>
      </c>
      <c r="F31" s="222">
        <v>1.48</v>
      </c>
      <c r="G31" s="222">
        <v>1.48</v>
      </c>
    </row>
    <row r="32" spans="1:7" ht="14" x14ac:dyDescent="0.15">
      <c r="A32" s="108">
        <v>807</v>
      </c>
      <c r="B32" s="216">
        <v>2000027454452</v>
      </c>
      <c r="C32" s="219" t="s">
        <v>773</v>
      </c>
      <c r="D32" s="112">
        <v>6.1189999999999998</v>
      </c>
      <c r="E32" s="222">
        <v>348.71</v>
      </c>
      <c r="F32" s="222">
        <v>2.48</v>
      </c>
      <c r="G32" s="222">
        <v>2.48</v>
      </c>
    </row>
    <row r="33" spans="1:7" ht="14" x14ac:dyDescent="0.15">
      <c r="A33" s="108">
        <v>808</v>
      </c>
      <c r="B33" s="216">
        <v>2000052503790</v>
      </c>
      <c r="C33" s="219" t="s">
        <v>774</v>
      </c>
      <c r="D33" s="112">
        <v>0.76200000000000001</v>
      </c>
      <c r="E33" s="222">
        <v>697.42</v>
      </c>
      <c r="F33" s="222">
        <v>1.55</v>
      </c>
      <c r="G33" s="222">
        <v>1.55</v>
      </c>
    </row>
    <row r="34" spans="1:7" ht="14" x14ac:dyDescent="0.15">
      <c r="A34" s="108">
        <v>809</v>
      </c>
      <c r="B34" s="216">
        <v>2000027297816</v>
      </c>
      <c r="C34" s="219" t="s">
        <v>775</v>
      </c>
      <c r="D34" s="112">
        <v>0</v>
      </c>
      <c r="E34" s="222">
        <v>398.35</v>
      </c>
      <c r="F34" s="222">
        <v>0.34</v>
      </c>
      <c r="G34" s="222">
        <v>0.34</v>
      </c>
    </row>
    <row r="35" spans="1:7" ht="14" x14ac:dyDescent="0.15">
      <c r="A35" s="108">
        <v>810</v>
      </c>
      <c r="B35" s="216">
        <v>2000050467030</v>
      </c>
      <c r="C35" s="219" t="s">
        <v>776</v>
      </c>
      <c r="D35" s="112">
        <v>0</v>
      </c>
      <c r="E35" s="222">
        <v>810.41</v>
      </c>
      <c r="F35" s="222">
        <v>0.45</v>
      </c>
      <c r="G35" s="222">
        <v>0.45</v>
      </c>
    </row>
    <row r="36" spans="1:7" ht="14" x14ac:dyDescent="0.15">
      <c r="A36" s="108">
        <v>811</v>
      </c>
      <c r="B36" s="216">
        <v>2000051063927</v>
      </c>
      <c r="C36" s="219" t="s">
        <v>777</v>
      </c>
      <c r="D36" s="112">
        <v>0</v>
      </c>
      <c r="E36" s="222">
        <v>412.74</v>
      </c>
      <c r="F36" s="222">
        <v>6</v>
      </c>
      <c r="G36" s="222">
        <v>6</v>
      </c>
    </row>
    <row r="37" spans="1:7" ht="14" x14ac:dyDescent="0.15">
      <c r="A37" s="108">
        <v>812</v>
      </c>
      <c r="B37" s="216">
        <v>2000027339192</v>
      </c>
      <c r="C37" s="219" t="s">
        <v>778</v>
      </c>
      <c r="D37" s="112">
        <v>0.40600000000000003</v>
      </c>
      <c r="E37" s="222">
        <v>1.82</v>
      </c>
      <c r="F37" s="222">
        <v>2.76</v>
      </c>
      <c r="G37" s="222">
        <v>2.76</v>
      </c>
    </row>
    <row r="38" spans="1:7" ht="14" x14ac:dyDescent="0.15">
      <c r="A38" s="108">
        <v>812</v>
      </c>
      <c r="B38" s="216">
        <v>2000050544330</v>
      </c>
      <c r="C38" s="219" t="s">
        <v>779</v>
      </c>
      <c r="D38" s="112">
        <v>0.39900000000000002</v>
      </c>
      <c r="E38" s="222">
        <v>1.82</v>
      </c>
      <c r="F38" s="222">
        <v>2.78</v>
      </c>
      <c r="G38" s="222">
        <v>2.78</v>
      </c>
    </row>
    <row r="39" spans="1:7" ht="98" x14ac:dyDescent="0.15">
      <c r="A39" s="108">
        <v>813</v>
      </c>
      <c r="B39" s="216" t="s">
        <v>1147</v>
      </c>
      <c r="C39" s="219" t="s">
        <v>780</v>
      </c>
      <c r="D39" s="112">
        <v>0</v>
      </c>
      <c r="E39" s="222">
        <v>5026.04</v>
      </c>
      <c r="F39" s="222">
        <v>3.72</v>
      </c>
      <c r="G39" s="222">
        <v>3.72</v>
      </c>
    </row>
    <row r="40" spans="1:7" ht="14" x14ac:dyDescent="0.15">
      <c r="A40" s="108">
        <v>814</v>
      </c>
      <c r="B40" s="216">
        <v>2000027340036</v>
      </c>
      <c r="C40" s="219" t="s">
        <v>781</v>
      </c>
      <c r="D40" s="112">
        <v>0.40400000000000003</v>
      </c>
      <c r="E40" s="222">
        <v>267.91000000000003</v>
      </c>
      <c r="F40" s="222">
        <v>0.69</v>
      </c>
      <c r="G40" s="222">
        <v>0.69</v>
      </c>
    </row>
    <row r="41" spans="1:7" ht="14" x14ac:dyDescent="0.15">
      <c r="A41" s="108">
        <v>815</v>
      </c>
      <c r="B41" s="216">
        <v>2000027454648</v>
      </c>
      <c r="C41" s="219" t="s">
        <v>782</v>
      </c>
      <c r="D41" s="112">
        <v>0</v>
      </c>
      <c r="E41" s="222">
        <v>1731.23</v>
      </c>
      <c r="F41" s="222">
        <v>1.22</v>
      </c>
      <c r="G41" s="222">
        <v>1.22</v>
      </c>
    </row>
    <row r="42" spans="1:7" ht="14" x14ac:dyDescent="0.15">
      <c r="A42" s="108">
        <v>816</v>
      </c>
      <c r="B42" s="216">
        <v>2000027306995</v>
      </c>
      <c r="C42" s="219" t="s">
        <v>783</v>
      </c>
      <c r="D42" s="112">
        <v>0</v>
      </c>
      <c r="E42" s="222">
        <v>436.34</v>
      </c>
      <c r="F42" s="222">
        <v>1.94</v>
      </c>
      <c r="G42" s="222">
        <v>1.94</v>
      </c>
    </row>
    <row r="43" spans="1:7" ht="14" x14ac:dyDescent="0.15">
      <c r="A43" s="108">
        <v>818</v>
      </c>
      <c r="B43" s="216">
        <v>2000050277160</v>
      </c>
      <c r="C43" s="219" t="s">
        <v>784</v>
      </c>
      <c r="D43" s="112">
        <v>0</v>
      </c>
      <c r="E43" s="222">
        <v>42902.73</v>
      </c>
      <c r="F43" s="222">
        <v>9.85</v>
      </c>
      <c r="G43" s="222">
        <v>9.85</v>
      </c>
    </row>
    <row r="44" spans="1:7" ht="14" x14ac:dyDescent="0.15">
      <c r="A44" s="108">
        <v>819</v>
      </c>
      <c r="B44" s="216">
        <v>2000027466068</v>
      </c>
      <c r="C44" s="219" t="s">
        <v>785</v>
      </c>
      <c r="D44" s="112">
        <v>0</v>
      </c>
      <c r="E44" s="222">
        <v>84.33</v>
      </c>
      <c r="F44" s="222">
        <v>2.1800000000000002</v>
      </c>
      <c r="G44" s="222">
        <v>2.1800000000000002</v>
      </c>
    </row>
    <row r="45" spans="1:7" ht="14" x14ac:dyDescent="0.15">
      <c r="A45" s="108">
        <v>7174</v>
      </c>
      <c r="B45" s="216">
        <v>7174</v>
      </c>
      <c r="C45" s="219" t="s">
        <v>786</v>
      </c>
      <c r="D45" s="112">
        <v>0</v>
      </c>
      <c r="E45" s="222">
        <v>209.95</v>
      </c>
      <c r="F45" s="222">
        <v>0.71</v>
      </c>
      <c r="G45" s="222">
        <v>0.71</v>
      </c>
    </row>
    <row r="46" spans="1:7" ht="14" x14ac:dyDescent="0.15">
      <c r="A46" s="108" t="s">
        <v>1972</v>
      </c>
      <c r="B46" s="216">
        <v>2000027462090</v>
      </c>
      <c r="C46" s="219" t="s">
        <v>787</v>
      </c>
      <c r="D46" s="112">
        <v>0</v>
      </c>
      <c r="E46" s="222">
        <v>1055.8699999999999</v>
      </c>
      <c r="F46" s="222">
        <v>1.17</v>
      </c>
      <c r="G46" s="222">
        <v>1.17</v>
      </c>
    </row>
    <row r="47" spans="1:7" ht="14" x14ac:dyDescent="0.15">
      <c r="A47" s="108">
        <v>823</v>
      </c>
      <c r="B47" s="216">
        <v>2000053759147</v>
      </c>
      <c r="C47" s="219" t="s">
        <v>788</v>
      </c>
      <c r="D47" s="112">
        <v>0</v>
      </c>
      <c r="E47" s="222">
        <v>150.07</v>
      </c>
      <c r="F47" s="222">
        <v>0.63</v>
      </c>
      <c r="G47" s="222">
        <v>0.63</v>
      </c>
    </row>
    <row r="48" spans="1:7" ht="14" x14ac:dyDescent="0.15">
      <c r="A48" s="108">
        <v>824</v>
      </c>
      <c r="B48" s="216">
        <v>2000027366498</v>
      </c>
      <c r="C48" s="219" t="s">
        <v>789</v>
      </c>
      <c r="D48" s="112">
        <v>1.3009999999999999</v>
      </c>
      <c r="E48" s="222">
        <v>1969.92</v>
      </c>
      <c r="F48" s="222">
        <v>2.92</v>
      </c>
      <c r="G48" s="222">
        <v>2.92</v>
      </c>
    </row>
    <row r="49" spans="1:7" ht="14" x14ac:dyDescent="0.15">
      <c r="A49" s="108">
        <v>825</v>
      </c>
      <c r="B49" s="216">
        <v>2000027323866</v>
      </c>
      <c r="C49" s="219" t="s">
        <v>790</v>
      </c>
      <c r="D49" s="112">
        <v>0</v>
      </c>
      <c r="E49" s="222">
        <v>16332.73</v>
      </c>
      <c r="F49" s="222">
        <v>3.06</v>
      </c>
      <c r="G49" s="222">
        <v>3.06</v>
      </c>
    </row>
    <row r="50" spans="1:7" ht="14" x14ac:dyDescent="0.15">
      <c r="A50" s="108">
        <v>826</v>
      </c>
      <c r="B50" s="216">
        <v>2000027318634</v>
      </c>
      <c r="C50" s="219" t="s">
        <v>791</v>
      </c>
      <c r="D50" s="112">
        <v>0</v>
      </c>
      <c r="E50" s="222">
        <v>5860.11</v>
      </c>
      <c r="F50" s="222">
        <v>2.14</v>
      </c>
      <c r="G50" s="222">
        <v>2.14</v>
      </c>
    </row>
    <row r="51" spans="1:7" ht="14" x14ac:dyDescent="0.15">
      <c r="A51" s="108">
        <v>827</v>
      </c>
      <c r="B51" s="216">
        <v>2000052503805</v>
      </c>
      <c r="C51" s="219" t="s">
        <v>792</v>
      </c>
      <c r="D51" s="112">
        <v>0.75600000000000001</v>
      </c>
      <c r="E51" s="222">
        <v>697.42</v>
      </c>
      <c r="F51" s="222">
        <v>2.58</v>
      </c>
      <c r="G51" s="222">
        <v>2.58</v>
      </c>
    </row>
    <row r="52" spans="1:7" ht="14" x14ac:dyDescent="0.15">
      <c r="A52" s="108">
        <v>897</v>
      </c>
      <c r="B52" s="216">
        <v>2000027877385</v>
      </c>
      <c r="C52" s="219" t="s">
        <v>793</v>
      </c>
      <c r="D52" s="112">
        <v>1.7849999999999999</v>
      </c>
      <c r="E52" s="222">
        <v>5369.75</v>
      </c>
      <c r="F52" s="222">
        <v>2.75</v>
      </c>
      <c r="G52" s="222">
        <v>2.75</v>
      </c>
    </row>
    <row r="53" spans="1:7" ht="14" x14ac:dyDescent="0.15">
      <c r="A53" s="108">
        <v>829</v>
      </c>
      <c r="B53" s="216">
        <v>2000050275552</v>
      </c>
      <c r="C53" s="219" t="s">
        <v>794</v>
      </c>
      <c r="D53" s="112">
        <v>0</v>
      </c>
      <c r="E53" s="222">
        <v>4007.74</v>
      </c>
      <c r="F53" s="222">
        <v>1.54</v>
      </c>
      <c r="G53" s="222">
        <v>1.54</v>
      </c>
    </row>
    <row r="54" spans="1:7" ht="14" x14ac:dyDescent="0.15">
      <c r="A54" s="108">
        <v>820</v>
      </c>
      <c r="B54" s="216">
        <v>2000052993042</v>
      </c>
      <c r="C54" s="219" t="s">
        <v>795</v>
      </c>
      <c r="D54" s="112">
        <v>1.048</v>
      </c>
      <c r="E54" s="222">
        <v>196.35</v>
      </c>
      <c r="F54" s="222">
        <v>0.92</v>
      </c>
      <c r="G54" s="222">
        <v>0.92</v>
      </c>
    </row>
    <row r="55" spans="1:7" ht="14" x14ac:dyDescent="0.15">
      <c r="A55" s="108">
        <v>830</v>
      </c>
      <c r="B55" s="216">
        <v>2000050277986</v>
      </c>
      <c r="C55" s="219" t="s">
        <v>796</v>
      </c>
      <c r="D55" s="112">
        <v>0</v>
      </c>
      <c r="E55" s="222">
        <v>21776.639999999999</v>
      </c>
      <c r="F55" s="222">
        <v>0.73</v>
      </c>
      <c r="G55" s="222">
        <v>0.73</v>
      </c>
    </row>
    <row r="56" spans="1:7" ht="14" x14ac:dyDescent="0.15">
      <c r="A56" s="108">
        <v>854</v>
      </c>
      <c r="B56" s="216">
        <v>2000052369584</v>
      </c>
      <c r="C56" s="219" t="s">
        <v>797</v>
      </c>
      <c r="D56" s="112">
        <v>0</v>
      </c>
      <c r="E56" s="222">
        <v>21341.5</v>
      </c>
      <c r="F56" s="222">
        <v>1.7</v>
      </c>
      <c r="G56" s="222">
        <v>1.7</v>
      </c>
    </row>
    <row r="57" spans="1:7" ht="14" x14ac:dyDescent="0.15">
      <c r="A57" s="108">
        <v>835</v>
      </c>
      <c r="B57" s="216">
        <v>2000050275543</v>
      </c>
      <c r="C57" s="219" t="s">
        <v>798</v>
      </c>
      <c r="D57" s="112">
        <v>0</v>
      </c>
      <c r="E57" s="222">
        <v>2347.9</v>
      </c>
      <c r="F57" s="222">
        <v>1.25</v>
      </c>
      <c r="G57" s="222">
        <v>1.25</v>
      </c>
    </row>
    <row r="58" spans="1:7" ht="14" x14ac:dyDescent="0.15">
      <c r="A58" s="108">
        <v>836</v>
      </c>
      <c r="B58" s="216">
        <v>2000051425787</v>
      </c>
      <c r="C58" s="219" t="s">
        <v>799</v>
      </c>
      <c r="D58" s="112">
        <v>0</v>
      </c>
      <c r="E58" s="222">
        <v>684.68</v>
      </c>
      <c r="F58" s="222">
        <v>4.05</v>
      </c>
      <c r="G58" s="222">
        <v>4.05</v>
      </c>
    </row>
    <row r="59" spans="1:7" ht="14" x14ac:dyDescent="0.15">
      <c r="A59" s="108">
        <v>4033</v>
      </c>
      <c r="B59" s="216">
        <v>4033</v>
      </c>
      <c r="C59" s="219" t="s">
        <v>800</v>
      </c>
      <c r="D59" s="112">
        <v>0</v>
      </c>
      <c r="E59" s="222">
        <v>0.14000000000000001</v>
      </c>
      <c r="F59" s="222">
        <v>1.69</v>
      </c>
      <c r="G59" s="222">
        <v>1.69</v>
      </c>
    </row>
    <row r="60" spans="1:7" ht="14" x14ac:dyDescent="0.15">
      <c r="A60" s="108">
        <v>4548</v>
      </c>
      <c r="B60" s="216">
        <v>4548</v>
      </c>
      <c r="C60" s="219" t="s">
        <v>801</v>
      </c>
      <c r="D60" s="112">
        <v>0</v>
      </c>
      <c r="E60" s="222">
        <v>0.03</v>
      </c>
      <c r="F60" s="222">
        <v>1.0900000000000001</v>
      </c>
      <c r="G60" s="222">
        <v>1.0900000000000001</v>
      </c>
    </row>
    <row r="61" spans="1:7" ht="14" x14ac:dyDescent="0.15">
      <c r="A61" s="108">
        <v>839</v>
      </c>
      <c r="B61" s="216">
        <v>2000053874062</v>
      </c>
      <c r="C61" s="219" t="s">
        <v>802</v>
      </c>
      <c r="D61" s="112">
        <v>0</v>
      </c>
      <c r="E61" s="222">
        <v>1.87</v>
      </c>
      <c r="F61" s="222">
        <v>2.5299999999999998</v>
      </c>
      <c r="G61" s="222">
        <v>2.5299999999999998</v>
      </c>
    </row>
    <row r="62" spans="1:7" ht="14" x14ac:dyDescent="0.15">
      <c r="A62" s="108">
        <v>505</v>
      </c>
      <c r="B62" s="216">
        <v>2000053874105</v>
      </c>
      <c r="C62" s="219" t="s">
        <v>803</v>
      </c>
      <c r="D62" s="112">
        <v>0</v>
      </c>
      <c r="E62" s="222">
        <v>2.81</v>
      </c>
      <c r="F62" s="222">
        <v>2.35</v>
      </c>
      <c r="G62" s="222">
        <v>2.35</v>
      </c>
    </row>
    <row r="63" spans="1:7" ht="14" x14ac:dyDescent="0.15">
      <c r="A63" s="108">
        <v>840</v>
      </c>
      <c r="B63" s="216">
        <v>2000051011929</v>
      </c>
      <c r="C63" s="219" t="s">
        <v>804</v>
      </c>
      <c r="D63" s="112">
        <v>0</v>
      </c>
      <c r="E63" s="222">
        <v>22.03</v>
      </c>
      <c r="F63" s="222">
        <v>0.69</v>
      </c>
      <c r="G63" s="222">
        <v>0.69</v>
      </c>
    </row>
    <row r="64" spans="1:7" ht="14" x14ac:dyDescent="0.15">
      <c r="A64" s="108">
        <v>7393</v>
      </c>
      <c r="B64" s="216">
        <v>7393</v>
      </c>
      <c r="C64" s="219" t="s">
        <v>805</v>
      </c>
      <c r="D64" s="112">
        <v>1.1160000000000001</v>
      </c>
      <c r="E64" s="222">
        <v>2.6</v>
      </c>
      <c r="F64" s="222">
        <v>1.25</v>
      </c>
      <c r="G64" s="222">
        <v>1.25</v>
      </c>
    </row>
    <row r="65" spans="1:7" ht="14" x14ac:dyDescent="0.15">
      <c r="A65" s="108">
        <v>7394</v>
      </c>
      <c r="B65" s="216">
        <v>7394</v>
      </c>
      <c r="C65" s="219" t="s">
        <v>806</v>
      </c>
      <c r="D65" s="112">
        <v>0</v>
      </c>
      <c r="E65" s="222">
        <v>1.96</v>
      </c>
      <c r="F65" s="222">
        <v>1.35</v>
      </c>
      <c r="G65" s="222">
        <v>1.35</v>
      </c>
    </row>
    <row r="66" spans="1:7" ht="14" x14ac:dyDescent="0.15">
      <c r="A66" s="108">
        <v>844</v>
      </c>
      <c r="B66" s="216">
        <v>2000027491213</v>
      </c>
      <c r="C66" s="219" t="s">
        <v>807</v>
      </c>
      <c r="D66" s="112">
        <v>0</v>
      </c>
      <c r="E66" s="222">
        <v>15.89</v>
      </c>
      <c r="F66" s="222">
        <v>0.68</v>
      </c>
      <c r="G66" s="222">
        <v>0.68</v>
      </c>
    </row>
    <row r="67" spans="1:7" ht="14" x14ac:dyDescent="0.15">
      <c r="A67" s="108">
        <v>844</v>
      </c>
      <c r="B67" s="216">
        <v>2000050044320</v>
      </c>
      <c r="C67" s="219" t="s">
        <v>808</v>
      </c>
      <c r="D67" s="112">
        <v>0</v>
      </c>
      <c r="E67" s="222">
        <v>7.39</v>
      </c>
      <c r="F67" s="222">
        <v>0.68</v>
      </c>
      <c r="G67" s="222">
        <v>0.68</v>
      </c>
    </row>
    <row r="68" spans="1:7" ht="14" x14ac:dyDescent="0.15">
      <c r="A68" s="108">
        <v>844</v>
      </c>
      <c r="B68" s="216">
        <v>2000052468930</v>
      </c>
      <c r="C68" s="219" t="s">
        <v>809</v>
      </c>
      <c r="D68" s="112">
        <v>0</v>
      </c>
      <c r="E68" s="222">
        <v>1.91</v>
      </c>
      <c r="F68" s="222">
        <v>0.68</v>
      </c>
      <c r="G68" s="222">
        <v>0.68</v>
      </c>
    </row>
    <row r="69" spans="1:7" ht="14" x14ac:dyDescent="0.15">
      <c r="A69" s="108">
        <v>845</v>
      </c>
      <c r="B69" s="216">
        <v>2000050437959</v>
      </c>
      <c r="C69" s="219" t="s">
        <v>810</v>
      </c>
      <c r="D69" s="112">
        <v>0</v>
      </c>
      <c r="E69" s="222">
        <v>3465.76</v>
      </c>
      <c r="F69" s="222">
        <v>4.79</v>
      </c>
      <c r="G69" s="222">
        <v>4.79</v>
      </c>
    </row>
    <row r="70" spans="1:7" ht="14" x14ac:dyDescent="0.15">
      <c r="A70" s="108">
        <v>846</v>
      </c>
      <c r="B70" s="216">
        <v>2000050552457</v>
      </c>
      <c r="C70" s="219" t="s">
        <v>811</v>
      </c>
      <c r="D70" s="112">
        <v>1.4279999999999999</v>
      </c>
      <c r="E70" s="222">
        <v>9.6</v>
      </c>
      <c r="F70" s="222">
        <v>0.69</v>
      </c>
      <c r="G70" s="222">
        <v>0.69</v>
      </c>
    </row>
    <row r="71" spans="1:7" ht="14" x14ac:dyDescent="0.15">
      <c r="A71" s="108">
        <v>847</v>
      </c>
      <c r="B71" s="216">
        <v>2000050662007</v>
      </c>
      <c r="C71" s="219" t="s">
        <v>812</v>
      </c>
      <c r="D71" s="112">
        <v>0</v>
      </c>
      <c r="E71" s="222">
        <v>21</v>
      </c>
      <c r="F71" s="222">
        <v>0.78</v>
      </c>
      <c r="G71" s="222">
        <v>0.78</v>
      </c>
    </row>
    <row r="72" spans="1:7" ht="14" x14ac:dyDescent="0.15">
      <c r="A72" s="108">
        <v>849</v>
      </c>
      <c r="B72" s="216">
        <v>2000052866920</v>
      </c>
      <c r="C72" s="219" t="s">
        <v>813</v>
      </c>
      <c r="D72" s="112">
        <v>0</v>
      </c>
      <c r="E72" s="222">
        <v>3957.04</v>
      </c>
      <c r="F72" s="222">
        <v>3.58</v>
      </c>
      <c r="G72" s="222">
        <v>3.58</v>
      </c>
    </row>
    <row r="73" spans="1:7" ht="14" x14ac:dyDescent="0.15">
      <c r="A73" s="108">
        <v>851</v>
      </c>
      <c r="B73" s="216">
        <v>2000051336018</v>
      </c>
      <c r="C73" s="219" t="s">
        <v>814</v>
      </c>
      <c r="D73" s="112">
        <v>0</v>
      </c>
      <c r="E73" s="222">
        <v>843.25</v>
      </c>
      <c r="F73" s="222">
        <v>1.51</v>
      </c>
      <c r="G73" s="222">
        <v>1.51</v>
      </c>
    </row>
    <row r="74" spans="1:7" ht="14" x14ac:dyDescent="0.15">
      <c r="A74" s="108">
        <v>853</v>
      </c>
      <c r="B74" s="216">
        <v>2000052659600</v>
      </c>
      <c r="C74" s="219" t="s">
        <v>815</v>
      </c>
      <c r="D74" s="112">
        <v>1.875</v>
      </c>
      <c r="E74" s="222">
        <v>246.92</v>
      </c>
      <c r="F74" s="222">
        <v>1.21</v>
      </c>
      <c r="G74" s="222">
        <v>1.21</v>
      </c>
    </row>
    <row r="75" spans="1:7" ht="14" x14ac:dyDescent="0.15">
      <c r="A75" s="108">
        <v>855</v>
      </c>
      <c r="B75" s="216">
        <v>2000050276556</v>
      </c>
      <c r="C75" s="219" t="s">
        <v>816</v>
      </c>
      <c r="D75" s="112">
        <v>0.72699999999999998</v>
      </c>
      <c r="E75" s="222">
        <v>348.71</v>
      </c>
      <c r="F75" s="222">
        <v>1.68</v>
      </c>
      <c r="G75" s="222">
        <v>1.68</v>
      </c>
    </row>
    <row r="76" spans="1:7" ht="14" x14ac:dyDescent="0.15">
      <c r="A76" s="108">
        <v>856</v>
      </c>
      <c r="B76" s="216">
        <v>2000054315483</v>
      </c>
      <c r="C76" s="219" t="s">
        <v>817</v>
      </c>
      <c r="D76" s="112">
        <v>0</v>
      </c>
      <c r="E76" s="222">
        <v>348.71</v>
      </c>
      <c r="F76" s="222">
        <v>2.12</v>
      </c>
      <c r="G76" s="222">
        <v>2.12</v>
      </c>
    </row>
    <row r="77" spans="1:7" ht="14" x14ac:dyDescent="0.15">
      <c r="A77" s="108">
        <v>857</v>
      </c>
      <c r="B77" s="216">
        <v>2000054359392</v>
      </c>
      <c r="C77" s="219" t="s">
        <v>818</v>
      </c>
      <c r="D77" s="112">
        <v>0</v>
      </c>
      <c r="E77" s="222">
        <v>201.99</v>
      </c>
      <c r="F77" s="222">
        <v>1.88</v>
      </c>
      <c r="G77" s="222">
        <v>1.88</v>
      </c>
    </row>
    <row r="78" spans="1:7" ht="14" x14ac:dyDescent="0.15">
      <c r="A78" s="108">
        <v>858</v>
      </c>
      <c r="B78" s="216">
        <v>2000051445019</v>
      </c>
      <c r="C78" s="219" t="s">
        <v>819</v>
      </c>
      <c r="D78" s="112">
        <v>0.432</v>
      </c>
      <c r="E78" s="222">
        <v>4.0199999999999996</v>
      </c>
      <c r="F78" s="222">
        <v>0.81</v>
      </c>
      <c r="G78" s="222">
        <v>0.81</v>
      </c>
    </row>
    <row r="79" spans="1:7" ht="14" x14ac:dyDescent="0.15">
      <c r="A79" s="108">
        <v>859</v>
      </c>
      <c r="B79" s="216">
        <v>2000054431783</v>
      </c>
      <c r="C79" s="219" t="s">
        <v>820</v>
      </c>
      <c r="D79" s="112">
        <v>6.2779999999999996</v>
      </c>
      <c r="E79" s="222">
        <v>9.89</v>
      </c>
      <c r="F79" s="222">
        <v>0.68</v>
      </c>
      <c r="G79" s="222">
        <v>0.68</v>
      </c>
    </row>
    <row r="80" spans="1:7" ht="14" x14ac:dyDescent="0.15">
      <c r="A80" s="108">
        <v>860</v>
      </c>
      <c r="B80" s="216">
        <v>2000054674344</v>
      </c>
      <c r="C80" s="219" t="s">
        <v>821</v>
      </c>
      <c r="D80" s="112">
        <v>6.5250000000000004</v>
      </c>
      <c r="E80" s="222">
        <v>183.47</v>
      </c>
      <c r="F80" s="222">
        <v>1.0900000000000001</v>
      </c>
      <c r="G80" s="222">
        <v>1.0900000000000001</v>
      </c>
    </row>
    <row r="81" spans="1:7" ht="14" x14ac:dyDescent="0.15">
      <c r="A81" s="108">
        <v>7303</v>
      </c>
      <c r="B81" s="216">
        <v>7303</v>
      </c>
      <c r="C81" s="219" t="s">
        <v>822</v>
      </c>
      <c r="D81" s="112">
        <v>0.621</v>
      </c>
      <c r="E81" s="222">
        <v>0</v>
      </c>
      <c r="F81" s="222">
        <v>6.04</v>
      </c>
      <c r="G81" s="222">
        <v>6.04</v>
      </c>
    </row>
    <row r="82" spans="1:7" ht="14" x14ac:dyDescent="0.15">
      <c r="A82" s="108">
        <v>863</v>
      </c>
      <c r="B82" s="216">
        <v>2000055109274</v>
      </c>
      <c r="C82" s="219" t="s">
        <v>823</v>
      </c>
      <c r="D82" s="112">
        <v>0</v>
      </c>
      <c r="E82" s="222">
        <v>0.5</v>
      </c>
      <c r="F82" s="222">
        <v>4.4400000000000004</v>
      </c>
      <c r="G82" s="222">
        <v>4.4400000000000004</v>
      </c>
    </row>
    <row r="83" spans="1:7" ht="14" x14ac:dyDescent="0.15">
      <c r="A83" s="108">
        <v>852</v>
      </c>
      <c r="B83" s="216">
        <v>2000055132440</v>
      </c>
      <c r="C83" s="219" t="s">
        <v>824</v>
      </c>
      <c r="D83" s="112">
        <v>0</v>
      </c>
      <c r="E83" s="222">
        <v>2.4900000000000002</v>
      </c>
      <c r="F83" s="222">
        <v>1.1200000000000001</v>
      </c>
      <c r="G83" s="222">
        <v>1.1200000000000001</v>
      </c>
    </row>
    <row r="84" spans="1:7" ht="14" x14ac:dyDescent="0.15">
      <c r="A84" s="108">
        <v>862</v>
      </c>
      <c r="B84" s="216">
        <v>2000055138985</v>
      </c>
      <c r="C84" s="219" t="s">
        <v>825</v>
      </c>
      <c r="D84" s="112">
        <v>0</v>
      </c>
      <c r="E84" s="222">
        <v>1</v>
      </c>
      <c r="F84" s="222">
        <v>1.46</v>
      </c>
      <c r="G84" s="222">
        <v>1.46</v>
      </c>
    </row>
    <row r="85" spans="1:7" ht="14" x14ac:dyDescent="0.15">
      <c r="A85" s="108">
        <v>864</v>
      </c>
      <c r="B85" s="216">
        <v>2000055125815</v>
      </c>
      <c r="C85" s="219" t="s">
        <v>826</v>
      </c>
      <c r="D85" s="112">
        <v>0.40200000000000002</v>
      </c>
      <c r="E85" s="222">
        <v>5.52</v>
      </c>
      <c r="F85" s="222">
        <v>1.22</v>
      </c>
      <c r="G85" s="222">
        <v>1.22</v>
      </c>
    </row>
    <row r="86" spans="1:7" ht="14" x14ac:dyDescent="0.15">
      <c r="A86" s="108">
        <v>865</v>
      </c>
      <c r="B86" s="216">
        <v>2000055125842</v>
      </c>
      <c r="C86" s="219" t="s">
        <v>827</v>
      </c>
      <c r="D86" s="112">
        <v>0.40600000000000003</v>
      </c>
      <c r="E86" s="222">
        <v>2.41</v>
      </c>
      <c r="F86" s="222">
        <v>3.27</v>
      </c>
      <c r="G86" s="222">
        <v>3.27</v>
      </c>
    </row>
    <row r="87" spans="1:7" ht="14" x14ac:dyDescent="0.15">
      <c r="A87" s="108">
        <v>866</v>
      </c>
      <c r="B87" s="216">
        <v>2000055213940</v>
      </c>
      <c r="C87" s="219" t="s">
        <v>828</v>
      </c>
      <c r="D87" s="112">
        <v>0.40600000000000003</v>
      </c>
      <c r="E87" s="222">
        <v>1.1499999999999999</v>
      </c>
      <c r="F87" s="222">
        <v>3.55</v>
      </c>
      <c r="G87" s="222">
        <v>3.55</v>
      </c>
    </row>
    <row r="88" spans="1:7" ht="14" x14ac:dyDescent="0.15">
      <c r="A88" s="108">
        <v>861</v>
      </c>
      <c r="B88" s="216">
        <v>2000055029502</v>
      </c>
      <c r="C88" s="219" t="s">
        <v>829</v>
      </c>
      <c r="D88" s="112">
        <v>0</v>
      </c>
      <c r="E88" s="222">
        <v>81.819999999999993</v>
      </c>
      <c r="F88" s="222">
        <v>1.37</v>
      </c>
      <c r="G88" s="222">
        <v>1.37</v>
      </c>
    </row>
    <row r="89" spans="1:7" ht="14" x14ac:dyDescent="0.15">
      <c r="A89" s="108">
        <v>861</v>
      </c>
      <c r="B89" s="216">
        <v>2000055029511</v>
      </c>
      <c r="C89" s="219" t="s">
        <v>830</v>
      </c>
      <c r="D89" s="112">
        <v>0</v>
      </c>
      <c r="E89" s="222">
        <v>81.819999999999993</v>
      </c>
      <c r="F89" s="222">
        <v>1.36</v>
      </c>
      <c r="G89" s="222">
        <v>1.36</v>
      </c>
    </row>
    <row r="90" spans="1:7" ht="14" x14ac:dyDescent="0.15">
      <c r="A90" s="108">
        <v>861</v>
      </c>
      <c r="B90" s="216">
        <v>2000055029520</v>
      </c>
      <c r="C90" s="219" t="s">
        <v>831</v>
      </c>
      <c r="D90" s="112">
        <v>0</v>
      </c>
      <c r="E90" s="222">
        <v>81.819999999999993</v>
      </c>
      <c r="F90" s="222">
        <v>0.88</v>
      </c>
      <c r="G90" s="222">
        <v>0.88</v>
      </c>
    </row>
    <row r="91" spans="1:7" ht="14" x14ac:dyDescent="0.15">
      <c r="A91" s="108">
        <v>861</v>
      </c>
      <c r="B91" s="216">
        <v>2000055029530</v>
      </c>
      <c r="C91" s="219" t="s">
        <v>832</v>
      </c>
      <c r="D91" s="112">
        <v>0</v>
      </c>
      <c r="E91" s="222">
        <v>81.819999999999993</v>
      </c>
      <c r="F91" s="222">
        <v>0.88</v>
      </c>
      <c r="G91" s="222">
        <v>0.88</v>
      </c>
    </row>
    <row r="92" spans="1:7" ht="14" x14ac:dyDescent="0.15">
      <c r="A92" s="108">
        <v>861</v>
      </c>
      <c r="B92" s="216">
        <v>2000055029549</v>
      </c>
      <c r="C92" s="219" t="s">
        <v>833</v>
      </c>
      <c r="D92" s="112">
        <v>0</v>
      </c>
      <c r="E92" s="222">
        <v>81.819999999999993</v>
      </c>
      <c r="F92" s="222">
        <v>0.88</v>
      </c>
      <c r="G92" s="222">
        <v>0.88</v>
      </c>
    </row>
    <row r="93" spans="1:7" ht="14" x14ac:dyDescent="0.15">
      <c r="A93" s="108">
        <v>861</v>
      </c>
      <c r="B93" s="216">
        <v>2000055029558</v>
      </c>
      <c r="C93" s="219" t="s">
        <v>834</v>
      </c>
      <c r="D93" s="112">
        <v>0</v>
      </c>
      <c r="E93" s="222">
        <v>81.819999999999993</v>
      </c>
      <c r="F93" s="222">
        <v>0.88</v>
      </c>
      <c r="G93" s="222">
        <v>0.88</v>
      </c>
    </row>
    <row r="94" spans="1:7" ht="14" x14ac:dyDescent="0.15">
      <c r="A94" s="108">
        <v>7096</v>
      </c>
      <c r="B94" s="216">
        <v>7096</v>
      </c>
      <c r="C94" s="219" t="s">
        <v>835</v>
      </c>
      <c r="D94" s="112">
        <v>0</v>
      </c>
      <c r="E94" s="222">
        <v>2433.39</v>
      </c>
      <c r="F94" s="222">
        <v>1.5</v>
      </c>
      <c r="G94" s="222">
        <v>1.5</v>
      </c>
    </row>
    <row r="95" spans="1:7" ht="14" x14ac:dyDescent="0.15">
      <c r="A95" s="108">
        <v>7098</v>
      </c>
      <c r="B95" s="216">
        <v>7098</v>
      </c>
      <c r="C95" s="219" t="s">
        <v>837</v>
      </c>
      <c r="D95" s="112">
        <v>0</v>
      </c>
      <c r="E95" s="222">
        <v>7.3</v>
      </c>
      <c r="F95" s="222">
        <v>1.36</v>
      </c>
      <c r="G95" s="222">
        <v>1.36</v>
      </c>
    </row>
    <row r="96" spans="1:7" ht="14" x14ac:dyDescent="0.15">
      <c r="A96" s="108">
        <v>7097</v>
      </c>
      <c r="B96" s="216">
        <v>7097</v>
      </c>
      <c r="C96" s="219" t="s">
        <v>838</v>
      </c>
      <c r="D96" s="112">
        <v>0</v>
      </c>
      <c r="E96" s="222">
        <v>16614.75</v>
      </c>
      <c r="F96" s="222">
        <v>1.35</v>
      </c>
      <c r="G96" s="222">
        <v>1.35</v>
      </c>
    </row>
    <row r="97" spans="1:7" ht="14" x14ac:dyDescent="0.15">
      <c r="A97" s="108">
        <v>833</v>
      </c>
      <c r="B97" s="216">
        <v>2000051300396</v>
      </c>
      <c r="C97" s="219" t="s">
        <v>839</v>
      </c>
      <c r="D97" s="112">
        <v>0</v>
      </c>
      <c r="E97" s="222">
        <v>6587.69</v>
      </c>
      <c r="F97" s="222">
        <v>1.71</v>
      </c>
      <c r="G97" s="222">
        <v>1.71</v>
      </c>
    </row>
    <row r="98" spans="1:7" ht="14" x14ac:dyDescent="0.15">
      <c r="A98" s="108">
        <v>867</v>
      </c>
      <c r="B98" s="216">
        <v>2000055426205</v>
      </c>
      <c r="C98" s="219" t="s">
        <v>840</v>
      </c>
      <c r="D98" s="112">
        <v>0</v>
      </c>
      <c r="E98" s="222">
        <v>3.65</v>
      </c>
      <c r="F98" s="222">
        <v>1.1200000000000001</v>
      </c>
      <c r="G98" s="222">
        <v>1.1200000000000001</v>
      </c>
    </row>
    <row r="99" spans="1:7" ht="14" x14ac:dyDescent="0.15">
      <c r="A99" s="108">
        <v>868</v>
      </c>
      <c r="B99" s="216">
        <v>2000055426232</v>
      </c>
      <c r="C99" s="219" t="s">
        <v>841</v>
      </c>
      <c r="D99" s="112">
        <v>0</v>
      </c>
      <c r="E99" s="222">
        <v>8.01</v>
      </c>
      <c r="F99" s="222">
        <v>1.65</v>
      </c>
      <c r="G99" s="222">
        <v>1.65</v>
      </c>
    </row>
    <row r="100" spans="1:7" ht="14" x14ac:dyDescent="0.15">
      <c r="A100" s="108">
        <v>869</v>
      </c>
      <c r="B100" s="216">
        <v>2000055481447</v>
      </c>
      <c r="C100" s="219" t="s">
        <v>842</v>
      </c>
      <c r="D100" s="112">
        <v>2.21</v>
      </c>
      <c r="E100" s="222">
        <v>2.38</v>
      </c>
      <c r="F100" s="222">
        <v>1.18</v>
      </c>
      <c r="G100" s="222">
        <v>1.18</v>
      </c>
    </row>
    <row r="101" spans="1:7" ht="14" x14ac:dyDescent="0.15">
      <c r="A101" s="108">
        <v>870</v>
      </c>
      <c r="B101" s="216">
        <v>2000055580574</v>
      </c>
      <c r="C101" s="219" t="s">
        <v>843</v>
      </c>
      <c r="D101" s="112">
        <v>0</v>
      </c>
      <c r="E101" s="222">
        <v>4.12</v>
      </c>
      <c r="F101" s="222">
        <v>1.0900000000000001</v>
      </c>
      <c r="G101" s="222">
        <v>1.0900000000000001</v>
      </c>
    </row>
    <row r="102" spans="1:7" ht="14" x14ac:dyDescent="0.15">
      <c r="A102" s="108">
        <v>872</v>
      </c>
      <c r="B102" s="216">
        <v>2000055580592</v>
      </c>
      <c r="C102" s="219" t="s">
        <v>844</v>
      </c>
      <c r="D102" s="112">
        <v>6.3739999999999997</v>
      </c>
      <c r="E102" s="222">
        <v>6.04</v>
      </c>
      <c r="F102" s="222">
        <v>0.88</v>
      </c>
      <c r="G102" s="222">
        <v>0.88</v>
      </c>
    </row>
    <row r="103" spans="1:7" ht="14" x14ac:dyDescent="0.15">
      <c r="A103" s="108">
        <v>873</v>
      </c>
      <c r="B103" s="216">
        <v>2000055582785</v>
      </c>
      <c r="C103" s="219" t="s">
        <v>845</v>
      </c>
      <c r="D103" s="112">
        <v>0.40200000000000002</v>
      </c>
      <c r="E103" s="222">
        <v>5.66</v>
      </c>
      <c r="F103" s="222">
        <v>1.53</v>
      </c>
      <c r="G103" s="222">
        <v>1.53</v>
      </c>
    </row>
    <row r="104" spans="1:7" ht="14" x14ac:dyDescent="0.15">
      <c r="A104" s="108">
        <v>874</v>
      </c>
      <c r="B104" s="216">
        <v>2000055634982</v>
      </c>
      <c r="C104" s="219" t="s">
        <v>846</v>
      </c>
      <c r="D104" s="112">
        <v>0</v>
      </c>
      <c r="E104" s="222">
        <v>3.79</v>
      </c>
      <c r="F104" s="222">
        <v>1.72</v>
      </c>
      <c r="G104" s="222">
        <v>1.72</v>
      </c>
    </row>
    <row r="105" spans="1:7" ht="14" x14ac:dyDescent="0.15">
      <c r="A105" s="108">
        <v>875</v>
      </c>
      <c r="B105" s="216">
        <v>2000055643198</v>
      </c>
      <c r="C105" s="219" t="s">
        <v>847</v>
      </c>
      <c r="D105" s="112">
        <v>0.40400000000000003</v>
      </c>
      <c r="E105" s="222">
        <v>2.81</v>
      </c>
      <c r="F105" s="222">
        <v>1.81</v>
      </c>
      <c r="G105" s="222">
        <v>1.81</v>
      </c>
    </row>
    <row r="106" spans="1:7" ht="14" x14ac:dyDescent="0.15">
      <c r="A106" s="108">
        <v>705</v>
      </c>
      <c r="B106" s="216">
        <v>2000051981890</v>
      </c>
      <c r="C106" s="219" t="s">
        <v>848</v>
      </c>
      <c r="D106" s="112">
        <v>0</v>
      </c>
      <c r="E106" s="222">
        <v>163.63999999999999</v>
      </c>
      <c r="F106" s="222">
        <v>3.35</v>
      </c>
      <c r="G106" s="222">
        <v>3.35</v>
      </c>
    </row>
    <row r="107" spans="1:7" ht="14" x14ac:dyDescent="0.15">
      <c r="A107" s="108">
        <v>876</v>
      </c>
      <c r="B107" s="216">
        <v>2000055872892</v>
      </c>
      <c r="C107" s="219" t="s">
        <v>849</v>
      </c>
      <c r="D107" s="112">
        <v>0.40300000000000002</v>
      </c>
      <c r="E107" s="222">
        <v>3.53</v>
      </c>
      <c r="F107" s="222">
        <v>1.37</v>
      </c>
      <c r="G107" s="222">
        <v>1.37</v>
      </c>
    </row>
    <row r="108" spans="1:7" ht="14" x14ac:dyDescent="0.15">
      <c r="A108" s="108">
        <v>877</v>
      </c>
      <c r="B108" s="216">
        <v>2000055600255</v>
      </c>
      <c r="C108" s="219" t="s">
        <v>850</v>
      </c>
      <c r="D108" s="112">
        <v>0</v>
      </c>
      <c r="E108" s="222">
        <v>13.92</v>
      </c>
      <c r="F108" s="222">
        <v>0.92</v>
      </c>
      <c r="G108" s="222">
        <v>0.92</v>
      </c>
    </row>
    <row r="109" spans="1:7" ht="14" x14ac:dyDescent="0.15">
      <c r="A109" s="108">
        <v>878</v>
      </c>
      <c r="B109" s="216">
        <v>2000055600194</v>
      </c>
      <c r="C109" s="219" t="s">
        <v>851</v>
      </c>
      <c r="D109" s="112">
        <v>0.39500000000000002</v>
      </c>
      <c r="E109" s="222">
        <v>11.25</v>
      </c>
      <c r="F109" s="222">
        <v>1.01</v>
      </c>
      <c r="G109" s="222">
        <v>1.01</v>
      </c>
    </row>
    <row r="110" spans="1:7" ht="14" x14ac:dyDescent="0.15">
      <c r="A110" s="108">
        <v>880</v>
      </c>
      <c r="B110" s="216">
        <v>2000055918093</v>
      </c>
      <c r="C110" s="219" t="s">
        <v>852</v>
      </c>
      <c r="D110" s="112">
        <v>0</v>
      </c>
      <c r="E110" s="222">
        <v>3.04</v>
      </c>
      <c r="F110" s="222">
        <v>1.81</v>
      </c>
      <c r="G110" s="222">
        <v>1.81</v>
      </c>
    </row>
    <row r="111" spans="1:7" ht="14" x14ac:dyDescent="0.15">
      <c r="A111" s="108">
        <v>881</v>
      </c>
      <c r="B111" s="216">
        <v>2000055969256</v>
      </c>
      <c r="C111" s="219" t="s">
        <v>853</v>
      </c>
      <c r="D111" s="112">
        <v>1.1879999999999999</v>
      </c>
      <c r="E111" s="222">
        <v>3.58</v>
      </c>
      <c r="F111" s="222">
        <v>1.4</v>
      </c>
      <c r="G111" s="222">
        <v>1.4</v>
      </c>
    </row>
    <row r="112" spans="1:7" ht="14" x14ac:dyDescent="0.15">
      <c r="A112" s="108">
        <v>882</v>
      </c>
      <c r="B112" s="216">
        <v>2000055600352</v>
      </c>
      <c r="C112" s="219" t="s">
        <v>854</v>
      </c>
      <c r="D112" s="112">
        <v>0</v>
      </c>
      <c r="E112" s="222">
        <v>3.65</v>
      </c>
      <c r="F112" s="222">
        <v>1.1299999999999999</v>
      </c>
      <c r="G112" s="222">
        <v>1.1299999999999999</v>
      </c>
    </row>
    <row r="113" spans="1:7" ht="14" x14ac:dyDescent="0.15">
      <c r="A113" s="108">
        <v>883</v>
      </c>
      <c r="B113" s="216">
        <v>2000055582767</v>
      </c>
      <c r="C113" s="219" t="s">
        <v>855</v>
      </c>
      <c r="D113" s="112">
        <v>0</v>
      </c>
      <c r="E113" s="222">
        <v>15.43</v>
      </c>
      <c r="F113" s="222">
        <v>1.1200000000000001</v>
      </c>
      <c r="G113" s="222">
        <v>1.1200000000000001</v>
      </c>
    </row>
    <row r="114" spans="1:7" ht="14" x14ac:dyDescent="0.15">
      <c r="A114" s="108">
        <v>884</v>
      </c>
      <c r="B114" s="216">
        <v>2000056041495</v>
      </c>
      <c r="C114" s="219" t="s">
        <v>856</v>
      </c>
      <c r="D114" s="112">
        <v>2.355</v>
      </c>
      <c r="E114" s="222">
        <v>16.850000000000001</v>
      </c>
      <c r="F114" s="222">
        <v>1</v>
      </c>
      <c r="G114" s="222">
        <v>1</v>
      </c>
    </row>
    <row r="115" spans="1:7" ht="14" x14ac:dyDescent="0.15">
      <c r="A115" s="108">
        <v>349</v>
      </c>
      <c r="B115" s="216">
        <v>2000056041500</v>
      </c>
      <c r="C115" s="219" t="s">
        <v>857</v>
      </c>
      <c r="D115" s="112">
        <v>2.3490000000000002</v>
      </c>
      <c r="E115" s="222">
        <v>16.850000000000001</v>
      </c>
      <c r="F115" s="222">
        <v>1.2</v>
      </c>
      <c r="G115" s="222">
        <v>1.2</v>
      </c>
    </row>
    <row r="116" spans="1:7" ht="14" x14ac:dyDescent="0.15">
      <c r="A116" s="108">
        <v>885</v>
      </c>
      <c r="B116" s="216">
        <v>2000055916254</v>
      </c>
      <c r="C116" s="219" t="s">
        <v>858</v>
      </c>
      <c r="D116" s="112">
        <v>0</v>
      </c>
      <c r="E116" s="222">
        <v>3.31</v>
      </c>
      <c r="F116" s="222">
        <v>2.88</v>
      </c>
      <c r="G116" s="222">
        <v>2.88</v>
      </c>
    </row>
    <row r="117" spans="1:7" ht="14" x14ac:dyDescent="0.15">
      <c r="A117" s="108">
        <v>886</v>
      </c>
      <c r="B117" s="216">
        <v>2000055860113</v>
      </c>
      <c r="C117" s="219" t="s">
        <v>859</v>
      </c>
      <c r="D117" s="112">
        <v>0.40100000000000002</v>
      </c>
      <c r="E117" s="222">
        <v>2.0299999999999998</v>
      </c>
      <c r="F117" s="222">
        <v>1.68</v>
      </c>
      <c r="G117" s="222">
        <v>1.68</v>
      </c>
    </row>
    <row r="118" spans="1:7" ht="14" x14ac:dyDescent="0.15">
      <c r="A118" s="108">
        <v>888</v>
      </c>
      <c r="B118" s="216">
        <v>2000055899574</v>
      </c>
      <c r="C118" s="219" t="s">
        <v>860</v>
      </c>
      <c r="D118" s="112">
        <v>0.40300000000000002</v>
      </c>
      <c r="E118" s="222">
        <v>1.93</v>
      </c>
      <c r="F118" s="222">
        <v>1.1200000000000001</v>
      </c>
      <c r="G118" s="222">
        <v>1.1200000000000001</v>
      </c>
    </row>
    <row r="119" spans="1:7" ht="14" x14ac:dyDescent="0.15">
      <c r="A119" s="108">
        <v>889</v>
      </c>
      <c r="B119" s="216">
        <v>2000055899529</v>
      </c>
      <c r="C119" s="219" t="s">
        <v>861</v>
      </c>
      <c r="D119" s="112">
        <v>6.1980000000000004</v>
      </c>
      <c r="E119" s="222">
        <v>21.1</v>
      </c>
      <c r="F119" s="222">
        <v>1.1200000000000001</v>
      </c>
      <c r="G119" s="222">
        <v>1.1200000000000001</v>
      </c>
    </row>
    <row r="120" spans="1:7" ht="14" x14ac:dyDescent="0.15">
      <c r="A120" s="108">
        <v>890</v>
      </c>
      <c r="B120" s="216">
        <v>2000056041556</v>
      </c>
      <c r="C120" s="219" t="s">
        <v>862</v>
      </c>
      <c r="D120" s="112">
        <v>6.274</v>
      </c>
      <c r="E120" s="222">
        <v>42.44</v>
      </c>
      <c r="F120" s="222">
        <v>0.95</v>
      </c>
      <c r="G120" s="222">
        <v>0.95</v>
      </c>
    </row>
    <row r="121" spans="1:7" ht="14" x14ac:dyDescent="0.15">
      <c r="A121" s="108">
        <v>834</v>
      </c>
      <c r="B121" s="216" t="s">
        <v>1148</v>
      </c>
      <c r="C121" s="219" t="s">
        <v>863</v>
      </c>
      <c r="D121" s="112">
        <v>0</v>
      </c>
      <c r="E121" s="222">
        <v>3669.42</v>
      </c>
      <c r="F121" s="222">
        <v>2.25</v>
      </c>
      <c r="G121" s="222">
        <v>2.25</v>
      </c>
    </row>
    <row r="122" spans="1:7" ht="28" x14ac:dyDescent="0.15">
      <c r="A122" s="108">
        <v>891</v>
      </c>
      <c r="B122" s="216" t="s">
        <v>1149</v>
      </c>
      <c r="C122" s="219" t="s">
        <v>864</v>
      </c>
      <c r="D122" s="112">
        <v>0</v>
      </c>
      <c r="E122" s="222">
        <v>2112.42</v>
      </c>
      <c r="F122" s="222">
        <v>2.2200000000000002</v>
      </c>
      <c r="G122" s="222">
        <v>2.2200000000000002</v>
      </c>
    </row>
    <row r="123" spans="1:7" ht="14" x14ac:dyDescent="0.15">
      <c r="A123" s="108">
        <v>892</v>
      </c>
      <c r="B123" s="216">
        <v>2000055582800</v>
      </c>
      <c r="C123" s="219" t="s">
        <v>865</v>
      </c>
      <c r="D123" s="112">
        <v>6.2530000000000001</v>
      </c>
      <c r="E123" s="222">
        <v>1.47</v>
      </c>
      <c r="F123" s="222">
        <v>2.0099999999999998</v>
      </c>
      <c r="G123" s="222">
        <v>2.0099999999999998</v>
      </c>
    </row>
    <row r="124" spans="1:7" ht="14" x14ac:dyDescent="0.15">
      <c r="A124" s="108">
        <v>893</v>
      </c>
      <c r="B124" s="216">
        <v>2000056442147</v>
      </c>
      <c r="C124" s="219" t="s">
        <v>866</v>
      </c>
      <c r="D124" s="112">
        <v>6.1890000000000001</v>
      </c>
      <c r="E124" s="222">
        <v>2.73</v>
      </c>
      <c r="F124" s="222">
        <v>0.92</v>
      </c>
      <c r="G124" s="222">
        <v>0.92</v>
      </c>
    </row>
    <row r="125" spans="1:7" ht="14" x14ac:dyDescent="0.15">
      <c r="A125" s="108">
        <v>894</v>
      </c>
      <c r="B125" s="216">
        <v>2000055894939</v>
      </c>
      <c r="C125" s="219" t="s">
        <v>867</v>
      </c>
      <c r="D125" s="112">
        <v>1.8720000000000001</v>
      </c>
      <c r="E125" s="222">
        <v>1.36</v>
      </c>
      <c r="F125" s="222">
        <v>1.65</v>
      </c>
      <c r="G125" s="222">
        <v>1.65</v>
      </c>
    </row>
    <row r="126" spans="1:7" ht="14" x14ac:dyDescent="0.15">
      <c r="A126" s="108">
        <v>895</v>
      </c>
      <c r="B126" s="216">
        <v>2000055630116</v>
      </c>
      <c r="C126" s="219" t="s">
        <v>868</v>
      </c>
      <c r="D126" s="112">
        <v>0</v>
      </c>
      <c r="E126" s="222">
        <v>3.92</v>
      </c>
      <c r="F126" s="222">
        <v>0.92</v>
      </c>
      <c r="G126" s="222">
        <v>0.92</v>
      </c>
    </row>
    <row r="127" spans="1:7" ht="14" x14ac:dyDescent="0.15">
      <c r="A127" s="108">
        <v>896</v>
      </c>
      <c r="B127" s="216">
        <v>2000055845773</v>
      </c>
      <c r="C127" s="219" t="s">
        <v>869</v>
      </c>
      <c r="D127" s="112">
        <v>1.173</v>
      </c>
      <c r="E127" s="222">
        <v>2.12</v>
      </c>
      <c r="F127" s="222">
        <v>1.06</v>
      </c>
      <c r="G127" s="222">
        <v>1.06</v>
      </c>
    </row>
    <row r="128" spans="1:7" ht="14" x14ac:dyDescent="0.15">
      <c r="A128" s="108">
        <v>720</v>
      </c>
      <c r="B128" s="216">
        <v>2000055856970</v>
      </c>
      <c r="C128" s="219" t="s">
        <v>870</v>
      </c>
      <c r="D128" s="112">
        <v>0</v>
      </c>
      <c r="E128" s="222">
        <v>5.64</v>
      </c>
      <c r="F128" s="222">
        <v>2.73</v>
      </c>
      <c r="G128" s="222">
        <v>2.73</v>
      </c>
    </row>
    <row r="129" spans="1:7" ht="14" x14ac:dyDescent="0.15">
      <c r="A129" s="108">
        <v>848</v>
      </c>
      <c r="B129" s="216">
        <v>2000056875315</v>
      </c>
      <c r="C129" s="219" t="s">
        <v>871</v>
      </c>
      <c r="D129" s="112">
        <v>0.56899999999999995</v>
      </c>
      <c r="E129" s="222">
        <v>94.47</v>
      </c>
      <c r="F129" s="222">
        <v>0.94</v>
      </c>
      <c r="G129" s="222">
        <v>0.94</v>
      </c>
    </row>
    <row r="130" spans="1:7" ht="14" x14ac:dyDescent="0.15">
      <c r="A130" s="108">
        <v>722</v>
      </c>
      <c r="B130" s="216">
        <v>2000027480851</v>
      </c>
      <c r="C130" s="219" t="s">
        <v>872</v>
      </c>
      <c r="D130" s="112">
        <v>0</v>
      </c>
      <c r="E130" s="222">
        <v>95.19</v>
      </c>
      <c r="F130" s="222">
        <v>1.42</v>
      </c>
      <c r="G130" s="222">
        <v>1.42</v>
      </c>
    </row>
    <row r="131" spans="1:7" ht="14" x14ac:dyDescent="0.15">
      <c r="A131" s="108">
        <v>724</v>
      </c>
      <c r="B131" s="216">
        <v>2000055874997</v>
      </c>
      <c r="C131" s="219" t="s">
        <v>873</v>
      </c>
      <c r="D131" s="112">
        <v>6.2779999999999996</v>
      </c>
      <c r="E131" s="222">
        <v>22.56</v>
      </c>
      <c r="F131" s="222">
        <v>0.68</v>
      </c>
      <c r="G131" s="222">
        <v>0.68</v>
      </c>
    </row>
    <row r="132" spans="1:7" ht="14" x14ac:dyDescent="0.15">
      <c r="A132" s="108">
        <v>725</v>
      </c>
      <c r="B132" s="216">
        <v>2000055996659</v>
      </c>
      <c r="C132" s="219" t="s">
        <v>874</v>
      </c>
      <c r="D132" s="112">
        <v>0</v>
      </c>
      <c r="E132" s="222">
        <v>5.38</v>
      </c>
      <c r="F132" s="222">
        <v>1.39</v>
      </c>
      <c r="G132" s="222">
        <v>1.39</v>
      </c>
    </row>
    <row r="133" spans="1:7" ht="14" x14ac:dyDescent="0.15">
      <c r="A133" s="108">
        <v>726</v>
      </c>
      <c r="B133" s="216">
        <v>2000055627860</v>
      </c>
      <c r="C133" s="219" t="s">
        <v>875</v>
      </c>
      <c r="D133" s="112">
        <v>2.3340000000000001</v>
      </c>
      <c r="E133" s="222">
        <v>4.3</v>
      </c>
      <c r="F133" s="222">
        <v>0.94</v>
      </c>
      <c r="G133" s="222">
        <v>0.94</v>
      </c>
    </row>
    <row r="134" spans="1:7" ht="14" x14ac:dyDescent="0.15">
      <c r="A134" s="108">
        <v>727</v>
      </c>
      <c r="B134" s="216">
        <v>2000055899788</v>
      </c>
      <c r="C134" s="219" t="s">
        <v>876</v>
      </c>
      <c r="D134" s="112">
        <v>0.39300000000000002</v>
      </c>
      <c r="E134" s="222">
        <v>12.71</v>
      </c>
      <c r="F134" s="222">
        <v>0.93</v>
      </c>
      <c r="G134" s="222">
        <v>0.93</v>
      </c>
    </row>
    <row r="135" spans="1:7" ht="14" x14ac:dyDescent="0.15">
      <c r="A135" s="108">
        <v>831</v>
      </c>
      <c r="B135" s="216">
        <v>2000055924005</v>
      </c>
      <c r="C135" s="219" t="s">
        <v>877</v>
      </c>
      <c r="D135" s="112">
        <v>0</v>
      </c>
      <c r="E135" s="222">
        <v>18.239999999999998</v>
      </c>
      <c r="F135" s="222">
        <v>1.17</v>
      </c>
      <c r="G135" s="222">
        <v>1.17</v>
      </c>
    </row>
    <row r="136" spans="1:7" ht="14" x14ac:dyDescent="0.15">
      <c r="A136" s="108">
        <v>832</v>
      </c>
      <c r="B136" s="216">
        <v>2000055878690</v>
      </c>
      <c r="C136" s="219" t="s">
        <v>878</v>
      </c>
      <c r="D136" s="112">
        <v>0.40500000000000003</v>
      </c>
      <c r="E136" s="222">
        <v>3.19</v>
      </c>
      <c r="F136" s="222">
        <v>2.5499999999999998</v>
      </c>
      <c r="G136" s="222">
        <v>2.5499999999999998</v>
      </c>
    </row>
    <row r="137" spans="1:7" ht="14" x14ac:dyDescent="0.15">
      <c r="A137" s="108" t="s">
        <v>1096</v>
      </c>
      <c r="B137" s="216">
        <v>2000056762133</v>
      </c>
      <c r="C137" s="219" t="s">
        <v>879</v>
      </c>
      <c r="D137" s="112">
        <v>0.58799999999999997</v>
      </c>
      <c r="E137" s="222">
        <v>9.86</v>
      </c>
      <c r="F137" s="222">
        <v>1.03</v>
      </c>
      <c r="G137" s="222">
        <v>1.03</v>
      </c>
    </row>
    <row r="138" spans="1:7" ht="14" x14ac:dyDescent="0.15">
      <c r="A138" s="108">
        <v>850</v>
      </c>
      <c r="B138" s="216">
        <v>2000055901285</v>
      </c>
      <c r="C138" s="219" t="s">
        <v>880</v>
      </c>
      <c r="D138" s="112">
        <v>6.0460000000000003</v>
      </c>
      <c r="E138" s="222">
        <v>9.01</v>
      </c>
      <c r="F138" s="222">
        <v>0.8</v>
      </c>
      <c r="G138" s="222">
        <v>0.8</v>
      </c>
    </row>
    <row r="139" spans="1:7" ht="14" x14ac:dyDescent="0.15">
      <c r="A139" s="108">
        <v>661</v>
      </c>
      <c r="B139" s="216">
        <v>2000055901346</v>
      </c>
      <c r="C139" s="219" t="s">
        <v>881</v>
      </c>
      <c r="D139" s="112">
        <v>6.0129999999999999</v>
      </c>
      <c r="E139" s="222">
        <v>5.66</v>
      </c>
      <c r="F139" s="222">
        <v>0.89</v>
      </c>
      <c r="G139" s="222">
        <v>0.89</v>
      </c>
    </row>
    <row r="140" spans="1:7" ht="14" x14ac:dyDescent="0.15">
      <c r="A140" s="108">
        <v>662</v>
      </c>
      <c r="B140" s="216">
        <v>2000055899389</v>
      </c>
      <c r="C140" s="219" t="s">
        <v>882</v>
      </c>
      <c r="D140" s="112">
        <v>0.40500000000000003</v>
      </c>
      <c r="E140" s="222">
        <v>6.79</v>
      </c>
      <c r="F140" s="222">
        <v>1.45</v>
      </c>
      <c r="G140" s="222">
        <v>1.45</v>
      </c>
    </row>
    <row r="141" spans="1:7" ht="14" x14ac:dyDescent="0.15">
      <c r="A141" s="108">
        <v>452</v>
      </c>
      <c r="B141" s="216">
        <v>2000056479100</v>
      </c>
      <c r="C141" s="219" t="s">
        <v>883</v>
      </c>
      <c r="D141" s="112">
        <v>0.59099999999999997</v>
      </c>
      <c r="E141" s="222">
        <v>20.73</v>
      </c>
      <c r="F141" s="222">
        <v>1.17</v>
      </c>
      <c r="G141" s="222">
        <v>1.17</v>
      </c>
    </row>
    <row r="142" spans="1:7" ht="14" x14ac:dyDescent="0.15">
      <c r="A142" s="108">
        <v>663</v>
      </c>
      <c r="B142" s="216">
        <v>2000055858718</v>
      </c>
      <c r="C142" s="219" t="s">
        <v>884</v>
      </c>
      <c r="D142" s="112">
        <v>0.40300000000000002</v>
      </c>
      <c r="E142" s="222">
        <v>3.36</v>
      </c>
      <c r="F142" s="222">
        <v>0.85</v>
      </c>
      <c r="G142" s="222">
        <v>0.85</v>
      </c>
    </row>
    <row r="143" spans="1:7" ht="14" x14ac:dyDescent="0.15">
      <c r="A143" s="108">
        <v>897</v>
      </c>
      <c r="B143" s="216">
        <v>2000056951250</v>
      </c>
      <c r="C143" s="219" t="s">
        <v>885</v>
      </c>
      <c r="D143" s="112">
        <v>0</v>
      </c>
      <c r="E143" s="222">
        <v>714.33</v>
      </c>
      <c r="F143" s="222">
        <v>0.9</v>
      </c>
      <c r="G143" s="222">
        <v>0.9</v>
      </c>
    </row>
    <row r="144" spans="1:7" ht="14" x14ac:dyDescent="0.15">
      <c r="A144" s="108">
        <v>458</v>
      </c>
      <c r="B144" s="216">
        <v>2000056277271</v>
      </c>
      <c r="C144" s="219" t="s">
        <v>886</v>
      </c>
      <c r="D144" s="112">
        <v>5.8860000000000001</v>
      </c>
      <c r="E144" s="222">
        <v>10.66</v>
      </c>
      <c r="F144" s="222">
        <v>1.22</v>
      </c>
      <c r="G144" s="222">
        <v>1.22</v>
      </c>
    </row>
    <row r="145" spans="1:7" ht="14" x14ac:dyDescent="0.15">
      <c r="A145" s="108">
        <v>596</v>
      </c>
      <c r="B145" s="216">
        <v>2000056113290</v>
      </c>
      <c r="C145" s="219" t="s">
        <v>887</v>
      </c>
      <c r="D145" s="112">
        <v>1.0029999999999999</v>
      </c>
      <c r="E145" s="222">
        <v>3.65</v>
      </c>
      <c r="F145" s="222">
        <v>1.31</v>
      </c>
      <c r="G145" s="222">
        <v>1.31</v>
      </c>
    </row>
    <row r="146" spans="1:7" ht="14" x14ac:dyDescent="0.15">
      <c r="A146" s="108">
        <v>597</v>
      </c>
      <c r="B146" s="216">
        <v>2000056188505</v>
      </c>
      <c r="C146" s="219" t="s">
        <v>888</v>
      </c>
      <c r="D146" s="112">
        <v>0</v>
      </c>
      <c r="E146" s="222">
        <v>4.01</v>
      </c>
      <c r="F146" s="222">
        <v>1.84</v>
      </c>
      <c r="G146" s="222">
        <v>1.84</v>
      </c>
    </row>
    <row r="147" spans="1:7" ht="14" x14ac:dyDescent="0.15">
      <c r="A147" s="108">
        <v>665</v>
      </c>
      <c r="B147" s="216">
        <v>2000055924023</v>
      </c>
      <c r="C147" s="219" t="s">
        <v>889</v>
      </c>
      <c r="D147" s="112">
        <v>6.1390000000000002</v>
      </c>
      <c r="E147" s="222">
        <v>17.47</v>
      </c>
      <c r="F147" s="222">
        <v>1.26</v>
      </c>
      <c r="G147" s="222">
        <v>1.26</v>
      </c>
    </row>
    <row r="148" spans="1:7" ht="14" x14ac:dyDescent="0.15">
      <c r="A148" s="108">
        <v>598</v>
      </c>
      <c r="B148" s="216">
        <v>2000056127229</v>
      </c>
      <c r="C148" s="219" t="s">
        <v>890</v>
      </c>
      <c r="D148" s="112">
        <v>0.60299999999999998</v>
      </c>
      <c r="E148" s="222">
        <v>5.94</v>
      </c>
      <c r="F148" s="222">
        <v>2.2200000000000002</v>
      </c>
      <c r="G148" s="222">
        <v>2.2200000000000002</v>
      </c>
    </row>
    <row r="149" spans="1:7" ht="14" x14ac:dyDescent="0.15">
      <c r="A149" s="108">
        <v>459</v>
      </c>
      <c r="B149" s="216">
        <v>2000056455252</v>
      </c>
      <c r="C149" s="219" t="s">
        <v>891</v>
      </c>
      <c r="D149" s="112">
        <v>0.4</v>
      </c>
      <c r="E149" s="222">
        <v>5.34</v>
      </c>
      <c r="F149" s="222">
        <v>1</v>
      </c>
      <c r="G149" s="222">
        <v>1</v>
      </c>
    </row>
    <row r="150" spans="1:7" ht="14" x14ac:dyDescent="0.15">
      <c r="A150" s="108">
        <v>599</v>
      </c>
      <c r="B150" s="216">
        <v>2000056021300</v>
      </c>
      <c r="C150" s="219" t="s">
        <v>892</v>
      </c>
      <c r="D150" s="112">
        <v>0.40300000000000002</v>
      </c>
      <c r="E150" s="222">
        <v>42.78</v>
      </c>
      <c r="F150" s="222">
        <v>1.23</v>
      </c>
      <c r="G150" s="222">
        <v>1.23</v>
      </c>
    </row>
    <row r="151" spans="1:7" ht="14" x14ac:dyDescent="0.15">
      <c r="A151" s="108">
        <v>666</v>
      </c>
      <c r="B151" s="216">
        <v>2000055815004</v>
      </c>
      <c r="C151" s="219" t="s">
        <v>893</v>
      </c>
      <c r="D151" s="112">
        <v>0.4</v>
      </c>
      <c r="E151" s="222">
        <v>23.61</v>
      </c>
      <c r="F151" s="222">
        <v>1.07</v>
      </c>
      <c r="G151" s="222">
        <v>1.07</v>
      </c>
    </row>
    <row r="152" spans="1:7" ht="14" x14ac:dyDescent="0.15">
      <c r="A152" s="108">
        <v>460</v>
      </c>
      <c r="B152" s="216">
        <v>2000056244977</v>
      </c>
      <c r="C152" s="219" t="s">
        <v>894</v>
      </c>
      <c r="D152" s="112">
        <v>0.39100000000000001</v>
      </c>
      <c r="E152" s="222">
        <v>9.56</v>
      </c>
      <c r="F152" s="222">
        <v>0.78</v>
      </c>
      <c r="G152" s="222">
        <v>0.78</v>
      </c>
    </row>
    <row r="153" spans="1:7" ht="14" x14ac:dyDescent="0.15">
      <c r="A153" s="108">
        <v>650</v>
      </c>
      <c r="B153" s="216">
        <v>2000056148799</v>
      </c>
      <c r="C153" s="219" t="s">
        <v>895</v>
      </c>
      <c r="D153" s="112">
        <v>2.3690000000000002</v>
      </c>
      <c r="E153" s="222">
        <v>7.06</v>
      </c>
      <c r="F153" s="222">
        <v>2.1</v>
      </c>
      <c r="G153" s="222">
        <v>2.1</v>
      </c>
    </row>
    <row r="154" spans="1:7" ht="14" x14ac:dyDescent="0.15">
      <c r="A154" s="108">
        <v>651</v>
      </c>
      <c r="B154" s="216">
        <v>2000056082126</v>
      </c>
      <c r="C154" s="219" t="s">
        <v>896</v>
      </c>
      <c r="D154" s="112">
        <v>1.2</v>
      </c>
      <c r="E154" s="222">
        <v>1.36</v>
      </c>
      <c r="F154" s="222">
        <v>1.87</v>
      </c>
      <c r="G154" s="222">
        <v>1.87</v>
      </c>
    </row>
    <row r="155" spans="1:7" ht="14" x14ac:dyDescent="0.15">
      <c r="A155" s="108">
        <v>652</v>
      </c>
      <c r="B155" s="216">
        <v>2000056194252</v>
      </c>
      <c r="C155" s="219" t="s">
        <v>897</v>
      </c>
      <c r="D155" s="112">
        <v>6.0289999999999999</v>
      </c>
      <c r="E155" s="222">
        <v>12.87</v>
      </c>
      <c r="F155" s="222">
        <v>0.88</v>
      </c>
      <c r="G155" s="222">
        <v>0.88</v>
      </c>
    </row>
    <row r="156" spans="1:7" ht="14" x14ac:dyDescent="0.15">
      <c r="A156" s="108">
        <v>667</v>
      </c>
      <c r="B156" s="216">
        <v>2000055881610</v>
      </c>
      <c r="C156" s="219" t="s">
        <v>898</v>
      </c>
      <c r="D156" s="112">
        <v>1.204</v>
      </c>
      <c r="E156" s="222">
        <v>8.34</v>
      </c>
      <c r="F156" s="222">
        <v>1.36</v>
      </c>
      <c r="G156" s="222">
        <v>1.36</v>
      </c>
    </row>
    <row r="157" spans="1:7" ht="14" x14ac:dyDescent="0.15">
      <c r="A157" s="108">
        <v>465</v>
      </c>
      <c r="B157" s="216">
        <v>2000056474803</v>
      </c>
      <c r="C157" s="219" t="s">
        <v>899</v>
      </c>
      <c r="D157" s="112">
        <v>0</v>
      </c>
      <c r="E157" s="222">
        <v>10.58</v>
      </c>
      <c r="F157" s="222">
        <v>0.84</v>
      </c>
      <c r="G157" s="222">
        <v>0.84</v>
      </c>
    </row>
    <row r="158" spans="1:7" ht="14" x14ac:dyDescent="0.15">
      <c r="A158" s="108">
        <v>653</v>
      </c>
      <c r="B158" s="216">
        <v>2000056179477</v>
      </c>
      <c r="C158" s="219" t="s">
        <v>900</v>
      </c>
      <c r="D158" s="112">
        <v>0.99299999999999999</v>
      </c>
      <c r="E158" s="222">
        <v>7.25</v>
      </c>
      <c r="F158" s="222">
        <v>0.99</v>
      </c>
      <c r="G158" s="222">
        <v>0.99</v>
      </c>
    </row>
    <row r="159" spans="1:7" ht="14" x14ac:dyDescent="0.15">
      <c r="A159" s="108">
        <v>654</v>
      </c>
      <c r="B159" s="216">
        <v>2000056205295</v>
      </c>
      <c r="C159" s="219" t="s">
        <v>901</v>
      </c>
      <c r="D159" s="112">
        <v>0.39800000000000002</v>
      </c>
      <c r="E159" s="222">
        <v>6.63</v>
      </c>
      <c r="F159" s="222">
        <v>0.98</v>
      </c>
      <c r="G159" s="222">
        <v>0.98</v>
      </c>
    </row>
    <row r="160" spans="1:7" ht="14" x14ac:dyDescent="0.15">
      <c r="A160" s="108">
        <v>656</v>
      </c>
      <c r="B160" s="216">
        <v>2000056199942</v>
      </c>
      <c r="C160" s="219" t="s">
        <v>902</v>
      </c>
      <c r="D160" s="112">
        <v>0.40200000000000002</v>
      </c>
      <c r="E160" s="222">
        <v>4.34</v>
      </c>
      <c r="F160" s="222">
        <v>1.17</v>
      </c>
      <c r="G160" s="222">
        <v>1.17</v>
      </c>
    </row>
    <row r="161" spans="1:7" ht="14" x14ac:dyDescent="0.15">
      <c r="A161" s="108">
        <v>664</v>
      </c>
      <c r="B161" s="216">
        <v>2000056063709</v>
      </c>
      <c r="C161" s="219" t="s">
        <v>903</v>
      </c>
      <c r="D161" s="112">
        <v>0</v>
      </c>
      <c r="E161" s="222">
        <v>19.8</v>
      </c>
      <c r="F161" s="222">
        <v>0.82</v>
      </c>
      <c r="G161" s="222">
        <v>0.82</v>
      </c>
    </row>
    <row r="162" spans="1:7" ht="14" x14ac:dyDescent="0.15">
      <c r="A162" s="108">
        <v>524</v>
      </c>
      <c r="B162" s="216">
        <v>2000056300470</v>
      </c>
      <c r="C162" s="219" t="s">
        <v>904</v>
      </c>
      <c r="D162" s="112">
        <v>0</v>
      </c>
      <c r="E162" s="222">
        <v>1.48</v>
      </c>
      <c r="F162" s="222">
        <v>1.52</v>
      </c>
      <c r="G162" s="222">
        <v>1.52</v>
      </c>
    </row>
    <row r="163" spans="1:7" ht="14" x14ac:dyDescent="0.15">
      <c r="A163" s="108">
        <v>675</v>
      </c>
      <c r="B163" s="216">
        <v>2000055907808</v>
      </c>
      <c r="C163" s="219" t="s">
        <v>905</v>
      </c>
      <c r="D163" s="112">
        <v>1</v>
      </c>
      <c r="E163" s="222">
        <v>2.2000000000000002</v>
      </c>
      <c r="F163" s="222">
        <v>1.65</v>
      </c>
      <c r="G163" s="222">
        <v>1.65</v>
      </c>
    </row>
    <row r="164" spans="1:7" ht="14" x14ac:dyDescent="0.15">
      <c r="A164" s="108">
        <v>676</v>
      </c>
      <c r="B164" s="216">
        <v>2000055904773</v>
      </c>
      <c r="C164" s="219" t="s">
        <v>906</v>
      </c>
      <c r="D164" s="112">
        <v>6.2329999999999997</v>
      </c>
      <c r="E164" s="222">
        <v>4.05</v>
      </c>
      <c r="F164" s="222">
        <v>1.24</v>
      </c>
      <c r="G164" s="222">
        <v>1.24</v>
      </c>
    </row>
    <row r="165" spans="1:7" ht="14" x14ac:dyDescent="0.15">
      <c r="A165" s="108">
        <v>681</v>
      </c>
      <c r="B165" s="216">
        <v>2000055926119</v>
      </c>
      <c r="C165" s="219" t="s">
        <v>907</v>
      </c>
      <c r="D165" s="112">
        <v>0.41199999999999998</v>
      </c>
      <c r="E165" s="222">
        <v>22.3</v>
      </c>
      <c r="F165" s="222">
        <v>0.73</v>
      </c>
      <c r="G165" s="222">
        <v>0.73</v>
      </c>
    </row>
    <row r="166" spans="1:7" ht="14" x14ac:dyDescent="0.15">
      <c r="A166" s="108">
        <v>668</v>
      </c>
      <c r="B166" s="216">
        <v>2000056199766</v>
      </c>
      <c r="C166" s="219" t="s">
        <v>908</v>
      </c>
      <c r="D166" s="112">
        <v>0.40500000000000003</v>
      </c>
      <c r="E166" s="222">
        <v>22.86</v>
      </c>
      <c r="F166" s="222">
        <v>1.1200000000000001</v>
      </c>
      <c r="G166" s="222">
        <v>1.1200000000000001</v>
      </c>
    </row>
    <row r="167" spans="1:7" ht="14" x14ac:dyDescent="0.15">
      <c r="A167" s="108">
        <v>670</v>
      </c>
      <c r="B167" s="216">
        <v>2000056222885</v>
      </c>
      <c r="C167" s="219" t="s">
        <v>909</v>
      </c>
      <c r="D167" s="112">
        <v>2.3410000000000002</v>
      </c>
      <c r="E167" s="222">
        <v>7.29</v>
      </c>
      <c r="F167" s="222">
        <v>0.88</v>
      </c>
      <c r="G167" s="222">
        <v>0.88</v>
      </c>
    </row>
    <row r="168" spans="1:7" ht="14" x14ac:dyDescent="0.15">
      <c r="A168" s="108">
        <v>671</v>
      </c>
      <c r="B168" s="216">
        <v>2000056002307</v>
      </c>
      <c r="C168" s="219" t="s">
        <v>910</v>
      </c>
      <c r="D168" s="112">
        <v>6.2590000000000003</v>
      </c>
      <c r="E168" s="222">
        <v>11.34</v>
      </c>
      <c r="F168" s="222">
        <v>1.19</v>
      </c>
      <c r="G168" s="222">
        <v>1.19</v>
      </c>
    </row>
    <row r="169" spans="1:7" ht="14" x14ac:dyDescent="0.15">
      <c r="A169" s="108">
        <v>677</v>
      </c>
      <c r="B169" s="216">
        <v>2000055904791</v>
      </c>
      <c r="C169" s="219" t="s">
        <v>911</v>
      </c>
      <c r="D169" s="112">
        <v>0</v>
      </c>
      <c r="E169" s="222">
        <v>5.44</v>
      </c>
      <c r="F169" s="222">
        <v>0.72</v>
      </c>
      <c r="G169" s="222">
        <v>0.72</v>
      </c>
    </row>
    <row r="170" spans="1:7" ht="14" x14ac:dyDescent="0.15">
      <c r="A170" s="108">
        <v>678</v>
      </c>
      <c r="B170" s="216">
        <v>2000055916272</v>
      </c>
      <c r="C170" s="219" t="s">
        <v>912</v>
      </c>
      <c r="D170" s="112">
        <v>0</v>
      </c>
      <c r="E170" s="222">
        <v>6.04</v>
      </c>
      <c r="F170" s="222">
        <v>1.1499999999999999</v>
      </c>
      <c r="G170" s="222">
        <v>1.1499999999999999</v>
      </c>
    </row>
    <row r="171" spans="1:7" ht="14" x14ac:dyDescent="0.15">
      <c r="A171" s="108">
        <v>679</v>
      </c>
      <c r="B171" s="216">
        <v>2000055891167</v>
      </c>
      <c r="C171" s="219" t="s">
        <v>913</v>
      </c>
      <c r="D171" s="112">
        <v>2.3759999999999999</v>
      </c>
      <c r="E171" s="222">
        <v>11.28</v>
      </c>
      <c r="F171" s="222">
        <v>1.29</v>
      </c>
      <c r="G171" s="222">
        <v>1.29</v>
      </c>
    </row>
    <row r="172" spans="1:7" ht="14" x14ac:dyDescent="0.15">
      <c r="A172" s="108">
        <v>672</v>
      </c>
      <c r="B172" s="216">
        <v>2000056147378</v>
      </c>
      <c r="C172" s="219" t="s">
        <v>914</v>
      </c>
      <c r="D172" s="112">
        <v>1.875</v>
      </c>
      <c r="E172" s="222">
        <v>4.84</v>
      </c>
      <c r="F172" s="222">
        <v>3.04</v>
      </c>
      <c r="G172" s="222">
        <v>3.04</v>
      </c>
    </row>
    <row r="173" spans="1:7" ht="14" x14ac:dyDescent="0.15">
      <c r="A173" s="108">
        <v>680</v>
      </c>
      <c r="B173" s="216">
        <v>2000055908537</v>
      </c>
      <c r="C173" s="219" t="s">
        <v>915</v>
      </c>
      <c r="D173" s="112">
        <v>6.2389999999999999</v>
      </c>
      <c r="E173" s="222">
        <v>2.39</v>
      </c>
      <c r="F173" s="222">
        <v>1.23</v>
      </c>
      <c r="G173" s="222">
        <v>1.23</v>
      </c>
    </row>
    <row r="174" spans="1:7" ht="14" x14ac:dyDescent="0.15">
      <c r="A174" s="108">
        <v>674</v>
      </c>
      <c r="B174" s="216">
        <v>2000056049271</v>
      </c>
      <c r="C174" s="219" t="s">
        <v>916</v>
      </c>
      <c r="D174" s="112">
        <v>6.1829999999999998</v>
      </c>
      <c r="E174" s="222">
        <v>2.41</v>
      </c>
      <c r="F174" s="222">
        <v>0.97</v>
      </c>
      <c r="G174" s="222">
        <v>0.97</v>
      </c>
    </row>
    <row r="175" spans="1:7" ht="14" x14ac:dyDescent="0.15">
      <c r="A175" s="108">
        <v>682</v>
      </c>
      <c r="B175" s="216">
        <v>2000056049305</v>
      </c>
      <c r="C175" s="219" t="s">
        <v>917</v>
      </c>
      <c r="D175" s="112">
        <v>6.1349999999999998</v>
      </c>
      <c r="E175" s="222">
        <v>2.5299999999999998</v>
      </c>
      <c r="F175" s="222">
        <v>0.97</v>
      </c>
      <c r="G175" s="222">
        <v>0.97</v>
      </c>
    </row>
    <row r="176" spans="1:7" ht="14" x14ac:dyDescent="0.15">
      <c r="A176" s="108" t="s">
        <v>1097</v>
      </c>
      <c r="B176" s="216">
        <v>2000056827906</v>
      </c>
      <c r="C176" s="219" t="s">
        <v>918</v>
      </c>
      <c r="D176" s="112">
        <v>6.234</v>
      </c>
      <c r="E176" s="222">
        <v>13.66</v>
      </c>
      <c r="F176" s="222">
        <v>0.78</v>
      </c>
      <c r="G176" s="222">
        <v>0.78</v>
      </c>
    </row>
    <row r="177" spans="1:7" ht="14" x14ac:dyDescent="0.15">
      <c r="A177" s="108">
        <v>683</v>
      </c>
      <c r="B177" s="216">
        <v>2000056169804</v>
      </c>
      <c r="C177" s="219" t="s">
        <v>919</v>
      </c>
      <c r="D177" s="112">
        <v>2.3690000000000002</v>
      </c>
      <c r="E177" s="222">
        <v>3.45</v>
      </c>
      <c r="F177" s="222">
        <v>1.53</v>
      </c>
      <c r="G177" s="222">
        <v>1.53</v>
      </c>
    </row>
    <row r="178" spans="1:7" ht="14" x14ac:dyDescent="0.15">
      <c r="A178" s="108">
        <v>684</v>
      </c>
      <c r="B178" s="216">
        <v>2000056179662</v>
      </c>
      <c r="C178" s="219" t="s">
        <v>920</v>
      </c>
      <c r="D178" s="112">
        <v>6.2510000000000003</v>
      </c>
      <c r="E178" s="222">
        <v>11.3</v>
      </c>
      <c r="F178" s="222">
        <v>1.23</v>
      </c>
      <c r="G178" s="222">
        <v>1.23</v>
      </c>
    </row>
    <row r="179" spans="1:7" ht="14" x14ac:dyDescent="0.15">
      <c r="A179" s="108">
        <v>685</v>
      </c>
      <c r="B179" s="216">
        <v>2000056107107</v>
      </c>
      <c r="C179" s="219" t="s">
        <v>921</v>
      </c>
      <c r="D179" s="112">
        <v>6.218</v>
      </c>
      <c r="E179" s="222">
        <v>2.72</v>
      </c>
      <c r="F179" s="222">
        <v>1.61</v>
      </c>
      <c r="G179" s="222">
        <v>1.61</v>
      </c>
    </row>
    <row r="180" spans="1:7" ht="14" x14ac:dyDescent="0.15">
      <c r="A180" s="108">
        <v>686</v>
      </c>
      <c r="B180" s="216">
        <v>2000056113954</v>
      </c>
      <c r="C180" s="219" t="s">
        <v>922</v>
      </c>
      <c r="D180" s="112">
        <v>0.40300000000000002</v>
      </c>
      <c r="E180" s="222">
        <v>3.34</v>
      </c>
      <c r="F180" s="222">
        <v>1.62</v>
      </c>
      <c r="G180" s="222">
        <v>1.62</v>
      </c>
    </row>
    <row r="181" spans="1:7" ht="14" x14ac:dyDescent="0.15">
      <c r="A181" s="108">
        <v>687</v>
      </c>
      <c r="B181" s="216">
        <v>2000056138132</v>
      </c>
      <c r="C181" s="219" t="s">
        <v>923</v>
      </c>
      <c r="D181" s="112">
        <v>0.40400000000000003</v>
      </c>
      <c r="E181" s="222">
        <v>1.22</v>
      </c>
      <c r="F181" s="222">
        <v>1.53</v>
      </c>
      <c r="G181" s="222">
        <v>1.53</v>
      </c>
    </row>
    <row r="182" spans="1:7" ht="14" x14ac:dyDescent="0.15">
      <c r="A182" s="108">
        <v>688</v>
      </c>
      <c r="B182" s="216">
        <v>2000056167913</v>
      </c>
      <c r="C182" s="219" t="s">
        <v>924</v>
      </c>
      <c r="D182" s="112">
        <v>2.3660000000000001</v>
      </c>
      <c r="E182" s="222">
        <v>0.52</v>
      </c>
      <c r="F182" s="222">
        <v>2.39</v>
      </c>
      <c r="G182" s="222">
        <v>2.39</v>
      </c>
    </row>
    <row r="183" spans="1:7" ht="14" x14ac:dyDescent="0.15">
      <c r="A183" s="108">
        <v>525</v>
      </c>
      <c r="B183" s="216">
        <v>2000056537756</v>
      </c>
      <c r="C183" s="219" t="s">
        <v>925</v>
      </c>
      <c r="D183" s="112">
        <v>0.59599999999999997</v>
      </c>
      <c r="E183" s="222">
        <v>16.46</v>
      </c>
      <c r="F183" s="222">
        <v>1.5</v>
      </c>
      <c r="G183" s="222">
        <v>1.5</v>
      </c>
    </row>
    <row r="184" spans="1:7" ht="14" x14ac:dyDescent="0.15">
      <c r="A184" s="108">
        <v>689</v>
      </c>
      <c r="B184" s="216">
        <v>2000055874960</v>
      </c>
      <c r="C184" s="219" t="s">
        <v>926</v>
      </c>
      <c r="D184" s="112">
        <v>0</v>
      </c>
      <c r="E184" s="222">
        <v>1156.1500000000001</v>
      </c>
      <c r="F184" s="222">
        <v>0.78</v>
      </c>
      <c r="G184" s="222">
        <v>0.78</v>
      </c>
    </row>
    <row r="185" spans="1:7" ht="14" x14ac:dyDescent="0.15">
      <c r="A185" s="108">
        <v>690</v>
      </c>
      <c r="B185" s="216">
        <v>2000056147225</v>
      </c>
      <c r="C185" s="219" t="s">
        <v>927</v>
      </c>
      <c r="D185" s="112">
        <v>0</v>
      </c>
      <c r="E185" s="222">
        <v>4.5</v>
      </c>
      <c r="F185" s="222">
        <v>1.1599999999999999</v>
      </c>
      <c r="G185" s="222">
        <v>1.1599999999999999</v>
      </c>
    </row>
    <row r="186" spans="1:7" ht="14" x14ac:dyDescent="0.15">
      <c r="A186" s="108">
        <v>691</v>
      </c>
      <c r="B186" s="216">
        <v>2000055932200</v>
      </c>
      <c r="C186" s="219" t="s">
        <v>928</v>
      </c>
      <c r="D186" s="112">
        <v>0</v>
      </c>
      <c r="E186" s="222">
        <v>0.73</v>
      </c>
      <c r="F186" s="222">
        <v>4.37</v>
      </c>
      <c r="G186" s="222">
        <v>4.37</v>
      </c>
    </row>
    <row r="187" spans="1:7" ht="224" x14ac:dyDescent="0.15">
      <c r="A187" s="108">
        <v>729</v>
      </c>
      <c r="B187" s="216" t="s">
        <v>1150</v>
      </c>
      <c r="C187" s="219" t="s">
        <v>929</v>
      </c>
      <c r="D187" s="112">
        <v>0.95799999999999996</v>
      </c>
      <c r="E187" s="222">
        <v>8805.8700000000008</v>
      </c>
      <c r="F187" s="222">
        <v>1.45</v>
      </c>
      <c r="G187" s="222">
        <v>1.45</v>
      </c>
    </row>
    <row r="188" spans="1:7" ht="14" x14ac:dyDescent="0.15">
      <c r="A188" s="108">
        <v>527</v>
      </c>
      <c r="B188" s="216">
        <v>2000056441375</v>
      </c>
      <c r="C188" s="219" t="s">
        <v>930</v>
      </c>
      <c r="D188" s="112">
        <v>0</v>
      </c>
      <c r="E188" s="222">
        <v>4</v>
      </c>
      <c r="F188" s="222">
        <v>1.39</v>
      </c>
      <c r="G188" s="222">
        <v>1.39</v>
      </c>
    </row>
    <row r="189" spans="1:7" ht="14" x14ac:dyDescent="0.15">
      <c r="A189" s="108">
        <v>692</v>
      </c>
      <c r="B189" s="216">
        <v>2000056204956</v>
      </c>
      <c r="C189" s="219" t="s">
        <v>931</v>
      </c>
      <c r="D189" s="112">
        <v>0</v>
      </c>
      <c r="E189" s="222">
        <v>44.2</v>
      </c>
      <c r="F189" s="222">
        <v>2.12</v>
      </c>
      <c r="G189" s="222">
        <v>2.12</v>
      </c>
    </row>
    <row r="190" spans="1:7" ht="14" x14ac:dyDescent="0.15">
      <c r="A190" s="108">
        <v>897</v>
      </c>
      <c r="B190" s="216" t="s">
        <v>1148</v>
      </c>
      <c r="C190" s="219" t="s">
        <v>932</v>
      </c>
      <c r="D190" s="112">
        <v>0.40100000000000002</v>
      </c>
      <c r="E190" s="222">
        <v>3.34</v>
      </c>
      <c r="F190" s="222">
        <v>1.1100000000000001</v>
      </c>
      <c r="G190" s="222">
        <v>1.1100000000000001</v>
      </c>
    </row>
    <row r="191" spans="1:7" ht="14" x14ac:dyDescent="0.15">
      <c r="A191" s="108">
        <v>528</v>
      </c>
      <c r="B191" s="216">
        <v>2000056213152</v>
      </c>
      <c r="C191" s="219" t="s">
        <v>933</v>
      </c>
      <c r="D191" s="112">
        <v>0</v>
      </c>
      <c r="E191" s="222">
        <v>12.79</v>
      </c>
      <c r="F191" s="222">
        <v>1.9</v>
      </c>
      <c r="G191" s="222">
        <v>1.9</v>
      </c>
    </row>
    <row r="192" spans="1:7" ht="14" x14ac:dyDescent="0.15">
      <c r="A192" s="108">
        <v>693</v>
      </c>
      <c r="B192" s="216">
        <v>2000056147396</v>
      </c>
      <c r="C192" s="219" t="s">
        <v>934</v>
      </c>
      <c r="D192" s="112">
        <v>2.371</v>
      </c>
      <c r="E192" s="222">
        <v>1.17</v>
      </c>
      <c r="F192" s="222">
        <v>1.97</v>
      </c>
      <c r="G192" s="222">
        <v>1.97</v>
      </c>
    </row>
    <row r="193" spans="1:7" ht="14" x14ac:dyDescent="0.15">
      <c r="A193" s="108">
        <v>529</v>
      </c>
      <c r="B193" s="216">
        <v>2000056359669</v>
      </c>
      <c r="C193" s="219" t="s">
        <v>935</v>
      </c>
      <c r="D193" s="112">
        <v>0</v>
      </c>
      <c r="E193" s="222">
        <v>18.010000000000002</v>
      </c>
      <c r="F193" s="222">
        <v>1.41</v>
      </c>
      <c r="G193" s="222">
        <v>1.41</v>
      </c>
    </row>
    <row r="194" spans="1:7" ht="14" x14ac:dyDescent="0.15">
      <c r="A194" s="108">
        <v>694</v>
      </c>
      <c r="B194" s="216">
        <v>2000056202391</v>
      </c>
      <c r="C194" s="219" t="s">
        <v>936</v>
      </c>
      <c r="D194" s="112">
        <v>0.98599999999999999</v>
      </c>
      <c r="E194" s="222">
        <v>14.21</v>
      </c>
      <c r="F194" s="222">
        <v>0.91</v>
      </c>
      <c r="G194" s="222">
        <v>0.91</v>
      </c>
    </row>
    <row r="195" spans="1:7" ht="14" x14ac:dyDescent="0.15">
      <c r="A195" s="108">
        <v>585</v>
      </c>
      <c r="B195" s="216">
        <v>2000056452109</v>
      </c>
      <c r="C195" s="219" t="s">
        <v>937</v>
      </c>
      <c r="D195" s="112">
        <v>0.40200000000000002</v>
      </c>
      <c r="E195" s="222">
        <v>6.69</v>
      </c>
      <c r="F195" s="222">
        <v>1.1499999999999999</v>
      </c>
      <c r="G195" s="222">
        <v>1.1499999999999999</v>
      </c>
    </row>
    <row r="196" spans="1:7" ht="14" x14ac:dyDescent="0.15">
      <c r="A196" s="108">
        <v>695</v>
      </c>
      <c r="B196" s="216">
        <v>2000056186400</v>
      </c>
      <c r="C196" s="219" t="s">
        <v>938</v>
      </c>
      <c r="D196" s="112">
        <v>0</v>
      </c>
      <c r="E196" s="222">
        <v>30.67</v>
      </c>
      <c r="F196" s="222">
        <v>1.06</v>
      </c>
      <c r="G196" s="222">
        <v>1.06</v>
      </c>
    </row>
    <row r="197" spans="1:7" ht="14" x14ac:dyDescent="0.15">
      <c r="A197" s="108">
        <v>696</v>
      </c>
      <c r="B197" s="216">
        <v>2000056166440</v>
      </c>
      <c r="C197" s="219" t="s">
        <v>939</v>
      </c>
      <c r="D197" s="112">
        <v>6.2439999999999998</v>
      </c>
      <c r="E197" s="222">
        <v>38.159999999999997</v>
      </c>
      <c r="F197" s="222">
        <v>1.67</v>
      </c>
      <c r="G197" s="222">
        <v>1.67</v>
      </c>
    </row>
    <row r="198" spans="1:7" ht="14" x14ac:dyDescent="0.15">
      <c r="A198" s="108" t="s">
        <v>1098</v>
      </c>
      <c r="B198" s="216">
        <v>2000056792652</v>
      </c>
      <c r="C198" s="219" t="s">
        <v>940</v>
      </c>
      <c r="D198" s="112">
        <v>0</v>
      </c>
      <c r="E198" s="222">
        <v>1.96</v>
      </c>
      <c r="F198" s="222">
        <v>2.46</v>
      </c>
      <c r="G198" s="222">
        <v>2.46</v>
      </c>
    </row>
    <row r="199" spans="1:7" ht="14" x14ac:dyDescent="0.15">
      <c r="A199" s="108">
        <v>897</v>
      </c>
      <c r="B199" s="216" t="s">
        <v>1148</v>
      </c>
      <c r="C199" s="219" t="s">
        <v>941</v>
      </c>
      <c r="D199" s="112">
        <v>0</v>
      </c>
      <c r="E199" s="222">
        <v>7.97</v>
      </c>
      <c r="F199" s="222">
        <v>1.1100000000000001</v>
      </c>
      <c r="G199" s="222">
        <v>1.1100000000000001</v>
      </c>
    </row>
    <row r="200" spans="1:7" ht="14" x14ac:dyDescent="0.15">
      <c r="A200" s="108">
        <v>595</v>
      </c>
      <c r="B200" s="216">
        <v>2000056384832</v>
      </c>
      <c r="C200" s="219" t="s">
        <v>942</v>
      </c>
      <c r="D200" s="112">
        <v>6.1859999999999999</v>
      </c>
      <c r="E200" s="222">
        <v>13.28</v>
      </c>
      <c r="F200" s="222">
        <v>0.82</v>
      </c>
      <c r="G200" s="222">
        <v>0.82</v>
      </c>
    </row>
    <row r="201" spans="1:7" ht="14" x14ac:dyDescent="0.15">
      <c r="A201" s="108">
        <v>655</v>
      </c>
      <c r="B201" s="216">
        <v>2000056536112</v>
      </c>
      <c r="C201" s="219" t="s">
        <v>943</v>
      </c>
      <c r="D201" s="112">
        <v>0</v>
      </c>
      <c r="E201" s="222">
        <v>2.87</v>
      </c>
      <c r="F201" s="222">
        <v>1.29</v>
      </c>
      <c r="G201" s="222">
        <v>1.29</v>
      </c>
    </row>
    <row r="202" spans="1:7" ht="14" x14ac:dyDescent="0.15">
      <c r="A202" s="108">
        <v>657</v>
      </c>
      <c r="B202" s="216">
        <v>2000056456256</v>
      </c>
      <c r="C202" s="219" t="s">
        <v>944</v>
      </c>
      <c r="D202" s="112">
        <v>0</v>
      </c>
      <c r="E202" s="222">
        <v>22.83</v>
      </c>
      <c r="F202" s="222">
        <v>1.26</v>
      </c>
      <c r="G202" s="222">
        <v>1.26</v>
      </c>
    </row>
    <row r="203" spans="1:7" ht="14" x14ac:dyDescent="0.15">
      <c r="A203" s="108">
        <v>659</v>
      </c>
      <c r="B203" s="216">
        <v>2000056439998</v>
      </c>
      <c r="C203" s="219" t="s">
        <v>945</v>
      </c>
      <c r="D203" s="112">
        <v>0</v>
      </c>
      <c r="E203" s="222">
        <v>3.53</v>
      </c>
      <c r="F203" s="222">
        <v>0.89</v>
      </c>
      <c r="G203" s="222">
        <v>0.89</v>
      </c>
    </row>
    <row r="204" spans="1:7" ht="14" x14ac:dyDescent="0.15">
      <c r="A204" s="108">
        <v>660</v>
      </c>
      <c r="B204" s="216">
        <v>2000056420339</v>
      </c>
      <c r="C204" s="219" t="s">
        <v>946</v>
      </c>
      <c r="D204" s="112">
        <v>0.98499999999999999</v>
      </c>
      <c r="E204" s="222">
        <v>6.34</v>
      </c>
      <c r="F204" s="222">
        <v>0.96</v>
      </c>
      <c r="G204" s="222">
        <v>0.96</v>
      </c>
    </row>
    <row r="205" spans="1:7" ht="14" x14ac:dyDescent="0.15">
      <c r="A205" s="108">
        <v>697</v>
      </c>
      <c r="B205" s="216">
        <v>2000056202416</v>
      </c>
      <c r="C205" s="219" t="s">
        <v>947</v>
      </c>
      <c r="D205" s="112">
        <v>0</v>
      </c>
      <c r="E205" s="222">
        <v>8.2899999999999991</v>
      </c>
      <c r="F205" s="222">
        <v>1.25</v>
      </c>
      <c r="G205" s="222">
        <v>1.25</v>
      </c>
    </row>
    <row r="206" spans="1:7" ht="14" x14ac:dyDescent="0.15">
      <c r="A206" s="108">
        <v>897</v>
      </c>
      <c r="B206" s="216" t="s">
        <v>1148</v>
      </c>
      <c r="C206" s="219" t="s">
        <v>948</v>
      </c>
      <c r="D206" s="112">
        <v>6.2140000000000004</v>
      </c>
      <c r="E206" s="222">
        <v>140.63</v>
      </c>
      <c r="F206" s="222">
        <v>0.97</v>
      </c>
      <c r="G206" s="222">
        <v>0.97</v>
      </c>
    </row>
    <row r="207" spans="1:7" ht="14" x14ac:dyDescent="0.15">
      <c r="A207" s="108">
        <v>669</v>
      </c>
      <c r="B207" s="216">
        <v>2000056532456</v>
      </c>
      <c r="C207" s="219" t="s">
        <v>949</v>
      </c>
      <c r="D207" s="112">
        <v>0.40200000000000002</v>
      </c>
      <c r="E207" s="222">
        <v>10.49</v>
      </c>
      <c r="F207" s="222">
        <v>0.86</v>
      </c>
      <c r="G207" s="222">
        <v>0.86</v>
      </c>
    </row>
    <row r="208" spans="1:7" ht="14" x14ac:dyDescent="0.15">
      <c r="A208" s="108">
        <v>7311</v>
      </c>
      <c r="B208" s="216">
        <v>7311</v>
      </c>
      <c r="C208" s="219" t="s">
        <v>950</v>
      </c>
      <c r="D208" s="112">
        <v>2.448</v>
      </c>
      <c r="E208" s="222">
        <v>66.81</v>
      </c>
      <c r="F208" s="222">
        <v>0.71</v>
      </c>
      <c r="G208" s="222">
        <v>0.71</v>
      </c>
    </row>
    <row r="209" spans="1:7" ht="14" x14ac:dyDescent="0.15">
      <c r="A209" s="108">
        <v>698</v>
      </c>
      <c r="B209" s="216">
        <v>2000056199613</v>
      </c>
      <c r="C209" s="219" t="s">
        <v>951</v>
      </c>
      <c r="D209" s="112">
        <v>5.8140000000000001</v>
      </c>
      <c r="E209" s="222">
        <v>75.95</v>
      </c>
      <c r="F209" s="222">
        <v>0.72</v>
      </c>
      <c r="G209" s="222">
        <v>0.72</v>
      </c>
    </row>
    <row r="210" spans="1:7" ht="14" x14ac:dyDescent="0.15">
      <c r="A210" s="108">
        <v>897</v>
      </c>
      <c r="B210" s="216" t="s">
        <v>1148</v>
      </c>
      <c r="C210" s="219" t="s">
        <v>952</v>
      </c>
      <c r="D210" s="112">
        <v>0</v>
      </c>
      <c r="E210" s="222">
        <v>37.33</v>
      </c>
      <c r="F210" s="222">
        <v>0.97</v>
      </c>
      <c r="G210" s="222">
        <v>0.97</v>
      </c>
    </row>
    <row r="211" spans="1:7" ht="14" x14ac:dyDescent="0.15">
      <c r="A211" s="108">
        <v>699</v>
      </c>
      <c r="B211" s="216">
        <v>2000056191526</v>
      </c>
      <c r="C211" s="219" t="s">
        <v>953</v>
      </c>
      <c r="D211" s="112">
        <v>0</v>
      </c>
      <c r="E211" s="222">
        <v>26.07</v>
      </c>
      <c r="F211" s="222">
        <v>1.95</v>
      </c>
      <c r="G211" s="222">
        <v>1.95</v>
      </c>
    </row>
    <row r="212" spans="1:7" ht="14" x14ac:dyDescent="0.15">
      <c r="A212" s="108">
        <v>899</v>
      </c>
      <c r="B212" s="216" t="s">
        <v>1148</v>
      </c>
      <c r="C212" s="219" t="s">
        <v>954</v>
      </c>
      <c r="D212" s="112">
        <v>0</v>
      </c>
      <c r="E212" s="222">
        <v>7.38</v>
      </c>
      <c r="F212" s="222">
        <v>0.95</v>
      </c>
      <c r="G212" s="222">
        <v>0.95</v>
      </c>
    </row>
    <row r="213" spans="1:7" ht="28" x14ac:dyDescent="0.15">
      <c r="A213" s="108">
        <v>703</v>
      </c>
      <c r="B213" s="216" t="s">
        <v>1151</v>
      </c>
      <c r="C213" s="219" t="s">
        <v>955</v>
      </c>
      <c r="D213" s="112">
        <v>0</v>
      </c>
      <c r="E213" s="222">
        <v>35241.79</v>
      </c>
      <c r="F213" s="222">
        <v>1.69</v>
      </c>
      <c r="G213" s="222">
        <v>1.69</v>
      </c>
    </row>
    <row r="214" spans="1:7" ht="14" x14ac:dyDescent="0.15">
      <c r="A214" s="108">
        <v>730</v>
      </c>
      <c r="B214" s="216">
        <v>2000056058754</v>
      </c>
      <c r="C214" s="219" t="s">
        <v>956</v>
      </c>
      <c r="D214" s="112">
        <v>0.83799999999999997</v>
      </c>
      <c r="E214" s="222">
        <v>1.82</v>
      </c>
      <c r="F214" s="222">
        <v>2.78</v>
      </c>
      <c r="G214" s="222">
        <v>2.78</v>
      </c>
    </row>
    <row r="215" spans="1:7" ht="14" x14ac:dyDescent="0.15">
      <c r="A215" s="108">
        <v>731</v>
      </c>
      <c r="B215" s="216">
        <v>2000056151106</v>
      </c>
      <c r="C215" s="219" t="s">
        <v>957</v>
      </c>
      <c r="D215" s="112">
        <v>1.1259999999999999</v>
      </c>
      <c r="E215" s="222">
        <v>31.17</v>
      </c>
      <c r="F215" s="222">
        <v>0.97</v>
      </c>
      <c r="G215" s="222">
        <v>0.97</v>
      </c>
    </row>
    <row r="216" spans="1:7" ht="14" x14ac:dyDescent="0.15">
      <c r="A216" s="108">
        <v>732</v>
      </c>
      <c r="B216" s="216">
        <v>2000056098818</v>
      </c>
      <c r="C216" s="219" t="s">
        <v>958</v>
      </c>
      <c r="D216" s="112">
        <v>0.83</v>
      </c>
      <c r="E216" s="222">
        <v>1.6</v>
      </c>
      <c r="F216" s="222">
        <v>1.0900000000000001</v>
      </c>
      <c r="G216" s="222">
        <v>1.0900000000000001</v>
      </c>
    </row>
    <row r="217" spans="1:7" ht="14" x14ac:dyDescent="0.15">
      <c r="A217" s="108">
        <v>673</v>
      </c>
      <c r="B217" s="216">
        <v>2000056551324</v>
      </c>
      <c r="C217" s="219" t="s">
        <v>959</v>
      </c>
      <c r="D217" s="112">
        <v>0</v>
      </c>
      <c r="E217" s="222">
        <v>22.56</v>
      </c>
      <c r="F217" s="222">
        <v>0.77</v>
      </c>
      <c r="G217" s="222">
        <v>0.77</v>
      </c>
    </row>
    <row r="218" spans="1:7" ht="14" x14ac:dyDescent="0.15">
      <c r="A218" s="108">
        <v>721</v>
      </c>
      <c r="B218" s="216">
        <v>2000056562292</v>
      </c>
      <c r="C218" s="219" t="s">
        <v>960</v>
      </c>
      <c r="D218" s="112">
        <v>0</v>
      </c>
      <c r="E218" s="222">
        <v>405</v>
      </c>
      <c r="F218" s="222">
        <v>1.26</v>
      </c>
      <c r="G218" s="222">
        <v>1.26</v>
      </c>
    </row>
    <row r="219" spans="1:7" ht="14" x14ac:dyDescent="0.15">
      <c r="A219" s="108">
        <v>728</v>
      </c>
      <c r="B219" s="216">
        <v>2000056194191</v>
      </c>
      <c r="C219" s="219" t="s">
        <v>961</v>
      </c>
      <c r="D219" s="112">
        <v>0.40400000000000003</v>
      </c>
      <c r="E219" s="222">
        <v>3.77</v>
      </c>
      <c r="F219" s="222">
        <v>1.69</v>
      </c>
      <c r="G219" s="222">
        <v>1.69</v>
      </c>
    </row>
    <row r="220" spans="1:7" ht="14" x14ac:dyDescent="0.15">
      <c r="A220" s="108">
        <v>901</v>
      </c>
      <c r="B220" s="216">
        <v>2000056139215</v>
      </c>
      <c r="C220" s="219" t="s">
        <v>962</v>
      </c>
      <c r="D220" s="112">
        <v>2.3759999999999999</v>
      </c>
      <c r="E220" s="222">
        <v>8.26</v>
      </c>
      <c r="F220" s="222">
        <v>3.74</v>
      </c>
      <c r="G220" s="222">
        <v>3.74</v>
      </c>
    </row>
    <row r="221" spans="1:7" ht="14" x14ac:dyDescent="0.15">
      <c r="A221" s="108">
        <v>904</v>
      </c>
      <c r="B221" s="216">
        <v>2000056219952</v>
      </c>
      <c r="C221" s="219" t="s">
        <v>963</v>
      </c>
      <c r="D221" s="112">
        <v>6.2469999999999999</v>
      </c>
      <c r="E221" s="222">
        <v>4.8099999999999996</v>
      </c>
      <c r="F221" s="222">
        <v>1.28</v>
      </c>
      <c r="G221" s="222">
        <v>1.28</v>
      </c>
    </row>
    <row r="222" spans="1:7" ht="14" x14ac:dyDescent="0.15">
      <c r="A222" s="108">
        <v>905</v>
      </c>
      <c r="B222" s="216">
        <v>2000056200010</v>
      </c>
      <c r="C222" s="219" t="s">
        <v>964</v>
      </c>
      <c r="D222" s="112">
        <v>1.002</v>
      </c>
      <c r="E222" s="222">
        <v>3.03</v>
      </c>
      <c r="F222" s="222">
        <v>1.26</v>
      </c>
      <c r="G222" s="222">
        <v>1.26</v>
      </c>
    </row>
    <row r="223" spans="1:7" ht="14" x14ac:dyDescent="0.15">
      <c r="A223" s="108">
        <v>906</v>
      </c>
      <c r="B223" s="216">
        <v>2000056138977</v>
      </c>
      <c r="C223" s="219" t="s">
        <v>965</v>
      </c>
      <c r="D223" s="112">
        <v>0</v>
      </c>
      <c r="E223" s="222">
        <v>2.42</v>
      </c>
      <c r="F223" s="222">
        <v>2.65</v>
      </c>
      <c r="G223" s="222">
        <v>2.65</v>
      </c>
    </row>
    <row r="224" spans="1:7" ht="14" x14ac:dyDescent="0.15">
      <c r="A224" s="108">
        <v>907</v>
      </c>
      <c r="B224" s="216">
        <v>2000056212033</v>
      </c>
      <c r="C224" s="219" t="s">
        <v>966</v>
      </c>
      <c r="D224" s="112">
        <v>5.9660000000000002</v>
      </c>
      <c r="E224" s="222">
        <v>37.46</v>
      </c>
      <c r="F224" s="222">
        <v>0.74</v>
      </c>
      <c r="G224" s="222">
        <v>0.74</v>
      </c>
    </row>
    <row r="225" spans="1:7" ht="14" x14ac:dyDescent="0.15">
      <c r="A225" s="108">
        <v>908</v>
      </c>
      <c r="B225" s="216">
        <v>2000056139395</v>
      </c>
      <c r="C225" s="219" t="s">
        <v>967</v>
      </c>
      <c r="D225" s="112">
        <v>1.1970000000000001</v>
      </c>
      <c r="E225" s="222">
        <v>16.850000000000001</v>
      </c>
      <c r="F225" s="222">
        <v>1.39</v>
      </c>
      <c r="G225" s="222">
        <v>1.39</v>
      </c>
    </row>
    <row r="226" spans="1:7" ht="14" x14ac:dyDescent="0.15">
      <c r="A226" s="108">
        <v>723</v>
      </c>
      <c r="B226" s="216">
        <v>2000056530788</v>
      </c>
      <c r="C226" s="219" t="s">
        <v>968</v>
      </c>
      <c r="D226" s="112">
        <v>0</v>
      </c>
      <c r="E226" s="222">
        <v>105.29</v>
      </c>
      <c r="F226" s="222">
        <v>0.84</v>
      </c>
      <c r="G226" s="222">
        <v>0.84</v>
      </c>
    </row>
    <row r="227" spans="1:7" ht="14" x14ac:dyDescent="0.15">
      <c r="A227" s="108">
        <v>765</v>
      </c>
      <c r="B227" s="216">
        <v>2000056469176</v>
      </c>
      <c r="C227" s="219" t="s">
        <v>969</v>
      </c>
      <c r="D227" s="112">
        <v>0</v>
      </c>
      <c r="E227" s="222">
        <v>15.75</v>
      </c>
      <c r="F227" s="222">
        <v>0.8</v>
      </c>
      <c r="G227" s="222">
        <v>0.8</v>
      </c>
    </row>
    <row r="228" spans="1:7" ht="14" x14ac:dyDescent="0.15">
      <c r="A228" s="108" t="s">
        <v>1099</v>
      </c>
      <c r="B228" s="216">
        <v>2000056842124</v>
      </c>
      <c r="C228" s="219" t="s">
        <v>970</v>
      </c>
      <c r="D228" s="112">
        <v>0.40500000000000003</v>
      </c>
      <c r="E228" s="222">
        <v>1.87</v>
      </c>
      <c r="F228" s="222">
        <v>1.58</v>
      </c>
      <c r="G228" s="222">
        <v>1.58</v>
      </c>
    </row>
    <row r="229" spans="1:7" ht="14" x14ac:dyDescent="0.15">
      <c r="A229" s="108" t="s">
        <v>1100</v>
      </c>
      <c r="B229" s="216">
        <v>2000056642707</v>
      </c>
      <c r="C229" s="219" t="s">
        <v>971</v>
      </c>
      <c r="D229" s="112">
        <v>1.0049999999999999</v>
      </c>
      <c r="E229" s="222">
        <v>11.07</v>
      </c>
      <c r="F229" s="222">
        <v>0.98</v>
      </c>
      <c r="G229" s="222">
        <v>0.98</v>
      </c>
    </row>
    <row r="230" spans="1:7" ht="14" x14ac:dyDescent="0.15">
      <c r="A230" s="108">
        <v>897</v>
      </c>
      <c r="B230" s="216">
        <v>2000056488531</v>
      </c>
      <c r="C230" s="219" t="s">
        <v>972</v>
      </c>
      <c r="D230" s="112">
        <v>0</v>
      </c>
      <c r="E230" s="222">
        <v>0.95</v>
      </c>
      <c r="F230" s="222">
        <v>1.65</v>
      </c>
      <c r="G230" s="222">
        <v>1.65</v>
      </c>
    </row>
    <row r="231" spans="1:7" ht="14" x14ac:dyDescent="0.15">
      <c r="A231" s="108" t="s">
        <v>1101</v>
      </c>
      <c r="B231" s="216">
        <v>2000056866055</v>
      </c>
      <c r="C231" s="219" t="s">
        <v>973</v>
      </c>
      <c r="D231" s="112">
        <v>0</v>
      </c>
      <c r="E231" s="222">
        <v>6.68</v>
      </c>
      <c r="F231" s="222">
        <v>1.72</v>
      </c>
      <c r="G231" s="222">
        <v>1.72</v>
      </c>
    </row>
    <row r="232" spans="1:7" ht="14" x14ac:dyDescent="0.15">
      <c r="A232" s="108">
        <v>897</v>
      </c>
      <c r="B232" s="216">
        <v>2000056872582</v>
      </c>
      <c r="C232" s="219" t="s">
        <v>974</v>
      </c>
      <c r="D232" s="112">
        <v>0</v>
      </c>
      <c r="E232" s="222">
        <v>10.58</v>
      </c>
      <c r="F232" s="222">
        <v>2.57</v>
      </c>
      <c r="G232" s="222">
        <v>2.57</v>
      </c>
    </row>
    <row r="233" spans="1:7" ht="14" x14ac:dyDescent="0.15">
      <c r="A233" s="108">
        <v>766</v>
      </c>
      <c r="B233" s="216">
        <v>2000056537213</v>
      </c>
      <c r="C233" s="219" t="s">
        <v>975</v>
      </c>
      <c r="D233" s="112">
        <v>0.997</v>
      </c>
      <c r="E233" s="222">
        <v>14.52</v>
      </c>
      <c r="F233" s="222">
        <v>1.05</v>
      </c>
      <c r="G233" s="222">
        <v>1.05</v>
      </c>
    </row>
    <row r="234" spans="1:7" ht="14" x14ac:dyDescent="0.15">
      <c r="A234" s="108" t="s">
        <v>1102</v>
      </c>
      <c r="B234" s="216">
        <v>2000056521960</v>
      </c>
      <c r="C234" s="219" t="s">
        <v>976</v>
      </c>
      <c r="D234" s="112">
        <v>1.1200000000000001</v>
      </c>
      <c r="E234" s="222">
        <v>10.24</v>
      </c>
      <c r="F234" s="222">
        <v>0.69</v>
      </c>
      <c r="G234" s="222">
        <v>0.69</v>
      </c>
    </row>
    <row r="235" spans="1:7" ht="14" x14ac:dyDescent="0.15">
      <c r="A235" s="108" t="s">
        <v>1973</v>
      </c>
      <c r="B235" s="216">
        <v>2000056839896</v>
      </c>
      <c r="C235" s="219" t="s">
        <v>977</v>
      </c>
      <c r="D235" s="112">
        <v>0.59499999999999997</v>
      </c>
      <c r="E235" s="222">
        <v>5.23</v>
      </c>
      <c r="F235" s="222">
        <v>1.32</v>
      </c>
      <c r="G235" s="222">
        <v>1.32</v>
      </c>
    </row>
    <row r="236" spans="1:7" ht="14" x14ac:dyDescent="0.15">
      <c r="A236" s="108">
        <v>897</v>
      </c>
      <c r="B236" s="216" t="s">
        <v>1148</v>
      </c>
      <c r="C236" s="219" t="s">
        <v>978</v>
      </c>
      <c r="D236" s="112">
        <v>0.995</v>
      </c>
      <c r="E236" s="222">
        <v>25.52</v>
      </c>
      <c r="F236" s="222">
        <v>1.1100000000000001</v>
      </c>
      <c r="G236" s="222">
        <v>1.1100000000000001</v>
      </c>
    </row>
    <row r="237" spans="1:7" ht="14" x14ac:dyDescent="0.15">
      <c r="A237" s="108">
        <v>767</v>
      </c>
      <c r="B237" s="216">
        <v>2000056535670</v>
      </c>
      <c r="C237" s="219" t="s">
        <v>979</v>
      </c>
      <c r="D237" s="112">
        <v>6.1959999999999997</v>
      </c>
      <c r="E237" s="222">
        <v>3.59</v>
      </c>
      <c r="F237" s="222">
        <v>1.0900000000000001</v>
      </c>
      <c r="G237" s="222">
        <v>1.0900000000000001</v>
      </c>
    </row>
    <row r="238" spans="1:7" ht="14" x14ac:dyDescent="0.15">
      <c r="A238" s="108">
        <v>768</v>
      </c>
      <c r="B238" s="216">
        <v>2000056345452</v>
      </c>
      <c r="C238" s="219" t="s">
        <v>980</v>
      </c>
      <c r="D238" s="112">
        <v>5.8239999999999998</v>
      </c>
      <c r="E238" s="222">
        <v>21.89</v>
      </c>
      <c r="F238" s="222">
        <v>0.77</v>
      </c>
      <c r="G238" s="222">
        <v>0.77</v>
      </c>
    </row>
    <row r="239" spans="1:7" ht="14" x14ac:dyDescent="0.15">
      <c r="A239" s="108" t="s">
        <v>1103</v>
      </c>
      <c r="B239" s="216">
        <v>2000056520910</v>
      </c>
      <c r="C239" s="219" t="s">
        <v>981</v>
      </c>
      <c r="D239" s="112">
        <v>1.1240000000000001</v>
      </c>
      <c r="E239" s="222">
        <v>10.53</v>
      </c>
      <c r="F239" s="222">
        <v>0.7</v>
      </c>
      <c r="G239" s="222">
        <v>0.7</v>
      </c>
    </row>
    <row r="240" spans="1:7" ht="14" x14ac:dyDescent="0.15">
      <c r="A240" s="108" t="s">
        <v>1975</v>
      </c>
      <c r="B240" s="216">
        <v>2000056860080</v>
      </c>
      <c r="C240" s="219" t="s">
        <v>982</v>
      </c>
      <c r="D240" s="112">
        <v>1.1040000000000001</v>
      </c>
      <c r="E240" s="222">
        <v>17.53</v>
      </c>
      <c r="F240" s="222">
        <v>0.91</v>
      </c>
      <c r="G240" s="222">
        <v>0.91</v>
      </c>
    </row>
    <row r="241" spans="1:7" ht="28" x14ac:dyDescent="0.15">
      <c r="A241" s="108">
        <v>769</v>
      </c>
      <c r="B241" s="216" t="s">
        <v>1152</v>
      </c>
      <c r="C241" s="219" t="s">
        <v>983</v>
      </c>
      <c r="D241" s="112">
        <v>0.39600000000000002</v>
      </c>
      <c r="E241" s="222">
        <v>3.54</v>
      </c>
      <c r="F241" s="222">
        <v>0.8</v>
      </c>
      <c r="G241" s="222">
        <v>0.8</v>
      </c>
    </row>
    <row r="242" spans="1:7" ht="14" x14ac:dyDescent="0.15">
      <c r="A242" s="108" t="s">
        <v>1104</v>
      </c>
      <c r="B242" s="216">
        <v>2000056865497</v>
      </c>
      <c r="C242" s="219" t="s">
        <v>984</v>
      </c>
      <c r="D242" s="112">
        <v>6.0549999999999997</v>
      </c>
      <c r="E242" s="222">
        <v>17.28</v>
      </c>
      <c r="F242" s="222">
        <v>0.84</v>
      </c>
      <c r="G242" s="222">
        <v>0.84</v>
      </c>
    </row>
    <row r="243" spans="1:7" ht="14" x14ac:dyDescent="0.15">
      <c r="A243" s="108">
        <v>771</v>
      </c>
      <c r="B243" s="216">
        <v>2000056477646</v>
      </c>
      <c r="C243" s="219" t="s">
        <v>985</v>
      </c>
      <c r="D243" s="112">
        <v>0.39700000000000002</v>
      </c>
      <c r="E243" s="222">
        <v>5.4</v>
      </c>
      <c r="F243" s="222">
        <v>0.71</v>
      </c>
      <c r="G243" s="222">
        <v>0.71</v>
      </c>
    </row>
    <row r="244" spans="1:7" ht="14" x14ac:dyDescent="0.15">
      <c r="A244" s="108">
        <v>772</v>
      </c>
      <c r="B244" s="216">
        <v>2000056384363</v>
      </c>
      <c r="C244" s="219" t="s">
        <v>986</v>
      </c>
      <c r="D244" s="112">
        <v>0</v>
      </c>
      <c r="E244" s="222">
        <v>15.75</v>
      </c>
      <c r="F244" s="222">
        <v>0.78</v>
      </c>
      <c r="G244" s="222">
        <v>0.78</v>
      </c>
    </row>
    <row r="245" spans="1:7" ht="14" x14ac:dyDescent="0.15">
      <c r="A245" s="108" t="s">
        <v>1105</v>
      </c>
      <c r="B245" s="216">
        <v>2000056771909</v>
      </c>
      <c r="C245" s="219" t="s">
        <v>987</v>
      </c>
      <c r="D245" s="112">
        <v>0</v>
      </c>
      <c r="E245" s="222">
        <v>33.78</v>
      </c>
      <c r="F245" s="222">
        <v>0.68</v>
      </c>
      <c r="G245" s="222">
        <v>0.68</v>
      </c>
    </row>
    <row r="246" spans="1:7" ht="14" x14ac:dyDescent="0.15">
      <c r="A246" s="108" t="s">
        <v>1106</v>
      </c>
      <c r="B246" s="216">
        <v>2000056474868</v>
      </c>
      <c r="C246" s="219" t="s">
        <v>988</v>
      </c>
      <c r="D246" s="112">
        <v>0</v>
      </c>
      <c r="E246" s="222">
        <v>20.97</v>
      </c>
      <c r="F246" s="222">
        <v>1.24</v>
      </c>
      <c r="G246" s="222">
        <v>1.24</v>
      </c>
    </row>
    <row r="247" spans="1:7" ht="14" x14ac:dyDescent="0.15">
      <c r="A247" s="108">
        <v>774</v>
      </c>
      <c r="B247" s="216">
        <v>2000056474380</v>
      </c>
      <c r="C247" s="219" t="s">
        <v>989</v>
      </c>
      <c r="D247" s="112">
        <v>0</v>
      </c>
      <c r="E247" s="222">
        <v>1.25</v>
      </c>
      <c r="F247" s="222">
        <v>1.94</v>
      </c>
      <c r="G247" s="222">
        <v>1.94</v>
      </c>
    </row>
    <row r="248" spans="1:7" ht="14" x14ac:dyDescent="0.15">
      <c r="A248" s="108" t="s">
        <v>1107</v>
      </c>
      <c r="B248" s="216">
        <v>2000056631430</v>
      </c>
      <c r="C248" s="219" t="s">
        <v>990</v>
      </c>
      <c r="D248" s="112">
        <v>0</v>
      </c>
      <c r="E248" s="222">
        <v>1.25</v>
      </c>
      <c r="F248" s="222">
        <v>1.76</v>
      </c>
      <c r="G248" s="222">
        <v>1.76</v>
      </c>
    </row>
    <row r="249" spans="1:7" ht="14" x14ac:dyDescent="0.15">
      <c r="A249" s="108">
        <v>733</v>
      </c>
      <c r="B249" s="216">
        <v>2000056705135</v>
      </c>
      <c r="C249" s="219" t="s">
        <v>991</v>
      </c>
      <c r="D249" s="112">
        <v>0</v>
      </c>
      <c r="E249" s="222">
        <v>38.89</v>
      </c>
      <c r="F249" s="222">
        <v>0.81</v>
      </c>
      <c r="G249" s="222">
        <v>0.81</v>
      </c>
    </row>
    <row r="250" spans="1:7" ht="14" x14ac:dyDescent="0.15">
      <c r="A250" s="108">
        <v>775</v>
      </c>
      <c r="B250" s="216">
        <v>2000056366860</v>
      </c>
      <c r="C250" s="219" t="s">
        <v>992</v>
      </c>
      <c r="D250" s="112">
        <v>6.2</v>
      </c>
      <c r="E250" s="222">
        <v>8.58</v>
      </c>
      <c r="F250" s="222">
        <v>1.28</v>
      </c>
      <c r="G250" s="222">
        <v>1.28</v>
      </c>
    </row>
    <row r="251" spans="1:7" ht="28" x14ac:dyDescent="0.15">
      <c r="A251" s="108" t="s">
        <v>1108</v>
      </c>
      <c r="B251" s="216" t="s">
        <v>1153</v>
      </c>
      <c r="C251" s="219" t="s">
        <v>993</v>
      </c>
      <c r="D251" s="112">
        <v>0.43099999999999999</v>
      </c>
      <c r="E251" s="222">
        <v>502.2</v>
      </c>
      <c r="F251" s="222">
        <v>1.33</v>
      </c>
      <c r="G251" s="222">
        <v>1.33</v>
      </c>
    </row>
    <row r="252" spans="1:7" ht="14" x14ac:dyDescent="0.15">
      <c r="A252" s="108">
        <v>776</v>
      </c>
      <c r="B252" s="216">
        <v>2000056563570</v>
      </c>
      <c r="C252" s="219" t="s">
        <v>994</v>
      </c>
      <c r="D252" s="112">
        <v>0.96699999999999997</v>
      </c>
      <c r="E252" s="222">
        <v>27.19</v>
      </c>
      <c r="F252" s="222">
        <v>0.71</v>
      </c>
      <c r="G252" s="222">
        <v>0.71</v>
      </c>
    </row>
    <row r="253" spans="1:7" ht="14" x14ac:dyDescent="0.15">
      <c r="A253" s="108" t="s">
        <v>1109</v>
      </c>
      <c r="B253" s="216">
        <v>2000056866037</v>
      </c>
      <c r="C253" s="219" t="s">
        <v>995</v>
      </c>
      <c r="D253" s="112">
        <v>2.331</v>
      </c>
      <c r="E253" s="222">
        <v>21.88</v>
      </c>
      <c r="F253" s="222">
        <v>0.74</v>
      </c>
      <c r="G253" s="222">
        <v>0.74</v>
      </c>
    </row>
    <row r="254" spans="1:7" ht="14" x14ac:dyDescent="0.15">
      <c r="A254" s="108">
        <v>739</v>
      </c>
      <c r="B254" s="216" t="s">
        <v>1148</v>
      </c>
      <c r="C254" s="219" t="s">
        <v>996</v>
      </c>
      <c r="D254" s="112">
        <v>2.3540000000000001</v>
      </c>
      <c r="E254" s="222">
        <v>2.82</v>
      </c>
      <c r="F254" s="222">
        <v>1.47</v>
      </c>
      <c r="G254" s="222">
        <v>1.47</v>
      </c>
    </row>
    <row r="255" spans="1:7" ht="14" x14ac:dyDescent="0.15">
      <c r="A255" s="108" t="s">
        <v>1110</v>
      </c>
      <c r="B255" s="216">
        <v>2000056848135</v>
      </c>
      <c r="C255" s="219" t="s">
        <v>997</v>
      </c>
      <c r="D255" s="112">
        <v>0</v>
      </c>
      <c r="E255" s="222">
        <v>4.01</v>
      </c>
      <c r="F255" s="222">
        <v>1.57</v>
      </c>
      <c r="G255" s="222">
        <v>1.57</v>
      </c>
    </row>
    <row r="256" spans="1:7" ht="14" x14ac:dyDescent="0.15">
      <c r="A256" s="108">
        <v>897</v>
      </c>
      <c r="B256" s="216" t="s">
        <v>1148</v>
      </c>
      <c r="C256" s="219" t="s">
        <v>998</v>
      </c>
      <c r="D256" s="112">
        <v>2.3540000000000001</v>
      </c>
      <c r="E256" s="222">
        <v>1173.18</v>
      </c>
      <c r="F256" s="222">
        <v>1.04</v>
      </c>
      <c r="G256" s="222">
        <v>1.04</v>
      </c>
    </row>
    <row r="257" spans="1:7" ht="14" x14ac:dyDescent="0.15">
      <c r="A257" s="108" t="s">
        <v>1111</v>
      </c>
      <c r="B257" s="216">
        <v>2000056774592</v>
      </c>
      <c r="C257" s="219" t="s">
        <v>999</v>
      </c>
      <c r="D257" s="112">
        <v>0.39900000000000002</v>
      </c>
      <c r="E257" s="222">
        <v>5.19</v>
      </c>
      <c r="F257" s="222">
        <v>0.76</v>
      </c>
      <c r="G257" s="222">
        <v>0.76</v>
      </c>
    </row>
    <row r="258" spans="1:7" ht="14" x14ac:dyDescent="0.15">
      <c r="A258" s="108" t="s">
        <v>1112</v>
      </c>
      <c r="B258" s="216">
        <v>2000056647928</v>
      </c>
      <c r="C258" s="219" t="s">
        <v>1000</v>
      </c>
      <c r="D258" s="112">
        <v>0</v>
      </c>
      <c r="E258" s="222">
        <v>1.61</v>
      </c>
      <c r="F258" s="222">
        <v>1.55</v>
      </c>
      <c r="G258" s="222">
        <v>1.55</v>
      </c>
    </row>
    <row r="259" spans="1:7" ht="14" x14ac:dyDescent="0.15">
      <c r="A259" s="108">
        <v>897</v>
      </c>
      <c r="B259" s="216" t="s">
        <v>1148</v>
      </c>
      <c r="C259" s="219" t="s">
        <v>1001</v>
      </c>
      <c r="D259" s="112">
        <v>0</v>
      </c>
      <c r="E259" s="222">
        <v>16.12</v>
      </c>
      <c r="F259" s="222">
        <v>1.1100000000000001</v>
      </c>
      <c r="G259" s="222">
        <v>1.1100000000000001</v>
      </c>
    </row>
    <row r="260" spans="1:7" ht="14" x14ac:dyDescent="0.15">
      <c r="A260" s="108" t="s">
        <v>1113</v>
      </c>
      <c r="B260" s="216">
        <v>2000056456743</v>
      </c>
      <c r="C260" s="219" t="s">
        <v>1002</v>
      </c>
      <c r="D260" s="112">
        <v>0</v>
      </c>
      <c r="E260" s="222">
        <v>22.83</v>
      </c>
      <c r="F260" s="222">
        <v>1.25</v>
      </c>
      <c r="G260" s="222">
        <v>1.25</v>
      </c>
    </row>
    <row r="261" spans="1:7" ht="14" x14ac:dyDescent="0.15">
      <c r="A261" s="108" t="s">
        <v>1114</v>
      </c>
      <c r="B261" s="216">
        <v>2000056872183</v>
      </c>
      <c r="C261" s="219" t="s">
        <v>1003</v>
      </c>
      <c r="D261" s="112">
        <v>0</v>
      </c>
      <c r="E261" s="222">
        <v>186.74</v>
      </c>
      <c r="F261" s="222">
        <v>0.94</v>
      </c>
      <c r="G261" s="222">
        <v>0.94</v>
      </c>
    </row>
    <row r="262" spans="1:7" ht="14" x14ac:dyDescent="0.15">
      <c r="A262" s="108">
        <v>897</v>
      </c>
      <c r="B262" s="216" t="s">
        <v>1148</v>
      </c>
      <c r="C262" s="219" t="s">
        <v>1004</v>
      </c>
      <c r="D262" s="112">
        <v>0</v>
      </c>
      <c r="E262" s="222">
        <v>580.05999999999995</v>
      </c>
      <c r="F262" s="222">
        <v>1.65</v>
      </c>
      <c r="G262" s="222">
        <v>1.65</v>
      </c>
    </row>
    <row r="263" spans="1:7" ht="14" x14ac:dyDescent="0.15">
      <c r="A263" s="108">
        <v>838</v>
      </c>
      <c r="B263" s="216">
        <v>2000056479129</v>
      </c>
      <c r="C263" s="219" t="s">
        <v>1005</v>
      </c>
      <c r="D263" s="112">
        <v>6.1660000000000004</v>
      </c>
      <c r="E263" s="222">
        <v>38.229999999999997</v>
      </c>
      <c r="F263" s="222">
        <v>0.87</v>
      </c>
      <c r="G263" s="222">
        <v>0.87</v>
      </c>
    </row>
    <row r="264" spans="1:7" ht="14" x14ac:dyDescent="0.15">
      <c r="A264" s="108">
        <v>843</v>
      </c>
      <c r="B264" s="216">
        <v>2000056465942</v>
      </c>
      <c r="C264" s="219" t="s">
        <v>1006</v>
      </c>
      <c r="D264" s="112">
        <v>0</v>
      </c>
      <c r="E264" s="222">
        <v>3.45</v>
      </c>
      <c r="F264" s="222">
        <v>0.86</v>
      </c>
      <c r="G264" s="222">
        <v>0.86</v>
      </c>
    </row>
    <row r="265" spans="1:7" ht="14" x14ac:dyDescent="0.15">
      <c r="A265" s="108">
        <v>871</v>
      </c>
      <c r="B265" s="216">
        <v>2000056504928</v>
      </c>
      <c r="C265" s="219" t="s">
        <v>1007</v>
      </c>
      <c r="D265" s="112">
        <v>0</v>
      </c>
      <c r="E265" s="222">
        <v>6.12</v>
      </c>
      <c r="F265" s="222">
        <v>1.36</v>
      </c>
      <c r="G265" s="222">
        <v>1.36</v>
      </c>
    </row>
    <row r="266" spans="1:7" ht="14" x14ac:dyDescent="0.15">
      <c r="A266" s="108">
        <v>879</v>
      </c>
      <c r="B266" s="216">
        <v>2000056522323</v>
      </c>
      <c r="C266" s="219" t="s">
        <v>1008</v>
      </c>
      <c r="D266" s="112">
        <v>0</v>
      </c>
      <c r="E266" s="222">
        <v>8.94</v>
      </c>
      <c r="F266" s="222">
        <v>0.98</v>
      </c>
      <c r="G266" s="222">
        <v>0.98</v>
      </c>
    </row>
    <row r="267" spans="1:7" ht="14" x14ac:dyDescent="0.15">
      <c r="A267" s="108">
        <v>887</v>
      </c>
      <c r="B267" s="216">
        <v>2000056527544</v>
      </c>
      <c r="C267" s="219" t="s">
        <v>1009</v>
      </c>
      <c r="D267" s="112">
        <v>0.40300000000000002</v>
      </c>
      <c r="E267" s="222">
        <v>28.08</v>
      </c>
      <c r="F267" s="222">
        <v>1.1599999999999999</v>
      </c>
      <c r="G267" s="222">
        <v>1.1599999999999999</v>
      </c>
    </row>
    <row r="268" spans="1:7" ht="14" x14ac:dyDescent="0.15">
      <c r="A268" s="108">
        <v>900</v>
      </c>
      <c r="B268" s="216">
        <v>2000056873470</v>
      </c>
      <c r="C268" s="219" t="s">
        <v>1010</v>
      </c>
      <c r="D268" s="112">
        <v>0.39600000000000002</v>
      </c>
      <c r="E268" s="222">
        <v>7.5</v>
      </c>
      <c r="F268" s="222">
        <v>0.91</v>
      </c>
      <c r="G268" s="222">
        <v>0.91</v>
      </c>
    </row>
    <row r="269" spans="1:7" ht="28" x14ac:dyDescent="0.15">
      <c r="A269" s="108">
        <v>897</v>
      </c>
      <c r="B269" s="216" t="s">
        <v>1154</v>
      </c>
      <c r="C269" s="219" t="s">
        <v>1011</v>
      </c>
      <c r="D269" s="112">
        <v>1.9059999999999999</v>
      </c>
      <c r="E269" s="222">
        <v>4563.0600000000004</v>
      </c>
      <c r="F269" s="222">
        <v>2.41</v>
      </c>
      <c r="G269" s="222">
        <v>2.41</v>
      </c>
    </row>
    <row r="270" spans="1:7" ht="14" x14ac:dyDescent="0.15">
      <c r="A270" s="108" t="s">
        <v>1115</v>
      </c>
      <c r="B270" s="216">
        <v>2000056873512</v>
      </c>
      <c r="C270" s="219" t="s">
        <v>1012</v>
      </c>
      <c r="D270" s="112">
        <v>0.97299999999999998</v>
      </c>
      <c r="E270" s="222">
        <v>19.88</v>
      </c>
      <c r="F270" s="222">
        <v>0.81</v>
      </c>
      <c r="G270" s="222">
        <v>0.81</v>
      </c>
    </row>
    <row r="271" spans="1:7" ht="14" x14ac:dyDescent="0.15">
      <c r="A271" s="108" t="s">
        <v>1116</v>
      </c>
      <c r="B271" s="216">
        <v>2000056644670</v>
      </c>
      <c r="C271" s="219" t="s">
        <v>1013</v>
      </c>
      <c r="D271" s="112">
        <v>6.0739999999999998</v>
      </c>
      <c r="E271" s="222">
        <v>2.73</v>
      </c>
      <c r="F271" s="222">
        <v>0.79</v>
      </c>
      <c r="G271" s="222">
        <v>0.79</v>
      </c>
    </row>
    <row r="272" spans="1:7" ht="14" x14ac:dyDescent="0.15">
      <c r="A272" s="108">
        <v>897</v>
      </c>
      <c r="B272" s="216">
        <v>2000056774788</v>
      </c>
      <c r="C272" s="219" t="s">
        <v>1014</v>
      </c>
      <c r="D272" s="112">
        <v>0</v>
      </c>
      <c r="E272" s="222">
        <v>12.79</v>
      </c>
      <c r="F272" s="222">
        <v>0.68</v>
      </c>
      <c r="G272" s="222">
        <v>0.68</v>
      </c>
    </row>
    <row r="273" spans="1:7" ht="14" x14ac:dyDescent="0.15">
      <c r="A273" s="108">
        <v>897</v>
      </c>
      <c r="B273" s="216" t="s">
        <v>1148</v>
      </c>
      <c r="C273" s="219" t="s">
        <v>1015</v>
      </c>
      <c r="D273" s="112">
        <v>0</v>
      </c>
      <c r="E273" s="222">
        <v>206.66</v>
      </c>
      <c r="F273" s="222">
        <v>1.22</v>
      </c>
      <c r="G273" s="222">
        <v>1.22</v>
      </c>
    </row>
    <row r="274" spans="1:7" ht="14" x14ac:dyDescent="0.15">
      <c r="A274" s="108">
        <v>897</v>
      </c>
      <c r="B274" s="216" t="s">
        <v>1148</v>
      </c>
      <c r="C274" s="219" t="s">
        <v>1016</v>
      </c>
      <c r="D274" s="112">
        <v>6.2140000000000004</v>
      </c>
      <c r="E274" s="222">
        <v>6.58</v>
      </c>
      <c r="F274" s="222">
        <v>1.55</v>
      </c>
      <c r="G274" s="222">
        <v>1.55</v>
      </c>
    </row>
    <row r="275" spans="1:7" ht="14" x14ac:dyDescent="0.15">
      <c r="A275" s="108">
        <v>897</v>
      </c>
      <c r="B275" s="216">
        <v>2000057382881</v>
      </c>
      <c r="C275" s="219" t="s">
        <v>1017</v>
      </c>
      <c r="D275" s="112">
        <v>0</v>
      </c>
      <c r="E275" s="222">
        <v>2.74</v>
      </c>
      <c r="F275" s="222">
        <v>0.97</v>
      </c>
      <c r="G275" s="222">
        <v>0.97</v>
      </c>
    </row>
    <row r="276" spans="1:7" ht="14" x14ac:dyDescent="0.15">
      <c r="A276" s="108">
        <v>897</v>
      </c>
      <c r="B276" s="216" t="s">
        <v>1148</v>
      </c>
      <c r="C276" s="219" t="s">
        <v>1018</v>
      </c>
      <c r="D276" s="112">
        <v>0</v>
      </c>
      <c r="E276" s="222">
        <v>37.42</v>
      </c>
      <c r="F276" s="222">
        <v>1.1100000000000001</v>
      </c>
      <c r="G276" s="222">
        <v>1.1100000000000001</v>
      </c>
    </row>
    <row r="277" spans="1:7" ht="14" x14ac:dyDescent="0.15">
      <c r="A277" s="108">
        <v>897</v>
      </c>
      <c r="B277" s="216" t="s">
        <v>1148</v>
      </c>
      <c r="C277" s="219" t="s">
        <v>1019</v>
      </c>
      <c r="D277" s="112">
        <v>0.40100000000000002</v>
      </c>
      <c r="E277" s="222">
        <v>1708.98</v>
      </c>
      <c r="F277" s="222">
        <v>1.32</v>
      </c>
      <c r="G277" s="222">
        <v>1.32</v>
      </c>
    </row>
    <row r="278" spans="1:7" ht="14" x14ac:dyDescent="0.15">
      <c r="A278" s="108">
        <v>899</v>
      </c>
      <c r="B278" s="216" t="s">
        <v>1148</v>
      </c>
      <c r="C278" s="219" t="s">
        <v>1020</v>
      </c>
      <c r="D278" s="112">
        <v>0</v>
      </c>
      <c r="E278" s="222">
        <v>136</v>
      </c>
      <c r="F278" s="222">
        <v>1.38</v>
      </c>
      <c r="G278" s="222">
        <v>1.38</v>
      </c>
    </row>
    <row r="279" spans="1:7" ht="14" x14ac:dyDescent="0.15">
      <c r="A279" s="108">
        <v>897</v>
      </c>
      <c r="B279" s="216" t="s">
        <v>1148</v>
      </c>
      <c r="C279" s="219" t="s">
        <v>1021</v>
      </c>
      <c r="D279" s="112">
        <v>0.40100000000000002</v>
      </c>
      <c r="E279" s="222">
        <v>298.16000000000003</v>
      </c>
      <c r="F279" s="222">
        <v>1.1100000000000001</v>
      </c>
      <c r="G279" s="222">
        <v>1.1100000000000001</v>
      </c>
    </row>
    <row r="280" spans="1:7" ht="14" x14ac:dyDescent="0.15">
      <c r="A280" s="108">
        <v>7372</v>
      </c>
      <c r="B280" s="216">
        <v>7372</v>
      </c>
      <c r="C280" s="219" t="s">
        <v>1022</v>
      </c>
      <c r="D280" s="112">
        <v>1.85</v>
      </c>
      <c r="E280" s="222">
        <v>22.21</v>
      </c>
      <c r="F280" s="222">
        <v>1.1100000000000001</v>
      </c>
      <c r="G280" s="222">
        <v>1.1100000000000001</v>
      </c>
    </row>
    <row r="281" spans="1:7" ht="14" x14ac:dyDescent="0.15">
      <c r="A281" s="108">
        <v>897</v>
      </c>
      <c r="B281" s="216" t="s">
        <v>1148</v>
      </c>
      <c r="C281" s="219" t="s">
        <v>1023</v>
      </c>
      <c r="D281" s="112">
        <v>0.995</v>
      </c>
      <c r="E281" s="222">
        <v>128.37</v>
      </c>
      <c r="F281" s="222">
        <v>1.1100000000000001</v>
      </c>
      <c r="G281" s="222">
        <v>1.1100000000000001</v>
      </c>
    </row>
    <row r="282" spans="1:7" ht="14" x14ac:dyDescent="0.15">
      <c r="A282" s="108">
        <v>899</v>
      </c>
      <c r="B282" s="216" t="s">
        <v>1148</v>
      </c>
      <c r="C282" s="219" t="s">
        <v>1024</v>
      </c>
      <c r="D282" s="112">
        <v>0</v>
      </c>
      <c r="E282" s="222">
        <v>18.18</v>
      </c>
      <c r="F282" s="222">
        <v>0.91</v>
      </c>
      <c r="G282" s="222">
        <v>0.91</v>
      </c>
    </row>
    <row r="283" spans="1:7" ht="14" x14ac:dyDescent="0.15">
      <c r="A283" s="108">
        <v>897</v>
      </c>
      <c r="B283" s="216" t="s">
        <v>1148</v>
      </c>
      <c r="C283" s="219" t="s">
        <v>1025</v>
      </c>
      <c r="D283" s="112">
        <v>0</v>
      </c>
      <c r="E283" s="222">
        <v>67.86</v>
      </c>
      <c r="F283" s="222">
        <v>1.96</v>
      </c>
      <c r="G283" s="222">
        <v>1.96</v>
      </c>
    </row>
    <row r="284" spans="1:7" ht="14" x14ac:dyDescent="0.15">
      <c r="A284" s="108">
        <v>897</v>
      </c>
      <c r="B284" s="216" t="s">
        <v>1148</v>
      </c>
      <c r="C284" s="219" t="s">
        <v>1026</v>
      </c>
      <c r="D284" s="112">
        <v>0</v>
      </c>
      <c r="E284" s="222">
        <v>0.83</v>
      </c>
      <c r="F284" s="222">
        <v>1.96</v>
      </c>
      <c r="G284" s="222">
        <v>1.96</v>
      </c>
    </row>
    <row r="285" spans="1:7" ht="14" x14ac:dyDescent="0.15">
      <c r="A285" s="108" t="s">
        <v>1117</v>
      </c>
      <c r="B285" s="216">
        <v>2000056721085</v>
      </c>
      <c r="C285" s="219" t="s">
        <v>1027</v>
      </c>
      <c r="D285" s="112">
        <v>1.9930000000000001</v>
      </c>
      <c r="E285" s="222">
        <v>10.27</v>
      </c>
      <c r="F285" s="222">
        <v>0.77</v>
      </c>
      <c r="G285" s="222">
        <v>0.77</v>
      </c>
    </row>
    <row r="286" spans="1:7" ht="14" x14ac:dyDescent="0.15">
      <c r="A286" s="108">
        <v>897</v>
      </c>
      <c r="B286" s="216" t="s">
        <v>1148</v>
      </c>
      <c r="C286" s="219" t="s">
        <v>1028</v>
      </c>
      <c r="D286" s="112">
        <v>0</v>
      </c>
      <c r="E286" s="222">
        <v>275.35000000000002</v>
      </c>
      <c r="F286" s="222">
        <v>0.97</v>
      </c>
      <c r="G286" s="222">
        <v>0.97</v>
      </c>
    </row>
    <row r="287" spans="1:7" ht="14" x14ac:dyDescent="0.15">
      <c r="A287" s="108">
        <v>897</v>
      </c>
      <c r="B287" s="216" t="s">
        <v>1148</v>
      </c>
      <c r="C287" s="219" t="s">
        <v>1029</v>
      </c>
      <c r="D287" s="112">
        <v>2.3540000000000001</v>
      </c>
      <c r="E287" s="222">
        <v>4.25</v>
      </c>
      <c r="F287" s="222">
        <v>1.1100000000000001</v>
      </c>
      <c r="G287" s="222">
        <v>1.1100000000000001</v>
      </c>
    </row>
    <row r="288" spans="1:7" ht="14" x14ac:dyDescent="0.15">
      <c r="A288" s="108" t="s">
        <v>1118</v>
      </c>
      <c r="B288" s="216">
        <v>2000056873489</v>
      </c>
      <c r="C288" s="219" t="s">
        <v>1030</v>
      </c>
      <c r="D288" s="112">
        <v>0.4</v>
      </c>
      <c r="E288" s="222">
        <v>60.73</v>
      </c>
      <c r="F288" s="222">
        <v>0.8</v>
      </c>
      <c r="G288" s="222">
        <v>0.8</v>
      </c>
    </row>
    <row r="289" spans="1:7" ht="14" x14ac:dyDescent="0.15">
      <c r="A289" s="108">
        <v>897</v>
      </c>
      <c r="B289" s="216" t="s">
        <v>1148</v>
      </c>
      <c r="C289" s="219" t="s">
        <v>1031</v>
      </c>
      <c r="D289" s="112">
        <v>0</v>
      </c>
      <c r="E289" s="222">
        <v>6715.45</v>
      </c>
      <c r="F289" s="222">
        <v>1.29</v>
      </c>
      <c r="G289" s="222">
        <v>1.29</v>
      </c>
    </row>
    <row r="290" spans="1:7" ht="14" x14ac:dyDescent="0.15">
      <c r="A290" s="108">
        <v>897</v>
      </c>
      <c r="B290" s="216">
        <v>2000056970234</v>
      </c>
      <c r="C290" s="219" t="s">
        <v>1032</v>
      </c>
      <c r="D290" s="112">
        <v>0</v>
      </c>
      <c r="E290" s="222">
        <v>10.62</v>
      </c>
      <c r="F290" s="222">
        <v>0.82</v>
      </c>
      <c r="G290" s="222">
        <v>0.82</v>
      </c>
    </row>
    <row r="291" spans="1:7" ht="14" x14ac:dyDescent="0.15">
      <c r="A291" s="108">
        <v>897</v>
      </c>
      <c r="B291" s="223" t="s">
        <v>563</v>
      </c>
      <c r="C291" s="219" t="s">
        <v>1033</v>
      </c>
      <c r="D291" s="112">
        <v>6.2779999999999996</v>
      </c>
      <c r="E291" s="222">
        <v>275.35000000000002</v>
      </c>
      <c r="F291" s="222">
        <v>0.62</v>
      </c>
      <c r="G291" s="222">
        <v>0.62</v>
      </c>
    </row>
    <row r="292" spans="1:7" ht="14" x14ac:dyDescent="0.15">
      <c r="A292" s="108">
        <v>739</v>
      </c>
      <c r="B292" s="216" t="s">
        <v>1148</v>
      </c>
      <c r="C292" s="219" t="s">
        <v>1034</v>
      </c>
      <c r="D292" s="112">
        <v>0.995</v>
      </c>
      <c r="E292" s="222">
        <v>65.680000000000007</v>
      </c>
      <c r="F292" s="222">
        <v>1.47</v>
      </c>
      <c r="G292" s="222">
        <v>1.47</v>
      </c>
    </row>
    <row r="293" spans="1:7" ht="14" x14ac:dyDescent="0.15">
      <c r="A293" s="108" t="s">
        <v>1119</v>
      </c>
      <c r="B293" s="216">
        <v>2000056879230</v>
      </c>
      <c r="C293" s="219" t="s">
        <v>1035</v>
      </c>
      <c r="D293" s="112">
        <v>0</v>
      </c>
      <c r="E293" s="222">
        <v>1.6</v>
      </c>
      <c r="F293" s="222">
        <v>1.01</v>
      </c>
      <c r="G293" s="222">
        <v>1.01</v>
      </c>
    </row>
    <row r="294" spans="1:7" ht="14" x14ac:dyDescent="0.15">
      <c r="A294" s="108" t="s">
        <v>1120</v>
      </c>
      <c r="B294" s="216">
        <v>2000056873521</v>
      </c>
      <c r="C294" s="219" t="s">
        <v>1036</v>
      </c>
      <c r="D294" s="112">
        <v>0.94</v>
      </c>
      <c r="E294" s="222">
        <v>101.77</v>
      </c>
      <c r="F294" s="222">
        <v>0.76</v>
      </c>
      <c r="G294" s="222">
        <v>0.76</v>
      </c>
    </row>
    <row r="295" spans="1:7" ht="14" x14ac:dyDescent="0.15">
      <c r="A295" s="108">
        <v>897</v>
      </c>
      <c r="B295" s="216">
        <v>2000057162785</v>
      </c>
      <c r="C295" s="219" t="s">
        <v>1037</v>
      </c>
      <c r="D295" s="112">
        <v>0.40100000000000002</v>
      </c>
      <c r="E295" s="222">
        <v>216.42</v>
      </c>
      <c r="F295" s="222">
        <v>1.1100000000000001</v>
      </c>
      <c r="G295" s="222">
        <v>1.1100000000000001</v>
      </c>
    </row>
    <row r="296" spans="1:7" ht="14" x14ac:dyDescent="0.15">
      <c r="A296" s="108">
        <v>899</v>
      </c>
      <c r="B296" s="216" t="s">
        <v>1148</v>
      </c>
      <c r="C296" s="219" t="s">
        <v>1038</v>
      </c>
      <c r="D296" s="112">
        <v>0</v>
      </c>
      <c r="E296" s="222">
        <v>28.34</v>
      </c>
      <c r="F296" s="222">
        <v>1.38</v>
      </c>
      <c r="G296" s="222">
        <v>1.38</v>
      </c>
    </row>
    <row r="297" spans="1:7" ht="14" x14ac:dyDescent="0.15">
      <c r="A297" s="108">
        <v>897</v>
      </c>
      <c r="B297" s="216" t="s">
        <v>1148</v>
      </c>
      <c r="C297" s="219" t="s">
        <v>1039</v>
      </c>
      <c r="D297" s="112">
        <v>0.995</v>
      </c>
      <c r="E297" s="222">
        <v>73.22</v>
      </c>
      <c r="F297" s="222">
        <v>1.1100000000000001</v>
      </c>
      <c r="G297" s="222">
        <v>1.1100000000000001</v>
      </c>
    </row>
    <row r="298" spans="1:7" ht="14" x14ac:dyDescent="0.15">
      <c r="A298" s="108">
        <v>897</v>
      </c>
      <c r="B298" s="216" t="s">
        <v>1148</v>
      </c>
      <c r="C298" s="219" t="s">
        <v>1040</v>
      </c>
      <c r="D298" s="112">
        <v>0</v>
      </c>
      <c r="E298" s="222">
        <v>5.19</v>
      </c>
      <c r="F298" s="222">
        <v>1.96</v>
      </c>
      <c r="G298" s="222">
        <v>1.96</v>
      </c>
    </row>
    <row r="299" spans="1:7" ht="14" x14ac:dyDescent="0.15">
      <c r="A299" s="108">
        <v>897</v>
      </c>
      <c r="B299" s="216" t="s">
        <v>1148</v>
      </c>
      <c r="C299" s="219" t="s">
        <v>1041</v>
      </c>
      <c r="D299" s="112">
        <v>0.40100000000000002</v>
      </c>
      <c r="E299" s="222">
        <v>16.420000000000002</v>
      </c>
      <c r="F299" s="222">
        <v>1.1100000000000001</v>
      </c>
      <c r="G299" s="222">
        <v>1.1100000000000001</v>
      </c>
    </row>
    <row r="300" spans="1:7" ht="14" x14ac:dyDescent="0.15">
      <c r="A300" s="108">
        <v>897</v>
      </c>
      <c r="B300" s="216" t="s">
        <v>1148</v>
      </c>
      <c r="C300" s="219" t="s">
        <v>1042</v>
      </c>
      <c r="D300" s="112">
        <v>0</v>
      </c>
      <c r="E300" s="222">
        <v>370.24</v>
      </c>
      <c r="F300" s="222">
        <v>0.97</v>
      </c>
      <c r="G300" s="222">
        <v>0.97</v>
      </c>
    </row>
    <row r="301" spans="1:7" ht="14" x14ac:dyDescent="0.15">
      <c r="A301" s="108">
        <v>897</v>
      </c>
      <c r="B301" s="216" t="s">
        <v>1148</v>
      </c>
      <c r="C301" s="219" t="s">
        <v>1043</v>
      </c>
      <c r="D301" s="112">
        <v>2.3540000000000001</v>
      </c>
      <c r="E301" s="222">
        <v>0.64</v>
      </c>
      <c r="F301" s="222">
        <v>1.1100000000000001</v>
      </c>
      <c r="G301" s="222">
        <v>1.1100000000000001</v>
      </c>
    </row>
    <row r="302" spans="1:7" ht="14" x14ac:dyDescent="0.15">
      <c r="A302" s="108">
        <v>899</v>
      </c>
      <c r="B302" s="216" t="s">
        <v>1148</v>
      </c>
      <c r="C302" s="219" t="s">
        <v>1044</v>
      </c>
      <c r="D302" s="112">
        <v>0</v>
      </c>
      <c r="E302" s="222">
        <v>1181.23</v>
      </c>
      <c r="F302" s="222">
        <v>0.56000000000000005</v>
      </c>
      <c r="G302" s="222">
        <v>0.56000000000000005</v>
      </c>
    </row>
    <row r="303" spans="1:7" ht="14" x14ac:dyDescent="0.15">
      <c r="A303" s="108">
        <v>899</v>
      </c>
      <c r="B303" s="216" t="s">
        <v>1148</v>
      </c>
      <c r="C303" s="219" t="s">
        <v>1045</v>
      </c>
      <c r="D303" s="112">
        <v>0</v>
      </c>
      <c r="E303" s="222">
        <v>1181.23</v>
      </c>
      <c r="F303" s="222">
        <v>0.87</v>
      </c>
      <c r="G303" s="222">
        <v>0.87</v>
      </c>
    </row>
    <row r="304" spans="1:7" ht="14" x14ac:dyDescent="0.15">
      <c r="A304" s="108">
        <v>899</v>
      </c>
      <c r="B304" s="216" t="s">
        <v>1148</v>
      </c>
      <c r="C304" s="219" t="s">
        <v>1046</v>
      </c>
      <c r="D304" s="112">
        <v>0</v>
      </c>
      <c r="E304" s="222">
        <v>5177.8999999999996</v>
      </c>
      <c r="F304" s="222">
        <v>0.92</v>
      </c>
      <c r="G304" s="222">
        <v>0.92</v>
      </c>
    </row>
    <row r="305" spans="1:7" ht="14" x14ac:dyDescent="0.15">
      <c r="A305" s="108">
        <v>897</v>
      </c>
      <c r="B305" s="216" t="s">
        <v>1148</v>
      </c>
      <c r="C305" s="219" t="s">
        <v>1047</v>
      </c>
      <c r="D305" s="112">
        <v>0</v>
      </c>
      <c r="E305" s="222">
        <v>13.81</v>
      </c>
      <c r="F305" s="222">
        <v>1.1100000000000001</v>
      </c>
      <c r="G305" s="222">
        <v>1.1100000000000001</v>
      </c>
    </row>
    <row r="306" spans="1:7" ht="14" x14ac:dyDescent="0.15">
      <c r="A306" s="108">
        <v>899</v>
      </c>
      <c r="B306" s="216" t="s">
        <v>1148</v>
      </c>
      <c r="C306" s="219" t="s">
        <v>1048</v>
      </c>
      <c r="D306" s="112">
        <v>0</v>
      </c>
      <c r="E306" s="222">
        <v>1181.23</v>
      </c>
      <c r="F306" s="222">
        <v>1.47</v>
      </c>
      <c r="G306" s="222">
        <v>1.47</v>
      </c>
    </row>
    <row r="307" spans="1:7" ht="14" x14ac:dyDescent="0.15">
      <c r="A307" s="108">
        <v>897</v>
      </c>
      <c r="B307" s="216" t="s">
        <v>1148</v>
      </c>
      <c r="C307" s="219" t="s">
        <v>1049</v>
      </c>
      <c r="D307" s="112">
        <v>6.2140000000000004</v>
      </c>
      <c r="E307" s="222">
        <v>31.01</v>
      </c>
      <c r="F307" s="222">
        <v>1.38</v>
      </c>
      <c r="G307" s="222">
        <v>1.38</v>
      </c>
    </row>
    <row r="308" spans="1:7" ht="14" x14ac:dyDescent="0.15">
      <c r="A308" s="108">
        <v>897</v>
      </c>
      <c r="B308" s="216" t="s">
        <v>1148</v>
      </c>
      <c r="C308" s="219" t="s">
        <v>1050</v>
      </c>
      <c r="D308" s="112">
        <v>0.995</v>
      </c>
      <c r="E308" s="222">
        <v>441.41</v>
      </c>
      <c r="F308" s="222">
        <v>1.1100000000000001</v>
      </c>
      <c r="G308" s="222">
        <v>1.1100000000000001</v>
      </c>
    </row>
    <row r="309" spans="1:7" ht="14" x14ac:dyDescent="0.15">
      <c r="A309" s="108">
        <v>897</v>
      </c>
      <c r="B309" s="216">
        <v>2000057082465</v>
      </c>
      <c r="C309" s="219" t="s">
        <v>1051</v>
      </c>
      <c r="D309" s="112">
        <v>0</v>
      </c>
      <c r="E309" s="222">
        <v>93.36</v>
      </c>
      <c r="F309" s="222">
        <v>1.65</v>
      </c>
      <c r="G309" s="222">
        <v>1.65</v>
      </c>
    </row>
    <row r="310" spans="1:7" ht="14" x14ac:dyDescent="0.15">
      <c r="A310" s="108">
        <v>897</v>
      </c>
      <c r="B310" s="216" t="s">
        <v>1148</v>
      </c>
      <c r="C310" s="219" t="s">
        <v>1052</v>
      </c>
      <c r="D310" s="112">
        <v>0</v>
      </c>
      <c r="E310" s="222">
        <v>477.91</v>
      </c>
      <c r="F310" s="222">
        <v>0.97</v>
      </c>
      <c r="G310" s="222">
        <v>0.97</v>
      </c>
    </row>
    <row r="311" spans="1:7" ht="14" x14ac:dyDescent="0.15">
      <c r="A311" s="108">
        <v>897</v>
      </c>
      <c r="B311" s="216" t="s">
        <v>1148</v>
      </c>
      <c r="C311" s="219" t="s">
        <v>1053</v>
      </c>
      <c r="D311" s="112">
        <v>0.40100000000000002</v>
      </c>
      <c r="E311" s="222">
        <v>17.32</v>
      </c>
      <c r="F311" s="222">
        <v>1.1100000000000001</v>
      </c>
      <c r="G311" s="222">
        <v>1.1100000000000001</v>
      </c>
    </row>
    <row r="312" spans="1:7" ht="14" x14ac:dyDescent="0.15">
      <c r="A312" s="108" t="s">
        <v>1977</v>
      </c>
      <c r="B312" s="216">
        <v>2000057173796</v>
      </c>
      <c r="C312" s="219" t="s">
        <v>1054</v>
      </c>
      <c r="D312" s="112">
        <v>0.40600000000000003</v>
      </c>
      <c r="E312" s="222">
        <v>1.41</v>
      </c>
      <c r="F312" s="222">
        <v>0.68</v>
      </c>
      <c r="G312" s="222">
        <v>0.68</v>
      </c>
    </row>
    <row r="313" spans="1:7" ht="14" x14ac:dyDescent="0.15">
      <c r="A313" s="108">
        <v>897</v>
      </c>
      <c r="B313" s="216" t="s">
        <v>1148</v>
      </c>
      <c r="C313" s="219" t="s">
        <v>1055</v>
      </c>
      <c r="D313" s="112">
        <v>6.2140000000000004</v>
      </c>
      <c r="E313" s="222">
        <v>122.7</v>
      </c>
      <c r="F313" s="222">
        <v>1.51</v>
      </c>
      <c r="G313" s="222">
        <v>1.51</v>
      </c>
    </row>
    <row r="314" spans="1:7" ht="14" x14ac:dyDescent="0.15">
      <c r="A314" s="108">
        <v>897</v>
      </c>
      <c r="B314" s="216" t="s">
        <v>1148</v>
      </c>
      <c r="C314" s="219" t="s">
        <v>1056</v>
      </c>
      <c r="D314" s="112">
        <v>2.3540000000000001</v>
      </c>
      <c r="E314" s="222">
        <v>28.43</v>
      </c>
      <c r="F314" s="222">
        <v>1.47</v>
      </c>
      <c r="G314" s="222">
        <v>1.47</v>
      </c>
    </row>
    <row r="315" spans="1:7" ht="14" x14ac:dyDescent="0.15">
      <c r="A315" s="108">
        <v>897</v>
      </c>
      <c r="B315" s="216" t="s">
        <v>1148</v>
      </c>
      <c r="C315" s="219" t="s">
        <v>1057</v>
      </c>
      <c r="D315" s="112">
        <v>2.3540000000000001</v>
      </c>
      <c r="E315" s="222">
        <v>2.88</v>
      </c>
      <c r="F315" s="222">
        <v>1.37</v>
      </c>
      <c r="G315" s="222">
        <v>1.37</v>
      </c>
    </row>
    <row r="316" spans="1:7" ht="14" x14ac:dyDescent="0.15">
      <c r="A316" s="108">
        <v>739</v>
      </c>
      <c r="B316" s="216" t="s">
        <v>1148</v>
      </c>
      <c r="C316" s="219" t="s">
        <v>1058</v>
      </c>
      <c r="D316" s="112">
        <v>0.40100000000000002</v>
      </c>
      <c r="E316" s="222">
        <v>73.849999999999994</v>
      </c>
      <c r="F316" s="222">
        <v>1.47</v>
      </c>
      <c r="G316" s="222">
        <v>1.47</v>
      </c>
    </row>
    <row r="317" spans="1:7" ht="14" x14ac:dyDescent="0.15">
      <c r="A317" s="108">
        <v>897</v>
      </c>
      <c r="B317" s="216" t="s">
        <v>1148</v>
      </c>
      <c r="C317" s="219" t="s">
        <v>1059</v>
      </c>
      <c r="D317" s="112">
        <v>0</v>
      </c>
      <c r="E317" s="222">
        <v>2042.65</v>
      </c>
      <c r="F317" s="222">
        <v>0.97</v>
      </c>
      <c r="G317" s="222">
        <v>0.97</v>
      </c>
    </row>
    <row r="318" spans="1:7" ht="14" x14ac:dyDescent="0.15">
      <c r="A318" s="108">
        <v>897</v>
      </c>
      <c r="B318" s="216" t="s">
        <v>1148</v>
      </c>
      <c r="C318" s="219" t="s">
        <v>1060</v>
      </c>
      <c r="D318" s="112">
        <v>0</v>
      </c>
      <c r="E318" s="222">
        <v>1.78</v>
      </c>
      <c r="F318" s="222">
        <v>1.1499999999999999</v>
      </c>
      <c r="G318" s="222">
        <v>1.1499999999999999</v>
      </c>
    </row>
    <row r="319" spans="1:7" ht="14" x14ac:dyDescent="0.15">
      <c r="A319" s="108">
        <v>897</v>
      </c>
      <c r="B319" s="216" t="s">
        <v>1148</v>
      </c>
      <c r="C319" s="219" t="s">
        <v>1061</v>
      </c>
      <c r="D319" s="112">
        <v>0.995</v>
      </c>
      <c r="E319" s="222">
        <v>3.18</v>
      </c>
      <c r="F319" s="222">
        <v>1.1100000000000001</v>
      </c>
      <c r="G319" s="222">
        <v>1.1100000000000001</v>
      </c>
    </row>
    <row r="320" spans="1:7" ht="14" x14ac:dyDescent="0.15">
      <c r="A320" s="108">
        <v>897</v>
      </c>
      <c r="B320" s="216" t="s">
        <v>1148</v>
      </c>
      <c r="C320" s="219" t="s">
        <v>1062</v>
      </c>
      <c r="D320" s="112">
        <v>0</v>
      </c>
      <c r="E320" s="222">
        <v>128.37</v>
      </c>
      <c r="F320" s="222">
        <v>1.1499999999999999</v>
      </c>
      <c r="G320" s="222">
        <v>1.1499999999999999</v>
      </c>
    </row>
    <row r="321" spans="1:7" ht="14" x14ac:dyDescent="0.15">
      <c r="A321" s="108">
        <v>897</v>
      </c>
      <c r="B321" s="216" t="s">
        <v>1148</v>
      </c>
      <c r="C321" s="219" t="s">
        <v>1063</v>
      </c>
      <c r="D321" s="112">
        <v>0</v>
      </c>
      <c r="E321" s="222">
        <v>203.27</v>
      </c>
      <c r="F321" s="222">
        <v>1.1100000000000001</v>
      </c>
      <c r="G321" s="222">
        <v>1.1100000000000001</v>
      </c>
    </row>
    <row r="322" spans="1:7" ht="14" x14ac:dyDescent="0.15">
      <c r="A322" s="108">
        <v>739</v>
      </c>
      <c r="B322" s="216" t="s">
        <v>1148</v>
      </c>
      <c r="C322" s="219" t="s">
        <v>1064</v>
      </c>
      <c r="D322" s="112">
        <v>0.59499999999999997</v>
      </c>
      <c r="E322" s="222">
        <v>8.5500000000000007</v>
      </c>
      <c r="F322" s="222">
        <v>1.63</v>
      </c>
      <c r="G322" s="222">
        <v>1.63</v>
      </c>
    </row>
    <row r="323" spans="1:7" ht="14" x14ac:dyDescent="0.15">
      <c r="A323" s="108">
        <v>739</v>
      </c>
      <c r="B323" s="216" t="s">
        <v>1148</v>
      </c>
      <c r="C323" s="219" t="s">
        <v>1065</v>
      </c>
      <c r="D323" s="112">
        <v>0.40100000000000002</v>
      </c>
      <c r="E323" s="222">
        <v>9.77</v>
      </c>
      <c r="F323" s="222">
        <v>1.47</v>
      </c>
      <c r="G323" s="222">
        <v>1.47</v>
      </c>
    </row>
    <row r="324" spans="1:7" ht="14" x14ac:dyDescent="0.15">
      <c r="A324" s="108">
        <v>739</v>
      </c>
      <c r="B324" s="216" t="s">
        <v>1148</v>
      </c>
      <c r="C324" s="219" t="s">
        <v>1066</v>
      </c>
      <c r="D324" s="112">
        <v>0</v>
      </c>
      <c r="E324" s="222">
        <v>51.01</v>
      </c>
      <c r="F324" s="222">
        <v>1.51</v>
      </c>
      <c r="G324" s="222">
        <v>1.51</v>
      </c>
    </row>
    <row r="325" spans="1:7" ht="14" x14ac:dyDescent="0.15">
      <c r="A325" s="108">
        <v>897</v>
      </c>
      <c r="B325" s="216" t="s">
        <v>1148</v>
      </c>
      <c r="C325" s="219" t="s">
        <v>1067</v>
      </c>
      <c r="D325" s="112">
        <v>0</v>
      </c>
      <c r="E325" s="222">
        <v>776.27</v>
      </c>
      <c r="F325" s="222">
        <v>0.97</v>
      </c>
      <c r="G325" s="222">
        <v>0.97</v>
      </c>
    </row>
    <row r="326" spans="1:7" ht="14" x14ac:dyDescent="0.15">
      <c r="A326" s="108">
        <v>897</v>
      </c>
      <c r="B326" s="216" t="s">
        <v>1148</v>
      </c>
      <c r="C326" s="219" t="s">
        <v>1068</v>
      </c>
      <c r="D326" s="112">
        <v>0.995</v>
      </c>
      <c r="E326" s="222">
        <v>128.37</v>
      </c>
      <c r="F326" s="222">
        <v>1.1100000000000001</v>
      </c>
      <c r="G326" s="222">
        <v>1.1100000000000001</v>
      </c>
    </row>
    <row r="327" spans="1:7" ht="14" x14ac:dyDescent="0.15">
      <c r="A327" s="108">
        <v>897</v>
      </c>
      <c r="B327" s="216" t="s">
        <v>1148</v>
      </c>
      <c r="C327" s="219" t="s">
        <v>1069</v>
      </c>
      <c r="D327" s="112">
        <v>0</v>
      </c>
      <c r="E327" s="222">
        <v>11.96</v>
      </c>
      <c r="F327" s="222">
        <v>1.1499999999999999</v>
      </c>
      <c r="G327" s="222">
        <v>1.1499999999999999</v>
      </c>
    </row>
    <row r="328" spans="1:7" ht="14" x14ac:dyDescent="0.15">
      <c r="A328" s="108">
        <v>897</v>
      </c>
      <c r="B328" s="216" t="s">
        <v>1148</v>
      </c>
      <c r="C328" s="219" t="s">
        <v>1070</v>
      </c>
      <c r="D328" s="112">
        <v>0</v>
      </c>
      <c r="E328" s="222">
        <v>372.98</v>
      </c>
      <c r="F328" s="222">
        <v>0.97</v>
      </c>
      <c r="G328" s="222">
        <v>0.97</v>
      </c>
    </row>
    <row r="329" spans="1:7" ht="14" x14ac:dyDescent="0.15">
      <c r="A329" s="108">
        <v>897</v>
      </c>
      <c r="B329" s="216" t="s">
        <v>1148</v>
      </c>
      <c r="C329" s="219" t="s">
        <v>1071</v>
      </c>
      <c r="D329" s="112">
        <v>0</v>
      </c>
      <c r="E329" s="222">
        <v>128.37</v>
      </c>
      <c r="F329" s="222">
        <v>1.1100000000000001</v>
      </c>
      <c r="G329" s="222">
        <v>1.1100000000000001</v>
      </c>
    </row>
    <row r="330" spans="1:7" ht="14" x14ac:dyDescent="0.15">
      <c r="A330" s="108">
        <v>739</v>
      </c>
      <c r="B330" s="216" t="s">
        <v>1148</v>
      </c>
      <c r="C330" s="219" t="s">
        <v>1072</v>
      </c>
      <c r="D330" s="112">
        <v>0</v>
      </c>
      <c r="E330" s="222">
        <v>151.46</v>
      </c>
      <c r="F330" s="222">
        <v>1.47</v>
      </c>
      <c r="G330" s="222">
        <v>1.47</v>
      </c>
    </row>
    <row r="331" spans="1:7" ht="14" x14ac:dyDescent="0.15">
      <c r="A331" s="108">
        <v>739</v>
      </c>
      <c r="B331" s="216" t="s">
        <v>1148</v>
      </c>
      <c r="C331" s="219" t="s">
        <v>1073</v>
      </c>
      <c r="D331" s="112">
        <v>0</v>
      </c>
      <c r="E331" s="222">
        <v>130.54</v>
      </c>
      <c r="F331" s="222">
        <v>1.47</v>
      </c>
      <c r="G331" s="222">
        <v>1.47</v>
      </c>
    </row>
    <row r="332" spans="1:7" ht="14" x14ac:dyDescent="0.15">
      <c r="A332" s="108">
        <v>897</v>
      </c>
      <c r="B332" s="216" t="s">
        <v>1148</v>
      </c>
      <c r="C332" s="219" t="s">
        <v>1074</v>
      </c>
      <c r="D332" s="112">
        <v>0</v>
      </c>
      <c r="E332" s="222">
        <v>10.33</v>
      </c>
      <c r="F332" s="222">
        <v>1.1499999999999999</v>
      </c>
      <c r="G332" s="222">
        <v>1.1499999999999999</v>
      </c>
    </row>
    <row r="333" spans="1:7" ht="14" x14ac:dyDescent="0.15">
      <c r="A333" s="108">
        <v>897</v>
      </c>
      <c r="B333" s="216" t="s">
        <v>1148</v>
      </c>
      <c r="C333" s="219" t="s">
        <v>1075</v>
      </c>
      <c r="D333" s="112">
        <v>0</v>
      </c>
      <c r="E333" s="222">
        <v>29.41</v>
      </c>
      <c r="F333" s="222">
        <v>1</v>
      </c>
      <c r="G333" s="222">
        <v>1</v>
      </c>
    </row>
    <row r="334" spans="1:7" ht="14" x14ac:dyDescent="0.15">
      <c r="A334" s="108">
        <v>897</v>
      </c>
      <c r="B334" s="216" t="s">
        <v>1148</v>
      </c>
      <c r="C334" s="219" t="s">
        <v>1076</v>
      </c>
      <c r="D334" s="112">
        <v>0</v>
      </c>
      <c r="E334" s="222">
        <v>4.37</v>
      </c>
      <c r="F334" s="222">
        <v>1.69</v>
      </c>
      <c r="G334" s="222">
        <v>1.69</v>
      </c>
    </row>
    <row r="335" spans="1:7" ht="14" x14ac:dyDescent="0.15">
      <c r="A335" s="108">
        <v>897</v>
      </c>
      <c r="B335" s="216" t="s">
        <v>1148</v>
      </c>
      <c r="C335" s="219" t="s">
        <v>1077</v>
      </c>
      <c r="D335" s="112">
        <v>0.995</v>
      </c>
      <c r="E335" s="222">
        <v>4.2300000000000004</v>
      </c>
      <c r="F335" s="222">
        <v>1.19</v>
      </c>
      <c r="G335" s="222">
        <v>1.19</v>
      </c>
    </row>
    <row r="336" spans="1:7" ht="14" x14ac:dyDescent="0.15">
      <c r="A336" s="108">
        <v>897</v>
      </c>
      <c r="B336" s="216" t="s">
        <v>1148</v>
      </c>
      <c r="C336" s="219" t="s">
        <v>1078</v>
      </c>
      <c r="D336" s="112">
        <v>0</v>
      </c>
      <c r="E336" s="222">
        <v>7.3</v>
      </c>
      <c r="F336" s="222">
        <v>1.1499999999999999</v>
      </c>
      <c r="G336" s="222">
        <v>1.1499999999999999</v>
      </c>
    </row>
    <row r="337" spans="1:7" ht="14" x14ac:dyDescent="0.15">
      <c r="A337" s="108">
        <v>739</v>
      </c>
      <c r="B337" s="216" t="s">
        <v>1148</v>
      </c>
      <c r="C337" s="219" t="s">
        <v>1079</v>
      </c>
      <c r="D337" s="112">
        <v>0</v>
      </c>
      <c r="E337" s="222">
        <v>251.05</v>
      </c>
      <c r="F337" s="222">
        <v>2.98</v>
      </c>
      <c r="G337" s="222">
        <v>2.98</v>
      </c>
    </row>
    <row r="338" spans="1:7" ht="14" x14ac:dyDescent="0.15">
      <c r="A338" s="108">
        <v>897</v>
      </c>
      <c r="B338" s="216" t="s">
        <v>1148</v>
      </c>
      <c r="C338" s="219" t="s">
        <v>1080</v>
      </c>
      <c r="D338" s="112">
        <v>0</v>
      </c>
      <c r="E338" s="222">
        <v>688.5</v>
      </c>
      <c r="F338" s="222">
        <v>0.97</v>
      </c>
      <c r="G338" s="222">
        <v>0.97</v>
      </c>
    </row>
    <row r="339" spans="1:7" ht="14" x14ac:dyDescent="0.15">
      <c r="A339" s="108">
        <v>899</v>
      </c>
      <c r="B339" s="216" t="s">
        <v>1148</v>
      </c>
      <c r="C339" s="219" t="s">
        <v>1081</v>
      </c>
      <c r="D339" s="112">
        <v>0</v>
      </c>
      <c r="E339" s="222">
        <v>4194.3999999999996</v>
      </c>
      <c r="F339" s="222">
        <v>0.56000000000000005</v>
      </c>
      <c r="G339" s="222">
        <v>0.56000000000000005</v>
      </c>
    </row>
    <row r="340" spans="1:7" ht="14" x14ac:dyDescent="0.15">
      <c r="A340" s="108">
        <v>897</v>
      </c>
      <c r="B340" s="216" t="s">
        <v>1148</v>
      </c>
      <c r="C340" s="219" t="s">
        <v>1082</v>
      </c>
      <c r="D340" s="112">
        <v>2.3540000000000001</v>
      </c>
      <c r="E340" s="222">
        <v>1016.65</v>
      </c>
      <c r="F340" s="222">
        <v>0.97</v>
      </c>
      <c r="G340" s="222">
        <v>0.97</v>
      </c>
    </row>
    <row r="341" spans="1:7" ht="14" x14ac:dyDescent="0.15">
      <c r="A341" s="108">
        <v>898</v>
      </c>
      <c r="B341" s="216" t="s">
        <v>1148</v>
      </c>
      <c r="C341" s="219" t="s">
        <v>1083</v>
      </c>
      <c r="D341" s="112">
        <v>1.339</v>
      </c>
      <c r="E341" s="222">
        <v>427.34</v>
      </c>
      <c r="F341" s="222">
        <v>2.41</v>
      </c>
      <c r="G341" s="222">
        <v>2.41</v>
      </c>
    </row>
    <row r="342" spans="1:7" ht="14" x14ac:dyDescent="0.15">
      <c r="A342" s="108">
        <v>897</v>
      </c>
      <c r="B342" s="216" t="s">
        <v>1148</v>
      </c>
      <c r="C342" s="219" t="s">
        <v>1084</v>
      </c>
      <c r="D342" s="112">
        <v>1.1879999999999999</v>
      </c>
      <c r="E342" s="222">
        <v>106.84</v>
      </c>
      <c r="F342" s="222">
        <v>1.22</v>
      </c>
      <c r="G342" s="222">
        <v>1.22</v>
      </c>
    </row>
    <row r="343" spans="1:7" ht="14" x14ac:dyDescent="0.15">
      <c r="A343" s="108">
        <v>897</v>
      </c>
      <c r="B343" s="216" t="s">
        <v>1148</v>
      </c>
      <c r="C343" s="219" t="s">
        <v>1085</v>
      </c>
      <c r="D343" s="112">
        <v>0</v>
      </c>
      <c r="E343" s="222">
        <v>660.4</v>
      </c>
      <c r="F343" s="222">
        <v>1</v>
      </c>
      <c r="G343" s="222">
        <v>1</v>
      </c>
    </row>
    <row r="344" spans="1:7" ht="14" x14ac:dyDescent="0.15">
      <c r="A344" s="108">
        <v>739</v>
      </c>
      <c r="B344" s="216" t="s">
        <v>1148</v>
      </c>
      <c r="C344" s="219" t="s">
        <v>1086</v>
      </c>
      <c r="D344" s="112">
        <v>1.087</v>
      </c>
      <c r="E344" s="222">
        <v>317.04000000000002</v>
      </c>
      <c r="F344" s="222">
        <v>12.49</v>
      </c>
      <c r="G344" s="222">
        <v>12.49</v>
      </c>
    </row>
    <row r="345" spans="1:7" ht="14" x14ac:dyDescent="0.15">
      <c r="A345" s="108">
        <v>897</v>
      </c>
      <c r="B345" s="216" t="s">
        <v>1148</v>
      </c>
      <c r="C345" s="219" t="s">
        <v>1087</v>
      </c>
      <c r="D345" s="112">
        <v>0</v>
      </c>
      <c r="E345" s="222">
        <v>6.26</v>
      </c>
      <c r="F345" s="222">
        <v>1.25</v>
      </c>
      <c r="G345" s="222">
        <v>1.25</v>
      </c>
    </row>
    <row r="346" spans="1:7" ht="14" x14ac:dyDescent="0.15">
      <c r="A346" s="108">
        <v>897</v>
      </c>
      <c r="B346" s="216" t="s">
        <v>1148</v>
      </c>
      <c r="C346" s="219" t="s">
        <v>1088</v>
      </c>
      <c r="D346" s="112">
        <v>0</v>
      </c>
      <c r="E346" s="222">
        <v>13.09</v>
      </c>
      <c r="F346" s="222">
        <v>2.57</v>
      </c>
      <c r="G346" s="222">
        <v>2.57</v>
      </c>
    </row>
    <row r="347" spans="1:7" ht="28" x14ac:dyDescent="0.15">
      <c r="A347" s="108">
        <v>745</v>
      </c>
      <c r="B347" s="216" t="s">
        <v>1979</v>
      </c>
      <c r="C347" s="219" t="s">
        <v>1089</v>
      </c>
      <c r="D347" s="112">
        <v>0.438</v>
      </c>
      <c r="E347" s="222">
        <v>5127.3100000000004</v>
      </c>
      <c r="F347" s="222">
        <v>3.77</v>
      </c>
      <c r="G347" s="222">
        <v>3.77</v>
      </c>
    </row>
    <row r="348" spans="1:7" ht="14" x14ac:dyDescent="0.15">
      <c r="A348" s="108">
        <v>897</v>
      </c>
      <c r="B348" s="216" t="s">
        <v>1148</v>
      </c>
      <c r="C348" s="219" t="s">
        <v>1090</v>
      </c>
      <c r="D348" s="112">
        <v>0</v>
      </c>
      <c r="E348" s="222">
        <v>976.27</v>
      </c>
      <c r="F348" s="222">
        <v>0.97</v>
      </c>
      <c r="G348" s="222">
        <v>0.97</v>
      </c>
    </row>
    <row r="349" spans="1:7" ht="14" x14ac:dyDescent="0.15">
      <c r="A349" s="108">
        <v>898</v>
      </c>
      <c r="B349" s="216">
        <v>2000057337337</v>
      </c>
      <c r="C349" s="219" t="s">
        <v>1091</v>
      </c>
      <c r="D349" s="112">
        <v>0</v>
      </c>
      <c r="E349" s="222">
        <v>14259.28</v>
      </c>
      <c r="F349" s="222">
        <v>3.07</v>
      </c>
      <c r="G349" s="222">
        <v>3.07</v>
      </c>
    </row>
    <row r="350" spans="1:7" ht="14" x14ac:dyDescent="0.15">
      <c r="A350" s="108">
        <v>899</v>
      </c>
      <c r="B350" s="216" t="s">
        <v>1148</v>
      </c>
      <c r="C350" s="219" t="s">
        <v>1092</v>
      </c>
      <c r="D350" s="112">
        <v>0</v>
      </c>
      <c r="E350" s="222">
        <v>3479.06</v>
      </c>
      <c r="F350" s="222">
        <v>1.92</v>
      </c>
      <c r="G350" s="222">
        <v>1.92</v>
      </c>
    </row>
    <row r="351" spans="1:7" ht="14" x14ac:dyDescent="0.15">
      <c r="A351" s="108">
        <v>899</v>
      </c>
      <c r="B351" s="216" t="s">
        <v>1148</v>
      </c>
      <c r="C351" s="219" t="s">
        <v>1093</v>
      </c>
      <c r="D351" s="112">
        <v>0</v>
      </c>
      <c r="E351" s="222">
        <v>1098.58</v>
      </c>
      <c r="F351" s="222">
        <v>0.95</v>
      </c>
      <c r="G351" s="222">
        <v>0.95</v>
      </c>
    </row>
    <row r="352" spans="1:7" ht="14" x14ac:dyDescent="0.15">
      <c r="A352" s="108">
        <v>739</v>
      </c>
      <c r="B352" s="216" t="s">
        <v>1148</v>
      </c>
      <c r="C352" s="219" t="s">
        <v>1094</v>
      </c>
      <c r="D352" s="112">
        <v>0</v>
      </c>
      <c r="E352" s="222">
        <v>510.24</v>
      </c>
      <c r="F352" s="222">
        <v>2.23</v>
      </c>
      <c r="G352" s="222">
        <v>2.23</v>
      </c>
    </row>
    <row r="353" spans="1:7" ht="14" x14ac:dyDescent="0.15">
      <c r="A353" s="108">
        <v>739</v>
      </c>
      <c r="B353" s="216" t="s">
        <v>1148</v>
      </c>
      <c r="C353" s="219" t="s">
        <v>1095</v>
      </c>
      <c r="D353" s="112">
        <v>0</v>
      </c>
      <c r="E353" s="222">
        <v>129.4</v>
      </c>
      <c r="F353" s="222">
        <v>2.84</v>
      </c>
      <c r="G353" s="222">
        <v>2.84</v>
      </c>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R283"/>
  <sheetViews>
    <sheetView zoomScale="90" zoomScaleNormal="90" zoomScaleSheetLayoutView="100" workbookViewId="0">
      <selection sqref="A1:G1"/>
    </sheetView>
  </sheetViews>
  <sheetFormatPr baseColWidth="10" defaultColWidth="9.1640625" defaultRowHeight="13" x14ac:dyDescent="0.15"/>
  <cols>
    <col min="1" max="1" width="14.6640625" style="66" customWidth="1"/>
    <col min="2" max="2" width="19.6640625" style="66" customWidth="1"/>
    <col min="3" max="3" width="17.33203125" style="66" customWidth="1"/>
    <col min="4" max="4" width="16" style="66" customWidth="1"/>
    <col min="5" max="5" width="15.83203125" style="67" customWidth="1"/>
    <col min="6" max="7" width="15.83203125" style="68" customWidth="1"/>
    <col min="8" max="16384" width="9.1640625" style="60"/>
  </cols>
  <sheetData>
    <row r="1" spans="1:18" ht="66.75" customHeight="1" x14ac:dyDescent="0.15">
      <c r="A1" s="280" t="s">
        <v>181</v>
      </c>
      <c r="B1" s="281"/>
      <c r="C1" s="281"/>
      <c r="D1" s="281"/>
      <c r="E1" s="281"/>
      <c r="F1" s="281"/>
      <c r="G1" s="281"/>
    </row>
    <row r="2" spans="1:18" s="61" customFormat="1" ht="39" customHeight="1" x14ac:dyDescent="0.15">
      <c r="A2" s="272" t="str">
        <f>Overview!B4&amp; " - Effective from "&amp;Overview!D4&amp;" - "&amp;Overview!E4&amp;" EDCM export charges"</f>
        <v>Southern Electric Power Distribution plc - Effective from 1 April 2020 - Final EDCM export charges</v>
      </c>
      <c r="B2" s="273"/>
      <c r="C2" s="273"/>
      <c r="D2" s="273"/>
      <c r="E2" s="273"/>
      <c r="F2" s="273"/>
      <c r="G2" s="274"/>
    </row>
    <row r="3" spans="1:18" s="96" customFormat="1" ht="18" x14ac:dyDescent="0.15">
      <c r="A3" s="218"/>
      <c r="B3" s="218"/>
      <c r="C3" s="218"/>
      <c r="D3" s="101"/>
      <c r="E3" s="102"/>
      <c r="F3" s="102"/>
      <c r="G3" s="103"/>
      <c r="H3" s="61"/>
      <c r="I3" s="61"/>
      <c r="J3" s="61"/>
      <c r="K3" s="61"/>
      <c r="L3" s="61"/>
      <c r="M3" s="61"/>
      <c r="N3" s="61"/>
      <c r="O3" s="61"/>
      <c r="P3" s="61"/>
      <c r="Q3" s="61"/>
      <c r="R3" s="61"/>
    </row>
    <row r="4" spans="1:18" ht="60.75" customHeight="1" x14ac:dyDescent="0.15">
      <c r="A4" s="63" t="s">
        <v>715</v>
      </c>
      <c r="B4" s="62" t="s">
        <v>470</v>
      </c>
      <c r="C4" s="64" t="s">
        <v>725</v>
      </c>
      <c r="D4" s="64" t="str">
        <f>'Annex 2 EHV charges'!J9</f>
        <v>Export
Super Red
unit charge
(p/kWh)</v>
      </c>
      <c r="E4" s="64" t="str">
        <f>'Annex 2 EHV charges'!K9</f>
        <v>Export
fixed charge
(p/day)</v>
      </c>
      <c r="F4" s="64" t="str">
        <f>'Annex 2 EHV charges'!L9</f>
        <v>Export
capacity charge
(p/kVA/day)</v>
      </c>
      <c r="G4" s="64" t="str">
        <f>'Annex 2 EHV charges'!M9</f>
        <v>Export
exceeded capacity charge
(p/kVA/day)</v>
      </c>
      <c r="H4" s="61"/>
      <c r="I4" s="61"/>
      <c r="J4" s="61"/>
      <c r="K4" s="61"/>
      <c r="L4" s="61"/>
      <c r="M4" s="61"/>
      <c r="N4" s="61"/>
      <c r="O4" s="61"/>
      <c r="P4" s="61"/>
      <c r="Q4" s="61"/>
      <c r="R4" s="61"/>
    </row>
    <row r="5" spans="1:18" ht="12.75" customHeight="1" x14ac:dyDescent="0.15">
      <c r="A5" s="221">
        <v>734</v>
      </c>
      <c r="B5" s="220">
        <v>2000050928900</v>
      </c>
      <c r="C5" s="219" t="s">
        <v>749</v>
      </c>
      <c r="D5" s="109">
        <v>0</v>
      </c>
      <c r="E5" s="110">
        <v>269.86</v>
      </c>
      <c r="F5" s="111">
        <v>0.05</v>
      </c>
      <c r="G5" s="111">
        <v>0.05</v>
      </c>
      <c r="H5" s="61"/>
      <c r="I5" s="61"/>
      <c r="J5" s="61"/>
      <c r="K5" s="61"/>
      <c r="L5" s="61"/>
      <c r="M5" s="61"/>
      <c r="N5" s="61"/>
      <c r="O5" s="61"/>
      <c r="P5" s="61"/>
      <c r="Q5" s="61"/>
      <c r="R5" s="61"/>
    </row>
    <row r="6" spans="1:18" ht="12.75" customHeight="1" x14ac:dyDescent="0.15">
      <c r="A6" s="221">
        <v>736</v>
      </c>
      <c r="B6" s="220">
        <v>2000050932127</v>
      </c>
      <c r="C6" s="219" t="s">
        <v>750</v>
      </c>
      <c r="D6" s="109">
        <v>0</v>
      </c>
      <c r="E6" s="110">
        <v>432.39</v>
      </c>
      <c r="F6" s="111">
        <v>0.05</v>
      </c>
      <c r="G6" s="111">
        <v>0.05</v>
      </c>
      <c r="H6" s="61"/>
      <c r="I6" s="61"/>
      <c r="J6" s="61"/>
      <c r="K6" s="61"/>
      <c r="L6" s="61"/>
      <c r="M6" s="61"/>
      <c r="N6" s="61"/>
      <c r="O6" s="61"/>
      <c r="P6" s="61"/>
      <c r="Q6" s="61"/>
      <c r="R6" s="61"/>
    </row>
    <row r="7" spans="1:18" ht="12.75" customHeight="1" x14ac:dyDescent="0.15">
      <c r="A7" s="221">
        <v>737</v>
      </c>
      <c r="B7" s="220">
        <v>2000050935800</v>
      </c>
      <c r="C7" s="219" t="s">
        <v>751</v>
      </c>
      <c r="D7" s="109">
        <v>0</v>
      </c>
      <c r="E7" s="110">
        <v>0</v>
      </c>
      <c r="F7" s="111">
        <v>0</v>
      </c>
      <c r="G7" s="111">
        <v>0</v>
      </c>
      <c r="H7" s="61"/>
      <c r="I7" s="61"/>
      <c r="J7" s="61"/>
      <c r="K7" s="61"/>
      <c r="L7" s="61"/>
      <c r="M7" s="61"/>
      <c r="N7" s="61"/>
      <c r="O7" s="61"/>
      <c r="P7" s="61"/>
      <c r="Q7" s="61"/>
      <c r="R7" s="61"/>
    </row>
    <row r="8" spans="1:18" ht="12.75" customHeight="1" x14ac:dyDescent="0.15">
      <c r="A8" s="221">
        <v>740</v>
      </c>
      <c r="B8" s="220" t="s">
        <v>1155</v>
      </c>
      <c r="C8" s="219" t="s">
        <v>754</v>
      </c>
      <c r="D8" s="109">
        <v>0</v>
      </c>
      <c r="E8" s="110">
        <v>4299.75</v>
      </c>
      <c r="F8" s="111">
        <v>0.05</v>
      </c>
      <c r="G8" s="111">
        <v>0.05</v>
      </c>
      <c r="H8" s="61"/>
      <c r="I8" s="61"/>
      <c r="J8" s="61"/>
      <c r="K8" s="61"/>
      <c r="L8" s="61"/>
      <c r="M8" s="61"/>
      <c r="N8" s="61"/>
      <c r="O8" s="61"/>
      <c r="P8" s="61"/>
      <c r="Q8" s="61"/>
      <c r="R8" s="61"/>
    </row>
    <row r="9" spans="1:18" ht="12.75" customHeight="1" x14ac:dyDescent="0.15">
      <c r="A9" s="221">
        <v>738</v>
      </c>
      <c r="B9" s="220">
        <v>2000051080338</v>
      </c>
      <c r="C9" s="219" t="s">
        <v>762</v>
      </c>
      <c r="D9" s="109">
        <v>0</v>
      </c>
      <c r="E9" s="110">
        <v>0</v>
      </c>
      <c r="F9" s="111">
        <v>0</v>
      </c>
      <c r="G9" s="111">
        <v>0</v>
      </c>
      <c r="H9" s="61"/>
      <c r="I9" s="61"/>
      <c r="J9" s="61"/>
      <c r="K9" s="61"/>
      <c r="L9" s="61"/>
      <c r="M9" s="61"/>
      <c r="N9" s="61"/>
      <c r="O9" s="61"/>
      <c r="P9" s="61"/>
      <c r="Q9" s="61"/>
      <c r="R9" s="61"/>
    </row>
    <row r="10" spans="1:18" ht="12.75" customHeight="1" x14ac:dyDescent="0.15">
      <c r="A10" s="221">
        <v>918</v>
      </c>
      <c r="B10" s="220">
        <v>2000027292534</v>
      </c>
      <c r="C10" s="219" t="s">
        <v>776</v>
      </c>
      <c r="D10" s="109">
        <v>0</v>
      </c>
      <c r="E10" s="110">
        <v>0</v>
      </c>
      <c r="F10" s="111">
        <v>0</v>
      </c>
      <c r="G10" s="111">
        <v>0</v>
      </c>
      <c r="H10" s="61"/>
      <c r="I10" s="61"/>
      <c r="J10" s="61"/>
      <c r="K10" s="61"/>
      <c r="L10" s="61"/>
      <c r="M10" s="61"/>
      <c r="N10" s="61"/>
      <c r="O10" s="61"/>
      <c r="P10" s="61"/>
      <c r="Q10" s="61"/>
      <c r="R10" s="61"/>
    </row>
    <row r="11" spans="1:18" ht="12.75" customHeight="1" x14ac:dyDescent="0.15">
      <c r="A11" s="221">
        <v>929</v>
      </c>
      <c r="B11" s="220">
        <v>2000054899591</v>
      </c>
      <c r="C11" s="219" t="s">
        <v>781</v>
      </c>
      <c r="D11" s="109">
        <v>0</v>
      </c>
      <c r="E11" s="110">
        <v>417.18</v>
      </c>
      <c r="F11" s="111">
        <v>0.05</v>
      </c>
      <c r="G11" s="111">
        <v>0.05</v>
      </c>
      <c r="H11" s="61"/>
      <c r="I11" s="61"/>
      <c r="J11" s="61"/>
      <c r="K11" s="61"/>
      <c r="L11" s="61"/>
      <c r="M11" s="61"/>
      <c r="N11" s="61"/>
      <c r="O11" s="61"/>
      <c r="P11" s="61"/>
      <c r="Q11" s="61"/>
      <c r="R11" s="61"/>
    </row>
    <row r="12" spans="1:18" ht="12.75" customHeight="1" x14ac:dyDescent="0.15">
      <c r="A12" s="221">
        <v>924</v>
      </c>
      <c r="B12" s="220">
        <v>2000054397290</v>
      </c>
      <c r="C12" s="219" t="s">
        <v>782</v>
      </c>
      <c r="D12" s="109">
        <v>0</v>
      </c>
      <c r="E12" s="110">
        <v>946.85</v>
      </c>
      <c r="F12" s="111">
        <v>0.05</v>
      </c>
      <c r="G12" s="111">
        <v>0.05</v>
      </c>
      <c r="H12" s="61"/>
      <c r="I12" s="61"/>
      <c r="J12" s="61"/>
      <c r="K12" s="61"/>
      <c r="L12" s="61"/>
      <c r="M12" s="61"/>
      <c r="N12" s="61"/>
      <c r="O12" s="61"/>
      <c r="P12" s="61"/>
      <c r="Q12" s="61"/>
      <c r="R12" s="61"/>
    </row>
    <row r="13" spans="1:18" ht="12.75" customHeight="1" x14ac:dyDescent="0.15">
      <c r="A13" s="221">
        <v>937</v>
      </c>
      <c r="B13" s="220">
        <v>2000050795630</v>
      </c>
      <c r="C13" s="219" t="s">
        <v>783</v>
      </c>
      <c r="D13" s="109">
        <v>0</v>
      </c>
      <c r="E13" s="110">
        <v>545.42999999999995</v>
      </c>
      <c r="F13" s="111">
        <v>0.05</v>
      </c>
      <c r="G13" s="111">
        <v>0.05</v>
      </c>
      <c r="H13" s="61"/>
      <c r="I13" s="61"/>
      <c r="J13" s="61"/>
      <c r="K13" s="61"/>
      <c r="L13" s="61"/>
      <c r="M13" s="61"/>
      <c r="N13" s="61"/>
      <c r="O13" s="61"/>
      <c r="P13" s="61"/>
      <c r="Q13" s="61"/>
      <c r="R13" s="61"/>
    </row>
    <row r="14" spans="1:18" ht="12.75" customHeight="1" x14ac:dyDescent="0.15">
      <c r="A14" s="221">
        <v>7174</v>
      </c>
      <c r="B14" s="220">
        <v>7174</v>
      </c>
      <c r="C14" s="219" t="s">
        <v>786</v>
      </c>
      <c r="D14" s="109">
        <v>0</v>
      </c>
      <c r="E14" s="110">
        <v>0</v>
      </c>
      <c r="F14" s="111">
        <v>0</v>
      </c>
      <c r="G14" s="111">
        <v>0</v>
      </c>
      <c r="H14" s="61"/>
      <c r="I14" s="61"/>
      <c r="J14" s="61"/>
      <c r="K14" s="61"/>
      <c r="L14" s="61"/>
      <c r="M14" s="61"/>
      <c r="N14" s="61"/>
      <c r="O14" s="61"/>
      <c r="P14" s="61"/>
      <c r="Q14" s="61"/>
      <c r="R14" s="61"/>
    </row>
    <row r="15" spans="1:18" ht="12.75" customHeight="1" x14ac:dyDescent="0.15">
      <c r="A15" s="221">
        <v>923</v>
      </c>
      <c r="B15" s="220">
        <v>2000053759174</v>
      </c>
      <c r="C15" s="219" t="s">
        <v>788</v>
      </c>
      <c r="D15" s="109">
        <v>0</v>
      </c>
      <c r="E15" s="110">
        <v>1371.61</v>
      </c>
      <c r="F15" s="111">
        <v>0.05</v>
      </c>
      <c r="G15" s="111">
        <v>0.05</v>
      </c>
      <c r="H15" s="61"/>
      <c r="I15" s="61"/>
      <c r="J15" s="61"/>
      <c r="K15" s="61"/>
      <c r="L15" s="61"/>
      <c r="M15" s="61"/>
      <c r="N15" s="61"/>
      <c r="O15" s="61"/>
      <c r="P15" s="61"/>
      <c r="Q15" s="61"/>
      <c r="R15" s="61"/>
    </row>
    <row r="16" spans="1:18" ht="12.75" customHeight="1" x14ac:dyDescent="0.15">
      <c r="A16" s="221">
        <v>4032</v>
      </c>
      <c r="B16" s="220">
        <v>4032</v>
      </c>
      <c r="C16" s="219" t="s">
        <v>800</v>
      </c>
      <c r="D16" s="109">
        <v>0</v>
      </c>
      <c r="E16" s="110">
        <v>7.16</v>
      </c>
      <c r="F16" s="111">
        <v>0.05</v>
      </c>
      <c r="G16" s="111">
        <v>0.05</v>
      </c>
      <c r="H16" s="61"/>
      <c r="I16" s="61"/>
      <c r="J16" s="61"/>
      <c r="K16" s="61"/>
      <c r="L16" s="61"/>
      <c r="M16" s="61"/>
      <c r="N16" s="61"/>
      <c r="O16" s="61"/>
      <c r="P16" s="61"/>
      <c r="Q16" s="61"/>
      <c r="R16" s="61"/>
    </row>
    <row r="17" spans="1:18" ht="12.75" customHeight="1" x14ac:dyDescent="0.15">
      <c r="A17" s="221">
        <v>4548</v>
      </c>
      <c r="B17" s="220">
        <v>4548</v>
      </c>
      <c r="C17" s="219" t="s">
        <v>801</v>
      </c>
      <c r="D17" s="109">
        <v>0</v>
      </c>
      <c r="E17" s="110">
        <v>7.27</v>
      </c>
      <c r="F17" s="111">
        <v>0.05</v>
      </c>
      <c r="G17" s="111">
        <v>0.05</v>
      </c>
      <c r="H17" s="61"/>
      <c r="I17" s="61"/>
      <c r="J17" s="61"/>
      <c r="K17" s="61"/>
      <c r="L17" s="61"/>
      <c r="M17" s="61"/>
      <c r="N17" s="61"/>
      <c r="O17" s="61"/>
      <c r="P17" s="61"/>
      <c r="Q17" s="61"/>
      <c r="R17" s="61"/>
    </row>
    <row r="18" spans="1:18" ht="12.75" customHeight="1" x14ac:dyDescent="0.15">
      <c r="A18" s="221">
        <v>925</v>
      </c>
      <c r="B18" s="220">
        <v>2000053874080</v>
      </c>
      <c r="C18" s="219" t="s">
        <v>802</v>
      </c>
      <c r="D18" s="109">
        <v>0</v>
      </c>
      <c r="E18" s="110">
        <v>262.12</v>
      </c>
      <c r="F18" s="111">
        <v>0.05</v>
      </c>
      <c r="G18" s="111">
        <v>0.05</v>
      </c>
      <c r="H18" s="61"/>
      <c r="I18" s="61"/>
      <c r="J18" s="61"/>
      <c r="K18" s="61"/>
      <c r="L18" s="61"/>
      <c r="M18" s="61"/>
      <c r="N18" s="61"/>
      <c r="O18" s="61"/>
      <c r="P18" s="61"/>
      <c r="Q18" s="61"/>
      <c r="R18" s="61"/>
    </row>
    <row r="19" spans="1:18" ht="12.75" customHeight="1" x14ac:dyDescent="0.15">
      <c r="A19" s="221">
        <v>521</v>
      </c>
      <c r="B19" s="220">
        <v>2000053874123</v>
      </c>
      <c r="C19" s="219" t="s">
        <v>803</v>
      </c>
      <c r="D19" s="109">
        <v>0</v>
      </c>
      <c r="E19" s="110">
        <v>383.75</v>
      </c>
      <c r="F19" s="111">
        <v>0.05</v>
      </c>
      <c r="G19" s="111">
        <v>0.05</v>
      </c>
      <c r="H19" s="61"/>
      <c r="I19" s="61"/>
      <c r="J19" s="61"/>
      <c r="K19" s="61"/>
      <c r="L19" s="61"/>
      <c r="M19" s="61"/>
      <c r="N19" s="61"/>
      <c r="O19" s="61"/>
      <c r="P19" s="61"/>
      <c r="Q19" s="61"/>
      <c r="R19" s="61"/>
    </row>
    <row r="20" spans="1:18" ht="12.75" customHeight="1" x14ac:dyDescent="0.15">
      <c r="A20" s="221">
        <v>930</v>
      </c>
      <c r="B20" s="220">
        <v>2000051034322</v>
      </c>
      <c r="C20" s="219" t="s">
        <v>804</v>
      </c>
      <c r="D20" s="109">
        <v>0</v>
      </c>
      <c r="E20" s="110">
        <v>0</v>
      </c>
      <c r="F20" s="111">
        <v>0</v>
      </c>
      <c r="G20" s="111">
        <v>0</v>
      </c>
      <c r="H20" s="61"/>
      <c r="I20" s="61"/>
      <c r="J20" s="61"/>
      <c r="K20" s="61"/>
      <c r="L20" s="61"/>
      <c r="M20" s="61"/>
      <c r="N20" s="61"/>
      <c r="O20" s="61"/>
      <c r="P20" s="61"/>
      <c r="Q20" s="61"/>
      <c r="R20" s="61"/>
    </row>
    <row r="21" spans="1:18" ht="12.75" customHeight="1" x14ac:dyDescent="0.15">
      <c r="A21" s="221">
        <v>7390</v>
      </c>
      <c r="B21" s="220">
        <v>7390</v>
      </c>
      <c r="C21" s="219" t="s">
        <v>805</v>
      </c>
      <c r="D21" s="109">
        <v>0</v>
      </c>
      <c r="E21" s="110">
        <v>337.66</v>
      </c>
      <c r="F21" s="111">
        <v>0.05</v>
      </c>
      <c r="G21" s="111">
        <v>0.05</v>
      </c>
      <c r="H21" s="61"/>
      <c r="I21" s="61"/>
      <c r="J21" s="61"/>
      <c r="K21" s="61"/>
      <c r="L21" s="61"/>
      <c r="M21" s="61"/>
      <c r="N21" s="61"/>
      <c r="O21" s="61"/>
      <c r="P21" s="61"/>
      <c r="Q21" s="61"/>
      <c r="R21" s="61"/>
    </row>
    <row r="22" spans="1:18" ht="12.75" customHeight="1" x14ac:dyDescent="0.15">
      <c r="A22" s="221">
        <v>7391</v>
      </c>
      <c r="B22" s="220">
        <v>7391</v>
      </c>
      <c r="C22" s="219" t="s">
        <v>806</v>
      </c>
      <c r="D22" s="109">
        <v>0</v>
      </c>
      <c r="E22" s="110">
        <v>0</v>
      </c>
      <c r="F22" s="111">
        <v>0</v>
      </c>
      <c r="G22" s="111">
        <v>0</v>
      </c>
      <c r="H22" s="61"/>
      <c r="I22" s="61"/>
      <c r="J22" s="61"/>
      <c r="K22" s="61"/>
      <c r="L22" s="61"/>
      <c r="M22" s="61"/>
      <c r="N22" s="61"/>
      <c r="O22" s="61"/>
      <c r="P22" s="61"/>
      <c r="Q22" s="61"/>
      <c r="R22" s="61"/>
    </row>
    <row r="23" spans="1:18" ht="12.75" customHeight="1" x14ac:dyDescent="0.15">
      <c r="A23" s="221">
        <v>917</v>
      </c>
      <c r="B23" s="220">
        <v>2000050932697</v>
      </c>
      <c r="C23" s="219" t="s">
        <v>807</v>
      </c>
      <c r="D23" s="109">
        <v>0</v>
      </c>
      <c r="E23" s="110">
        <v>1112.08</v>
      </c>
      <c r="F23" s="111">
        <v>0.05</v>
      </c>
      <c r="G23" s="111">
        <v>0.05</v>
      </c>
      <c r="H23" s="61"/>
      <c r="I23" s="61"/>
      <c r="J23" s="61"/>
      <c r="K23" s="61"/>
      <c r="L23" s="61"/>
      <c r="M23" s="61"/>
      <c r="N23" s="61"/>
      <c r="O23" s="61"/>
      <c r="P23" s="61"/>
      <c r="Q23" s="61"/>
      <c r="R23" s="61"/>
    </row>
    <row r="24" spans="1:18" ht="12.75" customHeight="1" x14ac:dyDescent="0.15">
      <c r="A24" s="221">
        <v>917</v>
      </c>
      <c r="B24" s="220">
        <v>2000051079954</v>
      </c>
      <c r="C24" s="219" t="s">
        <v>808</v>
      </c>
      <c r="D24" s="109">
        <v>0</v>
      </c>
      <c r="E24" s="110">
        <v>0</v>
      </c>
      <c r="F24" s="111">
        <v>0</v>
      </c>
      <c r="G24" s="111">
        <v>0</v>
      </c>
      <c r="H24" s="61"/>
      <c r="I24" s="61"/>
      <c r="J24" s="61"/>
      <c r="K24" s="61"/>
      <c r="L24" s="61"/>
      <c r="M24" s="61"/>
      <c r="N24" s="61"/>
      <c r="O24" s="61"/>
      <c r="P24" s="61"/>
      <c r="Q24" s="61"/>
      <c r="R24" s="61"/>
    </row>
    <row r="25" spans="1:18" ht="12.75" customHeight="1" x14ac:dyDescent="0.15">
      <c r="A25" s="221">
        <v>917</v>
      </c>
      <c r="B25" s="220">
        <v>2000052231228</v>
      </c>
      <c r="C25" s="219" t="s">
        <v>809</v>
      </c>
      <c r="D25" s="109">
        <v>0</v>
      </c>
      <c r="E25" s="110">
        <v>0</v>
      </c>
      <c r="F25" s="111">
        <v>0</v>
      </c>
      <c r="G25" s="111">
        <v>0</v>
      </c>
      <c r="H25" s="61"/>
      <c r="I25" s="61"/>
      <c r="J25" s="61"/>
      <c r="K25" s="61"/>
      <c r="L25" s="61"/>
      <c r="M25" s="61"/>
      <c r="N25" s="61"/>
      <c r="O25" s="61"/>
      <c r="P25" s="61"/>
      <c r="Q25" s="61"/>
      <c r="R25" s="61"/>
    </row>
    <row r="26" spans="1:18" ht="12.75" customHeight="1" x14ac:dyDescent="0.15">
      <c r="A26" s="221">
        <v>927</v>
      </c>
      <c r="B26" s="220">
        <v>2000050570312</v>
      </c>
      <c r="C26" s="219" t="s">
        <v>811</v>
      </c>
      <c r="D26" s="109">
        <v>0</v>
      </c>
      <c r="E26" s="110">
        <v>0</v>
      </c>
      <c r="F26" s="111">
        <v>0</v>
      </c>
      <c r="G26" s="111">
        <v>0</v>
      </c>
      <c r="H26" s="61"/>
      <c r="I26" s="61"/>
      <c r="J26" s="61"/>
      <c r="K26" s="61"/>
      <c r="L26" s="61"/>
      <c r="M26" s="61"/>
      <c r="N26" s="61"/>
      <c r="O26" s="61"/>
      <c r="P26" s="61"/>
      <c r="Q26" s="61"/>
      <c r="R26" s="61"/>
    </row>
    <row r="27" spans="1:18" ht="12.75" customHeight="1" x14ac:dyDescent="0.15">
      <c r="A27" s="221">
        <v>928</v>
      </c>
      <c r="B27" s="220">
        <v>2000050662016</v>
      </c>
      <c r="C27" s="219" t="s">
        <v>812</v>
      </c>
      <c r="D27" s="109">
        <v>0</v>
      </c>
      <c r="E27" s="110">
        <v>0</v>
      </c>
      <c r="F27" s="111">
        <v>0</v>
      </c>
      <c r="G27" s="111">
        <v>0</v>
      </c>
      <c r="H27" s="61"/>
      <c r="I27" s="61"/>
      <c r="J27" s="61"/>
      <c r="K27" s="61"/>
      <c r="L27" s="61"/>
      <c r="M27" s="61"/>
      <c r="N27" s="61"/>
      <c r="O27" s="61"/>
      <c r="P27" s="61"/>
      <c r="Q27" s="61"/>
      <c r="R27" s="61"/>
    </row>
    <row r="28" spans="1:18" ht="12.75" customHeight="1" x14ac:dyDescent="0.15">
      <c r="A28" s="221">
        <v>938</v>
      </c>
      <c r="B28" s="220">
        <v>2000052659585</v>
      </c>
      <c r="C28" s="219" t="s">
        <v>815</v>
      </c>
      <c r="D28" s="109">
        <v>0</v>
      </c>
      <c r="E28" s="110">
        <v>0</v>
      </c>
      <c r="F28" s="111">
        <v>0</v>
      </c>
      <c r="G28" s="111">
        <v>0</v>
      </c>
      <c r="H28" s="61"/>
      <c r="I28" s="61"/>
      <c r="J28" s="61"/>
      <c r="K28" s="61"/>
      <c r="L28" s="61"/>
      <c r="M28" s="61"/>
      <c r="N28" s="61"/>
      <c r="O28" s="61"/>
      <c r="P28" s="61"/>
      <c r="Q28" s="61"/>
      <c r="R28" s="61"/>
    </row>
    <row r="29" spans="1:18" ht="12.75" customHeight="1" x14ac:dyDescent="0.15">
      <c r="A29" s="221">
        <v>921</v>
      </c>
      <c r="B29" s="220">
        <v>2000051445143</v>
      </c>
      <c r="C29" s="219" t="s">
        <v>819</v>
      </c>
      <c r="D29" s="109">
        <v>0</v>
      </c>
      <c r="E29" s="110">
        <v>334.7</v>
      </c>
      <c r="F29" s="111">
        <v>0.05</v>
      </c>
      <c r="G29" s="111">
        <v>0.05</v>
      </c>
      <c r="H29" s="61"/>
      <c r="I29" s="61"/>
      <c r="J29" s="61"/>
      <c r="K29" s="61"/>
      <c r="L29" s="61"/>
      <c r="M29" s="61"/>
      <c r="N29" s="61"/>
      <c r="O29" s="61"/>
      <c r="P29" s="61"/>
      <c r="Q29" s="61"/>
      <c r="R29" s="61"/>
    </row>
    <row r="30" spans="1:18" ht="12.75" customHeight="1" x14ac:dyDescent="0.15">
      <c r="A30" s="221">
        <v>922</v>
      </c>
      <c r="B30" s="220">
        <v>2000054431792</v>
      </c>
      <c r="C30" s="219" t="s">
        <v>820</v>
      </c>
      <c r="D30" s="109">
        <v>0</v>
      </c>
      <c r="E30" s="110">
        <v>197.74</v>
      </c>
      <c r="F30" s="111">
        <v>0.05</v>
      </c>
      <c r="G30" s="111">
        <v>0.05</v>
      </c>
      <c r="H30" s="61"/>
      <c r="I30" s="61"/>
      <c r="J30" s="61"/>
      <c r="K30" s="61"/>
      <c r="L30" s="61"/>
      <c r="M30" s="61"/>
      <c r="N30" s="61"/>
      <c r="O30" s="61"/>
      <c r="P30" s="61"/>
      <c r="Q30" s="61"/>
      <c r="R30" s="61"/>
    </row>
    <row r="31" spans="1:18" ht="12.75" customHeight="1" x14ac:dyDescent="0.15">
      <c r="A31" s="221">
        <v>939</v>
      </c>
      <c r="B31" s="220">
        <v>2000054674353</v>
      </c>
      <c r="C31" s="219" t="s">
        <v>821</v>
      </c>
      <c r="D31" s="109">
        <v>0</v>
      </c>
      <c r="E31" s="110">
        <v>2038.61</v>
      </c>
      <c r="F31" s="111">
        <v>0.05</v>
      </c>
      <c r="G31" s="111">
        <v>0.05</v>
      </c>
      <c r="H31" s="61"/>
      <c r="I31" s="61"/>
      <c r="J31" s="61"/>
      <c r="K31" s="61"/>
      <c r="L31" s="61"/>
      <c r="M31" s="61"/>
      <c r="N31" s="61"/>
      <c r="O31" s="61"/>
      <c r="P31" s="61"/>
      <c r="Q31" s="61"/>
      <c r="R31" s="61"/>
    </row>
    <row r="32" spans="1:18" ht="12.75" customHeight="1" x14ac:dyDescent="0.15">
      <c r="A32" s="221">
        <v>941</v>
      </c>
      <c r="B32" s="220">
        <v>2000055109283</v>
      </c>
      <c r="C32" s="219" t="s">
        <v>823</v>
      </c>
      <c r="D32" s="109">
        <v>0</v>
      </c>
      <c r="E32" s="110">
        <v>250.6</v>
      </c>
      <c r="F32" s="111">
        <v>0.05</v>
      </c>
      <c r="G32" s="111">
        <v>0.05</v>
      </c>
      <c r="H32" s="61"/>
      <c r="I32" s="61"/>
      <c r="J32" s="61"/>
      <c r="K32" s="61"/>
      <c r="L32" s="61"/>
      <c r="M32" s="61"/>
      <c r="N32" s="61"/>
      <c r="O32" s="61"/>
      <c r="P32" s="61"/>
      <c r="Q32" s="61"/>
      <c r="R32" s="61"/>
    </row>
    <row r="33" spans="1:18" ht="12.75" customHeight="1" x14ac:dyDescent="0.15">
      <c r="A33" s="221">
        <v>926</v>
      </c>
      <c r="B33" s="220">
        <v>2000055132450</v>
      </c>
      <c r="C33" s="219" t="s">
        <v>824</v>
      </c>
      <c r="D33" s="109">
        <v>0</v>
      </c>
      <c r="E33" s="110">
        <v>248.61</v>
      </c>
      <c r="F33" s="111">
        <v>0.05</v>
      </c>
      <c r="G33" s="111">
        <v>0.05</v>
      </c>
      <c r="H33" s="61"/>
      <c r="I33" s="61"/>
      <c r="J33" s="61"/>
      <c r="K33" s="61"/>
      <c r="L33" s="61"/>
      <c r="M33" s="61"/>
      <c r="N33" s="61"/>
      <c r="O33" s="61"/>
      <c r="P33" s="61"/>
      <c r="Q33" s="61"/>
      <c r="R33" s="61"/>
    </row>
    <row r="34" spans="1:18" ht="12.75" customHeight="1" x14ac:dyDescent="0.15">
      <c r="A34" s="221">
        <v>940</v>
      </c>
      <c r="B34" s="220">
        <v>2000055138762</v>
      </c>
      <c r="C34" s="219" t="s">
        <v>825</v>
      </c>
      <c r="D34" s="109">
        <v>0</v>
      </c>
      <c r="E34" s="110">
        <v>250.1</v>
      </c>
      <c r="F34" s="111">
        <v>0.05</v>
      </c>
      <c r="G34" s="111">
        <v>0.05</v>
      </c>
      <c r="H34" s="61"/>
      <c r="I34" s="61"/>
      <c r="J34" s="61"/>
      <c r="K34" s="61"/>
      <c r="L34" s="61"/>
      <c r="M34" s="61"/>
      <c r="N34" s="61"/>
      <c r="O34" s="61"/>
      <c r="P34" s="61"/>
      <c r="Q34" s="61"/>
      <c r="R34" s="61"/>
    </row>
    <row r="35" spans="1:18" ht="12.75" customHeight="1" x14ac:dyDescent="0.15">
      <c r="A35" s="221">
        <v>942</v>
      </c>
      <c r="B35" s="220">
        <v>2000055125824</v>
      </c>
      <c r="C35" s="219" t="s">
        <v>826</v>
      </c>
      <c r="D35" s="109">
        <v>0</v>
      </c>
      <c r="E35" s="110">
        <v>497.22</v>
      </c>
      <c r="F35" s="111">
        <v>0.05</v>
      </c>
      <c r="G35" s="111">
        <v>0.05</v>
      </c>
      <c r="H35" s="61"/>
      <c r="I35" s="61"/>
      <c r="J35" s="61"/>
      <c r="K35" s="61"/>
      <c r="L35" s="61"/>
      <c r="M35" s="61"/>
      <c r="N35" s="61"/>
      <c r="O35" s="61"/>
      <c r="P35" s="61"/>
      <c r="Q35" s="61"/>
      <c r="R35" s="61"/>
    </row>
    <row r="36" spans="1:18" ht="12.75" customHeight="1" x14ac:dyDescent="0.15">
      <c r="A36" s="221">
        <v>943</v>
      </c>
      <c r="B36" s="220">
        <v>2000055125833</v>
      </c>
      <c r="C36" s="219" t="s">
        <v>827</v>
      </c>
      <c r="D36" s="109">
        <v>0</v>
      </c>
      <c r="E36" s="110">
        <v>723.11</v>
      </c>
      <c r="F36" s="111">
        <v>0.05</v>
      </c>
      <c r="G36" s="111">
        <v>0.05</v>
      </c>
      <c r="H36" s="61"/>
      <c r="I36" s="61"/>
      <c r="J36" s="61"/>
      <c r="K36" s="61"/>
      <c r="L36" s="61"/>
      <c r="M36" s="61"/>
      <c r="N36" s="61"/>
      <c r="O36" s="61"/>
      <c r="P36" s="61"/>
      <c r="Q36" s="61"/>
      <c r="R36" s="61"/>
    </row>
    <row r="37" spans="1:18" ht="12.75" customHeight="1" x14ac:dyDescent="0.15">
      <c r="A37" s="221">
        <v>944</v>
      </c>
      <c r="B37" s="220">
        <v>2000055213969</v>
      </c>
      <c r="C37" s="219" t="s">
        <v>828</v>
      </c>
      <c r="D37" s="109">
        <v>0</v>
      </c>
      <c r="E37" s="110">
        <v>344.44</v>
      </c>
      <c r="F37" s="111">
        <v>0.05</v>
      </c>
      <c r="G37" s="111">
        <v>0.05</v>
      </c>
      <c r="H37" s="61"/>
      <c r="I37" s="61"/>
      <c r="J37" s="61"/>
      <c r="K37" s="61"/>
      <c r="L37" s="61"/>
      <c r="M37" s="61"/>
      <c r="N37" s="61"/>
      <c r="O37" s="61"/>
      <c r="P37" s="61"/>
      <c r="Q37" s="61"/>
      <c r="R37" s="61"/>
    </row>
    <row r="38" spans="1:18" ht="12.75" customHeight="1" x14ac:dyDescent="0.15">
      <c r="A38" s="221">
        <v>7081</v>
      </c>
      <c r="B38" s="220">
        <v>7081</v>
      </c>
      <c r="C38" s="219" t="s">
        <v>835</v>
      </c>
      <c r="D38" s="109">
        <v>0</v>
      </c>
      <c r="E38" s="110">
        <v>0</v>
      </c>
      <c r="F38" s="111">
        <v>0</v>
      </c>
      <c r="G38" s="111">
        <v>0</v>
      </c>
      <c r="H38" s="61"/>
      <c r="I38" s="61"/>
      <c r="J38" s="61"/>
      <c r="K38" s="61"/>
      <c r="L38" s="61"/>
      <c r="M38" s="61"/>
      <c r="N38" s="61"/>
      <c r="O38" s="61"/>
      <c r="P38" s="61"/>
      <c r="Q38" s="61"/>
      <c r="R38" s="61"/>
    </row>
    <row r="39" spans="1:18" ht="12.75" customHeight="1" x14ac:dyDescent="0.15">
      <c r="A39" s="221">
        <v>7095</v>
      </c>
      <c r="B39" s="220">
        <v>7095</v>
      </c>
      <c r="C39" s="219" t="s">
        <v>836</v>
      </c>
      <c r="D39" s="109">
        <v>0</v>
      </c>
      <c r="E39" s="110">
        <v>4134.83</v>
      </c>
      <c r="F39" s="111">
        <v>0.05</v>
      </c>
      <c r="G39" s="111">
        <v>0.05</v>
      </c>
      <c r="H39" s="61"/>
      <c r="I39" s="61"/>
      <c r="J39" s="61"/>
      <c r="K39" s="61"/>
      <c r="L39" s="61"/>
      <c r="M39" s="61"/>
      <c r="N39" s="61"/>
      <c r="O39" s="61"/>
      <c r="P39" s="61"/>
      <c r="Q39" s="61"/>
      <c r="R39" s="61"/>
    </row>
    <row r="40" spans="1:18" ht="12.75" customHeight="1" x14ac:dyDescent="0.15">
      <c r="A40" s="221">
        <v>946</v>
      </c>
      <c r="B40" s="220">
        <v>2000055426214</v>
      </c>
      <c r="C40" s="219" t="s">
        <v>840</v>
      </c>
      <c r="D40" s="109">
        <v>0</v>
      </c>
      <c r="E40" s="110">
        <v>364.57</v>
      </c>
      <c r="F40" s="111">
        <v>0.05</v>
      </c>
      <c r="G40" s="111">
        <v>0.05</v>
      </c>
      <c r="H40" s="61"/>
      <c r="I40" s="61"/>
      <c r="J40" s="61"/>
      <c r="K40" s="61"/>
      <c r="L40" s="61"/>
      <c r="M40" s="61"/>
      <c r="N40" s="61"/>
      <c r="O40" s="61"/>
      <c r="P40" s="61"/>
      <c r="Q40" s="61"/>
      <c r="R40" s="61"/>
    </row>
    <row r="41" spans="1:18" ht="12.75" customHeight="1" x14ac:dyDescent="0.15">
      <c r="A41" s="221">
        <v>947</v>
      </c>
      <c r="B41" s="220">
        <v>2000055426241</v>
      </c>
      <c r="C41" s="219" t="s">
        <v>841</v>
      </c>
      <c r="D41" s="109">
        <v>0</v>
      </c>
      <c r="E41" s="110">
        <v>800.73</v>
      </c>
      <c r="F41" s="111">
        <v>0.05</v>
      </c>
      <c r="G41" s="111">
        <v>0.05</v>
      </c>
      <c r="H41" s="61"/>
      <c r="I41" s="61"/>
      <c r="J41" s="61"/>
      <c r="K41" s="61"/>
      <c r="L41" s="61"/>
      <c r="M41" s="61"/>
      <c r="N41" s="61"/>
      <c r="O41" s="61"/>
      <c r="P41" s="61"/>
      <c r="Q41" s="61"/>
      <c r="R41" s="61"/>
    </row>
    <row r="42" spans="1:18" ht="12.75" customHeight="1" x14ac:dyDescent="0.15">
      <c r="A42" s="221">
        <v>948</v>
      </c>
      <c r="B42" s="220">
        <v>2000055481456</v>
      </c>
      <c r="C42" s="219" t="s">
        <v>842</v>
      </c>
      <c r="D42" s="109">
        <v>0</v>
      </c>
      <c r="E42" s="110">
        <v>570.23</v>
      </c>
      <c r="F42" s="111">
        <v>0.05</v>
      </c>
      <c r="G42" s="111">
        <v>0.05</v>
      </c>
      <c r="H42" s="61"/>
      <c r="I42" s="61"/>
      <c r="J42" s="61"/>
      <c r="K42" s="61"/>
      <c r="L42" s="61"/>
      <c r="M42" s="61"/>
      <c r="N42" s="61"/>
      <c r="O42" s="61"/>
      <c r="P42" s="61"/>
      <c r="Q42" s="61"/>
      <c r="R42" s="61"/>
    </row>
    <row r="43" spans="1:18" ht="12.75" customHeight="1" x14ac:dyDescent="0.15">
      <c r="A43" s="221">
        <v>949</v>
      </c>
      <c r="B43" s="220">
        <v>2000055580583</v>
      </c>
      <c r="C43" s="219" t="s">
        <v>843</v>
      </c>
      <c r="D43" s="109">
        <v>0</v>
      </c>
      <c r="E43" s="110">
        <v>576.51</v>
      </c>
      <c r="F43" s="111">
        <v>0.05</v>
      </c>
      <c r="G43" s="111">
        <v>0.05</v>
      </c>
      <c r="H43" s="61"/>
      <c r="I43" s="61"/>
      <c r="J43" s="61"/>
      <c r="K43" s="61"/>
      <c r="L43" s="61"/>
      <c r="M43" s="61"/>
      <c r="N43" s="61"/>
      <c r="O43" s="61"/>
      <c r="P43" s="61"/>
      <c r="Q43" s="61"/>
      <c r="R43" s="61"/>
    </row>
    <row r="44" spans="1:18" ht="12.75" customHeight="1" x14ac:dyDescent="0.15">
      <c r="A44" s="221">
        <v>611</v>
      </c>
      <c r="B44" s="220">
        <v>2000055580608</v>
      </c>
      <c r="C44" s="219" t="s">
        <v>844</v>
      </c>
      <c r="D44" s="109">
        <v>0</v>
      </c>
      <c r="E44" s="110">
        <v>362.18</v>
      </c>
      <c r="F44" s="111">
        <v>0.05</v>
      </c>
      <c r="G44" s="111">
        <v>0.05</v>
      </c>
      <c r="H44" s="61"/>
      <c r="I44" s="61"/>
      <c r="J44" s="61"/>
      <c r="K44" s="61"/>
      <c r="L44" s="61"/>
      <c r="M44" s="61"/>
      <c r="N44" s="61"/>
      <c r="O44" s="61"/>
      <c r="P44" s="61"/>
      <c r="Q44" s="61"/>
      <c r="R44" s="61"/>
    </row>
    <row r="45" spans="1:18" ht="12.75" customHeight="1" x14ac:dyDescent="0.15">
      <c r="A45" s="221">
        <v>612</v>
      </c>
      <c r="B45" s="220">
        <v>2000055582794</v>
      </c>
      <c r="C45" s="219" t="s">
        <v>845</v>
      </c>
      <c r="D45" s="109">
        <v>0</v>
      </c>
      <c r="E45" s="110">
        <v>1132.6400000000001</v>
      </c>
      <c r="F45" s="111">
        <v>0.05</v>
      </c>
      <c r="G45" s="111">
        <v>0.05</v>
      </c>
      <c r="H45" s="61"/>
      <c r="I45" s="61"/>
      <c r="J45" s="61"/>
      <c r="K45" s="61"/>
      <c r="L45" s="61"/>
      <c r="M45" s="61"/>
      <c r="N45" s="61"/>
      <c r="O45" s="61"/>
      <c r="P45" s="61"/>
      <c r="Q45" s="61"/>
      <c r="R45" s="61"/>
    </row>
    <row r="46" spans="1:18" ht="12.75" customHeight="1" x14ac:dyDescent="0.15">
      <c r="A46" s="221">
        <v>613</v>
      </c>
      <c r="B46" s="220">
        <v>2000055634991</v>
      </c>
      <c r="C46" s="219" t="s">
        <v>846</v>
      </c>
      <c r="D46" s="109">
        <v>0</v>
      </c>
      <c r="E46" s="110">
        <v>379.03</v>
      </c>
      <c r="F46" s="111">
        <v>0.05</v>
      </c>
      <c r="G46" s="111">
        <v>0.05</v>
      </c>
      <c r="H46" s="61"/>
      <c r="I46" s="61"/>
      <c r="J46" s="61"/>
      <c r="K46" s="61"/>
      <c r="L46" s="61"/>
      <c r="M46" s="61"/>
      <c r="N46" s="61"/>
      <c r="O46" s="61"/>
      <c r="P46" s="61"/>
      <c r="Q46" s="61"/>
      <c r="R46" s="61"/>
    </row>
    <row r="47" spans="1:18" ht="12.75" customHeight="1" x14ac:dyDescent="0.15">
      <c r="A47" s="221">
        <v>614</v>
      </c>
      <c r="B47" s="220">
        <v>2000055643203</v>
      </c>
      <c r="C47" s="219" t="s">
        <v>847</v>
      </c>
      <c r="D47" s="109">
        <v>0</v>
      </c>
      <c r="E47" s="110">
        <v>365.41</v>
      </c>
      <c r="F47" s="111">
        <v>0.05</v>
      </c>
      <c r="G47" s="111">
        <v>0.05</v>
      </c>
      <c r="H47" s="61"/>
      <c r="I47" s="61"/>
      <c r="J47" s="61"/>
      <c r="K47" s="61"/>
      <c r="L47" s="61"/>
      <c r="M47" s="61"/>
      <c r="N47" s="61"/>
      <c r="O47" s="61"/>
      <c r="P47" s="61"/>
      <c r="Q47" s="61"/>
      <c r="R47" s="61"/>
    </row>
    <row r="48" spans="1:18" ht="12.75" customHeight="1" x14ac:dyDescent="0.15">
      <c r="A48" s="221">
        <v>615</v>
      </c>
      <c r="B48" s="220">
        <v>2000055872917</v>
      </c>
      <c r="C48" s="219" t="s">
        <v>849</v>
      </c>
      <c r="D48" s="109">
        <v>0</v>
      </c>
      <c r="E48" s="110">
        <v>847.18</v>
      </c>
      <c r="F48" s="111">
        <v>0.05</v>
      </c>
      <c r="G48" s="111">
        <v>0.05</v>
      </c>
      <c r="H48" s="61"/>
      <c r="I48" s="61"/>
      <c r="J48" s="61"/>
      <c r="K48" s="61"/>
      <c r="L48" s="61"/>
      <c r="M48" s="61"/>
      <c r="N48" s="61"/>
      <c r="O48" s="61"/>
      <c r="P48" s="61"/>
      <c r="Q48" s="61"/>
      <c r="R48" s="61"/>
    </row>
    <row r="49" spans="1:18" ht="12.75" customHeight="1" x14ac:dyDescent="0.15">
      <c r="A49" s="221">
        <v>616</v>
      </c>
      <c r="B49" s="220">
        <v>2000055600291</v>
      </c>
      <c r="C49" s="219" t="s">
        <v>850</v>
      </c>
      <c r="D49" s="109">
        <v>0</v>
      </c>
      <c r="E49" s="110">
        <v>654.29999999999995</v>
      </c>
      <c r="F49" s="111">
        <v>0.05</v>
      </c>
      <c r="G49" s="111">
        <v>0.05</v>
      </c>
      <c r="H49" s="61"/>
      <c r="I49" s="61"/>
      <c r="J49" s="61"/>
      <c r="K49" s="61"/>
      <c r="L49" s="61"/>
      <c r="M49" s="61"/>
      <c r="N49" s="61"/>
      <c r="O49" s="61"/>
      <c r="P49" s="61"/>
      <c r="Q49" s="61"/>
      <c r="R49" s="61"/>
    </row>
    <row r="50" spans="1:18" ht="12.75" customHeight="1" x14ac:dyDescent="0.15">
      <c r="A50" s="221">
        <v>617</v>
      </c>
      <c r="B50" s="220">
        <v>2000055600200</v>
      </c>
      <c r="C50" s="219" t="s">
        <v>851</v>
      </c>
      <c r="D50" s="109">
        <v>0</v>
      </c>
      <c r="E50" s="110">
        <v>634.35</v>
      </c>
      <c r="F50" s="111">
        <v>0.05</v>
      </c>
      <c r="G50" s="111">
        <v>0.05</v>
      </c>
      <c r="H50" s="61"/>
      <c r="I50" s="61"/>
      <c r="J50" s="61"/>
      <c r="K50" s="61"/>
      <c r="L50" s="61"/>
      <c r="M50" s="61"/>
      <c r="N50" s="61"/>
      <c r="O50" s="61"/>
      <c r="P50" s="61"/>
      <c r="Q50" s="61"/>
      <c r="R50" s="61"/>
    </row>
    <row r="51" spans="1:18" ht="12.75" customHeight="1" x14ac:dyDescent="0.15">
      <c r="A51" s="221">
        <v>619</v>
      </c>
      <c r="B51" s="220">
        <v>2000055918109</v>
      </c>
      <c r="C51" s="219" t="s">
        <v>852</v>
      </c>
      <c r="D51" s="109">
        <v>0</v>
      </c>
      <c r="E51" s="110">
        <v>365.18</v>
      </c>
      <c r="F51" s="111">
        <v>0.05</v>
      </c>
      <c r="G51" s="111">
        <v>0.05</v>
      </c>
      <c r="H51" s="61"/>
      <c r="I51" s="61"/>
      <c r="J51" s="61"/>
      <c r="K51" s="61"/>
      <c r="L51" s="61"/>
      <c r="M51" s="61"/>
      <c r="N51" s="61"/>
      <c r="O51" s="61"/>
      <c r="P51" s="61"/>
      <c r="Q51" s="61"/>
      <c r="R51" s="61"/>
    </row>
    <row r="52" spans="1:18" ht="12.75" customHeight="1" x14ac:dyDescent="0.15">
      <c r="A52" s="221">
        <v>620</v>
      </c>
      <c r="B52" s="220">
        <v>2000055969265</v>
      </c>
      <c r="C52" s="219" t="s">
        <v>853</v>
      </c>
      <c r="D52" s="109">
        <v>0</v>
      </c>
      <c r="E52" s="110">
        <v>715.01</v>
      </c>
      <c r="F52" s="111">
        <v>0.05</v>
      </c>
      <c r="G52" s="111">
        <v>0.05</v>
      </c>
      <c r="H52" s="61"/>
      <c r="I52" s="61"/>
      <c r="J52" s="61"/>
      <c r="K52" s="61"/>
      <c r="L52" s="61"/>
      <c r="M52" s="61"/>
      <c r="N52" s="61"/>
      <c r="O52" s="61"/>
      <c r="P52" s="61"/>
      <c r="Q52" s="61"/>
      <c r="R52" s="61"/>
    </row>
    <row r="53" spans="1:18" ht="12.75" customHeight="1" x14ac:dyDescent="0.15">
      <c r="A53" s="221">
        <v>621</v>
      </c>
      <c r="B53" s="220">
        <v>2000055600399</v>
      </c>
      <c r="C53" s="219" t="s">
        <v>854</v>
      </c>
      <c r="D53" s="109">
        <v>0</v>
      </c>
      <c r="E53" s="110">
        <v>364.57</v>
      </c>
      <c r="F53" s="111">
        <v>0.05</v>
      </c>
      <c r="G53" s="111">
        <v>0.05</v>
      </c>
      <c r="H53" s="61"/>
      <c r="I53" s="61"/>
      <c r="J53" s="61"/>
      <c r="K53" s="61"/>
      <c r="L53" s="61"/>
      <c r="M53" s="61"/>
      <c r="N53" s="61"/>
      <c r="O53" s="61"/>
      <c r="P53" s="61"/>
      <c r="Q53" s="61"/>
      <c r="R53" s="61"/>
    </row>
    <row r="54" spans="1:18" ht="12.75" customHeight="1" x14ac:dyDescent="0.15">
      <c r="A54" s="221">
        <v>622</v>
      </c>
      <c r="B54" s="220">
        <v>2000055582776</v>
      </c>
      <c r="C54" s="219" t="s">
        <v>855</v>
      </c>
      <c r="D54" s="109">
        <v>0</v>
      </c>
      <c r="E54" s="110">
        <v>1542.6</v>
      </c>
      <c r="F54" s="111">
        <v>0.05</v>
      </c>
      <c r="G54" s="111">
        <v>0.05</v>
      </c>
      <c r="H54" s="61"/>
      <c r="I54" s="61"/>
      <c r="J54" s="61"/>
      <c r="K54" s="61"/>
      <c r="L54" s="61"/>
      <c r="M54" s="61"/>
      <c r="N54" s="61"/>
      <c r="O54" s="61"/>
      <c r="P54" s="61"/>
      <c r="Q54" s="61"/>
      <c r="R54" s="61"/>
    </row>
    <row r="55" spans="1:18" ht="12.75" customHeight="1" x14ac:dyDescent="0.15">
      <c r="A55" s="221">
        <v>623</v>
      </c>
      <c r="B55" s="220">
        <v>2000056041510</v>
      </c>
      <c r="C55" s="219" t="s">
        <v>856</v>
      </c>
      <c r="D55" s="109">
        <v>0</v>
      </c>
      <c r="E55" s="110">
        <v>2948.69</v>
      </c>
      <c r="F55" s="111">
        <v>0.05</v>
      </c>
      <c r="G55" s="111">
        <v>0.05</v>
      </c>
      <c r="H55" s="61"/>
      <c r="I55" s="61"/>
      <c r="J55" s="61"/>
      <c r="K55" s="61"/>
      <c r="L55" s="61"/>
      <c r="M55" s="61"/>
      <c r="N55" s="61"/>
      <c r="O55" s="61"/>
      <c r="P55" s="61"/>
      <c r="Q55" s="61"/>
      <c r="R55" s="61"/>
    </row>
    <row r="56" spans="1:18" ht="12.75" customHeight="1" x14ac:dyDescent="0.15">
      <c r="A56" s="221">
        <v>504</v>
      </c>
      <c r="B56" s="220">
        <v>2000056041529</v>
      </c>
      <c r="C56" s="219" t="s">
        <v>857</v>
      </c>
      <c r="D56" s="109">
        <v>0</v>
      </c>
      <c r="E56" s="110">
        <v>2948.69</v>
      </c>
      <c r="F56" s="111">
        <v>0.05</v>
      </c>
      <c r="G56" s="111">
        <v>0.05</v>
      </c>
      <c r="H56" s="61"/>
      <c r="I56" s="61"/>
      <c r="J56" s="61"/>
      <c r="K56" s="61"/>
      <c r="L56" s="61"/>
      <c r="M56" s="61"/>
      <c r="N56" s="61"/>
      <c r="O56" s="61"/>
      <c r="P56" s="61"/>
      <c r="Q56" s="61"/>
      <c r="R56" s="61"/>
    </row>
    <row r="57" spans="1:18" ht="12.75" customHeight="1" x14ac:dyDescent="0.15">
      <c r="A57" s="221">
        <v>624</v>
      </c>
      <c r="B57" s="220">
        <v>2000055916263</v>
      </c>
      <c r="C57" s="219" t="s">
        <v>858</v>
      </c>
      <c r="D57" s="109">
        <v>0</v>
      </c>
      <c r="E57" s="110">
        <v>992.66</v>
      </c>
      <c r="F57" s="111">
        <v>0.05</v>
      </c>
      <c r="G57" s="111">
        <v>0.05</v>
      </c>
      <c r="H57" s="61"/>
      <c r="I57" s="61"/>
      <c r="J57" s="61"/>
      <c r="K57" s="61"/>
      <c r="L57" s="61"/>
      <c r="M57" s="61"/>
      <c r="N57" s="61"/>
      <c r="O57" s="61"/>
      <c r="P57" s="61"/>
      <c r="Q57" s="61"/>
      <c r="R57" s="61"/>
    </row>
    <row r="58" spans="1:18" ht="12.75" customHeight="1" x14ac:dyDescent="0.15">
      <c r="A58" s="221">
        <v>625</v>
      </c>
      <c r="B58" s="220">
        <v>2000055860122</v>
      </c>
      <c r="C58" s="219" t="s">
        <v>859</v>
      </c>
      <c r="D58" s="109">
        <v>0</v>
      </c>
      <c r="E58" s="110">
        <v>161.62</v>
      </c>
      <c r="F58" s="111">
        <v>0.05</v>
      </c>
      <c r="G58" s="111">
        <v>0.05</v>
      </c>
      <c r="H58" s="61"/>
      <c r="I58" s="61"/>
      <c r="J58" s="61"/>
      <c r="K58" s="61"/>
      <c r="L58" s="61"/>
      <c r="M58" s="61"/>
      <c r="N58" s="61"/>
      <c r="O58" s="61"/>
      <c r="P58" s="61"/>
      <c r="Q58" s="61"/>
      <c r="R58" s="61"/>
    </row>
    <row r="59" spans="1:18" ht="12.75" customHeight="1" x14ac:dyDescent="0.15">
      <c r="A59" s="221">
        <v>627</v>
      </c>
      <c r="B59" s="220">
        <v>2000055899583</v>
      </c>
      <c r="C59" s="219" t="s">
        <v>860</v>
      </c>
      <c r="D59" s="109">
        <v>0</v>
      </c>
      <c r="E59" s="110">
        <v>366.29</v>
      </c>
      <c r="F59" s="111">
        <v>0.05</v>
      </c>
      <c r="G59" s="111">
        <v>0.05</v>
      </c>
      <c r="H59" s="61"/>
      <c r="I59" s="61"/>
      <c r="J59" s="61"/>
      <c r="K59" s="61"/>
      <c r="L59" s="61"/>
      <c r="M59" s="61"/>
      <c r="N59" s="61"/>
      <c r="O59" s="61"/>
      <c r="P59" s="61"/>
      <c r="Q59" s="61"/>
      <c r="R59" s="61"/>
    </row>
    <row r="60" spans="1:18" ht="12.75" customHeight="1" x14ac:dyDescent="0.15">
      <c r="A60" s="221">
        <v>628</v>
      </c>
      <c r="B60" s="220">
        <v>2000055899538</v>
      </c>
      <c r="C60" s="219" t="s">
        <v>861</v>
      </c>
      <c r="D60" s="109">
        <v>0</v>
      </c>
      <c r="E60" s="110">
        <v>2025.98</v>
      </c>
      <c r="F60" s="111">
        <v>0.05</v>
      </c>
      <c r="G60" s="111">
        <v>0.05</v>
      </c>
      <c r="H60" s="61"/>
      <c r="I60" s="61"/>
      <c r="J60" s="61"/>
      <c r="K60" s="61"/>
      <c r="L60" s="61"/>
      <c r="M60" s="61"/>
      <c r="N60" s="61"/>
      <c r="O60" s="61"/>
      <c r="P60" s="61"/>
      <c r="Q60" s="61"/>
      <c r="R60" s="61"/>
    </row>
    <row r="61" spans="1:18" ht="12.75" customHeight="1" x14ac:dyDescent="0.15">
      <c r="A61" s="221">
        <v>629</v>
      </c>
      <c r="B61" s="220">
        <v>2000056041565</v>
      </c>
      <c r="C61" s="219" t="s">
        <v>862</v>
      </c>
      <c r="D61" s="109">
        <v>0</v>
      </c>
      <c r="E61" s="110">
        <v>2146.98</v>
      </c>
      <c r="F61" s="111">
        <v>0.05</v>
      </c>
      <c r="G61" s="111">
        <v>0.05</v>
      </c>
      <c r="H61" s="61"/>
      <c r="I61" s="61"/>
      <c r="J61" s="61"/>
      <c r="K61" s="61"/>
      <c r="L61" s="61"/>
      <c r="M61" s="61"/>
      <c r="N61" s="61"/>
      <c r="O61" s="61"/>
      <c r="P61" s="61"/>
      <c r="Q61" s="61"/>
      <c r="R61" s="61"/>
    </row>
    <row r="62" spans="1:18" ht="12.75" customHeight="1" x14ac:dyDescent="0.15">
      <c r="A62" s="221">
        <v>914</v>
      </c>
      <c r="B62" s="220" t="s">
        <v>1148</v>
      </c>
      <c r="C62" s="219" t="s">
        <v>863</v>
      </c>
      <c r="D62" s="109">
        <v>0</v>
      </c>
      <c r="E62" s="110">
        <v>1013.38</v>
      </c>
      <c r="F62" s="111">
        <v>0.05</v>
      </c>
      <c r="G62" s="111">
        <v>0.05</v>
      </c>
      <c r="H62" s="61"/>
      <c r="I62" s="61"/>
      <c r="J62" s="61"/>
      <c r="K62" s="61"/>
      <c r="L62" s="61"/>
      <c r="M62" s="61"/>
      <c r="N62" s="61"/>
      <c r="O62" s="61"/>
      <c r="P62" s="61"/>
      <c r="Q62" s="61"/>
      <c r="R62" s="61"/>
    </row>
    <row r="63" spans="1:18" ht="12.75" customHeight="1" x14ac:dyDescent="0.15">
      <c r="A63" s="221">
        <v>630</v>
      </c>
      <c r="B63" s="220">
        <v>2000055582819</v>
      </c>
      <c r="C63" s="219" t="s">
        <v>865</v>
      </c>
      <c r="D63" s="109">
        <v>0</v>
      </c>
      <c r="E63" s="110">
        <v>366.75</v>
      </c>
      <c r="F63" s="111">
        <v>0.05</v>
      </c>
      <c r="G63" s="111">
        <v>0.05</v>
      </c>
      <c r="H63" s="61"/>
      <c r="I63" s="61"/>
      <c r="J63" s="61"/>
      <c r="K63" s="61"/>
      <c r="L63" s="61"/>
      <c r="M63" s="61"/>
      <c r="N63" s="61"/>
      <c r="O63" s="61"/>
      <c r="P63" s="61"/>
      <c r="Q63" s="61"/>
      <c r="R63" s="61"/>
    </row>
    <row r="64" spans="1:18" ht="12.75" customHeight="1" x14ac:dyDescent="0.15">
      <c r="A64" s="221">
        <v>631</v>
      </c>
      <c r="B64" s="220">
        <v>2000056442156</v>
      </c>
      <c r="C64" s="219" t="s">
        <v>866</v>
      </c>
      <c r="D64" s="109">
        <v>0</v>
      </c>
      <c r="E64" s="110">
        <v>168.49</v>
      </c>
      <c r="F64" s="111">
        <v>0.05</v>
      </c>
      <c r="G64" s="111">
        <v>0.05</v>
      </c>
      <c r="H64" s="61"/>
      <c r="I64" s="61"/>
      <c r="J64" s="61"/>
      <c r="K64" s="61"/>
      <c r="L64" s="61"/>
      <c r="M64" s="61"/>
      <c r="N64" s="61"/>
      <c r="O64" s="61"/>
      <c r="P64" s="61"/>
      <c r="Q64" s="61"/>
      <c r="R64" s="61"/>
    </row>
    <row r="65" spans="1:18" ht="12.75" customHeight="1" x14ac:dyDescent="0.15">
      <c r="A65" s="221">
        <v>632</v>
      </c>
      <c r="B65" s="220">
        <v>2000055894948</v>
      </c>
      <c r="C65" s="219" t="s">
        <v>867</v>
      </c>
      <c r="D65" s="109">
        <v>0</v>
      </c>
      <c r="E65" s="110">
        <v>366.86</v>
      </c>
      <c r="F65" s="111">
        <v>0.05</v>
      </c>
      <c r="G65" s="111">
        <v>0.05</v>
      </c>
      <c r="H65" s="61"/>
      <c r="I65" s="61"/>
      <c r="J65" s="61"/>
      <c r="K65" s="61"/>
      <c r="L65" s="61"/>
      <c r="M65" s="61"/>
      <c r="N65" s="61"/>
      <c r="O65" s="61"/>
      <c r="P65" s="61"/>
      <c r="Q65" s="61"/>
      <c r="R65" s="61"/>
    </row>
    <row r="66" spans="1:18" ht="12.75" customHeight="1" x14ac:dyDescent="0.15">
      <c r="A66" s="221">
        <v>633</v>
      </c>
      <c r="B66" s="220">
        <v>2000055630125</v>
      </c>
      <c r="C66" s="219" t="s">
        <v>868</v>
      </c>
      <c r="D66" s="109">
        <v>0</v>
      </c>
      <c r="E66" s="110">
        <v>247.18</v>
      </c>
      <c r="F66" s="111">
        <v>0.05</v>
      </c>
      <c r="G66" s="111">
        <v>0.05</v>
      </c>
      <c r="H66" s="61"/>
      <c r="I66" s="61"/>
      <c r="J66" s="61"/>
      <c r="K66" s="61"/>
      <c r="L66" s="61"/>
      <c r="M66" s="61"/>
      <c r="N66" s="61"/>
      <c r="O66" s="61"/>
      <c r="P66" s="61"/>
      <c r="Q66" s="61"/>
      <c r="R66" s="61"/>
    </row>
    <row r="67" spans="1:18" ht="12.75" customHeight="1" x14ac:dyDescent="0.15">
      <c r="A67" s="221">
        <v>634</v>
      </c>
      <c r="B67" s="220">
        <v>2000055845782</v>
      </c>
      <c r="C67" s="219" t="s">
        <v>869</v>
      </c>
      <c r="D67" s="109">
        <v>0</v>
      </c>
      <c r="E67" s="110">
        <v>248.98</v>
      </c>
      <c r="F67" s="111">
        <v>0.05</v>
      </c>
      <c r="G67" s="111">
        <v>0.05</v>
      </c>
      <c r="H67" s="61"/>
      <c r="I67" s="61"/>
      <c r="J67" s="61"/>
      <c r="K67" s="61"/>
      <c r="L67" s="61"/>
      <c r="M67" s="61"/>
      <c r="N67" s="61"/>
      <c r="O67" s="61"/>
      <c r="P67" s="61"/>
      <c r="Q67" s="61"/>
      <c r="R67" s="61"/>
    </row>
    <row r="68" spans="1:18" ht="12.75" customHeight="1" x14ac:dyDescent="0.15">
      <c r="A68" s="221">
        <v>635</v>
      </c>
      <c r="B68" s="220">
        <v>2000055856989</v>
      </c>
      <c r="C68" s="219" t="s">
        <v>870</v>
      </c>
      <c r="D68" s="109">
        <v>0</v>
      </c>
      <c r="E68" s="110">
        <v>1691.07</v>
      </c>
      <c r="F68" s="111">
        <v>0.05</v>
      </c>
      <c r="G68" s="111">
        <v>0.05</v>
      </c>
      <c r="H68" s="61"/>
      <c r="I68" s="61"/>
      <c r="J68" s="61"/>
      <c r="K68" s="61"/>
      <c r="L68" s="61"/>
      <c r="M68" s="61"/>
      <c r="N68" s="61"/>
      <c r="O68" s="61"/>
      <c r="P68" s="61"/>
      <c r="Q68" s="61"/>
      <c r="R68" s="61"/>
    </row>
    <row r="69" spans="1:18" ht="12.75" customHeight="1" x14ac:dyDescent="0.15">
      <c r="A69" s="221">
        <v>648</v>
      </c>
      <c r="B69" s="220">
        <v>2000056875324</v>
      </c>
      <c r="C69" s="219" t="s">
        <v>871</v>
      </c>
      <c r="D69" s="109">
        <v>0</v>
      </c>
      <c r="E69" s="110">
        <v>3239.12</v>
      </c>
      <c r="F69" s="111">
        <v>0.05</v>
      </c>
      <c r="G69" s="111">
        <v>0.05</v>
      </c>
      <c r="H69" s="61"/>
      <c r="I69" s="61"/>
      <c r="J69" s="61"/>
      <c r="K69" s="61"/>
      <c r="L69" s="61"/>
      <c r="M69" s="61"/>
      <c r="N69" s="61"/>
      <c r="O69" s="61"/>
      <c r="P69" s="61"/>
      <c r="Q69" s="61"/>
      <c r="R69" s="61"/>
    </row>
    <row r="70" spans="1:18" ht="12.75" customHeight="1" x14ac:dyDescent="0.15">
      <c r="A70" s="221">
        <v>637</v>
      </c>
      <c r="B70" s="220" t="s">
        <v>1148</v>
      </c>
      <c r="C70" s="219" t="s">
        <v>872</v>
      </c>
      <c r="D70" s="109">
        <v>0</v>
      </c>
      <c r="E70" s="110">
        <v>3481.08</v>
      </c>
      <c r="F70" s="111">
        <v>0.05</v>
      </c>
      <c r="G70" s="111">
        <v>0.05</v>
      </c>
      <c r="H70" s="61"/>
      <c r="I70" s="61"/>
      <c r="J70" s="61"/>
      <c r="K70" s="61"/>
      <c r="L70" s="61"/>
      <c r="M70" s="61"/>
      <c r="N70" s="61"/>
      <c r="O70" s="61"/>
      <c r="P70" s="61"/>
      <c r="Q70" s="61"/>
      <c r="R70" s="61"/>
    </row>
    <row r="71" spans="1:18" ht="12.75" customHeight="1" x14ac:dyDescent="0.15">
      <c r="A71" s="221">
        <v>639</v>
      </c>
      <c r="B71" s="220">
        <v>2000055875003</v>
      </c>
      <c r="C71" s="219" t="s">
        <v>873</v>
      </c>
      <c r="D71" s="109">
        <v>0</v>
      </c>
      <c r="E71" s="110">
        <v>1323.77</v>
      </c>
      <c r="F71" s="111">
        <v>0.05</v>
      </c>
      <c r="G71" s="111">
        <v>0.05</v>
      </c>
      <c r="H71" s="61"/>
      <c r="I71" s="61"/>
      <c r="J71" s="61"/>
      <c r="K71" s="61"/>
      <c r="L71" s="61"/>
      <c r="M71" s="61"/>
      <c r="N71" s="61"/>
      <c r="O71" s="61"/>
      <c r="P71" s="61"/>
      <c r="Q71" s="61"/>
      <c r="R71" s="61"/>
    </row>
    <row r="72" spans="1:18" ht="12.75" customHeight="1" x14ac:dyDescent="0.15">
      <c r="A72" s="221">
        <v>640</v>
      </c>
      <c r="B72" s="220">
        <v>2000055996668</v>
      </c>
      <c r="C72" s="219" t="s">
        <v>874</v>
      </c>
      <c r="D72" s="109">
        <v>0</v>
      </c>
      <c r="E72" s="110">
        <v>362.84</v>
      </c>
      <c r="F72" s="111">
        <v>0.05</v>
      </c>
      <c r="G72" s="111">
        <v>0.05</v>
      </c>
      <c r="H72" s="61"/>
      <c r="I72" s="61"/>
      <c r="J72" s="61"/>
      <c r="K72" s="61"/>
      <c r="L72" s="61"/>
      <c r="M72" s="61"/>
      <c r="N72" s="61"/>
      <c r="O72" s="61"/>
      <c r="P72" s="61"/>
      <c r="Q72" s="61"/>
      <c r="R72" s="61"/>
    </row>
    <row r="73" spans="1:18" ht="12.75" customHeight="1" x14ac:dyDescent="0.15">
      <c r="A73" s="221">
        <v>641</v>
      </c>
      <c r="B73" s="220">
        <v>2000055627888</v>
      </c>
      <c r="C73" s="219" t="s">
        <v>875</v>
      </c>
      <c r="D73" s="109">
        <v>0</v>
      </c>
      <c r="E73" s="110">
        <v>246.79</v>
      </c>
      <c r="F73" s="111">
        <v>0.05</v>
      </c>
      <c r="G73" s="111">
        <v>0.05</v>
      </c>
      <c r="H73" s="61"/>
      <c r="I73" s="61"/>
      <c r="J73" s="61"/>
      <c r="K73" s="61"/>
      <c r="L73" s="61"/>
      <c r="M73" s="61"/>
      <c r="N73" s="61"/>
      <c r="O73" s="61"/>
      <c r="P73" s="61"/>
      <c r="Q73" s="61"/>
      <c r="R73" s="61"/>
    </row>
    <row r="74" spans="1:18" ht="12.75" customHeight="1" x14ac:dyDescent="0.15">
      <c r="A74" s="221">
        <v>642</v>
      </c>
      <c r="B74" s="220">
        <v>2000055899797</v>
      </c>
      <c r="C74" s="219" t="s">
        <v>876</v>
      </c>
      <c r="D74" s="109">
        <v>0</v>
      </c>
      <c r="E74" s="110">
        <v>775.23</v>
      </c>
      <c r="F74" s="111">
        <v>0.05</v>
      </c>
      <c r="G74" s="111">
        <v>0.05</v>
      </c>
      <c r="H74" s="61"/>
      <c r="I74" s="61"/>
      <c r="J74" s="61"/>
      <c r="K74" s="61"/>
      <c r="L74" s="61"/>
      <c r="M74" s="61"/>
      <c r="N74" s="61"/>
      <c r="O74" s="61"/>
      <c r="P74" s="61"/>
      <c r="Q74" s="61"/>
      <c r="R74" s="61"/>
    </row>
    <row r="75" spans="1:18" ht="12.75" customHeight="1" x14ac:dyDescent="0.15">
      <c r="A75" s="221">
        <v>645</v>
      </c>
      <c r="B75" s="220">
        <v>2000055924014</v>
      </c>
      <c r="C75" s="219" t="s">
        <v>877</v>
      </c>
      <c r="D75" s="109">
        <v>0</v>
      </c>
      <c r="E75" s="110">
        <v>1678.47</v>
      </c>
      <c r="F75" s="111">
        <v>0.05</v>
      </c>
      <c r="G75" s="111">
        <v>0.05</v>
      </c>
      <c r="H75" s="61"/>
      <c r="I75" s="61"/>
      <c r="J75" s="61"/>
      <c r="K75" s="61"/>
      <c r="L75" s="61"/>
      <c r="M75" s="61"/>
      <c r="N75" s="61"/>
      <c r="O75" s="61"/>
      <c r="P75" s="61"/>
      <c r="Q75" s="61"/>
      <c r="R75" s="61"/>
    </row>
    <row r="76" spans="1:18" ht="12.75" customHeight="1" x14ac:dyDescent="0.15">
      <c r="A76" s="221">
        <v>646</v>
      </c>
      <c r="B76" s="220">
        <v>2000055878705</v>
      </c>
      <c r="C76" s="219" t="s">
        <v>878</v>
      </c>
      <c r="D76" s="109">
        <v>0</v>
      </c>
      <c r="E76" s="110">
        <v>819.41</v>
      </c>
      <c r="F76" s="111">
        <v>0.05</v>
      </c>
      <c r="G76" s="111">
        <v>0.05</v>
      </c>
      <c r="H76" s="61"/>
      <c r="I76" s="61"/>
      <c r="J76" s="61"/>
      <c r="K76" s="61"/>
      <c r="L76" s="61"/>
      <c r="M76" s="61"/>
      <c r="N76" s="61"/>
      <c r="O76" s="61"/>
      <c r="P76" s="61"/>
      <c r="Q76" s="61"/>
      <c r="R76" s="61"/>
    </row>
    <row r="77" spans="1:18" ht="12.75" customHeight="1" x14ac:dyDescent="0.15">
      <c r="A77" s="221" t="s">
        <v>1121</v>
      </c>
      <c r="B77" s="220">
        <v>2000056762142</v>
      </c>
      <c r="C77" s="219" t="s">
        <v>879</v>
      </c>
      <c r="D77" s="109">
        <v>0</v>
      </c>
      <c r="E77" s="110">
        <v>986.11</v>
      </c>
      <c r="F77" s="111">
        <v>0.05</v>
      </c>
      <c r="G77" s="111">
        <v>0.05</v>
      </c>
      <c r="H77" s="61"/>
      <c r="I77" s="61"/>
      <c r="J77" s="61"/>
      <c r="K77" s="61"/>
      <c r="L77" s="61"/>
      <c r="M77" s="61"/>
      <c r="N77" s="61"/>
      <c r="O77" s="61"/>
      <c r="P77" s="61"/>
      <c r="Q77" s="61"/>
      <c r="R77" s="61"/>
    </row>
    <row r="78" spans="1:18" ht="12.75" customHeight="1" x14ac:dyDescent="0.15">
      <c r="A78" s="221">
        <v>649</v>
      </c>
      <c r="B78" s="220">
        <v>2000055901300</v>
      </c>
      <c r="C78" s="219" t="s">
        <v>880</v>
      </c>
      <c r="D78" s="109">
        <v>0</v>
      </c>
      <c r="E78" s="110">
        <v>324.52999999999997</v>
      </c>
      <c r="F78" s="111">
        <v>0.05</v>
      </c>
      <c r="G78" s="111">
        <v>0.05</v>
      </c>
      <c r="H78" s="61"/>
      <c r="I78" s="61"/>
      <c r="J78" s="61"/>
      <c r="K78" s="61"/>
      <c r="L78" s="61"/>
      <c r="M78" s="61"/>
      <c r="N78" s="61"/>
      <c r="O78" s="61"/>
      <c r="P78" s="61"/>
      <c r="Q78" s="61"/>
      <c r="R78" s="61"/>
    </row>
    <row r="79" spans="1:18" ht="12.75" customHeight="1" x14ac:dyDescent="0.15">
      <c r="A79" s="221">
        <v>911</v>
      </c>
      <c r="B79" s="220">
        <v>2000055901355</v>
      </c>
      <c r="C79" s="219" t="s">
        <v>881</v>
      </c>
      <c r="D79" s="109">
        <v>0</v>
      </c>
      <c r="E79" s="110">
        <v>362.55</v>
      </c>
      <c r="F79" s="111">
        <v>0.05</v>
      </c>
      <c r="G79" s="111">
        <v>0.05</v>
      </c>
      <c r="H79" s="61"/>
      <c r="I79" s="61"/>
      <c r="J79" s="61"/>
      <c r="K79" s="61"/>
      <c r="L79" s="61"/>
      <c r="M79" s="61"/>
      <c r="N79" s="61"/>
      <c r="O79" s="61"/>
      <c r="P79" s="61"/>
      <c r="Q79" s="61"/>
      <c r="R79" s="61"/>
    </row>
    <row r="80" spans="1:18" ht="12.75" customHeight="1" x14ac:dyDescent="0.15">
      <c r="A80" s="221">
        <v>912</v>
      </c>
      <c r="B80" s="220">
        <v>2000055899398</v>
      </c>
      <c r="C80" s="219" t="s">
        <v>882</v>
      </c>
      <c r="D80" s="109">
        <v>0</v>
      </c>
      <c r="E80" s="110">
        <v>1086.3599999999999</v>
      </c>
      <c r="F80" s="111">
        <v>0.05</v>
      </c>
      <c r="G80" s="111">
        <v>0.05</v>
      </c>
      <c r="H80" s="61"/>
      <c r="I80" s="61"/>
      <c r="J80" s="61"/>
      <c r="K80" s="61"/>
      <c r="L80" s="61"/>
      <c r="M80" s="61"/>
      <c r="N80" s="61"/>
      <c r="O80" s="61"/>
      <c r="P80" s="61"/>
      <c r="Q80" s="61"/>
      <c r="R80" s="61"/>
    </row>
    <row r="81" spans="1:18" ht="12.75" customHeight="1" x14ac:dyDescent="0.15">
      <c r="A81" s="221">
        <v>952</v>
      </c>
      <c r="B81" s="220">
        <v>2000056479110</v>
      </c>
      <c r="C81" s="219" t="s">
        <v>883</v>
      </c>
      <c r="D81" s="109">
        <v>0</v>
      </c>
      <c r="E81" s="110">
        <v>1843.08</v>
      </c>
      <c r="F81" s="111">
        <v>0.05</v>
      </c>
      <c r="G81" s="111">
        <v>0.05</v>
      </c>
      <c r="H81" s="61"/>
      <c r="I81" s="61"/>
      <c r="J81" s="61"/>
      <c r="K81" s="61"/>
      <c r="L81" s="61"/>
      <c r="M81" s="61"/>
      <c r="N81" s="61"/>
      <c r="O81" s="61"/>
      <c r="P81" s="61"/>
      <c r="Q81" s="61"/>
      <c r="R81" s="61"/>
    </row>
    <row r="82" spans="1:18" ht="12.75" customHeight="1" x14ac:dyDescent="0.15">
      <c r="A82" s="221">
        <v>913</v>
      </c>
      <c r="B82" s="220">
        <v>2000055858727</v>
      </c>
      <c r="C82" s="219" t="s">
        <v>884</v>
      </c>
      <c r="D82" s="109">
        <v>0</v>
      </c>
      <c r="E82" s="110">
        <v>739.13</v>
      </c>
      <c r="F82" s="111">
        <v>0.05</v>
      </c>
      <c r="G82" s="111">
        <v>0.05</v>
      </c>
      <c r="H82" s="61"/>
      <c r="I82" s="61"/>
      <c r="J82" s="61"/>
      <c r="K82" s="61"/>
      <c r="L82" s="61"/>
      <c r="M82" s="61"/>
      <c r="N82" s="61"/>
      <c r="O82" s="61"/>
      <c r="P82" s="61"/>
      <c r="Q82" s="61"/>
      <c r="R82" s="61"/>
    </row>
    <row r="83" spans="1:18" ht="12.75" customHeight="1" x14ac:dyDescent="0.15">
      <c r="A83" s="221">
        <v>933</v>
      </c>
      <c r="B83" s="220">
        <v>2000056951269</v>
      </c>
      <c r="C83" s="219" t="s">
        <v>885</v>
      </c>
      <c r="D83" s="109">
        <v>0</v>
      </c>
      <c r="E83" s="110">
        <v>6593.8</v>
      </c>
      <c r="F83" s="111">
        <v>0.05</v>
      </c>
      <c r="G83" s="111">
        <v>0.05</v>
      </c>
      <c r="H83" s="61"/>
      <c r="I83" s="61"/>
      <c r="J83" s="61"/>
      <c r="K83" s="61"/>
      <c r="L83" s="61"/>
      <c r="M83" s="61"/>
      <c r="N83" s="61"/>
      <c r="O83" s="61"/>
      <c r="P83" s="61"/>
      <c r="Q83" s="61"/>
      <c r="R83" s="61"/>
    </row>
    <row r="84" spans="1:18" ht="12.75" customHeight="1" x14ac:dyDescent="0.15">
      <c r="A84" s="221">
        <v>958</v>
      </c>
      <c r="B84" s="220">
        <v>2000056277280</v>
      </c>
      <c r="C84" s="219" t="s">
        <v>886</v>
      </c>
      <c r="D84" s="109">
        <v>0</v>
      </c>
      <c r="E84" s="110">
        <v>357.56</v>
      </c>
      <c r="F84" s="111">
        <v>0.05</v>
      </c>
      <c r="G84" s="111">
        <v>0.05</v>
      </c>
      <c r="H84" s="61"/>
      <c r="I84" s="61"/>
      <c r="J84" s="61"/>
      <c r="K84" s="61"/>
      <c r="L84" s="61"/>
      <c r="M84" s="61"/>
      <c r="N84" s="61"/>
      <c r="O84" s="61"/>
      <c r="P84" s="61"/>
      <c r="Q84" s="61"/>
      <c r="R84" s="61"/>
    </row>
    <row r="85" spans="1:18" ht="12.75" customHeight="1" x14ac:dyDescent="0.15">
      <c r="A85" s="221">
        <v>626</v>
      </c>
      <c r="B85" s="220">
        <v>2000056113323</v>
      </c>
      <c r="C85" s="219" t="s">
        <v>887</v>
      </c>
      <c r="D85" s="109">
        <v>0</v>
      </c>
      <c r="E85" s="110">
        <v>364.57</v>
      </c>
      <c r="F85" s="111">
        <v>0.05</v>
      </c>
      <c r="G85" s="111">
        <v>0.05</v>
      </c>
      <c r="H85" s="61"/>
      <c r="I85" s="61"/>
      <c r="J85" s="61"/>
      <c r="K85" s="61"/>
      <c r="L85" s="61"/>
      <c r="M85" s="61"/>
      <c r="N85" s="61"/>
      <c r="O85" s="61"/>
      <c r="P85" s="61"/>
      <c r="Q85" s="61"/>
      <c r="R85" s="61"/>
    </row>
    <row r="86" spans="1:18" ht="12.75" customHeight="1" x14ac:dyDescent="0.15">
      <c r="A86" s="221">
        <v>607</v>
      </c>
      <c r="B86" s="220">
        <v>2000056212628</v>
      </c>
      <c r="C86" s="219" t="s">
        <v>888</v>
      </c>
      <c r="D86" s="109">
        <v>0</v>
      </c>
      <c r="E86" s="110">
        <v>364.21</v>
      </c>
      <c r="F86" s="111">
        <v>0.05</v>
      </c>
      <c r="G86" s="111">
        <v>0.05</v>
      </c>
      <c r="H86" s="61"/>
      <c r="I86" s="61"/>
      <c r="J86" s="61"/>
      <c r="K86" s="61"/>
      <c r="L86" s="61"/>
      <c r="M86" s="61"/>
      <c r="N86" s="61"/>
      <c r="O86" s="61"/>
      <c r="P86" s="61"/>
      <c r="Q86" s="61"/>
      <c r="R86" s="61"/>
    </row>
    <row r="87" spans="1:18" ht="12.75" customHeight="1" x14ac:dyDescent="0.15">
      <c r="A87" s="221">
        <v>915</v>
      </c>
      <c r="B87" s="220">
        <v>2000055924032</v>
      </c>
      <c r="C87" s="219" t="s">
        <v>889</v>
      </c>
      <c r="D87" s="109">
        <v>0</v>
      </c>
      <c r="E87" s="110">
        <v>978.49</v>
      </c>
      <c r="F87" s="111">
        <v>0.05</v>
      </c>
      <c r="G87" s="111">
        <v>0.05</v>
      </c>
      <c r="H87" s="61"/>
      <c r="I87" s="61"/>
      <c r="J87" s="61"/>
      <c r="K87" s="61"/>
      <c r="L87" s="61"/>
      <c r="M87" s="61"/>
      <c r="N87" s="61"/>
      <c r="O87" s="61"/>
      <c r="P87" s="61"/>
      <c r="Q87" s="61"/>
      <c r="R87" s="61"/>
    </row>
    <row r="88" spans="1:18" ht="12.75" customHeight="1" x14ac:dyDescent="0.15">
      <c r="A88" s="221">
        <v>608</v>
      </c>
      <c r="B88" s="220">
        <v>2000056127292</v>
      </c>
      <c r="C88" s="219" t="s">
        <v>890</v>
      </c>
      <c r="D88" s="109">
        <v>0</v>
      </c>
      <c r="E88" s="110">
        <v>1319.59</v>
      </c>
      <c r="F88" s="111">
        <v>0.05</v>
      </c>
      <c r="G88" s="111">
        <v>0.05</v>
      </c>
      <c r="H88" s="61"/>
      <c r="I88" s="61"/>
      <c r="J88" s="61"/>
      <c r="K88" s="61"/>
      <c r="L88" s="61"/>
      <c r="M88" s="61"/>
      <c r="N88" s="61"/>
      <c r="O88" s="61"/>
      <c r="P88" s="61"/>
      <c r="Q88" s="61"/>
      <c r="R88" s="61"/>
    </row>
    <row r="89" spans="1:18" ht="12.75" customHeight="1" x14ac:dyDescent="0.15">
      <c r="A89" s="221">
        <v>959</v>
      </c>
      <c r="B89" s="220">
        <v>2000056455270</v>
      </c>
      <c r="C89" s="219" t="s">
        <v>891</v>
      </c>
      <c r="D89" s="109">
        <v>0</v>
      </c>
      <c r="E89" s="110">
        <v>362.88</v>
      </c>
      <c r="F89" s="111">
        <v>0.05</v>
      </c>
      <c r="G89" s="111">
        <v>0.05</v>
      </c>
      <c r="H89" s="61"/>
      <c r="I89" s="61"/>
      <c r="J89" s="61"/>
      <c r="K89" s="61"/>
      <c r="L89" s="61"/>
      <c r="M89" s="61"/>
      <c r="N89" s="61"/>
      <c r="O89" s="61"/>
      <c r="P89" s="61"/>
      <c r="Q89" s="61"/>
      <c r="R89" s="61"/>
    </row>
    <row r="90" spans="1:18" ht="12.75" customHeight="1" x14ac:dyDescent="0.15">
      <c r="A90" s="221">
        <v>609</v>
      </c>
      <c r="B90" s="220">
        <v>2000056021319</v>
      </c>
      <c r="C90" s="219" t="s">
        <v>892</v>
      </c>
      <c r="D90" s="109">
        <v>0</v>
      </c>
      <c r="E90" s="110">
        <v>4277.99</v>
      </c>
      <c r="F90" s="111">
        <v>0.05</v>
      </c>
      <c r="G90" s="111">
        <v>0.05</v>
      </c>
      <c r="H90" s="61"/>
      <c r="I90" s="61"/>
      <c r="J90" s="61"/>
      <c r="K90" s="61"/>
      <c r="L90" s="61"/>
      <c r="M90" s="61"/>
      <c r="N90" s="61"/>
      <c r="O90" s="61"/>
      <c r="P90" s="61"/>
      <c r="Q90" s="61"/>
      <c r="R90" s="61"/>
    </row>
    <row r="91" spans="1:18" ht="12.75" customHeight="1" x14ac:dyDescent="0.15">
      <c r="A91" s="221">
        <v>916</v>
      </c>
      <c r="B91" s="220">
        <v>2000055815013</v>
      </c>
      <c r="C91" s="219" t="s">
        <v>893</v>
      </c>
      <c r="D91" s="109">
        <v>0</v>
      </c>
      <c r="E91" s="110">
        <v>1534.42</v>
      </c>
      <c r="F91" s="111">
        <v>0.05</v>
      </c>
      <c r="G91" s="111">
        <v>0.05</v>
      </c>
      <c r="H91" s="61"/>
      <c r="I91" s="61"/>
      <c r="J91" s="61"/>
      <c r="K91" s="61"/>
      <c r="L91" s="61"/>
      <c r="M91" s="61"/>
      <c r="N91" s="61"/>
      <c r="O91" s="61"/>
      <c r="P91" s="61"/>
      <c r="Q91" s="61"/>
      <c r="R91" s="61"/>
    </row>
    <row r="92" spans="1:18" ht="12.75" customHeight="1" x14ac:dyDescent="0.15">
      <c r="A92" s="221">
        <v>960</v>
      </c>
      <c r="B92" s="220">
        <v>2000056244986</v>
      </c>
      <c r="C92" s="219" t="s">
        <v>894</v>
      </c>
      <c r="D92" s="109">
        <v>0</v>
      </c>
      <c r="E92" s="110">
        <v>358.65</v>
      </c>
      <c r="F92" s="111">
        <v>0.05</v>
      </c>
      <c r="G92" s="111">
        <v>0.05</v>
      </c>
      <c r="H92" s="61"/>
      <c r="I92" s="61"/>
      <c r="J92" s="61"/>
      <c r="K92" s="61"/>
      <c r="L92" s="61"/>
      <c r="M92" s="61"/>
      <c r="N92" s="61"/>
      <c r="O92" s="61"/>
      <c r="P92" s="61"/>
      <c r="Q92" s="61"/>
      <c r="R92" s="61"/>
    </row>
    <row r="93" spans="1:18" ht="12.75" customHeight="1" x14ac:dyDescent="0.15">
      <c r="A93" s="221">
        <v>600</v>
      </c>
      <c r="B93" s="220">
        <v>2000056148804</v>
      </c>
      <c r="C93" s="219" t="s">
        <v>895</v>
      </c>
      <c r="D93" s="109">
        <v>0</v>
      </c>
      <c r="E93" s="110">
        <v>1412.27</v>
      </c>
      <c r="F93" s="111">
        <v>0.05</v>
      </c>
      <c r="G93" s="111">
        <v>0.05</v>
      </c>
      <c r="H93" s="61"/>
      <c r="I93" s="61"/>
      <c r="J93" s="61"/>
      <c r="K93" s="61"/>
      <c r="L93" s="61"/>
      <c r="M93" s="61"/>
      <c r="N93" s="61"/>
      <c r="O93" s="61"/>
      <c r="P93" s="61"/>
      <c r="Q93" s="61"/>
      <c r="R93" s="61"/>
    </row>
    <row r="94" spans="1:18" ht="12.75" customHeight="1" x14ac:dyDescent="0.15">
      <c r="A94" s="221">
        <v>601</v>
      </c>
      <c r="B94" s="220">
        <v>2000056082135</v>
      </c>
      <c r="C94" s="219" t="s">
        <v>896</v>
      </c>
      <c r="D94" s="109">
        <v>0</v>
      </c>
      <c r="E94" s="110">
        <v>476.35</v>
      </c>
      <c r="F94" s="111">
        <v>0.05</v>
      </c>
      <c r="G94" s="111">
        <v>0.05</v>
      </c>
      <c r="H94" s="61"/>
      <c r="I94" s="61"/>
      <c r="J94" s="61"/>
      <c r="K94" s="61"/>
      <c r="L94" s="61"/>
      <c r="M94" s="61"/>
      <c r="N94" s="61"/>
      <c r="O94" s="61"/>
      <c r="P94" s="61"/>
      <c r="Q94" s="61"/>
      <c r="R94" s="61"/>
    </row>
    <row r="95" spans="1:18" ht="12.75" customHeight="1" x14ac:dyDescent="0.15">
      <c r="A95" s="221">
        <v>602</v>
      </c>
      <c r="B95" s="220">
        <v>2000056194261</v>
      </c>
      <c r="C95" s="219" t="s">
        <v>897</v>
      </c>
      <c r="D95" s="109">
        <v>0</v>
      </c>
      <c r="E95" s="110">
        <v>424.69</v>
      </c>
      <c r="F95" s="111">
        <v>0.05</v>
      </c>
      <c r="G95" s="111">
        <v>0.05</v>
      </c>
      <c r="H95" s="61"/>
      <c r="I95" s="61"/>
      <c r="J95" s="61"/>
      <c r="K95" s="61"/>
      <c r="L95" s="61"/>
      <c r="M95" s="61"/>
      <c r="N95" s="61"/>
      <c r="O95" s="61"/>
      <c r="P95" s="61"/>
      <c r="Q95" s="61"/>
      <c r="R95" s="61"/>
    </row>
    <row r="96" spans="1:18" ht="12.75" customHeight="1" x14ac:dyDescent="0.15">
      <c r="A96" s="221">
        <v>647</v>
      </c>
      <c r="B96" s="220">
        <v>2000055881629</v>
      </c>
      <c r="C96" s="219" t="s">
        <v>898</v>
      </c>
      <c r="D96" s="109">
        <v>0</v>
      </c>
      <c r="E96" s="110">
        <v>987.63</v>
      </c>
      <c r="F96" s="111">
        <v>0.05</v>
      </c>
      <c r="G96" s="111">
        <v>0.05</v>
      </c>
      <c r="H96" s="61"/>
      <c r="I96" s="61"/>
      <c r="J96" s="61"/>
      <c r="K96" s="61"/>
      <c r="L96" s="61"/>
      <c r="M96" s="61"/>
      <c r="N96" s="61"/>
      <c r="O96" s="61"/>
      <c r="P96" s="61"/>
      <c r="Q96" s="61"/>
      <c r="R96" s="61"/>
    </row>
    <row r="97" spans="1:18" ht="12.75" customHeight="1" x14ac:dyDescent="0.15">
      <c r="A97" s="221">
        <v>954</v>
      </c>
      <c r="B97" s="220">
        <v>2000056474812</v>
      </c>
      <c r="C97" s="219" t="s">
        <v>899</v>
      </c>
      <c r="D97" s="109">
        <v>0</v>
      </c>
      <c r="E97" s="110">
        <v>1058.3800000000001</v>
      </c>
      <c r="F97" s="111">
        <v>0.05</v>
      </c>
      <c r="G97" s="111">
        <v>0.05</v>
      </c>
      <c r="H97" s="61"/>
      <c r="I97" s="61"/>
      <c r="J97" s="61"/>
      <c r="K97" s="61"/>
      <c r="L97" s="61"/>
      <c r="M97" s="61"/>
      <c r="N97" s="61"/>
      <c r="O97" s="61"/>
      <c r="P97" s="61"/>
      <c r="Q97" s="61"/>
      <c r="R97" s="61"/>
    </row>
    <row r="98" spans="1:18" ht="12.75" customHeight="1" x14ac:dyDescent="0.15">
      <c r="A98" s="221">
        <v>603</v>
      </c>
      <c r="B98" s="220">
        <v>2000056179495</v>
      </c>
      <c r="C98" s="219" t="s">
        <v>900</v>
      </c>
      <c r="D98" s="109">
        <v>0</v>
      </c>
      <c r="E98" s="110">
        <v>638.34</v>
      </c>
      <c r="F98" s="111">
        <v>0.05</v>
      </c>
      <c r="G98" s="111">
        <v>0.05</v>
      </c>
      <c r="H98" s="61"/>
      <c r="I98" s="61"/>
      <c r="J98" s="61"/>
      <c r="K98" s="61"/>
      <c r="L98" s="61"/>
      <c r="M98" s="61"/>
      <c r="N98" s="61"/>
      <c r="O98" s="61"/>
      <c r="P98" s="61"/>
      <c r="Q98" s="61"/>
      <c r="R98" s="61"/>
    </row>
    <row r="99" spans="1:18" ht="12.75" customHeight="1" x14ac:dyDescent="0.15">
      <c r="A99" s="221">
        <v>604</v>
      </c>
      <c r="B99" s="220">
        <v>2000056205310</v>
      </c>
      <c r="C99" s="219" t="s">
        <v>901</v>
      </c>
      <c r="D99" s="109">
        <v>0</v>
      </c>
      <c r="E99" s="110">
        <v>1029.49</v>
      </c>
      <c r="F99" s="111">
        <v>0.05</v>
      </c>
      <c r="G99" s="111">
        <v>0.05</v>
      </c>
      <c r="H99" s="61"/>
      <c r="I99" s="61"/>
      <c r="J99" s="61"/>
      <c r="K99" s="61"/>
      <c r="L99" s="61"/>
      <c r="M99" s="61"/>
      <c r="N99" s="61"/>
      <c r="O99" s="61"/>
      <c r="P99" s="61"/>
      <c r="Q99" s="61"/>
      <c r="R99" s="61"/>
    </row>
    <row r="100" spans="1:18" ht="12.75" customHeight="1" x14ac:dyDescent="0.15">
      <c r="A100" s="221">
        <v>636</v>
      </c>
      <c r="B100" s="220">
        <v>2000056199951</v>
      </c>
      <c r="C100" s="219" t="s">
        <v>902</v>
      </c>
      <c r="D100" s="109">
        <v>0</v>
      </c>
      <c r="E100" s="110">
        <v>473.37</v>
      </c>
      <c r="F100" s="111">
        <v>0.05</v>
      </c>
      <c r="G100" s="111">
        <v>0.05</v>
      </c>
      <c r="H100" s="61"/>
      <c r="I100" s="61"/>
      <c r="J100" s="61"/>
      <c r="K100" s="61"/>
      <c r="L100" s="61"/>
      <c r="M100" s="61"/>
      <c r="N100" s="61"/>
      <c r="O100" s="61"/>
      <c r="P100" s="61"/>
      <c r="Q100" s="61"/>
      <c r="R100" s="61"/>
    </row>
    <row r="101" spans="1:18" ht="12.75" customHeight="1" x14ac:dyDescent="0.15">
      <c r="A101" s="221">
        <v>964</v>
      </c>
      <c r="B101" s="220">
        <v>2000056063718</v>
      </c>
      <c r="C101" s="219" t="s">
        <v>903</v>
      </c>
      <c r="D101" s="109">
        <v>0</v>
      </c>
      <c r="E101" s="110">
        <v>1436.03</v>
      </c>
      <c r="F101" s="111">
        <v>0.05</v>
      </c>
      <c r="G101" s="111">
        <v>0.05</v>
      </c>
      <c r="H101" s="61"/>
      <c r="I101" s="61"/>
      <c r="J101" s="61"/>
      <c r="K101" s="61"/>
      <c r="L101" s="61"/>
      <c r="M101" s="61"/>
      <c r="N101" s="61"/>
      <c r="O101" s="61"/>
      <c r="P101" s="61"/>
      <c r="Q101" s="61"/>
      <c r="R101" s="61"/>
    </row>
    <row r="102" spans="1:18" ht="12.75" customHeight="1" x14ac:dyDescent="0.15">
      <c r="A102" s="221">
        <v>404</v>
      </c>
      <c r="B102" s="220">
        <v>2000056300489</v>
      </c>
      <c r="C102" s="219" t="s">
        <v>904</v>
      </c>
      <c r="D102" s="109">
        <v>0</v>
      </c>
      <c r="E102" s="110">
        <v>366.74</v>
      </c>
      <c r="F102" s="111">
        <v>0.05</v>
      </c>
      <c r="G102" s="111">
        <v>0.05</v>
      </c>
      <c r="H102" s="61"/>
      <c r="I102" s="61"/>
      <c r="J102" s="61"/>
      <c r="K102" s="61"/>
      <c r="L102" s="61"/>
      <c r="M102" s="61"/>
      <c r="N102" s="61"/>
      <c r="O102" s="61"/>
      <c r="P102" s="61"/>
      <c r="Q102" s="61"/>
      <c r="R102" s="61"/>
    </row>
    <row r="103" spans="1:18" ht="12.75" customHeight="1" x14ac:dyDescent="0.15">
      <c r="A103" s="221">
        <v>945</v>
      </c>
      <c r="B103" s="220">
        <v>2000055907817</v>
      </c>
      <c r="C103" s="219" t="s">
        <v>905</v>
      </c>
      <c r="D103" s="109">
        <v>0</v>
      </c>
      <c r="E103" s="110">
        <v>366.02</v>
      </c>
      <c r="F103" s="111">
        <v>0.05</v>
      </c>
      <c r="G103" s="111">
        <v>0.05</v>
      </c>
      <c r="H103" s="61"/>
      <c r="I103" s="61"/>
      <c r="J103" s="61"/>
      <c r="K103" s="61"/>
      <c r="L103" s="61"/>
      <c r="M103" s="61"/>
      <c r="N103" s="61"/>
      <c r="O103" s="61"/>
      <c r="P103" s="61"/>
      <c r="Q103" s="61"/>
      <c r="R103" s="61"/>
    </row>
    <row r="104" spans="1:18" ht="12.75" customHeight="1" x14ac:dyDescent="0.15">
      <c r="A104" s="221">
        <v>936</v>
      </c>
      <c r="B104" s="220">
        <v>2000055904782</v>
      </c>
      <c r="C104" s="219" t="s">
        <v>906</v>
      </c>
      <c r="D104" s="109">
        <v>0</v>
      </c>
      <c r="E104" s="110">
        <v>364.17</v>
      </c>
      <c r="F104" s="111">
        <v>0.05</v>
      </c>
      <c r="G104" s="111">
        <v>0.05</v>
      </c>
      <c r="H104" s="61"/>
      <c r="I104" s="61"/>
      <c r="J104" s="61"/>
      <c r="K104" s="61"/>
      <c r="L104" s="61"/>
      <c r="M104" s="61"/>
      <c r="N104" s="61"/>
      <c r="O104" s="61"/>
      <c r="P104" s="61"/>
      <c r="Q104" s="61"/>
      <c r="R104" s="61"/>
    </row>
    <row r="105" spans="1:18" ht="12.75" customHeight="1" x14ac:dyDescent="0.15">
      <c r="A105" s="221">
        <v>781</v>
      </c>
      <c r="B105" s="220">
        <v>2000055926128</v>
      </c>
      <c r="C105" s="219" t="s">
        <v>907</v>
      </c>
      <c r="D105" s="109">
        <v>0</v>
      </c>
      <c r="E105" s="110">
        <v>524.75</v>
      </c>
      <c r="F105" s="111">
        <v>0.05</v>
      </c>
      <c r="G105" s="111">
        <v>0.05</v>
      </c>
      <c r="H105" s="61"/>
      <c r="I105" s="61"/>
      <c r="J105" s="61"/>
      <c r="K105" s="61"/>
      <c r="L105" s="61"/>
      <c r="M105" s="61"/>
      <c r="N105" s="61"/>
      <c r="O105" s="61"/>
      <c r="P105" s="61"/>
      <c r="Q105" s="61"/>
      <c r="R105" s="61"/>
    </row>
    <row r="106" spans="1:18" ht="12.75" customHeight="1" x14ac:dyDescent="0.15">
      <c r="A106" s="221">
        <v>968</v>
      </c>
      <c r="B106" s="220">
        <v>2000056199793</v>
      </c>
      <c r="C106" s="219" t="s">
        <v>908</v>
      </c>
      <c r="D106" s="109">
        <v>0</v>
      </c>
      <c r="E106" s="110">
        <v>1323.48</v>
      </c>
      <c r="F106" s="111">
        <v>0.05</v>
      </c>
      <c r="G106" s="111">
        <v>0.05</v>
      </c>
      <c r="H106" s="61"/>
      <c r="I106" s="61"/>
      <c r="J106" s="61"/>
      <c r="K106" s="61"/>
      <c r="L106" s="61"/>
      <c r="M106" s="61"/>
      <c r="N106" s="61"/>
      <c r="O106" s="61"/>
      <c r="P106" s="61"/>
      <c r="Q106" s="61"/>
      <c r="R106" s="61"/>
    </row>
    <row r="107" spans="1:18" ht="12.75" customHeight="1" x14ac:dyDescent="0.15">
      <c r="A107" s="221">
        <v>970</v>
      </c>
      <c r="B107" s="220">
        <v>2000056222894</v>
      </c>
      <c r="C107" s="219" t="s">
        <v>909</v>
      </c>
      <c r="D107" s="109">
        <v>0</v>
      </c>
      <c r="E107" s="110">
        <v>360.93</v>
      </c>
      <c r="F107" s="111">
        <v>0.05</v>
      </c>
      <c r="G107" s="111">
        <v>0.05</v>
      </c>
      <c r="H107" s="61"/>
      <c r="I107" s="61"/>
      <c r="J107" s="61"/>
      <c r="K107" s="61"/>
      <c r="L107" s="61"/>
      <c r="M107" s="61"/>
      <c r="N107" s="61"/>
      <c r="O107" s="61"/>
      <c r="P107" s="61"/>
      <c r="Q107" s="61"/>
      <c r="R107" s="61"/>
    </row>
    <row r="108" spans="1:18" ht="12.75" customHeight="1" x14ac:dyDescent="0.15">
      <c r="A108" s="221">
        <v>971</v>
      </c>
      <c r="B108" s="220">
        <v>2000056002316</v>
      </c>
      <c r="C108" s="219" t="s">
        <v>910</v>
      </c>
      <c r="D108" s="109">
        <v>0</v>
      </c>
      <c r="E108" s="110">
        <v>2495.6</v>
      </c>
      <c r="F108" s="111">
        <v>0.05</v>
      </c>
      <c r="G108" s="111">
        <v>0.05</v>
      </c>
      <c r="H108" s="61"/>
      <c r="I108" s="61"/>
      <c r="J108" s="61"/>
      <c r="K108" s="61"/>
      <c r="L108" s="61"/>
      <c r="M108" s="61"/>
      <c r="N108" s="61"/>
      <c r="O108" s="61"/>
      <c r="P108" s="61"/>
      <c r="Q108" s="61"/>
      <c r="R108" s="61"/>
    </row>
    <row r="109" spans="1:18" ht="12.75" customHeight="1" x14ac:dyDescent="0.15">
      <c r="A109" s="221">
        <v>777</v>
      </c>
      <c r="B109" s="220">
        <v>2000055904807</v>
      </c>
      <c r="C109" s="219" t="s">
        <v>911</v>
      </c>
      <c r="D109" s="109">
        <v>0</v>
      </c>
      <c r="E109" s="110">
        <v>362.78</v>
      </c>
      <c r="F109" s="111">
        <v>0.05</v>
      </c>
      <c r="G109" s="111">
        <v>0.05</v>
      </c>
      <c r="H109" s="61"/>
      <c r="I109" s="61"/>
      <c r="J109" s="61"/>
      <c r="K109" s="61"/>
      <c r="L109" s="61"/>
      <c r="M109" s="61"/>
      <c r="N109" s="61"/>
      <c r="O109" s="61"/>
      <c r="P109" s="61"/>
      <c r="Q109" s="61"/>
      <c r="R109" s="61"/>
    </row>
    <row r="110" spans="1:18" ht="12.75" customHeight="1" x14ac:dyDescent="0.15">
      <c r="A110" s="221">
        <v>778</v>
      </c>
      <c r="B110" s="220">
        <v>2000055916281</v>
      </c>
      <c r="C110" s="219" t="s">
        <v>912</v>
      </c>
      <c r="D110" s="109">
        <v>0</v>
      </c>
      <c r="E110" s="110">
        <v>362.18</v>
      </c>
      <c r="F110" s="111">
        <v>0.05</v>
      </c>
      <c r="G110" s="111">
        <v>0.05</v>
      </c>
      <c r="H110" s="61"/>
      <c r="I110" s="61"/>
      <c r="J110" s="61"/>
      <c r="K110" s="61"/>
      <c r="L110" s="61"/>
      <c r="M110" s="61"/>
      <c r="N110" s="61"/>
      <c r="O110" s="61"/>
      <c r="P110" s="61"/>
      <c r="Q110" s="61"/>
      <c r="R110" s="61"/>
    </row>
    <row r="111" spans="1:18" ht="12.75" customHeight="1" x14ac:dyDescent="0.15">
      <c r="A111" s="221">
        <v>779</v>
      </c>
      <c r="B111" s="220">
        <v>2000055891176</v>
      </c>
      <c r="C111" s="219" t="s">
        <v>913</v>
      </c>
      <c r="D111" s="109">
        <v>0</v>
      </c>
      <c r="E111" s="110">
        <v>1127.02</v>
      </c>
      <c r="F111" s="111">
        <v>0.05</v>
      </c>
      <c r="G111" s="111">
        <v>0.05</v>
      </c>
      <c r="H111" s="61"/>
      <c r="I111" s="61"/>
      <c r="J111" s="61"/>
      <c r="K111" s="61"/>
      <c r="L111" s="61"/>
      <c r="M111" s="61"/>
      <c r="N111" s="61"/>
      <c r="O111" s="61"/>
      <c r="P111" s="61"/>
      <c r="Q111" s="61"/>
      <c r="R111" s="61"/>
    </row>
    <row r="112" spans="1:18" ht="12.75" customHeight="1" x14ac:dyDescent="0.15">
      <c r="A112" s="221">
        <v>972</v>
      </c>
      <c r="B112" s="220">
        <v>2000056147387</v>
      </c>
      <c r="C112" s="219" t="s">
        <v>914</v>
      </c>
      <c r="D112" s="109">
        <v>0</v>
      </c>
      <c r="E112" s="110">
        <v>2151.73</v>
      </c>
      <c r="F112" s="111">
        <v>0.05</v>
      </c>
      <c r="G112" s="111">
        <v>0.05</v>
      </c>
      <c r="H112" s="61"/>
      <c r="I112" s="61"/>
      <c r="J112" s="61"/>
      <c r="K112" s="61"/>
      <c r="L112" s="61"/>
      <c r="M112" s="61"/>
      <c r="N112" s="61"/>
      <c r="O112" s="61"/>
      <c r="P112" s="61"/>
      <c r="Q112" s="61"/>
      <c r="R112" s="61"/>
    </row>
    <row r="113" spans="1:18" ht="12.75" customHeight="1" x14ac:dyDescent="0.15">
      <c r="A113" s="221">
        <v>780</v>
      </c>
      <c r="B113" s="220">
        <v>2000055908546</v>
      </c>
      <c r="C113" s="219" t="s">
        <v>915</v>
      </c>
      <c r="D113" s="109">
        <v>0</v>
      </c>
      <c r="E113" s="110">
        <v>248.71</v>
      </c>
      <c r="F113" s="111">
        <v>0.05</v>
      </c>
      <c r="G113" s="111">
        <v>0.05</v>
      </c>
      <c r="H113" s="61"/>
      <c r="I113" s="61"/>
      <c r="J113" s="61"/>
      <c r="K113" s="61"/>
      <c r="L113" s="61"/>
      <c r="M113" s="61"/>
      <c r="N113" s="61"/>
      <c r="O113" s="61"/>
      <c r="P113" s="61"/>
      <c r="Q113" s="61"/>
      <c r="R113" s="61"/>
    </row>
    <row r="114" spans="1:18" ht="12.75" customHeight="1" x14ac:dyDescent="0.15">
      <c r="A114" s="221">
        <v>974</v>
      </c>
      <c r="B114" s="220">
        <v>2000056049280</v>
      </c>
      <c r="C114" s="219" t="s">
        <v>916</v>
      </c>
      <c r="D114" s="109">
        <v>0</v>
      </c>
      <c r="E114" s="110">
        <v>248.69</v>
      </c>
      <c r="F114" s="111">
        <v>0.05</v>
      </c>
      <c r="G114" s="111">
        <v>0.05</v>
      </c>
      <c r="H114" s="61"/>
      <c r="I114" s="61"/>
      <c r="J114" s="61"/>
      <c r="K114" s="61"/>
      <c r="L114" s="61"/>
      <c r="M114" s="61"/>
      <c r="N114" s="61"/>
      <c r="O114" s="61"/>
      <c r="P114" s="61"/>
      <c r="Q114" s="61"/>
      <c r="R114" s="61"/>
    </row>
    <row r="115" spans="1:18" ht="12.75" customHeight="1" x14ac:dyDescent="0.15">
      <c r="A115" s="221">
        <v>782</v>
      </c>
      <c r="B115" s="220">
        <v>2000056049314</v>
      </c>
      <c r="C115" s="219" t="s">
        <v>917</v>
      </c>
      <c r="D115" s="109">
        <v>0</v>
      </c>
      <c r="E115" s="110">
        <v>248.57</v>
      </c>
      <c r="F115" s="111">
        <v>0.05</v>
      </c>
      <c r="G115" s="111">
        <v>0.05</v>
      </c>
      <c r="H115" s="61"/>
      <c r="I115" s="61"/>
      <c r="J115" s="61"/>
      <c r="K115" s="61"/>
      <c r="L115" s="61"/>
      <c r="M115" s="61"/>
      <c r="N115" s="61"/>
      <c r="O115" s="61"/>
      <c r="P115" s="61"/>
      <c r="Q115" s="61"/>
      <c r="R115" s="61"/>
    </row>
    <row r="116" spans="1:18" ht="12.75" customHeight="1" x14ac:dyDescent="0.15">
      <c r="A116" s="221" t="s">
        <v>1122</v>
      </c>
      <c r="B116" s="220">
        <v>2000056827915</v>
      </c>
      <c r="C116" s="219" t="s">
        <v>918</v>
      </c>
      <c r="D116" s="109">
        <v>0</v>
      </c>
      <c r="E116" s="110">
        <v>237.44</v>
      </c>
      <c r="F116" s="111">
        <v>0.05</v>
      </c>
      <c r="G116" s="111">
        <v>0.05</v>
      </c>
      <c r="H116" s="61"/>
      <c r="I116" s="61"/>
      <c r="J116" s="61"/>
      <c r="K116" s="61"/>
      <c r="L116" s="61"/>
      <c r="M116" s="61"/>
      <c r="N116" s="61"/>
      <c r="O116" s="61"/>
      <c r="P116" s="61"/>
      <c r="Q116" s="61"/>
      <c r="R116" s="61"/>
    </row>
    <row r="117" spans="1:18" ht="12.75" customHeight="1" x14ac:dyDescent="0.15">
      <c r="A117" s="221">
        <v>783</v>
      </c>
      <c r="B117" s="220">
        <v>2000056169822</v>
      </c>
      <c r="C117" s="219" t="s">
        <v>919</v>
      </c>
      <c r="D117" s="109">
        <v>0</v>
      </c>
      <c r="E117" s="110">
        <v>751.64</v>
      </c>
      <c r="F117" s="111">
        <v>0.05</v>
      </c>
      <c r="G117" s="111">
        <v>0.05</v>
      </c>
      <c r="H117" s="61"/>
      <c r="I117" s="61"/>
      <c r="J117" s="61"/>
      <c r="K117" s="61"/>
      <c r="L117" s="61"/>
      <c r="M117" s="61"/>
      <c r="N117" s="61"/>
      <c r="O117" s="61"/>
      <c r="P117" s="61"/>
      <c r="Q117" s="61"/>
      <c r="R117" s="61"/>
    </row>
    <row r="118" spans="1:18" ht="12.75" customHeight="1" x14ac:dyDescent="0.15">
      <c r="A118" s="221">
        <v>784</v>
      </c>
      <c r="B118" s="220">
        <v>2000056179680</v>
      </c>
      <c r="C118" s="219" t="s">
        <v>920</v>
      </c>
      <c r="D118" s="109">
        <v>0</v>
      </c>
      <c r="E118" s="110">
        <v>1057.6600000000001</v>
      </c>
      <c r="F118" s="111">
        <v>0.05</v>
      </c>
      <c r="G118" s="111">
        <v>0.05</v>
      </c>
      <c r="H118" s="61"/>
      <c r="I118" s="61"/>
      <c r="J118" s="61"/>
      <c r="K118" s="61"/>
      <c r="L118" s="61"/>
      <c r="M118" s="61"/>
      <c r="N118" s="61"/>
      <c r="O118" s="61"/>
      <c r="P118" s="61"/>
      <c r="Q118" s="61"/>
      <c r="R118" s="61"/>
    </row>
    <row r="119" spans="1:18" ht="12.75" customHeight="1" x14ac:dyDescent="0.15">
      <c r="A119" s="221">
        <v>785</v>
      </c>
      <c r="B119" s="220">
        <v>2000056107125</v>
      </c>
      <c r="C119" s="219" t="s">
        <v>921</v>
      </c>
      <c r="D119" s="109">
        <v>0</v>
      </c>
      <c r="E119" s="110">
        <v>365.5</v>
      </c>
      <c r="F119" s="111">
        <v>0.05</v>
      </c>
      <c r="G119" s="111">
        <v>0.05</v>
      </c>
      <c r="H119" s="61"/>
      <c r="I119" s="61"/>
      <c r="J119" s="61"/>
      <c r="K119" s="61"/>
      <c r="L119" s="61"/>
      <c r="M119" s="61"/>
      <c r="N119" s="61"/>
      <c r="O119" s="61"/>
      <c r="P119" s="61"/>
      <c r="Q119" s="61"/>
      <c r="R119" s="61"/>
    </row>
    <row r="120" spans="1:18" ht="12.75" customHeight="1" x14ac:dyDescent="0.15">
      <c r="A120" s="221">
        <v>786</v>
      </c>
      <c r="B120" s="220">
        <v>2000056113963</v>
      </c>
      <c r="C120" s="219" t="s">
        <v>922</v>
      </c>
      <c r="D120" s="109">
        <v>0</v>
      </c>
      <c r="E120" s="110">
        <v>364.88</v>
      </c>
      <c r="F120" s="111">
        <v>0.05</v>
      </c>
      <c r="G120" s="111">
        <v>0.05</v>
      </c>
      <c r="H120" s="61"/>
      <c r="I120" s="61"/>
      <c r="J120" s="61"/>
      <c r="K120" s="61"/>
      <c r="L120" s="61"/>
      <c r="M120" s="61"/>
      <c r="N120" s="61"/>
      <c r="O120" s="61"/>
      <c r="P120" s="61"/>
      <c r="Q120" s="61"/>
      <c r="R120" s="61"/>
    </row>
    <row r="121" spans="1:18" ht="12.75" customHeight="1" x14ac:dyDescent="0.15">
      <c r="A121" s="221">
        <v>787</v>
      </c>
      <c r="B121" s="220">
        <v>2000056138160</v>
      </c>
      <c r="C121" s="219" t="s">
        <v>923</v>
      </c>
      <c r="D121" s="109">
        <v>0</v>
      </c>
      <c r="E121" s="110">
        <v>367</v>
      </c>
      <c r="F121" s="111">
        <v>0.05</v>
      </c>
      <c r="G121" s="111">
        <v>0.05</v>
      </c>
      <c r="H121" s="61"/>
      <c r="I121" s="61"/>
      <c r="J121" s="61"/>
      <c r="K121" s="61"/>
      <c r="L121" s="61"/>
      <c r="M121" s="61"/>
      <c r="N121" s="61"/>
      <c r="O121" s="61"/>
      <c r="P121" s="61"/>
      <c r="Q121" s="61"/>
      <c r="R121" s="61"/>
    </row>
    <row r="122" spans="1:18" ht="12.75" customHeight="1" x14ac:dyDescent="0.15">
      <c r="A122" s="221">
        <v>788</v>
      </c>
      <c r="B122" s="220">
        <v>2000056167922</v>
      </c>
      <c r="C122" s="219" t="s">
        <v>924</v>
      </c>
      <c r="D122" s="109">
        <v>0</v>
      </c>
      <c r="E122" s="110">
        <v>250.58</v>
      </c>
      <c r="F122" s="111">
        <v>0.05</v>
      </c>
      <c r="G122" s="111">
        <v>0.05</v>
      </c>
      <c r="H122" s="61"/>
      <c r="I122" s="61"/>
      <c r="J122" s="61"/>
      <c r="K122" s="61"/>
      <c r="L122" s="61"/>
      <c r="M122" s="61"/>
      <c r="N122" s="61"/>
      <c r="O122" s="61"/>
      <c r="P122" s="61"/>
      <c r="Q122" s="61"/>
      <c r="R122" s="61"/>
    </row>
    <row r="123" spans="1:18" ht="12.75" customHeight="1" x14ac:dyDescent="0.15">
      <c r="A123" s="221">
        <v>956</v>
      </c>
      <c r="B123" s="220">
        <v>2000056537783</v>
      </c>
      <c r="C123" s="219" t="s">
        <v>925</v>
      </c>
      <c r="D123" s="109">
        <v>0</v>
      </c>
      <c r="E123" s="110">
        <v>2908.37</v>
      </c>
      <c r="F123" s="111">
        <v>0.05</v>
      </c>
      <c r="G123" s="111">
        <v>0.05</v>
      </c>
      <c r="H123" s="61"/>
      <c r="I123" s="61"/>
      <c r="J123" s="61"/>
      <c r="K123" s="61"/>
      <c r="L123" s="61"/>
      <c r="M123" s="61"/>
      <c r="N123" s="61"/>
      <c r="O123" s="61"/>
      <c r="P123" s="61"/>
      <c r="Q123" s="61"/>
      <c r="R123" s="61"/>
    </row>
    <row r="124" spans="1:18" ht="12.75" customHeight="1" x14ac:dyDescent="0.15">
      <c r="A124" s="221">
        <v>789</v>
      </c>
      <c r="B124" s="220">
        <v>2000055874979</v>
      </c>
      <c r="C124" s="219" t="s">
        <v>926</v>
      </c>
      <c r="D124" s="109">
        <v>0</v>
      </c>
      <c r="E124" s="110">
        <v>7157.12</v>
      </c>
      <c r="F124" s="111">
        <v>0.05</v>
      </c>
      <c r="G124" s="111">
        <v>0.05</v>
      </c>
      <c r="H124" s="61"/>
      <c r="I124" s="61"/>
      <c r="J124" s="61"/>
      <c r="K124" s="61"/>
      <c r="L124" s="61"/>
      <c r="M124" s="61"/>
      <c r="N124" s="61"/>
      <c r="O124" s="61"/>
      <c r="P124" s="61"/>
      <c r="Q124" s="61"/>
      <c r="R124" s="61"/>
    </row>
    <row r="125" spans="1:18" ht="12.75" customHeight="1" x14ac:dyDescent="0.15">
      <c r="A125" s="221">
        <v>790</v>
      </c>
      <c r="B125" s="220">
        <v>2000056147261</v>
      </c>
      <c r="C125" s="219" t="s">
        <v>927</v>
      </c>
      <c r="D125" s="109">
        <v>0</v>
      </c>
      <c r="E125" s="110">
        <v>750.58</v>
      </c>
      <c r="F125" s="111">
        <v>0.05</v>
      </c>
      <c r="G125" s="111">
        <v>0.05</v>
      </c>
      <c r="H125" s="61"/>
      <c r="I125" s="61"/>
      <c r="J125" s="61"/>
      <c r="K125" s="61"/>
      <c r="L125" s="61"/>
      <c r="M125" s="61"/>
      <c r="N125" s="61"/>
      <c r="O125" s="61"/>
      <c r="P125" s="61"/>
      <c r="Q125" s="61"/>
      <c r="R125" s="61"/>
    </row>
    <row r="126" spans="1:18" ht="12.75" customHeight="1" x14ac:dyDescent="0.15">
      <c r="A126" s="221">
        <v>791</v>
      </c>
      <c r="B126" s="220">
        <v>2000055932238</v>
      </c>
      <c r="C126" s="219" t="s">
        <v>928</v>
      </c>
      <c r="D126" s="109">
        <v>0</v>
      </c>
      <c r="E126" s="110">
        <v>367.48</v>
      </c>
      <c r="F126" s="111">
        <v>0.05</v>
      </c>
      <c r="G126" s="111">
        <v>0.05</v>
      </c>
      <c r="H126" s="61"/>
      <c r="I126" s="61"/>
      <c r="J126" s="61"/>
      <c r="K126" s="61"/>
      <c r="L126" s="61"/>
      <c r="M126" s="61"/>
      <c r="N126" s="61"/>
      <c r="O126" s="61"/>
      <c r="P126" s="61"/>
      <c r="Q126" s="61"/>
      <c r="R126" s="61"/>
    </row>
    <row r="127" spans="1:18" ht="12.75" customHeight="1" x14ac:dyDescent="0.15">
      <c r="A127" s="221">
        <v>962</v>
      </c>
      <c r="B127" s="220">
        <v>2000056441384</v>
      </c>
      <c r="C127" s="219" t="s">
        <v>930</v>
      </c>
      <c r="D127" s="109">
        <v>0</v>
      </c>
      <c r="E127" s="110">
        <v>433.56</v>
      </c>
      <c r="F127" s="111">
        <v>0.05</v>
      </c>
      <c r="G127" s="111">
        <v>0.05</v>
      </c>
      <c r="H127" s="61"/>
      <c r="I127" s="61"/>
      <c r="J127" s="61"/>
      <c r="K127" s="61"/>
      <c r="L127" s="61"/>
      <c r="M127" s="61"/>
      <c r="N127" s="61"/>
      <c r="O127" s="61"/>
      <c r="P127" s="61"/>
      <c r="Q127" s="61"/>
      <c r="R127" s="61"/>
    </row>
    <row r="128" spans="1:18" ht="12.75" customHeight="1" x14ac:dyDescent="0.15">
      <c r="A128" s="221">
        <v>792</v>
      </c>
      <c r="B128" s="220">
        <v>2000056204965</v>
      </c>
      <c r="C128" s="219" t="s">
        <v>931</v>
      </c>
      <c r="D128" s="109">
        <v>0</v>
      </c>
      <c r="E128" s="110">
        <v>5156.2299999999996</v>
      </c>
      <c r="F128" s="111">
        <v>0.05</v>
      </c>
      <c r="G128" s="111">
        <v>0.05</v>
      </c>
      <c r="H128" s="61"/>
      <c r="I128" s="61"/>
      <c r="J128" s="61"/>
      <c r="K128" s="61"/>
      <c r="L128" s="61"/>
      <c r="M128" s="61"/>
      <c r="N128" s="61"/>
      <c r="O128" s="61"/>
      <c r="P128" s="61"/>
      <c r="Q128" s="61"/>
      <c r="R128" s="61"/>
    </row>
    <row r="129" spans="1:18" ht="12.75" customHeight="1" x14ac:dyDescent="0.15">
      <c r="A129" s="221">
        <v>933</v>
      </c>
      <c r="B129" s="220" t="s">
        <v>1148</v>
      </c>
      <c r="C129" s="219" t="s">
        <v>932</v>
      </c>
      <c r="D129" s="109">
        <v>0</v>
      </c>
      <c r="E129" s="110">
        <v>364.88</v>
      </c>
      <c r="F129" s="111">
        <v>0.05</v>
      </c>
      <c r="G129" s="111">
        <v>0.05</v>
      </c>
      <c r="H129" s="61"/>
      <c r="I129" s="61"/>
      <c r="J129" s="61"/>
      <c r="K129" s="61"/>
      <c r="L129" s="61"/>
      <c r="M129" s="61"/>
      <c r="N129" s="61"/>
      <c r="O129" s="61"/>
      <c r="P129" s="61"/>
      <c r="Q129" s="61"/>
      <c r="R129" s="61"/>
    </row>
    <row r="130" spans="1:18" ht="12.75" customHeight="1" x14ac:dyDescent="0.15">
      <c r="A130" s="221">
        <v>618</v>
      </c>
      <c r="B130" s="220">
        <v>2000056439613</v>
      </c>
      <c r="C130" s="219" t="s">
        <v>933</v>
      </c>
      <c r="D130" s="109">
        <v>0</v>
      </c>
      <c r="E130" s="110">
        <v>3478.19</v>
      </c>
      <c r="F130" s="111">
        <v>0.05</v>
      </c>
      <c r="G130" s="111">
        <v>0.05</v>
      </c>
      <c r="H130" s="61"/>
      <c r="I130" s="61"/>
      <c r="J130" s="61"/>
      <c r="K130" s="61"/>
      <c r="L130" s="61"/>
      <c r="M130" s="61"/>
      <c r="N130" s="61"/>
      <c r="O130" s="61"/>
      <c r="P130" s="61"/>
      <c r="Q130" s="61"/>
      <c r="R130" s="61"/>
    </row>
    <row r="131" spans="1:18" ht="12.75" customHeight="1" x14ac:dyDescent="0.15">
      <c r="A131" s="221">
        <v>793</v>
      </c>
      <c r="B131" s="220">
        <v>2000056147401</v>
      </c>
      <c r="C131" s="219" t="s">
        <v>934</v>
      </c>
      <c r="D131" s="109">
        <v>0</v>
      </c>
      <c r="E131" s="110">
        <v>367.05</v>
      </c>
      <c r="F131" s="111">
        <v>0.05</v>
      </c>
      <c r="G131" s="111">
        <v>0.05</v>
      </c>
      <c r="H131" s="61"/>
      <c r="I131" s="61"/>
      <c r="J131" s="61"/>
      <c r="K131" s="61"/>
      <c r="L131" s="61"/>
      <c r="M131" s="61"/>
      <c r="N131" s="61"/>
      <c r="O131" s="61"/>
      <c r="P131" s="61"/>
      <c r="Q131" s="61"/>
      <c r="R131" s="61"/>
    </row>
    <row r="132" spans="1:18" ht="12.75" customHeight="1" x14ac:dyDescent="0.15">
      <c r="A132" s="221">
        <v>989</v>
      </c>
      <c r="B132" s="220">
        <v>2000056359863</v>
      </c>
      <c r="C132" s="219" t="s">
        <v>935</v>
      </c>
      <c r="D132" s="109">
        <v>0</v>
      </c>
      <c r="E132" s="110">
        <v>2521.7800000000002</v>
      </c>
      <c r="F132" s="111">
        <v>0.05</v>
      </c>
      <c r="G132" s="111">
        <v>0.05</v>
      </c>
      <c r="H132" s="61"/>
      <c r="I132" s="61"/>
      <c r="J132" s="61"/>
      <c r="K132" s="61"/>
      <c r="L132" s="61"/>
      <c r="M132" s="61"/>
      <c r="N132" s="61"/>
      <c r="O132" s="61"/>
      <c r="P132" s="61"/>
      <c r="Q132" s="61"/>
      <c r="R132" s="61"/>
    </row>
    <row r="133" spans="1:18" ht="12.75" customHeight="1" x14ac:dyDescent="0.15">
      <c r="A133" s="221">
        <v>794</v>
      </c>
      <c r="B133" s="220">
        <v>2000056202407</v>
      </c>
      <c r="C133" s="219" t="s">
        <v>936</v>
      </c>
      <c r="D133" s="109">
        <v>0</v>
      </c>
      <c r="E133" s="110">
        <v>1332.13</v>
      </c>
      <c r="F133" s="111">
        <v>0.05</v>
      </c>
      <c r="G133" s="111">
        <v>0.05</v>
      </c>
      <c r="H133" s="61"/>
      <c r="I133" s="61"/>
      <c r="J133" s="61"/>
      <c r="K133" s="61"/>
      <c r="L133" s="61"/>
      <c r="M133" s="61"/>
      <c r="N133" s="61"/>
      <c r="O133" s="61"/>
      <c r="P133" s="61"/>
      <c r="Q133" s="61"/>
      <c r="R133" s="61"/>
    </row>
    <row r="134" spans="1:18" ht="12.75" customHeight="1" x14ac:dyDescent="0.15">
      <c r="A134" s="221">
        <v>963</v>
      </c>
      <c r="B134" s="220">
        <v>2000056452118</v>
      </c>
      <c r="C134" s="219" t="s">
        <v>937</v>
      </c>
      <c r="D134" s="109">
        <v>0</v>
      </c>
      <c r="E134" s="110">
        <v>500.22</v>
      </c>
      <c r="F134" s="111">
        <v>0.05</v>
      </c>
      <c r="G134" s="111">
        <v>0.05</v>
      </c>
      <c r="H134" s="61"/>
      <c r="I134" s="61"/>
      <c r="J134" s="61"/>
      <c r="K134" s="61"/>
      <c r="L134" s="61"/>
      <c r="M134" s="61"/>
      <c r="N134" s="61"/>
      <c r="O134" s="61"/>
      <c r="P134" s="61"/>
      <c r="Q134" s="61"/>
      <c r="R134" s="61"/>
    </row>
    <row r="135" spans="1:18" ht="12.75" customHeight="1" x14ac:dyDescent="0.15">
      <c r="A135" s="221">
        <v>795</v>
      </c>
      <c r="B135" s="220">
        <v>2000056186438</v>
      </c>
      <c r="C135" s="219" t="s">
        <v>938</v>
      </c>
      <c r="D135" s="109">
        <v>0</v>
      </c>
      <c r="E135" s="110">
        <v>6301.16</v>
      </c>
      <c r="F135" s="111">
        <v>0.05</v>
      </c>
      <c r="G135" s="111">
        <v>0.05</v>
      </c>
      <c r="H135" s="61"/>
      <c r="I135" s="61"/>
      <c r="J135" s="61"/>
      <c r="K135" s="61"/>
      <c r="L135" s="61"/>
      <c r="M135" s="61"/>
      <c r="N135" s="61"/>
      <c r="O135" s="61"/>
      <c r="P135" s="61"/>
      <c r="Q135" s="61"/>
      <c r="R135" s="61"/>
    </row>
    <row r="136" spans="1:18" ht="12.75" customHeight="1" x14ac:dyDescent="0.15">
      <c r="A136" s="221">
        <v>796</v>
      </c>
      <c r="B136" s="220">
        <v>2000056166469</v>
      </c>
      <c r="C136" s="219" t="s">
        <v>939</v>
      </c>
      <c r="D136" s="109">
        <v>0</v>
      </c>
      <c r="E136" s="110">
        <v>3052.74</v>
      </c>
      <c r="F136" s="111">
        <v>0.05</v>
      </c>
      <c r="G136" s="111">
        <v>0.05</v>
      </c>
      <c r="H136" s="61"/>
      <c r="I136" s="61"/>
      <c r="J136" s="61"/>
      <c r="K136" s="61"/>
      <c r="L136" s="61"/>
      <c r="M136" s="61"/>
      <c r="N136" s="61"/>
      <c r="O136" s="61"/>
      <c r="P136" s="61"/>
      <c r="Q136" s="61"/>
      <c r="R136" s="61"/>
    </row>
    <row r="137" spans="1:18" ht="12.75" customHeight="1" x14ac:dyDescent="0.15">
      <c r="A137" s="221" t="s">
        <v>1123</v>
      </c>
      <c r="B137" s="220">
        <v>2000056792661</v>
      </c>
      <c r="C137" s="219" t="s">
        <v>940</v>
      </c>
      <c r="D137" s="109">
        <v>0</v>
      </c>
      <c r="E137" s="110">
        <v>470.28</v>
      </c>
      <c r="F137" s="111">
        <v>0.05</v>
      </c>
      <c r="G137" s="111">
        <v>0.05</v>
      </c>
      <c r="H137" s="61"/>
      <c r="I137" s="61"/>
      <c r="J137" s="61"/>
      <c r="K137" s="61"/>
      <c r="L137" s="61"/>
      <c r="M137" s="61"/>
      <c r="N137" s="61"/>
      <c r="O137" s="61"/>
      <c r="P137" s="61"/>
      <c r="Q137" s="61"/>
      <c r="R137" s="61"/>
    </row>
    <row r="138" spans="1:18" ht="12.75" customHeight="1" x14ac:dyDescent="0.15">
      <c r="A138" s="221">
        <v>933</v>
      </c>
      <c r="B138" s="220" t="s">
        <v>1148</v>
      </c>
      <c r="C138" s="219" t="s">
        <v>941</v>
      </c>
      <c r="D138" s="109">
        <v>0</v>
      </c>
      <c r="E138" s="110">
        <v>637.63</v>
      </c>
      <c r="F138" s="111">
        <v>0.05</v>
      </c>
      <c r="G138" s="111">
        <v>0.05</v>
      </c>
      <c r="H138" s="61"/>
      <c r="I138" s="61"/>
      <c r="J138" s="61"/>
      <c r="K138" s="61"/>
      <c r="L138" s="61"/>
      <c r="M138" s="61"/>
      <c r="N138" s="61"/>
      <c r="O138" s="61"/>
      <c r="P138" s="61"/>
      <c r="Q138" s="61"/>
      <c r="R138" s="61"/>
    </row>
    <row r="139" spans="1:18" ht="12.75" customHeight="1" x14ac:dyDescent="0.15">
      <c r="A139" s="221">
        <v>980</v>
      </c>
      <c r="B139" s="220">
        <v>2000056384850</v>
      </c>
      <c r="C139" s="219" t="s">
        <v>942</v>
      </c>
      <c r="D139" s="109">
        <v>0</v>
      </c>
      <c r="E139" s="110">
        <v>438.15</v>
      </c>
      <c r="F139" s="111">
        <v>0.05</v>
      </c>
      <c r="G139" s="111">
        <v>0.05</v>
      </c>
      <c r="H139" s="61"/>
      <c r="I139" s="61"/>
      <c r="J139" s="61"/>
      <c r="K139" s="61"/>
      <c r="L139" s="61"/>
      <c r="M139" s="61"/>
      <c r="N139" s="61"/>
      <c r="O139" s="61"/>
      <c r="P139" s="61"/>
      <c r="Q139" s="61"/>
      <c r="R139" s="61"/>
    </row>
    <row r="140" spans="1:18" ht="12.75" customHeight="1" x14ac:dyDescent="0.15">
      <c r="A140" s="221">
        <v>955</v>
      </c>
      <c r="B140" s="220">
        <v>2000056536121</v>
      </c>
      <c r="C140" s="219" t="s">
        <v>943</v>
      </c>
      <c r="D140" s="109">
        <v>0</v>
      </c>
      <c r="E140" s="110">
        <v>667.94</v>
      </c>
      <c r="F140" s="111">
        <v>0.05</v>
      </c>
      <c r="G140" s="111">
        <v>0.05</v>
      </c>
      <c r="H140" s="61"/>
      <c r="I140" s="61"/>
      <c r="J140" s="61"/>
      <c r="K140" s="61"/>
      <c r="L140" s="61"/>
      <c r="M140" s="61"/>
      <c r="N140" s="61"/>
      <c r="O140" s="61"/>
      <c r="P140" s="61"/>
      <c r="Q140" s="61"/>
      <c r="R140" s="61"/>
    </row>
    <row r="141" spans="1:18" ht="12.75" customHeight="1" x14ac:dyDescent="0.15">
      <c r="A141" s="221">
        <v>957</v>
      </c>
      <c r="B141" s="220">
        <v>2000056456265</v>
      </c>
      <c r="C141" s="219" t="s">
        <v>944</v>
      </c>
      <c r="D141" s="109">
        <v>0</v>
      </c>
      <c r="E141" s="110">
        <v>228.27</v>
      </c>
      <c r="F141" s="111">
        <v>0.05</v>
      </c>
      <c r="G141" s="111">
        <v>0.05</v>
      </c>
      <c r="H141" s="61"/>
      <c r="I141" s="61"/>
      <c r="J141" s="61"/>
      <c r="K141" s="61"/>
      <c r="L141" s="61"/>
      <c r="M141" s="61"/>
      <c r="N141" s="61"/>
      <c r="O141" s="61"/>
      <c r="P141" s="61"/>
      <c r="Q141" s="61"/>
      <c r="R141" s="61"/>
    </row>
    <row r="142" spans="1:18" ht="12.75" customHeight="1" x14ac:dyDescent="0.15">
      <c r="A142" s="221">
        <v>999</v>
      </c>
      <c r="B142" s="220">
        <v>2000056440006</v>
      </c>
      <c r="C142" s="219" t="s">
        <v>945</v>
      </c>
      <c r="D142" s="109">
        <v>0</v>
      </c>
      <c r="E142" s="110">
        <v>330.8</v>
      </c>
      <c r="F142" s="111">
        <v>0.05</v>
      </c>
      <c r="G142" s="111">
        <v>0.05</v>
      </c>
      <c r="H142" s="61"/>
      <c r="I142" s="61"/>
      <c r="J142" s="61"/>
      <c r="K142" s="61"/>
      <c r="L142" s="61"/>
      <c r="M142" s="61"/>
      <c r="N142" s="61"/>
      <c r="O142" s="61"/>
      <c r="P142" s="61"/>
      <c r="Q142" s="61"/>
      <c r="R142" s="61"/>
    </row>
    <row r="143" spans="1:18" ht="12.75" customHeight="1" x14ac:dyDescent="0.15">
      <c r="A143" s="221">
        <v>450</v>
      </c>
      <c r="B143" s="220">
        <v>2000056420348</v>
      </c>
      <c r="C143" s="219" t="s">
        <v>946</v>
      </c>
      <c r="D143" s="109">
        <v>0</v>
      </c>
      <c r="E143" s="110">
        <v>431.22</v>
      </c>
      <c r="F143" s="111">
        <v>0.05</v>
      </c>
      <c r="G143" s="111">
        <v>0.05</v>
      </c>
      <c r="H143" s="61"/>
      <c r="I143" s="61"/>
      <c r="J143" s="61"/>
      <c r="K143" s="61"/>
      <c r="L143" s="61"/>
      <c r="M143" s="61"/>
      <c r="N143" s="61"/>
      <c r="O143" s="61"/>
      <c r="P143" s="61"/>
      <c r="Q143" s="61"/>
      <c r="R143" s="61"/>
    </row>
    <row r="144" spans="1:18" ht="12.75" customHeight="1" x14ac:dyDescent="0.15">
      <c r="A144" s="221">
        <v>797</v>
      </c>
      <c r="B144" s="220">
        <v>2000056202425</v>
      </c>
      <c r="C144" s="219" t="s">
        <v>947</v>
      </c>
      <c r="D144" s="109">
        <v>0</v>
      </c>
      <c r="E144" s="110">
        <v>637.30999999999995</v>
      </c>
      <c r="F144" s="111">
        <v>0.05</v>
      </c>
      <c r="G144" s="111">
        <v>0.05</v>
      </c>
      <c r="H144" s="61"/>
      <c r="I144" s="61"/>
      <c r="J144" s="61"/>
      <c r="K144" s="61"/>
      <c r="L144" s="61"/>
      <c r="M144" s="61"/>
      <c r="N144" s="61"/>
      <c r="O144" s="61"/>
      <c r="P144" s="61"/>
      <c r="Q144" s="61"/>
      <c r="R144" s="61"/>
    </row>
    <row r="145" spans="1:18" ht="12.75" customHeight="1" x14ac:dyDescent="0.15">
      <c r="A145" s="221">
        <v>933</v>
      </c>
      <c r="B145" s="220" t="s">
        <v>1148</v>
      </c>
      <c r="C145" s="219" t="s">
        <v>948</v>
      </c>
      <c r="D145" s="109">
        <v>0</v>
      </c>
      <c r="E145" s="110">
        <v>12187.67</v>
      </c>
      <c r="F145" s="111">
        <v>0.05</v>
      </c>
      <c r="G145" s="111">
        <v>0.05</v>
      </c>
      <c r="H145" s="61"/>
      <c r="I145" s="61"/>
      <c r="J145" s="61"/>
      <c r="K145" s="61"/>
      <c r="L145" s="61"/>
      <c r="M145" s="61"/>
      <c r="N145" s="61"/>
      <c r="O145" s="61"/>
      <c r="P145" s="61"/>
      <c r="Q145" s="61"/>
      <c r="R145" s="61"/>
    </row>
    <row r="146" spans="1:18" ht="12.75" customHeight="1" x14ac:dyDescent="0.15">
      <c r="A146" s="221">
        <v>369</v>
      </c>
      <c r="B146" s="220">
        <v>2000056532483</v>
      </c>
      <c r="C146" s="219" t="s">
        <v>949</v>
      </c>
      <c r="D146" s="109">
        <v>0</v>
      </c>
      <c r="E146" s="110">
        <v>461.74</v>
      </c>
      <c r="F146" s="111">
        <v>0.05</v>
      </c>
      <c r="G146" s="111">
        <v>0.05</v>
      </c>
      <c r="H146" s="61"/>
      <c r="I146" s="61"/>
      <c r="J146" s="61"/>
      <c r="K146" s="61"/>
      <c r="L146" s="61"/>
      <c r="M146" s="61"/>
      <c r="N146" s="61"/>
      <c r="O146" s="61"/>
      <c r="P146" s="61"/>
      <c r="Q146" s="61"/>
      <c r="R146" s="61"/>
    </row>
    <row r="147" spans="1:18" ht="12.75" customHeight="1" x14ac:dyDescent="0.15">
      <c r="A147" s="221">
        <v>7310</v>
      </c>
      <c r="B147" s="220">
        <v>7310</v>
      </c>
      <c r="C147" s="219" t="s">
        <v>950</v>
      </c>
      <c r="D147" s="109">
        <v>0</v>
      </c>
      <c r="E147" s="110">
        <v>1002.15</v>
      </c>
      <c r="F147" s="111">
        <v>0.05</v>
      </c>
      <c r="G147" s="111">
        <v>0.05</v>
      </c>
      <c r="H147" s="61"/>
      <c r="I147" s="61"/>
      <c r="J147" s="61"/>
      <c r="K147" s="61"/>
      <c r="L147" s="61"/>
      <c r="M147" s="61"/>
      <c r="N147" s="61"/>
      <c r="O147" s="61"/>
      <c r="P147" s="61"/>
      <c r="Q147" s="61"/>
      <c r="R147" s="61"/>
    </row>
    <row r="148" spans="1:18" ht="12.75" customHeight="1" x14ac:dyDescent="0.15">
      <c r="A148" s="221">
        <v>798</v>
      </c>
      <c r="B148" s="220">
        <v>2000056199701</v>
      </c>
      <c r="C148" s="219" t="s">
        <v>951</v>
      </c>
      <c r="D148" s="109">
        <v>0</v>
      </c>
      <c r="E148" s="110">
        <v>569.64</v>
      </c>
      <c r="F148" s="111">
        <v>0.05</v>
      </c>
      <c r="G148" s="111">
        <v>0.05</v>
      </c>
      <c r="H148" s="61"/>
      <c r="I148" s="61"/>
      <c r="J148" s="61"/>
      <c r="K148" s="61"/>
      <c r="L148" s="61"/>
      <c r="M148" s="61"/>
      <c r="N148" s="61"/>
      <c r="O148" s="61"/>
      <c r="P148" s="61"/>
      <c r="Q148" s="61"/>
      <c r="R148" s="61"/>
    </row>
    <row r="149" spans="1:18" ht="12.75" customHeight="1" x14ac:dyDescent="0.15">
      <c r="A149" s="221">
        <v>933</v>
      </c>
      <c r="B149" s="220" t="s">
        <v>1148</v>
      </c>
      <c r="C149" s="219" t="s">
        <v>952</v>
      </c>
      <c r="D149" s="109">
        <v>0</v>
      </c>
      <c r="E149" s="110">
        <v>3484.23</v>
      </c>
      <c r="F149" s="111">
        <v>0.05</v>
      </c>
      <c r="G149" s="111">
        <v>0.05</v>
      </c>
      <c r="H149" s="61"/>
      <c r="I149" s="61"/>
      <c r="J149" s="61"/>
      <c r="K149" s="61"/>
      <c r="L149" s="61"/>
      <c r="M149" s="61"/>
      <c r="N149" s="61"/>
      <c r="O149" s="61"/>
      <c r="P149" s="61"/>
      <c r="Q149" s="61"/>
      <c r="R149" s="61"/>
    </row>
    <row r="150" spans="1:18" ht="12.75" customHeight="1" x14ac:dyDescent="0.15">
      <c r="A150" s="221">
        <v>799</v>
      </c>
      <c r="B150" s="220">
        <v>2000056191535</v>
      </c>
      <c r="C150" s="219" t="s">
        <v>953</v>
      </c>
      <c r="D150" s="109">
        <v>0</v>
      </c>
      <c r="E150" s="110">
        <v>7847.08</v>
      </c>
      <c r="F150" s="111">
        <v>0.05</v>
      </c>
      <c r="G150" s="111">
        <v>0.05</v>
      </c>
      <c r="H150" s="61"/>
      <c r="I150" s="61"/>
      <c r="J150" s="61"/>
      <c r="K150" s="61"/>
      <c r="L150" s="61"/>
      <c r="M150" s="61"/>
      <c r="N150" s="61"/>
      <c r="O150" s="61"/>
      <c r="P150" s="61"/>
      <c r="Q150" s="61"/>
      <c r="R150" s="61"/>
    </row>
    <row r="151" spans="1:18" ht="12.75" customHeight="1" x14ac:dyDescent="0.15">
      <c r="A151" s="221">
        <v>935</v>
      </c>
      <c r="B151" s="220" t="s">
        <v>1148</v>
      </c>
      <c r="C151" s="219" t="s">
        <v>954</v>
      </c>
      <c r="D151" s="109">
        <v>0</v>
      </c>
      <c r="E151" s="110">
        <v>3105.82</v>
      </c>
      <c r="F151" s="111">
        <v>0.05</v>
      </c>
      <c r="G151" s="111">
        <v>0.05</v>
      </c>
      <c r="H151" s="61"/>
      <c r="I151" s="61"/>
      <c r="J151" s="61"/>
      <c r="K151" s="61"/>
      <c r="L151" s="61"/>
      <c r="M151" s="61"/>
      <c r="N151" s="61"/>
      <c r="O151" s="61"/>
      <c r="P151" s="61"/>
      <c r="Q151" s="61"/>
      <c r="R151" s="61"/>
    </row>
    <row r="152" spans="1:18" ht="18" x14ac:dyDescent="0.15">
      <c r="A152" s="221">
        <v>741</v>
      </c>
      <c r="B152" s="220">
        <v>2000056058763</v>
      </c>
      <c r="C152" s="219" t="s">
        <v>956</v>
      </c>
      <c r="D152" s="109">
        <v>0</v>
      </c>
      <c r="E152" s="110">
        <v>80</v>
      </c>
      <c r="F152" s="111">
        <v>0.05</v>
      </c>
      <c r="G152" s="111">
        <v>0.05</v>
      </c>
      <c r="H152" s="61"/>
      <c r="I152" s="61"/>
      <c r="J152" s="61"/>
      <c r="K152" s="61"/>
      <c r="L152" s="61"/>
      <c r="M152" s="61"/>
      <c r="N152" s="61"/>
      <c r="O152" s="61"/>
      <c r="P152" s="61"/>
      <c r="Q152" s="61"/>
      <c r="R152" s="61"/>
    </row>
    <row r="153" spans="1:18" ht="18" x14ac:dyDescent="0.15">
      <c r="A153" s="221">
        <v>742</v>
      </c>
      <c r="B153" s="220">
        <v>2000056151115</v>
      </c>
      <c r="C153" s="219" t="s">
        <v>957</v>
      </c>
      <c r="D153" s="109">
        <v>0</v>
      </c>
      <c r="E153" s="110">
        <v>50.65</v>
      </c>
      <c r="F153" s="111">
        <v>0.05</v>
      </c>
      <c r="G153" s="111">
        <v>0.05</v>
      </c>
      <c r="H153" s="61"/>
      <c r="I153" s="61"/>
      <c r="J153" s="61"/>
      <c r="K153" s="61"/>
      <c r="L153" s="61"/>
      <c r="M153" s="61"/>
      <c r="N153" s="61"/>
      <c r="O153" s="61"/>
      <c r="P153" s="61"/>
      <c r="Q153" s="61"/>
      <c r="R153" s="61"/>
    </row>
    <row r="154" spans="1:18" ht="18" x14ac:dyDescent="0.15">
      <c r="A154" s="221">
        <v>743</v>
      </c>
      <c r="B154" s="220">
        <v>2000056098827</v>
      </c>
      <c r="C154" s="219" t="s">
        <v>958</v>
      </c>
      <c r="D154" s="109">
        <v>0</v>
      </c>
      <c r="E154" s="110">
        <v>80.22</v>
      </c>
      <c r="F154" s="111">
        <v>0.05</v>
      </c>
      <c r="G154" s="111">
        <v>0.05</v>
      </c>
      <c r="H154" s="61"/>
      <c r="I154" s="61"/>
      <c r="J154" s="61"/>
      <c r="K154" s="61"/>
      <c r="L154" s="61"/>
      <c r="M154" s="61"/>
      <c r="N154" s="61"/>
      <c r="O154" s="61"/>
      <c r="P154" s="61"/>
      <c r="Q154" s="61"/>
      <c r="R154" s="61"/>
    </row>
    <row r="155" spans="1:18" ht="18" x14ac:dyDescent="0.15">
      <c r="A155" s="221">
        <v>403</v>
      </c>
      <c r="B155" s="220">
        <v>2000056551333</v>
      </c>
      <c r="C155" s="219" t="s">
        <v>959</v>
      </c>
      <c r="D155" s="109">
        <v>0</v>
      </c>
      <c r="E155" s="110">
        <v>1082.9000000000001</v>
      </c>
      <c r="F155" s="111">
        <v>0.05</v>
      </c>
      <c r="G155" s="111">
        <v>0.05</v>
      </c>
      <c r="H155" s="61"/>
      <c r="I155" s="61"/>
      <c r="J155" s="61"/>
      <c r="K155" s="61"/>
      <c r="L155" s="61"/>
      <c r="M155" s="61"/>
      <c r="N155" s="61"/>
      <c r="O155" s="61"/>
      <c r="P155" s="61"/>
      <c r="Q155" s="61"/>
      <c r="R155" s="61"/>
    </row>
    <row r="156" spans="1:18" ht="18" x14ac:dyDescent="0.15">
      <c r="A156" s="221">
        <v>451</v>
      </c>
      <c r="B156" s="220">
        <v>2000056562317</v>
      </c>
      <c r="C156" s="219" t="s">
        <v>960</v>
      </c>
      <c r="D156" s="109">
        <v>0</v>
      </c>
      <c r="E156" s="110">
        <v>3393.93</v>
      </c>
      <c r="F156" s="111">
        <v>0.05</v>
      </c>
      <c r="G156" s="111">
        <v>0.05</v>
      </c>
      <c r="H156" s="61"/>
      <c r="I156" s="61"/>
      <c r="J156" s="61"/>
      <c r="K156" s="61"/>
      <c r="L156" s="61"/>
      <c r="M156" s="61"/>
      <c r="N156" s="61"/>
      <c r="O156" s="61"/>
      <c r="P156" s="61"/>
      <c r="Q156" s="61"/>
      <c r="R156" s="61"/>
    </row>
    <row r="157" spans="1:18" ht="18" x14ac:dyDescent="0.15">
      <c r="A157" s="221">
        <v>978</v>
      </c>
      <c r="B157" s="220">
        <v>2000056194207</v>
      </c>
      <c r="C157" s="219" t="s">
        <v>961</v>
      </c>
      <c r="D157" s="109">
        <v>0</v>
      </c>
      <c r="E157" s="110">
        <v>1452.06</v>
      </c>
      <c r="F157" s="111">
        <v>0.05</v>
      </c>
      <c r="G157" s="111">
        <v>0.05</v>
      </c>
      <c r="H157" s="61"/>
      <c r="I157" s="61"/>
      <c r="J157" s="61"/>
      <c r="K157" s="61"/>
      <c r="L157" s="61"/>
      <c r="M157" s="61"/>
      <c r="N157" s="61"/>
      <c r="O157" s="61"/>
      <c r="P157" s="61"/>
      <c r="Q157" s="61"/>
      <c r="R157" s="61"/>
    </row>
    <row r="158" spans="1:18" ht="18" x14ac:dyDescent="0.15">
      <c r="A158" s="221">
        <v>991</v>
      </c>
      <c r="B158" s="220">
        <v>2000056139224</v>
      </c>
      <c r="C158" s="219" t="s">
        <v>962</v>
      </c>
      <c r="D158" s="109">
        <v>0</v>
      </c>
      <c r="E158" s="110">
        <v>4679.38</v>
      </c>
      <c r="F158" s="111">
        <v>0.05</v>
      </c>
      <c r="G158" s="111">
        <v>0.05</v>
      </c>
      <c r="H158" s="61"/>
      <c r="I158" s="61"/>
      <c r="J158" s="61"/>
      <c r="K158" s="61"/>
      <c r="L158" s="61"/>
      <c r="M158" s="61"/>
      <c r="N158" s="61"/>
      <c r="O158" s="61"/>
      <c r="P158" s="61"/>
      <c r="Q158" s="61"/>
      <c r="R158" s="61"/>
    </row>
    <row r="159" spans="1:18" ht="18" x14ac:dyDescent="0.15">
      <c r="A159" s="221">
        <v>994</v>
      </c>
      <c r="B159" s="220">
        <v>2000056219980</v>
      </c>
      <c r="C159" s="219" t="s">
        <v>963</v>
      </c>
      <c r="D159" s="109">
        <v>0</v>
      </c>
      <c r="E159" s="110">
        <v>432.75</v>
      </c>
      <c r="F159" s="111">
        <v>0.05</v>
      </c>
      <c r="G159" s="111">
        <v>0.05</v>
      </c>
      <c r="H159" s="61"/>
      <c r="I159" s="61"/>
      <c r="J159" s="61"/>
      <c r="K159" s="61"/>
      <c r="L159" s="61"/>
      <c r="M159" s="61"/>
      <c r="N159" s="61"/>
      <c r="O159" s="61"/>
      <c r="P159" s="61"/>
      <c r="Q159" s="61"/>
      <c r="R159" s="61"/>
    </row>
    <row r="160" spans="1:18" ht="18" x14ac:dyDescent="0.15">
      <c r="A160" s="221">
        <v>995</v>
      </c>
      <c r="B160" s="220">
        <v>2000056200029</v>
      </c>
      <c r="C160" s="219" t="s">
        <v>964</v>
      </c>
      <c r="D160" s="109">
        <v>0</v>
      </c>
      <c r="E160" s="110">
        <v>434.53</v>
      </c>
      <c r="F160" s="111">
        <v>0.05</v>
      </c>
      <c r="G160" s="111">
        <v>0.05</v>
      </c>
      <c r="H160" s="61"/>
      <c r="I160" s="61"/>
      <c r="J160" s="61"/>
      <c r="K160" s="61"/>
      <c r="L160" s="61"/>
      <c r="M160" s="61"/>
      <c r="N160" s="61"/>
      <c r="O160" s="61"/>
      <c r="P160" s="61"/>
      <c r="Q160" s="61"/>
      <c r="R160" s="61"/>
    </row>
    <row r="161" spans="1:18" ht="18" x14ac:dyDescent="0.15">
      <c r="A161" s="221">
        <v>996</v>
      </c>
      <c r="B161" s="220">
        <v>2000056139001</v>
      </c>
      <c r="C161" s="219" t="s">
        <v>965</v>
      </c>
      <c r="D161" s="109">
        <v>0</v>
      </c>
      <c r="E161" s="110">
        <v>435.15</v>
      </c>
      <c r="F161" s="111">
        <v>0.05</v>
      </c>
      <c r="G161" s="111">
        <v>0.05</v>
      </c>
      <c r="H161" s="61"/>
      <c r="I161" s="61"/>
      <c r="J161" s="61"/>
      <c r="K161" s="61"/>
      <c r="L161" s="61"/>
      <c r="M161" s="61"/>
      <c r="N161" s="61"/>
      <c r="O161" s="61"/>
      <c r="P161" s="61"/>
      <c r="Q161" s="61"/>
      <c r="R161" s="61"/>
    </row>
    <row r="162" spans="1:18" ht="18" x14ac:dyDescent="0.15">
      <c r="A162" s="221">
        <v>997</v>
      </c>
      <c r="B162" s="220">
        <v>2000056212042</v>
      </c>
      <c r="C162" s="219" t="s">
        <v>966</v>
      </c>
      <c r="D162" s="109">
        <v>0</v>
      </c>
      <c r="E162" s="110">
        <v>681.13</v>
      </c>
      <c r="F162" s="111">
        <v>0.05</v>
      </c>
      <c r="G162" s="111">
        <v>0.05</v>
      </c>
      <c r="H162" s="61"/>
      <c r="I162" s="61"/>
      <c r="J162" s="61"/>
      <c r="K162" s="61"/>
      <c r="L162" s="61"/>
      <c r="M162" s="61"/>
      <c r="N162" s="61"/>
      <c r="O162" s="61"/>
      <c r="P162" s="61"/>
      <c r="Q162" s="61"/>
      <c r="R162" s="61"/>
    </row>
    <row r="163" spans="1:18" ht="18" x14ac:dyDescent="0.15">
      <c r="A163" s="221">
        <v>998</v>
      </c>
      <c r="B163" s="220">
        <v>2000056139438</v>
      </c>
      <c r="C163" s="219" t="s">
        <v>967</v>
      </c>
      <c r="D163" s="109">
        <v>0</v>
      </c>
      <c r="E163" s="110">
        <v>7161.71</v>
      </c>
      <c r="F163" s="111">
        <v>0.05</v>
      </c>
      <c r="G163" s="111">
        <v>0.05</v>
      </c>
      <c r="H163" s="61"/>
      <c r="I163" s="61"/>
      <c r="J163" s="61"/>
      <c r="K163" s="61"/>
      <c r="L163" s="61"/>
      <c r="M163" s="61"/>
      <c r="N163" s="61"/>
      <c r="O163" s="61"/>
      <c r="P163" s="61"/>
      <c r="Q163" s="61"/>
      <c r="R163" s="61"/>
    </row>
    <row r="164" spans="1:18" ht="18" x14ac:dyDescent="0.15">
      <c r="A164" s="221">
        <v>953</v>
      </c>
      <c r="B164" s="220">
        <v>2000056530797</v>
      </c>
      <c r="C164" s="219" t="s">
        <v>968</v>
      </c>
      <c r="D164" s="109">
        <v>0</v>
      </c>
      <c r="E164" s="110">
        <v>12766.81</v>
      </c>
      <c r="F164" s="111">
        <v>0.05</v>
      </c>
      <c r="G164" s="111">
        <v>0.05</v>
      </c>
      <c r="H164" s="61"/>
      <c r="I164" s="61"/>
      <c r="J164" s="61"/>
      <c r="K164" s="61"/>
      <c r="L164" s="61"/>
      <c r="M164" s="61"/>
      <c r="N164" s="61"/>
      <c r="O164" s="61"/>
      <c r="P164" s="61"/>
      <c r="Q164" s="61"/>
      <c r="R164" s="61"/>
    </row>
    <row r="165" spans="1:18" ht="18" x14ac:dyDescent="0.15">
      <c r="A165" s="221">
        <v>983</v>
      </c>
      <c r="B165" s="220">
        <v>2000056469185</v>
      </c>
      <c r="C165" s="219" t="s">
        <v>969</v>
      </c>
      <c r="D165" s="109">
        <v>0</v>
      </c>
      <c r="E165" s="110">
        <v>629.85</v>
      </c>
      <c r="F165" s="111">
        <v>0.05</v>
      </c>
      <c r="G165" s="111">
        <v>0.05</v>
      </c>
      <c r="H165" s="61"/>
      <c r="I165" s="61"/>
      <c r="J165" s="61"/>
      <c r="K165" s="61"/>
      <c r="L165" s="61"/>
      <c r="M165" s="61"/>
      <c r="N165" s="61"/>
      <c r="O165" s="61"/>
      <c r="P165" s="61"/>
      <c r="Q165" s="61"/>
      <c r="R165" s="61"/>
    </row>
    <row r="166" spans="1:18" ht="18" x14ac:dyDescent="0.15">
      <c r="A166" s="221" t="s">
        <v>1124</v>
      </c>
      <c r="B166" s="220">
        <v>2000056842133</v>
      </c>
      <c r="C166" s="219" t="s">
        <v>970</v>
      </c>
      <c r="D166" s="109">
        <v>0</v>
      </c>
      <c r="E166" s="110">
        <v>435.7</v>
      </c>
      <c r="F166" s="111">
        <v>0.05</v>
      </c>
      <c r="G166" s="111">
        <v>0.05</v>
      </c>
      <c r="H166" s="61"/>
      <c r="I166" s="61"/>
      <c r="J166" s="61"/>
      <c r="K166" s="61"/>
      <c r="L166" s="61"/>
      <c r="M166" s="61"/>
      <c r="N166" s="61"/>
      <c r="O166" s="61"/>
      <c r="P166" s="61"/>
      <c r="Q166" s="61"/>
      <c r="R166" s="61"/>
    </row>
    <row r="167" spans="1:18" ht="18" x14ac:dyDescent="0.15">
      <c r="A167" s="221" t="s">
        <v>1125</v>
      </c>
      <c r="B167" s="220">
        <v>2000056642716</v>
      </c>
      <c r="C167" s="219" t="s">
        <v>971</v>
      </c>
      <c r="D167" s="109">
        <v>0</v>
      </c>
      <c r="E167" s="110">
        <v>442.91</v>
      </c>
      <c r="F167" s="111">
        <v>0.05</v>
      </c>
      <c r="G167" s="111">
        <v>0.05</v>
      </c>
      <c r="H167" s="61"/>
      <c r="I167" s="61"/>
      <c r="J167" s="61"/>
      <c r="K167" s="61"/>
      <c r="L167" s="61"/>
      <c r="M167" s="61"/>
      <c r="N167" s="61"/>
      <c r="O167" s="61"/>
      <c r="P167" s="61"/>
      <c r="Q167" s="61"/>
      <c r="R167" s="61"/>
    </row>
    <row r="168" spans="1:18" ht="18" x14ac:dyDescent="0.15">
      <c r="A168" s="221">
        <v>933</v>
      </c>
      <c r="B168" s="220">
        <v>2000056488513</v>
      </c>
      <c r="C168" s="219" t="s">
        <v>972</v>
      </c>
      <c r="D168" s="109">
        <v>0</v>
      </c>
      <c r="E168" s="110">
        <v>505.96</v>
      </c>
      <c r="F168" s="111">
        <v>0.05</v>
      </c>
      <c r="G168" s="111">
        <v>0.05</v>
      </c>
      <c r="H168" s="61"/>
      <c r="I168" s="61"/>
      <c r="J168" s="61"/>
      <c r="K168" s="61"/>
      <c r="L168" s="61"/>
      <c r="M168" s="61"/>
      <c r="N168" s="61"/>
      <c r="O168" s="61"/>
      <c r="P168" s="61"/>
      <c r="Q168" s="61"/>
      <c r="R168" s="61"/>
    </row>
    <row r="169" spans="1:18" ht="18" x14ac:dyDescent="0.15">
      <c r="A169" s="221" t="s">
        <v>1126</v>
      </c>
      <c r="B169" s="220">
        <v>2000056866064</v>
      </c>
      <c r="C169" s="219" t="s">
        <v>973</v>
      </c>
      <c r="D169" s="109">
        <v>0</v>
      </c>
      <c r="E169" s="110">
        <v>430.88</v>
      </c>
      <c r="F169" s="111">
        <v>0.05</v>
      </c>
      <c r="G169" s="111">
        <v>0.05</v>
      </c>
      <c r="H169" s="61"/>
      <c r="I169" s="61"/>
      <c r="J169" s="61"/>
      <c r="K169" s="61"/>
      <c r="L169" s="61"/>
      <c r="M169" s="61"/>
      <c r="N169" s="61"/>
      <c r="O169" s="61"/>
      <c r="P169" s="61"/>
      <c r="Q169" s="61"/>
      <c r="R169" s="61"/>
    </row>
    <row r="170" spans="1:18" ht="18" x14ac:dyDescent="0.15">
      <c r="A170" s="221">
        <v>933</v>
      </c>
      <c r="B170" s="220">
        <v>2000056872607</v>
      </c>
      <c r="C170" s="219" t="s">
        <v>974</v>
      </c>
      <c r="D170" s="109">
        <v>0</v>
      </c>
      <c r="E170" s="110">
        <v>1058.3800000000001</v>
      </c>
      <c r="F170" s="111">
        <v>0.05</v>
      </c>
      <c r="G170" s="111">
        <v>0.05</v>
      </c>
      <c r="H170" s="61"/>
      <c r="I170" s="61"/>
      <c r="J170" s="61"/>
      <c r="K170" s="61"/>
      <c r="L170" s="61"/>
      <c r="M170" s="61"/>
      <c r="N170" s="61"/>
      <c r="O170" s="61"/>
      <c r="P170" s="61"/>
      <c r="Q170" s="61"/>
      <c r="R170" s="61"/>
    </row>
    <row r="171" spans="1:18" ht="18" x14ac:dyDescent="0.15">
      <c r="A171" s="221">
        <v>966</v>
      </c>
      <c r="B171" s="220">
        <v>2000056537222</v>
      </c>
      <c r="C171" s="219" t="s">
        <v>975</v>
      </c>
      <c r="D171" s="109">
        <v>0</v>
      </c>
      <c r="E171" s="110">
        <v>1193.1400000000001</v>
      </c>
      <c r="F171" s="111">
        <v>0.05</v>
      </c>
      <c r="G171" s="111">
        <v>0.05</v>
      </c>
      <c r="H171" s="61"/>
      <c r="I171" s="61"/>
      <c r="J171" s="61"/>
      <c r="K171" s="61"/>
      <c r="L171" s="61"/>
      <c r="M171" s="61"/>
      <c r="N171" s="61"/>
      <c r="O171" s="61"/>
      <c r="P171" s="61"/>
      <c r="Q171" s="61"/>
      <c r="R171" s="61"/>
    </row>
    <row r="172" spans="1:18" ht="18" x14ac:dyDescent="0.15">
      <c r="A172" s="221" t="s">
        <v>1127</v>
      </c>
      <c r="B172" s="220">
        <v>2000056522003</v>
      </c>
      <c r="C172" s="219" t="s">
        <v>976</v>
      </c>
      <c r="D172" s="109">
        <v>0</v>
      </c>
      <c r="E172" s="110">
        <v>240.86</v>
      </c>
      <c r="F172" s="111">
        <v>0.05</v>
      </c>
      <c r="G172" s="111">
        <v>0.05</v>
      </c>
      <c r="H172" s="61"/>
      <c r="I172" s="61"/>
      <c r="J172" s="61"/>
      <c r="K172" s="61"/>
      <c r="L172" s="61"/>
      <c r="M172" s="61"/>
      <c r="N172" s="61"/>
      <c r="O172" s="61"/>
      <c r="P172" s="61"/>
      <c r="Q172" s="61"/>
      <c r="R172" s="61"/>
    </row>
    <row r="173" spans="1:18" ht="18" x14ac:dyDescent="0.15">
      <c r="A173" s="221" t="s">
        <v>1974</v>
      </c>
      <c r="B173" s="220">
        <v>2000056839901</v>
      </c>
      <c r="C173" s="219" t="s">
        <v>977</v>
      </c>
      <c r="D173" s="109">
        <v>0</v>
      </c>
      <c r="E173" s="110">
        <v>432.33</v>
      </c>
      <c r="F173" s="111">
        <v>0.05</v>
      </c>
      <c r="G173" s="111">
        <v>0.05</v>
      </c>
      <c r="H173" s="61"/>
      <c r="I173" s="61"/>
      <c r="J173" s="61"/>
      <c r="K173" s="61"/>
      <c r="L173" s="61"/>
      <c r="M173" s="61"/>
      <c r="N173" s="61"/>
      <c r="O173" s="61"/>
      <c r="P173" s="61"/>
      <c r="Q173" s="61"/>
      <c r="R173" s="61"/>
    </row>
    <row r="174" spans="1:18" ht="18" x14ac:dyDescent="0.15">
      <c r="A174" s="221">
        <v>933</v>
      </c>
      <c r="B174" s="220" t="s">
        <v>1148</v>
      </c>
      <c r="C174" s="219" t="s">
        <v>978</v>
      </c>
      <c r="D174" s="109">
        <v>0</v>
      </c>
      <c r="E174" s="110">
        <v>693.07</v>
      </c>
      <c r="F174" s="111">
        <v>0.05</v>
      </c>
      <c r="G174" s="111">
        <v>0.05</v>
      </c>
      <c r="H174" s="61"/>
      <c r="I174" s="61"/>
      <c r="J174" s="61"/>
      <c r="K174" s="61"/>
      <c r="L174" s="61"/>
      <c r="M174" s="61"/>
      <c r="N174" s="61"/>
      <c r="O174" s="61"/>
      <c r="P174" s="61"/>
      <c r="Q174" s="61"/>
      <c r="R174" s="61"/>
    </row>
    <row r="175" spans="1:18" ht="18" x14ac:dyDescent="0.15">
      <c r="A175" s="221">
        <v>467</v>
      </c>
      <c r="B175" s="220">
        <v>2000056535740</v>
      </c>
      <c r="C175" s="219" t="s">
        <v>979</v>
      </c>
      <c r="D175" s="109">
        <v>0</v>
      </c>
      <c r="E175" s="110">
        <v>537.99</v>
      </c>
      <c r="F175" s="111">
        <v>0.05</v>
      </c>
      <c r="G175" s="111">
        <v>0.05</v>
      </c>
      <c r="H175" s="61"/>
      <c r="I175" s="61"/>
      <c r="J175" s="61"/>
      <c r="K175" s="61"/>
      <c r="L175" s="61"/>
      <c r="M175" s="61"/>
      <c r="N175" s="61"/>
      <c r="O175" s="61"/>
      <c r="P175" s="61"/>
      <c r="Q175" s="61"/>
      <c r="R175" s="61"/>
    </row>
    <row r="176" spans="1:18" ht="18" x14ac:dyDescent="0.15">
      <c r="A176" s="221">
        <v>468</v>
      </c>
      <c r="B176" s="220">
        <v>2000056345461</v>
      </c>
      <c r="C176" s="219" t="s">
        <v>980</v>
      </c>
      <c r="D176" s="109">
        <v>0</v>
      </c>
      <c r="E176" s="110">
        <v>766.05</v>
      </c>
      <c r="F176" s="111">
        <v>0.05</v>
      </c>
      <c r="G176" s="111">
        <v>0.05</v>
      </c>
      <c r="H176" s="61"/>
      <c r="I176" s="61"/>
      <c r="J176" s="61"/>
      <c r="K176" s="61"/>
      <c r="L176" s="61"/>
      <c r="M176" s="61"/>
      <c r="N176" s="61"/>
      <c r="O176" s="61"/>
      <c r="P176" s="61"/>
      <c r="Q176" s="61"/>
      <c r="R176" s="61"/>
    </row>
    <row r="177" spans="1:18" ht="18" x14ac:dyDescent="0.15">
      <c r="A177" s="221" t="s">
        <v>1128</v>
      </c>
      <c r="B177" s="220">
        <v>2000056520957</v>
      </c>
      <c r="C177" s="219" t="s">
        <v>981</v>
      </c>
      <c r="D177" s="109">
        <v>0</v>
      </c>
      <c r="E177" s="110">
        <v>240.57</v>
      </c>
      <c r="F177" s="111">
        <v>0.05</v>
      </c>
      <c r="G177" s="111">
        <v>0.05</v>
      </c>
      <c r="H177" s="61"/>
      <c r="I177" s="61"/>
      <c r="J177" s="61"/>
      <c r="K177" s="61"/>
      <c r="L177" s="61"/>
      <c r="M177" s="61"/>
      <c r="N177" s="61"/>
      <c r="O177" s="61"/>
      <c r="P177" s="61"/>
      <c r="Q177" s="61"/>
      <c r="R177" s="61"/>
    </row>
    <row r="178" spans="1:18" ht="18" x14ac:dyDescent="0.15">
      <c r="A178" s="221" t="s">
        <v>1976</v>
      </c>
      <c r="B178" s="220">
        <v>2000056860090</v>
      </c>
      <c r="C178" s="219" t="s">
        <v>982</v>
      </c>
      <c r="D178" s="109">
        <v>0</v>
      </c>
      <c r="E178" s="110">
        <v>701.06</v>
      </c>
      <c r="F178" s="111">
        <v>0.05</v>
      </c>
      <c r="G178" s="111">
        <v>0.05</v>
      </c>
      <c r="H178" s="61"/>
      <c r="I178" s="61"/>
      <c r="J178" s="61"/>
      <c r="K178" s="61"/>
      <c r="L178" s="61"/>
      <c r="M178" s="61"/>
      <c r="N178" s="61"/>
      <c r="O178" s="61"/>
      <c r="P178" s="61"/>
      <c r="Q178" s="61"/>
      <c r="R178" s="61"/>
    </row>
    <row r="179" spans="1:18" ht="28" x14ac:dyDescent="0.15">
      <c r="A179" s="221">
        <v>984</v>
      </c>
      <c r="B179" s="220" t="s">
        <v>1156</v>
      </c>
      <c r="C179" s="219" t="s">
        <v>983</v>
      </c>
      <c r="D179" s="109">
        <v>0</v>
      </c>
      <c r="E179" s="110">
        <v>247.56</v>
      </c>
      <c r="F179" s="111">
        <v>0.05</v>
      </c>
      <c r="G179" s="111">
        <v>0.05</v>
      </c>
      <c r="H179" s="61"/>
      <c r="I179" s="61"/>
      <c r="J179" s="61"/>
      <c r="K179" s="61"/>
      <c r="L179" s="61"/>
      <c r="M179" s="61"/>
      <c r="N179" s="61"/>
      <c r="O179" s="61"/>
      <c r="P179" s="61"/>
      <c r="Q179" s="61"/>
      <c r="R179" s="61"/>
    </row>
    <row r="180" spans="1:18" ht="18" x14ac:dyDescent="0.15">
      <c r="A180" s="221" t="s">
        <v>1129</v>
      </c>
      <c r="B180" s="220">
        <v>2000056865479</v>
      </c>
      <c r="C180" s="219" t="s">
        <v>984</v>
      </c>
      <c r="D180" s="109">
        <v>0</v>
      </c>
      <c r="E180" s="110">
        <v>628.32000000000005</v>
      </c>
      <c r="F180" s="111">
        <v>0.05</v>
      </c>
      <c r="G180" s="111">
        <v>0.05</v>
      </c>
      <c r="H180" s="61"/>
      <c r="I180" s="61"/>
      <c r="J180" s="61"/>
      <c r="K180" s="61"/>
      <c r="L180" s="61"/>
      <c r="M180" s="61"/>
      <c r="N180" s="61"/>
      <c r="O180" s="61"/>
      <c r="P180" s="61"/>
      <c r="Q180" s="61"/>
      <c r="R180" s="61"/>
    </row>
    <row r="181" spans="1:18" ht="18" x14ac:dyDescent="0.15">
      <c r="A181" s="221">
        <v>951</v>
      </c>
      <c r="B181" s="220">
        <v>2000056477682</v>
      </c>
      <c r="C181" s="219" t="s">
        <v>985</v>
      </c>
      <c r="D181" s="109">
        <v>0</v>
      </c>
      <c r="E181" s="110">
        <v>432.16</v>
      </c>
      <c r="F181" s="111">
        <v>0.05</v>
      </c>
      <c r="G181" s="111">
        <v>0.05</v>
      </c>
      <c r="H181" s="61"/>
      <c r="I181" s="61"/>
      <c r="J181" s="61"/>
      <c r="K181" s="61"/>
      <c r="L181" s="61"/>
      <c r="M181" s="61"/>
      <c r="N181" s="61"/>
      <c r="O181" s="61"/>
      <c r="P181" s="61"/>
      <c r="Q181" s="61"/>
      <c r="R181" s="61"/>
    </row>
    <row r="182" spans="1:18" ht="18" x14ac:dyDescent="0.15">
      <c r="A182" s="221">
        <v>402</v>
      </c>
      <c r="B182" s="220">
        <v>2000056384372</v>
      </c>
      <c r="C182" s="219" t="s">
        <v>986</v>
      </c>
      <c r="D182" s="109">
        <v>0</v>
      </c>
      <c r="E182" s="110">
        <v>629.85</v>
      </c>
      <c r="F182" s="111">
        <v>0.05</v>
      </c>
      <c r="G182" s="111">
        <v>0.05</v>
      </c>
      <c r="H182" s="61"/>
      <c r="I182" s="61"/>
      <c r="J182" s="61"/>
      <c r="K182" s="61"/>
      <c r="L182" s="61"/>
      <c r="M182" s="61"/>
      <c r="N182" s="61"/>
      <c r="O182" s="61"/>
      <c r="P182" s="61"/>
      <c r="Q182" s="61"/>
      <c r="R182" s="61"/>
    </row>
    <row r="183" spans="1:18" ht="18" x14ac:dyDescent="0.15">
      <c r="A183" s="221" t="s">
        <v>1130</v>
      </c>
      <c r="B183" s="220">
        <v>2000056771918</v>
      </c>
      <c r="C183" s="219" t="s">
        <v>987</v>
      </c>
      <c r="D183" s="109">
        <v>0</v>
      </c>
      <c r="E183" s="110">
        <v>1422.05</v>
      </c>
      <c r="F183" s="111">
        <v>0.05</v>
      </c>
      <c r="G183" s="111">
        <v>0.05</v>
      </c>
      <c r="H183" s="61"/>
      <c r="I183" s="61"/>
      <c r="J183" s="61"/>
      <c r="K183" s="61"/>
      <c r="L183" s="61"/>
      <c r="M183" s="61"/>
      <c r="N183" s="61"/>
      <c r="O183" s="61"/>
      <c r="P183" s="61"/>
      <c r="Q183" s="61"/>
      <c r="R183" s="61"/>
    </row>
    <row r="184" spans="1:18" ht="18" x14ac:dyDescent="0.15">
      <c r="A184" s="221" t="s">
        <v>1131</v>
      </c>
      <c r="B184" s="220">
        <v>2000056474877</v>
      </c>
      <c r="C184" s="219" t="s">
        <v>988</v>
      </c>
      <c r="D184" s="109">
        <v>0</v>
      </c>
      <c r="E184" s="110">
        <v>2325.7800000000002</v>
      </c>
      <c r="F184" s="111">
        <v>0.05</v>
      </c>
      <c r="G184" s="111">
        <v>0.05</v>
      </c>
      <c r="H184" s="61"/>
      <c r="I184" s="61"/>
      <c r="J184" s="61"/>
      <c r="K184" s="61"/>
      <c r="L184" s="61"/>
      <c r="M184" s="61"/>
      <c r="N184" s="61"/>
      <c r="O184" s="61"/>
      <c r="P184" s="61"/>
      <c r="Q184" s="61"/>
      <c r="R184" s="61"/>
    </row>
    <row r="185" spans="1:18" ht="18" x14ac:dyDescent="0.15">
      <c r="A185" s="221">
        <v>644</v>
      </c>
      <c r="B185" s="220">
        <v>2000056474399</v>
      </c>
      <c r="C185" s="219" t="s">
        <v>989</v>
      </c>
      <c r="D185" s="109">
        <v>0</v>
      </c>
      <c r="E185" s="110">
        <v>249.85</v>
      </c>
      <c r="F185" s="111">
        <v>0.05</v>
      </c>
      <c r="G185" s="111">
        <v>0.05</v>
      </c>
      <c r="H185" s="61"/>
      <c r="I185" s="61"/>
      <c r="J185" s="61"/>
      <c r="K185" s="61"/>
      <c r="L185" s="61"/>
      <c r="M185" s="61"/>
      <c r="N185" s="61"/>
      <c r="O185" s="61"/>
      <c r="P185" s="61"/>
      <c r="Q185" s="61"/>
      <c r="R185" s="61"/>
    </row>
    <row r="186" spans="1:18" ht="18" x14ac:dyDescent="0.15">
      <c r="A186" s="221" t="s">
        <v>1132</v>
      </c>
      <c r="B186" s="220">
        <v>2000056631440</v>
      </c>
      <c r="C186" s="219" t="s">
        <v>990</v>
      </c>
      <c r="D186" s="109">
        <v>0</v>
      </c>
      <c r="E186" s="110">
        <v>249.85</v>
      </c>
      <c r="F186" s="111">
        <v>0.05</v>
      </c>
      <c r="G186" s="111">
        <v>0.05</v>
      </c>
      <c r="H186" s="61"/>
      <c r="I186" s="61"/>
      <c r="J186" s="61"/>
      <c r="K186" s="61"/>
      <c r="L186" s="61"/>
      <c r="M186" s="61"/>
      <c r="N186" s="61"/>
      <c r="O186" s="61"/>
      <c r="P186" s="61"/>
      <c r="Q186" s="61"/>
      <c r="R186" s="61"/>
    </row>
    <row r="187" spans="1:18" ht="18" x14ac:dyDescent="0.15">
      <c r="A187" s="221">
        <v>744</v>
      </c>
      <c r="B187" s="220">
        <v>2000056705144</v>
      </c>
      <c r="C187" s="219" t="s">
        <v>991</v>
      </c>
      <c r="D187" s="109">
        <v>0</v>
      </c>
      <c r="E187" s="110">
        <v>1767.31</v>
      </c>
      <c r="F187" s="111">
        <v>0.05</v>
      </c>
      <c r="G187" s="111">
        <v>0.05</v>
      </c>
      <c r="H187" s="61"/>
      <c r="I187" s="61"/>
      <c r="J187" s="61"/>
      <c r="K187" s="61"/>
      <c r="L187" s="61"/>
      <c r="M187" s="61"/>
      <c r="N187" s="61"/>
      <c r="O187" s="61"/>
      <c r="P187" s="61"/>
      <c r="Q187" s="61"/>
      <c r="R187" s="61"/>
    </row>
    <row r="188" spans="1:18" ht="18" x14ac:dyDescent="0.15">
      <c r="A188" s="221">
        <v>986</v>
      </c>
      <c r="B188" s="220">
        <v>2000056366930</v>
      </c>
      <c r="C188" s="219" t="s">
        <v>992</v>
      </c>
      <c r="D188" s="109">
        <v>0</v>
      </c>
      <c r="E188" s="110">
        <v>428.98</v>
      </c>
      <c r="F188" s="111">
        <v>0.05</v>
      </c>
      <c r="G188" s="111">
        <v>0.05</v>
      </c>
      <c r="H188" s="61"/>
      <c r="I188" s="61"/>
      <c r="J188" s="61"/>
      <c r="K188" s="61"/>
      <c r="L188" s="61"/>
      <c r="M188" s="61"/>
      <c r="N188" s="61"/>
      <c r="O188" s="61"/>
      <c r="P188" s="61"/>
      <c r="Q188" s="61"/>
      <c r="R188" s="61"/>
    </row>
    <row r="189" spans="1:18" ht="18" x14ac:dyDescent="0.15">
      <c r="A189" s="221">
        <v>976</v>
      </c>
      <c r="B189" s="220">
        <v>2000056563589</v>
      </c>
      <c r="C189" s="219" t="s">
        <v>994</v>
      </c>
      <c r="D189" s="109">
        <v>0</v>
      </c>
      <c r="E189" s="110">
        <v>410.37</v>
      </c>
      <c r="F189" s="111">
        <v>0.05</v>
      </c>
      <c r="G189" s="111">
        <v>0.05</v>
      </c>
      <c r="H189" s="61"/>
      <c r="I189" s="61"/>
      <c r="J189" s="61"/>
      <c r="K189" s="61"/>
      <c r="L189" s="61"/>
      <c r="M189" s="61"/>
      <c r="N189" s="61"/>
      <c r="O189" s="61"/>
      <c r="P189" s="61"/>
      <c r="Q189" s="61"/>
      <c r="R189" s="61"/>
    </row>
    <row r="190" spans="1:18" ht="18" x14ac:dyDescent="0.15">
      <c r="A190" s="221" t="s">
        <v>1133</v>
      </c>
      <c r="B190" s="220">
        <v>2000056866046</v>
      </c>
      <c r="C190" s="219" t="s">
        <v>995</v>
      </c>
      <c r="D190" s="109">
        <v>0</v>
      </c>
      <c r="E190" s="110">
        <v>415.68</v>
      </c>
      <c r="F190" s="111">
        <v>0.05</v>
      </c>
      <c r="G190" s="111">
        <v>0.05</v>
      </c>
      <c r="H190" s="61"/>
      <c r="I190" s="61"/>
      <c r="J190" s="61"/>
      <c r="K190" s="61"/>
      <c r="L190" s="61"/>
      <c r="M190" s="61"/>
      <c r="N190" s="61"/>
      <c r="O190" s="61"/>
      <c r="P190" s="61"/>
      <c r="Q190" s="61"/>
      <c r="R190" s="61"/>
    </row>
    <row r="191" spans="1:18" ht="18" x14ac:dyDescent="0.15">
      <c r="A191" s="221">
        <v>749</v>
      </c>
      <c r="B191" s="220" t="s">
        <v>1148</v>
      </c>
      <c r="C191" s="219" t="s">
        <v>996</v>
      </c>
      <c r="D191" s="109">
        <v>0</v>
      </c>
      <c r="E191" s="110">
        <v>242.57</v>
      </c>
      <c r="F191" s="111">
        <v>0.05</v>
      </c>
      <c r="G191" s="111">
        <v>0.05</v>
      </c>
      <c r="H191" s="61"/>
      <c r="I191" s="61"/>
      <c r="J191" s="61"/>
      <c r="K191" s="61"/>
      <c r="L191" s="61"/>
      <c r="M191" s="61"/>
      <c r="N191" s="61"/>
      <c r="O191" s="61"/>
      <c r="P191" s="61"/>
      <c r="Q191" s="61"/>
      <c r="R191" s="61"/>
    </row>
    <row r="192" spans="1:18" ht="18" x14ac:dyDescent="0.15">
      <c r="A192" s="221" t="s">
        <v>1134</v>
      </c>
      <c r="B192" s="220">
        <v>2000056848144</v>
      </c>
      <c r="C192" s="219" t="s">
        <v>997</v>
      </c>
      <c r="D192" s="109">
        <v>0</v>
      </c>
      <c r="E192" s="110">
        <v>641.59</v>
      </c>
      <c r="F192" s="111">
        <v>0.05</v>
      </c>
      <c r="G192" s="111">
        <v>0.05</v>
      </c>
      <c r="H192" s="61"/>
      <c r="I192" s="61"/>
      <c r="J192" s="61"/>
      <c r="K192" s="61"/>
      <c r="L192" s="61"/>
      <c r="M192" s="61"/>
      <c r="N192" s="61"/>
      <c r="O192" s="61"/>
      <c r="P192" s="61"/>
      <c r="Q192" s="61"/>
      <c r="R192" s="61"/>
    </row>
    <row r="193" spans="1:18" ht="18" x14ac:dyDescent="0.15">
      <c r="A193" s="221">
        <v>933</v>
      </c>
      <c r="B193" s="220" t="s">
        <v>1148</v>
      </c>
      <c r="C193" s="219" t="s">
        <v>998</v>
      </c>
      <c r="D193" s="109">
        <v>0</v>
      </c>
      <c r="E193" s="110">
        <v>1173.18</v>
      </c>
      <c r="F193" s="111">
        <v>0.05</v>
      </c>
      <c r="G193" s="111">
        <v>0.05</v>
      </c>
      <c r="H193" s="61"/>
      <c r="I193" s="61"/>
      <c r="J193" s="61"/>
      <c r="K193" s="61"/>
      <c r="L193" s="61"/>
      <c r="M193" s="61"/>
      <c r="N193" s="61"/>
      <c r="O193" s="61"/>
      <c r="P193" s="61"/>
      <c r="Q193" s="61"/>
      <c r="R193" s="61"/>
    </row>
    <row r="194" spans="1:18" ht="18" x14ac:dyDescent="0.15">
      <c r="A194" s="221" t="s">
        <v>1135</v>
      </c>
      <c r="B194" s="220">
        <v>2000056774608</v>
      </c>
      <c r="C194" s="219" t="s">
        <v>999</v>
      </c>
      <c r="D194" s="109">
        <v>0</v>
      </c>
      <c r="E194" s="110">
        <v>432.37</v>
      </c>
      <c r="F194" s="111">
        <v>0.05</v>
      </c>
      <c r="G194" s="111">
        <v>0.05</v>
      </c>
      <c r="H194" s="61"/>
      <c r="I194" s="61"/>
      <c r="J194" s="61"/>
      <c r="K194" s="61"/>
      <c r="L194" s="61"/>
      <c r="M194" s="61"/>
      <c r="N194" s="61"/>
      <c r="O194" s="61"/>
      <c r="P194" s="61"/>
      <c r="Q194" s="61"/>
      <c r="R194" s="61"/>
    </row>
    <row r="195" spans="1:18" ht="18" x14ac:dyDescent="0.15">
      <c r="A195" s="221" t="s">
        <v>1136</v>
      </c>
      <c r="B195" s="220">
        <v>2000056647946</v>
      </c>
      <c r="C195" s="219" t="s">
        <v>1000</v>
      </c>
      <c r="D195" s="109">
        <v>0</v>
      </c>
      <c r="E195" s="110">
        <v>257.3</v>
      </c>
      <c r="F195" s="111">
        <v>0.05</v>
      </c>
      <c r="G195" s="111">
        <v>0.05</v>
      </c>
      <c r="H195" s="61"/>
      <c r="I195" s="61"/>
      <c r="J195" s="61"/>
      <c r="K195" s="61"/>
      <c r="L195" s="61"/>
      <c r="M195" s="61"/>
      <c r="N195" s="61"/>
      <c r="O195" s="61"/>
      <c r="P195" s="61"/>
      <c r="Q195" s="61"/>
      <c r="R195" s="61"/>
    </row>
    <row r="196" spans="1:18" ht="18" x14ac:dyDescent="0.15">
      <c r="A196" s="221">
        <v>933</v>
      </c>
      <c r="B196" s="220" t="s">
        <v>1148</v>
      </c>
      <c r="C196" s="219" t="s">
        <v>1001</v>
      </c>
      <c r="D196" s="109">
        <v>0</v>
      </c>
      <c r="E196" s="110">
        <v>1330.21</v>
      </c>
      <c r="F196" s="111">
        <v>0.05</v>
      </c>
      <c r="G196" s="111">
        <v>0.05</v>
      </c>
      <c r="H196" s="61"/>
      <c r="I196" s="61"/>
      <c r="J196" s="61"/>
      <c r="K196" s="61"/>
      <c r="L196" s="61"/>
      <c r="M196" s="61"/>
      <c r="N196" s="61"/>
      <c r="O196" s="61"/>
      <c r="P196" s="61"/>
      <c r="Q196" s="61"/>
      <c r="R196" s="61"/>
    </row>
    <row r="197" spans="1:18" ht="18" x14ac:dyDescent="0.15">
      <c r="A197" s="221" t="s">
        <v>1137</v>
      </c>
      <c r="B197" s="220">
        <v>2000056456850</v>
      </c>
      <c r="C197" s="219" t="s">
        <v>1002</v>
      </c>
      <c r="D197" s="109">
        <v>0</v>
      </c>
      <c r="E197" s="110">
        <v>228.27</v>
      </c>
      <c r="F197" s="111">
        <v>0.05</v>
      </c>
      <c r="G197" s="111">
        <v>0.05</v>
      </c>
      <c r="H197" s="61"/>
      <c r="I197" s="61"/>
      <c r="J197" s="61"/>
      <c r="K197" s="61"/>
      <c r="L197" s="61"/>
      <c r="M197" s="61"/>
      <c r="N197" s="61"/>
      <c r="O197" s="61"/>
      <c r="P197" s="61"/>
      <c r="Q197" s="61"/>
      <c r="R197" s="61"/>
    </row>
    <row r="198" spans="1:18" ht="18" x14ac:dyDescent="0.15">
      <c r="A198" s="221" t="s">
        <v>1138</v>
      </c>
      <c r="B198" s="220">
        <v>2000056872305</v>
      </c>
      <c r="C198" s="219" t="s">
        <v>1003</v>
      </c>
      <c r="D198" s="109">
        <v>0</v>
      </c>
      <c r="E198" s="110">
        <v>809.22</v>
      </c>
      <c r="F198" s="111">
        <v>0.05</v>
      </c>
      <c r="G198" s="111">
        <v>0.05</v>
      </c>
      <c r="H198" s="61"/>
      <c r="I198" s="61"/>
      <c r="J198" s="61"/>
      <c r="K198" s="61"/>
      <c r="L198" s="61"/>
      <c r="M198" s="61"/>
      <c r="N198" s="61"/>
      <c r="O198" s="61"/>
      <c r="P198" s="61"/>
      <c r="Q198" s="61"/>
      <c r="R198" s="61"/>
    </row>
    <row r="199" spans="1:18" ht="18" x14ac:dyDescent="0.15">
      <c r="A199" s="221">
        <v>933</v>
      </c>
      <c r="B199" s="220" t="s">
        <v>1148</v>
      </c>
      <c r="C199" s="219" t="s">
        <v>1004</v>
      </c>
      <c r="D199" s="109">
        <v>0</v>
      </c>
      <c r="E199" s="110">
        <v>3080.19</v>
      </c>
      <c r="F199" s="111">
        <v>0.05</v>
      </c>
      <c r="G199" s="111">
        <v>0.05</v>
      </c>
      <c r="H199" s="61"/>
      <c r="I199" s="61"/>
      <c r="J199" s="61"/>
      <c r="K199" s="61"/>
      <c r="L199" s="61"/>
      <c r="M199" s="61"/>
      <c r="N199" s="61"/>
      <c r="O199" s="61"/>
      <c r="P199" s="61"/>
      <c r="Q199" s="61"/>
      <c r="R199" s="61"/>
    </row>
    <row r="200" spans="1:18" ht="18" x14ac:dyDescent="0.15">
      <c r="A200" s="221">
        <v>638</v>
      </c>
      <c r="B200" s="220">
        <v>2000056479138</v>
      </c>
      <c r="C200" s="219" t="s">
        <v>1005</v>
      </c>
      <c r="D200" s="109">
        <v>0</v>
      </c>
      <c r="E200" s="110">
        <v>1662.13</v>
      </c>
      <c r="F200" s="111">
        <v>0.05</v>
      </c>
      <c r="G200" s="111">
        <v>0.05</v>
      </c>
      <c r="H200" s="61"/>
      <c r="I200" s="61"/>
      <c r="J200" s="61"/>
      <c r="K200" s="61"/>
      <c r="L200" s="61"/>
      <c r="M200" s="61"/>
      <c r="N200" s="61"/>
      <c r="O200" s="61"/>
      <c r="P200" s="61"/>
      <c r="Q200" s="61"/>
      <c r="R200" s="61"/>
    </row>
    <row r="201" spans="1:18" ht="18" x14ac:dyDescent="0.15">
      <c r="A201" s="221">
        <v>643</v>
      </c>
      <c r="B201" s="220">
        <v>2000056465970</v>
      </c>
      <c r="C201" s="219" t="s">
        <v>1006</v>
      </c>
      <c r="D201" s="109">
        <v>0</v>
      </c>
      <c r="E201" s="110">
        <v>264.02</v>
      </c>
      <c r="F201" s="111">
        <v>0.05</v>
      </c>
      <c r="G201" s="111">
        <v>0.05</v>
      </c>
      <c r="H201" s="61"/>
      <c r="I201" s="61"/>
      <c r="J201" s="61"/>
      <c r="K201" s="61"/>
      <c r="L201" s="61"/>
      <c r="M201" s="61"/>
      <c r="N201" s="61"/>
      <c r="O201" s="61"/>
      <c r="P201" s="61"/>
      <c r="Q201" s="61"/>
      <c r="R201" s="61"/>
    </row>
    <row r="202" spans="1:18" ht="18" x14ac:dyDescent="0.15">
      <c r="A202" s="221">
        <v>981</v>
      </c>
      <c r="B202" s="220">
        <v>2000056504937</v>
      </c>
      <c r="C202" s="219" t="s">
        <v>1007</v>
      </c>
      <c r="D202" s="109">
        <v>0</v>
      </c>
      <c r="E202" s="110">
        <v>244.98</v>
      </c>
      <c r="F202" s="111">
        <v>0.05</v>
      </c>
      <c r="G202" s="111">
        <v>0.05</v>
      </c>
      <c r="H202" s="61"/>
      <c r="I202" s="61"/>
      <c r="J202" s="61"/>
      <c r="K202" s="61"/>
      <c r="L202" s="61"/>
      <c r="M202" s="61"/>
      <c r="N202" s="61"/>
      <c r="O202" s="61"/>
      <c r="P202" s="61"/>
      <c r="Q202" s="61"/>
      <c r="R202" s="61"/>
    </row>
    <row r="203" spans="1:18" ht="18" x14ac:dyDescent="0.15">
      <c r="A203" s="221">
        <v>988</v>
      </c>
      <c r="B203" s="220">
        <v>2000056522332</v>
      </c>
      <c r="C203" s="219" t="s">
        <v>1008</v>
      </c>
      <c r="D203" s="109">
        <v>0</v>
      </c>
      <c r="E203" s="110">
        <v>569.13</v>
      </c>
      <c r="F203" s="111">
        <v>0.05</v>
      </c>
      <c r="G203" s="111">
        <v>0.05</v>
      </c>
      <c r="H203" s="61"/>
      <c r="I203" s="61"/>
      <c r="J203" s="61"/>
      <c r="K203" s="61"/>
      <c r="L203" s="61"/>
      <c r="M203" s="61"/>
      <c r="N203" s="61"/>
      <c r="O203" s="61"/>
      <c r="P203" s="61"/>
      <c r="Q203" s="61"/>
      <c r="R203" s="61"/>
    </row>
    <row r="204" spans="1:18" ht="18" x14ac:dyDescent="0.15">
      <c r="A204" s="221">
        <v>992</v>
      </c>
      <c r="B204" s="220">
        <v>2000056527562</v>
      </c>
      <c r="C204" s="219" t="s">
        <v>1009</v>
      </c>
      <c r="D204" s="109">
        <v>0</v>
      </c>
      <c r="E204" s="110">
        <v>5989.88</v>
      </c>
      <c r="F204" s="111">
        <v>0.05</v>
      </c>
      <c r="G204" s="111">
        <v>0.05</v>
      </c>
      <c r="H204" s="61"/>
      <c r="I204" s="61"/>
      <c r="J204" s="61"/>
      <c r="K204" s="61"/>
      <c r="L204" s="61"/>
      <c r="M204" s="61"/>
      <c r="N204" s="61"/>
      <c r="O204" s="61"/>
      <c r="P204" s="61"/>
      <c r="Q204" s="61"/>
      <c r="R204" s="61"/>
    </row>
    <row r="205" spans="1:18" ht="18" x14ac:dyDescent="0.15">
      <c r="A205" s="221">
        <v>950</v>
      </c>
      <c r="B205" s="220">
        <v>2000056873498</v>
      </c>
      <c r="C205" s="219" t="s">
        <v>1010</v>
      </c>
      <c r="D205" s="109">
        <v>0</v>
      </c>
      <c r="E205" s="110">
        <v>599.84</v>
      </c>
      <c r="F205" s="111">
        <v>0.05</v>
      </c>
      <c r="G205" s="111">
        <v>0.05</v>
      </c>
      <c r="H205" s="61"/>
      <c r="I205" s="61"/>
      <c r="J205" s="61"/>
      <c r="K205" s="61"/>
      <c r="L205" s="61"/>
      <c r="M205" s="61"/>
      <c r="N205" s="61"/>
      <c r="O205" s="61"/>
      <c r="P205" s="61"/>
      <c r="Q205" s="61"/>
      <c r="R205" s="61"/>
    </row>
    <row r="206" spans="1:18" ht="18" x14ac:dyDescent="0.15">
      <c r="A206" s="221" t="s">
        <v>1139</v>
      </c>
      <c r="B206" s="220">
        <v>2000056873530</v>
      </c>
      <c r="C206" s="219" t="s">
        <v>1012</v>
      </c>
      <c r="D206" s="109">
        <v>0</v>
      </c>
      <c r="E206" s="110">
        <v>828.21</v>
      </c>
      <c r="F206" s="111">
        <v>0.05</v>
      </c>
      <c r="G206" s="111">
        <v>0.05</v>
      </c>
      <c r="H206" s="61"/>
      <c r="I206" s="61"/>
      <c r="J206" s="61"/>
      <c r="K206" s="61"/>
      <c r="L206" s="61"/>
      <c r="M206" s="61"/>
      <c r="N206" s="61"/>
      <c r="O206" s="61"/>
      <c r="P206" s="61"/>
      <c r="Q206" s="61"/>
      <c r="R206" s="61"/>
    </row>
    <row r="207" spans="1:18" ht="18" x14ac:dyDescent="0.15">
      <c r="A207" s="221" t="s">
        <v>1140</v>
      </c>
      <c r="B207" s="220">
        <v>2000056644680</v>
      </c>
      <c r="C207" s="219" t="s">
        <v>1013</v>
      </c>
      <c r="D207" s="109">
        <v>0</v>
      </c>
      <c r="E207" s="110">
        <v>168.49</v>
      </c>
      <c r="F207" s="111">
        <v>0.05</v>
      </c>
      <c r="G207" s="111">
        <v>0.05</v>
      </c>
      <c r="H207" s="61"/>
      <c r="I207" s="61"/>
      <c r="J207" s="61"/>
      <c r="K207" s="61"/>
      <c r="L207" s="61"/>
      <c r="M207" s="61"/>
      <c r="N207" s="61"/>
      <c r="O207" s="61"/>
      <c r="P207" s="61"/>
      <c r="Q207" s="61"/>
      <c r="R207" s="61"/>
    </row>
    <row r="208" spans="1:18" ht="18" x14ac:dyDescent="0.15">
      <c r="A208" s="221">
        <v>933</v>
      </c>
      <c r="B208" s="220">
        <v>2000056774797</v>
      </c>
      <c r="C208" s="219" t="s">
        <v>1014</v>
      </c>
      <c r="D208" s="109">
        <v>0</v>
      </c>
      <c r="E208" s="110">
        <v>3375.52</v>
      </c>
      <c r="F208" s="111">
        <v>0.05</v>
      </c>
      <c r="G208" s="111">
        <v>0.05</v>
      </c>
      <c r="H208" s="61"/>
      <c r="I208" s="61"/>
      <c r="J208" s="61"/>
      <c r="K208" s="61"/>
      <c r="L208" s="61"/>
      <c r="M208" s="61"/>
      <c r="N208" s="61"/>
      <c r="O208" s="61"/>
      <c r="P208" s="61"/>
      <c r="Q208" s="61"/>
      <c r="R208" s="61"/>
    </row>
    <row r="209" spans="1:18" ht="18" x14ac:dyDescent="0.15">
      <c r="A209" s="221">
        <v>933</v>
      </c>
      <c r="B209" s="220" t="s">
        <v>1148</v>
      </c>
      <c r="C209" s="219" t="s">
        <v>1015</v>
      </c>
      <c r="D209" s="109">
        <v>0</v>
      </c>
      <c r="E209" s="110">
        <v>15499.43</v>
      </c>
      <c r="F209" s="111">
        <v>0.05</v>
      </c>
      <c r="G209" s="111">
        <v>0.05</v>
      </c>
      <c r="H209" s="61"/>
      <c r="I209" s="61"/>
      <c r="J209" s="61"/>
      <c r="K209" s="61"/>
      <c r="L209" s="61"/>
      <c r="M209" s="61"/>
      <c r="N209" s="61"/>
      <c r="O209" s="61"/>
      <c r="P209" s="61"/>
      <c r="Q209" s="61"/>
      <c r="R209" s="61"/>
    </row>
    <row r="210" spans="1:18" ht="18" x14ac:dyDescent="0.15">
      <c r="A210" s="221">
        <v>933</v>
      </c>
      <c r="B210" s="220" t="s">
        <v>1148</v>
      </c>
      <c r="C210" s="219" t="s">
        <v>1016</v>
      </c>
      <c r="D210" s="109">
        <v>0</v>
      </c>
      <c r="E210" s="110">
        <v>328.8</v>
      </c>
      <c r="F210" s="111">
        <v>0.05</v>
      </c>
      <c r="G210" s="111">
        <v>0.05</v>
      </c>
      <c r="H210" s="61"/>
      <c r="I210" s="61"/>
      <c r="J210" s="61"/>
      <c r="K210" s="61"/>
      <c r="L210" s="61"/>
      <c r="M210" s="61"/>
      <c r="N210" s="61"/>
      <c r="O210" s="61"/>
      <c r="P210" s="61"/>
      <c r="Q210" s="61"/>
      <c r="R210" s="61"/>
    </row>
    <row r="211" spans="1:18" ht="18" x14ac:dyDescent="0.15">
      <c r="A211" s="221">
        <v>933</v>
      </c>
      <c r="B211" s="220">
        <v>2000057382890</v>
      </c>
      <c r="C211" s="219" t="s">
        <v>1017</v>
      </c>
      <c r="D211" s="109">
        <v>0</v>
      </c>
      <c r="E211" s="110">
        <v>210.93</v>
      </c>
      <c r="F211" s="111">
        <v>0.05</v>
      </c>
      <c r="G211" s="111">
        <v>0.05</v>
      </c>
      <c r="H211" s="61"/>
      <c r="I211" s="61"/>
      <c r="J211" s="61"/>
      <c r="K211" s="61"/>
      <c r="L211" s="61"/>
      <c r="M211" s="61"/>
      <c r="N211" s="61"/>
      <c r="O211" s="61"/>
      <c r="P211" s="61"/>
      <c r="Q211" s="61"/>
      <c r="R211" s="61"/>
    </row>
    <row r="212" spans="1:18" ht="18" x14ac:dyDescent="0.15">
      <c r="A212" s="221">
        <v>933</v>
      </c>
      <c r="B212" s="220" t="s">
        <v>1148</v>
      </c>
      <c r="C212" s="219" t="s">
        <v>1018</v>
      </c>
      <c r="D212" s="109">
        <v>0</v>
      </c>
      <c r="E212" s="110">
        <v>1496.88</v>
      </c>
      <c r="F212" s="111">
        <v>0.05</v>
      </c>
      <c r="G212" s="111">
        <v>0.05</v>
      </c>
      <c r="H212" s="61"/>
      <c r="I212" s="61"/>
      <c r="J212" s="61"/>
      <c r="K212" s="61"/>
      <c r="L212" s="61"/>
      <c r="M212" s="61"/>
      <c r="N212" s="61"/>
      <c r="O212" s="61"/>
      <c r="P212" s="61"/>
      <c r="Q212" s="61"/>
      <c r="R212" s="61"/>
    </row>
    <row r="213" spans="1:18" ht="18" x14ac:dyDescent="0.15">
      <c r="A213" s="221">
        <v>933</v>
      </c>
      <c r="B213" s="220" t="s">
        <v>1148</v>
      </c>
      <c r="C213" s="219" t="s">
        <v>1019</v>
      </c>
      <c r="D213" s="109">
        <v>0</v>
      </c>
      <c r="E213" s="110">
        <v>8675.85</v>
      </c>
      <c r="F213" s="111">
        <v>0.05</v>
      </c>
      <c r="G213" s="111">
        <v>0.05</v>
      </c>
      <c r="H213" s="61"/>
      <c r="I213" s="61"/>
      <c r="J213" s="61"/>
      <c r="K213" s="61"/>
      <c r="L213" s="61"/>
      <c r="M213" s="61"/>
      <c r="N213" s="61"/>
      <c r="O213" s="61"/>
      <c r="P213" s="61"/>
      <c r="Q213" s="61"/>
      <c r="R213" s="61"/>
    </row>
    <row r="214" spans="1:18" ht="18" x14ac:dyDescent="0.15">
      <c r="A214" s="221">
        <v>935</v>
      </c>
      <c r="B214" s="220" t="s">
        <v>1148</v>
      </c>
      <c r="C214" s="219" t="s">
        <v>1020</v>
      </c>
      <c r="D214" s="109">
        <v>0</v>
      </c>
      <c r="E214" s="110">
        <v>11199.98</v>
      </c>
      <c r="F214" s="111">
        <v>0.05</v>
      </c>
      <c r="G214" s="111">
        <v>0.05</v>
      </c>
      <c r="H214" s="61"/>
      <c r="I214" s="61"/>
      <c r="J214" s="61"/>
      <c r="K214" s="61"/>
      <c r="L214" s="61"/>
      <c r="M214" s="61"/>
      <c r="N214" s="61"/>
      <c r="O214" s="61"/>
      <c r="P214" s="61"/>
      <c r="Q214" s="61"/>
      <c r="R214" s="61"/>
    </row>
    <row r="215" spans="1:18" ht="18" x14ac:dyDescent="0.15">
      <c r="A215" s="221">
        <v>933</v>
      </c>
      <c r="B215" s="220" t="s">
        <v>1148</v>
      </c>
      <c r="C215" s="219" t="s">
        <v>1021</v>
      </c>
      <c r="D215" s="109">
        <v>0</v>
      </c>
      <c r="E215" s="110">
        <v>298.16000000000003</v>
      </c>
      <c r="F215" s="111">
        <v>0.05</v>
      </c>
      <c r="G215" s="111">
        <v>0.05</v>
      </c>
      <c r="H215" s="61"/>
      <c r="I215" s="61"/>
      <c r="J215" s="61"/>
      <c r="K215" s="61"/>
      <c r="L215" s="61"/>
      <c r="M215" s="61"/>
      <c r="N215" s="61"/>
      <c r="O215" s="61"/>
      <c r="P215" s="61"/>
      <c r="Q215" s="61"/>
      <c r="R215" s="61"/>
    </row>
    <row r="216" spans="1:18" ht="18" x14ac:dyDescent="0.15">
      <c r="A216" s="221">
        <v>7373</v>
      </c>
      <c r="B216" s="220">
        <v>7373</v>
      </c>
      <c r="C216" s="219" t="s">
        <v>1022</v>
      </c>
      <c r="D216" s="109">
        <v>0</v>
      </c>
      <c r="E216" s="110">
        <v>493.65</v>
      </c>
      <c r="F216" s="111">
        <v>0.05</v>
      </c>
      <c r="G216" s="111">
        <v>0.05</v>
      </c>
      <c r="H216" s="61"/>
      <c r="I216" s="61"/>
      <c r="J216" s="61"/>
      <c r="K216" s="61"/>
      <c r="L216" s="61"/>
      <c r="M216" s="61"/>
      <c r="N216" s="61"/>
      <c r="O216" s="61"/>
      <c r="P216" s="61"/>
      <c r="Q216" s="61"/>
      <c r="R216" s="61"/>
    </row>
    <row r="217" spans="1:18" ht="18" x14ac:dyDescent="0.15">
      <c r="A217" s="221">
        <v>933</v>
      </c>
      <c r="B217" s="220" t="s">
        <v>1148</v>
      </c>
      <c r="C217" s="219" t="s">
        <v>1023</v>
      </c>
      <c r="D217" s="109">
        <v>0</v>
      </c>
      <c r="E217" s="110">
        <v>128.37</v>
      </c>
      <c r="F217" s="111">
        <v>0.05</v>
      </c>
      <c r="G217" s="111">
        <v>0.05</v>
      </c>
      <c r="H217" s="61"/>
      <c r="I217" s="61"/>
      <c r="J217" s="61"/>
      <c r="K217" s="61"/>
      <c r="L217" s="61"/>
      <c r="M217" s="61"/>
      <c r="N217" s="61"/>
      <c r="O217" s="61"/>
      <c r="P217" s="61"/>
      <c r="Q217" s="61"/>
      <c r="R217" s="61"/>
    </row>
    <row r="218" spans="1:18" ht="18" x14ac:dyDescent="0.15">
      <c r="A218" s="221">
        <v>935</v>
      </c>
      <c r="B218" s="220" t="s">
        <v>1148</v>
      </c>
      <c r="C218" s="219" t="s">
        <v>1024</v>
      </c>
      <c r="D218" s="109">
        <v>0</v>
      </c>
      <c r="E218" s="110">
        <v>1710.98</v>
      </c>
      <c r="F218" s="111">
        <v>0.05</v>
      </c>
      <c r="G218" s="111">
        <v>0.05</v>
      </c>
      <c r="H218" s="61"/>
      <c r="I218" s="61"/>
      <c r="J218" s="61"/>
      <c r="K218" s="61"/>
      <c r="L218" s="61"/>
      <c r="M218" s="61"/>
      <c r="N218" s="61"/>
      <c r="O218" s="61"/>
      <c r="P218" s="61"/>
      <c r="Q218" s="61"/>
      <c r="R218" s="61"/>
    </row>
    <row r="219" spans="1:18" ht="18" x14ac:dyDescent="0.15">
      <c r="A219" s="221">
        <v>933</v>
      </c>
      <c r="B219" s="220" t="s">
        <v>1148</v>
      </c>
      <c r="C219" s="219" t="s">
        <v>1025</v>
      </c>
      <c r="D219" s="109">
        <v>0</v>
      </c>
      <c r="E219" s="110">
        <v>1323.19</v>
      </c>
      <c r="F219" s="111">
        <v>0.05</v>
      </c>
      <c r="G219" s="111">
        <v>0.05</v>
      </c>
      <c r="H219" s="61"/>
      <c r="I219" s="61"/>
      <c r="J219" s="61"/>
      <c r="K219" s="61"/>
      <c r="L219" s="61"/>
      <c r="M219" s="61"/>
      <c r="N219" s="61"/>
      <c r="O219" s="61"/>
      <c r="P219" s="61"/>
      <c r="Q219" s="61"/>
      <c r="R219" s="61"/>
    </row>
    <row r="220" spans="1:18" ht="18" x14ac:dyDescent="0.15">
      <c r="A220" s="221">
        <v>933</v>
      </c>
      <c r="B220" s="220" t="s">
        <v>1148</v>
      </c>
      <c r="C220" s="219" t="s">
        <v>1026</v>
      </c>
      <c r="D220" s="109">
        <v>0</v>
      </c>
      <c r="E220" s="110">
        <v>330.89</v>
      </c>
      <c r="F220" s="111">
        <v>0.05</v>
      </c>
      <c r="G220" s="111">
        <v>0.05</v>
      </c>
      <c r="H220" s="61"/>
      <c r="I220" s="61"/>
      <c r="J220" s="61"/>
      <c r="K220" s="61"/>
      <c r="L220" s="61"/>
      <c r="M220" s="61"/>
      <c r="N220" s="61"/>
      <c r="O220" s="61"/>
      <c r="P220" s="61"/>
      <c r="Q220" s="61"/>
      <c r="R220" s="61"/>
    </row>
    <row r="221" spans="1:18" ht="18" x14ac:dyDescent="0.15">
      <c r="A221" s="221" t="s">
        <v>1141</v>
      </c>
      <c r="B221" s="220">
        <v>2000056721128</v>
      </c>
      <c r="C221" s="219" t="s">
        <v>1027</v>
      </c>
      <c r="D221" s="109">
        <v>0</v>
      </c>
      <c r="E221" s="110">
        <v>246.47</v>
      </c>
      <c r="F221" s="111">
        <v>0.05</v>
      </c>
      <c r="G221" s="111">
        <v>0.05</v>
      </c>
      <c r="H221" s="61"/>
      <c r="I221" s="61"/>
      <c r="J221" s="61"/>
      <c r="K221" s="61"/>
      <c r="L221" s="61"/>
      <c r="M221" s="61"/>
      <c r="N221" s="61"/>
      <c r="O221" s="61"/>
      <c r="P221" s="61"/>
      <c r="Q221" s="61"/>
      <c r="R221" s="61"/>
    </row>
    <row r="222" spans="1:18" ht="18" x14ac:dyDescent="0.15">
      <c r="A222" s="221">
        <v>933</v>
      </c>
      <c r="B222" s="220" t="s">
        <v>1148</v>
      </c>
      <c r="C222" s="219" t="s">
        <v>1028</v>
      </c>
      <c r="D222" s="109">
        <v>0</v>
      </c>
      <c r="E222" s="110">
        <v>275.35000000000002</v>
      </c>
      <c r="F222" s="111">
        <v>0.05</v>
      </c>
      <c r="G222" s="111">
        <v>0.05</v>
      </c>
      <c r="H222" s="61"/>
      <c r="I222" s="61"/>
      <c r="J222" s="61"/>
      <c r="K222" s="61"/>
      <c r="L222" s="61"/>
      <c r="M222" s="61"/>
      <c r="N222" s="61"/>
      <c r="O222" s="61"/>
      <c r="P222" s="61"/>
      <c r="Q222" s="61"/>
      <c r="R222" s="61"/>
    </row>
    <row r="223" spans="1:18" ht="18" x14ac:dyDescent="0.15">
      <c r="A223" s="221">
        <v>933</v>
      </c>
      <c r="B223" s="220" t="s">
        <v>1148</v>
      </c>
      <c r="C223" s="219" t="s">
        <v>1029</v>
      </c>
      <c r="D223" s="109">
        <v>0</v>
      </c>
      <c r="E223" s="110">
        <v>467.82</v>
      </c>
      <c r="F223" s="111">
        <v>0.05</v>
      </c>
      <c r="G223" s="111">
        <v>0.05</v>
      </c>
      <c r="H223" s="61"/>
      <c r="I223" s="61"/>
      <c r="J223" s="61"/>
      <c r="K223" s="61"/>
      <c r="L223" s="61"/>
      <c r="M223" s="61"/>
      <c r="N223" s="61"/>
      <c r="O223" s="61"/>
      <c r="P223" s="61"/>
      <c r="Q223" s="61"/>
      <c r="R223" s="61"/>
    </row>
    <row r="224" spans="1:18" ht="18" x14ac:dyDescent="0.15">
      <c r="A224" s="221" t="s">
        <v>1142</v>
      </c>
      <c r="B224" s="220">
        <v>2000056873503</v>
      </c>
      <c r="C224" s="219" t="s">
        <v>1030</v>
      </c>
      <c r="D224" s="109">
        <v>0</v>
      </c>
      <c r="E224" s="110">
        <v>60.73</v>
      </c>
      <c r="F224" s="111">
        <v>0.05</v>
      </c>
      <c r="G224" s="111">
        <v>0.05</v>
      </c>
      <c r="H224" s="61"/>
      <c r="I224" s="61"/>
      <c r="J224" s="61"/>
      <c r="K224" s="61"/>
      <c r="L224" s="61"/>
      <c r="M224" s="61"/>
      <c r="N224" s="61"/>
      <c r="O224" s="61"/>
      <c r="P224" s="61"/>
      <c r="Q224" s="61"/>
      <c r="R224" s="61"/>
    </row>
    <row r="225" spans="1:18" ht="18" x14ac:dyDescent="0.15">
      <c r="A225" s="221">
        <v>933</v>
      </c>
      <c r="B225" s="220">
        <v>2000056970243</v>
      </c>
      <c r="C225" s="219" t="s">
        <v>1032</v>
      </c>
      <c r="D225" s="109">
        <v>0</v>
      </c>
      <c r="E225" s="110">
        <v>255.41</v>
      </c>
      <c r="F225" s="111">
        <v>0.05</v>
      </c>
      <c r="G225" s="111">
        <v>0.05</v>
      </c>
      <c r="H225" s="61"/>
      <c r="I225" s="61"/>
      <c r="J225" s="61"/>
      <c r="K225" s="61"/>
      <c r="L225" s="61"/>
      <c r="M225" s="61"/>
      <c r="N225" s="61"/>
      <c r="O225" s="61"/>
      <c r="P225" s="61"/>
      <c r="Q225" s="61"/>
      <c r="R225" s="61"/>
    </row>
    <row r="226" spans="1:18" ht="18" x14ac:dyDescent="0.15">
      <c r="A226" s="221">
        <v>933</v>
      </c>
      <c r="B226" s="224" t="s">
        <v>563</v>
      </c>
      <c r="C226" s="219" t="s">
        <v>1033</v>
      </c>
      <c r="D226" s="109">
        <v>0</v>
      </c>
      <c r="E226" s="110">
        <v>275.35000000000002</v>
      </c>
      <c r="F226" s="111">
        <v>0.05</v>
      </c>
      <c r="G226" s="111">
        <v>0.05</v>
      </c>
      <c r="H226" s="61"/>
      <c r="I226" s="61"/>
      <c r="J226" s="61"/>
      <c r="K226" s="61"/>
      <c r="L226" s="61"/>
      <c r="M226" s="61"/>
      <c r="N226" s="61"/>
      <c r="O226" s="61"/>
      <c r="P226" s="61"/>
      <c r="Q226" s="61"/>
      <c r="R226" s="61"/>
    </row>
    <row r="227" spans="1:18" ht="18" x14ac:dyDescent="0.15">
      <c r="A227" s="221">
        <v>749</v>
      </c>
      <c r="B227" s="220" t="s">
        <v>1148</v>
      </c>
      <c r="C227" s="219" t="s">
        <v>1034</v>
      </c>
      <c r="D227" s="109">
        <v>0</v>
      </c>
      <c r="E227" s="110">
        <v>65.680000000000007</v>
      </c>
      <c r="F227" s="111">
        <v>0.05</v>
      </c>
      <c r="G227" s="111">
        <v>0.05</v>
      </c>
      <c r="H227" s="61"/>
      <c r="I227" s="61"/>
      <c r="J227" s="61"/>
      <c r="K227" s="61"/>
      <c r="L227" s="61"/>
      <c r="M227" s="61"/>
      <c r="N227" s="61"/>
      <c r="O227" s="61"/>
      <c r="P227" s="61"/>
      <c r="Q227" s="61"/>
      <c r="R227" s="61"/>
    </row>
    <row r="228" spans="1:18" ht="18" x14ac:dyDescent="0.15">
      <c r="A228" s="221" t="s">
        <v>1143</v>
      </c>
      <c r="B228" s="220">
        <v>2000056879240</v>
      </c>
      <c r="C228" s="219" t="s">
        <v>1035</v>
      </c>
      <c r="D228" s="109">
        <v>0</v>
      </c>
      <c r="E228" s="110">
        <v>177.05</v>
      </c>
      <c r="F228" s="111">
        <v>0.05</v>
      </c>
      <c r="G228" s="111">
        <v>0.05</v>
      </c>
      <c r="H228" s="61"/>
      <c r="I228" s="61"/>
      <c r="J228" s="61"/>
      <c r="K228" s="61"/>
      <c r="L228" s="61"/>
      <c r="M228" s="61"/>
      <c r="N228" s="61"/>
      <c r="O228" s="61"/>
      <c r="P228" s="61"/>
      <c r="Q228" s="61"/>
      <c r="R228" s="61"/>
    </row>
    <row r="229" spans="1:18" ht="18" x14ac:dyDescent="0.15">
      <c r="A229" s="221" t="s">
        <v>1144</v>
      </c>
      <c r="B229" s="220">
        <v>2000056873540</v>
      </c>
      <c r="C229" s="219" t="s">
        <v>1036</v>
      </c>
      <c r="D229" s="109">
        <v>0</v>
      </c>
      <c r="E229" s="110">
        <v>101.77</v>
      </c>
      <c r="F229" s="111">
        <v>0.05</v>
      </c>
      <c r="G229" s="111">
        <v>0.05</v>
      </c>
      <c r="H229" s="61"/>
      <c r="I229" s="61"/>
      <c r="J229" s="61"/>
      <c r="K229" s="61"/>
      <c r="L229" s="61"/>
      <c r="M229" s="61"/>
      <c r="N229" s="61"/>
      <c r="O229" s="61"/>
      <c r="P229" s="61"/>
      <c r="Q229" s="61"/>
      <c r="R229" s="61"/>
    </row>
    <row r="230" spans="1:18" ht="18" x14ac:dyDescent="0.15">
      <c r="A230" s="221">
        <v>933</v>
      </c>
      <c r="B230" s="220">
        <v>2000057162794</v>
      </c>
      <c r="C230" s="219" t="s">
        <v>1037</v>
      </c>
      <c r="D230" s="109">
        <v>0</v>
      </c>
      <c r="E230" s="110">
        <v>432.83</v>
      </c>
      <c r="F230" s="111">
        <v>0.05</v>
      </c>
      <c r="G230" s="111">
        <v>0.05</v>
      </c>
      <c r="H230" s="61"/>
      <c r="I230" s="61"/>
      <c r="J230" s="61"/>
      <c r="K230" s="61"/>
      <c r="L230" s="61"/>
      <c r="M230" s="61"/>
      <c r="N230" s="61"/>
      <c r="O230" s="61"/>
      <c r="P230" s="61"/>
      <c r="Q230" s="61"/>
      <c r="R230" s="61"/>
    </row>
    <row r="231" spans="1:18" ht="18" x14ac:dyDescent="0.15">
      <c r="A231" s="221">
        <v>935</v>
      </c>
      <c r="B231" s="220" t="s">
        <v>1148</v>
      </c>
      <c r="C231" s="219" t="s">
        <v>1038</v>
      </c>
      <c r="D231" s="109">
        <v>0</v>
      </c>
      <c r="E231" s="110">
        <v>2334.11</v>
      </c>
      <c r="F231" s="111">
        <v>0.05</v>
      </c>
      <c r="G231" s="111">
        <v>0.05</v>
      </c>
      <c r="H231" s="61"/>
      <c r="I231" s="61"/>
      <c r="J231" s="61"/>
      <c r="K231" s="61"/>
      <c r="L231" s="61"/>
      <c r="M231" s="61"/>
      <c r="N231" s="61"/>
      <c r="O231" s="61"/>
      <c r="P231" s="61"/>
      <c r="Q231" s="61"/>
      <c r="R231" s="61"/>
    </row>
    <row r="232" spans="1:18" ht="18" x14ac:dyDescent="0.15">
      <c r="A232" s="221">
        <v>933</v>
      </c>
      <c r="B232" s="220" t="s">
        <v>1148</v>
      </c>
      <c r="C232" s="219" t="s">
        <v>1039</v>
      </c>
      <c r="D232" s="109">
        <v>0</v>
      </c>
      <c r="E232" s="110">
        <v>1627.14</v>
      </c>
      <c r="F232" s="111">
        <v>0.05</v>
      </c>
      <c r="G232" s="111">
        <v>0.05</v>
      </c>
      <c r="H232" s="61"/>
      <c r="I232" s="61"/>
      <c r="J232" s="61"/>
      <c r="K232" s="61"/>
      <c r="L232" s="61"/>
      <c r="M232" s="61"/>
      <c r="N232" s="61"/>
      <c r="O232" s="61"/>
      <c r="P232" s="61"/>
      <c r="Q232" s="61"/>
      <c r="R232" s="61"/>
    </row>
    <row r="233" spans="1:18" ht="18" x14ac:dyDescent="0.15">
      <c r="A233" s="221">
        <v>933</v>
      </c>
      <c r="B233" s="220" t="s">
        <v>1148</v>
      </c>
      <c r="C233" s="219" t="s">
        <v>1040</v>
      </c>
      <c r="D233" s="109">
        <v>0</v>
      </c>
      <c r="E233" s="110">
        <v>432.37</v>
      </c>
      <c r="F233" s="111">
        <v>0.05</v>
      </c>
      <c r="G233" s="111">
        <v>0.05</v>
      </c>
      <c r="H233" s="61"/>
      <c r="I233" s="61"/>
      <c r="J233" s="61"/>
      <c r="K233" s="61"/>
      <c r="L233" s="61"/>
      <c r="M233" s="61"/>
      <c r="N233" s="61"/>
      <c r="O233" s="61"/>
      <c r="P233" s="61"/>
      <c r="Q233" s="61"/>
      <c r="R233" s="61"/>
    </row>
    <row r="234" spans="1:18" ht="18" x14ac:dyDescent="0.15">
      <c r="A234" s="221">
        <v>933</v>
      </c>
      <c r="B234" s="220" t="s">
        <v>1148</v>
      </c>
      <c r="C234" s="219" t="s">
        <v>1041</v>
      </c>
      <c r="D234" s="109">
        <v>0</v>
      </c>
      <c r="E234" s="110">
        <v>386.47</v>
      </c>
      <c r="F234" s="111">
        <v>0.05</v>
      </c>
      <c r="G234" s="111">
        <v>0.05</v>
      </c>
      <c r="H234" s="61"/>
      <c r="I234" s="61"/>
      <c r="J234" s="61"/>
      <c r="K234" s="61"/>
      <c r="L234" s="61"/>
      <c r="M234" s="61"/>
      <c r="N234" s="61"/>
      <c r="O234" s="61"/>
      <c r="P234" s="61"/>
      <c r="Q234" s="61"/>
      <c r="R234" s="61"/>
    </row>
    <row r="235" spans="1:18" ht="18" x14ac:dyDescent="0.15">
      <c r="A235" s="221">
        <v>933</v>
      </c>
      <c r="B235" s="220" t="s">
        <v>1148</v>
      </c>
      <c r="C235" s="219" t="s">
        <v>1042</v>
      </c>
      <c r="D235" s="109">
        <v>0</v>
      </c>
      <c r="E235" s="110">
        <v>370.24</v>
      </c>
      <c r="F235" s="111">
        <v>0.05</v>
      </c>
      <c r="G235" s="111">
        <v>0.05</v>
      </c>
      <c r="H235" s="61"/>
      <c r="I235" s="61"/>
      <c r="J235" s="61"/>
      <c r="K235" s="61"/>
      <c r="L235" s="61"/>
      <c r="M235" s="61"/>
      <c r="N235" s="61"/>
      <c r="O235" s="61"/>
      <c r="P235" s="61"/>
      <c r="Q235" s="61"/>
      <c r="R235" s="61"/>
    </row>
    <row r="236" spans="1:18" ht="18" x14ac:dyDescent="0.15">
      <c r="A236" s="221">
        <v>933</v>
      </c>
      <c r="B236" s="220" t="s">
        <v>1148</v>
      </c>
      <c r="C236" s="219" t="s">
        <v>1043</v>
      </c>
      <c r="D236" s="109">
        <v>0</v>
      </c>
      <c r="E236" s="110">
        <v>256.10000000000002</v>
      </c>
      <c r="F236" s="111">
        <v>0.05</v>
      </c>
      <c r="G236" s="111">
        <v>0.05</v>
      </c>
      <c r="H236" s="61"/>
      <c r="I236" s="61"/>
      <c r="J236" s="61"/>
      <c r="K236" s="61"/>
      <c r="L236" s="61"/>
      <c r="M236" s="61"/>
      <c r="N236" s="61"/>
      <c r="O236" s="61"/>
      <c r="P236" s="61"/>
      <c r="Q236" s="61"/>
      <c r="R236" s="61"/>
    </row>
    <row r="237" spans="1:18" ht="18" x14ac:dyDescent="0.15">
      <c r="A237" s="221">
        <v>935</v>
      </c>
      <c r="B237" s="220" t="s">
        <v>1148</v>
      </c>
      <c r="C237" s="219" t="s">
        <v>1044</v>
      </c>
      <c r="D237" s="109">
        <v>0</v>
      </c>
      <c r="E237" s="110">
        <v>1181.23</v>
      </c>
      <c r="F237" s="111">
        <v>0.05</v>
      </c>
      <c r="G237" s="111">
        <v>0.05</v>
      </c>
      <c r="H237" s="61"/>
      <c r="I237" s="61"/>
      <c r="J237" s="61"/>
      <c r="K237" s="61"/>
      <c r="L237" s="61"/>
      <c r="M237" s="61"/>
      <c r="N237" s="61"/>
      <c r="O237" s="61"/>
      <c r="P237" s="61"/>
      <c r="Q237" s="61"/>
      <c r="R237" s="61"/>
    </row>
    <row r="238" spans="1:18" ht="18" x14ac:dyDescent="0.15">
      <c r="A238" s="221">
        <v>935</v>
      </c>
      <c r="B238" s="220" t="s">
        <v>1148</v>
      </c>
      <c r="C238" s="219" t="s">
        <v>1045</v>
      </c>
      <c r="D238" s="109">
        <v>0</v>
      </c>
      <c r="E238" s="110">
        <v>1181.23</v>
      </c>
      <c r="F238" s="111">
        <v>0.05</v>
      </c>
      <c r="G238" s="111">
        <v>0.05</v>
      </c>
      <c r="H238" s="61"/>
      <c r="I238" s="61"/>
      <c r="J238" s="61"/>
      <c r="K238" s="61"/>
      <c r="L238" s="61"/>
      <c r="M238" s="61"/>
      <c r="N238" s="61"/>
      <c r="O238" s="61"/>
      <c r="P238" s="61"/>
      <c r="Q238" s="61"/>
      <c r="R238" s="61"/>
    </row>
    <row r="239" spans="1:18" ht="18" x14ac:dyDescent="0.15">
      <c r="A239" s="221">
        <v>933</v>
      </c>
      <c r="B239" s="220" t="s">
        <v>1148</v>
      </c>
      <c r="C239" s="219" t="s">
        <v>1047</v>
      </c>
      <c r="D239" s="109">
        <v>0</v>
      </c>
      <c r="E239" s="110">
        <v>448.04</v>
      </c>
      <c r="F239" s="111">
        <v>0.05</v>
      </c>
      <c r="G239" s="111">
        <v>0.05</v>
      </c>
      <c r="H239" s="61"/>
      <c r="I239" s="61"/>
      <c r="J239" s="61"/>
      <c r="K239" s="61"/>
      <c r="L239" s="61"/>
      <c r="M239" s="61"/>
      <c r="N239" s="61"/>
      <c r="O239" s="61"/>
      <c r="P239" s="61"/>
      <c r="Q239" s="61"/>
      <c r="R239" s="61"/>
    </row>
    <row r="240" spans="1:18" ht="18" x14ac:dyDescent="0.15">
      <c r="A240" s="221">
        <v>935</v>
      </c>
      <c r="B240" s="220" t="s">
        <v>1148</v>
      </c>
      <c r="C240" s="219" t="s">
        <v>1048</v>
      </c>
      <c r="D240" s="109">
        <v>0</v>
      </c>
      <c r="E240" s="110">
        <v>1181.23</v>
      </c>
      <c r="F240" s="111">
        <v>0.05</v>
      </c>
      <c r="G240" s="111">
        <v>0.05</v>
      </c>
      <c r="H240" s="61"/>
      <c r="I240" s="61"/>
      <c r="J240" s="61"/>
      <c r="K240" s="61"/>
      <c r="L240" s="61"/>
      <c r="M240" s="61"/>
      <c r="N240" s="61"/>
      <c r="O240" s="61"/>
      <c r="P240" s="61"/>
      <c r="Q240" s="61"/>
      <c r="R240" s="61"/>
    </row>
    <row r="241" spans="1:18" ht="18" x14ac:dyDescent="0.15">
      <c r="A241" s="221">
        <v>933</v>
      </c>
      <c r="B241" s="220" t="s">
        <v>1148</v>
      </c>
      <c r="C241" s="219" t="s">
        <v>1049</v>
      </c>
      <c r="D241" s="109">
        <v>0</v>
      </c>
      <c r="E241" s="110">
        <v>371.88</v>
      </c>
      <c r="F241" s="111">
        <v>0.05</v>
      </c>
      <c r="G241" s="111">
        <v>0.05</v>
      </c>
      <c r="H241" s="61"/>
      <c r="I241" s="61"/>
      <c r="J241" s="61"/>
      <c r="K241" s="61"/>
      <c r="L241" s="61"/>
      <c r="M241" s="61"/>
      <c r="N241" s="61"/>
      <c r="O241" s="61"/>
      <c r="P241" s="61"/>
      <c r="Q241" s="61"/>
      <c r="R241" s="61"/>
    </row>
    <row r="242" spans="1:18" ht="18" x14ac:dyDescent="0.15">
      <c r="A242" s="221">
        <v>933</v>
      </c>
      <c r="B242" s="220" t="s">
        <v>1148</v>
      </c>
      <c r="C242" s="219" t="s">
        <v>1050</v>
      </c>
      <c r="D242" s="109">
        <v>0</v>
      </c>
      <c r="E242" s="110">
        <v>441.41</v>
      </c>
      <c r="F242" s="111">
        <v>0.05</v>
      </c>
      <c r="G242" s="111">
        <v>0.05</v>
      </c>
      <c r="H242" s="61"/>
      <c r="I242" s="61"/>
      <c r="J242" s="61"/>
      <c r="K242" s="61"/>
      <c r="L242" s="61"/>
      <c r="M242" s="61"/>
      <c r="N242" s="61"/>
      <c r="O242" s="61"/>
      <c r="P242" s="61"/>
      <c r="Q242" s="61"/>
      <c r="R242" s="61"/>
    </row>
    <row r="243" spans="1:18" ht="18" x14ac:dyDescent="0.15">
      <c r="A243" s="221">
        <v>933</v>
      </c>
      <c r="B243" s="220">
        <v>2000057082474</v>
      </c>
      <c r="C243" s="219" t="s">
        <v>1051</v>
      </c>
      <c r="D243" s="109">
        <v>0</v>
      </c>
      <c r="E243" s="110">
        <v>163.38</v>
      </c>
      <c r="F243" s="111">
        <v>0.05</v>
      </c>
      <c r="G243" s="111">
        <v>0.05</v>
      </c>
      <c r="H243" s="61"/>
      <c r="I243" s="61"/>
      <c r="J243" s="61"/>
      <c r="K243" s="61"/>
      <c r="L243" s="61"/>
      <c r="M243" s="61"/>
      <c r="N243" s="61"/>
      <c r="O243" s="61"/>
      <c r="P243" s="61"/>
      <c r="Q243" s="61"/>
      <c r="R243" s="61"/>
    </row>
    <row r="244" spans="1:18" ht="18" x14ac:dyDescent="0.15">
      <c r="A244" s="221">
        <v>933</v>
      </c>
      <c r="B244" s="220" t="s">
        <v>1148</v>
      </c>
      <c r="C244" s="219" t="s">
        <v>1052</v>
      </c>
      <c r="D244" s="109">
        <v>0</v>
      </c>
      <c r="E244" s="110">
        <v>477.91</v>
      </c>
      <c r="F244" s="111">
        <v>0.05</v>
      </c>
      <c r="G244" s="111">
        <v>0.05</v>
      </c>
      <c r="H244" s="61"/>
      <c r="I244" s="61"/>
      <c r="J244" s="61"/>
      <c r="K244" s="61"/>
      <c r="L244" s="61"/>
      <c r="M244" s="61"/>
      <c r="N244" s="61"/>
      <c r="O244" s="61"/>
      <c r="P244" s="61"/>
      <c r="Q244" s="61"/>
      <c r="R244" s="61"/>
    </row>
    <row r="245" spans="1:18" ht="18" x14ac:dyDescent="0.15">
      <c r="A245" s="221">
        <v>933</v>
      </c>
      <c r="B245" s="220" t="s">
        <v>1148</v>
      </c>
      <c r="C245" s="219" t="s">
        <v>1053</v>
      </c>
      <c r="D245" s="109">
        <v>0</v>
      </c>
      <c r="E245" s="110">
        <v>657.47</v>
      </c>
      <c r="F245" s="111">
        <v>0.05</v>
      </c>
      <c r="G245" s="111">
        <v>0.05</v>
      </c>
      <c r="H245" s="61"/>
      <c r="I245" s="61"/>
      <c r="J245" s="61"/>
      <c r="K245" s="61"/>
      <c r="L245" s="61"/>
      <c r="M245" s="61"/>
      <c r="N245" s="61"/>
      <c r="O245" s="61"/>
      <c r="P245" s="61"/>
      <c r="Q245" s="61"/>
      <c r="R245" s="61"/>
    </row>
    <row r="246" spans="1:18" ht="18" x14ac:dyDescent="0.15">
      <c r="A246" s="221" t="s">
        <v>1978</v>
      </c>
      <c r="B246" s="220">
        <v>2000056212186</v>
      </c>
      <c r="C246" s="219" t="s">
        <v>1054</v>
      </c>
      <c r="D246" s="109">
        <v>0</v>
      </c>
      <c r="E246" s="110">
        <v>203.16</v>
      </c>
      <c r="F246" s="111">
        <v>0.05</v>
      </c>
      <c r="G246" s="111">
        <v>0.05</v>
      </c>
      <c r="H246" s="61"/>
      <c r="I246" s="61"/>
      <c r="J246" s="61"/>
      <c r="K246" s="61"/>
      <c r="L246" s="61"/>
      <c r="M246" s="61"/>
      <c r="N246" s="61"/>
      <c r="O246" s="61"/>
      <c r="P246" s="61"/>
      <c r="Q246" s="61"/>
      <c r="R246" s="61"/>
    </row>
    <row r="247" spans="1:18" ht="18" x14ac:dyDescent="0.15">
      <c r="A247" s="221">
        <v>933</v>
      </c>
      <c r="B247" s="220" t="s">
        <v>1148</v>
      </c>
      <c r="C247" s="219" t="s">
        <v>1055</v>
      </c>
      <c r="D247" s="109">
        <v>0</v>
      </c>
      <c r="E247" s="110">
        <v>122.7</v>
      </c>
      <c r="F247" s="111">
        <v>0.05</v>
      </c>
      <c r="G247" s="111">
        <v>0.05</v>
      </c>
      <c r="H247" s="61"/>
      <c r="I247" s="61"/>
      <c r="J247" s="61"/>
      <c r="K247" s="61"/>
      <c r="L247" s="61"/>
      <c r="M247" s="61"/>
      <c r="N247" s="61"/>
      <c r="O247" s="61"/>
      <c r="P247" s="61"/>
      <c r="Q247" s="61"/>
      <c r="R247" s="61"/>
    </row>
    <row r="248" spans="1:18" ht="18" x14ac:dyDescent="0.15">
      <c r="A248" s="221">
        <v>933</v>
      </c>
      <c r="B248" s="220" t="s">
        <v>1148</v>
      </c>
      <c r="C248" s="219" t="s">
        <v>1056</v>
      </c>
      <c r="D248" s="109">
        <v>0</v>
      </c>
      <c r="E248" s="110">
        <v>373.84</v>
      </c>
      <c r="F248" s="111">
        <v>0.05</v>
      </c>
      <c r="G248" s="111">
        <v>0.05</v>
      </c>
      <c r="H248" s="61"/>
      <c r="I248" s="61"/>
      <c r="J248" s="61"/>
      <c r="K248" s="61"/>
      <c r="L248" s="61"/>
      <c r="M248" s="61"/>
      <c r="N248" s="61"/>
      <c r="O248" s="61"/>
      <c r="P248" s="61"/>
      <c r="Q248" s="61"/>
      <c r="R248" s="61"/>
    </row>
    <row r="249" spans="1:18" ht="18" x14ac:dyDescent="0.15">
      <c r="A249" s="221">
        <v>933</v>
      </c>
      <c r="B249" s="220" t="s">
        <v>1148</v>
      </c>
      <c r="C249" s="219" t="s">
        <v>1057</v>
      </c>
      <c r="D249" s="109">
        <v>0</v>
      </c>
      <c r="E249" s="110">
        <v>716.25</v>
      </c>
      <c r="F249" s="111">
        <v>0.05</v>
      </c>
      <c r="G249" s="111">
        <v>0.05</v>
      </c>
      <c r="H249" s="61"/>
      <c r="I249" s="61"/>
      <c r="J249" s="61"/>
      <c r="K249" s="61"/>
      <c r="L249" s="61"/>
      <c r="M249" s="61"/>
      <c r="N249" s="61"/>
      <c r="O249" s="61"/>
      <c r="P249" s="61"/>
      <c r="Q249" s="61"/>
      <c r="R249" s="61"/>
    </row>
    <row r="250" spans="1:18" ht="18" x14ac:dyDescent="0.15">
      <c r="A250" s="221">
        <v>749</v>
      </c>
      <c r="B250" s="220" t="s">
        <v>1148</v>
      </c>
      <c r="C250" s="219" t="s">
        <v>1058</v>
      </c>
      <c r="D250" s="109">
        <v>0</v>
      </c>
      <c r="E250" s="110">
        <v>184.62</v>
      </c>
      <c r="F250" s="111">
        <v>0.05</v>
      </c>
      <c r="G250" s="111">
        <v>0.05</v>
      </c>
      <c r="H250" s="61"/>
      <c r="I250" s="61"/>
      <c r="J250" s="61"/>
      <c r="K250" s="61"/>
      <c r="L250" s="61"/>
      <c r="M250" s="61"/>
      <c r="N250" s="61"/>
      <c r="O250" s="61"/>
      <c r="P250" s="61"/>
      <c r="Q250" s="61"/>
      <c r="R250" s="61"/>
    </row>
    <row r="251" spans="1:18" ht="18" x14ac:dyDescent="0.15">
      <c r="A251" s="221">
        <v>933</v>
      </c>
      <c r="B251" s="220" t="s">
        <v>1148</v>
      </c>
      <c r="C251" s="219" t="s">
        <v>1059</v>
      </c>
      <c r="D251" s="109">
        <v>0</v>
      </c>
      <c r="E251" s="110">
        <v>2042.65</v>
      </c>
      <c r="F251" s="111">
        <v>0.05</v>
      </c>
      <c r="G251" s="111">
        <v>0.05</v>
      </c>
      <c r="H251" s="61"/>
      <c r="I251" s="61"/>
      <c r="J251" s="61"/>
      <c r="K251" s="61"/>
      <c r="L251" s="61"/>
      <c r="M251" s="61"/>
      <c r="N251" s="61"/>
      <c r="O251" s="61"/>
      <c r="P251" s="61"/>
      <c r="Q251" s="61"/>
      <c r="R251" s="61"/>
    </row>
    <row r="252" spans="1:18" ht="18" x14ac:dyDescent="0.15">
      <c r="A252" s="221">
        <v>933</v>
      </c>
      <c r="B252" s="220" t="s">
        <v>1148</v>
      </c>
      <c r="C252" s="219" t="s">
        <v>1060</v>
      </c>
      <c r="D252" s="109">
        <v>0</v>
      </c>
      <c r="E252" s="110">
        <v>647.47</v>
      </c>
      <c r="F252" s="111">
        <v>0.05</v>
      </c>
      <c r="G252" s="111">
        <v>0.05</v>
      </c>
      <c r="H252" s="61"/>
      <c r="I252" s="61"/>
      <c r="J252" s="61"/>
      <c r="K252" s="61"/>
      <c r="L252" s="61"/>
      <c r="M252" s="61"/>
      <c r="N252" s="61"/>
      <c r="O252" s="61"/>
      <c r="P252" s="61"/>
      <c r="Q252" s="61"/>
      <c r="R252" s="61"/>
    </row>
    <row r="253" spans="1:18" ht="18" x14ac:dyDescent="0.15">
      <c r="A253" s="221">
        <v>933</v>
      </c>
      <c r="B253" s="220" t="s">
        <v>1148</v>
      </c>
      <c r="C253" s="219" t="s">
        <v>1061</v>
      </c>
      <c r="D253" s="109">
        <v>0</v>
      </c>
      <c r="E253" s="110">
        <v>424.16</v>
      </c>
      <c r="F253" s="111">
        <v>0.05</v>
      </c>
      <c r="G253" s="111">
        <v>0.05</v>
      </c>
      <c r="H253" s="61"/>
      <c r="I253" s="61"/>
      <c r="J253" s="61"/>
      <c r="K253" s="61"/>
      <c r="L253" s="61"/>
      <c r="M253" s="61"/>
      <c r="N253" s="61"/>
      <c r="O253" s="61"/>
      <c r="P253" s="61"/>
      <c r="Q253" s="61"/>
      <c r="R253" s="61"/>
    </row>
    <row r="254" spans="1:18" ht="18" x14ac:dyDescent="0.15">
      <c r="A254" s="221">
        <v>933</v>
      </c>
      <c r="B254" s="220" t="s">
        <v>1148</v>
      </c>
      <c r="C254" s="219" t="s">
        <v>1062</v>
      </c>
      <c r="D254" s="109">
        <v>0</v>
      </c>
      <c r="E254" s="110">
        <v>128.37</v>
      </c>
      <c r="F254" s="111">
        <v>0.05</v>
      </c>
      <c r="G254" s="111">
        <v>0.05</v>
      </c>
      <c r="H254" s="61"/>
      <c r="I254" s="61"/>
      <c r="J254" s="61"/>
      <c r="K254" s="61"/>
      <c r="L254" s="61"/>
      <c r="M254" s="61"/>
      <c r="N254" s="61"/>
      <c r="O254" s="61"/>
      <c r="P254" s="61"/>
      <c r="Q254" s="61"/>
      <c r="R254" s="61"/>
    </row>
    <row r="255" spans="1:18" ht="18" x14ac:dyDescent="0.15">
      <c r="A255" s="221">
        <v>933</v>
      </c>
      <c r="B255" s="220" t="s">
        <v>1148</v>
      </c>
      <c r="C255" s="219" t="s">
        <v>1063</v>
      </c>
      <c r="D255" s="109">
        <v>0</v>
      </c>
      <c r="E255" s="110">
        <v>203.27</v>
      </c>
      <c r="F255" s="111">
        <v>0.05</v>
      </c>
      <c r="G255" s="111">
        <v>0.05</v>
      </c>
      <c r="H255" s="61"/>
      <c r="I255" s="61"/>
      <c r="J255" s="61"/>
      <c r="K255" s="61"/>
      <c r="L255" s="61"/>
      <c r="M255" s="61"/>
      <c r="N255" s="61"/>
      <c r="O255" s="61"/>
      <c r="P255" s="61"/>
      <c r="Q255" s="61"/>
      <c r="R255" s="61"/>
    </row>
    <row r="256" spans="1:18" ht="18" x14ac:dyDescent="0.15">
      <c r="A256" s="221">
        <v>749</v>
      </c>
      <c r="B256" s="220" t="s">
        <v>1148</v>
      </c>
      <c r="C256" s="219" t="s">
        <v>1064</v>
      </c>
      <c r="D256" s="109">
        <v>0</v>
      </c>
      <c r="E256" s="110">
        <v>273.45</v>
      </c>
      <c r="F256" s="111">
        <v>0.05</v>
      </c>
      <c r="G256" s="111">
        <v>0.05</v>
      </c>
      <c r="H256" s="61"/>
      <c r="I256" s="61"/>
      <c r="J256" s="61"/>
      <c r="K256" s="61"/>
      <c r="L256" s="61"/>
      <c r="M256" s="61"/>
      <c r="N256" s="61"/>
      <c r="O256" s="61"/>
      <c r="P256" s="61"/>
      <c r="Q256" s="61"/>
      <c r="R256" s="61"/>
    </row>
    <row r="257" spans="1:18" ht="18" x14ac:dyDescent="0.15">
      <c r="A257" s="221">
        <v>749</v>
      </c>
      <c r="B257" s="220" t="s">
        <v>1148</v>
      </c>
      <c r="C257" s="219" t="s">
        <v>1065</v>
      </c>
      <c r="D257" s="109">
        <v>0</v>
      </c>
      <c r="E257" s="110">
        <v>366.36</v>
      </c>
      <c r="F257" s="111">
        <v>0.05</v>
      </c>
      <c r="G257" s="111">
        <v>0.05</v>
      </c>
      <c r="H257" s="61"/>
      <c r="I257" s="61"/>
      <c r="J257" s="61"/>
      <c r="K257" s="61"/>
      <c r="L257" s="61"/>
      <c r="M257" s="61"/>
      <c r="N257" s="61"/>
      <c r="O257" s="61"/>
      <c r="P257" s="61"/>
      <c r="Q257" s="61"/>
      <c r="R257" s="61"/>
    </row>
    <row r="258" spans="1:18" ht="18" x14ac:dyDescent="0.15">
      <c r="A258" s="221">
        <v>749</v>
      </c>
      <c r="B258" s="220" t="s">
        <v>1148</v>
      </c>
      <c r="C258" s="219" t="s">
        <v>1066</v>
      </c>
      <c r="D258" s="109">
        <v>0</v>
      </c>
      <c r="E258" s="110">
        <v>1836.4</v>
      </c>
      <c r="F258" s="111">
        <v>0.05</v>
      </c>
      <c r="G258" s="111">
        <v>0.05</v>
      </c>
      <c r="H258" s="61"/>
      <c r="I258" s="61"/>
      <c r="J258" s="61"/>
      <c r="K258" s="61"/>
      <c r="L258" s="61"/>
      <c r="M258" s="61"/>
      <c r="N258" s="61"/>
      <c r="O258" s="61"/>
      <c r="P258" s="61"/>
      <c r="Q258" s="61"/>
      <c r="R258" s="61"/>
    </row>
    <row r="259" spans="1:18" ht="18" x14ac:dyDescent="0.15">
      <c r="A259" s="221">
        <v>933</v>
      </c>
      <c r="B259" s="220" t="s">
        <v>1148</v>
      </c>
      <c r="C259" s="219" t="s">
        <v>1067</v>
      </c>
      <c r="D259" s="109">
        <v>0</v>
      </c>
      <c r="E259" s="110">
        <v>776.27</v>
      </c>
      <c r="F259" s="111">
        <v>0.05</v>
      </c>
      <c r="G259" s="111">
        <v>0.05</v>
      </c>
      <c r="H259" s="61"/>
      <c r="I259" s="61"/>
      <c r="J259" s="61"/>
      <c r="K259" s="61"/>
      <c r="L259" s="61"/>
      <c r="M259" s="61"/>
      <c r="N259" s="61"/>
      <c r="O259" s="61"/>
      <c r="P259" s="61"/>
      <c r="Q259" s="61"/>
      <c r="R259" s="61"/>
    </row>
    <row r="260" spans="1:18" ht="18" x14ac:dyDescent="0.15">
      <c r="A260" s="221">
        <v>933</v>
      </c>
      <c r="B260" s="220" t="s">
        <v>1148</v>
      </c>
      <c r="C260" s="219" t="s">
        <v>1068</v>
      </c>
      <c r="D260" s="109">
        <v>0</v>
      </c>
      <c r="E260" s="110">
        <v>128.37</v>
      </c>
      <c r="F260" s="111">
        <v>0.05</v>
      </c>
      <c r="G260" s="111">
        <v>0.05</v>
      </c>
      <c r="H260" s="61"/>
      <c r="I260" s="61"/>
      <c r="J260" s="61"/>
      <c r="K260" s="61"/>
      <c r="L260" s="61"/>
      <c r="M260" s="61"/>
      <c r="N260" s="61"/>
      <c r="O260" s="61"/>
      <c r="P260" s="61"/>
      <c r="Q260" s="61"/>
      <c r="R260" s="61"/>
    </row>
    <row r="261" spans="1:18" ht="18" x14ac:dyDescent="0.15">
      <c r="A261" s="221">
        <v>933</v>
      </c>
      <c r="B261" s="220" t="s">
        <v>1148</v>
      </c>
      <c r="C261" s="219" t="s">
        <v>1069</v>
      </c>
      <c r="D261" s="109">
        <v>0</v>
      </c>
      <c r="E261" s="110">
        <v>687.47</v>
      </c>
      <c r="F261" s="111">
        <v>0.05</v>
      </c>
      <c r="G261" s="111">
        <v>0.05</v>
      </c>
      <c r="H261" s="61"/>
      <c r="I261" s="61"/>
      <c r="J261" s="61"/>
      <c r="K261" s="61"/>
      <c r="L261" s="61"/>
      <c r="M261" s="61"/>
      <c r="N261" s="61"/>
      <c r="O261" s="61"/>
      <c r="P261" s="61"/>
      <c r="Q261" s="61"/>
      <c r="R261" s="61"/>
    </row>
    <row r="262" spans="1:18" ht="18" x14ac:dyDescent="0.15">
      <c r="A262" s="221">
        <v>933</v>
      </c>
      <c r="B262" s="220" t="s">
        <v>1148</v>
      </c>
      <c r="C262" s="219" t="s">
        <v>1070</v>
      </c>
      <c r="D262" s="109">
        <v>0</v>
      </c>
      <c r="E262" s="110">
        <v>372.98</v>
      </c>
      <c r="F262" s="111">
        <v>0.05</v>
      </c>
      <c r="G262" s="111">
        <v>0.05</v>
      </c>
      <c r="H262" s="61"/>
      <c r="I262" s="61"/>
      <c r="J262" s="61"/>
      <c r="K262" s="61"/>
      <c r="L262" s="61"/>
      <c r="M262" s="61"/>
      <c r="N262" s="61"/>
      <c r="O262" s="61"/>
      <c r="P262" s="61"/>
      <c r="Q262" s="61"/>
      <c r="R262" s="61"/>
    </row>
    <row r="263" spans="1:18" ht="18" x14ac:dyDescent="0.15">
      <c r="A263" s="221">
        <v>933</v>
      </c>
      <c r="B263" s="220" t="s">
        <v>1148</v>
      </c>
      <c r="C263" s="219" t="s">
        <v>1071</v>
      </c>
      <c r="D263" s="109">
        <v>0</v>
      </c>
      <c r="E263" s="110">
        <v>128.37</v>
      </c>
      <c r="F263" s="111">
        <v>0.05</v>
      </c>
      <c r="G263" s="111">
        <v>0.05</v>
      </c>
      <c r="H263" s="61"/>
      <c r="I263" s="61"/>
      <c r="J263" s="61"/>
      <c r="K263" s="61"/>
      <c r="L263" s="61"/>
      <c r="M263" s="61"/>
      <c r="N263" s="61"/>
      <c r="O263" s="61"/>
      <c r="P263" s="61"/>
      <c r="Q263" s="61"/>
      <c r="R263" s="61"/>
    </row>
    <row r="264" spans="1:18" ht="18" x14ac:dyDescent="0.15">
      <c r="A264" s="221">
        <v>749</v>
      </c>
      <c r="B264" s="220" t="s">
        <v>1148</v>
      </c>
      <c r="C264" s="219" t="s">
        <v>1072</v>
      </c>
      <c r="D264" s="109">
        <v>0</v>
      </c>
      <c r="E264" s="110">
        <v>151.46</v>
      </c>
      <c r="F264" s="111">
        <v>0.05</v>
      </c>
      <c r="G264" s="111">
        <v>0.05</v>
      </c>
      <c r="H264" s="61"/>
      <c r="I264" s="61"/>
      <c r="J264" s="61"/>
      <c r="K264" s="61"/>
      <c r="L264" s="61"/>
      <c r="M264" s="61"/>
      <c r="N264" s="61"/>
      <c r="O264" s="61"/>
      <c r="P264" s="61"/>
      <c r="Q264" s="61"/>
      <c r="R264" s="61"/>
    </row>
    <row r="265" spans="1:18" ht="18" x14ac:dyDescent="0.15">
      <c r="A265" s="221">
        <v>749</v>
      </c>
      <c r="B265" s="220" t="s">
        <v>1148</v>
      </c>
      <c r="C265" s="219" t="s">
        <v>1073</v>
      </c>
      <c r="D265" s="109">
        <v>0</v>
      </c>
      <c r="E265" s="110">
        <v>130.54</v>
      </c>
      <c r="F265" s="111">
        <v>0.05</v>
      </c>
      <c r="G265" s="111">
        <v>0.05</v>
      </c>
      <c r="H265" s="61"/>
      <c r="I265" s="61"/>
      <c r="J265" s="61"/>
      <c r="K265" s="61"/>
      <c r="L265" s="61"/>
      <c r="M265" s="61"/>
      <c r="N265" s="61"/>
      <c r="O265" s="61"/>
      <c r="P265" s="61"/>
      <c r="Q265" s="61"/>
      <c r="R265" s="61"/>
    </row>
    <row r="266" spans="1:18" ht="18" x14ac:dyDescent="0.15">
      <c r="A266" s="221">
        <v>933</v>
      </c>
      <c r="B266" s="220" t="s">
        <v>1148</v>
      </c>
      <c r="C266" s="219" t="s">
        <v>1074</v>
      </c>
      <c r="D266" s="109">
        <v>0</v>
      </c>
      <c r="E266" s="110">
        <v>246.4</v>
      </c>
      <c r="F266" s="111">
        <v>0.05</v>
      </c>
      <c r="G266" s="111">
        <v>0.05</v>
      </c>
      <c r="H266" s="61"/>
      <c r="I266" s="61"/>
      <c r="J266" s="61"/>
      <c r="K266" s="61"/>
      <c r="L266" s="61"/>
      <c r="M266" s="61"/>
      <c r="N266" s="61"/>
      <c r="O266" s="61"/>
      <c r="P266" s="61"/>
      <c r="Q266" s="61"/>
      <c r="R266" s="61"/>
    </row>
    <row r="267" spans="1:18" ht="18" x14ac:dyDescent="0.15">
      <c r="A267" s="221">
        <v>933</v>
      </c>
      <c r="B267" s="220" t="s">
        <v>1148</v>
      </c>
      <c r="C267" s="219" t="s">
        <v>1075</v>
      </c>
      <c r="D267" s="109">
        <v>0</v>
      </c>
      <c r="E267" s="110">
        <v>1176.4100000000001</v>
      </c>
      <c r="F267" s="111">
        <v>0.05</v>
      </c>
      <c r="G267" s="111">
        <v>0.05</v>
      </c>
      <c r="H267" s="61"/>
      <c r="I267" s="61"/>
      <c r="J267" s="61"/>
      <c r="K267" s="61"/>
      <c r="L267" s="61"/>
      <c r="M267" s="61"/>
      <c r="N267" s="61"/>
      <c r="O267" s="61"/>
      <c r="P267" s="61"/>
      <c r="Q267" s="61"/>
      <c r="R267" s="61"/>
    </row>
    <row r="268" spans="1:18" ht="18" x14ac:dyDescent="0.15">
      <c r="A268" s="221">
        <v>933</v>
      </c>
      <c r="B268" s="220" t="s">
        <v>1148</v>
      </c>
      <c r="C268" s="219" t="s">
        <v>1076</v>
      </c>
      <c r="D268" s="109">
        <v>0</v>
      </c>
      <c r="E268" s="110">
        <v>436.84</v>
      </c>
      <c r="F268" s="111">
        <v>0.05</v>
      </c>
      <c r="G268" s="111">
        <v>0.05</v>
      </c>
      <c r="H268" s="61"/>
      <c r="I268" s="61"/>
      <c r="J268" s="61"/>
      <c r="K268" s="61"/>
      <c r="L268" s="61"/>
      <c r="M268" s="61"/>
      <c r="N268" s="61"/>
      <c r="O268" s="61"/>
      <c r="P268" s="61"/>
      <c r="Q268" s="61"/>
      <c r="R268" s="61"/>
    </row>
    <row r="269" spans="1:18" ht="18" x14ac:dyDescent="0.15">
      <c r="A269" s="221">
        <v>933</v>
      </c>
      <c r="B269" s="220" t="s">
        <v>1148</v>
      </c>
      <c r="C269" s="219" t="s">
        <v>1077</v>
      </c>
      <c r="D269" s="109">
        <v>0</v>
      </c>
      <c r="E269" s="110">
        <v>423.11</v>
      </c>
      <c r="F269" s="111">
        <v>0.05</v>
      </c>
      <c r="G269" s="111">
        <v>0.05</v>
      </c>
      <c r="H269" s="61"/>
      <c r="I269" s="61"/>
      <c r="J269" s="61"/>
      <c r="K269" s="61"/>
      <c r="L269" s="61"/>
      <c r="M269" s="61"/>
      <c r="N269" s="61"/>
      <c r="O269" s="61"/>
      <c r="P269" s="61"/>
      <c r="Q269" s="61"/>
      <c r="R269" s="61"/>
    </row>
    <row r="270" spans="1:18" ht="18" x14ac:dyDescent="0.15">
      <c r="A270" s="221">
        <v>933</v>
      </c>
      <c r="B270" s="220" t="s">
        <v>1148</v>
      </c>
      <c r="C270" s="219" t="s">
        <v>1078</v>
      </c>
      <c r="D270" s="109">
        <v>0</v>
      </c>
      <c r="E270" s="110">
        <v>249.44</v>
      </c>
      <c r="F270" s="111">
        <v>0.05</v>
      </c>
      <c r="G270" s="111">
        <v>0.05</v>
      </c>
      <c r="H270" s="61"/>
      <c r="I270" s="61"/>
      <c r="J270" s="61"/>
      <c r="K270" s="61"/>
      <c r="L270" s="61"/>
      <c r="M270" s="61"/>
      <c r="N270" s="61"/>
      <c r="O270" s="61"/>
      <c r="P270" s="61"/>
      <c r="Q270" s="61"/>
      <c r="R270" s="61"/>
    </row>
    <row r="271" spans="1:18" ht="18" x14ac:dyDescent="0.15">
      <c r="A271" s="221">
        <v>749</v>
      </c>
      <c r="B271" s="220" t="s">
        <v>1148</v>
      </c>
      <c r="C271" s="219" t="s">
        <v>1079</v>
      </c>
      <c r="D271" s="109">
        <v>0</v>
      </c>
      <c r="E271" s="110">
        <v>251.05</v>
      </c>
      <c r="F271" s="111">
        <v>0.05</v>
      </c>
      <c r="G271" s="111">
        <v>0.05</v>
      </c>
      <c r="H271" s="61"/>
      <c r="I271" s="61"/>
      <c r="J271" s="61"/>
      <c r="K271" s="61"/>
      <c r="L271" s="61"/>
      <c r="M271" s="61"/>
      <c r="N271" s="61"/>
      <c r="O271" s="61"/>
      <c r="P271" s="61"/>
      <c r="Q271" s="61"/>
      <c r="R271" s="61"/>
    </row>
    <row r="272" spans="1:18" ht="18" x14ac:dyDescent="0.15">
      <c r="A272" s="221">
        <v>933</v>
      </c>
      <c r="B272" s="220" t="s">
        <v>1148</v>
      </c>
      <c r="C272" s="219" t="s">
        <v>1080</v>
      </c>
      <c r="D272" s="109">
        <v>0</v>
      </c>
      <c r="E272" s="110">
        <v>688.5</v>
      </c>
      <c r="F272" s="111">
        <v>0.05</v>
      </c>
      <c r="G272" s="111">
        <v>0.05</v>
      </c>
      <c r="H272" s="61"/>
      <c r="I272" s="61"/>
      <c r="J272" s="61"/>
      <c r="K272" s="61"/>
      <c r="L272" s="61"/>
      <c r="M272" s="61"/>
      <c r="N272" s="61"/>
      <c r="O272" s="61"/>
      <c r="P272" s="61"/>
      <c r="Q272" s="61"/>
      <c r="R272" s="61"/>
    </row>
    <row r="273" spans="1:18" ht="18" x14ac:dyDescent="0.15">
      <c r="A273" s="221">
        <v>935</v>
      </c>
      <c r="B273" s="220" t="s">
        <v>1148</v>
      </c>
      <c r="C273" s="219" t="s">
        <v>1081</v>
      </c>
      <c r="D273" s="109">
        <v>0</v>
      </c>
      <c r="E273" s="110">
        <v>4194.3999999999996</v>
      </c>
      <c r="F273" s="111">
        <v>0.05</v>
      </c>
      <c r="G273" s="111">
        <v>0.05</v>
      </c>
      <c r="H273" s="61"/>
      <c r="I273" s="61"/>
      <c r="J273" s="61"/>
      <c r="K273" s="61"/>
      <c r="L273" s="61"/>
      <c r="M273" s="61"/>
      <c r="N273" s="61"/>
      <c r="O273" s="61"/>
      <c r="P273" s="61"/>
      <c r="Q273" s="61"/>
      <c r="R273" s="61"/>
    </row>
    <row r="274" spans="1:18" ht="18" x14ac:dyDescent="0.15">
      <c r="A274" s="221">
        <v>933</v>
      </c>
      <c r="B274" s="220" t="s">
        <v>1148</v>
      </c>
      <c r="C274" s="219" t="s">
        <v>1082</v>
      </c>
      <c r="D274" s="109">
        <v>0</v>
      </c>
      <c r="E274" s="110">
        <v>1016.65</v>
      </c>
      <c r="F274" s="111">
        <v>0.05</v>
      </c>
      <c r="G274" s="111">
        <v>0.05</v>
      </c>
      <c r="H274" s="61"/>
      <c r="I274" s="61"/>
      <c r="J274" s="61"/>
      <c r="K274" s="61"/>
      <c r="L274" s="61"/>
      <c r="M274" s="61"/>
      <c r="N274" s="61"/>
      <c r="O274" s="61"/>
      <c r="P274" s="61"/>
      <c r="Q274" s="61"/>
      <c r="R274" s="61"/>
    </row>
    <row r="275" spans="1:18" ht="18" x14ac:dyDescent="0.15">
      <c r="A275" s="221">
        <v>933</v>
      </c>
      <c r="B275" s="220" t="s">
        <v>1148</v>
      </c>
      <c r="C275" s="219" t="s">
        <v>1084</v>
      </c>
      <c r="D275" s="109">
        <v>0</v>
      </c>
      <c r="E275" s="110">
        <v>106.84</v>
      </c>
      <c r="F275" s="111">
        <v>0.05</v>
      </c>
      <c r="G275" s="111">
        <v>0.05</v>
      </c>
      <c r="H275" s="61"/>
      <c r="I275" s="61"/>
      <c r="J275" s="61"/>
      <c r="K275" s="61"/>
      <c r="L275" s="61"/>
      <c r="M275" s="61"/>
      <c r="N275" s="61"/>
      <c r="O275" s="61"/>
      <c r="P275" s="61"/>
      <c r="Q275" s="61"/>
      <c r="R275" s="61"/>
    </row>
    <row r="276" spans="1:18" ht="18" x14ac:dyDescent="0.15">
      <c r="A276" s="221">
        <v>933</v>
      </c>
      <c r="B276" s="220" t="s">
        <v>1148</v>
      </c>
      <c r="C276" s="219" t="s">
        <v>1085</v>
      </c>
      <c r="D276" s="109">
        <v>0</v>
      </c>
      <c r="E276" s="110">
        <v>660.4</v>
      </c>
      <c r="F276" s="111">
        <v>0.05</v>
      </c>
      <c r="G276" s="111">
        <v>0.05</v>
      </c>
      <c r="H276" s="61"/>
      <c r="I276" s="61"/>
      <c r="J276" s="61"/>
      <c r="K276" s="61"/>
      <c r="L276" s="61"/>
      <c r="M276" s="61"/>
      <c r="N276" s="61"/>
      <c r="O276" s="61"/>
      <c r="P276" s="61"/>
      <c r="Q276" s="61"/>
      <c r="R276" s="61"/>
    </row>
    <row r="277" spans="1:18" ht="18" x14ac:dyDescent="0.15">
      <c r="A277" s="221">
        <v>933</v>
      </c>
      <c r="B277" s="220" t="s">
        <v>1148</v>
      </c>
      <c r="C277" s="219" t="s">
        <v>1087</v>
      </c>
      <c r="D277" s="109">
        <v>0</v>
      </c>
      <c r="E277" s="110">
        <v>250.48</v>
      </c>
      <c r="F277" s="111">
        <v>0.05</v>
      </c>
      <c r="G277" s="111">
        <v>0.05</v>
      </c>
      <c r="H277" s="61"/>
      <c r="I277" s="61"/>
      <c r="J277" s="61"/>
      <c r="K277" s="61"/>
      <c r="L277" s="61"/>
      <c r="M277" s="61"/>
      <c r="N277" s="61"/>
      <c r="O277" s="61"/>
      <c r="P277" s="61"/>
      <c r="Q277" s="61"/>
      <c r="R277" s="61"/>
    </row>
    <row r="278" spans="1:18" ht="18" x14ac:dyDescent="0.15">
      <c r="A278" s="221">
        <v>933</v>
      </c>
      <c r="B278" s="220" t="s">
        <v>1148</v>
      </c>
      <c r="C278" s="219" t="s">
        <v>1088</v>
      </c>
      <c r="D278" s="109">
        <v>0</v>
      </c>
      <c r="E278" s="110">
        <v>448.76</v>
      </c>
      <c r="F278" s="111">
        <v>0.05</v>
      </c>
      <c r="G278" s="111">
        <v>0.05</v>
      </c>
      <c r="H278" s="61"/>
      <c r="I278" s="61"/>
      <c r="J278" s="61"/>
      <c r="K278" s="61"/>
      <c r="L278" s="61"/>
      <c r="M278" s="61"/>
      <c r="N278" s="61"/>
      <c r="O278" s="61"/>
      <c r="P278" s="61"/>
      <c r="Q278" s="61"/>
      <c r="R278" s="61"/>
    </row>
    <row r="279" spans="1:18" ht="18" x14ac:dyDescent="0.15">
      <c r="A279" s="221">
        <v>933</v>
      </c>
      <c r="B279" s="220" t="s">
        <v>1148</v>
      </c>
      <c r="C279" s="219" t="s">
        <v>1090</v>
      </c>
      <c r="D279" s="109">
        <v>0</v>
      </c>
      <c r="E279" s="110">
        <v>976.27</v>
      </c>
      <c r="F279" s="111">
        <v>0.05</v>
      </c>
      <c r="G279" s="111">
        <v>0.05</v>
      </c>
      <c r="H279" s="61"/>
      <c r="I279" s="61"/>
      <c r="J279" s="61"/>
      <c r="K279" s="61"/>
      <c r="L279" s="61"/>
      <c r="M279" s="61"/>
      <c r="N279" s="61"/>
      <c r="O279" s="61"/>
      <c r="P279" s="61"/>
      <c r="Q279" s="61"/>
      <c r="R279" s="61"/>
    </row>
    <row r="280" spans="1:18" ht="18" x14ac:dyDescent="0.15">
      <c r="A280" s="221">
        <v>935</v>
      </c>
      <c r="B280" s="220" t="s">
        <v>1148</v>
      </c>
      <c r="C280" s="219" t="s">
        <v>1092</v>
      </c>
      <c r="D280" s="109">
        <v>0</v>
      </c>
      <c r="E280" s="110">
        <v>3479.06</v>
      </c>
      <c r="F280" s="111">
        <v>0.05</v>
      </c>
      <c r="G280" s="111">
        <v>0.05</v>
      </c>
      <c r="H280" s="61"/>
      <c r="I280" s="61"/>
      <c r="J280" s="61"/>
      <c r="K280" s="61"/>
      <c r="L280" s="61"/>
      <c r="M280" s="61"/>
      <c r="N280" s="61"/>
      <c r="O280" s="61"/>
      <c r="P280" s="61"/>
      <c r="Q280" s="61"/>
      <c r="R280" s="61"/>
    </row>
    <row r="281" spans="1:18" ht="18" x14ac:dyDescent="0.15">
      <c r="A281" s="221">
        <v>935</v>
      </c>
      <c r="B281" s="220" t="s">
        <v>1148</v>
      </c>
      <c r="C281" s="219" t="s">
        <v>1093</v>
      </c>
      <c r="D281" s="109">
        <v>0</v>
      </c>
      <c r="E281" s="110">
        <v>1856.22</v>
      </c>
      <c r="F281" s="111">
        <v>0.05</v>
      </c>
      <c r="G281" s="111">
        <v>0.05</v>
      </c>
      <c r="H281" s="61"/>
      <c r="I281" s="61"/>
      <c r="J281" s="61"/>
      <c r="K281" s="61"/>
      <c r="L281" s="61"/>
      <c r="M281" s="61"/>
      <c r="N281" s="61"/>
      <c r="O281" s="61"/>
      <c r="P281" s="61"/>
      <c r="Q281" s="61"/>
      <c r="R281" s="61"/>
    </row>
    <row r="282" spans="1:18" ht="18" x14ac:dyDescent="0.15">
      <c r="A282" s="221">
        <v>749</v>
      </c>
      <c r="B282" s="220" t="s">
        <v>1148</v>
      </c>
      <c r="C282" s="219" t="s">
        <v>1094</v>
      </c>
      <c r="D282" s="109">
        <v>0</v>
      </c>
      <c r="E282" s="110">
        <v>510.24</v>
      </c>
      <c r="F282" s="111">
        <v>0.05</v>
      </c>
      <c r="G282" s="111">
        <v>0.05</v>
      </c>
      <c r="H282" s="61"/>
      <c r="I282" s="61"/>
      <c r="J282" s="61"/>
      <c r="K282" s="61"/>
      <c r="L282" s="61"/>
      <c r="M282" s="61"/>
      <c r="N282" s="61"/>
      <c r="O282" s="61"/>
      <c r="P282" s="61"/>
      <c r="Q282" s="61"/>
      <c r="R282" s="61"/>
    </row>
    <row r="283" spans="1:18" ht="18" x14ac:dyDescent="0.15">
      <c r="H283" s="61"/>
      <c r="I283" s="61"/>
      <c r="J283" s="61"/>
      <c r="K283" s="61"/>
      <c r="L283" s="61"/>
      <c r="M283" s="61"/>
      <c r="N283" s="61"/>
      <c r="O283" s="61"/>
      <c r="P283" s="61"/>
      <c r="Q283" s="61"/>
      <c r="R283" s="61"/>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9"/>
  <sheetViews>
    <sheetView zoomScale="80" zoomScaleNormal="80" zoomScaleSheetLayoutView="100" workbookViewId="0"/>
  </sheetViews>
  <sheetFormatPr baseColWidth="10" defaultColWidth="8.83203125" defaultRowHeight="13" x14ac:dyDescent="0.15"/>
  <cols>
    <col min="1" max="1" width="47.5" customWidth="1"/>
    <col min="2" max="2" width="17.6640625" customWidth="1"/>
    <col min="4" max="10" width="17.6640625" customWidth="1"/>
  </cols>
  <sheetData>
    <row r="1" spans="1:12" s="2" customFormat="1" ht="27" customHeight="1" x14ac:dyDescent="0.15">
      <c r="A1" s="13" t="s">
        <v>88</v>
      </c>
      <c r="B1" s="3"/>
      <c r="D1" s="3"/>
      <c r="E1" s="3"/>
      <c r="F1" s="3"/>
      <c r="G1" s="8"/>
      <c r="H1" s="4"/>
      <c r="I1" s="4"/>
    </row>
    <row r="2" spans="1:12" s="2" customFormat="1" ht="27" customHeight="1" x14ac:dyDescent="0.15">
      <c r="A2" s="261" t="str">
        <f>Overview!B4&amp; " - Effective from "&amp;Overview!D4&amp;" - "&amp;Overview!E4&amp;" LV and HV tariffs"</f>
        <v>Southern Electric Power Distribution plc - Effective from 1 April 2020 - Final LV and HV tariffs</v>
      </c>
      <c r="B2" s="261"/>
      <c r="C2" s="261"/>
      <c r="D2" s="261"/>
      <c r="E2" s="261"/>
      <c r="F2" s="261"/>
      <c r="G2" s="261"/>
      <c r="H2" s="261"/>
      <c r="I2" s="261"/>
      <c r="J2" s="261"/>
      <c r="K2" s="4"/>
      <c r="L2" s="4"/>
    </row>
    <row r="3" spans="1:12" s="2" customFormat="1" ht="27" customHeight="1" x14ac:dyDescent="0.15">
      <c r="A3" s="284" t="s">
        <v>454</v>
      </c>
      <c r="B3" s="284"/>
      <c r="C3" s="284"/>
      <c r="D3" s="284"/>
      <c r="E3" s="284"/>
      <c r="F3" s="284"/>
      <c r="G3" s="284"/>
      <c r="H3" s="284"/>
      <c r="I3" s="284"/>
      <c r="J3" s="284"/>
      <c r="K3" s="4"/>
      <c r="L3" s="4"/>
    </row>
    <row r="4" spans="1:12" s="2" customFormat="1" ht="71.25" customHeight="1" x14ac:dyDescent="0.15">
      <c r="A4" s="15"/>
      <c r="B4" s="28" t="s">
        <v>50</v>
      </c>
      <c r="C4" s="14" t="s">
        <v>93</v>
      </c>
      <c r="D4" s="14" t="s">
        <v>629</v>
      </c>
      <c r="E4" s="147" t="s">
        <v>630</v>
      </c>
      <c r="F4" s="147" t="s">
        <v>94</v>
      </c>
      <c r="G4" s="14"/>
      <c r="H4" s="14"/>
      <c r="I4" s="14"/>
      <c r="J4" s="14"/>
      <c r="K4" s="4"/>
      <c r="L4" s="4"/>
    </row>
    <row r="5" spans="1:12" s="2" customFormat="1" ht="32.25" customHeight="1" x14ac:dyDescent="0.15">
      <c r="A5" s="16" t="s">
        <v>1</v>
      </c>
      <c r="B5" s="46" t="s">
        <v>735</v>
      </c>
      <c r="C5" s="182">
        <v>2</v>
      </c>
      <c r="D5" s="47">
        <v>2.387</v>
      </c>
      <c r="E5" s="47">
        <v>0.441</v>
      </c>
      <c r="F5" s="49">
        <v>3.51</v>
      </c>
      <c r="G5" s="26"/>
      <c r="H5" s="26"/>
      <c r="I5" s="26"/>
      <c r="J5" s="26"/>
      <c r="K5" s="4"/>
      <c r="L5" s="4"/>
    </row>
    <row r="6" spans="1:12" s="2" customFormat="1" ht="32.25" customHeight="1" x14ac:dyDescent="0.15">
      <c r="A6" s="16" t="s">
        <v>11</v>
      </c>
      <c r="B6" s="46" t="s">
        <v>736</v>
      </c>
      <c r="C6" s="182">
        <v>2</v>
      </c>
      <c r="D6" s="47">
        <v>0.53700000000000003</v>
      </c>
      <c r="E6" s="183"/>
      <c r="F6" s="183"/>
      <c r="G6" s="26"/>
      <c r="H6" s="26"/>
      <c r="I6" s="26"/>
      <c r="J6" s="26"/>
      <c r="K6" s="4"/>
      <c r="L6" s="4"/>
    </row>
    <row r="7" spans="1:12" s="2" customFormat="1" ht="32.25" customHeight="1" x14ac:dyDescent="0.15">
      <c r="A7" s="16" t="s">
        <v>14</v>
      </c>
      <c r="B7" s="184" t="s">
        <v>737</v>
      </c>
      <c r="C7" s="182">
        <v>4</v>
      </c>
      <c r="D7" s="47">
        <v>0.66500000000000004</v>
      </c>
      <c r="E7" s="183"/>
      <c r="F7" s="183"/>
      <c r="G7" s="26"/>
      <c r="H7" s="26"/>
      <c r="I7" s="26"/>
      <c r="J7" s="26"/>
      <c r="K7" s="4"/>
      <c r="L7" s="4"/>
    </row>
    <row r="8" spans="1:12" s="2" customFormat="1" ht="32.25" customHeight="1" x14ac:dyDescent="0.15">
      <c r="A8" s="16" t="s">
        <v>16</v>
      </c>
      <c r="B8" s="46" t="s">
        <v>738</v>
      </c>
      <c r="C8" s="182" t="s">
        <v>20</v>
      </c>
      <c r="D8" s="47">
        <v>0.86199999999999999</v>
      </c>
      <c r="E8" s="47">
        <v>0.36799999999999999</v>
      </c>
      <c r="F8" s="49">
        <v>288.70999999999998</v>
      </c>
      <c r="G8" s="26"/>
      <c r="H8" s="26"/>
      <c r="I8" s="26"/>
      <c r="J8" s="26"/>
      <c r="K8" s="4"/>
      <c r="L8" s="4"/>
    </row>
    <row r="9" spans="1:12" x14ac:dyDescent="0.15">
      <c r="A9" s="176" t="s">
        <v>52</v>
      </c>
      <c r="B9" s="285" t="s">
        <v>53</v>
      </c>
      <c r="C9" s="285"/>
      <c r="D9" s="285"/>
      <c r="E9" s="285"/>
      <c r="F9" s="285"/>
      <c r="G9" s="285"/>
      <c r="H9" s="286"/>
      <c r="I9" s="286"/>
      <c r="J9" s="286"/>
    </row>
    <row r="10" spans="1:12" x14ac:dyDescent="0.15">
      <c r="A10" s="58"/>
      <c r="B10" s="58"/>
      <c r="C10" s="58"/>
      <c r="D10" s="58"/>
      <c r="E10" s="58"/>
      <c r="F10" s="58"/>
      <c r="G10" s="58"/>
      <c r="H10" s="58"/>
      <c r="I10" s="58"/>
      <c r="J10" s="58"/>
    </row>
    <row r="11" spans="1:12" x14ac:dyDescent="0.15">
      <c r="A11" s="58"/>
      <c r="B11" s="58"/>
      <c r="C11" s="58"/>
      <c r="D11" s="58"/>
      <c r="E11" s="58"/>
      <c r="F11" s="58"/>
      <c r="G11" s="58"/>
      <c r="H11" s="58"/>
      <c r="I11" s="58"/>
      <c r="J11" s="58"/>
    </row>
    <row r="12" spans="1:12" s="2" customFormat="1" ht="27" customHeight="1" x14ac:dyDescent="0.15">
      <c r="A12" s="284" t="s">
        <v>455</v>
      </c>
      <c r="B12" s="284"/>
      <c r="C12" s="284"/>
      <c r="D12" s="284"/>
      <c r="E12" s="284"/>
      <c r="F12" s="284"/>
      <c r="G12" s="284"/>
      <c r="H12" s="284"/>
      <c r="I12" s="284"/>
      <c r="J12" s="284"/>
      <c r="K12" s="4"/>
      <c r="L12" s="4"/>
    </row>
    <row r="13" spans="1:12" s="2" customFormat="1" ht="58.5" customHeight="1" x14ac:dyDescent="0.15">
      <c r="A13" s="15"/>
      <c r="B13" s="28" t="s">
        <v>50</v>
      </c>
      <c r="C13" s="14" t="s">
        <v>93</v>
      </c>
      <c r="D13" s="28" t="s">
        <v>636</v>
      </c>
      <c r="E13" s="28" t="s">
        <v>637</v>
      </c>
      <c r="F13" s="28" t="s">
        <v>638</v>
      </c>
      <c r="G13" s="147" t="s">
        <v>94</v>
      </c>
      <c r="H13" s="147" t="s">
        <v>95</v>
      </c>
      <c r="I13" s="28" t="s">
        <v>688</v>
      </c>
      <c r="J13" s="147" t="s">
        <v>453</v>
      </c>
      <c r="K13" s="4"/>
      <c r="L13" s="4"/>
    </row>
    <row r="14" spans="1:12" s="2" customFormat="1" ht="32.25" customHeight="1" x14ac:dyDescent="0.15">
      <c r="A14" s="16"/>
      <c r="B14" s="27"/>
      <c r="C14" s="17">
        <v>0</v>
      </c>
      <c r="D14" s="18"/>
      <c r="E14" s="18"/>
      <c r="F14" s="18"/>
      <c r="G14" s="19"/>
      <c r="H14" s="19"/>
      <c r="I14" s="19"/>
      <c r="J14" s="18"/>
      <c r="K14" s="4"/>
      <c r="L14" s="4"/>
    </row>
    <row r="15" spans="1:12" x14ac:dyDescent="0.15">
      <c r="A15" s="293" t="s">
        <v>52</v>
      </c>
      <c r="B15" s="291" t="s">
        <v>81</v>
      </c>
      <c r="C15" s="291"/>
      <c r="D15" s="291"/>
      <c r="E15" s="291"/>
      <c r="F15" s="291"/>
      <c r="G15" s="291"/>
      <c r="H15" s="292"/>
      <c r="I15" s="292"/>
      <c r="J15" s="292"/>
    </row>
    <row r="16" spans="1:12" ht="12.75" customHeight="1" x14ac:dyDescent="0.15">
      <c r="A16" s="293"/>
      <c r="B16" s="282" t="s">
        <v>716</v>
      </c>
      <c r="C16" s="282"/>
      <c r="D16" s="282"/>
      <c r="E16" s="282"/>
      <c r="F16" s="282"/>
      <c r="G16" s="282"/>
      <c r="H16" s="283"/>
      <c r="I16" s="283"/>
      <c r="J16" s="283"/>
    </row>
    <row r="17" spans="1:10" ht="12.75" customHeight="1" x14ac:dyDescent="0.15">
      <c r="A17" s="293"/>
      <c r="B17" s="282" t="s">
        <v>717</v>
      </c>
      <c r="C17" s="282"/>
      <c r="D17" s="282"/>
      <c r="E17" s="282"/>
      <c r="F17" s="282"/>
      <c r="G17" s="282"/>
      <c r="H17" s="283"/>
      <c r="I17" s="283"/>
      <c r="J17" s="283"/>
    </row>
    <row r="18" spans="1:10" ht="24.75" customHeight="1" x14ac:dyDescent="0.15">
      <c r="A18" s="294"/>
      <c r="B18" s="287" t="s">
        <v>718</v>
      </c>
      <c r="C18" s="288"/>
      <c r="D18" s="288"/>
      <c r="E18" s="288"/>
      <c r="F18" s="288"/>
      <c r="G18" s="288"/>
      <c r="H18" s="289"/>
      <c r="I18" s="289"/>
      <c r="J18" s="290"/>
    </row>
    <row r="19" spans="1:10" ht="12.75" customHeight="1" x14ac:dyDescent="0.15">
      <c r="A19" s="294"/>
      <c r="B19" s="282" t="s">
        <v>54</v>
      </c>
      <c r="C19" s="282"/>
      <c r="D19" s="282"/>
      <c r="E19" s="282"/>
      <c r="F19" s="282"/>
      <c r="G19" s="282"/>
      <c r="H19" s="283"/>
      <c r="I19" s="283"/>
      <c r="J19" s="28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9:J19"/>
    <mergeCell ref="A2:J2"/>
    <mergeCell ref="A3:J3"/>
    <mergeCell ref="B9:J9"/>
    <mergeCell ref="B18:J18"/>
    <mergeCell ref="A12:J12"/>
    <mergeCell ref="B15:J15"/>
    <mergeCell ref="B16:J16"/>
    <mergeCell ref="B17:J17"/>
    <mergeCell ref="A15:A19"/>
  </mergeCells>
  <phoneticPr fontId="13"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3"/>
  <sheetViews>
    <sheetView zoomScale="85" zoomScaleNormal="85" zoomScaleSheetLayoutView="85" workbookViewId="0"/>
  </sheetViews>
  <sheetFormatPr baseColWidth="10" defaultColWidth="9.1640625" defaultRowHeight="27.75" customHeight="1" x14ac:dyDescent="0.15"/>
  <cols>
    <col min="1" max="1" width="58" style="2" bestFit="1" customWidth="1"/>
    <col min="2" max="2" width="17.6640625" style="3" customWidth="1"/>
    <col min="3" max="4" width="17.6640625" style="2" customWidth="1"/>
    <col min="5" max="7" width="17.6640625" style="3" customWidth="1"/>
    <col min="8" max="9" width="17.6640625" style="7" customWidth="1"/>
    <col min="10" max="10" width="17.6640625" style="4" customWidth="1"/>
    <col min="11" max="11" width="15.5" style="4" customWidth="1"/>
    <col min="12" max="17" width="15.5" style="2" customWidth="1"/>
    <col min="18" max="16384" width="9.1640625" style="2"/>
  </cols>
  <sheetData>
    <row r="1" spans="1:13" ht="27.75" customHeight="1" x14ac:dyDescent="0.15">
      <c r="A1" s="13" t="s">
        <v>88</v>
      </c>
      <c r="B1" s="303"/>
      <c r="C1" s="303"/>
      <c r="D1" s="303"/>
      <c r="F1" s="304"/>
      <c r="G1" s="304"/>
      <c r="H1" s="304"/>
      <c r="I1" s="4"/>
      <c r="J1" s="2"/>
      <c r="K1" s="2"/>
    </row>
    <row r="2" spans="1:13" ht="31.5" customHeight="1" x14ac:dyDescent="0.15">
      <c r="A2" s="305" t="str">
        <f>Overview!B4&amp; " - Effective from "&amp;Overview!D4&amp;" - "&amp;Overview!E4&amp;" LDNO tariffs"</f>
        <v>Southern Electric Power Distribution plc - Effective from 1 April 2020 - Final LDNO tariffs</v>
      </c>
      <c r="B2" s="305"/>
      <c r="C2" s="305"/>
      <c r="D2" s="305"/>
      <c r="E2" s="305"/>
      <c r="F2" s="305"/>
      <c r="G2" s="305"/>
      <c r="H2" s="305"/>
      <c r="I2" s="305"/>
      <c r="J2" s="305"/>
    </row>
    <row r="3" spans="1:13" ht="8.25" customHeight="1" x14ac:dyDescent="0.15">
      <c r="A3" s="97"/>
      <c r="B3" s="97"/>
      <c r="C3" s="97"/>
      <c r="D3" s="97"/>
      <c r="E3" s="97"/>
      <c r="F3" s="97"/>
      <c r="G3" s="97"/>
      <c r="H3" s="97"/>
      <c r="I3" s="97"/>
      <c r="J3" s="97"/>
    </row>
    <row r="4" spans="1:13" s="125" customFormat="1" ht="27" customHeight="1" x14ac:dyDescent="0.15">
      <c r="A4" s="305" t="s">
        <v>497</v>
      </c>
      <c r="B4" s="305"/>
      <c r="C4" s="305"/>
      <c r="D4" s="305"/>
      <c r="E4" s="193"/>
      <c r="F4" s="305" t="s">
        <v>496</v>
      </c>
      <c r="G4" s="305"/>
      <c r="H4" s="305"/>
      <c r="I4" s="305"/>
      <c r="J4" s="305"/>
      <c r="K4" s="194"/>
      <c r="L4" s="194"/>
    </row>
    <row r="5" spans="1:13" s="125" customFormat="1" ht="32.25" customHeight="1" x14ac:dyDescent="0.15">
      <c r="A5" s="195" t="s">
        <v>81</v>
      </c>
      <c r="B5" s="196" t="s">
        <v>488</v>
      </c>
      <c r="C5" s="197" t="s">
        <v>489</v>
      </c>
      <c r="D5" s="198" t="s">
        <v>490</v>
      </c>
      <c r="E5" s="97"/>
      <c r="F5" s="306"/>
      <c r="G5" s="307"/>
      <c r="H5" s="199" t="s">
        <v>494</v>
      </c>
      <c r="I5" s="200" t="s">
        <v>495</v>
      </c>
      <c r="J5" s="198" t="s">
        <v>490</v>
      </c>
      <c r="K5" s="97"/>
      <c r="L5" s="194"/>
      <c r="M5" s="194"/>
    </row>
    <row r="6" spans="1:13" s="125" customFormat="1" ht="38.25" customHeight="1" x14ac:dyDescent="0.15">
      <c r="A6" s="185" t="s">
        <v>491</v>
      </c>
      <c r="B6" s="186" t="s">
        <v>712</v>
      </c>
      <c r="C6" s="201"/>
      <c r="D6" s="202"/>
      <c r="E6" s="97"/>
      <c r="F6" s="302" t="s">
        <v>726</v>
      </c>
      <c r="G6" s="302"/>
      <c r="H6" s="202"/>
      <c r="I6" s="203" t="s">
        <v>727</v>
      </c>
      <c r="J6" s="202"/>
      <c r="K6" s="97"/>
      <c r="L6" s="194"/>
      <c r="M6" s="194"/>
    </row>
    <row r="7" spans="1:13" s="125" customFormat="1" ht="38.25" customHeight="1" x14ac:dyDescent="0.15">
      <c r="A7" s="185" t="s">
        <v>491</v>
      </c>
      <c r="B7" s="202"/>
      <c r="C7" s="204" t="s">
        <v>728</v>
      </c>
      <c r="D7" s="202"/>
      <c r="E7" s="97"/>
      <c r="F7" s="302" t="s">
        <v>729</v>
      </c>
      <c r="G7" s="302"/>
      <c r="H7" s="188" t="s">
        <v>712</v>
      </c>
      <c r="I7" s="203" t="s">
        <v>728</v>
      </c>
      <c r="J7" s="202"/>
      <c r="K7" s="97"/>
      <c r="L7" s="194"/>
      <c r="M7" s="194"/>
    </row>
    <row r="8" spans="1:13" s="125" customFormat="1" ht="38.25" customHeight="1" x14ac:dyDescent="0.15">
      <c r="A8" s="185" t="s">
        <v>491</v>
      </c>
      <c r="B8" s="202"/>
      <c r="C8" s="201"/>
      <c r="D8" s="205" t="s">
        <v>730</v>
      </c>
      <c r="E8" s="97"/>
      <c r="F8" s="302" t="s">
        <v>731</v>
      </c>
      <c r="G8" s="302"/>
      <c r="H8" s="202"/>
      <c r="I8" s="202"/>
      <c r="J8" s="205" t="s">
        <v>730</v>
      </c>
      <c r="K8" s="97"/>
      <c r="L8" s="194"/>
      <c r="M8" s="194"/>
    </row>
    <row r="9" spans="1:13" s="209" customFormat="1" ht="38.25" customHeight="1" x14ac:dyDescent="0.15">
      <c r="A9" s="206" t="s">
        <v>84</v>
      </c>
      <c r="B9" s="202"/>
      <c r="C9" s="204" t="s">
        <v>732</v>
      </c>
      <c r="D9" s="205" t="s">
        <v>733</v>
      </c>
      <c r="E9" s="207"/>
      <c r="F9" s="302" t="s">
        <v>734</v>
      </c>
      <c r="G9" s="302"/>
      <c r="H9" s="202"/>
      <c r="I9" s="203" t="s">
        <v>732</v>
      </c>
      <c r="J9" s="205" t="s">
        <v>733</v>
      </c>
      <c r="K9" s="97"/>
      <c r="L9" s="208"/>
      <c r="M9" s="208"/>
    </row>
    <row r="10" spans="1:13" s="210" customFormat="1" ht="18" customHeight="1" x14ac:dyDescent="0.15">
      <c r="A10" s="206" t="s">
        <v>82</v>
      </c>
      <c r="B10" s="298" t="s">
        <v>83</v>
      </c>
      <c r="C10" s="299"/>
      <c r="D10" s="300"/>
      <c r="F10" s="302" t="s">
        <v>82</v>
      </c>
      <c r="G10" s="302"/>
      <c r="H10" s="301" t="s">
        <v>83</v>
      </c>
      <c r="I10" s="301"/>
      <c r="J10" s="301"/>
      <c r="K10" s="97"/>
      <c r="L10" s="211"/>
      <c r="M10" s="211"/>
    </row>
    <row r="11" spans="1:13" s="95" customFormat="1" ht="21" customHeight="1" x14ac:dyDescent="0.15">
      <c r="B11" s="93"/>
      <c r="C11" s="93"/>
      <c r="D11" s="93"/>
      <c r="E11" s="94"/>
      <c r="F11" s="94"/>
      <c r="G11" s="94"/>
      <c r="H11" s="94"/>
      <c r="I11" s="94"/>
      <c r="J11" s="94"/>
      <c r="K11" s="94"/>
      <c r="L11" s="94"/>
    </row>
    <row r="12" spans="1:13" s="95" customFormat="1" ht="12" customHeight="1" x14ac:dyDescent="0.15">
      <c r="A12" s="93"/>
      <c r="B12" s="93"/>
      <c r="C12" s="93"/>
      <c r="D12" s="93"/>
      <c r="E12" s="93"/>
      <c r="F12" s="98"/>
      <c r="G12" s="98"/>
      <c r="H12" s="99"/>
      <c r="I12" s="99"/>
      <c r="J12" s="99"/>
      <c r="K12" s="94"/>
      <c r="L12" s="94"/>
    </row>
    <row r="13" spans="1:13" ht="66" customHeight="1" x14ac:dyDescent="0.15">
      <c r="A13" s="41" t="s">
        <v>687</v>
      </c>
      <c r="B13" s="41" t="s">
        <v>194</v>
      </c>
      <c r="C13" s="24" t="s">
        <v>93</v>
      </c>
      <c r="D13" s="83" t="str">
        <f>'Annex 1 LV and HV charges'!D13</f>
        <v>Unit charge 1 (NHH)
or red/black charge (HH)
p/kWh</v>
      </c>
      <c r="E13" s="83" t="str">
        <f>'Annex 1 LV and HV charges'!E13</f>
        <v>Unit charge 2 (NHH)
or amber/yellow charge (HH)
p/kWh</v>
      </c>
      <c r="F13" s="83" t="str">
        <f>'Annex 1 LV and HV charges'!F13</f>
        <v>Green charge(HH)
p/kWh</v>
      </c>
      <c r="G13" s="24" t="str">
        <f>'Annex 1 LV and HV charges'!G13</f>
        <v>Fixed charge p/MPAN/day</v>
      </c>
      <c r="H13" s="24" t="str">
        <f>'Annex 1 LV and HV charges'!H13</f>
        <v>Capacity charge p/kVA/day</v>
      </c>
      <c r="I13" s="24" t="str">
        <f>'Annex 1 LV and HV charges'!I13</f>
        <v>Exceeded capacity charge
p/kVA/day</v>
      </c>
      <c r="J13" s="24" t="str">
        <f>'Annex 1 LV and HV charges'!J13</f>
        <v>Reactive power charge
p/kVArh</v>
      </c>
      <c r="K13" s="2"/>
    </row>
    <row r="14" spans="1:13" ht="27" customHeight="1" x14ac:dyDescent="0.15">
      <c r="A14" s="25" t="s">
        <v>21</v>
      </c>
      <c r="B14" s="27"/>
      <c r="C14" s="52">
        <v>1</v>
      </c>
      <c r="D14" s="47">
        <v>1.262</v>
      </c>
      <c r="E14" s="48"/>
      <c r="F14" s="48"/>
      <c r="G14" s="49">
        <v>2.29</v>
      </c>
      <c r="H14" s="161"/>
      <c r="I14" s="162"/>
      <c r="J14" s="48"/>
      <c r="K14" s="2"/>
    </row>
    <row r="15" spans="1:13" ht="27" customHeight="1" x14ac:dyDescent="0.15">
      <c r="A15" s="25" t="s">
        <v>22</v>
      </c>
      <c r="B15" s="27"/>
      <c r="C15" s="52">
        <v>2</v>
      </c>
      <c r="D15" s="47">
        <v>1.5569999999999999</v>
      </c>
      <c r="E15" s="47">
        <v>0.28799999999999998</v>
      </c>
      <c r="F15" s="48"/>
      <c r="G15" s="49">
        <v>2.29</v>
      </c>
      <c r="H15" s="161"/>
      <c r="I15" s="162"/>
      <c r="J15" s="48"/>
      <c r="K15" s="2"/>
    </row>
    <row r="16" spans="1:13" ht="27" customHeight="1" x14ac:dyDescent="0.15">
      <c r="A16" s="25" t="s">
        <v>23</v>
      </c>
      <c r="B16" s="27"/>
      <c r="C16" s="52">
        <v>2</v>
      </c>
      <c r="D16" s="47">
        <v>0.35</v>
      </c>
      <c r="E16" s="48"/>
      <c r="F16" s="48"/>
      <c r="G16" s="161"/>
      <c r="H16" s="161"/>
      <c r="I16" s="162"/>
      <c r="J16" s="48"/>
      <c r="K16" s="2"/>
    </row>
    <row r="17" spans="1:11" ht="27" customHeight="1" x14ac:dyDescent="0.15">
      <c r="A17" s="25" t="s">
        <v>24</v>
      </c>
      <c r="B17" s="27"/>
      <c r="C17" s="52">
        <v>3</v>
      </c>
      <c r="D17" s="47">
        <v>1.159</v>
      </c>
      <c r="E17" s="48"/>
      <c r="F17" s="48"/>
      <c r="G17" s="49">
        <v>3.43</v>
      </c>
      <c r="H17" s="161"/>
      <c r="I17" s="162"/>
      <c r="J17" s="48"/>
      <c r="K17" s="2"/>
    </row>
    <row r="18" spans="1:11" ht="27" customHeight="1" x14ac:dyDescent="0.15">
      <c r="A18" s="25" t="s">
        <v>25</v>
      </c>
      <c r="B18" s="27"/>
      <c r="C18" s="52">
        <v>4</v>
      </c>
      <c r="D18" s="47">
        <v>1.69</v>
      </c>
      <c r="E18" s="47">
        <v>0.38600000000000001</v>
      </c>
      <c r="F18" s="48"/>
      <c r="G18" s="49">
        <v>3.43</v>
      </c>
      <c r="H18" s="161"/>
      <c r="I18" s="162"/>
      <c r="J18" s="48"/>
      <c r="K18" s="2"/>
    </row>
    <row r="19" spans="1:11" ht="27" customHeight="1" x14ac:dyDescent="0.15">
      <c r="A19" s="25" t="s">
        <v>26</v>
      </c>
      <c r="B19" s="27"/>
      <c r="C19" s="52">
        <v>4</v>
      </c>
      <c r="D19" s="47">
        <v>0.434</v>
      </c>
      <c r="E19" s="48"/>
      <c r="F19" s="48"/>
      <c r="G19" s="161"/>
      <c r="H19" s="161"/>
      <c r="I19" s="162"/>
      <c r="J19" s="48"/>
      <c r="K19" s="2"/>
    </row>
    <row r="20" spans="1:11" ht="27" customHeight="1" x14ac:dyDescent="0.15">
      <c r="A20" s="25" t="s">
        <v>27</v>
      </c>
      <c r="B20" s="27"/>
      <c r="C20" s="52" t="s">
        <v>20</v>
      </c>
      <c r="D20" s="47">
        <v>0.96799999999999997</v>
      </c>
      <c r="E20" s="47">
        <v>0.28100000000000003</v>
      </c>
      <c r="F20" s="48"/>
      <c r="G20" s="49">
        <v>18.899999999999999</v>
      </c>
      <c r="H20" s="161"/>
      <c r="I20" s="162"/>
      <c r="J20" s="48"/>
      <c r="K20" s="2"/>
    </row>
    <row r="21" spans="1:11" ht="27" customHeight="1" x14ac:dyDescent="0.15">
      <c r="A21" s="25" t="s">
        <v>564</v>
      </c>
      <c r="B21" s="27"/>
      <c r="C21" s="52">
        <v>0</v>
      </c>
      <c r="D21" s="166">
        <v>5.6760000000000002</v>
      </c>
      <c r="E21" s="167">
        <v>0.78200000000000003</v>
      </c>
      <c r="F21" s="168">
        <v>0.252</v>
      </c>
      <c r="G21" s="49">
        <v>2.29</v>
      </c>
      <c r="H21" s="161"/>
      <c r="I21" s="162"/>
      <c r="J21" s="48"/>
      <c r="K21" s="2"/>
    </row>
    <row r="22" spans="1:11" ht="27" customHeight="1" x14ac:dyDescent="0.15">
      <c r="A22" s="25" t="s">
        <v>565</v>
      </c>
      <c r="B22" s="27"/>
      <c r="C22" s="52">
        <v>0</v>
      </c>
      <c r="D22" s="166">
        <v>5.98</v>
      </c>
      <c r="E22" s="167">
        <v>0.81399999999999995</v>
      </c>
      <c r="F22" s="168">
        <v>0.254</v>
      </c>
      <c r="G22" s="49">
        <v>3.43</v>
      </c>
      <c r="H22" s="161"/>
      <c r="I22" s="162"/>
      <c r="J22" s="48"/>
      <c r="K22" s="2"/>
    </row>
    <row r="23" spans="1:11" ht="27" customHeight="1" x14ac:dyDescent="0.15">
      <c r="A23" s="25" t="s">
        <v>28</v>
      </c>
      <c r="B23" s="27"/>
      <c r="C23" s="52">
        <v>0</v>
      </c>
      <c r="D23" s="166">
        <v>4.0910000000000002</v>
      </c>
      <c r="E23" s="167">
        <v>0.56499999999999995</v>
      </c>
      <c r="F23" s="168">
        <v>0.23799999999999999</v>
      </c>
      <c r="G23" s="49">
        <v>10.76</v>
      </c>
      <c r="H23" s="49">
        <v>1.58</v>
      </c>
      <c r="I23" s="163">
        <v>2.99</v>
      </c>
      <c r="J23" s="47">
        <v>0.13300000000000001</v>
      </c>
      <c r="K23" s="2"/>
    </row>
    <row r="24" spans="1:11" ht="27" customHeight="1" x14ac:dyDescent="0.15">
      <c r="A24" s="25" t="s">
        <v>186</v>
      </c>
      <c r="B24" s="27"/>
      <c r="C24" s="52">
        <v>8</v>
      </c>
      <c r="D24" s="47">
        <v>1.6970000000000001</v>
      </c>
      <c r="E24" s="48"/>
      <c r="F24" s="48"/>
      <c r="G24" s="161"/>
      <c r="H24" s="161"/>
      <c r="I24" s="162"/>
      <c r="J24" s="48"/>
      <c r="K24" s="2"/>
    </row>
    <row r="25" spans="1:11" ht="27" customHeight="1" x14ac:dyDescent="0.15">
      <c r="A25" s="25" t="s">
        <v>187</v>
      </c>
      <c r="B25" s="27"/>
      <c r="C25" s="52">
        <v>1</v>
      </c>
      <c r="D25" s="47">
        <v>1.734</v>
      </c>
      <c r="E25" s="48"/>
      <c r="F25" s="48"/>
      <c r="G25" s="161"/>
      <c r="H25" s="161"/>
      <c r="I25" s="162"/>
      <c r="J25" s="48"/>
      <c r="K25" s="2"/>
    </row>
    <row r="26" spans="1:11" ht="27" customHeight="1" x14ac:dyDescent="0.15">
      <c r="A26" s="25" t="s">
        <v>188</v>
      </c>
      <c r="B26" s="27"/>
      <c r="C26" s="52">
        <v>1</v>
      </c>
      <c r="D26" s="47">
        <v>2.2189999999999999</v>
      </c>
      <c r="E26" s="48"/>
      <c r="F26" s="48"/>
      <c r="G26" s="161"/>
      <c r="H26" s="161"/>
      <c r="I26" s="162"/>
      <c r="J26" s="48"/>
      <c r="K26" s="2"/>
    </row>
    <row r="27" spans="1:11" ht="27" customHeight="1" x14ac:dyDescent="0.15">
      <c r="A27" s="25" t="s">
        <v>189</v>
      </c>
      <c r="B27" s="27"/>
      <c r="C27" s="52">
        <v>1</v>
      </c>
      <c r="D27" s="47">
        <v>1.704</v>
      </c>
      <c r="E27" s="48"/>
      <c r="F27" s="48"/>
      <c r="G27" s="161"/>
      <c r="H27" s="161"/>
      <c r="I27" s="162"/>
      <c r="J27" s="48"/>
      <c r="K27" s="2"/>
    </row>
    <row r="28" spans="1:11" ht="27" customHeight="1" x14ac:dyDescent="0.15">
      <c r="A28" s="25" t="s">
        <v>29</v>
      </c>
      <c r="B28" s="27"/>
      <c r="C28" s="55">
        <v>0</v>
      </c>
      <c r="D28" s="169">
        <v>8.9540000000000006</v>
      </c>
      <c r="E28" s="170">
        <v>1.681</v>
      </c>
      <c r="F28" s="168">
        <v>1.2</v>
      </c>
      <c r="G28" s="161"/>
      <c r="H28" s="161"/>
      <c r="I28" s="162"/>
      <c r="J28" s="48"/>
      <c r="K28" s="2"/>
    </row>
    <row r="29" spans="1:11" ht="27" customHeight="1" x14ac:dyDescent="0.15">
      <c r="A29" s="25" t="s">
        <v>566</v>
      </c>
      <c r="B29" s="27"/>
      <c r="C29" s="55" t="s">
        <v>1157</v>
      </c>
      <c r="D29" s="47">
        <v>-0.79400000000000004</v>
      </c>
      <c r="E29" s="48"/>
      <c r="F29" s="48"/>
      <c r="G29" s="49">
        <v>0</v>
      </c>
      <c r="H29" s="161"/>
      <c r="I29" s="162"/>
      <c r="J29" s="48"/>
      <c r="K29" s="2"/>
    </row>
    <row r="30" spans="1:11" ht="27" customHeight="1" x14ac:dyDescent="0.15">
      <c r="A30" s="25" t="s">
        <v>30</v>
      </c>
      <c r="B30" s="27"/>
      <c r="C30" s="55">
        <v>0</v>
      </c>
      <c r="D30" s="47">
        <v>-0.79400000000000004</v>
      </c>
      <c r="E30" s="48"/>
      <c r="F30" s="48"/>
      <c r="G30" s="49">
        <v>0</v>
      </c>
      <c r="H30" s="161"/>
      <c r="I30" s="162"/>
      <c r="J30" s="47">
        <v>0.186</v>
      </c>
      <c r="K30" s="2"/>
    </row>
    <row r="31" spans="1:11" ht="27" customHeight="1" x14ac:dyDescent="0.15">
      <c r="A31" s="25" t="s">
        <v>31</v>
      </c>
      <c r="B31" s="27"/>
      <c r="C31" s="55">
        <v>0</v>
      </c>
      <c r="D31" s="166">
        <v>-5.5359999999999996</v>
      </c>
      <c r="E31" s="167">
        <v>-0.57099999999999995</v>
      </c>
      <c r="F31" s="168">
        <v>-3.3000000000000002E-2</v>
      </c>
      <c r="G31" s="49">
        <v>0</v>
      </c>
      <c r="H31" s="161"/>
      <c r="I31" s="162"/>
      <c r="J31" s="47">
        <v>0.186</v>
      </c>
      <c r="K31" s="2"/>
    </row>
    <row r="32" spans="1:11" ht="27" customHeight="1" x14ac:dyDescent="0.15">
      <c r="A32" s="25" t="s">
        <v>32</v>
      </c>
      <c r="B32" s="27"/>
      <c r="C32" s="55">
        <v>1</v>
      </c>
      <c r="D32" s="47">
        <v>0.87</v>
      </c>
      <c r="E32" s="48"/>
      <c r="F32" s="48"/>
      <c r="G32" s="49">
        <v>1.58</v>
      </c>
      <c r="H32" s="161"/>
      <c r="I32" s="162"/>
      <c r="J32" s="48"/>
      <c r="K32" s="2"/>
    </row>
    <row r="33" spans="1:11" ht="27" customHeight="1" x14ac:dyDescent="0.15">
      <c r="A33" s="25" t="s">
        <v>33</v>
      </c>
      <c r="B33" s="27"/>
      <c r="C33" s="55">
        <v>2</v>
      </c>
      <c r="D33" s="47">
        <v>1.073</v>
      </c>
      <c r="E33" s="47">
        <v>0.19800000000000001</v>
      </c>
      <c r="F33" s="48"/>
      <c r="G33" s="49">
        <v>1.58</v>
      </c>
      <c r="H33" s="161"/>
      <c r="I33" s="162"/>
      <c r="J33" s="48"/>
      <c r="K33" s="2"/>
    </row>
    <row r="34" spans="1:11" ht="27" customHeight="1" x14ac:dyDescent="0.15">
      <c r="A34" s="25" t="s">
        <v>34</v>
      </c>
      <c r="B34" s="27"/>
      <c r="C34" s="55">
        <v>2</v>
      </c>
      <c r="D34" s="47">
        <v>0.24099999999999999</v>
      </c>
      <c r="E34" s="48"/>
      <c r="F34" s="48"/>
      <c r="G34" s="161"/>
      <c r="H34" s="161"/>
      <c r="I34" s="162"/>
      <c r="J34" s="48"/>
      <c r="K34" s="2"/>
    </row>
    <row r="35" spans="1:11" ht="27" customHeight="1" x14ac:dyDescent="0.15">
      <c r="A35" s="25" t="s">
        <v>35</v>
      </c>
      <c r="B35" s="27"/>
      <c r="C35" s="55">
        <v>3</v>
      </c>
      <c r="D35" s="47">
        <v>0.79900000000000004</v>
      </c>
      <c r="E35" s="48"/>
      <c r="F35" s="48"/>
      <c r="G35" s="49">
        <v>2.36</v>
      </c>
      <c r="H35" s="161"/>
      <c r="I35" s="162"/>
      <c r="J35" s="48"/>
      <c r="K35" s="2"/>
    </row>
    <row r="36" spans="1:11" ht="27" customHeight="1" x14ac:dyDescent="0.15">
      <c r="A36" s="25" t="s">
        <v>36</v>
      </c>
      <c r="B36" s="27"/>
      <c r="C36" s="55">
        <v>4</v>
      </c>
      <c r="D36" s="47">
        <v>1.165</v>
      </c>
      <c r="E36" s="47">
        <v>0.26600000000000001</v>
      </c>
      <c r="F36" s="48"/>
      <c r="G36" s="49">
        <v>2.36</v>
      </c>
      <c r="H36" s="161"/>
      <c r="I36" s="162"/>
      <c r="J36" s="48"/>
      <c r="K36" s="2"/>
    </row>
    <row r="37" spans="1:11" ht="27" customHeight="1" x14ac:dyDescent="0.15">
      <c r="A37" s="25" t="s">
        <v>37</v>
      </c>
      <c r="B37" s="27"/>
      <c r="C37" s="55">
        <v>4</v>
      </c>
      <c r="D37" s="47">
        <v>0.29899999999999999</v>
      </c>
      <c r="E37" s="48"/>
      <c r="F37" s="48"/>
      <c r="G37" s="161"/>
      <c r="H37" s="161"/>
      <c r="I37" s="162"/>
      <c r="J37" s="48"/>
      <c r="K37" s="2"/>
    </row>
    <row r="38" spans="1:11" ht="27" customHeight="1" x14ac:dyDescent="0.15">
      <c r="A38" s="25" t="s">
        <v>38</v>
      </c>
      <c r="B38" s="27"/>
      <c r="C38" s="55" t="s">
        <v>20</v>
      </c>
      <c r="D38" s="47">
        <v>0.66800000000000004</v>
      </c>
      <c r="E38" s="47">
        <v>0.193</v>
      </c>
      <c r="F38" s="48"/>
      <c r="G38" s="49">
        <v>13.03</v>
      </c>
      <c r="H38" s="161"/>
      <c r="I38" s="162"/>
      <c r="J38" s="48"/>
      <c r="K38" s="2"/>
    </row>
    <row r="39" spans="1:11" ht="27" customHeight="1" x14ac:dyDescent="0.15">
      <c r="A39" s="25" t="s">
        <v>567</v>
      </c>
      <c r="B39" s="27"/>
      <c r="C39" s="55">
        <v>0</v>
      </c>
      <c r="D39" s="166">
        <v>3.9129999999999998</v>
      </c>
      <c r="E39" s="167">
        <v>0.53900000000000003</v>
      </c>
      <c r="F39" s="168">
        <v>0.17299999999999999</v>
      </c>
      <c r="G39" s="49">
        <v>1.58</v>
      </c>
      <c r="H39" s="161"/>
      <c r="I39" s="162"/>
      <c r="J39" s="48"/>
      <c r="K39" s="2"/>
    </row>
    <row r="40" spans="1:11" ht="27" customHeight="1" x14ac:dyDescent="0.15">
      <c r="A40" s="25" t="s">
        <v>568</v>
      </c>
      <c r="B40" s="27"/>
      <c r="C40" s="55">
        <v>0</v>
      </c>
      <c r="D40" s="166">
        <v>4.1219999999999999</v>
      </c>
      <c r="E40" s="167">
        <v>0.56100000000000005</v>
      </c>
      <c r="F40" s="168">
        <v>0.17499999999999999</v>
      </c>
      <c r="G40" s="49">
        <v>2.36</v>
      </c>
      <c r="H40" s="161"/>
      <c r="I40" s="162"/>
      <c r="J40" s="48"/>
      <c r="K40" s="2"/>
    </row>
    <row r="41" spans="1:11" ht="27" customHeight="1" x14ac:dyDescent="0.15">
      <c r="A41" s="25" t="s">
        <v>39</v>
      </c>
      <c r="B41" s="27"/>
      <c r="C41" s="55">
        <v>0</v>
      </c>
      <c r="D41" s="166">
        <v>2.82</v>
      </c>
      <c r="E41" s="167">
        <v>0.39</v>
      </c>
      <c r="F41" s="168">
        <v>0.16400000000000001</v>
      </c>
      <c r="G41" s="49">
        <v>7.41</v>
      </c>
      <c r="H41" s="49">
        <v>1.0900000000000001</v>
      </c>
      <c r="I41" s="163">
        <v>2.06</v>
      </c>
      <c r="J41" s="47">
        <v>9.1999999999999998E-2</v>
      </c>
      <c r="K41" s="2"/>
    </row>
    <row r="42" spans="1:11" ht="27" customHeight="1" x14ac:dyDescent="0.15">
      <c r="A42" s="25" t="s">
        <v>40</v>
      </c>
      <c r="B42" s="27"/>
      <c r="C42" s="55">
        <v>0</v>
      </c>
      <c r="D42" s="166">
        <v>3.4870000000000001</v>
      </c>
      <c r="E42" s="167">
        <v>0.434</v>
      </c>
      <c r="F42" s="168">
        <v>0.248</v>
      </c>
      <c r="G42" s="49">
        <v>18.48</v>
      </c>
      <c r="H42" s="49">
        <v>3.07</v>
      </c>
      <c r="I42" s="163">
        <v>4.1399999999999997</v>
      </c>
      <c r="J42" s="47">
        <v>9.2999999999999999E-2</v>
      </c>
      <c r="K42" s="2"/>
    </row>
    <row r="43" spans="1:11" ht="27" customHeight="1" x14ac:dyDescent="0.15">
      <c r="A43" s="25" t="s">
        <v>41</v>
      </c>
      <c r="B43" s="27"/>
      <c r="C43" s="55">
        <v>0</v>
      </c>
      <c r="D43" s="166">
        <v>2.9089999999999998</v>
      </c>
      <c r="E43" s="167">
        <v>0.40799999999999997</v>
      </c>
      <c r="F43" s="168">
        <v>0.28000000000000003</v>
      </c>
      <c r="G43" s="49">
        <v>120.97</v>
      </c>
      <c r="H43" s="49">
        <v>4.34</v>
      </c>
      <c r="I43" s="163">
        <v>5.38</v>
      </c>
      <c r="J43" s="47">
        <v>7.0999999999999994E-2</v>
      </c>
      <c r="K43" s="2"/>
    </row>
    <row r="44" spans="1:11" ht="27" customHeight="1" x14ac:dyDescent="0.15">
      <c r="A44" s="25" t="s">
        <v>190</v>
      </c>
      <c r="B44" s="27"/>
      <c r="C44" s="55">
        <v>8</v>
      </c>
      <c r="D44" s="47">
        <v>1.17</v>
      </c>
      <c r="E44" s="48"/>
      <c r="F44" s="48"/>
      <c r="G44" s="161"/>
      <c r="H44" s="161"/>
      <c r="I44" s="162"/>
      <c r="J44" s="48"/>
      <c r="K44" s="2"/>
    </row>
    <row r="45" spans="1:11" ht="27" customHeight="1" x14ac:dyDescent="0.15">
      <c r="A45" s="25" t="s">
        <v>191</v>
      </c>
      <c r="B45" s="27"/>
      <c r="C45" s="55">
        <v>1</v>
      </c>
      <c r="D45" s="47">
        <v>1.1950000000000001</v>
      </c>
      <c r="E45" s="48"/>
      <c r="F45" s="48"/>
      <c r="G45" s="161"/>
      <c r="H45" s="161"/>
      <c r="I45" s="162"/>
      <c r="J45" s="48"/>
      <c r="K45" s="2"/>
    </row>
    <row r="46" spans="1:11" ht="27" customHeight="1" x14ac:dyDescent="0.15">
      <c r="A46" s="25" t="s">
        <v>192</v>
      </c>
      <c r="B46" s="27"/>
      <c r="C46" s="55">
        <v>1</v>
      </c>
      <c r="D46" s="47">
        <v>1.5289999999999999</v>
      </c>
      <c r="E46" s="48"/>
      <c r="F46" s="48"/>
      <c r="G46" s="161"/>
      <c r="H46" s="161"/>
      <c r="I46" s="162"/>
      <c r="J46" s="48"/>
      <c r="K46" s="2"/>
    </row>
    <row r="47" spans="1:11" ht="27" customHeight="1" x14ac:dyDescent="0.15">
      <c r="A47" s="25" t="s">
        <v>193</v>
      </c>
      <c r="B47" s="27"/>
      <c r="C47" s="55">
        <v>1</v>
      </c>
      <c r="D47" s="47">
        <v>1.1739999999999999</v>
      </c>
      <c r="E47" s="48"/>
      <c r="F47" s="48"/>
      <c r="G47" s="161"/>
      <c r="H47" s="161"/>
      <c r="I47" s="162"/>
      <c r="J47" s="48"/>
      <c r="K47" s="2"/>
    </row>
    <row r="48" spans="1:11" ht="27" customHeight="1" x14ac:dyDescent="0.15">
      <c r="A48" s="25" t="s">
        <v>42</v>
      </c>
      <c r="B48" s="27"/>
      <c r="C48" s="55">
        <v>0</v>
      </c>
      <c r="D48" s="169">
        <v>6.1719999999999997</v>
      </c>
      <c r="E48" s="170">
        <v>1.1579999999999999</v>
      </c>
      <c r="F48" s="168">
        <v>0.82699999999999996</v>
      </c>
      <c r="G48" s="161"/>
      <c r="H48" s="161"/>
      <c r="I48" s="162"/>
      <c r="J48" s="48"/>
      <c r="K48" s="2"/>
    </row>
    <row r="49" spans="1:11" ht="27" customHeight="1" x14ac:dyDescent="0.15">
      <c r="A49" s="25" t="s">
        <v>569</v>
      </c>
      <c r="B49" s="27"/>
      <c r="C49" s="55" t="s">
        <v>1157</v>
      </c>
      <c r="D49" s="47">
        <v>-0.79400000000000004</v>
      </c>
      <c r="E49" s="48"/>
      <c r="F49" s="48"/>
      <c r="G49" s="49">
        <v>0</v>
      </c>
      <c r="H49" s="161"/>
      <c r="I49" s="162"/>
      <c r="J49" s="48"/>
      <c r="K49" s="2"/>
    </row>
    <row r="50" spans="1:11" ht="27" customHeight="1" x14ac:dyDescent="0.15">
      <c r="A50" s="25" t="s">
        <v>43</v>
      </c>
      <c r="B50" s="27"/>
      <c r="C50" s="55">
        <v>8</v>
      </c>
      <c r="D50" s="47">
        <v>-0.69499999999999995</v>
      </c>
      <c r="E50" s="48"/>
      <c r="F50" s="48"/>
      <c r="G50" s="49">
        <v>0</v>
      </c>
      <c r="H50" s="161"/>
      <c r="I50" s="162"/>
      <c r="J50" s="48"/>
      <c r="K50" s="2"/>
    </row>
    <row r="51" spans="1:11" ht="27" customHeight="1" x14ac:dyDescent="0.15">
      <c r="A51" s="25" t="s">
        <v>44</v>
      </c>
      <c r="B51" s="27"/>
      <c r="C51" s="55">
        <v>0</v>
      </c>
      <c r="D51" s="47">
        <v>-0.79400000000000004</v>
      </c>
      <c r="E51" s="48"/>
      <c r="F51" s="48"/>
      <c r="G51" s="49">
        <v>0</v>
      </c>
      <c r="H51" s="161"/>
      <c r="I51" s="162"/>
      <c r="J51" s="47">
        <v>0.186</v>
      </c>
      <c r="K51" s="2"/>
    </row>
    <row r="52" spans="1:11" ht="27" customHeight="1" x14ac:dyDescent="0.15">
      <c r="A52" s="25" t="s">
        <v>45</v>
      </c>
      <c r="B52" s="27"/>
      <c r="C52" s="55">
        <v>0</v>
      </c>
      <c r="D52" s="166">
        <v>-5.5359999999999996</v>
      </c>
      <c r="E52" s="167">
        <v>-0.57099999999999995</v>
      </c>
      <c r="F52" s="168">
        <v>-3.3000000000000002E-2</v>
      </c>
      <c r="G52" s="49">
        <v>0</v>
      </c>
      <c r="H52" s="161"/>
      <c r="I52" s="162"/>
      <c r="J52" s="47">
        <v>0.186</v>
      </c>
      <c r="K52" s="2"/>
    </row>
    <row r="53" spans="1:11" ht="39.75" customHeight="1" x14ac:dyDescent="0.15">
      <c r="A53" s="25" t="s">
        <v>46</v>
      </c>
      <c r="B53" s="27"/>
      <c r="C53" s="55">
        <v>0</v>
      </c>
      <c r="D53" s="47">
        <v>-0.69499999999999995</v>
      </c>
      <c r="E53" s="48"/>
      <c r="F53" s="48"/>
      <c r="G53" s="49">
        <v>0</v>
      </c>
      <c r="H53" s="161"/>
      <c r="I53" s="162"/>
      <c r="J53" s="47">
        <v>0.16600000000000001</v>
      </c>
      <c r="K53" s="2"/>
    </row>
    <row r="54" spans="1:11" ht="27" customHeight="1" x14ac:dyDescent="0.15">
      <c r="A54" s="25" t="s">
        <v>47</v>
      </c>
      <c r="B54" s="27"/>
      <c r="C54" s="55">
        <v>0</v>
      </c>
      <c r="D54" s="166">
        <v>-4.9939999999999998</v>
      </c>
      <c r="E54" s="167">
        <v>-0.47499999999999998</v>
      </c>
      <c r="F54" s="168">
        <v>-2.5999999999999999E-2</v>
      </c>
      <c r="G54" s="49">
        <v>0</v>
      </c>
      <c r="H54" s="161"/>
      <c r="I54" s="162"/>
      <c r="J54" s="47">
        <v>0.16600000000000001</v>
      </c>
      <c r="K54" s="2"/>
    </row>
    <row r="55" spans="1:11" ht="27" customHeight="1" x14ac:dyDescent="0.15">
      <c r="A55" s="25" t="s">
        <v>48</v>
      </c>
      <c r="B55" s="27"/>
      <c r="C55" s="55">
        <v>0</v>
      </c>
      <c r="D55" s="47">
        <v>-0.46</v>
      </c>
      <c r="E55" s="48"/>
      <c r="F55" s="48"/>
      <c r="G55" s="49">
        <v>0</v>
      </c>
      <c r="H55" s="161"/>
      <c r="I55" s="162"/>
      <c r="J55" s="47">
        <v>0.14699999999999999</v>
      </c>
      <c r="K55" s="2"/>
    </row>
    <row r="56" spans="1:11" ht="27" customHeight="1" x14ac:dyDescent="0.15">
      <c r="A56" s="25" t="s">
        <v>49</v>
      </c>
      <c r="B56" s="27"/>
      <c r="C56" s="55">
        <v>0</v>
      </c>
      <c r="D56" s="166">
        <v>-3.8380000000000001</v>
      </c>
      <c r="E56" s="167">
        <v>-0.22700000000000001</v>
      </c>
      <c r="F56" s="168">
        <v>-8.0000000000000002E-3</v>
      </c>
      <c r="G56" s="49">
        <v>0</v>
      </c>
      <c r="H56" s="161"/>
      <c r="I56" s="162"/>
      <c r="J56" s="47">
        <v>0.14699999999999999</v>
      </c>
      <c r="K56" s="2"/>
    </row>
    <row r="57" spans="1:11" ht="27" customHeight="1" x14ac:dyDescent="0.15">
      <c r="A57" s="25" t="s">
        <v>98</v>
      </c>
      <c r="B57" s="27"/>
      <c r="C57" s="55">
        <v>1</v>
      </c>
      <c r="D57" s="47">
        <v>0.64400000000000002</v>
      </c>
      <c r="E57" s="48"/>
      <c r="F57" s="48"/>
      <c r="G57" s="49">
        <v>1.17</v>
      </c>
      <c r="H57" s="161"/>
      <c r="I57" s="162"/>
      <c r="J57" s="48"/>
      <c r="K57" s="2"/>
    </row>
    <row r="58" spans="1:11" ht="27" customHeight="1" x14ac:dyDescent="0.15">
      <c r="A58" s="25" t="s">
        <v>99</v>
      </c>
      <c r="B58" s="27"/>
      <c r="C58" s="55">
        <v>2</v>
      </c>
      <c r="D58" s="47">
        <v>0.79500000000000004</v>
      </c>
      <c r="E58" s="47">
        <v>0.14699999999999999</v>
      </c>
      <c r="F58" s="48"/>
      <c r="G58" s="49">
        <v>1.17</v>
      </c>
      <c r="H58" s="161"/>
      <c r="I58" s="162"/>
      <c r="J58" s="48"/>
      <c r="K58" s="2"/>
    </row>
    <row r="59" spans="1:11" ht="27" customHeight="1" x14ac:dyDescent="0.15">
      <c r="A59" s="25" t="s">
        <v>100</v>
      </c>
      <c r="B59" s="27"/>
      <c r="C59" s="55">
        <v>2</v>
      </c>
      <c r="D59" s="47">
        <v>0.17899999999999999</v>
      </c>
      <c r="E59" s="48"/>
      <c r="F59" s="48"/>
      <c r="G59" s="161"/>
      <c r="H59" s="161"/>
      <c r="I59" s="162"/>
      <c r="J59" s="48"/>
      <c r="K59" s="2"/>
    </row>
    <row r="60" spans="1:11" ht="27" customHeight="1" x14ac:dyDescent="0.15">
      <c r="A60" s="25" t="s">
        <v>101</v>
      </c>
      <c r="B60" s="27"/>
      <c r="C60" s="55">
        <v>3</v>
      </c>
      <c r="D60" s="47">
        <v>0.59199999999999997</v>
      </c>
      <c r="E60" s="48"/>
      <c r="F60" s="48"/>
      <c r="G60" s="49">
        <v>1.75</v>
      </c>
      <c r="H60" s="161"/>
      <c r="I60" s="162"/>
      <c r="J60" s="48"/>
      <c r="K60" s="2"/>
    </row>
    <row r="61" spans="1:11" ht="27" customHeight="1" x14ac:dyDescent="0.15">
      <c r="A61" s="25" t="s">
        <v>102</v>
      </c>
      <c r="B61" s="27"/>
      <c r="C61" s="55">
        <v>4</v>
      </c>
      <c r="D61" s="47">
        <v>0.86299999999999999</v>
      </c>
      <c r="E61" s="47">
        <v>0.19700000000000001</v>
      </c>
      <c r="F61" s="48"/>
      <c r="G61" s="49">
        <v>1.75</v>
      </c>
      <c r="H61" s="161"/>
      <c r="I61" s="162"/>
      <c r="J61" s="48"/>
      <c r="K61" s="2"/>
    </row>
    <row r="62" spans="1:11" ht="27" customHeight="1" x14ac:dyDescent="0.15">
      <c r="A62" s="25" t="s">
        <v>103</v>
      </c>
      <c r="B62" s="27"/>
      <c r="C62" s="55">
        <v>4</v>
      </c>
      <c r="D62" s="47">
        <v>0.221</v>
      </c>
      <c r="E62" s="48"/>
      <c r="F62" s="48"/>
      <c r="G62" s="161"/>
      <c r="H62" s="161"/>
      <c r="I62" s="162"/>
      <c r="J62" s="48"/>
      <c r="K62" s="2"/>
    </row>
    <row r="63" spans="1:11" ht="27" customHeight="1" x14ac:dyDescent="0.15">
      <c r="A63" s="25" t="s">
        <v>104</v>
      </c>
      <c r="B63" s="27"/>
      <c r="C63" s="55" t="s">
        <v>20</v>
      </c>
      <c r="D63" s="47">
        <v>0.49399999999999999</v>
      </c>
      <c r="E63" s="47">
        <v>0.14299999999999999</v>
      </c>
      <c r="F63" s="48"/>
      <c r="G63" s="49">
        <v>9.65</v>
      </c>
      <c r="H63" s="161"/>
      <c r="I63" s="162"/>
      <c r="J63" s="48"/>
      <c r="K63" s="2"/>
    </row>
    <row r="64" spans="1:11" ht="27" customHeight="1" x14ac:dyDescent="0.15">
      <c r="A64" s="25" t="s">
        <v>105</v>
      </c>
      <c r="B64" s="27"/>
      <c r="C64" s="55" t="s">
        <v>20</v>
      </c>
      <c r="D64" s="47">
        <v>0.66500000000000004</v>
      </c>
      <c r="E64" s="47">
        <v>0.21299999999999999</v>
      </c>
      <c r="F64" s="48"/>
      <c r="G64" s="49">
        <v>13.44</v>
      </c>
      <c r="H64" s="161"/>
      <c r="I64" s="162"/>
      <c r="J64" s="48"/>
      <c r="K64" s="2"/>
    </row>
    <row r="65" spans="1:11" ht="27" customHeight="1" x14ac:dyDescent="0.15">
      <c r="A65" s="25" t="s">
        <v>106</v>
      </c>
      <c r="B65" s="27"/>
      <c r="C65" s="55" t="s">
        <v>20</v>
      </c>
      <c r="D65" s="47">
        <v>0.51</v>
      </c>
      <c r="E65" s="47">
        <v>0.218</v>
      </c>
      <c r="F65" s="48"/>
      <c r="G65" s="49">
        <v>170.85</v>
      </c>
      <c r="H65" s="161"/>
      <c r="I65" s="162"/>
      <c r="J65" s="48"/>
      <c r="K65" s="2"/>
    </row>
    <row r="66" spans="1:11" ht="27" customHeight="1" x14ac:dyDescent="0.15">
      <c r="A66" s="25" t="s">
        <v>570</v>
      </c>
      <c r="B66" s="27"/>
      <c r="C66" s="55" t="s">
        <v>563</v>
      </c>
      <c r="D66" s="166">
        <v>2.8969999999999998</v>
      </c>
      <c r="E66" s="167">
        <v>0.39900000000000002</v>
      </c>
      <c r="F66" s="168">
        <v>0.129</v>
      </c>
      <c r="G66" s="49">
        <v>1.17</v>
      </c>
      <c r="H66" s="161"/>
      <c r="I66" s="162"/>
      <c r="J66" s="48"/>
      <c r="K66" s="2"/>
    </row>
    <row r="67" spans="1:11" ht="27" customHeight="1" x14ac:dyDescent="0.15">
      <c r="A67" s="25" t="s">
        <v>571</v>
      </c>
      <c r="B67" s="27"/>
      <c r="C67" s="55" t="s">
        <v>563</v>
      </c>
      <c r="D67" s="166">
        <v>3.052</v>
      </c>
      <c r="E67" s="167">
        <v>0.41499999999999998</v>
      </c>
      <c r="F67" s="168">
        <v>0.13</v>
      </c>
      <c r="G67" s="49">
        <v>1.75</v>
      </c>
      <c r="H67" s="161"/>
      <c r="I67" s="162"/>
      <c r="J67" s="48"/>
      <c r="K67" s="2"/>
    </row>
    <row r="68" spans="1:11" ht="27" customHeight="1" x14ac:dyDescent="0.15">
      <c r="A68" s="25" t="s">
        <v>107</v>
      </c>
      <c r="B68" s="27"/>
      <c r="C68" s="55">
        <v>0</v>
      </c>
      <c r="D68" s="166">
        <v>2.0880000000000001</v>
      </c>
      <c r="E68" s="167">
        <v>0.28799999999999998</v>
      </c>
      <c r="F68" s="168">
        <v>0.122</v>
      </c>
      <c r="G68" s="49">
        <v>5.49</v>
      </c>
      <c r="H68" s="49">
        <v>0.81</v>
      </c>
      <c r="I68" s="163">
        <v>1.53</v>
      </c>
      <c r="J68" s="47">
        <v>6.8000000000000005E-2</v>
      </c>
      <c r="K68" s="2"/>
    </row>
    <row r="69" spans="1:11" ht="27" customHeight="1" x14ac:dyDescent="0.15">
      <c r="A69" s="25" t="s">
        <v>108</v>
      </c>
      <c r="B69" s="27"/>
      <c r="C69" s="55">
        <v>0</v>
      </c>
      <c r="D69" s="166">
        <v>2.5350000000000001</v>
      </c>
      <c r="E69" s="167">
        <v>0.315</v>
      </c>
      <c r="F69" s="168">
        <v>0.18099999999999999</v>
      </c>
      <c r="G69" s="49">
        <v>13.44</v>
      </c>
      <c r="H69" s="49">
        <v>2.23</v>
      </c>
      <c r="I69" s="163">
        <v>3.01</v>
      </c>
      <c r="J69" s="47">
        <v>6.7000000000000004E-2</v>
      </c>
      <c r="K69" s="2"/>
    </row>
    <row r="70" spans="1:11" ht="27" customHeight="1" x14ac:dyDescent="0.15">
      <c r="A70" s="25" t="s">
        <v>109</v>
      </c>
      <c r="B70" s="27"/>
      <c r="C70" s="55">
        <v>0</v>
      </c>
      <c r="D70" s="166">
        <v>2.097</v>
      </c>
      <c r="E70" s="167">
        <v>0.29499999999999998</v>
      </c>
      <c r="F70" s="168">
        <v>0.20200000000000001</v>
      </c>
      <c r="G70" s="49">
        <v>87.2</v>
      </c>
      <c r="H70" s="49">
        <v>3.12</v>
      </c>
      <c r="I70" s="163">
        <v>3.88</v>
      </c>
      <c r="J70" s="47">
        <v>5.0999999999999997E-2</v>
      </c>
      <c r="K70" s="2"/>
    </row>
    <row r="71" spans="1:11" ht="27" customHeight="1" x14ac:dyDescent="0.15">
      <c r="A71" s="25" t="s">
        <v>195</v>
      </c>
      <c r="B71" s="27"/>
      <c r="C71" s="55">
        <v>8</v>
      </c>
      <c r="D71" s="47">
        <v>0.86599999999999999</v>
      </c>
      <c r="E71" s="48"/>
      <c r="F71" s="48"/>
      <c r="G71" s="161"/>
      <c r="H71" s="161"/>
      <c r="I71" s="164"/>
      <c r="J71" s="48"/>
      <c r="K71" s="2"/>
    </row>
    <row r="72" spans="1:11" ht="27" customHeight="1" x14ac:dyDescent="0.15">
      <c r="A72" s="25" t="s">
        <v>196</v>
      </c>
      <c r="B72" s="27"/>
      <c r="C72" s="55">
        <v>1</v>
      </c>
      <c r="D72" s="47">
        <v>0.88500000000000001</v>
      </c>
      <c r="E72" s="48"/>
      <c r="F72" s="48"/>
      <c r="G72" s="161"/>
      <c r="H72" s="161"/>
      <c r="I72" s="164"/>
      <c r="J72" s="48"/>
      <c r="K72" s="2"/>
    </row>
    <row r="73" spans="1:11" ht="27" customHeight="1" x14ac:dyDescent="0.15">
      <c r="A73" s="25" t="s">
        <v>197</v>
      </c>
      <c r="B73" s="27"/>
      <c r="C73" s="55">
        <v>1</v>
      </c>
      <c r="D73" s="47">
        <v>1.133</v>
      </c>
      <c r="E73" s="48"/>
      <c r="F73" s="48"/>
      <c r="G73" s="161"/>
      <c r="H73" s="161"/>
      <c r="I73" s="164"/>
      <c r="J73" s="48"/>
      <c r="K73" s="2"/>
    </row>
    <row r="74" spans="1:11" ht="27" customHeight="1" x14ac:dyDescent="0.15">
      <c r="A74" s="25" t="s">
        <v>198</v>
      </c>
      <c r="B74" s="27"/>
      <c r="C74" s="55">
        <v>1</v>
      </c>
      <c r="D74" s="47">
        <v>0.87</v>
      </c>
      <c r="E74" s="48"/>
      <c r="F74" s="48"/>
      <c r="G74" s="161"/>
      <c r="H74" s="161"/>
      <c r="I74" s="164"/>
      <c r="J74" s="48"/>
      <c r="K74" s="2"/>
    </row>
    <row r="75" spans="1:11" ht="27" customHeight="1" x14ac:dyDescent="0.15">
      <c r="A75" s="25" t="s">
        <v>110</v>
      </c>
      <c r="B75" s="27"/>
      <c r="C75" s="55">
        <v>0</v>
      </c>
      <c r="D75" s="169">
        <v>4.57</v>
      </c>
      <c r="E75" s="170">
        <v>0.85799999999999998</v>
      </c>
      <c r="F75" s="168">
        <v>0.61199999999999999</v>
      </c>
      <c r="G75" s="161"/>
      <c r="H75" s="161"/>
      <c r="I75" s="162"/>
      <c r="J75" s="48"/>
      <c r="K75" s="2"/>
    </row>
    <row r="76" spans="1:11" ht="27" customHeight="1" x14ac:dyDescent="0.15">
      <c r="A76" s="25" t="s">
        <v>572</v>
      </c>
      <c r="B76" s="27"/>
      <c r="C76" s="55">
        <v>8</v>
      </c>
      <c r="D76" s="47">
        <v>-0.41399999999999998</v>
      </c>
      <c r="E76" s="48"/>
      <c r="F76" s="48"/>
      <c r="G76" s="49">
        <v>0</v>
      </c>
      <c r="H76" s="161"/>
      <c r="I76" s="162"/>
      <c r="J76" s="48"/>
      <c r="K76" s="2"/>
    </row>
    <row r="77" spans="1:11" ht="27" customHeight="1" x14ac:dyDescent="0.15">
      <c r="A77" s="25" t="s">
        <v>111</v>
      </c>
      <c r="B77" s="27"/>
      <c r="C77" s="55">
        <v>8</v>
      </c>
      <c r="D77" s="47">
        <v>-0.41099999999999998</v>
      </c>
      <c r="E77" s="48"/>
      <c r="F77" s="48"/>
      <c r="G77" s="49">
        <v>0</v>
      </c>
      <c r="H77" s="161"/>
      <c r="I77" s="162"/>
      <c r="J77" s="48"/>
      <c r="K77" s="2"/>
    </row>
    <row r="78" spans="1:11" ht="27" customHeight="1" x14ac:dyDescent="0.15">
      <c r="A78" s="25" t="s">
        <v>112</v>
      </c>
      <c r="B78" s="27"/>
      <c r="C78" s="55">
        <v>0</v>
      </c>
      <c r="D78" s="47">
        <v>-0.41399999999999998</v>
      </c>
      <c r="E78" s="48"/>
      <c r="F78" s="48"/>
      <c r="G78" s="49">
        <v>0</v>
      </c>
      <c r="H78" s="161"/>
      <c r="I78" s="162"/>
      <c r="J78" s="47">
        <v>9.7000000000000003E-2</v>
      </c>
      <c r="K78" s="2"/>
    </row>
    <row r="79" spans="1:11" ht="27" customHeight="1" x14ac:dyDescent="0.15">
      <c r="A79" s="25" t="s">
        <v>113</v>
      </c>
      <c r="B79" s="27"/>
      <c r="C79" s="55">
        <v>0</v>
      </c>
      <c r="D79" s="166">
        <v>-2.8849999999999998</v>
      </c>
      <c r="E79" s="167">
        <v>-0.29799999999999999</v>
      </c>
      <c r="F79" s="168">
        <v>-1.7000000000000001E-2</v>
      </c>
      <c r="G79" s="49">
        <v>0</v>
      </c>
      <c r="H79" s="161"/>
      <c r="I79" s="162"/>
      <c r="J79" s="47">
        <v>9.7000000000000003E-2</v>
      </c>
      <c r="K79" s="2"/>
    </row>
    <row r="80" spans="1:11" ht="27" customHeight="1" x14ac:dyDescent="0.15">
      <c r="A80" s="25" t="s">
        <v>114</v>
      </c>
      <c r="B80" s="27"/>
      <c r="C80" s="55">
        <v>0</v>
      </c>
      <c r="D80" s="47">
        <v>-0.41099999999999998</v>
      </c>
      <c r="E80" s="48"/>
      <c r="F80" s="48"/>
      <c r="G80" s="49">
        <v>0</v>
      </c>
      <c r="H80" s="161"/>
      <c r="I80" s="162"/>
      <c r="J80" s="47">
        <v>9.8000000000000004E-2</v>
      </c>
      <c r="K80" s="2"/>
    </row>
    <row r="81" spans="1:11" ht="27" customHeight="1" x14ac:dyDescent="0.15">
      <c r="A81" s="25" t="s">
        <v>115</v>
      </c>
      <c r="B81" s="27"/>
      <c r="C81" s="55">
        <v>0</v>
      </c>
      <c r="D81" s="166">
        <v>-2.9550000000000001</v>
      </c>
      <c r="E81" s="167">
        <v>-0.28100000000000003</v>
      </c>
      <c r="F81" s="168">
        <v>-1.4999999999999999E-2</v>
      </c>
      <c r="G81" s="49">
        <v>0</v>
      </c>
      <c r="H81" s="161"/>
      <c r="I81" s="162"/>
      <c r="J81" s="47">
        <v>9.8000000000000004E-2</v>
      </c>
      <c r="K81" s="2"/>
    </row>
    <row r="82" spans="1:11" ht="27" customHeight="1" x14ac:dyDescent="0.15">
      <c r="A82" s="25" t="s">
        <v>116</v>
      </c>
      <c r="B82" s="27"/>
      <c r="C82" s="55">
        <v>0</v>
      </c>
      <c r="D82" s="47">
        <v>-0.46</v>
      </c>
      <c r="E82" s="48"/>
      <c r="F82" s="48"/>
      <c r="G82" s="49">
        <v>242.78</v>
      </c>
      <c r="H82" s="161"/>
      <c r="I82" s="162"/>
      <c r="J82" s="47">
        <v>0.14699999999999999</v>
      </c>
      <c r="K82" s="2"/>
    </row>
    <row r="83" spans="1:11" ht="27" customHeight="1" x14ac:dyDescent="0.15">
      <c r="A83" s="25" t="s">
        <v>117</v>
      </c>
      <c r="B83" s="27"/>
      <c r="C83" s="55">
        <v>0</v>
      </c>
      <c r="D83" s="166">
        <v>-3.8380000000000001</v>
      </c>
      <c r="E83" s="167">
        <v>-0.22700000000000001</v>
      </c>
      <c r="F83" s="168">
        <v>-8.0000000000000002E-3</v>
      </c>
      <c r="G83" s="49">
        <v>242.78</v>
      </c>
      <c r="H83" s="161"/>
      <c r="I83" s="162"/>
      <c r="J83" s="47">
        <v>0.14699999999999999</v>
      </c>
      <c r="K83" s="2"/>
    </row>
    <row r="84" spans="1:11" ht="27" customHeight="1" x14ac:dyDescent="0.15">
      <c r="A84" s="25" t="s">
        <v>63</v>
      </c>
      <c r="B84" s="27"/>
      <c r="C84" s="55">
        <v>1</v>
      </c>
      <c r="D84" s="47">
        <v>0.499</v>
      </c>
      <c r="E84" s="48"/>
      <c r="F84" s="48"/>
      <c r="G84" s="49">
        <v>0.91</v>
      </c>
      <c r="H84" s="161"/>
      <c r="I84" s="162"/>
      <c r="J84" s="48"/>
      <c r="K84" s="2"/>
    </row>
    <row r="85" spans="1:11" ht="27" customHeight="1" x14ac:dyDescent="0.15">
      <c r="A85" s="25" t="s">
        <v>64</v>
      </c>
      <c r="B85" s="27"/>
      <c r="C85" s="55">
        <v>2</v>
      </c>
      <c r="D85" s="47">
        <v>0.61599999999999999</v>
      </c>
      <c r="E85" s="47">
        <v>0.114</v>
      </c>
      <c r="F85" s="48"/>
      <c r="G85" s="49">
        <v>0.91</v>
      </c>
      <c r="H85" s="161"/>
      <c r="I85" s="162"/>
      <c r="J85" s="48"/>
      <c r="K85" s="2"/>
    </row>
    <row r="86" spans="1:11" ht="27" customHeight="1" x14ac:dyDescent="0.15">
      <c r="A86" s="25" t="s">
        <v>65</v>
      </c>
      <c r="B86" s="27"/>
      <c r="C86" s="55">
        <v>2</v>
      </c>
      <c r="D86" s="47">
        <v>0.13900000000000001</v>
      </c>
      <c r="E86" s="48"/>
      <c r="F86" s="48"/>
      <c r="G86" s="161"/>
      <c r="H86" s="161"/>
      <c r="I86" s="162"/>
      <c r="J86" s="48"/>
      <c r="K86" s="2"/>
    </row>
    <row r="87" spans="1:11" ht="27" customHeight="1" x14ac:dyDescent="0.15">
      <c r="A87" s="25" t="s">
        <v>66</v>
      </c>
      <c r="B87" s="27"/>
      <c r="C87" s="55">
        <v>3</v>
      </c>
      <c r="D87" s="47">
        <v>0.45900000000000002</v>
      </c>
      <c r="E87" s="48"/>
      <c r="F87" s="48"/>
      <c r="G87" s="49">
        <v>1.35</v>
      </c>
      <c r="H87" s="161"/>
      <c r="I87" s="162"/>
      <c r="J87" s="48"/>
      <c r="K87" s="2"/>
    </row>
    <row r="88" spans="1:11" ht="27" customHeight="1" x14ac:dyDescent="0.15">
      <c r="A88" s="25" t="s">
        <v>67</v>
      </c>
      <c r="B88" s="27"/>
      <c r="C88" s="55">
        <v>4</v>
      </c>
      <c r="D88" s="47">
        <v>0.66800000000000004</v>
      </c>
      <c r="E88" s="47">
        <v>0.153</v>
      </c>
      <c r="F88" s="48"/>
      <c r="G88" s="49">
        <v>1.35</v>
      </c>
      <c r="H88" s="161"/>
      <c r="I88" s="162"/>
      <c r="J88" s="48"/>
      <c r="K88" s="2"/>
    </row>
    <row r="89" spans="1:11" ht="27" customHeight="1" x14ac:dyDescent="0.15">
      <c r="A89" s="25" t="s">
        <v>68</v>
      </c>
      <c r="B89" s="27"/>
      <c r="C89" s="55">
        <v>4</v>
      </c>
      <c r="D89" s="47">
        <v>0.17199999999999999</v>
      </c>
      <c r="E89" s="48"/>
      <c r="F89" s="48"/>
      <c r="G89" s="161"/>
      <c r="H89" s="161"/>
      <c r="I89" s="162"/>
      <c r="J89" s="48"/>
      <c r="K89" s="2"/>
    </row>
    <row r="90" spans="1:11" ht="27" customHeight="1" x14ac:dyDescent="0.15">
      <c r="A90" s="25" t="s">
        <v>69</v>
      </c>
      <c r="B90" s="27"/>
      <c r="C90" s="55" t="s">
        <v>20</v>
      </c>
      <c r="D90" s="47">
        <v>0.38300000000000001</v>
      </c>
      <c r="E90" s="47">
        <v>0.111</v>
      </c>
      <c r="F90" s="48"/>
      <c r="G90" s="49">
        <v>7.48</v>
      </c>
      <c r="H90" s="161"/>
      <c r="I90" s="162"/>
      <c r="J90" s="48"/>
      <c r="K90" s="2"/>
    </row>
    <row r="91" spans="1:11" ht="27" customHeight="1" x14ac:dyDescent="0.15">
      <c r="A91" s="25" t="s">
        <v>118</v>
      </c>
      <c r="B91" s="27"/>
      <c r="C91" s="55" t="s">
        <v>20</v>
      </c>
      <c r="D91" s="47">
        <v>0.51500000000000001</v>
      </c>
      <c r="E91" s="47">
        <v>0.16500000000000001</v>
      </c>
      <c r="F91" s="48"/>
      <c r="G91" s="49">
        <v>10.41</v>
      </c>
      <c r="H91" s="161"/>
      <c r="I91" s="162"/>
      <c r="J91" s="48"/>
      <c r="K91" s="2"/>
    </row>
    <row r="92" spans="1:11" ht="27" customHeight="1" x14ac:dyDescent="0.15">
      <c r="A92" s="25" t="s">
        <v>119</v>
      </c>
      <c r="B92" s="27"/>
      <c r="C92" s="55" t="s">
        <v>20</v>
      </c>
      <c r="D92" s="47">
        <v>0.39500000000000002</v>
      </c>
      <c r="E92" s="47">
        <v>0.16900000000000001</v>
      </c>
      <c r="F92" s="48"/>
      <c r="G92" s="49">
        <v>132.4</v>
      </c>
      <c r="H92" s="161"/>
      <c r="I92" s="162"/>
      <c r="J92" s="48"/>
      <c r="K92" s="2"/>
    </row>
    <row r="93" spans="1:11" ht="27" customHeight="1" x14ac:dyDescent="0.15">
      <c r="A93" s="25" t="s">
        <v>573</v>
      </c>
      <c r="B93" s="27"/>
      <c r="C93" s="55" t="s">
        <v>563</v>
      </c>
      <c r="D93" s="166">
        <v>2.2450000000000001</v>
      </c>
      <c r="E93" s="167">
        <v>0.309</v>
      </c>
      <c r="F93" s="168">
        <v>0.1</v>
      </c>
      <c r="G93" s="49">
        <v>0.91</v>
      </c>
      <c r="H93" s="161"/>
      <c r="I93" s="162"/>
      <c r="J93" s="48"/>
      <c r="K93" s="2"/>
    </row>
    <row r="94" spans="1:11" ht="27" customHeight="1" x14ac:dyDescent="0.15">
      <c r="A94" s="25" t="s">
        <v>574</v>
      </c>
      <c r="B94" s="27"/>
      <c r="C94" s="55" t="s">
        <v>563</v>
      </c>
      <c r="D94" s="166">
        <v>2.3650000000000002</v>
      </c>
      <c r="E94" s="167">
        <v>0.32200000000000001</v>
      </c>
      <c r="F94" s="168">
        <v>0.1</v>
      </c>
      <c r="G94" s="49">
        <v>1.35</v>
      </c>
      <c r="H94" s="161"/>
      <c r="I94" s="162"/>
      <c r="J94" s="48"/>
      <c r="K94" s="2"/>
    </row>
    <row r="95" spans="1:11" ht="27" customHeight="1" x14ac:dyDescent="0.15">
      <c r="A95" s="25" t="s">
        <v>70</v>
      </c>
      <c r="B95" s="27"/>
      <c r="C95" s="55">
        <v>0</v>
      </c>
      <c r="D95" s="166">
        <v>1.6180000000000001</v>
      </c>
      <c r="E95" s="167">
        <v>0.223</v>
      </c>
      <c r="F95" s="168">
        <v>9.4E-2</v>
      </c>
      <c r="G95" s="49">
        <v>4.26</v>
      </c>
      <c r="H95" s="49">
        <v>0.62</v>
      </c>
      <c r="I95" s="163">
        <v>1.18</v>
      </c>
      <c r="J95" s="47">
        <v>5.2999999999999999E-2</v>
      </c>
      <c r="K95" s="2"/>
    </row>
    <row r="96" spans="1:11" ht="27" customHeight="1" x14ac:dyDescent="0.15">
      <c r="A96" s="25" t="s">
        <v>71</v>
      </c>
      <c r="B96" s="27"/>
      <c r="C96" s="55">
        <v>0</v>
      </c>
      <c r="D96" s="166">
        <v>1.964</v>
      </c>
      <c r="E96" s="167">
        <v>0.24399999999999999</v>
      </c>
      <c r="F96" s="168">
        <v>0.14000000000000001</v>
      </c>
      <c r="G96" s="49">
        <v>10.41</v>
      </c>
      <c r="H96" s="49">
        <v>1.73</v>
      </c>
      <c r="I96" s="163">
        <v>2.33</v>
      </c>
      <c r="J96" s="47">
        <v>5.1999999999999998E-2</v>
      </c>
      <c r="K96" s="2"/>
    </row>
    <row r="97" spans="1:11" ht="27" customHeight="1" x14ac:dyDescent="0.15">
      <c r="A97" s="25" t="s">
        <v>72</v>
      </c>
      <c r="B97" s="27"/>
      <c r="C97" s="55">
        <v>0</v>
      </c>
      <c r="D97" s="166">
        <v>1.625</v>
      </c>
      <c r="E97" s="167">
        <v>0.22800000000000001</v>
      </c>
      <c r="F97" s="168">
        <v>0.157</v>
      </c>
      <c r="G97" s="49">
        <v>67.58</v>
      </c>
      <c r="H97" s="49">
        <v>2.42</v>
      </c>
      <c r="I97" s="163">
        <v>3</v>
      </c>
      <c r="J97" s="47">
        <v>3.9E-2</v>
      </c>
      <c r="K97" s="2"/>
    </row>
    <row r="98" spans="1:11" ht="27" customHeight="1" x14ac:dyDescent="0.15">
      <c r="A98" s="25" t="s">
        <v>199</v>
      </c>
      <c r="B98" s="27"/>
      <c r="C98" s="55">
        <v>8</v>
      </c>
      <c r="D98" s="47">
        <v>0.67100000000000004</v>
      </c>
      <c r="E98" s="48"/>
      <c r="F98" s="48"/>
      <c r="G98" s="161"/>
      <c r="H98" s="161"/>
      <c r="I98" s="164"/>
      <c r="J98" s="48"/>
      <c r="K98" s="2"/>
    </row>
    <row r="99" spans="1:11" ht="27" customHeight="1" x14ac:dyDescent="0.15">
      <c r="A99" s="25" t="s">
        <v>200</v>
      </c>
      <c r="B99" s="27"/>
      <c r="C99" s="55">
        <v>1</v>
      </c>
      <c r="D99" s="47">
        <v>0.68600000000000005</v>
      </c>
      <c r="E99" s="48"/>
      <c r="F99" s="48"/>
      <c r="G99" s="161"/>
      <c r="H99" s="161"/>
      <c r="I99" s="164"/>
      <c r="J99" s="48"/>
      <c r="K99" s="2"/>
    </row>
    <row r="100" spans="1:11" ht="27" customHeight="1" x14ac:dyDescent="0.15">
      <c r="A100" s="25" t="s">
        <v>201</v>
      </c>
      <c r="B100" s="27"/>
      <c r="C100" s="55">
        <v>1</v>
      </c>
      <c r="D100" s="47">
        <v>0.878</v>
      </c>
      <c r="E100" s="48"/>
      <c r="F100" s="48"/>
      <c r="G100" s="161"/>
      <c r="H100" s="161"/>
      <c r="I100" s="164"/>
      <c r="J100" s="48"/>
      <c r="K100" s="2"/>
    </row>
    <row r="101" spans="1:11" ht="27" customHeight="1" x14ac:dyDescent="0.15">
      <c r="A101" s="25" t="s">
        <v>202</v>
      </c>
      <c r="B101" s="27"/>
      <c r="C101" s="55">
        <v>1</v>
      </c>
      <c r="D101" s="47">
        <v>0.67400000000000004</v>
      </c>
      <c r="E101" s="48"/>
      <c r="F101" s="48"/>
      <c r="G101" s="161"/>
      <c r="H101" s="161"/>
      <c r="I101" s="164"/>
      <c r="J101" s="48"/>
      <c r="K101" s="2"/>
    </row>
    <row r="102" spans="1:11" ht="27" customHeight="1" x14ac:dyDescent="0.15">
      <c r="A102" s="25" t="s">
        <v>73</v>
      </c>
      <c r="B102" s="27"/>
      <c r="C102" s="55">
        <v>0</v>
      </c>
      <c r="D102" s="169">
        <v>3.5419999999999998</v>
      </c>
      <c r="E102" s="170">
        <v>0.66500000000000004</v>
      </c>
      <c r="F102" s="168">
        <v>0.47499999999999998</v>
      </c>
      <c r="G102" s="161"/>
      <c r="H102" s="161"/>
      <c r="I102" s="162"/>
      <c r="J102" s="48"/>
      <c r="K102" s="2"/>
    </row>
    <row r="103" spans="1:11" ht="27" customHeight="1" x14ac:dyDescent="0.15">
      <c r="A103" s="25" t="s">
        <v>575</v>
      </c>
      <c r="B103" s="27"/>
      <c r="C103" s="55">
        <v>8</v>
      </c>
      <c r="D103" s="47">
        <v>-0.32100000000000001</v>
      </c>
      <c r="E103" s="48"/>
      <c r="F103" s="48"/>
      <c r="G103" s="49">
        <v>0</v>
      </c>
      <c r="H103" s="161"/>
      <c r="I103" s="162"/>
      <c r="J103" s="48"/>
      <c r="K103" s="2"/>
    </row>
    <row r="104" spans="1:11" ht="27" customHeight="1" x14ac:dyDescent="0.15">
      <c r="A104" s="25" t="s">
        <v>74</v>
      </c>
      <c r="B104" s="27"/>
      <c r="C104" s="55">
        <v>8</v>
      </c>
      <c r="D104" s="47">
        <v>-0.31900000000000001</v>
      </c>
      <c r="E104" s="48"/>
      <c r="F104" s="48"/>
      <c r="G104" s="49">
        <v>0</v>
      </c>
      <c r="H104" s="161"/>
      <c r="I104" s="162"/>
      <c r="J104" s="48"/>
      <c r="K104" s="2"/>
    </row>
    <row r="105" spans="1:11" ht="27" customHeight="1" x14ac:dyDescent="0.15">
      <c r="A105" s="25" t="s">
        <v>75</v>
      </c>
      <c r="B105" s="27"/>
      <c r="C105" s="55">
        <v>0</v>
      </c>
      <c r="D105" s="47">
        <v>-0.32100000000000001</v>
      </c>
      <c r="E105" s="48"/>
      <c r="F105" s="48"/>
      <c r="G105" s="49">
        <v>0</v>
      </c>
      <c r="H105" s="161"/>
      <c r="I105" s="162"/>
      <c r="J105" s="47">
        <v>7.4999999999999997E-2</v>
      </c>
      <c r="K105" s="2"/>
    </row>
    <row r="106" spans="1:11" ht="27" customHeight="1" x14ac:dyDescent="0.15">
      <c r="A106" s="25" t="s">
        <v>76</v>
      </c>
      <c r="B106" s="27"/>
      <c r="C106" s="55">
        <v>0</v>
      </c>
      <c r="D106" s="166">
        <v>-2.2360000000000002</v>
      </c>
      <c r="E106" s="167">
        <v>-0.23100000000000001</v>
      </c>
      <c r="F106" s="168">
        <v>-1.2999999999999999E-2</v>
      </c>
      <c r="G106" s="49">
        <v>0</v>
      </c>
      <c r="H106" s="161"/>
      <c r="I106" s="162"/>
      <c r="J106" s="47">
        <v>7.4999999999999997E-2</v>
      </c>
      <c r="K106" s="2"/>
    </row>
    <row r="107" spans="1:11" ht="27" customHeight="1" x14ac:dyDescent="0.15">
      <c r="A107" s="25" t="s">
        <v>77</v>
      </c>
      <c r="B107" s="27"/>
      <c r="C107" s="55">
        <v>0</v>
      </c>
      <c r="D107" s="47">
        <v>-0.31900000000000001</v>
      </c>
      <c r="E107" s="48"/>
      <c r="F107" s="48"/>
      <c r="G107" s="49">
        <v>0</v>
      </c>
      <c r="H107" s="161"/>
      <c r="I107" s="162"/>
      <c r="J107" s="47">
        <v>7.5999999999999998E-2</v>
      </c>
      <c r="K107" s="2"/>
    </row>
    <row r="108" spans="1:11" ht="27" customHeight="1" x14ac:dyDescent="0.15">
      <c r="A108" s="25" t="s">
        <v>78</v>
      </c>
      <c r="B108" s="27"/>
      <c r="C108" s="55">
        <v>0</v>
      </c>
      <c r="D108" s="166">
        <v>-2.29</v>
      </c>
      <c r="E108" s="167">
        <v>-0.218</v>
      </c>
      <c r="F108" s="168">
        <v>-1.2E-2</v>
      </c>
      <c r="G108" s="49">
        <v>0</v>
      </c>
      <c r="H108" s="161"/>
      <c r="I108" s="162"/>
      <c r="J108" s="47">
        <v>7.5999999999999998E-2</v>
      </c>
      <c r="K108" s="2"/>
    </row>
    <row r="109" spans="1:11" ht="27" customHeight="1" x14ac:dyDescent="0.15">
      <c r="A109" s="25" t="s">
        <v>79</v>
      </c>
      <c r="B109" s="27"/>
      <c r="C109" s="55">
        <v>0</v>
      </c>
      <c r="D109" s="47">
        <v>-0.35599999999999998</v>
      </c>
      <c r="E109" s="48"/>
      <c r="F109" s="48"/>
      <c r="G109" s="49">
        <v>188.14</v>
      </c>
      <c r="H109" s="161"/>
      <c r="I109" s="162"/>
      <c r="J109" s="47">
        <v>0.114</v>
      </c>
      <c r="K109" s="2"/>
    </row>
    <row r="110" spans="1:11" ht="27" customHeight="1" x14ac:dyDescent="0.15">
      <c r="A110" s="25" t="s">
        <v>80</v>
      </c>
      <c r="B110" s="27"/>
      <c r="C110" s="55">
        <v>0</v>
      </c>
      <c r="D110" s="166">
        <v>-2.9740000000000002</v>
      </c>
      <c r="E110" s="167">
        <v>-0.17599999999999999</v>
      </c>
      <c r="F110" s="168">
        <v>-6.0000000000000001E-3</v>
      </c>
      <c r="G110" s="49">
        <v>188.14</v>
      </c>
      <c r="H110" s="161"/>
      <c r="I110" s="162"/>
      <c r="J110" s="47">
        <v>0.114</v>
      </c>
      <c r="K110" s="2"/>
    </row>
    <row r="111" spans="1:11" ht="27" customHeight="1" x14ac:dyDescent="0.15">
      <c r="A111" s="25" t="s">
        <v>120</v>
      </c>
      <c r="B111" s="27"/>
      <c r="C111" s="55">
        <v>1</v>
      </c>
      <c r="D111" s="47">
        <v>0.373</v>
      </c>
      <c r="E111" s="48"/>
      <c r="F111" s="48"/>
      <c r="G111" s="49">
        <v>0.68</v>
      </c>
      <c r="H111" s="161"/>
      <c r="I111" s="162"/>
      <c r="J111" s="48"/>
      <c r="K111" s="2"/>
    </row>
    <row r="112" spans="1:11" ht="27" customHeight="1" x14ac:dyDescent="0.15">
      <c r="A112" s="25" t="s">
        <v>121</v>
      </c>
      <c r="B112" s="27"/>
      <c r="C112" s="55">
        <v>2</v>
      </c>
      <c r="D112" s="47">
        <v>0.46</v>
      </c>
      <c r="E112" s="47">
        <v>8.5000000000000006E-2</v>
      </c>
      <c r="F112" s="48"/>
      <c r="G112" s="49">
        <v>0.68</v>
      </c>
      <c r="H112" s="161"/>
      <c r="I112" s="162"/>
      <c r="J112" s="48"/>
      <c r="K112" s="2"/>
    </row>
    <row r="113" spans="1:11" ht="27" customHeight="1" x14ac:dyDescent="0.15">
      <c r="A113" s="25" t="s">
        <v>122</v>
      </c>
      <c r="B113" s="27"/>
      <c r="C113" s="55">
        <v>2</v>
      </c>
      <c r="D113" s="47">
        <v>0.10299999999999999</v>
      </c>
      <c r="E113" s="48"/>
      <c r="F113" s="48"/>
      <c r="G113" s="161"/>
      <c r="H113" s="161"/>
      <c r="I113" s="162"/>
      <c r="J113" s="48"/>
      <c r="K113" s="2"/>
    </row>
    <row r="114" spans="1:11" ht="27" customHeight="1" x14ac:dyDescent="0.15">
      <c r="A114" s="25" t="s">
        <v>123</v>
      </c>
      <c r="B114" s="27"/>
      <c r="C114" s="55">
        <v>3</v>
      </c>
      <c r="D114" s="47">
        <v>0.34200000000000003</v>
      </c>
      <c r="E114" s="48"/>
      <c r="F114" s="48"/>
      <c r="G114" s="49">
        <v>1.01</v>
      </c>
      <c r="H114" s="161"/>
      <c r="I114" s="162"/>
      <c r="J114" s="48"/>
      <c r="K114" s="2"/>
    </row>
    <row r="115" spans="1:11" ht="27" customHeight="1" x14ac:dyDescent="0.15">
      <c r="A115" s="25" t="s">
        <v>124</v>
      </c>
      <c r="B115" s="27"/>
      <c r="C115" s="55">
        <v>4</v>
      </c>
      <c r="D115" s="47">
        <v>0.499</v>
      </c>
      <c r="E115" s="47">
        <v>0.114</v>
      </c>
      <c r="F115" s="48"/>
      <c r="G115" s="49">
        <v>1.01</v>
      </c>
      <c r="H115" s="161"/>
      <c r="I115" s="162"/>
      <c r="J115" s="48"/>
      <c r="K115" s="2"/>
    </row>
    <row r="116" spans="1:11" ht="27" customHeight="1" x14ac:dyDescent="0.15">
      <c r="A116" s="25" t="s">
        <v>125</v>
      </c>
      <c r="B116" s="27"/>
      <c r="C116" s="55">
        <v>4</v>
      </c>
      <c r="D116" s="47">
        <v>0.128</v>
      </c>
      <c r="E116" s="48"/>
      <c r="F116" s="48"/>
      <c r="G116" s="161"/>
      <c r="H116" s="161"/>
      <c r="I116" s="162"/>
      <c r="J116" s="48"/>
      <c r="K116" s="2"/>
    </row>
    <row r="117" spans="1:11" ht="27" customHeight="1" x14ac:dyDescent="0.15">
      <c r="A117" s="25" t="s">
        <v>126</v>
      </c>
      <c r="B117" s="27"/>
      <c r="C117" s="55" t="s">
        <v>20</v>
      </c>
      <c r="D117" s="47">
        <v>0.28599999999999998</v>
      </c>
      <c r="E117" s="47">
        <v>8.3000000000000004E-2</v>
      </c>
      <c r="F117" s="48"/>
      <c r="G117" s="49">
        <v>5.58</v>
      </c>
      <c r="H117" s="161"/>
      <c r="I117" s="162"/>
      <c r="J117" s="48"/>
      <c r="K117" s="2"/>
    </row>
    <row r="118" spans="1:11" ht="27" customHeight="1" x14ac:dyDescent="0.15">
      <c r="A118" s="25" t="s">
        <v>127</v>
      </c>
      <c r="B118" s="27"/>
      <c r="C118" s="55" t="s">
        <v>20</v>
      </c>
      <c r="D118" s="47">
        <v>0.38500000000000001</v>
      </c>
      <c r="E118" s="47">
        <v>0.123</v>
      </c>
      <c r="F118" s="48"/>
      <c r="G118" s="49">
        <v>7.77</v>
      </c>
      <c r="H118" s="161"/>
      <c r="I118" s="162"/>
      <c r="J118" s="48"/>
      <c r="K118" s="2"/>
    </row>
    <row r="119" spans="1:11" ht="27" customHeight="1" x14ac:dyDescent="0.15">
      <c r="A119" s="25" t="s">
        <v>128</v>
      </c>
      <c r="B119" s="27"/>
      <c r="C119" s="55" t="s">
        <v>20</v>
      </c>
      <c r="D119" s="47">
        <v>0.29499999999999998</v>
      </c>
      <c r="E119" s="47">
        <v>0.126</v>
      </c>
      <c r="F119" s="48"/>
      <c r="G119" s="49">
        <v>98.84</v>
      </c>
      <c r="H119" s="161"/>
      <c r="I119" s="162"/>
      <c r="J119" s="48"/>
      <c r="K119" s="2"/>
    </row>
    <row r="120" spans="1:11" ht="27" customHeight="1" x14ac:dyDescent="0.15">
      <c r="A120" s="25" t="s">
        <v>576</v>
      </c>
      <c r="B120" s="27"/>
      <c r="C120" s="55" t="s">
        <v>563</v>
      </c>
      <c r="D120" s="166">
        <v>1.6759999999999999</v>
      </c>
      <c r="E120" s="167">
        <v>0.23100000000000001</v>
      </c>
      <c r="F120" s="168">
        <v>7.3999999999999996E-2</v>
      </c>
      <c r="G120" s="49">
        <v>0.68</v>
      </c>
      <c r="H120" s="161"/>
      <c r="I120" s="162"/>
      <c r="J120" s="48"/>
      <c r="K120" s="2"/>
    </row>
    <row r="121" spans="1:11" ht="27" customHeight="1" x14ac:dyDescent="0.15">
      <c r="A121" s="25" t="s">
        <v>577</v>
      </c>
      <c r="B121" s="27"/>
      <c r="C121" s="55" t="s">
        <v>563</v>
      </c>
      <c r="D121" s="166">
        <v>1.766</v>
      </c>
      <c r="E121" s="167">
        <v>0.24</v>
      </c>
      <c r="F121" s="168">
        <v>7.4999999999999997E-2</v>
      </c>
      <c r="G121" s="49">
        <v>1.01</v>
      </c>
      <c r="H121" s="161"/>
      <c r="I121" s="162"/>
      <c r="J121" s="48"/>
      <c r="K121" s="2"/>
    </row>
    <row r="122" spans="1:11" ht="27" customHeight="1" x14ac:dyDescent="0.15">
      <c r="A122" s="25" t="s">
        <v>129</v>
      </c>
      <c r="B122" s="27"/>
      <c r="C122" s="55">
        <v>0</v>
      </c>
      <c r="D122" s="166">
        <v>1.208</v>
      </c>
      <c r="E122" s="167">
        <v>0.16700000000000001</v>
      </c>
      <c r="F122" s="168">
        <v>7.0000000000000007E-2</v>
      </c>
      <c r="G122" s="49">
        <v>3.18</v>
      </c>
      <c r="H122" s="49">
        <v>0.47</v>
      </c>
      <c r="I122" s="163">
        <v>0.88</v>
      </c>
      <c r="J122" s="47">
        <v>3.9E-2</v>
      </c>
      <c r="K122" s="2"/>
    </row>
    <row r="123" spans="1:11" ht="27" customHeight="1" x14ac:dyDescent="0.15">
      <c r="A123" s="25" t="s">
        <v>130</v>
      </c>
      <c r="B123" s="27"/>
      <c r="C123" s="55">
        <v>0</v>
      </c>
      <c r="D123" s="166">
        <v>1.466</v>
      </c>
      <c r="E123" s="167">
        <v>0.182</v>
      </c>
      <c r="F123" s="168">
        <v>0.105</v>
      </c>
      <c r="G123" s="49">
        <v>7.77</v>
      </c>
      <c r="H123" s="49">
        <v>1.29</v>
      </c>
      <c r="I123" s="163">
        <v>1.74</v>
      </c>
      <c r="J123" s="47">
        <v>3.9E-2</v>
      </c>
      <c r="K123" s="2"/>
    </row>
    <row r="124" spans="1:11" ht="27" customHeight="1" x14ac:dyDescent="0.15">
      <c r="A124" s="25" t="s">
        <v>131</v>
      </c>
      <c r="B124" s="27"/>
      <c r="C124" s="55">
        <v>0</v>
      </c>
      <c r="D124" s="166">
        <v>1.2130000000000001</v>
      </c>
      <c r="E124" s="167">
        <v>0.17</v>
      </c>
      <c r="F124" s="168">
        <v>0.11700000000000001</v>
      </c>
      <c r="G124" s="49">
        <v>50.45</v>
      </c>
      <c r="H124" s="49">
        <v>1.81</v>
      </c>
      <c r="I124" s="163">
        <v>2.2400000000000002</v>
      </c>
      <c r="J124" s="47">
        <v>2.9000000000000001E-2</v>
      </c>
      <c r="K124" s="2"/>
    </row>
    <row r="125" spans="1:11" ht="27" customHeight="1" x14ac:dyDescent="0.15">
      <c r="A125" s="25" t="s">
        <v>203</v>
      </c>
      <c r="B125" s="27"/>
      <c r="C125" s="55">
        <v>8</v>
      </c>
      <c r="D125" s="47">
        <v>0.501</v>
      </c>
      <c r="E125" s="48"/>
      <c r="F125" s="48"/>
      <c r="G125" s="161"/>
      <c r="H125" s="161"/>
      <c r="I125" s="164"/>
      <c r="J125" s="48"/>
      <c r="K125" s="2"/>
    </row>
    <row r="126" spans="1:11" ht="27" customHeight="1" x14ac:dyDescent="0.15">
      <c r="A126" s="25" t="s">
        <v>204</v>
      </c>
      <c r="B126" s="27"/>
      <c r="C126" s="55">
        <v>1</v>
      </c>
      <c r="D126" s="47">
        <v>0.51200000000000001</v>
      </c>
      <c r="E126" s="48"/>
      <c r="F126" s="48"/>
      <c r="G126" s="161"/>
      <c r="H126" s="161"/>
      <c r="I126" s="164"/>
      <c r="J126" s="48"/>
      <c r="K126" s="2"/>
    </row>
    <row r="127" spans="1:11" ht="27" customHeight="1" x14ac:dyDescent="0.15">
      <c r="A127" s="25" t="s">
        <v>205</v>
      </c>
      <c r="B127" s="27"/>
      <c r="C127" s="55">
        <v>1</v>
      </c>
      <c r="D127" s="47">
        <v>0.65500000000000003</v>
      </c>
      <c r="E127" s="48"/>
      <c r="F127" s="48"/>
      <c r="G127" s="161"/>
      <c r="H127" s="161"/>
      <c r="I127" s="164"/>
      <c r="J127" s="48"/>
      <c r="K127" s="2"/>
    </row>
    <row r="128" spans="1:11" ht="27" customHeight="1" x14ac:dyDescent="0.15">
      <c r="A128" s="25" t="s">
        <v>206</v>
      </c>
      <c r="B128" s="27"/>
      <c r="C128" s="55">
        <v>1</v>
      </c>
      <c r="D128" s="47">
        <v>0.503</v>
      </c>
      <c r="E128" s="48"/>
      <c r="F128" s="48"/>
      <c r="G128" s="161"/>
      <c r="H128" s="161"/>
      <c r="I128" s="164"/>
      <c r="J128" s="48"/>
      <c r="K128" s="2"/>
    </row>
    <row r="129" spans="1:11" ht="27" customHeight="1" x14ac:dyDescent="0.15">
      <c r="A129" s="25" t="s">
        <v>132</v>
      </c>
      <c r="B129" s="27"/>
      <c r="C129" s="55">
        <v>0</v>
      </c>
      <c r="D129" s="169">
        <v>2.6440000000000001</v>
      </c>
      <c r="E129" s="170">
        <v>0.496</v>
      </c>
      <c r="F129" s="168">
        <v>0.35399999999999998</v>
      </c>
      <c r="G129" s="161"/>
      <c r="H129" s="161"/>
      <c r="I129" s="162"/>
      <c r="J129" s="48"/>
      <c r="K129" s="2"/>
    </row>
    <row r="130" spans="1:11" ht="27" customHeight="1" x14ac:dyDescent="0.15">
      <c r="A130" s="25" t="s">
        <v>578</v>
      </c>
      <c r="B130" s="27"/>
      <c r="C130" s="55">
        <v>8</v>
      </c>
      <c r="D130" s="47">
        <v>-0.23899999999999999</v>
      </c>
      <c r="E130" s="48"/>
      <c r="F130" s="48"/>
      <c r="G130" s="49">
        <v>0</v>
      </c>
      <c r="H130" s="161"/>
      <c r="I130" s="162"/>
      <c r="J130" s="48"/>
      <c r="K130" s="2"/>
    </row>
    <row r="131" spans="1:11" ht="27" customHeight="1" x14ac:dyDescent="0.15">
      <c r="A131" s="25" t="s">
        <v>133</v>
      </c>
      <c r="B131" s="27"/>
      <c r="C131" s="55">
        <v>8</v>
      </c>
      <c r="D131" s="47">
        <v>-0.23799999999999999</v>
      </c>
      <c r="E131" s="48"/>
      <c r="F131" s="48"/>
      <c r="G131" s="49">
        <v>0</v>
      </c>
      <c r="H131" s="161"/>
      <c r="I131" s="162"/>
      <c r="J131" s="48"/>
      <c r="K131" s="2"/>
    </row>
    <row r="132" spans="1:11" ht="27" customHeight="1" x14ac:dyDescent="0.15">
      <c r="A132" s="25" t="s">
        <v>134</v>
      </c>
      <c r="B132" s="27"/>
      <c r="C132" s="55">
        <v>0</v>
      </c>
      <c r="D132" s="47">
        <v>-0.23899999999999999</v>
      </c>
      <c r="E132" s="48"/>
      <c r="F132" s="48"/>
      <c r="G132" s="49">
        <v>0</v>
      </c>
      <c r="H132" s="161"/>
      <c r="I132" s="162"/>
      <c r="J132" s="47">
        <v>5.6000000000000001E-2</v>
      </c>
      <c r="K132" s="2"/>
    </row>
    <row r="133" spans="1:11" ht="27" customHeight="1" x14ac:dyDescent="0.15">
      <c r="A133" s="25" t="s">
        <v>135</v>
      </c>
      <c r="B133" s="27"/>
      <c r="C133" s="55">
        <v>0</v>
      </c>
      <c r="D133" s="166">
        <v>-1.669</v>
      </c>
      <c r="E133" s="167">
        <v>-0.17199999999999999</v>
      </c>
      <c r="F133" s="168">
        <v>-0.01</v>
      </c>
      <c r="G133" s="49">
        <v>0</v>
      </c>
      <c r="H133" s="161"/>
      <c r="I133" s="162"/>
      <c r="J133" s="47">
        <v>5.6000000000000001E-2</v>
      </c>
      <c r="K133" s="2"/>
    </row>
    <row r="134" spans="1:11" ht="27" customHeight="1" x14ac:dyDescent="0.15">
      <c r="A134" s="25" t="s">
        <v>136</v>
      </c>
      <c r="B134" s="27"/>
      <c r="C134" s="55">
        <v>0</v>
      </c>
      <c r="D134" s="47">
        <v>-0.23799999999999999</v>
      </c>
      <c r="E134" s="48"/>
      <c r="F134" s="48"/>
      <c r="G134" s="49">
        <v>0</v>
      </c>
      <c r="H134" s="161"/>
      <c r="I134" s="162"/>
      <c r="J134" s="47">
        <v>5.7000000000000002E-2</v>
      </c>
      <c r="K134" s="2"/>
    </row>
    <row r="135" spans="1:11" ht="27" customHeight="1" x14ac:dyDescent="0.15">
      <c r="A135" s="25" t="s">
        <v>137</v>
      </c>
      <c r="B135" s="27"/>
      <c r="C135" s="55">
        <v>0</v>
      </c>
      <c r="D135" s="166">
        <v>-1.71</v>
      </c>
      <c r="E135" s="167">
        <v>-0.16300000000000001</v>
      </c>
      <c r="F135" s="168">
        <v>-8.9999999999999993E-3</v>
      </c>
      <c r="G135" s="49">
        <v>0</v>
      </c>
      <c r="H135" s="161"/>
      <c r="I135" s="162"/>
      <c r="J135" s="47">
        <v>5.7000000000000002E-2</v>
      </c>
      <c r="K135" s="2"/>
    </row>
    <row r="136" spans="1:11" ht="27" customHeight="1" x14ac:dyDescent="0.15">
      <c r="A136" s="25" t="s">
        <v>138</v>
      </c>
      <c r="B136" s="27"/>
      <c r="C136" s="55">
        <v>0</v>
      </c>
      <c r="D136" s="47">
        <v>-0.26600000000000001</v>
      </c>
      <c r="E136" s="48"/>
      <c r="F136" s="48"/>
      <c r="G136" s="49">
        <v>140.44999999999999</v>
      </c>
      <c r="H136" s="161"/>
      <c r="I136" s="162"/>
      <c r="J136" s="47">
        <v>8.5000000000000006E-2</v>
      </c>
      <c r="K136" s="2"/>
    </row>
    <row r="137" spans="1:11" ht="27" customHeight="1" x14ac:dyDescent="0.15">
      <c r="A137" s="25" t="s">
        <v>139</v>
      </c>
      <c r="B137" s="27"/>
      <c r="C137" s="55">
        <v>0</v>
      </c>
      <c r="D137" s="166">
        <v>-2.2200000000000002</v>
      </c>
      <c r="E137" s="167">
        <v>-0.13100000000000001</v>
      </c>
      <c r="F137" s="168">
        <v>-5.0000000000000001E-3</v>
      </c>
      <c r="G137" s="49">
        <v>140.44999999999999</v>
      </c>
      <c r="H137" s="161"/>
      <c r="I137" s="162"/>
      <c r="J137" s="47">
        <v>8.5000000000000006E-2</v>
      </c>
      <c r="K137" s="2"/>
    </row>
    <row r="138" spans="1:11" ht="27" customHeight="1" x14ac:dyDescent="0.15">
      <c r="A138" s="25" t="s">
        <v>140</v>
      </c>
      <c r="B138" s="27"/>
      <c r="C138" s="55">
        <v>1</v>
      </c>
      <c r="D138" s="47">
        <v>0.26900000000000002</v>
      </c>
      <c r="E138" s="48"/>
      <c r="F138" s="48"/>
      <c r="G138" s="49">
        <v>0.49</v>
      </c>
      <c r="H138" s="161"/>
      <c r="I138" s="162"/>
      <c r="J138" s="48"/>
      <c r="K138" s="2"/>
    </row>
    <row r="139" spans="1:11" ht="27" customHeight="1" x14ac:dyDescent="0.15">
      <c r="A139" s="25" t="s">
        <v>141</v>
      </c>
      <c r="B139" s="27"/>
      <c r="C139" s="55">
        <v>2</v>
      </c>
      <c r="D139" s="47">
        <v>0.33200000000000002</v>
      </c>
      <c r="E139" s="47">
        <v>6.0999999999999999E-2</v>
      </c>
      <c r="F139" s="48"/>
      <c r="G139" s="49">
        <v>0.49</v>
      </c>
      <c r="H139" s="161"/>
      <c r="I139" s="162"/>
      <c r="J139" s="48"/>
      <c r="K139" s="2"/>
    </row>
    <row r="140" spans="1:11" ht="27" customHeight="1" x14ac:dyDescent="0.15">
      <c r="A140" s="25" t="s">
        <v>142</v>
      </c>
      <c r="B140" s="27"/>
      <c r="C140" s="55">
        <v>2</v>
      </c>
      <c r="D140" s="47">
        <v>7.4999999999999997E-2</v>
      </c>
      <c r="E140" s="48"/>
      <c r="F140" s="48"/>
      <c r="G140" s="161"/>
      <c r="H140" s="161"/>
      <c r="I140" s="162"/>
      <c r="J140" s="48"/>
      <c r="K140" s="2"/>
    </row>
    <row r="141" spans="1:11" ht="27" customHeight="1" x14ac:dyDescent="0.15">
      <c r="A141" s="25" t="s">
        <v>143</v>
      </c>
      <c r="B141" s="27"/>
      <c r="C141" s="55">
        <v>3</v>
      </c>
      <c r="D141" s="47">
        <v>0.247</v>
      </c>
      <c r="E141" s="48"/>
      <c r="F141" s="48"/>
      <c r="G141" s="49">
        <v>0.73</v>
      </c>
      <c r="H141" s="161"/>
      <c r="I141" s="162"/>
      <c r="J141" s="48"/>
      <c r="K141" s="2"/>
    </row>
    <row r="142" spans="1:11" ht="27" customHeight="1" x14ac:dyDescent="0.15">
      <c r="A142" s="25" t="s">
        <v>144</v>
      </c>
      <c r="B142" s="27"/>
      <c r="C142" s="55">
        <v>4</v>
      </c>
      <c r="D142" s="47">
        <v>0.36</v>
      </c>
      <c r="E142" s="47">
        <v>8.2000000000000003E-2</v>
      </c>
      <c r="F142" s="48"/>
      <c r="G142" s="49">
        <v>0.73</v>
      </c>
      <c r="H142" s="161"/>
      <c r="I142" s="162"/>
      <c r="J142" s="48"/>
      <c r="K142" s="2"/>
    </row>
    <row r="143" spans="1:11" ht="27" customHeight="1" x14ac:dyDescent="0.15">
      <c r="A143" s="25" t="s">
        <v>145</v>
      </c>
      <c r="B143" s="27"/>
      <c r="C143" s="55">
        <v>4</v>
      </c>
      <c r="D143" s="47">
        <v>9.1999999999999998E-2</v>
      </c>
      <c r="E143" s="48"/>
      <c r="F143" s="48"/>
      <c r="G143" s="161"/>
      <c r="H143" s="161"/>
      <c r="I143" s="162"/>
      <c r="J143" s="48"/>
      <c r="K143" s="2"/>
    </row>
    <row r="144" spans="1:11" ht="27" customHeight="1" x14ac:dyDescent="0.15">
      <c r="A144" s="25" t="s">
        <v>146</v>
      </c>
      <c r="B144" s="27"/>
      <c r="C144" s="55" t="s">
        <v>20</v>
      </c>
      <c r="D144" s="47">
        <v>0.20599999999999999</v>
      </c>
      <c r="E144" s="47">
        <v>0.06</v>
      </c>
      <c r="F144" s="48"/>
      <c r="G144" s="49">
        <v>4.03</v>
      </c>
      <c r="H144" s="161"/>
      <c r="I144" s="162"/>
      <c r="J144" s="48"/>
      <c r="K144" s="2"/>
    </row>
    <row r="145" spans="1:11" ht="27" customHeight="1" x14ac:dyDescent="0.15">
      <c r="A145" s="25" t="s">
        <v>147</v>
      </c>
      <c r="B145" s="27"/>
      <c r="C145" s="55" t="s">
        <v>20</v>
      </c>
      <c r="D145" s="47">
        <v>0.27800000000000002</v>
      </c>
      <c r="E145" s="47">
        <v>8.8999999999999996E-2</v>
      </c>
      <c r="F145" s="48"/>
      <c r="G145" s="49">
        <v>5.61</v>
      </c>
      <c r="H145" s="161"/>
      <c r="I145" s="162"/>
      <c r="J145" s="48"/>
      <c r="K145" s="2"/>
    </row>
    <row r="146" spans="1:11" ht="27" customHeight="1" x14ac:dyDescent="0.15">
      <c r="A146" s="25" t="s">
        <v>148</v>
      </c>
      <c r="B146" s="27"/>
      <c r="C146" s="55" t="s">
        <v>20</v>
      </c>
      <c r="D146" s="47">
        <v>0.21299999999999999</v>
      </c>
      <c r="E146" s="47">
        <v>9.0999999999999998E-2</v>
      </c>
      <c r="F146" s="48"/>
      <c r="G146" s="49">
        <v>71.349999999999994</v>
      </c>
      <c r="H146" s="161"/>
      <c r="I146" s="162"/>
      <c r="J146" s="48"/>
      <c r="K146" s="2"/>
    </row>
    <row r="147" spans="1:11" ht="27" customHeight="1" x14ac:dyDescent="0.15">
      <c r="A147" s="25" t="s">
        <v>579</v>
      </c>
      <c r="B147" s="27"/>
      <c r="C147" s="55" t="s">
        <v>563</v>
      </c>
      <c r="D147" s="166">
        <v>1.21</v>
      </c>
      <c r="E147" s="167">
        <v>0.16700000000000001</v>
      </c>
      <c r="F147" s="168">
        <v>5.3999999999999999E-2</v>
      </c>
      <c r="G147" s="49">
        <v>0.49</v>
      </c>
      <c r="H147" s="161"/>
      <c r="I147" s="162"/>
      <c r="J147" s="48"/>
      <c r="K147" s="2"/>
    </row>
    <row r="148" spans="1:11" ht="27" customHeight="1" x14ac:dyDescent="0.15">
      <c r="A148" s="25" t="s">
        <v>580</v>
      </c>
      <c r="B148" s="27"/>
      <c r="C148" s="55" t="s">
        <v>563</v>
      </c>
      <c r="D148" s="166">
        <v>1.2749999999999999</v>
      </c>
      <c r="E148" s="167">
        <v>0.17299999999999999</v>
      </c>
      <c r="F148" s="168">
        <v>5.3999999999999999E-2</v>
      </c>
      <c r="G148" s="49">
        <v>0.73</v>
      </c>
      <c r="H148" s="161"/>
      <c r="I148" s="162"/>
      <c r="J148" s="48"/>
      <c r="K148" s="2"/>
    </row>
    <row r="149" spans="1:11" ht="27" customHeight="1" x14ac:dyDescent="0.15">
      <c r="A149" s="25" t="s">
        <v>149</v>
      </c>
      <c r="B149" s="27"/>
      <c r="C149" s="55">
        <v>0</v>
      </c>
      <c r="D149" s="166">
        <v>0.872</v>
      </c>
      <c r="E149" s="167">
        <v>0.12</v>
      </c>
      <c r="F149" s="168">
        <v>5.0999999999999997E-2</v>
      </c>
      <c r="G149" s="49">
        <v>2.29</v>
      </c>
      <c r="H149" s="49">
        <v>0.34</v>
      </c>
      <c r="I149" s="163">
        <v>0.64</v>
      </c>
      <c r="J149" s="47">
        <v>2.8000000000000001E-2</v>
      </c>
      <c r="K149" s="2"/>
    </row>
    <row r="150" spans="1:11" ht="27" customHeight="1" x14ac:dyDescent="0.15">
      <c r="A150" s="25" t="s">
        <v>150</v>
      </c>
      <c r="B150" s="27"/>
      <c r="C150" s="55">
        <v>0</v>
      </c>
      <c r="D150" s="166">
        <v>1.0589999999999999</v>
      </c>
      <c r="E150" s="167">
        <v>0.13200000000000001</v>
      </c>
      <c r="F150" s="168">
        <v>7.5999999999999998E-2</v>
      </c>
      <c r="G150" s="49">
        <v>5.61</v>
      </c>
      <c r="H150" s="49">
        <v>0.93</v>
      </c>
      <c r="I150" s="163">
        <v>1.26</v>
      </c>
      <c r="J150" s="47">
        <v>2.8000000000000001E-2</v>
      </c>
      <c r="K150" s="2"/>
    </row>
    <row r="151" spans="1:11" ht="27" customHeight="1" x14ac:dyDescent="0.15">
      <c r="A151" s="25" t="s">
        <v>151</v>
      </c>
      <c r="B151" s="27"/>
      <c r="C151" s="55">
        <v>0</v>
      </c>
      <c r="D151" s="166">
        <v>0.876</v>
      </c>
      <c r="E151" s="167">
        <v>0.123</v>
      </c>
      <c r="F151" s="168">
        <v>8.5000000000000006E-2</v>
      </c>
      <c r="G151" s="49">
        <v>36.42</v>
      </c>
      <c r="H151" s="49">
        <v>1.3</v>
      </c>
      <c r="I151" s="163">
        <v>1.62</v>
      </c>
      <c r="J151" s="47">
        <v>2.1000000000000001E-2</v>
      </c>
      <c r="K151" s="2"/>
    </row>
    <row r="152" spans="1:11" ht="27" customHeight="1" x14ac:dyDescent="0.15">
      <c r="A152" s="25" t="s">
        <v>207</v>
      </c>
      <c r="B152" s="27"/>
      <c r="C152" s="55">
        <v>8</v>
      </c>
      <c r="D152" s="47">
        <v>0.36199999999999999</v>
      </c>
      <c r="E152" s="48"/>
      <c r="F152" s="48"/>
      <c r="G152" s="161"/>
      <c r="H152" s="161"/>
      <c r="I152" s="164"/>
      <c r="J152" s="48"/>
      <c r="K152" s="2"/>
    </row>
    <row r="153" spans="1:11" ht="27" customHeight="1" x14ac:dyDescent="0.15">
      <c r="A153" s="25" t="s">
        <v>208</v>
      </c>
      <c r="B153" s="27"/>
      <c r="C153" s="55">
        <v>1</v>
      </c>
      <c r="D153" s="47">
        <v>0.37</v>
      </c>
      <c r="E153" s="48"/>
      <c r="F153" s="48"/>
      <c r="G153" s="161"/>
      <c r="H153" s="161"/>
      <c r="I153" s="164"/>
      <c r="J153" s="48"/>
      <c r="K153" s="2"/>
    </row>
    <row r="154" spans="1:11" ht="27" customHeight="1" x14ac:dyDescent="0.15">
      <c r="A154" s="25" t="s">
        <v>209</v>
      </c>
      <c r="B154" s="27"/>
      <c r="C154" s="55">
        <v>1</v>
      </c>
      <c r="D154" s="47">
        <v>0.47299999999999998</v>
      </c>
      <c r="E154" s="48"/>
      <c r="F154" s="48"/>
      <c r="G154" s="161"/>
      <c r="H154" s="161"/>
      <c r="I154" s="162"/>
      <c r="J154" s="48"/>
      <c r="K154" s="2"/>
    </row>
    <row r="155" spans="1:11" ht="27" customHeight="1" x14ac:dyDescent="0.15">
      <c r="A155" s="25" t="s">
        <v>210</v>
      </c>
      <c r="B155" s="27"/>
      <c r="C155" s="55">
        <v>1</v>
      </c>
      <c r="D155" s="47">
        <v>0.36299999999999999</v>
      </c>
      <c r="E155" s="48"/>
      <c r="F155" s="48"/>
      <c r="G155" s="161"/>
      <c r="H155" s="161"/>
      <c r="I155" s="162"/>
      <c r="J155" s="48"/>
      <c r="K155" s="2"/>
    </row>
    <row r="156" spans="1:11" ht="27" customHeight="1" x14ac:dyDescent="0.15">
      <c r="A156" s="25" t="s">
        <v>152</v>
      </c>
      <c r="B156" s="27"/>
      <c r="C156" s="55">
        <v>0</v>
      </c>
      <c r="D156" s="169">
        <v>1.909</v>
      </c>
      <c r="E156" s="170">
        <v>0.35799999999999998</v>
      </c>
      <c r="F156" s="168">
        <v>0.25600000000000001</v>
      </c>
      <c r="G156" s="161"/>
      <c r="H156" s="161"/>
      <c r="I156" s="162"/>
      <c r="J156" s="48"/>
      <c r="K156" s="2"/>
    </row>
    <row r="157" spans="1:11" ht="27" customHeight="1" x14ac:dyDescent="0.15">
      <c r="A157" s="25" t="s">
        <v>581</v>
      </c>
      <c r="B157" s="27"/>
      <c r="C157" s="55">
        <v>8</v>
      </c>
      <c r="D157" s="47">
        <v>-0.17299999999999999</v>
      </c>
      <c r="E157" s="48"/>
      <c r="F157" s="48"/>
      <c r="G157" s="49">
        <v>0</v>
      </c>
      <c r="H157" s="161"/>
      <c r="I157" s="162"/>
      <c r="J157" s="48"/>
      <c r="K157" s="2"/>
    </row>
    <row r="158" spans="1:11" ht="27" customHeight="1" x14ac:dyDescent="0.15">
      <c r="A158" s="25" t="s">
        <v>153</v>
      </c>
      <c r="B158" s="27"/>
      <c r="C158" s="55">
        <v>8</v>
      </c>
      <c r="D158" s="47">
        <v>-0.17199999999999999</v>
      </c>
      <c r="E158" s="48"/>
      <c r="F158" s="48"/>
      <c r="G158" s="49">
        <v>0</v>
      </c>
      <c r="H158" s="161"/>
      <c r="I158" s="162"/>
      <c r="J158" s="48"/>
      <c r="K158" s="2"/>
    </row>
    <row r="159" spans="1:11" ht="27" customHeight="1" x14ac:dyDescent="0.15">
      <c r="A159" s="25" t="s">
        <v>154</v>
      </c>
      <c r="B159" s="27"/>
      <c r="C159" s="55">
        <v>0</v>
      </c>
      <c r="D159" s="47">
        <v>-0.17299999999999999</v>
      </c>
      <c r="E159" s="48"/>
      <c r="F159" s="48"/>
      <c r="G159" s="49">
        <v>0</v>
      </c>
      <c r="H159" s="161"/>
      <c r="I159" s="162"/>
      <c r="J159" s="47">
        <v>0.04</v>
      </c>
      <c r="K159" s="2"/>
    </row>
    <row r="160" spans="1:11" ht="27" customHeight="1" x14ac:dyDescent="0.15">
      <c r="A160" s="25" t="s">
        <v>155</v>
      </c>
      <c r="B160" s="27"/>
      <c r="C160" s="55">
        <v>0</v>
      </c>
      <c r="D160" s="166">
        <v>-1.2050000000000001</v>
      </c>
      <c r="E160" s="167">
        <v>-0.124</v>
      </c>
      <c r="F160" s="168">
        <v>-7.0000000000000001E-3</v>
      </c>
      <c r="G160" s="49">
        <v>0</v>
      </c>
      <c r="H160" s="161"/>
      <c r="I160" s="162"/>
      <c r="J160" s="47">
        <v>0.04</v>
      </c>
      <c r="K160" s="2"/>
    </row>
    <row r="161" spans="1:11" ht="27" customHeight="1" x14ac:dyDescent="0.15">
      <c r="A161" s="25" t="s">
        <v>156</v>
      </c>
      <c r="B161" s="27"/>
      <c r="C161" s="55">
        <v>0</v>
      </c>
      <c r="D161" s="47">
        <v>-0.17199999999999999</v>
      </c>
      <c r="E161" s="48"/>
      <c r="F161" s="48"/>
      <c r="G161" s="49">
        <v>0</v>
      </c>
      <c r="H161" s="161"/>
      <c r="I161" s="162"/>
      <c r="J161" s="47">
        <v>4.1000000000000002E-2</v>
      </c>
      <c r="K161" s="2"/>
    </row>
    <row r="162" spans="1:11" ht="27" customHeight="1" x14ac:dyDescent="0.15">
      <c r="A162" s="25" t="s">
        <v>157</v>
      </c>
      <c r="B162" s="27"/>
      <c r="C162" s="55">
        <v>0</v>
      </c>
      <c r="D162" s="166">
        <v>-1.234</v>
      </c>
      <c r="E162" s="167">
        <v>-0.11700000000000001</v>
      </c>
      <c r="F162" s="168">
        <v>-6.0000000000000001E-3</v>
      </c>
      <c r="G162" s="49">
        <v>0</v>
      </c>
      <c r="H162" s="161"/>
      <c r="I162" s="162"/>
      <c r="J162" s="47">
        <v>4.1000000000000002E-2</v>
      </c>
      <c r="K162" s="2"/>
    </row>
    <row r="163" spans="1:11" ht="27" customHeight="1" x14ac:dyDescent="0.15">
      <c r="A163" s="25" t="s">
        <v>158</v>
      </c>
      <c r="B163" s="27"/>
      <c r="C163" s="55">
        <v>0</v>
      </c>
      <c r="D163" s="47">
        <v>-0.192</v>
      </c>
      <c r="E163" s="48"/>
      <c r="F163" s="48"/>
      <c r="G163" s="49">
        <v>101.38</v>
      </c>
      <c r="H163" s="161"/>
      <c r="I163" s="162"/>
      <c r="J163" s="47">
        <v>6.0999999999999999E-2</v>
      </c>
      <c r="K163" s="2"/>
    </row>
    <row r="164" spans="1:11" ht="27" customHeight="1" x14ac:dyDescent="0.15">
      <c r="A164" s="25" t="s">
        <v>159</v>
      </c>
      <c r="B164" s="27"/>
      <c r="C164" s="55">
        <v>0</v>
      </c>
      <c r="D164" s="166">
        <v>-1.603</v>
      </c>
      <c r="E164" s="167">
        <v>-9.5000000000000001E-2</v>
      </c>
      <c r="F164" s="168">
        <v>-3.0000000000000001E-3</v>
      </c>
      <c r="G164" s="49">
        <v>101.38</v>
      </c>
      <c r="H164" s="161"/>
      <c r="I164" s="162"/>
      <c r="J164" s="47">
        <v>6.0999999999999999E-2</v>
      </c>
      <c r="K164" s="2"/>
    </row>
    <row r="165" spans="1:11" ht="27" customHeight="1" x14ac:dyDescent="0.15">
      <c r="A165" s="25" t="s">
        <v>160</v>
      </c>
      <c r="B165" s="27"/>
      <c r="C165" s="55">
        <v>1</v>
      </c>
      <c r="D165" s="47">
        <v>7.3999999999999996E-2</v>
      </c>
      <c r="E165" s="48"/>
      <c r="F165" s="48"/>
      <c r="G165" s="49">
        <v>0.14000000000000001</v>
      </c>
      <c r="H165" s="161"/>
      <c r="I165" s="162"/>
      <c r="J165" s="48"/>
      <c r="K165" s="2"/>
    </row>
    <row r="166" spans="1:11" ht="27" customHeight="1" x14ac:dyDescent="0.15">
      <c r="A166" s="25" t="s">
        <v>161</v>
      </c>
      <c r="B166" s="27"/>
      <c r="C166" s="55">
        <v>2</v>
      </c>
      <c r="D166" s="47">
        <v>9.1999999999999998E-2</v>
      </c>
      <c r="E166" s="47">
        <v>1.7000000000000001E-2</v>
      </c>
      <c r="F166" s="48"/>
      <c r="G166" s="49">
        <v>0.14000000000000001</v>
      </c>
      <c r="H166" s="161"/>
      <c r="I166" s="162"/>
      <c r="J166" s="48"/>
      <c r="K166" s="2"/>
    </row>
    <row r="167" spans="1:11" ht="27" customHeight="1" x14ac:dyDescent="0.15">
      <c r="A167" s="25" t="s">
        <v>162</v>
      </c>
      <c r="B167" s="27"/>
      <c r="C167" s="55">
        <v>2</v>
      </c>
      <c r="D167" s="47">
        <v>2.1000000000000001E-2</v>
      </c>
      <c r="E167" s="48"/>
      <c r="F167" s="48"/>
      <c r="G167" s="161"/>
      <c r="H167" s="161"/>
      <c r="I167" s="162"/>
      <c r="J167" s="48"/>
      <c r="K167" s="2"/>
    </row>
    <row r="168" spans="1:11" ht="27" customHeight="1" x14ac:dyDescent="0.15">
      <c r="A168" s="25" t="s">
        <v>163</v>
      </c>
      <c r="B168" s="27"/>
      <c r="C168" s="55">
        <v>3</v>
      </c>
      <c r="D168" s="47">
        <v>6.8000000000000005E-2</v>
      </c>
      <c r="E168" s="48"/>
      <c r="F168" s="48"/>
      <c r="G168" s="49">
        <v>0.2</v>
      </c>
      <c r="H168" s="161"/>
      <c r="I168" s="162"/>
      <c r="J168" s="48"/>
      <c r="K168" s="2"/>
    </row>
    <row r="169" spans="1:11" ht="27" customHeight="1" x14ac:dyDescent="0.15">
      <c r="A169" s="25" t="s">
        <v>164</v>
      </c>
      <c r="B169" s="27"/>
      <c r="C169" s="55">
        <v>4</v>
      </c>
      <c r="D169" s="47">
        <v>0.1</v>
      </c>
      <c r="E169" s="47">
        <v>2.3E-2</v>
      </c>
      <c r="F169" s="48"/>
      <c r="G169" s="49">
        <v>0.2</v>
      </c>
      <c r="H169" s="161"/>
      <c r="I169" s="162"/>
      <c r="J169" s="48"/>
      <c r="K169" s="2"/>
    </row>
    <row r="170" spans="1:11" ht="27" customHeight="1" x14ac:dyDescent="0.15">
      <c r="A170" s="25" t="s">
        <v>165</v>
      </c>
      <c r="B170" s="27"/>
      <c r="C170" s="55">
        <v>4</v>
      </c>
      <c r="D170" s="47">
        <v>2.5999999999999999E-2</v>
      </c>
      <c r="E170" s="48"/>
      <c r="F170" s="48"/>
      <c r="G170" s="161"/>
      <c r="H170" s="161"/>
      <c r="I170" s="162"/>
      <c r="J170" s="48"/>
      <c r="K170" s="2"/>
    </row>
    <row r="171" spans="1:11" ht="27" customHeight="1" x14ac:dyDescent="0.15">
      <c r="A171" s="25" t="s">
        <v>166</v>
      </c>
      <c r="B171" s="27"/>
      <c r="C171" s="55" t="s">
        <v>20</v>
      </c>
      <c r="D171" s="47">
        <v>5.7000000000000002E-2</v>
      </c>
      <c r="E171" s="47">
        <v>1.7000000000000001E-2</v>
      </c>
      <c r="F171" s="48"/>
      <c r="G171" s="49">
        <v>1.1200000000000001</v>
      </c>
      <c r="H171" s="161"/>
      <c r="I171" s="162"/>
      <c r="J171" s="48"/>
      <c r="K171" s="2"/>
    </row>
    <row r="172" spans="1:11" ht="27" customHeight="1" x14ac:dyDescent="0.15">
      <c r="A172" s="25" t="s">
        <v>167</v>
      </c>
      <c r="B172" s="27"/>
      <c r="C172" s="55" t="s">
        <v>20</v>
      </c>
      <c r="D172" s="47">
        <v>7.6999999999999999E-2</v>
      </c>
      <c r="E172" s="47">
        <v>2.5000000000000001E-2</v>
      </c>
      <c r="F172" s="48"/>
      <c r="G172" s="49">
        <v>1.55</v>
      </c>
      <c r="H172" s="161"/>
      <c r="I172" s="162"/>
      <c r="J172" s="48"/>
      <c r="K172" s="2"/>
    </row>
    <row r="173" spans="1:11" ht="27" customHeight="1" x14ac:dyDescent="0.15">
      <c r="A173" s="25" t="s">
        <v>168</v>
      </c>
      <c r="B173" s="27"/>
      <c r="C173" s="55" t="s">
        <v>20</v>
      </c>
      <c r="D173" s="47">
        <v>5.8999999999999997E-2</v>
      </c>
      <c r="E173" s="47">
        <v>2.5000000000000001E-2</v>
      </c>
      <c r="F173" s="48"/>
      <c r="G173" s="49">
        <v>19.75</v>
      </c>
      <c r="H173" s="161"/>
      <c r="I173" s="162"/>
      <c r="J173" s="48"/>
      <c r="K173" s="2"/>
    </row>
    <row r="174" spans="1:11" ht="27" customHeight="1" x14ac:dyDescent="0.15">
      <c r="A174" s="25" t="s">
        <v>582</v>
      </c>
      <c r="B174" s="27"/>
      <c r="C174" s="55" t="s">
        <v>563</v>
      </c>
      <c r="D174" s="166">
        <v>0.33500000000000002</v>
      </c>
      <c r="E174" s="167">
        <v>4.5999999999999999E-2</v>
      </c>
      <c r="F174" s="168">
        <v>1.4999999999999999E-2</v>
      </c>
      <c r="G174" s="49">
        <v>0.14000000000000001</v>
      </c>
      <c r="H174" s="161"/>
      <c r="I174" s="162"/>
      <c r="J174" s="48"/>
      <c r="K174" s="2"/>
    </row>
    <row r="175" spans="1:11" ht="27" customHeight="1" x14ac:dyDescent="0.15">
      <c r="A175" s="25" t="s">
        <v>583</v>
      </c>
      <c r="B175" s="27"/>
      <c r="C175" s="55" t="s">
        <v>563</v>
      </c>
      <c r="D175" s="166">
        <v>0.35299999999999998</v>
      </c>
      <c r="E175" s="167">
        <v>4.8000000000000001E-2</v>
      </c>
      <c r="F175" s="168">
        <v>1.4999999999999999E-2</v>
      </c>
      <c r="G175" s="49">
        <v>0.2</v>
      </c>
      <c r="H175" s="161"/>
      <c r="I175" s="162"/>
      <c r="J175" s="48"/>
      <c r="K175" s="2"/>
    </row>
    <row r="176" spans="1:11" ht="27" customHeight="1" x14ac:dyDescent="0.15">
      <c r="A176" s="25" t="s">
        <v>169</v>
      </c>
      <c r="B176" s="27"/>
      <c r="C176" s="55">
        <v>0</v>
      </c>
      <c r="D176" s="166">
        <v>0.24099999999999999</v>
      </c>
      <c r="E176" s="167">
        <v>3.3000000000000002E-2</v>
      </c>
      <c r="F176" s="168">
        <v>1.4E-2</v>
      </c>
      <c r="G176" s="49">
        <v>0.63</v>
      </c>
      <c r="H176" s="49">
        <v>0.09</v>
      </c>
      <c r="I176" s="163">
        <v>0.18</v>
      </c>
      <c r="J176" s="47">
        <v>8.0000000000000002E-3</v>
      </c>
      <c r="K176" s="2"/>
    </row>
    <row r="177" spans="1:11" ht="27" customHeight="1" x14ac:dyDescent="0.15">
      <c r="A177" s="25" t="s">
        <v>170</v>
      </c>
      <c r="B177" s="27"/>
      <c r="C177" s="55">
        <v>0</v>
      </c>
      <c r="D177" s="166">
        <v>0.29299999999999998</v>
      </c>
      <c r="E177" s="167">
        <v>3.5999999999999997E-2</v>
      </c>
      <c r="F177" s="168">
        <v>2.1000000000000001E-2</v>
      </c>
      <c r="G177" s="49">
        <v>1.55</v>
      </c>
      <c r="H177" s="49">
        <v>0.26</v>
      </c>
      <c r="I177" s="163">
        <v>0.35</v>
      </c>
      <c r="J177" s="47">
        <v>8.0000000000000002E-3</v>
      </c>
      <c r="K177" s="2"/>
    </row>
    <row r="178" spans="1:11" ht="27.75" customHeight="1" x14ac:dyDescent="0.15">
      <c r="A178" s="25" t="s">
        <v>171</v>
      </c>
      <c r="B178" s="27"/>
      <c r="C178" s="55">
        <v>0</v>
      </c>
      <c r="D178" s="166">
        <v>0.24199999999999999</v>
      </c>
      <c r="E178" s="167">
        <v>3.4000000000000002E-2</v>
      </c>
      <c r="F178" s="168">
        <v>2.3E-2</v>
      </c>
      <c r="G178" s="49">
        <v>10.08</v>
      </c>
      <c r="H178" s="49">
        <v>0.36</v>
      </c>
      <c r="I178" s="163">
        <v>0.45</v>
      </c>
      <c r="J178" s="47">
        <v>6.0000000000000001E-3</v>
      </c>
      <c r="K178" s="2"/>
    </row>
    <row r="179" spans="1:11" ht="27.75" customHeight="1" x14ac:dyDescent="0.15">
      <c r="A179" s="25" t="s">
        <v>211</v>
      </c>
      <c r="B179" s="27"/>
      <c r="C179" s="55">
        <v>8</v>
      </c>
      <c r="D179" s="47">
        <v>0.1</v>
      </c>
      <c r="E179" s="48"/>
      <c r="F179" s="48"/>
      <c r="G179" s="161"/>
      <c r="H179" s="161"/>
      <c r="I179" s="164"/>
      <c r="J179" s="48"/>
      <c r="K179" s="2"/>
    </row>
    <row r="180" spans="1:11" ht="27.75" customHeight="1" x14ac:dyDescent="0.15">
      <c r="A180" s="25" t="s">
        <v>212</v>
      </c>
      <c r="B180" s="27"/>
      <c r="C180" s="55">
        <v>1</v>
      </c>
      <c r="D180" s="47">
        <v>0.10199999999999999</v>
      </c>
      <c r="E180" s="48"/>
      <c r="F180" s="48"/>
      <c r="G180" s="161"/>
      <c r="H180" s="161"/>
      <c r="I180" s="164"/>
      <c r="J180" s="48"/>
      <c r="K180" s="2"/>
    </row>
    <row r="181" spans="1:11" ht="27.75" customHeight="1" x14ac:dyDescent="0.15">
      <c r="A181" s="25" t="s">
        <v>213</v>
      </c>
      <c r="B181" s="27"/>
      <c r="C181" s="55">
        <v>1</v>
      </c>
      <c r="D181" s="47">
        <v>0.13100000000000001</v>
      </c>
      <c r="E181" s="48"/>
      <c r="F181" s="48"/>
      <c r="G181" s="161"/>
      <c r="H181" s="161"/>
      <c r="I181" s="162"/>
      <c r="J181" s="48"/>
      <c r="K181" s="2"/>
    </row>
    <row r="182" spans="1:11" ht="27.75" customHeight="1" x14ac:dyDescent="0.15">
      <c r="A182" s="25" t="s">
        <v>214</v>
      </c>
      <c r="B182" s="27"/>
      <c r="C182" s="55">
        <v>1</v>
      </c>
      <c r="D182" s="47">
        <v>0.10100000000000001</v>
      </c>
      <c r="E182" s="48"/>
      <c r="F182" s="48"/>
      <c r="G182" s="161"/>
      <c r="H182" s="161"/>
      <c r="I182" s="162"/>
      <c r="J182" s="48"/>
      <c r="K182" s="2"/>
    </row>
    <row r="183" spans="1:11" ht="27.75" customHeight="1" x14ac:dyDescent="0.15">
      <c r="A183" s="25" t="s">
        <v>172</v>
      </c>
      <c r="B183" s="27"/>
      <c r="C183" s="55">
        <v>0</v>
      </c>
      <c r="D183" s="169">
        <v>0.52800000000000002</v>
      </c>
      <c r="E183" s="170">
        <v>9.9000000000000005E-2</v>
      </c>
      <c r="F183" s="168">
        <v>7.0999999999999994E-2</v>
      </c>
      <c r="G183" s="161"/>
      <c r="H183" s="161"/>
      <c r="I183" s="162"/>
      <c r="J183" s="48"/>
      <c r="K183" s="2"/>
    </row>
    <row r="184" spans="1:11" ht="27.75" customHeight="1" x14ac:dyDescent="0.15">
      <c r="A184" s="25" t="s">
        <v>584</v>
      </c>
      <c r="B184" s="27"/>
      <c r="C184" s="55">
        <v>8</v>
      </c>
      <c r="D184" s="47">
        <v>-4.8000000000000001E-2</v>
      </c>
      <c r="E184" s="48"/>
      <c r="F184" s="48"/>
      <c r="G184" s="49">
        <v>0</v>
      </c>
      <c r="H184" s="161"/>
      <c r="I184" s="162"/>
      <c r="J184" s="48"/>
      <c r="K184" s="2"/>
    </row>
    <row r="185" spans="1:11" ht="27.75" customHeight="1" x14ac:dyDescent="0.15">
      <c r="A185" s="25" t="s">
        <v>173</v>
      </c>
      <c r="B185" s="27"/>
      <c r="C185" s="55">
        <v>8</v>
      </c>
      <c r="D185" s="47">
        <v>-4.8000000000000001E-2</v>
      </c>
      <c r="E185" s="48"/>
      <c r="F185" s="48"/>
      <c r="G185" s="49">
        <v>0</v>
      </c>
      <c r="H185" s="161"/>
      <c r="I185" s="162"/>
      <c r="J185" s="48"/>
      <c r="K185" s="2"/>
    </row>
    <row r="186" spans="1:11" ht="27.75" customHeight="1" x14ac:dyDescent="0.15">
      <c r="A186" s="25" t="s">
        <v>174</v>
      </c>
      <c r="B186" s="27"/>
      <c r="C186" s="55">
        <v>0</v>
      </c>
      <c r="D186" s="47">
        <v>-4.8000000000000001E-2</v>
      </c>
      <c r="E186" s="48"/>
      <c r="F186" s="48"/>
      <c r="G186" s="49">
        <v>0</v>
      </c>
      <c r="H186" s="161"/>
      <c r="I186" s="162"/>
      <c r="J186" s="47">
        <v>1.0999999999999999E-2</v>
      </c>
      <c r="K186" s="2"/>
    </row>
    <row r="187" spans="1:11" ht="27.75" customHeight="1" x14ac:dyDescent="0.15">
      <c r="A187" s="25" t="s">
        <v>175</v>
      </c>
      <c r="B187" s="27"/>
      <c r="C187" s="55">
        <v>0</v>
      </c>
      <c r="D187" s="166">
        <v>-0.33400000000000002</v>
      </c>
      <c r="E187" s="167">
        <v>-3.4000000000000002E-2</v>
      </c>
      <c r="F187" s="168">
        <v>-2E-3</v>
      </c>
      <c r="G187" s="49">
        <v>0</v>
      </c>
      <c r="H187" s="161"/>
      <c r="I187" s="162"/>
      <c r="J187" s="47">
        <v>1.0999999999999999E-2</v>
      </c>
      <c r="K187" s="2"/>
    </row>
    <row r="188" spans="1:11" ht="27.75" customHeight="1" x14ac:dyDescent="0.15">
      <c r="A188" s="25" t="s">
        <v>176</v>
      </c>
      <c r="B188" s="27"/>
      <c r="C188" s="55">
        <v>0</v>
      </c>
      <c r="D188" s="47">
        <v>-4.8000000000000001E-2</v>
      </c>
      <c r="E188" s="48"/>
      <c r="F188" s="48"/>
      <c r="G188" s="49">
        <v>0</v>
      </c>
      <c r="H188" s="161"/>
      <c r="I188" s="162"/>
      <c r="J188" s="47">
        <v>1.0999999999999999E-2</v>
      </c>
      <c r="K188" s="2"/>
    </row>
    <row r="189" spans="1:11" ht="27.75" customHeight="1" x14ac:dyDescent="0.15">
      <c r="A189" s="25" t="s">
        <v>177</v>
      </c>
      <c r="B189" s="27"/>
      <c r="C189" s="55">
        <v>0</v>
      </c>
      <c r="D189" s="166">
        <v>-0.34200000000000003</v>
      </c>
      <c r="E189" s="167">
        <v>-3.3000000000000002E-2</v>
      </c>
      <c r="F189" s="168">
        <v>-2E-3</v>
      </c>
      <c r="G189" s="49">
        <v>0</v>
      </c>
      <c r="H189" s="161"/>
      <c r="I189" s="162"/>
      <c r="J189" s="47">
        <v>1.0999999999999999E-2</v>
      </c>
      <c r="K189" s="2"/>
    </row>
    <row r="190" spans="1:11" ht="27.75" customHeight="1" x14ac:dyDescent="0.15">
      <c r="A190" s="25" t="s">
        <v>178</v>
      </c>
      <c r="B190" s="27"/>
      <c r="C190" s="55">
        <v>0</v>
      </c>
      <c r="D190" s="47">
        <v>-5.2999999999999999E-2</v>
      </c>
      <c r="E190" s="48"/>
      <c r="F190" s="48"/>
      <c r="G190" s="49">
        <v>28.07</v>
      </c>
      <c r="H190" s="161"/>
      <c r="I190" s="162"/>
      <c r="J190" s="47">
        <v>1.7000000000000001E-2</v>
      </c>
      <c r="K190" s="2"/>
    </row>
    <row r="191" spans="1:11" ht="27.75" customHeight="1" x14ac:dyDescent="0.15">
      <c r="A191" s="25" t="s">
        <v>179</v>
      </c>
      <c r="B191" s="27"/>
      <c r="C191" s="55">
        <v>0</v>
      </c>
      <c r="D191" s="166">
        <v>-0.44400000000000001</v>
      </c>
      <c r="E191" s="167">
        <v>-2.5999999999999999E-2</v>
      </c>
      <c r="F191" s="168">
        <v>-1E-3</v>
      </c>
      <c r="G191" s="49">
        <v>28.07</v>
      </c>
      <c r="H191" s="161"/>
      <c r="I191" s="162"/>
      <c r="J191" s="47">
        <v>1.7000000000000001E-2</v>
      </c>
      <c r="K191" s="2"/>
    </row>
    <row r="193" spans="1:10" ht="42.75" customHeight="1" x14ac:dyDescent="0.15">
      <c r="A193" s="236" t="s">
        <v>52</v>
      </c>
      <c r="B193" s="295" t="s">
        <v>1984</v>
      </c>
      <c r="C193" s="296"/>
      <c r="D193" s="296"/>
      <c r="E193" s="296"/>
      <c r="F193" s="296"/>
      <c r="G193" s="296"/>
      <c r="H193" s="296"/>
      <c r="I193" s="296"/>
      <c r="J193" s="297"/>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4">
    <mergeCell ref="B1:D1"/>
    <mergeCell ref="F1:H1"/>
    <mergeCell ref="A2:J2"/>
    <mergeCell ref="F4:J4"/>
    <mergeCell ref="F5:G5"/>
    <mergeCell ref="A4:D4"/>
    <mergeCell ref="B193:J193"/>
    <mergeCell ref="B10:D10"/>
    <mergeCell ref="H10:J10"/>
    <mergeCell ref="F6:G6"/>
    <mergeCell ref="F7:G7"/>
    <mergeCell ref="F8:G8"/>
    <mergeCell ref="F9:G9"/>
    <mergeCell ref="F10:G10"/>
  </mergeCells>
  <phoneticPr fontId="8" type="noConversion"/>
  <hyperlinks>
    <hyperlink ref="A1" location="Overview!A1" display="Back to Overview" xr:uid="{00000000-0004-0000-0600-000000000000}"/>
    <hyperlink ref="A146" location="Overview!A1" display="Back to Overview" xr:uid="{00000000-0004-0000-0600-000001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ET655"/>
  <sheetViews>
    <sheetView showGridLines="0" zoomScale="80" zoomScaleNormal="80" zoomScaleSheetLayoutView="100" workbookViewId="0"/>
  </sheetViews>
  <sheetFormatPr baseColWidth="10" defaultColWidth="8.83203125" defaultRowHeight="13" x14ac:dyDescent="0.15"/>
  <cols>
    <col min="1" max="5" width="24" customWidth="1"/>
    <col min="6" max="6" width="42.1640625" customWidth="1"/>
  </cols>
  <sheetData>
    <row r="1" spans="1:16374" s="2" customFormat="1" ht="27" customHeight="1" x14ac:dyDescent="0.15">
      <c r="A1" s="156" t="s">
        <v>88</v>
      </c>
      <c r="B1"/>
      <c r="C1" s="15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row>
    <row r="2" spans="1:16374" s="2" customFormat="1" ht="44.25" customHeight="1" x14ac:dyDescent="0.15">
      <c r="A2" s="308" t="s">
        <v>703</v>
      </c>
      <c r="B2" s="309"/>
      <c r="C2" s="309"/>
      <c r="D2" s="309"/>
      <c r="E2" s="309"/>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row>
    <row r="3" spans="1:16374" ht="47.25" customHeight="1" x14ac:dyDescent="0.15">
      <c r="A3" s="261" t="str">
        <f>Overview!B4&amp; " - Illustrative LLFs for year beginning "&amp;Overview!D4</f>
        <v>Southern Electric Power Distribution plc - Illustrative LLFs for year beginning 1 April 2020</v>
      </c>
      <c r="B3" s="261"/>
      <c r="C3" s="261"/>
      <c r="D3" s="261"/>
      <c r="E3" s="261"/>
    </row>
    <row r="4" spans="1:16374" ht="19.5" customHeight="1" x14ac:dyDescent="0.15">
      <c r="A4" s="310" t="s">
        <v>81</v>
      </c>
      <c r="B4" s="20" t="s">
        <v>56</v>
      </c>
      <c r="C4" s="20" t="s">
        <v>57</v>
      </c>
      <c r="D4" s="20" t="s">
        <v>58</v>
      </c>
      <c r="E4" s="20" t="s">
        <v>59</v>
      </c>
    </row>
    <row r="5" spans="1:16374" ht="19.5" customHeight="1" x14ac:dyDescent="0.15">
      <c r="A5" s="311"/>
      <c r="B5" s="20" t="s">
        <v>720</v>
      </c>
      <c r="C5" s="20" t="s">
        <v>721</v>
      </c>
      <c r="D5" s="20" t="s">
        <v>722</v>
      </c>
      <c r="E5" s="20" t="s">
        <v>723</v>
      </c>
    </row>
    <row r="6" spans="1:16374" ht="45" customHeight="1" x14ac:dyDescent="0.15">
      <c r="A6" s="185" t="s">
        <v>719</v>
      </c>
      <c r="B6" s="212" t="s">
        <v>740</v>
      </c>
      <c r="C6" s="187" t="s">
        <v>743</v>
      </c>
      <c r="D6" s="188" t="s">
        <v>741</v>
      </c>
      <c r="E6" s="186" t="s">
        <v>742</v>
      </c>
    </row>
    <row r="7" spans="1:16374" ht="54.75" customHeight="1" x14ac:dyDescent="0.15">
      <c r="A7" s="185" t="s">
        <v>739</v>
      </c>
      <c r="B7" s="189"/>
      <c r="C7" s="189"/>
      <c r="D7" s="188" t="s">
        <v>744</v>
      </c>
      <c r="E7" s="186" t="s">
        <v>742</v>
      </c>
    </row>
    <row r="8" spans="1:16374" ht="25.5" customHeight="1" x14ac:dyDescent="0.15">
      <c r="A8" s="151" t="s">
        <v>82</v>
      </c>
      <c r="B8" s="255" t="s">
        <v>83</v>
      </c>
      <c r="C8" s="256"/>
      <c r="D8" s="256"/>
      <c r="E8" s="257"/>
    </row>
    <row r="9" spans="1:16374" s="12" customFormat="1" x14ac:dyDescent="0.15">
      <c r="A9" s="11"/>
      <c r="B9" s="10"/>
      <c r="C9" s="10"/>
      <c r="D9" s="10"/>
      <c r="E9" s="10"/>
    </row>
    <row r="10" spans="1:16374" x14ac:dyDescent="0.15">
      <c r="B10" s="10"/>
      <c r="C10" s="10"/>
      <c r="D10" s="10"/>
      <c r="E10" s="10"/>
    </row>
    <row r="11" spans="1:16374" ht="22.5" customHeight="1" x14ac:dyDescent="0.15">
      <c r="A11" s="265" t="s">
        <v>476</v>
      </c>
      <c r="B11" s="312"/>
      <c r="C11" s="312"/>
      <c r="D11" s="312"/>
      <c r="E11" s="312"/>
      <c r="F11" s="266"/>
    </row>
    <row r="12" spans="1:16374" ht="22.5" customHeight="1" x14ac:dyDescent="0.15">
      <c r="A12" s="265" t="s">
        <v>55</v>
      </c>
      <c r="B12" s="312"/>
      <c r="C12" s="312"/>
      <c r="D12" s="312"/>
      <c r="E12" s="312"/>
      <c r="F12" s="266"/>
    </row>
    <row r="13" spans="1:16374" ht="33" customHeight="1" x14ac:dyDescent="0.15">
      <c r="A13" s="20" t="s">
        <v>477</v>
      </c>
      <c r="B13" s="20" t="s">
        <v>56</v>
      </c>
      <c r="C13" s="20" t="s">
        <v>57</v>
      </c>
      <c r="D13" s="20" t="s">
        <v>58</v>
      </c>
      <c r="E13" s="20" t="s">
        <v>59</v>
      </c>
      <c r="F13" s="20" t="s">
        <v>60</v>
      </c>
    </row>
    <row r="14" spans="1:16374" ht="64.5" customHeight="1" x14ac:dyDescent="0.15">
      <c r="A14" s="1" t="s">
        <v>478</v>
      </c>
      <c r="B14" s="228">
        <v>1.0940000000000001</v>
      </c>
      <c r="C14" s="228">
        <v>1.085</v>
      </c>
      <c r="D14" s="228">
        <v>1.0760000000000001</v>
      </c>
      <c r="E14" s="228">
        <v>1.0720000000000001</v>
      </c>
      <c r="F14" s="237" t="s">
        <v>1966</v>
      </c>
    </row>
    <row r="15" spans="1:16374" ht="37.5" customHeight="1" x14ac:dyDescent="0.15">
      <c r="A15" s="1" t="s">
        <v>479</v>
      </c>
      <c r="B15" s="228">
        <v>1.0469999999999999</v>
      </c>
      <c r="C15" s="228">
        <v>1.0449999999999999</v>
      </c>
      <c r="D15" s="228">
        <v>1.044</v>
      </c>
      <c r="E15" s="228">
        <v>1.0469999999999999</v>
      </c>
      <c r="F15" s="237" t="s">
        <v>1980</v>
      </c>
    </row>
    <row r="16" spans="1:16374" ht="45" customHeight="1" x14ac:dyDescent="0.15">
      <c r="A16" s="1" t="s">
        <v>480</v>
      </c>
      <c r="B16" s="228">
        <v>1.032</v>
      </c>
      <c r="C16" s="228">
        <v>1.0289999999999999</v>
      </c>
      <c r="D16" s="228">
        <v>1.024</v>
      </c>
      <c r="E16" s="228">
        <v>1.022</v>
      </c>
      <c r="F16" s="237" t="s">
        <v>1967</v>
      </c>
    </row>
    <row r="17" spans="1:6" ht="41.25" customHeight="1" x14ac:dyDescent="0.15">
      <c r="A17" s="1" t="s">
        <v>481</v>
      </c>
      <c r="B17" s="228">
        <v>1.022</v>
      </c>
      <c r="C17" s="228">
        <v>1.02</v>
      </c>
      <c r="D17" s="228">
        <v>1.018</v>
      </c>
      <c r="E17" s="228">
        <v>1.0169999999999999</v>
      </c>
      <c r="F17" s="237" t="s">
        <v>1968</v>
      </c>
    </row>
    <row r="18" spans="1:6" ht="22.5" customHeight="1" x14ac:dyDescent="0.15">
      <c r="A18" s="1" t="s">
        <v>482</v>
      </c>
      <c r="B18" s="228">
        <v>1.016</v>
      </c>
      <c r="C18" s="228">
        <v>1.0149999999999999</v>
      </c>
      <c r="D18" s="228">
        <v>1.012</v>
      </c>
      <c r="E18" s="228">
        <v>1.0109999999999999</v>
      </c>
      <c r="F18" s="238" t="s">
        <v>1969</v>
      </c>
    </row>
    <row r="19" spans="1:6" ht="22.5" customHeight="1" x14ac:dyDescent="0.15">
      <c r="A19" s="1" t="s">
        <v>724</v>
      </c>
      <c r="B19" s="228">
        <v>1.0089999999999999</v>
      </c>
      <c r="C19" s="228">
        <v>1.008</v>
      </c>
      <c r="D19" s="228">
        <v>1.0069999999999999</v>
      </c>
      <c r="E19" s="228">
        <v>1.0069999999999999</v>
      </c>
      <c r="F19" s="238" t="s">
        <v>1970</v>
      </c>
    </row>
    <row r="20" spans="1:6" ht="22.5" customHeight="1" x14ac:dyDescent="0.15">
      <c r="A20" s="1" t="s">
        <v>483</v>
      </c>
      <c r="B20" s="228">
        <v>1.0049999999999999</v>
      </c>
      <c r="C20" s="228">
        <v>1.004</v>
      </c>
      <c r="D20" s="228">
        <v>1.0029999999999999</v>
      </c>
      <c r="E20" s="228">
        <v>1.0029999999999999</v>
      </c>
      <c r="F20" s="238" t="s">
        <v>1971</v>
      </c>
    </row>
    <row r="22" spans="1:6" ht="22.5" customHeight="1" x14ac:dyDescent="0.15">
      <c r="A22" s="265" t="s">
        <v>484</v>
      </c>
      <c r="B22" s="312"/>
      <c r="C22" s="312"/>
      <c r="D22" s="312"/>
      <c r="E22" s="312"/>
      <c r="F22" s="266"/>
    </row>
    <row r="23" spans="1:6" ht="22.5" customHeight="1" x14ac:dyDescent="0.15">
      <c r="A23" s="265" t="s">
        <v>61</v>
      </c>
      <c r="B23" s="312"/>
      <c r="C23" s="312"/>
      <c r="D23" s="312"/>
      <c r="E23" s="312"/>
      <c r="F23" s="266"/>
    </row>
    <row r="24" spans="1:6" ht="33" customHeight="1" x14ac:dyDescent="0.15">
      <c r="A24" s="20" t="s">
        <v>725</v>
      </c>
      <c r="B24" s="20" t="s">
        <v>56</v>
      </c>
      <c r="C24" s="20" t="s">
        <v>57</v>
      </c>
      <c r="D24" s="20" t="s">
        <v>58</v>
      </c>
      <c r="E24" s="20" t="s">
        <v>59</v>
      </c>
      <c r="F24" s="20" t="s">
        <v>60</v>
      </c>
    </row>
    <row r="25" spans="1:6" ht="32.25" customHeight="1" x14ac:dyDescent="0.15">
      <c r="A25" s="232" t="s">
        <v>746</v>
      </c>
      <c r="B25" s="228">
        <v>1.022</v>
      </c>
      <c r="C25" s="228">
        <v>1.02</v>
      </c>
      <c r="D25" s="228">
        <v>1.018</v>
      </c>
      <c r="E25" s="228">
        <v>1.0169999999999999</v>
      </c>
      <c r="F25" s="231">
        <v>700</v>
      </c>
    </row>
    <row r="26" spans="1:6" ht="32.25" customHeight="1" x14ac:dyDescent="0.15">
      <c r="A26" s="232" t="s">
        <v>747</v>
      </c>
      <c r="B26" s="228">
        <v>1.022</v>
      </c>
      <c r="C26" s="228">
        <v>1.02</v>
      </c>
      <c r="D26" s="228">
        <v>1.018</v>
      </c>
      <c r="E26" s="228">
        <v>1.0169999999999999</v>
      </c>
      <c r="F26" s="231">
        <v>701</v>
      </c>
    </row>
    <row r="27" spans="1:6" ht="32.25" customHeight="1" x14ac:dyDescent="0.15">
      <c r="A27" s="232" t="s">
        <v>748</v>
      </c>
      <c r="B27" s="228">
        <v>1.022</v>
      </c>
      <c r="C27" s="228">
        <v>1.02</v>
      </c>
      <c r="D27" s="228">
        <v>1.018</v>
      </c>
      <c r="E27" s="228">
        <v>1.0169999999999999</v>
      </c>
      <c r="F27" s="231">
        <v>702</v>
      </c>
    </row>
    <row r="28" spans="1:6" ht="32.25" customHeight="1" x14ac:dyDescent="0.15">
      <c r="A28" s="232" t="s">
        <v>749</v>
      </c>
      <c r="B28" s="228">
        <v>1.022</v>
      </c>
      <c r="C28" s="228">
        <v>1.02</v>
      </c>
      <c r="D28" s="228">
        <v>1.018</v>
      </c>
      <c r="E28" s="228">
        <v>1.0169999999999999</v>
      </c>
      <c r="F28" s="231">
        <v>704</v>
      </c>
    </row>
    <row r="29" spans="1:6" ht="32.25" customHeight="1" x14ac:dyDescent="0.15">
      <c r="A29" s="232" t="s">
        <v>750</v>
      </c>
      <c r="B29" s="228">
        <v>1.022</v>
      </c>
      <c r="C29" s="228">
        <v>1.02</v>
      </c>
      <c r="D29" s="228">
        <v>1.018</v>
      </c>
      <c r="E29" s="228">
        <v>1.0169999999999999</v>
      </c>
      <c r="F29" s="231">
        <v>706</v>
      </c>
    </row>
    <row r="30" spans="1:6" ht="32.25" customHeight="1" x14ac:dyDescent="0.15">
      <c r="A30" s="232" t="s">
        <v>751</v>
      </c>
      <c r="B30" s="228">
        <v>1.022</v>
      </c>
      <c r="C30" s="228">
        <v>1.02</v>
      </c>
      <c r="D30" s="228">
        <v>1.018</v>
      </c>
      <c r="E30" s="228">
        <v>1.0169999999999999</v>
      </c>
      <c r="F30" s="231">
        <v>707</v>
      </c>
    </row>
    <row r="31" spans="1:6" ht="32.25" customHeight="1" x14ac:dyDescent="0.15">
      <c r="A31" s="232" t="s">
        <v>752</v>
      </c>
      <c r="B31" s="228">
        <v>1.022</v>
      </c>
      <c r="C31" s="228">
        <v>1.02</v>
      </c>
      <c r="D31" s="228">
        <v>1.018</v>
      </c>
      <c r="E31" s="228">
        <v>1.0169999999999999</v>
      </c>
      <c r="F31" s="231">
        <v>708</v>
      </c>
    </row>
    <row r="32" spans="1:6" ht="32.25" customHeight="1" x14ac:dyDescent="0.15">
      <c r="A32" s="232" t="s">
        <v>753</v>
      </c>
      <c r="B32" s="228">
        <v>1.022</v>
      </c>
      <c r="C32" s="228">
        <v>1.02</v>
      </c>
      <c r="D32" s="228">
        <v>1.018</v>
      </c>
      <c r="E32" s="228">
        <v>1.0169999999999999</v>
      </c>
      <c r="F32" s="231">
        <v>709</v>
      </c>
    </row>
    <row r="33" spans="1:6" ht="32.25" customHeight="1" x14ac:dyDescent="0.15">
      <c r="A33" s="232" t="s">
        <v>754</v>
      </c>
      <c r="B33" s="228">
        <v>1.022</v>
      </c>
      <c r="C33" s="228">
        <v>1.02</v>
      </c>
      <c r="D33" s="228">
        <v>1.018</v>
      </c>
      <c r="E33" s="228">
        <v>1.0169999999999999</v>
      </c>
      <c r="F33" s="231">
        <v>710</v>
      </c>
    </row>
    <row r="34" spans="1:6" ht="32.25" customHeight="1" x14ac:dyDescent="0.15">
      <c r="A34" s="232" t="s">
        <v>755</v>
      </c>
      <c r="B34" s="228">
        <v>1.022</v>
      </c>
      <c r="C34" s="228">
        <v>1.02</v>
      </c>
      <c r="D34" s="228">
        <v>1.018</v>
      </c>
      <c r="E34" s="228">
        <v>1.0169999999999999</v>
      </c>
      <c r="F34" s="231">
        <v>711</v>
      </c>
    </row>
    <row r="35" spans="1:6" ht="32.25" customHeight="1" x14ac:dyDescent="0.15">
      <c r="A35" s="232" t="s">
        <v>756</v>
      </c>
      <c r="B35" s="228">
        <v>1.022</v>
      </c>
      <c r="C35" s="228">
        <v>1.02</v>
      </c>
      <c r="D35" s="228">
        <v>1.018</v>
      </c>
      <c r="E35" s="228">
        <v>1.0169999999999999</v>
      </c>
      <c r="F35" s="231">
        <v>712</v>
      </c>
    </row>
    <row r="36" spans="1:6" ht="32.25" customHeight="1" x14ac:dyDescent="0.15">
      <c r="A36" s="232" t="s">
        <v>757</v>
      </c>
      <c r="B36" s="228">
        <v>1.022</v>
      </c>
      <c r="C36" s="228">
        <v>1.02</v>
      </c>
      <c r="D36" s="228">
        <v>1.018</v>
      </c>
      <c r="E36" s="228">
        <v>1.0169999999999999</v>
      </c>
      <c r="F36" s="231">
        <v>713</v>
      </c>
    </row>
    <row r="37" spans="1:6" ht="32.25" customHeight="1" x14ac:dyDescent="0.15">
      <c r="A37" s="232" t="s">
        <v>758</v>
      </c>
      <c r="B37" s="228">
        <v>1.022</v>
      </c>
      <c r="C37" s="228">
        <v>1.02</v>
      </c>
      <c r="D37" s="228">
        <v>1.018</v>
      </c>
      <c r="E37" s="228">
        <v>1.0169999999999999</v>
      </c>
      <c r="F37" s="231">
        <v>714</v>
      </c>
    </row>
    <row r="38" spans="1:6" ht="32.25" customHeight="1" x14ac:dyDescent="0.15">
      <c r="A38" s="232" t="s">
        <v>759</v>
      </c>
      <c r="B38" s="228">
        <v>1.022</v>
      </c>
      <c r="C38" s="228">
        <v>1.02</v>
      </c>
      <c r="D38" s="228">
        <v>1.018</v>
      </c>
      <c r="E38" s="228">
        <v>1.0169999999999999</v>
      </c>
      <c r="F38" s="231">
        <v>715</v>
      </c>
    </row>
    <row r="39" spans="1:6" ht="32.25" customHeight="1" x14ac:dyDescent="0.15">
      <c r="A39" s="232" t="s">
        <v>760</v>
      </c>
      <c r="B39" s="228">
        <v>1.022</v>
      </c>
      <c r="C39" s="228">
        <v>1.02</v>
      </c>
      <c r="D39" s="228">
        <v>1.018</v>
      </c>
      <c r="E39" s="228">
        <v>1.0169999999999999</v>
      </c>
      <c r="F39" s="231">
        <v>716</v>
      </c>
    </row>
    <row r="40" spans="1:6" ht="32.25" customHeight="1" x14ac:dyDescent="0.15">
      <c r="A40" s="232" t="s">
        <v>761</v>
      </c>
      <c r="B40" s="228">
        <v>1.022</v>
      </c>
      <c r="C40" s="228">
        <v>1.02</v>
      </c>
      <c r="D40" s="228">
        <v>1.018</v>
      </c>
      <c r="E40" s="228">
        <v>1.0169999999999999</v>
      </c>
      <c r="F40" s="231">
        <v>717</v>
      </c>
    </row>
    <row r="41" spans="1:6" ht="32.25" customHeight="1" x14ac:dyDescent="0.15">
      <c r="A41" s="232" t="s">
        <v>762</v>
      </c>
      <c r="B41" s="228">
        <v>1.022</v>
      </c>
      <c r="C41" s="228">
        <v>1.02</v>
      </c>
      <c r="D41" s="228">
        <v>1.018</v>
      </c>
      <c r="E41" s="228">
        <v>1.0169999999999999</v>
      </c>
      <c r="F41" s="231">
        <v>718</v>
      </c>
    </row>
    <row r="42" spans="1:6" ht="32.25" customHeight="1" x14ac:dyDescent="0.15">
      <c r="A42" s="232" t="s">
        <v>763</v>
      </c>
      <c r="B42" s="228">
        <v>1.022</v>
      </c>
      <c r="C42" s="228">
        <v>1.02</v>
      </c>
      <c r="D42" s="228">
        <v>1.018</v>
      </c>
      <c r="E42" s="228">
        <v>1.0169999999999999</v>
      </c>
      <c r="F42" s="231">
        <v>719</v>
      </c>
    </row>
    <row r="43" spans="1:6" ht="32.25" customHeight="1" x14ac:dyDescent="0.15">
      <c r="A43" s="232" t="s">
        <v>764</v>
      </c>
      <c r="B43" s="228">
        <v>1.0029999999999999</v>
      </c>
      <c r="C43" s="228">
        <v>1.0049999999999999</v>
      </c>
      <c r="D43" s="228">
        <v>1.006</v>
      </c>
      <c r="E43" s="228">
        <v>1.004</v>
      </c>
      <c r="F43" s="231">
        <v>800</v>
      </c>
    </row>
    <row r="44" spans="1:6" ht="32.25" customHeight="1" x14ac:dyDescent="0.15">
      <c r="A44" s="232" t="s">
        <v>765</v>
      </c>
      <c r="B44" s="228">
        <v>1.008</v>
      </c>
      <c r="C44" s="228">
        <v>1.0089999999999999</v>
      </c>
      <c r="D44" s="228">
        <v>1.01</v>
      </c>
      <c r="E44" s="228">
        <v>1.008</v>
      </c>
      <c r="F44" s="231">
        <v>801</v>
      </c>
    </row>
    <row r="45" spans="1:6" ht="32.25" customHeight="1" x14ac:dyDescent="0.15">
      <c r="A45" s="232" t="s">
        <v>766</v>
      </c>
      <c r="B45" s="228">
        <v>1.02</v>
      </c>
      <c r="C45" s="228">
        <v>1.02</v>
      </c>
      <c r="D45" s="228">
        <v>1.0229999999999999</v>
      </c>
      <c r="E45" s="228">
        <v>1.0169999999999999</v>
      </c>
      <c r="F45" s="231">
        <v>802</v>
      </c>
    </row>
    <row r="46" spans="1:6" ht="32.25" customHeight="1" x14ac:dyDescent="0.15">
      <c r="A46" s="232" t="s">
        <v>767</v>
      </c>
      <c r="B46" s="228">
        <v>1.022</v>
      </c>
      <c r="C46" s="228">
        <v>1.0229999999999999</v>
      </c>
      <c r="D46" s="228">
        <v>1.028</v>
      </c>
      <c r="E46" s="228">
        <v>1.026</v>
      </c>
      <c r="F46" s="231">
        <v>803</v>
      </c>
    </row>
    <row r="47" spans="1:6" ht="32.25" customHeight="1" x14ac:dyDescent="0.15">
      <c r="A47" s="232" t="s">
        <v>768</v>
      </c>
      <c r="B47" s="228">
        <v>1.018</v>
      </c>
      <c r="C47" s="228">
        <v>1.0189999999999999</v>
      </c>
      <c r="D47" s="228">
        <v>1.0229999999999999</v>
      </c>
      <c r="E47" s="228">
        <v>1.022</v>
      </c>
      <c r="F47" s="231">
        <v>817</v>
      </c>
    </row>
    <row r="48" spans="1:6" ht="32.25" customHeight="1" x14ac:dyDescent="0.15">
      <c r="A48" s="232" t="s">
        <v>769</v>
      </c>
      <c r="B48" s="228">
        <v>1.0169999999999999</v>
      </c>
      <c r="C48" s="228">
        <v>1.018</v>
      </c>
      <c r="D48" s="228">
        <v>1.022</v>
      </c>
      <c r="E48" s="228">
        <v>1.0209999999999999</v>
      </c>
      <c r="F48" s="231">
        <v>837</v>
      </c>
    </row>
    <row r="49" spans="1:6" ht="32.25" customHeight="1" x14ac:dyDescent="0.15">
      <c r="A49" s="232" t="s">
        <v>770</v>
      </c>
      <c r="B49" s="228">
        <v>1.01</v>
      </c>
      <c r="C49" s="228">
        <v>1.01</v>
      </c>
      <c r="D49" s="228">
        <v>1.0109999999999999</v>
      </c>
      <c r="E49" s="228">
        <v>1.008</v>
      </c>
      <c r="F49" s="231">
        <v>804</v>
      </c>
    </row>
    <row r="50" spans="1:6" ht="32.25" customHeight="1" x14ac:dyDescent="0.15">
      <c r="A50" s="232" t="s">
        <v>771</v>
      </c>
      <c r="B50" s="228">
        <v>1.0049999999999999</v>
      </c>
      <c r="C50" s="228">
        <v>1.0049999999999999</v>
      </c>
      <c r="D50" s="228">
        <v>1.0049999999999999</v>
      </c>
      <c r="E50" s="228">
        <v>1.006</v>
      </c>
      <c r="F50" s="231">
        <v>805</v>
      </c>
    </row>
    <row r="51" spans="1:6" ht="32.25" customHeight="1" x14ac:dyDescent="0.15">
      <c r="A51" s="232" t="s">
        <v>772</v>
      </c>
      <c r="B51" s="228">
        <v>1.0129999999999999</v>
      </c>
      <c r="C51" s="228">
        <v>1.0129999999999999</v>
      </c>
      <c r="D51" s="228">
        <v>1.018</v>
      </c>
      <c r="E51" s="228">
        <v>1.012</v>
      </c>
      <c r="F51" s="231">
        <v>806</v>
      </c>
    </row>
    <row r="52" spans="1:6" ht="32.25" customHeight="1" x14ac:dyDescent="0.15">
      <c r="A52" s="232" t="s">
        <v>773</v>
      </c>
      <c r="B52" s="228">
        <v>1.0169999999999999</v>
      </c>
      <c r="C52" s="228">
        <v>1.0129999999999999</v>
      </c>
      <c r="D52" s="228">
        <v>1.0229999999999999</v>
      </c>
      <c r="E52" s="228">
        <v>1.014</v>
      </c>
      <c r="F52" s="231">
        <v>807</v>
      </c>
    </row>
    <row r="53" spans="1:6" ht="32.25" customHeight="1" x14ac:dyDescent="0.15">
      <c r="A53" s="232" t="s">
        <v>774</v>
      </c>
      <c r="B53" s="228">
        <v>1.0109999999999999</v>
      </c>
      <c r="C53" s="228">
        <v>1.01</v>
      </c>
      <c r="D53" s="228">
        <v>1.012</v>
      </c>
      <c r="E53" s="228">
        <v>1.01</v>
      </c>
      <c r="F53" s="231">
        <v>808</v>
      </c>
    </row>
    <row r="54" spans="1:6" ht="32.25" customHeight="1" x14ac:dyDescent="0.15">
      <c r="A54" s="232" t="s">
        <v>775</v>
      </c>
      <c r="B54" s="228">
        <v>1.0089999999999999</v>
      </c>
      <c r="C54" s="228">
        <v>1.0089999999999999</v>
      </c>
      <c r="D54" s="228">
        <v>1.01</v>
      </c>
      <c r="E54" s="228">
        <v>1.008</v>
      </c>
      <c r="F54" s="231">
        <v>809</v>
      </c>
    </row>
    <row r="55" spans="1:6" ht="32.25" customHeight="1" x14ac:dyDescent="0.15">
      <c r="A55" s="232" t="s">
        <v>776</v>
      </c>
      <c r="B55" s="228">
        <v>1.004</v>
      </c>
      <c r="C55" s="228">
        <v>1.004</v>
      </c>
      <c r="D55" s="228">
        <v>1.004</v>
      </c>
      <c r="E55" s="228">
        <v>1.004</v>
      </c>
      <c r="F55" s="231">
        <v>810</v>
      </c>
    </row>
    <row r="56" spans="1:6" ht="32.25" customHeight="1" x14ac:dyDescent="0.15">
      <c r="A56" s="232" t="s">
        <v>777</v>
      </c>
      <c r="B56" s="228">
        <v>1.022</v>
      </c>
      <c r="C56" s="228">
        <v>1.0249999999999999</v>
      </c>
      <c r="D56" s="228">
        <v>1.024</v>
      </c>
      <c r="E56" s="228">
        <v>1.0189999999999999</v>
      </c>
      <c r="F56" s="231">
        <v>811</v>
      </c>
    </row>
    <row r="57" spans="1:6" ht="32.25" customHeight="1" x14ac:dyDescent="0.15">
      <c r="A57" s="232" t="s">
        <v>778</v>
      </c>
      <c r="B57" s="228">
        <v>1.034</v>
      </c>
      <c r="C57" s="228">
        <v>1.052</v>
      </c>
      <c r="D57" s="228">
        <v>1.079</v>
      </c>
      <c r="E57" s="228">
        <v>1.0449999999999999</v>
      </c>
      <c r="F57" s="231">
        <v>812</v>
      </c>
    </row>
    <row r="58" spans="1:6" ht="32.25" customHeight="1" x14ac:dyDescent="0.15">
      <c r="A58" s="232" t="s">
        <v>779</v>
      </c>
      <c r="B58" s="228">
        <v>1.034</v>
      </c>
      <c r="C58" s="228">
        <v>1.052</v>
      </c>
      <c r="D58" s="228">
        <v>1.079</v>
      </c>
      <c r="E58" s="228">
        <v>1.0449999999999999</v>
      </c>
      <c r="F58" s="231">
        <v>812</v>
      </c>
    </row>
    <row r="59" spans="1:6" ht="32.25" customHeight="1" x14ac:dyDescent="0.15">
      <c r="A59" s="232" t="s">
        <v>780</v>
      </c>
      <c r="B59" s="228">
        <v>1.0129999999999999</v>
      </c>
      <c r="C59" s="228">
        <v>1.0149999999999999</v>
      </c>
      <c r="D59" s="228">
        <v>1.0229999999999999</v>
      </c>
      <c r="E59" s="228">
        <v>1.016</v>
      </c>
      <c r="F59" s="231">
        <v>813</v>
      </c>
    </row>
    <row r="60" spans="1:6" ht="32.25" customHeight="1" x14ac:dyDescent="0.15">
      <c r="A60" s="232" t="s">
        <v>781</v>
      </c>
      <c r="B60" s="228">
        <v>1.0269999999999999</v>
      </c>
      <c r="C60" s="228">
        <v>1.04</v>
      </c>
      <c r="D60" s="228">
        <v>1.0369999999999999</v>
      </c>
      <c r="E60" s="228">
        <v>1.026</v>
      </c>
      <c r="F60" s="231">
        <v>814</v>
      </c>
    </row>
    <row r="61" spans="1:6" ht="32.25" customHeight="1" x14ac:dyDescent="0.15">
      <c r="A61" s="232" t="s">
        <v>782</v>
      </c>
      <c r="B61" s="228">
        <v>1.0049999999999999</v>
      </c>
      <c r="C61" s="228">
        <v>1.006</v>
      </c>
      <c r="D61" s="228">
        <v>1.0109999999999999</v>
      </c>
      <c r="E61" s="228">
        <v>1.004</v>
      </c>
      <c r="F61" s="231">
        <v>815</v>
      </c>
    </row>
    <row r="62" spans="1:6" ht="32.25" customHeight="1" x14ac:dyDescent="0.15">
      <c r="A62" s="232" t="s">
        <v>783</v>
      </c>
      <c r="B62" s="228">
        <v>1.0049999999999999</v>
      </c>
      <c r="C62" s="228">
        <v>1.006</v>
      </c>
      <c r="D62" s="228">
        <v>1.006</v>
      </c>
      <c r="E62" s="228">
        <v>1.008</v>
      </c>
      <c r="F62" s="231">
        <v>816</v>
      </c>
    </row>
    <row r="63" spans="1:6" ht="32.25" customHeight="1" x14ac:dyDescent="0.15">
      <c r="A63" s="232" t="s">
        <v>784</v>
      </c>
      <c r="B63" s="228">
        <v>1.0189999999999999</v>
      </c>
      <c r="C63" s="228">
        <v>1.022</v>
      </c>
      <c r="D63" s="228">
        <v>1.0249999999999999</v>
      </c>
      <c r="E63" s="228">
        <v>1.018</v>
      </c>
      <c r="F63" s="231">
        <v>818</v>
      </c>
    </row>
    <row r="64" spans="1:6" ht="32.25" customHeight="1" x14ac:dyDescent="0.15">
      <c r="A64" s="232" t="s">
        <v>785</v>
      </c>
      <c r="B64" s="228">
        <v>0.999</v>
      </c>
      <c r="C64" s="228">
        <v>0.999</v>
      </c>
      <c r="D64" s="228">
        <v>1</v>
      </c>
      <c r="E64" s="228">
        <v>0.999</v>
      </c>
      <c r="F64" s="231">
        <v>819</v>
      </c>
    </row>
    <row r="65" spans="1:6" ht="32.25" customHeight="1" x14ac:dyDescent="0.15">
      <c r="A65" s="232" t="s">
        <v>786</v>
      </c>
      <c r="B65" s="228">
        <v>0.999</v>
      </c>
      <c r="C65" s="228">
        <v>0.999</v>
      </c>
      <c r="D65" s="228">
        <v>0.999</v>
      </c>
      <c r="E65" s="228">
        <v>0.999</v>
      </c>
      <c r="F65" s="231">
        <v>7174</v>
      </c>
    </row>
    <row r="66" spans="1:6" ht="32.25" customHeight="1" x14ac:dyDescent="0.15">
      <c r="A66" s="232" t="s">
        <v>787</v>
      </c>
      <c r="B66" s="233" t="s">
        <v>1972</v>
      </c>
      <c r="C66" s="233" t="s">
        <v>1972</v>
      </c>
      <c r="D66" s="233" t="s">
        <v>1972</v>
      </c>
      <c r="E66" s="233" t="s">
        <v>1972</v>
      </c>
      <c r="F66" s="233" t="s">
        <v>1972</v>
      </c>
    </row>
    <row r="67" spans="1:6" ht="32.25" customHeight="1" x14ac:dyDescent="0.15">
      <c r="A67" s="232" t="s">
        <v>788</v>
      </c>
      <c r="B67" s="228">
        <v>1</v>
      </c>
      <c r="C67" s="228">
        <v>1</v>
      </c>
      <c r="D67" s="228">
        <v>1.0009999999999999</v>
      </c>
      <c r="E67" s="228">
        <v>1</v>
      </c>
      <c r="F67" s="231">
        <v>823</v>
      </c>
    </row>
    <row r="68" spans="1:6" ht="32.25" customHeight="1" x14ac:dyDescent="0.15">
      <c r="A68" s="232" t="s">
        <v>789</v>
      </c>
      <c r="B68" s="228">
        <v>1.04</v>
      </c>
      <c r="C68" s="228">
        <v>1.0389999999999999</v>
      </c>
      <c r="D68" s="228">
        <v>1.0880000000000001</v>
      </c>
      <c r="E68" s="228">
        <v>1.042</v>
      </c>
      <c r="F68" s="231">
        <v>824</v>
      </c>
    </row>
    <row r="69" spans="1:6" ht="32.25" customHeight="1" x14ac:dyDescent="0.15">
      <c r="A69" s="232" t="s">
        <v>790</v>
      </c>
      <c r="B69" s="228">
        <v>1.008</v>
      </c>
      <c r="C69" s="228">
        <v>1.008</v>
      </c>
      <c r="D69" s="228">
        <v>1.008</v>
      </c>
      <c r="E69" s="228">
        <v>1.0069999999999999</v>
      </c>
      <c r="F69" s="231">
        <v>825</v>
      </c>
    </row>
    <row r="70" spans="1:6" ht="32.25" customHeight="1" x14ac:dyDescent="0.15">
      <c r="A70" s="232" t="s">
        <v>791</v>
      </c>
      <c r="B70" s="228">
        <v>1.006</v>
      </c>
      <c r="C70" s="228">
        <v>1.006</v>
      </c>
      <c r="D70" s="228">
        <v>1.006</v>
      </c>
      <c r="E70" s="228">
        <v>1.0049999999999999</v>
      </c>
      <c r="F70" s="231">
        <v>826</v>
      </c>
    </row>
    <row r="71" spans="1:6" ht="32.25" customHeight="1" x14ac:dyDescent="0.15">
      <c r="A71" s="232" t="s">
        <v>792</v>
      </c>
      <c r="B71" s="228">
        <v>1.0129999999999999</v>
      </c>
      <c r="C71" s="228">
        <v>1.0129999999999999</v>
      </c>
      <c r="D71" s="228">
        <v>1.014</v>
      </c>
      <c r="E71" s="228">
        <v>1.016</v>
      </c>
      <c r="F71" s="231">
        <v>827</v>
      </c>
    </row>
    <row r="72" spans="1:6" ht="32.25" customHeight="1" x14ac:dyDescent="0.15">
      <c r="A72" s="232" t="s">
        <v>793</v>
      </c>
      <c r="B72" s="228">
        <v>1.016</v>
      </c>
      <c r="C72" s="228">
        <v>1.0149999999999999</v>
      </c>
      <c r="D72" s="228">
        <v>1.012</v>
      </c>
      <c r="E72" s="228">
        <v>1.0109999999999999</v>
      </c>
      <c r="F72" s="231">
        <v>897</v>
      </c>
    </row>
    <row r="73" spans="1:6" ht="32.25" customHeight="1" x14ac:dyDescent="0.15">
      <c r="A73" s="232" t="s">
        <v>794</v>
      </c>
      <c r="B73" s="228">
        <v>1.0049999999999999</v>
      </c>
      <c r="C73" s="228">
        <v>1.0049999999999999</v>
      </c>
      <c r="D73" s="228">
        <v>1.0049999999999999</v>
      </c>
      <c r="E73" s="228">
        <v>1.0049999999999999</v>
      </c>
      <c r="F73" s="231">
        <v>829</v>
      </c>
    </row>
    <row r="74" spans="1:6" ht="32.25" customHeight="1" x14ac:dyDescent="0.15">
      <c r="A74" s="232" t="s">
        <v>795</v>
      </c>
      <c r="B74" s="228">
        <v>1.006</v>
      </c>
      <c r="C74" s="228">
        <v>1.0069999999999999</v>
      </c>
      <c r="D74" s="228">
        <v>1.008</v>
      </c>
      <c r="E74" s="228">
        <v>1.006</v>
      </c>
      <c r="F74" s="231">
        <v>820</v>
      </c>
    </row>
    <row r="75" spans="1:6" ht="32.25" customHeight="1" x14ac:dyDescent="0.15">
      <c r="A75" s="232" t="s">
        <v>796</v>
      </c>
      <c r="B75" s="228">
        <v>1.0029999999999999</v>
      </c>
      <c r="C75" s="228">
        <v>1.0029999999999999</v>
      </c>
      <c r="D75" s="228">
        <v>1.0029999999999999</v>
      </c>
      <c r="E75" s="228">
        <v>1.0029999999999999</v>
      </c>
      <c r="F75" s="231">
        <v>830</v>
      </c>
    </row>
    <row r="76" spans="1:6" ht="32.25" customHeight="1" x14ac:dyDescent="0.15">
      <c r="A76" s="232" t="s">
        <v>797</v>
      </c>
      <c r="B76" s="228">
        <v>1.004</v>
      </c>
      <c r="C76" s="228">
        <v>1.004</v>
      </c>
      <c r="D76" s="228">
        <v>1.0029999999999999</v>
      </c>
      <c r="E76" s="228">
        <v>1.004</v>
      </c>
      <c r="F76" s="231">
        <v>854</v>
      </c>
    </row>
    <row r="77" spans="1:6" ht="32.25" customHeight="1" x14ac:dyDescent="0.15">
      <c r="A77" s="232" t="s">
        <v>798</v>
      </c>
      <c r="B77" s="228">
        <v>0.999</v>
      </c>
      <c r="C77" s="228">
        <v>0.999</v>
      </c>
      <c r="D77" s="228">
        <v>0.999</v>
      </c>
      <c r="E77" s="228">
        <v>0.999</v>
      </c>
      <c r="F77" s="231">
        <v>835</v>
      </c>
    </row>
    <row r="78" spans="1:6" ht="32.25" customHeight="1" x14ac:dyDescent="0.15">
      <c r="A78" s="232" t="s">
        <v>799</v>
      </c>
      <c r="B78" s="228">
        <v>1.0209999999999999</v>
      </c>
      <c r="C78" s="228">
        <v>1.0209999999999999</v>
      </c>
      <c r="D78" s="228">
        <v>1.026</v>
      </c>
      <c r="E78" s="228">
        <v>1.0189999999999999</v>
      </c>
      <c r="F78" s="231">
        <v>836</v>
      </c>
    </row>
    <row r="79" spans="1:6" ht="32.25" customHeight="1" x14ac:dyDescent="0.15">
      <c r="A79" s="232" t="s">
        <v>800</v>
      </c>
      <c r="B79" s="228">
        <v>1.004</v>
      </c>
      <c r="C79" s="228">
        <v>1.0069999999999999</v>
      </c>
      <c r="D79" s="228">
        <v>1.0109999999999999</v>
      </c>
      <c r="E79" s="228">
        <v>1.008</v>
      </c>
      <c r="F79" s="231">
        <v>4033</v>
      </c>
    </row>
    <row r="80" spans="1:6" ht="32.25" customHeight="1" x14ac:dyDescent="0.15">
      <c r="A80" s="232" t="s">
        <v>801</v>
      </c>
      <c r="B80" s="228">
        <v>0.999</v>
      </c>
      <c r="C80" s="228">
        <v>0.999</v>
      </c>
      <c r="D80" s="228">
        <v>1</v>
      </c>
      <c r="E80" s="228">
        <v>1.0049999999999999</v>
      </c>
      <c r="F80" s="231">
        <v>4548</v>
      </c>
    </row>
    <row r="81" spans="1:6" ht="32.25" customHeight="1" x14ac:dyDescent="0.15">
      <c r="A81" s="232" t="s">
        <v>802</v>
      </c>
      <c r="B81" s="228">
        <v>1.093</v>
      </c>
      <c r="C81" s="228">
        <v>1.117</v>
      </c>
      <c r="D81" s="228">
        <v>1.1180000000000001</v>
      </c>
      <c r="E81" s="228">
        <v>1.083</v>
      </c>
      <c r="F81" s="231">
        <v>839</v>
      </c>
    </row>
    <row r="82" spans="1:6" ht="32.25" customHeight="1" x14ac:dyDescent="0.15">
      <c r="A82" s="232" t="s">
        <v>803</v>
      </c>
      <c r="B82" s="228">
        <v>1.0660000000000001</v>
      </c>
      <c r="C82" s="228">
        <v>1.091</v>
      </c>
      <c r="D82" s="228">
        <v>1.0860000000000001</v>
      </c>
      <c r="E82" s="228">
        <v>1.069</v>
      </c>
      <c r="F82" s="231">
        <v>505</v>
      </c>
    </row>
    <row r="83" spans="1:6" ht="32.25" customHeight="1" x14ac:dyDescent="0.15">
      <c r="A83" s="232" t="s">
        <v>804</v>
      </c>
      <c r="B83" s="228">
        <v>1</v>
      </c>
      <c r="C83" s="228">
        <v>1.0009999999999999</v>
      </c>
      <c r="D83" s="228">
        <v>1.0009999999999999</v>
      </c>
      <c r="E83" s="228">
        <v>0.998</v>
      </c>
      <c r="F83" s="231">
        <v>840</v>
      </c>
    </row>
    <row r="84" spans="1:6" ht="32.25" customHeight="1" x14ac:dyDescent="0.15">
      <c r="A84" s="232" t="s">
        <v>805</v>
      </c>
      <c r="B84" s="228">
        <v>1.0189999999999999</v>
      </c>
      <c r="C84" s="228">
        <v>1.0209999999999999</v>
      </c>
      <c r="D84" s="228">
        <v>1.022</v>
      </c>
      <c r="E84" s="228">
        <v>1.018</v>
      </c>
      <c r="F84" s="231">
        <v>7393</v>
      </c>
    </row>
    <row r="85" spans="1:6" ht="32.25" customHeight="1" x14ac:dyDescent="0.15">
      <c r="A85" s="232" t="s">
        <v>806</v>
      </c>
      <c r="B85" s="228">
        <v>1.0029999999999999</v>
      </c>
      <c r="C85" s="228">
        <v>1.0029999999999999</v>
      </c>
      <c r="D85" s="228">
        <v>1.006</v>
      </c>
      <c r="E85" s="228">
        <v>1.004</v>
      </c>
      <c r="F85" s="231">
        <v>7394</v>
      </c>
    </row>
    <row r="86" spans="1:6" ht="32.25" customHeight="1" x14ac:dyDescent="0.15">
      <c r="A86" s="232" t="s">
        <v>807</v>
      </c>
      <c r="B86" s="228">
        <v>0.98699999999999999</v>
      </c>
      <c r="C86" s="228">
        <v>0.98599999999999999</v>
      </c>
      <c r="D86" s="228">
        <v>0.98599999999999999</v>
      </c>
      <c r="E86" s="228">
        <v>0.98399999999999999</v>
      </c>
      <c r="F86" s="231">
        <v>844</v>
      </c>
    </row>
    <row r="87" spans="1:6" ht="32.25" customHeight="1" x14ac:dyDescent="0.15">
      <c r="A87" s="232" t="s">
        <v>808</v>
      </c>
      <c r="B87" s="228">
        <v>0.98699999999999999</v>
      </c>
      <c r="C87" s="228">
        <v>0.98599999999999999</v>
      </c>
      <c r="D87" s="228">
        <v>0.98599999999999999</v>
      </c>
      <c r="E87" s="228">
        <v>0.98399999999999999</v>
      </c>
      <c r="F87" s="231">
        <v>844</v>
      </c>
    </row>
    <row r="88" spans="1:6" ht="32.25" customHeight="1" x14ac:dyDescent="0.15">
      <c r="A88" s="232" t="s">
        <v>809</v>
      </c>
      <c r="B88" s="228">
        <v>0.98699999999999999</v>
      </c>
      <c r="C88" s="228">
        <v>0.98599999999999999</v>
      </c>
      <c r="D88" s="228">
        <v>0.98599999999999999</v>
      </c>
      <c r="E88" s="228">
        <v>0.98399999999999999</v>
      </c>
      <c r="F88" s="231">
        <v>844</v>
      </c>
    </row>
    <row r="89" spans="1:6" ht="32.25" customHeight="1" x14ac:dyDescent="0.15">
      <c r="A89" s="232" t="s">
        <v>810</v>
      </c>
      <c r="B89" s="228">
        <v>1.002</v>
      </c>
      <c r="C89" s="228">
        <v>1.002</v>
      </c>
      <c r="D89" s="228">
        <v>1.002</v>
      </c>
      <c r="E89" s="228">
        <v>1.002</v>
      </c>
      <c r="F89" s="231">
        <v>845</v>
      </c>
    </row>
    <row r="90" spans="1:6" ht="32.25" customHeight="1" x14ac:dyDescent="0.15">
      <c r="A90" s="232" t="s">
        <v>811</v>
      </c>
      <c r="B90" s="228">
        <v>1.0349999999999999</v>
      </c>
      <c r="C90" s="228">
        <v>1.0329999999999999</v>
      </c>
      <c r="D90" s="228">
        <v>1.081</v>
      </c>
      <c r="E90" s="228">
        <v>1.034</v>
      </c>
      <c r="F90" s="231">
        <v>846</v>
      </c>
    </row>
    <row r="91" spans="1:6" ht="32.25" customHeight="1" x14ac:dyDescent="0.15">
      <c r="A91" s="232" t="s">
        <v>812</v>
      </c>
      <c r="B91" s="228">
        <v>0.99199999999999999</v>
      </c>
      <c r="C91" s="228">
        <v>0.995</v>
      </c>
      <c r="D91" s="228">
        <v>0.999</v>
      </c>
      <c r="E91" s="228">
        <v>1.0049999999999999</v>
      </c>
      <c r="F91" s="231">
        <v>847</v>
      </c>
    </row>
    <row r="92" spans="1:6" ht="32.25" customHeight="1" x14ac:dyDescent="0.15">
      <c r="A92" s="232" t="s">
        <v>813</v>
      </c>
      <c r="B92" s="228">
        <v>1.008</v>
      </c>
      <c r="C92" s="228">
        <v>1.012</v>
      </c>
      <c r="D92" s="228">
        <v>1.018</v>
      </c>
      <c r="E92" s="228">
        <v>1.012</v>
      </c>
      <c r="F92" s="231">
        <v>849</v>
      </c>
    </row>
    <row r="93" spans="1:6" ht="32.25" customHeight="1" x14ac:dyDescent="0.15">
      <c r="A93" s="232" t="s">
        <v>814</v>
      </c>
      <c r="B93" s="228">
        <v>1.008</v>
      </c>
      <c r="C93" s="228">
        <v>1.008</v>
      </c>
      <c r="D93" s="228">
        <v>1.0069999999999999</v>
      </c>
      <c r="E93" s="228">
        <v>1.008</v>
      </c>
      <c r="F93" s="231">
        <v>851</v>
      </c>
    </row>
    <row r="94" spans="1:6" ht="32.25" customHeight="1" x14ac:dyDescent="0.15">
      <c r="A94" s="232" t="s">
        <v>815</v>
      </c>
      <c r="B94" s="228">
        <v>1.006</v>
      </c>
      <c r="C94" s="228">
        <v>1.0049999999999999</v>
      </c>
      <c r="D94" s="228">
        <v>1.01</v>
      </c>
      <c r="E94" s="228">
        <v>1.002</v>
      </c>
      <c r="F94" s="231">
        <v>853</v>
      </c>
    </row>
    <row r="95" spans="1:6" ht="32.25" customHeight="1" x14ac:dyDescent="0.15">
      <c r="A95" s="232" t="s">
        <v>816</v>
      </c>
      <c r="B95" s="228">
        <v>1.018</v>
      </c>
      <c r="C95" s="228">
        <v>1.018</v>
      </c>
      <c r="D95" s="228">
        <v>1.0189999999999999</v>
      </c>
      <c r="E95" s="228">
        <v>1.016</v>
      </c>
      <c r="F95" s="231">
        <v>855</v>
      </c>
    </row>
    <row r="96" spans="1:6" ht="32.25" customHeight="1" x14ac:dyDescent="0.15">
      <c r="A96" s="232" t="s">
        <v>817</v>
      </c>
      <c r="B96" s="228">
        <v>1.014</v>
      </c>
      <c r="C96" s="228">
        <v>1.016</v>
      </c>
      <c r="D96" s="228">
        <v>1.0169999999999999</v>
      </c>
      <c r="E96" s="228">
        <v>1.0129999999999999</v>
      </c>
      <c r="F96" s="231">
        <v>856</v>
      </c>
    </row>
    <row r="97" spans="1:6" ht="32.25" customHeight="1" x14ac:dyDescent="0.15">
      <c r="A97" s="232" t="s">
        <v>818</v>
      </c>
      <c r="B97" s="228">
        <v>1.0309999999999999</v>
      </c>
      <c r="C97" s="228">
        <v>1.0349999999999999</v>
      </c>
      <c r="D97" s="228">
        <v>1.042</v>
      </c>
      <c r="E97" s="228">
        <v>1.0289999999999999</v>
      </c>
      <c r="F97" s="231">
        <v>857</v>
      </c>
    </row>
    <row r="98" spans="1:6" ht="32.25" customHeight="1" x14ac:dyDescent="0.15">
      <c r="A98" s="232" t="s">
        <v>819</v>
      </c>
      <c r="B98" s="228">
        <v>1.0089999999999999</v>
      </c>
      <c r="C98" s="228">
        <v>1.0149999999999999</v>
      </c>
      <c r="D98" s="228">
        <v>1.0209999999999999</v>
      </c>
      <c r="E98" s="228">
        <v>1.0089999999999999</v>
      </c>
      <c r="F98" s="231">
        <v>858</v>
      </c>
    </row>
    <row r="99" spans="1:6" ht="32.25" customHeight="1" x14ac:dyDescent="0.15">
      <c r="A99" s="232" t="s">
        <v>820</v>
      </c>
      <c r="B99" s="228">
        <v>1.022</v>
      </c>
      <c r="C99" s="228">
        <v>1.026</v>
      </c>
      <c r="D99" s="228">
        <v>1.0289999999999999</v>
      </c>
      <c r="E99" s="228">
        <v>1.02</v>
      </c>
      <c r="F99" s="231">
        <v>859</v>
      </c>
    </row>
    <row r="100" spans="1:6" ht="32.25" customHeight="1" x14ac:dyDescent="0.15">
      <c r="A100" s="232" t="s">
        <v>821</v>
      </c>
      <c r="B100" s="228">
        <v>1.0129999999999999</v>
      </c>
      <c r="C100" s="228">
        <v>1.016</v>
      </c>
      <c r="D100" s="228">
        <v>1.0189999999999999</v>
      </c>
      <c r="E100" s="228">
        <v>1.01</v>
      </c>
      <c r="F100" s="231">
        <v>860</v>
      </c>
    </row>
    <row r="101" spans="1:6" ht="32.25" customHeight="1" x14ac:dyDescent="0.15">
      <c r="A101" s="232" t="s">
        <v>822</v>
      </c>
      <c r="B101" s="228">
        <v>1.026</v>
      </c>
      <c r="C101" s="228">
        <v>1.024</v>
      </c>
      <c r="D101" s="228">
        <v>1.0229999999999999</v>
      </c>
      <c r="E101" s="228">
        <v>1.0169999999999999</v>
      </c>
      <c r="F101" s="231">
        <v>7303</v>
      </c>
    </row>
    <row r="102" spans="1:6" ht="32.25" customHeight="1" x14ac:dyDescent="0.15">
      <c r="A102" s="232" t="s">
        <v>823</v>
      </c>
      <c r="B102" s="228">
        <v>1.0189999999999999</v>
      </c>
      <c r="C102" s="228">
        <v>1.0349999999999999</v>
      </c>
      <c r="D102" s="228">
        <v>1.0489999999999999</v>
      </c>
      <c r="E102" s="228">
        <v>1.0169999999999999</v>
      </c>
      <c r="F102" s="231">
        <v>863</v>
      </c>
    </row>
    <row r="103" spans="1:6" ht="32.25" customHeight="1" x14ac:dyDescent="0.15">
      <c r="A103" s="232" t="s">
        <v>824</v>
      </c>
      <c r="B103" s="228">
        <v>1.0029999999999999</v>
      </c>
      <c r="C103" s="228">
        <v>1</v>
      </c>
      <c r="D103" s="228">
        <v>1.002</v>
      </c>
      <c r="E103" s="228">
        <v>1.008</v>
      </c>
      <c r="F103" s="231">
        <v>852</v>
      </c>
    </row>
    <row r="104" spans="1:6" ht="32.25" customHeight="1" x14ac:dyDescent="0.15">
      <c r="A104" s="232" t="s">
        <v>825</v>
      </c>
      <c r="B104" s="228">
        <v>1.012</v>
      </c>
      <c r="C104" s="228">
        <v>1.0109999999999999</v>
      </c>
      <c r="D104" s="228">
        <v>1.0129999999999999</v>
      </c>
      <c r="E104" s="228">
        <v>1.018</v>
      </c>
      <c r="F104" s="231">
        <v>862</v>
      </c>
    </row>
    <row r="105" spans="1:6" ht="32.25" customHeight="1" x14ac:dyDescent="0.15">
      <c r="A105" s="232" t="s">
        <v>826</v>
      </c>
      <c r="B105" s="228">
        <v>1.0409999999999999</v>
      </c>
      <c r="C105" s="228">
        <v>1.05</v>
      </c>
      <c r="D105" s="228">
        <v>1.0620000000000001</v>
      </c>
      <c r="E105" s="228">
        <v>1.042</v>
      </c>
      <c r="F105" s="231">
        <v>864</v>
      </c>
    </row>
    <row r="106" spans="1:6" ht="32.25" customHeight="1" x14ac:dyDescent="0.15">
      <c r="A106" s="232" t="s">
        <v>827</v>
      </c>
      <c r="B106" s="228">
        <v>1.0149999999999999</v>
      </c>
      <c r="C106" s="228">
        <v>1.018</v>
      </c>
      <c r="D106" s="228">
        <v>1.028</v>
      </c>
      <c r="E106" s="228">
        <v>1.0149999999999999</v>
      </c>
      <c r="F106" s="231">
        <v>865</v>
      </c>
    </row>
    <row r="107" spans="1:6" ht="32.25" customHeight="1" x14ac:dyDescent="0.15">
      <c r="A107" s="232" t="s">
        <v>828</v>
      </c>
      <c r="B107" s="228">
        <v>1.024</v>
      </c>
      <c r="C107" s="228">
        <v>1.0649999999999999</v>
      </c>
      <c r="D107" s="228">
        <v>1.044</v>
      </c>
      <c r="E107" s="228">
        <v>1.024</v>
      </c>
      <c r="F107" s="231">
        <v>866</v>
      </c>
    </row>
    <row r="108" spans="1:6" ht="32.25" customHeight="1" x14ac:dyDescent="0.15">
      <c r="A108" s="232" t="s">
        <v>829</v>
      </c>
      <c r="B108" s="228">
        <v>1.004</v>
      </c>
      <c r="C108" s="228">
        <v>1.004</v>
      </c>
      <c r="D108" s="228">
        <v>1.004</v>
      </c>
      <c r="E108" s="228">
        <v>1.004</v>
      </c>
      <c r="F108" s="231">
        <v>861</v>
      </c>
    </row>
    <row r="109" spans="1:6" ht="32.25" customHeight="1" x14ac:dyDescent="0.15">
      <c r="A109" s="232" t="s">
        <v>830</v>
      </c>
      <c r="B109" s="228">
        <v>1.004</v>
      </c>
      <c r="C109" s="228">
        <v>1.004</v>
      </c>
      <c r="D109" s="228">
        <v>1.004</v>
      </c>
      <c r="E109" s="228">
        <v>1.004</v>
      </c>
      <c r="F109" s="231">
        <v>861</v>
      </c>
    </row>
    <row r="110" spans="1:6" ht="32.25" customHeight="1" x14ac:dyDescent="0.15">
      <c r="A110" s="232" t="s">
        <v>831</v>
      </c>
      <c r="B110" s="228">
        <v>1.004</v>
      </c>
      <c r="C110" s="228">
        <v>1.004</v>
      </c>
      <c r="D110" s="228">
        <v>1.004</v>
      </c>
      <c r="E110" s="228">
        <v>1.004</v>
      </c>
      <c r="F110" s="231">
        <v>861</v>
      </c>
    </row>
    <row r="111" spans="1:6" ht="32.25" customHeight="1" x14ac:dyDescent="0.15">
      <c r="A111" s="232" t="s">
        <v>832</v>
      </c>
      <c r="B111" s="228">
        <v>1.004</v>
      </c>
      <c r="C111" s="228">
        <v>1.004</v>
      </c>
      <c r="D111" s="228">
        <v>1.004</v>
      </c>
      <c r="E111" s="228">
        <v>1.004</v>
      </c>
      <c r="F111" s="231">
        <v>861</v>
      </c>
    </row>
    <row r="112" spans="1:6" ht="32.25" customHeight="1" x14ac:dyDescent="0.15">
      <c r="A112" s="232" t="s">
        <v>833</v>
      </c>
      <c r="B112" s="228">
        <v>1.004</v>
      </c>
      <c r="C112" s="228">
        <v>1.004</v>
      </c>
      <c r="D112" s="228">
        <v>1.004</v>
      </c>
      <c r="E112" s="228">
        <v>1.004</v>
      </c>
      <c r="F112" s="231">
        <v>861</v>
      </c>
    </row>
    <row r="113" spans="1:6" ht="32.25" customHeight="1" x14ac:dyDescent="0.15">
      <c r="A113" s="232" t="s">
        <v>834</v>
      </c>
      <c r="B113" s="228">
        <v>1.004</v>
      </c>
      <c r="C113" s="228">
        <v>1.004</v>
      </c>
      <c r="D113" s="228">
        <v>1.004</v>
      </c>
      <c r="E113" s="228">
        <v>1.004</v>
      </c>
      <c r="F113" s="231">
        <v>861</v>
      </c>
    </row>
    <row r="114" spans="1:6" ht="32.25" customHeight="1" x14ac:dyDescent="0.15">
      <c r="A114" s="232" t="s">
        <v>835</v>
      </c>
      <c r="B114" s="228">
        <v>1.004</v>
      </c>
      <c r="C114" s="228">
        <v>1.004</v>
      </c>
      <c r="D114" s="228">
        <v>1.004</v>
      </c>
      <c r="E114" s="228">
        <v>1.002</v>
      </c>
      <c r="F114" s="231">
        <v>7096</v>
      </c>
    </row>
    <row r="115" spans="1:6" ht="32.25" customHeight="1" x14ac:dyDescent="0.15">
      <c r="A115" s="232" t="s">
        <v>837</v>
      </c>
      <c r="B115" s="228">
        <v>1.006</v>
      </c>
      <c r="C115" s="228">
        <v>1.006</v>
      </c>
      <c r="D115" s="228">
        <v>1.0049999999999999</v>
      </c>
      <c r="E115" s="228">
        <v>1.006</v>
      </c>
      <c r="F115" s="231">
        <v>7098</v>
      </c>
    </row>
    <row r="116" spans="1:6" ht="32.25" customHeight="1" x14ac:dyDescent="0.15">
      <c r="A116" s="232" t="s">
        <v>838</v>
      </c>
      <c r="B116" s="228">
        <v>1.008</v>
      </c>
      <c r="C116" s="228">
        <v>1.008</v>
      </c>
      <c r="D116" s="228">
        <v>1.008</v>
      </c>
      <c r="E116" s="228">
        <v>1.008</v>
      </c>
      <c r="F116" s="231">
        <v>7097</v>
      </c>
    </row>
    <row r="117" spans="1:6" ht="32.25" customHeight="1" x14ac:dyDescent="0.15">
      <c r="A117" s="232" t="s">
        <v>839</v>
      </c>
      <c r="B117" s="228">
        <v>1.0049999999999999</v>
      </c>
      <c r="C117" s="228">
        <v>1.0049999999999999</v>
      </c>
      <c r="D117" s="228">
        <v>1.006</v>
      </c>
      <c r="E117" s="228">
        <v>1.0049999999999999</v>
      </c>
      <c r="F117" s="231">
        <v>833</v>
      </c>
    </row>
    <row r="118" spans="1:6" ht="32.25" customHeight="1" x14ac:dyDescent="0.15">
      <c r="A118" s="232" t="s">
        <v>840</v>
      </c>
      <c r="B118" s="228">
        <v>1.0069999999999999</v>
      </c>
      <c r="C118" s="228">
        <v>0.999</v>
      </c>
      <c r="D118" s="228">
        <v>0.998</v>
      </c>
      <c r="E118" s="228">
        <v>1.012</v>
      </c>
      <c r="F118" s="231">
        <v>867</v>
      </c>
    </row>
    <row r="119" spans="1:6" ht="32.25" customHeight="1" x14ac:dyDescent="0.15">
      <c r="A119" s="232" t="s">
        <v>841</v>
      </c>
      <c r="B119" s="228">
        <v>1.0249999999999999</v>
      </c>
      <c r="C119" s="228">
        <v>1.0289999999999999</v>
      </c>
      <c r="D119" s="228">
        <v>1.0329999999999999</v>
      </c>
      <c r="E119" s="228">
        <v>1.0229999999999999</v>
      </c>
      <c r="F119" s="231">
        <v>868</v>
      </c>
    </row>
    <row r="120" spans="1:6" ht="32.25" customHeight="1" x14ac:dyDescent="0.15">
      <c r="A120" s="232" t="s">
        <v>842</v>
      </c>
      <c r="B120" s="228">
        <v>1.0209999999999999</v>
      </c>
      <c r="C120" s="228">
        <v>1.022</v>
      </c>
      <c r="D120" s="228">
        <v>1.036</v>
      </c>
      <c r="E120" s="228">
        <v>1.012</v>
      </c>
      <c r="F120" s="231">
        <v>869</v>
      </c>
    </row>
    <row r="121" spans="1:6" ht="32.25" customHeight="1" x14ac:dyDescent="0.15">
      <c r="A121" s="232" t="s">
        <v>843</v>
      </c>
      <c r="B121" s="228">
        <v>1.0069999999999999</v>
      </c>
      <c r="C121" s="228">
        <v>0.99299999999999999</v>
      </c>
      <c r="D121" s="228">
        <v>0.99099999999999999</v>
      </c>
      <c r="E121" s="228">
        <v>1.012</v>
      </c>
      <c r="F121" s="231">
        <v>870</v>
      </c>
    </row>
    <row r="122" spans="1:6" ht="32.25" customHeight="1" x14ac:dyDescent="0.15">
      <c r="A122" s="232" t="s">
        <v>844</v>
      </c>
      <c r="B122" s="228">
        <v>1.0189999999999999</v>
      </c>
      <c r="C122" s="228">
        <v>1.0189999999999999</v>
      </c>
      <c r="D122" s="228">
        <v>1.0289999999999999</v>
      </c>
      <c r="E122" s="228">
        <v>1.02</v>
      </c>
      <c r="F122" s="231">
        <v>872</v>
      </c>
    </row>
    <row r="123" spans="1:6" ht="32.25" customHeight="1" x14ac:dyDescent="0.15">
      <c r="A123" s="232" t="s">
        <v>845</v>
      </c>
      <c r="B123" s="228">
        <v>1.0369999999999999</v>
      </c>
      <c r="C123" s="228">
        <v>1.0409999999999999</v>
      </c>
      <c r="D123" s="228">
        <v>1.0449999999999999</v>
      </c>
      <c r="E123" s="228">
        <v>1.032</v>
      </c>
      <c r="F123" s="231">
        <v>873</v>
      </c>
    </row>
    <row r="124" spans="1:6" ht="32.25" customHeight="1" x14ac:dyDescent="0.15">
      <c r="A124" s="232" t="s">
        <v>846</v>
      </c>
      <c r="B124" s="228">
        <v>1.01</v>
      </c>
      <c r="C124" s="228">
        <v>1.008</v>
      </c>
      <c r="D124" s="228">
        <v>1.008</v>
      </c>
      <c r="E124" s="228">
        <v>1.01</v>
      </c>
      <c r="F124" s="231">
        <v>874</v>
      </c>
    </row>
    <row r="125" spans="1:6" ht="32.25" customHeight="1" x14ac:dyDescent="0.15">
      <c r="A125" s="232" t="s">
        <v>847</v>
      </c>
      <c r="B125" s="228">
        <v>1.0249999999999999</v>
      </c>
      <c r="C125" s="228">
        <v>1.0149999999999999</v>
      </c>
      <c r="D125" s="228">
        <v>1.0129999999999999</v>
      </c>
      <c r="E125" s="228">
        <v>1.022</v>
      </c>
      <c r="F125" s="231">
        <v>875</v>
      </c>
    </row>
    <row r="126" spans="1:6" ht="32.25" customHeight="1" x14ac:dyDescent="0.15">
      <c r="A126" s="232" t="s">
        <v>848</v>
      </c>
      <c r="B126" s="228">
        <v>1.022</v>
      </c>
      <c r="C126" s="228">
        <v>1.02</v>
      </c>
      <c r="D126" s="228">
        <v>1.018</v>
      </c>
      <c r="E126" s="228">
        <v>1.0169999999999999</v>
      </c>
      <c r="F126" s="231">
        <v>705</v>
      </c>
    </row>
    <row r="127" spans="1:6" ht="32.25" customHeight="1" x14ac:dyDescent="0.15">
      <c r="A127" s="232" t="s">
        <v>849</v>
      </c>
      <c r="B127" s="228">
        <v>1.0289999999999999</v>
      </c>
      <c r="C127" s="228">
        <v>0.998</v>
      </c>
      <c r="D127" s="228">
        <v>0.98799999999999999</v>
      </c>
      <c r="E127" s="228">
        <v>1.022</v>
      </c>
      <c r="F127" s="231">
        <v>876</v>
      </c>
    </row>
    <row r="128" spans="1:6" ht="32.25" customHeight="1" x14ac:dyDescent="0.15">
      <c r="A128" s="232" t="s">
        <v>850</v>
      </c>
      <c r="B128" s="228">
        <v>1.0209999999999999</v>
      </c>
      <c r="C128" s="228">
        <v>1.002</v>
      </c>
      <c r="D128" s="228">
        <v>0.999</v>
      </c>
      <c r="E128" s="228">
        <v>1.0189999999999999</v>
      </c>
      <c r="F128" s="231">
        <v>877</v>
      </c>
    </row>
    <row r="129" spans="1:6" ht="32.25" customHeight="1" x14ac:dyDescent="0.15">
      <c r="A129" s="232" t="s">
        <v>851</v>
      </c>
      <c r="B129" s="228">
        <v>1.0349999999999999</v>
      </c>
      <c r="C129" s="228">
        <v>1.0449999999999999</v>
      </c>
      <c r="D129" s="228">
        <v>1.0509999999999999</v>
      </c>
      <c r="E129" s="228">
        <v>1.032</v>
      </c>
      <c r="F129" s="231">
        <v>878</v>
      </c>
    </row>
    <row r="130" spans="1:6" ht="32.25" customHeight="1" x14ac:dyDescent="0.15">
      <c r="A130" s="232" t="s">
        <v>852</v>
      </c>
      <c r="B130" s="228">
        <v>1.0429999999999999</v>
      </c>
      <c r="C130" s="228">
        <v>1.036</v>
      </c>
      <c r="D130" s="228">
        <v>1.0389999999999999</v>
      </c>
      <c r="E130" s="228">
        <v>1.032</v>
      </c>
      <c r="F130" s="231">
        <v>880</v>
      </c>
    </row>
    <row r="131" spans="1:6" ht="32.25" customHeight="1" x14ac:dyDescent="0.15">
      <c r="A131" s="232" t="s">
        <v>853</v>
      </c>
      <c r="B131" s="228">
        <v>1.014</v>
      </c>
      <c r="C131" s="228">
        <v>1.008</v>
      </c>
      <c r="D131" s="228">
        <v>1.022</v>
      </c>
      <c r="E131" s="228">
        <v>1.018</v>
      </c>
      <c r="F131" s="231">
        <v>881</v>
      </c>
    </row>
    <row r="132" spans="1:6" ht="32.25" customHeight="1" x14ac:dyDescent="0.15">
      <c r="A132" s="232" t="s">
        <v>854</v>
      </c>
      <c r="B132" s="228">
        <v>1.0249999999999999</v>
      </c>
      <c r="C132" s="228">
        <v>1.02</v>
      </c>
      <c r="D132" s="228">
        <v>1.0189999999999999</v>
      </c>
      <c r="E132" s="228">
        <v>1.022</v>
      </c>
      <c r="F132" s="231">
        <v>882</v>
      </c>
    </row>
    <row r="133" spans="1:6" ht="32.25" customHeight="1" x14ac:dyDescent="0.15">
      <c r="A133" s="232" t="s">
        <v>855</v>
      </c>
      <c r="B133" s="228">
        <v>1.014</v>
      </c>
      <c r="C133" s="228">
        <v>1.0129999999999999</v>
      </c>
      <c r="D133" s="228">
        <v>1.0129999999999999</v>
      </c>
      <c r="E133" s="228">
        <v>1.0109999999999999</v>
      </c>
      <c r="F133" s="231">
        <v>883</v>
      </c>
    </row>
    <row r="134" spans="1:6" ht="32.25" customHeight="1" x14ac:dyDescent="0.15">
      <c r="A134" s="232" t="s">
        <v>856</v>
      </c>
      <c r="B134" s="228">
        <v>1.0289999999999999</v>
      </c>
      <c r="C134" s="228">
        <v>1.006</v>
      </c>
      <c r="D134" s="228">
        <v>1.002</v>
      </c>
      <c r="E134" s="228">
        <v>1.024</v>
      </c>
      <c r="F134" s="231">
        <v>884</v>
      </c>
    </row>
    <row r="135" spans="1:6" ht="32.25" customHeight="1" x14ac:dyDescent="0.15">
      <c r="A135" s="232" t="s">
        <v>857</v>
      </c>
      <c r="B135" s="228">
        <v>1.0289999999999999</v>
      </c>
      <c r="C135" s="228">
        <v>1.008</v>
      </c>
      <c r="D135" s="228">
        <v>0.999</v>
      </c>
      <c r="E135" s="228">
        <v>1.0229999999999999</v>
      </c>
      <c r="F135" s="231">
        <v>349</v>
      </c>
    </row>
    <row r="136" spans="1:6" ht="32.25" customHeight="1" x14ac:dyDescent="0.15">
      <c r="A136" s="232" t="s">
        <v>858</v>
      </c>
      <c r="B136" s="228">
        <v>1.018</v>
      </c>
      <c r="C136" s="228">
        <v>1.0109999999999999</v>
      </c>
      <c r="D136" s="228">
        <v>1.006</v>
      </c>
      <c r="E136" s="228">
        <v>1.0149999999999999</v>
      </c>
      <c r="F136" s="231">
        <v>885</v>
      </c>
    </row>
    <row r="137" spans="1:6" ht="32.25" customHeight="1" x14ac:dyDescent="0.15">
      <c r="A137" s="232" t="s">
        <v>859</v>
      </c>
      <c r="B137" s="228">
        <v>1.0389999999999999</v>
      </c>
      <c r="C137" s="228">
        <v>1.028</v>
      </c>
      <c r="D137" s="228">
        <v>1.042</v>
      </c>
      <c r="E137" s="228">
        <v>1.0409999999999999</v>
      </c>
      <c r="F137" s="231">
        <v>886</v>
      </c>
    </row>
    <row r="138" spans="1:6" ht="32.25" customHeight="1" x14ac:dyDescent="0.15">
      <c r="A138" s="232" t="s">
        <v>860</v>
      </c>
      <c r="B138" s="228">
        <v>1.032</v>
      </c>
      <c r="C138" s="228">
        <v>1.0329999999999999</v>
      </c>
      <c r="D138" s="228">
        <v>1.032</v>
      </c>
      <c r="E138" s="228">
        <v>1.028</v>
      </c>
      <c r="F138" s="231">
        <v>888</v>
      </c>
    </row>
    <row r="139" spans="1:6" ht="32.25" customHeight="1" x14ac:dyDescent="0.15">
      <c r="A139" s="232" t="s">
        <v>861</v>
      </c>
      <c r="B139" s="228">
        <v>1.077</v>
      </c>
      <c r="C139" s="228">
        <v>1.0509999999999999</v>
      </c>
      <c r="D139" s="228">
        <v>1.0429999999999999</v>
      </c>
      <c r="E139" s="228">
        <v>1.0640000000000001</v>
      </c>
      <c r="F139" s="231">
        <v>889</v>
      </c>
    </row>
    <row r="140" spans="1:6" ht="32.25" customHeight="1" x14ac:dyDescent="0.15">
      <c r="A140" s="232" t="s">
        <v>862</v>
      </c>
      <c r="B140" s="228">
        <v>1.0649999999999999</v>
      </c>
      <c r="C140" s="228">
        <v>1.046</v>
      </c>
      <c r="D140" s="228">
        <v>1.04</v>
      </c>
      <c r="E140" s="228">
        <v>1.052</v>
      </c>
      <c r="F140" s="231">
        <v>890</v>
      </c>
    </row>
    <row r="141" spans="1:6" ht="32.25" customHeight="1" x14ac:dyDescent="0.15">
      <c r="A141" s="232" t="s">
        <v>863</v>
      </c>
      <c r="B141" s="228">
        <v>1.016</v>
      </c>
      <c r="C141" s="228">
        <v>1.0149999999999999</v>
      </c>
      <c r="D141" s="228">
        <v>1.012</v>
      </c>
      <c r="E141" s="228">
        <v>1.0109999999999999</v>
      </c>
      <c r="F141" s="231">
        <v>834</v>
      </c>
    </row>
    <row r="142" spans="1:6" ht="32.25" customHeight="1" x14ac:dyDescent="0.15">
      <c r="A142" s="232" t="s">
        <v>864</v>
      </c>
      <c r="B142" s="228">
        <v>1.01</v>
      </c>
      <c r="C142" s="228">
        <v>1.0109999999999999</v>
      </c>
      <c r="D142" s="228">
        <v>1.0209999999999999</v>
      </c>
      <c r="E142" s="228">
        <v>1.0109999999999999</v>
      </c>
      <c r="F142" s="231">
        <v>891</v>
      </c>
    </row>
    <row r="143" spans="1:6" ht="32.25" customHeight="1" x14ac:dyDescent="0.15">
      <c r="A143" s="232" t="s">
        <v>865</v>
      </c>
      <c r="B143" s="228">
        <v>1.016</v>
      </c>
      <c r="C143" s="228">
        <v>1.014</v>
      </c>
      <c r="D143" s="228">
        <v>1.0149999999999999</v>
      </c>
      <c r="E143" s="228">
        <v>1.0149999999999999</v>
      </c>
      <c r="F143" s="231">
        <v>892</v>
      </c>
    </row>
    <row r="144" spans="1:6" ht="32.25" customHeight="1" x14ac:dyDescent="0.15">
      <c r="A144" s="232" t="s">
        <v>866</v>
      </c>
      <c r="B144" s="228">
        <v>1.0580000000000001</v>
      </c>
      <c r="C144" s="228">
        <v>1.054</v>
      </c>
      <c r="D144" s="228">
        <v>1.0469999999999999</v>
      </c>
      <c r="E144" s="228">
        <v>1.05</v>
      </c>
      <c r="F144" s="231">
        <v>893</v>
      </c>
    </row>
    <row r="145" spans="1:6" ht="32.25" customHeight="1" x14ac:dyDescent="0.15">
      <c r="A145" s="232" t="s">
        <v>867</v>
      </c>
      <c r="B145" s="228">
        <v>1.01</v>
      </c>
      <c r="C145" s="228">
        <v>1.008</v>
      </c>
      <c r="D145" s="228">
        <v>1.0049999999999999</v>
      </c>
      <c r="E145" s="228">
        <v>1.008</v>
      </c>
      <c r="F145" s="231">
        <v>894</v>
      </c>
    </row>
    <row r="146" spans="1:6" ht="32.25" customHeight="1" x14ac:dyDescent="0.15">
      <c r="A146" s="232" t="s">
        <v>868</v>
      </c>
      <c r="B146" s="228">
        <v>1.016</v>
      </c>
      <c r="C146" s="228">
        <v>1.014</v>
      </c>
      <c r="D146" s="228">
        <v>1.014</v>
      </c>
      <c r="E146" s="228">
        <v>1.0129999999999999</v>
      </c>
      <c r="F146" s="231">
        <v>895</v>
      </c>
    </row>
    <row r="147" spans="1:6" ht="32.25" customHeight="1" x14ac:dyDescent="0.15">
      <c r="A147" s="232" t="s">
        <v>869</v>
      </c>
      <c r="B147" s="228">
        <v>1.016</v>
      </c>
      <c r="C147" s="228">
        <v>1.0129999999999999</v>
      </c>
      <c r="D147" s="228">
        <v>1.0329999999999999</v>
      </c>
      <c r="E147" s="228">
        <v>1.02</v>
      </c>
      <c r="F147" s="231">
        <v>896</v>
      </c>
    </row>
    <row r="148" spans="1:6" ht="32.25" customHeight="1" x14ac:dyDescent="0.15">
      <c r="A148" s="232" t="s">
        <v>870</v>
      </c>
      <c r="B148" s="228">
        <v>0.99399999999999999</v>
      </c>
      <c r="C148" s="228">
        <v>0.98599999999999999</v>
      </c>
      <c r="D148" s="228">
        <v>0.97499999999999998</v>
      </c>
      <c r="E148" s="228">
        <v>0.99199999999999999</v>
      </c>
      <c r="F148" s="231">
        <v>720</v>
      </c>
    </row>
    <row r="149" spans="1:6" ht="32.25" customHeight="1" x14ac:dyDescent="0.15">
      <c r="A149" s="232" t="s">
        <v>871</v>
      </c>
      <c r="B149" s="228">
        <v>1.028</v>
      </c>
      <c r="C149" s="228">
        <v>1.002</v>
      </c>
      <c r="D149" s="228">
        <v>0.996</v>
      </c>
      <c r="E149" s="228">
        <v>1.028</v>
      </c>
      <c r="F149" s="231">
        <v>848</v>
      </c>
    </row>
    <row r="150" spans="1:6" ht="32.25" customHeight="1" x14ac:dyDescent="0.15">
      <c r="A150" s="232" t="s">
        <v>872</v>
      </c>
      <c r="B150" s="228">
        <v>1.04</v>
      </c>
      <c r="C150" s="228">
        <v>1.038</v>
      </c>
      <c r="D150" s="228">
        <v>1.0349999999999999</v>
      </c>
      <c r="E150" s="228">
        <v>1.028</v>
      </c>
      <c r="F150" s="231">
        <v>722</v>
      </c>
    </row>
    <row r="151" spans="1:6" ht="32.25" customHeight="1" x14ac:dyDescent="0.15">
      <c r="A151" s="232" t="s">
        <v>873</v>
      </c>
      <c r="B151" s="228">
        <v>1.018</v>
      </c>
      <c r="C151" s="228">
        <v>1.0149999999999999</v>
      </c>
      <c r="D151" s="228">
        <v>1.0129999999999999</v>
      </c>
      <c r="E151" s="228">
        <v>1.0149999999999999</v>
      </c>
      <c r="F151" s="231">
        <v>724</v>
      </c>
    </row>
    <row r="152" spans="1:6" ht="32.25" customHeight="1" x14ac:dyDescent="0.15">
      <c r="A152" s="232" t="s">
        <v>874</v>
      </c>
      <c r="B152" s="228">
        <v>1.034</v>
      </c>
      <c r="C152" s="228">
        <v>1.026</v>
      </c>
      <c r="D152" s="228">
        <v>1.0269999999999999</v>
      </c>
      <c r="E152" s="228">
        <v>1.03</v>
      </c>
      <c r="F152" s="231">
        <v>725</v>
      </c>
    </row>
    <row r="153" spans="1:6" ht="32.25" customHeight="1" x14ac:dyDescent="0.15">
      <c r="A153" s="232" t="s">
        <v>875</v>
      </c>
      <c r="B153" s="228">
        <v>1.014</v>
      </c>
      <c r="C153" s="228">
        <v>1.0109999999999999</v>
      </c>
      <c r="D153" s="228">
        <v>1.0169999999999999</v>
      </c>
      <c r="E153" s="228">
        <v>1.0129999999999999</v>
      </c>
      <c r="F153" s="231">
        <v>726</v>
      </c>
    </row>
    <row r="154" spans="1:6" ht="32.25" customHeight="1" x14ac:dyDescent="0.15">
      <c r="A154" s="232" t="s">
        <v>876</v>
      </c>
      <c r="B154" s="228">
        <v>1.026</v>
      </c>
      <c r="C154" s="228">
        <v>0.98699999999999999</v>
      </c>
      <c r="D154" s="228">
        <v>0.97699999999999998</v>
      </c>
      <c r="E154" s="228">
        <v>1.0209999999999999</v>
      </c>
      <c r="F154" s="231">
        <v>727</v>
      </c>
    </row>
    <row r="155" spans="1:6" ht="32.25" customHeight="1" x14ac:dyDescent="0.15">
      <c r="A155" s="232" t="s">
        <v>877</v>
      </c>
      <c r="B155" s="228">
        <v>1.0069999999999999</v>
      </c>
      <c r="C155" s="228">
        <v>0.995</v>
      </c>
      <c r="D155" s="228">
        <v>0.996</v>
      </c>
      <c r="E155" s="228">
        <v>1.012</v>
      </c>
      <c r="F155" s="231">
        <v>831</v>
      </c>
    </row>
    <row r="156" spans="1:6" ht="32.25" customHeight="1" x14ac:dyDescent="0.15">
      <c r="A156" s="232" t="s">
        <v>878</v>
      </c>
      <c r="B156" s="228">
        <v>1.046</v>
      </c>
      <c r="C156" s="228">
        <v>1.0329999999999999</v>
      </c>
      <c r="D156" s="228">
        <v>1.028</v>
      </c>
      <c r="E156" s="228">
        <v>1.038</v>
      </c>
      <c r="F156" s="231">
        <v>832</v>
      </c>
    </row>
    <row r="157" spans="1:6" ht="32.25" customHeight="1" x14ac:dyDescent="0.15">
      <c r="A157" s="232" t="s">
        <v>879</v>
      </c>
      <c r="B157" s="228">
        <v>1.034</v>
      </c>
      <c r="C157" s="228">
        <v>1.024</v>
      </c>
      <c r="D157" s="228">
        <v>1.0189999999999999</v>
      </c>
      <c r="E157" s="228">
        <v>1.032</v>
      </c>
      <c r="F157" s="231" t="s">
        <v>1096</v>
      </c>
    </row>
    <row r="158" spans="1:6" ht="32.25" customHeight="1" x14ac:dyDescent="0.15">
      <c r="A158" s="232" t="s">
        <v>880</v>
      </c>
      <c r="B158" s="228">
        <v>1.016</v>
      </c>
      <c r="C158" s="228">
        <v>1.0109999999999999</v>
      </c>
      <c r="D158" s="228">
        <v>1.0229999999999999</v>
      </c>
      <c r="E158" s="228">
        <v>1.022</v>
      </c>
      <c r="F158" s="231">
        <v>850</v>
      </c>
    </row>
    <row r="159" spans="1:6" ht="32.25" customHeight="1" x14ac:dyDescent="0.15">
      <c r="A159" s="232" t="s">
        <v>881</v>
      </c>
      <c r="B159" s="228">
        <v>1.016</v>
      </c>
      <c r="C159" s="228">
        <v>1.008</v>
      </c>
      <c r="D159" s="228">
        <v>1.0069999999999999</v>
      </c>
      <c r="E159" s="228">
        <v>1.0149999999999999</v>
      </c>
      <c r="F159" s="231">
        <v>661</v>
      </c>
    </row>
    <row r="160" spans="1:6" ht="32.25" customHeight="1" x14ac:dyDescent="0.15">
      <c r="A160" s="232" t="s">
        <v>882</v>
      </c>
      <c r="B160" s="228">
        <v>1.0189999999999999</v>
      </c>
      <c r="C160" s="228">
        <v>1.0149999999999999</v>
      </c>
      <c r="D160" s="228">
        <v>1.012</v>
      </c>
      <c r="E160" s="228">
        <v>1.016</v>
      </c>
      <c r="F160" s="231">
        <v>662</v>
      </c>
    </row>
    <row r="161" spans="1:6" ht="32.25" customHeight="1" x14ac:dyDescent="0.15">
      <c r="A161" s="232" t="s">
        <v>883</v>
      </c>
      <c r="B161" s="228">
        <v>1.01</v>
      </c>
      <c r="C161" s="228">
        <v>1.004</v>
      </c>
      <c r="D161" s="228">
        <v>1.0009999999999999</v>
      </c>
      <c r="E161" s="228">
        <v>1.0109999999999999</v>
      </c>
      <c r="F161" s="231">
        <v>452</v>
      </c>
    </row>
    <row r="162" spans="1:6" ht="32.25" customHeight="1" x14ac:dyDescent="0.15">
      <c r="A162" s="232" t="s">
        <v>884</v>
      </c>
      <c r="B162" s="228">
        <v>1.0149999999999999</v>
      </c>
      <c r="C162" s="228">
        <v>0.999</v>
      </c>
      <c r="D162" s="228">
        <v>0.996</v>
      </c>
      <c r="E162" s="228">
        <v>1.014</v>
      </c>
      <c r="F162" s="231">
        <v>663</v>
      </c>
    </row>
    <row r="163" spans="1:6" ht="32.25" customHeight="1" x14ac:dyDescent="0.15">
      <c r="A163" s="232" t="s">
        <v>885</v>
      </c>
      <c r="B163" s="228">
        <v>1.016</v>
      </c>
      <c r="C163" s="228">
        <v>1.0149999999999999</v>
      </c>
      <c r="D163" s="228">
        <v>1.012</v>
      </c>
      <c r="E163" s="228">
        <v>1.0109999999999999</v>
      </c>
      <c r="F163" s="231">
        <v>897</v>
      </c>
    </row>
    <row r="164" spans="1:6" ht="32.25" customHeight="1" x14ac:dyDescent="0.15">
      <c r="A164" s="232" t="s">
        <v>886</v>
      </c>
      <c r="B164" s="228">
        <v>1.02</v>
      </c>
      <c r="C164" s="228">
        <v>1.014</v>
      </c>
      <c r="D164" s="228">
        <v>1.012</v>
      </c>
      <c r="E164" s="228">
        <v>1.016</v>
      </c>
      <c r="F164" s="231">
        <v>458</v>
      </c>
    </row>
    <row r="165" spans="1:6" ht="32.25" customHeight="1" x14ac:dyDescent="0.15">
      <c r="A165" s="232" t="s">
        <v>887</v>
      </c>
      <c r="B165" s="228">
        <v>1.016</v>
      </c>
      <c r="C165" s="228">
        <v>1.0129999999999999</v>
      </c>
      <c r="D165" s="228">
        <v>1.0109999999999999</v>
      </c>
      <c r="E165" s="228">
        <v>1.0129999999999999</v>
      </c>
      <c r="F165" s="231">
        <v>596</v>
      </c>
    </row>
    <row r="166" spans="1:6" ht="32.25" customHeight="1" x14ac:dyDescent="0.15">
      <c r="A166" s="232" t="s">
        <v>888</v>
      </c>
      <c r="B166" s="228">
        <v>1.024</v>
      </c>
      <c r="C166" s="228">
        <v>1.0109999999999999</v>
      </c>
      <c r="D166" s="228">
        <v>1.01</v>
      </c>
      <c r="E166" s="228">
        <v>1.02</v>
      </c>
      <c r="F166" s="231">
        <v>597</v>
      </c>
    </row>
    <row r="167" spans="1:6" ht="32.25" customHeight="1" x14ac:dyDescent="0.15">
      <c r="A167" s="232" t="s">
        <v>889</v>
      </c>
      <c r="B167" s="228">
        <v>1.008</v>
      </c>
      <c r="C167" s="228">
        <v>1.004</v>
      </c>
      <c r="D167" s="228">
        <v>1.0029999999999999</v>
      </c>
      <c r="E167" s="228">
        <v>1.006</v>
      </c>
      <c r="F167" s="231">
        <v>665</v>
      </c>
    </row>
    <row r="168" spans="1:6" ht="32.25" customHeight="1" x14ac:dyDescent="0.15">
      <c r="A168" s="232" t="s">
        <v>890</v>
      </c>
      <c r="B168" s="228">
        <v>1.006</v>
      </c>
      <c r="C168" s="228">
        <v>1.0009999999999999</v>
      </c>
      <c r="D168" s="228">
        <v>0.99399999999999999</v>
      </c>
      <c r="E168" s="228">
        <v>1.006</v>
      </c>
      <c r="F168" s="231">
        <v>598</v>
      </c>
    </row>
    <row r="169" spans="1:6" ht="32.25" customHeight="1" x14ac:dyDescent="0.15">
      <c r="A169" s="232" t="s">
        <v>891</v>
      </c>
      <c r="B169" s="228">
        <v>1.012</v>
      </c>
      <c r="C169" s="228">
        <v>1.0169999999999999</v>
      </c>
      <c r="D169" s="228">
        <v>1.0269999999999999</v>
      </c>
      <c r="E169" s="228">
        <v>1.01</v>
      </c>
      <c r="F169" s="231">
        <v>459</v>
      </c>
    </row>
    <row r="170" spans="1:6" ht="32.25" customHeight="1" x14ac:dyDescent="0.15">
      <c r="A170" s="232" t="s">
        <v>892</v>
      </c>
      <c r="B170" s="228">
        <v>0.99099999999999999</v>
      </c>
      <c r="C170" s="228">
        <v>0.98399999999999999</v>
      </c>
      <c r="D170" s="228">
        <v>0.98299999999999998</v>
      </c>
      <c r="E170" s="228">
        <v>0.98799999999999999</v>
      </c>
      <c r="F170" s="231">
        <v>599</v>
      </c>
    </row>
    <row r="171" spans="1:6" ht="32.25" customHeight="1" x14ac:dyDescent="0.15">
      <c r="A171" s="232" t="s">
        <v>893</v>
      </c>
      <c r="B171" s="228">
        <v>1.0349999999999999</v>
      </c>
      <c r="C171" s="228">
        <v>1.0189999999999999</v>
      </c>
      <c r="D171" s="228">
        <v>1.0089999999999999</v>
      </c>
      <c r="E171" s="228">
        <v>1.0289999999999999</v>
      </c>
      <c r="F171" s="231">
        <v>666</v>
      </c>
    </row>
    <row r="172" spans="1:6" ht="32.25" customHeight="1" x14ac:dyDescent="0.15">
      <c r="A172" s="232" t="s">
        <v>894</v>
      </c>
      <c r="B172" s="228">
        <v>0.997</v>
      </c>
      <c r="C172" s="228">
        <v>0.99199999999999999</v>
      </c>
      <c r="D172" s="228">
        <v>0.99399999999999999</v>
      </c>
      <c r="E172" s="228">
        <v>0.996</v>
      </c>
      <c r="F172" s="231">
        <v>460</v>
      </c>
    </row>
    <row r="173" spans="1:6" ht="32.25" customHeight="1" x14ac:dyDescent="0.15">
      <c r="A173" s="232" t="s">
        <v>895</v>
      </c>
      <c r="B173" s="228">
        <v>0.996</v>
      </c>
      <c r="C173" s="228">
        <v>0.98</v>
      </c>
      <c r="D173" s="228">
        <v>0.97899999999999998</v>
      </c>
      <c r="E173" s="228">
        <v>0.997</v>
      </c>
      <c r="F173" s="231">
        <v>650</v>
      </c>
    </row>
    <row r="174" spans="1:6" ht="32.25" customHeight="1" x14ac:dyDescent="0.15">
      <c r="A174" s="232" t="s">
        <v>896</v>
      </c>
      <c r="B174" s="228">
        <v>1.0109999999999999</v>
      </c>
      <c r="C174" s="228">
        <v>0.998</v>
      </c>
      <c r="D174" s="228">
        <v>1.0189999999999999</v>
      </c>
      <c r="E174" s="228">
        <v>1.014</v>
      </c>
      <c r="F174" s="231">
        <v>651</v>
      </c>
    </row>
    <row r="175" spans="1:6" ht="32.25" customHeight="1" x14ac:dyDescent="0.15">
      <c r="A175" s="232" t="s">
        <v>897</v>
      </c>
      <c r="B175" s="228">
        <v>1.018</v>
      </c>
      <c r="C175" s="228">
        <v>1.0149999999999999</v>
      </c>
      <c r="D175" s="228">
        <v>1.0149999999999999</v>
      </c>
      <c r="E175" s="228">
        <v>1.016</v>
      </c>
      <c r="F175" s="231">
        <v>652</v>
      </c>
    </row>
    <row r="176" spans="1:6" ht="32.25" customHeight="1" x14ac:dyDescent="0.15">
      <c r="A176" s="232" t="s">
        <v>898</v>
      </c>
      <c r="B176" s="228">
        <v>1.018</v>
      </c>
      <c r="C176" s="228">
        <v>1.01</v>
      </c>
      <c r="D176" s="228">
        <v>1.03</v>
      </c>
      <c r="E176" s="228">
        <v>1.022</v>
      </c>
      <c r="F176" s="231">
        <v>667</v>
      </c>
    </row>
    <row r="177" spans="1:6" ht="32.25" customHeight="1" x14ac:dyDescent="0.15">
      <c r="A177" s="232" t="s">
        <v>899</v>
      </c>
      <c r="B177" s="228">
        <v>0.998</v>
      </c>
      <c r="C177" s="228">
        <v>0.98799999999999999</v>
      </c>
      <c r="D177" s="228">
        <v>0.98099999999999998</v>
      </c>
      <c r="E177" s="228">
        <v>0.999</v>
      </c>
      <c r="F177" s="231">
        <v>465</v>
      </c>
    </row>
    <row r="178" spans="1:6" ht="32.25" customHeight="1" x14ac:dyDescent="0.15">
      <c r="A178" s="232" t="s">
        <v>900</v>
      </c>
      <c r="B178" s="228">
        <v>1.014</v>
      </c>
      <c r="C178" s="228">
        <v>1.004</v>
      </c>
      <c r="D178" s="228">
        <v>1.002</v>
      </c>
      <c r="E178" s="228">
        <v>1.01</v>
      </c>
      <c r="F178" s="231">
        <v>653</v>
      </c>
    </row>
    <row r="179" spans="1:6" ht="32.25" customHeight="1" x14ac:dyDescent="0.15">
      <c r="A179" s="232" t="s">
        <v>901</v>
      </c>
      <c r="B179" s="228">
        <v>1.0049999999999999</v>
      </c>
      <c r="C179" s="228">
        <v>1.004</v>
      </c>
      <c r="D179" s="228">
        <v>1.0029999999999999</v>
      </c>
      <c r="E179" s="228">
        <v>1.0049999999999999</v>
      </c>
      <c r="F179" s="231">
        <v>654</v>
      </c>
    </row>
    <row r="180" spans="1:6" ht="32.25" customHeight="1" x14ac:dyDescent="0.15">
      <c r="A180" s="232" t="s">
        <v>902</v>
      </c>
      <c r="B180" s="228">
        <v>0.997</v>
      </c>
      <c r="C180" s="228">
        <v>1.0129999999999999</v>
      </c>
      <c r="D180" s="228">
        <v>1.0329999999999999</v>
      </c>
      <c r="E180" s="228">
        <v>0.995</v>
      </c>
      <c r="F180" s="231">
        <v>656</v>
      </c>
    </row>
    <row r="181" spans="1:6" ht="32.25" customHeight="1" x14ac:dyDescent="0.15">
      <c r="A181" s="232" t="s">
        <v>903</v>
      </c>
      <c r="B181" s="228">
        <v>1.0009999999999999</v>
      </c>
      <c r="C181" s="228">
        <v>0.998</v>
      </c>
      <c r="D181" s="228">
        <v>0.998</v>
      </c>
      <c r="E181" s="228">
        <v>1.0069999999999999</v>
      </c>
      <c r="F181" s="231">
        <v>664</v>
      </c>
    </row>
    <row r="182" spans="1:6" ht="32.25" customHeight="1" x14ac:dyDescent="0.15">
      <c r="A182" s="232" t="s">
        <v>904</v>
      </c>
      <c r="B182" s="228">
        <v>1.0189999999999999</v>
      </c>
      <c r="C182" s="228">
        <v>1.0109999999999999</v>
      </c>
      <c r="D182" s="228">
        <v>1.0029999999999999</v>
      </c>
      <c r="E182" s="228">
        <v>1.0129999999999999</v>
      </c>
      <c r="F182" s="231">
        <v>524</v>
      </c>
    </row>
    <row r="183" spans="1:6" ht="32.25" customHeight="1" x14ac:dyDescent="0.15">
      <c r="A183" s="232" t="s">
        <v>905</v>
      </c>
      <c r="B183" s="228">
        <v>1.0449999999999999</v>
      </c>
      <c r="C183" s="228">
        <v>1.022</v>
      </c>
      <c r="D183" s="228">
        <v>1.0129999999999999</v>
      </c>
      <c r="E183" s="228">
        <v>1.034</v>
      </c>
      <c r="F183" s="231">
        <v>675</v>
      </c>
    </row>
    <row r="184" spans="1:6" ht="32.25" customHeight="1" x14ac:dyDescent="0.15">
      <c r="A184" s="232" t="s">
        <v>906</v>
      </c>
      <c r="B184" s="228">
        <v>1.073</v>
      </c>
      <c r="C184" s="228">
        <v>1.054</v>
      </c>
      <c r="D184" s="228">
        <v>1.046</v>
      </c>
      <c r="E184" s="228">
        <v>1.0589999999999999</v>
      </c>
      <c r="F184" s="231">
        <v>676</v>
      </c>
    </row>
    <row r="185" spans="1:6" ht="32.25" customHeight="1" x14ac:dyDescent="0.15">
      <c r="A185" s="232" t="s">
        <v>907</v>
      </c>
      <c r="B185" s="228">
        <v>1.022</v>
      </c>
      <c r="C185" s="228">
        <v>1.0249999999999999</v>
      </c>
      <c r="D185" s="228">
        <v>1.032</v>
      </c>
      <c r="E185" s="228">
        <v>1.0229999999999999</v>
      </c>
      <c r="F185" s="231">
        <v>681</v>
      </c>
    </row>
    <row r="186" spans="1:6" ht="32.25" customHeight="1" x14ac:dyDescent="0.15">
      <c r="A186" s="232" t="s">
        <v>908</v>
      </c>
      <c r="B186" s="228">
        <v>1.0129999999999999</v>
      </c>
      <c r="C186" s="228">
        <v>1.173</v>
      </c>
      <c r="D186" s="228">
        <v>1.2190000000000001</v>
      </c>
      <c r="E186" s="228">
        <v>1.0389999999999999</v>
      </c>
      <c r="F186" s="231">
        <v>668</v>
      </c>
    </row>
    <row r="187" spans="1:6" ht="32.25" customHeight="1" x14ac:dyDescent="0.15">
      <c r="A187" s="232" t="s">
        <v>909</v>
      </c>
      <c r="B187" s="228">
        <v>1.0389999999999999</v>
      </c>
      <c r="C187" s="228">
        <v>1.0329999999999999</v>
      </c>
      <c r="D187" s="228">
        <v>1.028</v>
      </c>
      <c r="E187" s="228">
        <v>1.0349999999999999</v>
      </c>
      <c r="F187" s="231">
        <v>670</v>
      </c>
    </row>
    <row r="188" spans="1:6" ht="32.25" customHeight="1" x14ac:dyDescent="0.15">
      <c r="A188" s="232" t="s">
        <v>910</v>
      </c>
      <c r="B188" s="228">
        <v>1.018</v>
      </c>
      <c r="C188" s="228">
        <v>1.012</v>
      </c>
      <c r="D188" s="228">
        <v>1.0109999999999999</v>
      </c>
      <c r="E188" s="228">
        <v>1.0149999999999999</v>
      </c>
      <c r="F188" s="231">
        <v>671</v>
      </c>
    </row>
    <row r="189" spans="1:6" ht="32.25" customHeight="1" x14ac:dyDescent="0.15">
      <c r="A189" s="232" t="s">
        <v>911</v>
      </c>
      <c r="B189" s="228">
        <v>1.0069999999999999</v>
      </c>
      <c r="C189" s="228">
        <v>1.006</v>
      </c>
      <c r="D189" s="228">
        <v>1.004</v>
      </c>
      <c r="E189" s="228">
        <v>1.006</v>
      </c>
      <c r="F189" s="231">
        <v>677</v>
      </c>
    </row>
    <row r="190" spans="1:6" ht="32.25" customHeight="1" x14ac:dyDescent="0.15">
      <c r="A190" s="232" t="s">
        <v>912</v>
      </c>
      <c r="B190" s="228">
        <v>1.0149999999999999</v>
      </c>
      <c r="C190" s="228">
        <v>1.0129999999999999</v>
      </c>
      <c r="D190" s="228">
        <v>1.01</v>
      </c>
      <c r="E190" s="228">
        <v>1.012</v>
      </c>
      <c r="F190" s="231">
        <v>678</v>
      </c>
    </row>
    <row r="191" spans="1:6" ht="32.25" customHeight="1" x14ac:dyDescent="0.15">
      <c r="A191" s="232" t="s">
        <v>913</v>
      </c>
      <c r="B191" s="228">
        <v>1.0209999999999999</v>
      </c>
      <c r="C191" s="228">
        <v>1.036</v>
      </c>
      <c r="D191" s="228">
        <v>1.0449999999999999</v>
      </c>
      <c r="E191" s="228">
        <v>1.0189999999999999</v>
      </c>
      <c r="F191" s="231">
        <v>679</v>
      </c>
    </row>
    <row r="192" spans="1:6" ht="32.25" customHeight="1" x14ac:dyDescent="0.15">
      <c r="A192" s="232" t="s">
        <v>914</v>
      </c>
      <c r="B192" s="228">
        <v>1.004</v>
      </c>
      <c r="C192" s="228">
        <v>0.998</v>
      </c>
      <c r="D192" s="228">
        <v>0.996</v>
      </c>
      <c r="E192" s="228">
        <v>1.002</v>
      </c>
      <c r="F192" s="231">
        <v>672</v>
      </c>
    </row>
    <row r="193" spans="1:6" ht="32.25" customHeight="1" x14ac:dyDescent="0.15">
      <c r="A193" s="232" t="s">
        <v>915</v>
      </c>
      <c r="B193" s="228">
        <v>1.0189999999999999</v>
      </c>
      <c r="C193" s="228">
        <v>1.014</v>
      </c>
      <c r="D193" s="228">
        <v>1.014</v>
      </c>
      <c r="E193" s="228">
        <v>1.0149999999999999</v>
      </c>
      <c r="F193" s="231">
        <v>680</v>
      </c>
    </row>
    <row r="194" spans="1:6" ht="32.25" customHeight="1" x14ac:dyDescent="0.15">
      <c r="A194" s="232" t="s">
        <v>916</v>
      </c>
      <c r="B194" s="228">
        <v>1.0089999999999999</v>
      </c>
      <c r="C194" s="228">
        <v>1.002</v>
      </c>
      <c r="D194" s="228">
        <v>1</v>
      </c>
      <c r="E194" s="228">
        <v>1.0069999999999999</v>
      </c>
      <c r="F194" s="231">
        <v>674</v>
      </c>
    </row>
    <row r="195" spans="1:6" ht="32.25" customHeight="1" x14ac:dyDescent="0.15">
      <c r="A195" s="232" t="s">
        <v>917</v>
      </c>
      <c r="B195" s="228">
        <v>1.01</v>
      </c>
      <c r="C195" s="228">
        <v>1.0109999999999999</v>
      </c>
      <c r="D195" s="228">
        <v>1.018</v>
      </c>
      <c r="E195" s="228">
        <v>1.016</v>
      </c>
      <c r="F195" s="231">
        <v>682</v>
      </c>
    </row>
    <row r="196" spans="1:6" ht="32.25" customHeight="1" x14ac:dyDescent="0.15">
      <c r="A196" s="232" t="s">
        <v>918</v>
      </c>
      <c r="B196" s="228">
        <v>1.02</v>
      </c>
      <c r="C196" s="228">
        <v>1.0109999999999999</v>
      </c>
      <c r="D196" s="228">
        <v>1.0169999999999999</v>
      </c>
      <c r="E196" s="228">
        <v>1.01</v>
      </c>
      <c r="F196" s="231" t="s">
        <v>1097</v>
      </c>
    </row>
    <row r="197" spans="1:6" ht="32.25" customHeight="1" x14ac:dyDescent="0.15">
      <c r="A197" s="232" t="s">
        <v>919</v>
      </c>
      <c r="B197" s="228">
        <v>1.01</v>
      </c>
      <c r="C197" s="228">
        <v>1.0149999999999999</v>
      </c>
      <c r="D197" s="228">
        <v>1.0149999999999999</v>
      </c>
      <c r="E197" s="228">
        <v>1.008</v>
      </c>
      <c r="F197" s="231">
        <v>683</v>
      </c>
    </row>
    <row r="198" spans="1:6" ht="32.25" customHeight="1" x14ac:dyDescent="0.15">
      <c r="A198" s="232" t="s">
        <v>920</v>
      </c>
      <c r="B198" s="228">
        <v>1.0369999999999999</v>
      </c>
      <c r="C198" s="228">
        <v>1.02</v>
      </c>
      <c r="D198" s="228">
        <v>1.016</v>
      </c>
      <c r="E198" s="228">
        <v>1.0329999999999999</v>
      </c>
      <c r="F198" s="231">
        <v>684</v>
      </c>
    </row>
    <row r="199" spans="1:6" ht="32.25" customHeight="1" x14ac:dyDescent="0.15">
      <c r="A199" s="232" t="s">
        <v>921</v>
      </c>
      <c r="B199" s="228">
        <v>1.0069999999999999</v>
      </c>
      <c r="C199" s="228">
        <v>1.004</v>
      </c>
      <c r="D199" s="228">
        <v>1.0029999999999999</v>
      </c>
      <c r="E199" s="228">
        <v>1.006</v>
      </c>
      <c r="F199" s="231">
        <v>685</v>
      </c>
    </row>
    <row r="200" spans="1:6" ht="32.25" customHeight="1" x14ac:dyDescent="0.15">
      <c r="A200" s="232" t="s">
        <v>922</v>
      </c>
      <c r="B200" s="228">
        <v>1.0189999999999999</v>
      </c>
      <c r="C200" s="228">
        <v>1.0169999999999999</v>
      </c>
      <c r="D200" s="228">
        <v>1.016</v>
      </c>
      <c r="E200" s="228">
        <v>1.0169999999999999</v>
      </c>
      <c r="F200" s="231">
        <v>686</v>
      </c>
    </row>
    <row r="201" spans="1:6" ht="32.25" customHeight="1" x14ac:dyDescent="0.15">
      <c r="A201" s="232" t="s">
        <v>923</v>
      </c>
      <c r="B201" s="228">
        <v>1.0269999999999999</v>
      </c>
      <c r="C201" s="228">
        <v>1.02</v>
      </c>
      <c r="D201" s="228">
        <v>1.018</v>
      </c>
      <c r="E201" s="228">
        <v>1.024</v>
      </c>
      <c r="F201" s="231">
        <v>687</v>
      </c>
    </row>
    <row r="202" spans="1:6" ht="32.25" customHeight="1" x14ac:dyDescent="0.15">
      <c r="A202" s="232" t="s">
        <v>924</v>
      </c>
      <c r="B202" s="228">
        <v>1.012</v>
      </c>
      <c r="C202" s="228">
        <v>1.022</v>
      </c>
      <c r="D202" s="228">
        <v>1.042</v>
      </c>
      <c r="E202" s="228">
        <v>1.01</v>
      </c>
      <c r="F202" s="231">
        <v>688</v>
      </c>
    </row>
    <row r="203" spans="1:6" ht="32.25" customHeight="1" x14ac:dyDescent="0.15">
      <c r="A203" s="232" t="s">
        <v>925</v>
      </c>
      <c r="B203" s="228">
        <v>1.0129999999999999</v>
      </c>
      <c r="C203" s="228">
        <v>1.004</v>
      </c>
      <c r="D203" s="228">
        <v>1.0009999999999999</v>
      </c>
      <c r="E203" s="228">
        <v>1.012</v>
      </c>
      <c r="F203" s="231">
        <v>525</v>
      </c>
    </row>
    <row r="204" spans="1:6" ht="32.25" customHeight="1" x14ac:dyDescent="0.15">
      <c r="A204" s="232" t="s">
        <v>926</v>
      </c>
      <c r="B204" s="228">
        <v>1.008</v>
      </c>
      <c r="C204" s="228">
        <v>1.008</v>
      </c>
      <c r="D204" s="228">
        <v>1.008</v>
      </c>
      <c r="E204" s="228">
        <v>1.0069999999999999</v>
      </c>
      <c r="F204" s="231">
        <v>689</v>
      </c>
    </row>
    <row r="205" spans="1:6" ht="32.25" customHeight="1" x14ac:dyDescent="0.15">
      <c r="A205" s="232" t="s">
        <v>927</v>
      </c>
      <c r="B205" s="228">
        <v>1.0009999999999999</v>
      </c>
      <c r="C205" s="228">
        <v>0.998</v>
      </c>
      <c r="D205" s="228">
        <v>0.999</v>
      </c>
      <c r="E205" s="228">
        <v>1.0069999999999999</v>
      </c>
      <c r="F205" s="231">
        <v>690</v>
      </c>
    </row>
    <row r="206" spans="1:6" ht="32.25" customHeight="1" x14ac:dyDescent="0.15">
      <c r="A206" s="232" t="s">
        <v>928</v>
      </c>
      <c r="B206" s="228">
        <v>1.0089999999999999</v>
      </c>
      <c r="C206" s="228">
        <v>1.0049999999999999</v>
      </c>
      <c r="D206" s="228">
        <v>1.002</v>
      </c>
      <c r="E206" s="228">
        <v>1.0069999999999999</v>
      </c>
      <c r="F206" s="231">
        <v>691</v>
      </c>
    </row>
    <row r="207" spans="1:6" ht="32.25" customHeight="1" x14ac:dyDescent="0.15">
      <c r="A207" s="232" t="s">
        <v>929</v>
      </c>
      <c r="B207" s="228">
        <v>1.022</v>
      </c>
      <c r="C207" s="228">
        <v>1.02</v>
      </c>
      <c r="D207" s="228">
        <v>1.018</v>
      </c>
      <c r="E207" s="228">
        <v>1.0169999999999999</v>
      </c>
      <c r="F207" s="231">
        <v>729</v>
      </c>
    </row>
    <row r="208" spans="1:6" ht="32.25" customHeight="1" x14ac:dyDescent="0.15">
      <c r="A208" s="232" t="s">
        <v>930</v>
      </c>
      <c r="B208" s="228">
        <v>1.024</v>
      </c>
      <c r="C208" s="228">
        <v>1.0349999999999999</v>
      </c>
      <c r="D208" s="228">
        <v>1.0369999999999999</v>
      </c>
      <c r="E208" s="228">
        <v>1.03</v>
      </c>
      <c r="F208" s="231">
        <v>527</v>
      </c>
    </row>
    <row r="209" spans="1:6" ht="32.25" customHeight="1" x14ac:dyDescent="0.15">
      <c r="A209" s="232" t="s">
        <v>931</v>
      </c>
      <c r="B209" s="228">
        <v>1.0569999999999999</v>
      </c>
      <c r="C209" s="228">
        <v>1.014</v>
      </c>
      <c r="D209" s="228">
        <v>1.0049999999999999</v>
      </c>
      <c r="E209" s="228">
        <v>1.048</v>
      </c>
      <c r="F209" s="231">
        <v>692</v>
      </c>
    </row>
    <row r="210" spans="1:6" ht="32.25" customHeight="1" x14ac:dyDescent="0.15">
      <c r="A210" s="232" t="s">
        <v>932</v>
      </c>
      <c r="B210" s="228">
        <v>1.016</v>
      </c>
      <c r="C210" s="228">
        <v>1.0149999999999999</v>
      </c>
      <c r="D210" s="228">
        <v>1.012</v>
      </c>
      <c r="E210" s="228">
        <v>1.0109999999999999</v>
      </c>
      <c r="F210" s="231">
        <v>897</v>
      </c>
    </row>
    <row r="211" spans="1:6" ht="32.25" customHeight="1" x14ac:dyDescent="0.15">
      <c r="A211" s="232" t="s">
        <v>933</v>
      </c>
      <c r="B211" s="228">
        <v>1.0069999999999999</v>
      </c>
      <c r="C211" s="228">
        <v>1.0129999999999999</v>
      </c>
      <c r="D211" s="228">
        <v>1.014</v>
      </c>
      <c r="E211" s="228">
        <v>1.006</v>
      </c>
      <c r="F211" s="231">
        <v>528</v>
      </c>
    </row>
    <row r="212" spans="1:6" ht="32.25" customHeight="1" x14ac:dyDescent="0.15">
      <c r="A212" s="232" t="s">
        <v>934</v>
      </c>
      <c r="B212" s="228">
        <v>1</v>
      </c>
      <c r="C212" s="228">
        <v>0.98799999999999999</v>
      </c>
      <c r="D212" s="228">
        <v>0.98499999999999999</v>
      </c>
      <c r="E212" s="228">
        <v>0.999</v>
      </c>
      <c r="F212" s="231">
        <v>693</v>
      </c>
    </row>
    <row r="213" spans="1:6" ht="32.25" customHeight="1" x14ac:dyDescent="0.15">
      <c r="A213" s="232" t="s">
        <v>935</v>
      </c>
      <c r="B213" s="228">
        <v>1.014</v>
      </c>
      <c r="C213" s="228">
        <v>0.99199999999999999</v>
      </c>
      <c r="D213" s="228">
        <v>0.98599999999999999</v>
      </c>
      <c r="E213" s="228">
        <v>1.0069999999999999</v>
      </c>
      <c r="F213" s="231">
        <v>529</v>
      </c>
    </row>
    <row r="214" spans="1:6" ht="32.25" customHeight="1" x14ac:dyDescent="0.15">
      <c r="A214" s="232" t="s">
        <v>936</v>
      </c>
      <c r="B214" s="228">
        <v>1.0149999999999999</v>
      </c>
      <c r="C214" s="228">
        <v>1.0109999999999999</v>
      </c>
      <c r="D214" s="228">
        <v>1.008</v>
      </c>
      <c r="E214" s="228">
        <v>1.012</v>
      </c>
      <c r="F214" s="231">
        <v>694</v>
      </c>
    </row>
    <row r="215" spans="1:6" ht="32.25" customHeight="1" x14ac:dyDescent="0.15">
      <c r="A215" s="232" t="s">
        <v>937</v>
      </c>
      <c r="B215" s="228">
        <v>1.016</v>
      </c>
      <c r="C215" s="228">
        <v>1.0149999999999999</v>
      </c>
      <c r="D215" s="228">
        <v>1.0169999999999999</v>
      </c>
      <c r="E215" s="228">
        <v>1.014</v>
      </c>
      <c r="F215" s="231">
        <v>585</v>
      </c>
    </row>
    <row r="216" spans="1:6" ht="32.25" customHeight="1" x14ac:dyDescent="0.15">
      <c r="A216" s="232" t="s">
        <v>938</v>
      </c>
      <c r="B216" s="228">
        <v>1.002</v>
      </c>
      <c r="C216" s="228">
        <v>0.98699999999999999</v>
      </c>
      <c r="D216" s="228">
        <v>0.98399999999999999</v>
      </c>
      <c r="E216" s="228">
        <v>1</v>
      </c>
      <c r="F216" s="231">
        <v>695</v>
      </c>
    </row>
    <row r="217" spans="1:6" ht="32.25" customHeight="1" x14ac:dyDescent="0.15">
      <c r="A217" s="232" t="s">
        <v>939</v>
      </c>
      <c r="B217" s="228">
        <v>1.002</v>
      </c>
      <c r="C217" s="228">
        <v>0.99199999999999999</v>
      </c>
      <c r="D217" s="228">
        <v>0.99</v>
      </c>
      <c r="E217" s="228">
        <v>1.0029999999999999</v>
      </c>
      <c r="F217" s="231">
        <v>696</v>
      </c>
    </row>
    <row r="218" spans="1:6" ht="32.25" customHeight="1" x14ac:dyDescent="0.15">
      <c r="A218" s="232" t="s">
        <v>940</v>
      </c>
      <c r="B218" s="228">
        <v>1.038</v>
      </c>
      <c r="C218" s="228">
        <v>1.038</v>
      </c>
      <c r="D218" s="228">
        <v>1.04</v>
      </c>
      <c r="E218" s="228">
        <v>1.034</v>
      </c>
      <c r="F218" s="231" t="s">
        <v>1098</v>
      </c>
    </row>
    <row r="219" spans="1:6" ht="32.25" customHeight="1" x14ac:dyDescent="0.15">
      <c r="A219" s="232" t="s">
        <v>941</v>
      </c>
      <c r="B219" s="228">
        <v>1.016</v>
      </c>
      <c r="C219" s="228">
        <v>1.0149999999999999</v>
      </c>
      <c r="D219" s="228">
        <v>1.012</v>
      </c>
      <c r="E219" s="228">
        <v>1.0109999999999999</v>
      </c>
      <c r="F219" s="231">
        <v>897</v>
      </c>
    </row>
    <row r="220" spans="1:6" ht="32.25" customHeight="1" x14ac:dyDescent="0.15">
      <c r="A220" s="232" t="s">
        <v>942</v>
      </c>
      <c r="B220" s="228">
        <v>1.0189999999999999</v>
      </c>
      <c r="C220" s="228">
        <v>1.018</v>
      </c>
      <c r="D220" s="228">
        <v>1.016</v>
      </c>
      <c r="E220" s="228">
        <v>1.0149999999999999</v>
      </c>
      <c r="F220" s="231">
        <v>595</v>
      </c>
    </row>
    <row r="221" spans="1:6" ht="32.25" customHeight="1" x14ac:dyDescent="0.15">
      <c r="A221" s="232" t="s">
        <v>943</v>
      </c>
      <c r="B221" s="228">
        <v>1.0009999999999999</v>
      </c>
      <c r="C221" s="228">
        <v>1</v>
      </c>
      <c r="D221" s="228">
        <v>0.999</v>
      </c>
      <c r="E221" s="228">
        <v>1.0009999999999999</v>
      </c>
      <c r="F221" s="231">
        <v>655</v>
      </c>
    </row>
    <row r="222" spans="1:6" ht="32.25" customHeight="1" x14ac:dyDescent="0.15">
      <c r="A222" s="232" t="s">
        <v>944</v>
      </c>
      <c r="B222" s="228">
        <v>1.024</v>
      </c>
      <c r="C222" s="228">
        <v>1.016</v>
      </c>
      <c r="D222" s="228">
        <v>1.0149999999999999</v>
      </c>
      <c r="E222" s="228">
        <v>1.032</v>
      </c>
      <c r="F222" s="231">
        <v>657</v>
      </c>
    </row>
    <row r="223" spans="1:6" ht="32.25" customHeight="1" x14ac:dyDescent="0.15">
      <c r="A223" s="232" t="s">
        <v>945</v>
      </c>
      <c r="B223" s="228">
        <v>1.008</v>
      </c>
      <c r="C223" s="228">
        <v>1.0049999999999999</v>
      </c>
      <c r="D223" s="228">
        <v>1.0049999999999999</v>
      </c>
      <c r="E223" s="228">
        <v>1.0129999999999999</v>
      </c>
      <c r="F223" s="231">
        <v>659</v>
      </c>
    </row>
    <row r="224" spans="1:6" ht="32.25" customHeight="1" x14ac:dyDescent="0.15">
      <c r="A224" s="232" t="s">
        <v>946</v>
      </c>
      <c r="B224" s="228">
        <v>1.0309999999999999</v>
      </c>
      <c r="C224" s="228">
        <v>1.026</v>
      </c>
      <c r="D224" s="228">
        <v>1.0249999999999999</v>
      </c>
      <c r="E224" s="228">
        <v>1.026</v>
      </c>
      <c r="F224" s="231">
        <v>660</v>
      </c>
    </row>
    <row r="225" spans="1:6" ht="32.25" customHeight="1" x14ac:dyDescent="0.15">
      <c r="A225" s="232" t="s">
        <v>947</v>
      </c>
      <c r="B225" s="228">
        <v>1.0229999999999999</v>
      </c>
      <c r="C225" s="228">
        <v>1.01</v>
      </c>
      <c r="D225" s="228">
        <v>1.0089999999999999</v>
      </c>
      <c r="E225" s="228">
        <v>1.008</v>
      </c>
      <c r="F225" s="231">
        <v>697</v>
      </c>
    </row>
    <row r="226" spans="1:6" ht="32.25" customHeight="1" x14ac:dyDescent="0.15">
      <c r="A226" s="232" t="s">
        <v>948</v>
      </c>
      <c r="B226" s="228">
        <v>1.016</v>
      </c>
      <c r="C226" s="228">
        <v>1.0149999999999999</v>
      </c>
      <c r="D226" s="228">
        <v>1.012</v>
      </c>
      <c r="E226" s="228">
        <v>1.0109999999999999</v>
      </c>
      <c r="F226" s="231">
        <v>897</v>
      </c>
    </row>
    <row r="227" spans="1:6" ht="32.25" customHeight="1" x14ac:dyDescent="0.15">
      <c r="A227" s="232" t="s">
        <v>949</v>
      </c>
      <c r="B227" s="228">
        <v>1.0329999999999999</v>
      </c>
      <c r="C227" s="228">
        <v>1.0269999999999999</v>
      </c>
      <c r="D227" s="228">
        <v>1.0229999999999999</v>
      </c>
      <c r="E227" s="228">
        <v>1.03</v>
      </c>
      <c r="F227" s="231">
        <v>669</v>
      </c>
    </row>
    <row r="228" spans="1:6" ht="32.25" customHeight="1" x14ac:dyDescent="0.15">
      <c r="A228" s="232" t="s">
        <v>950</v>
      </c>
      <c r="B228" s="228">
        <v>1.012</v>
      </c>
      <c r="C228" s="228">
        <v>1.022</v>
      </c>
      <c r="D228" s="228">
        <v>1.03</v>
      </c>
      <c r="E228" s="228">
        <v>1.0149999999999999</v>
      </c>
      <c r="F228" s="231">
        <v>7311</v>
      </c>
    </row>
    <row r="229" spans="1:6" ht="32.25" customHeight="1" x14ac:dyDescent="0.15">
      <c r="A229" s="232" t="s">
        <v>951</v>
      </c>
      <c r="B229" s="228">
        <v>1.0209999999999999</v>
      </c>
      <c r="C229" s="228">
        <v>1.014</v>
      </c>
      <c r="D229" s="228">
        <v>1.014</v>
      </c>
      <c r="E229" s="228">
        <v>1.0189999999999999</v>
      </c>
      <c r="F229" s="231">
        <v>698</v>
      </c>
    </row>
    <row r="230" spans="1:6" ht="32.25" customHeight="1" x14ac:dyDescent="0.15">
      <c r="A230" s="232" t="s">
        <v>952</v>
      </c>
      <c r="B230" s="228">
        <v>1.016</v>
      </c>
      <c r="C230" s="228">
        <v>1.0149999999999999</v>
      </c>
      <c r="D230" s="228">
        <v>1.012</v>
      </c>
      <c r="E230" s="228">
        <v>1.0109999999999999</v>
      </c>
      <c r="F230" s="231">
        <v>897</v>
      </c>
    </row>
    <row r="231" spans="1:6" ht="32.25" customHeight="1" x14ac:dyDescent="0.15">
      <c r="A231" s="232" t="s">
        <v>953</v>
      </c>
      <c r="B231" s="228">
        <v>1.002</v>
      </c>
      <c r="C231" s="228">
        <v>0.98799999999999999</v>
      </c>
      <c r="D231" s="228">
        <v>0.98299999999999998</v>
      </c>
      <c r="E231" s="228">
        <v>1.0009999999999999</v>
      </c>
      <c r="F231" s="231">
        <v>699</v>
      </c>
    </row>
    <row r="232" spans="1:6" ht="32.25" customHeight="1" x14ac:dyDescent="0.15">
      <c r="A232" s="232" t="s">
        <v>954</v>
      </c>
      <c r="B232" s="228">
        <v>1.0049999999999999</v>
      </c>
      <c r="C232" s="228">
        <v>1.004</v>
      </c>
      <c r="D232" s="228">
        <v>1.0029999999999999</v>
      </c>
      <c r="E232" s="228">
        <v>1.0029999999999999</v>
      </c>
      <c r="F232" s="231">
        <v>899</v>
      </c>
    </row>
    <row r="233" spans="1:6" ht="32.25" customHeight="1" x14ac:dyDescent="0.15">
      <c r="A233" s="232" t="s">
        <v>955</v>
      </c>
      <c r="B233" s="228">
        <v>1.022</v>
      </c>
      <c r="C233" s="228">
        <v>1.02</v>
      </c>
      <c r="D233" s="228">
        <v>1.018</v>
      </c>
      <c r="E233" s="228">
        <v>1.0169999999999999</v>
      </c>
      <c r="F233" s="231">
        <v>703</v>
      </c>
    </row>
    <row r="234" spans="1:6" ht="32.25" customHeight="1" x14ac:dyDescent="0.15">
      <c r="A234" s="232" t="s">
        <v>956</v>
      </c>
      <c r="B234" s="228">
        <v>1.022</v>
      </c>
      <c r="C234" s="228">
        <v>1.02</v>
      </c>
      <c r="D234" s="228">
        <v>1.018</v>
      </c>
      <c r="E234" s="228">
        <v>1.0169999999999999</v>
      </c>
      <c r="F234" s="231">
        <v>730</v>
      </c>
    </row>
    <row r="235" spans="1:6" ht="32.25" customHeight="1" x14ac:dyDescent="0.15">
      <c r="A235" s="232" t="s">
        <v>957</v>
      </c>
      <c r="B235" s="228">
        <v>1.022</v>
      </c>
      <c r="C235" s="228">
        <v>1.02</v>
      </c>
      <c r="D235" s="228">
        <v>1.018</v>
      </c>
      <c r="E235" s="228">
        <v>1.0169999999999999</v>
      </c>
      <c r="F235" s="231">
        <v>731</v>
      </c>
    </row>
    <row r="236" spans="1:6" ht="32.25" customHeight="1" x14ac:dyDescent="0.15">
      <c r="A236" s="232" t="s">
        <v>958</v>
      </c>
      <c r="B236" s="228">
        <v>1.022</v>
      </c>
      <c r="C236" s="228">
        <v>1.02</v>
      </c>
      <c r="D236" s="228">
        <v>1.018</v>
      </c>
      <c r="E236" s="228">
        <v>1.0169999999999999</v>
      </c>
      <c r="F236" s="231">
        <v>732</v>
      </c>
    </row>
    <row r="237" spans="1:6" ht="32.25" customHeight="1" x14ac:dyDescent="0.15">
      <c r="A237" s="232" t="s">
        <v>959</v>
      </c>
      <c r="B237" s="228">
        <v>1.0049999999999999</v>
      </c>
      <c r="C237" s="228">
        <v>1.004</v>
      </c>
      <c r="D237" s="228">
        <v>1.004</v>
      </c>
      <c r="E237" s="228">
        <v>1.004</v>
      </c>
      <c r="F237" s="231">
        <v>673</v>
      </c>
    </row>
    <row r="238" spans="1:6" ht="32.25" customHeight="1" x14ac:dyDescent="0.15">
      <c r="A238" s="232" t="s">
        <v>960</v>
      </c>
      <c r="B238" s="228">
        <v>1.0449999999999999</v>
      </c>
      <c r="C238" s="228">
        <v>1.034</v>
      </c>
      <c r="D238" s="228">
        <v>1.044</v>
      </c>
      <c r="E238" s="228">
        <v>1.0640000000000001</v>
      </c>
      <c r="F238" s="231">
        <v>721</v>
      </c>
    </row>
    <row r="239" spans="1:6" ht="32.25" customHeight="1" x14ac:dyDescent="0.15">
      <c r="A239" s="232" t="s">
        <v>961</v>
      </c>
      <c r="B239" s="228">
        <v>1.016</v>
      </c>
      <c r="C239" s="228">
        <v>1.0069999999999999</v>
      </c>
      <c r="D239" s="228">
        <v>1.0069999999999999</v>
      </c>
      <c r="E239" s="228">
        <v>1.014</v>
      </c>
      <c r="F239" s="231">
        <v>728</v>
      </c>
    </row>
    <row r="240" spans="1:6" ht="32.25" customHeight="1" x14ac:dyDescent="0.15">
      <c r="A240" s="232" t="s">
        <v>962</v>
      </c>
      <c r="B240" s="228">
        <v>1.04</v>
      </c>
      <c r="C240" s="228">
        <v>1.012</v>
      </c>
      <c r="D240" s="228">
        <v>1.0029999999999999</v>
      </c>
      <c r="E240" s="228">
        <v>1.0369999999999999</v>
      </c>
      <c r="F240" s="231">
        <v>901</v>
      </c>
    </row>
    <row r="241" spans="1:6" ht="32.25" customHeight="1" x14ac:dyDescent="0.15">
      <c r="A241" s="232" t="s">
        <v>963</v>
      </c>
      <c r="B241" s="228">
        <v>1.046</v>
      </c>
      <c r="C241" s="228">
        <v>1.0429999999999999</v>
      </c>
      <c r="D241" s="228">
        <v>1.04</v>
      </c>
      <c r="E241" s="228">
        <v>1.0389999999999999</v>
      </c>
      <c r="F241" s="231">
        <v>904</v>
      </c>
    </row>
    <row r="242" spans="1:6" ht="32.25" customHeight="1" x14ac:dyDescent="0.15">
      <c r="A242" s="232" t="s">
        <v>964</v>
      </c>
      <c r="B242" s="228">
        <v>1.0089999999999999</v>
      </c>
      <c r="C242" s="228">
        <v>1.0069999999999999</v>
      </c>
      <c r="D242" s="228">
        <v>1.006</v>
      </c>
      <c r="E242" s="228">
        <v>1.008</v>
      </c>
      <c r="F242" s="231">
        <v>905</v>
      </c>
    </row>
    <row r="243" spans="1:6" ht="32.25" customHeight="1" x14ac:dyDescent="0.15">
      <c r="A243" s="232" t="s">
        <v>965</v>
      </c>
      <c r="B243" s="228">
        <v>1.014</v>
      </c>
      <c r="C243" s="228">
        <v>1.014</v>
      </c>
      <c r="D243" s="228">
        <v>1.0129999999999999</v>
      </c>
      <c r="E243" s="228">
        <v>1.012</v>
      </c>
      <c r="F243" s="231">
        <v>906</v>
      </c>
    </row>
    <row r="244" spans="1:6" ht="32.25" customHeight="1" x14ac:dyDescent="0.15">
      <c r="A244" s="232" t="s">
        <v>966</v>
      </c>
      <c r="B244" s="228">
        <v>1.042</v>
      </c>
      <c r="C244" s="228">
        <v>1.02</v>
      </c>
      <c r="D244" s="228">
        <v>1.018</v>
      </c>
      <c r="E244" s="228">
        <v>1.036</v>
      </c>
      <c r="F244" s="231">
        <v>907</v>
      </c>
    </row>
    <row r="245" spans="1:6" ht="32.25" customHeight="1" x14ac:dyDescent="0.15">
      <c r="A245" s="232" t="s">
        <v>967</v>
      </c>
      <c r="B245" s="228">
        <v>0.999</v>
      </c>
      <c r="C245" s="228">
        <v>0.97799999999999998</v>
      </c>
      <c r="D245" s="228">
        <v>0.97599999999999998</v>
      </c>
      <c r="E245" s="228">
        <v>1.0009999999999999</v>
      </c>
      <c r="F245" s="231">
        <v>908</v>
      </c>
    </row>
    <row r="246" spans="1:6" ht="32.25" customHeight="1" x14ac:dyDescent="0.15">
      <c r="A246" s="232" t="s">
        <v>968</v>
      </c>
      <c r="B246" s="228">
        <v>1.0009999999999999</v>
      </c>
      <c r="C246" s="228">
        <v>0.98899999999999999</v>
      </c>
      <c r="D246" s="228">
        <v>0.98599999999999999</v>
      </c>
      <c r="E246" s="228">
        <v>1</v>
      </c>
      <c r="F246" s="231">
        <v>723</v>
      </c>
    </row>
    <row r="247" spans="1:6" ht="32.25" customHeight="1" x14ac:dyDescent="0.15">
      <c r="A247" s="232" t="s">
        <v>969</v>
      </c>
      <c r="B247" s="228">
        <v>1.0109999999999999</v>
      </c>
      <c r="C247" s="228">
        <v>1.0089999999999999</v>
      </c>
      <c r="D247" s="228">
        <v>1.008</v>
      </c>
      <c r="E247" s="228">
        <v>1.0089999999999999</v>
      </c>
      <c r="F247" s="231">
        <v>765</v>
      </c>
    </row>
    <row r="248" spans="1:6" ht="32.25" customHeight="1" x14ac:dyDescent="0.15">
      <c r="A248" s="232" t="s">
        <v>970</v>
      </c>
      <c r="B248" s="228">
        <v>1.0249999999999999</v>
      </c>
      <c r="C248" s="228">
        <v>1.0089999999999999</v>
      </c>
      <c r="D248" s="228">
        <v>1.006</v>
      </c>
      <c r="E248" s="228">
        <v>1.0229999999999999</v>
      </c>
      <c r="F248" s="231" t="s">
        <v>1099</v>
      </c>
    </row>
    <row r="249" spans="1:6" ht="32.25" customHeight="1" x14ac:dyDescent="0.15">
      <c r="A249" s="232" t="s">
        <v>971</v>
      </c>
      <c r="B249" s="228">
        <v>1.006</v>
      </c>
      <c r="C249" s="228">
        <v>1.0069999999999999</v>
      </c>
      <c r="D249" s="228">
        <v>1.0069999999999999</v>
      </c>
      <c r="E249" s="228">
        <v>1.008</v>
      </c>
      <c r="F249" s="231" t="s">
        <v>1100</v>
      </c>
    </row>
    <row r="250" spans="1:6" ht="32.25" customHeight="1" x14ac:dyDescent="0.15">
      <c r="A250" s="232" t="s">
        <v>972</v>
      </c>
      <c r="B250" s="228">
        <v>1.016</v>
      </c>
      <c r="C250" s="228">
        <v>1.0149999999999999</v>
      </c>
      <c r="D250" s="228">
        <v>1.012</v>
      </c>
      <c r="E250" s="228">
        <v>1.0109999999999999</v>
      </c>
      <c r="F250" s="231">
        <v>897</v>
      </c>
    </row>
    <row r="251" spans="1:6" ht="32.25" customHeight="1" x14ac:dyDescent="0.15">
      <c r="A251" s="232" t="s">
        <v>973</v>
      </c>
      <c r="B251" s="228">
        <v>1.0149999999999999</v>
      </c>
      <c r="C251" s="228">
        <v>1.014</v>
      </c>
      <c r="D251" s="228">
        <v>1.0129999999999999</v>
      </c>
      <c r="E251" s="228">
        <v>1.014</v>
      </c>
      <c r="F251" s="231" t="s">
        <v>1101</v>
      </c>
    </row>
    <row r="252" spans="1:6" ht="32.25" customHeight="1" x14ac:dyDescent="0.15">
      <c r="A252" s="232" t="s">
        <v>974</v>
      </c>
      <c r="B252" s="228">
        <v>1.016</v>
      </c>
      <c r="C252" s="228">
        <v>1.0149999999999999</v>
      </c>
      <c r="D252" s="228">
        <v>1.012</v>
      </c>
      <c r="E252" s="228">
        <v>1.0109999999999999</v>
      </c>
      <c r="F252" s="231">
        <v>897</v>
      </c>
    </row>
    <row r="253" spans="1:6" ht="32.25" customHeight="1" x14ac:dyDescent="0.15">
      <c r="A253" s="232" t="s">
        <v>975</v>
      </c>
      <c r="B253" s="228">
        <v>1.0549999999999999</v>
      </c>
      <c r="C253" s="228">
        <v>1.036</v>
      </c>
      <c r="D253" s="228">
        <v>1.0369999999999999</v>
      </c>
      <c r="E253" s="228">
        <v>1.04</v>
      </c>
      <c r="F253" s="231">
        <v>766</v>
      </c>
    </row>
    <row r="254" spans="1:6" ht="32.25" customHeight="1" x14ac:dyDescent="0.15">
      <c r="A254" s="232" t="s">
        <v>976</v>
      </c>
      <c r="B254" s="228">
        <v>1.002</v>
      </c>
      <c r="C254" s="228">
        <v>1.002</v>
      </c>
      <c r="D254" s="228">
        <v>1.002</v>
      </c>
      <c r="E254" s="228">
        <v>1.0009999999999999</v>
      </c>
      <c r="F254" s="231" t="s">
        <v>1102</v>
      </c>
    </row>
    <row r="255" spans="1:6" ht="32.25" customHeight="1" x14ac:dyDescent="0.15">
      <c r="A255" s="232" t="s">
        <v>977</v>
      </c>
      <c r="B255" s="228">
        <v>1.046</v>
      </c>
      <c r="C255" s="228">
        <v>1.036</v>
      </c>
      <c r="D255" s="228">
        <v>1.0389999999999999</v>
      </c>
      <c r="E255" s="228">
        <v>1.042</v>
      </c>
      <c r="F255" s="231" t="s">
        <v>1973</v>
      </c>
    </row>
    <row r="256" spans="1:6" ht="32.25" customHeight="1" x14ac:dyDescent="0.15">
      <c r="A256" s="232" t="s">
        <v>978</v>
      </c>
      <c r="B256" s="228">
        <v>1.016</v>
      </c>
      <c r="C256" s="228">
        <v>1.0149999999999999</v>
      </c>
      <c r="D256" s="228">
        <v>1.012</v>
      </c>
      <c r="E256" s="228">
        <v>1.0109999999999999</v>
      </c>
      <c r="F256" s="231">
        <v>897</v>
      </c>
    </row>
    <row r="257" spans="1:6" ht="32.25" customHeight="1" x14ac:dyDescent="0.15">
      <c r="A257" s="232" t="s">
        <v>979</v>
      </c>
      <c r="B257" s="228">
        <v>1.0740000000000001</v>
      </c>
      <c r="C257" s="228">
        <v>1.0649999999999999</v>
      </c>
      <c r="D257" s="228">
        <v>1.0569999999999999</v>
      </c>
      <c r="E257" s="228">
        <v>1.0620000000000001</v>
      </c>
      <c r="F257" s="231">
        <v>767</v>
      </c>
    </row>
    <row r="258" spans="1:6" ht="32.25" customHeight="1" x14ac:dyDescent="0.15">
      <c r="A258" s="232" t="s">
        <v>980</v>
      </c>
      <c r="B258" s="228">
        <v>1.01</v>
      </c>
      <c r="C258" s="228">
        <v>1.006</v>
      </c>
      <c r="D258" s="228">
        <v>1.004</v>
      </c>
      <c r="E258" s="228">
        <v>1.008</v>
      </c>
      <c r="F258" s="231">
        <v>768</v>
      </c>
    </row>
    <row r="259" spans="1:6" ht="32.25" customHeight="1" x14ac:dyDescent="0.15">
      <c r="A259" s="232" t="s">
        <v>981</v>
      </c>
      <c r="B259" s="228">
        <v>1</v>
      </c>
      <c r="C259" s="228">
        <v>1</v>
      </c>
      <c r="D259" s="228">
        <v>1</v>
      </c>
      <c r="E259" s="228">
        <v>1</v>
      </c>
      <c r="F259" s="231" t="s">
        <v>1103</v>
      </c>
    </row>
    <row r="260" spans="1:6" ht="32.25" customHeight="1" x14ac:dyDescent="0.15">
      <c r="A260" s="232" t="s">
        <v>982</v>
      </c>
      <c r="B260" s="228">
        <v>1.0149999999999999</v>
      </c>
      <c r="C260" s="228">
        <v>1.016</v>
      </c>
      <c r="D260" s="228">
        <v>1.0169999999999999</v>
      </c>
      <c r="E260" s="228">
        <v>1.014</v>
      </c>
      <c r="F260" s="231" t="s">
        <v>1975</v>
      </c>
    </row>
    <row r="261" spans="1:6" ht="32.25" customHeight="1" x14ac:dyDescent="0.15">
      <c r="A261" s="232" t="s">
        <v>983</v>
      </c>
      <c r="B261" s="228">
        <v>0.997</v>
      </c>
      <c r="C261" s="228">
        <v>0.98899999999999999</v>
      </c>
      <c r="D261" s="228">
        <v>0.98699999999999999</v>
      </c>
      <c r="E261" s="228">
        <v>0.997</v>
      </c>
      <c r="F261" s="231">
        <v>769</v>
      </c>
    </row>
    <row r="262" spans="1:6" ht="32.25" customHeight="1" x14ac:dyDescent="0.15">
      <c r="A262" s="232" t="s">
        <v>984</v>
      </c>
      <c r="B262" s="228">
        <v>1.054</v>
      </c>
      <c r="C262" s="228">
        <v>1.0629999999999999</v>
      </c>
      <c r="D262" s="228">
        <v>1.0640000000000001</v>
      </c>
      <c r="E262" s="228">
        <v>1.0449999999999999</v>
      </c>
      <c r="F262" s="231" t="s">
        <v>1104</v>
      </c>
    </row>
    <row r="263" spans="1:6" ht="32.25" customHeight="1" x14ac:dyDescent="0.15">
      <c r="A263" s="232" t="s">
        <v>985</v>
      </c>
      <c r="B263" s="228">
        <v>1.012</v>
      </c>
      <c r="C263" s="228">
        <v>1.012</v>
      </c>
      <c r="D263" s="228">
        <v>1.01</v>
      </c>
      <c r="E263" s="228">
        <v>1.01</v>
      </c>
      <c r="F263" s="231">
        <v>771</v>
      </c>
    </row>
    <row r="264" spans="1:6" ht="32.25" customHeight="1" x14ac:dyDescent="0.15">
      <c r="A264" s="232" t="s">
        <v>986</v>
      </c>
      <c r="B264" s="228">
        <v>1.0029999999999999</v>
      </c>
      <c r="C264" s="228">
        <v>1.0029999999999999</v>
      </c>
      <c r="D264" s="228">
        <v>1.0029999999999999</v>
      </c>
      <c r="E264" s="228">
        <v>1.008</v>
      </c>
      <c r="F264" s="231">
        <v>772</v>
      </c>
    </row>
    <row r="265" spans="1:6" ht="32.25" customHeight="1" x14ac:dyDescent="0.15">
      <c r="A265" s="232" t="s">
        <v>987</v>
      </c>
      <c r="B265" s="228">
        <v>1.004</v>
      </c>
      <c r="C265" s="228">
        <v>1.006</v>
      </c>
      <c r="D265" s="228">
        <v>1.008</v>
      </c>
      <c r="E265" s="228">
        <v>1.0029999999999999</v>
      </c>
      <c r="F265" s="231" t="s">
        <v>1105</v>
      </c>
    </row>
    <row r="266" spans="1:6" ht="32.25" customHeight="1" x14ac:dyDescent="0.15">
      <c r="A266" s="232" t="s">
        <v>988</v>
      </c>
      <c r="B266" s="228">
        <v>1.002</v>
      </c>
      <c r="C266" s="228">
        <v>1.0009999999999999</v>
      </c>
      <c r="D266" s="228">
        <v>1</v>
      </c>
      <c r="E266" s="228">
        <v>1.002</v>
      </c>
      <c r="F266" s="231" t="s">
        <v>1106</v>
      </c>
    </row>
    <row r="267" spans="1:6" ht="32.25" customHeight="1" x14ac:dyDescent="0.15">
      <c r="A267" s="232" t="s">
        <v>989</v>
      </c>
      <c r="B267" s="228">
        <v>1.03</v>
      </c>
      <c r="C267" s="228">
        <v>1.026</v>
      </c>
      <c r="D267" s="228">
        <v>1.0249999999999999</v>
      </c>
      <c r="E267" s="228">
        <v>1.038</v>
      </c>
      <c r="F267" s="231">
        <v>774</v>
      </c>
    </row>
    <row r="268" spans="1:6" ht="32.25" customHeight="1" x14ac:dyDescent="0.15">
      <c r="A268" s="232" t="s">
        <v>990</v>
      </c>
      <c r="B268" s="228">
        <v>1.026</v>
      </c>
      <c r="C268" s="228">
        <v>1.0169999999999999</v>
      </c>
      <c r="D268" s="228">
        <v>1.02</v>
      </c>
      <c r="E268" s="228">
        <v>1.0229999999999999</v>
      </c>
      <c r="F268" s="231" t="s">
        <v>1107</v>
      </c>
    </row>
    <row r="269" spans="1:6" ht="32.25" customHeight="1" x14ac:dyDescent="0.15">
      <c r="A269" s="232" t="s">
        <v>991</v>
      </c>
      <c r="B269" s="228">
        <v>1.02</v>
      </c>
      <c r="C269" s="228">
        <v>1.0209999999999999</v>
      </c>
      <c r="D269" s="228">
        <v>1.0249999999999999</v>
      </c>
      <c r="E269" s="228">
        <v>1.0189999999999999</v>
      </c>
      <c r="F269" s="231">
        <v>733</v>
      </c>
    </row>
    <row r="270" spans="1:6" ht="32.25" customHeight="1" x14ac:dyDescent="0.15">
      <c r="A270" s="232" t="s">
        <v>992</v>
      </c>
      <c r="B270" s="228">
        <v>1.018</v>
      </c>
      <c r="C270" s="228">
        <v>0.996</v>
      </c>
      <c r="D270" s="228">
        <v>0.96399999999999997</v>
      </c>
      <c r="E270" s="228">
        <v>1.018</v>
      </c>
      <c r="F270" s="231">
        <v>775</v>
      </c>
    </row>
    <row r="271" spans="1:6" ht="32.25" customHeight="1" x14ac:dyDescent="0.15">
      <c r="A271" s="232" t="s">
        <v>993</v>
      </c>
      <c r="B271" s="228">
        <v>1.006</v>
      </c>
      <c r="C271" s="228">
        <v>1.0049999999999999</v>
      </c>
      <c r="D271" s="228">
        <v>1.004</v>
      </c>
      <c r="E271" s="228">
        <v>1.006</v>
      </c>
      <c r="F271" s="231" t="s">
        <v>1108</v>
      </c>
    </row>
    <row r="272" spans="1:6" ht="32.25" customHeight="1" x14ac:dyDescent="0.15">
      <c r="A272" s="232" t="s">
        <v>994</v>
      </c>
      <c r="B272" s="228">
        <v>1.01</v>
      </c>
      <c r="C272" s="228">
        <v>1.0089999999999999</v>
      </c>
      <c r="D272" s="228">
        <v>1.008</v>
      </c>
      <c r="E272" s="228">
        <v>1.008</v>
      </c>
      <c r="F272" s="231">
        <v>776</v>
      </c>
    </row>
    <row r="273" spans="1:6" ht="32.25" customHeight="1" x14ac:dyDescent="0.15">
      <c r="A273" s="232" t="s">
        <v>995</v>
      </c>
      <c r="B273" s="228">
        <v>1.0780000000000001</v>
      </c>
      <c r="C273" s="228">
        <v>1.08</v>
      </c>
      <c r="D273" s="228">
        <v>1.0760000000000001</v>
      </c>
      <c r="E273" s="228">
        <v>1.07</v>
      </c>
      <c r="F273" s="231" t="s">
        <v>1109</v>
      </c>
    </row>
    <row r="274" spans="1:6" ht="32.25" customHeight="1" x14ac:dyDescent="0.15">
      <c r="A274" s="232" t="s">
        <v>996</v>
      </c>
      <c r="B274" s="228">
        <v>1.022</v>
      </c>
      <c r="C274" s="228">
        <v>1.02</v>
      </c>
      <c r="D274" s="228">
        <v>1.018</v>
      </c>
      <c r="E274" s="228">
        <v>1.0169999999999999</v>
      </c>
      <c r="F274" s="231">
        <v>739</v>
      </c>
    </row>
    <row r="275" spans="1:6" ht="32.25" customHeight="1" x14ac:dyDescent="0.15">
      <c r="A275" s="232" t="s">
        <v>997</v>
      </c>
      <c r="B275" s="228">
        <v>1.0129999999999999</v>
      </c>
      <c r="C275" s="228">
        <v>1.0109999999999999</v>
      </c>
      <c r="D275" s="228">
        <v>1.01</v>
      </c>
      <c r="E275" s="228">
        <v>1.0109999999999999</v>
      </c>
      <c r="F275" s="231" t="s">
        <v>1110</v>
      </c>
    </row>
    <row r="276" spans="1:6" ht="32.25" customHeight="1" x14ac:dyDescent="0.15">
      <c r="A276" s="232" t="s">
        <v>998</v>
      </c>
      <c r="B276" s="228">
        <v>1.016</v>
      </c>
      <c r="C276" s="228">
        <v>1.0149999999999999</v>
      </c>
      <c r="D276" s="228">
        <v>1.012</v>
      </c>
      <c r="E276" s="228">
        <v>1.0109999999999999</v>
      </c>
      <c r="F276" s="231">
        <v>897</v>
      </c>
    </row>
    <row r="277" spans="1:6" ht="32.25" customHeight="1" x14ac:dyDescent="0.15">
      <c r="A277" s="232" t="s">
        <v>999</v>
      </c>
      <c r="B277" s="228">
        <v>1.022</v>
      </c>
      <c r="C277" s="228">
        <v>1.026</v>
      </c>
      <c r="D277" s="228">
        <v>1.026</v>
      </c>
      <c r="E277" s="228">
        <v>1.0189999999999999</v>
      </c>
      <c r="F277" s="231" t="s">
        <v>1111</v>
      </c>
    </row>
    <row r="278" spans="1:6" ht="32.25" customHeight="1" x14ac:dyDescent="0.15">
      <c r="A278" s="232" t="s">
        <v>1000</v>
      </c>
      <c r="B278" s="228">
        <v>1.006</v>
      </c>
      <c r="C278" s="228">
        <v>1.0029999999999999</v>
      </c>
      <c r="D278" s="228">
        <v>1.002</v>
      </c>
      <c r="E278" s="228">
        <v>1.0049999999999999</v>
      </c>
      <c r="F278" s="231" t="s">
        <v>1112</v>
      </c>
    </row>
    <row r="279" spans="1:6" ht="32.25" customHeight="1" x14ac:dyDescent="0.15">
      <c r="A279" s="232" t="s">
        <v>1001</v>
      </c>
      <c r="B279" s="228">
        <v>1.016</v>
      </c>
      <c r="C279" s="228">
        <v>1.0149999999999999</v>
      </c>
      <c r="D279" s="228">
        <v>1.012</v>
      </c>
      <c r="E279" s="228">
        <v>1.0109999999999999</v>
      </c>
      <c r="F279" s="231">
        <v>897</v>
      </c>
    </row>
    <row r="280" spans="1:6" ht="32.25" customHeight="1" x14ac:dyDescent="0.15">
      <c r="A280" s="232" t="s">
        <v>1002</v>
      </c>
      <c r="B280" s="228">
        <v>1.018</v>
      </c>
      <c r="C280" s="228">
        <v>1.008</v>
      </c>
      <c r="D280" s="228">
        <v>1.0109999999999999</v>
      </c>
      <c r="E280" s="228">
        <v>1.018</v>
      </c>
      <c r="F280" s="231" t="s">
        <v>1113</v>
      </c>
    </row>
    <row r="281" spans="1:6" ht="32.25" customHeight="1" x14ac:dyDescent="0.15">
      <c r="A281" s="232" t="s">
        <v>1003</v>
      </c>
      <c r="B281" s="228">
        <v>1</v>
      </c>
      <c r="C281" s="228">
        <v>0.98899999999999999</v>
      </c>
      <c r="D281" s="228">
        <v>0.98499999999999999</v>
      </c>
      <c r="E281" s="228">
        <v>0.999</v>
      </c>
      <c r="F281" s="231" t="s">
        <v>1114</v>
      </c>
    </row>
    <row r="282" spans="1:6" ht="32.25" customHeight="1" x14ac:dyDescent="0.15">
      <c r="A282" s="232" t="s">
        <v>1004</v>
      </c>
      <c r="B282" s="228">
        <v>1.016</v>
      </c>
      <c r="C282" s="228">
        <v>1.0149999999999999</v>
      </c>
      <c r="D282" s="228">
        <v>1.012</v>
      </c>
      <c r="E282" s="228">
        <v>1.0109999999999999</v>
      </c>
      <c r="F282" s="231">
        <v>897</v>
      </c>
    </row>
    <row r="283" spans="1:6" ht="32.25" customHeight="1" x14ac:dyDescent="0.15">
      <c r="A283" s="232" t="s">
        <v>1005</v>
      </c>
      <c r="B283" s="228">
        <v>1.0169999999999999</v>
      </c>
      <c r="C283" s="228">
        <v>1.0149999999999999</v>
      </c>
      <c r="D283" s="228">
        <v>1.0149999999999999</v>
      </c>
      <c r="E283" s="228">
        <v>1.0129999999999999</v>
      </c>
      <c r="F283" s="231">
        <v>838</v>
      </c>
    </row>
    <row r="284" spans="1:6" ht="32.25" customHeight="1" x14ac:dyDescent="0.15">
      <c r="A284" s="232" t="s">
        <v>1006</v>
      </c>
      <c r="B284" s="228">
        <v>1.008</v>
      </c>
      <c r="C284" s="228">
        <v>1.0049999999999999</v>
      </c>
      <c r="D284" s="228">
        <v>1.0049999999999999</v>
      </c>
      <c r="E284" s="228">
        <v>1.0129999999999999</v>
      </c>
      <c r="F284" s="231">
        <v>843</v>
      </c>
    </row>
    <row r="285" spans="1:6" ht="32.25" customHeight="1" x14ac:dyDescent="0.15">
      <c r="A285" s="232" t="s">
        <v>1007</v>
      </c>
      <c r="B285" s="228">
        <v>1.024</v>
      </c>
      <c r="C285" s="228">
        <v>1.016</v>
      </c>
      <c r="D285" s="228">
        <v>1.0149999999999999</v>
      </c>
      <c r="E285" s="228">
        <v>1.034</v>
      </c>
      <c r="F285" s="231">
        <v>871</v>
      </c>
    </row>
    <row r="286" spans="1:6" ht="32.25" customHeight="1" x14ac:dyDescent="0.15">
      <c r="A286" s="232" t="s">
        <v>1008</v>
      </c>
      <c r="B286" s="228">
        <v>1.0169999999999999</v>
      </c>
      <c r="C286" s="228">
        <v>0.98299999999999998</v>
      </c>
      <c r="D286" s="228">
        <v>0.97599999999999998</v>
      </c>
      <c r="E286" s="228">
        <v>1.0149999999999999</v>
      </c>
      <c r="F286" s="231">
        <v>879</v>
      </c>
    </row>
    <row r="287" spans="1:6" ht="32.25" customHeight="1" x14ac:dyDescent="0.15">
      <c r="A287" s="232" t="s">
        <v>1009</v>
      </c>
      <c r="B287" s="228">
        <v>1.0209999999999999</v>
      </c>
      <c r="C287" s="228">
        <v>1.008</v>
      </c>
      <c r="D287" s="228">
        <v>1.008</v>
      </c>
      <c r="E287" s="228">
        <v>1.018</v>
      </c>
      <c r="F287" s="231">
        <v>887</v>
      </c>
    </row>
    <row r="288" spans="1:6" ht="32.25" customHeight="1" x14ac:dyDescent="0.15">
      <c r="A288" s="232" t="s">
        <v>1010</v>
      </c>
      <c r="B288" s="228">
        <v>1.0349999999999999</v>
      </c>
      <c r="C288" s="228">
        <v>1.0349999999999999</v>
      </c>
      <c r="D288" s="228">
        <v>1.0309999999999999</v>
      </c>
      <c r="E288" s="228">
        <v>1.0329999999999999</v>
      </c>
      <c r="F288" s="231">
        <v>900</v>
      </c>
    </row>
    <row r="289" spans="1:6" ht="32.25" customHeight="1" x14ac:dyDescent="0.15">
      <c r="A289" s="232" t="s">
        <v>1011</v>
      </c>
      <c r="B289" s="228">
        <v>1.016</v>
      </c>
      <c r="C289" s="228">
        <v>1.0149999999999999</v>
      </c>
      <c r="D289" s="228">
        <v>1.012</v>
      </c>
      <c r="E289" s="228">
        <v>1.0109999999999999</v>
      </c>
      <c r="F289" s="231">
        <v>897</v>
      </c>
    </row>
    <row r="290" spans="1:6" ht="32.25" customHeight="1" x14ac:dyDescent="0.15">
      <c r="A290" s="232" t="s">
        <v>1012</v>
      </c>
      <c r="B290" s="228">
        <v>1.016</v>
      </c>
      <c r="C290" s="228">
        <v>1.012</v>
      </c>
      <c r="D290" s="228">
        <v>1.01</v>
      </c>
      <c r="E290" s="228">
        <v>1.0129999999999999</v>
      </c>
      <c r="F290" s="231" t="s">
        <v>1115</v>
      </c>
    </row>
    <row r="291" spans="1:6" ht="32.25" customHeight="1" x14ac:dyDescent="0.15">
      <c r="A291" s="232" t="s">
        <v>1013</v>
      </c>
      <c r="B291" s="228">
        <v>1.0389999999999999</v>
      </c>
      <c r="C291" s="228">
        <v>1.0289999999999999</v>
      </c>
      <c r="D291" s="228">
        <v>1.026</v>
      </c>
      <c r="E291" s="228">
        <v>1.0309999999999999</v>
      </c>
      <c r="F291" s="231" t="s">
        <v>1116</v>
      </c>
    </row>
    <row r="292" spans="1:6" ht="32.25" customHeight="1" x14ac:dyDescent="0.15">
      <c r="A292" s="232" t="s">
        <v>1014</v>
      </c>
      <c r="B292" s="228">
        <v>1.016</v>
      </c>
      <c r="C292" s="228">
        <v>1.0149999999999999</v>
      </c>
      <c r="D292" s="228">
        <v>1.012</v>
      </c>
      <c r="E292" s="228">
        <v>1.0109999999999999</v>
      </c>
      <c r="F292" s="231">
        <v>897</v>
      </c>
    </row>
    <row r="293" spans="1:6" ht="32.25" customHeight="1" x14ac:dyDescent="0.15">
      <c r="A293" s="232" t="s">
        <v>1015</v>
      </c>
      <c r="B293" s="228">
        <v>1.016</v>
      </c>
      <c r="C293" s="228">
        <v>1.0149999999999999</v>
      </c>
      <c r="D293" s="228">
        <v>1.012</v>
      </c>
      <c r="E293" s="228">
        <v>1.0109999999999999</v>
      </c>
      <c r="F293" s="231">
        <v>897</v>
      </c>
    </row>
    <row r="294" spans="1:6" ht="32.25" customHeight="1" x14ac:dyDescent="0.15">
      <c r="A294" s="232" t="s">
        <v>1016</v>
      </c>
      <c r="B294" s="228">
        <v>1.016</v>
      </c>
      <c r="C294" s="228">
        <v>1.0149999999999999</v>
      </c>
      <c r="D294" s="228">
        <v>1.012</v>
      </c>
      <c r="E294" s="228">
        <v>1.0109999999999999</v>
      </c>
      <c r="F294" s="231">
        <v>897</v>
      </c>
    </row>
    <row r="295" spans="1:6" ht="32.25" customHeight="1" x14ac:dyDescent="0.15">
      <c r="A295" s="232" t="s">
        <v>1017</v>
      </c>
      <c r="B295" s="228">
        <v>1.016</v>
      </c>
      <c r="C295" s="228">
        <v>1.0149999999999999</v>
      </c>
      <c r="D295" s="228">
        <v>1.012</v>
      </c>
      <c r="E295" s="228">
        <v>1.0109999999999999</v>
      </c>
      <c r="F295" s="231">
        <v>897</v>
      </c>
    </row>
    <row r="296" spans="1:6" ht="32.25" customHeight="1" x14ac:dyDescent="0.15">
      <c r="A296" s="232" t="s">
        <v>1018</v>
      </c>
      <c r="B296" s="228">
        <v>1.016</v>
      </c>
      <c r="C296" s="228">
        <v>1.0149999999999999</v>
      </c>
      <c r="D296" s="228">
        <v>1.012</v>
      </c>
      <c r="E296" s="228">
        <v>1.0109999999999999</v>
      </c>
      <c r="F296" s="231">
        <v>897</v>
      </c>
    </row>
    <row r="297" spans="1:6" ht="32.25" customHeight="1" x14ac:dyDescent="0.15">
      <c r="A297" s="232" t="s">
        <v>1019</v>
      </c>
      <c r="B297" s="228">
        <v>1.016</v>
      </c>
      <c r="C297" s="228">
        <v>1.0149999999999999</v>
      </c>
      <c r="D297" s="228">
        <v>1.012</v>
      </c>
      <c r="E297" s="228">
        <v>1.0109999999999999</v>
      </c>
      <c r="F297" s="231">
        <v>897</v>
      </c>
    </row>
    <row r="298" spans="1:6" ht="32.25" customHeight="1" x14ac:dyDescent="0.15">
      <c r="A298" s="232" t="s">
        <v>1020</v>
      </c>
      <c r="B298" s="228">
        <v>1.0049999999999999</v>
      </c>
      <c r="C298" s="228">
        <v>1.004</v>
      </c>
      <c r="D298" s="228">
        <v>1.0029999999999999</v>
      </c>
      <c r="E298" s="228">
        <v>1.0029999999999999</v>
      </c>
      <c r="F298" s="231">
        <v>899</v>
      </c>
    </row>
    <row r="299" spans="1:6" ht="32.25" customHeight="1" x14ac:dyDescent="0.15">
      <c r="A299" s="232" t="s">
        <v>1021</v>
      </c>
      <c r="B299" s="228">
        <v>1.016</v>
      </c>
      <c r="C299" s="228">
        <v>1.0149999999999999</v>
      </c>
      <c r="D299" s="228">
        <v>1.012</v>
      </c>
      <c r="E299" s="228">
        <v>1.0109999999999999</v>
      </c>
      <c r="F299" s="231">
        <v>897</v>
      </c>
    </row>
    <row r="300" spans="1:6" ht="32.25" customHeight="1" x14ac:dyDescent="0.15">
      <c r="A300" s="232" t="s">
        <v>1022</v>
      </c>
      <c r="B300" s="228">
        <v>1.016</v>
      </c>
      <c r="C300" s="228">
        <v>1.0149999999999999</v>
      </c>
      <c r="D300" s="228">
        <v>1.012</v>
      </c>
      <c r="E300" s="228">
        <v>1.0109999999999999</v>
      </c>
      <c r="F300" s="231">
        <v>7372</v>
      </c>
    </row>
    <row r="301" spans="1:6" ht="32.25" customHeight="1" x14ac:dyDescent="0.15">
      <c r="A301" s="232" t="s">
        <v>1023</v>
      </c>
      <c r="B301" s="228">
        <v>1.016</v>
      </c>
      <c r="C301" s="228">
        <v>1.0149999999999999</v>
      </c>
      <c r="D301" s="228">
        <v>1.012</v>
      </c>
      <c r="E301" s="228">
        <v>1.0109999999999999</v>
      </c>
      <c r="F301" s="231">
        <v>897</v>
      </c>
    </row>
    <row r="302" spans="1:6" ht="32.25" customHeight="1" x14ac:dyDescent="0.15">
      <c r="A302" s="232" t="s">
        <v>1024</v>
      </c>
      <c r="B302" s="228">
        <v>1.0049999999999999</v>
      </c>
      <c r="C302" s="228">
        <v>1.004</v>
      </c>
      <c r="D302" s="228">
        <v>1.0029999999999999</v>
      </c>
      <c r="E302" s="228">
        <v>1.0029999999999999</v>
      </c>
      <c r="F302" s="231">
        <v>899</v>
      </c>
    </row>
    <row r="303" spans="1:6" ht="32.25" customHeight="1" x14ac:dyDescent="0.15">
      <c r="A303" s="232" t="s">
        <v>1025</v>
      </c>
      <c r="B303" s="228">
        <v>1.016</v>
      </c>
      <c r="C303" s="228">
        <v>1.0149999999999999</v>
      </c>
      <c r="D303" s="228">
        <v>1.012</v>
      </c>
      <c r="E303" s="228">
        <v>1.0109999999999999</v>
      </c>
      <c r="F303" s="231">
        <v>897</v>
      </c>
    </row>
    <row r="304" spans="1:6" ht="32.25" customHeight="1" x14ac:dyDescent="0.15">
      <c r="A304" s="232" t="s">
        <v>1026</v>
      </c>
      <c r="B304" s="228">
        <v>1.016</v>
      </c>
      <c r="C304" s="228">
        <v>1.0149999999999999</v>
      </c>
      <c r="D304" s="228">
        <v>1.012</v>
      </c>
      <c r="E304" s="228">
        <v>1.0109999999999999</v>
      </c>
      <c r="F304" s="231">
        <v>897</v>
      </c>
    </row>
    <row r="305" spans="1:6" ht="32.25" customHeight="1" x14ac:dyDescent="0.15">
      <c r="A305" s="232" t="s">
        <v>1027</v>
      </c>
      <c r="B305" s="228">
        <v>1.008</v>
      </c>
      <c r="C305" s="228">
        <v>1.0089999999999999</v>
      </c>
      <c r="D305" s="228">
        <v>1.008</v>
      </c>
      <c r="E305" s="228">
        <v>1.006</v>
      </c>
      <c r="F305" s="231" t="s">
        <v>1117</v>
      </c>
    </row>
    <row r="306" spans="1:6" ht="32.25" customHeight="1" x14ac:dyDescent="0.15">
      <c r="A306" s="232" t="s">
        <v>1028</v>
      </c>
      <c r="B306" s="228">
        <v>1.016</v>
      </c>
      <c r="C306" s="228">
        <v>1.0149999999999999</v>
      </c>
      <c r="D306" s="228">
        <v>1.012</v>
      </c>
      <c r="E306" s="228">
        <v>1.0109999999999999</v>
      </c>
      <c r="F306" s="231">
        <v>897</v>
      </c>
    </row>
    <row r="307" spans="1:6" ht="32.25" customHeight="1" x14ac:dyDescent="0.15">
      <c r="A307" s="232" t="s">
        <v>1029</v>
      </c>
      <c r="B307" s="228">
        <v>1.016</v>
      </c>
      <c r="C307" s="228">
        <v>1.0149999999999999</v>
      </c>
      <c r="D307" s="228">
        <v>1.012</v>
      </c>
      <c r="E307" s="228">
        <v>1.0109999999999999</v>
      </c>
      <c r="F307" s="231">
        <v>897</v>
      </c>
    </row>
    <row r="308" spans="1:6" ht="32.25" customHeight="1" x14ac:dyDescent="0.15">
      <c r="A308" s="232" t="s">
        <v>1030</v>
      </c>
      <c r="B308" s="228">
        <v>1.026</v>
      </c>
      <c r="C308" s="228">
        <v>1.026</v>
      </c>
      <c r="D308" s="228">
        <v>1.0249999999999999</v>
      </c>
      <c r="E308" s="228">
        <v>1.0229999999999999</v>
      </c>
      <c r="F308" s="231" t="s">
        <v>1118</v>
      </c>
    </row>
    <row r="309" spans="1:6" ht="32.25" customHeight="1" x14ac:dyDescent="0.15">
      <c r="A309" s="232" t="s">
        <v>1031</v>
      </c>
      <c r="B309" s="228">
        <v>1.016</v>
      </c>
      <c r="C309" s="228">
        <v>1.0149999999999999</v>
      </c>
      <c r="D309" s="228">
        <v>1.012</v>
      </c>
      <c r="E309" s="228">
        <v>1.0109999999999999</v>
      </c>
      <c r="F309" s="231">
        <v>897</v>
      </c>
    </row>
    <row r="310" spans="1:6" ht="32.25" customHeight="1" x14ac:dyDescent="0.15">
      <c r="A310" s="232" t="s">
        <v>1032</v>
      </c>
      <c r="B310" s="228">
        <v>1.016</v>
      </c>
      <c r="C310" s="228">
        <v>1.0149999999999999</v>
      </c>
      <c r="D310" s="228">
        <v>1.012</v>
      </c>
      <c r="E310" s="228">
        <v>1.0109999999999999</v>
      </c>
      <c r="F310" s="231">
        <v>897</v>
      </c>
    </row>
    <row r="311" spans="1:6" ht="32.25" customHeight="1" x14ac:dyDescent="0.15">
      <c r="A311" s="232" t="s">
        <v>1033</v>
      </c>
      <c r="B311" s="228">
        <v>1.016</v>
      </c>
      <c r="C311" s="228">
        <v>1.0149999999999999</v>
      </c>
      <c r="D311" s="228">
        <v>1.012</v>
      </c>
      <c r="E311" s="228">
        <v>1.0109999999999999</v>
      </c>
      <c r="F311" s="231">
        <v>897</v>
      </c>
    </row>
    <row r="312" spans="1:6" ht="32.25" customHeight="1" x14ac:dyDescent="0.15">
      <c r="A312" s="232" t="s">
        <v>1034</v>
      </c>
      <c r="B312" s="228">
        <v>1.022</v>
      </c>
      <c r="C312" s="228">
        <v>1.02</v>
      </c>
      <c r="D312" s="228">
        <v>1.018</v>
      </c>
      <c r="E312" s="228">
        <v>1.0169999999999999</v>
      </c>
      <c r="F312" s="231">
        <v>739</v>
      </c>
    </row>
    <row r="313" spans="1:6" ht="32.25" customHeight="1" x14ac:dyDescent="0.15">
      <c r="A313" s="232" t="s">
        <v>1035</v>
      </c>
      <c r="B313" s="228">
        <v>1.006</v>
      </c>
      <c r="C313" s="228">
        <v>1.0029999999999999</v>
      </c>
      <c r="D313" s="228">
        <v>1.0009999999999999</v>
      </c>
      <c r="E313" s="228">
        <v>1.0049999999999999</v>
      </c>
      <c r="F313" s="231" t="s">
        <v>1119</v>
      </c>
    </row>
    <row r="314" spans="1:6" ht="32.25" customHeight="1" x14ac:dyDescent="0.15">
      <c r="A314" s="232" t="s">
        <v>1036</v>
      </c>
      <c r="B314" s="228">
        <v>1.0149999999999999</v>
      </c>
      <c r="C314" s="228">
        <v>1.012</v>
      </c>
      <c r="D314" s="228">
        <v>1.01</v>
      </c>
      <c r="E314" s="228">
        <v>1.0129999999999999</v>
      </c>
      <c r="F314" s="231" t="s">
        <v>1120</v>
      </c>
    </row>
    <row r="315" spans="1:6" ht="32.25" customHeight="1" x14ac:dyDescent="0.15">
      <c r="A315" s="232" t="s">
        <v>1037</v>
      </c>
      <c r="B315" s="228">
        <v>1.016</v>
      </c>
      <c r="C315" s="228">
        <v>1.0149999999999999</v>
      </c>
      <c r="D315" s="228">
        <v>1.012</v>
      </c>
      <c r="E315" s="228">
        <v>1.0109999999999999</v>
      </c>
      <c r="F315" s="231">
        <v>897</v>
      </c>
    </row>
    <row r="316" spans="1:6" ht="32.25" customHeight="1" x14ac:dyDescent="0.15">
      <c r="A316" s="232" t="s">
        <v>1038</v>
      </c>
      <c r="B316" s="228">
        <v>1.0049999999999999</v>
      </c>
      <c r="C316" s="228">
        <v>1.004</v>
      </c>
      <c r="D316" s="228">
        <v>1.0029999999999999</v>
      </c>
      <c r="E316" s="228">
        <v>1.0029999999999999</v>
      </c>
      <c r="F316" s="231">
        <v>899</v>
      </c>
    </row>
    <row r="317" spans="1:6" ht="32.25" customHeight="1" x14ac:dyDescent="0.15">
      <c r="A317" s="232" t="s">
        <v>1039</v>
      </c>
      <c r="B317" s="228">
        <v>1.016</v>
      </c>
      <c r="C317" s="228">
        <v>1.0149999999999999</v>
      </c>
      <c r="D317" s="228">
        <v>1.012</v>
      </c>
      <c r="E317" s="228">
        <v>1.0109999999999999</v>
      </c>
      <c r="F317" s="231">
        <v>897</v>
      </c>
    </row>
    <row r="318" spans="1:6" ht="32.25" customHeight="1" x14ac:dyDescent="0.15">
      <c r="A318" s="232" t="s">
        <v>1040</v>
      </c>
      <c r="B318" s="228">
        <v>1.016</v>
      </c>
      <c r="C318" s="228">
        <v>1.0149999999999999</v>
      </c>
      <c r="D318" s="228">
        <v>1.012</v>
      </c>
      <c r="E318" s="228">
        <v>1.0109999999999999</v>
      </c>
      <c r="F318" s="231">
        <v>897</v>
      </c>
    </row>
    <row r="319" spans="1:6" ht="32.25" customHeight="1" x14ac:dyDescent="0.15">
      <c r="A319" s="232" t="s">
        <v>1041</v>
      </c>
      <c r="B319" s="228">
        <v>1.016</v>
      </c>
      <c r="C319" s="228">
        <v>1.0149999999999999</v>
      </c>
      <c r="D319" s="228">
        <v>1.012</v>
      </c>
      <c r="E319" s="228">
        <v>1.0109999999999999</v>
      </c>
      <c r="F319" s="231">
        <v>897</v>
      </c>
    </row>
    <row r="320" spans="1:6" ht="32.25" customHeight="1" x14ac:dyDescent="0.15">
      <c r="A320" s="232" t="s">
        <v>1042</v>
      </c>
      <c r="B320" s="228">
        <v>1.016</v>
      </c>
      <c r="C320" s="228">
        <v>1.0149999999999999</v>
      </c>
      <c r="D320" s="228">
        <v>1.012</v>
      </c>
      <c r="E320" s="228">
        <v>1.0109999999999999</v>
      </c>
      <c r="F320" s="231">
        <v>897</v>
      </c>
    </row>
    <row r="321" spans="1:6" ht="32.25" customHeight="1" x14ac:dyDescent="0.15">
      <c r="A321" s="232" t="s">
        <v>1043</v>
      </c>
      <c r="B321" s="228">
        <v>1.016</v>
      </c>
      <c r="C321" s="228">
        <v>1.0149999999999999</v>
      </c>
      <c r="D321" s="228">
        <v>1.012</v>
      </c>
      <c r="E321" s="228">
        <v>1.0109999999999999</v>
      </c>
      <c r="F321" s="231">
        <v>897</v>
      </c>
    </row>
    <row r="322" spans="1:6" ht="32.25" customHeight="1" x14ac:dyDescent="0.15">
      <c r="A322" s="232" t="s">
        <v>1044</v>
      </c>
      <c r="B322" s="228">
        <v>1.0049999999999999</v>
      </c>
      <c r="C322" s="228">
        <v>1.004</v>
      </c>
      <c r="D322" s="228">
        <v>1.0029999999999999</v>
      </c>
      <c r="E322" s="228">
        <v>1.0029999999999999</v>
      </c>
      <c r="F322" s="231">
        <v>899</v>
      </c>
    </row>
    <row r="323" spans="1:6" ht="32.25" customHeight="1" x14ac:dyDescent="0.15">
      <c r="A323" s="232" t="s">
        <v>1045</v>
      </c>
      <c r="B323" s="228">
        <v>1.0049999999999999</v>
      </c>
      <c r="C323" s="228">
        <v>1.004</v>
      </c>
      <c r="D323" s="228">
        <v>1.0029999999999999</v>
      </c>
      <c r="E323" s="228">
        <v>1.0029999999999999</v>
      </c>
      <c r="F323" s="231">
        <v>899</v>
      </c>
    </row>
    <row r="324" spans="1:6" ht="32.25" customHeight="1" x14ac:dyDescent="0.15">
      <c r="A324" s="232" t="s">
        <v>1046</v>
      </c>
      <c r="B324" s="228">
        <v>1.0049999999999999</v>
      </c>
      <c r="C324" s="228">
        <v>1.004</v>
      </c>
      <c r="D324" s="228">
        <v>1.0029999999999999</v>
      </c>
      <c r="E324" s="228">
        <v>1.0029999999999999</v>
      </c>
      <c r="F324" s="231">
        <v>899</v>
      </c>
    </row>
    <row r="325" spans="1:6" ht="32.25" customHeight="1" x14ac:dyDescent="0.15">
      <c r="A325" s="232" t="s">
        <v>1047</v>
      </c>
      <c r="B325" s="228">
        <v>1.016</v>
      </c>
      <c r="C325" s="228">
        <v>1.0149999999999999</v>
      </c>
      <c r="D325" s="228">
        <v>1.012</v>
      </c>
      <c r="E325" s="228">
        <v>1.0109999999999999</v>
      </c>
      <c r="F325" s="231">
        <v>897</v>
      </c>
    </row>
    <row r="326" spans="1:6" ht="32.25" customHeight="1" x14ac:dyDescent="0.15">
      <c r="A326" s="232" t="s">
        <v>1048</v>
      </c>
      <c r="B326" s="228">
        <v>1.0049999999999999</v>
      </c>
      <c r="C326" s="228">
        <v>1.004</v>
      </c>
      <c r="D326" s="228">
        <v>1.0029999999999999</v>
      </c>
      <c r="E326" s="228">
        <v>1.0029999999999999</v>
      </c>
      <c r="F326" s="231">
        <v>899</v>
      </c>
    </row>
    <row r="327" spans="1:6" ht="32.25" customHeight="1" x14ac:dyDescent="0.15">
      <c r="A327" s="232" t="s">
        <v>1049</v>
      </c>
      <c r="B327" s="228">
        <v>1.016</v>
      </c>
      <c r="C327" s="228">
        <v>1.0149999999999999</v>
      </c>
      <c r="D327" s="228">
        <v>1.012</v>
      </c>
      <c r="E327" s="228">
        <v>1.0109999999999999</v>
      </c>
      <c r="F327" s="231">
        <v>897</v>
      </c>
    </row>
    <row r="328" spans="1:6" ht="32.25" customHeight="1" x14ac:dyDescent="0.15">
      <c r="A328" s="232" t="s">
        <v>1050</v>
      </c>
      <c r="B328" s="228">
        <v>1.016</v>
      </c>
      <c r="C328" s="228">
        <v>1.0149999999999999</v>
      </c>
      <c r="D328" s="228">
        <v>1.012</v>
      </c>
      <c r="E328" s="228">
        <v>1.0109999999999999</v>
      </c>
      <c r="F328" s="231">
        <v>897</v>
      </c>
    </row>
    <row r="329" spans="1:6" ht="32.25" customHeight="1" x14ac:dyDescent="0.15">
      <c r="A329" s="232" t="s">
        <v>1051</v>
      </c>
      <c r="B329" s="228">
        <v>1.016</v>
      </c>
      <c r="C329" s="228">
        <v>1.0149999999999999</v>
      </c>
      <c r="D329" s="228">
        <v>1.012</v>
      </c>
      <c r="E329" s="228">
        <v>1.0109999999999999</v>
      </c>
      <c r="F329" s="231">
        <v>897</v>
      </c>
    </row>
    <row r="330" spans="1:6" ht="32.25" customHeight="1" x14ac:dyDescent="0.15">
      <c r="A330" s="232" t="s">
        <v>1052</v>
      </c>
      <c r="B330" s="228">
        <v>1.016</v>
      </c>
      <c r="C330" s="228">
        <v>1.0149999999999999</v>
      </c>
      <c r="D330" s="228">
        <v>1.012</v>
      </c>
      <c r="E330" s="228">
        <v>1.0109999999999999</v>
      </c>
      <c r="F330" s="231">
        <v>897</v>
      </c>
    </row>
    <row r="331" spans="1:6" ht="32.25" customHeight="1" x14ac:dyDescent="0.15">
      <c r="A331" s="232" t="s">
        <v>1053</v>
      </c>
      <c r="B331" s="228">
        <v>1.016</v>
      </c>
      <c r="C331" s="228">
        <v>1.0149999999999999</v>
      </c>
      <c r="D331" s="228">
        <v>1.012</v>
      </c>
      <c r="E331" s="228">
        <v>1.0109999999999999</v>
      </c>
      <c r="F331" s="231">
        <v>897</v>
      </c>
    </row>
    <row r="332" spans="1:6" ht="32.25" customHeight="1" x14ac:dyDescent="0.15">
      <c r="A332" s="232" t="s">
        <v>1054</v>
      </c>
      <c r="B332" s="228">
        <v>1.0389999999999999</v>
      </c>
      <c r="C332" s="228">
        <v>1.0289999999999999</v>
      </c>
      <c r="D332" s="228">
        <v>1.038</v>
      </c>
      <c r="E332" s="228">
        <v>1.0409999999999999</v>
      </c>
      <c r="F332" s="231" t="s">
        <v>1977</v>
      </c>
    </row>
    <row r="333" spans="1:6" ht="32.25" customHeight="1" x14ac:dyDescent="0.15">
      <c r="A333" s="232" t="s">
        <v>1055</v>
      </c>
      <c r="B333" s="228">
        <v>1.016</v>
      </c>
      <c r="C333" s="228">
        <v>1.0149999999999999</v>
      </c>
      <c r="D333" s="228">
        <v>1.012</v>
      </c>
      <c r="E333" s="228">
        <v>1.0109999999999999</v>
      </c>
      <c r="F333" s="231">
        <v>897</v>
      </c>
    </row>
    <row r="334" spans="1:6" ht="32.25" customHeight="1" x14ac:dyDescent="0.15">
      <c r="A334" s="232" t="s">
        <v>1056</v>
      </c>
      <c r="B334" s="228">
        <v>1.016</v>
      </c>
      <c r="C334" s="228">
        <v>1.0149999999999999</v>
      </c>
      <c r="D334" s="228">
        <v>1.012</v>
      </c>
      <c r="E334" s="228">
        <v>1.0109999999999999</v>
      </c>
      <c r="F334" s="231">
        <v>897</v>
      </c>
    </row>
    <row r="335" spans="1:6" ht="32.25" customHeight="1" x14ac:dyDescent="0.15">
      <c r="A335" s="232" t="s">
        <v>1057</v>
      </c>
      <c r="B335" s="228">
        <v>1.016</v>
      </c>
      <c r="C335" s="228">
        <v>1.0149999999999999</v>
      </c>
      <c r="D335" s="228">
        <v>1.012</v>
      </c>
      <c r="E335" s="228">
        <v>1.0109999999999999</v>
      </c>
      <c r="F335" s="231">
        <v>897</v>
      </c>
    </row>
    <row r="336" spans="1:6" ht="32.25" customHeight="1" x14ac:dyDescent="0.15">
      <c r="A336" s="232" t="s">
        <v>1058</v>
      </c>
      <c r="B336" s="228">
        <v>1.022</v>
      </c>
      <c r="C336" s="228">
        <v>1.02</v>
      </c>
      <c r="D336" s="228">
        <v>1.018</v>
      </c>
      <c r="E336" s="228">
        <v>1.0169999999999999</v>
      </c>
      <c r="F336" s="231">
        <v>739</v>
      </c>
    </row>
    <row r="337" spans="1:6" ht="32.25" customHeight="1" x14ac:dyDescent="0.15">
      <c r="A337" s="232" t="s">
        <v>1059</v>
      </c>
      <c r="B337" s="228">
        <v>1.0049999999999999</v>
      </c>
      <c r="C337" s="228">
        <v>1.004</v>
      </c>
      <c r="D337" s="228">
        <v>1.0029999999999999</v>
      </c>
      <c r="E337" s="228">
        <v>1.0029999999999999</v>
      </c>
      <c r="F337" s="231">
        <v>897</v>
      </c>
    </row>
    <row r="338" spans="1:6" ht="32.25" customHeight="1" x14ac:dyDescent="0.15">
      <c r="A338" s="232" t="s">
        <v>1060</v>
      </c>
      <c r="B338" s="228">
        <v>1.016</v>
      </c>
      <c r="C338" s="228">
        <v>1.0149999999999999</v>
      </c>
      <c r="D338" s="228">
        <v>1.012</v>
      </c>
      <c r="E338" s="228">
        <v>1.0109999999999999</v>
      </c>
      <c r="F338" s="231">
        <v>897</v>
      </c>
    </row>
    <row r="339" spans="1:6" ht="32.25" customHeight="1" x14ac:dyDescent="0.15">
      <c r="A339" s="232" t="s">
        <v>1061</v>
      </c>
      <c r="B339" s="228">
        <v>1.016</v>
      </c>
      <c r="C339" s="228">
        <v>1.0149999999999999</v>
      </c>
      <c r="D339" s="228">
        <v>1.012</v>
      </c>
      <c r="E339" s="228">
        <v>1.0109999999999999</v>
      </c>
      <c r="F339" s="231">
        <v>897</v>
      </c>
    </row>
    <row r="340" spans="1:6" ht="32.25" customHeight="1" x14ac:dyDescent="0.15">
      <c r="A340" s="232" t="s">
        <v>1062</v>
      </c>
      <c r="B340" s="228">
        <v>1.016</v>
      </c>
      <c r="C340" s="228">
        <v>1.0149999999999999</v>
      </c>
      <c r="D340" s="228">
        <v>1.012</v>
      </c>
      <c r="E340" s="228">
        <v>1.0109999999999999</v>
      </c>
      <c r="F340" s="231">
        <v>897</v>
      </c>
    </row>
    <row r="341" spans="1:6" ht="32.25" customHeight="1" x14ac:dyDescent="0.15">
      <c r="A341" s="232" t="s">
        <v>1063</v>
      </c>
      <c r="B341" s="228">
        <v>1.016</v>
      </c>
      <c r="C341" s="228">
        <v>1.0149999999999999</v>
      </c>
      <c r="D341" s="228">
        <v>1.012</v>
      </c>
      <c r="E341" s="228">
        <v>1.0109999999999999</v>
      </c>
      <c r="F341" s="231">
        <v>897</v>
      </c>
    </row>
    <row r="342" spans="1:6" ht="32.25" customHeight="1" x14ac:dyDescent="0.15">
      <c r="A342" s="232" t="s">
        <v>1064</v>
      </c>
      <c r="B342" s="228">
        <v>1.022</v>
      </c>
      <c r="C342" s="228">
        <v>1.02</v>
      </c>
      <c r="D342" s="228">
        <v>1.018</v>
      </c>
      <c r="E342" s="228">
        <v>1.0169999999999999</v>
      </c>
      <c r="F342" s="231">
        <v>739</v>
      </c>
    </row>
    <row r="343" spans="1:6" ht="32.25" customHeight="1" x14ac:dyDescent="0.15">
      <c r="A343" s="232" t="s">
        <v>1065</v>
      </c>
      <c r="B343" s="228">
        <v>1.022</v>
      </c>
      <c r="C343" s="228">
        <v>1.02</v>
      </c>
      <c r="D343" s="228">
        <v>1.018</v>
      </c>
      <c r="E343" s="228">
        <v>1.0169999999999999</v>
      </c>
      <c r="F343" s="231">
        <v>739</v>
      </c>
    </row>
    <row r="344" spans="1:6" ht="32.25" customHeight="1" x14ac:dyDescent="0.15">
      <c r="A344" s="232" t="s">
        <v>1066</v>
      </c>
      <c r="B344" s="228">
        <v>1.022</v>
      </c>
      <c r="C344" s="228">
        <v>1.02</v>
      </c>
      <c r="D344" s="228">
        <v>1.018</v>
      </c>
      <c r="E344" s="228">
        <v>1.0169999999999999</v>
      </c>
      <c r="F344" s="231">
        <v>739</v>
      </c>
    </row>
    <row r="345" spans="1:6" ht="32.25" customHeight="1" x14ac:dyDescent="0.15">
      <c r="A345" s="232" t="s">
        <v>1067</v>
      </c>
      <c r="B345" s="228">
        <v>1.016</v>
      </c>
      <c r="C345" s="228">
        <v>1.0149999999999999</v>
      </c>
      <c r="D345" s="228">
        <v>1.012</v>
      </c>
      <c r="E345" s="228">
        <v>1.0109999999999999</v>
      </c>
      <c r="F345" s="231">
        <v>897</v>
      </c>
    </row>
    <row r="346" spans="1:6" ht="32.25" customHeight="1" x14ac:dyDescent="0.15">
      <c r="A346" s="232" t="s">
        <v>1068</v>
      </c>
      <c r="B346" s="228">
        <v>1.016</v>
      </c>
      <c r="C346" s="228">
        <v>1.0149999999999999</v>
      </c>
      <c r="D346" s="228">
        <v>1.012</v>
      </c>
      <c r="E346" s="228">
        <v>1.0109999999999999</v>
      </c>
      <c r="F346" s="231">
        <v>897</v>
      </c>
    </row>
    <row r="347" spans="1:6" ht="32.25" customHeight="1" x14ac:dyDescent="0.15">
      <c r="A347" s="232" t="s">
        <v>1069</v>
      </c>
      <c r="B347" s="228">
        <v>1.016</v>
      </c>
      <c r="C347" s="228">
        <v>1.0149999999999999</v>
      </c>
      <c r="D347" s="228">
        <v>1.012</v>
      </c>
      <c r="E347" s="228">
        <v>1.0109999999999999</v>
      </c>
      <c r="F347" s="231">
        <v>897</v>
      </c>
    </row>
    <row r="348" spans="1:6" ht="32.25" customHeight="1" x14ac:dyDescent="0.15">
      <c r="A348" s="232" t="s">
        <v>1070</v>
      </c>
      <c r="B348" s="228">
        <v>1.016</v>
      </c>
      <c r="C348" s="228">
        <v>1.0149999999999999</v>
      </c>
      <c r="D348" s="228">
        <v>1.012</v>
      </c>
      <c r="E348" s="228">
        <v>1.0109999999999999</v>
      </c>
      <c r="F348" s="231">
        <v>897</v>
      </c>
    </row>
    <row r="349" spans="1:6" ht="32.25" customHeight="1" x14ac:dyDescent="0.15">
      <c r="A349" s="232" t="s">
        <v>1071</v>
      </c>
      <c r="B349" s="228">
        <v>1.016</v>
      </c>
      <c r="C349" s="228">
        <v>1.0149999999999999</v>
      </c>
      <c r="D349" s="228">
        <v>1.012</v>
      </c>
      <c r="E349" s="228">
        <v>1.0109999999999999</v>
      </c>
      <c r="F349" s="231">
        <v>897</v>
      </c>
    </row>
    <row r="350" spans="1:6" ht="32.25" customHeight="1" x14ac:dyDescent="0.15">
      <c r="A350" s="232" t="s">
        <v>1072</v>
      </c>
      <c r="B350" s="228">
        <v>1.022</v>
      </c>
      <c r="C350" s="228">
        <v>1.02</v>
      </c>
      <c r="D350" s="228">
        <v>1.018</v>
      </c>
      <c r="E350" s="228">
        <v>1.0169999999999999</v>
      </c>
      <c r="F350" s="231">
        <v>739</v>
      </c>
    </row>
    <row r="351" spans="1:6" ht="32.25" customHeight="1" x14ac:dyDescent="0.15">
      <c r="A351" s="232" t="s">
        <v>1073</v>
      </c>
      <c r="B351" s="228">
        <v>1.022</v>
      </c>
      <c r="C351" s="228">
        <v>1.02</v>
      </c>
      <c r="D351" s="228">
        <v>1.018</v>
      </c>
      <c r="E351" s="228">
        <v>1.0169999999999999</v>
      </c>
      <c r="F351" s="231">
        <v>739</v>
      </c>
    </row>
    <row r="352" spans="1:6" ht="32.25" customHeight="1" x14ac:dyDescent="0.15">
      <c r="A352" s="232" t="s">
        <v>1074</v>
      </c>
      <c r="B352" s="228">
        <v>1.016</v>
      </c>
      <c r="C352" s="228">
        <v>1.0149999999999999</v>
      </c>
      <c r="D352" s="228">
        <v>1.012</v>
      </c>
      <c r="E352" s="228">
        <v>1.0109999999999999</v>
      </c>
      <c r="F352" s="231">
        <v>897</v>
      </c>
    </row>
    <row r="353" spans="1:6" ht="32.25" customHeight="1" x14ac:dyDescent="0.15">
      <c r="A353" s="232" t="s">
        <v>1075</v>
      </c>
      <c r="B353" s="228">
        <v>1.016</v>
      </c>
      <c r="C353" s="228">
        <v>1.0149999999999999</v>
      </c>
      <c r="D353" s="228">
        <v>1.012</v>
      </c>
      <c r="E353" s="228">
        <v>1.0109999999999999</v>
      </c>
      <c r="F353" s="231">
        <v>897</v>
      </c>
    </row>
    <row r="354" spans="1:6" ht="32.25" customHeight="1" x14ac:dyDescent="0.15">
      <c r="A354" s="232" t="s">
        <v>1076</v>
      </c>
      <c r="B354" s="228">
        <v>1.016</v>
      </c>
      <c r="C354" s="228">
        <v>1.0149999999999999</v>
      </c>
      <c r="D354" s="228">
        <v>1.012</v>
      </c>
      <c r="E354" s="228">
        <v>1.0109999999999999</v>
      </c>
      <c r="F354" s="231">
        <v>897</v>
      </c>
    </row>
    <row r="355" spans="1:6" ht="32.25" customHeight="1" x14ac:dyDescent="0.15">
      <c r="A355" s="232" t="s">
        <v>1077</v>
      </c>
      <c r="B355" s="228">
        <v>1.016</v>
      </c>
      <c r="C355" s="228">
        <v>1.0149999999999999</v>
      </c>
      <c r="D355" s="228">
        <v>1.012</v>
      </c>
      <c r="E355" s="228">
        <v>1.0109999999999999</v>
      </c>
      <c r="F355" s="231">
        <v>897</v>
      </c>
    </row>
    <row r="356" spans="1:6" ht="32.25" customHeight="1" x14ac:dyDescent="0.15">
      <c r="A356" s="232" t="s">
        <v>1078</v>
      </c>
      <c r="B356" s="228">
        <v>1.016</v>
      </c>
      <c r="C356" s="228">
        <v>1.0149999999999999</v>
      </c>
      <c r="D356" s="228">
        <v>1.012</v>
      </c>
      <c r="E356" s="228">
        <v>1.0109999999999999</v>
      </c>
      <c r="F356" s="231">
        <v>897</v>
      </c>
    </row>
    <row r="357" spans="1:6" ht="32.25" customHeight="1" x14ac:dyDescent="0.15">
      <c r="A357" s="232" t="s">
        <v>1079</v>
      </c>
      <c r="B357" s="228">
        <v>1.022</v>
      </c>
      <c r="C357" s="228">
        <v>1.02</v>
      </c>
      <c r="D357" s="228">
        <v>1.018</v>
      </c>
      <c r="E357" s="228">
        <v>1.0169999999999999</v>
      </c>
      <c r="F357" s="231">
        <v>739</v>
      </c>
    </row>
    <row r="358" spans="1:6" ht="32.25" customHeight="1" x14ac:dyDescent="0.15">
      <c r="A358" s="232" t="s">
        <v>1080</v>
      </c>
      <c r="B358" s="228">
        <v>1.016</v>
      </c>
      <c r="C358" s="228">
        <v>1.0149999999999999</v>
      </c>
      <c r="D358" s="228">
        <v>1.012</v>
      </c>
      <c r="E358" s="228">
        <v>1.0109999999999999</v>
      </c>
      <c r="F358" s="231">
        <v>897</v>
      </c>
    </row>
    <row r="359" spans="1:6" ht="32.25" customHeight="1" x14ac:dyDescent="0.15">
      <c r="A359" s="232" t="s">
        <v>1081</v>
      </c>
      <c r="B359" s="228">
        <v>1.0049999999999999</v>
      </c>
      <c r="C359" s="228">
        <v>1.004</v>
      </c>
      <c r="D359" s="228">
        <v>1.0029999999999999</v>
      </c>
      <c r="E359" s="228">
        <v>1.0029999999999999</v>
      </c>
      <c r="F359" s="231">
        <v>899</v>
      </c>
    </row>
    <row r="360" spans="1:6" ht="32.25" customHeight="1" x14ac:dyDescent="0.15">
      <c r="A360" s="232" t="s">
        <v>1082</v>
      </c>
      <c r="B360" s="228">
        <v>1.016</v>
      </c>
      <c r="C360" s="228">
        <v>1.0149999999999999</v>
      </c>
      <c r="D360" s="228">
        <v>1.012</v>
      </c>
      <c r="E360" s="228">
        <v>1.0109999999999999</v>
      </c>
      <c r="F360" s="231">
        <v>897</v>
      </c>
    </row>
    <row r="361" spans="1:6" ht="32.25" customHeight="1" x14ac:dyDescent="0.15">
      <c r="A361" s="232" t="s">
        <v>1083</v>
      </c>
      <c r="B361" s="243">
        <v>1.0089999999999999</v>
      </c>
      <c r="C361" s="243">
        <v>1.008</v>
      </c>
      <c r="D361" s="243">
        <v>1.0069999999999999</v>
      </c>
      <c r="E361" s="243">
        <v>1.0069999999999999</v>
      </c>
      <c r="F361" s="244">
        <v>898</v>
      </c>
    </row>
    <row r="362" spans="1:6" ht="32.25" customHeight="1" x14ac:dyDescent="0.15">
      <c r="A362" s="232" t="s">
        <v>1084</v>
      </c>
      <c r="B362" s="228">
        <v>1.016</v>
      </c>
      <c r="C362" s="228">
        <v>1.0149999999999999</v>
      </c>
      <c r="D362" s="228">
        <v>1.012</v>
      </c>
      <c r="E362" s="228">
        <v>1.0109999999999999</v>
      </c>
      <c r="F362" s="231">
        <v>897</v>
      </c>
    </row>
    <row r="363" spans="1:6" ht="32.25" customHeight="1" x14ac:dyDescent="0.15">
      <c r="A363" s="232" t="s">
        <v>1085</v>
      </c>
      <c r="B363" s="228">
        <v>1.016</v>
      </c>
      <c r="C363" s="228">
        <v>1.0149999999999999</v>
      </c>
      <c r="D363" s="228">
        <v>1.012</v>
      </c>
      <c r="E363" s="228">
        <v>1.0109999999999999</v>
      </c>
      <c r="F363" s="231">
        <v>897</v>
      </c>
    </row>
    <row r="364" spans="1:6" ht="32.25" customHeight="1" x14ac:dyDescent="0.15">
      <c r="A364" s="232" t="s">
        <v>1086</v>
      </c>
      <c r="B364" s="228">
        <v>1.022</v>
      </c>
      <c r="C364" s="228">
        <v>1.02</v>
      </c>
      <c r="D364" s="228">
        <v>1.018</v>
      </c>
      <c r="E364" s="228">
        <v>1.0169999999999999</v>
      </c>
      <c r="F364" s="231">
        <v>739</v>
      </c>
    </row>
    <row r="365" spans="1:6" ht="32.25" customHeight="1" x14ac:dyDescent="0.15">
      <c r="A365" s="232" t="s">
        <v>1087</v>
      </c>
      <c r="B365" s="228">
        <v>1.016</v>
      </c>
      <c r="C365" s="228">
        <v>1.0149999999999999</v>
      </c>
      <c r="D365" s="228">
        <v>1.012</v>
      </c>
      <c r="E365" s="228">
        <v>1.0109999999999999</v>
      </c>
      <c r="F365" s="231">
        <v>897</v>
      </c>
    </row>
    <row r="366" spans="1:6" ht="32.25" customHeight="1" x14ac:dyDescent="0.15">
      <c r="A366" s="232" t="s">
        <v>1088</v>
      </c>
      <c r="B366" s="228">
        <v>1.016</v>
      </c>
      <c r="C366" s="228">
        <v>1.0149999999999999</v>
      </c>
      <c r="D366" s="228">
        <v>1.012</v>
      </c>
      <c r="E366" s="228">
        <v>1.0109999999999999</v>
      </c>
      <c r="F366" s="231">
        <v>897</v>
      </c>
    </row>
    <row r="367" spans="1:6" ht="32.25" customHeight="1" x14ac:dyDescent="0.15">
      <c r="A367" s="232" t="s">
        <v>1089</v>
      </c>
      <c r="B367" s="228">
        <v>1.022</v>
      </c>
      <c r="C367" s="228">
        <v>1.02</v>
      </c>
      <c r="D367" s="228">
        <v>1.018</v>
      </c>
      <c r="E367" s="228">
        <v>1.0169999999999999</v>
      </c>
      <c r="F367" s="231">
        <v>745</v>
      </c>
    </row>
    <row r="368" spans="1:6" ht="32.25" customHeight="1" x14ac:dyDescent="0.15">
      <c r="A368" s="232" t="s">
        <v>1090</v>
      </c>
      <c r="B368" s="228">
        <v>1.016</v>
      </c>
      <c r="C368" s="228">
        <v>1.0149999999999999</v>
      </c>
      <c r="D368" s="228">
        <v>1.012</v>
      </c>
      <c r="E368" s="228">
        <v>1.0109999999999999</v>
      </c>
      <c r="F368" s="231">
        <v>897</v>
      </c>
    </row>
    <row r="369" spans="1:6" ht="32.25" customHeight="1" x14ac:dyDescent="0.15">
      <c r="A369" s="232" t="s">
        <v>1091</v>
      </c>
      <c r="B369" s="228">
        <v>1.0089999999999999</v>
      </c>
      <c r="C369" s="228">
        <v>1.008</v>
      </c>
      <c r="D369" s="228">
        <v>1.0069999999999999</v>
      </c>
      <c r="E369" s="228">
        <v>1.0069999999999999</v>
      </c>
      <c r="F369" s="231">
        <v>898</v>
      </c>
    </row>
    <row r="370" spans="1:6" ht="32.25" customHeight="1" x14ac:dyDescent="0.15">
      <c r="A370" s="232" t="s">
        <v>1092</v>
      </c>
      <c r="B370" s="228">
        <v>1.0049999999999999</v>
      </c>
      <c r="C370" s="228">
        <v>1.004</v>
      </c>
      <c r="D370" s="228">
        <v>1.0029999999999999</v>
      </c>
      <c r="E370" s="228">
        <v>1.0029999999999999</v>
      </c>
      <c r="F370" s="231">
        <v>899</v>
      </c>
    </row>
    <row r="371" spans="1:6" ht="32.25" customHeight="1" x14ac:dyDescent="0.15">
      <c r="A371" s="232" t="s">
        <v>1093</v>
      </c>
      <c r="B371" s="228">
        <v>1.0049999999999999</v>
      </c>
      <c r="C371" s="228">
        <v>1.004</v>
      </c>
      <c r="D371" s="228">
        <v>1.0029999999999999</v>
      </c>
      <c r="E371" s="228">
        <v>1.0029999999999999</v>
      </c>
      <c r="F371" s="231">
        <v>899</v>
      </c>
    </row>
    <row r="372" spans="1:6" ht="32.25" customHeight="1" x14ac:dyDescent="0.15">
      <c r="A372" s="232" t="s">
        <v>1094</v>
      </c>
      <c r="B372" s="228">
        <v>1.022</v>
      </c>
      <c r="C372" s="228">
        <v>1.02</v>
      </c>
      <c r="D372" s="228">
        <v>1.018</v>
      </c>
      <c r="E372" s="228">
        <v>1.0169999999999999</v>
      </c>
      <c r="F372" s="231">
        <v>739</v>
      </c>
    </row>
    <row r="373" spans="1:6" ht="32.25" customHeight="1" x14ac:dyDescent="0.15">
      <c r="A373" s="232" t="s">
        <v>1095</v>
      </c>
      <c r="B373" s="228">
        <v>1.022</v>
      </c>
      <c r="C373" s="228">
        <v>1.02</v>
      </c>
      <c r="D373" s="228">
        <v>1.018</v>
      </c>
      <c r="E373" s="228">
        <v>1.0169999999999999</v>
      </c>
      <c r="F373" s="231">
        <v>739</v>
      </c>
    </row>
    <row r="374" spans="1:6" ht="32.25" customHeight="1" x14ac:dyDescent="0.15">
      <c r="A374" s="229"/>
      <c r="B374" s="230"/>
      <c r="C374" s="230"/>
      <c r="D374" s="230"/>
      <c r="E374" s="230"/>
      <c r="F374" s="230"/>
    </row>
    <row r="375" spans="1:6" ht="32.25" customHeight="1" x14ac:dyDescent="0.15">
      <c r="A375" s="265" t="s">
        <v>484</v>
      </c>
      <c r="B375" s="312"/>
      <c r="C375" s="312"/>
      <c r="D375" s="312"/>
      <c r="E375" s="312"/>
      <c r="F375" s="266"/>
    </row>
    <row r="376" spans="1:6" ht="32.25" customHeight="1" x14ac:dyDescent="0.15">
      <c r="A376" s="265" t="s">
        <v>62</v>
      </c>
      <c r="B376" s="312"/>
      <c r="C376" s="312"/>
      <c r="D376" s="312"/>
      <c r="E376" s="312"/>
      <c r="F376" s="266"/>
    </row>
    <row r="377" spans="1:6" ht="32.25" customHeight="1" x14ac:dyDescent="0.15">
      <c r="A377" s="20" t="s">
        <v>725</v>
      </c>
      <c r="B377" s="20" t="s">
        <v>56</v>
      </c>
      <c r="C377" s="20" t="s">
        <v>57</v>
      </c>
      <c r="D377" s="20" t="s">
        <v>58</v>
      </c>
      <c r="E377" s="20" t="s">
        <v>59</v>
      </c>
      <c r="F377" s="20" t="s">
        <v>60</v>
      </c>
    </row>
    <row r="378" spans="1:6" ht="32.25" customHeight="1" x14ac:dyDescent="0.15">
      <c r="A378" s="232" t="s">
        <v>749</v>
      </c>
      <c r="B378" s="228">
        <v>1.022</v>
      </c>
      <c r="C378" s="228">
        <v>1.02</v>
      </c>
      <c r="D378" s="228">
        <v>1.018</v>
      </c>
      <c r="E378" s="228">
        <v>1.0169999999999999</v>
      </c>
      <c r="F378" s="231">
        <v>734</v>
      </c>
    </row>
    <row r="379" spans="1:6" ht="32.25" customHeight="1" x14ac:dyDescent="0.15">
      <c r="A379" s="232" t="s">
        <v>750</v>
      </c>
      <c r="B379" s="228">
        <v>1.022</v>
      </c>
      <c r="C379" s="228">
        <v>1.02</v>
      </c>
      <c r="D379" s="228">
        <v>1.018</v>
      </c>
      <c r="E379" s="228">
        <v>1.0169999999999999</v>
      </c>
      <c r="F379" s="231">
        <v>736</v>
      </c>
    </row>
    <row r="380" spans="1:6" ht="32.25" customHeight="1" x14ac:dyDescent="0.15">
      <c r="A380" s="232" t="s">
        <v>751</v>
      </c>
      <c r="B380" s="228">
        <v>1.022</v>
      </c>
      <c r="C380" s="228">
        <v>1.02</v>
      </c>
      <c r="D380" s="228">
        <v>1.018</v>
      </c>
      <c r="E380" s="228">
        <v>1.0169999999999999</v>
      </c>
      <c r="F380" s="231">
        <v>737</v>
      </c>
    </row>
    <row r="381" spans="1:6" ht="32.25" customHeight="1" x14ac:dyDescent="0.15">
      <c r="A381" s="232" t="s">
        <v>754</v>
      </c>
      <c r="B381" s="228">
        <v>1.022</v>
      </c>
      <c r="C381" s="228">
        <v>1.02</v>
      </c>
      <c r="D381" s="228">
        <v>1.018</v>
      </c>
      <c r="E381" s="228">
        <v>1.0169999999999999</v>
      </c>
      <c r="F381" s="231">
        <v>740</v>
      </c>
    </row>
    <row r="382" spans="1:6" ht="32.25" customHeight="1" x14ac:dyDescent="0.15">
      <c r="A382" s="232" t="s">
        <v>762</v>
      </c>
      <c r="B382" s="228">
        <v>1.022</v>
      </c>
      <c r="C382" s="228">
        <v>1.02</v>
      </c>
      <c r="D382" s="228">
        <v>1.018</v>
      </c>
      <c r="E382" s="228">
        <v>1.0169999999999999</v>
      </c>
      <c r="F382" s="231">
        <v>738</v>
      </c>
    </row>
    <row r="383" spans="1:6" ht="32.25" customHeight="1" x14ac:dyDescent="0.15">
      <c r="A383" s="232" t="s">
        <v>776</v>
      </c>
      <c r="B383" s="228">
        <v>1.0269999999999999</v>
      </c>
      <c r="C383" s="228">
        <v>1.0269999999999999</v>
      </c>
      <c r="D383" s="228">
        <v>1.0289999999999999</v>
      </c>
      <c r="E383" s="228">
        <v>1.0289999999999999</v>
      </c>
      <c r="F383" s="231">
        <v>918</v>
      </c>
    </row>
    <row r="384" spans="1:6" ht="32.25" customHeight="1" x14ac:dyDescent="0.15">
      <c r="A384" s="232" t="s">
        <v>781</v>
      </c>
      <c r="B384" s="228">
        <v>1.0269999999999999</v>
      </c>
      <c r="C384" s="228">
        <v>1.0349999999999999</v>
      </c>
      <c r="D384" s="228">
        <v>1.034</v>
      </c>
      <c r="E384" s="228">
        <v>1.026</v>
      </c>
      <c r="F384" s="231">
        <v>929</v>
      </c>
    </row>
    <row r="385" spans="1:6" ht="32.25" customHeight="1" x14ac:dyDescent="0.15">
      <c r="A385" s="232" t="s">
        <v>782</v>
      </c>
      <c r="B385" s="228">
        <v>1.0169999999999999</v>
      </c>
      <c r="C385" s="228">
        <v>1.0269999999999999</v>
      </c>
      <c r="D385" s="228">
        <v>1.0129999999999999</v>
      </c>
      <c r="E385" s="228">
        <v>1.0089999999999999</v>
      </c>
      <c r="F385" s="231">
        <v>924</v>
      </c>
    </row>
    <row r="386" spans="1:6" ht="32.25" customHeight="1" x14ac:dyDescent="0.15">
      <c r="A386" s="232" t="s">
        <v>783</v>
      </c>
      <c r="B386" s="228">
        <v>1.008</v>
      </c>
      <c r="C386" s="228">
        <v>1.008</v>
      </c>
      <c r="D386" s="228">
        <v>1.0089999999999999</v>
      </c>
      <c r="E386" s="228">
        <v>1.0089999999999999</v>
      </c>
      <c r="F386" s="231">
        <v>937</v>
      </c>
    </row>
    <row r="387" spans="1:6" ht="32.25" customHeight="1" x14ac:dyDescent="0.15">
      <c r="A387" s="232" t="s">
        <v>786</v>
      </c>
      <c r="B387" s="228">
        <v>0.999</v>
      </c>
      <c r="C387" s="228">
        <v>0.999</v>
      </c>
      <c r="D387" s="228">
        <v>0.999</v>
      </c>
      <c r="E387" s="228">
        <v>0.999</v>
      </c>
      <c r="F387" s="231">
        <v>7174</v>
      </c>
    </row>
    <row r="388" spans="1:6" ht="32.25" customHeight="1" x14ac:dyDescent="0.15">
      <c r="A388" s="232" t="s">
        <v>788</v>
      </c>
      <c r="B388" s="228">
        <v>1.002</v>
      </c>
      <c r="C388" s="228">
        <v>1.002</v>
      </c>
      <c r="D388" s="228">
        <v>1.0029999999999999</v>
      </c>
      <c r="E388" s="228">
        <v>1.002</v>
      </c>
      <c r="F388" s="231">
        <v>923</v>
      </c>
    </row>
    <row r="389" spans="1:6" ht="32.25" customHeight="1" x14ac:dyDescent="0.15">
      <c r="A389" s="232" t="s">
        <v>800</v>
      </c>
      <c r="B389" s="228">
        <v>1.0049999999999999</v>
      </c>
      <c r="C389" s="228">
        <v>1.0069999999999999</v>
      </c>
      <c r="D389" s="228">
        <v>1.012</v>
      </c>
      <c r="E389" s="228">
        <v>1.0049999999999999</v>
      </c>
      <c r="F389" s="231">
        <v>4032</v>
      </c>
    </row>
    <row r="390" spans="1:6" ht="32.25" customHeight="1" x14ac:dyDescent="0.15">
      <c r="A390" s="232" t="s">
        <v>801</v>
      </c>
      <c r="B390" s="228">
        <v>1.002</v>
      </c>
      <c r="C390" s="228">
        <v>1.002</v>
      </c>
      <c r="D390" s="228">
        <v>1.0029999999999999</v>
      </c>
      <c r="E390" s="228">
        <v>1.004</v>
      </c>
      <c r="F390" s="231">
        <v>4548</v>
      </c>
    </row>
    <row r="391" spans="1:6" ht="32.25" customHeight="1" x14ac:dyDescent="0.15">
      <c r="A391" s="232" t="s">
        <v>802</v>
      </c>
      <c r="B391" s="228">
        <v>1.028</v>
      </c>
      <c r="C391" s="228">
        <v>1.0369999999999999</v>
      </c>
      <c r="D391" s="228">
        <v>1.04</v>
      </c>
      <c r="E391" s="228">
        <v>1.0229999999999999</v>
      </c>
      <c r="F391" s="231">
        <v>925</v>
      </c>
    </row>
    <row r="392" spans="1:6" ht="32.25" customHeight="1" x14ac:dyDescent="0.15">
      <c r="A392" s="232" t="s">
        <v>803</v>
      </c>
      <c r="B392" s="228">
        <v>1.026</v>
      </c>
      <c r="C392" s="228">
        <v>1.0349999999999999</v>
      </c>
      <c r="D392" s="228">
        <v>1.038</v>
      </c>
      <c r="E392" s="228">
        <v>1.022</v>
      </c>
      <c r="F392" s="231">
        <v>521</v>
      </c>
    </row>
    <row r="393" spans="1:6" ht="32.25" customHeight="1" x14ac:dyDescent="0.15">
      <c r="A393" s="232" t="s">
        <v>804</v>
      </c>
      <c r="B393" s="228">
        <v>1.0009999999999999</v>
      </c>
      <c r="C393" s="228">
        <v>1.0029999999999999</v>
      </c>
      <c r="D393" s="228">
        <v>1.0029999999999999</v>
      </c>
      <c r="E393" s="228">
        <v>1</v>
      </c>
      <c r="F393" s="231">
        <v>930</v>
      </c>
    </row>
    <row r="394" spans="1:6" ht="32.25" customHeight="1" x14ac:dyDescent="0.15">
      <c r="A394" s="232" t="s">
        <v>805</v>
      </c>
      <c r="B394" s="228">
        <v>1.0129999999999999</v>
      </c>
      <c r="C394" s="228">
        <v>1.014</v>
      </c>
      <c r="D394" s="228">
        <v>1.0149999999999999</v>
      </c>
      <c r="E394" s="228">
        <v>1.0129999999999999</v>
      </c>
      <c r="F394" s="231">
        <v>7390</v>
      </c>
    </row>
    <row r="395" spans="1:6" ht="32.25" customHeight="1" x14ac:dyDescent="0.15">
      <c r="A395" s="232" t="s">
        <v>806</v>
      </c>
      <c r="B395" s="228">
        <v>1.0009999999999999</v>
      </c>
      <c r="C395" s="228">
        <v>1.0009999999999999</v>
      </c>
      <c r="D395" s="228">
        <v>1.0009999999999999</v>
      </c>
      <c r="E395" s="228">
        <v>1.002</v>
      </c>
      <c r="F395" s="231">
        <v>7391</v>
      </c>
    </row>
    <row r="396" spans="1:6" ht="32.25" customHeight="1" x14ac:dyDescent="0.15">
      <c r="A396" s="232" t="s">
        <v>807</v>
      </c>
      <c r="B396" s="228">
        <v>1.004</v>
      </c>
      <c r="C396" s="228">
        <v>1.004</v>
      </c>
      <c r="D396" s="228">
        <v>1.004</v>
      </c>
      <c r="E396" s="228">
        <v>1.0009999999999999</v>
      </c>
      <c r="F396" s="231">
        <v>917</v>
      </c>
    </row>
    <row r="397" spans="1:6" ht="32.25" customHeight="1" x14ac:dyDescent="0.15">
      <c r="A397" s="232" t="s">
        <v>808</v>
      </c>
      <c r="B397" s="228">
        <v>1.004</v>
      </c>
      <c r="C397" s="228">
        <v>1.004</v>
      </c>
      <c r="D397" s="228">
        <v>1.004</v>
      </c>
      <c r="E397" s="228">
        <v>1.0009999999999999</v>
      </c>
      <c r="F397" s="231">
        <v>917</v>
      </c>
    </row>
    <row r="398" spans="1:6" ht="32.25" customHeight="1" x14ac:dyDescent="0.15">
      <c r="A398" s="232" t="s">
        <v>809</v>
      </c>
      <c r="B398" s="228">
        <v>1.004</v>
      </c>
      <c r="C398" s="228">
        <v>1.004</v>
      </c>
      <c r="D398" s="228">
        <v>1.004</v>
      </c>
      <c r="E398" s="228">
        <v>1.0009999999999999</v>
      </c>
      <c r="F398" s="231">
        <v>917</v>
      </c>
    </row>
    <row r="399" spans="1:6" ht="32.25" customHeight="1" x14ac:dyDescent="0.15">
      <c r="A399" s="232" t="s">
        <v>811</v>
      </c>
      <c r="B399" s="228">
        <v>1.0329999999999999</v>
      </c>
      <c r="C399" s="228">
        <v>1.0309999999999999</v>
      </c>
      <c r="D399" s="228">
        <v>1.071</v>
      </c>
      <c r="E399" s="228">
        <v>1.034</v>
      </c>
      <c r="F399" s="231">
        <v>927</v>
      </c>
    </row>
    <row r="400" spans="1:6" ht="32.25" customHeight="1" x14ac:dyDescent="0.15">
      <c r="A400" s="232" t="s">
        <v>812</v>
      </c>
      <c r="B400" s="228">
        <v>1.0029999999999999</v>
      </c>
      <c r="C400" s="228">
        <v>1.006</v>
      </c>
      <c r="D400" s="228">
        <v>1.0089999999999999</v>
      </c>
      <c r="E400" s="228">
        <v>1.012</v>
      </c>
      <c r="F400" s="231">
        <v>928</v>
      </c>
    </row>
    <row r="401" spans="1:6" ht="32.25" customHeight="1" x14ac:dyDescent="0.15">
      <c r="A401" s="232" t="s">
        <v>815</v>
      </c>
      <c r="B401" s="228">
        <v>1.0129999999999999</v>
      </c>
      <c r="C401" s="228">
        <v>1.0149999999999999</v>
      </c>
      <c r="D401" s="228">
        <v>1.016</v>
      </c>
      <c r="E401" s="228">
        <v>1.0109999999999999</v>
      </c>
      <c r="F401" s="231">
        <v>938</v>
      </c>
    </row>
    <row r="402" spans="1:6" ht="32.25" customHeight="1" x14ac:dyDescent="0.15">
      <c r="A402" s="232" t="s">
        <v>819</v>
      </c>
      <c r="B402" s="228">
        <v>1.0089999999999999</v>
      </c>
      <c r="C402" s="228">
        <v>1.012</v>
      </c>
      <c r="D402" s="228">
        <v>1.0089999999999999</v>
      </c>
      <c r="E402" s="228">
        <v>1.0089999999999999</v>
      </c>
      <c r="F402" s="231">
        <v>921</v>
      </c>
    </row>
    <row r="403" spans="1:6" ht="32.25" customHeight="1" x14ac:dyDescent="0.15">
      <c r="A403" s="232" t="s">
        <v>820</v>
      </c>
      <c r="B403" s="228">
        <v>1.0209999999999999</v>
      </c>
      <c r="C403" s="228">
        <v>1.0249999999999999</v>
      </c>
      <c r="D403" s="228">
        <v>1.0229999999999999</v>
      </c>
      <c r="E403" s="228">
        <v>1.016</v>
      </c>
      <c r="F403" s="231">
        <v>922</v>
      </c>
    </row>
    <row r="404" spans="1:6" ht="32.25" customHeight="1" x14ac:dyDescent="0.15">
      <c r="A404" s="232" t="s">
        <v>821</v>
      </c>
      <c r="B404" s="228">
        <v>1.0169999999999999</v>
      </c>
      <c r="C404" s="228">
        <v>1.02</v>
      </c>
      <c r="D404" s="228">
        <v>1.0229999999999999</v>
      </c>
      <c r="E404" s="228">
        <v>1.014</v>
      </c>
      <c r="F404" s="231">
        <v>939</v>
      </c>
    </row>
    <row r="405" spans="1:6" ht="32.25" customHeight="1" x14ac:dyDescent="0.15">
      <c r="A405" s="232" t="s">
        <v>823</v>
      </c>
      <c r="B405" s="228">
        <v>1.0209999999999999</v>
      </c>
      <c r="C405" s="228">
        <v>1.028</v>
      </c>
      <c r="D405" s="228">
        <v>1.03</v>
      </c>
      <c r="E405" s="228">
        <v>1.018</v>
      </c>
      <c r="F405" s="231">
        <v>941</v>
      </c>
    </row>
    <row r="406" spans="1:6" ht="32.25" customHeight="1" x14ac:dyDescent="0.15">
      <c r="A406" s="232" t="s">
        <v>824</v>
      </c>
      <c r="B406" s="228">
        <v>1.004</v>
      </c>
      <c r="C406" s="228">
        <v>1.0009999999999999</v>
      </c>
      <c r="D406" s="228">
        <v>1.0009999999999999</v>
      </c>
      <c r="E406" s="228">
        <v>1.0089999999999999</v>
      </c>
      <c r="F406" s="231">
        <v>926</v>
      </c>
    </row>
    <row r="407" spans="1:6" ht="32.25" customHeight="1" x14ac:dyDescent="0.15">
      <c r="A407" s="232" t="s">
        <v>825</v>
      </c>
      <c r="B407" s="228">
        <v>1.0129999999999999</v>
      </c>
      <c r="C407" s="228">
        <v>1.0129999999999999</v>
      </c>
      <c r="D407" s="228">
        <v>1.016</v>
      </c>
      <c r="E407" s="228">
        <v>1.0189999999999999</v>
      </c>
      <c r="F407" s="231">
        <v>940</v>
      </c>
    </row>
    <row r="408" spans="1:6" ht="32.25" customHeight="1" x14ac:dyDescent="0.15">
      <c r="A408" s="232" t="s">
        <v>826</v>
      </c>
      <c r="B408" s="228">
        <v>1.0429999999999999</v>
      </c>
      <c r="C408" s="228">
        <v>1.0549999999999999</v>
      </c>
      <c r="D408" s="228">
        <v>1.0669999999999999</v>
      </c>
      <c r="E408" s="228">
        <v>1.044</v>
      </c>
      <c r="F408" s="231">
        <v>942</v>
      </c>
    </row>
    <row r="409" spans="1:6" ht="32.25" customHeight="1" x14ac:dyDescent="0.15">
      <c r="A409" s="232" t="s">
        <v>827</v>
      </c>
      <c r="B409" s="228">
        <v>1.014</v>
      </c>
      <c r="C409" s="228">
        <v>1.02</v>
      </c>
      <c r="D409" s="228">
        <v>1.026</v>
      </c>
      <c r="E409" s="228">
        <v>1.0129999999999999</v>
      </c>
      <c r="F409" s="231">
        <v>943</v>
      </c>
    </row>
    <row r="410" spans="1:6" ht="32.25" customHeight="1" x14ac:dyDescent="0.15">
      <c r="A410" s="232" t="s">
        <v>828</v>
      </c>
      <c r="B410" s="228">
        <v>1.02</v>
      </c>
      <c r="C410" s="228">
        <v>1.032</v>
      </c>
      <c r="D410" s="228">
        <v>1.03</v>
      </c>
      <c r="E410" s="228">
        <v>1.018</v>
      </c>
      <c r="F410" s="231">
        <v>944</v>
      </c>
    </row>
    <row r="411" spans="1:6" ht="32.25" customHeight="1" x14ac:dyDescent="0.15">
      <c r="A411" s="232" t="s">
        <v>835</v>
      </c>
      <c r="B411" s="228">
        <v>0.999</v>
      </c>
      <c r="C411" s="228">
        <v>0.999</v>
      </c>
      <c r="D411" s="228">
        <v>0.999</v>
      </c>
      <c r="E411" s="228">
        <v>1</v>
      </c>
      <c r="F411" s="231">
        <v>7081</v>
      </c>
    </row>
    <row r="412" spans="1:6" ht="32.25" customHeight="1" x14ac:dyDescent="0.15">
      <c r="A412" s="232" t="s">
        <v>836</v>
      </c>
      <c r="B412" s="228">
        <v>0.999</v>
      </c>
      <c r="C412" s="228">
        <v>0.999</v>
      </c>
      <c r="D412" s="228">
        <v>1</v>
      </c>
      <c r="E412" s="228">
        <v>1</v>
      </c>
      <c r="F412" s="231">
        <v>7095</v>
      </c>
    </row>
    <row r="413" spans="1:6" ht="32.25" customHeight="1" x14ac:dyDescent="0.15">
      <c r="A413" s="232" t="s">
        <v>840</v>
      </c>
      <c r="B413" s="228">
        <v>1.0089999999999999</v>
      </c>
      <c r="C413" s="228">
        <v>1.002</v>
      </c>
      <c r="D413" s="228">
        <v>1.0009999999999999</v>
      </c>
      <c r="E413" s="228">
        <v>1.0129999999999999</v>
      </c>
      <c r="F413" s="231">
        <v>946</v>
      </c>
    </row>
    <row r="414" spans="1:6" ht="32.25" customHeight="1" x14ac:dyDescent="0.15">
      <c r="A414" s="232" t="s">
        <v>841</v>
      </c>
      <c r="B414" s="228">
        <v>1.026</v>
      </c>
      <c r="C414" s="228">
        <v>1.028</v>
      </c>
      <c r="D414" s="228">
        <v>1.0349999999999999</v>
      </c>
      <c r="E414" s="228">
        <v>1.024</v>
      </c>
      <c r="F414" s="231">
        <v>947</v>
      </c>
    </row>
    <row r="415" spans="1:6" ht="32.25" customHeight="1" x14ac:dyDescent="0.15">
      <c r="A415" s="232" t="s">
        <v>842</v>
      </c>
      <c r="B415" s="228">
        <v>1.022</v>
      </c>
      <c r="C415" s="228">
        <v>1.0209999999999999</v>
      </c>
      <c r="D415" s="228">
        <v>1.0249999999999999</v>
      </c>
      <c r="E415" s="228">
        <v>1.0169999999999999</v>
      </c>
      <c r="F415" s="231">
        <v>948</v>
      </c>
    </row>
    <row r="416" spans="1:6" ht="32.25" customHeight="1" x14ac:dyDescent="0.15">
      <c r="A416" s="232" t="s">
        <v>843</v>
      </c>
      <c r="B416" s="228">
        <v>1.0089999999999999</v>
      </c>
      <c r="C416" s="228">
        <v>0.998</v>
      </c>
      <c r="D416" s="228">
        <v>0.997</v>
      </c>
      <c r="E416" s="228">
        <v>1.0129999999999999</v>
      </c>
      <c r="F416" s="231">
        <v>949</v>
      </c>
    </row>
    <row r="417" spans="1:6" ht="32.25" customHeight="1" x14ac:dyDescent="0.15">
      <c r="A417" s="232" t="s">
        <v>844</v>
      </c>
      <c r="B417" s="228">
        <v>1.02</v>
      </c>
      <c r="C417" s="228">
        <v>1.022</v>
      </c>
      <c r="D417" s="228">
        <v>1.026</v>
      </c>
      <c r="E417" s="228">
        <v>1.018</v>
      </c>
      <c r="F417" s="231">
        <v>611</v>
      </c>
    </row>
    <row r="418" spans="1:6" ht="32.25" customHeight="1" x14ac:dyDescent="0.15">
      <c r="A418" s="232" t="s">
        <v>845</v>
      </c>
      <c r="B418" s="228">
        <v>1.0429999999999999</v>
      </c>
      <c r="C418" s="228">
        <v>1.0469999999999999</v>
      </c>
      <c r="D418" s="228">
        <v>1.0469999999999999</v>
      </c>
      <c r="E418" s="228">
        <v>1.0369999999999999</v>
      </c>
      <c r="F418" s="231">
        <v>612</v>
      </c>
    </row>
    <row r="419" spans="1:6" ht="32.25" customHeight="1" x14ac:dyDescent="0.15">
      <c r="A419" s="232" t="s">
        <v>846</v>
      </c>
      <c r="B419" s="228">
        <v>1.0049999999999999</v>
      </c>
      <c r="C419" s="228">
        <v>1.004</v>
      </c>
      <c r="D419" s="228">
        <v>1.0029999999999999</v>
      </c>
      <c r="E419" s="228">
        <v>1.0049999999999999</v>
      </c>
      <c r="F419" s="231">
        <v>613</v>
      </c>
    </row>
    <row r="420" spans="1:6" ht="32.25" customHeight="1" x14ac:dyDescent="0.15">
      <c r="A420" s="232" t="s">
        <v>847</v>
      </c>
      <c r="B420" s="228">
        <v>1.032</v>
      </c>
      <c r="C420" s="228">
        <v>1.0249999999999999</v>
      </c>
      <c r="D420" s="228">
        <v>1.0229999999999999</v>
      </c>
      <c r="E420" s="228">
        <v>1.0289999999999999</v>
      </c>
      <c r="F420" s="231">
        <v>614</v>
      </c>
    </row>
    <row r="421" spans="1:6" ht="32.25" customHeight="1" x14ac:dyDescent="0.15">
      <c r="A421" s="232" t="s">
        <v>849</v>
      </c>
      <c r="B421" s="228">
        <v>1.034</v>
      </c>
      <c r="C421" s="228">
        <v>1.016</v>
      </c>
      <c r="D421" s="228">
        <v>1.01</v>
      </c>
      <c r="E421" s="228">
        <v>1.028</v>
      </c>
      <c r="F421" s="231">
        <v>615</v>
      </c>
    </row>
    <row r="422" spans="1:6" ht="32.25" customHeight="1" x14ac:dyDescent="0.15">
      <c r="A422" s="232" t="s">
        <v>850</v>
      </c>
      <c r="B422" s="228">
        <v>1.026</v>
      </c>
      <c r="C422" s="228">
        <v>1.01</v>
      </c>
      <c r="D422" s="228">
        <v>1.0069999999999999</v>
      </c>
      <c r="E422" s="228">
        <v>1.026</v>
      </c>
      <c r="F422" s="231">
        <v>616</v>
      </c>
    </row>
    <row r="423" spans="1:6" ht="32.25" customHeight="1" x14ac:dyDescent="0.15">
      <c r="A423" s="232" t="s">
        <v>851</v>
      </c>
      <c r="B423" s="228">
        <v>1.0389999999999999</v>
      </c>
      <c r="C423" s="228">
        <v>1.046</v>
      </c>
      <c r="D423" s="228">
        <v>1.0469999999999999</v>
      </c>
      <c r="E423" s="228">
        <v>1.0349999999999999</v>
      </c>
      <c r="F423" s="231">
        <v>617</v>
      </c>
    </row>
    <row r="424" spans="1:6" ht="32.25" customHeight="1" x14ac:dyDescent="0.15">
      <c r="A424" s="232" t="s">
        <v>852</v>
      </c>
      <c r="B424" s="228">
        <v>1.044</v>
      </c>
      <c r="C424" s="228">
        <v>1.038</v>
      </c>
      <c r="D424" s="228">
        <v>1.0409999999999999</v>
      </c>
      <c r="E424" s="228">
        <v>1.032</v>
      </c>
      <c r="F424" s="231">
        <v>619</v>
      </c>
    </row>
    <row r="425" spans="1:6" ht="32.25" customHeight="1" x14ac:dyDescent="0.15">
      <c r="A425" s="232" t="s">
        <v>853</v>
      </c>
      <c r="B425" s="228">
        <v>1.016</v>
      </c>
      <c r="C425" s="228">
        <v>1.01</v>
      </c>
      <c r="D425" s="228">
        <v>1.026</v>
      </c>
      <c r="E425" s="228">
        <v>1.0189999999999999</v>
      </c>
      <c r="F425" s="231">
        <v>620</v>
      </c>
    </row>
    <row r="426" spans="1:6" ht="32.25" customHeight="1" x14ac:dyDescent="0.15">
      <c r="A426" s="232" t="s">
        <v>854</v>
      </c>
      <c r="B426" s="228">
        <v>1.03</v>
      </c>
      <c r="C426" s="228">
        <v>1.026</v>
      </c>
      <c r="D426" s="228">
        <v>1.0249999999999999</v>
      </c>
      <c r="E426" s="228">
        <v>1.0269999999999999</v>
      </c>
      <c r="F426" s="231">
        <v>621</v>
      </c>
    </row>
    <row r="427" spans="1:6" ht="32.25" customHeight="1" x14ac:dyDescent="0.15">
      <c r="A427" s="232" t="s">
        <v>855</v>
      </c>
      <c r="B427" s="228">
        <v>1.0249999999999999</v>
      </c>
      <c r="C427" s="228">
        <v>1.0209999999999999</v>
      </c>
      <c r="D427" s="228">
        <v>1.02</v>
      </c>
      <c r="E427" s="228">
        <v>1.0229999999999999</v>
      </c>
      <c r="F427" s="231">
        <v>622</v>
      </c>
    </row>
    <row r="428" spans="1:6" ht="32.25" customHeight="1" x14ac:dyDescent="0.15">
      <c r="A428" s="232" t="s">
        <v>856</v>
      </c>
      <c r="B428" s="228">
        <v>1.0349999999999999</v>
      </c>
      <c r="C428" s="228">
        <v>1.022</v>
      </c>
      <c r="D428" s="228">
        <v>1.018</v>
      </c>
      <c r="E428" s="228">
        <v>1.03</v>
      </c>
      <c r="F428" s="231">
        <v>623</v>
      </c>
    </row>
    <row r="429" spans="1:6" ht="32.25" customHeight="1" x14ac:dyDescent="0.15">
      <c r="A429" s="232" t="s">
        <v>857</v>
      </c>
      <c r="B429" s="228">
        <v>1.036</v>
      </c>
      <c r="C429" s="228">
        <v>1.0229999999999999</v>
      </c>
      <c r="D429" s="228">
        <v>1.0169999999999999</v>
      </c>
      <c r="E429" s="228">
        <v>1.03</v>
      </c>
      <c r="F429" s="231">
        <v>504</v>
      </c>
    </row>
    <row r="430" spans="1:6" ht="32.25" customHeight="1" x14ac:dyDescent="0.15">
      <c r="A430" s="232" t="s">
        <v>858</v>
      </c>
      <c r="B430" s="228">
        <v>1.022</v>
      </c>
      <c r="C430" s="228">
        <v>1.0209999999999999</v>
      </c>
      <c r="D430" s="228">
        <v>1.0189999999999999</v>
      </c>
      <c r="E430" s="228">
        <v>1.0189999999999999</v>
      </c>
      <c r="F430" s="231">
        <v>624</v>
      </c>
    </row>
    <row r="431" spans="1:6" ht="32.25" customHeight="1" x14ac:dyDescent="0.15">
      <c r="A431" s="232" t="s">
        <v>859</v>
      </c>
      <c r="B431" s="228">
        <v>1.042</v>
      </c>
      <c r="C431" s="228">
        <v>1.038</v>
      </c>
      <c r="D431" s="228">
        <v>1.0409999999999999</v>
      </c>
      <c r="E431" s="228">
        <v>1.0449999999999999</v>
      </c>
      <c r="F431" s="231">
        <v>625</v>
      </c>
    </row>
    <row r="432" spans="1:6" ht="32.25" customHeight="1" x14ac:dyDescent="0.15">
      <c r="A432" s="232" t="s">
        <v>860</v>
      </c>
      <c r="B432" s="228">
        <v>1.034</v>
      </c>
      <c r="C432" s="228">
        <v>1.036</v>
      </c>
      <c r="D432" s="228">
        <v>1.036</v>
      </c>
      <c r="E432" s="228">
        <v>1.03</v>
      </c>
      <c r="F432" s="231">
        <v>627</v>
      </c>
    </row>
    <row r="433" spans="1:6" ht="32.25" customHeight="1" x14ac:dyDescent="0.15">
      <c r="A433" s="232" t="s">
        <v>861</v>
      </c>
      <c r="B433" s="228">
        <v>1.0880000000000001</v>
      </c>
      <c r="C433" s="228">
        <v>1.0740000000000001</v>
      </c>
      <c r="D433" s="228">
        <v>1.0680000000000001</v>
      </c>
      <c r="E433" s="228">
        <v>1.0720000000000001</v>
      </c>
      <c r="F433" s="231">
        <v>628</v>
      </c>
    </row>
    <row r="434" spans="1:6" ht="32.25" customHeight="1" x14ac:dyDescent="0.15">
      <c r="A434" s="232" t="s">
        <v>862</v>
      </c>
      <c r="B434" s="228">
        <v>1.069</v>
      </c>
      <c r="C434" s="228">
        <v>1.0620000000000001</v>
      </c>
      <c r="D434" s="228">
        <v>1.0589999999999999</v>
      </c>
      <c r="E434" s="228">
        <v>1.0569999999999999</v>
      </c>
      <c r="F434" s="231">
        <v>629</v>
      </c>
    </row>
    <row r="435" spans="1:6" ht="32.25" customHeight="1" x14ac:dyDescent="0.15">
      <c r="A435" s="232" t="s">
        <v>863</v>
      </c>
      <c r="B435" s="228">
        <v>1.016</v>
      </c>
      <c r="C435" s="228">
        <v>1.0149999999999999</v>
      </c>
      <c r="D435" s="228">
        <v>1.012</v>
      </c>
      <c r="E435" s="228">
        <v>1.0109999999999999</v>
      </c>
      <c r="F435" s="231">
        <v>914</v>
      </c>
    </row>
    <row r="436" spans="1:6" ht="32.25" customHeight="1" x14ac:dyDescent="0.15">
      <c r="A436" s="232" t="s">
        <v>865</v>
      </c>
      <c r="B436" s="228">
        <v>1.018</v>
      </c>
      <c r="C436" s="228">
        <v>1.018</v>
      </c>
      <c r="D436" s="228">
        <v>1.0209999999999999</v>
      </c>
      <c r="E436" s="228">
        <v>1.016</v>
      </c>
      <c r="F436" s="231">
        <v>630</v>
      </c>
    </row>
    <row r="437" spans="1:6" ht="32.25" customHeight="1" x14ac:dyDescent="0.15">
      <c r="A437" s="232" t="s">
        <v>866</v>
      </c>
      <c r="B437" s="228">
        <v>1.0609999999999999</v>
      </c>
      <c r="C437" s="228">
        <v>1.06</v>
      </c>
      <c r="D437" s="228">
        <v>1.0549999999999999</v>
      </c>
      <c r="E437" s="228">
        <v>1.0529999999999999</v>
      </c>
      <c r="F437" s="231">
        <v>631</v>
      </c>
    </row>
    <row r="438" spans="1:6" ht="32.25" customHeight="1" x14ac:dyDescent="0.15">
      <c r="A438" s="232" t="s">
        <v>867</v>
      </c>
      <c r="B438" s="228">
        <v>1.01</v>
      </c>
      <c r="C438" s="228">
        <v>1.0089999999999999</v>
      </c>
      <c r="D438" s="228">
        <v>1.008</v>
      </c>
      <c r="E438" s="228">
        <v>1.0089999999999999</v>
      </c>
      <c r="F438" s="231">
        <v>632</v>
      </c>
    </row>
    <row r="439" spans="1:6" ht="32.25" customHeight="1" x14ac:dyDescent="0.15">
      <c r="A439" s="232" t="s">
        <v>868</v>
      </c>
      <c r="B439" s="228">
        <v>1.0169999999999999</v>
      </c>
      <c r="C439" s="228">
        <v>1.016</v>
      </c>
      <c r="D439" s="228">
        <v>1.016</v>
      </c>
      <c r="E439" s="228">
        <v>1.014</v>
      </c>
      <c r="F439" s="231">
        <v>633</v>
      </c>
    </row>
    <row r="440" spans="1:6" ht="32.25" customHeight="1" x14ac:dyDescent="0.15">
      <c r="A440" s="232" t="s">
        <v>869</v>
      </c>
      <c r="B440" s="228">
        <v>1.018</v>
      </c>
      <c r="C440" s="228">
        <v>1.016</v>
      </c>
      <c r="D440" s="228">
        <v>1.0389999999999999</v>
      </c>
      <c r="E440" s="228">
        <v>1.0209999999999999</v>
      </c>
      <c r="F440" s="231">
        <v>634</v>
      </c>
    </row>
    <row r="441" spans="1:6" ht="32.25" customHeight="1" x14ac:dyDescent="0.15">
      <c r="A441" s="232" t="s">
        <v>870</v>
      </c>
      <c r="B441" s="228">
        <v>0.997</v>
      </c>
      <c r="C441" s="228">
        <v>0.99399999999999999</v>
      </c>
      <c r="D441" s="228">
        <v>0.98799999999999999</v>
      </c>
      <c r="E441" s="228">
        <v>0.995</v>
      </c>
      <c r="F441" s="231">
        <v>635</v>
      </c>
    </row>
    <row r="442" spans="1:6" ht="32.25" customHeight="1" x14ac:dyDescent="0.15">
      <c r="A442" s="232" t="s">
        <v>871</v>
      </c>
      <c r="B442" s="228">
        <v>1.0329999999999999</v>
      </c>
      <c r="C442" s="228">
        <v>1.014</v>
      </c>
      <c r="D442" s="228">
        <v>1.0089999999999999</v>
      </c>
      <c r="E442" s="228">
        <v>1.032</v>
      </c>
      <c r="F442" s="231">
        <v>648</v>
      </c>
    </row>
    <row r="443" spans="1:6" ht="32.25" customHeight="1" x14ac:dyDescent="0.15">
      <c r="A443" s="232" t="s">
        <v>872</v>
      </c>
      <c r="B443" s="228">
        <v>1.016</v>
      </c>
      <c r="C443" s="228">
        <v>1.0149999999999999</v>
      </c>
      <c r="D443" s="228">
        <v>1.012</v>
      </c>
      <c r="E443" s="228">
        <v>1.0109999999999999</v>
      </c>
      <c r="F443" s="231">
        <v>637</v>
      </c>
    </row>
    <row r="444" spans="1:6" ht="32.25" customHeight="1" x14ac:dyDescent="0.15">
      <c r="A444" s="232" t="s">
        <v>873</v>
      </c>
      <c r="B444" s="228">
        <v>1.0189999999999999</v>
      </c>
      <c r="C444" s="228">
        <v>1.018</v>
      </c>
      <c r="D444" s="228">
        <v>1.016</v>
      </c>
      <c r="E444" s="228">
        <v>1.016</v>
      </c>
      <c r="F444" s="231">
        <v>639</v>
      </c>
    </row>
    <row r="445" spans="1:6" ht="32.25" customHeight="1" x14ac:dyDescent="0.15">
      <c r="A445" s="232" t="s">
        <v>874</v>
      </c>
      <c r="B445" s="228">
        <v>1.0349999999999999</v>
      </c>
      <c r="C445" s="228">
        <v>1.03</v>
      </c>
      <c r="D445" s="228">
        <v>1.0329999999999999</v>
      </c>
      <c r="E445" s="228">
        <v>1.0309999999999999</v>
      </c>
      <c r="F445" s="231">
        <v>640</v>
      </c>
    </row>
    <row r="446" spans="1:6" ht="32.25" customHeight="1" x14ac:dyDescent="0.15">
      <c r="A446" s="232" t="s">
        <v>875</v>
      </c>
      <c r="B446" s="228">
        <v>1.0209999999999999</v>
      </c>
      <c r="C446" s="228">
        <v>1.0069999999999999</v>
      </c>
      <c r="D446" s="228">
        <v>1.0009999999999999</v>
      </c>
      <c r="E446" s="228">
        <v>1.0189999999999999</v>
      </c>
      <c r="F446" s="231">
        <v>641</v>
      </c>
    </row>
    <row r="447" spans="1:6" ht="32.25" customHeight="1" x14ac:dyDescent="0.15">
      <c r="A447" s="232" t="s">
        <v>876</v>
      </c>
      <c r="B447" s="228">
        <v>1.03</v>
      </c>
      <c r="C447" s="228">
        <v>0.996</v>
      </c>
      <c r="D447" s="228">
        <v>0.98699999999999999</v>
      </c>
      <c r="E447" s="228">
        <v>1.026</v>
      </c>
      <c r="F447" s="231">
        <v>642</v>
      </c>
    </row>
    <row r="448" spans="1:6" ht="32.25" customHeight="1" x14ac:dyDescent="0.15">
      <c r="A448" s="232" t="s">
        <v>877</v>
      </c>
      <c r="B448" s="228">
        <v>1.01</v>
      </c>
      <c r="C448" s="228">
        <v>1.0029999999999999</v>
      </c>
      <c r="D448" s="228">
        <v>1.0049999999999999</v>
      </c>
      <c r="E448" s="228">
        <v>1.0149999999999999</v>
      </c>
      <c r="F448" s="231">
        <v>645</v>
      </c>
    </row>
    <row r="449" spans="1:6" ht="32.25" customHeight="1" x14ac:dyDescent="0.15">
      <c r="A449" s="232" t="s">
        <v>878</v>
      </c>
      <c r="B449" s="228">
        <v>1.0509999999999999</v>
      </c>
      <c r="C449" s="228">
        <v>1.0489999999999999</v>
      </c>
      <c r="D449" s="228">
        <v>1.0449999999999999</v>
      </c>
      <c r="E449" s="228">
        <v>1.0429999999999999</v>
      </c>
      <c r="F449" s="231">
        <v>646</v>
      </c>
    </row>
    <row r="450" spans="1:6" ht="32.25" customHeight="1" x14ac:dyDescent="0.15">
      <c r="A450" s="232" t="s">
        <v>879</v>
      </c>
      <c r="B450" s="228">
        <v>1.036</v>
      </c>
      <c r="C450" s="228">
        <v>1.0309999999999999</v>
      </c>
      <c r="D450" s="228">
        <v>1.0269999999999999</v>
      </c>
      <c r="E450" s="228">
        <v>1.0349999999999999</v>
      </c>
      <c r="F450" s="231" t="s">
        <v>1121</v>
      </c>
    </row>
    <row r="451" spans="1:6" ht="32.25" customHeight="1" x14ac:dyDescent="0.15">
      <c r="A451" s="232" t="s">
        <v>880</v>
      </c>
      <c r="B451" s="228">
        <v>1.016</v>
      </c>
      <c r="C451" s="228">
        <v>1.0129999999999999</v>
      </c>
      <c r="D451" s="228">
        <v>1.0129999999999999</v>
      </c>
      <c r="E451" s="228">
        <v>1.014</v>
      </c>
      <c r="F451" s="231">
        <v>649</v>
      </c>
    </row>
    <row r="452" spans="1:6" ht="32.25" customHeight="1" x14ac:dyDescent="0.15">
      <c r="A452" s="232" t="s">
        <v>881</v>
      </c>
      <c r="B452" s="228">
        <v>1.0169999999999999</v>
      </c>
      <c r="C452" s="228">
        <v>1.0129999999999999</v>
      </c>
      <c r="D452" s="228">
        <v>1.0129999999999999</v>
      </c>
      <c r="E452" s="228">
        <v>1.016</v>
      </c>
      <c r="F452" s="231">
        <v>911</v>
      </c>
    </row>
    <row r="453" spans="1:6" ht="32.25" customHeight="1" x14ac:dyDescent="0.15">
      <c r="A453" s="232" t="s">
        <v>882</v>
      </c>
      <c r="B453" s="228">
        <v>1.0209999999999999</v>
      </c>
      <c r="C453" s="228">
        <v>1.0209999999999999</v>
      </c>
      <c r="D453" s="228">
        <v>1.0189999999999999</v>
      </c>
      <c r="E453" s="228">
        <v>1.018</v>
      </c>
      <c r="F453" s="231">
        <v>912</v>
      </c>
    </row>
    <row r="454" spans="1:6" ht="32.25" customHeight="1" x14ac:dyDescent="0.15">
      <c r="A454" s="232" t="s">
        <v>883</v>
      </c>
      <c r="B454" s="228">
        <v>1.012</v>
      </c>
      <c r="C454" s="228">
        <v>1.01</v>
      </c>
      <c r="D454" s="228">
        <v>1.008</v>
      </c>
      <c r="E454" s="228">
        <v>1.012</v>
      </c>
      <c r="F454" s="231">
        <v>952</v>
      </c>
    </row>
    <row r="455" spans="1:6" ht="32.25" customHeight="1" x14ac:dyDescent="0.15">
      <c r="A455" s="232" t="s">
        <v>884</v>
      </c>
      <c r="B455" s="228">
        <v>1.016</v>
      </c>
      <c r="C455" s="228">
        <v>1.006</v>
      </c>
      <c r="D455" s="228">
        <v>1.0029999999999999</v>
      </c>
      <c r="E455" s="228">
        <v>1.014</v>
      </c>
      <c r="F455" s="231">
        <v>913</v>
      </c>
    </row>
    <row r="456" spans="1:6" ht="32.25" customHeight="1" x14ac:dyDescent="0.15">
      <c r="A456" s="232" t="s">
        <v>885</v>
      </c>
      <c r="B456" s="228">
        <v>1.016</v>
      </c>
      <c r="C456" s="228">
        <v>1.0149999999999999</v>
      </c>
      <c r="D456" s="228">
        <v>1.012</v>
      </c>
      <c r="E456" s="228">
        <v>1.0109999999999999</v>
      </c>
      <c r="F456" s="231">
        <v>933</v>
      </c>
    </row>
    <row r="457" spans="1:6" ht="32.25" customHeight="1" x14ac:dyDescent="0.15">
      <c r="A457" s="232" t="s">
        <v>886</v>
      </c>
      <c r="B457" s="228">
        <v>1.022</v>
      </c>
      <c r="C457" s="228">
        <v>1.018</v>
      </c>
      <c r="D457" s="228">
        <v>1.0169999999999999</v>
      </c>
      <c r="E457" s="228">
        <v>1.018</v>
      </c>
      <c r="F457" s="231">
        <v>958</v>
      </c>
    </row>
    <row r="458" spans="1:6" ht="32.25" customHeight="1" x14ac:dyDescent="0.15">
      <c r="A458" s="232" t="s">
        <v>887</v>
      </c>
      <c r="B458" s="228">
        <v>1.0169999999999999</v>
      </c>
      <c r="C458" s="228">
        <v>1.0149999999999999</v>
      </c>
      <c r="D458" s="228">
        <v>1.014</v>
      </c>
      <c r="E458" s="228">
        <v>1.014</v>
      </c>
      <c r="F458" s="231">
        <v>626</v>
      </c>
    </row>
    <row r="459" spans="1:6" ht="32.25" customHeight="1" x14ac:dyDescent="0.15">
      <c r="A459" s="232" t="s">
        <v>888</v>
      </c>
      <c r="B459" s="228">
        <v>1.026</v>
      </c>
      <c r="C459" s="228">
        <v>1.018</v>
      </c>
      <c r="D459" s="228">
        <v>1.0189999999999999</v>
      </c>
      <c r="E459" s="228">
        <v>1.022</v>
      </c>
      <c r="F459" s="231">
        <v>607</v>
      </c>
    </row>
    <row r="460" spans="1:6" ht="32.25" customHeight="1" x14ac:dyDescent="0.15">
      <c r="A460" s="232" t="s">
        <v>889</v>
      </c>
      <c r="B460" s="228">
        <v>1.0089999999999999</v>
      </c>
      <c r="C460" s="228">
        <v>1.0069999999999999</v>
      </c>
      <c r="D460" s="228">
        <v>1.006</v>
      </c>
      <c r="E460" s="228">
        <v>1.0069999999999999</v>
      </c>
      <c r="F460" s="231">
        <v>915</v>
      </c>
    </row>
    <row r="461" spans="1:6" ht="32.25" customHeight="1" x14ac:dyDescent="0.15">
      <c r="A461" s="232" t="s">
        <v>890</v>
      </c>
      <c r="B461" s="228">
        <v>1.0069999999999999</v>
      </c>
      <c r="C461" s="228">
        <v>1.0049999999999999</v>
      </c>
      <c r="D461" s="228">
        <v>1.002</v>
      </c>
      <c r="E461" s="228">
        <v>1.0069999999999999</v>
      </c>
      <c r="F461" s="231">
        <v>608</v>
      </c>
    </row>
    <row r="462" spans="1:6" ht="32.25" customHeight="1" x14ac:dyDescent="0.15">
      <c r="A462" s="232" t="s">
        <v>891</v>
      </c>
      <c r="B462" s="228">
        <v>1.0129999999999999</v>
      </c>
      <c r="C462" s="228">
        <v>1.01</v>
      </c>
      <c r="D462" s="228">
        <v>1.0089999999999999</v>
      </c>
      <c r="E462" s="228">
        <v>1.0109999999999999</v>
      </c>
      <c r="F462" s="231">
        <v>959</v>
      </c>
    </row>
    <row r="463" spans="1:6" ht="32.25" customHeight="1" x14ac:dyDescent="0.15">
      <c r="A463" s="232" t="s">
        <v>892</v>
      </c>
      <c r="B463" s="228">
        <v>0.99399999999999999</v>
      </c>
      <c r="C463" s="228">
        <v>0.99099999999999999</v>
      </c>
      <c r="D463" s="228">
        <v>0.99199999999999999</v>
      </c>
      <c r="E463" s="228">
        <v>0.99</v>
      </c>
      <c r="F463" s="231">
        <v>609</v>
      </c>
    </row>
    <row r="464" spans="1:6" ht="32.25" customHeight="1" x14ac:dyDescent="0.15">
      <c r="A464" s="232" t="s">
        <v>893</v>
      </c>
      <c r="B464" s="228">
        <v>1.042</v>
      </c>
      <c r="C464" s="228">
        <v>1.038</v>
      </c>
      <c r="D464" s="228">
        <v>1.032</v>
      </c>
      <c r="E464" s="228">
        <v>1.036</v>
      </c>
      <c r="F464" s="231">
        <v>916</v>
      </c>
    </row>
    <row r="465" spans="1:6" ht="32.25" customHeight="1" x14ac:dyDescent="0.15">
      <c r="A465" s="232" t="s">
        <v>894</v>
      </c>
      <c r="B465" s="228">
        <v>0.999</v>
      </c>
      <c r="C465" s="228">
        <v>0.998</v>
      </c>
      <c r="D465" s="228">
        <v>1</v>
      </c>
      <c r="E465" s="228">
        <v>0.998</v>
      </c>
      <c r="F465" s="231">
        <v>960</v>
      </c>
    </row>
    <row r="466" spans="1:6" ht="32.25" customHeight="1" x14ac:dyDescent="0.15">
      <c r="A466" s="232" t="s">
        <v>895</v>
      </c>
      <c r="B466" s="228">
        <v>1.0009999999999999</v>
      </c>
      <c r="C466" s="228">
        <v>0.99299999999999999</v>
      </c>
      <c r="D466" s="228">
        <v>0.99199999999999999</v>
      </c>
      <c r="E466" s="228">
        <v>1.0009999999999999</v>
      </c>
      <c r="F466" s="231">
        <v>600</v>
      </c>
    </row>
    <row r="467" spans="1:6" ht="32.25" customHeight="1" x14ac:dyDescent="0.15">
      <c r="A467" s="232" t="s">
        <v>896</v>
      </c>
      <c r="B467" s="228">
        <v>1.0089999999999999</v>
      </c>
      <c r="C467" s="228">
        <v>1.004</v>
      </c>
      <c r="D467" s="228">
        <v>1.012</v>
      </c>
      <c r="E467" s="228">
        <v>1.0109999999999999</v>
      </c>
      <c r="F467" s="231">
        <v>601</v>
      </c>
    </row>
    <row r="468" spans="1:6" ht="32.25" customHeight="1" x14ac:dyDescent="0.15">
      <c r="A468" s="232" t="s">
        <v>897</v>
      </c>
      <c r="B468" s="228">
        <v>1.0189999999999999</v>
      </c>
      <c r="C468" s="228">
        <v>1.016</v>
      </c>
      <c r="D468" s="228">
        <v>1.016</v>
      </c>
      <c r="E468" s="228">
        <v>1.018</v>
      </c>
      <c r="F468" s="231">
        <v>602</v>
      </c>
    </row>
    <row r="469" spans="1:6" ht="32.25" customHeight="1" x14ac:dyDescent="0.15">
      <c r="A469" s="232" t="s">
        <v>898</v>
      </c>
      <c r="B469" s="228">
        <v>1.022</v>
      </c>
      <c r="C469" s="228">
        <v>1.016</v>
      </c>
      <c r="D469" s="228">
        <v>1.0389999999999999</v>
      </c>
      <c r="E469" s="228">
        <v>1.0249999999999999</v>
      </c>
      <c r="F469" s="231">
        <v>647</v>
      </c>
    </row>
    <row r="470" spans="1:6" ht="32.25" customHeight="1" x14ac:dyDescent="0.15">
      <c r="A470" s="232" t="s">
        <v>899</v>
      </c>
      <c r="B470" s="228">
        <v>1.0009999999999999</v>
      </c>
      <c r="C470" s="228">
        <v>0.996</v>
      </c>
      <c r="D470" s="228">
        <v>0.99399999999999999</v>
      </c>
      <c r="E470" s="228">
        <v>1.0009999999999999</v>
      </c>
      <c r="F470" s="231">
        <v>954</v>
      </c>
    </row>
    <row r="471" spans="1:6" ht="32.25" customHeight="1" x14ac:dyDescent="0.15">
      <c r="A471" s="232" t="s">
        <v>900</v>
      </c>
      <c r="B471" s="228">
        <v>1.016</v>
      </c>
      <c r="C471" s="228">
        <v>1.0109999999999999</v>
      </c>
      <c r="D471" s="228">
        <v>1.0089999999999999</v>
      </c>
      <c r="E471" s="228">
        <v>1.0129999999999999</v>
      </c>
      <c r="F471" s="231">
        <v>603</v>
      </c>
    </row>
    <row r="472" spans="1:6" ht="32.25" customHeight="1" x14ac:dyDescent="0.15">
      <c r="A472" s="232" t="s">
        <v>901</v>
      </c>
      <c r="B472" s="228">
        <v>1.006</v>
      </c>
      <c r="C472" s="228">
        <v>1.0049999999999999</v>
      </c>
      <c r="D472" s="228">
        <v>1.0049999999999999</v>
      </c>
      <c r="E472" s="228">
        <v>1.0049999999999999</v>
      </c>
      <c r="F472" s="231">
        <v>604</v>
      </c>
    </row>
    <row r="473" spans="1:6" ht="32.25" customHeight="1" x14ac:dyDescent="0.15">
      <c r="A473" s="232" t="s">
        <v>902</v>
      </c>
      <c r="B473" s="228">
        <v>1.0009999999999999</v>
      </c>
      <c r="C473" s="228">
        <v>0.99399999999999999</v>
      </c>
      <c r="D473" s="228">
        <v>0.99199999999999999</v>
      </c>
      <c r="E473" s="228">
        <v>0.999</v>
      </c>
      <c r="F473" s="231">
        <v>636</v>
      </c>
    </row>
    <row r="474" spans="1:6" ht="32.25" customHeight="1" x14ac:dyDescent="0.15">
      <c r="A474" s="232" t="s">
        <v>903</v>
      </c>
      <c r="B474" s="228">
        <v>1.0009999999999999</v>
      </c>
      <c r="C474" s="228">
        <v>0.999</v>
      </c>
      <c r="D474" s="228">
        <v>1</v>
      </c>
      <c r="E474" s="228">
        <v>1.0069999999999999</v>
      </c>
      <c r="F474" s="231">
        <v>964</v>
      </c>
    </row>
    <row r="475" spans="1:6" ht="32.25" customHeight="1" x14ac:dyDescent="0.15">
      <c r="A475" s="232" t="s">
        <v>904</v>
      </c>
      <c r="B475" s="228">
        <v>1.0209999999999999</v>
      </c>
      <c r="C475" s="228">
        <v>1.0189999999999999</v>
      </c>
      <c r="D475" s="228">
        <v>1.0149999999999999</v>
      </c>
      <c r="E475" s="228">
        <v>1.0169999999999999</v>
      </c>
      <c r="F475" s="231">
        <v>404</v>
      </c>
    </row>
    <row r="476" spans="1:6" ht="32.25" customHeight="1" x14ac:dyDescent="0.15">
      <c r="A476" s="232" t="s">
        <v>905</v>
      </c>
      <c r="B476" s="228">
        <v>1.0509999999999999</v>
      </c>
      <c r="C476" s="228">
        <v>1.0369999999999999</v>
      </c>
      <c r="D476" s="228">
        <v>1.03</v>
      </c>
      <c r="E476" s="228">
        <v>1.04</v>
      </c>
      <c r="F476" s="231">
        <v>945</v>
      </c>
    </row>
    <row r="477" spans="1:6" ht="32.25" customHeight="1" x14ac:dyDescent="0.15">
      <c r="A477" s="232" t="s">
        <v>906</v>
      </c>
      <c r="B477" s="228">
        <v>1.075</v>
      </c>
      <c r="C477" s="228">
        <v>1.0589999999999999</v>
      </c>
      <c r="D477" s="228">
        <v>1.0329999999999999</v>
      </c>
      <c r="E477" s="228">
        <v>1.0609999999999999</v>
      </c>
      <c r="F477" s="231">
        <v>936</v>
      </c>
    </row>
    <row r="478" spans="1:6" ht="32.25" customHeight="1" x14ac:dyDescent="0.15">
      <c r="A478" s="232" t="s">
        <v>907</v>
      </c>
      <c r="B478" s="228">
        <v>1.004</v>
      </c>
      <c r="C478" s="228">
        <v>1.004</v>
      </c>
      <c r="D478" s="228">
        <v>1.004</v>
      </c>
      <c r="E478" s="228">
        <v>1.002</v>
      </c>
      <c r="F478" s="231">
        <v>781</v>
      </c>
    </row>
    <row r="479" spans="1:6" ht="32.25" customHeight="1" x14ac:dyDescent="0.15">
      <c r="A479" s="232" t="s">
        <v>908</v>
      </c>
      <c r="B479" s="228">
        <v>1.0189999999999999</v>
      </c>
      <c r="C479" s="228">
        <v>1.0089999999999999</v>
      </c>
      <c r="D479" s="228">
        <v>1.0069999999999999</v>
      </c>
      <c r="E479" s="228">
        <v>1.018</v>
      </c>
      <c r="F479" s="231">
        <v>968</v>
      </c>
    </row>
    <row r="480" spans="1:6" ht="32.25" customHeight="1" x14ac:dyDescent="0.15">
      <c r="A480" s="232" t="s">
        <v>909</v>
      </c>
      <c r="B480" s="228">
        <v>1.0429999999999999</v>
      </c>
      <c r="C480" s="228">
        <v>1.042</v>
      </c>
      <c r="D480" s="228">
        <v>1.038</v>
      </c>
      <c r="E480" s="228">
        <v>1.038</v>
      </c>
      <c r="F480" s="231">
        <v>970</v>
      </c>
    </row>
    <row r="481" spans="1:6" ht="32.25" customHeight="1" x14ac:dyDescent="0.15">
      <c r="A481" s="232" t="s">
        <v>910</v>
      </c>
      <c r="B481" s="228">
        <v>1.0189999999999999</v>
      </c>
      <c r="C481" s="228">
        <v>1.0169999999999999</v>
      </c>
      <c r="D481" s="228">
        <v>1.016</v>
      </c>
      <c r="E481" s="228">
        <v>1.0169999999999999</v>
      </c>
      <c r="F481" s="231">
        <v>971</v>
      </c>
    </row>
    <row r="482" spans="1:6" ht="32.25" customHeight="1" x14ac:dyDescent="0.15">
      <c r="A482" s="232" t="s">
        <v>911</v>
      </c>
      <c r="B482" s="228">
        <v>1.0089999999999999</v>
      </c>
      <c r="C482" s="228">
        <v>1.01</v>
      </c>
      <c r="D482" s="228">
        <v>1.0089999999999999</v>
      </c>
      <c r="E482" s="228">
        <v>1.0069999999999999</v>
      </c>
      <c r="F482" s="231">
        <v>777</v>
      </c>
    </row>
    <row r="483" spans="1:6" ht="32.25" customHeight="1" x14ac:dyDescent="0.15">
      <c r="A483" s="232" t="s">
        <v>912</v>
      </c>
      <c r="B483" s="228">
        <v>1.0129999999999999</v>
      </c>
      <c r="C483" s="228">
        <v>1.012</v>
      </c>
      <c r="D483" s="228">
        <v>1.0109999999999999</v>
      </c>
      <c r="E483" s="228">
        <v>1.0109999999999999</v>
      </c>
      <c r="F483" s="231">
        <v>778</v>
      </c>
    </row>
    <row r="484" spans="1:6" ht="32.25" customHeight="1" x14ac:dyDescent="0.15">
      <c r="A484" s="232" t="s">
        <v>913</v>
      </c>
      <c r="B484" s="228">
        <v>1.026</v>
      </c>
      <c r="C484" s="228">
        <v>1.026</v>
      </c>
      <c r="D484" s="228">
        <v>1.0249999999999999</v>
      </c>
      <c r="E484" s="228">
        <v>1.0229999999999999</v>
      </c>
      <c r="F484" s="231">
        <v>779</v>
      </c>
    </row>
    <row r="485" spans="1:6" ht="32.25" customHeight="1" x14ac:dyDescent="0.15">
      <c r="A485" s="232" t="s">
        <v>914</v>
      </c>
      <c r="B485" s="228">
        <v>1.0049999999999999</v>
      </c>
      <c r="C485" s="228">
        <v>1.0029999999999999</v>
      </c>
      <c r="D485" s="228">
        <v>1.002</v>
      </c>
      <c r="E485" s="228">
        <v>1.004</v>
      </c>
      <c r="F485" s="231">
        <v>972</v>
      </c>
    </row>
    <row r="486" spans="1:6" ht="32.25" customHeight="1" x14ac:dyDescent="0.15">
      <c r="A486" s="232" t="s">
        <v>915</v>
      </c>
      <c r="B486" s="228">
        <v>1.02</v>
      </c>
      <c r="C486" s="228">
        <v>1.0169999999999999</v>
      </c>
      <c r="D486" s="228">
        <v>1.018</v>
      </c>
      <c r="E486" s="228">
        <v>1.0169999999999999</v>
      </c>
      <c r="F486" s="231">
        <v>780</v>
      </c>
    </row>
    <row r="487" spans="1:6" ht="32.25" customHeight="1" x14ac:dyDescent="0.15">
      <c r="A487" s="232" t="s">
        <v>916</v>
      </c>
      <c r="B487" s="228">
        <v>1.01</v>
      </c>
      <c r="C487" s="228">
        <v>1.0069999999999999</v>
      </c>
      <c r="D487" s="228">
        <v>1.006</v>
      </c>
      <c r="E487" s="228">
        <v>1.008</v>
      </c>
      <c r="F487" s="231">
        <v>974</v>
      </c>
    </row>
    <row r="488" spans="1:6" ht="32.25" customHeight="1" x14ac:dyDescent="0.15">
      <c r="A488" s="232" t="s">
        <v>917</v>
      </c>
      <c r="B488" s="228">
        <v>1.012</v>
      </c>
      <c r="C488" s="228">
        <v>1.012</v>
      </c>
      <c r="D488" s="228">
        <v>1.012</v>
      </c>
      <c r="E488" s="228">
        <v>1.01</v>
      </c>
      <c r="F488" s="231">
        <v>782</v>
      </c>
    </row>
    <row r="489" spans="1:6" ht="32.25" customHeight="1" x14ac:dyDescent="0.15">
      <c r="A489" s="232" t="s">
        <v>918</v>
      </c>
      <c r="B489" s="228">
        <v>1.0069999999999999</v>
      </c>
      <c r="C489" s="228">
        <v>0.998</v>
      </c>
      <c r="D489" s="228">
        <v>0.996</v>
      </c>
      <c r="E489" s="228">
        <v>1.0069999999999999</v>
      </c>
      <c r="F489" s="231" t="s">
        <v>1122</v>
      </c>
    </row>
    <row r="490" spans="1:6" ht="32.25" customHeight="1" x14ac:dyDescent="0.15">
      <c r="A490" s="232" t="s">
        <v>919</v>
      </c>
      <c r="B490" s="228">
        <v>1.01</v>
      </c>
      <c r="C490" s="228">
        <v>1.014</v>
      </c>
      <c r="D490" s="228">
        <v>1.014</v>
      </c>
      <c r="E490" s="228">
        <v>1.0089999999999999</v>
      </c>
      <c r="F490" s="231">
        <v>783</v>
      </c>
    </row>
    <row r="491" spans="1:6" ht="32.25" customHeight="1" x14ac:dyDescent="0.15">
      <c r="A491" s="232" t="s">
        <v>920</v>
      </c>
      <c r="B491" s="228">
        <v>1.0409999999999999</v>
      </c>
      <c r="C491" s="228">
        <v>1.0329999999999999</v>
      </c>
      <c r="D491" s="228">
        <v>1.0309999999999999</v>
      </c>
      <c r="E491" s="228">
        <v>1.036</v>
      </c>
      <c r="F491" s="231">
        <v>784</v>
      </c>
    </row>
    <row r="492" spans="1:6" ht="32.25" customHeight="1" x14ac:dyDescent="0.15">
      <c r="A492" s="232" t="s">
        <v>921</v>
      </c>
      <c r="B492" s="228">
        <v>1.008</v>
      </c>
      <c r="C492" s="228">
        <v>1.006</v>
      </c>
      <c r="D492" s="228">
        <v>1.006</v>
      </c>
      <c r="E492" s="228">
        <v>1.0069999999999999</v>
      </c>
      <c r="F492" s="231">
        <v>785</v>
      </c>
    </row>
    <row r="493" spans="1:6" ht="32.25" customHeight="1" x14ac:dyDescent="0.15">
      <c r="A493" s="232" t="s">
        <v>922</v>
      </c>
      <c r="B493" s="228">
        <v>1.022</v>
      </c>
      <c r="C493" s="228">
        <v>1.0229999999999999</v>
      </c>
      <c r="D493" s="228">
        <v>1.0229999999999999</v>
      </c>
      <c r="E493" s="228">
        <v>1.0189999999999999</v>
      </c>
      <c r="F493" s="231">
        <v>786</v>
      </c>
    </row>
    <row r="494" spans="1:6" ht="32.25" customHeight="1" x14ac:dyDescent="0.15">
      <c r="A494" s="232" t="s">
        <v>923</v>
      </c>
      <c r="B494" s="228">
        <v>1.0309999999999999</v>
      </c>
      <c r="C494" s="228">
        <v>1.0289999999999999</v>
      </c>
      <c r="D494" s="228">
        <v>1.028</v>
      </c>
      <c r="E494" s="228">
        <v>1.0269999999999999</v>
      </c>
      <c r="F494" s="231">
        <v>787</v>
      </c>
    </row>
    <row r="495" spans="1:6" ht="32.25" customHeight="1" x14ac:dyDescent="0.15">
      <c r="A495" s="232" t="s">
        <v>924</v>
      </c>
      <c r="B495" s="228">
        <v>1.0129999999999999</v>
      </c>
      <c r="C495" s="228">
        <v>0.97799999999999998</v>
      </c>
      <c r="D495" s="228">
        <v>0.96699999999999997</v>
      </c>
      <c r="E495" s="228">
        <v>1.012</v>
      </c>
      <c r="F495" s="231">
        <v>788</v>
      </c>
    </row>
    <row r="496" spans="1:6" ht="32.25" customHeight="1" x14ac:dyDescent="0.15">
      <c r="A496" s="232" t="s">
        <v>925</v>
      </c>
      <c r="B496" s="228">
        <v>1.0149999999999999</v>
      </c>
      <c r="C496" s="228">
        <v>1.01</v>
      </c>
      <c r="D496" s="228">
        <v>1.008</v>
      </c>
      <c r="E496" s="228">
        <v>1.014</v>
      </c>
      <c r="F496" s="231">
        <v>956</v>
      </c>
    </row>
    <row r="497" spans="1:6" ht="32.25" customHeight="1" x14ac:dyDescent="0.15">
      <c r="A497" s="232" t="s">
        <v>926</v>
      </c>
      <c r="B497" s="228">
        <v>1.0009999999999999</v>
      </c>
      <c r="C497" s="228">
        <v>1.0009999999999999</v>
      </c>
      <c r="D497" s="228">
        <v>1</v>
      </c>
      <c r="E497" s="228">
        <v>0.999</v>
      </c>
      <c r="F497" s="231">
        <v>789</v>
      </c>
    </row>
    <row r="498" spans="1:6" ht="32.25" customHeight="1" x14ac:dyDescent="0.15">
      <c r="A498" s="232" t="s">
        <v>927</v>
      </c>
      <c r="B498" s="228">
        <v>1.0009999999999999</v>
      </c>
      <c r="C498" s="228">
        <v>0.999</v>
      </c>
      <c r="D498" s="228">
        <v>0.999</v>
      </c>
      <c r="E498" s="228">
        <v>1.0069999999999999</v>
      </c>
      <c r="F498" s="231">
        <v>790</v>
      </c>
    </row>
    <row r="499" spans="1:6" ht="32.25" customHeight="1" x14ac:dyDescent="0.15">
      <c r="A499" s="232" t="s">
        <v>928</v>
      </c>
      <c r="B499" s="228">
        <v>1.0109999999999999</v>
      </c>
      <c r="C499" s="228">
        <v>1.0089999999999999</v>
      </c>
      <c r="D499" s="228">
        <v>1.008</v>
      </c>
      <c r="E499" s="228">
        <v>1.0089999999999999</v>
      </c>
      <c r="F499" s="231">
        <v>791</v>
      </c>
    </row>
    <row r="500" spans="1:6" ht="32.25" customHeight="1" x14ac:dyDescent="0.15">
      <c r="A500" s="232" t="s">
        <v>930</v>
      </c>
      <c r="B500" s="228">
        <v>1.0249999999999999</v>
      </c>
      <c r="C500" s="228">
        <v>1.0209999999999999</v>
      </c>
      <c r="D500" s="228">
        <v>1.0209999999999999</v>
      </c>
      <c r="E500" s="228">
        <v>1.0309999999999999</v>
      </c>
      <c r="F500" s="231">
        <v>962</v>
      </c>
    </row>
    <row r="501" spans="1:6" ht="32.25" customHeight="1" x14ac:dyDescent="0.15">
      <c r="A501" s="232" t="s">
        <v>931</v>
      </c>
      <c r="B501" s="228">
        <v>1.0660000000000001</v>
      </c>
      <c r="C501" s="228">
        <v>1.0489999999999999</v>
      </c>
      <c r="D501" s="228">
        <v>1.042</v>
      </c>
      <c r="E501" s="228">
        <v>1.0580000000000001</v>
      </c>
      <c r="F501" s="231">
        <v>792</v>
      </c>
    </row>
    <row r="502" spans="1:6" ht="32.25" customHeight="1" x14ac:dyDescent="0.15">
      <c r="A502" s="232" t="s">
        <v>932</v>
      </c>
      <c r="B502" s="228">
        <v>1.016</v>
      </c>
      <c r="C502" s="228">
        <v>1.0149999999999999</v>
      </c>
      <c r="D502" s="228">
        <v>1.012</v>
      </c>
      <c r="E502" s="228">
        <v>1.0109999999999999</v>
      </c>
      <c r="F502" s="231">
        <v>933</v>
      </c>
    </row>
    <row r="503" spans="1:6" ht="32.25" customHeight="1" x14ac:dyDescent="0.15">
      <c r="A503" s="232" t="s">
        <v>933</v>
      </c>
      <c r="B503" s="228">
        <v>1.008</v>
      </c>
      <c r="C503" s="228">
        <v>1.01</v>
      </c>
      <c r="D503" s="228">
        <v>1.0089999999999999</v>
      </c>
      <c r="E503" s="228">
        <v>1.0069999999999999</v>
      </c>
      <c r="F503" s="231">
        <v>618</v>
      </c>
    </row>
    <row r="504" spans="1:6" ht="32.25" customHeight="1" x14ac:dyDescent="0.15">
      <c r="A504" s="232" t="s">
        <v>934</v>
      </c>
      <c r="B504" s="228">
        <v>1.0029999999999999</v>
      </c>
      <c r="C504" s="228">
        <v>0.996</v>
      </c>
      <c r="D504" s="228">
        <v>0.99399999999999999</v>
      </c>
      <c r="E504" s="228">
        <v>1.002</v>
      </c>
      <c r="F504" s="231">
        <v>793</v>
      </c>
    </row>
    <row r="505" spans="1:6" ht="32.25" customHeight="1" x14ac:dyDescent="0.15">
      <c r="A505" s="232" t="s">
        <v>935</v>
      </c>
      <c r="B505" s="228">
        <v>1.0169999999999999</v>
      </c>
      <c r="C505" s="228">
        <v>1.0029999999999999</v>
      </c>
      <c r="D505" s="228">
        <v>0.996</v>
      </c>
      <c r="E505" s="228">
        <v>1.0109999999999999</v>
      </c>
      <c r="F505" s="231">
        <v>989</v>
      </c>
    </row>
    <row r="506" spans="1:6" ht="32.25" customHeight="1" x14ac:dyDescent="0.15">
      <c r="A506" s="232" t="s">
        <v>936</v>
      </c>
      <c r="B506" s="228">
        <v>1.0149999999999999</v>
      </c>
      <c r="C506" s="228">
        <v>1.014</v>
      </c>
      <c r="D506" s="228">
        <v>1.012</v>
      </c>
      <c r="E506" s="228">
        <v>1.0129999999999999</v>
      </c>
      <c r="F506" s="231">
        <v>794</v>
      </c>
    </row>
    <row r="507" spans="1:6" ht="32.25" customHeight="1" x14ac:dyDescent="0.15">
      <c r="A507" s="232" t="s">
        <v>937</v>
      </c>
      <c r="B507" s="228">
        <v>1.0169999999999999</v>
      </c>
      <c r="C507" s="228">
        <v>1.018</v>
      </c>
      <c r="D507" s="228">
        <v>1.02</v>
      </c>
      <c r="E507" s="228">
        <v>1.016</v>
      </c>
      <c r="F507" s="231">
        <v>963</v>
      </c>
    </row>
    <row r="508" spans="1:6" ht="32.25" customHeight="1" x14ac:dyDescent="0.15">
      <c r="A508" s="232" t="s">
        <v>938</v>
      </c>
      <c r="B508" s="228">
        <v>1.0049999999999999</v>
      </c>
      <c r="C508" s="228">
        <v>0.998</v>
      </c>
      <c r="D508" s="228">
        <v>0.996</v>
      </c>
      <c r="E508" s="228">
        <v>1.004</v>
      </c>
      <c r="F508" s="231">
        <v>795</v>
      </c>
    </row>
    <row r="509" spans="1:6" ht="32.25" customHeight="1" x14ac:dyDescent="0.15">
      <c r="A509" s="232" t="s">
        <v>939</v>
      </c>
      <c r="B509" s="228">
        <v>1.0049999999999999</v>
      </c>
      <c r="C509" s="228">
        <v>0.999</v>
      </c>
      <c r="D509" s="228">
        <v>0.998</v>
      </c>
      <c r="E509" s="228">
        <v>1.0049999999999999</v>
      </c>
      <c r="F509" s="231">
        <v>796</v>
      </c>
    </row>
    <row r="510" spans="1:6" ht="32.25" customHeight="1" x14ac:dyDescent="0.15">
      <c r="A510" s="232" t="s">
        <v>940</v>
      </c>
      <c r="B510" s="228">
        <v>1.0409999999999999</v>
      </c>
      <c r="C510" s="228">
        <v>1.038</v>
      </c>
      <c r="D510" s="228">
        <v>1.0369999999999999</v>
      </c>
      <c r="E510" s="228">
        <v>1.036</v>
      </c>
      <c r="F510" s="231" t="s">
        <v>1123</v>
      </c>
    </row>
    <row r="511" spans="1:6" ht="32.25" customHeight="1" x14ac:dyDescent="0.15">
      <c r="A511" s="232" t="s">
        <v>941</v>
      </c>
      <c r="B511" s="228">
        <v>1.016</v>
      </c>
      <c r="C511" s="228">
        <v>1.0149999999999999</v>
      </c>
      <c r="D511" s="228">
        <v>1.012</v>
      </c>
      <c r="E511" s="228">
        <v>1.0109999999999999</v>
      </c>
      <c r="F511" s="231">
        <v>933</v>
      </c>
    </row>
    <row r="512" spans="1:6" ht="32.25" customHeight="1" x14ac:dyDescent="0.15">
      <c r="A512" s="232" t="s">
        <v>942</v>
      </c>
      <c r="B512" s="228">
        <v>1.02</v>
      </c>
      <c r="C512" s="228">
        <v>1.0189999999999999</v>
      </c>
      <c r="D512" s="228">
        <v>1.018</v>
      </c>
      <c r="E512" s="228">
        <v>1.016</v>
      </c>
      <c r="F512" s="231">
        <v>980</v>
      </c>
    </row>
    <row r="513" spans="1:6" ht="32.25" customHeight="1" x14ac:dyDescent="0.15">
      <c r="A513" s="232" t="s">
        <v>943</v>
      </c>
      <c r="B513" s="228">
        <v>1.002</v>
      </c>
      <c r="C513" s="228">
        <v>1.0009999999999999</v>
      </c>
      <c r="D513" s="228">
        <v>1.0009999999999999</v>
      </c>
      <c r="E513" s="228">
        <v>1.0009999999999999</v>
      </c>
      <c r="F513" s="231">
        <v>955</v>
      </c>
    </row>
    <row r="514" spans="1:6" ht="32.25" customHeight="1" x14ac:dyDescent="0.15">
      <c r="A514" s="232" t="s">
        <v>944</v>
      </c>
      <c r="B514" s="228">
        <v>1.026</v>
      </c>
      <c r="C514" s="228">
        <v>1.022</v>
      </c>
      <c r="D514" s="228">
        <v>1.02</v>
      </c>
      <c r="E514" s="228">
        <v>1.0329999999999999</v>
      </c>
      <c r="F514" s="231">
        <v>957</v>
      </c>
    </row>
    <row r="515" spans="1:6" ht="32.25" customHeight="1" x14ac:dyDescent="0.15">
      <c r="A515" s="232" t="s">
        <v>945</v>
      </c>
      <c r="B515" s="228">
        <v>1.0089999999999999</v>
      </c>
      <c r="C515" s="228">
        <v>1.006</v>
      </c>
      <c r="D515" s="228">
        <v>1.008</v>
      </c>
      <c r="E515" s="228">
        <v>1.014</v>
      </c>
      <c r="F515" s="231">
        <v>999</v>
      </c>
    </row>
    <row r="516" spans="1:6" ht="32.25" customHeight="1" x14ac:dyDescent="0.15">
      <c r="A516" s="232" t="s">
        <v>946</v>
      </c>
      <c r="B516" s="228">
        <v>1.0329999999999999</v>
      </c>
      <c r="C516" s="228">
        <v>1.03</v>
      </c>
      <c r="D516" s="228">
        <v>1.0289999999999999</v>
      </c>
      <c r="E516" s="228">
        <v>1.0269999999999999</v>
      </c>
      <c r="F516" s="231">
        <v>450</v>
      </c>
    </row>
    <row r="517" spans="1:6" ht="32.25" customHeight="1" x14ac:dyDescent="0.15">
      <c r="A517" s="232" t="s">
        <v>947</v>
      </c>
      <c r="B517" s="228">
        <v>1.024</v>
      </c>
      <c r="C517" s="228">
        <v>1.016</v>
      </c>
      <c r="D517" s="228">
        <v>1.0149999999999999</v>
      </c>
      <c r="E517" s="228">
        <v>1.014</v>
      </c>
      <c r="F517" s="231">
        <v>797</v>
      </c>
    </row>
    <row r="518" spans="1:6" ht="32.25" customHeight="1" x14ac:dyDescent="0.15">
      <c r="A518" s="232" t="s">
        <v>948</v>
      </c>
      <c r="B518" s="228">
        <v>1.016</v>
      </c>
      <c r="C518" s="228">
        <v>1.0149999999999999</v>
      </c>
      <c r="D518" s="228">
        <v>1.012</v>
      </c>
      <c r="E518" s="228">
        <v>1.0109999999999999</v>
      </c>
      <c r="F518" s="231">
        <v>933</v>
      </c>
    </row>
    <row r="519" spans="1:6" ht="32.25" customHeight="1" x14ac:dyDescent="0.15">
      <c r="A519" s="232" t="s">
        <v>949</v>
      </c>
      <c r="B519" s="228">
        <v>1.036</v>
      </c>
      <c r="C519" s="228">
        <v>1.032</v>
      </c>
      <c r="D519" s="228">
        <v>1.036</v>
      </c>
      <c r="E519" s="228">
        <v>1.0329999999999999</v>
      </c>
      <c r="F519" s="231">
        <v>369</v>
      </c>
    </row>
    <row r="520" spans="1:6" ht="32.25" customHeight="1" x14ac:dyDescent="0.15">
      <c r="A520" s="232" t="s">
        <v>950</v>
      </c>
      <c r="B520" s="228">
        <v>1.032</v>
      </c>
      <c r="C520" s="228">
        <v>1.042</v>
      </c>
      <c r="D520" s="228">
        <v>1.0509999999999999</v>
      </c>
      <c r="E520" s="228">
        <v>1.0349999999999999</v>
      </c>
      <c r="F520" s="231">
        <v>7310</v>
      </c>
    </row>
    <row r="521" spans="1:6" ht="32.25" customHeight="1" x14ac:dyDescent="0.15">
      <c r="A521" s="232" t="s">
        <v>951</v>
      </c>
      <c r="B521" s="228">
        <v>1.0229999999999999</v>
      </c>
      <c r="C521" s="228">
        <v>1.0209999999999999</v>
      </c>
      <c r="D521" s="228">
        <v>1.02</v>
      </c>
      <c r="E521" s="228">
        <v>1.02</v>
      </c>
      <c r="F521" s="231">
        <v>798</v>
      </c>
    </row>
    <row r="522" spans="1:6" ht="32.25" customHeight="1" x14ac:dyDescent="0.15">
      <c r="A522" s="232" t="s">
        <v>952</v>
      </c>
      <c r="B522" s="228">
        <v>1.016</v>
      </c>
      <c r="C522" s="228">
        <v>1.0149999999999999</v>
      </c>
      <c r="D522" s="228">
        <v>1.012</v>
      </c>
      <c r="E522" s="228">
        <v>1.0109999999999999</v>
      </c>
      <c r="F522" s="231">
        <v>933</v>
      </c>
    </row>
    <row r="523" spans="1:6" ht="32.25" customHeight="1" x14ac:dyDescent="0.15">
      <c r="A523" s="232" t="s">
        <v>953</v>
      </c>
      <c r="B523" s="228">
        <v>1.0049999999999999</v>
      </c>
      <c r="C523" s="228">
        <v>0.999</v>
      </c>
      <c r="D523" s="228">
        <v>0.996</v>
      </c>
      <c r="E523" s="228">
        <v>1.004</v>
      </c>
      <c r="F523" s="231">
        <v>799</v>
      </c>
    </row>
    <row r="524" spans="1:6" ht="32.25" customHeight="1" x14ac:dyDescent="0.15">
      <c r="A524" s="232" t="s">
        <v>954</v>
      </c>
      <c r="B524" s="228">
        <v>1.0049999999999999</v>
      </c>
      <c r="C524" s="228">
        <v>1.004</v>
      </c>
      <c r="D524" s="228">
        <v>1.0029999999999999</v>
      </c>
      <c r="E524" s="228">
        <v>1.0029999999999999</v>
      </c>
      <c r="F524" s="231">
        <v>935</v>
      </c>
    </row>
    <row r="525" spans="1:6" ht="32.25" customHeight="1" x14ac:dyDescent="0.15">
      <c r="A525" s="232" t="s">
        <v>956</v>
      </c>
      <c r="B525" s="228">
        <v>1.022</v>
      </c>
      <c r="C525" s="228">
        <v>1.02</v>
      </c>
      <c r="D525" s="228">
        <v>1.018</v>
      </c>
      <c r="E525" s="228">
        <v>1.0169999999999999</v>
      </c>
      <c r="F525" s="231">
        <v>741</v>
      </c>
    </row>
    <row r="526" spans="1:6" ht="32.25" customHeight="1" x14ac:dyDescent="0.15">
      <c r="A526" s="232" t="s">
        <v>957</v>
      </c>
      <c r="B526" s="228">
        <v>1.022</v>
      </c>
      <c r="C526" s="228">
        <v>1.02</v>
      </c>
      <c r="D526" s="228">
        <v>1.018</v>
      </c>
      <c r="E526" s="228">
        <v>1.0169999999999999</v>
      </c>
      <c r="F526" s="231">
        <v>742</v>
      </c>
    </row>
    <row r="527" spans="1:6" ht="32.25" customHeight="1" x14ac:dyDescent="0.15">
      <c r="A527" s="232" t="s">
        <v>958</v>
      </c>
      <c r="B527" s="228">
        <v>1.022</v>
      </c>
      <c r="C527" s="228">
        <v>1.02</v>
      </c>
      <c r="D527" s="228">
        <v>1.018</v>
      </c>
      <c r="E527" s="228">
        <v>1.0169999999999999</v>
      </c>
      <c r="F527" s="231">
        <v>743</v>
      </c>
    </row>
    <row r="528" spans="1:6" ht="32.25" customHeight="1" x14ac:dyDescent="0.15">
      <c r="A528" s="232" t="s">
        <v>959</v>
      </c>
      <c r="B528" s="228">
        <v>1.0049999999999999</v>
      </c>
      <c r="C528" s="228">
        <v>1.0049999999999999</v>
      </c>
      <c r="D528" s="228">
        <v>1.0049999999999999</v>
      </c>
      <c r="E528" s="228">
        <v>1.004</v>
      </c>
      <c r="F528" s="231">
        <v>403</v>
      </c>
    </row>
    <row r="529" spans="1:6" ht="32.25" customHeight="1" x14ac:dyDescent="0.15">
      <c r="A529" s="232" t="s">
        <v>960</v>
      </c>
      <c r="B529" s="228">
        <v>1.048</v>
      </c>
      <c r="C529" s="228">
        <v>1.042</v>
      </c>
      <c r="D529" s="228">
        <v>1.044</v>
      </c>
      <c r="E529" s="228">
        <v>1.0580000000000001</v>
      </c>
      <c r="F529" s="231">
        <v>451</v>
      </c>
    </row>
    <row r="530" spans="1:6" ht="32.25" customHeight="1" x14ac:dyDescent="0.15">
      <c r="A530" s="232" t="s">
        <v>961</v>
      </c>
      <c r="B530" s="228">
        <v>1.0189999999999999</v>
      </c>
      <c r="C530" s="228">
        <v>1.014</v>
      </c>
      <c r="D530" s="228">
        <v>1.014</v>
      </c>
      <c r="E530" s="228">
        <v>1.016</v>
      </c>
      <c r="F530" s="231">
        <v>978</v>
      </c>
    </row>
    <row r="531" spans="1:6" ht="32.25" customHeight="1" x14ac:dyDescent="0.15">
      <c r="A531" s="232" t="s">
        <v>962</v>
      </c>
      <c r="B531" s="228">
        <v>1.0509999999999999</v>
      </c>
      <c r="C531" s="228">
        <v>1.0429999999999999</v>
      </c>
      <c r="D531" s="228">
        <v>1.038</v>
      </c>
      <c r="E531" s="228">
        <v>1.046</v>
      </c>
      <c r="F531" s="231">
        <v>991</v>
      </c>
    </row>
    <row r="532" spans="1:6" ht="32.25" customHeight="1" x14ac:dyDescent="0.15">
      <c r="A532" s="232" t="s">
        <v>963</v>
      </c>
      <c r="B532" s="228">
        <v>1.048</v>
      </c>
      <c r="C532" s="228">
        <v>1.046</v>
      </c>
      <c r="D532" s="228">
        <v>1.0449999999999999</v>
      </c>
      <c r="E532" s="228">
        <v>1.0409999999999999</v>
      </c>
      <c r="F532" s="231">
        <v>994</v>
      </c>
    </row>
    <row r="533" spans="1:6" ht="32.25" customHeight="1" x14ac:dyDescent="0.15">
      <c r="A533" s="232" t="s">
        <v>964</v>
      </c>
      <c r="B533" s="228">
        <v>1.01</v>
      </c>
      <c r="C533" s="228">
        <v>1.0089999999999999</v>
      </c>
      <c r="D533" s="228">
        <v>1.008</v>
      </c>
      <c r="E533" s="228">
        <v>1.008</v>
      </c>
      <c r="F533" s="231">
        <v>995</v>
      </c>
    </row>
    <row r="534" spans="1:6" ht="32.25" customHeight="1" x14ac:dyDescent="0.15">
      <c r="A534" s="232" t="s">
        <v>965</v>
      </c>
      <c r="B534" s="228">
        <v>1.016</v>
      </c>
      <c r="C534" s="228">
        <v>1.018</v>
      </c>
      <c r="D534" s="228">
        <v>1.018</v>
      </c>
      <c r="E534" s="228">
        <v>1.014</v>
      </c>
      <c r="F534" s="231">
        <v>996</v>
      </c>
    </row>
    <row r="535" spans="1:6" ht="32.25" customHeight="1" x14ac:dyDescent="0.15">
      <c r="A535" s="232" t="s">
        <v>966</v>
      </c>
      <c r="B535" s="228">
        <v>1.0469999999999999</v>
      </c>
      <c r="C535" s="228">
        <v>1.0329999999999999</v>
      </c>
      <c r="D535" s="228">
        <v>1.032</v>
      </c>
      <c r="E535" s="228">
        <v>1.0409999999999999</v>
      </c>
      <c r="F535" s="231">
        <v>997</v>
      </c>
    </row>
    <row r="536" spans="1:6" ht="32.25" customHeight="1" x14ac:dyDescent="0.15">
      <c r="A536" s="232" t="s">
        <v>967</v>
      </c>
      <c r="B536" s="228">
        <v>1.0049999999999999</v>
      </c>
      <c r="C536" s="228">
        <v>0.99299999999999999</v>
      </c>
      <c r="D536" s="228">
        <v>0.997</v>
      </c>
      <c r="E536" s="228">
        <v>1.0069999999999999</v>
      </c>
      <c r="F536" s="231">
        <v>998</v>
      </c>
    </row>
    <row r="537" spans="1:6" ht="32.25" customHeight="1" x14ac:dyDescent="0.15">
      <c r="A537" s="232" t="s">
        <v>968</v>
      </c>
      <c r="B537" s="228">
        <v>1.004</v>
      </c>
      <c r="C537" s="228">
        <v>0.999</v>
      </c>
      <c r="D537" s="228">
        <v>0.998</v>
      </c>
      <c r="E537" s="228">
        <v>1.0029999999999999</v>
      </c>
      <c r="F537" s="231">
        <v>953</v>
      </c>
    </row>
    <row r="538" spans="1:6" ht="32.25" customHeight="1" x14ac:dyDescent="0.15">
      <c r="A538" s="232" t="s">
        <v>969</v>
      </c>
      <c r="B538" s="228">
        <v>1.0109999999999999</v>
      </c>
      <c r="C538" s="228">
        <v>1.01</v>
      </c>
      <c r="D538" s="228">
        <v>1.01</v>
      </c>
      <c r="E538" s="228">
        <v>1.01</v>
      </c>
      <c r="F538" s="231">
        <v>983</v>
      </c>
    </row>
    <row r="539" spans="1:6" ht="32.25" customHeight="1" x14ac:dyDescent="0.15">
      <c r="A539" s="232" t="s">
        <v>970</v>
      </c>
      <c r="B539" s="228">
        <v>1.0269999999999999</v>
      </c>
      <c r="C539" s="228">
        <v>1.0129999999999999</v>
      </c>
      <c r="D539" s="228">
        <v>1.0109999999999999</v>
      </c>
      <c r="E539" s="228">
        <v>1.0269999999999999</v>
      </c>
      <c r="F539" s="231" t="s">
        <v>1124</v>
      </c>
    </row>
    <row r="540" spans="1:6" ht="32.25" customHeight="1" x14ac:dyDescent="0.15">
      <c r="A540" s="232" t="s">
        <v>971</v>
      </c>
      <c r="B540" s="228">
        <v>1.0129999999999999</v>
      </c>
      <c r="C540" s="228">
        <v>1.0129999999999999</v>
      </c>
      <c r="D540" s="228">
        <v>1.0129999999999999</v>
      </c>
      <c r="E540" s="228">
        <v>1.012</v>
      </c>
      <c r="F540" s="231" t="s">
        <v>1125</v>
      </c>
    </row>
    <row r="541" spans="1:6" ht="32.25" customHeight="1" x14ac:dyDescent="0.15">
      <c r="A541" s="232" t="s">
        <v>972</v>
      </c>
      <c r="B541" s="228">
        <v>1.016</v>
      </c>
      <c r="C541" s="228">
        <v>1.0149999999999999</v>
      </c>
      <c r="D541" s="228">
        <v>1.012</v>
      </c>
      <c r="E541" s="228">
        <v>1.0109999999999999</v>
      </c>
      <c r="F541" s="231">
        <v>933</v>
      </c>
    </row>
    <row r="542" spans="1:6" ht="32.25" customHeight="1" x14ac:dyDescent="0.15">
      <c r="A542" s="232" t="s">
        <v>973</v>
      </c>
      <c r="B542" s="228">
        <v>1.016</v>
      </c>
      <c r="C542" s="228">
        <v>1.0149999999999999</v>
      </c>
      <c r="D542" s="228">
        <v>1.0149999999999999</v>
      </c>
      <c r="E542" s="228">
        <v>1.014</v>
      </c>
      <c r="F542" s="231" t="s">
        <v>1126</v>
      </c>
    </row>
    <row r="543" spans="1:6" ht="32.25" customHeight="1" x14ac:dyDescent="0.15">
      <c r="A543" s="232" t="s">
        <v>974</v>
      </c>
      <c r="B543" s="228">
        <v>1.016</v>
      </c>
      <c r="C543" s="228">
        <v>1.0149999999999999</v>
      </c>
      <c r="D543" s="228">
        <v>1.012</v>
      </c>
      <c r="E543" s="228">
        <v>1.0109999999999999</v>
      </c>
      <c r="F543" s="231">
        <v>933</v>
      </c>
    </row>
    <row r="544" spans="1:6" ht="32.25" customHeight="1" x14ac:dyDescent="0.15">
      <c r="A544" s="232" t="s">
        <v>975</v>
      </c>
      <c r="B544" s="228">
        <v>1.0429999999999999</v>
      </c>
      <c r="C544" s="228">
        <v>1.042</v>
      </c>
      <c r="D544" s="228">
        <v>1.0429999999999999</v>
      </c>
      <c r="E544" s="228">
        <v>1.042</v>
      </c>
      <c r="F544" s="231">
        <v>966</v>
      </c>
    </row>
    <row r="545" spans="1:6" ht="32.25" customHeight="1" x14ac:dyDescent="0.15">
      <c r="A545" s="232" t="s">
        <v>976</v>
      </c>
      <c r="B545" s="228">
        <v>1.004</v>
      </c>
      <c r="C545" s="228">
        <v>1.004</v>
      </c>
      <c r="D545" s="228">
        <v>1.004</v>
      </c>
      <c r="E545" s="228">
        <v>1.0029999999999999</v>
      </c>
      <c r="F545" s="231" t="s">
        <v>1127</v>
      </c>
    </row>
    <row r="546" spans="1:6" ht="32.25" customHeight="1" x14ac:dyDescent="0.15">
      <c r="A546" s="232" t="s">
        <v>977</v>
      </c>
      <c r="B546" s="228">
        <v>1.048</v>
      </c>
      <c r="C546" s="228">
        <v>1.042</v>
      </c>
      <c r="D546" s="228">
        <v>1.046</v>
      </c>
      <c r="E546" s="228">
        <v>1.044</v>
      </c>
      <c r="F546" s="231" t="s">
        <v>1974</v>
      </c>
    </row>
    <row r="547" spans="1:6" ht="32.25" customHeight="1" x14ac:dyDescent="0.15">
      <c r="A547" s="232" t="s">
        <v>978</v>
      </c>
      <c r="B547" s="228">
        <v>1.016</v>
      </c>
      <c r="C547" s="228">
        <v>1.0149999999999999</v>
      </c>
      <c r="D547" s="228">
        <v>1.012</v>
      </c>
      <c r="E547" s="228">
        <v>1.0109999999999999</v>
      </c>
      <c r="F547" s="231">
        <v>933</v>
      </c>
    </row>
    <row r="548" spans="1:6" ht="32.25" customHeight="1" x14ac:dyDescent="0.15">
      <c r="A548" s="232" t="s">
        <v>979</v>
      </c>
      <c r="B548" s="228">
        <v>1.0780000000000001</v>
      </c>
      <c r="C548" s="228">
        <v>1.073</v>
      </c>
      <c r="D548" s="228">
        <v>1.071</v>
      </c>
      <c r="E548" s="228">
        <v>1.0649999999999999</v>
      </c>
      <c r="F548" s="231">
        <v>467</v>
      </c>
    </row>
    <row r="549" spans="1:6" ht="32.25" customHeight="1" x14ac:dyDescent="0.15">
      <c r="A549" s="232" t="s">
        <v>980</v>
      </c>
      <c r="B549" s="228">
        <v>1.0109999999999999</v>
      </c>
      <c r="C549" s="228">
        <v>1.0089999999999999</v>
      </c>
      <c r="D549" s="228">
        <v>1.008</v>
      </c>
      <c r="E549" s="228">
        <v>1.01</v>
      </c>
      <c r="F549" s="231">
        <v>468</v>
      </c>
    </row>
    <row r="550" spans="1:6" ht="32.25" customHeight="1" x14ac:dyDescent="0.15">
      <c r="A550" s="232" t="s">
        <v>981</v>
      </c>
      <c r="B550" s="228">
        <v>1.002</v>
      </c>
      <c r="C550" s="228">
        <v>1.002</v>
      </c>
      <c r="D550" s="228">
        <v>1.002</v>
      </c>
      <c r="E550" s="228">
        <v>1.002</v>
      </c>
      <c r="F550" s="231" t="s">
        <v>1128</v>
      </c>
    </row>
    <row r="551" spans="1:6" ht="32.25" customHeight="1" x14ac:dyDescent="0.15">
      <c r="A551" s="232" t="s">
        <v>982</v>
      </c>
      <c r="B551" s="228">
        <v>1.012</v>
      </c>
      <c r="C551" s="228">
        <v>1.0129999999999999</v>
      </c>
      <c r="D551" s="228">
        <v>1.0149999999999999</v>
      </c>
      <c r="E551" s="228">
        <v>1.012</v>
      </c>
      <c r="F551" s="231" t="s">
        <v>1976</v>
      </c>
    </row>
    <row r="552" spans="1:6" ht="32.25" customHeight="1" x14ac:dyDescent="0.15">
      <c r="A552" s="232" t="s">
        <v>983</v>
      </c>
      <c r="B552" s="228">
        <v>1.006</v>
      </c>
      <c r="C552" s="228">
        <v>1.004</v>
      </c>
      <c r="D552" s="228">
        <v>1.0049999999999999</v>
      </c>
      <c r="E552" s="228">
        <v>1.0049999999999999</v>
      </c>
      <c r="F552" s="231">
        <v>984</v>
      </c>
    </row>
    <row r="553" spans="1:6" ht="32.25" customHeight="1" x14ac:dyDescent="0.15">
      <c r="A553" s="232" t="s">
        <v>984</v>
      </c>
      <c r="B553" s="228">
        <v>1.0569999999999999</v>
      </c>
      <c r="C553" s="228">
        <v>1.024</v>
      </c>
      <c r="D553" s="228">
        <v>1.018</v>
      </c>
      <c r="E553" s="228">
        <v>1.0469999999999999</v>
      </c>
      <c r="F553" s="231" t="s">
        <v>1129</v>
      </c>
    </row>
    <row r="554" spans="1:6" ht="32.25" customHeight="1" x14ac:dyDescent="0.15">
      <c r="A554" s="232" t="s">
        <v>985</v>
      </c>
      <c r="B554" s="228">
        <v>1.012</v>
      </c>
      <c r="C554" s="228">
        <v>1.014</v>
      </c>
      <c r="D554" s="228">
        <v>1.014</v>
      </c>
      <c r="E554" s="228">
        <v>1.0109999999999999</v>
      </c>
      <c r="F554" s="231">
        <v>951</v>
      </c>
    </row>
    <row r="555" spans="1:6" ht="32.25" customHeight="1" x14ac:dyDescent="0.15">
      <c r="A555" s="232" t="s">
        <v>986</v>
      </c>
      <c r="B555" s="228">
        <v>1.002</v>
      </c>
      <c r="C555" s="228">
        <v>1.002</v>
      </c>
      <c r="D555" s="228">
        <v>1.002</v>
      </c>
      <c r="E555" s="228">
        <v>1.0049999999999999</v>
      </c>
      <c r="F555" s="231">
        <v>402</v>
      </c>
    </row>
    <row r="556" spans="1:6" ht="32.25" customHeight="1" x14ac:dyDescent="0.15">
      <c r="A556" s="232" t="s">
        <v>987</v>
      </c>
      <c r="B556" s="228">
        <v>1.008</v>
      </c>
      <c r="C556" s="228">
        <v>1.01</v>
      </c>
      <c r="D556" s="228">
        <v>1.012</v>
      </c>
      <c r="E556" s="228">
        <v>1.0069999999999999</v>
      </c>
      <c r="F556" s="231" t="s">
        <v>1130</v>
      </c>
    </row>
    <row r="557" spans="1:6" ht="32.25" customHeight="1" x14ac:dyDescent="0.15">
      <c r="A557" s="232" t="s">
        <v>988</v>
      </c>
      <c r="B557" s="228">
        <v>1.002</v>
      </c>
      <c r="C557" s="228">
        <v>1.002</v>
      </c>
      <c r="D557" s="228">
        <v>1.002</v>
      </c>
      <c r="E557" s="228">
        <v>1.002</v>
      </c>
      <c r="F557" s="231" t="s">
        <v>1131</v>
      </c>
    </row>
    <row r="558" spans="1:6" ht="32.25" customHeight="1" x14ac:dyDescent="0.15">
      <c r="A558" s="232" t="s">
        <v>989</v>
      </c>
      <c r="B558" s="228">
        <v>1.0309999999999999</v>
      </c>
      <c r="C558" s="228">
        <v>1.0289999999999999</v>
      </c>
      <c r="D558" s="228">
        <v>1.028</v>
      </c>
      <c r="E558" s="228">
        <v>1.04</v>
      </c>
      <c r="F558" s="231">
        <v>644</v>
      </c>
    </row>
    <row r="559" spans="1:6" ht="32.25" customHeight="1" x14ac:dyDescent="0.15">
      <c r="A559" s="232" t="s">
        <v>990</v>
      </c>
      <c r="B559" s="228">
        <v>1.0269999999999999</v>
      </c>
      <c r="C559" s="228">
        <v>1.02</v>
      </c>
      <c r="D559" s="228">
        <v>1.0229999999999999</v>
      </c>
      <c r="E559" s="228">
        <v>1.0249999999999999</v>
      </c>
      <c r="F559" s="231" t="s">
        <v>1132</v>
      </c>
    </row>
    <row r="560" spans="1:6" ht="32.25" customHeight="1" x14ac:dyDescent="0.15">
      <c r="A560" s="232" t="s">
        <v>991</v>
      </c>
      <c r="B560" s="228">
        <v>1.0209999999999999</v>
      </c>
      <c r="C560" s="228">
        <v>1.0229999999999999</v>
      </c>
      <c r="D560" s="228">
        <v>1.026</v>
      </c>
      <c r="E560" s="228">
        <v>1.0189999999999999</v>
      </c>
      <c r="F560" s="231">
        <v>744</v>
      </c>
    </row>
    <row r="561" spans="1:6" ht="32.25" customHeight="1" x14ac:dyDescent="0.15">
      <c r="A561" s="232" t="s">
        <v>992</v>
      </c>
      <c r="B561" s="228">
        <v>1.026</v>
      </c>
      <c r="C561" s="228">
        <v>1.0149999999999999</v>
      </c>
      <c r="D561" s="228">
        <v>0.997</v>
      </c>
      <c r="E561" s="228">
        <v>1.0229999999999999</v>
      </c>
      <c r="F561" s="231">
        <v>986</v>
      </c>
    </row>
    <row r="562" spans="1:6" ht="32.25" customHeight="1" x14ac:dyDescent="0.15">
      <c r="A562" s="232" t="s">
        <v>994</v>
      </c>
      <c r="B562" s="228">
        <v>1.01</v>
      </c>
      <c r="C562" s="228">
        <v>1.01</v>
      </c>
      <c r="D562" s="228">
        <v>1.0089999999999999</v>
      </c>
      <c r="E562" s="228">
        <v>1.008</v>
      </c>
      <c r="F562" s="231">
        <v>976</v>
      </c>
    </row>
    <row r="563" spans="1:6" ht="32.25" customHeight="1" x14ac:dyDescent="0.15">
      <c r="A563" s="232" t="s">
        <v>995</v>
      </c>
      <c r="B563" s="228">
        <v>1.081</v>
      </c>
      <c r="C563" s="228">
        <v>1.093</v>
      </c>
      <c r="D563" s="228">
        <v>1.0900000000000001</v>
      </c>
      <c r="E563" s="228">
        <v>1.071</v>
      </c>
      <c r="F563" s="231" t="s">
        <v>1133</v>
      </c>
    </row>
    <row r="564" spans="1:6" ht="32.25" customHeight="1" x14ac:dyDescent="0.15">
      <c r="A564" s="232" t="s">
        <v>996</v>
      </c>
      <c r="B564" s="228">
        <v>1.022</v>
      </c>
      <c r="C564" s="228">
        <v>1.02</v>
      </c>
      <c r="D564" s="228">
        <v>1.018</v>
      </c>
      <c r="E564" s="228">
        <v>1.0169999999999999</v>
      </c>
      <c r="F564" s="231">
        <v>749</v>
      </c>
    </row>
    <row r="565" spans="1:6" ht="32.25" customHeight="1" x14ac:dyDescent="0.15">
      <c r="A565" s="232" t="s">
        <v>997</v>
      </c>
      <c r="B565" s="228">
        <v>1.014</v>
      </c>
      <c r="C565" s="228">
        <v>1.014</v>
      </c>
      <c r="D565" s="228">
        <v>1.014</v>
      </c>
      <c r="E565" s="228">
        <v>1.012</v>
      </c>
      <c r="F565" s="231" t="s">
        <v>1134</v>
      </c>
    </row>
    <row r="566" spans="1:6" ht="32.25" customHeight="1" x14ac:dyDescent="0.15">
      <c r="A566" s="232" t="s">
        <v>998</v>
      </c>
      <c r="B566" s="228">
        <v>1.016</v>
      </c>
      <c r="C566" s="228">
        <v>1.0149999999999999</v>
      </c>
      <c r="D566" s="228">
        <v>1.012</v>
      </c>
      <c r="E566" s="228">
        <v>1.0109999999999999</v>
      </c>
      <c r="F566" s="231">
        <v>933</v>
      </c>
    </row>
    <row r="567" spans="1:6" ht="32.25" customHeight="1" x14ac:dyDescent="0.15">
      <c r="A567" s="232" t="s">
        <v>999</v>
      </c>
      <c r="B567" s="228">
        <v>1.022</v>
      </c>
      <c r="C567" s="228">
        <v>1.0169999999999999</v>
      </c>
      <c r="D567" s="228">
        <v>1.016</v>
      </c>
      <c r="E567" s="228">
        <v>1.0189999999999999</v>
      </c>
      <c r="F567" s="231" t="s">
        <v>1135</v>
      </c>
    </row>
    <row r="568" spans="1:6" ht="32.25" customHeight="1" x14ac:dyDescent="0.15">
      <c r="A568" s="232" t="s">
        <v>1000</v>
      </c>
      <c r="B568" s="228">
        <v>1.0069999999999999</v>
      </c>
      <c r="C568" s="228">
        <v>1.004</v>
      </c>
      <c r="D568" s="228">
        <v>1.002</v>
      </c>
      <c r="E568" s="228">
        <v>1.0049999999999999</v>
      </c>
      <c r="F568" s="231" t="s">
        <v>1136</v>
      </c>
    </row>
    <row r="569" spans="1:6" ht="32.25" customHeight="1" x14ac:dyDescent="0.15">
      <c r="A569" s="232" t="s">
        <v>1001</v>
      </c>
      <c r="B569" s="228">
        <v>1.016</v>
      </c>
      <c r="C569" s="228">
        <v>1.0149999999999999</v>
      </c>
      <c r="D569" s="228">
        <v>1.012</v>
      </c>
      <c r="E569" s="228">
        <v>1.0109999999999999</v>
      </c>
      <c r="F569" s="231">
        <v>933</v>
      </c>
    </row>
    <row r="570" spans="1:6" ht="32.25" customHeight="1" x14ac:dyDescent="0.15">
      <c r="A570" s="232" t="s">
        <v>1002</v>
      </c>
      <c r="B570" s="228">
        <v>1.02</v>
      </c>
      <c r="C570" s="228">
        <v>1.0109999999999999</v>
      </c>
      <c r="D570" s="228">
        <v>1.014</v>
      </c>
      <c r="E570" s="228">
        <v>1.02</v>
      </c>
      <c r="F570" s="231" t="s">
        <v>1137</v>
      </c>
    </row>
    <row r="571" spans="1:6" ht="32.25" customHeight="1" x14ac:dyDescent="0.15">
      <c r="A571" s="232" t="s">
        <v>1003</v>
      </c>
      <c r="B571" s="228">
        <v>1.0009999999999999</v>
      </c>
      <c r="C571" s="228">
        <v>0.99199999999999999</v>
      </c>
      <c r="D571" s="228">
        <v>0.98799999999999999</v>
      </c>
      <c r="E571" s="228">
        <v>1</v>
      </c>
      <c r="F571" s="231" t="s">
        <v>1138</v>
      </c>
    </row>
    <row r="572" spans="1:6" ht="32.25" customHeight="1" x14ac:dyDescent="0.15">
      <c r="A572" s="232" t="s">
        <v>1004</v>
      </c>
      <c r="B572" s="228">
        <v>1.016</v>
      </c>
      <c r="C572" s="228">
        <v>1.0149999999999999</v>
      </c>
      <c r="D572" s="228">
        <v>1.012</v>
      </c>
      <c r="E572" s="228">
        <v>1.0109999999999999</v>
      </c>
      <c r="F572" s="231">
        <v>933</v>
      </c>
    </row>
    <row r="573" spans="1:6" ht="32.25" customHeight="1" x14ac:dyDescent="0.15">
      <c r="A573" s="232" t="s">
        <v>1005</v>
      </c>
      <c r="B573" s="228">
        <v>1.0149999999999999</v>
      </c>
      <c r="C573" s="228">
        <v>1.014</v>
      </c>
      <c r="D573" s="228">
        <v>1.0129999999999999</v>
      </c>
      <c r="E573" s="228">
        <v>1.012</v>
      </c>
      <c r="F573" s="231">
        <v>638</v>
      </c>
    </row>
    <row r="574" spans="1:6" ht="32.25" customHeight="1" x14ac:dyDescent="0.15">
      <c r="A574" s="232" t="s">
        <v>1006</v>
      </c>
      <c r="B574" s="228">
        <v>1.0089999999999999</v>
      </c>
      <c r="C574" s="228">
        <v>1.006</v>
      </c>
      <c r="D574" s="228">
        <v>1.0069999999999999</v>
      </c>
      <c r="E574" s="228">
        <v>1.0129999999999999</v>
      </c>
      <c r="F574" s="231">
        <v>643</v>
      </c>
    </row>
    <row r="575" spans="1:6" ht="32.25" customHeight="1" x14ac:dyDescent="0.15">
      <c r="A575" s="232" t="s">
        <v>1007</v>
      </c>
      <c r="B575" s="228">
        <v>1.026</v>
      </c>
      <c r="C575" s="228">
        <v>1.0209999999999999</v>
      </c>
      <c r="D575" s="228">
        <v>1.0189999999999999</v>
      </c>
      <c r="E575" s="228">
        <v>1.0329999999999999</v>
      </c>
      <c r="F575" s="231">
        <v>981</v>
      </c>
    </row>
    <row r="576" spans="1:6" ht="32.25" customHeight="1" x14ac:dyDescent="0.15">
      <c r="A576" s="232" t="s">
        <v>1008</v>
      </c>
      <c r="B576" s="228">
        <v>1.02</v>
      </c>
      <c r="C576" s="228">
        <v>0.99299999999999999</v>
      </c>
      <c r="D576" s="228">
        <v>0.98799999999999999</v>
      </c>
      <c r="E576" s="228">
        <v>1.018</v>
      </c>
      <c r="F576" s="231">
        <v>988</v>
      </c>
    </row>
    <row r="577" spans="1:6" ht="32.25" customHeight="1" x14ac:dyDescent="0.15">
      <c r="A577" s="232" t="s">
        <v>1009</v>
      </c>
      <c r="B577" s="228">
        <v>1.0249999999999999</v>
      </c>
      <c r="C577" s="228">
        <v>1.02</v>
      </c>
      <c r="D577" s="228">
        <v>1.02</v>
      </c>
      <c r="E577" s="228">
        <v>1.0209999999999999</v>
      </c>
      <c r="F577" s="231">
        <v>992</v>
      </c>
    </row>
    <row r="578" spans="1:6" ht="32.25" customHeight="1" x14ac:dyDescent="0.15">
      <c r="A578" s="232" t="s">
        <v>1010</v>
      </c>
      <c r="B578" s="228">
        <v>1.0369999999999999</v>
      </c>
      <c r="C578" s="228">
        <v>1.038</v>
      </c>
      <c r="D578" s="228">
        <v>1.038</v>
      </c>
      <c r="E578" s="228">
        <v>1.034</v>
      </c>
      <c r="F578" s="231">
        <v>950</v>
      </c>
    </row>
    <row r="579" spans="1:6" ht="32.25" customHeight="1" x14ac:dyDescent="0.15">
      <c r="A579" s="232" t="s">
        <v>1012</v>
      </c>
      <c r="B579" s="228">
        <v>1.0169999999999999</v>
      </c>
      <c r="C579" s="228">
        <v>1.014</v>
      </c>
      <c r="D579" s="228">
        <v>1.0129999999999999</v>
      </c>
      <c r="E579" s="228">
        <v>1.014</v>
      </c>
      <c r="F579" s="231" t="s">
        <v>1139</v>
      </c>
    </row>
    <row r="580" spans="1:6" ht="32.25" customHeight="1" x14ac:dyDescent="0.15">
      <c r="A580" s="232" t="s">
        <v>1013</v>
      </c>
      <c r="B580" s="228">
        <v>1.04</v>
      </c>
      <c r="C580" s="228">
        <v>1.0329999999999999</v>
      </c>
      <c r="D580" s="228">
        <v>1.0309999999999999</v>
      </c>
      <c r="E580" s="228">
        <v>1.032</v>
      </c>
      <c r="F580" s="231" t="s">
        <v>1140</v>
      </c>
    </row>
    <row r="581" spans="1:6" ht="32.25" customHeight="1" x14ac:dyDescent="0.15">
      <c r="A581" s="232" t="s">
        <v>1014</v>
      </c>
      <c r="B581" s="228">
        <v>1.016</v>
      </c>
      <c r="C581" s="228">
        <v>1.0149999999999999</v>
      </c>
      <c r="D581" s="228">
        <v>1.012</v>
      </c>
      <c r="E581" s="228">
        <v>1.0109999999999999</v>
      </c>
      <c r="F581" s="231">
        <v>933</v>
      </c>
    </row>
    <row r="582" spans="1:6" ht="32.25" customHeight="1" x14ac:dyDescent="0.15">
      <c r="A582" s="232" t="s">
        <v>1015</v>
      </c>
      <c r="B582" s="228">
        <v>1.016</v>
      </c>
      <c r="C582" s="228">
        <v>1.0149999999999999</v>
      </c>
      <c r="D582" s="228">
        <v>1.012</v>
      </c>
      <c r="E582" s="228">
        <v>1.0109999999999999</v>
      </c>
      <c r="F582" s="231">
        <v>933</v>
      </c>
    </row>
    <row r="583" spans="1:6" ht="32.25" customHeight="1" x14ac:dyDescent="0.15">
      <c r="A583" s="232" t="s">
        <v>1016</v>
      </c>
      <c r="B583" s="228">
        <v>1.016</v>
      </c>
      <c r="C583" s="228">
        <v>1.0149999999999999</v>
      </c>
      <c r="D583" s="228">
        <v>1.012</v>
      </c>
      <c r="E583" s="228">
        <v>1.0109999999999999</v>
      </c>
      <c r="F583" s="231">
        <v>933</v>
      </c>
    </row>
    <row r="584" spans="1:6" ht="32.25" customHeight="1" x14ac:dyDescent="0.15">
      <c r="A584" s="232" t="s">
        <v>1017</v>
      </c>
      <c r="B584" s="228">
        <v>1.016</v>
      </c>
      <c r="C584" s="228">
        <v>1.0149999999999999</v>
      </c>
      <c r="D584" s="228">
        <v>1.012</v>
      </c>
      <c r="E584" s="228">
        <v>1.0109999999999999</v>
      </c>
      <c r="F584" s="231">
        <v>933</v>
      </c>
    </row>
    <row r="585" spans="1:6" ht="32.25" customHeight="1" x14ac:dyDescent="0.15">
      <c r="A585" s="232" t="s">
        <v>1018</v>
      </c>
      <c r="B585" s="228">
        <v>1.016</v>
      </c>
      <c r="C585" s="228">
        <v>1.0149999999999999</v>
      </c>
      <c r="D585" s="228">
        <v>1.012</v>
      </c>
      <c r="E585" s="228">
        <v>1.0109999999999999</v>
      </c>
      <c r="F585" s="231">
        <v>933</v>
      </c>
    </row>
    <row r="586" spans="1:6" ht="32.25" customHeight="1" x14ac:dyDescent="0.15">
      <c r="A586" s="232" t="s">
        <v>1019</v>
      </c>
      <c r="B586" s="228">
        <v>1.016</v>
      </c>
      <c r="C586" s="228">
        <v>1.0149999999999999</v>
      </c>
      <c r="D586" s="228">
        <v>1.012</v>
      </c>
      <c r="E586" s="228">
        <v>1.0109999999999999</v>
      </c>
      <c r="F586" s="231">
        <v>933</v>
      </c>
    </row>
    <row r="587" spans="1:6" ht="32.25" customHeight="1" x14ac:dyDescent="0.15">
      <c r="A587" s="232" t="s">
        <v>1020</v>
      </c>
      <c r="B587" s="228">
        <v>1.0049999999999999</v>
      </c>
      <c r="C587" s="228">
        <v>1.004</v>
      </c>
      <c r="D587" s="228">
        <v>1.0029999999999999</v>
      </c>
      <c r="E587" s="228">
        <v>1.0029999999999999</v>
      </c>
      <c r="F587" s="231">
        <v>935</v>
      </c>
    </row>
    <row r="588" spans="1:6" ht="32.25" customHeight="1" x14ac:dyDescent="0.15">
      <c r="A588" s="232" t="s">
        <v>1021</v>
      </c>
      <c r="B588" s="228">
        <v>1.016</v>
      </c>
      <c r="C588" s="228">
        <v>1.0149999999999999</v>
      </c>
      <c r="D588" s="228">
        <v>1.012</v>
      </c>
      <c r="E588" s="228">
        <v>1.0109999999999999</v>
      </c>
      <c r="F588" s="231">
        <v>933</v>
      </c>
    </row>
    <row r="589" spans="1:6" ht="32.25" customHeight="1" x14ac:dyDescent="0.15">
      <c r="A589" s="232" t="s">
        <v>1022</v>
      </c>
      <c r="B589" s="228">
        <v>1.016</v>
      </c>
      <c r="C589" s="228">
        <v>1.0149999999999999</v>
      </c>
      <c r="D589" s="228">
        <v>1.012</v>
      </c>
      <c r="E589" s="228">
        <v>1.0109999999999999</v>
      </c>
      <c r="F589" s="231">
        <v>7373</v>
      </c>
    </row>
    <row r="590" spans="1:6" ht="32.25" customHeight="1" x14ac:dyDescent="0.15">
      <c r="A590" s="232" t="s">
        <v>1023</v>
      </c>
      <c r="B590" s="228">
        <v>1.016</v>
      </c>
      <c r="C590" s="228">
        <v>1.0149999999999999</v>
      </c>
      <c r="D590" s="228">
        <v>1.012</v>
      </c>
      <c r="E590" s="228">
        <v>1.0109999999999999</v>
      </c>
      <c r="F590" s="231">
        <v>933</v>
      </c>
    </row>
    <row r="591" spans="1:6" ht="32.25" customHeight="1" x14ac:dyDescent="0.15">
      <c r="A591" s="232" t="s">
        <v>1024</v>
      </c>
      <c r="B591" s="228">
        <v>1.0049999999999999</v>
      </c>
      <c r="C591" s="228">
        <v>1.004</v>
      </c>
      <c r="D591" s="228">
        <v>1.0029999999999999</v>
      </c>
      <c r="E591" s="228">
        <v>1.0029999999999999</v>
      </c>
      <c r="F591" s="231">
        <v>935</v>
      </c>
    </row>
    <row r="592" spans="1:6" ht="32.25" customHeight="1" x14ac:dyDescent="0.15">
      <c r="A592" s="232" t="s">
        <v>1025</v>
      </c>
      <c r="B592" s="228">
        <v>1.016</v>
      </c>
      <c r="C592" s="228">
        <v>1.0149999999999999</v>
      </c>
      <c r="D592" s="228">
        <v>1.012</v>
      </c>
      <c r="E592" s="228">
        <v>1.0109999999999999</v>
      </c>
      <c r="F592" s="231">
        <v>933</v>
      </c>
    </row>
    <row r="593" spans="1:6" ht="32.25" customHeight="1" x14ac:dyDescent="0.15">
      <c r="A593" s="232" t="s">
        <v>1026</v>
      </c>
      <c r="B593" s="228">
        <v>1.016</v>
      </c>
      <c r="C593" s="228">
        <v>1.0149999999999999</v>
      </c>
      <c r="D593" s="228">
        <v>1.012</v>
      </c>
      <c r="E593" s="228">
        <v>1.0109999999999999</v>
      </c>
      <c r="F593" s="231">
        <v>933</v>
      </c>
    </row>
    <row r="594" spans="1:6" ht="32.25" customHeight="1" x14ac:dyDescent="0.15">
      <c r="A594" s="232" t="s">
        <v>1027</v>
      </c>
      <c r="B594" s="228">
        <v>1.0089999999999999</v>
      </c>
      <c r="C594" s="228">
        <v>1.0089999999999999</v>
      </c>
      <c r="D594" s="228">
        <v>1.0089999999999999</v>
      </c>
      <c r="E594" s="228">
        <v>1.0069999999999999</v>
      </c>
      <c r="F594" s="231" t="s">
        <v>1141</v>
      </c>
    </row>
    <row r="595" spans="1:6" ht="32.25" customHeight="1" x14ac:dyDescent="0.15">
      <c r="A595" s="232" t="s">
        <v>1028</v>
      </c>
      <c r="B595" s="228">
        <v>1.016</v>
      </c>
      <c r="C595" s="228">
        <v>1.0149999999999999</v>
      </c>
      <c r="D595" s="228">
        <v>1.012</v>
      </c>
      <c r="E595" s="228">
        <v>1.0109999999999999</v>
      </c>
      <c r="F595" s="231">
        <v>933</v>
      </c>
    </row>
    <row r="596" spans="1:6" ht="32.25" customHeight="1" x14ac:dyDescent="0.15">
      <c r="A596" s="232" t="s">
        <v>1029</v>
      </c>
      <c r="B596" s="228">
        <v>1.016</v>
      </c>
      <c r="C596" s="228">
        <v>1.0149999999999999</v>
      </c>
      <c r="D596" s="228">
        <v>1.012</v>
      </c>
      <c r="E596" s="228">
        <v>1.0109999999999999</v>
      </c>
      <c r="F596" s="231">
        <v>933</v>
      </c>
    </row>
    <row r="597" spans="1:6" ht="32.25" customHeight="1" x14ac:dyDescent="0.15">
      <c r="A597" s="232" t="s">
        <v>1030</v>
      </c>
      <c r="B597" s="228">
        <v>1.0269999999999999</v>
      </c>
      <c r="C597" s="228">
        <v>1.0269999999999999</v>
      </c>
      <c r="D597" s="228">
        <v>1.0329999999999999</v>
      </c>
      <c r="E597" s="228">
        <v>1.024</v>
      </c>
      <c r="F597" s="231" t="s">
        <v>1142</v>
      </c>
    </row>
    <row r="598" spans="1:6" ht="32.25" customHeight="1" x14ac:dyDescent="0.15">
      <c r="A598" s="232" t="s">
        <v>1032</v>
      </c>
      <c r="B598" s="228">
        <v>1.016</v>
      </c>
      <c r="C598" s="228">
        <v>1.0149999999999999</v>
      </c>
      <c r="D598" s="228">
        <v>1.012</v>
      </c>
      <c r="E598" s="228">
        <v>1.0109999999999999</v>
      </c>
      <c r="F598" s="231">
        <v>933</v>
      </c>
    </row>
    <row r="599" spans="1:6" ht="32.25" customHeight="1" x14ac:dyDescent="0.15">
      <c r="A599" s="232" t="s">
        <v>1033</v>
      </c>
      <c r="B599" s="228">
        <v>1.016</v>
      </c>
      <c r="C599" s="228">
        <v>1.0149999999999999</v>
      </c>
      <c r="D599" s="228">
        <v>1.012</v>
      </c>
      <c r="E599" s="228">
        <v>1.0109999999999999</v>
      </c>
      <c r="F599" s="231">
        <v>933</v>
      </c>
    </row>
    <row r="600" spans="1:6" ht="32.25" customHeight="1" x14ac:dyDescent="0.15">
      <c r="A600" s="232" t="s">
        <v>1034</v>
      </c>
      <c r="B600" s="228">
        <v>1.022</v>
      </c>
      <c r="C600" s="228">
        <v>1.02</v>
      </c>
      <c r="D600" s="228">
        <v>1.018</v>
      </c>
      <c r="E600" s="228">
        <v>1.0169999999999999</v>
      </c>
      <c r="F600" s="231">
        <v>749</v>
      </c>
    </row>
    <row r="601" spans="1:6" ht="32.25" customHeight="1" x14ac:dyDescent="0.15">
      <c r="A601" s="232" t="s">
        <v>1035</v>
      </c>
      <c r="B601" s="228">
        <v>1.006</v>
      </c>
      <c r="C601" s="228">
        <v>1.0029999999999999</v>
      </c>
      <c r="D601" s="228">
        <v>1.002</v>
      </c>
      <c r="E601" s="228">
        <v>1.0049999999999999</v>
      </c>
      <c r="F601" s="231" t="s">
        <v>1143</v>
      </c>
    </row>
    <row r="602" spans="1:6" ht="32.25" customHeight="1" x14ac:dyDescent="0.15">
      <c r="A602" s="232" t="s">
        <v>1036</v>
      </c>
      <c r="B602" s="228">
        <v>1.0169999999999999</v>
      </c>
      <c r="C602" s="228">
        <v>1.0129999999999999</v>
      </c>
      <c r="D602" s="228">
        <v>1.0109999999999999</v>
      </c>
      <c r="E602" s="228">
        <v>1.014</v>
      </c>
      <c r="F602" s="231" t="s">
        <v>1144</v>
      </c>
    </row>
    <row r="603" spans="1:6" ht="32.25" customHeight="1" x14ac:dyDescent="0.15">
      <c r="A603" s="232" t="s">
        <v>1037</v>
      </c>
      <c r="B603" s="228">
        <v>1.016</v>
      </c>
      <c r="C603" s="228">
        <v>1.0149999999999999</v>
      </c>
      <c r="D603" s="228">
        <v>1.012</v>
      </c>
      <c r="E603" s="228">
        <v>1.0109999999999999</v>
      </c>
      <c r="F603" s="231">
        <v>933</v>
      </c>
    </row>
    <row r="604" spans="1:6" ht="32.25" customHeight="1" x14ac:dyDescent="0.15">
      <c r="A604" s="232" t="s">
        <v>1038</v>
      </c>
      <c r="B604" s="228">
        <v>1.0049999999999999</v>
      </c>
      <c r="C604" s="228">
        <v>1.004</v>
      </c>
      <c r="D604" s="228">
        <v>1.0029999999999999</v>
      </c>
      <c r="E604" s="228">
        <v>1.0029999999999999</v>
      </c>
      <c r="F604" s="231">
        <v>935</v>
      </c>
    </row>
    <row r="605" spans="1:6" ht="32.25" customHeight="1" x14ac:dyDescent="0.15">
      <c r="A605" s="232" t="s">
        <v>1039</v>
      </c>
      <c r="B605" s="228">
        <v>1.016</v>
      </c>
      <c r="C605" s="228">
        <v>1.0149999999999999</v>
      </c>
      <c r="D605" s="228">
        <v>1.012</v>
      </c>
      <c r="E605" s="228">
        <v>1.0109999999999999</v>
      </c>
      <c r="F605" s="231">
        <v>933</v>
      </c>
    </row>
    <row r="606" spans="1:6" ht="32.25" customHeight="1" x14ac:dyDescent="0.15">
      <c r="A606" s="232" t="s">
        <v>1040</v>
      </c>
      <c r="B606" s="228">
        <v>1.016</v>
      </c>
      <c r="C606" s="228">
        <v>1.0149999999999999</v>
      </c>
      <c r="D606" s="228">
        <v>1.012</v>
      </c>
      <c r="E606" s="228">
        <v>1.0109999999999999</v>
      </c>
      <c r="F606" s="231">
        <v>933</v>
      </c>
    </row>
    <row r="607" spans="1:6" ht="32.25" customHeight="1" x14ac:dyDescent="0.15">
      <c r="A607" s="232" t="s">
        <v>1041</v>
      </c>
      <c r="B607" s="228">
        <v>1.016</v>
      </c>
      <c r="C607" s="228">
        <v>1.0149999999999999</v>
      </c>
      <c r="D607" s="228">
        <v>1.012</v>
      </c>
      <c r="E607" s="228">
        <v>1.0109999999999999</v>
      </c>
      <c r="F607" s="231">
        <v>933</v>
      </c>
    </row>
    <row r="608" spans="1:6" ht="32.25" customHeight="1" x14ac:dyDescent="0.15">
      <c r="A608" s="232" t="s">
        <v>1042</v>
      </c>
      <c r="B608" s="228">
        <v>1.016</v>
      </c>
      <c r="C608" s="228">
        <v>1.0149999999999999</v>
      </c>
      <c r="D608" s="228">
        <v>1.012</v>
      </c>
      <c r="E608" s="228">
        <v>1.0109999999999999</v>
      </c>
      <c r="F608" s="231">
        <v>933</v>
      </c>
    </row>
    <row r="609" spans="1:6" ht="32.25" customHeight="1" x14ac:dyDescent="0.15">
      <c r="A609" s="232" t="s">
        <v>1043</v>
      </c>
      <c r="B609" s="228">
        <v>1.016</v>
      </c>
      <c r="C609" s="228">
        <v>1.0149999999999999</v>
      </c>
      <c r="D609" s="228">
        <v>1.012</v>
      </c>
      <c r="E609" s="228">
        <v>1.0109999999999999</v>
      </c>
      <c r="F609" s="231">
        <v>933</v>
      </c>
    </row>
    <row r="610" spans="1:6" ht="32.25" customHeight="1" x14ac:dyDescent="0.15">
      <c r="A610" s="232" t="s">
        <v>1044</v>
      </c>
      <c r="B610" s="228">
        <v>1.0049999999999999</v>
      </c>
      <c r="C610" s="228">
        <v>1.004</v>
      </c>
      <c r="D610" s="228">
        <v>1.0029999999999999</v>
      </c>
      <c r="E610" s="228">
        <v>1.0029999999999999</v>
      </c>
      <c r="F610" s="231">
        <v>935</v>
      </c>
    </row>
    <row r="611" spans="1:6" ht="32.25" customHeight="1" x14ac:dyDescent="0.15">
      <c r="A611" s="232" t="s">
        <v>1045</v>
      </c>
      <c r="B611" s="228">
        <v>1.0049999999999999</v>
      </c>
      <c r="C611" s="228">
        <v>1.004</v>
      </c>
      <c r="D611" s="228">
        <v>1.0029999999999999</v>
      </c>
      <c r="E611" s="228">
        <v>1.0029999999999999</v>
      </c>
      <c r="F611" s="231">
        <v>935</v>
      </c>
    </row>
    <row r="612" spans="1:6" ht="32.25" customHeight="1" x14ac:dyDescent="0.15">
      <c r="A612" s="232" t="s">
        <v>1047</v>
      </c>
      <c r="B612" s="228">
        <v>1.016</v>
      </c>
      <c r="C612" s="228">
        <v>1.0149999999999999</v>
      </c>
      <c r="D612" s="228">
        <v>1.012</v>
      </c>
      <c r="E612" s="228">
        <v>1.0109999999999999</v>
      </c>
      <c r="F612" s="231">
        <v>933</v>
      </c>
    </row>
    <row r="613" spans="1:6" ht="32.25" customHeight="1" x14ac:dyDescent="0.15">
      <c r="A613" s="232" t="s">
        <v>1048</v>
      </c>
      <c r="B613" s="228">
        <v>1.0049999999999999</v>
      </c>
      <c r="C613" s="228">
        <v>1.004</v>
      </c>
      <c r="D613" s="228">
        <v>1.0029999999999999</v>
      </c>
      <c r="E613" s="228">
        <v>1.0029999999999999</v>
      </c>
      <c r="F613" s="231">
        <v>935</v>
      </c>
    </row>
    <row r="614" spans="1:6" ht="32.25" customHeight="1" x14ac:dyDescent="0.15">
      <c r="A614" s="232" t="s">
        <v>1049</v>
      </c>
      <c r="B614" s="228">
        <v>1.016</v>
      </c>
      <c r="C614" s="228">
        <v>1.0149999999999999</v>
      </c>
      <c r="D614" s="228">
        <v>1.012</v>
      </c>
      <c r="E614" s="228">
        <v>1.0109999999999999</v>
      </c>
      <c r="F614" s="231">
        <v>933</v>
      </c>
    </row>
    <row r="615" spans="1:6" ht="32.25" customHeight="1" x14ac:dyDescent="0.15">
      <c r="A615" s="232" t="s">
        <v>1050</v>
      </c>
      <c r="B615" s="228">
        <v>1.016</v>
      </c>
      <c r="C615" s="228">
        <v>1.0149999999999999</v>
      </c>
      <c r="D615" s="228">
        <v>1.012</v>
      </c>
      <c r="E615" s="228">
        <v>1.0109999999999999</v>
      </c>
      <c r="F615" s="231">
        <v>933</v>
      </c>
    </row>
    <row r="616" spans="1:6" ht="32.25" customHeight="1" x14ac:dyDescent="0.15">
      <c r="A616" s="232" t="s">
        <v>1051</v>
      </c>
      <c r="B616" s="228">
        <v>1.016</v>
      </c>
      <c r="C616" s="228">
        <v>1.0149999999999999</v>
      </c>
      <c r="D616" s="228">
        <v>1.012</v>
      </c>
      <c r="E616" s="228">
        <v>1.0109999999999999</v>
      </c>
      <c r="F616" s="231">
        <v>933</v>
      </c>
    </row>
    <row r="617" spans="1:6" ht="32.25" customHeight="1" x14ac:dyDescent="0.15">
      <c r="A617" s="232" t="s">
        <v>1052</v>
      </c>
      <c r="B617" s="228">
        <v>1.016</v>
      </c>
      <c r="C617" s="228">
        <v>1.0149999999999999</v>
      </c>
      <c r="D617" s="228">
        <v>1.012</v>
      </c>
      <c r="E617" s="228">
        <v>1.0109999999999999</v>
      </c>
      <c r="F617" s="231">
        <v>933</v>
      </c>
    </row>
    <row r="618" spans="1:6" ht="32.25" customHeight="1" x14ac:dyDescent="0.15">
      <c r="A618" s="232" t="s">
        <v>1053</v>
      </c>
      <c r="B618" s="228">
        <v>1.016</v>
      </c>
      <c r="C618" s="228">
        <v>1.0149999999999999</v>
      </c>
      <c r="D618" s="228">
        <v>1.012</v>
      </c>
      <c r="E618" s="228">
        <v>1.0109999999999999</v>
      </c>
      <c r="F618" s="231">
        <v>933</v>
      </c>
    </row>
    <row r="619" spans="1:6" ht="32.25" customHeight="1" x14ac:dyDescent="0.15">
      <c r="A619" s="232" t="s">
        <v>1054</v>
      </c>
      <c r="B619" s="228">
        <v>1.0429999999999999</v>
      </c>
      <c r="C619" s="228">
        <v>1.042</v>
      </c>
      <c r="D619" s="228">
        <v>1.0449999999999999</v>
      </c>
      <c r="E619" s="228">
        <v>1.0409999999999999</v>
      </c>
      <c r="F619" s="231" t="s">
        <v>1978</v>
      </c>
    </row>
    <row r="620" spans="1:6" ht="32.25" customHeight="1" x14ac:dyDescent="0.15">
      <c r="A620" s="232" t="s">
        <v>1055</v>
      </c>
      <c r="B620" s="228">
        <v>1.016</v>
      </c>
      <c r="C620" s="228">
        <v>1.0149999999999999</v>
      </c>
      <c r="D620" s="228">
        <v>1.012</v>
      </c>
      <c r="E620" s="228">
        <v>1.0109999999999999</v>
      </c>
      <c r="F620" s="231">
        <v>933</v>
      </c>
    </row>
    <row r="621" spans="1:6" ht="32.25" customHeight="1" x14ac:dyDescent="0.15">
      <c r="A621" s="232" t="s">
        <v>1056</v>
      </c>
      <c r="B621" s="228">
        <v>1.016</v>
      </c>
      <c r="C621" s="228">
        <v>1.0149999999999999</v>
      </c>
      <c r="D621" s="228">
        <v>1.012</v>
      </c>
      <c r="E621" s="228">
        <v>1.0109999999999999</v>
      </c>
      <c r="F621" s="231">
        <v>933</v>
      </c>
    </row>
    <row r="622" spans="1:6" ht="32.25" customHeight="1" x14ac:dyDescent="0.15">
      <c r="A622" s="232" t="s">
        <v>1057</v>
      </c>
      <c r="B622" s="228">
        <v>1.016</v>
      </c>
      <c r="C622" s="228">
        <v>1.0149999999999999</v>
      </c>
      <c r="D622" s="228">
        <v>1.012</v>
      </c>
      <c r="E622" s="228">
        <v>1.0109999999999999</v>
      </c>
      <c r="F622" s="231">
        <v>933</v>
      </c>
    </row>
    <row r="623" spans="1:6" ht="32.25" customHeight="1" x14ac:dyDescent="0.15">
      <c r="A623" s="232" t="s">
        <v>1058</v>
      </c>
      <c r="B623" s="228">
        <v>1.022</v>
      </c>
      <c r="C623" s="228">
        <v>1.02</v>
      </c>
      <c r="D623" s="228">
        <v>1.018</v>
      </c>
      <c r="E623" s="228">
        <v>1.0169999999999999</v>
      </c>
      <c r="F623" s="231">
        <v>749</v>
      </c>
    </row>
    <row r="624" spans="1:6" ht="32.25" customHeight="1" x14ac:dyDescent="0.15">
      <c r="A624" s="232" t="s">
        <v>1059</v>
      </c>
      <c r="B624" s="228">
        <v>1.0049999999999999</v>
      </c>
      <c r="C624" s="228">
        <v>1.004</v>
      </c>
      <c r="D624" s="228">
        <v>1.0029999999999999</v>
      </c>
      <c r="E624" s="228">
        <v>1.0029999999999999</v>
      </c>
      <c r="F624" s="231">
        <v>933</v>
      </c>
    </row>
    <row r="625" spans="1:6" ht="32.25" customHeight="1" x14ac:dyDescent="0.15">
      <c r="A625" s="232" t="s">
        <v>1060</v>
      </c>
      <c r="B625" s="228">
        <v>1.016</v>
      </c>
      <c r="C625" s="228">
        <v>1.0149999999999999</v>
      </c>
      <c r="D625" s="228">
        <v>1.012</v>
      </c>
      <c r="E625" s="228">
        <v>1.0109999999999999</v>
      </c>
      <c r="F625" s="231">
        <v>933</v>
      </c>
    </row>
    <row r="626" spans="1:6" ht="32.25" customHeight="1" x14ac:dyDescent="0.15">
      <c r="A626" s="232" t="s">
        <v>1061</v>
      </c>
      <c r="B626" s="228">
        <v>1.016</v>
      </c>
      <c r="C626" s="228">
        <v>1.0149999999999999</v>
      </c>
      <c r="D626" s="228">
        <v>1.012</v>
      </c>
      <c r="E626" s="228">
        <v>1.0109999999999999</v>
      </c>
      <c r="F626" s="231">
        <v>933</v>
      </c>
    </row>
    <row r="627" spans="1:6" ht="32.25" customHeight="1" x14ac:dyDescent="0.15">
      <c r="A627" s="232" t="s">
        <v>1062</v>
      </c>
      <c r="B627" s="228">
        <v>1.016</v>
      </c>
      <c r="C627" s="228">
        <v>1.0149999999999999</v>
      </c>
      <c r="D627" s="228">
        <v>1.012</v>
      </c>
      <c r="E627" s="228">
        <v>1.0109999999999999</v>
      </c>
      <c r="F627" s="231">
        <v>933</v>
      </c>
    </row>
    <row r="628" spans="1:6" ht="32.25" customHeight="1" x14ac:dyDescent="0.15">
      <c r="A628" s="232" t="s">
        <v>1063</v>
      </c>
      <c r="B628" s="228">
        <v>1.016</v>
      </c>
      <c r="C628" s="228">
        <v>1.0149999999999999</v>
      </c>
      <c r="D628" s="228">
        <v>1.012</v>
      </c>
      <c r="E628" s="228">
        <v>1.0109999999999999</v>
      </c>
      <c r="F628" s="231">
        <v>933</v>
      </c>
    </row>
    <row r="629" spans="1:6" ht="32.25" customHeight="1" x14ac:dyDescent="0.15">
      <c r="A629" s="232" t="s">
        <v>1064</v>
      </c>
      <c r="B629" s="228">
        <v>1.022</v>
      </c>
      <c r="C629" s="228">
        <v>1.02</v>
      </c>
      <c r="D629" s="228">
        <v>1.018</v>
      </c>
      <c r="E629" s="228">
        <v>1.0169999999999999</v>
      </c>
      <c r="F629" s="231">
        <v>749</v>
      </c>
    </row>
    <row r="630" spans="1:6" ht="32.25" customHeight="1" x14ac:dyDescent="0.15">
      <c r="A630" s="232" t="s">
        <v>1065</v>
      </c>
      <c r="B630" s="228">
        <v>1.022</v>
      </c>
      <c r="C630" s="228">
        <v>1.02</v>
      </c>
      <c r="D630" s="228">
        <v>1.018</v>
      </c>
      <c r="E630" s="228">
        <v>1.0169999999999999</v>
      </c>
      <c r="F630" s="231">
        <v>749</v>
      </c>
    </row>
    <row r="631" spans="1:6" ht="32.25" customHeight="1" x14ac:dyDescent="0.15">
      <c r="A631" s="232" t="s">
        <v>1066</v>
      </c>
      <c r="B631" s="228">
        <v>1.022</v>
      </c>
      <c r="C631" s="228">
        <v>1.02</v>
      </c>
      <c r="D631" s="228">
        <v>1.018</v>
      </c>
      <c r="E631" s="228">
        <v>1.0169999999999999</v>
      </c>
      <c r="F631" s="231">
        <v>749</v>
      </c>
    </row>
    <row r="632" spans="1:6" ht="32.25" customHeight="1" x14ac:dyDescent="0.15">
      <c r="A632" s="232" t="s">
        <v>1067</v>
      </c>
      <c r="B632" s="228">
        <v>1.016</v>
      </c>
      <c r="C632" s="228">
        <v>1.0149999999999999</v>
      </c>
      <c r="D632" s="228">
        <v>1.012</v>
      </c>
      <c r="E632" s="228">
        <v>1.0109999999999999</v>
      </c>
      <c r="F632" s="231">
        <v>933</v>
      </c>
    </row>
    <row r="633" spans="1:6" ht="32.25" customHeight="1" x14ac:dyDescent="0.15">
      <c r="A633" s="232" t="s">
        <v>1068</v>
      </c>
      <c r="B633" s="228">
        <v>1.016</v>
      </c>
      <c r="C633" s="228">
        <v>1.0149999999999999</v>
      </c>
      <c r="D633" s="228">
        <v>1.012</v>
      </c>
      <c r="E633" s="228">
        <v>1.0109999999999999</v>
      </c>
      <c r="F633" s="231">
        <v>933</v>
      </c>
    </row>
    <row r="634" spans="1:6" ht="32.25" customHeight="1" x14ac:dyDescent="0.15">
      <c r="A634" s="232" t="s">
        <v>1069</v>
      </c>
      <c r="B634" s="228">
        <v>1.016</v>
      </c>
      <c r="C634" s="228">
        <v>1.0149999999999999</v>
      </c>
      <c r="D634" s="228">
        <v>1.012</v>
      </c>
      <c r="E634" s="228">
        <v>1.0109999999999999</v>
      </c>
      <c r="F634" s="231">
        <v>933</v>
      </c>
    </row>
    <row r="635" spans="1:6" ht="32.25" customHeight="1" x14ac:dyDescent="0.15">
      <c r="A635" s="232" t="s">
        <v>1070</v>
      </c>
      <c r="B635" s="228">
        <v>1.016</v>
      </c>
      <c r="C635" s="228">
        <v>1.0149999999999999</v>
      </c>
      <c r="D635" s="228">
        <v>1.012</v>
      </c>
      <c r="E635" s="228">
        <v>1.0109999999999999</v>
      </c>
      <c r="F635" s="231">
        <v>933</v>
      </c>
    </row>
    <row r="636" spans="1:6" ht="32.25" customHeight="1" x14ac:dyDescent="0.15">
      <c r="A636" s="232" t="s">
        <v>1071</v>
      </c>
      <c r="B636" s="228">
        <v>1.016</v>
      </c>
      <c r="C636" s="228">
        <v>1.0149999999999999</v>
      </c>
      <c r="D636" s="228">
        <v>1.012</v>
      </c>
      <c r="E636" s="228">
        <v>1.0109999999999999</v>
      </c>
      <c r="F636" s="231">
        <v>933</v>
      </c>
    </row>
    <row r="637" spans="1:6" ht="32.25" customHeight="1" x14ac:dyDescent="0.15">
      <c r="A637" s="232" t="s">
        <v>1072</v>
      </c>
      <c r="B637" s="228">
        <v>1.022</v>
      </c>
      <c r="C637" s="228">
        <v>1.02</v>
      </c>
      <c r="D637" s="228">
        <v>1.018</v>
      </c>
      <c r="E637" s="228">
        <v>1.0169999999999999</v>
      </c>
      <c r="F637" s="231">
        <v>749</v>
      </c>
    </row>
    <row r="638" spans="1:6" ht="32.25" customHeight="1" x14ac:dyDescent="0.15">
      <c r="A638" s="232" t="s">
        <v>1073</v>
      </c>
      <c r="B638" s="228">
        <v>1.022</v>
      </c>
      <c r="C638" s="228">
        <v>1.02</v>
      </c>
      <c r="D638" s="228">
        <v>1.018</v>
      </c>
      <c r="E638" s="228">
        <v>1.0169999999999999</v>
      </c>
      <c r="F638" s="231">
        <v>749</v>
      </c>
    </row>
    <row r="639" spans="1:6" ht="32.25" customHeight="1" x14ac:dyDescent="0.15">
      <c r="A639" s="232" t="s">
        <v>1074</v>
      </c>
      <c r="B639" s="228">
        <v>1.016</v>
      </c>
      <c r="C639" s="228">
        <v>1.0149999999999999</v>
      </c>
      <c r="D639" s="228">
        <v>1.012</v>
      </c>
      <c r="E639" s="228">
        <v>1.0109999999999999</v>
      </c>
      <c r="F639" s="231">
        <v>933</v>
      </c>
    </row>
    <row r="640" spans="1:6" ht="32.25" customHeight="1" x14ac:dyDescent="0.15">
      <c r="A640" s="232" t="s">
        <v>1075</v>
      </c>
      <c r="B640" s="228">
        <v>1.016</v>
      </c>
      <c r="C640" s="228">
        <v>1.0149999999999999</v>
      </c>
      <c r="D640" s="228">
        <v>1.012</v>
      </c>
      <c r="E640" s="228">
        <v>1.0109999999999999</v>
      </c>
      <c r="F640" s="231">
        <v>933</v>
      </c>
    </row>
    <row r="641" spans="1:6" ht="32.25" customHeight="1" x14ac:dyDescent="0.15">
      <c r="A641" s="232" t="s">
        <v>1076</v>
      </c>
      <c r="B641" s="228">
        <v>1.016</v>
      </c>
      <c r="C641" s="228">
        <v>1.0149999999999999</v>
      </c>
      <c r="D641" s="228">
        <v>1.012</v>
      </c>
      <c r="E641" s="228">
        <v>1.0109999999999999</v>
      </c>
      <c r="F641" s="231">
        <v>933</v>
      </c>
    </row>
    <row r="642" spans="1:6" ht="32.25" customHeight="1" x14ac:dyDescent="0.15">
      <c r="A642" s="232" t="s">
        <v>1077</v>
      </c>
      <c r="B642" s="228">
        <v>1.016</v>
      </c>
      <c r="C642" s="228">
        <v>1.0149999999999999</v>
      </c>
      <c r="D642" s="228">
        <v>1.012</v>
      </c>
      <c r="E642" s="228">
        <v>1.0109999999999999</v>
      </c>
      <c r="F642" s="231">
        <v>933</v>
      </c>
    </row>
    <row r="643" spans="1:6" ht="32.25" customHeight="1" x14ac:dyDescent="0.15">
      <c r="A643" s="232" t="s">
        <v>1078</v>
      </c>
      <c r="B643" s="228">
        <v>1.016</v>
      </c>
      <c r="C643" s="228">
        <v>1.0149999999999999</v>
      </c>
      <c r="D643" s="228">
        <v>1.012</v>
      </c>
      <c r="E643" s="228">
        <v>1.0109999999999999</v>
      </c>
      <c r="F643" s="231">
        <v>933</v>
      </c>
    </row>
    <row r="644" spans="1:6" ht="32.25" customHeight="1" x14ac:dyDescent="0.15">
      <c r="A644" s="232" t="s">
        <v>1079</v>
      </c>
      <c r="B644" s="228">
        <v>1.022</v>
      </c>
      <c r="C644" s="228">
        <v>1.02</v>
      </c>
      <c r="D644" s="228">
        <v>1.018</v>
      </c>
      <c r="E644" s="228">
        <v>1.0169999999999999</v>
      </c>
      <c r="F644" s="231">
        <v>749</v>
      </c>
    </row>
    <row r="645" spans="1:6" ht="32.25" customHeight="1" x14ac:dyDescent="0.15">
      <c r="A645" s="232" t="s">
        <v>1080</v>
      </c>
      <c r="B645" s="228">
        <v>1.016</v>
      </c>
      <c r="C645" s="228">
        <v>1.0149999999999999</v>
      </c>
      <c r="D645" s="228">
        <v>1.012</v>
      </c>
      <c r="E645" s="228">
        <v>1.0109999999999999</v>
      </c>
      <c r="F645" s="231">
        <v>933</v>
      </c>
    </row>
    <row r="646" spans="1:6" ht="32.25" customHeight="1" x14ac:dyDescent="0.15">
      <c r="A646" s="232" t="s">
        <v>1081</v>
      </c>
      <c r="B646" s="228">
        <v>1.0049999999999999</v>
      </c>
      <c r="C646" s="228">
        <v>1.004</v>
      </c>
      <c r="D646" s="228">
        <v>1.0029999999999999</v>
      </c>
      <c r="E646" s="228">
        <v>1.0029999999999999</v>
      </c>
      <c r="F646" s="231">
        <v>935</v>
      </c>
    </row>
    <row r="647" spans="1:6" ht="32.25" customHeight="1" x14ac:dyDescent="0.15">
      <c r="A647" s="232" t="s">
        <v>1082</v>
      </c>
      <c r="B647" s="228">
        <v>1.016</v>
      </c>
      <c r="C647" s="228">
        <v>1.0149999999999999</v>
      </c>
      <c r="D647" s="228">
        <v>1.012</v>
      </c>
      <c r="E647" s="228">
        <v>1.0109999999999999</v>
      </c>
      <c r="F647" s="231">
        <v>933</v>
      </c>
    </row>
    <row r="648" spans="1:6" ht="32.25" customHeight="1" x14ac:dyDescent="0.15">
      <c r="A648" s="232" t="s">
        <v>1084</v>
      </c>
      <c r="B648" s="228">
        <v>1.016</v>
      </c>
      <c r="C648" s="228">
        <v>1.0149999999999999</v>
      </c>
      <c r="D648" s="228">
        <v>1.012</v>
      </c>
      <c r="E648" s="228">
        <v>1.0109999999999999</v>
      </c>
      <c r="F648" s="231">
        <v>933</v>
      </c>
    </row>
    <row r="649" spans="1:6" ht="32.25" customHeight="1" x14ac:dyDescent="0.15">
      <c r="A649" s="232" t="s">
        <v>1085</v>
      </c>
      <c r="B649" s="228">
        <v>1.016</v>
      </c>
      <c r="C649" s="228">
        <v>1.0149999999999999</v>
      </c>
      <c r="D649" s="228">
        <v>1.012</v>
      </c>
      <c r="E649" s="228">
        <v>1.0109999999999999</v>
      </c>
      <c r="F649" s="231">
        <v>933</v>
      </c>
    </row>
    <row r="650" spans="1:6" ht="32.25" customHeight="1" x14ac:dyDescent="0.15">
      <c r="A650" s="232" t="s">
        <v>1087</v>
      </c>
      <c r="B650" s="228">
        <v>1.016</v>
      </c>
      <c r="C650" s="228">
        <v>1.0149999999999999</v>
      </c>
      <c r="D650" s="228">
        <v>1.012</v>
      </c>
      <c r="E650" s="228">
        <v>1.0109999999999999</v>
      </c>
      <c r="F650" s="231">
        <v>933</v>
      </c>
    </row>
    <row r="651" spans="1:6" ht="32.25" customHeight="1" x14ac:dyDescent="0.15">
      <c r="A651" s="232" t="s">
        <v>1088</v>
      </c>
      <c r="B651" s="228">
        <v>1.016</v>
      </c>
      <c r="C651" s="228">
        <v>1.0149999999999999</v>
      </c>
      <c r="D651" s="228">
        <v>1.012</v>
      </c>
      <c r="E651" s="228">
        <v>1.0109999999999999</v>
      </c>
      <c r="F651" s="231">
        <v>933</v>
      </c>
    </row>
    <row r="652" spans="1:6" ht="32.25" customHeight="1" x14ac:dyDescent="0.15">
      <c r="A652" s="232" t="s">
        <v>1090</v>
      </c>
      <c r="B652" s="228">
        <v>1.016</v>
      </c>
      <c r="C652" s="228">
        <v>1.0149999999999999</v>
      </c>
      <c r="D652" s="228">
        <v>1.012</v>
      </c>
      <c r="E652" s="228">
        <v>1.0109999999999999</v>
      </c>
      <c r="F652" s="231">
        <v>933</v>
      </c>
    </row>
    <row r="653" spans="1:6" ht="32.25" customHeight="1" x14ac:dyDescent="0.15">
      <c r="A653" s="232" t="s">
        <v>1092</v>
      </c>
      <c r="B653" s="228">
        <v>1.0049999999999999</v>
      </c>
      <c r="C653" s="228">
        <v>1.004</v>
      </c>
      <c r="D653" s="228">
        <v>1.0029999999999999</v>
      </c>
      <c r="E653" s="228">
        <v>1.0029999999999999</v>
      </c>
      <c r="F653" s="231">
        <v>935</v>
      </c>
    </row>
    <row r="654" spans="1:6" ht="32.25" customHeight="1" x14ac:dyDescent="0.15">
      <c r="A654" s="232" t="s">
        <v>1093</v>
      </c>
      <c r="B654" s="228">
        <v>1.0049999999999999</v>
      </c>
      <c r="C654" s="228">
        <v>1.004</v>
      </c>
      <c r="D654" s="228">
        <v>1.0029999999999999</v>
      </c>
      <c r="E654" s="228">
        <v>1.0029999999999999</v>
      </c>
      <c r="F654" s="231">
        <v>935</v>
      </c>
    </row>
    <row r="655" spans="1:6" ht="32.25" customHeight="1" x14ac:dyDescent="0.15">
      <c r="A655" s="232" t="s">
        <v>1094</v>
      </c>
      <c r="B655" s="228">
        <v>1.022</v>
      </c>
      <c r="C655" s="228">
        <v>1.02</v>
      </c>
      <c r="D655" s="228">
        <v>1.018</v>
      </c>
      <c r="E655" s="228">
        <v>1.0169999999999999</v>
      </c>
      <c r="F655" s="231">
        <v>749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8:E8"/>
    <mergeCell ref="A3:E3"/>
    <mergeCell ref="A4:A5"/>
    <mergeCell ref="A376:F376"/>
    <mergeCell ref="A11:F11"/>
    <mergeCell ref="A12:F12"/>
    <mergeCell ref="A375:F375"/>
    <mergeCell ref="A22:F22"/>
    <mergeCell ref="A23:F23"/>
  </mergeCells>
  <phoneticPr fontId="13"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28"/>
  <sheetViews>
    <sheetView zoomScale="80" zoomScaleNormal="80" zoomScaleSheetLayoutView="100" workbookViewId="0"/>
  </sheetViews>
  <sheetFormatPr baseColWidth="10" defaultColWidth="9.1640625" defaultRowHeight="27.75" customHeight="1" x14ac:dyDescent="0.15"/>
  <cols>
    <col min="1" max="1" width="16" style="2" customWidth="1"/>
    <col min="2" max="2" width="8.6640625" style="2" customWidth="1"/>
    <col min="3" max="3" width="17.6640625" style="2" customWidth="1"/>
    <col min="4" max="4" width="8.6640625" style="2" customWidth="1"/>
    <col min="5" max="5" width="17.5" style="3" customWidth="1"/>
    <col min="6" max="6" width="15.83203125" style="3" customWidth="1"/>
    <col min="7" max="7" width="15.83203125" style="2" customWidth="1"/>
    <col min="8" max="8" width="15.83203125" style="3" customWidth="1"/>
    <col min="9" max="10" width="16" style="3" customWidth="1"/>
    <col min="11" max="11" width="16" style="8" customWidth="1"/>
    <col min="12" max="13" width="16" style="4" customWidth="1"/>
    <col min="14" max="14" width="16" style="2" customWidth="1"/>
    <col min="15" max="16" width="15.5" style="2" customWidth="1"/>
    <col min="17" max="18" width="13.6640625" style="2" customWidth="1"/>
    <col min="19" max="19" width="15.5" style="2" customWidth="1"/>
    <col min="20" max="16384" width="9.1640625" style="2"/>
  </cols>
  <sheetData>
    <row r="1" spans="1:16" ht="100.5" customHeight="1" x14ac:dyDescent="0.15">
      <c r="A1" s="13" t="s">
        <v>88</v>
      </c>
      <c r="B1" s="13"/>
      <c r="C1" s="13"/>
      <c r="D1" s="13"/>
      <c r="F1" s="314" t="s">
        <v>705</v>
      </c>
      <c r="G1" s="315"/>
      <c r="H1" s="315"/>
      <c r="I1" s="315"/>
      <c r="J1" s="315"/>
      <c r="K1" s="315"/>
      <c r="L1" s="190"/>
    </row>
    <row r="2" spans="1:16" ht="27.75" customHeight="1" x14ac:dyDescent="0.15">
      <c r="A2" s="313" t="s">
        <v>704</v>
      </c>
      <c r="B2" s="273"/>
      <c r="C2" s="273"/>
      <c r="D2" s="273"/>
      <c r="E2" s="273"/>
      <c r="F2" s="273"/>
      <c r="G2" s="273"/>
      <c r="H2" s="273"/>
      <c r="I2" s="273"/>
      <c r="J2" s="273"/>
      <c r="K2" s="273"/>
      <c r="L2" s="273"/>
      <c r="M2" s="273"/>
      <c r="N2" s="274"/>
    </row>
    <row r="3" spans="1:16" ht="17.25" customHeight="1" x14ac:dyDescent="0.15">
      <c r="A3" s="13"/>
      <c r="B3" s="13"/>
      <c r="C3" s="13"/>
      <c r="D3" s="13"/>
      <c r="G3" s="22"/>
    </row>
    <row r="4" spans="1:16" s="9" customFormat="1" ht="25.5" customHeight="1" x14ac:dyDescent="0.15">
      <c r="A4" s="272" t="str">
        <f>Overview!B4&amp; " - Effective from "&amp;Overview!D4&amp;" - "&amp;Overview!E4&amp;" new or amended designated EHV charges"</f>
        <v>Southern Electric Power Distribution plc - Effective from 1 April 2020 - Final new or amended designated EHV charges</v>
      </c>
      <c r="B4" s="273"/>
      <c r="C4" s="273"/>
      <c r="D4" s="273"/>
      <c r="E4" s="273"/>
      <c r="F4" s="273"/>
      <c r="G4" s="273"/>
      <c r="H4" s="273"/>
      <c r="I4" s="273"/>
      <c r="J4" s="273"/>
      <c r="K4" s="273"/>
      <c r="L4" s="273"/>
      <c r="M4" s="273"/>
      <c r="N4" s="274"/>
      <c r="O4" s="2"/>
      <c r="P4" s="2"/>
    </row>
    <row r="5" spans="1:16" ht="69.75" customHeight="1" x14ac:dyDescent="0.15">
      <c r="A5" s="28" t="s">
        <v>707</v>
      </c>
      <c r="B5" s="28" t="s">
        <v>714</v>
      </c>
      <c r="C5" s="28" t="s">
        <v>469</v>
      </c>
      <c r="D5" s="28" t="s">
        <v>715</v>
      </c>
      <c r="E5" s="28" t="s">
        <v>470</v>
      </c>
      <c r="F5" s="82" t="s">
        <v>725</v>
      </c>
      <c r="G5" s="82" t="str">
        <f>'Annex 2 EHV charges'!F9</f>
        <v>Import
Super Red
unit charge
(p/kWh)</v>
      </c>
      <c r="H5" s="82" t="str">
        <f>'Annex 2 EHV charges'!G9</f>
        <v>Import
fixed charge
(p/day)</v>
      </c>
      <c r="I5" s="82" t="str">
        <f>'Annex 2 EHV charges'!H9</f>
        <v>Import
capacity charge
(p/kVA/day)</v>
      </c>
      <c r="J5" s="82" t="str">
        <f>'Annex 2 EHV charges'!I9</f>
        <v>Import
exceeded capacity charge
(p/kVA/day)</v>
      </c>
      <c r="K5" s="82" t="str">
        <f>'Annex 2 EHV charges'!J9</f>
        <v>Export
Super Red
unit charge
(p/kWh)</v>
      </c>
      <c r="L5" s="82" t="str">
        <f>'Annex 2 EHV charges'!K9</f>
        <v>Export
fixed charge
(p/day)</v>
      </c>
      <c r="M5" s="82" t="str">
        <f>'Annex 2 EHV charges'!L9</f>
        <v>Export
capacity charge
(p/kVA/day)</v>
      </c>
      <c r="N5" s="82" t="str">
        <f>'Annex 2 EHV charges'!M9</f>
        <v>Export
exceeded capacity charge
(p/kVA/day)</v>
      </c>
    </row>
    <row r="6" spans="1:16" ht="22.5" customHeight="1" x14ac:dyDescent="0.15">
      <c r="A6" s="56"/>
      <c r="B6" s="56"/>
      <c r="C6" s="56"/>
      <c r="D6" s="57"/>
      <c r="E6" s="57"/>
      <c r="F6" s="213"/>
      <c r="G6" s="30"/>
      <c r="H6" s="31"/>
      <c r="I6" s="31"/>
      <c r="J6" s="31"/>
      <c r="K6" s="38"/>
      <c r="L6" s="39"/>
      <c r="M6" s="39"/>
      <c r="N6" s="39"/>
    </row>
    <row r="7" spans="1:16" ht="22.5" customHeight="1" x14ac:dyDescent="0.15">
      <c r="A7" s="56"/>
      <c r="B7" s="56"/>
      <c r="C7" s="56"/>
      <c r="D7" s="57"/>
      <c r="E7" s="57"/>
      <c r="F7" s="213"/>
      <c r="G7" s="30"/>
      <c r="H7" s="31"/>
      <c r="I7" s="31"/>
      <c r="J7" s="31"/>
      <c r="K7" s="38"/>
      <c r="L7" s="39"/>
      <c r="M7" s="39"/>
      <c r="N7" s="39"/>
    </row>
    <row r="8" spans="1:16" ht="22.5" customHeight="1" x14ac:dyDescent="0.15">
      <c r="A8" s="56"/>
      <c r="B8" s="56"/>
      <c r="C8" s="56"/>
      <c r="D8" s="57"/>
      <c r="E8" s="57"/>
      <c r="F8" s="213"/>
      <c r="G8" s="30"/>
      <c r="H8" s="31"/>
      <c r="I8" s="31"/>
      <c r="J8" s="31"/>
      <c r="K8" s="38"/>
      <c r="L8" s="39"/>
      <c r="M8" s="39"/>
      <c r="N8" s="39"/>
    </row>
    <row r="9" spans="1:16" ht="22.5" customHeight="1" x14ac:dyDescent="0.15">
      <c r="A9" s="56"/>
      <c r="B9" s="56"/>
      <c r="C9" s="56"/>
      <c r="D9" s="57"/>
      <c r="E9" s="57"/>
      <c r="F9" s="213"/>
      <c r="G9" s="30"/>
      <c r="H9" s="31"/>
      <c r="I9" s="31"/>
      <c r="J9" s="31"/>
      <c r="K9" s="38"/>
      <c r="L9" s="39"/>
      <c r="M9" s="39"/>
      <c r="N9" s="39"/>
    </row>
    <row r="10" spans="1:16" ht="22.5" customHeight="1" x14ac:dyDescent="0.15">
      <c r="A10" s="56"/>
      <c r="B10" s="56"/>
      <c r="C10" s="56"/>
      <c r="D10" s="57"/>
      <c r="E10" s="57"/>
      <c r="F10" s="213"/>
      <c r="G10" s="30"/>
      <c r="H10" s="31"/>
      <c r="I10" s="31"/>
      <c r="J10" s="31"/>
      <c r="K10" s="38"/>
      <c r="L10" s="39"/>
      <c r="M10" s="39"/>
      <c r="N10" s="39"/>
    </row>
    <row r="11" spans="1:16" ht="22.5" customHeight="1" x14ac:dyDescent="0.15">
      <c r="A11" s="56"/>
      <c r="B11" s="56"/>
      <c r="C11" s="56"/>
      <c r="D11" s="57"/>
      <c r="E11" s="57"/>
      <c r="F11" s="213"/>
      <c r="G11" s="30"/>
      <c r="H11" s="31"/>
      <c r="I11" s="31"/>
      <c r="J11" s="31"/>
      <c r="K11" s="38"/>
      <c r="L11" s="39"/>
      <c r="M11" s="39"/>
      <c r="N11" s="39"/>
    </row>
    <row r="12" spans="1:16" ht="22.5" customHeight="1" x14ac:dyDescent="0.15">
      <c r="A12" s="56"/>
      <c r="B12" s="56"/>
      <c r="C12" s="56"/>
      <c r="D12" s="57"/>
      <c r="E12" s="57"/>
      <c r="F12" s="213"/>
      <c r="G12" s="30"/>
      <c r="H12" s="31"/>
      <c r="I12" s="31"/>
      <c r="J12" s="31"/>
      <c r="K12" s="38"/>
      <c r="L12" s="39"/>
      <c r="M12" s="39"/>
      <c r="N12" s="39"/>
    </row>
    <row r="13" spans="1:16" ht="22.5" customHeight="1" x14ac:dyDescent="0.15">
      <c r="A13" s="56"/>
      <c r="B13" s="56"/>
      <c r="C13" s="56"/>
      <c r="D13" s="57"/>
      <c r="E13" s="57"/>
      <c r="F13" s="213"/>
      <c r="G13" s="30"/>
      <c r="H13" s="31"/>
      <c r="I13" s="31"/>
      <c r="J13" s="31"/>
      <c r="K13" s="38"/>
      <c r="L13" s="39"/>
      <c r="M13" s="39"/>
      <c r="N13" s="39"/>
    </row>
    <row r="14" spans="1:16" ht="22.5" customHeight="1" x14ac:dyDescent="0.15">
      <c r="A14" s="56"/>
      <c r="B14" s="56"/>
      <c r="C14" s="56"/>
      <c r="D14" s="57"/>
      <c r="E14" s="57"/>
      <c r="F14" s="213"/>
      <c r="G14" s="30"/>
      <c r="H14" s="31"/>
      <c r="I14" s="31"/>
      <c r="J14" s="31"/>
      <c r="K14" s="38"/>
      <c r="L14" s="39"/>
      <c r="M14" s="39"/>
      <c r="N14" s="39"/>
    </row>
    <row r="15" spans="1:16" ht="22.5" customHeight="1" x14ac:dyDescent="0.15">
      <c r="A15" s="56"/>
      <c r="B15" s="56"/>
      <c r="C15" s="56"/>
      <c r="D15" s="57"/>
      <c r="E15" s="57"/>
      <c r="F15" s="213"/>
      <c r="G15" s="30"/>
      <c r="H15" s="31"/>
      <c r="I15" s="31"/>
      <c r="J15" s="31"/>
      <c r="K15" s="38"/>
      <c r="L15" s="39"/>
      <c r="M15" s="39"/>
      <c r="N15" s="39"/>
    </row>
    <row r="17" spans="1:14" ht="27.75" customHeight="1" x14ac:dyDescent="0.15">
      <c r="A17" s="272" t="str">
        <f>Overview!B4&amp; " - Effective from "&amp;Overview!D4&amp;" - "&amp;Overview!E4&amp;" new or amended designated EHV line loss factors"</f>
        <v>Southern Electric Power Distribution plc - Effective from 1 April 2020 - Final new or amended designated EHV line loss factors</v>
      </c>
      <c r="B17" s="273"/>
      <c r="C17" s="273"/>
      <c r="D17" s="273"/>
      <c r="E17" s="273"/>
      <c r="F17" s="273"/>
      <c r="G17" s="273"/>
      <c r="H17" s="273"/>
      <c r="I17" s="273"/>
      <c r="J17" s="273"/>
      <c r="K17" s="273"/>
      <c r="L17" s="273"/>
      <c r="M17" s="273"/>
      <c r="N17" s="274"/>
    </row>
    <row r="18" spans="1:14" ht="62.25" customHeight="1" x14ac:dyDescent="0.15">
      <c r="A18" s="28" t="s">
        <v>707</v>
      </c>
      <c r="B18" s="28" t="s">
        <v>714</v>
      </c>
      <c r="C18" s="28" t="s">
        <v>469</v>
      </c>
      <c r="D18" s="28" t="s">
        <v>715</v>
      </c>
      <c r="E18" s="28" t="s">
        <v>470</v>
      </c>
      <c r="F18" s="82" t="s">
        <v>725</v>
      </c>
      <c r="G18" s="34" t="s">
        <v>620</v>
      </c>
      <c r="H18" s="34" t="s">
        <v>619</v>
      </c>
      <c r="I18" s="34" t="s">
        <v>621</v>
      </c>
      <c r="J18" s="34" t="s">
        <v>622</v>
      </c>
      <c r="K18" s="36" t="s">
        <v>623</v>
      </c>
      <c r="L18" s="36" t="s">
        <v>624</v>
      </c>
      <c r="M18" s="36" t="s">
        <v>625</v>
      </c>
      <c r="N18" s="36" t="s">
        <v>626</v>
      </c>
    </row>
    <row r="19" spans="1:14" ht="22.5" customHeight="1" x14ac:dyDescent="0.15">
      <c r="A19" s="56"/>
      <c r="B19" s="56"/>
      <c r="C19" s="56"/>
      <c r="D19" s="37"/>
      <c r="E19" s="37"/>
      <c r="F19" s="214"/>
      <c r="G19" s="40"/>
      <c r="H19" s="40"/>
      <c r="I19" s="32"/>
      <c r="J19" s="33"/>
      <c r="K19" s="35"/>
      <c r="L19" s="35"/>
      <c r="M19" s="35"/>
      <c r="N19" s="35"/>
    </row>
    <row r="20" spans="1:14" ht="22.5" customHeight="1" x14ac:dyDescent="0.15">
      <c r="A20" s="56"/>
      <c r="B20" s="56"/>
      <c r="C20" s="56"/>
      <c r="D20" s="37"/>
      <c r="E20" s="37"/>
      <c r="F20" s="214"/>
      <c r="G20" s="40"/>
      <c r="H20" s="40"/>
      <c r="I20" s="32"/>
      <c r="J20" s="33"/>
      <c r="K20" s="35"/>
      <c r="L20" s="35"/>
      <c r="M20" s="35"/>
      <c r="N20" s="35"/>
    </row>
    <row r="21" spans="1:14" ht="22.5" customHeight="1" x14ac:dyDescent="0.15">
      <c r="A21" s="56"/>
      <c r="B21" s="56"/>
      <c r="C21" s="56"/>
      <c r="D21" s="37"/>
      <c r="E21" s="37"/>
      <c r="F21" s="214"/>
      <c r="G21" s="40"/>
      <c r="H21" s="40"/>
      <c r="I21" s="32"/>
      <c r="J21" s="33"/>
      <c r="K21" s="35"/>
      <c r="L21" s="35"/>
      <c r="M21" s="35"/>
      <c r="N21" s="35"/>
    </row>
    <row r="22" spans="1:14" ht="22.5" customHeight="1" x14ac:dyDescent="0.15">
      <c r="A22" s="56"/>
      <c r="B22" s="56"/>
      <c r="C22" s="56"/>
      <c r="D22" s="37"/>
      <c r="E22" s="37"/>
      <c r="F22" s="214"/>
      <c r="G22" s="40"/>
      <c r="H22" s="40"/>
      <c r="I22" s="32"/>
      <c r="J22" s="33"/>
      <c r="K22" s="35"/>
      <c r="L22" s="35"/>
      <c r="M22" s="35"/>
      <c r="N22" s="35"/>
    </row>
    <row r="23" spans="1:14" ht="22.5" customHeight="1" x14ac:dyDescent="0.15">
      <c r="A23" s="56"/>
      <c r="B23" s="56"/>
      <c r="C23" s="56"/>
      <c r="D23" s="37"/>
      <c r="E23" s="37"/>
      <c r="F23" s="214"/>
      <c r="G23" s="40"/>
      <c r="H23" s="40"/>
      <c r="I23" s="32"/>
      <c r="J23" s="33"/>
      <c r="K23" s="35"/>
      <c r="L23" s="35"/>
      <c r="M23" s="35"/>
      <c r="N23" s="35"/>
    </row>
    <row r="24" spans="1:14" ht="22.5" customHeight="1" x14ac:dyDescent="0.15">
      <c r="A24" s="56"/>
      <c r="B24" s="56"/>
      <c r="C24" s="56"/>
      <c r="D24" s="37"/>
      <c r="E24" s="37"/>
      <c r="F24" s="214"/>
      <c r="G24" s="40"/>
      <c r="H24" s="40"/>
      <c r="I24" s="32"/>
      <c r="J24" s="33"/>
      <c r="K24" s="35"/>
      <c r="L24" s="35"/>
      <c r="M24" s="35"/>
      <c r="N24" s="35"/>
    </row>
    <row r="25" spans="1:14" ht="22.5" customHeight="1" x14ac:dyDescent="0.15">
      <c r="A25" s="56"/>
      <c r="B25" s="56"/>
      <c r="C25" s="56"/>
      <c r="D25" s="37"/>
      <c r="E25" s="37"/>
      <c r="F25" s="214"/>
      <c r="G25" s="40"/>
      <c r="H25" s="40"/>
      <c r="I25" s="32"/>
      <c r="J25" s="33"/>
      <c r="K25" s="35"/>
      <c r="L25" s="35"/>
      <c r="M25" s="35"/>
      <c r="N25" s="35"/>
    </row>
    <row r="26" spans="1:14" ht="22.5" customHeight="1" x14ac:dyDescent="0.15">
      <c r="A26" s="56"/>
      <c r="B26" s="56"/>
      <c r="C26" s="56"/>
      <c r="D26" s="37"/>
      <c r="E26" s="37"/>
      <c r="F26" s="214"/>
      <c r="G26" s="40"/>
      <c r="H26" s="40"/>
      <c r="I26" s="32"/>
      <c r="J26" s="33"/>
      <c r="K26" s="35"/>
      <c r="L26" s="35"/>
      <c r="M26" s="35"/>
      <c r="N26" s="35"/>
    </row>
    <row r="27" spans="1:14" ht="22.5" customHeight="1" x14ac:dyDescent="0.15">
      <c r="A27" s="56"/>
      <c r="B27" s="56"/>
      <c r="C27" s="56"/>
      <c r="D27" s="37"/>
      <c r="E27" s="37"/>
      <c r="F27" s="214"/>
      <c r="G27" s="40"/>
      <c r="H27" s="40"/>
      <c r="I27" s="32"/>
      <c r="J27" s="33"/>
      <c r="K27" s="35"/>
      <c r="L27" s="35"/>
      <c r="M27" s="35"/>
      <c r="N27" s="35"/>
    </row>
    <row r="28" spans="1:14" ht="22.5" customHeight="1" x14ac:dyDescent="0.15">
      <c r="A28" s="56"/>
      <c r="B28" s="56"/>
      <c r="C28" s="56"/>
      <c r="D28" s="37"/>
      <c r="E28" s="37"/>
      <c r="F28" s="214"/>
      <c r="G28" s="40"/>
      <c r="H28" s="40"/>
      <c r="I28" s="32"/>
      <c r="J28" s="33"/>
      <c r="K28" s="35"/>
      <c r="L28" s="35"/>
      <c r="M28" s="35"/>
      <c r="N28" s="35"/>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N4"/>
    <mergeCell ref="A17:N17"/>
    <mergeCell ref="A2:N2"/>
    <mergeCell ref="F1:K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784"/>
  <sheetViews>
    <sheetView zoomScale="85" zoomScaleNormal="85" zoomScaleSheetLayoutView="100" workbookViewId="0">
      <selection activeCell="A2" sqref="A2:D2"/>
    </sheetView>
  </sheetViews>
  <sheetFormatPr baseColWidth="10" defaultColWidth="9.1640625" defaultRowHeight="27.75" customHeight="1" x14ac:dyDescent="0.15"/>
  <cols>
    <col min="1" max="1" width="29.83203125" style="2" customWidth="1"/>
    <col min="2" max="2" width="48.5" style="2" customWidth="1"/>
    <col min="3" max="4" width="23.6640625" style="3" customWidth="1"/>
    <col min="5" max="5" width="15.5" style="2" customWidth="1"/>
    <col min="6" max="16384" width="9.1640625" style="2"/>
  </cols>
  <sheetData>
    <row r="1" spans="1:7" ht="27.75" customHeight="1" x14ac:dyDescent="0.15">
      <c r="A1" s="13" t="s">
        <v>88</v>
      </c>
      <c r="B1" s="3"/>
      <c r="C1" s="2"/>
      <c r="E1" s="8"/>
      <c r="F1" s="4"/>
      <c r="G1" s="4"/>
    </row>
    <row r="2" spans="1:7" s="9" customFormat="1" ht="39" customHeight="1" x14ac:dyDescent="0.15">
      <c r="A2" s="272" t="str">
        <f>Overview!B4&amp; " - Effective from "&amp;Overview!D4&amp;" - "&amp;Overview!E4&amp;" Nodal/Zonal charges"</f>
        <v>Southern Electric Power Distribution plc - Effective from 1 April 2020 - Final Nodal/Zonal charges</v>
      </c>
      <c r="B2" s="316"/>
      <c r="C2" s="316"/>
      <c r="D2" s="317"/>
    </row>
    <row r="3" spans="1:7" ht="60.75" customHeight="1" x14ac:dyDescent="0.15">
      <c r="A3" s="20" t="s">
        <v>485</v>
      </c>
      <c r="B3" s="20" t="s">
        <v>51</v>
      </c>
      <c r="C3" s="20" t="s">
        <v>456</v>
      </c>
      <c r="D3" s="20" t="s">
        <v>457</v>
      </c>
    </row>
    <row r="4" spans="1:7" ht="21.75" customHeight="1" x14ac:dyDescent="0.15">
      <c r="A4" s="225">
        <v>1</v>
      </c>
      <c r="B4" s="226" t="s">
        <v>1184</v>
      </c>
      <c r="C4" s="227">
        <v>16.339174884183802</v>
      </c>
      <c r="D4" s="227">
        <v>0</v>
      </c>
    </row>
    <row r="5" spans="1:7" ht="21.75" customHeight="1" x14ac:dyDescent="0.15">
      <c r="A5" s="225">
        <v>2</v>
      </c>
      <c r="B5" s="226" t="s">
        <v>1185</v>
      </c>
      <c r="C5" s="227">
        <v>1.06428358171418</v>
      </c>
      <c r="D5" s="227">
        <v>0</v>
      </c>
    </row>
    <row r="6" spans="1:7" ht="21.75" customHeight="1" x14ac:dyDescent="0.15">
      <c r="A6" s="225">
        <v>3</v>
      </c>
      <c r="B6" s="226" t="s">
        <v>1186</v>
      </c>
      <c r="C6" s="227">
        <v>2.6414871487203899</v>
      </c>
      <c r="D6" s="227">
        <v>0</v>
      </c>
    </row>
    <row r="7" spans="1:7" ht="21.75" customHeight="1" x14ac:dyDescent="0.15">
      <c r="A7" s="225">
        <v>4</v>
      </c>
      <c r="B7" s="226" t="s">
        <v>1187</v>
      </c>
      <c r="C7" s="227">
        <v>0</v>
      </c>
      <c r="D7" s="227">
        <v>0</v>
      </c>
    </row>
    <row r="8" spans="1:7" ht="21.75" customHeight="1" x14ac:dyDescent="0.15">
      <c r="A8" s="225">
        <v>5</v>
      </c>
      <c r="B8" s="226" t="s">
        <v>1188</v>
      </c>
      <c r="C8" s="227">
        <v>0</v>
      </c>
      <c r="D8" s="227">
        <v>0</v>
      </c>
    </row>
    <row r="9" spans="1:7" ht="21.75" customHeight="1" x14ac:dyDescent="0.15">
      <c r="A9" s="225">
        <v>6</v>
      </c>
      <c r="B9" s="226" t="s">
        <v>1189</v>
      </c>
      <c r="C9" s="227">
        <v>1.5710958550618299</v>
      </c>
      <c r="D9" s="227">
        <v>0</v>
      </c>
    </row>
    <row r="10" spans="1:7" ht="21.75" customHeight="1" x14ac:dyDescent="0.15">
      <c r="A10" s="225">
        <v>7</v>
      </c>
      <c r="B10" s="226" t="s">
        <v>1190</v>
      </c>
      <c r="C10" s="227">
        <v>0</v>
      </c>
      <c r="D10" s="227">
        <v>0</v>
      </c>
    </row>
    <row r="11" spans="1:7" ht="21.75" customHeight="1" x14ac:dyDescent="0.15">
      <c r="A11" s="225">
        <v>8</v>
      </c>
      <c r="B11" s="226" t="s">
        <v>1191</v>
      </c>
      <c r="C11" s="227">
        <v>0</v>
      </c>
      <c r="D11" s="227">
        <v>0</v>
      </c>
    </row>
    <row r="12" spans="1:7" ht="21.75" customHeight="1" x14ac:dyDescent="0.15">
      <c r="A12" s="225">
        <v>9</v>
      </c>
      <c r="B12" s="226" t="s">
        <v>1192</v>
      </c>
      <c r="C12" s="227">
        <v>0</v>
      </c>
      <c r="D12" s="227">
        <v>0</v>
      </c>
    </row>
    <row r="13" spans="1:7" ht="21.75" customHeight="1" x14ac:dyDescent="0.15">
      <c r="A13" s="225">
        <v>10</v>
      </c>
      <c r="B13" s="226" t="s">
        <v>1193</v>
      </c>
      <c r="C13" s="227">
        <v>0</v>
      </c>
      <c r="D13" s="227">
        <v>0</v>
      </c>
    </row>
    <row r="14" spans="1:7" ht="21.75" customHeight="1" x14ac:dyDescent="0.15">
      <c r="A14" s="225">
        <v>11</v>
      </c>
      <c r="B14" s="226" t="s">
        <v>1194</v>
      </c>
      <c r="C14" s="227">
        <v>0</v>
      </c>
      <c r="D14" s="227">
        <v>0</v>
      </c>
    </row>
    <row r="15" spans="1:7" ht="21.75" customHeight="1" x14ac:dyDescent="0.15">
      <c r="A15" s="225">
        <v>12</v>
      </c>
      <c r="B15" s="226" t="s">
        <v>1195</v>
      </c>
      <c r="C15" s="227">
        <v>0</v>
      </c>
      <c r="D15" s="227">
        <v>0</v>
      </c>
    </row>
    <row r="16" spans="1:7" ht="21.75" customHeight="1" x14ac:dyDescent="0.15">
      <c r="A16" s="225">
        <v>13</v>
      </c>
      <c r="B16" s="226" t="s">
        <v>1196</v>
      </c>
      <c r="C16" s="227">
        <v>6.1645450846106398</v>
      </c>
      <c r="D16" s="227">
        <v>0</v>
      </c>
    </row>
    <row r="17" spans="1:4" ht="21.75" customHeight="1" x14ac:dyDescent="0.15">
      <c r="A17" s="225">
        <v>14</v>
      </c>
      <c r="B17" s="226" t="s">
        <v>1197</v>
      </c>
      <c r="C17" s="227">
        <v>3.2438372376388802</v>
      </c>
      <c r="D17" s="227">
        <v>0</v>
      </c>
    </row>
    <row r="18" spans="1:4" ht="21.75" customHeight="1" x14ac:dyDescent="0.15">
      <c r="A18" s="225">
        <v>15</v>
      </c>
      <c r="B18" s="226" t="s">
        <v>1198</v>
      </c>
      <c r="C18" s="227">
        <v>0</v>
      </c>
      <c r="D18" s="227">
        <v>0</v>
      </c>
    </row>
    <row r="19" spans="1:4" ht="21.75" customHeight="1" x14ac:dyDescent="0.15">
      <c r="A19" s="225">
        <v>16</v>
      </c>
      <c r="B19" s="226" t="s">
        <v>1199</v>
      </c>
      <c r="C19" s="227">
        <v>4.9514399954686601</v>
      </c>
      <c r="D19" s="227">
        <v>0</v>
      </c>
    </row>
    <row r="20" spans="1:4" ht="21.75" customHeight="1" x14ac:dyDescent="0.15">
      <c r="A20" s="225">
        <v>17</v>
      </c>
      <c r="B20" s="226" t="s">
        <v>1200</v>
      </c>
      <c r="C20" s="227">
        <v>0</v>
      </c>
      <c r="D20" s="227">
        <v>0</v>
      </c>
    </row>
    <row r="21" spans="1:4" ht="21.75" customHeight="1" x14ac:dyDescent="0.15">
      <c r="A21" s="225">
        <v>18</v>
      </c>
      <c r="B21" s="226" t="s">
        <v>1201</v>
      </c>
      <c r="C21" s="227">
        <v>0</v>
      </c>
      <c r="D21" s="227">
        <v>0</v>
      </c>
    </row>
    <row r="22" spans="1:4" ht="21.75" customHeight="1" x14ac:dyDescent="0.15">
      <c r="A22" s="225">
        <v>19</v>
      </c>
      <c r="B22" s="226" t="s">
        <v>1202</v>
      </c>
      <c r="C22" s="227">
        <v>0</v>
      </c>
      <c r="D22" s="227">
        <v>0</v>
      </c>
    </row>
    <row r="23" spans="1:4" ht="21.75" customHeight="1" x14ac:dyDescent="0.15">
      <c r="A23" s="225">
        <v>20</v>
      </c>
      <c r="B23" s="226" t="s">
        <v>1203</v>
      </c>
      <c r="C23" s="227">
        <v>0</v>
      </c>
      <c r="D23" s="227">
        <v>0</v>
      </c>
    </row>
    <row r="24" spans="1:4" ht="21.75" customHeight="1" x14ac:dyDescent="0.15">
      <c r="A24" s="225">
        <v>21</v>
      </c>
      <c r="B24" s="226" t="s">
        <v>1204</v>
      </c>
      <c r="C24" s="227">
        <v>0</v>
      </c>
      <c r="D24" s="227">
        <v>0</v>
      </c>
    </row>
    <row r="25" spans="1:4" ht="21.75" customHeight="1" x14ac:dyDescent="0.15">
      <c r="A25" s="225">
        <v>22</v>
      </c>
      <c r="B25" s="226" t="s">
        <v>1205</v>
      </c>
      <c r="C25" s="227">
        <v>0</v>
      </c>
      <c r="D25" s="227">
        <v>0</v>
      </c>
    </row>
    <row r="26" spans="1:4" ht="21.75" customHeight="1" x14ac:dyDescent="0.15">
      <c r="A26" s="225">
        <v>23</v>
      </c>
      <c r="B26" s="226" t="s">
        <v>1206</v>
      </c>
      <c r="C26" s="227">
        <v>0</v>
      </c>
      <c r="D26" s="227">
        <v>0</v>
      </c>
    </row>
    <row r="27" spans="1:4" ht="27.75" customHeight="1" x14ac:dyDescent="0.15">
      <c r="A27" s="225">
        <v>26</v>
      </c>
      <c r="B27" s="226" t="s">
        <v>1964</v>
      </c>
      <c r="C27" s="227">
        <v>0</v>
      </c>
      <c r="D27" s="227">
        <v>0</v>
      </c>
    </row>
    <row r="28" spans="1:4" ht="27.75" customHeight="1" x14ac:dyDescent="0.15">
      <c r="A28" s="225">
        <v>27</v>
      </c>
      <c r="B28" s="226" t="s">
        <v>1208</v>
      </c>
      <c r="C28" s="227">
        <v>0.68105591917223496</v>
      </c>
      <c r="D28" s="227">
        <v>0</v>
      </c>
    </row>
    <row r="29" spans="1:4" ht="27.75" customHeight="1" x14ac:dyDescent="0.15">
      <c r="A29" s="225">
        <v>28</v>
      </c>
      <c r="B29" s="226" t="s">
        <v>1209</v>
      </c>
      <c r="C29" s="227">
        <v>0</v>
      </c>
      <c r="D29" s="227">
        <v>16.339174884183802</v>
      </c>
    </row>
    <row r="30" spans="1:4" ht="27.75" customHeight="1" x14ac:dyDescent="0.15">
      <c r="A30" s="225">
        <v>40</v>
      </c>
      <c r="B30" s="226" t="s">
        <v>1210</v>
      </c>
      <c r="C30" s="227">
        <v>0</v>
      </c>
      <c r="D30" s="227">
        <v>2.6414871487203899</v>
      </c>
    </row>
    <row r="31" spans="1:4" ht="27.75" customHeight="1" x14ac:dyDescent="0.15">
      <c r="A31" s="225">
        <v>41</v>
      </c>
      <c r="B31" s="226" t="s">
        <v>1211</v>
      </c>
      <c r="C31" s="227">
        <v>0</v>
      </c>
      <c r="D31" s="227">
        <v>2.6414871487203899</v>
      </c>
    </row>
    <row r="32" spans="1:4" ht="27.75" customHeight="1" x14ac:dyDescent="0.15">
      <c r="A32" s="225">
        <v>44</v>
      </c>
      <c r="B32" s="226" t="s">
        <v>1212</v>
      </c>
      <c r="C32" s="227">
        <v>0</v>
      </c>
      <c r="D32" s="227">
        <v>0</v>
      </c>
    </row>
    <row r="33" spans="1:4" ht="27.75" customHeight="1" x14ac:dyDescent="0.15">
      <c r="A33" s="225">
        <v>45</v>
      </c>
      <c r="B33" s="226" t="s">
        <v>1213</v>
      </c>
      <c r="C33" s="227">
        <v>0</v>
      </c>
      <c r="D33" s="227">
        <v>1.06428358171418</v>
      </c>
    </row>
    <row r="34" spans="1:4" ht="27.75" customHeight="1" x14ac:dyDescent="0.15">
      <c r="A34" s="225">
        <v>46</v>
      </c>
      <c r="B34" s="226" t="s">
        <v>1214</v>
      </c>
      <c r="C34" s="227">
        <v>1.98440071991779</v>
      </c>
      <c r="D34" s="227">
        <v>0</v>
      </c>
    </row>
    <row r="35" spans="1:4" ht="27.75" customHeight="1" x14ac:dyDescent="0.15">
      <c r="A35" s="225">
        <v>47</v>
      </c>
      <c r="B35" s="226" t="s">
        <v>1215</v>
      </c>
      <c r="C35" s="227">
        <v>0</v>
      </c>
      <c r="D35" s="227">
        <v>16.339174884183802</v>
      </c>
    </row>
    <row r="36" spans="1:4" ht="27.75" customHeight="1" x14ac:dyDescent="0.15">
      <c r="A36" s="225">
        <v>50</v>
      </c>
      <c r="B36" s="226" t="s">
        <v>1216</v>
      </c>
      <c r="C36" s="227">
        <v>0</v>
      </c>
      <c r="D36" s="227">
        <v>0</v>
      </c>
    </row>
    <row r="37" spans="1:4" ht="27.75" customHeight="1" x14ac:dyDescent="0.15">
      <c r="A37" s="225">
        <v>51</v>
      </c>
      <c r="B37" s="226" t="s">
        <v>1217</v>
      </c>
      <c r="C37" s="227">
        <v>0.34051869184155897</v>
      </c>
      <c r="D37" s="227">
        <v>0</v>
      </c>
    </row>
    <row r="38" spans="1:4" ht="27.75" customHeight="1" x14ac:dyDescent="0.15">
      <c r="A38" s="225">
        <v>52</v>
      </c>
      <c r="B38" s="226" t="s">
        <v>1218</v>
      </c>
      <c r="C38" s="227">
        <v>0</v>
      </c>
      <c r="D38" s="227">
        <v>0</v>
      </c>
    </row>
    <row r="39" spans="1:4" ht="27.75" customHeight="1" x14ac:dyDescent="0.15">
      <c r="A39" s="225">
        <v>54</v>
      </c>
      <c r="B39" s="226" t="s">
        <v>1219</v>
      </c>
      <c r="C39" s="227">
        <v>0</v>
      </c>
      <c r="D39" s="227">
        <v>6.1645450846106398</v>
      </c>
    </row>
    <row r="40" spans="1:4" ht="27.75" customHeight="1" x14ac:dyDescent="0.15">
      <c r="A40" s="225">
        <v>55</v>
      </c>
      <c r="B40" s="226" t="s">
        <v>1220</v>
      </c>
      <c r="C40" s="227">
        <v>0</v>
      </c>
      <c r="D40" s="227">
        <v>0</v>
      </c>
    </row>
    <row r="41" spans="1:4" ht="27.75" customHeight="1" x14ac:dyDescent="0.15">
      <c r="A41" s="225">
        <v>56</v>
      </c>
      <c r="B41" s="226" t="s">
        <v>1221</v>
      </c>
      <c r="C41" s="227">
        <v>0</v>
      </c>
      <c r="D41" s="227">
        <v>16.339174884183802</v>
      </c>
    </row>
    <row r="42" spans="1:4" ht="27.75" customHeight="1" x14ac:dyDescent="0.15">
      <c r="A42" s="225">
        <v>57</v>
      </c>
      <c r="B42" s="226" t="s">
        <v>1222</v>
      </c>
      <c r="C42" s="227">
        <v>0</v>
      </c>
      <c r="D42" s="227">
        <v>4.9514399954686601</v>
      </c>
    </row>
    <row r="43" spans="1:4" ht="27.75" customHeight="1" x14ac:dyDescent="0.15">
      <c r="A43" s="225">
        <v>58</v>
      </c>
      <c r="B43" s="226" t="s">
        <v>1223</v>
      </c>
      <c r="C43" s="227">
        <v>0</v>
      </c>
      <c r="D43" s="227">
        <v>0</v>
      </c>
    </row>
    <row r="44" spans="1:4" ht="27.75" customHeight="1" x14ac:dyDescent="0.15">
      <c r="A44" s="225">
        <v>59</v>
      </c>
      <c r="B44" s="226" t="s">
        <v>1224</v>
      </c>
      <c r="C44" s="227">
        <v>0</v>
      </c>
      <c r="D44" s="227">
        <v>2.6414871487203899</v>
      </c>
    </row>
    <row r="45" spans="1:4" ht="27.75" customHeight="1" x14ac:dyDescent="0.15">
      <c r="A45" s="225">
        <v>60</v>
      </c>
      <c r="B45" s="226" t="s">
        <v>1225</v>
      </c>
      <c r="C45" s="227">
        <v>0.66465359504245003</v>
      </c>
      <c r="D45" s="227">
        <v>2.6414871487203899</v>
      </c>
    </row>
    <row r="46" spans="1:4" ht="27.75" customHeight="1" x14ac:dyDescent="0.15">
      <c r="A46" s="225">
        <v>61</v>
      </c>
      <c r="B46" s="226" t="s">
        <v>1226</v>
      </c>
      <c r="C46" s="227">
        <v>0</v>
      </c>
      <c r="D46" s="227">
        <v>2.6414871487203899</v>
      </c>
    </row>
    <row r="47" spans="1:4" ht="27.75" customHeight="1" x14ac:dyDescent="0.15">
      <c r="A47" s="225">
        <v>66</v>
      </c>
      <c r="B47" s="226" t="s">
        <v>1227</v>
      </c>
      <c r="C47" s="227">
        <v>0</v>
      </c>
      <c r="D47" s="227">
        <v>2.6414871487203899</v>
      </c>
    </row>
    <row r="48" spans="1:4" ht="27.75" customHeight="1" x14ac:dyDescent="0.15">
      <c r="A48" s="225">
        <v>67</v>
      </c>
      <c r="B48" s="226" t="s">
        <v>1228</v>
      </c>
      <c r="C48" s="227">
        <v>0</v>
      </c>
      <c r="D48" s="227">
        <v>2.6414871487203899</v>
      </c>
    </row>
    <row r="49" spans="1:4" ht="27.75" customHeight="1" x14ac:dyDescent="0.15">
      <c r="A49" s="225">
        <v>68</v>
      </c>
      <c r="B49" s="226" t="s">
        <v>1229</v>
      </c>
      <c r="C49" s="227">
        <v>2.1412833253200398</v>
      </c>
      <c r="D49" s="227">
        <v>2.6414871487203899</v>
      </c>
    </row>
    <row r="50" spans="1:4" ht="27.75" customHeight="1" x14ac:dyDescent="0.15">
      <c r="A50" s="225">
        <v>69</v>
      </c>
      <c r="B50" s="226" t="s">
        <v>1230</v>
      </c>
      <c r="C50" s="227">
        <v>0</v>
      </c>
      <c r="D50" s="227">
        <v>0</v>
      </c>
    </row>
    <row r="51" spans="1:4" ht="27.75" customHeight="1" x14ac:dyDescent="0.15">
      <c r="A51" s="225">
        <v>70</v>
      </c>
      <c r="B51" s="226" t="s">
        <v>1231</v>
      </c>
      <c r="C51" s="227">
        <v>0</v>
      </c>
      <c r="D51" s="227">
        <v>1.06428358171418</v>
      </c>
    </row>
    <row r="52" spans="1:4" ht="27.75" customHeight="1" x14ac:dyDescent="0.15">
      <c r="A52" s="225">
        <v>71</v>
      </c>
      <c r="B52" s="226" t="s">
        <v>1232</v>
      </c>
      <c r="C52" s="227">
        <v>0</v>
      </c>
      <c r="D52" s="227">
        <v>16.339174884183802</v>
      </c>
    </row>
    <row r="53" spans="1:4" ht="27.75" customHeight="1" x14ac:dyDescent="0.15">
      <c r="A53" s="225">
        <v>72</v>
      </c>
      <c r="B53" s="226" t="s">
        <v>1233</v>
      </c>
      <c r="C53" s="227">
        <v>0</v>
      </c>
      <c r="D53" s="227">
        <v>6.1645450846106398</v>
      </c>
    </row>
    <row r="54" spans="1:4" ht="27.75" customHeight="1" x14ac:dyDescent="0.15">
      <c r="A54" s="225">
        <v>73</v>
      </c>
      <c r="B54" s="226" t="s">
        <v>1234</v>
      </c>
      <c r="C54" s="227">
        <v>0</v>
      </c>
      <c r="D54" s="227">
        <v>6.1645450846106398</v>
      </c>
    </row>
    <row r="55" spans="1:4" ht="27.75" customHeight="1" x14ac:dyDescent="0.15">
      <c r="A55" s="225">
        <v>74</v>
      </c>
      <c r="B55" s="226" t="s">
        <v>1235</v>
      </c>
      <c r="C55" s="227">
        <v>0</v>
      </c>
      <c r="D55" s="227">
        <v>0</v>
      </c>
    </row>
    <row r="56" spans="1:4" ht="27.75" customHeight="1" x14ac:dyDescent="0.15">
      <c r="A56" s="225">
        <v>75</v>
      </c>
      <c r="B56" s="226" t="s">
        <v>1236</v>
      </c>
      <c r="C56" s="227">
        <v>0</v>
      </c>
      <c r="D56" s="227">
        <v>2.6414871487203899</v>
      </c>
    </row>
    <row r="57" spans="1:4" ht="27.75" customHeight="1" x14ac:dyDescent="0.15">
      <c r="A57" s="225">
        <v>76</v>
      </c>
      <c r="B57" s="226" t="s">
        <v>1237</v>
      </c>
      <c r="C57" s="227">
        <v>0</v>
      </c>
      <c r="D57" s="227">
        <v>0</v>
      </c>
    </row>
    <row r="58" spans="1:4" ht="27.75" customHeight="1" x14ac:dyDescent="0.15">
      <c r="A58" s="225">
        <v>77</v>
      </c>
      <c r="B58" s="226" t="s">
        <v>1238</v>
      </c>
      <c r="C58" s="227">
        <v>0</v>
      </c>
      <c r="D58" s="227">
        <v>3.2438372376388802</v>
      </c>
    </row>
    <row r="59" spans="1:4" ht="27.75" customHeight="1" x14ac:dyDescent="0.15">
      <c r="A59" s="225">
        <v>78</v>
      </c>
      <c r="B59" s="226" t="s">
        <v>1239</v>
      </c>
      <c r="C59" s="227">
        <v>0</v>
      </c>
      <c r="D59" s="227">
        <v>0</v>
      </c>
    </row>
    <row r="60" spans="1:4" ht="27.75" customHeight="1" x14ac:dyDescent="0.15">
      <c r="A60" s="225">
        <v>79</v>
      </c>
      <c r="B60" s="226" t="s">
        <v>1240</v>
      </c>
      <c r="C60" s="227">
        <v>0</v>
      </c>
      <c r="D60" s="227">
        <v>0</v>
      </c>
    </row>
    <row r="61" spans="1:4" ht="27.75" customHeight="1" x14ac:dyDescent="0.15">
      <c r="A61" s="225">
        <v>80</v>
      </c>
      <c r="B61" s="226" t="s">
        <v>1241</v>
      </c>
      <c r="C61" s="227">
        <v>0</v>
      </c>
      <c r="D61" s="227">
        <v>0</v>
      </c>
    </row>
    <row r="62" spans="1:4" ht="27.75" customHeight="1" x14ac:dyDescent="0.15">
      <c r="A62" s="225">
        <v>81</v>
      </c>
      <c r="B62" s="226" t="s">
        <v>1242</v>
      </c>
      <c r="C62" s="227">
        <v>0</v>
      </c>
      <c r="D62" s="227">
        <v>4.9514399954686601</v>
      </c>
    </row>
    <row r="63" spans="1:4" ht="27.75" customHeight="1" x14ac:dyDescent="0.15">
      <c r="A63" s="225">
        <v>84</v>
      </c>
      <c r="B63" s="226" t="s">
        <v>1243</v>
      </c>
      <c r="C63" s="227">
        <v>0</v>
      </c>
      <c r="D63" s="227">
        <v>0</v>
      </c>
    </row>
    <row r="64" spans="1:4" ht="27.75" customHeight="1" x14ac:dyDescent="0.15">
      <c r="A64" s="225">
        <v>85</v>
      </c>
      <c r="B64" s="226" t="s">
        <v>1244</v>
      </c>
      <c r="C64" s="227">
        <v>0</v>
      </c>
      <c r="D64" s="227">
        <v>0</v>
      </c>
    </row>
    <row r="65" spans="1:4" ht="27.75" customHeight="1" x14ac:dyDescent="0.15">
      <c r="A65" s="225">
        <v>92</v>
      </c>
      <c r="B65" s="226" t="s">
        <v>1245</v>
      </c>
      <c r="C65" s="227">
        <v>0</v>
      </c>
      <c r="D65" s="227">
        <v>2.6414871487203899</v>
      </c>
    </row>
    <row r="66" spans="1:4" ht="27.75" customHeight="1" x14ac:dyDescent="0.15">
      <c r="A66" s="225">
        <v>93</v>
      </c>
      <c r="B66" s="226" t="s">
        <v>1246</v>
      </c>
      <c r="C66" s="227">
        <v>0</v>
      </c>
      <c r="D66" s="227">
        <v>2.6414871487203899</v>
      </c>
    </row>
    <row r="67" spans="1:4" ht="27.75" customHeight="1" x14ac:dyDescent="0.15">
      <c r="A67" s="225">
        <v>94</v>
      </c>
      <c r="B67" s="226" t="s">
        <v>1247</v>
      </c>
      <c r="C67" s="227">
        <v>0</v>
      </c>
      <c r="D67" s="227">
        <v>1.06428358171418</v>
      </c>
    </row>
    <row r="68" spans="1:4" ht="27.75" customHeight="1" x14ac:dyDescent="0.15">
      <c r="A68" s="225">
        <v>95</v>
      </c>
      <c r="B68" s="226" t="s">
        <v>1248</v>
      </c>
      <c r="C68" s="227">
        <v>0</v>
      </c>
      <c r="D68" s="227">
        <v>4.9514399954686601</v>
      </c>
    </row>
    <row r="69" spans="1:4" ht="27.75" customHeight="1" x14ac:dyDescent="0.15">
      <c r="A69" s="225">
        <v>96</v>
      </c>
      <c r="B69" s="226" t="s">
        <v>1249</v>
      </c>
      <c r="C69" s="227">
        <v>0</v>
      </c>
      <c r="D69" s="227">
        <v>16.339174884183802</v>
      </c>
    </row>
    <row r="70" spans="1:4" ht="27.75" customHeight="1" x14ac:dyDescent="0.15">
      <c r="A70" s="225">
        <v>97</v>
      </c>
      <c r="B70" s="226" t="s">
        <v>1250</v>
      </c>
      <c r="C70" s="227">
        <v>0</v>
      </c>
      <c r="D70" s="227">
        <v>0</v>
      </c>
    </row>
    <row r="71" spans="1:4" ht="27.75" customHeight="1" x14ac:dyDescent="0.15">
      <c r="A71" s="225">
        <v>98</v>
      </c>
      <c r="B71" s="226" t="s">
        <v>1251</v>
      </c>
      <c r="C71" s="227">
        <v>0</v>
      </c>
      <c r="D71" s="227">
        <v>6.1645450846106398</v>
      </c>
    </row>
    <row r="72" spans="1:4" ht="27.75" customHeight="1" x14ac:dyDescent="0.15">
      <c r="A72" s="225">
        <v>99</v>
      </c>
      <c r="B72" s="226" t="s">
        <v>1252</v>
      </c>
      <c r="C72" s="227">
        <v>0</v>
      </c>
      <c r="D72" s="227">
        <v>6.1645450846106398</v>
      </c>
    </row>
    <row r="73" spans="1:4" ht="27.75" customHeight="1" x14ac:dyDescent="0.15">
      <c r="A73" s="225">
        <v>100</v>
      </c>
      <c r="B73" s="226" t="s">
        <v>1253</v>
      </c>
      <c r="C73" s="227">
        <v>0</v>
      </c>
      <c r="D73" s="227">
        <v>6.1645450846106398</v>
      </c>
    </row>
    <row r="74" spans="1:4" ht="27.75" customHeight="1" x14ac:dyDescent="0.15">
      <c r="A74" s="225">
        <v>108</v>
      </c>
      <c r="B74" s="226" t="s">
        <v>1254</v>
      </c>
      <c r="C74" s="227">
        <v>0</v>
      </c>
      <c r="D74" s="227">
        <v>0</v>
      </c>
    </row>
    <row r="75" spans="1:4" ht="27.75" customHeight="1" x14ac:dyDescent="0.15">
      <c r="A75" s="225">
        <v>109</v>
      </c>
      <c r="B75" s="226" t="s">
        <v>1255</v>
      </c>
      <c r="C75" s="227">
        <v>0</v>
      </c>
      <c r="D75" s="227">
        <v>0</v>
      </c>
    </row>
    <row r="76" spans="1:4" ht="27.75" customHeight="1" x14ac:dyDescent="0.15">
      <c r="A76" s="225">
        <v>110</v>
      </c>
      <c r="B76" s="226" t="s">
        <v>1256</v>
      </c>
      <c r="C76" s="227">
        <v>0</v>
      </c>
      <c r="D76" s="227">
        <v>0</v>
      </c>
    </row>
    <row r="77" spans="1:4" ht="27.75" customHeight="1" x14ac:dyDescent="0.15">
      <c r="A77" s="225">
        <v>111</v>
      </c>
      <c r="B77" s="226" t="s">
        <v>1257</v>
      </c>
      <c r="C77" s="227">
        <v>0</v>
      </c>
      <c r="D77" s="227">
        <v>16.339174884183802</v>
      </c>
    </row>
    <row r="78" spans="1:4" ht="27.75" customHeight="1" x14ac:dyDescent="0.15">
      <c r="A78" s="225">
        <v>112</v>
      </c>
      <c r="B78" s="226" t="s">
        <v>1258</v>
      </c>
      <c r="C78" s="227">
        <v>0</v>
      </c>
      <c r="D78" s="227">
        <v>2.6414871487203899</v>
      </c>
    </row>
    <row r="79" spans="1:4" ht="27.75" customHeight="1" x14ac:dyDescent="0.15">
      <c r="A79" s="225">
        <v>113</v>
      </c>
      <c r="B79" s="226" t="s">
        <v>1259</v>
      </c>
      <c r="C79" s="227">
        <v>1.4834790927385</v>
      </c>
      <c r="D79" s="227">
        <v>16.339174884183802</v>
      </c>
    </row>
    <row r="80" spans="1:4" ht="27.75" customHeight="1" x14ac:dyDescent="0.15">
      <c r="A80" s="225">
        <v>117</v>
      </c>
      <c r="B80" s="226" t="s">
        <v>1260</v>
      </c>
      <c r="C80" s="227">
        <v>0</v>
      </c>
      <c r="D80" s="227">
        <v>0</v>
      </c>
    </row>
    <row r="81" spans="1:4" ht="27.75" customHeight="1" x14ac:dyDescent="0.15">
      <c r="A81" s="225">
        <v>118</v>
      </c>
      <c r="B81" s="226" t="s">
        <v>1261</v>
      </c>
      <c r="C81" s="227">
        <v>0</v>
      </c>
      <c r="D81" s="227">
        <v>1.06428358171418</v>
      </c>
    </row>
    <row r="82" spans="1:4" ht="27.75" customHeight="1" x14ac:dyDescent="0.15">
      <c r="A82" s="225">
        <v>121</v>
      </c>
      <c r="B82" s="226" t="s">
        <v>1262</v>
      </c>
      <c r="C82" s="227">
        <v>0</v>
      </c>
      <c r="D82" s="227">
        <v>0</v>
      </c>
    </row>
    <row r="83" spans="1:4" ht="27.75" customHeight="1" x14ac:dyDescent="0.15">
      <c r="A83" s="225">
        <v>122</v>
      </c>
      <c r="B83" s="226" t="s">
        <v>1263</v>
      </c>
      <c r="C83" s="227">
        <v>0</v>
      </c>
      <c r="D83" s="227">
        <v>0</v>
      </c>
    </row>
    <row r="84" spans="1:4" ht="27.75" customHeight="1" x14ac:dyDescent="0.15">
      <c r="A84" s="225">
        <v>123</v>
      </c>
      <c r="B84" s="226" t="s">
        <v>1264</v>
      </c>
      <c r="C84" s="227">
        <v>0</v>
      </c>
      <c r="D84" s="227">
        <v>0</v>
      </c>
    </row>
    <row r="85" spans="1:4" ht="27.75" customHeight="1" x14ac:dyDescent="0.15">
      <c r="A85" s="225">
        <v>124</v>
      </c>
      <c r="B85" s="226" t="s">
        <v>1265</v>
      </c>
      <c r="C85" s="227">
        <v>5.3399097088882499</v>
      </c>
      <c r="D85" s="227">
        <v>0</v>
      </c>
    </row>
    <row r="86" spans="1:4" ht="27.75" customHeight="1" x14ac:dyDescent="0.15">
      <c r="A86" s="225">
        <v>125</v>
      </c>
      <c r="B86" s="226" t="s">
        <v>1266</v>
      </c>
      <c r="C86" s="227">
        <v>0</v>
      </c>
      <c r="D86" s="227">
        <v>1.06428358171418</v>
      </c>
    </row>
    <row r="87" spans="1:4" ht="27.75" customHeight="1" x14ac:dyDescent="0.15">
      <c r="A87" s="225">
        <v>128</v>
      </c>
      <c r="B87" s="226" t="s">
        <v>1267</v>
      </c>
      <c r="C87" s="227">
        <v>0</v>
      </c>
      <c r="D87" s="227">
        <v>0</v>
      </c>
    </row>
    <row r="88" spans="1:4" ht="27.75" customHeight="1" x14ac:dyDescent="0.15">
      <c r="A88" s="225">
        <v>129</v>
      </c>
      <c r="B88" s="226" t="s">
        <v>1268</v>
      </c>
      <c r="C88" s="227">
        <v>0</v>
      </c>
      <c r="D88" s="227">
        <v>3.2438372376388802</v>
      </c>
    </row>
    <row r="89" spans="1:4" ht="27.75" customHeight="1" x14ac:dyDescent="0.15">
      <c r="A89" s="225">
        <v>130</v>
      </c>
      <c r="B89" s="226" t="s">
        <v>1269</v>
      </c>
      <c r="C89" s="227">
        <v>1.9053217466696499</v>
      </c>
      <c r="D89" s="227">
        <v>4.9514399954686601</v>
      </c>
    </row>
    <row r="90" spans="1:4" ht="27.75" customHeight="1" x14ac:dyDescent="0.15">
      <c r="A90" s="225">
        <v>131</v>
      </c>
      <c r="B90" s="226" t="s">
        <v>1270</v>
      </c>
      <c r="C90" s="227">
        <v>0</v>
      </c>
      <c r="D90" s="227">
        <v>2.6414871487203899</v>
      </c>
    </row>
    <row r="91" spans="1:4" ht="27.75" customHeight="1" x14ac:dyDescent="0.15">
      <c r="A91" s="225">
        <v>132</v>
      </c>
      <c r="B91" s="226" t="s">
        <v>1271</v>
      </c>
      <c r="C91" s="227">
        <v>0</v>
      </c>
      <c r="D91" s="227">
        <v>2.6414871487203899</v>
      </c>
    </row>
    <row r="92" spans="1:4" ht="27.75" customHeight="1" x14ac:dyDescent="0.15">
      <c r="A92" s="225">
        <v>133</v>
      </c>
      <c r="B92" s="226" t="s">
        <v>1272</v>
      </c>
      <c r="C92" s="227">
        <v>0</v>
      </c>
      <c r="D92" s="227">
        <v>2.6414871487203899</v>
      </c>
    </row>
    <row r="93" spans="1:4" ht="27.75" customHeight="1" x14ac:dyDescent="0.15">
      <c r="A93" s="225">
        <v>134</v>
      </c>
      <c r="B93" s="226" t="s">
        <v>1273</v>
      </c>
      <c r="C93" s="227">
        <v>0</v>
      </c>
      <c r="D93" s="227">
        <v>2.6414871487203899</v>
      </c>
    </row>
    <row r="94" spans="1:4" ht="27.75" customHeight="1" x14ac:dyDescent="0.15">
      <c r="A94" s="225">
        <v>135</v>
      </c>
      <c r="B94" s="226" t="s">
        <v>1274</v>
      </c>
      <c r="C94" s="227">
        <v>0</v>
      </c>
      <c r="D94" s="227">
        <v>16.339174884183802</v>
      </c>
    </row>
    <row r="95" spans="1:4" ht="27.75" customHeight="1" x14ac:dyDescent="0.15">
      <c r="A95" s="225">
        <v>136</v>
      </c>
      <c r="B95" s="226" t="s">
        <v>1275</v>
      </c>
      <c r="C95" s="227">
        <v>0</v>
      </c>
      <c r="D95" s="227">
        <v>0</v>
      </c>
    </row>
    <row r="96" spans="1:4" ht="27.75" customHeight="1" x14ac:dyDescent="0.15">
      <c r="A96" s="225">
        <v>137</v>
      </c>
      <c r="B96" s="226" t="s">
        <v>1276</v>
      </c>
      <c r="C96" s="227">
        <v>0</v>
      </c>
      <c r="D96" s="227">
        <v>16.339174884183802</v>
      </c>
    </row>
    <row r="97" spans="1:4" ht="27.75" customHeight="1" x14ac:dyDescent="0.15">
      <c r="A97" s="225">
        <v>138</v>
      </c>
      <c r="B97" s="226" t="s">
        <v>1277</v>
      </c>
      <c r="C97" s="227">
        <v>0</v>
      </c>
      <c r="D97" s="227">
        <v>16.339174884183802</v>
      </c>
    </row>
    <row r="98" spans="1:4" ht="27.75" customHeight="1" x14ac:dyDescent="0.15">
      <c r="A98" s="225">
        <v>139</v>
      </c>
      <c r="B98" s="226" t="s">
        <v>1278</v>
      </c>
      <c r="C98" s="227">
        <v>0</v>
      </c>
      <c r="D98" s="227">
        <v>16.339174884183802</v>
      </c>
    </row>
    <row r="99" spans="1:4" ht="27.75" customHeight="1" x14ac:dyDescent="0.15">
      <c r="A99" s="225">
        <v>140</v>
      </c>
      <c r="B99" s="226" t="s">
        <v>1279</v>
      </c>
      <c r="C99" s="227">
        <v>0</v>
      </c>
      <c r="D99" s="227">
        <v>0</v>
      </c>
    </row>
    <row r="100" spans="1:4" ht="27.75" customHeight="1" x14ac:dyDescent="0.15">
      <c r="A100" s="225">
        <v>141</v>
      </c>
      <c r="B100" s="226" t="s">
        <v>1280</v>
      </c>
      <c r="C100" s="227">
        <v>0</v>
      </c>
      <c r="D100" s="227">
        <v>0</v>
      </c>
    </row>
    <row r="101" spans="1:4" ht="27.75" customHeight="1" x14ac:dyDescent="0.15">
      <c r="A101" s="225">
        <v>142</v>
      </c>
      <c r="B101" s="226" t="s">
        <v>1281</v>
      </c>
      <c r="C101" s="227">
        <v>0</v>
      </c>
      <c r="D101" s="227">
        <v>0</v>
      </c>
    </row>
    <row r="102" spans="1:4" ht="27.75" customHeight="1" x14ac:dyDescent="0.15">
      <c r="A102" s="225">
        <v>143</v>
      </c>
      <c r="B102" s="226" t="s">
        <v>1282</v>
      </c>
      <c r="C102" s="227">
        <v>0</v>
      </c>
      <c r="D102" s="227">
        <v>0</v>
      </c>
    </row>
    <row r="103" spans="1:4" ht="27.75" customHeight="1" x14ac:dyDescent="0.15">
      <c r="A103" s="225">
        <v>144</v>
      </c>
      <c r="B103" s="226" t="s">
        <v>1283</v>
      </c>
      <c r="C103" s="227">
        <v>0</v>
      </c>
      <c r="D103" s="227">
        <v>0</v>
      </c>
    </row>
    <row r="104" spans="1:4" ht="27.75" customHeight="1" x14ac:dyDescent="0.15">
      <c r="A104" s="225">
        <v>145</v>
      </c>
      <c r="B104" s="226" t="s">
        <v>1284</v>
      </c>
      <c r="C104" s="227">
        <v>0</v>
      </c>
      <c r="D104" s="227">
        <v>0</v>
      </c>
    </row>
    <row r="105" spans="1:4" ht="27.75" customHeight="1" x14ac:dyDescent="0.15">
      <c r="A105" s="225">
        <v>146</v>
      </c>
      <c r="B105" s="226" t="s">
        <v>1285</v>
      </c>
      <c r="C105" s="227">
        <v>0</v>
      </c>
      <c r="D105" s="227">
        <v>0</v>
      </c>
    </row>
    <row r="106" spans="1:4" ht="27.75" customHeight="1" x14ac:dyDescent="0.15">
      <c r="A106" s="225">
        <v>147</v>
      </c>
      <c r="B106" s="226" t="s">
        <v>1286</v>
      </c>
      <c r="C106" s="227">
        <v>5.3312856993686601</v>
      </c>
      <c r="D106" s="227">
        <v>0</v>
      </c>
    </row>
    <row r="107" spans="1:4" ht="27.75" customHeight="1" x14ac:dyDescent="0.15">
      <c r="A107" s="225">
        <v>148</v>
      </c>
      <c r="B107" s="226" t="s">
        <v>1287</v>
      </c>
      <c r="C107" s="227">
        <v>0</v>
      </c>
      <c r="D107" s="227">
        <v>0</v>
      </c>
    </row>
    <row r="108" spans="1:4" ht="27.75" customHeight="1" x14ac:dyDescent="0.15">
      <c r="A108" s="225">
        <v>149</v>
      </c>
      <c r="B108" s="226" t="s">
        <v>1288</v>
      </c>
      <c r="C108" s="227">
        <v>3.09996210296474</v>
      </c>
      <c r="D108" s="227">
        <v>0</v>
      </c>
    </row>
    <row r="109" spans="1:4" ht="27.75" customHeight="1" x14ac:dyDescent="0.15">
      <c r="A109" s="225">
        <v>152</v>
      </c>
      <c r="B109" s="226" t="s">
        <v>1289</v>
      </c>
      <c r="C109" s="227">
        <v>0</v>
      </c>
      <c r="D109" s="227">
        <v>0</v>
      </c>
    </row>
    <row r="110" spans="1:4" ht="27.75" customHeight="1" x14ac:dyDescent="0.15">
      <c r="A110" s="225">
        <v>153</v>
      </c>
      <c r="B110" s="226" t="s">
        <v>1290</v>
      </c>
      <c r="C110" s="227">
        <v>0</v>
      </c>
      <c r="D110" s="227">
        <v>0</v>
      </c>
    </row>
    <row r="111" spans="1:4" ht="27.75" customHeight="1" x14ac:dyDescent="0.15">
      <c r="A111" s="225">
        <v>154</v>
      </c>
      <c r="B111" s="226" t="s">
        <v>1291</v>
      </c>
      <c r="C111" s="227">
        <v>0</v>
      </c>
      <c r="D111" s="227">
        <v>0</v>
      </c>
    </row>
    <row r="112" spans="1:4" ht="27.75" customHeight="1" x14ac:dyDescent="0.15">
      <c r="A112" s="225">
        <v>155</v>
      </c>
      <c r="B112" s="226" t="s">
        <v>1292</v>
      </c>
      <c r="C112" s="227">
        <v>0</v>
      </c>
      <c r="D112" s="227">
        <v>0</v>
      </c>
    </row>
    <row r="113" spans="1:4" ht="27.75" customHeight="1" x14ac:dyDescent="0.15">
      <c r="A113" s="225">
        <v>156</v>
      </c>
      <c r="B113" s="226" t="s">
        <v>1293</v>
      </c>
      <c r="C113" s="227">
        <v>0</v>
      </c>
      <c r="D113" s="227">
        <v>0</v>
      </c>
    </row>
    <row r="114" spans="1:4" ht="27.75" customHeight="1" x14ac:dyDescent="0.15">
      <c r="A114" s="225">
        <v>157</v>
      </c>
      <c r="B114" s="226" t="s">
        <v>1294</v>
      </c>
      <c r="C114" s="227">
        <v>0</v>
      </c>
      <c r="D114" s="227">
        <v>16.339174884183802</v>
      </c>
    </row>
    <row r="115" spans="1:4" ht="27.75" customHeight="1" x14ac:dyDescent="0.15">
      <c r="A115" s="225">
        <v>158</v>
      </c>
      <c r="B115" s="226" t="s">
        <v>1295</v>
      </c>
      <c r="C115" s="227">
        <v>0</v>
      </c>
      <c r="D115" s="227">
        <v>1.06428358171418</v>
      </c>
    </row>
    <row r="116" spans="1:4" ht="27.75" customHeight="1" x14ac:dyDescent="0.15">
      <c r="A116" s="225">
        <v>159</v>
      </c>
      <c r="B116" s="226" t="s">
        <v>1296</v>
      </c>
      <c r="C116" s="227">
        <v>0</v>
      </c>
      <c r="D116" s="227">
        <v>1.06428358171418</v>
      </c>
    </row>
    <row r="117" spans="1:4" ht="27.75" customHeight="1" x14ac:dyDescent="0.15">
      <c r="A117" s="225">
        <v>160</v>
      </c>
      <c r="B117" s="226" t="s">
        <v>1297</v>
      </c>
      <c r="C117" s="227">
        <v>0</v>
      </c>
      <c r="D117" s="227">
        <v>1.06428358171418</v>
      </c>
    </row>
    <row r="118" spans="1:4" ht="27.75" customHeight="1" x14ac:dyDescent="0.15">
      <c r="A118" s="225">
        <v>161</v>
      </c>
      <c r="B118" s="226" t="s">
        <v>1298</v>
      </c>
      <c r="C118" s="227">
        <v>0</v>
      </c>
      <c r="D118" s="227">
        <v>1.06428358171418</v>
      </c>
    </row>
    <row r="119" spans="1:4" ht="27.75" customHeight="1" x14ac:dyDescent="0.15">
      <c r="A119" s="225">
        <v>162</v>
      </c>
      <c r="B119" s="226" t="s">
        <v>1299</v>
      </c>
      <c r="C119" s="227">
        <v>0</v>
      </c>
      <c r="D119" s="227">
        <v>0</v>
      </c>
    </row>
    <row r="120" spans="1:4" ht="27.75" customHeight="1" x14ac:dyDescent="0.15">
      <c r="A120" s="225">
        <v>163</v>
      </c>
      <c r="B120" s="226" t="s">
        <v>1300</v>
      </c>
      <c r="C120" s="227">
        <v>0.59473863627869294</v>
      </c>
      <c r="D120" s="227">
        <v>4.9514399954686601</v>
      </c>
    </row>
    <row r="121" spans="1:4" ht="27.75" customHeight="1" x14ac:dyDescent="0.15">
      <c r="A121" s="225">
        <v>164</v>
      </c>
      <c r="B121" s="226" t="s">
        <v>1301</v>
      </c>
      <c r="C121" s="227">
        <v>0.78576203193172101</v>
      </c>
      <c r="D121" s="227">
        <v>1.5710958550618299</v>
      </c>
    </row>
    <row r="122" spans="1:4" ht="27.75" customHeight="1" x14ac:dyDescent="0.15">
      <c r="A122" s="225">
        <v>165</v>
      </c>
      <c r="B122" s="226" t="s">
        <v>1302</v>
      </c>
      <c r="C122" s="227">
        <v>2.1966009902733701</v>
      </c>
      <c r="D122" s="227">
        <v>0</v>
      </c>
    </row>
    <row r="123" spans="1:4" ht="27.75" customHeight="1" x14ac:dyDescent="0.15">
      <c r="A123" s="225">
        <v>178</v>
      </c>
      <c r="B123" s="226" t="s">
        <v>1207</v>
      </c>
      <c r="C123" s="227">
        <v>0</v>
      </c>
      <c r="D123" s="227">
        <v>0</v>
      </c>
    </row>
    <row r="124" spans="1:4" ht="27.75" customHeight="1" x14ac:dyDescent="0.15">
      <c r="A124" s="225">
        <v>179</v>
      </c>
      <c r="B124" s="226" t="s">
        <v>1303</v>
      </c>
      <c r="C124" s="227">
        <v>0</v>
      </c>
      <c r="D124" s="227">
        <v>0</v>
      </c>
    </row>
    <row r="125" spans="1:4" ht="27.75" customHeight="1" x14ac:dyDescent="0.15">
      <c r="A125" s="225">
        <v>180</v>
      </c>
      <c r="B125" s="226" t="s">
        <v>1304</v>
      </c>
      <c r="C125" s="227">
        <v>1.7637680459866301</v>
      </c>
      <c r="D125" s="227">
        <v>2.6414871487203899</v>
      </c>
    </row>
    <row r="126" spans="1:4" ht="27.75" customHeight="1" x14ac:dyDescent="0.15">
      <c r="A126" s="225">
        <v>181</v>
      </c>
      <c r="B126" s="226" t="s">
        <v>1305</v>
      </c>
      <c r="C126" s="227">
        <v>0</v>
      </c>
      <c r="D126" s="227">
        <v>0</v>
      </c>
    </row>
    <row r="127" spans="1:4" ht="27.75" customHeight="1" x14ac:dyDescent="0.15">
      <c r="A127" s="225">
        <v>182</v>
      </c>
      <c r="B127" s="226" t="s">
        <v>1306</v>
      </c>
      <c r="C127" s="227">
        <v>0</v>
      </c>
      <c r="D127" s="227">
        <v>0</v>
      </c>
    </row>
    <row r="128" spans="1:4" ht="27.75" customHeight="1" x14ac:dyDescent="0.15">
      <c r="A128" s="225">
        <v>183</v>
      </c>
      <c r="B128" s="226" t="s">
        <v>1307</v>
      </c>
      <c r="C128" s="227">
        <v>0</v>
      </c>
      <c r="D128" s="227">
        <v>0</v>
      </c>
    </row>
    <row r="129" spans="1:4" ht="27.75" customHeight="1" x14ac:dyDescent="0.15">
      <c r="A129" s="225">
        <v>184</v>
      </c>
      <c r="B129" s="226" t="s">
        <v>1308</v>
      </c>
      <c r="C129" s="227">
        <v>0</v>
      </c>
      <c r="D129" s="227">
        <v>0</v>
      </c>
    </row>
    <row r="130" spans="1:4" ht="27.75" customHeight="1" x14ac:dyDescent="0.15">
      <c r="A130" s="225">
        <v>185</v>
      </c>
      <c r="B130" s="226" t="s">
        <v>1309</v>
      </c>
      <c r="C130" s="227">
        <v>2.8593336273882199</v>
      </c>
      <c r="D130" s="227">
        <v>0</v>
      </c>
    </row>
    <row r="131" spans="1:4" ht="27.75" customHeight="1" x14ac:dyDescent="0.15">
      <c r="A131" s="225">
        <v>186</v>
      </c>
      <c r="B131" s="226" t="s">
        <v>1310</v>
      </c>
      <c r="C131" s="227">
        <v>0</v>
      </c>
      <c r="D131" s="227">
        <v>1.06428358171418</v>
      </c>
    </row>
    <row r="132" spans="1:4" ht="27.75" customHeight="1" x14ac:dyDescent="0.15">
      <c r="A132" s="225">
        <v>187</v>
      </c>
      <c r="B132" s="226" t="s">
        <v>1311</v>
      </c>
      <c r="C132" s="227">
        <v>1.58501499411558</v>
      </c>
      <c r="D132" s="227">
        <v>0.68105591917223496</v>
      </c>
    </row>
    <row r="133" spans="1:4" ht="27.75" customHeight="1" x14ac:dyDescent="0.15">
      <c r="A133" s="225">
        <v>188</v>
      </c>
      <c r="B133" s="226" t="s">
        <v>1312</v>
      </c>
      <c r="C133" s="227">
        <v>0</v>
      </c>
      <c r="D133" s="227">
        <v>2.6414871487203899</v>
      </c>
    </row>
    <row r="134" spans="1:4" ht="27.75" customHeight="1" x14ac:dyDescent="0.15">
      <c r="A134" s="225">
        <v>189</v>
      </c>
      <c r="B134" s="226" t="s">
        <v>1313</v>
      </c>
      <c r="C134" s="227">
        <v>0</v>
      </c>
      <c r="D134" s="227">
        <v>2.6414871487203899</v>
      </c>
    </row>
    <row r="135" spans="1:4" ht="27.75" customHeight="1" x14ac:dyDescent="0.15">
      <c r="A135" s="225">
        <v>190</v>
      </c>
      <c r="B135" s="226" t="s">
        <v>1314</v>
      </c>
      <c r="C135" s="227">
        <v>0</v>
      </c>
      <c r="D135" s="227">
        <v>2.6414871487203899</v>
      </c>
    </row>
    <row r="136" spans="1:4" ht="27.75" customHeight="1" x14ac:dyDescent="0.15">
      <c r="A136" s="225">
        <v>191</v>
      </c>
      <c r="B136" s="226" t="s">
        <v>1315</v>
      </c>
      <c r="C136" s="227">
        <v>0</v>
      </c>
      <c r="D136" s="227">
        <v>1.98440071991779</v>
      </c>
    </row>
    <row r="137" spans="1:4" ht="27.75" customHeight="1" x14ac:dyDescent="0.15">
      <c r="A137" s="225">
        <v>192</v>
      </c>
      <c r="B137" s="226" t="s">
        <v>1316</v>
      </c>
      <c r="C137" s="227">
        <v>0</v>
      </c>
      <c r="D137" s="227">
        <v>1.98440071991779</v>
      </c>
    </row>
    <row r="138" spans="1:4" ht="27.75" customHeight="1" x14ac:dyDescent="0.15">
      <c r="A138" s="225">
        <v>193</v>
      </c>
      <c r="B138" s="226" t="s">
        <v>1317</v>
      </c>
      <c r="C138" s="227">
        <v>0</v>
      </c>
      <c r="D138" s="227">
        <v>1.98440071991779</v>
      </c>
    </row>
    <row r="139" spans="1:4" ht="27.75" customHeight="1" x14ac:dyDescent="0.15">
      <c r="A139" s="225">
        <v>195</v>
      </c>
      <c r="B139" s="226" t="s">
        <v>1318</v>
      </c>
      <c r="C139" s="227">
        <v>0</v>
      </c>
      <c r="D139" s="227">
        <v>1.98440071991779</v>
      </c>
    </row>
    <row r="140" spans="1:4" ht="27.75" customHeight="1" x14ac:dyDescent="0.15">
      <c r="A140" s="225">
        <v>196</v>
      </c>
      <c r="B140" s="226" t="s">
        <v>1319</v>
      </c>
      <c r="C140" s="227">
        <v>0</v>
      </c>
      <c r="D140" s="227">
        <v>1.98440071991779</v>
      </c>
    </row>
    <row r="141" spans="1:4" ht="27.75" customHeight="1" x14ac:dyDescent="0.15">
      <c r="A141" s="225">
        <v>197</v>
      </c>
      <c r="B141" s="226" t="s">
        <v>1320</v>
      </c>
      <c r="C141" s="227">
        <v>0</v>
      </c>
      <c r="D141" s="227">
        <v>1.98440071991779</v>
      </c>
    </row>
    <row r="142" spans="1:4" ht="27.75" customHeight="1" x14ac:dyDescent="0.15">
      <c r="A142" s="225">
        <v>198</v>
      </c>
      <c r="B142" s="226" t="s">
        <v>1321</v>
      </c>
      <c r="C142" s="227">
        <v>0</v>
      </c>
      <c r="D142" s="227">
        <v>6.1645450846106398</v>
      </c>
    </row>
    <row r="143" spans="1:4" ht="27.75" customHeight="1" x14ac:dyDescent="0.15">
      <c r="A143" s="225">
        <v>199</v>
      </c>
      <c r="B143" s="226" t="s">
        <v>1322</v>
      </c>
      <c r="C143" s="227">
        <v>0</v>
      </c>
      <c r="D143" s="227">
        <v>2.6414871487203899</v>
      </c>
    </row>
    <row r="144" spans="1:4" ht="27.75" customHeight="1" x14ac:dyDescent="0.15">
      <c r="A144" s="225">
        <v>200</v>
      </c>
      <c r="B144" s="226" t="s">
        <v>1323</v>
      </c>
      <c r="C144" s="227">
        <v>0</v>
      </c>
      <c r="D144" s="227">
        <v>0</v>
      </c>
    </row>
    <row r="145" spans="1:4" ht="27.75" customHeight="1" x14ac:dyDescent="0.15">
      <c r="A145" s="225">
        <v>201</v>
      </c>
      <c r="B145" s="226" t="s">
        <v>1324</v>
      </c>
      <c r="C145" s="227">
        <v>0</v>
      </c>
      <c r="D145" s="227">
        <v>2.6414871487203899</v>
      </c>
    </row>
    <row r="146" spans="1:4" ht="27.75" customHeight="1" x14ac:dyDescent="0.15">
      <c r="A146" s="225">
        <v>202</v>
      </c>
      <c r="B146" s="226" t="s">
        <v>1325</v>
      </c>
      <c r="C146" s="227">
        <v>0</v>
      </c>
      <c r="D146" s="227">
        <v>2.6414871487203899</v>
      </c>
    </row>
    <row r="147" spans="1:4" ht="27.75" customHeight="1" x14ac:dyDescent="0.15">
      <c r="A147" s="225">
        <v>203</v>
      </c>
      <c r="B147" s="226" t="s">
        <v>1326</v>
      </c>
      <c r="C147" s="227">
        <v>0</v>
      </c>
      <c r="D147" s="227">
        <v>0</v>
      </c>
    </row>
    <row r="148" spans="1:4" ht="27.75" customHeight="1" x14ac:dyDescent="0.15">
      <c r="A148" s="225">
        <v>204</v>
      </c>
      <c r="B148" s="226" t="s">
        <v>1327</v>
      </c>
      <c r="C148" s="227">
        <v>0</v>
      </c>
      <c r="D148" s="227">
        <v>4.9514399954686601</v>
      </c>
    </row>
    <row r="149" spans="1:4" ht="27.75" customHeight="1" x14ac:dyDescent="0.15">
      <c r="A149" s="225">
        <v>205</v>
      </c>
      <c r="B149" s="226" t="s">
        <v>1328</v>
      </c>
      <c r="C149" s="227">
        <v>0</v>
      </c>
      <c r="D149" s="227">
        <v>0</v>
      </c>
    </row>
    <row r="150" spans="1:4" ht="27.75" customHeight="1" x14ac:dyDescent="0.15">
      <c r="A150" s="225">
        <v>206</v>
      </c>
      <c r="B150" s="226" t="s">
        <v>1329</v>
      </c>
      <c r="C150" s="227">
        <v>0</v>
      </c>
      <c r="D150" s="227">
        <v>0</v>
      </c>
    </row>
    <row r="151" spans="1:4" ht="27.75" customHeight="1" x14ac:dyDescent="0.15">
      <c r="A151" s="225">
        <v>207</v>
      </c>
      <c r="B151" s="226" t="s">
        <v>1330</v>
      </c>
      <c r="C151" s="227">
        <v>0</v>
      </c>
      <c r="D151" s="227">
        <v>0</v>
      </c>
    </row>
    <row r="152" spans="1:4" ht="27.75" customHeight="1" x14ac:dyDescent="0.15">
      <c r="A152" s="225">
        <v>208</v>
      </c>
      <c r="B152" s="226" t="s">
        <v>1331</v>
      </c>
      <c r="C152" s="227">
        <v>0</v>
      </c>
      <c r="D152" s="227">
        <v>2.6414871487203899</v>
      </c>
    </row>
    <row r="153" spans="1:4" ht="27.75" customHeight="1" x14ac:dyDescent="0.15">
      <c r="A153" s="225">
        <v>209</v>
      </c>
      <c r="B153" s="226" t="s">
        <v>1332</v>
      </c>
      <c r="C153" s="227">
        <v>0</v>
      </c>
      <c r="D153" s="227">
        <v>6.1645450846106398</v>
      </c>
    </row>
    <row r="154" spans="1:4" ht="27.75" customHeight="1" x14ac:dyDescent="0.15">
      <c r="A154" s="225">
        <v>210</v>
      </c>
      <c r="B154" s="226" t="s">
        <v>1333</v>
      </c>
      <c r="C154" s="227">
        <v>0</v>
      </c>
      <c r="D154" s="227">
        <v>2.6414871487203899</v>
      </c>
    </row>
    <row r="155" spans="1:4" ht="27.75" customHeight="1" x14ac:dyDescent="0.15">
      <c r="A155" s="225">
        <v>211</v>
      </c>
      <c r="B155" s="226" t="s">
        <v>1334</v>
      </c>
      <c r="C155" s="227">
        <v>0</v>
      </c>
      <c r="D155" s="227">
        <v>6.1645450846106398</v>
      </c>
    </row>
    <row r="156" spans="1:4" ht="27.75" customHeight="1" x14ac:dyDescent="0.15">
      <c r="A156" s="225">
        <v>212</v>
      </c>
      <c r="B156" s="226" t="s">
        <v>1335</v>
      </c>
      <c r="C156" s="227">
        <v>0</v>
      </c>
      <c r="D156" s="227">
        <v>6.1645450846106398</v>
      </c>
    </row>
    <row r="157" spans="1:4" ht="27.75" customHeight="1" x14ac:dyDescent="0.15">
      <c r="A157" s="225">
        <v>213</v>
      </c>
      <c r="B157" s="226" t="s">
        <v>1336</v>
      </c>
      <c r="C157" s="227">
        <v>0</v>
      </c>
      <c r="D157" s="227">
        <v>1.98440071991779</v>
      </c>
    </row>
    <row r="158" spans="1:4" ht="27.75" customHeight="1" x14ac:dyDescent="0.15">
      <c r="A158" s="225">
        <v>214</v>
      </c>
      <c r="B158" s="226" t="s">
        <v>1337</v>
      </c>
      <c r="C158" s="227">
        <v>0</v>
      </c>
      <c r="D158" s="227">
        <v>1.98440071991779</v>
      </c>
    </row>
    <row r="159" spans="1:4" ht="27.75" customHeight="1" x14ac:dyDescent="0.15">
      <c r="A159" s="225">
        <v>215</v>
      </c>
      <c r="B159" s="226" t="s">
        <v>1338</v>
      </c>
      <c r="C159" s="227">
        <v>0</v>
      </c>
      <c r="D159" s="227">
        <v>1.98440071991779</v>
      </c>
    </row>
    <row r="160" spans="1:4" ht="27.75" customHeight="1" x14ac:dyDescent="0.15">
      <c r="A160" s="225">
        <v>216</v>
      </c>
      <c r="B160" s="226" t="s">
        <v>1339</v>
      </c>
      <c r="C160" s="227">
        <v>0</v>
      </c>
      <c r="D160" s="227">
        <v>6.1645450846106398</v>
      </c>
    </row>
    <row r="161" spans="1:4" ht="27.75" customHeight="1" x14ac:dyDescent="0.15">
      <c r="A161" s="225">
        <v>217</v>
      </c>
      <c r="B161" s="226" t="s">
        <v>1340</v>
      </c>
      <c r="C161" s="227">
        <v>0</v>
      </c>
      <c r="D161" s="227">
        <v>16.339174884183802</v>
      </c>
    </row>
    <row r="162" spans="1:4" ht="27.75" customHeight="1" x14ac:dyDescent="0.15">
      <c r="A162" s="225">
        <v>219</v>
      </c>
      <c r="B162" s="226" t="s">
        <v>1341</v>
      </c>
      <c r="C162" s="227">
        <v>0</v>
      </c>
      <c r="D162" s="227">
        <v>0</v>
      </c>
    </row>
    <row r="163" spans="1:4" ht="27.75" customHeight="1" x14ac:dyDescent="0.15">
      <c r="A163" s="225">
        <v>220</v>
      </c>
      <c r="B163" s="226" t="s">
        <v>1342</v>
      </c>
      <c r="C163" s="227">
        <v>0</v>
      </c>
      <c r="D163" s="227">
        <v>0</v>
      </c>
    </row>
    <row r="164" spans="1:4" ht="27.75" customHeight="1" x14ac:dyDescent="0.15">
      <c r="A164" s="225">
        <v>221</v>
      </c>
      <c r="B164" s="226" t="s">
        <v>1343</v>
      </c>
      <c r="C164" s="227">
        <v>0</v>
      </c>
      <c r="D164" s="227">
        <v>0</v>
      </c>
    </row>
    <row r="165" spans="1:4" ht="27.75" customHeight="1" x14ac:dyDescent="0.15">
      <c r="A165" s="225">
        <v>222</v>
      </c>
      <c r="B165" s="226" t="s">
        <v>1344</v>
      </c>
      <c r="C165" s="227">
        <v>0</v>
      </c>
      <c r="D165" s="227">
        <v>3.2438372376388802</v>
      </c>
    </row>
    <row r="166" spans="1:4" ht="27.75" customHeight="1" x14ac:dyDescent="0.15">
      <c r="A166" s="225">
        <v>223</v>
      </c>
      <c r="B166" s="226" t="s">
        <v>1345</v>
      </c>
      <c r="C166" s="227">
        <v>0</v>
      </c>
      <c r="D166" s="227">
        <v>3.2438372376388802</v>
      </c>
    </row>
    <row r="167" spans="1:4" ht="27.75" customHeight="1" x14ac:dyDescent="0.15">
      <c r="A167" s="225">
        <v>224</v>
      </c>
      <c r="B167" s="226" t="s">
        <v>1346</v>
      </c>
      <c r="C167" s="227">
        <v>0</v>
      </c>
      <c r="D167" s="227">
        <v>6.1645450846106398</v>
      </c>
    </row>
    <row r="168" spans="1:4" ht="27.75" customHeight="1" x14ac:dyDescent="0.15">
      <c r="A168" s="225">
        <v>225</v>
      </c>
      <c r="B168" s="226" t="s">
        <v>1347</v>
      </c>
      <c r="C168" s="227">
        <v>0</v>
      </c>
      <c r="D168" s="227">
        <v>3.2438372376388802</v>
      </c>
    </row>
    <row r="169" spans="1:4" ht="27.75" customHeight="1" x14ac:dyDescent="0.15">
      <c r="A169" s="225">
        <v>226</v>
      </c>
      <c r="B169" s="226" t="s">
        <v>1348</v>
      </c>
      <c r="C169" s="227">
        <v>0</v>
      </c>
      <c r="D169" s="227">
        <v>3.2438372376388802</v>
      </c>
    </row>
    <row r="170" spans="1:4" ht="27.75" customHeight="1" x14ac:dyDescent="0.15">
      <c r="A170" s="225">
        <v>227</v>
      </c>
      <c r="B170" s="226" t="s">
        <v>1349</v>
      </c>
      <c r="C170" s="227">
        <v>0</v>
      </c>
      <c r="D170" s="227">
        <v>0</v>
      </c>
    </row>
    <row r="171" spans="1:4" ht="27.75" customHeight="1" x14ac:dyDescent="0.15">
      <c r="A171" s="225">
        <v>228</v>
      </c>
      <c r="B171" s="226" t="s">
        <v>1350</v>
      </c>
      <c r="C171" s="227">
        <v>0</v>
      </c>
      <c r="D171" s="227">
        <v>0</v>
      </c>
    </row>
    <row r="172" spans="1:4" ht="27.75" customHeight="1" x14ac:dyDescent="0.15">
      <c r="A172" s="225">
        <v>229</v>
      </c>
      <c r="B172" s="226" t="s">
        <v>1351</v>
      </c>
      <c r="C172" s="227">
        <v>0</v>
      </c>
      <c r="D172" s="227">
        <v>0</v>
      </c>
    </row>
    <row r="173" spans="1:4" ht="27.75" customHeight="1" x14ac:dyDescent="0.15">
      <c r="A173" s="225">
        <v>230</v>
      </c>
      <c r="B173" s="226" t="s">
        <v>1352</v>
      </c>
      <c r="C173" s="227">
        <v>0</v>
      </c>
      <c r="D173" s="227">
        <v>0</v>
      </c>
    </row>
    <row r="174" spans="1:4" ht="27.75" customHeight="1" x14ac:dyDescent="0.15">
      <c r="A174" s="225">
        <v>231</v>
      </c>
      <c r="B174" s="226" t="s">
        <v>1353</v>
      </c>
      <c r="C174" s="227">
        <v>0</v>
      </c>
      <c r="D174" s="227">
        <v>6.1645450846106398</v>
      </c>
    </row>
    <row r="175" spans="1:4" ht="27.75" customHeight="1" x14ac:dyDescent="0.15">
      <c r="A175" s="225">
        <v>232</v>
      </c>
      <c r="B175" s="226" t="s">
        <v>1354</v>
      </c>
      <c r="C175" s="227">
        <v>0</v>
      </c>
      <c r="D175" s="227">
        <v>0</v>
      </c>
    </row>
    <row r="176" spans="1:4" ht="27.75" customHeight="1" x14ac:dyDescent="0.15">
      <c r="A176" s="225">
        <v>233</v>
      </c>
      <c r="B176" s="226" t="s">
        <v>1355</v>
      </c>
      <c r="C176" s="227">
        <v>0</v>
      </c>
      <c r="D176" s="227">
        <v>4.9514399954686601</v>
      </c>
    </row>
    <row r="177" spans="1:4" ht="27.75" customHeight="1" x14ac:dyDescent="0.15">
      <c r="A177" s="225">
        <v>234</v>
      </c>
      <c r="B177" s="226" t="s">
        <v>1356</v>
      </c>
      <c r="C177" s="227">
        <v>0</v>
      </c>
      <c r="D177" s="227">
        <v>0</v>
      </c>
    </row>
    <row r="178" spans="1:4" ht="27.75" customHeight="1" x14ac:dyDescent="0.15">
      <c r="A178" s="225">
        <v>235</v>
      </c>
      <c r="B178" s="226" t="s">
        <v>1357</v>
      </c>
      <c r="C178" s="227">
        <v>0</v>
      </c>
      <c r="D178" s="227">
        <v>0</v>
      </c>
    </row>
    <row r="179" spans="1:4" ht="27.75" customHeight="1" x14ac:dyDescent="0.15">
      <c r="A179" s="225">
        <v>236</v>
      </c>
      <c r="B179" s="226" t="s">
        <v>1358</v>
      </c>
      <c r="C179" s="227">
        <v>0</v>
      </c>
      <c r="D179" s="227">
        <v>0</v>
      </c>
    </row>
    <row r="180" spans="1:4" ht="27.75" customHeight="1" x14ac:dyDescent="0.15">
      <c r="A180" s="225">
        <v>237</v>
      </c>
      <c r="B180" s="226" t="s">
        <v>1359</v>
      </c>
      <c r="C180" s="227">
        <v>0</v>
      </c>
      <c r="D180" s="227">
        <v>0</v>
      </c>
    </row>
    <row r="181" spans="1:4" ht="27.75" customHeight="1" x14ac:dyDescent="0.15">
      <c r="A181" s="225">
        <v>238</v>
      </c>
      <c r="B181" s="226" t="s">
        <v>1360</v>
      </c>
      <c r="C181" s="227">
        <v>0</v>
      </c>
      <c r="D181" s="227">
        <v>0</v>
      </c>
    </row>
    <row r="182" spans="1:4" ht="27.75" customHeight="1" x14ac:dyDescent="0.15">
      <c r="A182" s="225">
        <v>239</v>
      </c>
      <c r="B182" s="226" t="s">
        <v>1361</v>
      </c>
      <c r="C182" s="227">
        <v>0</v>
      </c>
      <c r="D182" s="227">
        <v>0</v>
      </c>
    </row>
    <row r="183" spans="1:4" ht="27.75" customHeight="1" x14ac:dyDescent="0.15">
      <c r="A183" s="225">
        <v>240</v>
      </c>
      <c r="B183" s="226" t="s">
        <v>1362</v>
      </c>
      <c r="C183" s="227">
        <v>0</v>
      </c>
      <c r="D183" s="227">
        <v>0</v>
      </c>
    </row>
    <row r="184" spans="1:4" ht="27.75" customHeight="1" x14ac:dyDescent="0.15">
      <c r="A184" s="225">
        <v>241</v>
      </c>
      <c r="B184" s="226" t="s">
        <v>1363</v>
      </c>
      <c r="C184" s="227">
        <v>0</v>
      </c>
      <c r="D184" s="227">
        <v>0</v>
      </c>
    </row>
    <row r="185" spans="1:4" ht="27.75" customHeight="1" x14ac:dyDescent="0.15">
      <c r="A185" s="225">
        <v>242</v>
      </c>
      <c r="B185" s="226" t="s">
        <v>1364</v>
      </c>
      <c r="C185" s="227">
        <v>0</v>
      </c>
      <c r="D185" s="227">
        <v>2.6414871487203899</v>
      </c>
    </row>
    <row r="186" spans="1:4" ht="27.75" customHeight="1" x14ac:dyDescent="0.15">
      <c r="A186" s="225">
        <v>243</v>
      </c>
      <c r="B186" s="226" t="s">
        <v>1365</v>
      </c>
      <c r="C186" s="227">
        <v>0</v>
      </c>
      <c r="D186" s="227">
        <v>1.06428358171418</v>
      </c>
    </row>
    <row r="187" spans="1:4" ht="27.75" customHeight="1" x14ac:dyDescent="0.15">
      <c r="A187" s="225">
        <v>244</v>
      </c>
      <c r="B187" s="226" t="s">
        <v>1366</v>
      </c>
      <c r="C187" s="227">
        <v>0</v>
      </c>
      <c r="D187" s="227">
        <v>6.1645450846106398</v>
      </c>
    </row>
    <row r="188" spans="1:4" ht="27.75" customHeight="1" x14ac:dyDescent="0.15">
      <c r="A188" s="225">
        <v>245</v>
      </c>
      <c r="B188" s="226" t="s">
        <v>1367</v>
      </c>
      <c r="C188" s="227">
        <v>0</v>
      </c>
      <c r="D188" s="227">
        <v>2.6414871487203899</v>
      </c>
    </row>
    <row r="189" spans="1:4" ht="27.75" customHeight="1" x14ac:dyDescent="0.15">
      <c r="A189" s="225">
        <v>246</v>
      </c>
      <c r="B189" s="226" t="s">
        <v>1368</v>
      </c>
      <c r="C189" s="227">
        <v>0</v>
      </c>
      <c r="D189" s="227">
        <v>1.98440071991779</v>
      </c>
    </row>
    <row r="190" spans="1:4" ht="27.75" customHeight="1" x14ac:dyDescent="0.15">
      <c r="A190" s="225">
        <v>247</v>
      </c>
      <c r="B190" s="226" t="s">
        <v>1369</v>
      </c>
      <c r="C190" s="227">
        <v>0</v>
      </c>
      <c r="D190" s="227">
        <v>3.2438372376388802</v>
      </c>
    </row>
    <row r="191" spans="1:4" ht="27.75" customHeight="1" x14ac:dyDescent="0.15">
      <c r="A191" s="225">
        <v>248</v>
      </c>
      <c r="B191" s="226" t="s">
        <v>1370</v>
      </c>
      <c r="C191" s="227">
        <v>0</v>
      </c>
      <c r="D191" s="227">
        <v>3.2438372376388802</v>
      </c>
    </row>
    <row r="192" spans="1:4" ht="27.75" customHeight="1" x14ac:dyDescent="0.15">
      <c r="A192" s="225">
        <v>249</v>
      </c>
      <c r="B192" s="226" t="s">
        <v>1371</v>
      </c>
      <c r="C192" s="227">
        <v>0</v>
      </c>
      <c r="D192" s="227">
        <v>3.2438372376388802</v>
      </c>
    </row>
    <row r="193" spans="1:4" ht="27.75" customHeight="1" x14ac:dyDescent="0.15">
      <c r="A193" s="225">
        <v>250</v>
      </c>
      <c r="B193" s="226" t="s">
        <v>1372</v>
      </c>
      <c r="C193" s="227">
        <v>0</v>
      </c>
      <c r="D193" s="227">
        <v>2.6414871487203899</v>
      </c>
    </row>
    <row r="194" spans="1:4" ht="27.75" customHeight="1" x14ac:dyDescent="0.15">
      <c r="A194" s="225">
        <v>251</v>
      </c>
      <c r="B194" s="226" t="s">
        <v>1373</v>
      </c>
      <c r="C194" s="227">
        <v>0</v>
      </c>
      <c r="D194" s="227">
        <v>0</v>
      </c>
    </row>
    <row r="195" spans="1:4" ht="27.75" customHeight="1" x14ac:dyDescent="0.15">
      <c r="A195" s="225">
        <v>252</v>
      </c>
      <c r="B195" s="226" t="s">
        <v>1374</v>
      </c>
      <c r="C195" s="227">
        <v>0</v>
      </c>
      <c r="D195" s="227">
        <v>2.6414871487203899</v>
      </c>
    </row>
    <row r="196" spans="1:4" ht="27.75" customHeight="1" x14ac:dyDescent="0.15">
      <c r="A196" s="225">
        <v>253</v>
      </c>
      <c r="B196" s="226" t="s">
        <v>1375</v>
      </c>
      <c r="C196" s="227">
        <v>0</v>
      </c>
      <c r="D196" s="227">
        <v>0</v>
      </c>
    </row>
    <row r="197" spans="1:4" ht="27.75" customHeight="1" x14ac:dyDescent="0.15">
      <c r="A197" s="225">
        <v>254</v>
      </c>
      <c r="B197" s="226" t="s">
        <v>1376</v>
      </c>
      <c r="C197" s="227">
        <v>0</v>
      </c>
      <c r="D197" s="227">
        <v>6.1645450846106398</v>
      </c>
    </row>
    <row r="198" spans="1:4" ht="27.75" customHeight="1" x14ac:dyDescent="0.15">
      <c r="A198" s="225">
        <v>255</v>
      </c>
      <c r="B198" s="226" t="s">
        <v>1377</v>
      </c>
      <c r="C198" s="227">
        <v>0</v>
      </c>
      <c r="D198" s="227">
        <v>6.1645450846106398</v>
      </c>
    </row>
    <row r="199" spans="1:4" ht="27.75" customHeight="1" x14ac:dyDescent="0.15">
      <c r="A199" s="225">
        <v>256</v>
      </c>
      <c r="B199" s="226" t="s">
        <v>1378</v>
      </c>
      <c r="C199" s="227">
        <v>0</v>
      </c>
      <c r="D199" s="227">
        <v>6.1645450846106398</v>
      </c>
    </row>
    <row r="200" spans="1:4" ht="27.75" customHeight="1" x14ac:dyDescent="0.15">
      <c r="A200" s="225">
        <v>257</v>
      </c>
      <c r="B200" s="226" t="s">
        <v>1379</v>
      </c>
      <c r="C200" s="227">
        <v>0</v>
      </c>
      <c r="D200" s="227">
        <v>2.6414871487203899</v>
      </c>
    </row>
    <row r="201" spans="1:4" ht="27.75" customHeight="1" x14ac:dyDescent="0.15">
      <c r="A201" s="225">
        <v>258</v>
      </c>
      <c r="B201" s="226" t="s">
        <v>1380</v>
      </c>
      <c r="C201" s="227">
        <v>0</v>
      </c>
      <c r="D201" s="227">
        <v>2.6414871487203899</v>
      </c>
    </row>
    <row r="202" spans="1:4" ht="27.75" customHeight="1" x14ac:dyDescent="0.15">
      <c r="A202" s="225">
        <v>259</v>
      </c>
      <c r="B202" s="226" t="s">
        <v>1381</v>
      </c>
      <c r="C202" s="227">
        <v>0</v>
      </c>
      <c r="D202" s="227">
        <v>6.1645450846106398</v>
      </c>
    </row>
    <row r="203" spans="1:4" ht="27.75" customHeight="1" x14ac:dyDescent="0.15">
      <c r="A203" s="225">
        <v>260</v>
      </c>
      <c r="B203" s="226" t="s">
        <v>1382</v>
      </c>
      <c r="C203" s="227">
        <v>0</v>
      </c>
      <c r="D203" s="227">
        <v>4.9514399954686601</v>
      </c>
    </row>
    <row r="204" spans="1:4" ht="27.75" customHeight="1" x14ac:dyDescent="0.15">
      <c r="A204" s="225">
        <v>261</v>
      </c>
      <c r="B204" s="226" t="s">
        <v>1383</v>
      </c>
      <c r="C204" s="227">
        <v>0</v>
      </c>
      <c r="D204" s="227">
        <v>6.1645450846106398</v>
      </c>
    </row>
    <row r="205" spans="1:4" ht="27.75" customHeight="1" x14ac:dyDescent="0.15">
      <c r="A205" s="225">
        <v>262</v>
      </c>
      <c r="B205" s="226" t="s">
        <v>1384</v>
      </c>
      <c r="C205" s="227">
        <v>0</v>
      </c>
      <c r="D205" s="227">
        <v>0</v>
      </c>
    </row>
    <row r="206" spans="1:4" ht="27.75" customHeight="1" x14ac:dyDescent="0.15">
      <c r="A206" s="225">
        <v>263</v>
      </c>
      <c r="B206" s="226" t="s">
        <v>1385</v>
      </c>
      <c r="C206" s="227">
        <v>0</v>
      </c>
      <c r="D206" s="227">
        <v>0</v>
      </c>
    </row>
    <row r="207" spans="1:4" ht="27.75" customHeight="1" x14ac:dyDescent="0.15">
      <c r="A207" s="225">
        <v>264</v>
      </c>
      <c r="B207" s="226" t="s">
        <v>1386</v>
      </c>
      <c r="C207" s="227">
        <v>0</v>
      </c>
      <c r="D207" s="227">
        <v>0</v>
      </c>
    </row>
    <row r="208" spans="1:4" ht="27.75" customHeight="1" x14ac:dyDescent="0.15">
      <c r="A208" s="225">
        <v>265</v>
      </c>
      <c r="B208" s="226" t="s">
        <v>1387</v>
      </c>
      <c r="C208" s="227">
        <v>0</v>
      </c>
      <c r="D208" s="227">
        <v>1.98440071991779</v>
      </c>
    </row>
    <row r="209" spans="1:4" ht="27.75" customHeight="1" x14ac:dyDescent="0.15">
      <c r="A209" s="225">
        <v>267</v>
      </c>
      <c r="B209" s="226" t="s">
        <v>1388</v>
      </c>
      <c r="C209" s="227">
        <v>0</v>
      </c>
      <c r="D209" s="227">
        <v>0</v>
      </c>
    </row>
    <row r="210" spans="1:4" ht="27.75" customHeight="1" x14ac:dyDescent="0.15">
      <c r="A210" s="225">
        <v>268</v>
      </c>
      <c r="B210" s="226" t="s">
        <v>1389</v>
      </c>
      <c r="C210" s="227">
        <v>0</v>
      </c>
      <c r="D210" s="227">
        <v>2.6414871487203899</v>
      </c>
    </row>
    <row r="211" spans="1:4" ht="27.75" customHeight="1" x14ac:dyDescent="0.15">
      <c r="A211" s="225">
        <v>269</v>
      </c>
      <c r="B211" s="226" t="s">
        <v>1390</v>
      </c>
      <c r="C211" s="227">
        <v>0</v>
      </c>
      <c r="D211" s="227">
        <v>0</v>
      </c>
    </row>
    <row r="212" spans="1:4" ht="27.75" customHeight="1" x14ac:dyDescent="0.15">
      <c r="A212" s="225">
        <v>270</v>
      </c>
      <c r="B212" s="226" t="s">
        <v>1391</v>
      </c>
      <c r="C212" s="227">
        <v>0</v>
      </c>
      <c r="D212" s="227">
        <v>0</v>
      </c>
    </row>
    <row r="213" spans="1:4" ht="27.75" customHeight="1" x14ac:dyDescent="0.15">
      <c r="A213" s="225">
        <v>271</v>
      </c>
      <c r="B213" s="226" t="s">
        <v>1392</v>
      </c>
      <c r="C213" s="227">
        <v>0</v>
      </c>
      <c r="D213" s="227">
        <v>0</v>
      </c>
    </row>
    <row r="214" spans="1:4" ht="27.75" customHeight="1" x14ac:dyDescent="0.15">
      <c r="A214" s="225">
        <v>273</v>
      </c>
      <c r="B214" s="226" t="s">
        <v>1393</v>
      </c>
      <c r="C214" s="227">
        <v>0</v>
      </c>
      <c r="D214" s="227">
        <v>0</v>
      </c>
    </row>
    <row r="215" spans="1:4" ht="27.75" customHeight="1" x14ac:dyDescent="0.15">
      <c r="A215" s="225">
        <v>274</v>
      </c>
      <c r="B215" s="226" t="s">
        <v>1394</v>
      </c>
      <c r="C215" s="227">
        <v>0</v>
      </c>
      <c r="D215" s="227">
        <v>2.6414871487203899</v>
      </c>
    </row>
    <row r="216" spans="1:4" ht="27.75" customHeight="1" x14ac:dyDescent="0.15">
      <c r="A216" s="225">
        <v>275</v>
      </c>
      <c r="B216" s="226" t="s">
        <v>1395</v>
      </c>
      <c r="C216" s="227">
        <v>0</v>
      </c>
      <c r="D216" s="227">
        <v>2.6414871487203899</v>
      </c>
    </row>
    <row r="217" spans="1:4" ht="27.75" customHeight="1" x14ac:dyDescent="0.15">
      <c r="A217" s="225">
        <v>276</v>
      </c>
      <c r="B217" s="226" t="s">
        <v>1396</v>
      </c>
      <c r="C217" s="227">
        <v>0</v>
      </c>
      <c r="D217" s="227">
        <v>2.6414871487203899</v>
      </c>
    </row>
    <row r="218" spans="1:4" ht="27.75" customHeight="1" x14ac:dyDescent="0.15">
      <c r="A218" s="225">
        <v>277</v>
      </c>
      <c r="B218" s="226" t="s">
        <v>1397</v>
      </c>
      <c r="C218" s="227">
        <v>0</v>
      </c>
      <c r="D218" s="227">
        <v>6.8567617421383105</v>
      </c>
    </row>
    <row r="219" spans="1:4" ht="27.75" customHeight="1" x14ac:dyDescent="0.15">
      <c r="A219" s="225">
        <v>278</v>
      </c>
      <c r="B219" s="226" t="s">
        <v>1398</v>
      </c>
      <c r="C219" s="227">
        <v>0</v>
      </c>
      <c r="D219" s="227">
        <v>2.6414871487203899</v>
      </c>
    </row>
    <row r="220" spans="1:4" ht="27.75" customHeight="1" x14ac:dyDescent="0.15">
      <c r="A220" s="225">
        <v>279</v>
      </c>
      <c r="B220" s="226" t="s">
        <v>1399</v>
      </c>
      <c r="C220" s="227">
        <v>0</v>
      </c>
      <c r="D220" s="227">
        <v>2.6414871487203899</v>
      </c>
    </row>
    <row r="221" spans="1:4" ht="27.75" customHeight="1" x14ac:dyDescent="0.15">
      <c r="A221" s="225">
        <v>280</v>
      </c>
      <c r="B221" s="226" t="s">
        <v>1400</v>
      </c>
      <c r="C221" s="227">
        <v>0</v>
      </c>
      <c r="D221" s="227">
        <v>2.6414871487203899</v>
      </c>
    </row>
    <row r="222" spans="1:4" ht="27.75" customHeight="1" x14ac:dyDescent="0.15">
      <c r="A222" s="225">
        <v>281</v>
      </c>
      <c r="B222" s="226" t="s">
        <v>1401</v>
      </c>
      <c r="C222" s="227">
        <v>0</v>
      </c>
      <c r="D222" s="227">
        <v>2.6414871487203899</v>
      </c>
    </row>
    <row r="223" spans="1:4" ht="27.75" customHeight="1" x14ac:dyDescent="0.15">
      <c r="A223" s="225">
        <v>282</v>
      </c>
      <c r="B223" s="226" t="s">
        <v>1402</v>
      </c>
      <c r="C223" s="227">
        <v>0</v>
      </c>
      <c r="D223" s="227">
        <v>2.6414871487203899</v>
      </c>
    </row>
    <row r="224" spans="1:4" ht="27.75" customHeight="1" x14ac:dyDescent="0.15">
      <c r="A224" s="225">
        <v>283</v>
      </c>
      <c r="B224" s="226" t="s">
        <v>1403</v>
      </c>
      <c r="C224" s="227">
        <v>0</v>
      </c>
      <c r="D224" s="227">
        <v>2.6414871487203899</v>
      </c>
    </row>
    <row r="225" spans="1:4" ht="27.75" customHeight="1" x14ac:dyDescent="0.15">
      <c r="A225" s="225">
        <v>284</v>
      </c>
      <c r="B225" s="226" t="s">
        <v>1404</v>
      </c>
      <c r="C225" s="227">
        <v>0</v>
      </c>
      <c r="D225" s="227">
        <v>6.1645450846106398</v>
      </c>
    </row>
    <row r="226" spans="1:4" ht="27.75" customHeight="1" x14ac:dyDescent="0.15">
      <c r="A226" s="225">
        <v>285</v>
      </c>
      <c r="B226" s="226" t="s">
        <v>1405</v>
      </c>
      <c r="C226" s="227">
        <v>0</v>
      </c>
      <c r="D226" s="227">
        <v>1.98440071991779</v>
      </c>
    </row>
    <row r="227" spans="1:4" ht="27.75" customHeight="1" x14ac:dyDescent="0.15">
      <c r="A227" s="225">
        <v>286</v>
      </c>
      <c r="B227" s="226" t="s">
        <v>1406</v>
      </c>
      <c r="C227" s="227">
        <v>0</v>
      </c>
      <c r="D227" s="227">
        <v>1.98440071991779</v>
      </c>
    </row>
    <row r="228" spans="1:4" ht="27.75" customHeight="1" x14ac:dyDescent="0.15">
      <c r="A228" s="225">
        <v>287</v>
      </c>
      <c r="B228" s="226" t="s">
        <v>1407</v>
      </c>
      <c r="C228" s="227">
        <v>0</v>
      </c>
      <c r="D228" s="227">
        <v>1.98440071991779</v>
      </c>
    </row>
    <row r="229" spans="1:4" ht="27.75" customHeight="1" x14ac:dyDescent="0.15">
      <c r="A229" s="225">
        <v>288</v>
      </c>
      <c r="B229" s="226" t="s">
        <v>1408</v>
      </c>
      <c r="C229" s="227">
        <v>0</v>
      </c>
      <c r="D229" s="227">
        <v>0</v>
      </c>
    </row>
    <row r="230" spans="1:4" ht="27.75" customHeight="1" x14ac:dyDescent="0.15">
      <c r="A230" s="225">
        <v>289</v>
      </c>
      <c r="B230" s="226" t="s">
        <v>1409</v>
      </c>
      <c r="C230" s="227">
        <v>0</v>
      </c>
      <c r="D230" s="227">
        <v>0</v>
      </c>
    </row>
    <row r="231" spans="1:4" ht="27.75" customHeight="1" x14ac:dyDescent="0.15">
      <c r="A231" s="225">
        <v>290</v>
      </c>
      <c r="B231" s="226" t="s">
        <v>1410</v>
      </c>
      <c r="C231" s="227">
        <v>0</v>
      </c>
      <c r="D231" s="227">
        <v>1.98440071991779</v>
      </c>
    </row>
    <row r="232" spans="1:4" ht="27.75" customHeight="1" x14ac:dyDescent="0.15">
      <c r="A232" s="225">
        <v>291</v>
      </c>
      <c r="B232" s="226" t="s">
        <v>1411</v>
      </c>
      <c r="C232" s="227">
        <v>0</v>
      </c>
      <c r="D232" s="227">
        <v>1.98440071991779</v>
      </c>
    </row>
    <row r="233" spans="1:4" ht="27.75" customHeight="1" x14ac:dyDescent="0.15">
      <c r="A233" s="225">
        <v>292</v>
      </c>
      <c r="B233" s="226" t="s">
        <v>1412</v>
      </c>
      <c r="C233" s="227">
        <v>0</v>
      </c>
      <c r="D233" s="227">
        <v>1.98440071991779</v>
      </c>
    </row>
    <row r="234" spans="1:4" ht="27.75" customHeight="1" x14ac:dyDescent="0.15">
      <c r="A234" s="225">
        <v>293</v>
      </c>
      <c r="B234" s="226" t="s">
        <v>1413</v>
      </c>
      <c r="C234" s="227">
        <v>0</v>
      </c>
      <c r="D234" s="227">
        <v>1.98440071991779</v>
      </c>
    </row>
    <row r="235" spans="1:4" ht="27.75" customHeight="1" x14ac:dyDescent="0.15">
      <c r="A235" s="225">
        <v>294</v>
      </c>
      <c r="B235" s="226" t="s">
        <v>1414</v>
      </c>
      <c r="C235" s="227">
        <v>0</v>
      </c>
      <c r="D235" s="227">
        <v>2.6414871487203899</v>
      </c>
    </row>
    <row r="236" spans="1:4" ht="27.75" customHeight="1" x14ac:dyDescent="0.15">
      <c r="A236" s="225">
        <v>295</v>
      </c>
      <c r="B236" s="226" t="s">
        <v>1415</v>
      </c>
      <c r="C236" s="227">
        <v>0</v>
      </c>
      <c r="D236" s="227">
        <v>0</v>
      </c>
    </row>
    <row r="237" spans="1:4" ht="27.75" customHeight="1" x14ac:dyDescent="0.15">
      <c r="A237" s="225">
        <v>296</v>
      </c>
      <c r="B237" s="226" t="s">
        <v>1416</v>
      </c>
      <c r="C237" s="227">
        <v>0</v>
      </c>
      <c r="D237" s="227">
        <v>1.98440071991779</v>
      </c>
    </row>
    <row r="238" spans="1:4" ht="27.75" customHeight="1" x14ac:dyDescent="0.15">
      <c r="A238" s="225">
        <v>297</v>
      </c>
      <c r="B238" s="226" t="s">
        <v>1417</v>
      </c>
      <c r="C238" s="227">
        <v>0</v>
      </c>
      <c r="D238" s="227">
        <v>1.98440071991779</v>
      </c>
    </row>
    <row r="239" spans="1:4" ht="27.75" customHeight="1" x14ac:dyDescent="0.15">
      <c r="A239" s="225">
        <v>298</v>
      </c>
      <c r="B239" s="226" t="s">
        <v>1418</v>
      </c>
      <c r="C239" s="227">
        <v>0</v>
      </c>
      <c r="D239" s="227">
        <v>0</v>
      </c>
    </row>
    <row r="240" spans="1:4" ht="27.75" customHeight="1" x14ac:dyDescent="0.15">
      <c r="A240" s="225">
        <v>299</v>
      </c>
      <c r="B240" s="226" t="s">
        <v>1419</v>
      </c>
      <c r="C240" s="227">
        <v>0</v>
      </c>
      <c r="D240" s="227">
        <v>6.1645450846106398</v>
      </c>
    </row>
    <row r="241" spans="1:4" ht="27.75" customHeight="1" x14ac:dyDescent="0.15">
      <c r="A241" s="225">
        <v>300</v>
      </c>
      <c r="B241" s="226" t="s">
        <v>1420</v>
      </c>
      <c r="C241" s="227">
        <v>0</v>
      </c>
      <c r="D241" s="227">
        <v>5.3312856993686601</v>
      </c>
    </row>
    <row r="242" spans="1:4" ht="27.75" customHeight="1" x14ac:dyDescent="0.15">
      <c r="A242" s="225">
        <v>301</v>
      </c>
      <c r="B242" s="226" t="s">
        <v>1421</v>
      </c>
      <c r="C242" s="227">
        <v>0</v>
      </c>
      <c r="D242" s="227">
        <v>0</v>
      </c>
    </row>
    <row r="243" spans="1:4" ht="27.75" customHeight="1" x14ac:dyDescent="0.15">
      <c r="A243" s="225">
        <v>302</v>
      </c>
      <c r="B243" s="226" t="s">
        <v>1422</v>
      </c>
      <c r="C243" s="227">
        <v>0</v>
      </c>
      <c r="D243" s="227">
        <v>0</v>
      </c>
    </row>
    <row r="244" spans="1:4" ht="27.75" customHeight="1" x14ac:dyDescent="0.15">
      <c r="A244" s="225">
        <v>303</v>
      </c>
      <c r="B244" s="226" t="s">
        <v>1423</v>
      </c>
      <c r="C244" s="227">
        <v>0</v>
      </c>
      <c r="D244" s="227">
        <v>0</v>
      </c>
    </row>
    <row r="245" spans="1:4" ht="27.75" customHeight="1" x14ac:dyDescent="0.15">
      <c r="A245" s="225">
        <v>304</v>
      </c>
      <c r="B245" s="226" t="s">
        <v>1424</v>
      </c>
      <c r="C245" s="227">
        <v>0</v>
      </c>
      <c r="D245" s="227">
        <v>2.6414871487203899</v>
      </c>
    </row>
    <row r="246" spans="1:4" ht="27.75" customHeight="1" x14ac:dyDescent="0.15">
      <c r="A246" s="225">
        <v>305</v>
      </c>
      <c r="B246" s="226" t="s">
        <v>1425</v>
      </c>
      <c r="C246" s="227">
        <v>0</v>
      </c>
      <c r="D246" s="227">
        <v>2.6414871487203899</v>
      </c>
    </row>
    <row r="247" spans="1:4" ht="27.75" customHeight="1" x14ac:dyDescent="0.15">
      <c r="A247" s="225">
        <v>306</v>
      </c>
      <c r="B247" s="226" t="s">
        <v>1426</v>
      </c>
      <c r="C247" s="227">
        <v>0</v>
      </c>
      <c r="D247" s="227">
        <v>0</v>
      </c>
    </row>
    <row r="248" spans="1:4" ht="27.75" customHeight="1" x14ac:dyDescent="0.15">
      <c r="A248" s="225">
        <v>307</v>
      </c>
      <c r="B248" s="226" t="s">
        <v>1427</v>
      </c>
      <c r="C248" s="227">
        <v>0</v>
      </c>
      <c r="D248" s="227">
        <v>0</v>
      </c>
    </row>
    <row r="249" spans="1:4" ht="27.75" customHeight="1" x14ac:dyDescent="0.15">
      <c r="A249" s="225">
        <v>308</v>
      </c>
      <c r="B249" s="226" t="s">
        <v>1428</v>
      </c>
      <c r="C249" s="227">
        <v>0</v>
      </c>
      <c r="D249" s="227">
        <v>0</v>
      </c>
    </row>
    <row r="250" spans="1:4" ht="27.75" customHeight="1" x14ac:dyDescent="0.15">
      <c r="A250" s="225">
        <v>309</v>
      </c>
      <c r="B250" s="226" t="s">
        <v>1429</v>
      </c>
      <c r="C250" s="227">
        <v>0</v>
      </c>
      <c r="D250" s="227">
        <v>2.6414871487203899</v>
      </c>
    </row>
    <row r="251" spans="1:4" ht="27.75" customHeight="1" x14ac:dyDescent="0.15">
      <c r="A251" s="225">
        <v>310</v>
      </c>
      <c r="B251" s="226" t="s">
        <v>1430</v>
      </c>
      <c r="C251" s="227">
        <v>0</v>
      </c>
      <c r="D251" s="227">
        <v>16.339174884183802</v>
      </c>
    </row>
    <row r="252" spans="1:4" ht="27.75" customHeight="1" x14ac:dyDescent="0.15">
      <c r="A252" s="225">
        <v>311</v>
      </c>
      <c r="B252" s="226" t="s">
        <v>1431</v>
      </c>
      <c r="C252" s="227">
        <v>0</v>
      </c>
      <c r="D252" s="227">
        <v>6.1645450846106398</v>
      </c>
    </row>
    <row r="253" spans="1:4" ht="27.75" customHeight="1" x14ac:dyDescent="0.15">
      <c r="A253" s="225">
        <v>312</v>
      </c>
      <c r="B253" s="226" t="s">
        <v>1432</v>
      </c>
      <c r="C253" s="227">
        <v>0</v>
      </c>
      <c r="D253" s="227">
        <v>6.1645450846106398</v>
      </c>
    </row>
    <row r="254" spans="1:4" ht="27.75" customHeight="1" x14ac:dyDescent="0.15">
      <c r="A254" s="225">
        <v>313</v>
      </c>
      <c r="B254" s="226" t="s">
        <v>1433</v>
      </c>
      <c r="C254" s="227">
        <v>0</v>
      </c>
      <c r="D254" s="227">
        <v>0</v>
      </c>
    </row>
    <row r="255" spans="1:4" ht="27.75" customHeight="1" x14ac:dyDescent="0.15">
      <c r="A255" s="225">
        <v>314</v>
      </c>
      <c r="B255" s="226" t="s">
        <v>1434</v>
      </c>
      <c r="C255" s="227">
        <v>0</v>
      </c>
      <c r="D255" s="227">
        <v>0</v>
      </c>
    </row>
    <row r="256" spans="1:4" ht="27.75" customHeight="1" x14ac:dyDescent="0.15">
      <c r="A256" s="225">
        <v>315</v>
      </c>
      <c r="B256" s="226" t="s">
        <v>1435</v>
      </c>
      <c r="C256" s="227">
        <v>0</v>
      </c>
      <c r="D256" s="227">
        <v>5.5461786317473534</v>
      </c>
    </row>
    <row r="257" spans="1:4" ht="27.75" customHeight="1" x14ac:dyDescent="0.15">
      <c r="A257" s="225">
        <v>316</v>
      </c>
      <c r="B257" s="226" t="s">
        <v>1436</v>
      </c>
      <c r="C257" s="227">
        <v>0</v>
      </c>
      <c r="D257" s="227">
        <v>16.339174884183802</v>
      </c>
    </row>
    <row r="258" spans="1:4" ht="27.75" customHeight="1" x14ac:dyDescent="0.15">
      <c r="A258" s="225">
        <v>317</v>
      </c>
      <c r="B258" s="226" t="s">
        <v>1437</v>
      </c>
      <c r="C258" s="227">
        <v>0</v>
      </c>
      <c r="D258" s="227">
        <v>6.1645450846106398</v>
      </c>
    </row>
    <row r="259" spans="1:4" ht="27.75" customHeight="1" x14ac:dyDescent="0.15">
      <c r="A259" s="225">
        <v>318</v>
      </c>
      <c r="B259" s="226" t="s">
        <v>1438</v>
      </c>
      <c r="C259" s="227">
        <v>0</v>
      </c>
      <c r="D259" s="227">
        <v>6.1645450846106398</v>
      </c>
    </row>
    <row r="260" spans="1:4" ht="27.75" customHeight="1" x14ac:dyDescent="0.15">
      <c r="A260" s="225">
        <v>319</v>
      </c>
      <c r="B260" s="226" t="s">
        <v>1439</v>
      </c>
      <c r="C260" s="227">
        <v>0</v>
      </c>
      <c r="D260" s="227">
        <v>2.1966009902733701</v>
      </c>
    </row>
    <row r="261" spans="1:4" ht="27.75" customHeight="1" x14ac:dyDescent="0.15">
      <c r="A261" s="225">
        <v>320</v>
      </c>
      <c r="B261" s="226" t="s">
        <v>1440</v>
      </c>
      <c r="C261" s="227">
        <v>0</v>
      </c>
      <c r="D261" s="227">
        <v>1.06428358171418</v>
      </c>
    </row>
    <row r="262" spans="1:4" ht="27.75" customHeight="1" x14ac:dyDescent="0.15">
      <c r="A262" s="225">
        <v>321</v>
      </c>
      <c r="B262" s="226" t="s">
        <v>1441</v>
      </c>
      <c r="C262" s="227">
        <v>0</v>
      </c>
      <c r="D262" s="227">
        <v>1.06428358171418</v>
      </c>
    </row>
    <row r="263" spans="1:4" ht="27.75" customHeight="1" x14ac:dyDescent="0.15">
      <c r="A263" s="225">
        <v>322</v>
      </c>
      <c r="B263" s="226" t="s">
        <v>1442</v>
      </c>
      <c r="C263" s="227">
        <v>0</v>
      </c>
      <c r="D263" s="227">
        <v>1.06428358171418</v>
      </c>
    </row>
    <row r="264" spans="1:4" ht="27.75" customHeight="1" x14ac:dyDescent="0.15">
      <c r="A264" s="225">
        <v>323</v>
      </c>
      <c r="B264" s="226" t="s">
        <v>1443</v>
      </c>
      <c r="C264" s="227">
        <v>0</v>
      </c>
      <c r="D264" s="227">
        <v>1.06428358171418</v>
      </c>
    </row>
    <row r="265" spans="1:4" ht="27.75" customHeight="1" x14ac:dyDescent="0.15">
      <c r="A265" s="225">
        <v>324</v>
      </c>
      <c r="B265" s="226" t="s">
        <v>1444</v>
      </c>
      <c r="C265" s="227">
        <v>0</v>
      </c>
      <c r="D265" s="227">
        <v>1.06428358171418</v>
      </c>
    </row>
    <row r="266" spans="1:4" ht="27.75" customHeight="1" x14ac:dyDescent="0.15">
      <c r="A266" s="225">
        <v>325</v>
      </c>
      <c r="B266" s="226" t="s">
        <v>1445</v>
      </c>
      <c r="C266" s="227">
        <v>0</v>
      </c>
      <c r="D266" s="227">
        <v>1.06428358171418</v>
      </c>
    </row>
    <row r="267" spans="1:4" ht="27.75" customHeight="1" x14ac:dyDescent="0.15">
      <c r="A267" s="225">
        <v>326</v>
      </c>
      <c r="B267" s="226" t="s">
        <v>1446</v>
      </c>
      <c r="C267" s="227">
        <v>0</v>
      </c>
      <c r="D267" s="227">
        <v>1.06428358171418</v>
      </c>
    </row>
    <row r="268" spans="1:4" ht="27.75" customHeight="1" x14ac:dyDescent="0.15">
      <c r="A268" s="225">
        <v>327</v>
      </c>
      <c r="B268" s="226" t="s">
        <v>1447</v>
      </c>
      <c r="C268" s="227">
        <v>0</v>
      </c>
      <c r="D268" s="227">
        <v>1.06428358171418</v>
      </c>
    </row>
    <row r="269" spans="1:4" ht="27.75" customHeight="1" x14ac:dyDescent="0.15">
      <c r="A269" s="225">
        <v>328</v>
      </c>
      <c r="B269" s="226" t="s">
        <v>1448</v>
      </c>
      <c r="C269" s="227">
        <v>0</v>
      </c>
      <c r="D269" s="227">
        <v>1.06428358171418</v>
      </c>
    </row>
    <row r="270" spans="1:4" ht="27.75" customHeight="1" x14ac:dyDescent="0.15">
      <c r="A270" s="225">
        <v>331</v>
      </c>
      <c r="B270" s="226" t="s">
        <v>1449</v>
      </c>
      <c r="C270" s="227">
        <v>0</v>
      </c>
      <c r="D270" s="227">
        <v>1.06428358171418</v>
      </c>
    </row>
    <row r="271" spans="1:4" ht="27.75" customHeight="1" x14ac:dyDescent="0.15">
      <c r="A271" s="225">
        <v>332</v>
      </c>
      <c r="B271" s="226" t="s">
        <v>1450</v>
      </c>
      <c r="C271" s="227">
        <v>0</v>
      </c>
      <c r="D271" s="227">
        <v>0</v>
      </c>
    </row>
    <row r="272" spans="1:4" ht="27.75" customHeight="1" x14ac:dyDescent="0.15">
      <c r="A272" s="225">
        <v>333</v>
      </c>
      <c r="B272" s="226" t="s">
        <v>1451</v>
      </c>
      <c r="C272" s="227">
        <v>0</v>
      </c>
      <c r="D272" s="227">
        <v>1.06428358171418</v>
      </c>
    </row>
    <row r="273" spans="1:4" ht="27.75" customHeight="1" x14ac:dyDescent="0.15">
      <c r="A273" s="225">
        <v>334</v>
      </c>
      <c r="B273" s="226" t="s">
        <v>1452</v>
      </c>
      <c r="C273" s="227">
        <v>0</v>
      </c>
      <c r="D273" s="227">
        <v>1.06428358171418</v>
      </c>
    </row>
    <row r="274" spans="1:4" ht="27.75" customHeight="1" x14ac:dyDescent="0.15">
      <c r="A274" s="225">
        <v>335</v>
      </c>
      <c r="B274" s="226" t="s">
        <v>1453</v>
      </c>
      <c r="C274" s="227">
        <v>0</v>
      </c>
      <c r="D274" s="227">
        <v>1.06428358171418</v>
      </c>
    </row>
    <row r="275" spans="1:4" ht="27.75" customHeight="1" x14ac:dyDescent="0.15">
      <c r="A275" s="225">
        <v>336</v>
      </c>
      <c r="B275" s="226" t="s">
        <v>1454</v>
      </c>
      <c r="C275" s="227">
        <v>0</v>
      </c>
      <c r="D275" s="227">
        <v>1.06428358171418</v>
      </c>
    </row>
    <row r="276" spans="1:4" ht="27.75" customHeight="1" x14ac:dyDescent="0.15">
      <c r="A276" s="225">
        <v>337</v>
      </c>
      <c r="B276" s="226" t="s">
        <v>1455</v>
      </c>
      <c r="C276" s="227">
        <v>0</v>
      </c>
      <c r="D276" s="227">
        <v>1.06428358171418</v>
      </c>
    </row>
    <row r="277" spans="1:4" ht="27.75" customHeight="1" x14ac:dyDescent="0.15">
      <c r="A277" s="225">
        <v>338</v>
      </c>
      <c r="B277" s="226" t="s">
        <v>1456</v>
      </c>
      <c r="C277" s="227">
        <v>0</v>
      </c>
      <c r="D277" s="227">
        <v>1.06428358171418</v>
      </c>
    </row>
    <row r="278" spans="1:4" ht="27.75" customHeight="1" x14ac:dyDescent="0.15">
      <c r="A278" s="225">
        <v>339</v>
      </c>
      <c r="B278" s="226" t="s">
        <v>1457</v>
      </c>
      <c r="C278" s="227">
        <v>0</v>
      </c>
      <c r="D278" s="227">
        <v>1.06428358171418</v>
      </c>
    </row>
    <row r="279" spans="1:4" ht="27.75" customHeight="1" x14ac:dyDescent="0.15">
      <c r="A279" s="225">
        <v>340</v>
      </c>
      <c r="B279" s="226" t="s">
        <v>1458</v>
      </c>
      <c r="C279" s="227">
        <v>0</v>
      </c>
      <c r="D279" s="227">
        <v>1.06428358171418</v>
      </c>
    </row>
    <row r="280" spans="1:4" ht="27.75" customHeight="1" x14ac:dyDescent="0.15">
      <c r="A280" s="225">
        <v>341</v>
      </c>
      <c r="B280" s="226" t="s">
        <v>1459</v>
      </c>
      <c r="C280" s="227">
        <v>0</v>
      </c>
      <c r="D280" s="227">
        <v>1.06428358171418</v>
      </c>
    </row>
    <row r="281" spans="1:4" ht="27.75" customHeight="1" x14ac:dyDescent="0.15">
      <c r="A281" s="225">
        <v>342</v>
      </c>
      <c r="B281" s="226" t="s">
        <v>1460</v>
      </c>
      <c r="C281" s="227">
        <v>0</v>
      </c>
      <c r="D281" s="227">
        <v>1.06428358171418</v>
      </c>
    </row>
    <row r="282" spans="1:4" ht="27.75" customHeight="1" x14ac:dyDescent="0.15">
      <c r="A282" s="225">
        <v>343</v>
      </c>
      <c r="B282" s="226" t="s">
        <v>1461</v>
      </c>
      <c r="C282" s="227">
        <v>0</v>
      </c>
      <c r="D282" s="227">
        <v>1.06428358171418</v>
      </c>
    </row>
    <row r="283" spans="1:4" ht="27.75" customHeight="1" x14ac:dyDescent="0.15">
      <c r="A283" s="225">
        <v>344</v>
      </c>
      <c r="B283" s="226" t="s">
        <v>1462</v>
      </c>
      <c r="C283" s="227">
        <v>0</v>
      </c>
      <c r="D283" s="227">
        <v>2.1966009902733701</v>
      </c>
    </row>
    <row r="284" spans="1:4" ht="27.75" customHeight="1" x14ac:dyDescent="0.15">
      <c r="A284" s="225">
        <v>345</v>
      </c>
      <c r="B284" s="226" t="s">
        <v>1463</v>
      </c>
      <c r="C284" s="227">
        <v>0</v>
      </c>
      <c r="D284" s="227">
        <v>1.06428358171418</v>
      </c>
    </row>
    <row r="285" spans="1:4" ht="27.75" customHeight="1" x14ac:dyDescent="0.15">
      <c r="A285" s="225">
        <v>346</v>
      </c>
      <c r="B285" s="226" t="s">
        <v>1464</v>
      </c>
      <c r="C285" s="227">
        <v>0</v>
      </c>
      <c r="D285" s="227">
        <v>1.06428358171418</v>
      </c>
    </row>
    <row r="286" spans="1:4" ht="27.75" customHeight="1" x14ac:dyDescent="0.15">
      <c r="A286" s="225">
        <v>347</v>
      </c>
      <c r="B286" s="226" t="s">
        <v>1465</v>
      </c>
      <c r="C286" s="227">
        <v>0</v>
      </c>
      <c r="D286" s="227">
        <v>1.06428358171418</v>
      </c>
    </row>
    <row r="287" spans="1:4" ht="27.75" customHeight="1" x14ac:dyDescent="0.15">
      <c r="A287" s="225">
        <v>348</v>
      </c>
      <c r="B287" s="226" t="s">
        <v>1466</v>
      </c>
      <c r="C287" s="227">
        <v>0</v>
      </c>
      <c r="D287" s="227">
        <v>1.06428358171418</v>
      </c>
    </row>
    <row r="288" spans="1:4" ht="27.75" customHeight="1" x14ac:dyDescent="0.15">
      <c r="A288" s="225">
        <v>349</v>
      </c>
      <c r="B288" s="226" t="s">
        <v>1467</v>
      </c>
      <c r="C288" s="227">
        <v>0</v>
      </c>
      <c r="D288" s="227">
        <v>1.06428358171418</v>
      </c>
    </row>
    <row r="289" spans="1:4" ht="27.75" customHeight="1" x14ac:dyDescent="0.15">
      <c r="A289" s="225">
        <v>350</v>
      </c>
      <c r="B289" s="226" t="s">
        <v>1468</v>
      </c>
      <c r="C289" s="227">
        <v>0</v>
      </c>
      <c r="D289" s="227">
        <v>1.06428358171418</v>
      </c>
    </row>
    <row r="290" spans="1:4" ht="27.75" customHeight="1" x14ac:dyDescent="0.15">
      <c r="A290" s="225">
        <v>351</v>
      </c>
      <c r="B290" s="226" t="s">
        <v>1469</v>
      </c>
      <c r="C290" s="227">
        <v>0</v>
      </c>
      <c r="D290" s="227">
        <v>1.06428358171418</v>
      </c>
    </row>
    <row r="291" spans="1:4" ht="27.75" customHeight="1" x14ac:dyDescent="0.15">
      <c r="A291" s="225">
        <v>352</v>
      </c>
      <c r="B291" s="226" t="s">
        <v>1470</v>
      </c>
      <c r="C291" s="227">
        <v>0</v>
      </c>
      <c r="D291" s="227">
        <v>1.06428358171418</v>
      </c>
    </row>
    <row r="292" spans="1:4" ht="27.75" customHeight="1" x14ac:dyDescent="0.15">
      <c r="A292" s="225">
        <v>353</v>
      </c>
      <c r="B292" s="226" t="s">
        <v>1471</v>
      </c>
      <c r="C292" s="227">
        <v>0</v>
      </c>
      <c r="D292" s="227">
        <v>1.06428358171418</v>
      </c>
    </row>
    <row r="293" spans="1:4" ht="27.75" customHeight="1" x14ac:dyDescent="0.15">
      <c r="A293" s="225">
        <v>354</v>
      </c>
      <c r="B293" s="226" t="s">
        <v>1472</v>
      </c>
      <c r="C293" s="227">
        <v>0</v>
      </c>
      <c r="D293" s="227">
        <v>1.06428358171418</v>
      </c>
    </row>
    <row r="294" spans="1:4" ht="27.75" customHeight="1" x14ac:dyDescent="0.15">
      <c r="A294" s="225">
        <v>355</v>
      </c>
      <c r="B294" s="226" t="s">
        <v>1473</v>
      </c>
      <c r="C294" s="227">
        <v>0</v>
      </c>
      <c r="D294" s="227">
        <v>1.06428358171418</v>
      </c>
    </row>
    <row r="295" spans="1:4" ht="27.75" customHeight="1" x14ac:dyDescent="0.15">
      <c r="A295" s="225">
        <v>356</v>
      </c>
      <c r="B295" s="226" t="s">
        <v>1474</v>
      </c>
      <c r="C295" s="227">
        <v>0</v>
      </c>
      <c r="D295" s="227">
        <v>1.06428358171418</v>
      </c>
    </row>
    <row r="296" spans="1:4" ht="27.75" customHeight="1" x14ac:dyDescent="0.15">
      <c r="A296" s="225">
        <v>357</v>
      </c>
      <c r="B296" s="226" t="s">
        <v>1475</v>
      </c>
      <c r="C296" s="227">
        <v>0</v>
      </c>
      <c r="D296" s="227">
        <v>1.06428358171418</v>
      </c>
    </row>
    <row r="297" spans="1:4" ht="27.75" customHeight="1" x14ac:dyDescent="0.15">
      <c r="A297" s="225">
        <v>358</v>
      </c>
      <c r="B297" s="226" t="s">
        <v>1476</v>
      </c>
      <c r="C297" s="227">
        <v>0</v>
      </c>
      <c r="D297" s="227">
        <v>1.06428358171418</v>
      </c>
    </row>
    <row r="298" spans="1:4" ht="27.75" customHeight="1" x14ac:dyDescent="0.15">
      <c r="A298" s="225">
        <v>359</v>
      </c>
      <c r="B298" s="226" t="s">
        <v>1477</v>
      </c>
      <c r="C298" s="227">
        <v>0</v>
      </c>
      <c r="D298" s="227">
        <v>1.06428358171418</v>
      </c>
    </row>
    <row r="299" spans="1:4" ht="27.75" customHeight="1" x14ac:dyDescent="0.15">
      <c r="A299" s="225">
        <v>360</v>
      </c>
      <c r="B299" s="226" t="s">
        <v>1478</v>
      </c>
      <c r="C299" s="227">
        <v>0</v>
      </c>
      <c r="D299" s="227">
        <v>1.06428358171418</v>
      </c>
    </row>
    <row r="300" spans="1:4" ht="27.75" customHeight="1" x14ac:dyDescent="0.15">
      <c r="A300" s="225">
        <v>361</v>
      </c>
      <c r="B300" s="226" t="s">
        <v>1479</v>
      </c>
      <c r="C300" s="227">
        <v>0</v>
      </c>
      <c r="D300" s="227">
        <v>1.06428358171418</v>
      </c>
    </row>
    <row r="301" spans="1:4" ht="27.75" customHeight="1" x14ac:dyDescent="0.15">
      <c r="A301" s="225">
        <v>362</v>
      </c>
      <c r="B301" s="226" t="s">
        <v>1480</v>
      </c>
      <c r="C301" s="227">
        <v>0</v>
      </c>
      <c r="D301" s="227">
        <v>1.06428358171418</v>
      </c>
    </row>
    <row r="302" spans="1:4" ht="27.75" customHeight="1" x14ac:dyDescent="0.15">
      <c r="A302" s="225">
        <v>363</v>
      </c>
      <c r="B302" s="226" t="s">
        <v>1481</v>
      </c>
      <c r="C302" s="227">
        <v>0</v>
      </c>
      <c r="D302" s="227">
        <v>1.06428358171418</v>
      </c>
    </row>
    <row r="303" spans="1:4" ht="27.75" customHeight="1" x14ac:dyDescent="0.15">
      <c r="A303" s="225">
        <v>364</v>
      </c>
      <c r="B303" s="226" t="s">
        <v>1482</v>
      </c>
      <c r="C303" s="227">
        <v>0</v>
      </c>
      <c r="D303" s="227">
        <v>1.06428358171418</v>
      </c>
    </row>
    <row r="304" spans="1:4" ht="27.75" customHeight="1" x14ac:dyDescent="0.15">
      <c r="A304" s="225">
        <v>365</v>
      </c>
      <c r="B304" s="226" t="s">
        <v>1483</v>
      </c>
      <c r="C304" s="227">
        <v>0</v>
      </c>
      <c r="D304" s="227">
        <v>1.06428358171418</v>
      </c>
    </row>
    <row r="305" spans="1:4" ht="27.75" customHeight="1" x14ac:dyDescent="0.15">
      <c r="A305" s="225">
        <v>366</v>
      </c>
      <c r="B305" s="226" t="s">
        <v>1484</v>
      </c>
      <c r="C305" s="227">
        <v>0</v>
      </c>
      <c r="D305" s="227">
        <v>1.06428358171418</v>
      </c>
    </row>
    <row r="306" spans="1:4" ht="27.75" customHeight="1" x14ac:dyDescent="0.15">
      <c r="A306" s="225">
        <v>367</v>
      </c>
      <c r="B306" s="226" t="s">
        <v>1485</v>
      </c>
      <c r="C306" s="227">
        <v>0</v>
      </c>
      <c r="D306" s="227">
        <v>1.06428358171418</v>
      </c>
    </row>
    <row r="307" spans="1:4" ht="27.75" customHeight="1" x14ac:dyDescent="0.15">
      <c r="A307" s="225">
        <v>368</v>
      </c>
      <c r="B307" s="226" t="s">
        <v>1486</v>
      </c>
      <c r="C307" s="227">
        <v>0</v>
      </c>
      <c r="D307" s="227">
        <v>1.06428358171418</v>
      </c>
    </row>
    <row r="308" spans="1:4" ht="27.75" customHeight="1" x14ac:dyDescent="0.15">
      <c r="A308" s="225">
        <v>369</v>
      </c>
      <c r="B308" s="226" t="s">
        <v>1487</v>
      </c>
      <c r="C308" s="227">
        <v>0</v>
      </c>
      <c r="D308" s="227">
        <v>1.06428358171418</v>
      </c>
    </row>
    <row r="309" spans="1:4" ht="27.75" customHeight="1" x14ac:dyDescent="0.15">
      <c r="A309" s="225">
        <v>370</v>
      </c>
      <c r="B309" s="226" t="s">
        <v>1488</v>
      </c>
      <c r="C309" s="227">
        <v>0</v>
      </c>
      <c r="D309" s="227">
        <v>1.06428358171418</v>
      </c>
    </row>
    <row r="310" spans="1:4" ht="27.75" customHeight="1" x14ac:dyDescent="0.15">
      <c r="A310" s="225">
        <v>371</v>
      </c>
      <c r="B310" s="226" t="s">
        <v>1489</v>
      </c>
      <c r="C310" s="227">
        <v>0</v>
      </c>
      <c r="D310" s="227">
        <v>1.06428358171418</v>
      </c>
    </row>
    <row r="311" spans="1:4" ht="27.75" customHeight="1" x14ac:dyDescent="0.15">
      <c r="A311" s="225">
        <v>372</v>
      </c>
      <c r="B311" s="226" t="s">
        <v>1490</v>
      </c>
      <c r="C311" s="227">
        <v>0</v>
      </c>
      <c r="D311" s="227">
        <v>1.06428358171418</v>
      </c>
    </row>
    <row r="312" spans="1:4" ht="27.75" customHeight="1" x14ac:dyDescent="0.15">
      <c r="A312" s="225">
        <v>373</v>
      </c>
      <c r="B312" s="226" t="s">
        <v>1491</v>
      </c>
      <c r="C312" s="227">
        <v>0</v>
      </c>
      <c r="D312" s="227">
        <v>1.06428358171418</v>
      </c>
    </row>
    <row r="313" spans="1:4" ht="27.75" customHeight="1" x14ac:dyDescent="0.15">
      <c r="A313" s="225">
        <v>374</v>
      </c>
      <c r="B313" s="226" t="s">
        <v>1492</v>
      </c>
      <c r="C313" s="227">
        <v>0</v>
      </c>
      <c r="D313" s="227">
        <v>1.06428358171418</v>
      </c>
    </row>
    <row r="314" spans="1:4" ht="27.75" customHeight="1" x14ac:dyDescent="0.15">
      <c r="A314" s="225">
        <v>375</v>
      </c>
      <c r="B314" s="226" t="s">
        <v>1493</v>
      </c>
      <c r="C314" s="227">
        <v>0</v>
      </c>
      <c r="D314" s="227">
        <v>1.06428358171418</v>
      </c>
    </row>
    <row r="315" spans="1:4" ht="27.75" customHeight="1" x14ac:dyDescent="0.15">
      <c r="A315" s="225">
        <v>376</v>
      </c>
      <c r="B315" s="226" t="s">
        <v>1494</v>
      </c>
      <c r="C315" s="227">
        <v>0</v>
      </c>
      <c r="D315" s="227">
        <v>1.06428358171418</v>
      </c>
    </row>
    <row r="316" spans="1:4" ht="27.75" customHeight="1" x14ac:dyDescent="0.15">
      <c r="A316" s="225">
        <v>377</v>
      </c>
      <c r="B316" s="226" t="s">
        <v>1495</v>
      </c>
      <c r="C316" s="227">
        <v>0</v>
      </c>
      <c r="D316" s="227">
        <v>1.06428358171418</v>
      </c>
    </row>
    <row r="317" spans="1:4" ht="27.75" customHeight="1" x14ac:dyDescent="0.15">
      <c r="A317" s="225">
        <v>379</v>
      </c>
      <c r="B317" s="226" t="s">
        <v>1496</v>
      </c>
      <c r="C317" s="227">
        <v>0</v>
      </c>
      <c r="D317" s="227">
        <v>1.06428358171418</v>
      </c>
    </row>
    <row r="318" spans="1:4" ht="27.75" customHeight="1" x14ac:dyDescent="0.15">
      <c r="A318" s="225">
        <v>380</v>
      </c>
      <c r="B318" s="226" t="s">
        <v>1497</v>
      </c>
      <c r="C318" s="227">
        <v>0</v>
      </c>
      <c r="D318" s="227">
        <v>1.06428358171418</v>
      </c>
    </row>
    <row r="319" spans="1:4" ht="27.75" customHeight="1" x14ac:dyDescent="0.15">
      <c r="A319" s="225">
        <v>381</v>
      </c>
      <c r="B319" s="226" t="s">
        <v>1498</v>
      </c>
      <c r="C319" s="227">
        <v>0</v>
      </c>
      <c r="D319" s="227">
        <v>1.06428358171418</v>
      </c>
    </row>
    <row r="320" spans="1:4" ht="27.75" customHeight="1" x14ac:dyDescent="0.15">
      <c r="A320" s="225">
        <v>382</v>
      </c>
      <c r="B320" s="226" t="s">
        <v>1499</v>
      </c>
      <c r="C320" s="227">
        <v>0</v>
      </c>
      <c r="D320" s="227">
        <v>1.06428358171418</v>
      </c>
    </row>
    <row r="321" spans="1:4" ht="27.75" customHeight="1" x14ac:dyDescent="0.15">
      <c r="A321" s="225">
        <v>383</v>
      </c>
      <c r="B321" s="226" t="s">
        <v>1500</v>
      </c>
      <c r="C321" s="227">
        <v>0</v>
      </c>
      <c r="D321" s="227">
        <v>1.06428358171418</v>
      </c>
    </row>
    <row r="322" spans="1:4" ht="27.75" customHeight="1" x14ac:dyDescent="0.15">
      <c r="A322" s="225">
        <v>384</v>
      </c>
      <c r="B322" s="226" t="s">
        <v>1501</v>
      </c>
      <c r="C322" s="227">
        <v>0</v>
      </c>
      <c r="D322" s="227">
        <v>5.3312856993686601</v>
      </c>
    </row>
    <row r="323" spans="1:4" ht="27.75" customHeight="1" x14ac:dyDescent="0.15">
      <c r="A323" s="225">
        <v>385</v>
      </c>
      <c r="B323" s="226" t="s">
        <v>1502</v>
      </c>
      <c r="C323" s="227">
        <v>0</v>
      </c>
      <c r="D323" s="227">
        <v>5.3312856993686601</v>
      </c>
    </row>
    <row r="324" spans="1:4" ht="27.75" customHeight="1" x14ac:dyDescent="0.15">
      <c r="A324" s="225">
        <v>386</v>
      </c>
      <c r="B324" s="226" t="s">
        <v>1503</v>
      </c>
      <c r="C324" s="227">
        <v>0</v>
      </c>
      <c r="D324" s="227">
        <v>5.3312856993686601</v>
      </c>
    </row>
    <row r="325" spans="1:4" ht="27.75" customHeight="1" x14ac:dyDescent="0.15">
      <c r="A325" s="225">
        <v>387</v>
      </c>
      <c r="B325" s="226" t="s">
        <v>1504</v>
      </c>
      <c r="C325" s="227">
        <v>0</v>
      </c>
      <c r="D325" s="227">
        <v>5.3312856993686601</v>
      </c>
    </row>
    <row r="326" spans="1:4" ht="27.75" customHeight="1" x14ac:dyDescent="0.15">
      <c r="A326" s="225">
        <v>388</v>
      </c>
      <c r="B326" s="226" t="s">
        <v>1505</v>
      </c>
      <c r="C326" s="227">
        <v>0</v>
      </c>
      <c r="D326" s="227">
        <v>5.3312856993686601</v>
      </c>
    </row>
    <row r="327" spans="1:4" ht="27.75" customHeight="1" x14ac:dyDescent="0.15">
      <c r="A327" s="225">
        <v>389</v>
      </c>
      <c r="B327" s="226" t="s">
        <v>1506</v>
      </c>
      <c r="C327" s="227">
        <v>0</v>
      </c>
      <c r="D327" s="227">
        <v>0</v>
      </c>
    </row>
    <row r="328" spans="1:4" ht="27.75" customHeight="1" x14ac:dyDescent="0.15">
      <c r="A328" s="225">
        <v>390</v>
      </c>
      <c r="B328" s="226" t="s">
        <v>1507</v>
      </c>
      <c r="C328" s="227">
        <v>0</v>
      </c>
      <c r="D328" s="227">
        <v>0</v>
      </c>
    </row>
    <row r="329" spans="1:4" ht="27.75" customHeight="1" x14ac:dyDescent="0.15">
      <c r="A329" s="225">
        <v>391</v>
      </c>
      <c r="B329" s="226" t="s">
        <v>1508</v>
      </c>
      <c r="C329" s="227">
        <v>0</v>
      </c>
      <c r="D329" s="227">
        <v>0</v>
      </c>
    </row>
    <row r="330" spans="1:4" ht="27.75" customHeight="1" x14ac:dyDescent="0.15">
      <c r="A330" s="225">
        <v>392</v>
      </c>
      <c r="B330" s="226" t="s">
        <v>1509</v>
      </c>
      <c r="C330" s="227">
        <v>0</v>
      </c>
      <c r="D330" s="227">
        <v>0</v>
      </c>
    </row>
    <row r="331" spans="1:4" ht="27.75" customHeight="1" x14ac:dyDescent="0.15">
      <c r="A331" s="225">
        <v>393</v>
      </c>
      <c r="B331" s="226" t="s">
        <v>1510</v>
      </c>
      <c r="C331" s="227">
        <v>0</v>
      </c>
      <c r="D331" s="227">
        <v>0</v>
      </c>
    </row>
    <row r="332" spans="1:4" ht="27.75" customHeight="1" x14ac:dyDescent="0.15">
      <c r="A332" s="225">
        <v>394</v>
      </c>
      <c r="B332" s="226" t="s">
        <v>1511</v>
      </c>
      <c r="C332" s="227">
        <v>0</v>
      </c>
      <c r="D332" s="227">
        <v>0</v>
      </c>
    </row>
    <row r="333" spans="1:4" ht="27.75" customHeight="1" x14ac:dyDescent="0.15">
      <c r="A333" s="225">
        <v>395</v>
      </c>
      <c r="B333" s="226" t="s">
        <v>1512</v>
      </c>
      <c r="C333" s="227">
        <v>0</v>
      </c>
      <c r="D333" s="227">
        <v>0</v>
      </c>
    </row>
    <row r="334" spans="1:4" ht="27.75" customHeight="1" x14ac:dyDescent="0.15">
      <c r="A334" s="225">
        <v>396</v>
      </c>
      <c r="B334" s="226" t="s">
        <v>1513</v>
      </c>
      <c r="C334" s="227">
        <v>0</v>
      </c>
      <c r="D334" s="227">
        <v>5.3312856993686601</v>
      </c>
    </row>
    <row r="335" spans="1:4" ht="27.75" customHeight="1" x14ac:dyDescent="0.15">
      <c r="A335" s="225">
        <v>397</v>
      </c>
      <c r="B335" s="226" t="s">
        <v>1514</v>
      </c>
      <c r="C335" s="227">
        <v>0</v>
      </c>
      <c r="D335" s="227">
        <v>0</v>
      </c>
    </row>
    <row r="336" spans="1:4" ht="27.75" customHeight="1" x14ac:dyDescent="0.15">
      <c r="A336" s="225">
        <v>398</v>
      </c>
      <c r="B336" s="226" t="s">
        <v>1515</v>
      </c>
      <c r="C336" s="227">
        <v>0</v>
      </c>
      <c r="D336" s="227">
        <v>5.3312856993686601</v>
      </c>
    </row>
    <row r="337" spans="1:4" ht="27.75" customHeight="1" x14ac:dyDescent="0.15">
      <c r="A337" s="225">
        <v>399</v>
      </c>
      <c r="B337" s="226" t="s">
        <v>1516</v>
      </c>
      <c r="C337" s="227">
        <v>0</v>
      </c>
      <c r="D337" s="227">
        <v>5.3312856993686601</v>
      </c>
    </row>
    <row r="338" spans="1:4" ht="27.75" customHeight="1" x14ac:dyDescent="0.15">
      <c r="A338" s="225">
        <v>400</v>
      </c>
      <c r="B338" s="226" t="s">
        <v>1517</v>
      </c>
      <c r="C338" s="227">
        <v>0</v>
      </c>
      <c r="D338" s="227">
        <v>0</v>
      </c>
    </row>
    <row r="339" spans="1:4" ht="27.75" customHeight="1" x14ac:dyDescent="0.15">
      <c r="A339" s="225">
        <v>401</v>
      </c>
      <c r="B339" s="226" t="s">
        <v>1518</v>
      </c>
      <c r="C339" s="227">
        <v>0</v>
      </c>
      <c r="D339" s="227">
        <v>0</v>
      </c>
    </row>
    <row r="340" spans="1:4" ht="27.75" customHeight="1" x14ac:dyDescent="0.15">
      <c r="A340" s="225">
        <v>402</v>
      </c>
      <c r="B340" s="226" t="s">
        <v>1519</v>
      </c>
      <c r="C340" s="227">
        <v>0</v>
      </c>
      <c r="D340" s="227">
        <v>0</v>
      </c>
    </row>
    <row r="341" spans="1:4" ht="27.75" customHeight="1" x14ac:dyDescent="0.15">
      <c r="A341" s="225">
        <v>403</v>
      </c>
      <c r="B341" s="226" t="s">
        <v>1520</v>
      </c>
      <c r="C341" s="227">
        <v>0</v>
      </c>
      <c r="D341" s="227">
        <v>0</v>
      </c>
    </row>
    <row r="342" spans="1:4" ht="27.75" customHeight="1" x14ac:dyDescent="0.15">
      <c r="A342" s="225">
        <v>404</v>
      </c>
      <c r="B342" s="226" t="s">
        <v>1521</v>
      </c>
      <c r="C342" s="227">
        <v>0</v>
      </c>
      <c r="D342" s="227">
        <v>1.06428358171418</v>
      </c>
    </row>
    <row r="343" spans="1:4" ht="27.75" customHeight="1" x14ac:dyDescent="0.15">
      <c r="A343" s="225">
        <v>405</v>
      </c>
      <c r="B343" s="226" t="s">
        <v>1522</v>
      </c>
      <c r="C343" s="227">
        <v>0</v>
      </c>
      <c r="D343" s="227">
        <v>1.06428358171418</v>
      </c>
    </row>
    <row r="344" spans="1:4" ht="27.75" customHeight="1" x14ac:dyDescent="0.15">
      <c r="A344" s="225">
        <v>406</v>
      </c>
      <c r="B344" s="226" t="s">
        <v>1523</v>
      </c>
      <c r="C344" s="227">
        <v>0</v>
      </c>
      <c r="D344" s="227">
        <v>0</v>
      </c>
    </row>
    <row r="345" spans="1:4" ht="27.75" customHeight="1" x14ac:dyDescent="0.15">
      <c r="A345" s="225">
        <v>407</v>
      </c>
      <c r="B345" s="226" t="s">
        <v>1524</v>
      </c>
      <c r="C345" s="227">
        <v>0</v>
      </c>
      <c r="D345" s="227">
        <v>1.06428358171418</v>
      </c>
    </row>
    <row r="346" spans="1:4" ht="27.75" customHeight="1" x14ac:dyDescent="0.15">
      <c r="A346" s="225">
        <v>408</v>
      </c>
      <c r="B346" s="226" t="s">
        <v>1525</v>
      </c>
      <c r="C346" s="227">
        <v>0</v>
      </c>
      <c r="D346" s="227">
        <v>1.06428358171418</v>
      </c>
    </row>
    <row r="347" spans="1:4" ht="27.75" customHeight="1" x14ac:dyDescent="0.15">
      <c r="A347" s="225">
        <v>409</v>
      </c>
      <c r="B347" s="226" t="s">
        <v>1526</v>
      </c>
      <c r="C347" s="227">
        <v>0</v>
      </c>
      <c r="D347" s="227">
        <v>1.06428358171418</v>
      </c>
    </row>
    <row r="348" spans="1:4" ht="27.75" customHeight="1" x14ac:dyDescent="0.15">
      <c r="A348" s="225">
        <v>410</v>
      </c>
      <c r="B348" s="226" t="s">
        <v>1527</v>
      </c>
      <c r="C348" s="227">
        <v>0</v>
      </c>
      <c r="D348" s="227">
        <v>0</v>
      </c>
    </row>
    <row r="349" spans="1:4" ht="27.75" customHeight="1" x14ac:dyDescent="0.15">
      <c r="A349" s="225">
        <v>411</v>
      </c>
      <c r="B349" s="226" t="s">
        <v>1528</v>
      </c>
      <c r="C349" s="227">
        <v>0</v>
      </c>
      <c r="D349" s="227">
        <v>0</v>
      </c>
    </row>
    <row r="350" spans="1:4" ht="27.75" customHeight="1" x14ac:dyDescent="0.15">
      <c r="A350" s="225">
        <v>412</v>
      </c>
      <c r="B350" s="226" t="s">
        <v>1529</v>
      </c>
      <c r="C350" s="227">
        <v>0</v>
      </c>
      <c r="D350" s="227">
        <v>0</v>
      </c>
    </row>
    <row r="351" spans="1:4" ht="27.75" customHeight="1" x14ac:dyDescent="0.15">
      <c r="A351" s="225">
        <v>413</v>
      </c>
      <c r="B351" s="226" t="s">
        <v>1530</v>
      </c>
      <c r="C351" s="227">
        <v>0</v>
      </c>
      <c r="D351" s="227">
        <v>0</v>
      </c>
    </row>
    <row r="352" spans="1:4" ht="27.75" customHeight="1" x14ac:dyDescent="0.15">
      <c r="A352" s="225">
        <v>414</v>
      </c>
      <c r="B352" s="226" t="s">
        <v>1531</v>
      </c>
      <c r="C352" s="227">
        <v>0</v>
      </c>
      <c r="D352" s="227">
        <v>6.1645450846106398</v>
      </c>
    </row>
    <row r="353" spans="1:4" ht="27.75" customHeight="1" x14ac:dyDescent="0.15">
      <c r="A353" s="225">
        <v>415</v>
      </c>
      <c r="B353" s="226" t="s">
        <v>1532</v>
      </c>
      <c r="C353" s="227">
        <v>0</v>
      </c>
      <c r="D353" s="227">
        <v>6.1645450846106398</v>
      </c>
    </row>
    <row r="354" spans="1:4" ht="27.75" customHeight="1" x14ac:dyDescent="0.15">
      <c r="A354" s="225">
        <v>416</v>
      </c>
      <c r="B354" s="226" t="s">
        <v>1533</v>
      </c>
      <c r="C354" s="227">
        <v>0</v>
      </c>
      <c r="D354" s="227">
        <v>6.1645450846106398</v>
      </c>
    </row>
    <row r="355" spans="1:4" ht="27.75" customHeight="1" x14ac:dyDescent="0.15">
      <c r="A355" s="225">
        <v>417</v>
      </c>
      <c r="B355" s="226" t="s">
        <v>1534</v>
      </c>
      <c r="C355" s="227">
        <v>0</v>
      </c>
      <c r="D355" s="227">
        <v>6.1645450846106398</v>
      </c>
    </row>
    <row r="356" spans="1:4" ht="27.75" customHeight="1" x14ac:dyDescent="0.15">
      <c r="A356" s="225">
        <v>418</v>
      </c>
      <c r="B356" s="226" t="s">
        <v>1535</v>
      </c>
      <c r="C356" s="227">
        <v>0</v>
      </c>
      <c r="D356" s="227">
        <v>6.1645450846106398</v>
      </c>
    </row>
    <row r="357" spans="1:4" ht="27.75" customHeight="1" x14ac:dyDescent="0.15">
      <c r="A357" s="225">
        <v>419</v>
      </c>
      <c r="B357" s="226" t="s">
        <v>1536</v>
      </c>
      <c r="C357" s="227">
        <v>0</v>
      </c>
      <c r="D357" s="227">
        <v>6.1645450846106398</v>
      </c>
    </row>
    <row r="358" spans="1:4" ht="27.75" customHeight="1" x14ac:dyDescent="0.15">
      <c r="A358" s="225">
        <v>420</v>
      </c>
      <c r="B358" s="226" t="s">
        <v>1537</v>
      </c>
      <c r="C358" s="227">
        <v>0</v>
      </c>
      <c r="D358" s="227">
        <v>6.1645450846106398</v>
      </c>
    </row>
    <row r="359" spans="1:4" ht="27.75" customHeight="1" x14ac:dyDescent="0.15">
      <c r="A359" s="225">
        <v>421</v>
      </c>
      <c r="B359" s="226" t="s">
        <v>1538</v>
      </c>
      <c r="C359" s="227">
        <v>0</v>
      </c>
      <c r="D359" s="227">
        <v>3.2438372376388802</v>
      </c>
    </row>
    <row r="360" spans="1:4" ht="27.75" customHeight="1" x14ac:dyDescent="0.15">
      <c r="A360" s="225">
        <v>422</v>
      </c>
      <c r="B360" s="226" t="s">
        <v>1539</v>
      </c>
      <c r="C360" s="227">
        <v>0</v>
      </c>
      <c r="D360" s="227">
        <v>3.2438372376388802</v>
      </c>
    </row>
    <row r="361" spans="1:4" ht="27.75" customHeight="1" x14ac:dyDescent="0.15">
      <c r="A361" s="225">
        <v>423</v>
      </c>
      <c r="B361" s="226" t="s">
        <v>1540</v>
      </c>
      <c r="C361" s="227">
        <v>8.0388824731730804</v>
      </c>
      <c r="D361" s="227">
        <v>3.2438372376388802</v>
      </c>
    </row>
    <row r="362" spans="1:4" ht="27.75" customHeight="1" x14ac:dyDescent="0.15">
      <c r="A362" s="225">
        <v>424</v>
      </c>
      <c r="B362" s="226" t="s">
        <v>1541</v>
      </c>
      <c r="C362" s="227">
        <v>0</v>
      </c>
      <c r="D362" s="227">
        <v>3.2438372376388802</v>
      </c>
    </row>
    <row r="363" spans="1:4" ht="27.75" customHeight="1" x14ac:dyDescent="0.15">
      <c r="A363" s="225">
        <v>425</v>
      </c>
      <c r="B363" s="226" t="s">
        <v>1542</v>
      </c>
      <c r="C363" s="227">
        <v>0</v>
      </c>
      <c r="D363" s="227">
        <v>3.2438372376388802</v>
      </c>
    </row>
    <row r="364" spans="1:4" ht="27.75" customHeight="1" x14ac:dyDescent="0.15">
      <c r="A364" s="225">
        <v>426</v>
      </c>
      <c r="B364" s="226" t="s">
        <v>1543</v>
      </c>
      <c r="C364" s="227">
        <v>0</v>
      </c>
      <c r="D364" s="227">
        <v>3.2438372376388802</v>
      </c>
    </row>
    <row r="365" spans="1:4" ht="27.75" customHeight="1" x14ac:dyDescent="0.15">
      <c r="A365" s="225">
        <v>427</v>
      </c>
      <c r="B365" s="226" t="s">
        <v>1544</v>
      </c>
      <c r="C365" s="227">
        <v>0</v>
      </c>
      <c r="D365" s="227">
        <v>3.2438372376388802</v>
      </c>
    </row>
    <row r="366" spans="1:4" ht="27.75" customHeight="1" x14ac:dyDescent="0.15">
      <c r="A366" s="225">
        <v>428</v>
      </c>
      <c r="B366" s="226" t="s">
        <v>1545</v>
      </c>
      <c r="C366" s="227">
        <v>0</v>
      </c>
      <c r="D366" s="227">
        <v>3.2438372376388802</v>
      </c>
    </row>
    <row r="367" spans="1:4" ht="27.75" customHeight="1" x14ac:dyDescent="0.15">
      <c r="A367" s="225">
        <v>429</v>
      </c>
      <c r="B367" s="226" t="s">
        <v>1546</v>
      </c>
      <c r="C367" s="227">
        <v>0</v>
      </c>
      <c r="D367" s="227">
        <v>6.1645450846106398</v>
      </c>
    </row>
    <row r="368" spans="1:4" ht="27.75" customHeight="1" x14ac:dyDescent="0.15">
      <c r="A368" s="225">
        <v>430</v>
      </c>
      <c r="B368" s="226" t="s">
        <v>1547</v>
      </c>
      <c r="C368" s="227">
        <v>0</v>
      </c>
      <c r="D368" s="227">
        <v>0</v>
      </c>
    </row>
    <row r="369" spans="1:4" ht="27.75" customHeight="1" x14ac:dyDescent="0.15">
      <c r="A369" s="225">
        <v>431</v>
      </c>
      <c r="B369" s="226" t="s">
        <v>1548</v>
      </c>
      <c r="C369" s="227">
        <v>0</v>
      </c>
      <c r="D369" s="227">
        <v>0</v>
      </c>
    </row>
    <row r="370" spans="1:4" ht="27.75" customHeight="1" x14ac:dyDescent="0.15">
      <c r="A370" s="225">
        <v>432</v>
      </c>
      <c r="B370" s="226" t="s">
        <v>1549</v>
      </c>
      <c r="C370" s="227">
        <v>0</v>
      </c>
      <c r="D370" s="227">
        <v>6.1645450846106398</v>
      </c>
    </row>
    <row r="371" spans="1:4" ht="27.75" customHeight="1" x14ac:dyDescent="0.15">
      <c r="A371" s="225">
        <v>433</v>
      </c>
      <c r="B371" s="226" t="s">
        <v>1550</v>
      </c>
      <c r="C371" s="227">
        <v>0</v>
      </c>
      <c r="D371" s="227">
        <v>0</v>
      </c>
    </row>
    <row r="372" spans="1:4" ht="27.75" customHeight="1" x14ac:dyDescent="0.15">
      <c r="A372" s="225">
        <v>434</v>
      </c>
      <c r="B372" s="226" t="s">
        <v>1551</v>
      </c>
      <c r="C372" s="227">
        <v>0</v>
      </c>
      <c r="D372" s="227">
        <v>6.1645450846106398</v>
      </c>
    </row>
    <row r="373" spans="1:4" ht="27.75" customHeight="1" x14ac:dyDescent="0.15">
      <c r="A373" s="225">
        <v>435</v>
      </c>
      <c r="B373" s="226" t="s">
        <v>1552</v>
      </c>
      <c r="C373" s="227">
        <v>0</v>
      </c>
      <c r="D373" s="227">
        <v>6.1645450846106398</v>
      </c>
    </row>
    <row r="374" spans="1:4" ht="27.75" customHeight="1" x14ac:dyDescent="0.15">
      <c r="A374" s="225">
        <v>436</v>
      </c>
      <c r="B374" s="226" t="s">
        <v>1553</v>
      </c>
      <c r="C374" s="227">
        <v>0</v>
      </c>
      <c r="D374" s="227">
        <v>0</v>
      </c>
    </row>
    <row r="375" spans="1:4" ht="27.75" customHeight="1" x14ac:dyDescent="0.15">
      <c r="A375" s="225">
        <v>437</v>
      </c>
      <c r="B375" s="226" t="s">
        <v>1554</v>
      </c>
      <c r="C375" s="227">
        <v>0</v>
      </c>
      <c r="D375" s="227">
        <v>0</v>
      </c>
    </row>
    <row r="376" spans="1:4" ht="27.75" customHeight="1" x14ac:dyDescent="0.15">
      <c r="A376" s="225">
        <v>438</v>
      </c>
      <c r="B376" s="226" t="s">
        <v>1555</v>
      </c>
      <c r="C376" s="227">
        <v>0</v>
      </c>
      <c r="D376" s="227">
        <v>6.1645450846106398</v>
      </c>
    </row>
    <row r="377" spans="1:4" ht="27.75" customHeight="1" x14ac:dyDescent="0.15">
      <c r="A377" s="225">
        <v>439</v>
      </c>
      <c r="B377" s="226" t="s">
        <v>1556</v>
      </c>
      <c r="C377" s="227">
        <v>0</v>
      </c>
      <c r="D377" s="227">
        <v>6.1645450846106398</v>
      </c>
    </row>
    <row r="378" spans="1:4" ht="27.75" customHeight="1" x14ac:dyDescent="0.15">
      <c r="A378" s="225">
        <v>440</v>
      </c>
      <c r="B378" s="226" t="s">
        <v>1557</v>
      </c>
      <c r="C378" s="227">
        <v>0</v>
      </c>
      <c r="D378" s="227">
        <v>6.1645450846106398</v>
      </c>
    </row>
    <row r="379" spans="1:4" ht="27.75" customHeight="1" x14ac:dyDescent="0.15">
      <c r="A379" s="225">
        <v>441</v>
      </c>
      <c r="B379" s="226" t="s">
        <v>1558</v>
      </c>
      <c r="C379" s="227">
        <v>0</v>
      </c>
      <c r="D379" s="227">
        <v>6.1645450846106398</v>
      </c>
    </row>
    <row r="380" spans="1:4" ht="27.75" customHeight="1" x14ac:dyDescent="0.15">
      <c r="A380" s="225">
        <v>442</v>
      </c>
      <c r="B380" s="226" t="s">
        <v>1559</v>
      </c>
      <c r="C380" s="227">
        <v>0</v>
      </c>
      <c r="D380" s="227">
        <v>6.1645450846106398</v>
      </c>
    </row>
    <row r="381" spans="1:4" ht="27.75" customHeight="1" x14ac:dyDescent="0.15">
      <c r="A381" s="225">
        <v>443</v>
      </c>
      <c r="B381" s="226" t="s">
        <v>1560</v>
      </c>
      <c r="C381" s="227">
        <v>0</v>
      </c>
      <c r="D381" s="227">
        <v>6.1645450846106398</v>
      </c>
    </row>
    <row r="382" spans="1:4" ht="27.75" customHeight="1" x14ac:dyDescent="0.15">
      <c r="A382" s="225">
        <v>444</v>
      </c>
      <c r="B382" s="226" t="s">
        <v>1561</v>
      </c>
      <c r="C382" s="227">
        <v>0</v>
      </c>
      <c r="D382" s="227">
        <v>6.1645450846106398</v>
      </c>
    </row>
    <row r="383" spans="1:4" ht="27.75" customHeight="1" x14ac:dyDescent="0.15">
      <c r="A383" s="225">
        <v>445</v>
      </c>
      <c r="B383" s="226" t="s">
        <v>1562</v>
      </c>
      <c r="C383" s="227">
        <v>0</v>
      </c>
      <c r="D383" s="227">
        <v>6.1645450846106398</v>
      </c>
    </row>
    <row r="384" spans="1:4" ht="27.75" customHeight="1" x14ac:dyDescent="0.15">
      <c r="A384" s="225">
        <v>446</v>
      </c>
      <c r="B384" s="226" t="s">
        <v>1563</v>
      </c>
      <c r="C384" s="227">
        <v>0</v>
      </c>
      <c r="D384" s="227">
        <v>6.1645450846106398</v>
      </c>
    </row>
    <row r="385" spans="1:4" ht="27.75" customHeight="1" x14ac:dyDescent="0.15">
      <c r="A385" s="225">
        <v>447</v>
      </c>
      <c r="B385" s="226" t="s">
        <v>1564</v>
      </c>
      <c r="C385" s="227">
        <v>0</v>
      </c>
      <c r="D385" s="227">
        <v>3.2438372376388802</v>
      </c>
    </row>
    <row r="386" spans="1:4" ht="27.75" customHeight="1" x14ac:dyDescent="0.15">
      <c r="A386" s="225">
        <v>448</v>
      </c>
      <c r="B386" s="226" t="s">
        <v>1565</v>
      </c>
      <c r="C386" s="227">
        <v>0</v>
      </c>
      <c r="D386" s="227">
        <v>3.2438372376388802</v>
      </c>
    </row>
    <row r="387" spans="1:4" ht="27.75" customHeight="1" x14ac:dyDescent="0.15">
      <c r="A387" s="225">
        <v>449</v>
      </c>
      <c r="B387" s="226" t="s">
        <v>1566</v>
      </c>
      <c r="C387" s="227">
        <v>0</v>
      </c>
      <c r="D387" s="227">
        <v>3.2438372376388802</v>
      </c>
    </row>
    <row r="388" spans="1:4" ht="27.75" customHeight="1" x14ac:dyDescent="0.15">
      <c r="A388" s="225">
        <v>450</v>
      </c>
      <c r="B388" s="226" t="s">
        <v>1567</v>
      </c>
      <c r="C388" s="227">
        <v>0</v>
      </c>
      <c r="D388" s="227">
        <v>3.2438372376388802</v>
      </c>
    </row>
    <row r="389" spans="1:4" ht="27.75" customHeight="1" x14ac:dyDescent="0.15">
      <c r="A389" s="225">
        <v>451</v>
      </c>
      <c r="B389" s="226" t="s">
        <v>1568</v>
      </c>
      <c r="C389" s="227">
        <v>0</v>
      </c>
      <c r="D389" s="227">
        <v>3.2438372376388802</v>
      </c>
    </row>
    <row r="390" spans="1:4" ht="27.75" customHeight="1" x14ac:dyDescent="0.15">
      <c r="A390" s="225">
        <v>452</v>
      </c>
      <c r="B390" s="226" t="s">
        <v>1569</v>
      </c>
      <c r="C390" s="227">
        <v>0</v>
      </c>
      <c r="D390" s="227">
        <v>3.2438372376388802</v>
      </c>
    </row>
    <row r="391" spans="1:4" ht="27.75" customHeight="1" x14ac:dyDescent="0.15">
      <c r="A391" s="225">
        <v>453</v>
      </c>
      <c r="B391" s="226" t="s">
        <v>1570</v>
      </c>
      <c r="C391" s="227">
        <v>0</v>
      </c>
      <c r="D391" s="227">
        <v>0</v>
      </c>
    </row>
    <row r="392" spans="1:4" ht="27.75" customHeight="1" x14ac:dyDescent="0.15">
      <c r="A392" s="225">
        <v>454</v>
      </c>
      <c r="B392" s="226" t="s">
        <v>1571</v>
      </c>
      <c r="C392" s="227">
        <v>0</v>
      </c>
      <c r="D392" s="227">
        <v>0</v>
      </c>
    </row>
    <row r="393" spans="1:4" ht="27.75" customHeight="1" x14ac:dyDescent="0.15">
      <c r="A393" s="225">
        <v>455</v>
      </c>
      <c r="B393" s="226" t="s">
        <v>1572</v>
      </c>
      <c r="C393" s="227">
        <v>0</v>
      </c>
      <c r="D393" s="227">
        <v>0</v>
      </c>
    </row>
    <row r="394" spans="1:4" ht="27.75" customHeight="1" x14ac:dyDescent="0.15">
      <c r="A394" s="225">
        <v>456</v>
      </c>
      <c r="B394" s="226" t="s">
        <v>1573</v>
      </c>
      <c r="C394" s="227">
        <v>0</v>
      </c>
      <c r="D394" s="227">
        <v>0</v>
      </c>
    </row>
    <row r="395" spans="1:4" ht="27.75" customHeight="1" x14ac:dyDescent="0.15">
      <c r="A395" s="225">
        <v>457</v>
      </c>
      <c r="B395" s="226" t="s">
        <v>1574</v>
      </c>
      <c r="C395" s="227">
        <v>0</v>
      </c>
      <c r="D395" s="227">
        <v>0</v>
      </c>
    </row>
    <row r="396" spans="1:4" ht="27.75" customHeight="1" x14ac:dyDescent="0.15">
      <c r="A396" s="225">
        <v>458</v>
      </c>
      <c r="B396" s="226" t="s">
        <v>1575</v>
      </c>
      <c r="C396" s="227">
        <v>0</v>
      </c>
      <c r="D396" s="227">
        <v>2.6414871487203899</v>
      </c>
    </row>
    <row r="397" spans="1:4" ht="27.75" customHeight="1" x14ac:dyDescent="0.15">
      <c r="A397" s="225">
        <v>459</v>
      </c>
      <c r="B397" s="226" t="s">
        <v>1576</v>
      </c>
      <c r="C397" s="227">
        <v>0</v>
      </c>
      <c r="D397" s="227">
        <v>0</v>
      </c>
    </row>
    <row r="398" spans="1:4" ht="27.75" customHeight="1" x14ac:dyDescent="0.15">
      <c r="A398" s="225">
        <v>460</v>
      </c>
      <c r="B398" s="226" t="s">
        <v>1577</v>
      </c>
      <c r="C398" s="227">
        <v>0</v>
      </c>
      <c r="D398" s="227">
        <v>0</v>
      </c>
    </row>
    <row r="399" spans="1:4" ht="27.75" customHeight="1" x14ac:dyDescent="0.15">
      <c r="A399" s="225">
        <v>461</v>
      </c>
      <c r="B399" s="226" t="s">
        <v>1578</v>
      </c>
      <c r="C399" s="227">
        <v>0</v>
      </c>
      <c r="D399" s="227">
        <v>0</v>
      </c>
    </row>
    <row r="400" spans="1:4" ht="27.75" customHeight="1" x14ac:dyDescent="0.15">
      <c r="A400" s="225">
        <v>462</v>
      </c>
      <c r="B400" s="226" t="s">
        <v>1579</v>
      </c>
      <c r="C400" s="227">
        <v>0</v>
      </c>
      <c r="D400" s="227">
        <v>0</v>
      </c>
    </row>
    <row r="401" spans="1:4" ht="27.75" customHeight="1" x14ac:dyDescent="0.15">
      <c r="A401" s="225">
        <v>463</v>
      </c>
      <c r="B401" s="226" t="s">
        <v>1580</v>
      </c>
      <c r="C401" s="227">
        <v>0</v>
      </c>
      <c r="D401" s="227">
        <v>0</v>
      </c>
    </row>
    <row r="402" spans="1:4" ht="27.75" customHeight="1" x14ac:dyDescent="0.15">
      <c r="A402" s="225">
        <v>464</v>
      </c>
      <c r="B402" s="226" t="s">
        <v>1581</v>
      </c>
      <c r="C402" s="227">
        <v>0</v>
      </c>
      <c r="D402" s="227">
        <v>0</v>
      </c>
    </row>
    <row r="403" spans="1:4" ht="27.75" customHeight="1" x14ac:dyDescent="0.15">
      <c r="A403" s="225">
        <v>465</v>
      </c>
      <c r="B403" s="226" t="s">
        <v>1582</v>
      </c>
      <c r="C403" s="227">
        <v>0</v>
      </c>
      <c r="D403" s="227">
        <v>0</v>
      </c>
    </row>
    <row r="404" spans="1:4" ht="27.75" customHeight="1" x14ac:dyDescent="0.15">
      <c r="A404" s="225">
        <v>466</v>
      </c>
      <c r="B404" s="226" t="s">
        <v>1583</v>
      </c>
      <c r="C404" s="227">
        <v>0</v>
      </c>
      <c r="D404" s="227">
        <v>0</v>
      </c>
    </row>
    <row r="405" spans="1:4" ht="27.75" customHeight="1" x14ac:dyDescent="0.15">
      <c r="A405" s="225">
        <v>467</v>
      </c>
      <c r="B405" s="226" t="s">
        <v>1584</v>
      </c>
      <c r="C405" s="227">
        <v>0</v>
      </c>
      <c r="D405" s="227">
        <v>0</v>
      </c>
    </row>
    <row r="406" spans="1:4" ht="27.75" customHeight="1" x14ac:dyDescent="0.15">
      <c r="A406" s="225">
        <v>468</v>
      </c>
      <c r="B406" s="226" t="s">
        <v>1585</v>
      </c>
      <c r="C406" s="227">
        <v>0</v>
      </c>
      <c r="D406" s="227">
        <v>0</v>
      </c>
    </row>
    <row r="407" spans="1:4" ht="27.75" customHeight="1" x14ac:dyDescent="0.15">
      <c r="A407" s="225">
        <v>469</v>
      </c>
      <c r="B407" s="226" t="s">
        <v>1586</v>
      </c>
      <c r="C407" s="227">
        <v>0</v>
      </c>
      <c r="D407" s="227">
        <v>0</v>
      </c>
    </row>
    <row r="408" spans="1:4" ht="27.75" customHeight="1" x14ac:dyDescent="0.15">
      <c r="A408" s="225">
        <v>470</v>
      </c>
      <c r="B408" s="226" t="s">
        <v>1587</v>
      </c>
      <c r="C408" s="227">
        <v>0</v>
      </c>
      <c r="D408" s="227">
        <v>3.09996210296474</v>
      </c>
    </row>
    <row r="409" spans="1:4" ht="27.75" customHeight="1" x14ac:dyDescent="0.15">
      <c r="A409" s="225">
        <v>471</v>
      </c>
      <c r="B409" s="226" t="s">
        <v>1588</v>
      </c>
      <c r="C409" s="227">
        <v>0</v>
      </c>
      <c r="D409" s="227">
        <v>2.6414871487203899</v>
      </c>
    </row>
    <row r="410" spans="1:4" ht="27.75" customHeight="1" x14ac:dyDescent="0.15">
      <c r="A410" s="225">
        <v>472</v>
      </c>
      <c r="B410" s="226" t="s">
        <v>1589</v>
      </c>
      <c r="C410" s="227">
        <v>0</v>
      </c>
      <c r="D410" s="227">
        <v>2.6414871487203899</v>
      </c>
    </row>
    <row r="411" spans="1:4" ht="27.75" customHeight="1" x14ac:dyDescent="0.15">
      <c r="A411" s="225">
        <v>473</v>
      </c>
      <c r="B411" s="226" t="s">
        <v>1590</v>
      </c>
      <c r="C411" s="227">
        <v>0</v>
      </c>
      <c r="D411" s="227">
        <v>4.4052551947070198</v>
      </c>
    </row>
    <row r="412" spans="1:4" ht="27.75" customHeight="1" x14ac:dyDescent="0.15">
      <c r="A412" s="225">
        <v>474</v>
      </c>
      <c r="B412" s="226" t="s">
        <v>1591</v>
      </c>
      <c r="C412" s="227">
        <v>0</v>
      </c>
      <c r="D412" s="227">
        <v>4.4052551947070198</v>
      </c>
    </row>
    <row r="413" spans="1:4" ht="27.75" customHeight="1" x14ac:dyDescent="0.15">
      <c r="A413" s="225">
        <v>475</v>
      </c>
      <c r="B413" s="226" t="s">
        <v>1592</v>
      </c>
      <c r="C413" s="227">
        <v>0</v>
      </c>
      <c r="D413" s="227">
        <v>4.4052551947070198</v>
      </c>
    </row>
    <row r="414" spans="1:4" ht="27.75" customHeight="1" x14ac:dyDescent="0.15">
      <c r="A414" s="225">
        <v>476</v>
      </c>
      <c r="B414" s="226" t="s">
        <v>1593</v>
      </c>
      <c r="C414" s="227">
        <v>0</v>
      </c>
      <c r="D414" s="227">
        <v>4.4052551947070198</v>
      </c>
    </row>
    <row r="415" spans="1:4" ht="27.75" customHeight="1" x14ac:dyDescent="0.15">
      <c r="A415" s="225">
        <v>477</v>
      </c>
      <c r="B415" s="226" t="s">
        <v>1594</v>
      </c>
      <c r="C415" s="227">
        <v>0</v>
      </c>
      <c r="D415" s="227">
        <v>4.4052551947070198</v>
      </c>
    </row>
    <row r="416" spans="1:4" ht="27.75" customHeight="1" x14ac:dyDescent="0.15">
      <c r="A416" s="225">
        <v>478</v>
      </c>
      <c r="B416" s="226" t="s">
        <v>1595</v>
      </c>
      <c r="C416" s="227">
        <v>0</v>
      </c>
      <c r="D416" s="227">
        <v>4.4052551947070198</v>
      </c>
    </row>
    <row r="417" spans="1:4" ht="27.75" customHeight="1" x14ac:dyDescent="0.15">
      <c r="A417" s="225">
        <v>479</v>
      </c>
      <c r="B417" s="226" t="s">
        <v>1596</v>
      </c>
      <c r="C417" s="227">
        <v>0</v>
      </c>
      <c r="D417" s="227">
        <v>2.6414871487203899</v>
      </c>
    </row>
    <row r="418" spans="1:4" ht="27.75" customHeight="1" x14ac:dyDescent="0.15">
      <c r="A418" s="225">
        <v>480</v>
      </c>
      <c r="B418" s="226" t="s">
        <v>1597</v>
      </c>
      <c r="C418" s="227">
        <v>0</v>
      </c>
      <c r="D418" s="227">
        <v>2.6414871487203899</v>
      </c>
    </row>
    <row r="419" spans="1:4" ht="27.75" customHeight="1" x14ac:dyDescent="0.15">
      <c r="A419" s="225">
        <v>481</v>
      </c>
      <c r="B419" s="226" t="s">
        <v>1598</v>
      </c>
      <c r="C419" s="227">
        <v>0</v>
      </c>
      <c r="D419" s="227">
        <v>4.4052551947070198</v>
      </c>
    </row>
    <row r="420" spans="1:4" ht="27.75" customHeight="1" x14ac:dyDescent="0.15">
      <c r="A420" s="225">
        <v>482</v>
      </c>
      <c r="B420" s="226" t="s">
        <v>1599</v>
      </c>
      <c r="C420" s="227">
        <v>0</v>
      </c>
      <c r="D420" s="227">
        <v>2.6414871487203899</v>
      </c>
    </row>
    <row r="421" spans="1:4" ht="27.75" customHeight="1" x14ac:dyDescent="0.15">
      <c r="A421" s="225">
        <v>483</v>
      </c>
      <c r="B421" s="226" t="s">
        <v>1600</v>
      </c>
      <c r="C421" s="227">
        <v>0</v>
      </c>
      <c r="D421" s="227">
        <v>4.4052551947070198</v>
      </c>
    </row>
    <row r="422" spans="1:4" ht="27.75" customHeight="1" x14ac:dyDescent="0.15">
      <c r="A422" s="225">
        <v>484</v>
      </c>
      <c r="B422" s="226" t="s">
        <v>1601</v>
      </c>
      <c r="C422" s="227">
        <v>0</v>
      </c>
      <c r="D422" s="227">
        <v>2.6414871487203899</v>
      </c>
    </row>
    <row r="423" spans="1:4" ht="27.75" customHeight="1" x14ac:dyDescent="0.15">
      <c r="A423" s="225">
        <v>485</v>
      </c>
      <c r="B423" s="226" t="s">
        <v>1602</v>
      </c>
      <c r="C423" s="227">
        <v>0</v>
      </c>
      <c r="D423" s="227">
        <v>3.09996210296474</v>
      </c>
    </row>
    <row r="424" spans="1:4" ht="27.75" customHeight="1" x14ac:dyDescent="0.15">
      <c r="A424" s="225">
        <v>486</v>
      </c>
      <c r="B424" s="226" t="s">
        <v>1603</v>
      </c>
      <c r="C424" s="227">
        <v>0</v>
      </c>
      <c r="D424" s="227">
        <v>3.09996210296474</v>
      </c>
    </row>
    <row r="425" spans="1:4" ht="27.75" customHeight="1" x14ac:dyDescent="0.15">
      <c r="A425" s="225">
        <v>487</v>
      </c>
      <c r="B425" s="226" t="s">
        <v>1604</v>
      </c>
      <c r="C425" s="227">
        <v>0</v>
      </c>
      <c r="D425" s="227">
        <v>3.09996210296474</v>
      </c>
    </row>
    <row r="426" spans="1:4" ht="27.75" customHeight="1" x14ac:dyDescent="0.15">
      <c r="A426" s="225">
        <v>488</v>
      </c>
      <c r="B426" s="226" t="s">
        <v>1605</v>
      </c>
      <c r="C426" s="227">
        <v>0</v>
      </c>
      <c r="D426" s="227">
        <v>3.09996210296474</v>
      </c>
    </row>
    <row r="427" spans="1:4" ht="27.75" customHeight="1" x14ac:dyDescent="0.15">
      <c r="A427" s="225">
        <v>489</v>
      </c>
      <c r="B427" s="226" t="s">
        <v>1606</v>
      </c>
      <c r="C427" s="227">
        <v>0</v>
      </c>
      <c r="D427" s="227">
        <v>3.09996210296474</v>
      </c>
    </row>
    <row r="428" spans="1:4" ht="27.75" customHeight="1" x14ac:dyDescent="0.15">
      <c r="A428" s="225">
        <v>490</v>
      </c>
      <c r="B428" s="226" t="s">
        <v>1607</v>
      </c>
      <c r="C428" s="227">
        <v>0</v>
      </c>
      <c r="D428" s="227">
        <v>3.09996210296474</v>
      </c>
    </row>
    <row r="429" spans="1:4" ht="27.75" customHeight="1" x14ac:dyDescent="0.15">
      <c r="A429" s="225">
        <v>491</v>
      </c>
      <c r="B429" s="226" t="s">
        <v>1608</v>
      </c>
      <c r="C429" s="227">
        <v>0</v>
      </c>
      <c r="D429" s="227">
        <v>3.09996210296474</v>
      </c>
    </row>
    <row r="430" spans="1:4" ht="27.75" customHeight="1" x14ac:dyDescent="0.15">
      <c r="A430" s="225">
        <v>492</v>
      </c>
      <c r="B430" s="226" t="s">
        <v>1609</v>
      </c>
      <c r="C430" s="227">
        <v>0</v>
      </c>
      <c r="D430" s="227">
        <v>3.09996210296474</v>
      </c>
    </row>
    <row r="431" spans="1:4" ht="27.75" customHeight="1" x14ac:dyDescent="0.15">
      <c r="A431" s="225">
        <v>493</v>
      </c>
      <c r="B431" s="226" t="s">
        <v>1610</v>
      </c>
      <c r="C431" s="227">
        <v>0</v>
      </c>
      <c r="D431" s="227">
        <v>3.09996210296474</v>
      </c>
    </row>
    <row r="432" spans="1:4" ht="27.75" customHeight="1" x14ac:dyDescent="0.15">
      <c r="A432" s="225">
        <v>494</v>
      </c>
      <c r="B432" s="226" t="s">
        <v>1611</v>
      </c>
      <c r="C432" s="227">
        <v>0</v>
      </c>
      <c r="D432" s="227">
        <v>3.09996210296474</v>
      </c>
    </row>
    <row r="433" spans="1:4" ht="27.75" customHeight="1" x14ac:dyDescent="0.15">
      <c r="A433" s="225">
        <v>495</v>
      </c>
      <c r="B433" s="226" t="s">
        <v>1612</v>
      </c>
      <c r="C433" s="227">
        <v>0</v>
      </c>
      <c r="D433" s="227">
        <v>3.09996210296474</v>
      </c>
    </row>
    <row r="434" spans="1:4" ht="27.75" customHeight="1" x14ac:dyDescent="0.15">
      <c r="A434" s="225">
        <v>496</v>
      </c>
      <c r="B434" s="226" t="s">
        <v>1613</v>
      </c>
      <c r="C434" s="227">
        <v>0</v>
      </c>
      <c r="D434" s="227">
        <v>3.09996210296474</v>
      </c>
    </row>
    <row r="435" spans="1:4" ht="27.75" customHeight="1" x14ac:dyDescent="0.15">
      <c r="A435" s="225">
        <v>497</v>
      </c>
      <c r="B435" s="226" t="s">
        <v>1614</v>
      </c>
      <c r="C435" s="227">
        <v>0</v>
      </c>
      <c r="D435" s="227">
        <v>3.09996210296474</v>
      </c>
    </row>
    <row r="436" spans="1:4" ht="27.75" customHeight="1" x14ac:dyDescent="0.15">
      <c r="A436" s="225">
        <v>498</v>
      </c>
      <c r="B436" s="226" t="s">
        <v>1615</v>
      </c>
      <c r="C436" s="227">
        <v>0</v>
      </c>
      <c r="D436" s="227">
        <v>3.09996210296474</v>
      </c>
    </row>
    <row r="437" spans="1:4" ht="27.75" customHeight="1" x14ac:dyDescent="0.15">
      <c r="A437" s="225">
        <v>499</v>
      </c>
      <c r="B437" s="226" t="s">
        <v>1616</v>
      </c>
      <c r="C437" s="227">
        <v>0</v>
      </c>
      <c r="D437" s="227">
        <v>3.09996210296474</v>
      </c>
    </row>
    <row r="438" spans="1:4" ht="27.75" customHeight="1" x14ac:dyDescent="0.15">
      <c r="A438" s="225">
        <v>500</v>
      </c>
      <c r="B438" s="226" t="s">
        <v>1617</v>
      </c>
      <c r="C438" s="227">
        <v>0</v>
      </c>
      <c r="D438" s="227">
        <v>2.6414871487203899</v>
      </c>
    </row>
    <row r="439" spans="1:4" ht="27.75" customHeight="1" x14ac:dyDescent="0.15">
      <c r="A439" s="225">
        <v>501</v>
      </c>
      <c r="B439" s="226" t="s">
        <v>1618</v>
      </c>
      <c r="C439" s="227">
        <v>0</v>
      </c>
      <c r="D439" s="227">
        <v>2.6414871487203899</v>
      </c>
    </row>
    <row r="440" spans="1:4" ht="27.75" customHeight="1" x14ac:dyDescent="0.15">
      <c r="A440" s="225">
        <v>502</v>
      </c>
      <c r="B440" s="226" t="s">
        <v>1619</v>
      </c>
      <c r="C440" s="227">
        <v>0</v>
      </c>
      <c r="D440" s="227">
        <v>2.6414871487203899</v>
      </c>
    </row>
    <row r="441" spans="1:4" ht="27.75" customHeight="1" x14ac:dyDescent="0.15">
      <c r="A441" s="225">
        <v>503</v>
      </c>
      <c r="B441" s="226" t="s">
        <v>1620</v>
      </c>
      <c r="C441" s="227">
        <v>0</v>
      </c>
      <c r="D441" s="227">
        <v>2.6414871487203899</v>
      </c>
    </row>
    <row r="442" spans="1:4" ht="27.75" customHeight="1" x14ac:dyDescent="0.15">
      <c r="A442" s="225">
        <v>504</v>
      </c>
      <c r="B442" s="226" t="s">
        <v>1621</v>
      </c>
      <c r="C442" s="227">
        <v>0</v>
      </c>
      <c r="D442" s="227">
        <v>2.6414871487203899</v>
      </c>
    </row>
    <row r="443" spans="1:4" ht="27.75" customHeight="1" x14ac:dyDescent="0.15">
      <c r="A443" s="225">
        <v>505</v>
      </c>
      <c r="B443" s="226" t="s">
        <v>1622</v>
      </c>
      <c r="C443" s="227">
        <v>0</v>
      </c>
      <c r="D443" s="227">
        <v>2.6414871487203899</v>
      </c>
    </row>
    <row r="444" spans="1:4" ht="27.75" customHeight="1" x14ac:dyDescent="0.15">
      <c r="A444" s="225">
        <v>506</v>
      </c>
      <c r="B444" s="226" t="s">
        <v>1623</v>
      </c>
      <c r="C444" s="227">
        <v>0</v>
      </c>
      <c r="D444" s="227">
        <v>2.6414871487203899</v>
      </c>
    </row>
    <row r="445" spans="1:4" ht="27.75" customHeight="1" x14ac:dyDescent="0.15">
      <c r="A445" s="225">
        <v>507</v>
      </c>
      <c r="B445" s="226" t="s">
        <v>1624</v>
      </c>
      <c r="C445" s="227">
        <v>0</v>
      </c>
      <c r="D445" s="227">
        <v>2.6414871487203899</v>
      </c>
    </row>
    <row r="446" spans="1:4" ht="27.75" customHeight="1" x14ac:dyDescent="0.15">
      <c r="A446" s="225">
        <v>508</v>
      </c>
      <c r="B446" s="226" t="s">
        <v>1625</v>
      </c>
      <c r="C446" s="227">
        <v>0</v>
      </c>
      <c r="D446" s="227">
        <v>2.6414871487203899</v>
      </c>
    </row>
    <row r="447" spans="1:4" ht="27.75" customHeight="1" x14ac:dyDescent="0.15">
      <c r="A447" s="225">
        <v>509</v>
      </c>
      <c r="B447" s="226" t="s">
        <v>1626</v>
      </c>
      <c r="C447" s="227">
        <v>0</v>
      </c>
      <c r="D447" s="227">
        <v>2.6414871487203899</v>
      </c>
    </row>
    <row r="448" spans="1:4" ht="27.75" customHeight="1" x14ac:dyDescent="0.15">
      <c r="A448" s="225">
        <v>510</v>
      </c>
      <c r="B448" s="226" t="s">
        <v>1627</v>
      </c>
      <c r="C448" s="227">
        <v>0</v>
      </c>
      <c r="D448" s="227">
        <v>2.6414871487203899</v>
      </c>
    </row>
    <row r="449" spans="1:4" ht="27.75" customHeight="1" x14ac:dyDescent="0.15">
      <c r="A449" s="225">
        <v>511</v>
      </c>
      <c r="B449" s="226" t="s">
        <v>1628</v>
      </c>
      <c r="C449" s="227">
        <v>0</v>
      </c>
      <c r="D449" s="227">
        <v>2.6414871487203899</v>
      </c>
    </row>
    <row r="450" spans="1:4" ht="27.75" customHeight="1" x14ac:dyDescent="0.15">
      <c r="A450" s="225">
        <v>512</v>
      </c>
      <c r="B450" s="226" t="s">
        <v>1629</v>
      </c>
      <c r="C450" s="227">
        <v>0</v>
      </c>
      <c r="D450" s="227">
        <v>2.6414871487203899</v>
      </c>
    </row>
    <row r="451" spans="1:4" ht="27.75" customHeight="1" x14ac:dyDescent="0.15">
      <c r="A451" s="225">
        <v>513</v>
      </c>
      <c r="B451" s="226" t="s">
        <v>1630</v>
      </c>
      <c r="C451" s="227">
        <v>0</v>
      </c>
      <c r="D451" s="227">
        <v>2.6414871487203899</v>
      </c>
    </row>
    <row r="452" spans="1:4" ht="27.75" customHeight="1" x14ac:dyDescent="0.15">
      <c r="A452" s="225">
        <v>514</v>
      </c>
      <c r="B452" s="226" t="s">
        <v>1631</v>
      </c>
      <c r="C452" s="227">
        <v>0</v>
      </c>
      <c r="D452" s="227">
        <v>2.6414871487203899</v>
      </c>
    </row>
    <row r="453" spans="1:4" ht="27.75" customHeight="1" x14ac:dyDescent="0.15">
      <c r="A453" s="225">
        <v>515</v>
      </c>
      <c r="B453" s="226" t="s">
        <v>1632</v>
      </c>
      <c r="C453" s="227">
        <v>0</v>
      </c>
      <c r="D453" s="227">
        <v>2.6414871487203899</v>
      </c>
    </row>
    <row r="454" spans="1:4" ht="27.75" customHeight="1" x14ac:dyDescent="0.15">
      <c r="A454" s="225">
        <v>516</v>
      </c>
      <c r="B454" s="226" t="s">
        <v>1633</v>
      </c>
      <c r="C454" s="227">
        <v>0</v>
      </c>
      <c r="D454" s="227">
        <v>2.6414871487203899</v>
      </c>
    </row>
    <row r="455" spans="1:4" ht="27.75" customHeight="1" x14ac:dyDescent="0.15">
      <c r="A455" s="225">
        <v>517</v>
      </c>
      <c r="B455" s="226" t="s">
        <v>1634</v>
      </c>
      <c r="C455" s="227">
        <v>0</v>
      </c>
      <c r="D455" s="227">
        <v>2.6414871487203899</v>
      </c>
    </row>
    <row r="456" spans="1:4" ht="27.75" customHeight="1" x14ac:dyDescent="0.15">
      <c r="A456" s="225">
        <v>518</v>
      </c>
      <c r="B456" s="226" t="s">
        <v>1635</v>
      </c>
      <c r="C456" s="227">
        <v>0</v>
      </c>
      <c r="D456" s="227">
        <v>2.6414871487203899</v>
      </c>
    </row>
    <row r="457" spans="1:4" ht="27.75" customHeight="1" x14ac:dyDescent="0.15">
      <c r="A457" s="225">
        <v>519</v>
      </c>
      <c r="B457" s="226" t="s">
        <v>1636</v>
      </c>
      <c r="C457" s="227">
        <v>0</v>
      </c>
      <c r="D457" s="227">
        <v>0</v>
      </c>
    </row>
    <row r="458" spans="1:4" ht="27.75" customHeight="1" x14ac:dyDescent="0.15">
      <c r="A458" s="225">
        <v>520</v>
      </c>
      <c r="B458" s="226" t="s">
        <v>1637</v>
      </c>
      <c r="C458" s="227">
        <v>0</v>
      </c>
      <c r="D458" s="227">
        <v>0</v>
      </c>
    </row>
    <row r="459" spans="1:4" ht="27.75" customHeight="1" x14ac:dyDescent="0.15">
      <c r="A459" s="225">
        <v>521</v>
      </c>
      <c r="B459" s="226" t="s">
        <v>1638</v>
      </c>
      <c r="C459" s="227">
        <v>0</v>
      </c>
      <c r="D459" s="227">
        <v>0.34051869184155897</v>
      </c>
    </row>
    <row r="460" spans="1:4" ht="27.75" customHeight="1" x14ac:dyDescent="0.15">
      <c r="A460" s="225">
        <v>522</v>
      </c>
      <c r="B460" s="226" t="s">
        <v>1639</v>
      </c>
      <c r="C460" s="227">
        <v>0</v>
      </c>
      <c r="D460" s="227">
        <v>0</v>
      </c>
    </row>
    <row r="461" spans="1:4" ht="27.75" customHeight="1" x14ac:dyDescent="0.15">
      <c r="A461" s="225">
        <v>523</v>
      </c>
      <c r="B461" s="226" t="s">
        <v>1640</v>
      </c>
      <c r="C461" s="227">
        <v>0</v>
      </c>
      <c r="D461" s="227">
        <v>0.34051869184155897</v>
      </c>
    </row>
    <row r="462" spans="1:4" ht="27.75" customHeight="1" x14ac:dyDescent="0.15">
      <c r="A462" s="225">
        <v>524</v>
      </c>
      <c r="B462" s="226" t="s">
        <v>1641</v>
      </c>
      <c r="C462" s="227">
        <v>0</v>
      </c>
      <c r="D462" s="227">
        <v>2.6414871487203899</v>
      </c>
    </row>
    <row r="463" spans="1:4" ht="27.75" customHeight="1" x14ac:dyDescent="0.15">
      <c r="A463" s="225">
        <v>525</v>
      </c>
      <c r="B463" s="226" t="s">
        <v>1642</v>
      </c>
      <c r="C463" s="227">
        <v>0</v>
      </c>
      <c r="D463" s="227">
        <v>0</v>
      </c>
    </row>
    <row r="464" spans="1:4" ht="27.75" customHeight="1" x14ac:dyDescent="0.15">
      <c r="A464" s="225">
        <v>526</v>
      </c>
      <c r="B464" s="226" t="s">
        <v>1643</v>
      </c>
      <c r="C464" s="227">
        <v>0</v>
      </c>
      <c r="D464" s="227">
        <v>0</v>
      </c>
    </row>
    <row r="465" spans="1:4" ht="27.75" customHeight="1" x14ac:dyDescent="0.15">
      <c r="A465" s="225">
        <v>527</v>
      </c>
      <c r="B465" s="226" t="s">
        <v>1644</v>
      </c>
      <c r="C465" s="227">
        <v>0</v>
      </c>
      <c r="D465" s="227">
        <v>0.34051869184155897</v>
      </c>
    </row>
    <row r="466" spans="1:4" ht="27.75" customHeight="1" x14ac:dyDescent="0.15">
      <c r="A466" s="225">
        <v>528</v>
      </c>
      <c r="B466" s="226" t="s">
        <v>1645</v>
      </c>
      <c r="C466" s="227">
        <v>0</v>
      </c>
      <c r="D466" s="227">
        <v>0.34051869184155897</v>
      </c>
    </row>
    <row r="467" spans="1:4" ht="27.75" customHeight="1" x14ac:dyDescent="0.15">
      <c r="A467" s="225">
        <v>529</v>
      </c>
      <c r="B467" s="226" t="s">
        <v>1646</v>
      </c>
      <c r="C467" s="227">
        <v>0</v>
      </c>
      <c r="D467" s="227">
        <v>0</v>
      </c>
    </row>
    <row r="468" spans="1:4" ht="27.75" customHeight="1" x14ac:dyDescent="0.15">
      <c r="A468" s="225">
        <v>530</v>
      </c>
      <c r="B468" s="226" t="s">
        <v>1647</v>
      </c>
      <c r="C468" s="227">
        <v>0</v>
      </c>
      <c r="D468" s="227">
        <v>0</v>
      </c>
    </row>
    <row r="469" spans="1:4" ht="27.75" customHeight="1" x14ac:dyDescent="0.15">
      <c r="A469" s="225">
        <v>531</v>
      </c>
      <c r="B469" s="226" t="s">
        <v>1648</v>
      </c>
      <c r="C469" s="227">
        <v>0</v>
      </c>
      <c r="D469" s="227">
        <v>0.34051869184155897</v>
      </c>
    </row>
    <row r="470" spans="1:4" ht="27.75" customHeight="1" x14ac:dyDescent="0.15">
      <c r="A470" s="225">
        <v>532</v>
      </c>
      <c r="B470" s="226" t="s">
        <v>1649</v>
      </c>
      <c r="C470" s="227">
        <v>0</v>
      </c>
      <c r="D470" s="227">
        <v>0.34051869184155897</v>
      </c>
    </row>
    <row r="471" spans="1:4" ht="27.75" customHeight="1" x14ac:dyDescent="0.15">
      <c r="A471" s="225">
        <v>533</v>
      </c>
      <c r="B471" s="226" t="s">
        <v>1650</v>
      </c>
      <c r="C471" s="227">
        <v>0</v>
      </c>
      <c r="D471" s="227">
        <v>0</v>
      </c>
    </row>
    <row r="472" spans="1:4" ht="27.75" customHeight="1" x14ac:dyDescent="0.15">
      <c r="A472" s="225">
        <v>534</v>
      </c>
      <c r="B472" s="226" t="s">
        <v>1651</v>
      </c>
      <c r="C472" s="227">
        <v>0</v>
      </c>
      <c r="D472" s="227">
        <v>2.6414871487203899</v>
      </c>
    </row>
    <row r="473" spans="1:4" ht="27.75" customHeight="1" x14ac:dyDescent="0.15">
      <c r="A473" s="225">
        <v>535</v>
      </c>
      <c r="B473" s="226" t="s">
        <v>1652</v>
      </c>
      <c r="C473" s="227">
        <v>0</v>
      </c>
      <c r="D473" s="227">
        <v>2.6414871487203899</v>
      </c>
    </row>
    <row r="474" spans="1:4" ht="27.75" customHeight="1" x14ac:dyDescent="0.15">
      <c r="A474" s="225">
        <v>536</v>
      </c>
      <c r="B474" s="226" t="s">
        <v>1653</v>
      </c>
      <c r="C474" s="227">
        <v>0</v>
      </c>
      <c r="D474" s="227">
        <v>3.3061407437628398</v>
      </c>
    </row>
    <row r="475" spans="1:4" ht="27.75" customHeight="1" x14ac:dyDescent="0.15">
      <c r="A475" s="225">
        <v>537</v>
      </c>
      <c r="B475" s="226" t="s">
        <v>1654</v>
      </c>
      <c r="C475" s="227">
        <v>0</v>
      </c>
      <c r="D475" s="227">
        <v>2.6414871487203899</v>
      </c>
    </row>
    <row r="476" spans="1:4" ht="27.75" customHeight="1" x14ac:dyDescent="0.15">
      <c r="A476" s="225">
        <v>538</v>
      </c>
      <c r="B476" s="226" t="s">
        <v>1655</v>
      </c>
      <c r="C476" s="227">
        <v>0</v>
      </c>
      <c r="D476" s="227">
        <v>2.6414871487203899</v>
      </c>
    </row>
    <row r="477" spans="1:4" ht="27.75" customHeight="1" x14ac:dyDescent="0.15">
      <c r="A477" s="225">
        <v>539</v>
      </c>
      <c r="B477" s="226" t="s">
        <v>1656</v>
      </c>
      <c r="C477" s="227">
        <v>0</v>
      </c>
      <c r="D477" s="227">
        <v>2.6414871487203899</v>
      </c>
    </row>
    <row r="478" spans="1:4" ht="27.75" customHeight="1" x14ac:dyDescent="0.15">
      <c r="A478" s="225">
        <v>540</v>
      </c>
      <c r="B478" s="226" t="s">
        <v>1657</v>
      </c>
      <c r="C478" s="227">
        <v>0</v>
      </c>
      <c r="D478" s="227">
        <v>2.6414871487203899</v>
      </c>
    </row>
    <row r="479" spans="1:4" ht="27.75" customHeight="1" x14ac:dyDescent="0.15">
      <c r="A479" s="225">
        <v>541</v>
      </c>
      <c r="B479" s="226" t="s">
        <v>1658</v>
      </c>
      <c r="C479" s="227">
        <v>0</v>
      </c>
      <c r="D479" s="227">
        <v>2.6414871487203899</v>
      </c>
    </row>
    <row r="480" spans="1:4" ht="27.75" customHeight="1" x14ac:dyDescent="0.15">
      <c r="A480" s="225">
        <v>542</v>
      </c>
      <c r="B480" s="226" t="s">
        <v>1659</v>
      </c>
      <c r="C480" s="227">
        <v>0</v>
      </c>
      <c r="D480" s="227">
        <v>3.3061407437628398</v>
      </c>
    </row>
    <row r="481" spans="1:4" ht="27.75" customHeight="1" x14ac:dyDescent="0.15">
      <c r="A481" s="225">
        <v>543</v>
      </c>
      <c r="B481" s="226" t="s">
        <v>1660</v>
      </c>
      <c r="C481" s="227">
        <v>0</v>
      </c>
      <c r="D481" s="227">
        <v>2.6414871487203899</v>
      </c>
    </row>
    <row r="482" spans="1:4" ht="27.75" customHeight="1" x14ac:dyDescent="0.15">
      <c r="A482" s="225">
        <v>544</v>
      </c>
      <c r="B482" s="226" t="s">
        <v>1661</v>
      </c>
      <c r="C482" s="227">
        <v>0</v>
      </c>
      <c r="D482" s="227">
        <v>2.6414871487203899</v>
      </c>
    </row>
    <row r="483" spans="1:4" ht="27.75" customHeight="1" x14ac:dyDescent="0.15">
      <c r="A483" s="225">
        <v>545</v>
      </c>
      <c r="B483" s="226" t="s">
        <v>1662</v>
      </c>
      <c r="C483" s="227">
        <v>0</v>
      </c>
      <c r="D483" s="227">
        <v>4.7827704740404293</v>
      </c>
    </row>
    <row r="484" spans="1:4" ht="27.75" customHeight="1" x14ac:dyDescent="0.15">
      <c r="A484" s="225">
        <v>546</v>
      </c>
      <c r="B484" s="226" t="s">
        <v>1663</v>
      </c>
      <c r="C484" s="227">
        <v>0</v>
      </c>
      <c r="D484" s="227">
        <v>4.7827704740404293</v>
      </c>
    </row>
    <row r="485" spans="1:4" ht="27.75" customHeight="1" x14ac:dyDescent="0.15">
      <c r="A485" s="225">
        <v>547</v>
      </c>
      <c r="B485" s="226" t="s">
        <v>1664</v>
      </c>
      <c r="C485" s="227">
        <v>0</v>
      </c>
      <c r="D485" s="227">
        <v>4.7827704740404293</v>
      </c>
    </row>
    <row r="486" spans="1:4" ht="27.75" customHeight="1" x14ac:dyDescent="0.15">
      <c r="A486" s="225">
        <v>548</v>
      </c>
      <c r="B486" s="226" t="s">
        <v>1665</v>
      </c>
      <c r="C486" s="227">
        <v>0</v>
      </c>
      <c r="D486" s="227">
        <v>2.6414871487203899</v>
      </c>
    </row>
    <row r="487" spans="1:4" ht="27.75" customHeight="1" x14ac:dyDescent="0.15">
      <c r="A487" s="225">
        <v>549</v>
      </c>
      <c r="B487" s="226" t="s">
        <v>1666</v>
      </c>
      <c r="C487" s="227">
        <v>0</v>
      </c>
      <c r="D487" s="227">
        <v>4.7827704740404293</v>
      </c>
    </row>
    <row r="488" spans="1:4" ht="27.75" customHeight="1" x14ac:dyDescent="0.15">
      <c r="A488" s="225">
        <v>551</v>
      </c>
      <c r="B488" s="226" t="s">
        <v>1668</v>
      </c>
      <c r="C488" s="227">
        <v>0</v>
      </c>
      <c r="D488" s="227">
        <v>2.6414871487203899</v>
      </c>
    </row>
    <row r="489" spans="1:4" ht="27.75" customHeight="1" x14ac:dyDescent="0.15">
      <c r="A489" s="225">
        <v>552</v>
      </c>
      <c r="B489" s="226" t="s">
        <v>1667</v>
      </c>
      <c r="C489" s="227">
        <v>0</v>
      </c>
      <c r="D489" s="227">
        <v>4.7827704740404293</v>
      </c>
    </row>
    <row r="490" spans="1:4" ht="27.75" customHeight="1" x14ac:dyDescent="0.15">
      <c r="A490" s="225">
        <v>553</v>
      </c>
      <c r="B490" s="226" t="s">
        <v>1669</v>
      </c>
      <c r="C490" s="227">
        <v>0</v>
      </c>
      <c r="D490" s="227">
        <v>2.6414871487203899</v>
      </c>
    </row>
    <row r="491" spans="1:4" ht="27.75" customHeight="1" x14ac:dyDescent="0.15">
      <c r="A491" s="225">
        <v>554</v>
      </c>
      <c r="B491" s="226" t="s">
        <v>1670</v>
      </c>
      <c r="C491" s="227">
        <v>0</v>
      </c>
      <c r="D491" s="227">
        <v>2.6414871487203899</v>
      </c>
    </row>
    <row r="492" spans="1:4" ht="27.75" customHeight="1" x14ac:dyDescent="0.15">
      <c r="A492" s="225">
        <v>555</v>
      </c>
      <c r="B492" s="226" t="s">
        <v>1671</v>
      </c>
      <c r="C492" s="227">
        <v>0</v>
      </c>
      <c r="D492" s="227">
        <v>2.6414871487203899</v>
      </c>
    </row>
    <row r="493" spans="1:4" ht="27.75" customHeight="1" x14ac:dyDescent="0.15">
      <c r="A493" s="225">
        <v>556</v>
      </c>
      <c r="B493" s="226" t="s">
        <v>1672</v>
      </c>
      <c r="C493" s="227">
        <v>0</v>
      </c>
      <c r="D493" s="227">
        <v>2.6414871487203899</v>
      </c>
    </row>
    <row r="494" spans="1:4" ht="27.75" customHeight="1" x14ac:dyDescent="0.15">
      <c r="A494" s="225">
        <v>557</v>
      </c>
      <c r="B494" s="226" t="s">
        <v>1673</v>
      </c>
      <c r="C494" s="227">
        <v>0</v>
      </c>
      <c r="D494" s="227">
        <v>2.6414871487203899</v>
      </c>
    </row>
    <row r="495" spans="1:4" ht="27.75" customHeight="1" x14ac:dyDescent="0.15">
      <c r="A495" s="225">
        <v>558</v>
      </c>
      <c r="B495" s="226" t="s">
        <v>1674</v>
      </c>
      <c r="C495" s="227">
        <v>0</v>
      </c>
      <c r="D495" s="227">
        <v>2.6414871487203899</v>
      </c>
    </row>
    <row r="496" spans="1:4" ht="27.75" customHeight="1" x14ac:dyDescent="0.15">
      <c r="A496" s="225">
        <v>559</v>
      </c>
      <c r="B496" s="226" t="s">
        <v>1675</v>
      </c>
      <c r="C496" s="227">
        <v>0</v>
      </c>
      <c r="D496" s="227">
        <v>2.6414871487203899</v>
      </c>
    </row>
    <row r="497" spans="1:4" ht="27.75" customHeight="1" x14ac:dyDescent="0.15">
      <c r="A497" s="225">
        <v>560</v>
      </c>
      <c r="B497" s="226" t="s">
        <v>1676</v>
      </c>
      <c r="C497" s="227">
        <v>0</v>
      </c>
      <c r="D497" s="227">
        <v>2.6414871487203899</v>
      </c>
    </row>
    <row r="498" spans="1:4" ht="27.75" customHeight="1" x14ac:dyDescent="0.15">
      <c r="A498" s="225">
        <v>561</v>
      </c>
      <c r="B498" s="226" t="s">
        <v>1677</v>
      </c>
      <c r="C498" s="227">
        <v>0</v>
      </c>
      <c r="D498" s="227">
        <v>2.6414871487203899</v>
      </c>
    </row>
    <row r="499" spans="1:4" ht="27.75" customHeight="1" x14ac:dyDescent="0.15">
      <c r="A499" s="225">
        <v>562</v>
      </c>
      <c r="B499" s="226" t="s">
        <v>1678</v>
      </c>
      <c r="C499" s="227">
        <v>0</v>
      </c>
      <c r="D499" s="227">
        <v>2.6414871487203899</v>
      </c>
    </row>
    <row r="500" spans="1:4" ht="27.75" customHeight="1" x14ac:dyDescent="0.15">
      <c r="A500" s="225">
        <v>563</v>
      </c>
      <c r="B500" s="226" t="s">
        <v>1679</v>
      </c>
      <c r="C500" s="227">
        <v>0</v>
      </c>
      <c r="D500" s="227">
        <v>2.6414871487203899</v>
      </c>
    </row>
    <row r="501" spans="1:4" ht="27.75" customHeight="1" x14ac:dyDescent="0.15">
      <c r="A501" s="225">
        <v>564</v>
      </c>
      <c r="B501" s="226" t="s">
        <v>1680</v>
      </c>
      <c r="C501" s="227">
        <v>0</v>
      </c>
      <c r="D501" s="227">
        <v>2.6414871487203899</v>
      </c>
    </row>
    <row r="502" spans="1:4" ht="27.75" customHeight="1" x14ac:dyDescent="0.15">
      <c r="A502" s="225">
        <v>565</v>
      </c>
      <c r="B502" s="226" t="s">
        <v>1681</v>
      </c>
      <c r="C502" s="227">
        <v>0</v>
      </c>
      <c r="D502" s="227">
        <v>2.6414871487203899</v>
      </c>
    </row>
    <row r="503" spans="1:4" ht="27.75" customHeight="1" x14ac:dyDescent="0.15">
      <c r="A503" s="225">
        <v>566</v>
      </c>
      <c r="B503" s="226" t="s">
        <v>1682</v>
      </c>
      <c r="C503" s="227">
        <v>0</v>
      </c>
      <c r="D503" s="227">
        <v>0</v>
      </c>
    </row>
    <row r="504" spans="1:4" ht="27.75" customHeight="1" x14ac:dyDescent="0.15">
      <c r="A504" s="225">
        <v>567</v>
      </c>
      <c r="B504" s="226" t="s">
        <v>1683</v>
      </c>
      <c r="C504" s="227">
        <v>0</v>
      </c>
      <c r="D504" s="227">
        <v>0</v>
      </c>
    </row>
    <row r="505" spans="1:4" ht="27.75" customHeight="1" x14ac:dyDescent="0.15">
      <c r="A505" s="225">
        <v>568</v>
      </c>
      <c r="B505" s="226" t="s">
        <v>1684</v>
      </c>
      <c r="C505" s="227">
        <v>0</v>
      </c>
      <c r="D505" s="227">
        <v>4.9514399954686601</v>
      </c>
    </row>
    <row r="506" spans="1:4" ht="27.75" customHeight="1" x14ac:dyDescent="0.15">
      <c r="A506" s="225">
        <v>569</v>
      </c>
      <c r="B506" s="226" t="s">
        <v>1685</v>
      </c>
      <c r="C506" s="227">
        <v>0</v>
      </c>
      <c r="D506" s="227">
        <v>4.9514399954686601</v>
      </c>
    </row>
    <row r="507" spans="1:4" ht="27.75" customHeight="1" x14ac:dyDescent="0.15">
      <c r="A507" s="225">
        <v>570</v>
      </c>
      <c r="B507" s="226" t="s">
        <v>1686</v>
      </c>
      <c r="C507" s="227">
        <v>0</v>
      </c>
      <c r="D507" s="227">
        <v>4.9514399954686601</v>
      </c>
    </row>
    <row r="508" spans="1:4" ht="27.75" customHeight="1" x14ac:dyDescent="0.15">
      <c r="A508" s="225">
        <v>571</v>
      </c>
      <c r="B508" s="226" t="s">
        <v>1687</v>
      </c>
      <c r="C508" s="227">
        <v>0</v>
      </c>
      <c r="D508" s="227">
        <v>4.9514399954686601</v>
      </c>
    </row>
    <row r="509" spans="1:4" ht="27.75" customHeight="1" x14ac:dyDescent="0.15">
      <c r="A509" s="225">
        <v>572</v>
      </c>
      <c r="B509" s="226" t="s">
        <v>1688</v>
      </c>
      <c r="C509" s="227">
        <v>0</v>
      </c>
      <c r="D509" s="227">
        <v>4.9514399954686601</v>
      </c>
    </row>
    <row r="510" spans="1:4" ht="27.75" customHeight="1" x14ac:dyDescent="0.15">
      <c r="A510" s="225">
        <v>573</v>
      </c>
      <c r="B510" s="226" t="s">
        <v>1689</v>
      </c>
      <c r="C510" s="227">
        <v>0</v>
      </c>
      <c r="D510" s="227">
        <v>4.9514399954686601</v>
      </c>
    </row>
    <row r="511" spans="1:4" ht="27.75" customHeight="1" x14ac:dyDescent="0.15">
      <c r="A511" s="225">
        <v>574</v>
      </c>
      <c r="B511" s="226" t="s">
        <v>1690</v>
      </c>
      <c r="C511" s="227">
        <v>0</v>
      </c>
      <c r="D511" s="227">
        <v>4.9514399954686601</v>
      </c>
    </row>
    <row r="512" spans="1:4" ht="27.75" customHeight="1" x14ac:dyDescent="0.15">
      <c r="A512" s="225">
        <v>575</v>
      </c>
      <c r="B512" s="226" t="s">
        <v>1691</v>
      </c>
      <c r="C512" s="227">
        <v>0</v>
      </c>
      <c r="D512" s="227">
        <v>4.9514399954686601</v>
      </c>
    </row>
    <row r="513" spans="1:4" ht="27.75" customHeight="1" x14ac:dyDescent="0.15">
      <c r="A513" s="225">
        <v>576</v>
      </c>
      <c r="B513" s="226" t="s">
        <v>1692</v>
      </c>
      <c r="C513" s="227">
        <v>0</v>
      </c>
      <c r="D513" s="227">
        <v>4.9514399954686601</v>
      </c>
    </row>
    <row r="514" spans="1:4" ht="27.75" customHeight="1" x14ac:dyDescent="0.15">
      <c r="A514" s="225">
        <v>577</v>
      </c>
      <c r="B514" s="226" t="s">
        <v>1693</v>
      </c>
      <c r="C514" s="227">
        <v>0</v>
      </c>
      <c r="D514" s="227">
        <v>4.9514399954686601</v>
      </c>
    </row>
    <row r="515" spans="1:4" ht="27.75" customHeight="1" x14ac:dyDescent="0.15">
      <c r="A515" s="225">
        <v>578</v>
      </c>
      <c r="B515" s="226" t="s">
        <v>1694</v>
      </c>
      <c r="C515" s="227">
        <v>0</v>
      </c>
      <c r="D515" s="227">
        <v>4.9514399954686601</v>
      </c>
    </row>
    <row r="516" spans="1:4" ht="27.75" customHeight="1" x14ac:dyDescent="0.15">
      <c r="A516" s="225">
        <v>579</v>
      </c>
      <c r="B516" s="226" t="s">
        <v>1695</v>
      </c>
      <c r="C516" s="227">
        <v>0</v>
      </c>
      <c r="D516" s="227">
        <v>4.9514399954686601</v>
      </c>
    </row>
    <row r="517" spans="1:4" ht="27.75" customHeight="1" x14ac:dyDescent="0.15">
      <c r="A517" s="225">
        <v>580</v>
      </c>
      <c r="B517" s="226" t="s">
        <v>1696</v>
      </c>
      <c r="C517" s="227">
        <v>0</v>
      </c>
      <c r="D517" s="227">
        <v>0</v>
      </c>
    </row>
    <row r="518" spans="1:4" ht="27.75" customHeight="1" x14ac:dyDescent="0.15">
      <c r="A518" s="225">
        <v>581</v>
      </c>
      <c r="B518" s="226" t="s">
        <v>1697</v>
      </c>
      <c r="C518" s="227">
        <v>0</v>
      </c>
      <c r="D518" s="227">
        <v>0</v>
      </c>
    </row>
    <row r="519" spans="1:4" ht="27.75" customHeight="1" x14ac:dyDescent="0.15">
      <c r="A519" s="225">
        <v>582</v>
      </c>
      <c r="B519" s="226" t="s">
        <v>1698</v>
      </c>
      <c r="C519" s="227">
        <v>0</v>
      </c>
      <c r="D519" s="227">
        <v>0</v>
      </c>
    </row>
    <row r="520" spans="1:4" ht="27.75" customHeight="1" x14ac:dyDescent="0.15">
      <c r="A520" s="225">
        <v>583</v>
      </c>
      <c r="B520" s="226" t="s">
        <v>1699</v>
      </c>
      <c r="C520" s="227">
        <v>0</v>
      </c>
      <c r="D520" s="227">
        <v>0</v>
      </c>
    </row>
    <row r="521" spans="1:4" ht="27.75" customHeight="1" x14ac:dyDescent="0.15">
      <c r="A521" s="225">
        <v>584</v>
      </c>
      <c r="B521" s="226" t="s">
        <v>1700</v>
      </c>
      <c r="C521" s="227">
        <v>0</v>
      </c>
      <c r="D521" s="227">
        <v>0</v>
      </c>
    </row>
    <row r="522" spans="1:4" ht="27.75" customHeight="1" x14ac:dyDescent="0.15">
      <c r="A522" s="225">
        <v>585</v>
      </c>
      <c r="B522" s="226" t="s">
        <v>1701</v>
      </c>
      <c r="C522" s="227">
        <v>0</v>
      </c>
      <c r="D522" s="227">
        <v>0</v>
      </c>
    </row>
    <row r="523" spans="1:4" ht="27.75" customHeight="1" x14ac:dyDescent="0.15">
      <c r="A523" s="225">
        <v>586</v>
      </c>
      <c r="B523" s="226" t="s">
        <v>1702</v>
      </c>
      <c r="C523" s="227">
        <v>0</v>
      </c>
      <c r="D523" s="227">
        <v>0</v>
      </c>
    </row>
    <row r="524" spans="1:4" ht="27.75" customHeight="1" x14ac:dyDescent="0.15">
      <c r="A524" s="225">
        <v>587</v>
      </c>
      <c r="B524" s="226" t="s">
        <v>1703</v>
      </c>
      <c r="C524" s="227">
        <v>0</v>
      </c>
      <c r="D524" s="227">
        <v>6.8567617421383105</v>
      </c>
    </row>
    <row r="525" spans="1:4" ht="27.75" customHeight="1" x14ac:dyDescent="0.15">
      <c r="A525" s="225">
        <v>588</v>
      </c>
      <c r="B525" s="226" t="s">
        <v>1704</v>
      </c>
      <c r="C525" s="227">
        <v>0</v>
      </c>
      <c r="D525" s="227">
        <v>6.8567617421383105</v>
      </c>
    </row>
    <row r="526" spans="1:4" ht="27.75" customHeight="1" x14ac:dyDescent="0.15">
      <c r="A526" s="225">
        <v>589</v>
      </c>
      <c r="B526" s="226" t="s">
        <v>1705</v>
      </c>
      <c r="C526" s="227">
        <v>0</v>
      </c>
      <c r="D526" s="227">
        <v>6.8567617421383105</v>
      </c>
    </row>
    <row r="527" spans="1:4" ht="27.75" customHeight="1" x14ac:dyDescent="0.15">
      <c r="A527" s="225">
        <v>590</v>
      </c>
      <c r="B527" s="226" t="s">
        <v>1706</v>
      </c>
      <c r="C527" s="227">
        <v>0</v>
      </c>
      <c r="D527" s="227">
        <v>6.8567617421383105</v>
      </c>
    </row>
    <row r="528" spans="1:4" ht="27.75" customHeight="1" x14ac:dyDescent="0.15">
      <c r="A528" s="225">
        <v>591</v>
      </c>
      <c r="B528" s="226" t="s">
        <v>1707</v>
      </c>
      <c r="C528" s="227">
        <v>0</v>
      </c>
      <c r="D528" s="227">
        <v>4.9514399954686601</v>
      </c>
    </row>
    <row r="529" spans="1:4" ht="27.75" customHeight="1" x14ac:dyDescent="0.15">
      <c r="A529" s="225">
        <v>592</v>
      </c>
      <c r="B529" s="226" t="s">
        <v>1708</v>
      </c>
      <c r="C529" s="227">
        <v>0</v>
      </c>
      <c r="D529" s="227">
        <v>5.5461786317473534</v>
      </c>
    </row>
    <row r="530" spans="1:4" ht="27.75" customHeight="1" x14ac:dyDescent="0.15">
      <c r="A530" s="225">
        <v>593</v>
      </c>
      <c r="B530" s="226" t="s">
        <v>1709</v>
      </c>
      <c r="C530" s="227">
        <v>0</v>
      </c>
      <c r="D530" s="227">
        <v>4.9514399954686601</v>
      </c>
    </row>
    <row r="531" spans="1:4" ht="27.75" customHeight="1" x14ac:dyDescent="0.15">
      <c r="A531" s="225">
        <v>594</v>
      </c>
      <c r="B531" s="226" t="s">
        <v>1710</v>
      </c>
      <c r="C531" s="227">
        <v>0</v>
      </c>
      <c r="D531" s="227">
        <v>5.5461786317473534</v>
      </c>
    </row>
    <row r="532" spans="1:4" ht="27.75" customHeight="1" x14ac:dyDescent="0.15">
      <c r="A532" s="225">
        <v>595</v>
      </c>
      <c r="B532" s="226" t="s">
        <v>1711</v>
      </c>
      <c r="C532" s="227">
        <v>0</v>
      </c>
      <c r="D532" s="227">
        <v>5.5461786317473534</v>
      </c>
    </row>
    <row r="533" spans="1:4" ht="27.75" customHeight="1" x14ac:dyDescent="0.15">
      <c r="A533" s="225">
        <v>596</v>
      </c>
      <c r="B533" s="226" t="s">
        <v>1712</v>
      </c>
      <c r="C533" s="227">
        <v>0</v>
      </c>
      <c r="D533" s="227">
        <v>5.5461786317473534</v>
      </c>
    </row>
    <row r="534" spans="1:4" ht="27.75" customHeight="1" x14ac:dyDescent="0.15">
      <c r="A534" s="225">
        <v>597</v>
      </c>
      <c r="B534" s="226" t="s">
        <v>1713</v>
      </c>
      <c r="C534" s="227">
        <v>0</v>
      </c>
      <c r="D534" s="227">
        <v>5.5461786317473534</v>
      </c>
    </row>
    <row r="535" spans="1:4" ht="27.75" customHeight="1" x14ac:dyDescent="0.15">
      <c r="A535" s="225">
        <v>598</v>
      </c>
      <c r="B535" s="226" t="s">
        <v>1714</v>
      </c>
      <c r="C535" s="227">
        <v>0</v>
      </c>
      <c r="D535" s="227">
        <v>5.5461786317473534</v>
      </c>
    </row>
    <row r="536" spans="1:4" ht="27.75" customHeight="1" x14ac:dyDescent="0.15">
      <c r="A536" s="225">
        <v>599</v>
      </c>
      <c r="B536" s="226" t="s">
        <v>1715</v>
      </c>
      <c r="C536" s="227">
        <v>0</v>
      </c>
      <c r="D536" s="227">
        <v>5.5461786317473534</v>
      </c>
    </row>
    <row r="537" spans="1:4" ht="27.75" customHeight="1" x14ac:dyDescent="0.15">
      <c r="A537" s="225">
        <v>600</v>
      </c>
      <c r="B537" s="226" t="s">
        <v>1716</v>
      </c>
      <c r="C537" s="227">
        <v>0</v>
      </c>
      <c r="D537" s="227">
        <v>6.8567617421383105</v>
      </c>
    </row>
    <row r="538" spans="1:4" ht="27.75" customHeight="1" x14ac:dyDescent="0.15">
      <c r="A538" s="225">
        <v>601</v>
      </c>
      <c r="B538" s="226" t="s">
        <v>1717</v>
      </c>
      <c r="C538" s="227">
        <v>0</v>
      </c>
      <c r="D538" s="227">
        <v>0</v>
      </c>
    </row>
    <row r="539" spans="1:4" ht="27.75" customHeight="1" x14ac:dyDescent="0.15">
      <c r="A539" s="225">
        <v>602</v>
      </c>
      <c r="B539" s="226" t="s">
        <v>1718</v>
      </c>
      <c r="C539" s="227">
        <v>0</v>
      </c>
      <c r="D539" s="227">
        <v>0</v>
      </c>
    </row>
    <row r="540" spans="1:4" ht="27.75" customHeight="1" x14ac:dyDescent="0.15">
      <c r="A540" s="225">
        <v>603</v>
      </c>
      <c r="B540" s="226" t="s">
        <v>1719</v>
      </c>
      <c r="C540" s="227">
        <v>0</v>
      </c>
      <c r="D540" s="227">
        <v>0</v>
      </c>
    </row>
    <row r="541" spans="1:4" ht="27.75" customHeight="1" x14ac:dyDescent="0.15">
      <c r="A541" s="225">
        <v>604</v>
      </c>
      <c r="B541" s="226" t="s">
        <v>1720</v>
      </c>
      <c r="C541" s="227">
        <v>3.1776321801071701</v>
      </c>
      <c r="D541" s="227">
        <v>5.3399097088882499</v>
      </c>
    </row>
    <row r="542" spans="1:4" ht="27.75" customHeight="1" x14ac:dyDescent="0.15">
      <c r="A542" s="225">
        <v>605</v>
      </c>
      <c r="B542" s="226" t="s">
        <v>1721</v>
      </c>
      <c r="C542" s="227">
        <v>0</v>
      </c>
      <c r="D542" s="227">
        <v>5.3399097088882499</v>
      </c>
    </row>
    <row r="543" spans="1:4" ht="27.75" customHeight="1" x14ac:dyDescent="0.15">
      <c r="A543" s="225">
        <v>606</v>
      </c>
      <c r="B543" s="226" t="s">
        <v>1722</v>
      </c>
      <c r="C543" s="227">
        <v>0</v>
      </c>
      <c r="D543" s="227">
        <v>5.3399097088882499</v>
      </c>
    </row>
    <row r="544" spans="1:4" ht="27.75" customHeight="1" x14ac:dyDescent="0.15">
      <c r="A544" s="225">
        <v>607</v>
      </c>
      <c r="B544" s="226" t="s">
        <v>1723</v>
      </c>
      <c r="C544" s="227">
        <v>0</v>
      </c>
      <c r="D544" s="227">
        <v>5.3399097088882499</v>
      </c>
    </row>
    <row r="545" spans="1:4" ht="27.75" customHeight="1" x14ac:dyDescent="0.15">
      <c r="A545" s="225">
        <v>608</v>
      </c>
      <c r="B545" s="226" t="s">
        <v>1724</v>
      </c>
      <c r="C545" s="227">
        <v>0</v>
      </c>
      <c r="D545" s="227">
        <v>5.3399097088882499</v>
      </c>
    </row>
    <row r="546" spans="1:4" ht="27.75" customHeight="1" x14ac:dyDescent="0.15">
      <c r="A546" s="225">
        <v>609</v>
      </c>
      <c r="B546" s="226" t="s">
        <v>1725</v>
      </c>
      <c r="C546" s="227">
        <v>0</v>
      </c>
      <c r="D546" s="227">
        <v>5.3399097088882499</v>
      </c>
    </row>
    <row r="547" spans="1:4" ht="27.75" customHeight="1" x14ac:dyDescent="0.15">
      <c r="A547" s="225">
        <v>610</v>
      </c>
      <c r="B547" s="226" t="s">
        <v>1726</v>
      </c>
      <c r="C547" s="227">
        <v>0</v>
      </c>
      <c r="D547" s="227">
        <v>5.3399097088882499</v>
      </c>
    </row>
    <row r="548" spans="1:4" ht="27.75" customHeight="1" x14ac:dyDescent="0.15">
      <c r="A548" s="225">
        <v>611</v>
      </c>
      <c r="B548" s="226" t="s">
        <v>1727</v>
      </c>
      <c r="C548" s="227">
        <v>0</v>
      </c>
      <c r="D548" s="227">
        <v>5.3399097088882499</v>
      </c>
    </row>
    <row r="549" spans="1:4" ht="27.75" customHeight="1" x14ac:dyDescent="0.15">
      <c r="A549" s="225">
        <v>612</v>
      </c>
      <c r="B549" s="226" t="s">
        <v>1728</v>
      </c>
      <c r="C549" s="227">
        <v>0</v>
      </c>
      <c r="D549" s="227">
        <v>5.3399097088882499</v>
      </c>
    </row>
    <row r="550" spans="1:4" ht="27.75" customHeight="1" x14ac:dyDescent="0.15">
      <c r="A550" s="225">
        <v>613</v>
      </c>
      <c r="B550" s="226" t="s">
        <v>1729</v>
      </c>
      <c r="C550" s="227">
        <v>0</v>
      </c>
      <c r="D550" s="227">
        <v>5.3399097088882499</v>
      </c>
    </row>
    <row r="551" spans="1:4" ht="27.75" customHeight="1" x14ac:dyDescent="0.15">
      <c r="A551" s="225">
        <v>615</v>
      </c>
      <c r="B551" s="226" t="s">
        <v>1730</v>
      </c>
      <c r="C551" s="227">
        <v>0</v>
      </c>
      <c r="D551" s="227">
        <v>0</v>
      </c>
    </row>
    <row r="552" spans="1:4" ht="27.75" customHeight="1" x14ac:dyDescent="0.15">
      <c r="A552" s="225">
        <v>616</v>
      </c>
      <c r="B552" s="226" t="s">
        <v>1731</v>
      </c>
      <c r="C552" s="227">
        <v>0</v>
      </c>
      <c r="D552" s="227">
        <v>0</v>
      </c>
    </row>
    <row r="553" spans="1:4" ht="27.75" customHeight="1" x14ac:dyDescent="0.15">
      <c r="A553" s="225">
        <v>617</v>
      </c>
      <c r="B553" s="226" t="s">
        <v>1732</v>
      </c>
      <c r="C553" s="227">
        <v>0</v>
      </c>
      <c r="D553" s="227">
        <v>0</v>
      </c>
    </row>
    <row r="554" spans="1:4" ht="27.75" customHeight="1" x14ac:dyDescent="0.15">
      <c r="A554" s="225">
        <v>618</v>
      </c>
      <c r="B554" s="226" t="s">
        <v>1733</v>
      </c>
      <c r="C554" s="227">
        <v>0</v>
      </c>
      <c r="D554" s="227">
        <v>0</v>
      </c>
    </row>
    <row r="555" spans="1:4" ht="27.75" customHeight="1" x14ac:dyDescent="0.15">
      <c r="A555" s="225">
        <v>619</v>
      </c>
      <c r="B555" s="226" t="s">
        <v>1734</v>
      </c>
      <c r="C555" s="227">
        <v>0</v>
      </c>
      <c r="D555" s="227">
        <v>0</v>
      </c>
    </row>
    <row r="556" spans="1:4" ht="27.75" customHeight="1" x14ac:dyDescent="0.15">
      <c r="A556" s="225">
        <v>620</v>
      </c>
      <c r="B556" s="226" t="s">
        <v>1735</v>
      </c>
      <c r="C556" s="227">
        <v>0</v>
      </c>
      <c r="D556" s="227">
        <v>0</v>
      </c>
    </row>
    <row r="557" spans="1:4" ht="27.75" customHeight="1" x14ac:dyDescent="0.15">
      <c r="A557" s="225">
        <v>621</v>
      </c>
      <c r="B557" s="226" t="s">
        <v>1736</v>
      </c>
      <c r="C557" s="227">
        <v>0</v>
      </c>
      <c r="D557" s="227">
        <v>0</v>
      </c>
    </row>
    <row r="558" spans="1:4" ht="27.75" customHeight="1" x14ac:dyDescent="0.15">
      <c r="A558" s="225">
        <v>622</v>
      </c>
      <c r="B558" s="226" t="s">
        <v>1737</v>
      </c>
      <c r="C558" s="227">
        <v>0</v>
      </c>
      <c r="D558" s="227">
        <v>0</v>
      </c>
    </row>
    <row r="559" spans="1:4" ht="27.75" customHeight="1" x14ac:dyDescent="0.15">
      <c r="A559" s="225">
        <v>623</v>
      </c>
      <c r="B559" s="226" t="s">
        <v>1738</v>
      </c>
      <c r="C559" s="227">
        <v>0</v>
      </c>
      <c r="D559" s="227">
        <v>0</v>
      </c>
    </row>
    <row r="560" spans="1:4" ht="27.75" customHeight="1" x14ac:dyDescent="0.15">
      <c r="A560" s="225">
        <v>624</v>
      </c>
      <c r="B560" s="226" t="s">
        <v>1739</v>
      </c>
      <c r="C560" s="227">
        <v>0</v>
      </c>
      <c r="D560" s="227">
        <v>0</v>
      </c>
    </row>
    <row r="561" spans="1:4" ht="27.75" customHeight="1" x14ac:dyDescent="0.15">
      <c r="A561" s="225">
        <v>625</v>
      </c>
      <c r="B561" s="226" t="s">
        <v>1740</v>
      </c>
      <c r="C561" s="227">
        <v>0</v>
      </c>
      <c r="D561" s="227">
        <v>0</v>
      </c>
    </row>
    <row r="562" spans="1:4" ht="27.75" customHeight="1" x14ac:dyDescent="0.15">
      <c r="A562" s="225">
        <v>626</v>
      </c>
      <c r="B562" s="226" t="s">
        <v>1741</v>
      </c>
      <c r="C562" s="227">
        <v>0</v>
      </c>
      <c r="D562" s="227">
        <v>0</v>
      </c>
    </row>
    <row r="563" spans="1:4" ht="27.75" customHeight="1" x14ac:dyDescent="0.15">
      <c r="A563" s="225">
        <v>627</v>
      </c>
      <c r="B563" s="226" t="s">
        <v>1742</v>
      </c>
      <c r="C563" s="227">
        <v>0</v>
      </c>
      <c r="D563" s="227">
        <v>0</v>
      </c>
    </row>
    <row r="564" spans="1:4" ht="27.75" customHeight="1" x14ac:dyDescent="0.15">
      <c r="A564" s="225">
        <v>628</v>
      </c>
      <c r="B564" s="226" t="s">
        <v>1743</v>
      </c>
      <c r="C564" s="227">
        <v>0</v>
      </c>
      <c r="D564" s="227">
        <v>0</v>
      </c>
    </row>
    <row r="565" spans="1:4" ht="27.75" customHeight="1" x14ac:dyDescent="0.15">
      <c r="A565" s="225">
        <v>629</v>
      </c>
      <c r="B565" s="226" t="s">
        <v>1744</v>
      </c>
      <c r="C565" s="227">
        <v>0</v>
      </c>
      <c r="D565" s="227">
        <v>0</v>
      </c>
    </row>
    <row r="566" spans="1:4" ht="27.75" customHeight="1" x14ac:dyDescent="0.15">
      <c r="A566" s="225">
        <v>630</v>
      </c>
      <c r="B566" s="226" t="s">
        <v>1745</v>
      </c>
      <c r="C566" s="227">
        <v>0</v>
      </c>
      <c r="D566" s="227">
        <v>0</v>
      </c>
    </row>
    <row r="567" spans="1:4" ht="27.75" customHeight="1" x14ac:dyDescent="0.15">
      <c r="A567" s="225">
        <v>631</v>
      </c>
      <c r="B567" s="226" t="s">
        <v>1746</v>
      </c>
      <c r="C567" s="227">
        <v>0</v>
      </c>
      <c r="D567" s="227">
        <v>0</v>
      </c>
    </row>
    <row r="568" spans="1:4" ht="27.75" customHeight="1" x14ac:dyDescent="0.15">
      <c r="A568" s="225">
        <v>632</v>
      </c>
      <c r="B568" s="226" t="s">
        <v>1747</v>
      </c>
      <c r="C568" s="227">
        <v>0</v>
      </c>
      <c r="D568" s="227">
        <v>0</v>
      </c>
    </row>
    <row r="569" spans="1:4" ht="27.75" customHeight="1" x14ac:dyDescent="0.15">
      <c r="A569" s="225">
        <v>633</v>
      </c>
      <c r="B569" s="226" t="s">
        <v>1748</v>
      </c>
      <c r="C569" s="227">
        <v>0</v>
      </c>
      <c r="D569" s="227">
        <v>0</v>
      </c>
    </row>
    <row r="570" spans="1:4" ht="27.75" customHeight="1" x14ac:dyDescent="0.15">
      <c r="A570" s="225">
        <v>634</v>
      </c>
      <c r="B570" s="226" t="s">
        <v>1749</v>
      </c>
      <c r="C570" s="227">
        <v>0</v>
      </c>
      <c r="D570" s="227">
        <v>0</v>
      </c>
    </row>
    <row r="571" spans="1:4" ht="27.75" customHeight="1" x14ac:dyDescent="0.15">
      <c r="A571" s="225">
        <v>635</v>
      </c>
      <c r="B571" s="226" t="s">
        <v>1750</v>
      </c>
      <c r="C571" s="227">
        <v>0</v>
      </c>
      <c r="D571" s="227">
        <v>0</v>
      </c>
    </row>
    <row r="572" spans="1:4" ht="27.75" customHeight="1" x14ac:dyDescent="0.15">
      <c r="A572" s="225">
        <v>636</v>
      </c>
      <c r="B572" s="226" t="s">
        <v>1751</v>
      </c>
      <c r="C572" s="227">
        <v>0</v>
      </c>
      <c r="D572" s="227">
        <v>0</v>
      </c>
    </row>
    <row r="573" spans="1:4" ht="27.75" customHeight="1" x14ac:dyDescent="0.15">
      <c r="A573" s="225">
        <v>637</v>
      </c>
      <c r="B573" s="226" t="s">
        <v>1752</v>
      </c>
      <c r="C573" s="227">
        <v>0</v>
      </c>
      <c r="D573" s="227">
        <v>0</v>
      </c>
    </row>
    <row r="574" spans="1:4" ht="27.75" customHeight="1" x14ac:dyDescent="0.15">
      <c r="A574" s="225">
        <v>638</v>
      </c>
      <c r="B574" s="226" t="s">
        <v>1753</v>
      </c>
      <c r="C574" s="227">
        <v>0</v>
      </c>
      <c r="D574" s="227">
        <v>0</v>
      </c>
    </row>
    <row r="575" spans="1:4" ht="27.75" customHeight="1" x14ac:dyDescent="0.15">
      <c r="A575" s="225">
        <v>639</v>
      </c>
      <c r="B575" s="226" t="s">
        <v>1754</v>
      </c>
      <c r="C575" s="227">
        <v>0</v>
      </c>
      <c r="D575" s="227">
        <v>0</v>
      </c>
    </row>
    <row r="576" spans="1:4" ht="27.75" customHeight="1" x14ac:dyDescent="0.15">
      <c r="A576" s="225">
        <v>640</v>
      </c>
      <c r="B576" s="226" t="s">
        <v>1755</v>
      </c>
      <c r="C576" s="227">
        <v>0</v>
      </c>
      <c r="D576" s="227">
        <v>0</v>
      </c>
    </row>
    <row r="577" spans="1:4" ht="27.75" customHeight="1" x14ac:dyDescent="0.15">
      <c r="A577" s="225">
        <v>641</v>
      </c>
      <c r="B577" s="226" t="s">
        <v>1756</v>
      </c>
      <c r="C577" s="227">
        <v>0</v>
      </c>
      <c r="D577" s="227">
        <v>0</v>
      </c>
    </row>
    <row r="578" spans="1:4" ht="27.75" customHeight="1" x14ac:dyDescent="0.15">
      <c r="A578" s="225">
        <v>642</v>
      </c>
      <c r="B578" s="226" t="s">
        <v>1757</v>
      </c>
      <c r="C578" s="227">
        <v>0</v>
      </c>
      <c r="D578" s="227">
        <v>0</v>
      </c>
    </row>
    <row r="579" spans="1:4" ht="27.75" customHeight="1" x14ac:dyDescent="0.15">
      <c r="A579" s="225">
        <v>643</v>
      </c>
      <c r="B579" s="226" t="s">
        <v>1758</v>
      </c>
      <c r="C579" s="227">
        <v>0</v>
      </c>
      <c r="D579" s="227">
        <v>0</v>
      </c>
    </row>
    <row r="580" spans="1:4" ht="27.75" customHeight="1" x14ac:dyDescent="0.15">
      <c r="A580" s="225">
        <v>644</v>
      </c>
      <c r="B580" s="226" t="s">
        <v>1759</v>
      </c>
      <c r="C580" s="227">
        <v>0</v>
      </c>
      <c r="D580" s="227">
        <v>0</v>
      </c>
    </row>
    <row r="581" spans="1:4" ht="27.75" customHeight="1" x14ac:dyDescent="0.15">
      <c r="A581" s="225">
        <v>645</v>
      </c>
      <c r="B581" s="226" t="s">
        <v>1760</v>
      </c>
      <c r="C581" s="227">
        <v>0</v>
      </c>
      <c r="D581" s="227">
        <v>0</v>
      </c>
    </row>
    <row r="582" spans="1:4" ht="27.75" customHeight="1" x14ac:dyDescent="0.15">
      <c r="A582" s="225">
        <v>646</v>
      </c>
      <c r="B582" s="226" t="s">
        <v>1761</v>
      </c>
      <c r="C582" s="227">
        <v>0</v>
      </c>
      <c r="D582" s="227">
        <v>0</v>
      </c>
    </row>
    <row r="583" spans="1:4" ht="27.75" customHeight="1" x14ac:dyDescent="0.15">
      <c r="A583" s="225">
        <v>647</v>
      </c>
      <c r="B583" s="226" t="s">
        <v>1762</v>
      </c>
      <c r="C583" s="227">
        <v>0</v>
      </c>
      <c r="D583" s="227">
        <v>0</v>
      </c>
    </row>
    <row r="584" spans="1:4" ht="27.75" customHeight="1" x14ac:dyDescent="0.15">
      <c r="A584" s="225">
        <v>648</v>
      </c>
      <c r="B584" s="226" t="s">
        <v>1763</v>
      </c>
      <c r="C584" s="227">
        <v>0</v>
      </c>
      <c r="D584" s="227">
        <v>0</v>
      </c>
    </row>
    <row r="585" spans="1:4" ht="27.75" customHeight="1" x14ac:dyDescent="0.15">
      <c r="A585" s="225">
        <v>649</v>
      </c>
      <c r="B585" s="226" t="s">
        <v>1764</v>
      </c>
      <c r="C585" s="227">
        <v>0</v>
      </c>
      <c r="D585" s="227">
        <v>0</v>
      </c>
    </row>
    <row r="586" spans="1:4" ht="27.75" customHeight="1" x14ac:dyDescent="0.15">
      <c r="A586" s="225">
        <v>650</v>
      </c>
      <c r="B586" s="226" t="s">
        <v>1765</v>
      </c>
      <c r="C586" s="227">
        <v>0</v>
      </c>
      <c r="D586" s="227">
        <v>0</v>
      </c>
    </row>
    <row r="587" spans="1:4" ht="27.75" customHeight="1" x14ac:dyDescent="0.15">
      <c r="A587" s="225">
        <v>651</v>
      </c>
      <c r="B587" s="226" t="s">
        <v>1766</v>
      </c>
      <c r="C587" s="227">
        <v>0</v>
      </c>
      <c r="D587" s="227">
        <v>0</v>
      </c>
    </row>
    <row r="588" spans="1:4" ht="27.75" customHeight="1" x14ac:dyDescent="0.15">
      <c r="A588" s="225">
        <v>653</v>
      </c>
      <c r="B588" s="226" t="s">
        <v>1767</v>
      </c>
      <c r="C588" s="227">
        <v>0</v>
      </c>
      <c r="D588" s="227">
        <v>0</v>
      </c>
    </row>
    <row r="589" spans="1:4" ht="27.75" customHeight="1" x14ac:dyDescent="0.15">
      <c r="A589" s="225">
        <v>654</v>
      </c>
      <c r="B589" s="226" t="s">
        <v>1768</v>
      </c>
      <c r="C589" s="227">
        <v>0</v>
      </c>
      <c r="D589" s="227">
        <v>0</v>
      </c>
    </row>
    <row r="590" spans="1:4" ht="27.75" customHeight="1" x14ac:dyDescent="0.15">
      <c r="A590" s="225">
        <v>655</v>
      </c>
      <c r="B590" s="226" t="s">
        <v>1769</v>
      </c>
      <c r="C590" s="227">
        <v>0</v>
      </c>
      <c r="D590" s="227">
        <v>0</v>
      </c>
    </row>
    <row r="591" spans="1:4" ht="27.75" customHeight="1" x14ac:dyDescent="0.15">
      <c r="A591" s="225">
        <v>656</v>
      </c>
      <c r="B591" s="226" t="s">
        <v>1770</v>
      </c>
      <c r="C591" s="227">
        <v>0</v>
      </c>
      <c r="D591" s="227">
        <v>0</v>
      </c>
    </row>
    <row r="592" spans="1:4" ht="27.75" customHeight="1" x14ac:dyDescent="0.15">
      <c r="A592" s="225">
        <v>657</v>
      </c>
      <c r="B592" s="226" t="s">
        <v>1771</v>
      </c>
      <c r="C592" s="227">
        <v>0</v>
      </c>
      <c r="D592" s="227">
        <v>0</v>
      </c>
    </row>
    <row r="593" spans="1:4" ht="27.75" customHeight="1" x14ac:dyDescent="0.15">
      <c r="A593" s="225">
        <v>658</v>
      </c>
      <c r="B593" s="226" t="s">
        <v>1772</v>
      </c>
      <c r="C593" s="227">
        <v>0</v>
      </c>
      <c r="D593" s="227">
        <v>0</v>
      </c>
    </row>
    <row r="594" spans="1:4" ht="27.75" customHeight="1" x14ac:dyDescent="0.15">
      <c r="A594" s="225">
        <v>659</v>
      </c>
      <c r="B594" s="226" t="s">
        <v>1773</v>
      </c>
      <c r="C594" s="227">
        <v>0</v>
      </c>
      <c r="D594" s="227">
        <v>0</v>
      </c>
    </row>
    <row r="595" spans="1:4" ht="27.75" customHeight="1" x14ac:dyDescent="0.15">
      <c r="A595" s="225">
        <v>660</v>
      </c>
      <c r="B595" s="226" t="s">
        <v>1774</v>
      </c>
      <c r="C595" s="227">
        <v>0</v>
      </c>
      <c r="D595" s="227">
        <v>0</v>
      </c>
    </row>
    <row r="596" spans="1:4" ht="27.75" customHeight="1" x14ac:dyDescent="0.15">
      <c r="A596" s="225">
        <v>661</v>
      </c>
      <c r="B596" s="226" t="s">
        <v>1775</v>
      </c>
      <c r="C596" s="227">
        <v>0</v>
      </c>
      <c r="D596" s="227">
        <v>0</v>
      </c>
    </row>
    <row r="597" spans="1:4" ht="27.75" customHeight="1" x14ac:dyDescent="0.15">
      <c r="A597" s="225">
        <v>662</v>
      </c>
      <c r="B597" s="226" t="s">
        <v>1776</v>
      </c>
      <c r="C597" s="227">
        <v>0</v>
      </c>
      <c r="D597" s="227">
        <v>0</v>
      </c>
    </row>
    <row r="598" spans="1:4" ht="27.75" customHeight="1" x14ac:dyDescent="0.15">
      <c r="A598" s="225">
        <v>663</v>
      </c>
      <c r="B598" s="226" t="s">
        <v>1777</v>
      </c>
      <c r="C598" s="227">
        <v>0</v>
      </c>
      <c r="D598" s="227">
        <v>0</v>
      </c>
    </row>
    <row r="599" spans="1:4" ht="27.75" customHeight="1" x14ac:dyDescent="0.15">
      <c r="A599" s="225">
        <v>664</v>
      </c>
      <c r="B599" s="226" t="s">
        <v>1778</v>
      </c>
      <c r="C599" s="227">
        <v>0</v>
      </c>
      <c r="D599" s="227">
        <v>0</v>
      </c>
    </row>
    <row r="600" spans="1:4" ht="27.75" customHeight="1" x14ac:dyDescent="0.15">
      <c r="A600" s="225">
        <v>665</v>
      </c>
      <c r="B600" s="226" t="s">
        <v>1779</v>
      </c>
      <c r="C600" s="227">
        <v>0</v>
      </c>
      <c r="D600" s="227">
        <v>0</v>
      </c>
    </row>
    <row r="601" spans="1:4" ht="27.75" customHeight="1" x14ac:dyDescent="0.15">
      <c r="A601" s="225">
        <v>666</v>
      </c>
      <c r="B601" s="226" t="s">
        <v>1780</v>
      </c>
      <c r="C601" s="227">
        <v>0</v>
      </c>
      <c r="D601" s="227">
        <v>0</v>
      </c>
    </row>
    <row r="602" spans="1:4" ht="27.75" customHeight="1" x14ac:dyDescent="0.15">
      <c r="A602" s="225">
        <v>667</v>
      </c>
      <c r="B602" s="226" t="s">
        <v>1781</v>
      </c>
      <c r="C602" s="227">
        <v>0</v>
      </c>
      <c r="D602" s="227">
        <v>0</v>
      </c>
    </row>
    <row r="603" spans="1:4" ht="27.75" customHeight="1" x14ac:dyDescent="0.15">
      <c r="A603" s="225">
        <v>668</v>
      </c>
      <c r="B603" s="226" t="s">
        <v>1782</v>
      </c>
      <c r="C603" s="227">
        <v>0</v>
      </c>
      <c r="D603" s="227">
        <v>0</v>
      </c>
    </row>
    <row r="604" spans="1:4" ht="27.75" customHeight="1" x14ac:dyDescent="0.15">
      <c r="A604" s="225">
        <v>669</v>
      </c>
      <c r="B604" s="226" t="s">
        <v>1783</v>
      </c>
      <c r="C604" s="227">
        <v>0</v>
      </c>
      <c r="D604" s="227">
        <v>0</v>
      </c>
    </row>
    <row r="605" spans="1:4" ht="27.75" customHeight="1" x14ac:dyDescent="0.15">
      <c r="A605" s="225">
        <v>670</v>
      </c>
      <c r="B605" s="226" t="s">
        <v>1784</v>
      </c>
      <c r="C605" s="227">
        <v>0</v>
      </c>
      <c r="D605" s="227">
        <v>0</v>
      </c>
    </row>
    <row r="606" spans="1:4" ht="27.75" customHeight="1" x14ac:dyDescent="0.15">
      <c r="A606" s="225">
        <v>671</v>
      </c>
      <c r="B606" s="226" t="s">
        <v>1785</v>
      </c>
      <c r="C606" s="227">
        <v>0</v>
      </c>
      <c r="D606" s="227">
        <v>16.339174884183802</v>
      </c>
    </row>
    <row r="607" spans="1:4" ht="27.75" customHeight="1" x14ac:dyDescent="0.15">
      <c r="A607" s="225">
        <v>672</v>
      </c>
      <c r="B607" s="226" t="s">
        <v>1786</v>
      </c>
      <c r="C607" s="227">
        <v>0</v>
      </c>
      <c r="D607" s="227">
        <v>16.339174884183802</v>
      </c>
    </row>
    <row r="608" spans="1:4" ht="27.75" customHeight="1" x14ac:dyDescent="0.15">
      <c r="A608" s="225">
        <v>673</v>
      </c>
      <c r="B608" s="226" t="s">
        <v>1787</v>
      </c>
      <c r="C608" s="227">
        <v>0</v>
      </c>
      <c r="D608" s="227">
        <v>16.339174884183802</v>
      </c>
    </row>
    <row r="609" spans="1:4" ht="27.75" customHeight="1" x14ac:dyDescent="0.15">
      <c r="A609" s="225">
        <v>674</v>
      </c>
      <c r="B609" s="226" t="s">
        <v>1788</v>
      </c>
      <c r="C609" s="227">
        <v>0</v>
      </c>
      <c r="D609" s="227">
        <v>16.339174884183802</v>
      </c>
    </row>
    <row r="610" spans="1:4" ht="27.75" customHeight="1" x14ac:dyDescent="0.15">
      <c r="A610" s="225">
        <v>675</v>
      </c>
      <c r="B610" s="226" t="s">
        <v>1789</v>
      </c>
      <c r="C610" s="227">
        <v>0</v>
      </c>
      <c r="D610" s="227">
        <v>16.339174884183802</v>
      </c>
    </row>
    <row r="611" spans="1:4" ht="27.75" customHeight="1" x14ac:dyDescent="0.15">
      <c r="A611" s="225">
        <v>676</v>
      </c>
      <c r="B611" s="226" t="s">
        <v>1790</v>
      </c>
      <c r="C611" s="227">
        <v>0</v>
      </c>
      <c r="D611" s="227">
        <v>16.339174884183802</v>
      </c>
    </row>
    <row r="612" spans="1:4" ht="27.75" customHeight="1" x14ac:dyDescent="0.15">
      <c r="A612" s="225">
        <v>677</v>
      </c>
      <c r="B612" s="226" t="s">
        <v>1791</v>
      </c>
      <c r="C612" s="227">
        <v>0</v>
      </c>
      <c r="D612" s="227">
        <v>16.339174884183802</v>
      </c>
    </row>
    <row r="613" spans="1:4" ht="27.75" customHeight="1" x14ac:dyDescent="0.15">
      <c r="A613" s="225">
        <v>678</v>
      </c>
      <c r="B613" s="226" t="s">
        <v>1792</v>
      </c>
      <c r="C613" s="227">
        <v>0</v>
      </c>
      <c r="D613" s="227">
        <v>16.339174884183802</v>
      </c>
    </row>
    <row r="614" spans="1:4" ht="27.75" customHeight="1" x14ac:dyDescent="0.15">
      <c r="A614" s="225">
        <v>679</v>
      </c>
      <c r="B614" s="226" t="s">
        <v>1793</v>
      </c>
      <c r="C614" s="227">
        <v>0</v>
      </c>
      <c r="D614" s="227">
        <v>16.339174884183802</v>
      </c>
    </row>
    <row r="615" spans="1:4" ht="27.75" customHeight="1" x14ac:dyDescent="0.15">
      <c r="A615" s="225">
        <v>680</v>
      </c>
      <c r="B615" s="226" t="s">
        <v>1794</v>
      </c>
      <c r="C615" s="227">
        <v>0</v>
      </c>
      <c r="D615" s="227">
        <v>16.339174884183802</v>
      </c>
    </row>
    <row r="616" spans="1:4" ht="27.75" customHeight="1" x14ac:dyDescent="0.15">
      <c r="A616" s="225">
        <v>681</v>
      </c>
      <c r="B616" s="226" t="s">
        <v>1795</v>
      </c>
      <c r="C616" s="227">
        <v>0</v>
      </c>
      <c r="D616" s="227">
        <v>16.339174884183802</v>
      </c>
    </row>
    <row r="617" spans="1:4" ht="27.75" customHeight="1" x14ac:dyDescent="0.15">
      <c r="A617" s="225">
        <v>682</v>
      </c>
      <c r="B617" s="226" t="s">
        <v>1796</v>
      </c>
      <c r="C617" s="227">
        <v>0</v>
      </c>
      <c r="D617" s="227">
        <v>16.339174884183802</v>
      </c>
    </row>
    <row r="618" spans="1:4" ht="27.75" customHeight="1" x14ac:dyDescent="0.15">
      <c r="A618" s="225">
        <v>683</v>
      </c>
      <c r="B618" s="226" t="s">
        <v>1797</v>
      </c>
      <c r="C618" s="227">
        <v>0</v>
      </c>
      <c r="D618" s="227">
        <v>16.339174884183802</v>
      </c>
    </row>
    <row r="619" spans="1:4" ht="27.75" customHeight="1" x14ac:dyDescent="0.15">
      <c r="A619" s="225">
        <v>684</v>
      </c>
      <c r="B619" s="226" t="s">
        <v>1798</v>
      </c>
      <c r="C619" s="227">
        <v>0</v>
      </c>
      <c r="D619" s="227">
        <v>16.339174884183802</v>
      </c>
    </row>
    <row r="620" spans="1:4" ht="27.75" customHeight="1" x14ac:dyDescent="0.15">
      <c r="A620" s="225">
        <v>685</v>
      </c>
      <c r="B620" s="226" t="s">
        <v>1799</v>
      </c>
      <c r="C620" s="227">
        <v>0</v>
      </c>
      <c r="D620" s="227">
        <v>16.339174884183802</v>
      </c>
    </row>
    <row r="621" spans="1:4" ht="27.75" customHeight="1" x14ac:dyDescent="0.15">
      <c r="A621" s="225">
        <v>686</v>
      </c>
      <c r="B621" s="226" t="s">
        <v>1800</v>
      </c>
      <c r="C621" s="227">
        <v>0</v>
      </c>
      <c r="D621" s="227">
        <v>16.339174884183802</v>
      </c>
    </row>
    <row r="622" spans="1:4" ht="27.75" customHeight="1" x14ac:dyDescent="0.15">
      <c r="A622" s="225">
        <v>687</v>
      </c>
      <c r="B622" s="226" t="s">
        <v>1801</v>
      </c>
      <c r="C622" s="227">
        <v>0</v>
      </c>
      <c r="D622" s="227">
        <v>17.8226539769223</v>
      </c>
    </row>
    <row r="623" spans="1:4" ht="27.75" customHeight="1" x14ac:dyDescent="0.15">
      <c r="A623" s="225">
        <v>688</v>
      </c>
      <c r="B623" s="226" t="s">
        <v>1802</v>
      </c>
      <c r="C623" s="227">
        <v>0</v>
      </c>
      <c r="D623" s="227">
        <v>17.8226539769223</v>
      </c>
    </row>
    <row r="624" spans="1:4" ht="27.75" customHeight="1" x14ac:dyDescent="0.15">
      <c r="A624" s="225">
        <v>689</v>
      </c>
      <c r="B624" s="226" t="s">
        <v>1803</v>
      </c>
      <c r="C624" s="227">
        <v>0</v>
      </c>
      <c r="D624" s="227">
        <v>17.8226539769223</v>
      </c>
    </row>
    <row r="625" spans="1:4" ht="27.75" customHeight="1" x14ac:dyDescent="0.15">
      <c r="A625" s="225">
        <v>690</v>
      </c>
      <c r="B625" s="226" t="s">
        <v>1804</v>
      </c>
      <c r="C625" s="227">
        <v>0</v>
      </c>
      <c r="D625" s="227">
        <v>17.8226539769223</v>
      </c>
    </row>
    <row r="626" spans="1:4" ht="27.75" customHeight="1" x14ac:dyDescent="0.15">
      <c r="A626" s="225">
        <v>691</v>
      </c>
      <c r="B626" s="226" t="s">
        <v>1805</v>
      </c>
      <c r="C626" s="227">
        <v>0</v>
      </c>
      <c r="D626" s="227">
        <v>17.8226539769223</v>
      </c>
    </row>
    <row r="627" spans="1:4" ht="27.75" customHeight="1" x14ac:dyDescent="0.15">
      <c r="A627" s="225">
        <v>692</v>
      </c>
      <c r="B627" s="226" t="s">
        <v>1806</v>
      </c>
      <c r="C627" s="227">
        <v>0</v>
      </c>
      <c r="D627" s="227">
        <v>17.8226539769223</v>
      </c>
    </row>
    <row r="628" spans="1:4" ht="27.75" customHeight="1" x14ac:dyDescent="0.15">
      <c r="A628" s="225">
        <v>693</v>
      </c>
      <c r="B628" s="226" t="s">
        <v>1807</v>
      </c>
      <c r="C628" s="227">
        <v>0</v>
      </c>
      <c r="D628" s="227">
        <v>17.8226539769223</v>
      </c>
    </row>
    <row r="629" spans="1:4" ht="27.75" customHeight="1" x14ac:dyDescent="0.15">
      <c r="A629" s="225">
        <v>694</v>
      </c>
      <c r="B629" s="226" t="s">
        <v>1808</v>
      </c>
      <c r="C629" s="227">
        <v>0</v>
      </c>
      <c r="D629" s="227">
        <v>17.8226539769223</v>
      </c>
    </row>
    <row r="630" spans="1:4" ht="27.75" customHeight="1" x14ac:dyDescent="0.15">
      <c r="A630" s="225">
        <v>695</v>
      </c>
      <c r="B630" s="226" t="s">
        <v>1809</v>
      </c>
      <c r="C630" s="227">
        <v>0</v>
      </c>
      <c r="D630" s="227">
        <v>17.8226539769223</v>
      </c>
    </row>
    <row r="631" spans="1:4" ht="27.75" customHeight="1" x14ac:dyDescent="0.15">
      <c r="A631" s="225">
        <v>696</v>
      </c>
      <c r="B631" s="226" t="s">
        <v>1810</v>
      </c>
      <c r="C631" s="227">
        <v>0</v>
      </c>
      <c r="D631" s="227">
        <v>17.8226539769223</v>
      </c>
    </row>
    <row r="632" spans="1:4" ht="27.75" customHeight="1" x14ac:dyDescent="0.15">
      <c r="A632" s="225">
        <v>697</v>
      </c>
      <c r="B632" s="226" t="s">
        <v>1811</v>
      </c>
      <c r="C632" s="227">
        <v>0</v>
      </c>
      <c r="D632" s="227">
        <v>17.8226539769223</v>
      </c>
    </row>
    <row r="633" spans="1:4" ht="27.75" customHeight="1" x14ac:dyDescent="0.15">
      <c r="A633" s="225">
        <v>698</v>
      </c>
      <c r="B633" s="226" t="s">
        <v>1812</v>
      </c>
      <c r="C633" s="227">
        <v>0</v>
      </c>
      <c r="D633" s="227">
        <v>17.8226539769223</v>
      </c>
    </row>
    <row r="634" spans="1:4" ht="27.75" customHeight="1" x14ac:dyDescent="0.15">
      <c r="A634" s="225">
        <v>699</v>
      </c>
      <c r="B634" s="226" t="s">
        <v>1813</v>
      </c>
      <c r="C634" s="227">
        <v>0</v>
      </c>
      <c r="D634" s="227">
        <v>17.8226539769223</v>
      </c>
    </row>
    <row r="635" spans="1:4" ht="27.75" customHeight="1" x14ac:dyDescent="0.15">
      <c r="A635" s="225">
        <v>700</v>
      </c>
      <c r="B635" s="226" t="s">
        <v>1814</v>
      </c>
      <c r="C635" s="227">
        <v>0</v>
      </c>
      <c r="D635" s="227">
        <v>17.8226539769223</v>
      </c>
    </row>
    <row r="636" spans="1:4" ht="27.75" customHeight="1" x14ac:dyDescent="0.15">
      <c r="A636" s="225">
        <v>701</v>
      </c>
      <c r="B636" s="226" t="s">
        <v>1815</v>
      </c>
      <c r="C636" s="227">
        <v>0</v>
      </c>
      <c r="D636" s="227">
        <v>17.8226539769223</v>
      </c>
    </row>
    <row r="637" spans="1:4" ht="27.75" customHeight="1" x14ac:dyDescent="0.15">
      <c r="A637" s="225">
        <v>702</v>
      </c>
      <c r="B637" s="226" t="s">
        <v>1816</v>
      </c>
      <c r="C637" s="227">
        <v>0</v>
      </c>
      <c r="D637" s="227">
        <v>17.8226539769223</v>
      </c>
    </row>
    <row r="638" spans="1:4" ht="27.75" customHeight="1" x14ac:dyDescent="0.15">
      <c r="A638" s="225">
        <v>703</v>
      </c>
      <c r="B638" s="226" t="s">
        <v>1817</v>
      </c>
      <c r="C638" s="227">
        <v>0</v>
      </c>
      <c r="D638" s="227">
        <v>16.339174884183802</v>
      </c>
    </row>
    <row r="639" spans="1:4" ht="27.75" customHeight="1" x14ac:dyDescent="0.15">
      <c r="A639" s="225">
        <v>704</v>
      </c>
      <c r="B639" s="226" t="s">
        <v>1818</v>
      </c>
      <c r="C639" s="227">
        <v>0</v>
      </c>
      <c r="D639" s="227">
        <v>16.339174884183802</v>
      </c>
    </row>
    <row r="640" spans="1:4" ht="27.75" customHeight="1" x14ac:dyDescent="0.15">
      <c r="A640" s="225">
        <v>705</v>
      </c>
      <c r="B640" s="226" t="s">
        <v>1819</v>
      </c>
      <c r="C640" s="227">
        <v>0</v>
      </c>
      <c r="D640" s="227">
        <v>16.339174884183802</v>
      </c>
    </row>
    <row r="641" spans="1:4" ht="27.75" customHeight="1" x14ac:dyDescent="0.15">
      <c r="A641" s="225">
        <v>706</v>
      </c>
      <c r="B641" s="226" t="s">
        <v>1820</v>
      </c>
      <c r="C641" s="227">
        <v>0</v>
      </c>
      <c r="D641" s="227">
        <v>16.339174884183802</v>
      </c>
    </row>
    <row r="642" spans="1:4" ht="27.75" customHeight="1" x14ac:dyDescent="0.15">
      <c r="A642" s="225">
        <v>707</v>
      </c>
      <c r="B642" s="226" t="s">
        <v>1821</v>
      </c>
      <c r="C642" s="227">
        <v>0</v>
      </c>
      <c r="D642" s="227">
        <v>16.339174884183802</v>
      </c>
    </row>
    <row r="643" spans="1:4" ht="27.75" customHeight="1" x14ac:dyDescent="0.15">
      <c r="A643" s="225">
        <v>708</v>
      </c>
      <c r="B643" s="226" t="s">
        <v>1822</v>
      </c>
      <c r="C643" s="227">
        <v>0</v>
      </c>
      <c r="D643" s="227">
        <v>16.339174884183802</v>
      </c>
    </row>
    <row r="644" spans="1:4" ht="27.75" customHeight="1" x14ac:dyDescent="0.15">
      <c r="A644" s="225">
        <v>709</v>
      </c>
      <c r="B644" s="226" t="s">
        <v>1823</v>
      </c>
      <c r="C644" s="227">
        <v>0</v>
      </c>
      <c r="D644" s="227">
        <v>16.339174884183802</v>
      </c>
    </row>
    <row r="645" spans="1:4" ht="27.75" customHeight="1" x14ac:dyDescent="0.15">
      <c r="A645" s="225">
        <v>710</v>
      </c>
      <c r="B645" s="226" t="s">
        <v>1824</v>
      </c>
      <c r="C645" s="227">
        <v>0</v>
      </c>
      <c r="D645" s="227">
        <v>16.339174884183802</v>
      </c>
    </row>
    <row r="646" spans="1:4" ht="27.75" customHeight="1" x14ac:dyDescent="0.15">
      <c r="A646" s="225">
        <v>712</v>
      </c>
      <c r="B646" s="226" t="s">
        <v>1825</v>
      </c>
      <c r="C646" s="227">
        <v>0</v>
      </c>
      <c r="D646" s="227">
        <v>16.339174884183802</v>
      </c>
    </row>
    <row r="647" spans="1:4" ht="27.75" customHeight="1" x14ac:dyDescent="0.15">
      <c r="A647" s="225">
        <v>713</v>
      </c>
      <c r="B647" s="226" t="s">
        <v>1826</v>
      </c>
      <c r="C647" s="227">
        <v>0</v>
      </c>
      <c r="D647" s="227">
        <v>16.339174884183802</v>
      </c>
    </row>
    <row r="648" spans="1:4" ht="27.75" customHeight="1" x14ac:dyDescent="0.15">
      <c r="A648" s="225">
        <v>714</v>
      </c>
      <c r="B648" s="226" t="s">
        <v>1827</v>
      </c>
      <c r="C648" s="227">
        <v>0</v>
      </c>
      <c r="D648" s="227">
        <v>16.339174884183802</v>
      </c>
    </row>
    <row r="649" spans="1:4" ht="27.75" customHeight="1" x14ac:dyDescent="0.15">
      <c r="A649" s="225">
        <v>715</v>
      </c>
      <c r="B649" s="226" t="s">
        <v>1828</v>
      </c>
      <c r="C649" s="227">
        <v>0</v>
      </c>
      <c r="D649" s="227">
        <v>16.339174884183802</v>
      </c>
    </row>
    <row r="650" spans="1:4" ht="27.75" customHeight="1" x14ac:dyDescent="0.15">
      <c r="A650" s="225">
        <v>716</v>
      </c>
      <c r="B650" s="226" t="s">
        <v>1829</v>
      </c>
      <c r="C650" s="227">
        <v>0</v>
      </c>
      <c r="D650" s="227">
        <v>16.339174884183802</v>
      </c>
    </row>
    <row r="651" spans="1:4" ht="27.75" customHeight="1" x14ac:dyDescent="0.15">
      <c r="A651" s="225">
        <v>717</v>
      </c>
      <c r="B651" s="226" t="s">
        <v>1830</v>
      </c>
      <c r="C651" s="227">
        <v>0</v>
      </c>
      <c r="D651" s="227">
        <v>16.339174884183802</v>
      </c>
    </row>
    <row r="652" spans="1:4" ht="27.75" customHeight="1" x14ac:dyDescent="0.15">
      <c r="A652" s="225">
        <v>718</v>
      </c>
      <c r="B652" s="226" t="s">
        <v>1831</v>
      </c>
      <c r="C652" s="227">
        <v>0</v>
      </c>
      <c r="D652" s="227">
        <v>16.339174884183802</v>
      </c>
    </row>
    <row r="653" spans="1:4" ht="27.75" customHeight="1" x14ac:dyDescent="0.15">
      <c r="A653" s="225">
        <v>719</v>
      </c>
      <c r="B653" s="226" t="s">
        <v>1832</v>
      </c>
      <c r="C653" s="227">
        <v>0</v>
      </c>
      <c r="D653" s="227">
        <v>16.339174884183802</v>
      </c>
    </row>
    <row r="654" spans="1:4" ht="27.75" customHeight="1" x14ac:dyDescent="0.15">
      <c r="A654" s="225">
        <v>720</v>
      </c>
      <c r="B654" s="226" t="s">
        <v>1833</v>
      </c>
      <c r="C654" s="227">
        <v>0</v>
      </c>
      <c r="D654" s="227">
        <v>16.339174884183802</v>
      </c>
    </row>
    <row r="655" spans="1:4" ht="27.75" customHeight="1" x14ac:dyDescent="0.15">
      <c r="A655" s="225">
        <v>721</v>
      </c>
      <c r="B655" s="226" t="s">
        <v>1834</v>
      </c>
      <c r="C655" s="227">
        <v>0</v>
      </c>
      <c r="D655" s="227">
        <v>16.339174884183802</v>
      </c>
    </row>
    <row r="656" spans="1:4" ht="27.75" customHeight="1" x14ac:dyDescent="0.15">
      <c r="A656" s="225">
        <v>722</v>
      </c>
      <c r="B656" s="226" t="s">
        <v>1835</v>
      </c>
      <c r="C656" s="227">
        <v>0</v>
      </c>
      <c r="D656" s="227">
        <v>16.339174884183802</v>
      </c>
    </row>
    <row r="657" spans="1:4" ht="27.75" customHeight="1" x14ac:dyDescent="0.15">
      <c r="A657" s="225">
        <v>723</v>
      </c>
      <c r="B657" s="226" t="s">
        <v>1836</v>
      </c>
      <c r="C657" s="227">
        <v>0</v>
      </c>
      <c r="D657" s="227">
        <v>16.339174884183802</v>
      </c>
    </row>
    <row r="658" spans="1:4" ht="27.75" customHeight="1" x14ac:dyDescent="0.15">
      <c r="A658" s="225">
        <v>724</v>
      </c>
      <c r="B658" s="226" t="s">
        <v>1837</v>
      </c>
      <c r="C658" s="227">
        <v>0</v>
      </c>
      <c r="D658" s="227">
        <v>16.339174884183802</v>
      </c>
    </row>
    <row r="659" spans="1:4" ht="27.75" customHeight="1" x14ac:dyDescent="0.15">
      <c r="A659" s="225">
        <v>725</v>
      </c>
      <c r="B659" s="226" t="s">
        <v>1838</v>
      </c>
      <c r="C659" s="227">
        <v>0</v>
      </c>
      <c r="D659" s="227">
        <v>16.339174884183802</v>
      </c>
    </row>
    <row r="660" spans="1:4" ht="27.75" customHeight="1" x14ac:dyDescent="0.15">
      <c r="A660" s="225">
        <v>726</v>
      </c>
      <c r="B660" s="226" t="s">
        <v>1839</v>
      </c>
      <c r="C660" s="227">
        <v>0</v>
      </c>
      <c r="D660" s="227">
        <v>2.3568578869935508</v>
      </c>
    </row>
    <row r="661" spans="1:4" ht="27.75" customHeight="1" x14ac:dyDescent="0.15">
      <c r="A661" s="225">
        <v>727</v>
      </c>
      <c r="B661" s="226" t="s">
        <v>1840</v>
      </c>
      <c r="C661" s="227">
        <v>0</v>
      </c>
      <c r="D661" s="227">
        <v>16.339174884183802</v>
      </c>
    </row>
    <row r="662" spans="1:4" ht="27.75" customHeight="1" x14ac:dyDescent="0.15">
      <c r="A662" s="225">
        <v>728</v>
      </c>
      <c r="B662" s="226" t="s">
        <v>1841</v>
      </c>
      <c r="C662" s="227">
        <v>0</v>
      </c>
      <c r="D662" s="227">
        <v>16.339174884183802</v>
      </c>
    </row>
    <row r="663" spans="1:4" ht="27.75" customHeight="1" x14ac:dyDescent="0.15">
      <c r="A663" s="225">
        <v>729</v>
      </c>
      <c r="B663" s="226" t="s">
        <v>1842</v>
      </c>
      <c r="C663" s="227">
        <v>0</v>
      </c>
      <c r="D663" s="227">
        <v>16.339174884183802</v>
      </c>
    </row>
    <row r="664" spans="1:4" ht="27.75" customHeight="1" x14ac:dyDescent="0.15">
      <c r="A664" s="225">
        <v>730</v>
      </c>
      <c r="B664" s="226" t="s">
        <v>1843</v>
      </c>
      <c r="C664" s="227">
        <v>0</v>
      </c>
      <c r="D664" s="227">
        <v>16.339174884183802</v>
      </c>
    </row>
    <row r="665" spans="1:4" ht="27.75" customHeight="1" x14ac:dyDescent="0.15">
      <c r="A665" s="225">
        <v>731</v>
      </c>
      <c r="B665" s="226" t="s">
        <v>1844</v>
      </c>
      <c r="C665" s="227">
        <v>0</v>
      </c>
      <c r="D665" s="227">
        <v>16.339174884183802</v>
      </c>
    </row>
    <row r="666" spans="1:4" ht="27.75" customHeight="1" x14ac:dyDescent="0.15">
      <c r="A666" s="225">
        <v>732</v>
      </c>
      <c r="B666" s="226" t="s">
        <v>1845</v>
      </c>
      <c r="C666" s="227">
        <v>0</v>
      </c>
      <c r="D666" s="227">
        <v>16.339174884183802</v>
      </c>
    </row>
    <row r="667" spans="1:4" ht="27.75" customHeight="1" x14ac:dyDescent="0.15">
      <c r="A667" s="225">
        <v>733</v>
      </c>
      <c r="B667" s="226" t="s">
        <v>1846</v>
      </c>
      <c r="C667" s="227">
        <v>0</v>
      </c>
      <c r="D667" s="227">
        <v>16.339174884183802</v>
      </c>
    </row>
    <row r="668" spans="1:4" ht="27.75" customHeight="1" x14ac:dyDescent="0.15">
      <c r="A668" s="225">
        <v>734</v>
      </c>
      <c r="B668" s="226" t="s">
        <v>1847</v>
      </c>
      <c r="C668" s="227">
        <v>0</v>
      </c>
      <c r="D668" s="227">
        <v>16.339174884183802</v>
      </c>
    </row>
    <row r="669" spans="1:4" ht="27.75" customHeight="1" x14ac:dyDescent="0.15">
      <c r="A669" s="225">
        <v>735</v>
      </c>
      <c r="B669" s="226" t="s">
        <v>1848</v>
      </c>
      <c r="C669" s="227">
        <v>0</v>
      </c>
      <c r="D669" s="227">
        <v>16.339174884183802</v>
      </c>
    </row>
    <row r="670" spans="1:4" ht="27.75" customHeight="1" x14ac:dyDescent="0.15">
      <c r="A670" s="225">
        <v>736</v>
      </c>
      <c r="B670" s="226" t="s">
        <v>1849</v>
      </c>
      <c r="C670" s="227">
        <v>0</v>
      </c>
      <c r="D670" s="227">
        <v>16.339174884183802</v>
      </c>
    </row>
    <row r="671" spans="1:4" ht="27.75" customHeight="1" x14ac:dyDescent="0.15">
      <c r="A671" s="225">
        <v>737</v>
      </c>
      <c r="B671" s="226" t="s">
        <v>1850</v>
      </c>
      <c r="C671" s="227">
        <v>0</v>
      </c>
      <c r="D671" s="227">
        <v>16.339174884183802</v>
      </c>
    </row>
    <row r="672" spans="1:4" ht="27.75" customHeight="1" x14ac:dyDescent="0.15">
      <c r="A672" s="225">
        <v>738</v>
      </c>
      <c r="B672" s="226" t="s">
        <v>1851</v>
      </c>
      <c r="C672" s="227">
        <v>0</v>
      </c>
      <c r="D672" s="227">
        <v>16.339174884183802</v>
      </c>
    </row>
    <row r="673" spans="1:4" ht="27.75" customHeight="1" x14ac:dyDescent="0.15">
      <c r="A673" s="225">
        <v>739</v>
      </c>
      <c r="B673" s="226" t="s">
        <v>1852</v>
      </c>
      <c r="C673" s="227">
        <v>0</v>
      </c>
      <c r="D673" s="227">
        <v>16.339174884183802</v>
      </c>
    </row>
    <row r="674" spans="1:4" ht="27.75" customHeight="1" x14ac:dyDescent="0.15">
      <c r="A674" s="225">
        <v>741</v>
      </c>
      <c r="B674" s="226" t="s">
        <v>1853</v>
      </c>
      <c r="C674" s="227">
        <v>0</v>
      </c>
      <c r="D674" s="227">
        <v>16.339174884183802</v>
      </c>
    </row>
    <row r="675" spans="1:4" ht="27.75" customHeight="1" x14ac:dyDescent="0.15">
      <c r="A675" s="225">
        <v>742</v>
      </c>
      <c r="B675" s="226" t="s">
        <v>1854</v>
      </c>
      <c r="C675" s="227">
        <v>0</v>
      </c>
      <c r="D675" s="227">
        <v>16.339174884183802</v>
      </c>
    </row>
    <row r="676" spans="1:4" ht="27.75" customHeight="1" x14ac:dyDescent="0.15">
      <c r="A676" s="225">
        <v>743</v>
      </c>
      <c r="B676" s="226" t="s">
        <v>1855</v>
      </c>
      <c r="C676" s="227">
        <v>0</v>
      </c>
      <c r="D676" s="227">
        <v>16.339174884183802</v>
      </c>
    </row>
    <row r="677" spans="1:4" ht="27.75" customHeight="1" x14ac:dyDescent="0.15">
      <c r="A677" s="225">
        <v>744</v>
      </c>
      <c r="B677" s="226" t="s">
        <v>1856</v>
      </c>
      <c r="C677" s="227">
        <v>0</v>
      </c>
      <c r="D677" s="227">
        <v>16.339174884183802</v>
      </c>
    </row>
    <row r="678" spans="1:4" ht="27.75" customHeight="1" x14ac:dyDescent="0.15">
      <c r="A678" s="225">
        <v>745</v>
      </c>
      <c r="B678" s="226" t="s">
        <v>1857</v>
      </c>
      <c r="C678" s="227">
        <v>0</v>
      </c>
      <c r="D678" s="227">
        <v>16.339174884183802</v>
      </c>
    </row>
    <row r="679" spans="1:4" ht="27.75" customHeight="1" x14ac:dyDescent="0.15">
      <c r="A679" s="225">
        <v>746</v>
      </c>
      <c r="B679" s="226" t="s">
        <v>1858</v>
      </c>
      <c r="C679" s="227">
        <v>0</v>
      </c>
      <c r="D679" s="227">
        <v>16.339174884183802</v>
      </c>
    </row>
    <row r="680" spans="1:4" ht="27.75" customHeight="1" x14ac:dyDescent="0.15">
      <c r="A680" s="225">
        <v>747</v>
      </c>
      <c r="B680" s="226" t="s">
        <v>1859</v>
      </c>
      <c r="C680" s="227">
        <v>0</v>
      </c>
      <c r="D680" s="227">
        <v>16.339174884183802</v>
      </c>
    </row>
    <row r="681" spans="1:4" ht="27.75" customHeight="1" x14ac:dyDescent="0.15">
      <c r="A681" s="225">
        <v>748</v>
      </c>
      <c r="B681" s="226" t="s">
        <v>1860</v>
      </c>
      <c r="C681" s="227">
        <v>0</v>
      </c>
      <c r="D681" s="227">
        <v>16.339174884183802</v>
      </c>
    </row>
    <row r="682" spans="1:4" ht="27.75" customHeight="1" x14ac:dyDescent="0.15">
      <c r="A682" s="225">
        <v>749</v>
      </c>
      <c r="B682" s="226" t="s">
        <v>1861</v>
      </c>
      <c r="C682" s="227">
        <v>0</v>
      </c>
      <c r="D682" s="227">
        <v>16.339174884183802</v>
      </c>
    </row>
    <row r="683" spans="1:4" ht="27.75" customHeight="1" x14ac:dyDescent="0.15">
      <c r="A683" s="225">
        <v>750</v>
      </c>
      <c r="B683" s="226" t="s">
        <v>1862</v>
      </c>
      <c r="C683" s="227">
        <v>0</v>
      </c>
      <c r="D683" s="227">
        <v>16.339174884183802</v>
      </c>
    </row>
    <row r="684" spans="1:4" ht="27.75" customHeight="1" x14ac:dyDescent="0.15">
      <c r="A684" s="225">
        <v>751</v>
      </c>
      <c r="B684" s="226" t="s">
        <v>1863</v>
      </c>
      <c r="C684" s="227">
        <v>0</v>
      </c>
      <c r="D684" s="227">
        <v>0</v>
      </c>
    </row>
    <row r="685" spans="1:4" ht="27.75" customHeight="1" x14ac:dyDescent="0.15">
      <c r="A685" s="225">
        <v>752</v>
      </c>
      <c r="B685" s="226" t="s">
        <v>1864</v>
      </c>
      <c r="C685" s="227">
        <v>0</v>
      </c>
      <c r="D685" s="227">
        <v>0</v>
      </c>
    </row>
    <row r="686" spans="1:4" ht="27.75" customHeight="1" x14ac:dyDescent="0.15">
      <c r="A686" s="225">
        <v>753</v>
      </c>
      <c r="B686" s="226" t="s">
        <v>1865</v>
      </c>
      <c r="C686" s="227">
        <v>0</v>
      </c>
      <c r="D686" s="227">
        <v>0</v>
      </c>
    </row>
    <row r="687" spans="1:4" ht="27.75" customHeight="1" x14ac:dyDescent="0.15">
      <c r="A687" s="225">
        <v>754</v>
      </c>
      <c r="B687" s="226" t="s">
        <v>1866</v>
      </c>
      <c r="C687" s="227">
        <v>0</v>
      </c>
      <c r="D687" s="227">
        <v>0</v>
      </c>
    </row>
    <row r="688" spans="1:4" ht="27.75" customHeight="1" x14ac:dyDescent="0.15">
      <c r="A688" s="225">
        <v>755</v>
      </c>
      <c r="B688" s="226" t="s">
        <v>1867</v>
      </c>
      <c r="C688" s="227">
        <v>0</v>
      </c>
      <c r="D688" s="227">
        <v>0</v>
      </c>
    </row>
    <row r="689" spans="1:4" ht="27.75" customHeight="1" x14ac:dyDescent="0.15">
      <c r="A689" s="225">
        <v>756</v>
      </c>
      <c r="B689" s="226" t="s">
        <v>1868</v>
      </c>
      <c r="C689" s="227">
        <v>0</v>
      </c>
      <c r="D689" s="227">
        <v>0</v>
      </c>
    </row>
    <row r="690" spans="1:4" ht="27.75" customHeight="1" x14ac:dyDescent="0.15">
      <c r="A690" s="225">
        <v>757</v>
      </c>
      <c r="B690" s="226" t="s">
        <v>1869</v>
      </c>
      <c r="C690" s="227">
        <v>0</v>
      </c>
      <c r="D690" s="227">
        <v>0</v>
      </c>
    </row>
    <row r="691" spans="1:4" ht="27.75" customHeight="1" x14ac:dyDescent="0.15">
      <c r="A691" s="225">
        <v>758</v>
      </c>
      <c r="B691" s="226" t="s">
        <v>1870</v>
      </c>
      <c r="C691" s="227">
        <v>0</v>
      </c>
      <c r="D691" s="227">
        <v>0</v>
      </c>
    </row>
    <row r="692" spans="1:4" ht="27.75" customHeight="1" x14ac:dyDescent="0.15">
      <c r="A692" s="225">
        <v>759</v>
      </c>
      <c r="B692" s="226" t="s">
        <v>1871</v>
      </c>
      <c r="C692" s="227">
        <v>0</v>
      </c>
      <c r="D692" s="227">
        <v>0</v>
      </c>
    </row>
    <row r="693" spans="1:4" ht="27.75" customHeight="1" x14ac:dyDescent="0.15">
      <c r="A693" s="225">
        <v>760</v>
      </c>
      <c r="B693" s="226" t="s">
        <v>1872</v>
      </c>
      <c r="C693" s="227">
        <v>0</v>
      </c>
      <c r="D693" s="227">
        <v>2.3568578869935508</v>
      </c>
    </row>
    <row r="694" spans="1:4" ht="27.75" customHeight="1" x14ac:dyDescent="0.15">
      <c r="A694" s="225">
        <v>761</v>
      </c>
      <c r="B694" s="226" t="s">
        <v>1873</v>
      </c>
      <c r="C694" s="227">
        <v>0</v>
      </c>
      <c r="D694" s="227">
        <v>2.3568578869935508</v>
      </c>
    </row>
    <row r="695" spans="1:4" ht="27.75" customHeight="1" x14ac:dyDescent="0.15">
      <c r="A695" s="225">
        <v>762</v>
      </c>
      <c r="B695" s="226" t="s">
        <v>1874</v>
      </c>
      <c r="C695" s="227">
        <v>0</v>
      </c>
      <c r="D695" s="227">
        <v>2.3568578869935508</v>
      </c>
    </row>
    <row r="696" spans="1:4" ht="27.75" customHeight="1" x14ac:dyDescent="0.15">
      <c r="A696" s="225">
        <v>763</v>
      </c>
      <c r="B696" s="226" t="s">
        <v>1875</v>
      </c>
      <c r="C696" s="227">
        <v>0</v>
      </c>
      <c r="D696" s="227">
        <v>2.3568578869935508</v>
      </c>
    </row>
    <row r="697" spans="1:4" ht="27.75" customHeight="1" x14ac:dyDescent="0.15">
      <c r="A697" s="225">
        <v>764</v>
      </c>
      <c r="B697" s="226" t="s">
        <v>1876</v>
      </c>
      <c r="C697" s="227">
        <v>0</v>
      </c>
      <c r="D697" s="227">
        <v>2.3568578869935508</v>
      </c>
    </row>
    <row r="698" spans="1:4" ht="27.75" customHeight="1" x14ac:dyDescent="0.15">
      <c r="A698" s="225">
        <v>765</v>
      </c>
      <c r="B698" s="226" t="s">
        <v>1877</v>
      </c>
      <c r="C698" s="227">
        <v>0</v>
      </c>
      <c r="D698" s="227">
        <v>2.3568578869935508</v>
      </c>
    </row>
    <row r="699" spans="1:4" ht="27.75" customHeight="1" x14ac:dyDescent="0.15">
      <c r="A699" s="225">
        <v>766</v>
      </c>
      <c r="B699" s="226" t="s">
        <v>1878</v>
      </c>
      <c r="C699" s="227">
        <v>0</v>
      </c>
      <c r="D699" s="227">
        <v>2.3568578869935508</v>
      </c>
    </row>
    <row r="700" spans="1:4" ht="27.75" customHeight="1" x14ac:dyDescent="0.15">
      <c r="A700" s="225">
        <v>767</v>
      </c>
      <c r="B700" s="226" t="s">
        <v>1879</v>
      </c>
      <c r="C700" s="227">
        <v>0</v>
      </c>
      <c r="D700" s="227">
        <v>2.3568578869935508</v>
      </c>
    </row>
    <row r="701" spans="1:4" ht="27.75" customHeight="1" x14ac:dyDescent="0.15">
      <c r="A701" s="225">
        <v>768</v>
      </c>
      <c r="B701" s="226" t="s">
        <v>1880</v>
      </c>
      <c r="C701" s="227">
        <v>0</v>
      </c>
      <c r="D701" s="227">
        <v>2.3568578869935508</v>
      </c>
    </row>
    <row r="702" spans="1:4" ht="27.75" customHeight="1" x14ac:dyDescent="0.15">
      <c r="A702" s="225">
        <v>769</v>
      </c>
      <c r="B702" s="226" t="s">
        <v>1881</v>
      </c>
      <c r="C702" s="227">
        <v>0</v>
      </c>
      <c r="D702" s="227">
        <v>2.3568578869935508</v>
      </c>
    </row>
    <row r="703" spans="1:4" ht="27.75" customHeight="1" x14ac:dyDescent="0.15">
      <c r="A703" s="225">
        <v>770</v>
      </c>
      <c r="B703" s="226" t="s">
        <v>1882</v>
      </c>
      <c r="C703" s="227">
        <v>0</v>
      </c>
      <c r="D703" s="227">
        <v>2.3568578869935508</v>
      </c>
    </row>
    <row r="704" spans="1:4" ht="27.75" customHeight="1" x14ac:dyDescent="0.15">
      <c r="A704" s="225">
        <v>771</v>
      </c>
      <c r="B704" s="226" t="s">
        <v>1883</v>
      </c>
      <c r="C704" s="227">
        <v>0</v>
      </c>
      <c r="D704" s="227">
        <v>2.3568578869935508</v>
      </c>
    </row>
    <row r="705" spans="1:4" ht="27.75" customHeight="1" x14ac:dyDescent="0.15">
      <c r="A705" s="225">
        <v>772</v>
      </c>
      <c r="B705" s="226" t="s">
        <v>1884</v>
      </c>
      <c r="C705" s="227">
        <v>0</v>
      </c>
      <c r="D705" s="227">
        <v>2.3568578869935508</v>
      </c>
    </row>
    <row r="706" spans="1:4" ht="27.75" customHeight="1" x14ac:dyDescent="0.15">
      <c r="A706" s="225">
        <v>773</v>
      </c>
      <c r="B706" s="226" t="s">
        <v>1885</v>
      </c>
      <c r="C706" s="227">
        <v>0</v>
      </c>
      <c r="D706" s="227">
        <v>2.3568578869935508</v>
      </c>
    </row>
    <row r="707" spans="1:4" ht="27.75" customHeight="1" x14ac:dyDescent="0.15">
      <c r="A707" s="225">
        <v>774</v>
      </c>
      <c r="B707" s="226" t="s">
        <v>1886</v>
      </c>
      <c r="C707" s="227">
        <v>0</v>
      </c>
      <c r="D707" s="227">
        <v>2.1966009902733701</v>
      </c>
    </row>
    <row r="708" spans="1:4" ht="27.75" customHeight="1" x14ac:dyDescent="0.15">
      <c r="A708" s="225">
        <v>775</v>
      </c>
      <c r="B708" s="226" t="s">
        <v>1887</v>
      </c>
      <c r="C708" s="227">
        <v>0</v>
      </c>
      <c r="D708" s="227">
        <v>2.3568578869935508</v>
      </c>
    </row>
    <row r="709" spans="1:4" ht="27.75" customHeight="1" x14ac:dyDescent="0.15">
      <c r="A709" s="225">
        <v>776</v>
      </c>
      <c r="B709" s="226" t="s">
        <v>1888</v>
      </c>
      <c r="C709" s="227">
        <v>0</v>
      </c>
      <c r="D709" s="227">
        <v>2.3568578869935508</v>
      </c>
    </row>
    <row r="710" spans="1:4" ht="27.75" customHeight="1" x14ac:dyDescent="0.15">
      <c r="A710" s="225">
        <v>777</v>
      </c>
      <c r="B710" s="226" t="s">
        <v>1889</v>
      </c>
      <c r="C710" s="227">
        <v>0</v>
      </c>
      <c r="D710" s="227">
        <v>2.1966009902733701</v>
      </c>
    </row>
    <row r="711" spans="1:4" ht="27.75" customHeight="1" x14ac:dyDescent="0.15">
      <c r="A711" s="225">
        <v>778</v>
      </c>
      <c r="B711" s="226" t="s">
        <v>1890</v>
      </c>
      <c r="C711" s="227">
        <v>0</v>
      </c>
      <c r="D711" s="227">
        <v>2.1966009902733701</v>
      </c>
    </row>
    <row r="712" spans="1:4" ht="27.75" customHeight="1" x14ac:dyDescent="0.15">
      <c r="A712" s="225">
        <v>779</v>
      </c>
      <c r="B712" s="226" t="s">
        <v>1891</v>
      </c>
      <c r="C712" s="227">
        <v>0</v>
      </c>
      <c r="D712" s="227">
        <v>2.1966009902733701</v>
      </c>
    </row>
    <row r="713" spans="1:4" ht="27.75" customHeight="1" x14ac:dyDescent="0.15">
      <c r="A713" s="225">
        <v>780</v>
      </c>
      <c r="B713" s="226" t="s">
        <v>1892</v>
      </c>
      <c r="C713" s="227">
        <v>0</v>
      </c>
      <c r="D713" s="227">
        <v>2.2660709132878152</v>
      </c>
    </row>
    <row r="714" spans="1:4" ht="27.75" customHeight="1" x14ac:dyDescent="0.15">
      <c r="A714" s="225">
        <v>781</v>
      </c>
      <c r="B714" s="226" t="s">
        <v>1893</v>
      </c>
      <c r="C714" s="227">
        <v>0</v>
      </c>
      <c r="D714" s="227">
        <v>2.1966009902733701</v>
      </c>
    </row>
    <row r="715" spans="1:4" ht="27.75" customHeight="1" x14ac:dyDescent="0.15">
      <c r="A715" s="225">
        <v>782</v>
      </c>
      <c r="B715" s="226" t="s">
        <v>1894</v>
      </c>
      <c r="C715" s="227">
        <v>0</v>
      </c>
      <c r="D715" s="227">
        <v>2.1966009902733701</v>
      </c>
    </row>
    <row r="716" spans="1:4" ht="27.75" customHeight="1" x14ac:dyDescent="0.15">
      <c r="A716" s="225">
        <v>783</v>
      </c>
      <c r="B716" s="226" t="s">
        <v>1895</v>
      </c>
      <c r="C716" s="227">
        <v>0</v>
      </c>
      <c r="D716" s="227">
        <v>2.1966009902733701</v>
      </c>
    </row>
    <row r="717" spans="1:4" ht="27.75" customHeight="1" x14ac:dyDescent="0.15">
      <c r="A717" s="225">
        <v>784</v>
      </c>
      <c r="B717" s="226" t="s">
        <v>1896</v>
      </c>
      <c r="C717" s="227">
        <v>0</v>
      </c>
      <c r="D717" s="227">
        <v>2.1966009902733701</v>
      </c>
    </row>
    <row r="718" spans="1:4" ht="27.75" customHeight="1" x14ac:dyDescent="0.15">
      <c r="A718" s="225">
        <v>785</v>
      </c>
      <c r="B718" s="226" t="s">
        <v>1897</v>
      </c>
      <c r="C718" s="227">
        <v>0</v>
      </c>
      <c r="D718" s="227">
        <v>2.1966009902733701</v>
      </c>
    </row>
    <row r="719" spans="1:4" ht="27.75" customHeight="1" x14ac:dyDescent="0.15">
      <c r="A719" s="225">
        <v>786</v>
      </c>
      <c r="B719" s="226" t="s">
        <v>1898</v>
      </c>
      <c r="C719" s="227">
        <v>0</v>
      </c>
      <c r="D719" s="227">
        <v>2.1966009902733701</v>
      </c>
    </row>
    <row r="720" spans="1:4" ht="27.75" customHeight="1" x14ac:dyDescent="0.15">
      <c r="A720" s="225">
        <v>787</v>
      </c>
      <c r="B720" s="226" t="s">
        <v>1899</v>
      </c>
      <c r="C720" s="227">
        <v>0</v>
      </c>
      <c r="D720" s="227">
        <v>2.1966009902733701</v>
      </c>
    </row>
    <row r="721" spans="1:4" ht="27.75" customHeight="1" x14ac:dyDescent="0.15">
      <c r="A721" s="225">
        <v>788</v>
      </c>
      <c r="B721" s="226" t="s">
        <v>1900</v>
      </c>
      <c r="C721" s="227">
        <v>0</v>
      </c>
      <c r="D721" s="227">
        <v>2.1966009902733701</v>
      </c>
    </row>
    <row r="722" spans="1:4" ht="27.75" customHeight="1" x14ac:dyDescent="0.15">
      <c r="A722" s="225">
        <v>789</v>
      </c>
      <c r="B722" s="226" t="s">
        <v>1901</v>
      </c>
      <c r="C722" s="227">
        <v>0</v>
      </c>
      <c r="D722" s="227">
        <v>0</v>
      </c>
    </row>
    <row r="723" spans="1:4" ht="27.75" customHeight="1" x14ac:dyDescent="0.15">
      <c r="A723" s="225">
        <v>790</v>
      </c>
      <c r="B723" s="226" t="s">
        <v>1902</v>
      </c>
      <c r="C723" s="227">
        <v>0</v>
      </c>
      <c r="D723" s="227">
        <v>0</v>
      </c>
    </row>
    <row r="724" spans="1:4" ht="27.75" customHeight="1" x14ac:dyDescent="0.15">
      <c r="A724" s="225">
        <v>791</v>
      </c>
      <c r="B724" s="226" t="s">
        <v>1903</v>
      </c>
      <c r="C724" s="227">
        <v>0</v>
      </c>
      <c r="D724" s="227">
        <v>0</v>
      </c>
    </row>
    <row r="725" spans="1:4" ht="27.75" customHeight="1" x14ac:dyDescent="0.15">
      <c r="A725" s="225">
        <v>792</v>
      </c>
      <c r="B725" s="226" t="s">
        <v>1904</v>
      </c>
      <c r="C725" s="227">
        <v>0</v>
      </c>
      <c r="D725" s="227">
        <v>0</v>
      </c>
    </row>
    <row r="726" spans="1:4" ht="27.75" customHeight="1" x14ac:dyDescent="0.15">
      <c r="A726" s="225">
        <v>793</v>
      </c>
      <c r="B726" s="226" t="s">
        <v>1905</v>
      </c>
      <c r="C726" s="227">
        <v>0</v>
      </c>
      <c r="D726" s="227">
        <v>0</v>
      </c>
    </row>
    <row r="727" spans="1:4" ht="27.75" customHeight="1" x14ac:dyDescent="0.15">
      <c r="A727" s="225">
        <v>794</v>
      </c>
      <c r="B727" s="226" t="s">
        <v>1906</v>
      </c>
      <c r="C727" s="227">
        <v>0</v>
      </c>
      <c r="D727" s="227">
        <v>0</v>
      </c>
    </row>
    <row r="728" spans="1:4" ht="27.75" customHeight="1" x14ac:dyDescent="0.15">
      <c r="A728" s="225">
        <v>795</v>
      </c>
      <c r="B728" s="226" t="s">
        <v>1907</v>
      </c>
      <c r="C728" s="227">
        <v>0</v>
      </c>
      <c r="D728" s="227">
        <v>0</v>
      </c>
    </row>
    <row r="729" spans="1:4" ht="27.75" customHeight="1" x14ac:dyDescent="0.15">
      <c r="A729" s="225">
        <v>796</v>
      </c>
      <c r="B729" s="226" t="s">
        <v>1908</v>
      </c>
      <c r="C729" s="227">
        <v>0</v>
      </c>
      <c r="D729" s="227">
        <v>0</v>
      </c>
    </row>
    <row r="730" spans="1:4" ht="27.75" customHeight="1" x14ac:dyDescent="0.15">
      <c r="A730" s="225">
        <v>797</v>
      </c>
      <c r="B730" s="226" t="s">
        <v>1909</v>
      </c>
      <c r="C730" s="227">
        <v>0</v>
      </c>
      <c r="D730" s="227">
        <v>0</v>
      </c>
    </row>
    <row r="731" spans="1:4" ht="27.75" customHeight="1" x14ac:dyDescent="0.15">
      <c r="A731" s="225">
        <v>798</v>
      </c>
      <c r="B731" s="226" t="s">
        <v>1910</v>
      </c>
      <c r="C731" s="227">
        <v>0</v>
      </c>
      <c r="D731" s="227">
        <v>0</v>
      </c>
    </row>
    <row r="732" spans="1:4" ht="27.75" customHeight="1" x14ac:dyDescent="0.15">
      <c r="A732" s="225">
        <v>799</v>
      </c>
      <c r="B732" s="226" t="s">
        <v>1911</v>
      </c>
      <c r="C732" s="227">
        <v>0</v>
      </c>
      <c r="D732" s="227">
        <v>0</v>
      </c>
    </row>
    <row r="733" spans="1:4" ht="27.75" customHeight="1" x14ac:dyDescent="0.15">
      <c r="A733" s="225">
        <v>800</v>
      </c>
      <c r="B733" s="226" t="s">
        <v>1912</v>
      </c>
      <c r="C733" s="227">
        <v>0</v>
      </c>
      <c r="D733" s="227">
        <v>0</v>
      </c>
    </row>
    <row r="734" spans="1:4" ht="27.75" customHeight="1" x14ac:dyDescent="0.15">
      <c r="A734" s="225">
        <v>801</v>
      </c>
      <c r="B734" s="226" t="s">
        <v>1913</v>
      </c>
      <c r="C734" s="227">
        <v>0</v>
      </c>
      <c r="D734" s="227">
        <v>0</v>
      </c>
    </row>
    <row r="735" spans="1:4" ht="27.75" customHeight="1" x14ac:dyDescent="0.15">
      <c r="A735" s="225">
        <v>802</v>
      </c>
      <c r="B735" s="226" t="s">
        <v>1914</v>
      </c>
      <c r="C735" s="227">
        <v>0</v>
      </c>
      <c r="D735" s="227">
        <v>0</v>
      </c>
    </row>
    <row r="736" spans="1:4" ht="27.75" customHeight="1" x14ac:dyDescent="0.15">
      <c r="A736" s="225">
        <v>803</v>
      </c>
      <c r="B736" s="226" t="s">
        <v>1915</v>
      </c>
      <c r="C736" s="227">
        <v>0</v>
      </c>
      <c r="D736" s="227">
        <v>0</v>
      </c>
    </row>
    <row r="737" spans="1:4" ht="27.75" customHeight="1" x14ac:dyDescent="0.15">
      <c r="A737" s="225">
        <v>804</v>
      </c>
      <c r="B737" s="226" t="s">
        <v>1916</v>
      </c>
      <c r="C737" s="227">
        <v>0</v>
      </c>
      <c r="D737" s="227">
        <v>0</v>
      </c>
    </row>
    <row r="738" spans="1:4" ht="27.75" customHeight="1" x14ac:dyDescent="0.15">
      <c r="A738" s="225">
        <v>805</v>
      </c>
      <c r="B738" s="226" t="s">
        <v>1917</v>
      </c>
      <c r="C738" s="227">
        <v>0</v>
      </c>
      <c r="D738" s="227">
        <v>0</v>
      </c>
    </row>
    <row r="739" spans="1:4" ht="27.75" customHeight="1" x14ac:dyDescent="0.15">
      <c r="A739" s="225">
        <v>806</v>
      </c>
      <c r="B739" s="226" t="s">
        <v>1918</v>
      </c>
      <c r="C739" s="227">
        <v>0</v>
      </c>
      <c r="D739" s="227">
        <v>0</v>
      </c>
    </row>
    <row r="740" spans="1:4" ht="27.75" customHeight="1" x14ac:dyDescent="0.15">
      <c r="A740" s="225">
        <v>807</v>
      </c>
      <c r="B740" s="226" t="s">
        <v>1919</v>
      </c>
      <c r="C740" s="227">
        <v>0</v>
      </c>
      <c r="D740" s="227">
        <v>0</v>
      </c>
    </row>
    <row r="741" spans="1:4" ht="27.75" customHeight="1" x14ac:dyDescent="0.15">
      <c r="A741" s="225">
        <v>808</v>
      </c>
      <c r="B741" s="226" t="s">
        <v>1920</v>
      </c>
      <c r="C741" s="227">
        <v>8.6791689113700308</v>
      </c>
      <c r="D741" s="227">
        <v>0</v>
      </c>
    </row>
    <row r="742" spans="1:4" ht="27.75" customHeight="1" x14ac:dyDescent="0.15">
      <c r="A742" s="225">
        <v>809</v>
      </c>
      <c r="B742" s="226" t="s">
        <v>1921</v>
      </c>
      <c r="C742" s="227">
        <v>0</v>
      </c>
      <c r="D742" s="227">
        <v>0</v>
      </c>
    </row>
    <row r="743" spans="1:4" ht="27.75" customHeight="1" x14ac:dyDescent="0.15">
      <c r="A743" s="225">
        <v>810</v>
      </c>
      <c r="B743" s="226" t="s">
        <v>1922</v>
      </c>
      <c r="C743" s="227">
        <v>0</v>
      </c>
      <c r="D743" s="227">
        <v>0</v>
      </c>
    </row>
    <row r="744" spans="1:4" ht="27.75" customHeight="1" x14ac:dyDescent="0.15">
      <c r="A744" s="225">
        <v>811</v>
      </c>
      <c r="B744" s="226" t="s">
        <v>1923</v>
      </c>
      <c r="C744" s="227">
        <v>0</v>
      </c>
      <c r="D744" s="227">
        <v>0</v>
      </c>
    </row>
    <row r="745" spans="1:4" ht="27.75" customHeight="1" x14ac:dyDescent="0.15">
      <c r="A745" s="225">
        <v>812</v>
      </c>
      <c r="B745" s="226" t="s">
        <v>1924</v>
      </c>
      <c r="C745" s="227">
        <v>0</v>
      </c>
      <c r="D745" s="227">
        <v>0</v>
      </c>
    </row>
    <row r="746" spans="1:4" ht="27.75" customHeight="1" x14ac:dyDescent="0.15">
      <c r="A746" s="225">
        <v>813</v>
      </c>
      <c r="B746" s="226" t="s">
        <v>1925</v>
      </c>
      <c r="C746" s="227">
        <v>0</v>
      </c>
      <c r="D746" s="227">
        <v>0</v>
      </c>
    </row>
    <row r="747" spans="1:4" ht="27.75" customHeight="1" x14ac:dyDescent="0.15">
      <c r="A747" s="225">
        <v>814</v>
      </c>
      <c r="B747" s="226" t="s">
        <v>1926</v>
      </c>
      <c r="C747" s="227">
        <v>0</v>
      </c>
      <c r="D747" s="227">
        <v>0</v>
      </c>
    </row>
    <row r="748" spans="1:4" ht="27.75" customHeight="1" x14ac:dyDescent="0.15">
      <c r="A748" s="225">
        <v>815</v>
      </c>
      <c r="B748" s="226" t="s">
        <v>1927</v>
      </c>
      <c r="C748" s="227">
        <v>0</v>
      </c>
      <c r="D748" s="227">
        <v>0</v>
      </c>
    </row>
    <row r="749" spans="1:4" ht="27.75" customHeight="1" x14ac:dyDescent="0.15">
      <c r="A749" s="225">
        <v>816</v>
      </c>
      <c r="B749" s="226" t="s">
        <v>1928</v>
      </c>
      <c r="C749" s="227">
        <v>0</v>
      </c>
      <c r="D749" s="227">
        <v>0</v>
      </c>
    </row>
    <row r="750" spans="1:4" ht="27.75" customHeight="1" x14ac:dyDescent="0.15">
      <c r="A750" s="225">
        <v>817</v>
      </c>
      <c r="B750" s="226" t="s">
        <v>1929</v>
      </c>
      <c r="C750" s="227">
        <v>0</v>
      </c>
      <c r="D750" s="227">
        <v>0</v>
      </c>
    </row>
    <row r="751" spans="1:4" ht="27.75" customHeight="1" x14ac:dyDescent="0.15">
      <c r="A751" s="225">
        <v>818</v>
      </c>
      <c r="B751" s="226" t="s">
        <v>1930</v>
      </c>
      <c r="C751" s="227">
        <v>0</v>
      </c>
      <c r="D751" s="227">
        <v>0</v>
      </c>
    </row>
    <row r="752" spans="1:4" ht="27.75" customHeight="1" x14ac:dyDescent="0.15">
      <c r="A752" s="225">
        <v>819</v>
      </c>
      <c r="B752" s="226" t="s">
        <v>1931</v>
      </c>
      <c r="C752" s="227">
        <v>0</v>
      </c>
      <c r="D752" s="227">
        <v>0</v>
      </c>
    </row>
    <row r="753" spans="1:4" ht="27.75" customHeight="1" x14ac:dyDescent="0.15">
      <c r="A753" s="225">
        <v>820</v>
      </c>
      <c r="B753" s="226" t="s">
        <v>1932</v>
      </c>
      <c r="C753" s="227">
        <v>0</v>
      </c>
      <c r="D753" s="227">
        <v>0</v>
      </c>
    </row>
    <row r="754" spans="1:4" ht="27.75" customHeight="1" x14ac:dyDescent="0.15">
      <c r="A754" s="225">
        <v>821</v>
      </c>
      <c r="B754" s="226" t="s">
        <v>1933</v>
      </c>
      <c r="C754" s="227">
        <v>0</v>
      </c>
      <c r="D754" s="227">
        <v>0</v>
      </c>
    </row>
    <row r="755" spans="1:4" ht="27.75" customHeight="1" x14ac:dyDescent="0.15">
      <c r="A755" s="225">
        <v>822</v>
      </c>
      <c r="B755" s="226" t="s">
        <v>1934</v>
      </c>
      <c r="C755" s="227">
        <v>0</v>
      </c>
      <c r="D755" s="227">
        <v>0</v>
      </c>
    </row>
    <row r="756" spans="1:4" ht="27.75" customHeight="1" x14ac:dyDescent="0.15">
      <c r="A756" s="225">
        <v>823</v>
      </c>
      <c r="B756" s="226" t="s">
        <v>1935</v>
      </c>
      <c r="C756" s="227">
        <v>0</v>
      </c>
      <c r="D756" s="227">
        <v>0</v>
      </c>
    </row>
    <row r="757" spans="1:4" ht="27.75" customHeight="1" x14ac:dyDescent="0.15">
      <c r="A757" s="225">
        <v>824</v>
      </c>
      <c r="B757" s="226" t="s">
        <v>1936</v>
      </c>
      <c r="C757" s="227">
        <v>0</v>
      </c>
      <c r="D757" s="227">
        <v>0</v>
      </c>
    </row>
    <row r="758" spans="1:4" ht="27.75" customHeight="1" x14ac:dyDescent="0.15">
      <c r="A758" s="225">
        <v>825</v>
      </c>
      <c r="B758" s="226" t="s">
        <v>1937</v>
      </c>
      <c r="C758" s="227">
        <v>11.4067170359848</v>
      </c>
      <c r="D758" s="227">
        <v>0</v>
      </c>
    </row>
    <row r="759" spans="1:4" ht="27.75" customHeight="1" x14ac:dyDescent="0.15">
      <c r="A759" s="225">
        <v>826</v>
      </c>
      <c r="B759" s="226" t="s">
        <v>1938</v>
      </c>
      <c r="C759" s="227">
        <v>0</v>
      </c>
      <c r="D759" s="227">
        <v>0</v>
      </c>
    </row>
    <row r="760" spans="1:4" ht="27.75" customHeight="1" x14ac:dyDescent="0.15">
      <c r="A760" s="225">
        <v>827</v>
      </c>
      <c r="B760" s="226" t="s">
        <v>1939</v>
      </c>
      <c r="C760" s="227">
        <v>0</v>
      </c>
      <c r="D760" s="227">
        <v>0</v>
      </c>
    </row>
    <row r="761" spans="1:4" ht="27.75" customHeight="1" x14ac:dyDescent="0.15">
      <c r="A761" s="225">
        <v>828</v>
      </c>
      <c r="B761" s="226" t="s">
        <v>1940</v>
      </c>
      <c r="C761" s="227">
        <v>0</v>
      </c>
      <c r="D761" s="227">
        <v>0</v>
      </c>
    </row>
    <row r="762" spans="1:4" ht="27.75" customHeight="1" x14ac:dyDescent="0.15">
      <c r="A762" s="225">
        <v>829</v>
      </c>
      <c r="B762" s="226" t="s">
        <v>1941</v>
      </c>
      <c r="C762" s="227">
        <v>0</v>
      </c>
      <c r="D762" s="227">
        <v>0</v>
      </c>
    </row>
    <row r="763" spans="1:4" ht="27.75" customHeight="1" x14ac:dyDescent="0.15">
      <c r="A763" s="225">
        <v>830</v>
      </c>
      <c r="B763" s="226" t="s">
        <v>1942</v>
      </c>
      <c r="C763" s="227">
        <v>0</v>
      </c>
      <c r="D763" s="227">
        <v>2.8593336273882199</v>
      </c>
    </row>
    <row r="764" spans="1:4" ht="27.75" customHeight="1" x14ac:dyDescent="0.15">
      <c r="A764" s="225">
        <v>831</v>
      </c>
      <c r="B764" s="226" t="s">
        <v>1943</v>
      </c>
      <c r="C764" s="227">
        <v>0</v>
      </c>
      <c r="D764" s="227">
        <v>2.8593336273882199</v>
      </c>
    </row>
    <row r="765" spans="1:4" ht="27.75" customHeight="1" x14ac:dyDescent="0.15">
      <c r="A765" s="225">
        <v>832</v>
      </c>
      <c r="B765" s="226" t="s">
        <v>1944</v>
      </c>
      <c r="C765" s="227">
        <v>0</v>
      </c>
      <c r="D765" s="227">
        <v>2.8593336273882199</v>
      </c>
    </row>
    <row r="766" spans="1:4" ht="27.75" customHeight="1" x14ac:dyDescent="0.15">
      <c r="A766" s="225">
        <v>833</v>
      </c>
      <c r="B766" s="226" t="s">
        <v>1945</v>
      </c>
      <c r="C766" s="227">
        <v>0</v>
      </c>
      <c r="D766" s="227">
        <v>0</v>
      </c>
    </row>
    <row r="767" spans="1:4" ht="27.75" customHeight="1" x14ac:dyDescent="0.15">
      <c r="A767" s="225">
        <v>834</v>
      </c>
      <c r="B767" s="226" t="s">
        <v>1946</v>
      </c>
      <c r="C767" s="227">
        <v>0</v>
      </c>
      <c r="D767" s="227">
        <v>0</v>
      </c>
    </row>
    <row r="768" spans="1:4" ht="27.75" customHeight="1" x14ac:dyDescent="0.15">
      <c r="A768" s="225">
        <v>835</v>
      </c>
      <c r="B768" s="226" t="s">
        <v>1947</v>
      </c>
      <c r="C768" s="227">
        <v>0</v>
      </c>
      <c r="D768" s="227">
        <v>0</v>
      </c>
    </row>
    <row r="769" spans="1:4" ht="27.75" customHeight="1" x14ac:dyDescent="0.15">
      <c r="A769" s="225">
        <v>836</v>
      </c>
      <c r="B769" s="226" t="s">
        <v>1948</v>
      </c>
      <c r="C769" s="227">
        <v>0</v>
      </c>
      <c r="D769" s="227">
        <v>0</v>
      </c>
    </row>
    <row r="770" spans="1:4" ht="27.75" customHeight="1" x14ac:dyDescent="0.15">
      <c r="A770" s="225">
        <v>837</v>
      </c>
      <c r="B770" s="226" t="s">
        <v>1949</v>
      </c>
      <c r="C770" s="227">
        <v>0</v>
      </c>
      <c r="D770" s="227">
        <v>0</v>
      </c>
    </row>
    <row r="771" spans="1:4" ht="27.75" customHeight="1" x14ac:dyDescent="0.15">
      <c r="A771" s="225">
        <v>838</v>
      </c>
      <c r="B771" s="226" t="s">
        <v>1950</v>
      </c>
      <c r="C771" s="227">
        <v>0</v>
      </c>
      <c r="D771" s="227">
        <v>0</v>
      </c>
    </row>
    <row r="772" spans="1:4" ht="27.75" customHeight="1" x14ac:dyDescent="0.15">
      <c r="A772" s="225">
        <v>839</v>
      </c>
      <c r="B772" s="226" t="s">
        <v>1951</v>
      </c>
      <c r="C772" s="227">
        <v>0</v>
      </c>
      <c r="D772" s="227">
        <v>0</v>
      </c>
    </row>
    <row r="773" spans="1:4" ht="27.75" customHeight="1" x14ac:dyDescent="0.15">
      <c r="A773" s="225">
        <v>840</v>
      </c>
      <c r="B773" s="226" t="s">
        <v>1952</v>
      </c>
      <c r="C773" s="227">
        <v>0</v>
      </c>
      <c r="D773" s="227">
        <v>0</v>
      </c>
    </row>
    <row r="774" spans="1:4" ht="27.75" customHeight="1" x14ac:dyDescent="0.15">
      <c r="A774" s="225">
        <v>841</v>
      </c>
      <c r="B774" s="226" t="s">
        <v>1953</v>
      </c>
      <c r="C774" s="227">
        <v>0</v>
      </c>
      <c r="D774" s="227">
        <v>0</v>
      </c>
    </row>
    <row r="775" spans="1:4" ht="27.75" customHeight="1" x14ac:dyDescent="0.15">
      <c r="A775" s="225">
        <v>842</v>
      </c>
      <c r="B775" s="226" t="s">
        <v>1954</v>
      </c>
      <c r="C775" s="227">
        <v>0</v>
      </c>
      <c r="D775" s="227">
        <v>0</v>
      </c>
    </row>
    <row r="776" spans="1:4" ht="27.75" customHeight="1" x14ac:dyDescent="0.15">
      <c r="A776" s="225">
        <v>843</v>
      </c>
      <c r="B776" s="226" t="s">
        <v>1955</v>
      </c>
      <c r="C776" s="227">
        <v>0</v>
      </c>
      <c r="D776" s="227">
        <v>0</v>
      </c>
    </row>
    <row r="777" spans="1:4" ht="27.75" customHeight="1" x14ac:dyDescent="0.15">
      <c r="A777" s="225">
        <v>844</v>
      </c>
      <c r="B777" s="226" t="s">
        <v>1956</v>
      </c>
      <c r="C777" s="227">
        <v>0</v>
      </c>
      <c r="D777" s="227">
        <v>0</v>
      </c>
    </row>
    <row r="778" spans="1:4" ht="27.75" customHeight="1" x14ac:dyDescent="0.15">
      <c r="A778" s="225">
        <v>845</v>
      </c>
      <c r="B778" s="226" t="s">
        <v>1957</v>
      </c>
      <c r="C778" s="227">
        <v>0</v>
      </c>
      <c r="D778" s="227">
        <v>0</v>
      </c>
    </row>
    <row r="779" spans="1:4" ht="27.75" customHeight="1" x14ac:dyDescent="0.15">
      <c r="A779" s="225">
        <v>846</v>
      </c>
      <c r="B779" s="226" t="s">
        <v>1958</v>
      </c>
      <c r="C779" s="227">
        <v>0</v>
      </c>
      <c r="D779" s="227">
        <v>0</v>
      </c>
    </row>
    <row r="780" spans="1:4" ht="27.75" customHeight="1" x14ac:dyDescent="0.15">
      <c r="A780" s="225">
        <v>847</v>
      </c>
      <c r="B780" s="226" t="s">
        <v>1959</v>
      </c>
      <c r="C780" s="227">
        <v>0</v>
      </c>
      <c r="D780" s="227">
        <v>0</v>
      </c>
    </row>
    <row r="781" spans="1:4" ht="27.75" customHeight="1" x14ac:dyDescent="0.15">
      <c r="A781" s="225">
        <v>848</v>
      </c>
      <c r="B781" s="226" t="s">
        <v>1960</v>
      </c>
      <c r="C781" s="227">
        <v>0</v>
      </c>
      <c r="D781" s="227">
        <v>0</v>
      </c>
    </row>
    <row r="782" spans="1:4" ht="27.75" customHeight="1" x14ac:dyDescent="0.15">
      <c r="A782" s="225">
        <v>849</v>
      </c>
      <c r="B782" s="226" t="s">
        <v>1961</v>
      </c>
      <c r="C782" s="227">
        <v>0</v>
      </c>
      <c r="D782" s="227">
        <v>0</v>
      </c>
    </row>
    <row r="783" spans="1:4" ht="27.75" customHeight="1" x14ac:dyDescent="0.15">
      <c r="A783" s="225">
        <v>850</v>
      </c>
      <c r="B783" s="226" t="s">
        <v>1962</v>
      </c>
      <c r="C783" s="227">
        <v>0</v>
      </c>
      <c r="D783" s="227">
        <v>0</v>
      </c>
    </row>
    <row r="784" spans="1:4" ht="27.75" customHeight="1" x14ac:dyDescent="0.15">
      <c r="A784" s="225">
        <v>851</v>
      </c>
      <c r="B784" s="226" t="s">
        <v>1963</v>
      </c>
      <c r="C784" s="227">
        <v>0</v>
      </c>
      <c r="D784" s="227">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8"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activeCell="I1" sqref="I1"/>
    </sheetView>
  </sheetViews>
  <sheetFormatPr baseColWidth="10" defaultColWidth="11.5" defaultRowHeight="13" x14ac:dyDescent="0.15"/>
  <cols>
    <col min="1" max="1" width="13.83203125" style="43" customWidth="1"/>
    <col min="2" max="2" width="11.5" style="43" customWidth="1"/>
    <col min="3" max="3" width="37.5" style="43" bestFit="1" customWidth="1"/>
    <col min="4" max="4" width="40.5" style="44" bestFit="1" customWidth="1"/>
    <col min="5" max="6" width="4.6640625" style="43" customWidth="1"/>
    <col min="7" max="7" width="29.1640625" style="43" bestFit="1" customWidth="1"/>
    <col min="8" max="8" width="11.5" style="43"/>
    <col min="9" max="9" width="60.33203125" style="43" customWidth="1"/>
    <col min="10" max="16384" width="11.5" style="43"/>
  </cols>
  <sheetData>
    <row r="1" spans="1:9" ht="26.25" customHeight="1" x14ac:dyDescent="0.25">
      <c r="A1" s="318" t="s">
        <v>88</v>
      </c>
      <c r="B1" s="318"/>
      <c r="I1" s="172"/>
    </row>
    <row r="2" spans="1:9" ht="12.75" customHeight="1" x14ac:dyDescent="0.15">
      <c r="A2" s="157"/>
      <c r="B2" s="157"/>
    </row>
    <row r="3" spans="1:9" ht="12.75" customHeight="1" x14ac:dyDescent="0.15">
      <c r="A3" s="157"/>
      <c r="B3" s="157"/>
    </row>
    <row r="4" spans="1:9" ht="12.75" customHeight="1" x14ac:dyDescent="0.15">
      <c r="A4" s="157"/>
      <c r="B4" s="157"/>
    </row>
    <row r="5" spans="1:9" ht="12.75" customHeight="1" x14ac:dyDescent="0.15">
      <c r="A5" s="157"/>
      <c r="B5" s="157"/>
    </row>
    <row r="6" spans="1:9" ht="12.75" customHeight="1" x14ac:dyDescent="0.15">
      <c r="A6" s="157"/>
      <c r="B6" s="157"/>
    </row>
    <row r="7" spans="1:9" ht="12.75" customHeight="1" x14ac:dyDescent="0.15">
      <c r="A7" s="157"/>
      <c r="B7" s="157"/>
    </row>
    <row r="8" spans="1:9" ht="12.75" customHeight="1" x14ac:dyDescent="0.15">
      <c r="A8" s="157"/>
      <c r="B8" s="157"/>
    </row>
    <row r="9" spans="1:9" ht="12.75" customHeight="1" x14ac:dyDescent="0.15">
      <c r="A9" s="157"/>
      <c r="B9" s="157"/>
    </row>
    <row r="10" spans="1:9" ht="12.75" customHeight="1" x14ac:dyDescent="0.15">
      <c r="A10" s="157"/>
      <c r="B10" s="157"/>
    </row>
    <row r="11" spans="1:9" ht="12.75" customHeight="1" x14ac:dyDescent="0.15">
      <c r="A11" s="157"/>
      <c r="B11" s="157"/>
    </row>
    <row r="12" spans="1:9" ht="12.75" customHeight="1" x14ac:dyDescent="0.15">
      <c r="A12" s="157"/>
      <c r="B12" s="157"/>
    </row>
    <row r="13" spans="1:9" ht="12.75" customHeight="1" x14ac:dyDescent="0.15">
      <c r="A13" s="157"/>
      <c r="B13" s="157"/>
    </row>
    <row r="14" spans="1:9" ht="12.75" customHeight="1" x14ac:dyDescent="0.15">
      <c r="A14" s="157"/>
      <c r="B14" s="157"/>
    </row>
    <row r="15" spans="1:9" ht="12.75" customHeight="1" x14ac:dyDescent="0.15">
      <c r="A15" s="157"/>
      <c r="B15" s="157"/>
    </row>
    <row r="16" spans="1:9" ht="12.75" customHeight="1" x14ac:dyDescent="0.15">
      <c r="A16" s="157"/>
      <c r="B16" s="157"/>
    </row>
    <row r="17" spans="1:9" ht="12.75" customHeight="1" x14ac:dyDescent="0.15">
      <c r="A17" s="157"/>
      <c r="B17" s="157"/>
    </row>
    <row r="18" spans="1:9" ht="12.75" customHeight="1" x14ac:dyDescent="0.15">
      <c r="A18" s="157"/>
      <c r="B18" s="157"/>
    </row>
    <row r="19" spans="1:9" ht="12.75" customHeight="1" x14ac:dyDescent="0.15">
      <c r="A19" s="157"/>
      <c r="B19" s="157"/>
    </row>
    <row r="20" spans="1:9" ht="12.75" customHeight="1" x14ac:dyDescent="0.15">
      <c r="A20" s="157"/>
      <c r="B20" s="157"/>
    </row>
    <row r="21" spans="1:9" ht="12.75" customHeight="1" x14ac:dyDescent="0.15">
      <c r="A21" s="157"/>
      <c r="B21" s="157"/>
    </row>
    <row r="22" spans="1:9" ht="12.75" customHeight="1" x14ac:dyDescent="0.15">
      <c r="A22" s="157"/>
      <c r="B22" s="157"/>
    </row>
    <row r="23" spans="1:9" ht="12.75" customHeight="1" x14ac:dyDescent="0.15">
      <c r="A23" s="157"/>
      <c r="B23" s="157"/>
    </row>
    <row r="24" spans="1:9" ht="12.75" customHeight="1" x14ac:dyDescent="0.15">
      <c r="A24" s="157"/>
      <c r="B24" s="157"/>
    </row>
    <row r="25" spans="1:9" ht="12.75" customHeight="1" x14ac:dyDescent="0.15">
      <c r="A25" s="157"/>
      <c r="B25" s="157"/>
    </row>
    <row r="26" spans="1:9" ht="12.75" customHeight="1" x14ac:dyDescent="0.15">
      <c r="A26" s="157"/>
      <c r="B26" s="157"/>
    </row>
    <row r="27" spans="1:9" ht="12.75" customHeight="1" x14ac:dyDescent="0.15">
      <c r="A27" s="157"/>
      <c r="B27" s="157"/>
    </row>
    <row r="28" spans="1:9" s="42" customFormat="1" ht="56" x14ac:dyDescent="0.15">
      <c r="A28" s="63" t="s">
        <v>215</v>
      </c>
      <c r="B28" s="63" t="s">
        <v>216</v>
      </c>
      <c r="C28" s="63" t="s">
        <v>217</v>
      </c>
      <c r="D28" s="63" t="s">
        <v>218</v>
      </c>
      <c r="E28" s="45"/>
      <c r="F28" s="45"/>
      <c r="G28" s="63" t="s">
        <v>438</v>
      </c>
      <c r="H28" s="63" t="s">
        <v>439</v>
      </c>
      <c r="I28" s="63" t="s">
        <v>440</v>
      </c>
    </row>
    <row r="29" spans="1:9" x14ac:dyDescent="0.15">
      <c r="A29" s="113">
        <v>3</v>
      </c>
      <c r="B29" s="114">
        <v>166</v>
      </c>
      <c r="C29" s="115" t="s">
        <v>219</v>
      </c>
      <c r="D29" s="116" t="s">
        <v>220</v>
      </c>
      <c r="H29" s="104">
        <v>40057</v>
      </c>
      <c r="I29" s="105" t="s">
        <v>441</v>
      </c>
    </row>
    <row r="30" spans="1:9" x14ac:dyDescent="0.15">
      <c r="A30" s="113">
        <v>4</v>
      </c>
      <c r="B30" s="114">
        <v>168</v>
      </c>
      <c r="C30" s="115" t="s">
        <v>219</v>
      </c>
      <c r="D30" s="116" t="s">
        <v>220</v>
      </c>
      <c r="G30" s="105" t="s">
        <v>442</v>
      </c>
      <c r="H30" s="104">
        <v>40275</v>
      </c>
      <c r="I30" s="158" t="s">
        <v>446</v>
      </c>
    </row>
    <row r="31" spans="1:9" x14ac:dyDescent="0.15">
      <c r="A31" s="113">
        <v>5</v>
      </c>
      <c r="B31" s="114">
        <v>100</v>
      </c>
      <c r="C31" s="115" t="s">
        <v>221</v>
      </c>
      <c r="D31" s="116" t="s">
        <v>220</v>
      </c>
      <c r="G31" s="159" t="s">
        <v>449</v>
      </c>
      <c r="H31" s="104">
        <v>40347</v>
      </c>
      <c r="I31" s="43" t="s">
        <v>443</v>
      </c>
    </row>
    <row r="32" spans="1:9" x14ac:dyDescent="0.15">
      <c r="A32" s="113">
        <v>6</v>
      </c>
      <c r="B32" s="114">
        <v>257</v>
      </c>
      <c r="C32" s="115" t="s">
        <v>222</v>
      </c>
      <c r="D32" s="116" t="s">
        <v>220</v>
      </c>
      <c r="G32" s="158" t="s">
        <v>450</v>
      </c>
      <c r="H32" s="104">
        <v>41166</v>
      </c>
      <c r="I32" s="158" t="s">
        <v>451</v>
      </c>
    </row>
    <row r="33" spans="1:9" x14ac:dyDescent="0.15">
      <c r="A33" s="113">
        <v>7</v>
      </c>
      <c r="B33" s="114">
        <v>158</v>
      </c>
      <c r="C33" s="115" t="s">
        <v>222</v>
      </c>
      <c r="D33" s="116" t="s">
        <v>220</v>
      </c>
      <c r="G33" s="159" t="s">
        <v>444</v>
      </c>
      <c r="H33" s="104">
        <v>41178</v>
      </c>
      <c r="I33" s="158" t="s">
        <v>445</v>
      </c>
    </row>
    <row r="34" spans="1:9" x14ac:dyDescent="0.15">
      <c r="A34" s="113">
        <v>8</v>
      </c>
      <c r="B34" s="114">
        <v>159</v>
      </c>
      <c r="C34" s="115" t="s">
        <v>222</v>
      </c>
      <c r="D34" s="116" t="s">
        <v>220</v>
      </c>
      <c r="G34" s="105" t="s">
        <v>510</v>
      </c>
      <c r="H34" s="104">
        <v>41758</v>
      </c>
      <c r="I34" s="43" t="s">
        <v>511</v>
      </c>
    </row>
    <row r="35" spans="1:9" x14ac:dyDescent="0.15">
      <c r="A35" s="113">
        <v>9</v>
      </c>
      <c r="B35" s="114">
        <v>1111</v>
      </c>
      <c r="C35" s="115" t="s">
        <v>222</v>
      </c>
      <c r="D35" s="116" t="s">
        <v>220</v>
      </c>
      <c r="G35" s="43" t="s">
        <v>508</v>
      </c>
      <c r="H35" s="104">
        <v>41758</v>
      </c>
      <c r="I35" s="105" t="s">
        <v>509</v>
      </c>
    </row>
    <row r="36" spans="1:9" x14ac:dyDescent="0.15">
      <c r="A36" s="113">
        <v>10</v>
      </c>
      <c r="B36" s="114">
        <v>1104</v>
      </c>
      <c r="C36" s="115" t="s">
        <v>222</v>
      </c>
      <c r="D36" s="116" t="s">
        <v>220</v>
      </c>
      <c r="G36" s="43" t="s">
        <v>508</v>
      </c>
      <c r="H36" s="104">
        <v>41944</v>
      </c>
      <c r="I36" s="105" t="s">
        <v>559</v>
      </c>
    </row>
    <row r="37" spans="1:9" x14ac:dyDescent="0.15">
      <c r="A37" s="113">
        <v>11</v>
      </c>
      <c r="B37" s="114">
        <v>1112</v>
      </c>
      <c r="C37" s="115" t="s">
        <v>222</v>
      </c>
      <c r="D37" s="116" t="s">
        <v>220</v>
      </c>
      <c r="G37" s="43" t="s">
        <v>587</v>
      </c>
      <c r="H37" s="104">
        <v>42081</v>
      </c>
      <c r="I37" s="43" t="s">
        <v>588</v>
      </c>
    </row>
    <row r="38" spans="1:9" x14ac:dyDescent="0.15">
      <c r="A38" s="113">
        <v>12</v>
      </c>
      <c r="B38" s="114">
        <v>1116</v>
      </c>
      <c r="C38" s="115" t="s">
        <v>222</v>
      </c>
      <c r="D38" s="116" t="s">
        <v>220</v>
      </c>
      <c r="G38" s="43" t="s">
        <v>589</v>
      </c>
      <c r="H38" s="104">
        <v>42081</v>
      </c>
      <c r="I38" s="43" t="s">
        <v>590</v>
      </c>
    </row>
    <row r="39" spans="1:9" x14ac:dyDescent="0.15">
      <c r="A39" s="113">
        <v>13</v>
      </c>
      <c r="B39" s="114">
        <v>139</v>
      </c>
      <c r="C39" s="115" t="s">
        <v>223</v>
      </c>
      <c r="D39" s="116" t="s">
        <v>458</v>
      </c>
      <c r="G39" s="43" t="s">
        <v>591</v>
      </c>
      <c r="H39" s="104">
        <v>42081</v>
      </c>
      <c r="I39" s="43" t="s">
        <v>616</v>
      </c>
    </row>
    <row r="40" spans="1:9" x14ac:dyDescent="0.15">
      <c r="A40" s="113">
        <v>15</v>
      </c>
      <c r="B40" s="114">
        <v>152</v>
      </c>
      <c r="C40" s="115" t="s">
        <v>223</v>
      </c>
      <c r="D40" s="116" t="s">
        <v>458</v>
      </c>
      <c r="G40" s="105" t="s">
        <v>586</v>
      </c>
      <c r="H40" s="104">
        <v>42081</v>
      </c>
      <c r="I40" s="105" t="s">
        <v>615</v>
      </c>
    </row>
    <row r="41" spans="1:9" x14ac:dyDescent="0.15">
      <c r="A41" s="113">
        <v>16</v>
      </c>
      <c r="B41" s="114">
        <v>113</v>
      </c>
      <c r="C41" s="115" t="s">
        <v>224</v>
      </c>
      <c r="D41" s="116" t="s">
        <v>459</v>
      </c>
      <c r="G41" s="43" t="s">
        <v>592</v>
      </c>
      <c r="H41" s="104">
        <v>42081</v>
      </c>
      <c r="I41" s="105" t="s">
        <v>593</v>
      </c>
    </row>
    <row r="42" spans="1:9" x14ac:dyDescent="0.15">
      <c r="A42" s="113">
        <v>17</v>
      </c>
      <c r="B42" s="114">
        <v>125</v>
      </c>
      <c r="C42" s="115" t="s">
        <v>224</v>
      </c>
      <c r="D42" s="116" t="s">
        <v>459</v>
      </c>
      <c r="G42" s="43" t="s">
        <v>594</v>
      </c>
      <c r="H42" s="104">
        <v>42081</v>
      </c>
      <c r="I42" s="43" t="s">
        <v>595</v>
      </c>
    </row>
    <row r="43" spans="1:9" x14ac:dyDescent="0.15">
      <c r="A43" s="113">
        <v>18</v>
      </c>
      <c r="B43" s="114">
        <v>126</v>
      </c>
      <c r="C43" s="115" t="s">
        <v>224</v>
      </c>
      <c r="D43" s="116" t="s">
        <v>459</v>
      </c>
      <c r="G43" s="43" t="s">
        <v>594</v>
      </c>
      <c r="H43" s="104">
        <v>42081</v>
      </c>
      <c r="I43" s="43" t="s">
        <v>596</v>
      </c>
    </row>
    <row r="44" spans="1:9" x14ac:dyDescent="0.15">
      <c r="A44" s="113">
        <v>19</v>
      </c>
      <c r="B44" s="114">
        <v>127</v>
      </c>
      <c r="C44" s="115" t="s">
        <v>224</v>
      </c>
      <c r="D44" s="116" t="s">
        <v>459</v>
      </c>
      <c r="G44" s="43" t="s">
        <v>597</v>
      </c>
      <c r="H44" s="104">
        <v>42081</v>
      </c>
      <c r="I44" s="43" t="s">
        <v>598</v>
      </c>
    </row>
    <row r="45" spans="1:9" x14ac:dyDescent="0.15">
      <c r="A45" s="113">
        <v>20</v>
      </c>
      <c r="B45" s="114">
        <v>129</v>
      </c>
      <c r="C45" s="115" t="s">
        <v>224</v>
      </c>
      <c r="D45" s="116" t="s">
        <v>459</v>
      </c>
      <c r="G45" s="43" t="s">
        <v>599</v>
      </c>
      <c r="H45" s="104">
        <v>42081</v>
      </c>
      <c r="I45" s="43" t="s">
        <v>600</v>
      </c>
    </row>
    <row r="46" spans="1:9" x14ac:dyDescent="0.15">
      <c r="A46" s="113">
        <v>21</v>
      </c>
      <c r="B46" s="114">
        <v>130</v>
      </c>
      <c r="C46" s="115" t="s">
        <v>224</v>
      </c>
      <c r="D46" s="116" t="s">
        <v>459</v>
      </c>
      <c r="G46" s="43" t="s">
        <v>601</v>
      </c>
      <c r="H46" s="104">
        <v>42081</v>
      </c>
      <c r="I46" s="43" t="s">
        <v>598</v>
      </c>
    </row>
    <row r="47" spans="1:9" x14ac:dyDescent="0.15">
      <c r="A47" s="113">
        <v>22</v>
      </c>
      <c r="B47" s="114">
        <v>131</v>
      </c>
      <c r="C47" s="115" t="s">
        <v>224</v>
      </c>
      <c r="D47" s="116" t="s">
        <v>459</v>
      </c>
      <c r="G47" s="43" t="s">
        <v>601</v>
      </c>
      <c r="H47" s="104">
        <v>42081</v>
      </c>
      <c r="I47" s="43" t="s">
        <v>602</v>
      </c>
    </row>
    <row r="48" spans="1:9" x14ac:dyDescent="0.15">
      <c r="A48" s="113">
        <v>23</v>
      </c>
      <c r="B48" s="114">
        <v>136</v>
      </c>
      <c r="C48" s="115" t="s">
        <v>225</v>
      </c>
      <c r="D48" s="116" t="s">
        <v>460</v>
      </c>
      <c r="G48" s="43" t="s">
        <v>603</v>
      </c>
      <c r="H48" s="104">
        <v>42081</v>
      </c>
      <c r="I48" s="43" t="s">
        <v>600</v>
      </c>
    </row>
    <row r="49" spans="1:9" x14ac:dyDescent="0.15">
      <c r="A49" s="113">
        <v>24</v>
      </c>
      <c r="B49" s="114">
        <v>137</v>
      </c>
      <c r="C49" s="115" t="s">
        <v>225</v>
      </c>
      <c r="D49" s="116" t="s">
        <v>459</v>
      </c>
      <c r="G49" s="43" t="s">
        <v>604</v>
      </c>
      <c r="H49" s="104">
        <v>42081</v>
      </c>
      <c r="I49" s="43" t="s">
        <v>598</v>
      </c>
    </row>
    <row r="50" spans="1:9" x14ac:dyDescent="0.15">
      <c r="A50" s="113">
        <v>25</v>
      </c>
      <c r="B50" s="114">
        <v>138</v>
      </c>
      <c r="C50" s="115" t="s">
        <v>225</v>
      </c>
      <c r="D50" s="116" t="s">
        <v>459</v>
      </c>
      <c r="G50" s="43" t="s">
        <v>605</v>
      </c>
      <c r="H50" s="104">
        <v>42081</v>
      </c>
      <c r="I50" s="43" t="s">
        <v>606</v>
      </c>
    </row>
    <row r="51" spans="1:9" x14ac:dyDescent="0.15">
      <c r="A51" s="113">
        <v>26</v>
      </c>
      <c r="B51" s="114">
        <v>141</v>
      </c>
      <c r="C51" s="115" t="s">
        <v>225</v>
      </c>
      <c r="D51" s="116" t="s">
        <v>220</v>
      </c>
      <c r="G51" s="43" t="s">
        <v>607</v>
      </c>
      <c r="H51" s="104">
        <v>42081</v>
      </c>
      <c r="I51" s="43" t="s">
        <v>608</v>
      </c>
    </row>
    <row r="52" spans="1:9" x14ac:dyDescent="0.15">
      <c r="A52" s="113">
        <v>28</v>
      </c>
      <c r="B52" s="114">
        <v>143</v>
      </c>
      <c r="C52" s="115" t="s">
        <v>225</v>
      </c>
      <c r="D52" s="116" t="s">
        <v>220</v>
      </c>
      <c r="G52" s="43" t="s">
        <v>609</v>
      </c>
      <c r="H52" s="104">
        <v>42081</v>
      </c>
      <c r="I52" s="43" t="s">
        <v>610</v>
      </c>
    </row>
    <row r="53" spans="1:9" x14ac:dyDescent="0.15">
      <c r="A53" s="113">
        <v>29</v>
      </c>
      <c r="B53" s="114">
        <v>144</v>
      </c>
      <c r="C53" s="115" t="s">
        <v>225</v>
      </c>
      <c r="D53" s="116" t="s">
        <v>458</v>
      </c>
      <c r="G53" s="43" t="s">
        <v>609</v>
      </c>
      <c r="H53" s="104">
        <v>42081</v>
      </c>
      <c r="I53" s="43" t="s">
        <v>611</v>
      </c>
    </row>
    <row r="54" spans="1:9" x14ac:dyDescent="0.15">
      <c r="A54" s="113">
        <v>30</v>
      </c>
      <c r="B54" s="114">
        <v>145</v>
      </c>
      <c r="C54" s="115" t="s">
        <v>225</v>
      </c>
      <c r="D54" s="116" t="s">
        <v>220</v>
      </c>
      <c r="G54" s="43" t="s">
        <v>612</v>
      </c>
      <c r="H54" s="104">
        <v>42081</v>
      </c>
      <c r="I54" s="43" t="s">
        <v>613</v>
      </c>
    </row>
    <row r="55" spans="1:9" x14ac:dyDescent="0.15">
      <c r="A55" s="113">
        <v>31</v>
      </c>
      <c r="B55" s="114">
        <v>146</v>
      </c>
      <c r="C55" s="115" t="s">
        <v>225</v>
      </c>
      <c r="D55" s="116" t="s">
        <v>220</v>
      </c>
      <c r="G55" s="43" t="s">
        <v>612</v>
      </c>
      <c r="H55" s="104">
        <v>42081</v>
      </c>
      <c r="I55" s="43" t="s">
        <v>614</v>
      </c>
    </row>
    <row r="56" spans="1:9" x14ac:dyDescent="0.15">
      <c r="A56" s="113">
        <v>32</v>
      </c>
      <c r="B56" s="114">
        <v>147</v>
      </c>
      <c r="C56" s="115" t="s">
        <v>225</v>
      </c>
      <c r="D56" s="116" t="s">
        <v>220</v>
      </c>
      <c r="G56" s="105" t="s">
        <v>617</v>
      </c>
      <c r="H56" s="104">
        <v>42089</v>
      </c>
      <c r="I56" s="105" t="s">
        <v>618</v>
      </c>
    </row>
    <row r="57" spans="1:9" x14ac:dyDescent="0.15">
      <c r="A57" s="113">
        <v>33</v>
      </c>
      <c r="B57" s="114">
        <v>228</v>
      </c>
      <c r="C57" s="115" t="s">
        <v>225</v>
      </c>
      <c r="D57" s="116" t="s">
        <v>460</v>
      </c>
      <c r="G57" s="105" t="s">
        <v>599</v>
      </c>
      <c r="H57" s="104">
        <v>42166</v>
      </c>
      <c r="I57" s="105" t="s">
        <v>598</v>
      </c>
    </row>
    <row r="58" spans="1:9" x14ac:dyDescent="0.15">
      <c r="A58" s="113">
        <v>34</v>
      </c>
      <c r="B58" s="114">
        <v>149</v>
      </c>
      <c r="C58" s="115" t="s">
        <v>225</v>
      </c>
      <c r="D58" s="116" t="s">
        <v>460</v>
      </c>
      <c r="G58" s="105" t="s">
        <v>603</v>
      </c>
      <c r="H58" s="104">
        <v>42166</v>
      </c>
      <c r="I58" s="105" t="s">
        <v>598</v>
      </c>
    </row>
    <row r="59" spans="1:9" x14ac:dyDescent="0.15">
      <c r="A59" s="113">
        <v>35</v>
      </c>
      <c r="B59" s="114">
        <v>150</v>
      </c>
      <c r="C59" s="115" t="s">
        <v>225</v>
      </c>
      <c r="D59" s="116" t="s">
        <v>220</v>
      </c>
      <c r="G59" s="105" t="s">
        <v>643</v>
      </c>
      <c r="H59" s="104">
        <v>42166</v>
      </c>
      <c r="I59" s="105" t="s">
        <v>272</v>
      </c>
    </row>
    <row r="60" spans="1:9" x14ac:dyDescent="0.15">
      <c r="A60" s="113">
        <v>36</v>
      </c>
      <c r="B60" s="114">
        <v>151</v>
      </c>
      <c r="C60" s="115" t="s">
        <v>225</v>
      </c>
      <c r="D60" s="116" t="s">
        <v>459</v>
      </c>
      <c r="G60" s="105" t="s">
        <v>644</v>
      </c>
      <c r="H60" s="104">
        <v>42166</v>
      </c>
      <c r="I60" s="105" t="s">
        <v>258</v>
      </c>
    </row>
    <row r="61" spans="1:9" x14ac:dyDescent="0.15">
      <c r="A61" s="113">
        <v>37</v>
      </c>
      <c r="B61" s="114">
        <v>153</v>
      </c>
      <c r="C61" s="115" t="s">
        <v>225</v>
      </c>
      <c r="D61" s="116" t="s">
        <v>459</v>
      </c>
      <c r="G61" s="105" t="s">
        <v>645</v>
      </c>
      <c r="H61" s="104">
        <v>42166</v>
      </c>
      <c r="I61" s="105" t="s">
        <v>356</v>
      </c>
    </row>
    <row r="62" spans="1:9" x14ac:dyDescent="0.15">
      <c r="A62" s="113">
        <v>38</v>
      </c>
      <c r="B62" s="114">
        <v>154</v>
      </c>
      <c r="C62" s="115" t="s">
        <v>225</v>
      </c>
      <c r="D62" s="116" t="s">
        <v>220</v>
      </c>
      <c r="G62" s="105" t="s">
        <v>646</v>
      </c>
      <c r="H62" s="104">
        <v>42166</v>
      </c>
      <c r="I62" s="105" t="s">
        <v>355</v>
      </c>
    </row>
    <row r="63" spans="1:9" x14ac:dyDescent="0.15">
      <c r="A63" s="113">
        <v>39</v>
      </c>
      <c r="B63" s="114">
        <v>155</v>
      </c>
      <c r="C63" s="115" t="s">
        <v>225</v>
      </c>
      <c r="D63" s="116" t="s">
        <v>220</v>
      </c>
      <c r="G63" s="105" t="s">
        <v>647</v>
      </c>
      <c r="H63" s="104">
        <v>42166</v>
      </c>
      <c r="I63" s="105" t="s">
        <v>648</v>
      </c>
    </row>
    <row r="64" spans="1:9" x14ac:dyDescent="0.15">
      <c r="A64" s="113">
        <v>40</v>
      </c>
      <c r="B64" s="114">
        <v>157</v>
      </c>
      <c r="C64" s="115" t="s">
        <v>224</v>
      </c>
      <c r="D64" s="116" t="s">
        <v>459</v>
      </c>
      <c r="G64" s="105" t="s">
        <v>649</v>
      </c>
      <c r="H64" s="104">
        <v>42166</v>
      </c>
      <c r="I64" s="105" t="s">
        <v>650</v>
      </c>
    </row>
    <row r="65" spans="1:9" x14ac:dyDescent="0.15">
      <c r="A65" s="113">
        <v>41</v>
      </c>
      <c r="B65" s="114">
        <v>171</v>
      </c>
      <c r="C65" s="115" t="s">
        <v>226</v>
      </c>
      <c r="D65" s="116" t="s">
        <v>459</v>
      </c>
      <c r="G65" s="105" t="s">
        <v>651</v>
      </c>
      <c r="H65" s="104">
        <v>42166</v>
      </c>
      <c r="I65" s="105" t="s">
        <v>652</v>
      </c>
    </row>
    <row r="66" spans="1:9" x14ac:dyDescent="0.15">
      <c r="A66" s="113">
        <v>42</v>
      </c>
      <c r="B66" s="114">
        <v>173</v>
      </c>
      <c r="C66" s="115" t="s">
        <v>227</v>
      </c>
      <c r="D66" s="116" t="s">
        <v>459</v>
      </c>
      <c r="G66" s="105" t="s">
        <v>653</v>
      </c>
      <c r="H66" s="104">
        <v>42166</v>
      </c>
      <c r="I66" s="105" t="s">
        <v>654</v>
      </c>
    </row>
    <row r="67" spans="1:9" x14ac:dyDescent="0.15">
      <c r="A67" s="113">
        <v>43</v>
      </c>
      <c r="B67" s="114">
        <v>174</v>
      </c>
      <c r="C67" s="115" t="s">
        <v>227</v>
      </c>
      <c r="D67" s="116" t="s">
        <v>459</v>
      </c>
      <c r="G67" s="105" t="s">
        <v>655</v>
      </c>
      <c r="H67" s="104">
        <v>42166</v>
      </c>
      <c r="I67" s="105" t="s">
        <v>656</v>
      </c>
    </row>
    <row r="68" spans="1:9" x14ac:dyDescent="0.15">
      <c r="A68" s="113">
        <v>44</v>
      </c>
      <c r="B68" s="114">
        <v>185</v>
      </c>
      <c r="C68" s="115" t="s">
        <v>226</v>
      </c>
      <c r="D68" s="116" t="s">
        <v>459</v>
      </c>
      <c r="G68" s="105" t="s">
        <v>657</v>
      </c>
      <c r="H68" s="104">
        <v>42166</v>
      </c>
      <c r="I68" s="105" t="s">
        <v>658</v>
      </c>
    </row>
    <row r="69" spans="1:9" x14ac:dyDescent="0.15">
      <c r="A69" s="113">
        <v>45</v>
      </c>
      <c r="B69" s="114">
        <v>19</v>
      </c>
      <c r="C69" s="115" t="s">
        <v>228</v>
      </c>
      <c r="D69" s="116" t="s">
        <v>220</v>
      </c>
      <c r="G69" s="105" t="s">
        <v>659</v>
      </c>
      <c r="H69" s="104">
        <v>42166</v>
      </c>
      <c r="I69" s="105" t="s">
        <v>660</v>
      </c>
    </row>
    <row r="70" spans="1:9" x14ac:dyDescent="0.15">
      <c r="A70" s="113">
        <v>46</v>
      </c>
      <c r="B70" s="114">
        <v>78</v>
      </c>
      <c r="C70" s="115" t="s">
        <v>229</v>
      </c>
      <c r="D70" s="116" t="s">
        <v>220</v>
      </c>
      <c r="G70" s="105" t="s">
        <v>661</v>
      </c>
      <c r="H70" s="104">
        <v>42166</v>
      </c>
      <c r="I70" s="105" t="s">
        <v>662</v>
      </c>
    </row>
    <row r="71" spans="1:9" x14ac:dyDescent="0.15">
      <c r="A71" s="113">
        <v>47</v>
      </c>
      <c r="B71" s="114">
        <v>15</v>
      </c>
      <c r="C71" s="115" t="s">
        <v>230</v>
      </c>
      <c r="D71" s="116" t="s">
        <v>220</v>
      </c>
      <c r="G71" s="105" t="s">
        <v>661</v>
      </c>
      <c r="H71" s="104">
        <v>42166</v>
      </c>
      <c r="I71" s="105" t="s">
        <v>663</v>
      </c>
    </row>
    <row r="72" spans="1:9" x14ac:dyDescent="0.15">
      <c r="A72" s="113">
        <v>48</v>
      </c>
      <c r="B72" s="114">
        <v>79</v>
      </c>
      <c r="C72" s="115" t="s">
        <v>231</v>
      </c>
      <c r="D72" s="116" t="s">
        <v>458</v>
      </c>
      <c r="G72" s="105" t="s">
        <v>664</v>
      </c>
      <c r="H72" s="104">
        <v>42166</v>
      </c>
      <c r="I72" s="105" t="s">
        <v>665</v>
      </c>
    </row>
    <row r="73" spans="1:9" x14ac:dyDescent="0.15">
      <c r="A73" s="113">
        <v>49</v>
      </c>
      <c r="B73" s="114">
        <v>128</v>
      </c>
      <c r="C73" s="115" t="s">
        <v>224</v>
      </c>
      <c r="D73" s="116" t="s">
        <v>220</v>
      </c>
      <c r="G73" s="105" t="s">
        <v>664</v>
      </c>
      <c r="H73" s="104">
        <v>42166</v>
      </c>
      <c r="I73" s="105" t="s">
        <v>666</v>
      </c>
    </row>
    <row r="74" spans="1:9" x14ac:dyDescent="0.15">
      <c r="A74" s="113">
        <v>50</v>
      </c>
      <c r="B74" s="114">
        <v>14</v>
      </c>
      <c r="C74" s="115" t="s">
        <v>232</v>
      </c>
      <c r="D74" s="116" t="s">
        <v>220</v>
      </c>
      <c r="G74" s="105" t="s">
        <v>667</v>
      </c>
      <c r="H74" s="104">
        <v>42166</v>
      </c>
      <c r="I74" s="105" t="s">
        <v>668</v>
      </c>
    </row>
    <row r="75" spans="1:9" x14ac:dyDescent="0.15">
      <c r="A75" s="113">
        <v>51</v>
      </c>
      <c r="B75" s="114">
        <v>112</v>
      </c>
      <c r="C75" s="115" t="s">
        <v>233</v>
      </c>
      <c r="D75" s="116">
        <v>1</v>
      </c>
      <c r="G75" s="105" t="s">
        <v>669</v>
      </c>
      <c r="H75" s="104">
        <v>42166</v>
      </c>
      <c r="I75" s="105" t="s">
        <v>670</v>
      </c>
    </row>
    <row r="76" spans="1:9" x14ac:dyDescent="0.15">
      <c r="A76" s="113">
        <v>51</v>
      </c>
      <c r="B76" s="114">
        <v>120</v>
      </c>
      <c r="C76" s="115" t="s">
        <v>233</v>
      </c>
      <c r="D76" s="116">
        <v>2</v>
      </c>
      <c r="G76" s="105" t="s">
        <v>671</v>
      </c>
      <c r="H76" s="104">
        <v>42166</v>
      </c>
      <c r="I76" s="105" t="s">
        <v>672</v>
      </c>
    </row>
    <row r="77" spans="1:9" x14ac:dyDescent="0.15">
      <c r="A77" s="113">
        <v>52</v>
      </c>
      <c r="B77" s="114">
        <v>114</v>
      </c>
      <c r="C77" s="115" t="s">
        <v>234</v>
      </c>
      <c r="D77" s="116" t="s">
        <v>458</v>
      </c>
      <c r="G77" s="105" t="s">
        <v>673</v>
      </c>
      <c r="H77" s="104">
        <v>42166</v>
      </c>
      <c r="I77" s="105" t="s">
        <v>674</v>
      </c>
    </row>
    <row r="78" spans="1:9" x14ac:dyDescent="0.15">
      <c r="A78" s="113">
        <v>53</v>
      </c>
      <c r="B78" s="114">
        <v>115</v>
      </c>
      <c r="C78" s="115" t="s">
        <v>234</v>
      </c>
      <c r="D78" s="116" t="s">
        <v>458</v>
      </c>
      <c r="G78" s="105" t="s">
        <v>675</v>
      </c>
      <c r="H78" s="104">
        <v>42166</v>
      </c>
      <c r="I78" s="105" t="s">
        <v>676</v>
      </c>
    </row>
    <row r="79" spans="1:9" x14ac:dyDescent="0.15">
      <c r="A79" s="113">
        <v>55</v>
      </c>
      <c r="B79" s="114">
        <v>117</v>
      </c>
      <c r="C79" s="115" t="s">
        <v>234</v>
      </c>
      <c r="D79" s="116" t="s">
        <v>458</v>
      </c>
      <c r="G79" s="105" t="s">
        <v>677</v>
      </c>
      <c r="H79" s="104">
        <v>42166</v>
      </c>
      <c r="I79" s="105" t="s">
        <v>678</v>
      </c>
    </row>
    <row r="80" spans="1:9" x14ac:dyDescent="0.15">
      <c r="A80" s="113">
        <v>56</v>
      </c>
      <c r="B80" s="114">
        <v>118</v>
      </c>
      <c r="C80" s="115" t="s">
        <v>234</v>
      </c>
      <c r="D80" s="116" t="s">
        <v>458</v>
      </c>
      <c r="G80" s="105" t="s">
        <v>679</v>
      </c>
      <c r="H80" s="104">
        <v>42166</v>
      </c>
      <c r="I80" s="105" t="s">
        <v>680</v>
      </c>
    </row>
    <row r="81" spans="1:9" x14ac:dyDescent="0.15">
      <c r="A81" s="113">
        <v>57</v>
      </c>
      <c r="B81" s="114">
        <v>119</v>
      </c>
      <c r="C81" s="115" t="s">
        <v>234</v>
      </c>
      <c r="D81" s="116" t="s">
        <v>220</v>
      </c>
      <c r="G81" s="105" t="s">
        <v>681</v>
      </c>
      <c r="H81" s="104">
        <v>42166</v>
      </c>
      <c r="I81" s="105" t="s">
        <v>682</v>
      </c>
    </row>
    <row r="82" spans="1:9" x14ac:dyDescent="0.15">
      <c r="A82" s="113">
        <v>58</v>
      </c>
      <c r="B82" s="114">
        <v>21</v>
      </c>
      <c r="C82" s="115" t="s">
        <v>272</v>
      </c>
      <c r="D82" s="116">
        <v>1</v>
      </c>
      <c r="G82" s="105" t="s">
        <v>681</v>
      </c>
      <c r="H82" s="104">
        <v>42166</v>
      </c>
      <c r="I82" s="105" t="s">
        <v>683</v>
      </c>
    </row>
    <row r="83" spans="1:9" x14ac:dyDescent="0.15">
      <c r="A83" s="113">
        <v>58</v>
      </c>
      <c r="B83" s="114">
        <v>175</v>
      </c>
      <c r="C83" s="115" t="s">
        <v>272</v>
      </c>
      <c r="D83" s="116">
        <v>1</v>
      </c>
      <c r="G83" s="105" t="s">
        <v>684</v>
      </c>
      <c r="H83" s="104">
        <v>42166</v>
      </c>
      <c r="I83" s="105" t="s">
        <v>685</v>
      </c>
    </row>
    <row r="84" spans="1:9" x14ac:dyDescent="0.15">
      <c r="A84" s="113">
        <v>59</v>
      </c>
      <c r="B84" s="114">
        <v>121</v>
      </c>
      <c r="C84" s="115" t="s">
        <v>234</v>
      </c>
      <c r="D84" s="116" t="s">
        <v>458</v>
      </c>
    </row>
    <row r="85" spans="1:9" x14ac:dyDescent="0.15">
      <c r="A85" s="113">
        <v>60</v>
      </c>
      <c r="B85" s="114">
        <v>122</v>
      </c>
      <c r="C85" s="115" t="s">
        <v>234</v>
      </c>
      <c r="D85" s="116" t="s">
        <v>220</v>
      </c>
    </row>
    <row r="86" spans="1:9" x14ac:dyDescent="0.15">
      <c r="A86" s="113">
        <v>62</v>
      </c>
      <c r="B86" s="114">
        <v>1119</v>
      </c>
      <c r="C86" s="115" t="s">
        <v>235</v>
      </c>
      <c r="D86" s="116" t="s">
        <v>461</v>
      </c>
    </row>
    <row r="87" spans="1:9" x14ac:dyDescent="0.15">
      <c r="A87" s="113">
        <v>63</v>
      </c>
      <c r="B87" s="114">
        <v>172</v>
      </c>
      <c r="C87" s="115" t="s">
        <v>227</v>
      </c>
      <c r="D87" s="116" t="s">
        <v>458</v>
      </c>
    </row>
    <row r="88" spans="1:9" x14ac:dyDescent="0.15">
      <c r="A88" s="113">
        <v>64</v>
      </c>
      <c r="B88" s="114">
        <v>1105</v>
      </c>
      <c r="C88" s="115" t="s">
        <v>234</v>
      </c>
      <c r="D88" s="116" t="s">
        <v>220</v>
      </c>
    </row>
    <row r="89" spans="1:9" x14ac:dyDescent="0.15">
      <c r="A89" s="113">
        <v>65</v>
      </c>
      <c r="B89" s="114">
        <v>10</v>
      </c>
      <c r="C89" s="115" t="s">
        <v>236</v>
      </c>
      <c r="D89" s="116" t="s">
        <v>220</v>
      </c>
    </row>
    <row r="90" spans="1:9" x14ac:dyDescent="0.15">
      <c r="A90" s="113">
        <v>66</v>
      </c>
      <c r="B90" s="114">
        <v>1106</v>
      </c>
      <c r="C90" s="115" t="s">
        <v>236</v>
      </c>
      <c r="D90" s="116" t="s">
        <v>220</v>
      </c>
    </row>
    <row r="91" spans="1:9" x14ac:dyDescent="0.15">
      <c r="A91" s="113">
        <v>67</v>
      </c>
      <c r="B91" s="114">
        <v>102</v>
      </c>
      <c r="C91" s="115" t="s">
        <v>237</v>
      </c>
      <c r="D91" s="116" t="s">
        <v>459</v>
      </c>
    </row>
    <row r="92" spans="1:9" x14ac:dyDescent="0.15">
      <c r="A92" s="113">
        <v>71</v>
      </c>
      <c r="B92" s="114">
        <v>109</v>
      </c>
      <c r="C92" s="115" t="s">
        <v>237</v>
      </c>
      <c r="D92" s="116" t="s">
        <v>220</v>
      </c>
    </row>
    <row r="93" spans="1:9" x14ac:dyDescent="0.15">
      <c r="A93" s="113">
        <v>72</v>
      </c>
      <c r="B93" s="114">
        <v>111</v>
      </c>
      <c r="C93" s="115" t="s">
        <v>237</v>
      </c>
      <c r="D93" s="116" t="s">
        <v>220</v>
      </c>
    </row>
    <row r="94" spans="1:9" x14ac:dyDescent="0.15">
      <c r="A94" s="113">
        <v>73</v>
      </c>
      <c r="B94" s="114">
        <v>156</v>
      </c>
      <c r="C94" s="115" t="s">
        <v>237</v>
      </c>
      <c r="D94" s="116" t="s">
        <v>459</v>
      </c>
    </row>
    <row r="95" spans="1:9" x14ac:dyDescent="0.15">
      <c r="A95" s="113">
        <v>74</v>
      </c>
      <c r="B95" s="114">
        <v>17</v>
      </c>
      <c r="C95" s="115" t="s">
        <v>238</v>
      </c>
      <c r="D95" s="116" t="s">
        <v>220</v>
      </c>
    </row>
    <row r="96" spans="1:9" x14ac:dyDescent="0.15">
      <c r="A96" s="113">
        <v>75</v>
      </c>
      <c r="B96" s="114">
        <v>62</v>
      </c>
      <c r="C96" s="115" t="s">
        <v>239</v>
      </c>
      <c r="D96" s="116" t="s">
        <v>220</v>
      </c>
    </row>
    <row r="97" spans="1:4" x14ac:dyDescent="0.15">
      <c r="A97" s="113">
        <v>76</v>
      </c>
      <c r="B97" s="114">
        <v>63</v>
      </c>
      <c r="C97" s="115" t="s">
        <v>239</v>
      </c>
      <c r="D97" s="116" t="s">
        <v>220</v>
      </c>
    </row>
    <row r="98" spans="1:4" x14ac:dyDescent="0.15">
      <c r="A98" s="113">
        <v>77</v>
      </c>
      <c r="B98" s="114">
        <v>134</v>
      </c>
      <c r="C98" s="115" t="s">
        <v>239</v>
      </c>
      <c r="D98" s="116" t="s">
        <v>220</v>
      </c>
    </row>
    <row r="99" spans="1:4" x14ac:dyDescent="0.15">
      <c r="A99" s="113">
        <v>78</v>
      </c>
      <c r="B99" s="114">
        <v>13</v>
      </c>
      <c r="C99" s="115" t="s">
        <v>240</v>
      </c>
      <c r="D99" s="116" t="s">
        <v>220</v>
      </c>
    </row>
    <row r="100" spans="1:4" x14ac:dyDescent="0.15">
      <c r="A100" s="113">
        <v>79</v>
      </c>
      <c r="B100" s="114">
        <v>97</v>
      </c>
      <c r="C100" s="115" t="s">
        <v>241</v>
      </c>
      <c r="D100" s="116">
        <v>2</v>
      </c>
    </row>
    <row r="101" spans="1:4" x14ac:dyDescent="0.15">
      <c r="A101" s="113">
        <v>79</v>
      </c>
      <c r="B101" s="114">
        <v>164</v>
      </c>
      <c r="C101" s="115" t="s">
        <v>241</v>
      </c>
      <c r="D101" s="116">
        <v>1</v>
      </c>
    </row>
    <row r="102" spans="1:4" x14ac:dyDescent="0.15">
      <c r="A102" s="113">
        <v>80</v>
      </c>
      <c r="B102" s="114">
        <v>96</v>
      </c>
      <c r="C102" s="115" t="s">
        <v>242</v>
      </c>
      <c r="D102" s="116" t="s">
        <v>220</v>
      </c>
    </row>
    <row r="103" spans="1:4" x14ac:dyDescent="0.15">
      <c r="A103" s="113">
        <v>81</v>
      </c>
      <c r="B103" s="114">
        <v>60</v>
      </c>
      <c r="C103" s="115" t="s">
        <v>243</v>
      </c>
      <c r="D103" s="116" t="s">
        <v>220</v>
      </c>
    </row>
    <row r="104" spans="1:4" x14ac:dyDescent="0.15">
      <c r="A104" s="113">
        <v>82</v>
      </c>
      <c r="B104" s="114">
        <v>83</v>
      </c>
      <c r="C104" s="115" t="s">
        <v>244</v>
      </c>
      <c r="D104" s="116" t="s">
        <v>220</v>
      </c>
    </row>
    <row r="105" spans="1:4" x14ac:dyDescent="0.15">
      <c r="A105" s="113">
        <v>83</v>
      </c>
      <c r="B105" s="114">
        <v>84</v>
      </c>
      <c r="C105" s="115" t="s">
        <v>244</v>
      </c>
      <c r="D105" s="116" t="s">
        <v>220</v>
      </c>
    </row>
    <row r="106" spans="1:4" x14ac:dyDescent="0.15">
      <c r="A106" s="113">
        <v>84</v>
      </c>
      <c r="B106" s="114">
        <v>85</v>
      </c>
      <c r="C106" s="115" t="s">
        <v>244</v>
      </c>
      <c r="D106" s="116" t="s">
        <v>220</v>
      </c>
    </row>
    <row r="107" spans="1:4" x14ac:dyDescent="0.15">
      <c r="A107" s="113">
        <v>85</v>
      </c>
      <c r="B107" s="114">
        <v>86</v>
      </c>
      <c r="C107" s="115" t="s">
        <v>244</v>
      </c>
      <c r="D107" s="116" t="s">
        <v>220</v>
      </c>
    </row>
    <row r="108" spans="1:4" x14ac:dyDescent="0.15">
      <c r="A108" s="113">
        <v>86</v>
      </c>
      <c r="B108" s="114">
        <v>1107</v>
      </c>
      <c r="C108" s="115" t="s">
        <v>244</v>
      </c>
      <c r="D108" s="116" t="s">
        <v>220</v>
      </c>
    </row>
    <row r="109" spans="1:4" x14ac:dyDescent="0.15">
      <c r="A109" s="113">
        <v>87</v>
      </c>
      <c r="B109" s="114">
        <v>1109</v>
      </c>
      <c r="C109" s="115" t="s">
        <v>244</v>
      </c>
      <c r="D109" s="116" t="s">
        <v>220</v>
      </c>
    </row>
    <row r="110" spans="1:4" x14ac:dyDescent="0.15">
      <c r="A110" s="113">
        <v>88</v>
      </c>
      <c r="B110" s="114">
        <v>1113</v>
      </c>
      <c r="C110" s="115" t="s">
        <v>244</v>
      </c>
      <c r="D110" s="116" t="s">
        <v>220</v>
      </c>
    </row>
    <row r="111" spans="1:4" x14ac:dyDescent="0.15">
      <c r="A111" s="113">
        <v>91</v>
      </c>
      <c r="B111" s="114">
        <v>3</v>
      </c>
      <c r="C111" s="115" t="s">
        <v>245</v>
      </c>
      <c r="D111" s="116" t="s">
        <v>220</v>
      </c>
    </row>
    <row r="112" spans="1:4" x14ac:dyDescent="0.15">
      <c r="A112" s="113">
        <v>92</v>
      </c>
      <c r="B112" s="114">
        <v>4</v>
      </c>
      <c r="C112" s="115" t="s">
        <v>245</v>
      </c>
      <c r="D112" s="116" t="s">
        <v>220</v>
      </c>
    </row>
    <row r="113" spans="1:4" x14ac:dyDescent="0.15">
      <c r="A113" s="113">
        <v>93</v>
      </c>
      <c r="B113" s="114">
        <v>30</v>
      </c>
      <c r="C113" s="115" t="s">
        <v>246</v>
      </c>
      <c r="D113" s="116">
        <v>1</v>
      </c>
    </row>
    <row r="114" spans="1:4" x14ac:dyDescent="0.15">
      <c r="A114" s="113">
        <v>93</v>
      </c>
      <c r="B114" s="114">
        <v>214</v>
      </c>
      <c r="C114" s="115" t="s">
        <v>246</v>
      </c>
      <c r="D114" s="116">
        <v>2</v>
      </c>
    </row>
    <row r="115" spans="1:4" x14ac:dyDescent="0.15">
      <c r="A115" s="113">
        <v>94</v>
      </c>
      <c r="B115" s="114">
        <v>1108</v>
      </c>
      <c r="C115" s="115" t="s">
        <v>245</v>
      </c>
      <c r="D115" s="116" t="s">
        <v>220</v>
      </c>
    </row>
    <row r="116" spans="1:4" x14ac:dyDescent="0.15">
      <c r="A116" s="113">
        <v>95</v>
      </c>
      <c r="B116" s="114">
        <v>1110</v>
      </c>
      <c r="C116" s="115" t="s">
        <v>245</v>
      </c>
      <c r="D116" s="116" t="s">
        <v>220</v>
      </c>
    </row>
    <row r="117" spans="1:4" x14ac:dyDescent="0.15">
      <c r="A117" s="113">
        <v>96</v>
      </c>
      <c r="B117" s="114">
        <v>1114</v>
      </c>
      <c r="C117" s="115" t="s">
        <v>245</v>
      </c>
      <c r="D117" s="116" t="s">
        <v>220</v>
      </c>
    </row>
    <row r="118" spans="1:4" x14ac:dyDescent="0.15">
      <c r="A118" s="113">
        <v>97</v>
      </c>
      <c r="B118" s="114">
        <v>54</v>
      </c>
      <c r="C118" s="115" t="s">
        <v>247</v>
      </c>
      <c r="D118" s="116" t="s">
        <v>220</v>
      </c>
    </row>
    <row r="119" spans="1:4" x14ac:dyDescent="0.15">
      <c r="A119" s="113">
        <v>98</v>
      </c>
      <c r="B119" s="114">
        <v>12</v>
      </c>
      <c r="C119" s="115" t="s">
        <v>248</v>
      </c>
      <c r="D119" s="116" t="s">
        <v>220</v>
      </c>
    </row>
    <row r="120" spans="1:4" x14ac:dyDescent="0.15">
      <c r="A120" s="113">
        <v>99</v>
      </c>
      <c r="B120" s="114">
        <v>75</v>
      </c>
      <c r="C120" s="115" t="s">
        <v>249</v>
      </c>
      <c r="D120" s="116" t="s">
        <v>458</v>
      </c>
    </row>
    <row r="121" spans="1:4" x14ac:dyDescent="0.15">
      <c r="A121" s="113">
        <v>100</v>
      </c>
      <c r="B121" s="114">
        <v>76</v>
      </c>
      <c r="C121" s="115" t="s">
        <v>249</v>
      </c>
      <c r="D121" s="116" t="s">
        <v>458</v>
      </c>
    </row>
    <row r="122" spans="1:4" x14ac:dyDescent="0.15">
      <c r="A122" s="113">
        <v>101</v>
      </c>
      <c r="B122" s="114">
        <v>7</v>
      </c>
      <c r="C122" s="115" t="s">
        <v>250</v>
      </c>
      <c r="D122" s="116" t="s">
        <v>220</v>
      </c>
    </row>
    <row r="123" spans="1:4" x14ac:dyDescent="0.15">
      <c r="A123" s="113">
        <v>102</v>
      </c>
      <c r="B123" s="114">
        <v>8</v>
      </c>
      <c r="C123" s="115" t="s">
        <v>250</v>
      </c>
      <c r="D123" s="116" t="s">
        <v>220</v>
      </c>
    </row>
    <row r="124" spans="1:4" x14ac:dyDescent="0.15">
      <c r="A124" s="113">
        <v>103</v>
      </c>
      <c r="B124" s="114">
        <v>9</v>
      </c>
      <c r="C124" s="115" t="s">
        <v>250</v>
      </c>
      <c r="D124" s="116" t="s">
        <v>220</v>
      </c>
    </row>
    <row r="125" spans="1:4" x14ac:dyDescent="0.15">
      <c r="A125" s="113">
        <v>104</v>
      </c>
      <c r="B125" s="114">
        <v>61</v>
      </c>
      <c r="C125" s="115" t="s">
        <v>251</v>
      </c>
      <c r="D125" s="116" t="s">
        <v>459</v>
      </c>
    </row>
    <row r="126" spans="1:4" x14ac:dyDescent="0.15">
      <c r="A126" s="113">
        <v>105</v>
      </c>
      <c r="B126" s="114">
        <v>65</v>
      </c>
      <c r="C126" s="115" t="s">
        <v>251</v>
      </c>
      <c r="D126" s="116" t="s">
        <v>220</v>
      </c>
    </row>
    <row r="127" spans="1:4" x14ac:dyDescent="0.15">
      <c r="A127" s="113">
        <v>106</v>
      </c>
      <c r="B127" s="114">
        <v>66</v>
      </c>
      <c r="C127" s="115" t="s">
        <v>251</v>
      </c>
      <c r="D127" s="116" t="s">
        <v>459</v>
      </c>
    </row>
    <row r="128" spans="1:4" x14ac:dyDescent="0.15">
      <c r="A128" s="113">
        <v>107</v>
      </c>
      <c r="B128" s="114">
        <v>67</v>
      </c>
      <c r="C128" s="115" t="s">
        <v>251</v>
      </c>
      <c r="D128" s="116" t="s">
        <v>459</v>
      </c>
    </row>
    <row r="129" spans="1:4" x14ac:dyDescent="0.15">
      <c r="A129" s="113">
        <v>108</v>
      </c>
      <c r="B129" s="114">
        <v>68</v>
      </c>
      <c r="C129" s="115" t="s">
        <v>251</v>
      </c>
      <c r="D129" s="116" t="s">
        <v>459</v>
      </c>
    </row>
    <row r="130" spans="1:4" x14ac:dyDescent="0.15">
      <c r="A130" s="113">
        <v>109</v>
      </c>
      <c r="B130" s="114">
        <v>69</v>
      </c>
      <c r="C130" s="115" t="s">
        <v>251</v>
      </c>
      <c r="D130" s="116" t="s">
        <v>220</v>
      </c>
    </row>
    <row r="131" spans="1:4" x14ac:dyDescent="0.15">
      <c r="A131" s="113">
        <v>110</v>
      </c>
      <c r="B131" s="114">
        <v>1348</v>
      </c>
      <c r="C131" s="115" t="s">
        <v>251</v>
      </c>
      <c r="D131" s="116" t="s">
        <v>220</v>
      </c>
    </row>
    <row r="132" spans="1:4" x14ac:dyDescent="0.15">
      <c r="A132" s="113">
        <v>111</v>
      </c>
      <c r="B132" s="114">
        <v>91</v>
      </c>
      <c r="C132" s="115" t="s">
        <v>252</v>
      </c>
      <c r="D132" s="116" t="s">
        <v>220</v>
      </c>
    </row>
    <row r="133" spans="1:4" x14ac:dyDescent="0.15">
      <c r="A133" s="113">
        <v>112</v>
      </c>
      <c r="B133" s="114">
        <v>22</v>
      </c>
      <c r="C133" s="115" t="s">
        <v>253</v>
      </c>
      <c r="D133" s="116" t="s">
        <v>458</v>
      </c>
    </row>
    <row r="134" spans="1:4" x14ac:dyDescent="0.15">
      <c r="A134" s="113">
        <v>113</v>
      </c>
      <c r="B134" s="114">
        <v>23</v>
      </c>
      <c r="C134" s="115" t="s">
        <v>253</v>
      </c>
      <c r="D134" s="116" t="s">
        <v>458</v>
      </c>
    </row>
    <row r="135" spans="1:4" x14ac:dyDescent="0.15">
      <c r="A135" s="113">
        <v>115</v>
      </c>
      <c r="B135" s="114">
        <v>25</v>
      </c>
      <c r="C135" s="115" t="s">
        <v>253</v>
      </c>
      <c r="D135" s="116" t="s">
        <v>220</v>
      </c>
    </row>
    <row r="136" spans="1:4" x14ac:dyDescent="0.15">
      <c r="A136" s="113">
        <v>116</v>
      </c>
      <c r="B136" s="114">
        <v>26</v>
      </c>
      <c r="C136" s="115" t="s">
        <v>253</v>
      </c>
      <c r="D136" s="116" t="s">
        <v>220</v>
      </c>
    </row>
    <row r="137" spans="1:4" x14ac:dyDescent="0.15">
      <c r="A137" s="113">
        <v>117</v>
      </c>
      <c r="B137" s="114">
        <v>1349</v>
      </c>
      <c r="C137" s="115" t="s">
        <v>253</v>
      </c>
      <c r="D137" s="116" t="s">
        <v>220</v>
      </c>
    </row>
    <row r="138" spans="1:4" x14ac:dyDescent="0.15">
      <c r="A138" s="113">
        <v>118</v>
      </c>
      <c r="B138" s="114">
        <v>6</v>
      </c>
      <c r="C138" s="115" t="s">
        <v>254</v>
      </c>
      <c r="D138" s="116" t="s">
        <v>220</v>
      </c>
    </row>
    <row r="139" spans="1:4" x14ac:dyDescent="0.15">
      <c r="A139" s="113">
        <v>119</v>
      </c>
      <c r="B139" s="114">
        <v>1350</v>
      </c>
      <c r="C139" s="115" t="s">
        <v>254</v>
      </c>
      <c r="D139" s="116" t="s">
        <v>220</v>
      </c>
    </row>
    <row r="140" spans="1:4" x14ac:dyDescent="0.15">
      <c r="A140" s="113">
        <v>120</v>
      </c>
      <c r="B140" s="114">
        <v>11</v>
      </c>
      <c r="C140" s="115" t="s">
        <v>227</v>
      </c>
      <c r="D140" s="116" t="s">
        <v>220</v>
      </c>
    </row>
    <row r="141" spans="1:4" x14ac:dyDescent="0.15">
      <c r="A141" s="113">
        <v>121</v>
      </c>
      <c r="B141" s="114">
        <v>26</v>
      </c>
      <c r="C141" s="115" t="s">
        <v>255</v>
      </c>
      <c r="D141" s="116">
        <v>2</v>
      </c>
    </row>
    <row r="142" spans="1:4" x14ac:dyDescent="0.15">
      <c r="A142" s="113">
        <v>121</v>
      </c>
      <c r="B142" s="114">
        <v>224</v>
      </c>
      <c r="C142" s="115" t="s">
        <v>255</v>
      </c>
      <c r="D142" s="116">
        <v>1</v>
      </c>
    </row>
    <row r="143" spans="1:4" x14ac:dyDescent="0.15">
      <c r="A143" s="113">
        <v>122</v>
      </c>
      <c r="B143" s="114">
        <v>201</v>
      </c>
      <c r="C143" s="115" t="s">
        <v>256</v>
      </c>
      <c r="D143" s="116">
        <v>1</v>
      </c>
    </row>
    <row r="144" spans="1:4" x14ac:dyDescent="0.15">
      <c r="A144" s="113">
        <v>122</v>
      </c>
      <c r="B144" s="114">
        <v>245</v>
      </c>
      <c r="C144" s="115" t="s">
        <v>256</v>
      </c>
      <c r="D144" s="116">
        <v>2</v>
      </c>
    </row>
    <row r="145" spans="1:4" x14ac:dyDescent="0.15">
      <c r="A145" s="113">
        <v>123</v>
      </c>
      <c r="B145" s="114">
        <v>1307</v>
      </c>
      <c r="C145" s="115" t="s">
        <v>257</v>
      </c>
      <c r="D145" s="116">
        <v>1</v>
      </c>
    </row>
    <row r="146" spans="1:4" x14ac:dyDescent="0.15">
      <c r="A146" s="113">
        <v>124</v>
      </c>
      <c r="B146" s="114">
        <v>1319</v>
      </c>
      <c r="C146" s="115" t="s">
        <v>257</v>
      </c>
      <c r="D146" s="116">
        <v>1</v>
      </c>
    </row>
    <row r="147" spans="1:4" x14ac:dyDescent="0.15">
      <c r="A147" s="113">
        <v>125</v>
      </c>
      <c r="B147" s="114">
        <v>1315</v>
      </c>
      <c r="C147" s="115" t="s">
        <v>257</v>
      </c>
      <c r="D147" s="116">
        <v>1</v>
      </c>
    </row>
    <row r="148" spans="1:4" x14ac:dyDescent="0.15">
      <c r="A148" s="113">
        <v>126</v>
      </c>
      <c r="B148" s="114">
        <v>1193</v>
      </c>
      <c r="C148" s="115" t="s">
        <v>258</v>
      </c>
      <c r="D148" s="116">
        <v>1</v>
      </c>
    </row>
    <row r="149" spans="1:4" x14ac:dyDescent="0.15">
      <c r="A149" s="113">
        <v>126</v>
      </c>
      <c r="B149" s="114">
        <v>1194</v>
      </c>
      <c r="C149" s="115" t="s">
        <v>258</v>
      </c>
      <c r="D149" s="116">
        <v>2</v>
      </c>
    </row>
    <row r="150" spans="1:4" x14ac:dyDescent="0.15">
      <c r="A150" s="113">
        <v>127</v>
      </c>
      <c r="B150" s="114">
        <v>80</v>
      </c>
      <c r="C150" s="115" t="s">
        <v>259</v>
      </c>
      <c r="D150" s="116" t="s">
        <v>459</v>
      </c>
    </row>
    <row r="151" spans="1:4" x14ac:dyDescent="0.15">
      <c r="A151" s="113">
        <v>127</v>
      </c>
      <c r="B151" s="114">
        <v>148</v>
      </c>
      <c r="C151" s="115" t="s">
        <v>259</v>
      </c>
      <c r="D151" s="116">
        <v>1</v>
      </c>
    </row>
    <row r="152" spans="1:4" x14ac:dyDescent="0.15">
      <c r="A152" s="113">
        <v>127</v>
      </c>
      <c r="B152" s="114">
        <v>221</v>
      </c>
      <c r="C152" s="115" t="s">
        <v>259</v>
      </c>
      <c r="D152" s="116" t="s">
        <v>461</v>
      </c>
    </row>
    <row r="153" spans="1:4" x14ac:dyDescent="0.15">
      <c r="A153" s="113">
        <v>128</v>
      </c>
      <c r="B153" s="114">
        <v>1120</v>
      </c>
      <c r="C153" s="115" t="s">
        <v>260</v>
      </c>
      <c r="D153" s="116">
        <v>1</v>
      </c>
    </row>
    <row r="154" spans="1:4" x14ac:dyDescent="0.15">
      <c r="A154" s="113">
        <v>128</v>
      </c>
      <c r="B154" s="114">
        <v>1121</v>
      </c>
      <c r="C154" s="115" t="s">
        <v>260</v>
      </c>
      <c r="D154" s="116">
        <v>1</v>
      </c>
    </row>
    <row r="155" spans="1:4" x14ac:dyDescent="0.15">
      <c r="A155" s="113">
        <v>128</v>
      </c>
      <c r="B155" s="114">
        <v>1122</v>
      </c>
      <c r="C155" s="115" t="s">
        <v>260</v>
      </c>
      <c r="D155" s="116">
        <v>2</v>
      </c>
    </row>
    <row r="156" spans="1:4" x14ac:dyDescent="0.15">
      <c r="A156" s="113">
        <v>129</v>
      </c>
      <c r="B156" s="114">
        <v>169</v>
      </c>
      <c r="C156" s="115" t="s">
        <v>259</v>
      </c>
      <c r="D156" s="116">
        <v>1</v>
      </c>
    </row>
    <row r="157" spans="1:4" x14ac:dyDescent="0.15">
      <c r="A157" s="113">
        <v>129</v>
      </c>
      <c r="B157" s="114">
        <v>202</v>
      </c>
      <c r="C157" s="115" t="s">
        <v>259</v>
      </c>
      <c r="D157" s="116">
        <v>1</v>
      </c>
    </row>
    <row r="158" spans="1:4" x14ac:dyDescent="0.15">
      <c r="A158" s="113">
        <v>129</v>
      </c>
      <c r="B158" s="114">
        <v>222</v>
      </c>
      <c r="C158" s="115" t="s">
        <v>259</v>
      </c>
      <c r="D158" s="116">
        <v>2</v>
      </c>
    </row>
    <row r="159" spans="1:4" x14ac:dyDescent="0.15">
      <c r="A159" s="113">
        <v>130</v>
      </c>
      <c r="B159" s="114">
        <v>1308</v>
      </c>
      <c r="C159" s="115" t="s">
        <v>261</v>
      </c>
      <c r="D159" s="116">
        <v>1</v>
      </c>
    </row>
    <row r="160" spans="1:4" x14ac:dyDescent="0.15">
      <c r="A160" s="113">
        <v>130</v>
      </c>
      <c r="B160" s="114">
        <v>1309</v>
      </c>
      <c r="C160" s="115" t="s">
        <v>261</v>
      </c>
      <c r="D160" s="116">
        <v>1</v>
      </c>
    </row>
    <row r="161" spans="1:4" x14ac:dyDescent="0.15">
      <c r="A161" s="113">
        <v>130</v>
      </c>
      <c r="B161" s="114">
        <v>1310</v>
      </c>
      <c r="C161" s="115" t="s">
        <v>261</v>
      </c>
      <c r="D161" s="116">
        <v>2</v>
      </c>
    </row>
    <row r="162" spans="1:4" x14ac:dyDescent="0.15">
      <c r="A162" s="113">
        <v>131</v>
      </c>
      <c r="B162" s="114">
        <v>1311</v>
      </c>
      <c r="C162" s="115" t="s">
        <v>261</v>
      </c>
      <c r="D162" s="116">
        <v>1</v>
      </c>
    </row>
    <row r="163" spans="1:4" x14ac:dyDescent="0.15">
      <c r="A163" s="113">
        <v>131</v>
      </c>
      <c r="B163" s="114">
        <v>1312</v>
      </c>
      <c r="C163" s="115" t="s">
        <v>261</v>
      </c>
      <c r="D163" s="116">
        <v>1</v>
      </c>
    </row>
    <row r="164" spans="1:4" x14ac:dyDescent="0.15">
      <c r="A164" s="113">
        <v>131</v>
      </c>
      <c r="B164" s="114">
        <v>1313</v>
      </c>
      <c r="C164" s="115" t="s">
        <v>261</v>
      </c>
      <c r="D164" s="116">
        <v>2</v>
      </c>
    </row>
    <row r="165" spans="1:4" x14ac:dyDescent="0.15">
      <c r="A165" s="113">
        <v>132</v>
      </c>
      <c r="B165" s="114">
        <v>92</v>
      </c>
      <c r="C165" s="115" t="s">
        <v>262</v>
      </c>
      <c r="D165" s="116" t="s">
        <v>458</v>
      </c>
    </row>
    <row r="166" spans="1:4" x14ac:dyDescent="0.15">
      <c r="A166" s="113">
        <v>132</v>
      </c>
      <c r="B166" s="114">
        <v>210</v>
      </c>
      <c r="C166" s="115" t="s">
        <v>262</v>
      </c>
      <c r="D166" s="116">
        <v>2</v>
      </c>
    </row>
    <row r="167" spans="1:4" x14ac:dyDescent="0.15">
      <c r="A167" s="113">
        <v>132</v>
      </c>
      <c r="B167" s="114">
        <v>234</v>
      </c>
      <c r="C167" s="115" t="s">
        <v>262</v>
      </c>
      <c r="D167" s="116" t="s">
        <v>458</v>
      </c>
    </row>
    <row r="168" spans="1:4" x14ac:dyDescent="0.15">
      <c r="A168" s="113">
        <v>132</v>
      </c>
      <c r="B168" s="114">
        <v>236</v>
      </c>
      <c r="C168" s="115" t="s">
        <v>262</v>
      </c>
      <c r="D168" s="116" t="s">
        <v>458</v>
      </c>
    </row>
    <row r="169" spans="1:4" x14ac:dyDescent="0.15">
      <c r="A169" s="113">
        <v>133</v>
      </c>
      <c r="B169" s="114">
        <v>92</v>
      </c>
      <c r="C169" s="115" t="s">
        <v>262</v>
      </c>
      <c r="D169" s="116">
        <v>1</v>
      </c>
    </row>
    <row r="170" spans="1:4" x14ac:dyDescent="0.15">
      <c r="A170" s="113">
        <v>133</v>
      </c>
      <c r="B170" s="114">
        <v>210</v>
      </c>
      <c r="C170" s="115" t="s">
        <v>262</v>
      </c>
      <c r="D170" s="116">
        <v>2</v>
      </c>
    </row>
    <row r="171" spans="1:4" x14ac:dyDescent="0.15">
      <c r="A171" s="113">
        <v>133</v>
      </c>
      <c r="B171" s="114">
        <v>233</v>
      </c>
      <c r="C171" s="115" t="s">
        <v>262</v>
      </c>
      <c r="D171" s="116">
        <v>1</v>
      </c>
    </row>
    <row r="172" spans="1:4" x14ac:dyDescent="0.15">
      <c r="A172" s="113">
        <v>133</v>
      </c>
      <c r="B172" s="114">
        <v>246</v>
      </c>
      <c r="C172" s="115" t="s">
        <v>262</v>
      </c>
      <c r="D172" s="116">
        <v>1</v>
      </c>
    </row>
    <row r="173" spans="1:4" x14ac:dyDescent="0.15">
      <c r="A173" s="113">
        <v>134</v>
      </c>
      <c r="B173" s="114">
        <v>101</v>
      </c>
      <c r="C173" s="115" t="s">
        <v>262</v>
      </c>
      <c r="D173" s="116">
        <v>1</v>
      </c>
    </row>
    <row r="174" spans="1:4" x14ac:dyDescent="0.15">
      <c r="A174" s="113">
        <v>134</v>
      </c>
      <c r="B174" s="114">
        <v>210</v>
      </c>
      <c r="C174" s="115" t="s">
        <v>262</v>
      </c>
      <c r="D174" s="116">
        <v>2</v>
      </c>
    </row>
    <row r="175" spans="1:4" x14ac:dyDescent="0.15">
      <c r="A175" s="113">
        <v>134</v>
      </c>
      <c r="B175" s="114">
        <v>232</v>
      </c>
      <c r="C175" s="115" t="s">
        <v>262</v>
      </c>
      <c r="D175" s="116">
        <v>1</v>
      </c>
    </row>
    <row r="176" spans="1:4" x14ac:dyDescent="0.15">
      <c r="A176" s="113">
        <v>134</v>
      </c>
      <c r="B176" s="114">
        <v>250</v>
      </c>
      <c r="C176" s="115" t="s">
        <v>262</v>
      </c>
      <c r="D176" s="116">
        <v>1</v>
      </c>
    </row>
    <row r="177" spans="1:4" x14ac:dyDescent="0.15">
      <c r="A177" s="113">
        <v>135</v>
      </c>
      <c r="B177" s="114">
        <v>38</v>
      </c>
      <c r="C177" s="115" t="s">
        <v>262</v>
      </c>
      <c r="D177" s="116">
        <v>1</v>
      </c>
    </row>
    <row r="178" spans="1:4" x14ac:dyDescent="0.15">
      <c r="A178" s="113">
        <v>135</v>
      </c>
      <c r="B178" s="114">
        <v>80</v>
      </c>
      <c r="C178" s="115" t="s">
        <v>262</v>
      </c>
      <c r="D178" s="116">
        <v>1</v>
      </c>
    </row>
    <row r="179" spans="1:4" x14ac:dyDescent="0.15">
      <c r="A179" s="113">
        <v>135</v>
      </c>
      <c r="B179" s="114">
        <v>221</v>
      </c>
      <c r="C179" s="115" t="s">
        <v>262</v>
      </c>
      <c r="D179" s="116" t="s">
        <v>461</v>
      </c>
    </row>
    <row r="180" spans="1:4" x14ac:dyDescent="0.15">
      <c r="A180" s="113">
        <v>135</v>
      </c>
      <c r="B180" s="114">
        <v>247</v>
      </c>
      <c r="C180" s="115" t="s">
        <v>262</v>
      </c>
      <c r="D180" s="116">
        <v>1</v>
      </c>
    </row>
    <row r="181" spans="1:4" x14ac:dyDescent="0.15">
      <c r="A181" s="113">
        <v>136</v>
      </c>
      <c r="B181" s="114">
        <v>124</v>
      </c>
      <c r="C181" s="115" t="s">
        <v>262</v>
      </c>
      <c r="D181" s="116">
        <v>1</v>
      </c>
    </row>
    <row r="182" spans="1:4" x14ac:dyDescent="0.15">
      <c r="A182" s="113">
        <v>136</v>
      </c>
      <c r="B182" s="114">
        <v>202</v>
      </c>
      <c r="C182" s="115" t="s">
        <v>262</v>
      </c>
      <c r="D182" s="116">
        <v>1</v>
      </c>
    </row>
    <row r="183" spans="1:4" x14ac:dyDescent="0.15">
      <c r="A183" s="113">
        <v>136</v>
      </c>
      <c r="B183" s="114">
        <v>222</v>
      </c>
      <c r="C183" s="115" t="s">
        <v>262</v>
      </c>
      <c r="D183" s="116">
        <v>2</v>
      </c>
    </row>
    <row r="184" spans="1:4" x14ac:dyDescent="0.15">
      <c r="A184" s="113">
        <v>136</v>
      </c>
      <c r="B184" s="114">
        <v>246</v>
      </c>
      <c r="C184" s="115" t="s">
        <v>262</v>
      </c>
      <c r="D184" s="116">
        <v>1</v>
      </c>
    </row>
    <row r="185" spans="1:4" x14ac:dyDescent="0.15">
      <c r="A185" s="113">
        <v>137</v>
      </c>
      <c r="B185" s="114">
        <v>203</v>
      </c>
      <c r="C185" s="115" t="s">
        <v>262</v>
      </c>
      <c r="D185" s="116" t="s">
        <v>263</v>
      </c>
    </row>
    <row r="186" spans="1:4" x14ac:dyDescent="0.15">
      <c r="A186" s="113">
        <v>137</v>
      </c>
      <c r="B186" s="114">
        <v>222</v>
      </c>
      <c r="C186" s="115" t="s">
        <v>262</v>
      </c>
      <c r="D186" s="116" t="s">
        <v>263</v>
      </c>
    </row>
    <row r="187" spans="1:4" x14ac:dyDescent="0.15">
      <c r="A187" s="113">
        <v>137</v>
      </c>
      <c r="B187" s="114">
        <v>223</v>
      </c>
      <c r="C187" s="115" t="s">
        <v>262</v>
      </c>
      <c r="D187" s="116" t="s">
        <v>263</v>
      </c>
    </row>
    <row r="188" spans="1:4" x14ac:dyDescent="0.15">
      <c r="A188" s="113">
        <v>137</v>
      </c>
      <c r="B188" s="114">
        <v>229</v>
      </c>
      <c r="C188" s="115" t="s">
        <v>262</v>
      </c>
      <c r="D188" s="116" t="s">
        <v>263</v>
      </c>
    </row>
    <row r="189" spans="1:4" x14ac:dyDescent="0.15">
      <c r="A189" s="113">
        <v>138</v>
      </c>
      <c r="B189" s="114">
        <v>5</v>
      </c>
      <c r="C189" s="115" t="s">
        <v>262</v>
      </c>
      <c r="D189" s="116" t="s">
        <v>458</v>
      </c>
    </row>
    <row r="190" spans="1:4" x14ac:dyDescent="0.15">
      <c r="A190" s="113">
        <v>138</v>
      </c>
      <c r="B190" s="114">
        <v>88</v>
      </c>
      <c r="C190" s="115" t="s">
        <v>262</v>
      </c>
      <c r="D190" s="116" t="s">
        <v>458</v>
      </c>
    </row>
    <row r="191" spans="1:4" x14ac:dyDescent="0.15">
      <c r="A191" s="113">
        <v>138</v>
      </c>
      <c r="B191" s="114">
        <v>208</v>
      </c>
      <c r="C191" s="115" t="s">
        <v>262</v>
      </c>
      <c r="D191" s="116">
        <v>2</v>
      </c>
    </row>
    <row r="192" spans="1:4" x14ac:dyDescent="0.15">
      <c r="A192" s="113">
        <v>138</v>
      </c>
      <c r="B192" s="114">
        <v>235</v>
      </c>
      <c r="C192" s="115" t="s">
        <v>262</v>
      </c>
      <c r="D192" s="116" t="s">
        <v>458</v>
      </c>
    </row>
    <row r="193" spans="1:4" x14ac:dyDescent="0.15">
      <c r="A193" s="113">
        <v>140</v>
      </c>
      <c r="B193" s="114">
        <v>1395</v>
      </c>
      <c r="C193" s="115" t="s">
        <v>246</v>
      </c>
      <c r="D193" s="116">
        <v>2</v>
      </c>
    </row>
    <row r="194" spans="1:4" x14ac:dyDescent="0.15">
      <c r="A194" s="113">
        <v>140</v>
      </c>
      <c r="B194" s="114">
        <v>1396</v>
      </c>
      <c r="C194" s="115" t="s">
        <v>246</v>
      </c>
      <c r="D194" s="116">
        <v>1</v>
      </c>
    </row>
    <row r="195" spans="1:4" x14ac:dyDescent="0.15">
      <c r="A195" s="113">
        <v>141</v>
      </c>
      <c r="B195" s="114">
        <v>189</v>
      </c>
      <c r="C195" s="115" t="s">
        <v>264</v>
      </c>
      <c r="D195" s="116">
        <v>1</v>
      </c>
    </row>
    <row r="196" spans="1:4" x14ac:dyDescent="0.15">
      <c r="A196" s="113">
        <v>141</v>
      </c>
      <c r="B196" s="114">
        <v>210</v>
      </c>
      <c r="C196" s="115" t="s">
        <v>264</v>
      </c>
      <c r="D196" s="116">
        <v>2</v>
      </c>
    </row>
    <row r="197" spans="1:4" x14ac:dyDescent="0.15">
      <c r="A197" s="113">
        <v>141</v>
      </c>
      <c r="B197" s="114">
        <v>233</v>
      </c>
      <c r="C197" s="115" t="s">
        <v>264</v>
      </c>
      <c r="D197" s="116">
        <v>1</v>
      </c>
    </row>
    <row r="198" spans="1:4" x14ac:dyDescent="0.15">
      <c r="A198" s="113">
        <v>141</v>
      </c>
      <c r="B198" s="114">
        <v>249</v>
      </c>
      <c r="C198" s="115" t="s">
        <v>264</v>
      </c>
      <c r="D198" s="116">
        <v>1</v>
      </c>
    </row>
    <row r="199" spans="1:4" x14ac:dyDescent="0.15">
      <c r="A199" s="113">
        <v>141</v>
      </c>
      <c r="B199" s="114">
        <v>252</v>
      </c>
      <c r="C199" s="115" t="s">
        <v>264</v>
      </c>
      <c r="D199" s="116">
        <v>1</v>
      </c>
    </row>
    <row r="200" spans="1:4" x14ac:dyDescent="0.15">
      <c r="A200" s="113">
        <v>142</v>
      </c>
      <c r="B200" s="114">
        <v>132</v>
      </c>
      <c r="C200" s="115" t="s">
        <v>264</v>
      </c>
      <c r="D200" s="116">
        <v>1</v>
      </c>
    </row>
    <row r="201" spans="1:4" x14ac:dyDescent="0.15">
      <c r="A201" s="113">
        <v>142</v>
      </c>
      <c r="B201" s="114">
        <v>206</v>
      </c>
      <c r="C201" s="115" t="s">
        <v>264</v>
      </c>
      <c r="D201" s="116">
        <v>2</v>
      </c>
    </row>
    <row r="202" spans="1:4" x14ac:dyDescent="0.15">
      <c r="A202" s="113">
        <v>142</v>
      </c>
      <c r="B202" s="114">
        <v>230</v>
      </c>
      <c r="C202" s="115" t="s">
        <v>264</v>
      </c>
      <c r="D202" s="116">
        <v>1</v>
      </c>
    </row>
    <row r="203" spans="1:4" x14ac:dyDescent="0.15">
      <c r="A203" s="113">
        <v>142</v>
      </c>
      <c r="B203" s="114">
        <v>249</v>
      </c>
      <c r="C203" s="115" t="s">
        <v>264</v>
      </c>
      <c r="D203" s="116">
        <v>1</v>
      </c>
    </row>
    <row r="204" spans="1:4" x14ac:dyDescent="0.15">
      <c r="A204" s="113">
        <v>142</v>
      </c>
      <c r="B204" s="114">
        <v>252</v>
      </c>
      <c r="C204" s="115" t="s">
        <v>264</v>
      </c>
      <c r="D204" s="116">
        <v>1</v>
      </c>
    </row>
    <row r="205" spans="1:4" x14ac:dyDescent="0.15">
      <c r="A205" s="113">
        <v>143</v>
      </c>
      <c r="B205" s="114">
        <v>47</v>
      </c>
      <c r="C205" s="115" t="s">
        <v>249</v>
      </c>
      <c r="D205" s="116" t="s">
        <v>220</v>
      </c>
    </row>
    <row r="206" spans="1:4" x14ac:dyDescent="0.15">
      <c r="A206" s="113">
        <v>144</v>
      </c>
      <c r="B206" s="114">
        <v>93</v>
      </c>
      <c r="C206" s="115" t="s">
        <v>265</v>
      </c>
      <c r="D206" s="116">
        <v>1</v>
      </c>
    </row>
    <row r="207" spans="1:4" x14ac:dyDescent="0.15">
      <c r="A207" s="113">
        <v>144</v>
      </c>
      <c r="B207" s="114">
        <v>208</v>
      </c>
      <c r="C207" s="115" t="s">
        <v>265</v>
      </c>
      <c r="D207" s="116">
        <v>2</v>
      </c>
    </row>
    <row r="208" spans="1:4" x14ac:dyDescent="0.15">
      <c r="A208" s="113">
        <v>144</v>
      </c>
      <c r="B208" s="114">
        <v>239</v>
      </c>
      <c r="C208" s="115" t="s">
        <v>265</v>
      </c>
      <c r="D208" s="116">
        <v>1</v>
      </c>
    </row>
    <row r="209" spans="1:4" x14ac:dyDescent="0.15">
      <c r="A209" s="113">
        <v>144</v>
      </c>
      <c r="B209" s="114">
        <v>243</v>
      </c>
      <c r="C209" s="115" t="s">
        <v>265</v>
      </c>
      <c r="D209" s="116">
        <v>1</v>
      </c>
    </row>
    <row r="210" spans="1:4" x14ac:dyDescent="0.15">
      <c r="A210" s="113">
        <v>144</v>
      </c>
      <c r="B210" s="114">
        <v>248</v>
      </c>
      <c r="C210" s="115" t="s">
        <v>265</v>
      </c>
      <c r="D210" s="116">
        <v>1</v>
      </c>
    </row>
    <row r="211" spans="1:4" x14ac:dyDescent="0.15">
      <c r="A211" s="113">
        <v>144</v>
      </c>
      <c r="B211" s="114">
        <v>251</v>
      </c>
      <c r="C211" s="115" t="s">
        <v>265</v>
      </c>
      <c r="D211" s="116">
        <v>1</v>
      </c>
    </row>
    <row r="212" spans="1:4" x14ac:dyDescent="0.15">
      <c r="A212" s="113">
        <v>145</v>
      </c>
      <c r="B212" s="114">
        <v>210</v>
      </c>
      <c r="C212" s="115" t="s">
        <v>265</v>
      </c>
      <c r="D212" s="116">
        <v>2</v>
      </c>
    </row>
    <row r="213" spans="1:4" x14ac:dyDescent="0.15">
      <c r="A213" s="113">
        <v>145</v>
      </c>
      <c r="B213" s="114">
        <v>249</v>
      </c>
      <c r="C213" s="115" t="s">
        <v>265</v>
      </c>
      <c r="D213" s="116">
        <v>1</v>
      </c>
    </row>
    <row r="214" spans="1:4" x14ac:dyDescent="0.15">
      <c r="A214" s="113">
        <v>145</v>
      </c>
      <c r="B214" s="114">
        <v>92</v>
      </c>
      <c r="C214" s="115" t="s">
        <v>265</v>
      </c>
      <c r="D214" s="116" t="s">
        <v>458</v>
      </c>
    </row>
    <row r="215" spans="1:4" x14ac:dyDescent="0.15">
      <c r="A215" s="113">
        <v>145</v>
      </c>
      <c r="B215" s="114">
        <v>240</v>
      </c>
      <c r="C215" s="115" t="s">
        <v>265</v>
      </c>
      <c r="D215" s="116" t="s">
        <v>458</v>
      </c>
    </row>
    <row r="216" spans="1:4" x14ac:dyDescent="0.15">
      <c r="A216" s="113">
        <v>145</v>
      </c>
      <c r="B216" s="114">
        <v>244</v>
      </c>
      <c r="C216" s="115" t="s">
        <v>265</v>
      </c>
      <c r="D216" s="116" t="s">
        <v>458</v>
      </c>
    </row>
    <row r="217" spans="1:4" x14ac:dyDescent="0.15">
      <c r="A217" s="113">
        <v>145</v>
      </c>
      <c r="B217" s="114">
        <v>252</v>
      </c>
      <c r="C217" s="115" t="s">
        <v>265</v>
      </c>
      <c r="D217" s="116">
        <v>1</v>
      </c>
    </row>
    <row r="218" spans="1:4" x14ac:dyDescent="0.15">
      <c r="A218" s="113">
        <v>146</v>
      </c>
      <c r="B218" s="114">
        <v>73</v>
      </c>
      <c r="C218" s="115" t="s">
        <v>265</v>
      </c>
      <c r="D218" s="116">
        <v>1</v>
      </c>
    </row>
    <row r="219" spans="1:4" x14ac:dyDescent="0.15">
      <c r="A219" s="113">
        <v>146</v>
      </c>
      <c r="B219" s="114">
        <v>93</v>
      </c>
      <c r="C219" s="115" t="s">
        <v>265</v>
      </c>
      <c r="D219" s="116">
        <v>1</v>
      </c>
    </row>
    <row r="220" spans="1:4" x14ac:dyDescent="0.15">
      <c r="A220" s="113">
        <v>146</v>
      </c>
      <c r="B220" s="114">
        <v>208</v>
      </c>
      <c r="C220" s="115" t="s">
        <v>265</v>
      </c>
      <c r="D220" s="116">
        <v>2</v>
      </c>
    </row>
    <row r="221" spans="1:4" x14ac:dyDescent="0.15">
      <c r="A221" s="113">
        <v>146</v>
      </c>
      <c r="B221" s="114">
        <v>239</v>
      </c>
      <c r="C221" s="115" t="s">
        <v>265</v>
      </c>
      <c r="D221" s="116">
        <v>1</v>
      </c>
    </row>
    <row r="222" spans="1:4" x14ac:dyDescent="0.15">
      <c r="A222" s="113">
        <v>146</v>
      </c>
      <c r="B222" s="114">
        <v>248</v>
      </c>
      <c r="C222" s="115" t="s">
        <v>265</v>
      </c>
      <c r="D222" s="116">
        <v>1</v>
      </c>
    </row>
    <row r="223" spans="1:4" x14ac:dyDescent="0.15">
      <c r="A223" s="113">
        <v>146</v>
      </c>
      <c r="B223" s="114">
        <v>251</v>
      </c>
      <c r="C223" s="115" t="s">
        <v>265</v>
      </c>
      <c r="D223" s="116">
        <v>1</v>
      </c>
    </row>
    <row r="224" spans="1:4" x14ac:dyDescent="0.15">
      <c r="A224" s="113">
        <v>147</v>
      </c>
      <c r="B224" s="114">
        <v>99</v>
      </c>
      <c r="C224" s="115" t="s">
        <v>265</v>
      </c>
      <c r="D224" s="116">
        <v>1</v>
      </c>
    </row>
    <row r="225" spans="1:4" x14ac:dyDescent="0.15">
      <c r="A225" s="113">
        <v>147</v>
      </c>
      <c r="B225" s="114">
        <v>206</v>
      </c>
      <c r="C225" s="115" t="s">
        <v>265</v>
      </c>
      <c r="D225" s="116">
        <v>2</v>
      </c>
    </row>
    <row r="226" spans="1:4" x14ac:dyDescent="0.15">
      <c r="A226" s="113">
        <v>147</v>
      </c>
      <c r="B226" s="114">
        <v>238</v>
      </c>
      <c r="C226" s="115" t="s">
        <v>265</v>
      </c>
      <c r="D226" s="116">
        <v>1</v>
      </c>
    </row>
    <row r="227" spans="1:4" x14ac:dyDescent="0.15">
      <c r="A227" s="113">
        <v>147</v>
      </c>
      <c r="B227" s="114">
        <v>242</v>
      </c>
      <c r="C227" s="115" t="s">
        <v>265</v>
      </c>
      <c r="D227" s="116">
        <v>1</v>
      </c>
    </row>
    <row r="228" spans="1:4" x14ac:dyDescent="0.15">
      <c r="A228" s="113">
        <v>147</v>
      </c>
      <c r="B228" s="114">
        <v>249</v>
      </c>
      <c r="C228" s="115" t="s">
        <v>265</v>
      </c>
      <c r="D228" s="116">
        <v>1</v>
      </c>
    </row>
    <row r="229" spans="1:4" x14ac:dyDescent="0.15">
      <c r="A229" s="113">
        <v>147</v>
      </c>
      <c r="B229" s="114">
        <v>252</v>
      </c>
      <c r="C229" s="115" t="s">
        <v>265</v>
      </c>
      <c r="D229" s="116">
        <v>1</v>
      </c>
    </row>
    <row r="230" spans="1:4" x14ac:dyDescent="0.15">
      <c r="A230" s="113">
        <v>148</v>
      </c>
      <c r="B230" s="114">
        <v>1152</v>
      </c>
      <c r="C230" s="115" t="s">
        <v>266</v>
      </c>
      <c r="D230" s="116" t="s">
        <v>461</v>
      </c>
    </row>
    <row r="231" spans="1:4" x14ac:dyDescent="0.15">
      <c r="A231" s="113">
        <v>149</v>
      </c>
      <c r="B231" s="114">
        <v>1394</v>
      </c>
      <c r="C231" s="115" t="s">
        <v>267</v>
      </c>
      <c r="D231" s="116">
        <v>2</v>
      </c>
    </row>
    <row r="232" spans="1:4" x14ac:dyDescent="0.15">
      <c r="A232" s="113">
        <v>150</v>
      </c>
      <c r="B232" s="114">
        <v>42</v>
      </c>
      <c r="C232" s="115" t="s">
        <v>258</v>
      </c>
      <c r="D232" s="116">
        <v>1</v>
      </c>
    </row>
    <row r="233" spans="1:4" x14ac:dyDescent="0.15">
      <c r="A233" s="113">
        <v>150</v>
      </c>
      <c r="B233" s="114">
        <v>207</v>
      </c>
      <c r="C233" s="115" t="s">
        <v>258</v>
      </c>
      <c r="D233" s="116">
        <v>2</v>
      </c>
    </row>
    <row r="234" spans="1:4" x14ac:dyDescent="0.15">
      <c r="A234" s="113">
        <v>151</v>
      </c>
      <c r="B234" s="114">
        <v>43</v>
      </c>
      <c r="C234" s="115" t="s">
        <v>258</v>
      </c>
      <c r="D234" s="116">
        <v>1</v>
      </c>
    </row>
    <row r="235" spans="1:4" x14ac:dyDescent="0.15">
      <c r="A235" s="113">
        <v>151</v>
      </c>
      <c r="B235" s="114">
        <v>210</v>
      </c>
      <c r="C235" s="115" t="s">
        <v>258</v>
      </c>
      <c r="D235" s="116" t="s">
        <v>461</v>
      </c>
    </row>
    <row r="236" spans="1:4" x14ac:dyDescent="0.15">
      <c r="A236" s="113">
        <v>152</v>
      </c>
      <c r="B236" s="114">
        <v>45</v>
      </c>
      <c r="C236" s="115" t="s">
        <v>258</v>
      </c>
      <c r="D236" s="116">
        <v>1</v>
      </c>
    </row>
    <row r="237" spans="1:4" x14ac:dyDescent="0.15">
      <c r="A237" s="113">
        <v>152</v>
      </c>
      <c r="B237" s="114">
        <v>211</v>
      </c>
      <c r="C237" s="115" t="s">
        <v>258</v>
      </c>
      <c r="D237" s="116">
        <v>2</v>
      </c>
    </row>
    <row r="238" spans="1:4" x14ac:dyDescent="0.15">
      <c r="A238" s="113">
        <v>153</v>
      </c>
      <c r="B238" s="114">
        <v>46</v>
      </c>
      <c r="C238" s="115" t="s">
        <v>258</v>
      </c>
      <c r="D238" s="116">
        <v>1</v>
      </c>
    </row>
    <row r="239" spans="1:4" x14ac:dyDescent="0.15">
      <c r="A239" s="113">
        <v>153</v>
      </c>
      <c r="B239" s="114">
        <v>212</v>
      </c>
      <c r="C239" s="115" t="s">
        <v>258</v>
      </c>
      <c r="D239" s="116">
        <v>2</v>
      </c>
    </row>
    <row r="240" spans="1:4" x14ac:dyDescent="0.15">
      <c r="A240" s="113">
        <v>154</v>
      </c>
      <c r="B240" s="114">
        <v>39</v>
      </c>
      <c r="C240" s="115" t="s">
        <v>258</v>
      </c>
      <c r="D240" s="116">
        <v>1</v>
      </c>
    </row>
    <row r="241" spans="1:4" x14ac:dyDescent="0.15">
      <c r="A241" s="113">
        <v>154</v>
      </c>
      <c r="B241" s="114">
        <v>221</v>
      </c>
      <c r="C241" s="115" t="s">
        <v>258</v>
      </c>
      <c r="D241" s="116">
        <v>2</v>
      </c>
    </row>
    <row r="242" spans="1:4" x14ac:dyDescent="0.15">
      <c r="A242" s="113">
        <v>155</v>
      </c>
      <c r="B242" s="114">
        <v>51</v>
      </c>
      <c r="C242" s="115" t="s">
        <v>246</v>
      </c>
      <c r="D242" s="116" t="s">
        <v>458</v>
      </c>
    </row>
    <row r="243" spans="1:4" x14ac:dyDescent="0.15">
      <c r="A243" s="113">
        <v>155</v>
      </c>
      <c r="B243" s="114">
        <v>200</v>
      </c>
      <c r="C243" s="115" t="s">
        <v>246</v>
      </c>
      <c r="D243" s="116" t="s">
        <v>458</v>
      </c>
    </row>
    <row r="244" spans="1:4" x14ac:dyDescent="0.15">
      <c r="A244" s="113">
        <v>156</v>
      </c>
      <c r="B244" s="114">
        <v>1000</v>
      </c>
      <c r="C244" s="115" t="s">
        <v>258</v>
      </c>
      <c r="D244" s="116">
        <v>2</v>
      </c>
    </row>
    <row r="245" spans="1:4" x14ac:dyDescent="0.15">
      <c r="A245" s="113">
        <v>156</v>
      </c>
      <c r="B245" s="114">
        <v>1001</v>
      </c>
      <c r="C245" s="115" t="s">
        <v>258</v>
      </c>
      <c r="D245" s="116">
        <v>1</v>
      </c>
    </row>
    <row r="246" spans="1:4" x14ac:dyDescent="0.15">
      <c r="A246" s="113">
        <v>157</v>
      </c>
      <c r="B246" s="114">
        <v>1002</v>
      </c>
      <c r="C246" s="115" t="s">
        <v>258</v>
      </c>
      <c r="D246" s="116">
        <v>2</v>
      </c>
    </row>
    <row r="247" spans="1:4" x14ac:dyDescent="0.15">
      <c r="A247" s="113">
        <v>157</v>
      </c>
      <c r="B247" s="114">
        <v>1003</v>
      </c>
      <c r="C247" s="115" t="s">
        <v>258</v>
      </c>
      <c r="D247" s="116">
        <v>1</v>
      </c>
    </row>
    <row r="248" spans="1:4" x14ac:dyDescent="0.15">
      <c r="A248" s="113">
        <v>158</v>
      </c>
      <c r="B248" s="114">
        <v>1008</v>
      </c>
      <c r="C248" s="115" t="s">
        <v>258</v>
      </c>
      <c r="D248" s="116">
        <v>2</v>
      </c>
    </row>
    <row r="249" spans="1:4" x14ac:dyDescent="0.15">
      <c r="A249" s="113">
        <v>158</v>
      </c>
      <c r="B249" s="114">
        <v>1009</v>
      </c>
      <c r="C249" s="115" t="s">
        <v>258</v>
      </c>
      <c r="D249" s="116">
        <v>1</v>
      </c>
    </row>
    <row r="250" spans="1:4" x14ac:dyDescent="0.15">
      <c r="A250" s="113">
        <v>159</v>
      </c>
      <c r="B250" s="114">
        <v>28</v>
      </c>
      <c r="C250" s="115" t="s">
        <v>234</v>
      </c>
      <c r="D250" s="116" t="s">
        <v>460</v>
      </c>
    </row>
    <row r="251" spans="1:4" x14ac:dyDescent="0.15">
      <c r="A251" s="113">
        <v>160</v>
      </c>
      <c r="B251" s="114">
        <v>1014</v>
      </c>
      <c r="C251" s="115" t="s">
        <v>258</v>
      </c>
      <c r="D251" s="116">
        <v>2</v>
      </c>
    </row>
    <row r="252" spans="1:4" x14ac:dyDescent="0.15">
      <c r="A252" s="113">
        <v>160</v>
      </c>
      <c r="B252" s="114">
        <v>1015</v>
      </c>
      <c r="C252" s="115" t="s">
        <v>258</v>
      </c>
      <c r="D252" s="116">
        <v>1</v>
      </c>
    </row>
    <row r="253" spans="1:4" x14ac:dyDescent="0.15">
      <c r="A253" s="113">
        <v>161</v>
      </c>
      <c r="B253" s="114">
        <v>1018</v>
      </c>
      <c r="C253" s="115" t="s">
        <v>258</v>
      </c>
      <c r="D253" s="116">
        <v>2</v>
      </c>
    </row>
    <row r="254" spans="1:4" x14ac:dyDescent="0.15">
      <c r="A254" s="113">
        <v>161</v>
      </c>
      <c r="B254" s="114">
        <v>1019</v>
      </c>
      <c r="C254" s="115" t="s">
        <v>258</v>
      </c>
      <c r="D254" s="116">
        <v>1</v>
      </c>
    </row>
    <row r="255" spans="1:4" x14ac:dyDescent="0.15">
      <c r="A255" s="113">
        <v>162</v>
      </c>
      <c r="B255" s="114">
        <v>1020</v>
      </c>
      <c r="C255" s="115" t="s">
        <v>258</v>
      </c>
      <c r="D255" s="116">
        <v>2</v>
      </c>
    </row>
    <row r="256" spans="1:4" x14ac:dyDescent="0.15">
      <c r="A256" s="113">
        <v>162</v>
      </c>
      <c r="B256" s="114">
        <v>1021</v>
      </c>
      <c r="C256" s="115" t="s">
        <v>258</v>
      </c>
      <c r="D256" s="116">
        <v>1</v>
      </c>
    </row>
    <row r="257" spans="1:4" x14ac:dyDescent="0.15">
      <c r="A257" s="113">
        <v>163</v>
      </c>
      <c r="B257" s="114">
        <v>1034</v>
      </c>
      <c r="C257" s="115" t="s">
        <v>258</v>
      </c>
      <c r="D257" s="116">
        <v>2</v>
      </c>
    </row>
    <row r="258" spans="1:4" x14ac:dyDescent="0.15">
      <c r="A258" s="113">
        <v>163</v>
      </c>
      <c r="B258" s="114">
        <v>1035</v>
      </c>
      <c r="C258" s="115" t="s">
        <v>258</v>
      </c>
      <c r="D258" s="116">
        <v>1</v>
      </c>
    </row>
    <row r="259" spans="1:4" x14ac:dyDescent="0.15">
      <c r="A259" s="113">
        <v>164</v>
      </c>
      <c r="B259" s="114">
        <v>1037</v>
      </c>
      <c r="C259" s="115" t="s">
        <v>258</v>
      </c>
      <c r="D259" s="116">
        <v>2</v>
      </c>
    </row>
    <row r="260" spans="1:4" x14ac:dyDescent="0.15">
      <c r="A260" s="113">
        <v>164</v>
      </c>
      <c r="B260" s="114">
        <v>1038</v>
      </c>
      <c r="C260" s="115" t="s">
        <v>258</v>
      </c>
      <c r="D260" s="116">
        <v>1</v>
      </c>
    </row>
    <row r="261" spans="1:4" x14ac:dyDescent="0.15">
      <c r="A261" s="113">
        <v>165</v>
      </c>
      <c r="B261" s="114">
        <v>1039</v>
      </c>
      <c r="C261" s="115" t="s">
        <v>258</v>
      </c>
      <c r="D261" s="116">
        <v>2</v>
      </c>
    </row>
    <row r="262" spans="1:4" x14ac:dyDescent="0.15">
      <c r="A262" s="113">
        <v>165</v>
      </c>
      <c r="B262" s="114">
        <v>1040</v>
      </c>
      <c r="C262" s="115" t="s">
        <v>258</v>
      </c>
      <c r="D262" s="116">
        <v>1</v>
      </c>
    </row>
    <row r="263" spans="1:4" x14ac:dyDescent="0.15">
      <c r="A263" s="113">
        <v>166</v>
      </c>
      <c r="B263" s="114">
        <v>1048</v>
      </c>
      <c r="C263" s="115" t="s">
        <v>258</v>
      </c>
      <c r="D263" s="116">
        <v>2</v>
      </c>
    </row>
    <row r="264" spans="1:4" x14ac:dyDescent="0.15">
      <c r="A264" s="113">
        <v>166</v>
      </c>
      <c r="B264" s="114">
        <v>1049</v>
      </c>
      <c r="C264" s="115" t="s">
        <v>258</v>
      </c>
      <c r="D264" s="116">
        <v>1</v>
      </c>
    </row>
    <row r="265" spans="1:4" x14ac:dyDescent="0.15">
      <c r="A265" s="113">
        <v>167</v>
      </c>
      <c r="B265" s="114">
        <v>1055</v>
      </c>
      <c r="C265" s="115" t="s">
        <v>258</v>
      </c>
      <c r="D265" s="116">
        <v>1</v>
      </c>
    </row>
    <row r="266" spans="1:4" x14ac:dyDescent="0.15">
      <c r="A266" s="113">
        <v>167</v>
      </c>
      <c r="B266" s="114">
        <v>1056</v>
      </c>
      <c r="C266" s="115" t="s">
        <v>258</v>
      </c>
      <c r="D266" s="116">
        <v>2</v>
      </c>
    </row>
    <row r="267" spans="1:4" x14ac:dyDescent="0.15">
      <c r="A267" s="113">
        <v>168</v>
      </c>
      <c r="B267" s="114">
        <v>1057</v>
      </c>
      <c r="C267" s="115" t="s">
        <v>258</v>
      </c>
      <c r="D267" s="116">
        <v>1</v>
      </c>
    </row>
    <row r="268" spans="1:4" x14ac:dyDescent="0.15">
      <c r="A268" s="113">
        <v>168</v>
      </c>
      <c r="B268" s="114">
        <v>1058</v>
      </c>
      <c r="C268" s="115" t="s">
        <v>258</v>
      </c>
      <c r="D268" s="116">
        <v>2</v>
      </c>
    </row>
    <row r="269" spans="1:4" x14ac:dyDescent="0.15">
      <c r="A269" s="113">
        <v>169</v>
      </c>
      <c r="B269" s="114">
        <v>1059</v>
      </c>
      <c r="C269" s="115" t="s">
        <v>258</v>
      </c>
      <c r="D269" s="116">
        <v>1</v>
      </c>
    </row>
    <row r="270" spans="1:4" x14ac:dyDescent="0.15">
      <c r="A270" s="113">
        <v>169</v>
      </c>
      <c r="B270" s="114">
        <v>1060</v>
      </c>
      <c r="C270" s="115" t="s">
        <v>258</v>
      </c>
      <c r="D270" s="116">
        <v>2</v>
      </c>
    </row>
    <row r="271" spans="1:4" x14ac:dyDescent="0.15">
      <c r="A271" s="113">
        <v>170</v>
      </c>
      <c r="B271" s="114">
        <v>1061</v>
      </c>
      <c r="C271" s="115" t="s">
        <v>258</v>
      </c>
      <c r="D271" s="116">
        <v>1</v>
      </c>
    </row>
    <row r="272" spans="1:4" x14ac:dyDescent="0.15">
      <c r="A272" s="113">
        <v>170</v>
      </c>
      <c r="B272" s="114">
        <v>1062</v>
      </c>
      <c r="C272" s="115" t="s">
        <v>258</v>
      </c>
      <c r="D272" s="116">
        <v>2</v>
      </c>
    </row>
    <row r="273" spans="1:4" x14ac:dyDescent="0.15">
      <c r="A273" s="113">
        <v>171</v>
      </c>
      <c r="B273" s="114">
        <v>1063</v>
      </c>
      <c r="C273" s="115" t="s">
        <v>258</v>
      </c>
      <c r="D273" s="116">
        <v>1</v>
      </c>
    </row>
    <row r="274" spans="1:4" x14ac:dyDescent="0.15">
      <c r="A274" s="113">
        <v>171</v>
      </c>
      <c r="B274" s="114">
        <v>1064</v>
      </c>
      <c r="C274" s="115" t="s">
        <v>258</v>
      </c>
      <c r="D274" s="116">
        <v>2</v>
      </c>
    </row>
    <row r="275" spans="1:4" x14ac:dyDescent="0.15">
      <c r="A275" s="113">
        <v>172</v>
      </c>
      <c r="B275" s="114">
        <v>1065</v>
      </c>
      <c r="C275" s="115" t="s">
        <v>258</v>
      </c>
      <c r="D275" s="116">
        <v>1</v>
      </c>
    </row>
    <row r="276" spans="1:4" x14ac:dyDescent="0.15">
      <c r="A276" s="113">
        <v>172</v>
      </c>
      <c r="B276" s="114">
        <v>1066</v>
      </c>
      <c r="C276" s="115" t="s">
        <v>258</v>
      </c>
      <c r="D276" s="116">
        <v>2</v>
      </c>
    </row>
    <row r="277" spans="1:4" x14ac:dyDescent="0.15">
      <c r="A277" s="113">
        <v>173</v>
      </c>
      <c r="B277" s="114">
        <v>1067</v>
      </c>
      <c r="C277" s="115" t="s">
        <v>258</v>
      </c>
      <c r="D277" s="116">
        <v>1</v>
      </c>
    </row>
    <row r="278" spans="1:4" x14ac:dyDescent="0.15">
      <c r="A278" s="113">
        <v>173</v>
      </c>
      <c r="B278" s="114">
        <v>1068</v>
      </c>
      <c r="C278" s="115" t="s">
        <v>258</v>
      </c>
      <c r="D278" s="116">
        <v>2</v>
      </c>
    </row>
    <row r="279" spans="1:4" x14ac:dyDescent="0.15">
      <c r="A279" s="113">
        <v>174</v>
      </c>
      <c r="B279" s="114">
        <v>1071</v>
      </c>
      <c r="C279" s="115" t="s">
        <v>258</v>
      </c>
      <c r="D279" s="116">
        <v>1</v>
      </c>
    </row>
    <row r="280" spans="1:4" x14ac:dyDescent="0.15">
      <c r="A280" s="113">
        <v>174</v>
      </c>
      <c r="B280" s="114">
        <v>1072</v>
      </c>
      <c r="C280" s="115" t="s">
        <v>258</v>
      </c>
      <c r="D280" s="116">
        <v>2</v>
      </c>
    </row>
    <row r="281" spans="1:4" x14ac:dyDescent="0.15">
      <c r="A281" s="113">
        <v>175</v>
      </c>
      <c r="B281" s="114">
        <v>1078</v>
      </c>
      <c r="C281" s="115" t="s">
        <v>258</v>
      </c>
      <c r="D281" s="116">
        <v>1</v>
      </c>
    </row>
    <row r="282" spans="1:4" x14ac:dyDescent="0.15">
      <c r="A282" s="113">
        <v>175</v>
      </c>
      <c r="B282" s="114">
        <v>1079</v>
      </c>
      <c r="C282" s="115" t="s">
        <v>258</v>
      </c>
      <c r="D282" s="116">
        <v>2</v>
      </c>
    </row>
    <row r="283" spans="1:4" x14ac:dyDescent="0.15">
      <c r="A283" s="113">
        <v>176</v>
      </c>
      <c r="B283" s="114">
        <v>1124</v>
      </c>
      <c r="C283" s="115" t="s">
        <v>258</v>
      </c>
      <c r="D283" s="116">
        <v>1</v>
      </c>
    </row>
    <row r="284" spans="1:4" x14ac:dyDescent="0.15">
      <c r="A284" s="113">
        <v>176</v>
      </c>
      <c r="B284" s="114">
        <v>1125</v>
      </c>
      <c r="C284" s="115" t="s">
        <v>258</v>
      </c>
      <c r="D284" s="116">
        <v>2</v>
      </c>
    </row>
    <row r="285" spans="1:4" x14ac:dyDescent="0.15">
      <c r="A285" s="113">
        <v>177</v>
      </c>
      <c r="B285" s="114">
        <v>1126</v>
      </c>
      <c r="C285" s="115" t="s">
        <v>258</v>
      </c>
      <c r="D285" s="116">
        <v>1</v>
      </c>
    </row>
    <row r="286" spans="1:4" x14ac:dyDescent="0.15">
      <c r="A286" s="113">
        <v>177</v>
      </c>
      <c r="B286" s="114">
        <v>1127</v>
      </c>
      <c r="C286" s="115" t="s">
        <v>258</v>
      </c>
      <c r="D286" s="116">
        <v>2</v>
      </c>
    </row>
    <row r="287" spans="1:4" x14ac:dyDescent="0.15">
      <c r="A287" s="113">
        <v>178</v>
      </c>
      <c r="B287" s="114">
        <v>1128</v>
      </c>
      <c r="C287" s="115" t="s">
        <v>268</v>
      </c>
      <c r="D287" s="116">
        <v>1</v>
      </c>
    </row>
    <row r="288" spans="1:4" x14ac:dyDescent="0.15">
      <c r="A288" s="113">
        <v>178</v>
      </c>
      <c r="B288" s="114">
        <v>1129</v>
      </c>
      <c r="C288" s="115" t="s">
        <v>268</v>
      </c>
      <c r="D288" s="116">
        <v>2</v>
      </c>
    </row>
    <row r="289" spans="1:4" x14ac:dyDescent="0.15">
      <c r="A289" s="113">
        <v>179</v>
      </c>
      <c r="B289" s="114">
        <v>1139</v>
      </c>
      <c r="C289" s="115" t="s">
        <v>258</v>
      </c>
      <c r="D289" s="116">
        <v>1</v>
      </c>
    </row>
    <row r="290" spans="1:4" x14ac:dyDescent="0.15">
      <c r="A290" s="113">
        <v>179</v>
      </c>
      <c r="B290" s="114">
        <v>1140</v>
      </c>
      <c r="C290" s="115" t="s">
        <v>258</v>
      </c>
      <c r="D290" s="116">
        <v>2</v>
      </c>
    </row>
    <row r="291" spans="1:4" x14ac:dyDescent="0.15">
      <c r="A291" s="113">
        <v>180</v>
      </c>
      <c r="B291" s="114">
        <v>1141</v>
      </c>
      <c r="C291" s="115" t="s">
        <v>258</v>
      </c>
      <c r="D291" s="116">
        <v>1</v>
      </c>
    </row>
    <row r="292" spans="1:4" x14ac:dyDescent="0.15">
      <c r="A292" s="113">
        <v>180</v>
      </c>
      <c r="B292" s="114">
        <v>1142</v>
      </c>
      <c r="C292" s="115" t="s">
        <v>258</v>
      </c>
      <c r="D292" s="116">
        <v>2</v>
      </c>
    </row>
    <row r="293" spans="1:4" x14ac:dyDescent="0.15">
      <c r="A293" s="113">
        <v>181</v>
      </c>
      <c r="B293" s="114">
        <v>1143</v>
      </c>
      <c r="C293" s="115" t="s">
        <v>258</v>
      </c>
      <c r="D293" s="116">
        <v>1</v>
      </c>
    </row>
    <row r="294" spans="1:4" x14ac:dyDescent="0.15">
      <c r="A294" s="113">
        <v>181</v>
      </c>
      <c r="B294" s="114">
        <v>1144</v>
      </c>
      <c r="C294" s="115" t="s">
        <v>258</v>
      </c>
      <c r="D294" s="116">
        <v>2</v>
      </c>
    </row>
    <row r="295" spans="1:4" x14ac:dyDescent="0.15">
      <c r="A295" s="113">
        <v>182</v>
      </c>
      <c r="B295" s="114">
        <v>1145</v>
      </c>
      <c r="C295" s="115" t="s">
        <v>258</v>
      </c>
      <c r="D295" s="116">
        <v>1</v>
      </c>
    </row>
    <row r="296" spans="1:4" x14ac:dyDescent="0.15">
      <c r="A296" s="113">
        <v>182</v>
      </c>
      <c r="B296" s="114">
        <v>1146</v>
      </c>
      <c r="C296" s="115" t="s">
        <v>258</v>
      </c>
      <c r="D296" s="116">
        <v>2</v>
      </c>
    </row>
    <row r="297" spans="1:4" x14ac:dyDescent="0.15">
      <c r="A297" s="113">
        <v>183</v>
      </c>
      <c r="B297" s="114">
        <v>1147</v>
      </c>
      <c r="C297" s="115" t="s">
        <v>258</v>
      </c>
      <c r="D297" s="116">
        <v>1</v>
      </c>
    </row>
    <row r="298" spans="1:4" x14ac:dyDescent="0.15">
      <c r="A298" s="113">
        <v>183</v>
      </c>
      <c r="B298" s="114">
        <v>1148</v>
      </c>
      <c r="C298" s="115" t="s">
        <v>258</v>
      </c>
      <c r="D298" s="116">
        <v>2</v>
      </c>
    </row>
    <row r="299" spans="1:4" x14ac:dyDescent="0.15">
      <c r="A299" s="113">
        <v>184</v>
      </c>
      <c r="B299" s="114">
        <v>1149</v>
      </c>
      <c r="C299" s="115" t="s">
        <v>258</v>
      </c>
      <c r="D299" s="116">
        <v>1</v>
      </c>
    </row>
    <row r="300" spans="1:4" x14ac:dyDescent="0.15">
      <c r="A300" s="113">
        <v>184</v>
      </c>
      <c r="B300" s="114">
        <v>1150</v>
      </c>
      <c r="C300" s="115" t="s">
        <v>258</v>
      </c>
      <c r="D300" s="116">
        <v>2</v>
      </c>
    </row>
    <row r="301" spans="1:4" x14ac:dyDescent="0.15">
      <c r="A301" s="113">
        <v>185</v>
      </c>
      <c r="B301" s="114">
        <v>1151</v>
      </c>
      <c r="C301" s="115" t="s">
        <v>258</v>
      </c>
      <c r="D301" s="116">
        <v>1</v>
      </c>
    </row>
    <row r="302" spans="1:4" x14ac:dyDescent="0.15">
      <c r="A302" s="113">
        <v>185</v>
      </c>
      <c r="B302" s="114">
        <v>1152</v>
      </c>
      <c r="C302" s="115" t="s">
        <v>258</v>
      </c>
      <c r="D302" s="116">
        <v>2</v>
      </c>
    </row>
    <row r="303" spans="1:4" x14ac:dyDescent="0.15">
      <c r="A303" s="113">
        <v>186</v>
      </c>
      <c r="B303" s="114">
        <v>1153</v>
      </c>
      <c r="C303" s="115" t="s">
        <v>258</v>
      </c>
      <c r="D303" s="116">
        <v>1</v>
      </c>
    </row>
    <row r="304" spans="1:4" x14ac:dyDescent="0.15">
      <c r="A304" s="113">
        <v>186</v>
      </c>
      <c r="B304" s="114">
        <v>1154</v>
      </c>
      <c r="C304" s="115" t="s">
        <v>258</v>
      </c>
      <c r="D304" s="116">
        <v>2</v>
      </c>
    </row>
    <row r="305" spans="1:4" x14ac:dyDescent="0.15">
      <c r="A305" s="113">
        <v>187</v>
      </c>
      <c r="B305" s="114">
        <v>1324</v>
      </c>
      <c r="C305" s="115" t="s">
        <v>258</v>
      </c>
      <c r="D305" s="116">
        <v>2</v>
      </c>
    </row>
    <row r="306" spans="1:4" x14ac:dyDescent="0.15">
      <c r="A306" s="113">
        <v>187</v>
      </c>
      <c r="B306" s="114">
        <v>1325</v>
      </c>
      <c r="C306" s="115" t="s">
        <v>258</v>
      </c>
      <c r="D306" s="116">
        <v>1</v>
      </c>
    </row>
    <row r="307" spans="1:4" x14ac:dyDescent="0.15">
      <c r="A307" s="113">
        <v>188</v>
      </c>
      <c r="B307" s="114">
        <v>1191</v>
      </c>
      <c r="C307" s="115" t="s">
        <v>258</v>
      </c>
      <c r="D307" s="116">
        <v>2</v>
      </c>
    </row>
    <row r="308" spans="1:4" x14ac:dyDescent="0.15">
      <c r="A308" s="113">
        <v>188</v>
      </c>
      <c r="B308" s="114">
        <v>1192</v>
      </c>
      <c r="C308" s="115" t="s">
        <v>258</v>
      </c>
      <c r="D308" s="116">
        <v>1</v>
      </c>
    </row>
    <row r="309" spans="1:4" x14ac:dyDescent="0.15">
      <c r="A309" s="113">
        <v>189</v>
      </c>
      <c r="B309" s="114">
        <v>1233</v>
      </c>
      <c r="C309" s="115" t="s">
        <v>258</v>
      </c>
      <c r="D309" s="116" t="s">
        <v>458</v>
      </c>
    </row>
    <row r="310" spans="1:4" x14ac:dyDescent="0.15">
      <c r="A310" s="113">
        <v>189</v>
      </c>
      <c r="B310" s="114">
        <v>1234</v>
      </c>
      <c r="C310" s="115" t="s">
        <v>258</v>
      </c>
      <c r="D310" s="116" t="s">
        <v>458</v>
      </c>
    </row>
    <row r="311" spans="1:4" x14ac:dyDescent="0.15">
      <c r="A311" s="113">
        <v>190</v>
      </c>
      <c r="B311" s="114">
        <v>1238</v>
      </c>
      <c r="C311" s="115" t="s">
        <v>258</v>
      </c>
      <c r="D311" s="116" t="s">
        <v>458</v>
      </c>
    </row>
    <row r="312" spans="1:4" x14ac:dyDescent="0.15">
      <c r="A312" s="113">
        <v>190</v>
      </c>
      <c r="B312" s="114">
        <v>1239</v>
      </c>
      <c r="C312" s="115" t="s">
        <v>258</v>
      </c>
      <c r="D312" s="116" t="s">
        <v>458</v>
      </c>
    </row>
    <row r="313" spans="1:4" x14ac:dyDescent="0.15">
      <c r="A313" s="113">
        <v>191</v>
      </c>
      <c r="B313" s="114">
        <v>1240</v>
      </c>
      <c r="C313" s="115" t="s">
        <v>258</v>
      </c>
      <c r="D313" s="116" t="s">
        <v>458</v>
      </c>
    </row>
    <row r="314" spans="1:4" x14ac:dyDescent="0.15">
      <c r="A314" s="113">
        <v>191</v>
      </c>
      <c r="B314" s="114">
        <v>1241</v>
      </c>
      <c r="C314" s="115" t="s">
        <v>258</v>
      </c>
      <c r="D314" s="116" t="s">
        <v>458</v>
      </c>
    </row>
    <row r="315" spans="1:4" x14ac:dyDescent="0.15">
      <c r="A315" s="113">
        <v>192</v>
      </c>
      <c r="B315" s="114">
        <v>1242</v>
      </c>
      <c r="C315" s="115" t="s">
        <v>258</v>
      </c>
      <c r="D315" s="116" t="s">
        <v>458</v>
      </c>
    </row>
    <row r="316" spans="1:4" x14ac:dyDescent="0.15">
      <c r="A316" s="113">
        <v>192</v>
      </c>
      <c r="B316" s="114">
        <v>1243</v>
      </c>
      <c r="C316" s="115" t="s">
        <v>258</v>
      </c>
      <c r="D316" s="116" t="s">
        <v>458</v>
      </c>
    </row>
    <row r="317" spans="1:4" x14ac:dyDescent="0.15">
      <c r="A317" s="113">
        <v>193</v>
      </c>
      <c r="B317" s="114">
        <v>1244</v>
      </c>
      <c r="C317" s="115" t="s">
        <v>258</v>
      </c>
      <c r="D317" s="116" t="s">
        <v>458</v>
      </c>
    </row>
    <row r="318" spans="1:4" x14ac:dyDescent="0.15">
      <c r="A318" s="113">
        <v>193</v>
      </c>
      <c r="B318" s="114">
        <v>1245</v>
      </c>
      <c r="C318" s="115" t="s">
        <v>258</v>
      </c>
      <c r="D318" s="116" t="s">
        <v>458</v>
      </c>
    </row>
    <row r="319" spans="1:4" x14ac:dyDescent="0.15">
      <c r="A319" s="113">
        <v>194</v>
      </c>
      <c r="B319" s="114">
        <v>1246</v>
      </c>
      <c r="C319" s="115" t="s">
        <v>258</v>
      </c>
      <c r="D319" s="116" t="s">
        <v>458</v>
      </c>
    </row>
    <row r="320" spans="1:4" x14ac:dyDescent="0.15">
      <c r="A320" s="113">
        <v>194</v>
      </c>
      <c r="B320" s="114">
        <v>1247</v>
      </c>
      <c r="C320" s="115" t="s">
        <v>258</v>
      </c>
      <c r="D320" s="116" t="s">
        <v>458</v>
      </c>
    </row>
    <row r="321" spans="1:4" x14ac:dyDescent="0.15">
      <c r="A321" s="113">
        <v>195</v>
      </c>
      <c r="B321" s="114">
        <v>1248</v>
      </c>
      <c r="C321" s="115" t="s">
        <v>258</v>
      </c>
      <c r="D321" s="116" t="s">
        <v>458</v>
      </c>
    </row>
    <row r="322" spans="1:4" x14ac:dyDescent="0.15">
      <c r="A322" s="113">
        <v>195</v>
      </c>
      <c r="B322" s="114">
        <v>1249</v>
      </c>
      <c r="C322" s="115" t="s">
        <v>258</v>
      </c>
      <c r="D322" s="116" t="s">
        <v>458</v>
      </c>
    </row>
    <row r="323" spans="1:4" x14ac:dyDescent="0.15">
      <c r="A323" s="113">
        <v>196</v>
      </c>
      <c r="B323" s="114">
        <v>1250</v>
      </c>
      <c r="C323" s="115" t="s">
        <v>258</v>
      </c>
      <c r="D323" s="116" t="s">
        <v>458</v>
      </c>
    </row>
    <row r="324" spans="1:4" x14ac:dyDescent="0.15">
      <c r="A324" s="113">
        <v>196</v>
      </c>
      <c r="B324" s="114">
        <v>1251</v>
      </c>
      <c r="C324" s="115" t="s">
        <v>258</v>
      </c>
      <c r="D324" s="116" t="s">
        <v>458</v>
      </c>
    </row>
    <row r="325" spans="1:4" x14ac:dyDescent="0.15">
      <c r="A325" s="113">
        <v>197</v>
      </c>
      <c r="B325" s="114">
        <v>1252</v>
      </c>
      <c r="C325" s="115" t="s">
        <v>258</v>
      </c>
      <c r="D325" s="116" t="s">
        <v>458</v>
      </c>
    </row>
    <row r="326" spans="1:4" x14ac:dyDescent="0.15">
      <c r="A326" s="113">
        <v>197</v>
      </c>
      <c r="B326" s="114">
        <v>1253</v>
      </c>
      <c r="C326" s="115" t="s">
        <v>258</v>
      </c>
      <c r="D326" s="116" t="s">
        <v>458</v>
      </c>
    </row>
    <row r="327" spans="1:4" x14ac:dyDescent="0.15">
      <c r="A327" s="113">
        <v>198</v>
      </c>
      <c r="B327" s="114">
        <v>1254</v>
      </c>
      <c r="C327" s="115" t="s">
        <v>258</v>
      </c>
      <c r="D327" s="116" t="s">
        <v>458</v>
      </c>
    </row>
    <row r="328" spans="1:4" x14ac:dyDescent="0.15">
      <c r="A328" s="113">
        <v>198</v>
      </c>
      <c r="B328" s="114">
        <v>1255</v>
      </c>
      <c r="C328" s="115" t="s">
        <v>258</v>
      </c>
      <c r="D328" s="116" t="s">
        <v>458</v>
      </c>
    </row>
    <row r="329" spans="1:4" x14ac:dyDescent="0.15">
      <c r="A329" s="113">
        <v>199</v>
      </c>
      <c r="B329" s="114">
        <v>1256</v>
      </c>
      <c r="C329" s="115" t="s">
        <v>258</v>
      </c>
      <c r="D329" s="116" t="s">
        <v>458</v>
      </c>
    </row>
    <row r="330" spans="1:4" x14ac:dyDescent="0.15">
      <c r="A330" s="113">
        <v>199</v>
      </c>
      <c r="B330" s="114">
        <v>1257</v>
      </c>
      <c r="C330" s="115" t="s">
        <v>258</v>
      </c>
      <c r="D330" s="116" t="s">
        <v>458</v>
      </c>
    </row>
    <row r="331" spans="1:4" x14ac:dyDescent="0.15">
      <c r="A331" s="113">
        <v>201</v>
      </c>
      <c r="B331" s="114">
        <v>1265</v>
      </c>
      <c r="C331" s="115" t="s">
        <v>258</v>
      </c>
      <c r="D331" s="116" t="s">
        <v>458</v>
      </c>
    </row>
    <row r="332" spans="1:4" x14ac:dyDescent="0.15">
      <c r="A332" s="113">
        <v>201</v>
      </c>
      <c r="B332" s="114">
        <v>1266</v>
      </c>
      <c r="C332" s="115" t="s">
        <v>258</v>
      </c>
      <c r="D332" s="116" t="s">
        <v>458</v>
      </c>
    </row>
    <row r="333" spans="1:4" x14ac:dyDescent="0.15">
      <c r="A333" s="113">
        <v>202</v>
      </c>
      <c r="B333" s="114">
        <v>1267</v>
      </c>
      <c r="C333" s="115" t="s">
        <v>258</v>
      </c>
      <c r="D333" s="116" t="s">
        <v>458</v>
      </c>
    </row>
    <row r="334" spans="1:4" x14ac:dyDescent="0.15">
      <c r="A334" s="113">
        <v>202</v>
      </c>
      <c r="B334" s="114">
        <v>1268</v>
      </c>
      <c r="C334" s="115" t="s">
        <v>258</v>
      </c>
      <c r="D334" s="116" t="s">
        <v>458</v>
      </c>
    </row>
    <row r="335" spans="1:4" x14ac:dyDescent="0.15">
      <c r="A335" s="113">
        <v>203</v>
      </c>
      <c r="B335" s="114">
        <v>1269</v>
      </c>
      <c r="C335" s="115" t="s">
        <v>258</v>
      </c>
      <c r="D335" s="116" t="s">
        <v>458</v>
      </c>
    </row>
    <row r="336" spans="1:4" x14ac:dyDescent="0.15">
      <c r="A336" s="113">
        <v>203</v>
      </c>
      <c r="B336" s="114">
        <v>1270</v>
      </c>
      <c r="C336" s="115" t="s">
        <v>258</v>
      </c>
      <c r="D336" s="116" t="s">
        <v>458</v>
      </c>
    </row>
    <row r="337" spans="1:4" x14ac:dyDescent="0.15">
      <c r="A337" s="113">
        <v>204</v>
      </c>
      <c r="B337" s="114">
        <v>1271</v>
      </c>
      <c r="C337" s="115" t="s">
        <v>258</v>
      </c>
      <c r="D337" s="116" t="s">
        <v>458</v>
      </c>
    </row>
    <row r="338" spans="1:4" x14ac:dyDescent="0.15">
      <c r="A338" s="113">
        <v>204</v>
      </c>
      <c r="B338" s="114">
        <v>1272</v>
      </c>
      <c r="C338" s="115" t="s">
        <v>258</v>
      </c>
      <c r="D338" s="116" t="s">
        <v>458</v>
      </c>
    </row>
    <row r="339" spans="1:4" x14ac:dyDescent="0.15">
      <c r="A339" s="113">
        <v>205</v>
      </c>
      <c r="B339" s="114">
        <v>1273</v>
      </c>
      <c r="C339" s="115" t="s">
        <v>258</v>
      </c>
      <c r="D339" s="116" t="s">
        <v>458</v>
      </c>
    </row>
    <row r="340" spans="1:4" x14ac:dyDescent="0.15">
      <c r="A340" s="113">
        <v>205</v>
      </c>
      <c r="B340" s="114">
        <v>1274</v>
      </c>
      <c r="C340" s="115" t="s">
        <v>258</v>
      </c>
      <c r="D340" s="116" t="s">
        <v>458</v>
      </c>
    </row>
    <row r="341" spans="1:4" x14ac:dyDescent="0.15">
      <c r="A341" s="113">
        <v>206</v>
      </c>
      <c r="B341" s="114">
        <v>1275</v>
      </c>
      <c r="C341" s="115" t="s">
        <v>258</v>
      </c>
      <c r="D341" s="116" t="s">
        <v>458</v>
      </c>
    </row>
    <row r="342" spans="1:4" x14ac:dyDescent="0.15">
      <c r="A342" s="113">
        <v>206</v>
      </c>
      <c r="B342" s="114">
        <v>1276</v>
      </c>
      <c r="C342" s="115" t="s">
        <v>258</v>
      </c>
      <c r="D342" s="116" t="s">
        <v>458</v>
      </c>
    </row>
    <row r="343" spans="1:4" x14ac:dyDescent="0.15">
      <c r="A343" s="113">
        <v>207</v>
      </c>
      <c r="B343" s="114">
        <v>1277</v>
      </c>
      <c r="C343" s="115" t="s">
        <v>258</v>
      </c>
      <c r="D343" s="116" t="s">
        <v>458</v>
      </c>
    </row>
    <row r="344" spans="1:4" x14ac:dyDescent="0.15">
      <c r="A344" s="113">
        <v>207</v>
      </c>
      <c r="B344" s="114">
        <v>1278</v>
      </c>
      <c r="C344" s="115" t="s">
        <v>258</v>
      </c>
      <c r="D344" s="116" t="s">
        <v>458</v>
      </c>
    </row>
    <row r="345" spans="1:4" x14ac:dyDescent="0.15">
      <c r="A345" s="113">
        <v>208</v>
      </c>
      <c r="B345" s="114">
        <v>1279</v>
      </c>
      <c r="C345" s="115" t="s">
        <v>258</v>
      </c>
      <c r="D345" s="116" t="s">
        <v>458</v>
      </c>
    </row>
    <row r="346" spans="1:4" x14ac:dyDescent="0.15">
      <c r="A346" s="113">
        <v>208</v>
      </c>
      <c r="B346" s="114">
        <v>1280</v>
      </c>
      <c r="C346" s="115" t="s">
        <v>258</v>
      </c>
      <c r="D346" s="116" t="s">
        <v>458</v>
      </c>
    </row>
    <row r="347" spans="1:4" x14ac:dyDescent="0.15">
      <c r="A347" s="113">
        <v>209</v>
      </c>
      <c r="B347" s="114">
        <v>1286</v>
      </c>
      <c r="C347" s="115" t="s">
        <v>258</v>
      </c>
      <c r="D347" s="116">
        <v>2</v>
      </c>
    </row>
    <row r="348" spans="1:4" x14ac:dyDescent="0.15">
      <c r="A348" s="113">
        <v>209</v>
      </c>
      <c r="B348" s="114">
        <v>1287</v>
      </c>
      <c r="C348" s="115" t="s">
        <v>258</v>
      </c>
      <c r="D348" s="116">
        <v>1</v>
      </c>
    </row>
    <row r="349" spans="1:4" x14ac:dyDescent="0.15">
      <c r="A349" s="113">
        <v>210</v>
      </c>
      <c r="B349" s="114">
        <v>1293</v>
      </c>
      <c r="C349" s="115" t="s">
        <v>258</v>
      </c>
      <c r="D349" s="116">
        <v>2</v>
      </c>
    </row>
    <row r="350" spans="1:4" x14ac:dyDescent="0.15">
      <c r="A350" s="113">
        <v>210</v>
      </c>
      <c r="B350" s="114">
        <v>1294</v>
      </c>
      <c r="C350" s="115" t="s">
        <v>258</v>
      </c>
      <c r="D350" s="116">
        <v>1</v>
      </c>
    </row>
    <row r="351" spans="1:4" x14ac:dyDescent="0.15">
      <c r="A351" s="113">
        <v>211</v>
      </c>
      <c r="B351" s="114">
        <v>1295</v>
      </c>
      <c r="C351" s="115" t="s">
        <v>258</v>
      </c>
      <c r="D351" s="116">
        <v>2</v>
      </c>
    </row>
    <row r="352" spans="1:4" x14ac:dyDescent="0.15">
      <c r="A352" s="113">
        <v>211</v>
      </c>
      <c r="B352" s="114">
        <v>1296</v>
      </c>
      <c r="C352" s="115" t="s">
        <v>258</v>
      </c>
      <c r="D352" s="116">
        <v>1</v>
      </c>
    </row>
    <row r="353" spans="1:4" x14ac:dyDescent="0.15">
      <c r="A353" s="113">
        <v>212</v>
      </c>
      <c r="B353" s="114">
        <v>1297</v>
      </c>
      <c r="C353" s="115" t="s">
        <v>258</v>
      </c>
      <c r="D353" s="116">
        <v>2</v>
      </c>
    </row>
    <row r="354" spans="1:4" x14ac:dyDescent="0.15">
      <c r="A354" s="113">
        <v>212</v>
      </c>
      <c r="B354" s="114">
        <v>1298</v>
      </c>
      <c r="C354" s="115" t="s">
        <v>258</v>
      </c>
      <c r="D354" s="116">
        <v>1</v>
      </c>
    </row>
    <row r="355" spans="1:4" x14ac:dyDescent="0.15">
      <c r="A355" s="113">
        <v>213</v>
      </c>
      <c r="B355" s="114">
        <v>1299</v>
      </c>
      <c r="C355" s="115" t="s">
        <v>258</v>
      </c>
      <c r="D355" s="116">
        <v>2</v>
      </c>
    </row>
    <row r="356" spans="1:4" x14ac:dyDescent="0.15">
      <c r="A356" s="113">
        <v>213</v>
      </c>
      <c r="B356" s="114">
        <v>1300</v>
      </c>
      <c r="C356" s="115" t="s">
        <v>258</v>
      </c>
      <c r="D356" s="116">
        <v>1</v>
      </c>
    </row>
    <row r="357" spans="1:4" x14ac:dyDescent="0.15">
      <c r="A357" s="113">
        <v>214</v>
      </c>
      <c r="B357" s="114">
        <v>1326</v>
      </c>
      <c r="C357" s="115" t="s">
        <v>258</v>
      </c>
      <c r="D357" s="116">
        <v>2</v>
      </c>
    </row>
    <row r="358" spans="1:4" x14ac:dyDescent="0.15">
      <c r="A358" s="113">
        <v>214</v>
      </c>
      <c r="B358" s="114">
        <v>1327</v>
      </c>
      <c r="C358" s="115" t="s">
        <v>258</v>
      </c>
      <c r="D358" s="116">
        <v>1</v>
      </c>
    </row>
    <row r="359" spans="1:4" x14ac:dyDescent="0.15">
      <c r="A359" s="113">
        <v>215</v>
      </c>
      <c r="B359" s="114">
        <v>1328</v>
      </c>
      <c r="C359" s="115" t="s">
        <v>258</v>
      </c>
      <c r="D359" s="116">
        <v>2</v>
      </c>
    </row>
    <row r="360" spans="1:4" x14ac:dyDescent="0.15">
      <c r="A360" s="113">
        <v>215</v>
      </c>
      <c r="B360" s="114">
        <v>1329</v>
      </c>
      <c r="C360" s="115" t="s">
        <v>258</v>
      </c>
      <c r="D360" s="116">
        <v>1</v>
      </c>
    </row>
    <row r="361" spans="1:4" x14ac:dyDescent="0.15">
      <c r="A361" s="113">
        <v>216</v>
      </c>
      <c r="B361" s="114">
        <v>1330</v>
      </c>
      <c r="C361" s="115" t="s">
        <v>258</v>
      </c>
      <c r="D361" s="116">
        <v>2</v>
      </c>
    </row>
    <row r="362" spans="1:4" x14ac:dyDescent="0.15">
      <c r="A362" s="113">
        <v>216</v>
      </c>
      <c r="B362" s="114">
        <v>1331</v>
      </c>
      <c r="C362" s="115" t="s">
        <v>258</v>
      </c>
      <c r="D362" s="116">
        <v>1</v>
      </c>
    </row>
    <row r="363" spans="1:4" x14ac:dyDescent="0.15">
      <c r="A363" s="113">
        <v>217</v>
      </c>
      <c r="B363" s="114">
        <v>1332</v>
      </c>
      <c r="C363" s="115" t="s">
        <v>258</v>
      </c>
      <c r="D363" s="116">
        <v>2</v>
      </c>
    </row>
    <row r="364" spans="1:4" x14ac:dyDescent="0.15">
      <c r="A364" s="113">
        <v>217</v>
      </c>
      <c r="B364" s="114">
        <v>1333</v>
      </c>
      <c r="C364" s="115" t="s">
        <v>258</v>
      </c>
      <c r="D364" s="116">
        <v>1</v>
      </c>
    </row>
    <row r="365" spans="1:4" x14ac:dyDescent="0.15">
      <c r="A365" s="113">
        <v>218</v>
      </c>
      <c r="B365" s="114">
        <v>1334</v>
      </c>
      <c r="C365" s="115" t="s">
        <v>258</v>
      </c>
      <c r="D365" s="116">
        <v>2</v>
      </c>
    </row>
    <row r="366" spans="1:4" x14ac:dyDescent="0.15">
      <c r="A366" s="113">
        <v>218</v>
      </c>
      <c r="B366" s="114">
        <v>1335</v>
      </c>
      <c r="C366" s="115" t="s">
        <v>258</v>
      </c>
      <c r="D366" s="116">
        <v>1</v>
      </c>
    </row>
    <row r="367" spans="1:4" x14ac:dyDescent="0.15">
      <c r="A367" s="113">
        <v>219</v>
      </c>
      <c r="B367" s="114">
        <v>1336</v>
      </c>
      <c r="C367" s="115" t="s">
        <v>258</v>
      </c>
      <c r="D367" s="116">
        <v>2</v>
      </c>
    </row>
    <row r="368" spans="1:4" x14ac:dyDescent="0.15">
      <c r="A368" s="113">
        <v>219</v>
      </c>
      <c r="B368" s="114">
        <v>1337</v>
      </c>
      <c r="C368" s="115" t="s">
        <v>258</v>
      </c>
      <c r="D368" s="116">
        <v>1</v>
      </c>
    </row>
    <row r="369" spans="1:4" x14ac:dyDescent="0.15">
      <c r="A369" s="113">
        <v>220</v>
      </c>
      <c r="B369" s="114">
        <v>1338</v>
      </c>
      <c r="C369" s="115" t="s">
        <v>258</v>
      </c>
      <c r="D369" s="116">
        <v>2</v>
      </c>
    </row>
    <row r="370" spans="1:4" x14ac:dyDescent="0.15">
      <c r="A370" s="113">
        <v>220</v>
      </c>
      <c r="B370" s="114">
        <v>1339</v>
      </c>
      <c r="C370" s="115" t="s">
        <v>258</v>
      </c>
      <c r="D370" s="116">
        <v>1</v>
      </c>
    </row>
    <row r="371" spans="1:4" x14ac:dyDescent="0.15">
      <c r="A371" s="113">
        <v>221</v>
      </c>
      <c r="B371" s="114">
        <v>1340</v>
      </c>
      <c r="C371" s="115" t="s">
        <v>258</v>
      </c>
      <c r="D371" s="116">
        <v>2</v>
      </c>
    </row>
    <row r="372" spans="1:4" x14ac:dyDescent="0.15">
      <c r="A372" s="113">
        <v>221</v>
      </c>
      <c r="B372" s="114">
        <v>1341</v>
      </c>
      <c r="C372" s="115" t="s">
        <v>258</v>
      </c>
      <c r="D372" s="116">
        <v>1</v>
      </c>
    </row>
    <row r="373" spans="1:4" x14ac:dyDescent="0.15">
      <c r="A373" s="113">
        <v>222</v>
      </c>
      <c r="B373" s="114">
        <v>1342</v>
      </c>
      <c r="C373" s="115" t="s">
        <v>258</v>
      </c>
      <c r="D373" s="116">
        <v>2</v>
      </c>
    </row>
    <row r="374" spans="1:4" x14ac:dyDescent="0.15">
      <c r="A374" s="113">
        <v>222</v>
      </c>
      <c r="B374" s="114">
        <v>1343</v>
      </c>
      <c r="C374" s="115" t="s">
        <v>258</v>
      </c>
      <c r="D374" s="116">
        <v>1</v>
      </c>
    </row>
    <row r="375" spans="1:4" x14ac:dyDescent="0.15">
      <c r="A375" s="113">
        <v>223</v>
      </c>
      <c r="B375" s="114">
        <v>1344</v>
      </c>
      <c r="C375" s="115" t="s">
        <v>258</v>
      </c>
      <c r="D375" s="116">
        <v>2</v>
      </c>
    </row>
    <row r="376" spans="1:4" x14ac:dyDescent="0.15">
      <c r="A376" s="113">
        <v>223</v>
      </c>
      <c r="B376" s="114">
        <v>1345</v>
      </c>
      <c r="C376" s="115" t="s">
        <v>258</v>
      </c>
      <c r="D376" s="116">
        <v>1</v>
      </c>
    </row>
    <row r="377" spans="1:4" x14ac:dyDescent="0.15">
      <c r="A377" s="113">
        <v>224</v>
      </c>
      <c r="B377" s="114">
        <v>1353</v>
      </c>
      <c r="C377" s="115" t="s">
        <v>258</v>
      </c>
      <c r="D377" s="116">
        <v>2</v>
      </c>
    </row>
    <row r="378" spans="1:4" x14ac:dyDescent="0.15">
      <c r="A378" s="113">
        <v>224</v>
      </c>
      <c r="B378" s="114">
        <v>1354</v>
      </c>
      <c r="C378" s="115" t="s">
        <v>258</v>
      </c>
      <c r="D378" s="116">
        <v>1</v>
      </c>
    </row>
    <row r="379" spans="1:4" x14ac:dyDescent="0.15">
      <c r="A379" s="113">
        <v>225</v>
      </c>
      <c r="B379" s="114">
        <v>1355</v>
      </c>
      <c r="C379" s="115" t="s">
        <v>258</v>
      </c>
      <c r="D379" s="116">
        <v>2</v>
      </c>
    </row>
    <row r="380" spans="1:4" x14ac:dyDescent="0.15">
      <c r="A380" s="113">
        <v>225</v>
      </c>
      <c r="B380" s="114">
        <v>1356</v>
      </c>
      <c r="C380" s="115" t="s">
        <v>258</v>
      </c>
      <c r="D380" s="116">
        <v>1</v>
      </c>
    </row>
    <row r="381" spans="1:4" x14ac:dyDescent="0.15">
      <c r="A381" s="113">
        <v>226</v>
      </c>
      <c r="B381" s="114">
        <v>1357</v>
      </c>
      <c r="C381" s="115" t="s">
        <v>258</v>
      </c>
      <c r="D381" s="116">
        <v>2</v>
      </c>
    </row>
    <row r="382" spans="1:4" x14ac:dyDescent="0.15">
      <c r="A382" s="113">
        <v>226</v>
      </c>
      <c r="B382" s="114">
        <v>1358</v>
      </c>
      <c r="C382" s="115" t="s">
        <v>258</v>
      </c>
      <c r="D382" s="116">
        <v>1</v>
      </c>
    </row>
    <row r="383" spans="1:4" x14ac:dyDescent="0.15">
      <c r="A383" s="113">
        <v>227</v>
      </c>
      <c r="B383" s="114">
        <v>1359</v>
      </c>
      <c r="C383" s="115" t="s">
        <v>258</v>
      </c>
      <c r="D383" s="116">
        <v>2</v>
      </c>
    </row>
    <row r="384" spans="1:4" x14ac:dyDescent="0.15">
      <c r="A384" s="113">
        <v>227</v>
      </c>
      <c r="B384" s="114">
        <v>1360</v>
      </c>
      <c r="C384" s="115" t="s">
        <v>258</v>
      </c>
      <c r="D384" s="116">
        <v>1</v>
      </c>
    </row>
    <row r="385" spans="1:4" x14ac:dyDescent="0.15">
      <c r="A385" s="113">
        <v>228</v>
      </c>
      <c r="B385" s="114">
        <v>1361</v>
      </c>
      <c r="C385" s="115" t="s">
        <v>269</v>
      </c>
      <c r="D385" s="116" t="s">
        <v>220</v>
      </c>
    </row>
    <row r="386" spans="1:4" x14ac:dyDescent="0.15">
      <c r="A386" s="113">
        <v>228</v>
      </c>
      <c r="B386" s="114">
        <v>1399</v>
      </c>
      <c r="C386" s="115" t="s">
        <v>269</v>
      </c>
      <c r="D386" s="116" t="s">
        <v>220</v>
      </c>
    </row>
    <row r="387" spans="1:4" x14ac:dyDescent="0.15">
      <c r="A387" s="113">
        <v>229</v>
      </c>
      <c r="B387" s="114">
        <v>1362</v>
      </c>
      <c r="C387" s="115" t="s">
        <v>269</v>
      </c>
      <c r="D387" s="116" t="s">
        <v>220</v>
      </c>
    </row>
    <row r="388" spans="1:4" x14ac:dyDescent="0.15">
      <c r="A388" s="113">
        <v>229</v>
      </c>
      <c r="B388" s="114">
        <v>1400</v>
      </c>
      <c r="C388" s="115" t="s">
        <v>269</v>
      </c>
      <c r="D388" s="116" t="s">
        <v>220</v>
      </c>
    </row>
    <row r="389" spans="1:4" x14ac:dyDescent="0.15">
      <c r="A389" s="113">
        <v>230</v>
      </c>
      <c r="B389" s="114">
        <v>1363</v>
      </c>
      <c r="C389" s="115" t="s">
        <v>258</v>
      </c>
      <c r="D389" s="116" t="s">
        <v>220</v>
      </c>
    </row>
    <row r="390" spans="1:4" x14ac:dyDescent="0.15">
      <c r="A390" s="113">
        <v>230</v>
      </c>
      <c r="B390" s="114">
        <v>1401</v>
      </c>
      <c r="C390" s="115" t="s">
        <v>258</v>
      </c>
      <c r="D390" s="116" t="s">
        <v>220</v>
      </c>
    </row>
    <row r="391" spans="1:4" x14ac:dyDescent="0.15">
      <c r="A391" s="113">
        <v>231</v>
      </c>
      <c r="B391" s="114">
        <v>1371</v>
      </c>
      <c r="C391" s="115" t="s">
        <v>246</v>
      </c>
      <c r="D391" s="116">
        <v>2</v>
      </c>
    </row>
    <row r="392" spans="1:4" x14ac:dyDescent="0.15">
      <c r="A392" s="113">
        <v>231</v>
      </c>
      <c r="B392" s="114">
        <v>1372</v>
      </c>
      <c r="C392" s="115" t="s">
        <v>246</v>
      </c>
      <c r="D392" s="116">
        <v>1</v>
      </c>
    </row>
    <row r="393" spans="1:4" x14ac:dyDescent="0.15">
      <c r="A393" s="113">
        <v>233</v>
      </c>
      <c r="B393" s="114">
        <v>1375</v>
      </c>
      <c r="C393" s="115" t="s">
        <v>246</v>
      </c>
      <c r="D393" s="116">
        <v>2</v>
      </c>
    </row>
    <row r="394" spans="1:4" x14ac:dyDescent="0.15">
      <c r="A394" s="113">
        <v>233</v>
      </c>
      <c r="B394" s="114">
        <v>1376</v>
      </c>
      <c r="C394" s="115" t="s">
        <v>246</v>
      </c>
      <c r="D394" s="116">
        <v>1</v>
      </c>
    </row>
    <row r="395" spans="1:4" x14ac:dyDescent="0.15">
      <c r="A395" s="113">
        <v>234</v>
      </c>
      <c r="B395" s="114">
        <v>1377</v>
      </c>
      <c r="C395" s="115" t="s">
        <v>246</v>
      </c>
      <c r="D395" s="116">
        <v>2</v>
      </c>
    </row>
    <row r="396" spans="1:4" x14ac:dyDescent="0.15">
      <c r="A396" s="113">
        <v>234</v>
      </c>
      <c r="B396" s="114">
        <v>1378</v>
      </c>
      <c r="C396" s="115" t="s">
        <v>246</v>
      </c>
      <c r="D396" s="116">
        <v>1</v>
      </c>
    </row>
    <row r="397" spans="1:4" x14ac:dyDescent="0.15">
      <c r="A397" s="113">
        <v>235</v>
      </c>
      <c r="B397" s="114">
        <v>1379</v>
      </c>
      <c r="C397" s="115" t="s">
        <v>246</v>
      </c>
      <c r="D397" s="116">
        <v>2</v>
      </c>
    </row>
    <row r="398" spans="1:4" x14ac:dyDescent="0.15">
      <c r="A398" s="113">
        <v>235</v>
      </c>
      <c r="B398" s="114">
        <v>1380</v>
      </c>
      <c r="C398" s="115" t="s">
        <v>246</v>
      </c>
      <c r="D398" s="116">
        <v>1</v>
      </c>
    </row>
    <row r="399" spans="1:4" x14ac:dyDescent="0.15">
      <c r="A399" s="113">
        <v>236</v>
      </c>
      <c r="B399" s="114">
        <v>1381</v>
      </c>
      <c r="C399" s="115" t="s">
        <v>246</v>
      </c>
      <c r="D399" s="116">
        <v>2</v>
      </c>
    </row>
    <row r="400" spans="1:4" x14ac:dyDescent="0.15">
      <c r="A400" s="113">
        <v>236</v>
      </c>
      <c r="B400" s="114">
        <v>1382</v>
      </c>
      <c r="C400" s="115" t="s">
        <v>246</v>
      </c>
      <c r="D400" s="116">
        <v>1</v>
      </c>
    </row>
    <row r="401" spans="1:4" x14ac:dyDescent="0.15">
      <c r="A401" s="113">
        <v>237</v>
      </c>
      <c r="B401" s="114">
        <v>1383</v>
      </c>
      <c r="C401" s="115" t="s">
        <v>246</v>
      </c>
      <c r="D401" s="116">
        <v>2</v>
      </c>
    </row>
    <row r="402" spans="1:4" x14ac:dyDescent="0.15">
      <c r="A402" s="113">
        <v>237</v>
      </c>
      <c r="B402" s="114">
        <v>1384</v>
      </c>
      <c r="C402" s="115" t="s">
        <v>246</v>
      </c>
      <c r="D402" s="116">
        <v>1</v>
      </c>
    </row>
    <row r="403" spans="1:4" x14ac:dyDescent="0.15">
      <c r="A403" s="113">
        <v>238</v>
      </c>
      <c r="B403" s="114">
        <v>1385</v>
      </c>
      <c r="C403" s="115" t="s">
        <v>258</v>
      </c>
      <c r="D403" s="116">
        <v>2</v>
      </c>
    </row>
    <row r="404" spans="1:4" x14ac:dyDescent="0.15">
      <c r="A404" s="113">
        <v>238</v>
      </c>
      <c r="B404" s="114">
        <v>1386</v>
      </c>
      <c r="C404" s="115" t="s">
        <v>258</v>
      </c>
      <c r="D404" s="116">
        <v>1</v>
      </c>
    </row>
    <row r="405" spans="1:4" x14ac:dyDescent="0.15">
      <c r="A405" s="113">
        <v>241</v>
      </c>
      <c r="B405" s="114">
        <v>1042</v>
      </c>
      <c r="C405" s="115" t="s">
        <v>270</v>
      </c>
      <c r="D405" s="116">
        <v>2</v>
      </c>
    </row>
    <row r="406" spans="1:4" x14ac:dyDescent="0.15">
      <c r="A406" s="113">
        <v>241</v>
      </c>
      <c r="B406" s="114">
        <v>1043</v>
      </c>
      <c r="C406" s="115" t="s">
        <v>270</v>
      </c>
      <c r="D406" s="116">
        <v>1</v>
      </c>
    </row>
    <row r="407" spans="1:4" x14ac:dyDescent="0.15">
      <c r="A407" s="113">
        <v>242</v>
      </c>
      <c r="B407" s="114">
        <v>44</v>
      </c>
      <c r="C407" s="115" t="s">
        <v>271</v>
      </c>
      <c r="D407" s="116">
        <v>1</v>
      </c>
    </row>
    <row r="408" spans="1:4" x14ac:dyDescent="0.15">
      <c r="A408" s="113">
        <v>242</v>
      </c>
      <c r="B408" s="114">
        <v>208</v>
      </c>
      <c r="C408" s="115" t="s">
        <v>271</v>
      </c>
      <c r="D408" s="116">
        <v>2</v>
      </c>
    </row>
    <row r="409" spans="1:4" x14ac:dyDescent="0.15">
      <c r="A409" s="113">
        <v>243</v>
      </c>
      <c r="B409" s="114">
        <v>21</v>
      </c>
      <c r="C409" s="115" t="s">
        <v>272</v>
      </c>
      <c r="D409" s="116">
        <v>1</v>
      </c>
    </row>
    <row r="410" spans="1:4" x14ac:dyDescent="0.15">
      <c r="A410" s="113">
        <v>243</v>
      </c>
      <c r="B410" s="114">
        <v>231</v>
      </c>
      <c r="C410" s="115" t="s">
        <v>272</v>
      </c>
      <c r="D410" s="116" t="s">
        <v>462</v>
      </c>
    </row>
    <row r="411" spans="1:4" x14ac:dyDescent="0.15">
      <c r="A411" s="113">
        <v>244</v>
      </c>
      <c r="B411" s="114">
        <v>40</v>
      </c>
      <c r="C411" s="115" t="s">
        <v>258</v>
      </c>
      <c r="D411" s="116">
        <v>1</v>
      </c>
    </row>
    <row r="412" spans="1:4" x14ac:dyDescent="0.15">
      <c r="A412" s="113">
        <v>244</v>
      </c>
      <c r="B412" s="114">
        <v>206</v>
      </c>
      <c r="C412" s="115" t="s">
        <v>258</v>
      </c>
      <c r="D412" s="116">
        <v>2</v>
      </c>
    </row>
    <row r="413" spans="1:4" x14ac:dyDescent="0.15">
      <c r="A413" s="113">
        <v>245</v>
      </c>
      <c r="B413" s="114">
        <v>1012</v>
      </c>
      <c r="C413" s="115" t="s">
        <v>271</v>
      </c>
      <c r="D413" s="116">
        <v>2</v>
      </c>
    </row>
    <row r="414" spans="1:4" x14ac:dyDescent="0.15">
      <c r="A414" s="113">
        <v>245</v>
      </c>
      <c r="B414" s="114">
        <v>1013</v>
      </c>
      <c r="C414" s="115" t="s">
        <v>271</v>
      </c>
      <c r="D414" s="116">
        <v>1</v>
      </c>
    </row>
    <row r="415" spans="1:4" x14ac:dyDescent="0.15">
      <c r="A415" s="113">
        <v>246</v>
      </c>
      <c r="B415" s="114">
        <v>160</v>
      </c>
      <c r="C415" s="115" t="s">
        <v>273</v>
      </c>
      <c r="D415" s="116">
        <v>2</v>
      </c>
    </row>
    <row r="416" spans="1:4" x14ac:dyDescent="0.15">
      <c r="A416" s="113">
        <v>246</v>
      </c>
      <c r="B416" s="114">
        <v>276</v>
      </c>
      <c r="C416" s="115" t="s">
        <v>273</v>
      </c>
      <c r="D416" s="116">
        <v>1</v>
      </c>
    </row>
    <row r="417" spans="1:4" x14ac:dyDescent="0.15">
      <c r="A417" s="113">
        <v>246</v>
      </c>
      <c r="B417" s="114">
        <v>277</v>
      </c>
      <c r="C417" s="115" t="s">
        <v>273</v>
      </c>
      <c r="D417" s="116">
        <v>1</v>
      </c>
    </row>
    <row r="418" spans="1:4" x14ac:dyDescent="0.15">
      <c r="A418" s="113">
        <v>247</v>
      </c>
      <c r="B418" s="114">
        <v>1288</v>
      </c>
      <c r="C418" s="115" t="s">
        <v>271</v>
      </c>
      <c r="D418" s="116">
        <v>1</v>
      </c>
    </row>
    <row r="419" spans="1:4" x14ac:dyDescent="0.15">
      <c r="A419" s="113">
        <v>247</v>
      </c>
      <c r="B419" s="114">
        <v>1289</v>
      </c>
      <c r="C419" s="115" t="s">
        <v>271</v>
      </c>
      <c r="D419" s="116">
        <v>2</v>
      </c>
    </row>
    <row r="420" spans="1:4" x14ac:dyDescent="0.15">
      <c r="A420" s="113">
        <v>248</v>
      </c>
      <c r="B420" s="114">
        <v>1174</v>
      </c>
      <c r="C420" s="115" t="s">
        <v>258</v>
      </c>
      <c r="D420" s="116">
        <v>1</v>
      </c>
    </row>
    <row r="421" spans="1:4" x14ac:dyDescent="0.15">
      <c r="A421" s="113">
        <v>248</v>
      </c>
      <c r="B421" s="114">
        <v>1175</v>
      </c>
      <c r="C421" s="115" t="s">
        <v>258</v>
      </c>
      <c r="D421" s="116">
        <v>2</v>
      </c>
    </row>
    <row r="422" spans="1:4" x14ac:dyDescent="0.15">
      <c r="A422" s="113">
        <v>249</v>
      </c>
      <c r="B422" s="114">
        <v>1351</v>
      </c>
      <c r="C422" s="115" t="s">
        <v>271</v>
      </c>
      <c r="D422" s="116">
        <v>2</v>
      </c>
    </row>
    <row r="423" spans="1:4" x14ac:dyDescent="0.15">
      <c r="A423" s="113">
        <v>249</v>
      </c>
      <c r="B423" s="114">
        <v>1352</v>
      </c>
      <c r="C423" s="115" t="s">
        <v>271</v>
      </c>
      <c r="D423" s="116">
        <v>1</v>
      </c>
    </row>
    <row r="424" spans="1:4" x14ac:dyDescent="0.15">
      <c r="A424" s="113">
        <v>250</v>
      </c>
      <c r="B424" s="114">
        <v>206</v>
      </c>
      <c r="C424" s="115" t="s">
        <v>274</v>
      </c>
      <c r="D424" s="116" t="s">
        <v>220</v>
      </c>
    </row>
    <row r="425" spans="1:4" x14ac:dyDescent="0.15">
      <c r="A425" s="113">
        <v>251</v>
      </c>
      <c r="B425" s="114">
        <v>210</v>
      </c>
      <c r="C425" s="115" t="s">
        <v>274</v>
      </c>
      <c r="D425" s="116" t="s">
        <v>220</v>
      </c>
    </row>
    <row r="426" spans="1:4" x14ac:dyDescent="0.15">
      <c r="A426" s="113">
        <v>252</v>
      </c>
      <c r="B426" s="114">
        <v>212</v>
      </c>
      <c r="C426" s="115" t="s">
        <v>274</v>
      </c>
      <c r="D426" s="116" t="s">
        <v>220</v>
      </c>
    </row>
    <row r="427" spans="1:4" x14ac:dyDescent="0.15">
      <c r="A427" s="113">
        <v>253</v>
      </c>
      <c r="B427" s="114">
        <v>1290</v>
      </c>
      <c r="C427" s="115" t="s">
        <v>274</v>
      </c>
      <c r="D427" s="116" t="s">
        <v>220</v>
      </c>
    </row>
    <row r="428" spans="1:4" x14ac:dyDescent="0.15">
      <c r="A428" s="113">
        <v>254</v>
      </c>
      <c r="B428" s="114">
        <v>1316</v>
      </c>
      <c r="C428" s="115" t="s">
        <v>275</v>
      </c>
      <c r="D428" s="116">
        <v>2</v>
      </c>
    </row>
    <row r="429" spans="1:4" x14ac:dyDescent="0.15">
      <c r="A429" s="113">
        <v>254</v>
      </c>
      <c r="B429" s="114">
        <v>1317</v>
      </c>
      <c r="C429" s="115" t="s">
        <v>275</v>
      </c>
      <c r="D429" s="116">
        <v>1</v>
      </c>
    </row>
    <row r="430" spans="1:4" x14ac:dyDescent="0.15">
      <c r="A430" s="113">
        <v>255</v>
      </c>
      <c r="B430" s="114">
        <v>1320</v>
      </c>
      <c r="C430" s="115" t="s">
        <v>276</v>
      </c>
      <c r="D430" s="116">
        <v>2</v>
      </c>
    </row>
    <row r="431" spans="1:4" x14ac:dyDescent="0.15">
      <c r="A431" s="113">
        <v>255</v>
      </c>
      <c r="B431" s="114">
        <v>1321</v>
      </c>
      <c r="C431" s="115" t="s">
        <v>276</v>
      </c>
      <c r="D431" s="116">
        <v>1</v>
      </c>
    </row>
    <row r="432" spans="1:4" x14ac:dyDescent="0.15">
      <c r="A432" s="113">
        <v>257</v>
      </c>
      <c r="B432" s="114">
        <v>57</v>
      </c>
      <c r="C432" s="115" t="s">
        <v>277</v>
      </c>
      <c r="D432" s="116">
        <v>1</v>
      </c>
    </row>
    <row r="433" spans="1:4" x14ac:dyDescent="0.15">
      <c r="A433" s="113">
        <v>257</v>
      </c>
      <c r="B433" s="114">
        <v>196</v>
      </c>
      <c r="C433" s="115" t="s">
        <v>277</v>
      </c>
      <c r="D433" s="116">
        <v>2</v>
      </c>
    </row>
    <row r="434" spans="1:4" x14ac:dyDescent="0.15">
      <c r="A434" s="113">
        <v>258</v>
      </c>
      <c r="B434" s="114">
        <v>56</v>
      </c>
      <c r="C434" s="115" t="s">
        <v>278</v>
      </c>
      <c r="D434" s="116">
        <v>1</v>
      </c>
    </row>
    <row r="435" spans="1:4" x14ac:dyDescent="0.15">
      <c r="A435" s="113">
        <v>258</v>
      </c>
      <c r="B435" s="114">
        <v>195</v>
      </c>
      <c r="C435" s="115" t="s">
        <v>278</v>
      </c>
      <c r="D435" s="116">
        <v>2</v>
      </c>
    </row>
    <row r="436" spans="1:4" x14ac:dyDescent="0.15">
      <c r="A436" s="113">
        <v>259</v>
      </c>
      <c r="B436" s="114">
        <v>94</v>
      </c>
      <c r="C436" s="115" t="s">
        <v>279</v>
      </c>
      <c r="D436" s="116">
        <v>1</v>
      </c>
    </row>
    <row r="437" spans="1:4" x14ac:dyDescent="0.15">
      <c r="A437" s="113">
        <v>259</v>
      </c>
      <c r="B437" s="114">
        <v>167</v>
      </c>
      <c r="C437" s="115" t="s">
        <v>279</v>
      </c>
      <c r="D437" s="116">
        <v>2</v>
      </c>
    </row>
    <row r="438" spans="1:4" x14ac:dyDescent="0.15">
      <c r="A438" s="113">
        <v>260</v>
      </c>
      <c r="B438" s="114">
        <v>59</v>
      </c>
      <c r="C438" s="115" t="s">
        <v>278</v>
      </c>
      <c r="D438" s="116" t="s">
        <v>458</v>
      </c>
    </row>
    <row r="439" spans="1:4" x14ac:dyDescent="0.15">
      <c r="A439" s="113">
        <v>260</v>
      </c>
      <c r="B439" s="114">
        <v>191</v>
      </c>
      <c r="C439" s="115" t="s">
        <v>278</v>
      </c>
      <c r="D439" s="116" t="s">
        <v>458</v>
      </c>
    </row>
    <row r="440" spans="1:4" x14ac:dyDescent="0.15">
      <c r="A440" s="113">
        <v>261</v>
      </c>
      <c r="B440" s="114">
        <v>55</v>
      </c>
      <c r="C440" s="115" t="s">
        <v>278</v>
      </c>
      <c r="D440" s="116">
        <v>1</v>
      </c>
    </row>
    <row r="441" spans="1:4" x14ac:dyDescent="0.15">
      <c r="A441" s="113">
        <v>261</v>
      </c>
      <c r="B441" s="114">
        <v>194</v>
      </c>
      <c r="C441" s="115" t="s">
        <v>278</v>
      </c>
      <c r="D441" s="116" t="s">
        <v>461</v>
      </c>
    </row>
    <row r="442" spans="1:4" x14ac:dyDescent="0.15">
      <c r="A442" s="113">
        <v>262</v>
      </c>
      <c r="B442" s="114">
        <v>57</v>
      </c>
      <c r="C442" s="115" t="s">
        <v>278</v>
      </c>
      <c r="D442" s="116">
        <v>1</v>
      </c>
    </row>
    <row r="443" spans="1:4" x14ac:dyDescent="0.15">
      <c r="A443" s="113">
        <v>262</v>
      </c>
      <c r="B443" s="114">
        <v>196</v>
      </c>
      <c r="C443" s="115" t="s">
        <v>278</v>
      </c>
      <c r="D443" s="116" t="s">
        <v>463</v>
      </c>
    </row>
    <row r="444" spans="1:4" x14ac:dyDescent="0.15">
      <c r="A444" s="113">
        <v>263</v>
      </c>
      <c r="B444" s="114">
        <v>1010</v>
      </c>
      <c r="C444" s="115" t="s">
        <v>278</v>
      </c>
      <c r="D444" s="116">
        <v>2</v>
      </c>
    </row>
    <row r="445" spans="1:4" x14ac:dyDescent="0.15">
      <c r="A445" s="113">
        <v>263</v>
      </c>
      <c r="B445" s="114">
        <v>1011</v>
      </c>
      <c r="C445" s="115" t="s">
        <v>278</v>
      </c>
      <c r="D445" s="116">
        <v>1</v>
      </c>
    </row>
    <row r="446" spans="1:4" x14ac:dyDescent="0.15">
      <c r="A446" s="113">
        <v>264</v>
      </c>
      <c r="B446" s="114">
        <v>1069</v>
      </c>
      <c r="C446" s="115" t="s">
        <v>278</v>
      </c>
      <c r="D446" s="116">
        <v>1</v>
      </c>
    </row>
    <row r="447" spans="1:4" x14ac:dyDescent="0.15">
      <c r="A447" s="113">
        <v>264</v>
      </c>
      <c r="B447" s="114">
        <v>1070</v>
      </c>
      <c r="C447" s="115" t="s">
        <v>278</v>
      </c>
      <c r="D447" s="116">
        <v>2</v>
      </c>
    </row>
    <row r="448" spans="1:4" x14ac:dyDescent="0.15">
      <c r="A448" s="113">
        <v>265</v>
      </c>
      <c r="B448" s="114">
        <v>190</v>
      </c>
      <c r="C448" s="115" t="s">
        <v>280</v>
      </c>
      <c r="D448" s="116" t="s">
        <v>460</v>
      </c>
    </row>
    <row r="449" spans="1:4" x14ac:dyDescent="0.15">
      <c r="A449" s="113">
        <v>266</v>
      </c>
      <c r="B449" s="114">
        <v>191</v>
      </c>
      <c r="C449" s="115" t="s">
        <v>280</v>
      </c>
      <c r="D449" s="116" t="s">
        <v>220</v>
      </c>
    </row>
    <row r="450" spans="1:4" x14ac:dyDescent="0.15">
      <c r="A450" s="113">
        <v>267</v>
      </c>
      <c r="B450" s="114">
        <v>192</v>
      </c>
      <c r="C450" s="115" t="s">
        <v>280</v>
      </c>
      <c r="D450" s="116" t="s">
        <v>220</v>
      </c>
    </row>
    <row r="451" spans="1:4" x14ac:dyDescent="0.15">
      <c r="A451" s="113">
        <v>268</v>
      </c>
      <c r="B451" s="114">
        <v>193</v>
      </c>
      <c r="C451" s="115" t="s">
        <v>280</v>
      </c>
      <c r="D451" s="116" t="s">
        <v>460</v>
      </c>
    </row>
    <row r="452" spans="1:4" x14ac:dyDescent="0.15">
      <c r="A452" s="113">
        <v>269</v>
      </c>
      <c r="B452" s="114">
        <v>194</v>
      </c>
      <c r="C452" s="115" t="s">
        <v>280</v>
      </c>
      <c r="D452" s="116" t="s">
        <v>220</v>
      </c>
    </row>
    <row r="453" spans="1:4" x14ac:dyDescent="0.15">
      <c r="A453" s="113">
        <v>270</v>
      </c>
      <c r="B453" s="114">
        <v>196</v>
      </c>
      <c r="C453" s="115" t="s">
        <v>280</v>
      </c>
      <c r="D453" s="116" t="s">
        <v>460</v>
      </c>
    </row>
    <row r="454" spans="1:4" x14ac:dyDescent="0.15">
      <c r="A454" s="113">
        <v>271</v>
      </c>
      <c r="B454" s="114">
        <v>1088</v>
      </c>
      <c r="C454" s="115" t="s">
        <v>280</v>
      </c>
      <c r="D454" s="116" t="s">
        <v>220</v>
      </c>
    </row>
    <row r="455" spans="1:4" x14ac:dyDescent="0.15">
      <c r="A455" s="113">
        <v>272</v>
      </c>
      <c r="B455" s="114">
        <v>1089</v>
      </c>
      <c r="C455" s="115" t="s">
        <v>280</v>
      </c>
      <c r="D455" s="116" t="s">
        <v>220</v>
      </c>
    </row>
    <row r="456" spans="1:4" x14ac:dyDescent="0.15">
      <c r="A456" s="113">
        <v>273</v>
      </c>
      <c r="B456" s="114">
        <v>1090</v>
      </c>
      <c r="C456" s="115" t="s">
        <v>280</v>
      </c>
      <c r="D456" s="116" t="s">
        <v>220</v>
      </c>
    </row>
    <row r="457" spans="1:4" x14ac:dyDescent="0.15">
      <c r="A457" s="113">
        <v>274</v>
      </c>
      <c r="B457" s="114">
        <v>1115</v>
      </c>
      <c r="C457" s="115" t="s">
        <v>280</v>
      </c>
      <c r="D457" s="116" t="s">
        <v>220</v>
      </c>
    </row>
    <row r="458" spans="1:4" x14ac:dyDescent="0.15">
      <c r="A458" s="113">
        <v>276</v>
      </c>
      <c r="B458" s="114">
        <v>1347</v>
      </c>
      <c r="C458" s="115" t="s">
        <v>280</v>
      </c>
      <c r="D458" s="116" t="s">
        <v>220</v>
      </c>
    </row>
    <row r="459" spans="1:4" x14ac:dyDescent="0.15">
      <c r="A459" s="113">
        <v>277</v>
      </c>
      <c r="B459" s="114">
        <v>52</v>
      </c>
      <c r="C459" s="115" t="s">
        <v>281</v>
      </c>
      <c r="D459" s="116" t="s">
        <v>220</v>
      </c>
    </row>
    <row r="460" spans="1:4" x14ac:dyDescent="0.15">
      <c r="A460" s="113">
        <v>278</v>
      </c>
      <c r="B460" s="114">
        <v>105</v>
      </c>
      <c r="C460" s="115" t="s">
        <v>282</v>
      </c>
      <c r="D460" s="116" t="s">
        <v>220</v>
      </c>
    </row>
    <row r="461" spans="1:4" x14ac:dyDescent="0.15">
      <c r="A461" s="113">
        <v>279</v>
      </c>
      <c r="B461" s="114">
        <v>16</v>
      </c>
      <c r="C461" s="115" t="s">
        <v>283</v>
      </c>
      <c r="D461" s="116" t="s">
        <v>220</v>
      </c>
    </row>
    <row r="462" spans="1:4" x14ac:dyDescent="0.15">
      <c r="A462" s="113">
        <v>280</v>
      </c>
      <c r="B462" s="114">
        <v>170</v>
      </c>
      <c r="C462" s="115" t="s">
        <v>284</v>
      </c>
      <c r="D462" s="116" t="s">
        <v>458</v>
      </c>
    </row>
    <row r="463" spans="1:4" x14ac:dyDescent="0.15">
      <c r="A463" s="113">
        <v>281</v>
      </c>
      <c r="B463" s="114">
        <v>11</v>
      </c>
      <c r="C463" s="115" t="s">
        <v>285</v>
      </c>
      <c r="D463" s="116">
        <v>2</v>
      </c>
    </row>
    <row r="464" spans="1:4" x14ac:dyDescent="0.15">
      <c r="A464" s="113">
        <v>281</v>
      </c>
      <c r="B464" s="114">
        <v>95</v>
      </c>
      <c r="C464" s="115" t="s">
        <v>285</v>
      </c>
      <c r="D464" s="116">
        <v>1</v>
      </c>
    </row>
    <row r="465" spans="1:4" x14ac:dyDescent="0.15">
      <c r="A465" s="113">
        <v>283</v>
      </c>
      <c r="B465" s="114">
        <v>1016</v>
      </c>
      <c r="C465" s="115" t="s">
        <v>286</v>
      </c>
      <c r="D465" s="116">
        <v>1</v>
      </c>
    </row>
    <row r="466" spans="1:4" x14ac:dyDescent="0.15">
      <c r="A466" s="113">
        <v>283</v>
      </c>
      <c r="B466" s="114">
        <v>1017</v>
      </c>
      <c r="C466" s="115" t="s">
        <v>286</v>
      </c>
      <c r="D466" s="116">
        <v>2</v>
      </c>
    </row>
    <row r="467" spans="1:4" x14ac:dyDescent="0.15">
      <c r="A467" s="113">
        <v>284</v>
      </c>
      <c r="B467" s="114">
        <v>177</v>
      </c>
      <c r="C467" s="115" t="s">
        <v>227</v>
      </c>
      <c r="D467" s="116" t="s">
        <v>220</v>
      </c>
    </row>
    <row r="468" spans="1:4" x14ac:dyDescent="0.15">
      <c r="A468" s="113">
        <v>285</v>
      </c>
      <c r="B468" s="114">
        <v>178</v>
      </c>
      <c r="C468" s="115" t="s">
        <v>227</v>
      </c>
      <c r="D468" s="116" t="s">
        <v>458</v>
      </c>
    </row>
    <row r="469" spans="1:4" x14ac:dyDescent="0.15">
      <c r="A469" s="113">
        <v>286</v>
      </c>
      <c r="B469" s="114">
        <v>103</v>
      </c>
      <c r="C469" s="115" t="s">
        <v>287</v>
      </c>
      <c r="D469" s="116" t="s">
        <v>220</v>
      </c>
    </row>
    <row r="470" spans="1:4" x14ac:dyDescent="0.15">
      <c r="A470" s="113">
        <v>287</v>
      </c>
      <c r="B470" s="114">
        <v>1364</v>
      </c>
      <c r="C470" s="115" t="s">
        <v>288</v>
      </c>
      <c r="D470" s="116" t="s">
        <v>220</v>
      </c>
    </row>
    <row r="471" spans="1:4" x14ac:dyDescent="0.15">
      <c r="A471" s="113">
        <v>287</v>
      </c>
      <c r="B471" s="114">
        <v>1402</v>
      </c>
      <c r="C471" s="115" t="s">
        <v>288</v>
      </c>
      <c r="D471" s="116" t="s">
        <v>220</v>
      </c>
    </row>
    <row r="472" spans="1:4" x14ac:dyDescent="0.15">
      <c r="A472" s="113">
        <v>288</v>
      </c>
      <c r="B472" s="114">
        <v>1036</v>
      </c>
      <c r="C472" s="115" t="s">
        <v>289</v>
      </c>
      <c r="D472" s="116" t="s">
        <v>220</v>
      </c>
    </row>
    <row r="473" spans="1:4" x14ac:dyDescent="0.15">
      <c r="A473" s="113">
        <v>289</v>
      </c>
      <c r="B473" s="114">
        <v>1041</v>
      </c>
      <c r="C473" s="115" t="s">
        <v>289</v>
      </c>
      <c r="D473" s="116" t="s">
        <v>220</v>
      </c>
    </row>
    <row r="474" spans="1:4" x14ac:dyDescent="0.15">
      <c r="A474" s="113">
        <v>290</v>
      </c>
      <c r="B474" s="114">
        <v>1050</v>
      </c>
      <c r="C474" s="115" t="s">
        <v>289</v>
      </c>
      <c r="D474" s="116" t="s">
        <v>220</v>
      </c>
    </row>
    <row r="475" spans="1:4" x14ac:dyDescent="0.15">
      <c r="A475" s="113">
        <v>291</v>
      </c>
      <c r="B475" s="114">
        <v>1051</v>
      </c>
      <c r="C475" s="115" t="s">
        <v>289</v>
      </c>
      <c r="D475" s="116" t="s">
        <v>220</v>
      </c>
    </row>
    <row r="476" spans="1:4" x14ac:dyDescent="0.15">
      <c r="A476" s="113">
        <v>292</v>
      </c>
      <c r="B476" s="114">
        <v>1052</v>
      </c>
      <c r="C476" s="115" t="s">
        <v>289</v>
      </c>
      <c r="D476" s="116" t="s">
        <v>220</v>
      </c>
    </row>
    <row r="477" spans="1:4" x14ac:dyDescent="0.15">
      <c r="A477" s="113">
        <v>297</v>
      </c>
      <c r="B477" s="114">
        <v>1367</v>
      </c>
      <c r="C477" s="115" t="s">
        <v>289</v>
      </c>
      <c r="D477" s="116" t="s">
        <v>220</v>
      </c>
    </row>
    <row r="478" spans="1:4" x14ac:dyDescent="0.15">
      <c r="A478" s="113">
        <v>298</v>
      </c>
      <c r="B478" s="114">
        <v>1368</v>
      </c>
      <c r="C478" s="115" t="s">
        <v>289</v>
      </c>
      <c r="D478" s="116" t="s">
        <v>220</v>
      </c>
    </row>
    <row r="479" spans="1:4" x14ac:dyDescent="0.15">
      <c r="A479" s="113">
        <v>299</v>
      </c>
      <c r="B479" s="114">
        <v>1053</v>
      </c>
      <c r="C479" s="115" t="s">
        <v>289</v>
      </c>
      <c r="D479" s="116" t="s">
        <v>220</v>
      </c>
    </row>
    <row r="480" spans="1:4" x14ac:dyDescent="0.15">
      <c r="A480" s="113">
        <v>300</v>
      </c>
      <c r="B480" s="114">
        <v>1080</v>
      </c>
      <c r="C480" s="115" t="s">
        <v>290</v>
      </c>
      <c r="D480" s="116">
        <v>1</v>
      </c>
    </row>
    <row r="481" spans="1:4" x14ac:dyDescent="0.15">
      <c r="A481" s="113">
        <v>300</v>
      </c>
      <c r="B481" s="114">
        <v>1081</v>
      </c>
      <c r="C481" s="115" t="s">
        <v>290</v>
      </c>
      <c r="D481" s="116">
        <v>1</v>
      </c>
    </row>
    <row r="482" spans="1:4" x14ac:dyDescent="0.15">
      <c r="A482" s="113">
        <v>301</v>
      </c>
      <c r="B482" s="114">
        <v>1095</v>
      </c>
      <c r="C482" s="115" t="s">
        <v>291</v>
      </c>
      <c r="D482" s="116">
        <v>1</v>
      </c>
    </row>
    <row r="483" spans="1:4" x14ac:dyDescent="0.15">
      <c r="A483" s="113">
        <v>301</v>
      </c>
      <c r="B483" s="114">
        <v>1096</v>
      </c>
      <c r="C483" s="115" t="s">
        <v>291</v>
      </c>
      <c r="D483" s="116">
        <v>1</v>
      </c>
    </row>
    <row r="484" spans="1:4" x14ac:dyDescent="0.15">
      <c r="A484" s="113">
        <v>302</v>
      </c>
      <c r="B484" s="114">
        <v>1101</v>
      </c>
      <c r="C484" s="115" t="s">
        <v>292</v>
      </c>
      <c r="D484" s="116">
        <v>1</v>
      </c>
    </row>
    <row r="485" spans="1:4" x14ac:dyDescent="0.15">
      <c r="A485" s="113">
        <v>302</v>
      </c>
      <c r="B485" s="114">
        <v>1102</v>
      </c>
      <c r="C485" s="115" t="s">
        <v>292</v>
      </c>
      <c r="D485" s="116">
        <v>1</v>
      </c>
    </row>
    <row r="486" spans="1:4" x14ac:dyDescent="0.15">
      <c r="A486" s="113">
        <v>303</v>
      </c>
      <c r="B486" s="114">
        <v>1054</v>
      </c>
      <c r="C486" s="115" t="s">
        <v>289</v>
      </c>
      <c r="D486" s="116" t="s">
        <v>220</v>
      </c>
    </row>
    <row r="487" spans="1:4" x14ac:dyDescent="0.15">
      <c r="A487" s="113">
        <v>304</v>
      </c>
      <c r="B487" s="114">
        <v>1083</v>
      </c>
      <c r="C487" s="115" t="s">
        <v>289</v>
      </c>
      <c r="D487" s="116" t="s">
        <v>220</v>
      </c>
    </row>
    <row r="488" spans="1:4" x14ac:dyDescent="0.15">
      <c r="A488" s="113">
        <v>305</v>
      </c>
      <c r="B488" s="114">
        <v>1084</v>
      </c>
      <c r="C488" s="115" t="s">
        <v>293</v>
      </c>
      <c r="D488" s="116">
        <v>1</v>
      </c>
    </row>
    <row r="489" spans="1:4" x14ac:dyDescent="0.15">
      <c r="A489" s="113">
        <v>305</v>
      </c>
      <c r="B489" s="114">
        <v>1085</v>
      </c>
      <c r="C489" s="115" t="s">
        <v>293</v>
      </c>
      <c r="D489" s="116">
        <v>2</v>
      </c>
    </row>
    <row r="490" spans="1:4" x14ac:dyDescent="0.15">
      <c r="A490" s="113">
        <v>306</v>
      </c>
      <c r="B490" s="114">
        <v>1086</v>
      </c>
      <c r="C490" s="115" t="s">
        <v>293</v>
      </c>
      <c r="D490" s="116">
        <v>1</v>
      </c>
    </row>
    <row r="491" spans="1:4" x14ac:dyDescent="0.15">
      <c r="A491" s="113">
        <v>306</v>
      </c>
      <c r="B491" s="114">
        <v>1087</v>
      </c>
      <c r="C491" s="115" t="s">
        <v>293</v>
      </c>
      <c r="D491" s="116">
        <v>2</v>
      </c>
    </row>
    <row r="492" spans="1:4" x14ac:dyDescent="0.15">
      <c r="A492" s="113">
        <v>307</v>
      </c>
      <c r="B492" s="114">
        <v>1091</v>
      </c>
      <c r="C492" s="115" t="s">
        <v>293</v>
      </c>
      <c r="D492" s="116">
        <v>1</v>
      </c>
    </row>
    <row r="493" spans="1:4" x14ac:dyDescent="0.15">
      <c r="A493" s="113">
        <v>307</v>
      </c>
      <c r="B493" s="114">
        <v>1092</v>
      </c>
      <c r="C493" s="115" t="s">
        <v>293</v>
      </c>
      <c r="D493" s="116">
        <v>2</v>
      </c>
    </row>
    <row r="494" spans="1:4" x14ac:dyDescent="0.15">
      <c r="A494" s="113">
        <v>308</v>
      </c>
      <c r="B494" s="114">
        <v>1093</v>
      </c>
      <c r="C494" s="115" t="s">
        <v>293</v>
      </c>
      <c r="D494" s="116">
        <v>1</v>
      </c>
    </row>
    <row r="495" spans="1:4" x14ac:dyDescent="0.15">
      <c r="A495" s="113">
        <v>308</v>
      </c>
      <c r="B495" s="114">
        <v>1094</v>
      </c>
      <c r="C495" s="115" t="s">
        <v>293</v>
      </c>
      <c r="D495" s="116">
        <v>2</v>
      </c>
    </row>
    <row r="496" spans="1:4" x14ac:dyDescent="0.15">
      <c r="A496" s="113">
        <v>309</v>
      </c>
      <c r="B496" s="114">
        <v>1098</v>
      </c>
      <c r="C496" s="115" t="s">
        <v>294</v>
      </c>
      <c r="D496" s="116">
        <v>1</v>
      </c>
    </row>
    <row r="497" spans="1:4" x14ac:dyDescent="0.15">
      <c r="A497" s="113">
        <v>309</v>
      </c>
      <c r="B497" s="114">
        <v>1099</v>
      </c>
      <c r="C497" s="115" t="s">
        <v>294</v>
      </c>
      <c r="D497" s="116">
        <v>1</v>
      </c>
    </row>
    <row r="498" spans="1:4" x14ac:dyDescent="0.15">
      <c r="A498" s="113">
        <v>310</v>
      </c>
      <c r="B498" s="114">
        <v>1155</v>
      </c>
      <c r="C498" s="115" t="s">
        <v>295</v>
      </c>
      <c r="D498" s="116">
        <v>2</v>
      </c>
    </row>
    <row r="499" spans="1:4" x14ac:dyDescent="0.15">
      <c r="A499" s="113">
        <v>310</v>
      </c>
      <c r="B499" s="114">
        <v>1156</v>
      </c>
      <c r="C499" s="115" t="s">
        <v>295</v>
      </c>
      <c r="D499" s="116">
        <v>1</v>
      </c>
    </row>
    <row r="500" spans="1:4" x14ac:dyDescent="0.15">
      <c r="A500" s="113">
        <v>312</v>
      </c>
      <c r="B500" s="114">
        <v>1154</v>
      </c>
      <c r="C500" s="115" t="s">
        <v>296</v>
      </c>
      <c r="D500" s="116">
        <v>2</v>
      </c>
    </row>
    <row r="501" spans="1:4" x14ac:dyDescent="0.15">
      <c r="A501" s="113">
        <v>313</v>
      </c>
      <c r="B501" s="114">
        <v>1006</v>
      </c>
      <c r="C501" s="115" t="s">
        <v>297</v>
      </c>
      <c r="D501" s="116" t="s">
        <v>220</v>
      </c>
    </row>
    <row r="502" spans="1:4" x14ac:dyDescent="0.15">
      <c r="A502" s="113">
        <v>314</v>
      </c>
      <c r="B502" s="114">
        <v>104</v>
      </c>
      <c r="C502" s="115" t="s">
        <v>298</v>
      </c>
      <c r="D502" s="116" t="s">
        <v>458</v>
      </c>
    </row>
    <row r="503" spans="1:4" x14ac:dyDescent="0.15">
      <c r="A503" s="113">
        <v>315</v>
      </c>
      <c r="B503" s="114">
        <v>178</v>
      </c>
      <c r="C503" s="115" t="s">
        <v>299</v>
      </c>
      <c r="D503" s="116" t="s">
        <v>458</v>
      </c>
    </row>
    <row r="504" spans="1:4" x14ac:dyDescent="0.15">
      <c r="A504" s="113">
        <v>315</v>
      </c>
      <c r="B504" s="114">
        <v>227</v>
      </c>
      <c r="C504" s="115" t="s">
        <v>299</v>
      </c>
      <c r="D504" s="116" t="s">
        <v>458</v>
      </c>
    </row>
    <row r="505" spans="1:4" x14ac:dyDescent="0.15">
      <c r="A505" s="113">
        <v>316</v>
      </c>
      <c r="B505" s="114">
        <v>53</v>
      </c>
      <c r="C505" s="115" t="s">
        <v>300</v>
      </c>
      <c r="D505" s="116">
        <v>2</v>
      </c>
    </row>
    <row r="506" spans="1:4" x14ac:dyDescent="0.15">
      <c r="A506" s="113">
        <v>316</v>
      </c>
      <c r="B506" s="114">
        <v>198</v>
      </c>
      <c r="C506" s="115" t="s">
        <v>300</v>
      </c>
      <c r="D506" s="116">
        <v>1</v>
      </c>
    </row>
    <row r="507" spans="1:4" x14ac:dyDescent="0.15">
      <c r="A507" s="113">
        <v>317</v>
      </c>
      <c r="B507" s="114">
        <v>70</v>
      </c>
      <c r="C507" s="115" t="s">
        <v>300</v>
      </c>
      <c r="D507" s="116" t="s">
        <v>463</v>
      </c>
    </row>
    <row r="508" spans="1:4" x14ac:dyDescent="0.15">
      <c r="A508" s="113">
        <v>317</v>
      </c>
      <c r="B508" s="114">
        <v>183</v>
      </c>
      <c r="C508" s="115" t="s">
        <v>300</v>
      </c>
      <c r="D508" s="116" t="s">
        <v>464</v>
      </c>
    </row>
    <row r="509" spans="1:4" x14ac:dyDescent="0.15">
      <c r="A509" s="113">
        <v>318</v>
      </c>
      <c r="B509" s="114">
        <v>74</v>
      </c>
      <c r="C509" s="115" t="s">
        <v>300</v>
      </c>
      <c r="D509" s="116">
        <v>1</v>
      </c>
    </row>
    <row r="510" spans="1:4" x14ac:dyDescent="0.15">
      <c r="A510" s="113">
        <v>318</v>
      </c>
      <c r="B510" s="114">
        <v>180</v>
      </c>
      <c r="C510" s="115" t="s">
        <v>300</v>
      </c>
      <c r="D510" s="116">
        <v>1</v>
      </c>
    </row>
    <row r="511" spans="1:4" x14ac:dyDescent="0.15">
      <c r="A511" s="113">
        <v>319</v>
      </c>
      <c r="B511" s="114">
        <v>71</v>
      </c>
      <c r="C511" s="115" t="s">
        <v>301</v>
      </c>
      <c r="D511" s="116" t="s">
        <v>467</v>
      </c>
    </row>
    <row r="512" spans="1:4" x14ac:dyDescent="0.15">
      <c r="A512" s="113">
        <v>319</v>
      </c>
      <c r="B512" s="114">
        <v>183</v>
      </c>
      <c r="C512" s="115" t="s">
        <v>301</v>
      </c>
      <c r="D512" s="116" t="s">
        <v>465</v>
      </c>
    </row>
    <row r="513" spans="1:4" x14ac:dyDescent="0.15">
      <c r="A513" s="113">
        <v>320</v>
      </c>
      <c r="B513" s="114">
        <v>72</v>
      </c>
      <c r="C513" s="115" t="s">
        <v>300</v>
      </c>
      <c r="D513" s="116">
        <v>2</v>
      </c>
    </row>
    <row r="514" spans="1:4" x14ac:dyDescent="0.15">
      <c r="A514" s="113">
        <v>320</v>
      </c>
      <c r="B514" s="114">
        <v>184</v>
      </c>
      <c r="C514" s="115" t="s">
        <v>300</v>
      </c>
      <c r="D514" s="116">
        <v>1</v>
      </c>
    </row>
    <row r="515" spans="1:4" x14ac:dyDescent="0.15">
      <c r="A515" s="113">
        <v>321</v>
      </c>
      <c r="B515" s="114">
        <v>1004</v>
      </c>
      <c r="C515" s="115" t="s">
        <v>300</v>
      </c>
      <c r="D515" s="116">
        <v>1</v>
      </c>
    </row>
    <row r="516" spans="1:4" x14ac:dyDescent="0.15">
      <c r="A516" s="113">
        <v>321</v>
      </c>
      <c r="B516" s="114">
        <v>1005</v>
      </c>
      <c r="C516" s="115" t="s">
        <v>300</v>
      </c>
      <c r="D516" s="116">
        <v>1</v>
      </c>
    </row>
    <row r="517" spans="1:4" x14ac:dyDescent="0.15">
      <c r="A517" s="113">
        <v>322</v>
      </c>
      <c r="B517" s="114">
        <v>1073</v>
      </c>
      <c r="C517" s="115" t="s">
        <v>300</v>
      </c>
      <c r="D517" s="116">
        <v>1</v>
      </c>
    </row>
    <row r="518" spans="1:4" x14ac:dyDescent="0.15">
      <c r="A518" s="113">
        <v>322</v>
      </c>
      <c r="B518" s="114">
        <v>1074</v>
      </c>
      <c r="C518" s="115" t="s">
        <v>300</v>
      </c>
      <c r="D518" s="116">
        <v>1</v>
      </c>
    </row>
    <row r="519" spans="1:4" x14ac:dyDescent="0.15">
      <c r="A519" s="113">
        <v>323</v>
      </c>
      <c r="B519" s="114">
        <v>1284</v>
      </c>
      <c r="C519" s="115" t="s">
        <v>300</v>
      </c>
      <c r="D519" s="116">
        <v>1</v>
      </c>
    </row>
    <row r="520" spans="1:4" x14ac:dyDescent="0.15">
      <c r="A520" s="113">
        <v>323</v>
      </c>
      <c r="B520" s="114">
        <v>1285</v>
      </c>
      <c r="C520" s="115" t="s">
        <v>300</v>
      </c>
      <c r="D520" s="116" t="s">
        <v>466</v>
      </c>
    </row>
    <row r="521" spans="1:4" x14ac:dyDescent="0.15">
      <c r="A521" s="113">
        <v>324</v>
      </c>
      <c r="B521" s="114">
        <v>1007</v>
      </c>
      <c r="C521" s="115" t="s">
        <v>302</v>
      </c>
      <c r="D521" s="116">
        <v>1</v>
      </c>
    </row>
    <row r="522" spans="1:4" x14ac:dyDescent="0.15">
      <c r="A522" s="113">
        <v>325</v>
      </c>
      <c r="B522" s="114">
        <v>183</v>
      </c>
      <c r="C522" s="115" t="s">
        <v>303</v>
      </c>
      <c r="D522" s="116">
        <v>1</v>
      </c>
    </row>
    <row r="523" spans="1:4" x14ac:dyDescent="0.15">
      <c r="A523" s="113">
        <v>325</v>
      </c>
      <c r="B523" s="114">
        <v>186</v>
      </c>
      <c r="C523" s="115" t="s">
        <v>303</v>
      </c>
      <c r="D523" s="116">
        <v>1</v>
      </c>
    </row>
    <row r="524" spans="1:4" x14ac:dyDescent="0.15">
      <c r="A524" s="113">
        <v>325</v>
      </c>
      <c r="B524" s="114">
        <v>206</v>
      </c>
      <c r="C524" s="115" t="s">
        <v>303</v>
      </c>
      <c r="D524" s="116">
        <v>2</v>
      </c>
    </row>
    <row r="525" spans="1:4" x14ac:dyDescent="0.15">
      <c r="A525" s="113">
        <v>326</v>
      </c>
      <c r="B525" s="114">
        <v>184</v>
      </c>
      <c r="C525" s="115" t="s">
        <v>303</v>
      </c>
      <c r="D525" s="116">
        <v>1</v>
      </c>
    </row>
    <row r="526" spans="1:4" x14ac:dyDescent="0.15">
      <c r="A526" s="113">
        <v>326</v>
      </c>
      <c r="B526" s="114">
        <v>187</v>
      </c>
      <c r="C526" s="115" t="s">
        <v>303</v>
      </c>
      <c r="D526" s="116" t="s">
        <v>463</v>
      </c>
    </row>
    <row r="527" spans="1:4" x14ac:dyDescent="0.15">
      <c r="A527" s="113">
        <v>326</v>
      </c>
      <c r="B527" s="114">
        <v>210</v>
      </c>
      <c r="C527" s="115" t="s">
        <v>303</v>
      </c>
      <c r="D527" s="116" t="s">
        <v>463</v>
      </c>
    </row>
    <row r="528" spans="1:4" x14ac:dyDescent="0.15">
      <c r="A528" s="113">
        <v>327</v>
      </c>
      <c r="B528" s="114">
        <v>135</v>
      </c>
      <c r="C528" s="115" t="s">
        <v>303</v>
      </c>
      <c r="D528" s="116">
        <v>1</v>
      </c>
    </row>
    <row r="529" spans="1:4" x14ac:dyDescent="0.15">
      <c r="A529" s="113">
        <v>327</v>
      </c>
      <c r="B529" s="114">
        <v>198</v>
      </c>
      <c r="C529" s="115" t="s">
        <v>303</v>
      </c>
      <c r="D529" s="116">
        <v>1</v>
      </c>
    </row>
    <row r="530" spans="1:4" x14ac:dyDescent="0.15">
      <c r="A530" s="113">
        <v>327</v>
      </c>
      <c r="B530" s="114">
        <v>222</v>
      </c>
      <c r="C530" s="115" t="s">
        <v>303</v>
      </c>
      <c r="D530" s="116">
        <v>2</v>
      </c>
    </row>
    <row r="531" spans="1:4" x14ac:dyDescent="0.15">
      <c r="A531" s="113">
        <v>328</v>
      </c>
      <c r="B531" s="114">
        <v>1022</v>
      </c>
      <c r="C531" s="115" t="s">
        <v>303</v>
      </c>
      <c r="D531" s="116">
        <v>1</v>
      </c>
    </row>
    <row r="532" spans="1:4" x14ac:dyDescent="0.15">
      <c r="A532" s="113">
        <v>328</v>
      </c>
      <c r="B532" s="114">
        <v>1023</v>
      </c>
      <c r="C532" s="115" t="s">
        <v>303</v>
      </c>
      <c r="D532" s="116">
        <v>2</v>
      </c>
    </row>
    <row r="533" spans="1:4" x14ac:dyDescent="0.15">
      <c r="A533" s="113">
        <v>328</v>
      </c>
      <c r="B533" s="114">
        <v>1024</v>
      </c>
      <c r="C533" s="115" t="s">
        <v>303</v>
      </c>
      <c r="D533" s="116">
        <v>1</v>
      </c>
    </row>
    <row r="534" spans="1:4" x14ac:dyDescent="0.15">
      <c r="A534" s="113">
        <v>329</v>
      </c>
      <c r="B534" s="114">
        <v>1027</v>
      </c>
      <c r="C534" s="115" t="s">
        <v>303</v>
      </c>
      <c r="D534" s="116">
        <v>1</v>
      </c>
    </row>
    <row r="535" spans="1:4" x14ac:dyDescent="0.15">
      <c r="A535" s="113">
        <v>329</v>
      </c>
      <c r="B535" s="114">
        <v>1028</v>
      </c>
      <c r="C535" s="115" t="s">
        <v>303</v>
      </c>
      <c r="D535" s="116">
        <v>2</v>
      </c>
    </row>
    <row r="536" spans="1:4" x14ac:dyDescent="0.15">
      <c r="A536" s="113">
        <v>329</v>
      </c>
      <c r="B536" s="114">
        <v>1029</v>
      </c>
      <c r="C536" s="115" t="s">
        <v>303</v>
      </c>
      <c r="D536" s="116">
        <v>1</v>
      </c>
    </row>
    <row r="537" spans="1:4" x14ac:dyDescent="0.15">
      <c r="A537" s="113">
        <v>330</v>
      </c>
      <c r="B537" s="114">
        <v>1075</v>
      </c>
      <c r="C537" s="115" t="s">
        <v>303</v>
      </c>
      <c r="D537" s="116">
        <v>2</v>
      </c>
    </row>
    <row r="538" spans="1:4" x14ac:dyDescent="0.15">
      <c r="A538" s="113">
        <v>330</v>
      </c>
      <c r="B538" s="114">
        <v>1076</v>
      </c>
      <c r="C538" s="115" t="s">
        <v>303</v>
      </c>
      <c r="D538" s="116">
        <v>1</v>
      </c>
    </row>
    <row r="539" spans="1:4" x14ac:dyDescent="0.15">
      <c r="A539" s="113">
        <v>330</v>
      </c>
      <c r="B539" s="114">
        <v>1077</v>
      </c>
      <c r="C539" s="115" t="s">
        <v>303</v>
      </c>
      <c r="D539" s="116">
        <v>2</v>
      </c>
    </row>
    <row r="540" spans="1:4" x14ac:dyDescent="0.15">
      <c r="A540" s="113">
        <v>331</v>
      </c>
      <c r="B540" s="114">
        <v>1167</v>
      </c>
      <c r="C540" s="115" t="s">
        <v>303</v>
      </c>
      <c r="D540" s="116">
        <v>1</v>
      </c>
    </row>
    <row r="541" spans="1:4" x14ac:dyDescent="0.15">
      <c r="A541" s="113">
        <v>331</v>
      </c>
      <c r="B541" s="114">
        <v>1168</v>
      </c>
      <c r="C541" s="115" t="s">
        <v>303</v>
      </c>
      <c r="D541" s="116">
        <v>1</v>
      </c>
    </row>
    <row r="542" spans="1:4" x14ac:dyDescent="0.15">
      <c r="A542" s="113">
        <v>331</v>
      </c>
      <c r="B542" s="114">
        <v>1169</v>
      </c>
      <c r="C542" s="115" t="s">
        <v>303</v>
      </c>
      <c r="D542" s="116">
        <v>2</v>
      </c>
    </row>
    <row r="543" spans="1:4" x14ac:dyDescent="0.15">
      <c r="A543" s="113">
        <v>332</v>
      </c>
      <c r="B543" s="114">
        <v>1235</v>
      </c>
      <c r="C543" s="115" t="s">
        <v>303</v>
      </c>
      <c r="D543" s="116" t="s">
        <v>458</v>
      </c>
    </row>
    <row r="544" spans="1:4" x14ac:dyDescent="0.15">
      <c r="A544" s="113">
        <v>332</v>
      </c>
      <c r="B544" s="114">
        <v>1236</v>
      </c>
      <c r="C544" s="115" t="s">
        <v>303</v>
      </c>
      <c r="D544" s="116" t="s">
        <v>458</v>
      </c>
    </row>
    <row r="545" spans="1:4" x14ac:dyDescent="0.15">
      <c r="A545" s="113">
        <v>332</v>
      </c>
      <c r="B545" s="114">
        <v>1237</v>
      </c>
      <c r="C545" s="115" t="s">
        <v>303</v>
      </c>
      <c r="D545" s="116" t="s">
        <v>458</v>
      </c>
    </row>
    <row r="546" spans="1:4" x14ac:dyDescent="0.15">
      <c r="A546" s="113">
        <v>334</v>
      </c>
      <c r="B546" s="114">
        <v>1131</v>
      </c>
      <c r="C546" s="115" t="s">
        <v>304</v>
      </c>
      <c r="D546" s="116">
        <v>1</v>
      </c>
    </row>
    <row r="547" spans="1:4" x14ac:dyDescent="0.15">
      <c r="A547" s="113">
        <v>334</v>
      </c>
      <c r="B547" s="114">
        <v>1132</v>
      </c>
      <c r="C547" s="115" t="s">
        <v>304</v>
      </c>
      <c r="D547" s="116">
        <v>1</v>
      </c>
    </row>
    <row r="548" spans="1:4" x14ac:dyDescent="0.15">
      <c r="A548" s="113">
        <v>334</v>
      </c>
      <c r="B548" s="114">
        <v>1133</v>
      </c>
      <c r="C548" s="115" t="s">
        <v>304</v>
      </c>
      <c r="D548" s="116">
        <v>2</v>
      </c>
    </row>
    <row r="549" spans="1:4" x14ac:dyDescent="0.15">
      <c r="A549" s="113">
        <v>335</v>
      </c>
      <c r="B549" s="114">
        <v>18</v>
      </c>
      <c r="C549" s="115" t="s">
        <v>305</v>
      </c>
      <c r="D549" s="116">
        <v>1</v>
      </c>
    </row>
    <row r="550" spans="1:4" x14ac:dyDescent="0.15">
      <c r="A550" s="113">
        <v>336</v>
      </c>
      <c r="B550" s="114">
        <v>20</v>
      </c>
      <c r="C550" s="115" t="s">
        <v>306</v>
      </c>
      <c r="D550" s="116" t="s">
        <v>220</v>
      </c>
    </row>
    <row r="551" spans="1:4" x14ac:dyDescent="0.15">
      <c r="A551" s="113">
        <v>337</v>
      </c>
      <c r="B551" s="114">
        <v>82</v>
      </c>
      <c r="C551" s="115" t="s">
        <v>306</v>
      </c>
      <c r="D551" s="116" t="s">
        <v>220</v>
      </c>
    </row>
    <row r="552" spans="1:4" x14ac:dyDescent="0.15">
      <c r="A552" s="113">
        <v>338</v>
      </c>
      <c r="B552" s="114">
        <v>1365</v>
      </c>
      <c r="C552" s="115" t="s">
        <v>307</v>
      </c>
      <c r="D552" s="116">
        <v>2</v>
      </c>
    </row>
    <row r="553" spans="1:4" x14ac:dyDescent="0.15">
      <c r="A553" s="113">
        <v>338</v>
      </c>
      <c r="B553" s="114">
        <v>1366</v>
      </c>
      <c r="C553" s="115" t="s">
        <v>307</v>
      </c>
      <c r="D553" s="116">
        <v>1</v>
      </c>
    </row>
    <row r="554" spans="1:4" x14ac:dyDescent="0.15">
      <c r="A554" s="113">
        <v>339</v>
      </c>
      <c r="B554" s="114">
        <v>1025</v>
      </c>
      <c r="C554" s="115" t="s">
        <v>308</v>
      </c>
      <c r="D554" s="116" t="s">
        <v>220</v>
      </c>
    </row>
    <row r="555" spans="1:4" x14ac:dyDescent="0.15">
      <c r="A555" s="113">
        <v>340</v>
      </c>
      <c r="B555" s="114">
        <v>1030</v>
      </c>
      <c r="C555" s="115" t="s">
        <v>308</v>
      </c>
      <c r="D555" s="116" t="s">
        <v>220</v>
      </c>
    </row>
    <row r="556" spans="1:4" x14ac:dyDescent="0.15">
      <c r="A556" s="113">
        <v>341</v>
      </c>
      <c r="B556" s="114">
        <v>1032</v>
      </c>
      <c r="C556" s="115" t="s">
        <v>308</v>
      </c>
      <c r="D556" s="116" t="s">
        <v>220</v>
      </c>
    </row>
    <row r="557" spans="1:4" x14ac:dyDescent="0.15">
      <c r="A557" s="113">
        <v>342</v>
      </c>
      <c r="B557" s="114">
        <v>1123</v>
      </c>
      <c r="C557" s="115" t="s">
        <v>309</v>
      </c>
      <c r="D557" s="116">
        <v>2</v>
      </c>
    </row>
    <row r="558" spans="1:4" x14ac:dyDescent="0.15">
      <c r="A558" s="113">
        <v>343</v>
      </c>
      <c r="B558" s="114">
        <v>1134</v>
      </c>
      <c r="C558" s="115" t="s">
        <v>310</v>
      </c>
      <c r="D558" s="116">
        <v>2</v>
      </c>
    </row>
    <row r="559" spans="1:4" x14ac:dyDescent="0.15">
      <c r="A559" s="113">
        <v>344</v>
      </c>
      <c r="B559" s="114">
        <v>1135</v>
      </c>
      <c r="C559" s="115" t="s">
        <v>311</v>
      </c>
      <c r="D559" s="116">
        <v>1</v>
      </c>
    </row>
    <row r="560" spans="1:4" x14ac:dyDescent="0.15">
      <c r="A560" s="113">
        <v>344</v>
      </c>
      <c r="B560" s="114">
        <v>1136</v>
      </c>
      <c r="C560" s="115" t="s">
        <v>311</v>
      </c>
      <c r="D560" s="116" t="s">
        <v>220</v>
      </c>
    </row>
    <row r="561" spans="1:4" x14ac:dyDescent="0.15">
      <c r="A561" s="113">
        <v>344</v>
      </c>
      <c r="B561" s="114">
        <v>1137</v>
      </c>
      <c r="C561" s="115" t="s">
        <v>311</v>
      </c>
      <c r="D561" s="116">
        <v>2</v>
      </c>
    </row>
    <row r="562" spans="1:4" x14ac:dyDescent="0.15">
      <c r="A562" s="113">
        <v>345</v>
      </c>
      <c r="B562" s="114">
        <v>1138</v>
      </c>
      <c r="C562" s="115" t="s">
        <v>312</v>
      </c>
      <c r="D562" s="116">
        <v>2</v>
      </c>
    </row>
    <row r="563" spans="1:4" x14ac:dyDescent="0.15">
      <c r="A563" s="113">
        <v>346</v>
      </c>
      <c r="B563" s="114">
        <v>1130</v>
      </c>
      <c r="C563" s="115" t="s">
        <v>313</v>
      </c>
      <c r="D563" s="116" t="s">
        <v>460</v>
      </c>
    </row>
    <row r="564" spans="1:4" x14ac:dyDescent="0.15">
      <c r="A564" s="113">
        <v>347</v>
      </c>
      <c r="B564" s="114">
        <v>48</v>
      </c>
      <c r="C564" s="115" t="s">
        <v>314</v>
      </c>
      <c r="D564" s="116" t="s">
        <v>220</v>
      </c>
    </row>
    <row r="565" spans="1:4" x14ac:dyDescent="0.15">
      <c r="A565" s="113">
        <v>348</v>
      </c>
      <c r="B565" s="114">
        <v>49</v>
      </c>
      <c r="C565" s="115" t="s">
        <v>314</v>
      </c>
      <c r="D565" s="116" t="s">
        <v>220</v>
      </c>
    </row>
    <row r="566" spans="1:4" x14ac:dyDescent="0.15">
      <c r="A566" s="113">
        <v>349</v>
      </c>
      <c r="B566" s="114">
        <v>50</v>
      </c>
      <c r="C566" s="115" t="s">
        <v>258</v>
      </c>
      <c r="D566" s="116">
        <v>1</v>
      </c>
    </row>
    <row r="567" spans="1:4" x14ac:dyDescent="0.15">
      <c r="A567" s="113">
        <v>349</v>
      </c>
      <c r="B567" s="114">
        <v>222</v>
      </c>
      <c r="C567" s="115" t="s">
        <v>258</v>
      </c>
      <c r="D567" s="116">
        <v>2</v>
      </c>
    </row>
    <row r="568" spans="1:4" x14ac:dyDescent="0.15">
      <c r="A568" s="113">
        <v>350</v>
      </c>
      <c r="B568" s="114">
        <v>1047</v>
      </c>
      <c r="C568" s="115" t="s">
        <v>315</v>
      </c>
      <c r="D568" s="116" t="s">
        <v>220</v>
      </c>
    </row>
    <row r="569" spans="1:4" x14ac:dyDescent="0.15">
      <c r="A569" s="113">
        <v>351</v>
      </c>
      <c r="B569" s="114">
        <v>1082</v>
      </c>
      <c r="C569" s="115" t="s">
        <v>316</v>
      </c>
      <c r="D569" s="116">
        <v>1</v>
      </c>
    </row>
    <row r="570" spans="1:4" x14ac:dyDescent="0.15">
      <c r="A570" s="113">
        <v>352</v>
      </c>
      <c r="B570" s="114">
        <v>1097</v>
      </c>
      <c r="C570" s="115" t="s">
        <v>317</v>
      </c>
      <c r="D570" s="116">
        <v>1</v>
      </c>
    </row>
    <row r="571" spans="1:4" x14ac:dyDescent="0.15">
      <c r="A571" s="113">
        <v>353</v>
      </c>
      <c r="B571" s="114">
        <v>1103</v>
      </c>
      <c r="C571" s="115" t="s">
        <v>318</v>
      </c>
      <c r="D571" s="116">
        <v>1</v>
      </c>
    </row>
    <row r="572" spans="1:4" x14ac:dyDescent="0.15">
      <c r="A572" s="113">
        <v>354</v>
      </c>
      <c r="B572" s="114">
        <v>64</v>
      </c>
      <c r="C572" s="115" t="s">
        <v>234</v>
      </c>
      <c r="D572" s="116" t="s">
        <v>458</v>
      </c>
    </row>
    <row r="573" spans="1:4" x14ac:dyDescent="0.15">
      <c r="A573" s="113">
        <v>355</v>
      </c>
      <c r="B573" s="114">
        <v>1392</v>
      </c>
      <c r="C573" s="115" t="s">
        <v>319</v>
      </c>
      <c r="D573" s="116">
        <v>1</v>
      </c>
    </row>
    <row r="574" spans="1:4" x14ac:dyDescent="0.15">
      <c r="A574" s="113">
        <v>355</v>
      </c>
      <c r="B574" s="114">
        <v>1393</v>
      </c>
      <c r="C574" s="115" t="s">
        <v>319</v>
      </c>
      <c r="D574" s="116">
        <v>1</v>
      </c>
    </row>
    <row r="575" spans="1:4" x14ac:dyDescent="0.15">
      <c r="A575" s="113">
        <v>357</v>
      </c>
      <c r="B575" s="114">
        <v>1200</v>
      </c>
      <c r="C575" s="115" t="s">
        <v>320</v>
      </c>
      <c r="D575" s="116" t="s">
        <v>458</v>
      </c>
    </row>
    <row r="576" spans="1:4" x14ac:dyDescent="0.15">
      <c r="A576" s="113">
        <v>357</v>
      </c>
      <c r="B576" s="114">
        <v>1201</v>
      </c>
      <c r="C576" s="115" t="s">
        <v>320</v>
      </c>
      <c r="D576" s="116" t="s">
        <v>458</v>
      </c>
    </row>
    <row r="577" spans="1:4" x14ac:dyDescent="0.15">
      <c r="A577" s="113">
        <v>358</v>
      </c>
      <c r="B577" s="114">
        <v>1202</v>
      </c>
      <c r="C577" s="115" t="s">
        <v>320</v>
      </c>
      <c r="D577" s="116" t="s">
        <v>458</v>
      </c>
    </row>
    <row r="578" spans="1:4" x14ac:dyDescent="0.15">
      <c r="A578" s="113">
        <v>358</v>
      </c>
      <c r="B578" s="114">
        <v>1203</v>
      </c>
      <c r="C578" s="115" t="s">
        <v>320</v>
      </c>
      <c r="D578" s="116" t="s">
        <v>458</v>
      </c>
    </row>
    <row r="579" spans="1:4" x14ac:dyDescent="0.15">
      <c r="A579" s="113">
        <v>359</v>
      </c>
      <c r="B579" s="114">
        <v>1204</v>
      </c>
      <c r="C579" s="115" t="s">
        <v>320</v>
      </c>
      <c r="D579" s="116" t="s">
        <v>458</v>
      </c>
    </row>
    <row r="580" spans="1:4" x14ac:dyDescent="0.15">
      <c r="A580" s="113">
        <v>359</v>
      </c>
      <c r="B580" s="114">
        <v>1205</v>
      </c>
      <c r="C580" s="115" t="s">
        <v>320</v>
      </c>
      <c r="D580" s="116" t="s">
        <v>458</v>
      </c>
    </row>
    <row r="581" spans="1:4" x14ac:dyDescent="0.15">
      <c r="A581" s="113">
        <v>360</v>
      </c>
      <c r="B581" s="114">
        <v>1206</v>
      </c>
      <c r="C581" s="115" t="s">
        <v>320</v>
      </c>
      <c r="D581" s="116" t="s">
        <v>458</v>
      </c>
    </row>
    <row r="582" spans="1:4" x14ac:dyDescent="0.15">
      <c r="A582" s="113">
        <v>360</v>
      </c>
      <c r="B582" s="114">
        <v>1207</v>
      </c>
      <c r="C582" s="115" t="s">
        <v>320</v>
      </c>
      <c r="D582" s="116" t="s">
        <v>458</v>
      </c>
    </row>
    <row r="583" spans="1:4" x14ac:dyDescent="0.15">
      <c r="A583" s="113">
        <v>361</v>
      </c>
      <c r="B583" s="114">
        <v>1208</v>
      </c>
      <c r="C583" s="115" t="s">
        <v>320</v>
      </c>
      <c r="D583" s="116" t="s">
        <v>458</v>
      </c>
    </row>
    <row r="584" spans="1:4" x14ac:dyDescent="0.15">
      <c r="A584" s="113">
        <v>361</v>
      </c>
      <c r="B584" s="114">
        <v>1209</v>
      </c>
      <c r="C584" s="115" t="s">
        <v>320</v>
      </c>
      <c r="D584" s="116" t="s">
        <v>458</v>
      </c>
    </row>
    <row r="585" spans="1:4" x14ac:dyDescent="0.15">
      <c r="A585" s="113">
        <v>362</v>
      </c>
      <c r="B585" s="114">
        <v>1210</v>
      </c>
      <c r="C585" s="115" t="s">
        <v>320</v>
      </c>
      <c r="D585" s="116" t="s">
        <v>458</v>
      </c>
    </row>
    <row r="586" spans="1:4" x14ac:dyDescent="0.15">
      <c r="A586" s="113">
        <v>362</v>
      </c>
      <c r="B586" s="114">
        <v>1211</v>
      </c>
      <c r="C586" s="115" t="s">
        <v>320</v>
      </c>
      <c r="D586" s="116" t="s">
        <v>458</v>
      </c>
    </row>
    <row r="587" spans="1:4" x14ac:dyDescent="0.15">
      <c r="A587" s="113">
        <v>363</v>
      </c>
      <c r="B587" s="114">
        <v>1212</v>
      </c>
      <c r="C587" s="115" t="s">
        <v>320</v>
      </c>
      <c r="D587" s="116" t="s">
        <v>458</v>
      </c>
    </row>
    <row r="588" spans="1:4" x14ac:dyDescent="0.15">
      <c r="A588" s="113">
        <v>363</v>
      </c>
      <c r="B588" s="114">
        <v>1213</v>
      </c>
      <c r="C588" s="115" t="s">
        <v>320</v>
      </c>
      <c r="D588" s="116" t="s">
        <v>458</v>
      </c>
    </row>
    <row r="589" spans="1:4" x14ac:dyDescent="0.15">
      <c r="A589" s="113">
        <v>364</v>
      </c>
      <c r="B589" s="114">
        <v>1214</v>
      </c>
      <c r="C589" s="115" t="s">
        <v>320</v>
      </c>
      <c r="D589" s="116" t="s">
        <v>458</v>
      </c>
    </row>
    <row r="590" spans="1:4" x14ac:dyDescent="0.15">
      <c r="A590" s="113">
        <v>364</v>
      </c>
      <c r="B590" s="114">
        <v>1215</v>
      </c>
      <c r="C590" s="115" t="s">
        <v>320</v>
      </c>
      <c r="D590" s="116" t="s">
        <v>458</v>
      </c>
    </row>
    <row r="591" spans="1:4" x14ac:dyDescent="0.15">
      <c r="A591" s="113">
        <v>365</v>
      </c>
      <c r="B591" s="114">
        <v>1216</v>
      </c>
      <c r="C591" s="115" t="s">
        <v>320</v>
      </c>
      <c r="D591" s="116" t="s">
        <v>458</v>
      </c>
    </row>
    <row r="592" spans="1:4" x14ac:dyDescent="0.15">
      <c r="A592" s="113">
        <v>365</v>
      </c>
      <c r="B592" s="114">
        <v>1217</v>
      </c>
      <c r="C592" s="115" t="s">
        <v>320</v>
      </c>
      <c r="D592" s="116" t="s">
        <v>458</v>
      </c>
    </row>
    <row r="593" spans="1:4" x14ac:dyDescent="0.15">
      <c r="A593" s="113">
        <v>366</v>
      </c>
      <c r="B593" s="114">
        <v>1218</v>
      </c>
      <c r="C593" s="115" t="s">
        <v>320</v>
      </c>
      <c r="D593" s="116" t="s">
        <v>458</v>
      </c>
    </row>
    <row r="594" spans="1:4" x14ac:dyDescent="0.15">
      <c r="A594" s="113">
        <v>366</v>
      </c>
      <c r="B594" s="114">
        <v>1219</v>
      </c>
      <c r="C594" s="115" t="s">
        <v>320</v>
      </c>
      <c r="D594" s="116" t="s">
        <v>458</v>
      </c>
    </row>
    <row r="595" spans="1:4" x14ac:dyDescent="0.15">
      <c r="A595" s="113">
        <v>367</v>
      </c>
      <c r="B595" s="114">
        <v>1220</v>
      </c>
      <c r="C595" s="115" t="s">
        <v>320</v>
      </c>
      <c r="D595" s="116" t="s">
        <v>458</v>
      </c>
    </row>
    <row r="596" spans="1:4" x14ac:dyDescent="0.15">
      <c r="A596" s="113">
        <v>367</v>
      </c>
      <c r="B596" s="114">
        <v>1221</v>
      </c>
      <c r="C596" s="115" t="s">
        <v>320</v>
      </c>
      <c r="D596" s="116" t="s">
        <v>458</v>
      </c>
    </row>
    <row r="597" spans="1:4" x14ac:dyDescent="0.15">
      <c r="A597" s="113">
        <v>368</v>
      </c>
      <c r="B597" s="114">
        <v>1222</v>
      </c>
      <c r="C597" s="115" t="s">
        <v>320</v>
      </c>
      <c r="D597" s="116" t="s">
        <v>458</v>
      </c>
    </row>
    <row r="598" spans="1:4" x14ac:dyDescent="0.15">
      <c r="A598" s="113">
        <v>368</v>
      </c>
      <c r="B598" s="114">
        <v>1223</v>
      </c>
      <c r="C598" s="115" t="s">
        <v>320</v>
      </c>
      <c r="D598" s="116" t="s">
        <v>458</v>
      </c>
    </row>
    <row r="599" spans="1:4" x14ac:dyDescent="0.15">
      <c r="A599" s="113">
        <v>369</v>
      </c>
      <c r="B599" s="114">
        <v>1224</v>
      </c>
      <c r="C599" s="115" t="s">
        <v>320</v>
      </c>
      <c r="D599" s="116" t="s">
        <v>458</v>
      </c>
    </row>
    <row r="600" spans="1:4" x14ac:dyDescent="0.15">
      <c r="A600" s="113">
        <v>369</v>
      </c>
      <c r="B600" s="114">
        <v>1225</v>
      </c>
      <c r="C600" s="115" t="s">
        <v>320</v>
      </c>
      <c r="D600" s="116" t="s">
        <v>458</v>
      </c>
    </row>
    <row r="601" spans="1:4" x14ac:dyDescent="0.15">
      <c r="A601" s="113">
        <v>370</v>
      </c>
      <c r="B601" s="114">
        <v>1226</v>
      </c>
      <c r="C601" s="115" t="s">
        <v>320</v>
      </c>
      <c r="D601" s="116" t="s">
        <v>458</v>
      </c>
    </row>
    <row r="602" spans="1:4" x14ac:dyDescent="0.15">
      <c r="A602" s="113">
        <v>370</v>
      </c>
      <c r="B602" s="114">
        <v>1227</v>
      </c>
      <c r="C602" s="115" t="s">
        <v>320</v>
      </c>
      <c r="D602" s="116" t="s">
        <v>458</v>
      </c>
    </row>
    <row r="603" spans="1:4" x14ac:dyDescent="0.15">
      <c r="A603" s="113">
        <v>371</v>
      </c>
      <c r="B603" s="114">
        <v>1228</v>
      </c>
      <c r="C603" s="115" t="s">
        <v>320</v>
      </c>
      <c r="D603" s="116" t="s">
        <v>458</v>
      </c>
    </row>
    <row r="604" spans="1:4" x14ac:dyDescent="0.15">
      <c r="A604" s="113">
        <v>371</v>
      </c>
      <c r="B604" s="114">
        <v>1229</v>
      </c>
      <c r="C604" s="115" t="s">
        <v>320</v>
      </c>
      <c r="D604" s="116" t="s">
        <v>458</v>
      </c>
    </row>
    <row r="605" spans="1:4" x14ac:dyDescent="0.15">
      <c r="A605" s="113">
        <v>372</v>
      </c>
      <c r="B605" s="114">
        <v>1180</v>
      </c>
      <c r="C605" s="115" t="s">
        <v>300</v>
      </c>
      <c r="D605" s="116">
        <v>1</v>
      </c>
    </row>
    <row r="606" spans="1:4" x14ac:dyDescent="0.15">
      <c r="A606" s="113">
        <v>372</v>
      </c>
      <c r="B606" s="114">
        <v>1181</v>
      </c>
      <c r="C606" s="115" t="s">
        <v>300</v>
      </c>
      <c r="D606" s="116">
        <v>1</v>
      </c>
    </row>
    <row r="607" spans="1:4" x14ac:dyDescent="0.15">
      <c r="A607" s="113">
        <v>373</v>
      </c>
      <c r="B607" s="114">
        <v>31</v>
      </c>
      <c r="C607" s="115" t="s">
        <v>246</v>
      </c>
      <c r="D607" s="116">
        <v>1</v>
      </c>
    </row>
    <row r="608" spans="1:4" x14ac:dyDescent="0.15">
      <c r="A608" s="113">
        <v>373</v>
      </c>
      <c r="B608" s="114">
        <v>213</v>
      </c>
      <c r="C608" s="115" t="s">
        <v>246</v>
      </c>
      <c r="D608" s="116">
        <v>2</v>
      </c>
    </row>
    <row r="609" spans="1:4" x14ac:dyDescent="0.15">
      <c r="A609" s="113">
        <v>374</v>
      </c>
      <c r="B609" s="114">
        <v>30</v>
      </c>
      <c r="C609" s="115" t="s">
        <v>246</v>
      </c>
      <c r="D609" s="116">
        <v>1</v>
      </c>
    </row>
    <row r="610" spans="1:4" x14ac:dyDescent="0.15">
      <c r="A610" s="113">
        <v>374</v>
      </c>
      <c r="B610" s="114">
        <v>214</v>
      </c>
      <c r="C610" s="115" t="s">
        <v>246</v>
      </c>
      <c r="D610" s="116">
        <v>2</v>
      </c>
    </row>
    <row r="611" spans="1:4" x14ac:dyDescent="0.15">
      <c r="A611" s="113">
        <v>375</v>
      </c>
      <c r="B611" s="114">
        <v>32</v>
      </c>
      <c r="C611" s="115" t="s">
        <v>246</v>
      </c>
      <c r="D611" s="116">
        <v>1</v>
      </c>
    </row>
    <row r="612" spans="1:4" x14ac:dyDescent="0.15">
      <c r="A612" s="113">
        <v>375</v>
      </c>
      <c r="B612" s="114">
        <v>215</v>
      </c>
      <c r="C612" s="115" t="s">
        <v>246</v>
      </c>
      <c r="D612" s="116">
        <v>2</v>
      </c>
    </row>
    <row r="613" spans="1:4" x14ac:dyDescent="0.15">
      <c r="A613" s="113">
        <v>376</v>
      </c>
      <c r="B613" s="114">
        <v>34</v>
      </c>
      <c r="C613" s="115" t="s">
        <v>246</v>
      </c>
      <c r="D613" s="116">
        <v>1</v>
      </c>
    </row>
    <row r="614" spans="1:4" x14ac:dyDescent="0.15">
      <c r="A614" s="113">
        <v>376</v>
      </c>
      <c r="B614" s="114">
        <v>216</v>
      </c>
      <c r="C614" s="115" t="s">
        <v>246</v>
      </c>
      <c r="D614" s="116">
        <v>2</v>
      </c>
    </row>
    <row r="615" spans="1:4" x14ac:dyDescent="0.15">
      <c r="A615" s="113">
        <v>377</v>
      </c>
      <c r="B615" s="114">
        <v>35</v>
      </c>
      <c r="C615" s="115" t="s">
        <v>246</v>
      </c>
      <c r="D615" s="116">
        <v>1</v>
      </c>
    </row>
    <row r="616" spans="1:4" x14ac:dyDescent="0.15">
      <c r="A616" s="113">
        <v>377</v>
      </c>
      <c r="B616" s="114">
        <v>217</v>
      </c>
      <c r="C616" s="115" t="s">
        <v>246</v>
      </c>
      <c r="D616" s="116">
        <v>2</v>
      </c>
    </row>
    <row r="617" spans="1:4" x14ac:dyDescent="0.15">
      <c r="A617" s="113">
        <v>378</v>
      </c>
      <c r="B617" s="114">
        <v>36</v>
      </c>
      <c r="C617" s="115" t="s">
        <v>246</v>
      </c>
      <c r="D617" s="116">
        <v>1</v>
      </c>
    </row>
    <row r="618" spans="1:4" x14ac:dyDescent="0.15">
      <c r="A618" s="113">
        <v>378</v>
      </c>
      <c r="B618" s="114">
        <v>218</v>
      </c>
      <c r="C618" s="115" t="s">
        <v>246</v>
      </c>
      <c r="D618" s="116">
        <v>2</v>
      </c>
    </row>
    <row r="619" spans="1:4" x14ac:dyDescent="0.15">
      <c r="A619" s="113">
        <v>380</v>
      </c>
      <c r="B619" s="114">
        <v>37</v>
      </c>
      <c r="C619" s="115" t="s">
        <v>246</v>
      </c>
      <c r="D619" s="116">
        <v>1</v>
      </c>
    </row>
    <row r="620" spans="1:4" x14ac:dyDescent="0.15">
      <c r="A620" s="113">
        <v>380</v>
      </c>
      <c r="B620" s="114">
        <v>220</v>
      </c>
      <c r="C620" s="115" t="s">
        <v>246</v>
      </c>
      <c r="D620" s="116">
        <v>2</v>
      </c>
    </row>
    <row r="621" spans="1:4" x14ac:dyDescent="0.15">
      <c r="A621" s="113">
        <v>381</v>
      </c>
      <c r="B621" s="114">
        <v>1170</v>
      </c>
      <c r="C621" s="115" t="s">
        <v>246</v>
      </c>
      <c r="D621" s="116">
        <v>2</v>
      </c>
    </row>
    <row r="622" spans="1:4" x14ac:dyDescent="0.15">
      <c r="A622" s="113">
        <v>381</v>
      </c>
      <c r="B622" s="114">
        <v>1171</v>
      </c>
      <c r="C622" s="115" t="s">
        <v>246</v>
      </c>
      <c r="D622" s="116">
        <v>1</v>
      </c>
    </row>
    <row r="623" spans="1:4" x14ac:dyDescent="0.15">
      <c r="A623" s="113">
        <v>382</v>
      </c>
      <c r="B623" s="114">
        <v>1172</v>
      </c>
      <c r="C623" s="115" t="s">
        <v>246</v>
      </c>
      <c r="D623" s="116">
        <v>2</v>
      </c>
    </row>
    <row r="624" spans="1:4" x14ac:dyDescent="0.15">
      <c r="A624" s="113">
        <v>382</v>
      </c>
      <c r="B624" s="114">
        <v>1173</v>
      </c>
      <c r="C624" s="115" t="s">
        <v>246</v>
      </c>
      <c r="D624" s="116">
        <v>1</v>
      </c>
    </row>
    <row r="625" spans="1:4" x14ac:dyDescent="0.15">
      <c r="A625" s="113">
        <v>384</v>
      </c>
      <c r="B625" s="114">
        <v>1185</v>
      </c>
      <c r="C625" s="115" t="s">
        <v>258</v>
      </c>
      <c r="D625" s="116">
        <v>1</v>
      </c>
    </row>
    <row r="626" spans="1:4" x14ac:dyDescent="0.15">
      <c r="A626" s="113">
        <v>384</v>
      </c>
      <c r="B626" s="114">
        <v>1186</v>
      </c>
      <c r="C626" s="115" t="s">
        <v>258</v>
      </c>
      <c r="D626" s="116">
        <v>2</v>
      </c>
    </row>
    <row r="627" spans="1:4" x14ac:dyDescent="0.15">
      <c r="A627" s="113">
        <v>385</v>
      </c>
      <c r="B627" s="114">
        <v>1260</v>
      </c>
      <c r="C627" s="115" t="s">
        <v>246</v>
      </c>
      <c r="D627" s="116" t="s">
        <v>458</v>
      </c>
    </row>
    <row r="628" spans="1:4" x14ac:dyDescent="0.15">
      <c r="A628" s="113">
        <v>385</v>
      </c>
      <c r="B628" s="114">
        <v>1261</v>
      </c>
      <c r="C628" s="115" t="s">
        <v>246</v>
      </c>
      <c r="D628" s="116" t="s">
        <v>458</v>
      </c>
    </row>
    <row r="629" spans="1:4" x14ac:dyDescent="0.15">
      <c r="A629" s="113">
        <v>386</v>
      </c>
      <c r="B629" s="114">
        <v>1184</v>
      </c>
      <c r="C629" s="115" t="s">
        <v>227</v>
      </c>
      <c r="D629" s="116" t="s">
        <v>220</v>
      </c>
    </row>
    <row r="630" spans="1:4" x14ac:dyDescent="0.15">
      <c r="A630" s="113">
        <v>387</v>
      </c>
      <c r="B630" s="114">
        <v>1183</v>
      </c>
      <c r="C630" s="115" t="s">
        <v>251</v>
      </c>
      <c r="D630" s="116" t="s">
        <v>220</v>
      </c>
    </row>
    <row r="631" spans="1:4" x14ac:dyDescent="0.15">
      <c r="A631" s="113">
        <v>388</v>
      </c>
      <c r="B631" s="114">
        <v>1262</v>
      </c>
      <c r="C631" s="115" t="s">
        <v>246</v>
      </c>
      <c r="D631" s="116" t="s">
        <v>458</v>
      </c>
    </row>
    <row r="632" spans="1:4" x14ac:dyDescent="0.15">
      <c r="A632" s="113">
        <v>388</v>
      </c>
      <c r="B632" s="114">
        <v>1263</v>
      </c>
      <c r="C632" s="115" t="s">
        <v>246</v>
      </c>
      <c r="D632" s="116" t="s">
        <v>458</v>
      </c>
    </row>
    <row r="633" spans="1:4" x14ac:dyDescent="0.15">
      <c r="A633" s="113">
        <v>389</v>
      </c>
      <c r="B633" s="114">
        <v>1182</v>
      </c>
      <c r="C633" s="115" t="s">
        <v>237</v>
      </c>
      <c r="D633" s="116" t="s">
        <v>220</v>
      </c>
    </row>
    <row r="634" spans="1:4" x14ac:dyDescent="0.15">
      <c r="A634" s="113">
        <v>390</v>
      </c>
      <c r="B634" s="114">
        <v>1291</v>
      </c>
      <c r="C634" s="115" t="s">
        <v>246</v>
      </c>
      <c r="D634" s="116">
        <v>2</v>
      </c>
    </row>
    <row r="635" spans="1:4" x14ac:dyDescent="0.15">
      <c r="A635" s="113">
        <v>390</v>
      </c>
      <c r="B635" s="114">
        <v>1292</v>
      </c>
      <c r="C635" s="115" t="s">
        <v>246</v>
      </c>
      <c r="D635" s="116">
        <v>1</v>
      </c>
    </row>
    <row r="636" spans="1:4" x14ac:dyDescent="0.15">
      <c r="A636" s="113">
        <v>391</v>
      </c>
      <c r="B636" s="114">
        <v>29</v>
      </c>
      <c r="C636" s="115" t="s">
        <v>321</v>
      </c>
      <c r="D636" s="116" t="s">
        <v>220</v>
      </c>
    </row>
    <row r="637" spans="1:4" x14ac:dyDescent="0.15">
      <c r="A637" s="113">
        <v>392</v>
      </c>
      <c r="B637" s="114">
        <v>90</v>
      </c>
      <c r="C637" s="115" t="s">
        <v>322</v>
      </c>
      <c r="D637" s="116">
        <v>1</v>
      </c>
    </row>
    <row r="638" spans="1:4" x14ac:dyDescent="0.15">
      <c r="A638" s="113">
        <v>393</v>
      </c>
      <c r="B638" s="114">
        <v>1</v>
      </c>
      <c r="C638" s="115" t="s">
        <v>323</v>
      </c>
      <c r="D638" s="116">
        <v>1</v>
      </c>
    </row>
    <row r="639" spans="1:4" x14ac:dyDescent="0.15">
      <c r="A639" s="113">
        <v>394</v>
      </c>
      <c r="B639" s="114">
        <v>1176</v>
      </c>
      <c r="C639" s="115" t="s">
        <v>279</v>
      </c>
      <c r="D639" s="116">
        <v>1</v>
      </c>
    </row>
    <row r="640" spans="1:4" x14ac:dyDescent="0.15">
      <c r="A640" s="113">
        <v>394</v>
      </c>
      <c r="B640" s="114">
        <v>1177</v>
      </c>
      <c r="C640" s="115" t="s">
        <v>279</v>
      </c>
      <c r="D640" s="116">
        <v>2</v>
      </c>
    </row>
    <row r="641" spans="1:4" x14ac:dyDescent="0.15">
      <c r="A641" s="113">
        <v>395</v>
      </c>
      <c r="B641" s="114">
        <v>1044</v>
      </c>
      <c r="C641" s="115" t="s">
        <v>324</v>
      </c>
      <c r="D641" s="116">
        <v>2</v>
      </c>
    </row>
    <row r="642" spans="1:4" x14ac:dyDescent="0.15">
      <c r="A642" s="113">
        <v>395</v>
      </c>
      <c r="B642" s="114">
        <v>1045</v>
      </c>
      <c r="C642" s="115" t="s">
        <v>324</v>
      </c>
      <c r="D642" s="116">
        <v>1</v>
      </c>
    </row>
    <row r="643" spans="1:4" x14ac:dyDescent="0.15">
      <c r="A643" s="113">
        <v>395</v>
      </c>
      <c r="B643" s="114">
        <v>1046</v>
      </c>
      <c r="C643" s="115" t="s">
        <v>324</v>
      </c>
      <c r="D643" s="116">
        <v>1</v>
      </c>
    </row>
    <row r="644" spans="1:4" x14ac:dyDescent="0.15">
      <c r="A644" s="113">
        <v>396</v>
      </c>
      <c r="B644" s="114">
        <v>1323</v>
      </c>
      <c r="C644" s="115" t="s">
        <v>256</v>
      </c>
      <c r="D644" s="116">
        <v>1</v>
      </c>
    </row>
    <row r="645" spans="1:4" x14ac:dyDescent="0.15">
      <c r="A645" s="113">
        <v>397</v>
      </c>
      <c r="B645" s="114">
        <v>1346</v>
      </c>
      <c r="C645" s="115" t="s">
        <v>325</v>
      </c>
      <c r="D645" s="116">
        <v>1</v>
      </c>
    </row>
    <row r="646" spans="1:4" x14ac:dyDescent="0.15">
      <c r="A646" s="113">
        <v>398</v>
      </c>
      <c r="B646" s="114">
        <v>72</v>
      </c>
      <c r="C646" s="115" t="s">
        <v>326</v>
      </c>
      <c r="D646" s="116">
        <v>2</v>
      </c>
    </row>
    <row r="647" spans="1:4" x14ac:dyDescent="0.15">
      <c r="A647" s="113">
        <v>399</v>
      </c>
      <c r="B647" s="114">
        <v>27</v>
      </c>
      <c r="C647" s="115" t="s">
        <v>327</v>
      </c>
      <c r="D647" s="116" t="s">
        <v>466</v>
      </c>
    </row>
    <row r="648" spans="1:4" x14ac:dyDescent="0.15">
      <c r="A648" s="113">
        <v>400</v>
      </c>
      <c r="B648" s="114">
        <v>58</v>
      </c>
      <c r="C648" s="115" t="s">
        <v>278</v>
      </c>
      <c r="D648" s="116">
        <v>1</v>
      </c>
    </row>
    <row r="649" spans="1:4" x14ac:dyDescent="0.15">
      <c r="A649" s="113">
        <v>400</v>
      </c>
      <c r="B649" s="114">
        <v>190</v>
      </c>
      <c r="C649" s="115" t="s">
        <v>278</v>
      </c>
      <c r="D649" s="116" t="s">
        <v>463</v>
      </c>
    </row>
    <row r="650" spans="1:4" x14ac:dyDescent="0.15">
      <c r="A650" s="113">
        <v>401</v>
      </c>
      <c r="B650" s="114">
        <v>1157</v>
      </c>
      <c r="C650" s="115" t="s">
        <v>328</v>
      </c>
      <c r="D650" s="116" t="s">
        <v>220</v>
      </c>
    </row>
    <row r="651" spans="1:4" x14ac:dyDescent="0.15">
      <c r="A651" s="113">
        <v>403</v>
      </c>
      <c r="B651" s="114">
        <v>1178</v>
      </c>
      <c r="C651" s="115" t="s">
        <v>233</v>
      </c>
      <c r="D651" s="116">
        <v>1</v>
      </c>
    </row>
    <row r="652" spans="1:4" x14ac:dyDescent="0.15">
      <c r="A652" s="113">
        <v>403</v>
      </c>
      <c r="B652" s="114">
        <v>1179</v>
      </c>
      <c r="C652" s="115" t="s">
        <v>233</v>
      </c>
      <c r="D652" s="116">
        <v>2</v>
      </c>
    </row>
    <row r="653" spans="1:4" x14ac:dyDescent="0.15">
      <c r="A653" s="113">
        <v>404</v>
      </c>
      <c r="B653" s="114">
        <v>1161</v>
      </c>
      <c r="C653" s="115" t="s">
        <v>329</v>
      </c>
      <c r="D653" s="116">
        <v>2</v>
      </c>
    </row>
    <row r="654" spans="1:4" x14ac:dyDescent="0.15">
      <c r="A654" s="113">
        <v>404</v>
      </c>
      <c r="B654" s="114">
        <v>1162</v>
      </c>
      <c r="C654" s="115" t="s">
        <v>329</v>
      </c>
      <c r="D654" s="116">
        <v>1</v>
      </c>
    </row>
    <row r="655" spans="1:4" x14ac:dyDescent="0.15">
      <c r="A655" s="113">
        <v>405</v>
      </c>
      <c r="B655" s="114">
        <v>1163</v>
      </c>
      <c r="C655" s="115" t="s">
        <v>330</v>
      </c>
      <c r="D655" s="116" t="s">
        <v>220</v>
      </c>
    </row>
    <row r="656" spans="1:4" x14ac:dyDescent="0.15">
      <c r="A656" s="113">
        <v>406</v>
      </c>
      <c r="B656" s="114">
        <v>77</v>
      </c>
      <c r="C656" s="115" t="s">
        <v>331</v>
      </c>
      <c r="D656" s="116" t="s">
        <v>220</v>
      </c>
    </row>
    <row r="657" spans="1:4" x14ac:dyDescent="0.15">
      <c r="A657" s="113">
        <v>407</v>
      </c>
      <c r="B657" s="114">
        <v>81</v>
      </c>
      <c r="C657" s="115" t="s">
        <v>332</v>
      </c>
      <c r="D657" s="116" t="s">
        <v>220</v>
      </c>
    </row>
    <row r="658" spans="1:4" x14ac:dyDescent="0.15">
      <c r="A658" s="113">
        <v>408</v>
      </c>
      <c r="B658" s="114">
        <v>87</v>
      </c>
      <c r="C658" s="115" t="s">
        <v>333</v>
      </c>
      <c r="D658" s="116" t="s">
        <v>220</v>
      </c>
    </row>
    <row r="659" spans="1:4" x14ac:dyDescent="0.15">
      <c r="A659" s="113">
        <v>409</v>
      </c>
      <c r="B659" s="114">
        <v>89</v>
      </c>
      <c r="C659" s="115" t="s">
        <v>334</v>
      </c>
      <c r="D659" s="116" t="s">
        <v>220</v>
      </c>
    </row>
    <row r="660" spans="1:4" x14ac:dyDescent="0.15">
      <c r="A660" s="113">
        <v>410</v>
      </c>
      <c r="B660" s="114">
        <v>98</v>
      </c>
      <c r="C660" s="115" t="s">
        <v>335</v>
      </c>
      <c r="D660" s="116" t="s">
        <v>220</v>
      </c>
    </row>
    <row r="661" spans="1:4" x14ac:dyDescent="0.15">
      <c r="A661" s="113">
        <v>411</v>
      </c>
      <c r="B661" s="114">
        <v>106</v>
      </c>
      <c r="C661" s="115" t="s">
        <v>336</v>
      </c>
      <c r="D661" s="116" t="s">
        <v>220</v>
      </c>
    </row>
    <row r="662" spans="1:4" x14ac:dyDescent="0.15">
      <c r="A662" s="113">
        <v>412</v>
      </c>
      <c r="B662" s="114">
        <v>107</v>
      </c>
      <c r="C662" s="115" t="s">
        <v>337</v>
      </c>
      <c r="D662" s="116" t="s">
        <v>220</v>
      </c>
    </row>
    <row r="663" spans="1:4" x14ac:dyDescent="0.15">
      <c r="A663" s="113">
        <v>413</v>
      </c>
      <c r="B663" s="114">
        <v>108</v>
      </c>
      <c r="C663" s="115" t="s">
        <v>338</v>
      </c>
      <c r="D663" s="116" t="s">
        <v>220</v>
      </c>
    </row>
    <row r="664" spans="1:4" x14ac:dyDescent="0.15">
      <c r="A664" s="113">
        <v>414</v>
      </c>
      <c r="B664" s="114">
        <v>110</v>
      </c>
      <c r="C664" s="115" t="s">
        <v>339</v>
      </c>
      <c r="D664" s="116" t="s">
        <v>220</v>
      </c>
    </row>
    <row r="665" spans="1:4" x14ac:dyDescent="0.15">
      <c r="A665" s="113">
        <v>415</v>
      </c>
      <c r="B665" s="114">
        <v>165</v>
      </c>
      <c r="C665" s="115" t="s">
        <v>340</v>
      </c>
      <c r="D665" s="116" t="s">
        <v>220</v>
      </c>
    </row>
    <row r="666" spans="1:4" x14ac:dyDescent="0.15">
      <c r="A666" s="113">
        <v>416</v>
      </c>
      <c r="B666" s="114">
        <v>179</v>
      </c>
      <c r="C666" s="115" t="s">
        <v>341</v>
      </c>
      <c r="D666" s="116" t="s">
        <v>220</v>
      </c>
    </row>
    <row r="667" spans="1:4" x14ac:dyDescent="0.15">
      <c r="A667" s="113">
        <v>417</v>
      </c>
      <c r="B667" s="114">
        <v>209</v>
      </c>
      <c r="C667" s="115" t="s">
        <v>342</v>
      </c>
      <c r="D667" s="116" t="s">
        <v>220</v>
      </c>
    </row>
    <row r="668" spans="1:4" x14ac:dyDescent="0.15">
      <c r="A668" s="113">
        <v>418</v>
      </c>
      <c r="B668" s="114">
        <v>188</v>
      </c>
      <c r="C668" s="115" t="s">
        <v>343</v>
      </c>
      <c r="D668" s="116" t="s">
        <v>220</v>
      </c>
    </row>
    <row r="669" spans="1:4" x14ac:dyDescent="0.15">
      <c r="A669" s="113">
        <v>419</v>
      </c>
      <c r="B669" s="114">
        <v>176</v>
      </c>
      <c r="C669" s="115" t="s">
        <v>344</v>
      </c>
      <c r="D669" s="116" t="s">
        <v>220</v>
      </c>
    </row>
    <row r="670" spans="1:4" x14ac:dyDescent="0.15">
      <c r="A670" s="113">
        <v>420</v>
      </c>
      <c r="B670" s="114">
        <v>253</v>
      </c>
      <c r="C670" s="115" t="s">
        <v>345</v>
      </c>
      <c r="D670" s="116" t="s">
        <v>220</v>
      </c>
    </row>
    <row r="671" spans="1:4" x14ac:dyDescent="0.15">
      <c r="A671" s="113">
        <v>421</v>
      </c>
      <c r="B671" s="114">
        <v>222</v>
      </c>
      <c r="C671" s="115" t="s">
        <v>346</v>
      </c>
      <c r="D671" s="116" t="s">
        <v>220</v>
      </c>
    </row>
    <row r="672" spans="1:4" x14ac:dyDescent="0.15">
      <c r="A672" s="113">
        <v>422</v>
      </c>
      <c r="B672" s="114">
        <v>254</v>
      </c>
      <c r="C672" s="115" t="s">
        <v>347</v>
      </c>
      <c r="D672" s="116" t="s">
        <v>220</v>
      </c>
    </row>
    <row r="673" spans="1:4" x14ac:dyDescent="0.15">
      <c r="A673" s="113">
        <v>423</v>
      </c>
      <c r="B673" s="114">
        <v>255</v>
      </c>
      <c r="C673" s="115" t="s">
        <v>348</v>
      </c>
      <c r="D673" s="116" t="s">
        <v>220</v>
      </c>
    </row>
    <row r="674" spans="1:4" x14ac:dyDescent="0.15">
      <c r="A674" s="113">
        <v>424</v>
      </c>
      <c r="B674" s="114">
        <v>256</v>
      </c>
      <c r="C674" s="115" t="s">
        <v>349</v>
      </c>
      <c r="D674" s="116" t="s">
        <v>220</v>
      </c>
    </row>
    <row r="675" spans="1:4" x14ac:dyDescent="0.15">
      <c r="A675" s="113">
        <v>425</v>
      </c>
      <c r="B675" s="114">
        <v>1100</v>
      </c>
      <c r="C675" s="115" t="s">
        <v>350</v>
      </c>
      <c r="D675" s="116">
        <v>2</v>
      </c>
    </row>
    <row r="676" spans="1:4" x14ac:dyDescent="0.15">
      <c r="A676" s="113">
        <v>426</v>
      </c>
      <c r="B676" s="114">
        <v>1189</v>
      </c>
      <c r="C676" s="115" t="s">
        <v>258</v>
      </c>
      <c r="D676" s="116">
        <v>1</v>
      </c>
    </row>
    <row r="677" spans="1:4" x14ac:dyDescent="0.15">
      <c r="A677" s="113">
        <v>426</v>
      </c>
      <c r="B677" s="114">
        <v>1190</v>
      </c>
      <c r="C677" s="115" t="s">
        <v>258</v>
      </c>
      <c r="D677" s="116">
        <v>2</v>
      </c>
    </row>
    <row r="678" spans="1:4" x14ac:dyDescent="0.15">
      <c r="A678" s="113">
        <v>427</v>
      </c>
      <c r="B678" s="114">
        <v>1118</v>
      </c>
      <c r="C678" s="115" t="s">
        <v>351</v>
      </c>
      <c r="D678" s="116">
        <v>1</v>
      </c>
    </row>
    <row r="679" spans="1:4" x14ac:dyDescent="0.15">
      <c r="A679" s="113">
        <v>427</v>
      </c>
      <c r="B679" s="114">
        <v>1119</v>
      </c>
      <c r="C679" s="115" t="s">
        <v>351</v>
      </c>
      <c r="D679" s="116" t="s">
        <v>461</v>
      </c>
    </row>
    <row r="680" spans="1:4" x14ac:dyDescent="0.15">
      <c r="A680" s="113">
        <v>428</v>
      </c>
      <c r="B680" s="114">
        <v>258</v>
      </c>
      <c r="C680" s="115" t="s">
        <v>352</v>
      </c>
      <c r="D680" s="116" t="s">
        <v>353</v>
      </c>
    </row>
    <row r="681" spans="1:4" x14ac:dyDescent="0.15">
      <c r="A681" s="113">
        <v>428</v>
      </c>
      <c r="B681" s="114">
        <v>259</v>
      </c>
      <c r="C681" s="115" t="s">
        <v>352</v>
      </c>
      <c r="D681" s="116" t="s">
        <v>353</v>
      </c>
    </row>
    <row r="682" spans="1:4" x14ac:dyDescent="0.15">
      <c r="A682" s="113">
        <v>429</v>
      </c>
      <c r="B682" s="114">
        <v>260</v>
      </c>
      <c r="C682" s="115" t="s">
        <v>354</v>
      </c>
      <c r="D682" s="116" t="s">
        <v>353</v>
      </c>
    </row>
    <row r="683" spans="1:4" x14ac:dyDescent="0.15">
      <c r="A683" s="113">
        <v>429</v>
      </c>
      <c r="B683" s="114">
        <v>261</v>
      </c>
      <c r="C683" s="115" t="s">
        <v>354</v>
      </c>
      <c r="D683" s="116" t="s">
        <v>353</v>
      </c>
    </row>
    <row r="684" spans="1:4" x14ac:dyDescent="0.15">
      <c r="A684" s="113">
        <v>430</v>
      </c>
      <c r="B684" s="114">
        <v>264</v>
      </c>
      <c r="C684" s="115" t="s">
        <v>355</v>
      </c>
      <c r="D684" s="116" t="s">
        <v>353</v>
      </c>
    </row>
    <row r="685" spans="1:4" x14ac:dyDescent="0.15">
      <c r="A685" s="113">
        <v>430</v>
      </c>
      <c r="B685" s="114">
        <v>265</v>
      </c>
      <c r="C685" s="115" t="s">
        <v>355</v>
      </c>
      <c r="D685" s="116" t="s">
        <v>353</v>
      </c>
    </row>
    <row r="686" spans="1:4" x14ac:dyDescent="0.15">
      <c r="A686" s="113">
        <v>431</v>
      </c>
      <c r="B686" s="114">
        <v>262</v>
      </c>
      <c r="C686" s="115" t="s">
        <v>356</v>
      </c>
      <c r="D686" s="116" t="s">
        <v>353</v>
      </c>
    </row>
    <row r="687" spans="1:4" x14ac:dyDescent="0.15">
      <c r="A687" s="113">
        <v>431</v>
      </c>
      <c r="B687" s="114">
        <v>263</v>
      </c>
      <c r="C687" s="115" t="s">
        <v>356</v>
      </c>
      <c r="D687" s="116" t="s">
        <v>353</v>
      </c>
    </row>
    <row r="688" spans="1:4" x14ac:dyDescent="0.15">
      <c r="A688" s="113">
        <v>432</v>
      </c>
      <c r="B688" s="114">
        <v>1397</v>
      </c>
      <c r="C688" s="115" t="s">
        <v>258</v>
      </c>
      <c r="D688" s="116">
        <v>1</v>
      </c>
    </row>
    <row r="689" spans="1:4" x14ac:dyDescent="0.15">
      <c r="A689" s="113">
        <v>432</v>
      </c>
      <c r="B689" s="114">
        <v>1398</v>
      </c>
      <c r="C689" s="115" t="s">
        <v>258</v>
      </c>
      <c r="D689" s="116">
        <v>2</v>
      </c>
    </row>
    <row r="690" spans="1:4" x14ac:dyDescent="0.15">
      <c r="A690" s="113">
        <v>434</v>
      </c>
      <c r="B690" s="114">
        <v>269</v>
      </c>
      <c r="C690" s="115" t="s">
        <v>357</v>
      </c>
      <c r="D690" s="116" t="s">
        <v>458</v>
      </c>
    </row>
    <row r="691" spans="1:4" x14ac:dyDescent="0.15">
      <c r="A691" s="113">
        <v>435</v>
      </c>
      <c r="B691" s="114">
        <v>270</v>
      </c>
      <c r="C691" s="115" t="s">
        <v>358</v>
      </c>
      <c r="D691" s="116">
        <v>1</v>
      </c>
    </row>
    <row r="692" spans="1:4" x14ac:dyDescent="0.15">
      <c r="A692" s="113">
        <v>435</v>
      </c>
      <c r="B692" s="114">
        <v>271</v>
      </c>
      <c r="C692" s="115" t="s">
        <v>358</v>
      </c>
      <c r="D692" s="116">
        <v>1</v>
      </c>
    </row>
    <row r="693" spans="1:4" x14ac:dyDescent="0.15">
      <c r="A693" s="113">
        <v>435</v>
      </c>
      <c r="B693" s="114">
        <v>272</v>
      </c>
      <c r="C693" s="115" t="s">
        <v>358</v>
      </c>
      <c r="D693" s="116">
        <v>2</v>
      </c>
    </row>
    <row r="694" spans="1:4" x14ac:dyDescent="0.15">
      <c r="A694" s="113">
        <v>436</v>
      </c>
      <c r="B694" s="114">
        <v>273</v>
      </c>
      <c r="C694" s="115" t="s">
        <v>359</v>
      </c>
      <c r="D694" s="116">
        <v>1</v>
      </c>
    </row>
    <row r="695" spans="1:4" x14ac:dyDescent="0.15">
      <c r="A695" s="113">
        <v>436</v>
      </c>
      <c r="B695" s="114">
        <v>274</v>
      </c>
      <c r="C695" s="115" t="s">
        <v>359</v>
      </c>
      <c r="D695" s="116">
        <v>1</v>
      </c>
    </row>
    <row r="696" spans="1:4" x14ac:dyDescent="0.15">
      <c r="A696" s="113">
        <v>436</v>
      </c>
      <c r="B696" s="114">
        <v>275</v>
      </c>
      <c r="C696" s="115" t="s">
        <v>359</v>
      </c>
      <c r="D696" s="116">
        <v>2</v>
      </c>
    </row>
    <row r="697" spans="1:4" x14ac:dyDescent="0.15">
      <c r="A697" s="113">
        <v>437</v>
      </c>
      <c r="B697" s="114">
        <v>1403</v>
      </c>
      <c r="C697" s="115" t="s">
        <v>360</v>
      </c>
      <c r="D697" s="116">
        <v>2</v>
      </c>
    </row>
    <row r="698" spans="1:4" x14ac:dyDescent="0.15">
      <c r="A698" s="113">
        <v>437</v>
      </c>
      <c r="B698" s="114">
        <v>1404</v>
      </c>
      <c r="C698" s="115" t="s">
        <v>360</v>
      </c>
      <c r="D698" s="116">
        <v>1</v>
      </c>
    </row>
    <row r="699" spans="1:4" x14ac:dyDescent="0.15">
      <c r="A699" s="113">
        <v>437</v>
      </c>
      <c r="B699" s="114">
        <v>1405</v>
      </c>
      <c r="C699" s="115" t="s">
        <v>360</v>
      </c>
      <c r="D699" s="116">
        <v>1</v>
      </c>
    </row>
    <row r="700" spans="1:4" x14ac:dyDescent="0.15">
      <c r="A700" s="113">
        <v>439</v>
      </c>
      <c r="B700" s="114">
        <v>346</v>
      </c>
      <c r="C700" s="115" t="s">
        <v>361</v>
      </c>
      <c r="D700" s="116">
        <v>2</v>
      </c>
    </row>
    <row r="701" spans="1:4" x14ac:dyDescent="0.15">
      <c r="A701" s="113">
        <v>439</v>
      </c>
      <c r="B701" s="114">
        <v>349</v>
      </c>
      <c r="C701" s="115" t="s">
        <v>361</v>
      </c>
      <c r="D701" s="116">
        <v>1</v>
      </c>
    </row>
    <row r="702" spans="1:4" x14ac:dyDescent="0.15">
      <c r="A702" s="113">
        <v>440</v>
      </c>
      <c r="B702" s="114">
        <v>210</v>
      </c>
      <c r="C702" s="115" t="s">
        <v>362</v>
      </c>
      <c r="D702" s="116">
        <v>2</v>
      </c>
    </row>
    <row r="703" spans="1:4" x14ac:dyDescent="0.15">
      <c r="A703" s="113">
        <v>440</v>
      </c>
      <c r="B703" s="114">
        <v>347</v>
      </c>
      <c r="C703" s="115" t="s">
        <v>362</v>
      </c>
      <c r="D703" s="116" t="s">
        <v>458</v>
      </c>
    </row>
    <row r="704" spans="1:4" x14ac:dyDescent="0.15">
      <c r="A704" s="113">
        <v>440</v>
      </c>
      <c r="B704" s="114">
        <v>348</v>
      </c>
      <c r="C704" s="115" t="s">
        <v>362</v>
      </c>
      <c r="D704" s="116" t="s">
        <v>458</v>
      </c>
    </row>
    <row r="705" spans="1:4" x14ac:dyDescent="0.15">
      <c r="A705" s="113">
        <v>441</v>
      </c>
      <c r="B705" s="114">
        <v>206</v>
      </c>
      <c r="C705" s="115" t="s">
        <v>262</v>
      </c>
      <c r="D705" s="116">
        <v>2</v>
      </c>
    </row>
    <row r="706" spans="1:4" x14ac:dyDescent="0.15">
      <c r="A706" s="113">
        <v>441</v>
      </c>
      <c r="B706" s="114">
        <v>350</v>
      </c>
      <c r="C706" s="115" t="s">
        <v>262</v>
      </c>
      <c r="D706" s="116">
        <v>1</v>
      </c>
    </row>
    <row r="707" spans="1:4" x14ac:dyDescent="0.15">
      <c r="A707" s="113">
        <v>441</v>
      </c>
      <c r="B707" s="114">
        <v>351</v>
      </c>
      <c r="C707" s="115" t="s">
        <v>262</v>
      </c>
      <c r="D707" s="116">
        <v>1</v>
      </c>
    </row>
    <row r="708" spans="1:4" x14ac:dyDescent="0.15">
      <c r="A708" s="113">
        <v>441</v>
      </c>
      <c r="B708" s="114">
        <v>352</v>
      </c>
      <c r="C708" s="115" t="s">
        <v>262</v>
      </c>
      <c r="D708" s="116">
        <v>1</v>
      </c>
    </row>
    <row r="709" spans="1:4" x14ac:dyDescent="0.15">
      <c r="A709" s="113">
        <v>442</v>
      </c>
      <c r="B709" s="114">
        <v>356</v>
      </c>
      <c r="C709" s="115" t="s">
        <v>258</v>
      </c>
      <c r="D709" s="116" t="s">
        <v>458</v>
      </c>
    </row>
    <row r="710" spans="1:4" x14ac:dyDescent="0.15">
      <c r="A710" s="113">
        <v>442</v>
      </c>
      <c r="B710" s="114">
        <v>357</v>
      </c>
      <c r="C710" s="115" t="s">
        <v>258</v>
      </c>
      <c r="D710" s="116" t="s">
        <v>458</v>
      </c>
    </row>
    <row r="711" spans="1:4" x14ac:dyDescent="0.15">
      <c r="A711" s="113">
        <v>443</v>
      </c>
      <c r="B711" s="114">
        <v>358</v>
      </c>
      <c r="C711" s="115" t="s">
        <v>300</v>
      </c>
      <c r="D711" s="116">
        <v>1</v>
      </c>
    </row>
    <row r="712" spans="1:4" x14ac:dyDescent="0.15">
      <c r="A712" s="113">
        <v>443</v>
      </c>
      <c r="B712" s="114">
        <v>359</v>
      </c>
      <c r="C712" s="115" t="s">
        <v>300</v>
      </c>
      <c r="D712" s="116" t="s">
        <v>463</v>
      </c>
    </row>
    <row r="713" spans="1:4" x14ac:dyDescent="0.15">
      <c r="A713" s="113">
        <v>444</v>
      </c>
      <c r="B713" s="114">
        <v>208</v>
      </c>
      <c r="C713" s="115" t="s">
        <v>303</v>
      </c>
      <c r="D713" s="116">
        <v>2</v>
      </c>
    </row>
    <row r="714" spans="1:4" x14ac:dyDescent="0.15">
      <c r="A714" s="113">
        <v>444</v>
      </c>
      <c r="B714" s="114">
        <v>358</v>
      </c>
      <c r="C714" s="115" t="s">
        <v>303</v>
      </c>
      <c r="D714" s="116" t="s">
        <v>466</v>
      </c>
    </row>
    <row r="715" spans="1:4" x14ac:dyDescent="0.15">
      <c r="A715" s="113">
        <v>444</v>
      </c>
      <c r="B715" s="114">
        <v>360</v>
      </c>
      <c r="C715" s="115" t="s">
        <v>303</v>
      </c>
      <c r="D715" s="116" t="s">
        <v>466</v>
      </c>
    </row>
    <row r="716" spans="1:4" x14ac:dyDescent="0.15">
      <c r="A716" s="113">
        <v>445</v>
      </c>
      <c r="B716" s="114">
        <v>1406</v>
      </c>
      <c r="C716" s="115" t="s">
        <v>363</v>
      </c>
      <c r="D716" s="116">
        <v>1</v>
      </c>
    </row>
    <row r="717" spans="1:4" x14ac:dyDescent="0.15">
      <c r="A717" s="113">
        <v>445</v>
      </c>
      <c r="B717" s="114">
        <v>1407</v>
      </c>
      <c r="C717" s="115" t="s">
        <v>363</v>
      </c>
      <c r="D717" s="116">
        <v>2</v>
      </c>
    </row>
    <row r="718" spans="1:4" x14ac:dyDescent="0.15">
      <c r="A718" s="113">
        <v>446</v>
      </c>
      <c r="B718" s="114">
        <v>1408</v>
      </c>
      <c r="C718" s="115" t="s">
        <v>363</v>
      </c>
      <c r="D718" s="116">
        <v>1</v>
      </c>
    </row>
    <row r="719" spans="1:4" x14ac:dyDescent="0.15">
      <c r="A719" s="113">
        <v>446</v>
      </c>
      <c r="B719" s="114">
        <v>1409</v>
      </c>
      <c r="C719" s="115" t="s">
        <v>363</v>
      </c>
      <c r="D719" s="116">
        <v>2</v>
      </c>
    </row>
    <row r="720" spans="1:4" x14ac:dyDescent="0.15">
      <c r="A720" s="113">
        <v>447</v>
      </c>
      <c r="B720" s="114">
        <v>206</v>
      </c>
      <c r="C720" s="115" t="s">
        <v>274</v>
      </c>
      <c r="D720" s="116">
        <v>2</v>
      </c>
    </row>
    <row r="721" spans="1:4" x14ac:dyDescent="0.15">
      <c r="A721" s="113">
        <v>448</v>
      </c>
      <c r="B721" s="114">
        <v>1125</v>
      </c>
      <c r="C721" s="115" t="s">
        <v>274</v>
      </c>
      <c r="D721" s="116">
        <v>2</v>
      </c>
    </row>
    <row r="722" spans="1:4" x14ac:dyDescent="0.15">
      <c r="A722" s="113">
        <v>449</v>
      </c>
      <c r="B722" s="114">
        <v>1127</v>
      </c>
      <c r="C722" s="115" t="s">
        <v>274</v>
      </c>
      <c r="D722" s="116">
        <v>2</v>
      </c>
    </row>
    <row r="723" spans="1:4" x14ac:dyDescent="0.15">
      <c r="A723" s="113">
        <v>450</v>
      </c>
      <c r="B723" s="114">
        <v>1129</v>
      </c>
      <c r="C723" s="115" t="s">
        <v>274</v>
      </c>
      <c r="D723" s="116">
        <v>2</v>
      </c>
    </row>
    <row r="724" spans="1:4" x14ac:dyDescent="0.15">
      <c r="A724" s="113">
        <v>451</v>
      </c>
      <c r="B724" s="114">
        <v>1140</v>
      </c>
      <c r="C724" s="115" t="s">
        <v>274</v>
      </c>
      <c r="D724" s="116">
        <v>2</v>
      </c>
    </row>
    <row r="725" spans="1:4" x14ac:dyDescent="0.15">
      <c r="A725" s="113">
        <v>452</v>
      </c>
      <c r="B725" s="114">
        <v>1142</v>
      </c>
      <c r="C725" s="115" t="s">
        <v>274</v>
      </c>
      <c r="D725" s="116">
        <v>2</v>
      </c>
    </row>
    <row r="726" spans="1:4" x14ac:dyDescent="0.15">
      <c r="A726" s="113">
        <v>453</v>
      </c>
      <c r="B726" s="114">
        <v>1144</v>
      </c>
      <c r="C726" s="115" t="s">
        <v>274</v>
      </c>
      <c r="D726" s="116">
        <v>2</v>
      </c>
    </row>
    <row r="727" spans="1:4" x14ac:dyDescent="0.15">
      <c r="A727" s="113">
        <v>454</v>
      </c>
      <c r="B727" s="114">
        <v>1146</v>
      </c>
      <c r="C727" s="115" t="s">
        <v>274</v>
      </c>
      <c r="D727" s="116">
        <v>2</v>
      </c>
    </row>
    <row r="728" spans="1:4" x14ac:dyDescent="0.15">
      <c r="A728" s="113">
        <v>455</v>
      </c>
      <c r="B728" s="114">
        <v>1148</v>
      </c>
      <c r="C728" s="115" t="s">
        <v>274</v>
      </c>
      <c r="D728" s="116">
        <v>2</v>
      </c>
    </row>
    <row r="729" spans="1:4" x14ac:dyDescent="0.15">
      <c r="A729" s="113">
        <v>456</v>
      </c>
      <c r="B729" s="114">
        <v>1150</v>
      </c>
      <c r="C729" s="115" t="s">
        <v>274</v>
      </c>
      <c r="D729" s="116">
        <v>2</v>
      </c>
    </row>
    <row r="730" spans="1:4" x14ac:dyDescent="0.15">
      <c r="A730" s="113">
        <v>459</v>
      </c>
      <c r="B730" s="114">
        <v>1398</v>
      </c>
      <c r="C730" s="115" t="s">
        <v>274</v>
      </c>
      <c r="D730" s="116">
        <v>2</v>
      </c>
    </row>
    <row r="731" spans="1:4" x14ac:dyDescent="0.15">
      <c r="A731" s="113">
        <v>460</v>
      </c>
      <c r="B731" s="114">
        <v>361</v>
      </c>
      <c r="C731" s="115" t="s">
        <v>364</v>
      </c>
      <c r="D731" s="116" t="s">
        <v>220</v>
      </c>
    </row>
    <row r="732" spans="1:4" x14ac:dyDescent="0.15">
      <c r="A732" s="113">
        <v>461</v>
      </c>
      <c r="B732" s="114">
        <v>361</v>
      </c>
      <c r="C732" s="115" t="s">
        <v>364</v>
      </c>
      <c r="D732" s="116" t="s">
        <v>220</v>
      </c>
    </row>
    <row r="733" spans="1:4" x14ac:dyDescent="0.15">
      <c r="A733" s="113">
        <v>462</v>
      </c>
      <c r="B733" s="114">
        <v>362</v>
      </c>
      <c r="C733" s="115" t="s">
        <v>365</v>
      </c>
      <c r="D733" s="116" t="s">
        <v>220</v>
      </c>
    </row>
    <row r="734" spans="1:4" x14ac:dyDescent="0.15">
      <c r="A734" s="113">
        <v>463</v>
      </c>
      <c r="B734" s="114">
        <v>363</v>
      </c>
      <c r="C734" s="115" t="s">
        <v>366</v>
      </c>
      <c r="D734" s="116" t="s">
        <v>220</v>
      </c>
    </row>
    <row r="735" spans="1:4" x14ac:dyDescent="0.15">
      <c r="A735" s="113">
        <v>464</v>
      </c>
      <c r="B735" s="114">
        <v>364</v>
      </c>
      <c r="C735" s="115" t="s">
        <v>367</v>
      </c>
      <c r="D735" s="116">
        <v>1</v>
      </c>
    </row>
    <row r="736" spans="1:4" x14ac:dyDescent="0.15">
      <c r="A736" s="113">
        <v>464</v>
      </c>
      <c r="B736" s="114">
        <v>365</v>
      </c>
      <c r="C736" s="115" t="s">
        <v>367</v>
      </c>
      <c r="D736" s="116">
        <v>1</v>
      </c>
    </row>
    <row r="737" spans="1:4" x14ac:dyDescent="0.15">
      <c r="A737" s="113">
        <v>465</v>
      </c>
      <c r="B737" s="114">
        <v>1410</v>
      </c>
      <c r="C737" s="115" t="s">
        <v>368</v>
      </c>
      <c r="D737" s="116">
        <v>1</v>
      </c>
    </row>
    <row r="738" spans="1:4" x14ac:dyDescent="0.15">
      <c r="A738" s="113">
        <v>465</v>
      </c>
      <c r="B738" s="114">
        <v>1411</v>
      </c>
      <c r="C738" s="115" t="s">
        <v>368</v>
      </c>
      <c r="D738" s="116">
        <v>1</v>
      </c>
    </row>
    <row r="739" spans="1:4" x14ac:dyDescent="0.15">
      <c r="A739" s="113">
        <v>466</v>
      </c>
      <c r="B739" s="114">
        <v>366</v>
      </c>
      <c r="C739" s="115" t="s">
        <v>369</v>
      </c>
      <c r="D739" s="116" t="s">
        <v>458</v>
      </c>
    </row>
    <row r="740" spans="1:4" x14ac:dyDescent="0.15">
      <c r="A740" s="113">
        <v>467</v>
      </c>
      <c r="B740" s="114">
        <v>367</v>
      </c>
      <c r="C740" s="115" t="s">
        <v>369</v>
      </c>
      <c r="D740" s="116" t="s">
        <v>458</v>
      </c>
    </row>
    <row r="741" spans="1:4" x14ac:dyDescent="0.15">
      <c r="A741" s="113">
        <v>468</v>
      </c>
      <c r="B741" s="114">
        <v>368</v>
      </c>
      <c r="C741" s="115" t="s">
        <v>369</v>
      </c>
      <c r="D741" s="116" t="s">
        <v>458</v>
      </c>
    </row>
    <row r="742" spans="1:4" x14ac:dyDescent="0.15">
      <c r="A742" s="113">
        <v>469</v>
      </c>
      <c r="B742" s="114">
        <v>369</v>
      </c>
      <c r="C742" s="115" t="s">
        <v>369</v>
      </c>
      <c r="D742" s="116" t="s">
        <v>458</v>
      </c>
    </row>
    <row r="743" spans="1:4" x14ac:dyDescent="0.15">
      <c r="A743" s="113">
        <v>470</v>
      </c>
      <c r="B743" s="114">
        <v>370</v>
      </c>
      <c r="C743" s="115" t="s">
        <v>369</v>
      </c>
      <c r="D743" s="116" t="s">
        <v>458</v>
      </c>
    </row>
    <row r="744" spans="1:4" x14ac:dyDescent="0.15">
      <c r="A744" s="113">
        <v>473</v>
      </c>
      <c r="B744" s="114">
        <v>1412</v>
      </c>
      <c r="C744" s="115" t="s">
        <v>370</v>
      </c>
      <c r="D744" s="116">
        <v>1</v>
      </c>
    </row>
    <row r="745" spans="1:4" x14ac:dyDescent="0.15">
      <c r="A745" s="113">
        <v>473</v>
      </c>
      <c r="B745" s="114">
        <v>1413</v>
      </c>
      <c r="C745" s="115" t="s">
        <v>370</v>
      </c>
      <c r="D745" s="116">
        <v>2</v>
      </c>
    </row>
    <row r="746" spans="1:4" x14ac:dyDescent="0.15">
      <c r="A746" s="113">
        <v>474</v>
      </c>
      <c r="B746" s="114">
        <v>1414</v>
      </c>
      <c r="C746" s="115" t="s">
        <v>371</v>
      </c>
      <c r="D746" s="116" t="s">
        <v>220</v>
      </c>
    </row>
    <row r="747" spans="1:4" x14ac:dyDescent="0.15">
      <c r="A747" s="113">
        <v>475</v>
      </c>
      <c r="B747" s="114">
        <v>1415</v>
      </c>
      <c r="C747" s="115" t="s">
        <v>372</v>
      </c>
      <c r="D747" s="116">
        <v>1</v>
      </c>
    </row>
    <row r="748" spans="1:4" x14ac:dyDescent="0.15">
      <c r="A748" s="113">
        <v>475</v>
      </c>
      <c r="B748" s="114">
        <v>1416</v>
      </c>
      <c r="C748" s="115" t="s">
        <v>372</v>
      </c>
      <c r="D748" s="116">
        <v>2</v>
      </c>
    </row>
    <row r="749" spans="1:4" x14ac:dyDescent="0.15">
      <c r="A749" s="113">
        <v>476</v>
      </c>
      <c r="B749" s="114">
        <v>1417</v>
      </c>
      <c r="C749" s="115" t="s">
        <v>373</v>
      </c>
      <c r="D749" s="116" t="s">
        <v>220</v>
      </c>
    </row>
    <row r="750" spans="1:4" x14ac:dyDescent="0.15">
      <c r="A750" s="113">
        <v>477</v>
      </c>
      <c r="B750" s="114">
        <v>1418</v>
      </c>
      <c r="C750" s="115" t="s">
        <v>373</v>
      </c>
      <c r="D750" s="116" t="s">
        <v>220</v>
      </c>
    </row>
    <row r="751" spans="1:4" x14ac:dyDescent="0.15">
      <c r="A751" s="113">
        <v>478</v>
      </c>
      <c r="B751" s="114">
        <v>1419</v>
      </c>
      <c r="C751" s="115" t="s">
        <v>303</v>
      </c>
      <c r="D751" s="116">
        <v>1</v>
      </c>
    </row>
    <row r="752" spans="1:4" x14ac:dyDescent="0.15">
      <c r="A752" s="113">
        <v>478</v>
      </c>
      <c r="B752" s="114">
        <v>1420</v>
      </c>
      <c r="C752" s="115" t="s">
        <v>303</v>
      </c>
      <c r="D752" s="116">
        <v>1</v>
      </c>
    </row>
    <row r="753" spans="1:4" x14ac:dyDescent="0.15">
      <c r="A753" s="113">
        <v>478</v>
      </c>
      <c r="B753" s="114">
        <v>1421</v>
      </c>
      <c r="C753" s="115" t="s">
        <v>303</v>
      </c>
      <c r="D753" s="116">
        <v>2</v>
      </c>
    </row>
    <row r="754" spans="1:4" x14ac:dyDescent="0.15">
      <c r="A754" s="113">
        <v>479</v>
      </c>
      <c r="B754" s="114">
        <v>1424</v>
      </c>
      <c r="C754" s="115" t="s">
        <v>361</v>
      </c>
      <c r="D754" s="116">
        <v>2</v>
      </c>
    </row>
    <row r="755" spans="1:4" x14ac:dyDescent="0.15">
      <c r="A755" s="113">
        <v>479</v>
      </c>
      <c r="B755" s="114">
        <v>1425</v>
      </c>
      <c r="C755" s="115" t="s">
        <v>361</v>
      </c>
      <c r="D755" s="116">
        <v>1</v>
      </c>
    </row>
    <row r="756" spans="1:4" x14ac:dyDescent="0.15">
      <c r="A756" s="113">
        <v>480</v>
      </c>
      <c r="B756" s="114">
        <v>1426</v>
      </c>
      <c r="C756" s="115" t="s">
        <v>361</v>
      </c>
      <c r="D756" s="116">
        <v>2</v>
      </c>
    </row>
    <row r="757" spans="1:4" x14ac:dyDescent="0.15">
      <c r="A757" s="113">
        <v>480</v>
      </c>
      <c r="B757" s="114">
        <v>1427</v>
      </c>
      <c r="C757" s="115" t="s">
        <v>361</v>
      </c>
      <c r="D757" s="116">
        <v>1</v>
      </c>
    </row>
    <row r="758" spans="1:4" x14ac:dyDescent="0.15">
      <c r="A758" s="113">
        <v>481</v>
      </c>
      <c r="B758" s="114">
        <v>1428</v>
      </c>
      <c r="C758" s="115" t="s">
        <v>361</v>
      </c>
      <c r="D758" s="116">
        <v>2</v>
      </c>
    </row>
    <row r="759" spans="1:4" x14ac:dyDescent="0.15">
      <c r="A759" s="113">
        <v>481</v>
      </c>
      <c r="B759" s="114">
        <v>1429</v>
      </c>
      <c r="C759" s="115" t="s">
        <v>361</v>
      </c>
      <c r="D759" s="116">
        <v>1</v>
      </c>
    </row>
    <row r="760" spans="1:4" x14ac:dyDescent="0.15">
      <c r="A760" s="113">
        <v>482</v>
      </c>
      <c r="B760" s="114">
        <v>378</v>
      </c>
      <c r="C760" s="115" t="s">
        <v>374</v>
      </c>
      <c r="D760" s="116" t="s">
        <v>375</v>
      </c>
    </row>
    <row r="761" spans="1:4" x14ac:dyDescent="0.15">
      <c r="A761" s="113">
        <v>483</v>
      </c>
      <c r="B761" s="114">
        <v>379</v>
      </c>
      <c r="C761" s="115" t="s">
        <v>376</v>
      </c>
      <c r="D761" s="116" t="s">
        <v>375</v>
      </c>
    </row>
    <row r="762" spans="1:4" x14ac:dyDescent="0.15">
      <c r="A762" s="113">
        <v>484</v>
      </c>
      <c r="B762" s="114">
        <v>380</v>
      </c>
      <c r="C762" s="115" t="s">
        <v>377</v>
      </c>
      <c r="D762" s="116" t="s">
        <v>375</v>
      </c>
    </row>
    <row r="763" spans="1:4" x14ac:dyDescent="0.15">
      <c r="A763" s="113">
        <v>485</v>
      </c>
      <c r="B763" s="114">
        <v>381</v>
      </c>
      <c r="C763" s="115" t="s">
        <v>378</v>
      </c>
      <c r="D763" s="116" t="s">
        <v>375</v>
      </c>
    </row>
    <row r="764" spans="1:4" x14ac:dyDescent="0.15">
      <c r="A764" s="113">
        <v>486</v>
      </c>
      <c r="B764" s="114">
        <v>382</v>
      </c>
      <c r="C764" s="115" t="s">
        <v>379</v>
      </c>
      <c r="D764" s="116" t="s">
        <v>375</v>
      </c>
    </row>
    <row r="765" spans="1:4" x14ac:dyDescent="0.15">
      <c r="A765" s="113">
        <v>487</v>
      </c>
      <c r="B765" s="114">
        <v>383</v>
      </c>
      <c r="C765" s="115" t="s">
        <v>380</v>
      </c>
      <c r="D765" s="116" t="s">
        <v>375</v>
      </c>
    </row>
    <row r="766" spans="1:4" x14ac:dyDescent="0.15">
      <c r="A766" s="113">
        <v>488</v>
      </c>
      <c r="B766" s="114">
        <v>384</v>
      </c>
      <c r="C766" s="115" t="s">
        <v>381</v>
      </c>
      <c r="D766" s="116" t="s">
        <v>375</v>
      </c>
    </row>
    <row r="767" spans="1:4" x14ac:dyDescent="0.15">
      <c r="A767" s="113">
        <v>489</v>
      </c>
      <c r="B767" s="114">
        <v>385</v>
      </c>
      <c r="C767" s="115" t="s">
        <v>382</v>
      </c>
      <c r="D767" s="116" t="s">
        <v>375</v>
      </c>
    </row>
    <row r="768" spans="1:4" x14ac:dyDescent="0.15">
      <c r="A768" s="113">
        <v>490</v>
      </c>
      <c r="B768" s="114">
        <v>386</v>
      </c>
      <c r="C768" s="115" t="s">
        <v>383</v>
      </c>
      <c r="D768" s="116" t="s">
        <v>375</v>
      </c>
    </row>
    <row r="769" spans="1:4" x14ac:dyDescent="0.15">
      <c r="A769" s="113">
        <v>491</v>
      </c>
      <c r="B769" s="114">
        <v>387</v>
      </c>
      <c r="C769" s="115" t="s">
        <v>384</v>
      </c>
      <c r="D769" s="116" t="s">
        <v>375</v>
      </c>
    </row>
    <row r="770" spans="1:4" x14ac:dyDescent="0.15">
      <c r="A770" s="113">
        <v>492</v>
      </c>
      <c r="B770" s="114">
        <v>388</v>
      </c>
      <c r="C770" s="115" t="s">
        <v>385</v>
      </c>
      <c r="D770" s="116" t="s">
        <v>375</v>
      </c>
    </row>
    <row r="771" spans="1:4" x14ac:dyDescent="0.15">
      <c r="A771" s="113">
        <v>493</v>
      </c>
      <c r="B771" s="114">
        <v>389</v>
      </c>
      <c r="C771" s="115" t="s">
        <v>386</v>
      </c>
      <c r="D771" s="116" t="s">
        <v>375</v>
      </c>
    </row>
    <row r="772" spans="1:4" x14ac:dyDescent="0.15">
      <c r="A772" s="113">
        <v>494</v>
      </c>
      <c r="B772" s="114">
        <v>390</v>
      </c>
      <c r="C772" s="115" t="s">
        <v>387</v>
      </c>
      <c r="D772" s="116" t="s">
        <v>375</v>
      </c>
    </row>
    <row r="773" spans="1:4" x14ac:dyDescent="0.15">
      <c r="A773" s="113">
        <v>495</v>
      </c>
      <c r="B773" s="114">
        <v>391</v>
      </c>
      <c r="C773" s="115" t="s">
        <v>388</v>
      </c>
      <c r="D773" s="116" t="s">
        <v>375</v>
      </c>
    </row>
    <row r="774" spans="1:4" x14ac:dyDescent="0.15">
      <c r="A774" s="113">
        <v>496</v>
      </c>
      <c r="B774" s="114">
        <v>392</v>
      </c>
      <c r="C774" s="115" t="s">
        <v>389</v>
      </c>
      <c r="D774" s="116" t="s">
        <v>375</v>
      </c>
    </row>
    <row r="775" spans="1:4" x14ac:dyDescent="0.15">
      <c r="A775" s="113">
        <v>497</v>
      </c>
      <c r="B775" s="114">
        <v>393</v>
      </c>
      <c r="C775" s="115" t="s">
        <v>390</v>
      </c>
      <c r="D775" s="116" t="s">
        <v>375</v>
      </c>
    </row>
    <row r="776" spans="1:4" x14ac:dyDescent="0.15">
      <c r="A776" s="113">
        <v>498</v>
      </c>
      <c r="B776" s="114">
        <v>394</v>
      </c>
      <c r="C776" s="115" t="s">
        <v>391</v>
      </c>
      <c r="D776" s="116" t="s">
        <v>375</v>
      </c>
    </row>
    <row r="777" spans="1:4" x14ac:dyDescent="0.15">
      <c r="A777" s="113">
        <v>701</v>
      </c>
      <c r="B777" s="114">
        <v>343</v>
      </c>
      <c r="C777" s="115" t="s">
        <v>392</v>
      </c>
      <c r="D777" s="116" t="s">
        <v>220</v>
      </c>
    </row>
    <row r="778" spans="1:4" x14ac:dyDescent="0.15">
      <c r="A778" s="113">
        <v>702</v>
      </c>
      <c r="B778" s="114">
        <v>344</v>
      </c>
      <c r="C778" s="115" t="s">
        <v>392</v>
      </c>
      <c r="D778" s="116" t="s">
        <v>220</v>
      </c>
    </row>
    <row r="779" spans="1:4" x14ac:dyDescent="0.15">
      <c r="A779" s="113">
        <v>703</v>
      </c>
      <c r="B779" s="114">
        <v>317</v>
      </c>
      <c r="C779" s="115" t="s">
        <v>326</v>
      </c>
      <c r="D779" s="116" t="s">
        <v>220</v>
      </c>
    </row>
    <row r="780" spans="1:4" x14ac:dyDescent="0.15">
      <c r="A780" s="113">
        <v>704</v>
      </c>
      <c r="B780" s="114">
        <v>318</v>
      </c>
      <c r="C780" s="115" t="s">
        <v>326</v>
      </c>
      <c r="D780" s="116" t="s">
        <v>220</v>
      </c>
    </row>
    <row r="781" spans="1:4" x14ac:dyDescent="0.15">
      <c r="A781" s="113">
        <v>705</v>
      </c>
      <c r="B781" s="114">
        <v>319</v>
      </c>
      <c r="C781" s="115" t="s">
        <v>326</v>
      </c>
      <c r="D781" s="116" t="s">
        <v>220</v>
      </c>
    </row>
    <row r="782" spans="1:4" x14ac:dyDescent="0.15">
      <c r="A782" s="113">
        <v>706</v>
      </c>
      <c r="B782" s="114">
        <v>320</v>
      </c>
      <c r="C782" s="115" t="s">
        <v>326</v>
      </c>
      <c r="D782" s="116" t="s">
        <v>220</v>
      </c>
    </row>
    <row r="783" spans="1:4" x14ac:dyDescent="0.15">
      <c r="A783" s="113">
        <v>707</v>
      </c>
      <c r="B783" s="114">
        <v>321</v>
      </c>
      <c r="C783" s="115" t="s">
        <v>326</v>
      </c>
      <c r="D783" s="116" t="s">
        <v>220</v>
      </c>
    </row>
    <row r="784" spans="1:4" x14ac:dyDescent="0.15">
      <c r="A784" s="113">
        <v>708</v>
      </c>
      <c r="B784" s="114">
        <v>322</v>
      </c>
      <c r="C784" s="115" t="s">
        <v>326</v>
      </c>
      <c r="D784" s="116" t="s">
        <v>220</v>
      </c>
    </row>
    <row r="785" spans="1:4" x14ac:dyDescent="0.15">
      <c r="A785" s="113">
        <v>709</v>
      </c>
      <c r="B785" s="114">
        <v>323</v>
      </c>
      <c r="C785" s="115" t="s">
        <v>326</v>
      </c>
      <c r="D785" s="116" t="s">
        <v>220</v>
      </c>
    </row>
    <row r="786" spans="1:4" x14ac:dyDescent="0.15">
      <c r="A786" s="113">
        <v>710</v>
      </c>
      <c r="B786" s="114">
        <v>324</v>
      </c>
      <c r="C786" s="115" t="s">
        <v>326</v>
      </c>
      <c r="D786" s="116" t="s">
        <v>220</v>
      </c>
    </row>
    <row r="787" spans="1:4" x14ac:dyDescent="0.15">
      <c r="A787" s="113">
        <v>711</v>
      </c>
      <c r="B787" s="114">
        <v>325</v>
      </c>
      <c r="C787" s="115" t="s">
        <v>326</v>
      </c>
      <c r="D787" s="116" t="s">
        <v>220</v>
      </c>
    </row>
    <row r="788" spans="1:4" x14ac:dyDescent="0.15">
      <c r="A788" s="113">
        <v>712</v>
      </c>
      <c r="B788" s="114">
        <v>326</v>
      </c>
      <c r="C788" s="115" t="s">
        <v>393</v>
      </c>
      <c r="D788" s="116" t="s">
        <v>220</v>
      </c>
    </row>
    <row r="789" spans="1:4" x14ac:dyDescent="0.15">
      <c r="A789" s="113">
        <v>713</v>
      </c>
      <c r="B789" s="114">
        <v>328</v>
      </c>
      <c r="C789" s="115" t="s">
        <v>393</v>
      </c>
      <c r="D789" s="116" t="s">
        <v>220</v>
      </c>
    </row>
    <row r="790" spans="1:4" x14ac:dyDescent="0.15">
      <c r="A790" s="113">
        <v>714</v>
      </c>
      <c r="B790" s="114">
        <v>329</v>
      </c>
      <c r="C790" s="115" t="s">
        <v>393</v>
      </c>
      <c r="D790" s="116" t="s">
        <v>220</v>
      </c>
    </row>
    <row r="791" spans="1:4" x14ac:dyDescent="0.15">
      <c r="A791" s="113">
        <v>715</v>
      </c>
      <c r="B791" s="114">
        <v>330</v>
      </c>
      <c r="C791" s="115" t="s">
        <v>393</v>
      </c>
      <c r="D791" s="116" t="s">
        <v>220</v>
      </c>
    </row>
    <row r="792" spans="1:4" x14ac:dyDescent="0.15">
      <c r="A792" s="113">
        <v>716</v>
      </c>
      <c r="B792" s="114">
        <v>339</v>
      </c>
      <c r="C792" s="115" t="s">
        <v>394</v>
      </c>
      <c r="D792" s="116" t="s">
        <v>220</v>
      </c>
    </row>
    <row r="793" spans="1:4" x14ac:dyDescent="0.15">
      <c r="A793" s="113">
        <v>717</v>
      </c>
      <c r="B793" s="114">
        <v>340</v>
      </c>
      <c r="C793" s="115" t="s">
        <v>394</v>
      </c>
      <c r="D793" s="116" t="s">
        <v>220</v>
      </c>
    </row>
    <row r="794" spans="1:4" x14ac:dyDescent="0.15">
      <c r="A794" s="113">
        <v>718</v>
      </c>
      <c r="B794" s="114">
        <v>341</v>
      </c>
      <c r="C794" s="115" t="s">
        <v>395</v>
      </c>
      <c r="D794" s="116" t="s">
        <v>220</v>
      </c>
    </row>
    <row r="795" spans="1:4" x14ac:dyDescent="0.15">
      <c r="A795" s="113">
        <v>719</v>
      </c>
      <c r="B795" s="114">
        <v>342</v>
      </c>
      <c r="C795" s="115" t="s">
        <v>395</v>
      </c>
      <c r="D795" s="116" t="s">
        <v>220</v>
      </c>
    </row>
    <row r="796" spans="1:4" x14ac:dyDescent="0.15">
      <c r="A796" s="113">
        <v>720</v>
      </c>
      <c r="B796" s="114">
        <v>331</v>
      </c>
      <c r="C796" s="115" t="s">
        <v>259</v>
      </c>
      <c r="D796" s="116">
        <v>1</v>
      </c>
    </row>
    <row r="797" spans="1:4" x14ac:dyDescent="0.15">
      <c r="A797" s="113">
        <v>720</v>
      </c>
      <c r="B797" s="114">
        <v>332</v>
      </c>
      <c r="C797" s="115" t="s">
        <v>259</v>
      </c>
      <c r="D797" s="116">
        <v>1</v>
      </c>
    </row>
    <row r="798" spans="1:4" x14ac:dyDescent="0.15">
      <c r="A798" s="113">
        <v>720</v>
      </c>
      <c r="B798" s="114">
        <v>333</v>
      </c>
      <c r="C798" s="115" t="s">
        <v>259</v>
      </c>
      <c r="D798" s="116">
        <v>2</v>
      </c>
    </row>
    <row r="799" spans="1:4" x14ac:dyDescent="0.15">
      <c r="A799" s="113">
        <v>721</v>
      </c>
      <c r="B799" s="114">
        <v>327</v>
      </c>
      <c r="C799" s="115" t="s">
        <v>396</v>
      </c>
      <c r="D799" s="116">
        <v>2</v>
      </c>
    </row>
    <row r="800" spans="1:4" x14ac:dyDescent="0.15">
      <c r="A800" s="113">
        <v>721</v>
      </c>
      <c r="B800" s="114">
        <v>336</v>
      </c>
      <c r="C800" s="115" t="s">
        <v>396</v>
      </c>
      <c r="D800" s="116">
        <v>1</v>
      </c>
    </row>
    <row r="801" spans="1:4" x14ac:dyDescent="0.15">
      <c r="A801" s="113">
        <v>722</v>
      </c>
      <c r="B801" s="114">
        <v>13067</v>
      </c>
      <c r="C801" s="115" t="s">
        <v>396</v>
      </c>
      <c r="D801" s="116">
        <v>2</v>
      </c>
    </row>
    <row r="802" spans="1:4" x14ac:dyDescent="0.15">
      <c r="A802" s="113">
        <v>722</v>
      </c>
      <c r="B802" s="114">
        <v>13068</v>
      </c>
      <c r="C802" s="115" t="s">
        <v>396</v>
      </c>
      <c r="D802" s="116">
        <v>1</v>
      </c>
    </row>
    <row r="803" spans="1:4" x14ac:dyDescent="0.15">
      <c r="A803" s="113">
        <v>723</v>
      </c>
      <c r="B803" s="114">
        <v>13070</v>
      </c>
      <c r="C803" s="115" t="s">
        <v>396</v>
      </c>
      <c r="D803" s="116">
        <v>2</v>
      </c>
    </row>
    <row r="804" spans="1:4" x14ac:dyDescent="0.15">
      <c r="A804" s="113">
        <v>723</v>
      </c>
      <c r="B804" s="114">
        <v>13071</v>
      </c>
      <c r="C804" s="115" t="s">
        <v>396</v>
      </c>
      <c r="D804" s="116">
        <v>1</v>
      </c>
    </row>
    <row r="805" spans="1:4" x14ac:dyDescent="0.15">
      <c r="A805" s="113">
        <v>724</v>
      </c>
      <c r="B805" s="114">
        <v>13073</v>
      </c>
      <c r="C805" s="115" t="s">
        <v>396</v>
      </c>
      <c r="D805" s="116">
        <v>2</v>
      </c>
    </row>
    <row r="806" spans="1:4" x14ac:dyDescent="0.15">
      <c r="A806" s="113">
        <v>724</v>
      </c>
      <c r="B806" s="114">
        <v>13074</v>
      </c>
      <c r="C806" s="115" t="s">
        <v>396</v>
      </c>
      <c r="D806" s="116">
        <v>1</v>
      </c>
    </row>
    <row r="807" spans="1:4" x14ac:dyDescent="0.15">
      <c r="A807" s="113">
        <v>725</v>
      </c>
      <c r="B807" s="114">
        <v>13076</v>
      </c>
      <c r="C807" s="115" t="s">
        <v>396</v>
      </c>
      <c r="D807" s="116">
        <v>2</v>
      </c>
    </row>
    <row r="808" spans="1:4" x14ac:dyDescent="0.15">
      <c r="A808" s="113">
        <v>725</v>
      </c>
      <c r="B808" s="114">
        <v>13077</v>
      </c>
      <c r="C808" s="115" t="s">
        <v>396</v>
      </c>
      <c r="D808" s="116">
        <v>1</v>
      </c>
    </row>
    <row r="809" spans="1:4" x14ac:dyDescent="0.15">
      <c r="A809" s="113">
        <v>726</v>
      </c>
      <c r="B809" s="114">
        <v>13079</v>
      </c>
      <c r="C809" s="115" t="s">
        <v>396</v>
      </c>
      <c r="D809" s="116">
        <v>2</v>
      </c>
    </row>
    <row r="810" spans="1:4" x14ac:dyDescent="0.15">
      <c r="A810" s="113">
        <v>726</v>
      </c>
      <c r="B810" s="114">
        <v>13080</v>
      </c>
      <c r="C810" s="115" t="s">
        <v>396</v>
      </c>
      <c r="D810" s="116">
        <v>1</v>
      </c>
    </row>
    <row r="811" spans="1:4" x14ac:dyDescent="0.15">
      <c r="A811" s="113">
        <v>727</v>
      </c>
      <c r="B811" s="114">
        <v>13032</v>
      </c>
      <c r="C811" s="115" t="s">
        <v>396</v>
      </c>
      <c r="D811" s="116">
        <v>2</v>
      </c>
    </row>
    <row r="812" spans="1:4" x14ac:dyDescent="0.15">
      <c r="A812" s="113">
        <v>727</v>
      </c>
      <c r="B812" s="114">
        <v>13033</v>
      </c>
      <c r="C812" s="115" t="s">
        <v>396</v>
      </c>
      <c r="D812" s="116">
        <v>1</v>
      </c>
    </row>
    <row r="813" spans="1:4" x14ac:dyDescent="0.15">
      <c r="A813" s="113">
        <v>728</v>
      </c>
      <c r="B813" s="114">
        <v>13034</v>
      </c>
      <c r="C813" s="115" t="s">
        <v>397</v>
      </c>
      <c r="D813" s="116">
        <v>2</v>
      </c>
    </row>
    <row r="814" spans="1:4" x14ac:dyDescent="0.15">
      <c r="A814" s="113">
        <v>729</v>
      </c>
      <c r="B814" s="114">
        <v>13035</v>
      </c>
      <c r="C814" s="115" t="s">
        <v>396</v>
      </c>
      <c r="D814" s="116">
        <v>2</v>
      </c>
    </row>
    <row r="815" spans="1:4" x14ac:dyDescent="0.15">
      <c r="A815" s="113">
        <v>729</v>
      </c>
      <c r="B815" s="114">
        <v>13036</v>
      </c>
      <c r="C815" s="115" t="s">
        <v>396</v>
      </c>
      <c r="D815" s="116">
        <v>1</v>
      </c>
    </row>
    <row r="816" spans="1:4" x14ac:dyDescent="0.15">
      <c r="A816" s="113">
        <v>730</v>
      </c>
      <c r="B816" s="114">
        <v>13037</v>
      </c>
      <c r="C816" s="115" t="s">
        <v>397</v>
      </c>
      <c r="D816" s="116">
        <v>2</v>
      </c>
    </row>
    <row r="817" spans="1:4" x14ac:dyDescent="0.15">
      <c r="A817" s="113">
        <v>731</v>
      </c>
      <c r="B817" s="114">
        <v>13038</v>
      </c>
      <c r="C817" s="115" t="s">
        <v>396</v>
      </c>
      <c r="D817" s="116">
        <v>2</v>
      </c>
    </row>
    <row r="818" spans="1:4" x14ac:dyDescent="0.15">
      <c r="A818" s="113">
        <v>731</v>
      </c>
      <c r="B818" s="114">
        <v>13039</v>
      </c>
      <c r="C818" s="115" t="s">
        <v>396</v>
      </c>
      <c r="D818" s="116">
        <v>1</v>
      </c>
    </row>
    <row r="819" spans="1:4" x14ac:dyDescent="0.15">
      <c r="A819" s="113">
        <v>732</v>
      </c>
      <c r="B819" s="114">
        <v>13040</v>
      </c>
      <c r="C819" s="115" t="s">
        <v>397</v>
      </c>
      <c r="D819" s="116">
        <v>2</v>
      </c>
    </row>
    <row r="820" spans="1:4" x14ac:dyDescent="0.15">
      <c r="A820" s="113">
        <v>733</v>
      </c>
      <c r="B820" s="114">
        <v>13041</v>
      </c>
      <c r="C820" s="115" t="s">
        <v>396</v>
      </c>
      <c r="D820" s="116">
        <v>2</v>
      </c>
    </row>
    <row r="821" spans="1:4" x14ac:dyDescent="0.15">
      <c r="A821" s="113">
        <v>733</v>
      </c>
      <c r="B821" s="114">
        <v>13042</v>
      </c>
      <c r="C821" s="115" t="s">
        <v>396</v>
      </c>
      <c r="D821" s="116">
        <v>1</v>
      </c>
    </row>
    <row r="822" spans="1:4" x14ac:dyDescent="0.15">
      <c r="A822" s="113">
        <v>734</v>
      </c>
      <c r="B822" s="114">
        <v>13043</v>
      </c>
      <c r="C822" s="115" t="s">
        <v>397</v>
      </c>
      <c r="D822" s="116">
        <v>2</v>
      </c>
    </row>
    <row r="823" spans="1:4" x14ac:dyDescent="0.15">
      <c r="A823" s="113">
        <v>735</v>
      </c>
      <c r="B823" s="114">
        <v>13044</v>
      </c>
      <c r="C823" s="115" t="s">
        <v>396</v>
      </c>
      <c r="D823" s="116">
        <v>2</v>
      </c>
    </row>
    <row r="824" spans="1:4" x14ac:dyDescent="0.15">
      <c r="A824" s="113">
        <v>735</v>
      </c>
      <c r="B824" s="114">
        <v>13045</v>
      </c>
      <c r="C824" s="115" t="s">
        <v>396</v>
      </c>
      <c r="D824" s="116">
        <v>1</v>
      </c>
    </row>
    <row r="825" spans="1:4" x14ac:dyDescent="0.15">
      <c r="A825" s="113">
        <v>736</v>
      </c>
      <c r="B825" s="114">
        <v>13046</v>
      </c>
      <c r="C825" s="115" t="s">
        <v>397</v>
      </c>
      <c r="D825" s="116">
        <v>2</v>
      </c>
    </row>
    <row r="826" spans="1:4" x14ac:dyDescent="0.15">
      <c r="A826" s="113">
        <v>737</v>
      </c>
      <c r="B826" s="114">
        <v>13047</v>
      </c>
      <c r="C826" s="115" t="s">
        <v>396</v>
      </c>
      <c r="D826" s="116">
        <v>2</v>
      </c>
    </row>
    <row r="827" spans="1:4" x14ac:dyDescent="0.15">
      <c r="A827" s="113">
        <v>737</v>
      </c>
      <c r="B827" s="114">
        <v>13048</v>
      </c>
      <c r="C827" s="115" t="s">
        <v>396</v>
      </c>
      <c r="D827" s="116">
        <v>1</v>
      </c>
    </row>
    <row r="828" spans="1:4" x14ac:dyDescent="0.15">
      <c r="A828" s="113">
        <v>738</v>
      </c>
      <c r="B828" s="114">
        <v>13049</v>
      </c>
      <c r="C828" s="115" t="s">
        <v>397</v>
      </c>
      <c r="D828" s="116">
        <v>2</v>
      </c>
    </row>
    <row r="829" spans="1:4" x14ac:dyDescent="0.15">
      <c r="A829" s="113">
        <v>739</v>
      </c>
      <c r="B829" s="114">
        <v>13050</v>
      </c>
      <c r="C829" s="115" t="s">
        <v>396</v>
      </c>
      <c r="D829" s="116">
        <v>2</v>
      </c>
    </row>
    <row r="830" spans="1:4" x14ac:dyDescent="0.15">
      <c r="A830" s="113">
        <v>739</v>
      </c>
      <c r="B830" s="114">
        <v>13051</v>
      </c>
      <c r="C830" s="115" t="s">
        <v>396</v>
      </c>
      <c r="D830" s="116">
        <v>1</v>
      </c>
    </row>
    <row r="831" spans="1:4" x14ac:dyDescent="0.15">
      <c r="A831" s="113">
        <v>740</v>
      </c>
      <c r="B831" s="114">
        <v>13052</v>
      </c>
      <c r="C831" s="115" t="s">
        <v>397</v>
      </c>
      <c r="D831" s="116">
        <v>2</v>
      </c>
    </row>
    <row r="832" spans="1:4" x14ac:dyDescent="0.15">
      <c r="A832" s="113">
        <v>741</v>
      </c>
      <c r="B832" s="114">
        <v>13053</v>
      </c>
      <c r="C832" s="115" t="s">
        <v>396</v>
      </c>
      <c r="D832" s="116">
        <v>2</v>
      </c>
    </row>
    <row r="833" spans="1:4" x14ac:dyDescent="0.15">
      <c r="A833" s="113">
        <v>741</v>
      </c>
      <c r="B833" s="114">
        <v>13054</v>
      </c>
      <c r="C833" s="115" t="s">
        <v>396</v>
      </c>
      <c r="D833" s="116">
        <v>1</v>
      </c>
    </row>
    <row r="834" spans="1:4" x14ac:dyDescent="0.15">
      <c r="A834" s="113">
        <v>742</v>
      </c>
      <c r="B834" s="114">
        <v>13055</v>
      </c>
      <c r="C834" s="115" t="s">
        <v>397</v>
      </c>
      <c r="D834" s="116">
        <v>2</v>
      </c>
    </row>
    <row r="835" spans="1:4" x14ac:dyDescent="0.15">
      <c r="A835" s="113">
        <v>743</v>
      </c>
      <c r="B835" s="114">
        <v>13056</v>
      </c>
      <c r="C835" s="115" t="s">
        <v>396</v>
      </c>
      <c r="D835" s="116">
        <v>2</v>
      </c>
    </row>
    <row r="836" spans="1:4" x14ac:dyDescent="0.15">
      <c r="A836" s="113">
        <v>743</v>
      </c>
      <c r="B836" s="114">
        <v>13057</v>
      </c>
      <c r="C836" s="115" t="s">
        <v>396</v>
      </c>
      <c r="D836" s="116">
        <v>1</v>
      </c>
    </row>
    <row r="837" spans="1:4" x14ac:dyDescent="0.15">
      <c r="A837" s="113">
        <v>744</v>
      </c>
      <c r="B837" s="114">
        <v>13058</v>
      </c>
      <c r="C837" s="115" t="s">
        <v>397</v>
      </c>
      <c r="D837" s="116">
        <v>2</v>
      </c>
    </row>
    <row r="838" spans="1:4" x14ac:dyDescent="0.15">
      <c r="A838" s="113">
        <v>745</v>
      </c>
      <c r="B838" s="114">
        <v>13059</v>
      </c>
      <c r="C838" s="115" t="s">
        <v>396</v>
      </c>
      <c r="D838" s="116">
        <v>2</v>
      </c>
    </row>
    <row r="839" spans="1:4" x14ac:dyDescent="0.15">
      <c r="A839" s="113">
        <v>745</v>
      </c>
      <c r="B839" s="114">
        <v>13060</v>
      </c>
      <c r="C839" s="115" t="s">
        <v>396</v>
      </c>
      <c r="D839" s="116">
        <v>1</v>
      </c>
    </row>
    <row r="840" spans="1:4" x14ac:dyDescent="0.15">
      <c r="A840" s="113">
        <v>746</v>
      </c>
      <c r="B840" s="114">
        <v>13061</v>
      </c>
      <c r="C840" s="115" t="s">
        <v>397</v>
      </c>
      <c r="D840" s="116">
        <v>2</v>
      </c>
    </row>
    <row r="841" spans="1:4" x14ac:dyDescent="0.15">
      <c r="A841" s="113">
        <v>747</v>
      </c>
      <c r="B841" s="114">
        <v>13062</v>
      </c>
      <c r="C841" s="115" t="s">
        <v>396</v>
      </c>
      <c r="D841" s="116">
        <v>2</v>
      </c>
    </row>
    <row r="842" spans="1:4" x14ac:dyDescent="0.15">
      <c r="A842" s="113">
        <v>747</v>
      </c>
      <c r="B842" s="114">
        <v>13063</v>
      </c>
      <c r="C842" s="115" t="s">
        <v>396</v>
      </c>
      <c r="D842" s="116">
        <v>1</v>
      </c>
    </row>
    <row r="843" spans="1:4" x14ac:dyDescent="0.15">
      <c r="A843" s="113">
        <v>748</v>
      </c>
      <c r="B843" s="114">
        <v>13064</v>
      </c>
      <c r="C843" s="115" t="s">
        <v>396</v>
      </c>
      <c r="D843" s="116">
        <v>2</v>
      </c>
    </row>
    <row r="844" spans="1:4" x14ac:dyDescent="0.15">
      <c r="A844" s="113">
        <v>748</v>
      </c>
      <c r="B844" s="114">
        <v>13065</v>
      </c>
      <c r="C844" s="115" t="s">
        <v>396</v>
      </c>
      <c r="D844" s="116">
        <v>1</v>
      </c>
    </row>
    <row r="845" spans="1:4" x14ac:dyDescent="0.15">
      <c r="A845" s="113">
        <v>749</v>
      </c>
      <c r="B845" s="114">
        <v>13066</v>
      </c>
      <c r="C845" s="115" t="s">
        <v>397</v>
      </c>
      <c r="D845" s="116">
        <v>2</v>
      </c>
    </row>
    <row r="846" spans="1:4" x14ac:dyDescent="0.15">
      <c r="A846" s="113">
        <v>752</v>
      </c>
      <c r="B846" s="114">
        <v>13011</v>
      </c>
      <c r="C846" s="115" t="s">
        <v>396</v>
      </c>
      <c r="D846" s="116">
        <v>2</v>
      </c>
    </row>
    <row r="847" spans="1:4" x14ac:dyDescent="0.15">
      <c r="A847" s="113">
        <v>752</v>
      </c>
      <c r="B847" s="114">
        <v>13012</v>
      </c>
      <c r="C847" s="115" t="s">
        <v>396</v>
      </c>
      <c r="D847" s="116">
        <v>1</v>
      </c>
    </row>
    <row r="848" spans="1:4" x14ac:dyDescent="0.15">
      <c r="A848" s="113">
        <v>753</v>
      </c>
      <c r="B848" s="114">
        <v>13013</v>
      </c>
      <c r="C848" s="115" t="s">
        <v>398</v>
      </c>
      <c r="D848" s="116">
        <v>2</v>
      </c>
    </row>
    <row r="849" spans="1:4" x14ac:dyDescent="0.15">
      <c r="A849" s="113">
        <v>754</v>
      </c>
      <c r="B849" s="114">
        <v>13014</v>
      </c>
      <c r="C849" s="115" t="s">
        <v>396</v>
      </c>
      <c r="D849" s="116">
        <v>2</v>
      </c>
    </row>
    <row r="850" spans="1:4" x14ac:dyDescent="0.15">
      <c r="A850" s="113">
        <v>754</v>
      </c>
      <c r="B850" s="114">
        <v>13015</v>
      </c>
      <c r="C850" s="115" t="s">
        <v>396</v>
      </c>
      <c r="D850" s="116">
        <v>1</v>
      </c>
    </row>
    <row r="851" spans="1:4" x14ac:dyDescent="0.15">
      <c r="A851" s="113">
        <v>755</v>
      </c>
      <c r="B851" s="114">
        <v>13016</v>
      </c>
      <c r="C851" s="115" t="s">
        <v>398</v>
      </c>
      <c r="D851" s="116">
        <v>2</v>
      </c>
    </row>
    <row r="852" spans="1:4" x14ac:dyDescent="0.15">
      <c r="A852" s="113">
        <v>756</v>
      </c>
      <c r="B852" s="114">
        <v>13017</v>
      </c>
      <c r="C852" s="115" t="s">
        <v>396</v>
      </c>
      <c r="D852" s="116">
        <v>2</v>
      </c>
    </row>
    <row r="853" spans="1:4" x14ac:dyDescent="0.15">
      <c r="A853" s="113">
        <v>756</v>
      </c>
      <c r="B853" s="114">
        <v>13018</v>
      </c>
      <c r="C853" s="115" t="s">
        <v>396</v>
      </c>
      <c r="D853" s="116">
        <v>1</v>
      </c>
    </row>
    <row r="854" spans="1:4" x14ac:dyDescent="0.15">
      <c r="A854" s="113">
        <v>757</v>
      </c>
      <c r="B854" s="114">
        <v>13019</v>
      </c>
      <c r="C854" s="115" t="s">
        <v>398</v>
      </c>
      <c r="D854" s="116">
        <v>2</v>
      </c>
    </row>
    <row r="855" spans="1:4" x14ac:dyDescent="0.15">
      <c r="A855" s="113">
        <v>758</v>
      </c>
      <c r="B855" s="114">
        <v>13020</v>
      </c>
      <c r="C855" s="115" t="s">
        <v>396</v>
      </c>
      <c r="D855" s="116">
        <v>2</v>
      </c>
    </row>
    <row r="856" spans="1:4" x14ac:dyDescent="0.15">
      <c r="A856" s="113">
        <v>758</v>
      </c>
      <c r="B856" s="114">
        <v>13021</v>
      </c>
      <c r="C856" s="115" t="s">
        <v>396</v>
      </c>
      <c r="D856" s="116">
        <v>1</v>
      </c>
    </row>
    <row r="857" spans="1:4" x14ac:dyDescent="0.15">
      <c r="A857" s="113">
        <v>759</v>
      </c>
      <c r="B857" s="114">
        <v>13022</v>
      </c>
      <c r="C857" s="115" t="s">
        <v>398</v>
      </c>
      <c r="D857" s="116">
        <v>2</v>
      </c>
    </row>
    <row r="858" spans="1:4" x14ac:dyDescent="0.15">
      <c r="A858" s="113">
        <v>760</v>
      </c>
      <c r="B858" s="114">
        <v>13023</v>
      </c>
      <c r="C858" s="115" t="s">
        <v>396</v>
      </c>
      <c r="D858" s="116">
        <v>2</v>
      </c>
    </row>
    <row r="859" spans="1:4" x14ac:dyDescent="0.15">
      <c r="A859" s="113">
        <v>760</v>
      </c>
      <c r="B859" s="114">
        <v>13024</v>
      </c>
      <c r="C859" s="115" t="s">
        <v>396</v>
      </c>
      <c r="D859" s="116">
        <v>1</v>
      </c>
    </row>
    <row r="860" spans="1:4" x14ac:dyDescent="0.15">
      <c r="A860" s="113">
        <v>761</v>
      </c>
      <c r="B860" s="114">
        <v>13025</v>
      </c>
      <c r="C860" s="115" t="s">
        <v>398</v>
      </c>
      <c r="D860" s="116">
        <v>2</v>
      </c>
    </row>
    <row r="861" spans="1:4" x14ac:dyDescent="0.15">
      <c r="A861" s="113">
        <v>762</v>
      </c>
      <c r="B861" s="114">
        <v>13026</v>
      </c>
      <c r="C861" s="115" t="s">
        <v>396</v>
      </c>
      <c r="D861" s="116">
        <v>2</v>
      </c>
    </row>
    <row r="862" spans="1:4" x14ac:dyDescent="0.15">
      <c r="A862" s="113">
        <v>762</v>
      </c>
      <c r="B862" s="114">
        <v>13027</v>
      </c>
      <c r="C862" s="115" t="s">
        <v>396</v>
      </c>
      <c r="D862" s="116">
        <v>1</v>
      </c>
    </row>
    <row r="863" spans="1:4" x14ac:dyDescent="0.15">
      <c r="A863" s="113">
        <v>763</v>
      </c>
      <c r="B863" s="114">
        <v>13028</v>
      </c>
      <c r="C863" s="115" t="s">
        <v>398</v>
      </c>
      <c r="D863" s="116">
        <v>2</v>
      </c>
    </row>
    <row r="864" spans="1:4" x14ac:dyDescent="0.15">
      <c r="A864" s="113">
        <v>764</v>
      </c>
      <c r="B864" s="114">
        <v>13002</v>
      </c>
      <c r="C864" s="115" t="s">
        <v>396</v>
      </c>
      <c r="D864" s="116">
        <v>2</v>
      </c>
    </row>
    <row r="865" spans="1:4" x14ac:dyDescent="0.15">
      <c r="A865" s="113">
        <v>764</v>
      </c>
      <c r="B865" s="114">
        <v>13003</v>
      </c>
      <c r="C865" s="115" t="s">
        <v>396</v>
      </c>
      <c r="D865" s="116">
        <v>1</v>
      </c>
    </row>
    <row r="866" spans="1:4" x14ac:dyDescent="0.15">
      <c r="A866" s="113">
        <v>765</v>
      </c>
      <c r="B866" s="114">
        <v>13004</v>
      </c>
      <c r="C866" s="115" t="s">
        <v>398</v>
      </c>
      <c r="D866" s="116">
        <v>2</v>
      </c>
    </row>
    <row r="867" spans="1:4" x14ac:dyDescent="0.15">
      <c r="A867" s="113">
        <v>766</v>
      </c>
      <c r="B867" s="114">
        <v>13005</v>
      </c>
      <c r="C867" s="115" t="s">
        <v>396</v>
      </c>
      <c r="D867" s="116">
        <v>2</v>
      </c>
    </row>
    <row r="868" spans="1:4" x14ac:dyDescent="0.15">
      <c r="A868" s="113">
        <v>766</v>
      </c>
      <c r="B868" s="114">
        <v>13006</v>
      </c>
      <c r="C868" s="115" t="s">
        <v>396</v>
      </c>
      <c r="D868" s="116">
        <v>1</v>
      </c>
    </row>
    <row r="869" spans="1:4" x14ac:dyDescent="0.15">
      <c r="A869" s="113">
        <v>767</v>
      </c>
      <c r="B869" s="114">
        <v>13007</v>
      </c>
      <c r="C869" s="115" t="s">
        <v>398</v>
      </c>
      <c r="D869" s="116">
        <v>2</v>
      </c>
    </row>
    <row r="870" spans="1:4" x14ac:dyDescent="0.15">
      <c r="A870" s="113">
        <v>768</v>
      </c>
      <c r="B870" s="114">
        <v>13008</v>
      </c>
      <c r="C870" s="115" t="s">
        <v>396</v>
      </c>
      <c r="D870" s="116">
        <v>2</v>
      </c>
    </row>
    <row r="871" spans="1:4" x14ac:dyDescent="0.15">
      <c r="A871" s="113">
        <v>768</v>
      </c>
      <c r="B871" s="114">
        <v>13009</v>
      </c>
      <c r="C871" s="115" t="s">
        <v>396</v>
      </c>
      <c r="D871" s="116">
        <v>1</v>
      </c>
    </row>
    <row r="872" spans="1:4" x14ac:dyDescent="0.15">
      <c r="A872" s="113">
        <v>769</v>
      </c>
      <c r="B872" s="114">
        <v>13010</v>
      </c>
      <c r="C872" s="115" t="s">
        <v>398</v>
      </c>
      <c r="D872" s="116">
        <v>2</v>
      </c>
    </row>
    <row r="873" spans="1:4" x14ac:dyDescent="0.15">
      <c r="A873" s="113">
        <v>770</v>
      </c>
      <c r="B873" s="114">
        <v>13001</v>
      </c>
      <c r="C873" s="115" t="s">
        <v>399</v>
      </c>
      <c r="D873" s="116">
        <v>2</v>
      </c>
    </row>
    <row r="874" spans="1:4" x14ac:dyDescent="0.15">
      <c r="A874" s="113">
        <v>775</v>
      </c>
      <c r="B874" s="114">
        <v>334</v>
      </c>
      <c r="C874" s="115" t="s">
        <v>400</v>
      </c>
      <c r="D874" s="116" t="s">
        <v>220</v>
      </c>
    </row>
    <row r="875" spans="1:4" x14ac:dyDescent="0.15">
      <c r="A875" s="113">
        <v>776</v>
      </c>
      <c r="B875" s="114">
        <v>335</v>
      </c>
      <c r="C875" s="115" t="s">
        <v>400</v>
      </c>
      <c r="D875" s="116" t="s">
        <v>220</v>
      </c>
    </row>
    <row r="876" spans="1:4" x14ac:dyDescent="0.15">
      <c r="A876" s="113">
        <v>781</v>
      </c>
      <c r="B876" s="114">
        <v>327</v>
      </c>
      <c r="C876" s="115" t="s">
        <v>396</v>
      </c>
      <c r="D876" s="116" t="s">
        <v>220</v>
      </c>
    </row>
    <row r="877" spans="1:4" x14ac:dyDescent="0.15">
      <c r="A877" s="113">
        <v>782</v>
      </c>
      <c r="B877" s="114">
        <v>13069</v>
      </c>
      <c r="C877" s="115" t="s">
        <v>396</v>
      </c>
      <c r="D877" s="116">
        <v>1</v>
      </c>
    </row>
    <row r="878" spans="1:4" x14ac:dyDescent="0.15">
      <c r="A878" s="113">
        <v>783</v>
      </c>
      <c r="B878" s="114">
        <v>13072</v>
      </c>
      <c r="C878" s="115" t="s">
        <v>396</v>
      </c>
      <c r="D878" s="116">
        <v>1</v>
      </c>
    </row>
    <row r="879" spans="1:4" x14ac:dyDescent="0.15">
      <c r="A879" s="113">
        <v>784</v>
      </c>
      <c r="B879" s="114">
        <v>13075</v>
      </c>
      <c r="C879" s="115" t="s">
        <v>396</v>
      </c>
      <c r="D879" s="116">
        <v>1</v>
      </c>
    </row>
    <row r="880" spans="1:4" x14ac:dyDescent="0.15">
      <c r="A880" s="113">
        <v>785</v>
      </c>
      <c r="B880" s="114">
        <v>13078</v>
      </c>
      <c r="C880" s="115" t="s">
        <v>396</v>
      </c>
      <c r="D880" s="116">
        <v>1</v>
      </c>
    </row>
    <row r="881" spans="1:4" x14ac:dyDescent="0.15">
      <c r="A881" s="113">
        <v>786</v>
      </c>
      <c r="B881" s="114">
        <v>13081</v>
      </c>
      <c r="C881" s="115" t="s">
        <v>396</v>
      </c>
      <c r="D881" s="116">
        <v>1</v>
      </c>
    </row>
    <row r="882" spans="1:4" x14ac:dyDescent="0.15">
      <c r="A882" s="113">
        <v>787</v>
      </c>
      <c r="B882" s="114">
        <v>13082</v>
      </c>
      <c r="C882" s="115" t="s">
        <v>401</v>
      </c>
      <c r="D882" s="116">
        <v>2</v>
      </c>
    </row>
    <row r="883" spans="1:4" x14ac:dyDescent="0.15">
      <c r="A883" s="113">
        <v>787</v>
      </c>
      <c r="B883" s="114">
        <v>13083</v>
      </c>
      <c r="C883" s="115" t="s">
        <v>401</v>
      </c>
      <c r="D883" s="116">
        <v>1</v>
      </c>
    </row>
    <row r="884" spans="1:4" x14ac:dyDescent="0.15">
      <c r="A884" s="113">
        <v>788</v>
      </c>
      <c r="B884" s="114">
        <v>13084</v>
      </c>
      <c r="C884" s="115" t="s">
        <v>402</v>
      </c>
      <c r="D884" s="116">
        <v>1</v>
      </c>
    </row>
    <row r="885" spans="1:4" x14ac:dyDescent="0.15">
      <c r="A885" s="113">
        <v>789</v>
      </c>
      <c r="B885" s="114">
        <v>13085</v>
      </c>
      <c r="C885" s="115" t="s">
        <v>403</v>
      </c>
      <c r="D885" s="116">
        <v>2</v>
      </c>
    </row>
    <row r="886" spans="1:4" x14ac:dyDescent="0.15">
      <c r="A886" s="113">
        <v>789</v>
      </c>
      <c r="B886" s="114">
        <v>13086</v>
      </c>
      <c r="C886" s="115" t="s">
        <v>403</v>
      </c>
      <c r="D886" s="116">
        <v>1</v>
      </c>
    </row>
    <row r="887" spans="1:4" x14ac:dyDescent="0.15">
      <c r="A887" s="113">
        <v>790</v>
      </c>
      <c r="B887" s="114">
        <v>13087</v>
      </c>
      <c r="C887" s="115" t="s">
        <v>404</v>
      </c>
      <c r="D887" s="116">
        <v>1</v>
      </c>
    </row>
    <row r="888" spans="1:4" x14ac:dyDescent="0.15">
      <c r="A888" s="113">
        <v>791</v>
      </c>
      <c r="B888" s="114">
        <v>13088</v>
      </c>
      <c r="C888" s="115" t="s">
        <v>405</v>
      </c>
      <c r="D888" s="116">
        <v>2</v>
      </c>
    </row>
    <row r="889" spans="1:4" x14ac:dyDescent="0.15">
      <c r="A889" s="113">
        <v>791</v>
      </c>
      <c r="B889" s="114">
        <v>13089</v>
      </c>
      <c r="C889" s="115" t="s">
        <v>405</v>
      </c>
      <c r="D889" s="116">
        <v>1</v>
      </c>
    </row>
    <row r="890" spans="1:4" x14ac:dyDescent="0.15">
      <c r="A890" s="113">
        <v>792</v>
      </c>
      <c r="B890" s="114">
        <v>13090</v>
      </c>
      <c r="C890" s="115" t="s">
        <v>406</v>
      </c>
      <c r="D890" s="116">
        <v>1</v>
      </c>
    </row>
    <row r="891" spans="1:4" x14ac:dyDescent="0.15">
      <c r="A891" s="113">
        <v>793</v>
      </c>
      <c r="B891" s="114">
        <v>13091</v>
      </c>
      <c r="C891" s="115" t="s">
        <v>396</v>
      </c>
      <c r="D891" s="116">
        <v>2</v>
      </c>
    </row>
    <row r="892" spans="1:4" x14ac:dyDescent="0.15">
      <c r="A892" s="113">
        <v>793</v>
      </c>
      <c r="B892" s="114">
        <v>13092</v>
      </c>
      <c r="C892" s="115" t="s">
        <v>396</v>
      </c>
      <c r="D892" s="116">
        <v>1</v>
      </c>
    </row>
    <row r="893" spans="1:4" x14ac:dyDescent="0.15">
      <c r="A893" s="113">
        <v>794</v>
      </c>
      <c r="B893" s="114">
        <v>13093</v>
      </c>
      <c r="C893" s="115" t="s">
        <v>397</v>
      </c>
      <c r="D893" s="116">
        <v>2</v>
      </c>
    </row>
    <row r="894" spans="1:4" x14ac:dyDescent="0.15">
      <c r="A894" s="113">
        <v>801</v>
      </c>
      <c r="B894" s="114">
        <v>306</v>
      </c>
      <c r="C894" s="115" t="s">
        <v>323</v>
      </c>
      <c r="D894" s="116">
        <v>1</v>
      </c>
    </row>
    <row r="895" spans="1:4" x14ac:dyDescent="0.15">
      <c r="A895" s="113">
        <v>802</v>
      </c>
      <c r="B895" s="114">
        <v>14005</v>
      </c>
      <c r="C895" s="115" t="s">
        <v>407</v>
      </c>
      <c r="D895" s="116">
        <v>2</v>
      </c>
    </row>
    <row r="896" spans="1:4" x14ac:dyDescent="0.15">
      <c r="A896" s="113">
        <v>802</v>
      </c>
      <c r="B896" s="114">
        <v>14006</v>
      </c>
      <c r="C896" s="115" t="s">
        <v>407</v>
      </c>
      <c r="D896" s="116">
        <v>1</v>
      </c>
    </row>
    <row r="897" spans="1:4" x14ac:dyDescent="0.15">
      <c r="A897" s="113">
        <v>803</v>
      </c>
      <c r="B897" s="114">
        <v>14007</v>
      </c>
      <c r="C897" s="115" t="s">
        <v>408</v>
      </c>
      <c r="D897" s="116" t="s">
        <v>220</v>
      </c>
    </row>
    <row r="898" spans="1:4" x14ac:dyDescent="0.15">
      <c r="A898" s="113">
        <v>804</v>
      </c>
      <c r="B898" s="114">
        <v>14008</v>
      </c>
      <c r="C898" s="115" t="s">
        <v>407</v>
      </c>
      <c r="D898" s="116">
        <v>2</v>
      </c>
    </row>
    <row r="899" spans="1:4" x14ac:dyDescent="0.15">
      <c r="A899" s="113">
        <v>804</v>
      </c>
      <c r="B899" s="114">
        <v>14009</v>
      </c>
      <c r="C899" s="115" t="s">
        <v>407</v>
      </c>
      <c r="D899" s="116">
        <v>1</v>
      </c>
    </row>
    <row r="900" spans="1:4" x14ac:dyDescent="0.15">
      <c r="A900" s="113">
        <v>805</v>
      </c>
      <c r="B900" s="114">
        <v>14010</v>
      </c>
      <c r="C900" s="115" t="s">
        <v>408</v>
      </c>
      <c r="D900" s="116" t="s">
        <v>220</v>
      </c>
    </row>
    <row r="901" spans="1:4" x14ac:dyDescent="0.15">
      <c r="A901" s="113">
        <v>806</v>
      </c>
      <c r="B901" s="114">
        <v>14011</v>
      </c>
      <c r="C901" s="115" t="s">
        <v>407</v>
      </c>
      <c r="D901" s="116">
        <v>2</v>
      </c>
    </row>
    <row r="902" spans="1:4" x14ac:dyDescent="0.15">
      <c r="A902" s="113">
        <v>806</v>
      </c>
      <c r="B902" s="114">
        <v>14012</v>
      </c>
      <c r="C902" s="115" t="s">
        <v>407</v>
      </c>
      <c r="D902" s="116">
        <v>1</v>
      </c>
    </row>
    <row r="903" spans="1:4" x14ac:dyDescent="0.15">
      <c r="A903" s="113">
        <v>807</v>
      </c>
      <c r="B903" s="114">
        <v>14013</v>
      </c>
      <c r="C903" s="115" t="s">
        <v>408</v>
      </c>
      <c r="D903" s="116" t="s">
        <v>220</v>
      </c>
    </row>
    <row r="904" spans="1:4" x14ac:dyDescent="0.15">
      <c r="A904" s="113">
        <v>808</v>
      </c>
      <c r="B904" s="114">
        <v>14017</v>
      </c>
      <c r="C904" s="115" t="s">
        <v>407</v>
      </c>
      <c r="D904" s="116">
        <v>2</v>
      </c>
    </row>
    <row r="905" spans="1:4" x14ac:dyDescent="0.15">
      <c r="A905" s="113">
        <v>808</v>
      </c>
      <c r="B905" s="114">
        <v>14018</v>
      </c>
      <c r="C905" s="115" t="s">
        <v>407</v>
      </c>
      <c r="D905" s="116">
        <v>1</v>
      </c>
    </row>
    <row r="906" spans="1:4" x14ac:dyDescent="0.15">
      <c r="A906" s="113">
        <v>809</v>
      </c>
      <c r="B906" s="114">
        <v>14019</v>
      </c>
      <c r="C906" s="115" t="s">
        <v>408</v>
      </c>
      <c r="D906" s="116" t="s">
        <v>220</v>
      </c>
    </row>
    <row r="907" spans="1:4" x14ac:dyDescent="0.15">
      <c r="A907" s="113">
        <v>810</v>
      </c>
      <c r="B907" s="114">
        <v>14020</v>
      </c>
      <c r="C907" s="115" t="s">
        <v>407</v>
      </c>
      <c r="D907" s="116">
        <v>2</v>
      </c>
    </row>
    <row r="908" spans="1:4" x14ac:dyDescent="0.15">
      <c r="A908" s="113">
        <v>810</v>
      </c>
      <c r="B908" s="114">
        <v>14021</v>
      </c>
      <c r="C908" s="115" t="s">
        <v>407</v>
      </c>
      <c r="D908" s="116">
        <v>1</v>
      </c>
    </row>
    <row r="909" spans="1:4" x14ac:dyDescent="0.15">
      <c r="A909" s="113">
        <v>811</v>
      </c>
      <c r="B909" s="114">
        <v>14022</v>
      </c>
      <c r="C909" s="115" t="s">
        <v>408</v>
      </c>
      <c r="D909" s="116" t="s">
        <v>220</v>
      </c>
    </row>
    <row r="910" spans="1:4" x14ac:dyDescent="0.15">
      <c r="A910" s="113">
        <v>812</v>
      </c>
      <c r="B910" s="114">
        <v>14023</v>
      </c>
      <c r="C910" s="115" t="s">
        <v>407</v>
      </c>
      <c r="D910" s="116">
        <v>2</v>
      </c>
    </row>
    <row r="911" spans="1:4" x14ac:dyDescent="0.15">
      <c r="A911" s="113">
        <v>812</v>
      </c>
      <c r="B911" s="114">
        <v>14024</v>
      </c>
      <c r="C911" s="115" t="s">
        <v>407</v>
      </c>
      <c r="D911" s="116">
        <v>1</v>
      </c>
    </row>
    <row r="912" spans="1:4" x14ac:dyDescent="0.15">
      <c r="A912" s="113">
        <v>813</v>
      </c>
      <c r="B912" s="114">
        <v>14025</v>
      </c>
      <c r="C912" s="115" t="s">
        <v>408</v>
      </c>
      <c r="D912" s="116" t="s">
        <v>220</v>
      </c>
    </row>
    <row r="913" spans="1:4" x14ac:dyDescent="0.15">
      <c r="A913" s="113">
        <v>814</v>
      </c>
      <c r="B913" s="114">
        <v>14029</v>
      </c>
      <c r="C913" s="115" t="s">
        <v>407</v>
      </c>
      <c r="D913" s="116">
        <v>2</v>
      </c>
    </row>
    <row r="914" spans="1:4" x14ac:dyDescent="0.15">
      <c r="A914" s="113">
        <v>814</v>
      </c>
      <c r="B914" s="114">
        <v>14030</v>
      </c>
      <c r="C914" s="115" t="s">
        <v>407</v>
      </c>
      <c r="D914" s="116">
        <v>1</v>
      </c>
    </row>
    <row r="915" spans="1:4" x14ac:dyDescent="0.15">
      <c r="A915" s="113">
        <v>815</v>
      </c>
      <c r="B915" s="114">
        <v>14031</v>
      </c>
      <c r="C915" s="115" t="s">
        <v>408</v>
      </c>
      <c r="D915" s="116" t="s">
        <v>220</v>
      </c>
    </row>
    <row r="916" spans="1:4" x14ac:dyDescent="0.15">
      <c r="A916" s="113">
        <v>816</v>
      </c>
      <c r="B916" s="114">
        <v>14032</v>
      </c>
      <c r="C916" s="115" t="s">
        <v>407</v>
      </c>
      <c r="D916" s="116">
        <v>2</v>
      </c>
    </row>
    <row r="917" spans="1:4" x14ac:dyDescent="0.15">
      <c r="A917" s="113">
        <v>816</v>
      </c>
      <c r="B917" s="114">
        <v>14033</v>
      </c>
      <c r="C917" s="115" t="s">
        <v>407</v>
      </c>
      <c r="D917" s="116">
        <v>1</v>
      </c>
    </row>
    <row r="918" spans="1:4" x14ac:dyDescent="0.15">
      <c r="A918" s="113">
        <v>817</v>
      </c>
      <c r="B918" s="114">
        <v>14034</v>
      </c>
      <c r="C918" s="115" t="s">
        <v>408</v>
      </c>
      <c r="D918" s="116" t="s">
        <v>220</v>
      </c>
    </row>
    <row r="919" spans="1:4" x14ac:dyDescent="0.15">
      <c r="A919" s="113">
        <v>818</v>
      </c>
      <c r="B919" s="114">
        <v>14035</v>
      </c>
      <c r="C919" s="115" t="s">
        <v>407</v>
      </c>
      <c r="D919" s="116">
        <v>2</v>
      </c>
    </row>
    <row r="920" spans="1:4" x14ac:dyDescent="0.15">
      <c r="A920" s="113">
        <v>818</v>
      </c>
      <c r="B920" s="114">
        <v>14036</v>
      </c>
      <c r="C920" s="115" t="s">
        <v>407</v>
      </c>
      <c r="D920" s="116">
        <v>1</v>
      </c>
    </row>
    <row r="921" spans="1:4" x14ac:dyDescent="0.15">
      <c r="A921" s="113">
        <v>819</v>
      </c>
      <c r="B921" s="114">
        <v>14037</v>
      </c>
      <c r="C921" s="115" t="s">
        <v>408</v>
      </c>
      <c r="D921" s="116" t="s">
        <v>220</v>
      </c>
    </row>
    <row r="922" spans="1:4" x14ac:dyDescent="0.15">
      <c r="A922" s="113">
        <v>820</v>
      </c>
      <c r="B922" s="114">
        <v>14042</v>
      </c>
      <c r="C922" s="115" t="s">
        <v>407</v>
      </c>
      <c r="D922" s="116">
        <v>2</v>
      </c>
    </row>
    <row r="923" spans="1:4" x14ac:dyDescent="0.15">
      <c r="A923" s="113">
        <v>820</v>
      </c>
      <c r="B923" s="114">
        <v>14043</v>
      </c>
      <c r="C923" s="115" t="s">
        <v>407</v>
      </c>
      <c r="D923" s="116">
        <v>1</v>
      </c>
    </row>
    <row r="924" spans="1:4" x14ac:dyDescent="0.15">
      <c r="A924" s="113">
        <v>821</v>
      </c>
      <c r="B924" s="114">
        <v>14044</v>
      </c>
      <c r="C924" s="115" t="s">
        <v>408</v>
      </c>
      <c r="D924" s="116" t="s">
        <v>220</v>
      </c>
    </row>
    <row r="925" spans="1:4" x14ac:dyDescent="0.15">
      <c r="A925" s="113">
        <v>822</v>
      </c>
      <c r="B925" s="114">
        <v>14045</v>
      </c>
      <c r="C925" s="115" t="s">
        <v>407</v>
      </c>
      <c r="D925" s="116">
        <v>2</v>
      </c>
    </row>
    <row r="926" spans="1:4" x14ac:dyDescent="0.15">
      <c r="A926" s="113">
        <v>822</v>
      </c>
      <c r="B926" s="114">
        <v>14046</v>
      </c>
      <c r="C926" s="115" t="s">
        <v>407</v>
      </c>
      <c r="D926" s="116">
        <v>1</v>
      </c>
    </row>
    <row r="927" spans="1:4" x14ac:dyDescent="0.15">
      <c r="A927" s="113">
        <v>823</v>
      </c>
      <c r="B927" s="114">
        <v>14047</v>
      </c>
      <c r="C927" s="115" t="s">
        <v>408</v>
      </c>
      <c r="D927" s="116" t="s">
        <v>220</v>
      </c>
    </row>
    <row r="928" spans="1:4" x14ac:dyDescent="0.15">
      <c r="A928" s="113">
        <v>824</v>
      </c>
      <c r="B928" s="114">
        <v>14048</v>
      </c>
      <c r="C928" s="115" t="s">
        <v>407</v>
      </c>
      <c r="D928" s="116">
        <v>2</v>
      </c>
    </row>
    <row r="929" spans="1:4" x14ac:dyDescent="0.15">
      <c r="A929" s="113">
        <v>824</v>
      </c>
      <c r="B929" s="114">
        <v>14049</v>
      </c>
      <c r="C929" s="115" t="s">
        <v>407</v>
      </c>
      <c r="D929" s="116">
        <v>1</v>
      </c>
    </row>
    <row r="930" spans="1:4" x14ac:dyDescent="0.15">
      <c r="A930" s="113">
        <v>825</v>
      </c>
      <c r="B930" s="114">
        <v>14050</v>
      </c>
      <c r="C930" s="115" t="s">
        <v>408</v>
      </c>
      <c r="D930" s="116" t="s">
        <v>220</v>
      </c>
    </row>
    <row r="931" spans="1:4" x14ac:dyDescent="0.15">
      <c r="A931" s="113">
        <v>826</v>
      </c>
      <c r="B931" s="114">
        <v>14069</v>
      </c>
      <c r="C931" s="115" t="s">
        <v>407</v>
      </c>
      <c r="D931" s="116">
        <v>2</v>
      </c>
    </row>
    <row r="932" spans="1:4" x14ac:dyDescent="0.15">
      <c r="A932" s="113">
        <v>826</v>
      </c>
      <c r="B932" s="114">
        <v>14070</v>
      </c>
      <c r="C932" s="115" t="s">
        <v>407</v>
      </c>
      <c r="D932" s="116">
        <v>1</v>
      </c>
    </row>
    <row r="933" spans="1:4" x14ac:dyDescent="0.15">
      <c r="A933" s="113">
        <v>827</v>
      </c>
      <c r="B933" s="114">
        <v>14071</v>
      </c>
      <c r="C933" s="115" t="s">
        <v>408</v>
      </c>
      <c r="D933" s="116" t="s">
        <v>220</v>
      </c>
    </row>
    <row r="934" spans="1:4" x14ac:dyDescent="0.15">
      <c r="A934" s="113">
        <v>828</v>
      </c>
      <c r="B934" s="114">
        <v>14072</v>
      </c>
      <c r="C934" s="115" t="s">
        <v>407</v>
      </c>
      <c r="D934" s="116">
        <v>2</v>
      </c>
    </row>
    <row r="935" spans="1:4" x14ac:dyDescent="0.15">
      <c r="A935" s="113">
        <v>828</v>
      </c>
      <c r="B935" s="114">
        <v>14073</v>
      </c>
      <c r="C935" s="115" t="s">
        <v>407</v>
      </c>
      <c r="D935" s="116">
        <v>1</v>
      </c>
    </row>
    <row r="936" spans="1:4" x14ac:dyDescent="0.15">
      <c r="A936" s="113">
        <v>829</v>
      </c>
      <c r="B936" s="114">
        <v>14074</v>
      </c>
      <c r="C936" s="115" t="s">
        <v>408</v>
      </c>
      <c r="D936" s="116" t="s">
        <v>220</v>
      </c>
    </row>
    <row r="937" spans="1:4" x14ac:dyDescent="0.15">
      <c r="A937" s="113">
        <v>830</v>
      </c>
      <c r="B937" s="114">
        <v>14075</v>
      </c>
      <c r="C937" s="115" t="s">
        <v>407</v>
      </c>
      <c r="D937" s="116">
        <v>2</v>
      </c>
    </row>
    <row r="938" spans="1:4" x14ac:dyDescent="0.15">
      <c r="A938" s="113">
        <v>830</v>
      </c>
      <c r="B938" s="114">
        <v>14076</v>
      </c>
      <c r="C938" s="115" t="s">
        <v>407</v>
      </c>
      <c r="D938" s="116">
        <v>1</v>
      </c>
    </row>
    <row r="939" spans="1:4" x14ac:dyDescent="0.15">
      <c r="A939" s="113">
        <v>831</v>
      </c>
      <c r="B939" s="114">
        <v>14077</v>
      </c>
      <c r="C939" s="115" t="s">
        <v>408</v>
      </c>
      <c r="D939" s="116" t="s">
        <v>220</v>
      </c>
    </row>
    <row r="940" spans="1:4" x14ac:dyDescent="0.15">
      <c r="A940" s="113">
        <v>832</v>
      </c>
      <c r="B940" s="114">
        <v>14085</v>
      </c>
      <c r="C940" s="115" t="s">
        <v>407</v>
      </c>
      <c r="D940" s="116">
        <v>2</v>
      </c>
    </row>
    <row r="941" spans="1:4" x14ac:dyDescent="0.15">
      <c r="A941" s="113">
        <v>832</v>
      </c>
      <c r="B941" s="114">
        <v>14086</v>
      </c>
      <c r="C941" s="115" t="s">
        <v>407</v>
      </c>
      <c r="D941" s="116">
        <v>1</v>
      </c>
    </row>
    <row r="942" spans="1:4" x14ac:dyDescent="0.15">
      <c r="A942" s="113">
        <v>833</v>
      </c>
      <c r="B942" s="114">
        <v>14087</v>
      </c>
      <c r="C942" s="115" t="s">
        <v>408</v>
      </c>
      <c r="D942" s="116" t="s">
        <v>220</v>
      </c>
    </row>
    <row r="943" spans="1:4" x14ac:dyDescent="0.15">
      <c r="A943" s="113">
        <v>834</v>
      </c>
      <c r="B943" s="114">
        <v>14088</v>
      </c>
      <c r="C943" s="115" t="s">
        <v>407</v>
      </c>
      <c r="D943" s="116">
        <v>2</v>
      </c>
    </row>
    <row r="944" spans="1:4" x14ac:dyDescent="0.15">
      <c r="A944" s="113">
        <v>834</v>
      </c>
      <c r="B944" s="114">
        <v>14089</v>
      </c>
      <c r="C944" s="115" t="s">
        <v>407</v>
      </c>
      <c r="D944" s="116">
        <v>1</v>
      </c>
    </row>
    <row r="945" spans="1:4" x14ac:dyDescent="0.15">
      <c r="A945" s="113">
        <v>835</v>
      </c>
      <c r="B945" s="114">
        <v>14090</v>
      </c>
      <c r="C945" s="115" t="s">
        <v>408</v>
      </c>
      <c r="D945" s="116" t="s">
        <v>220</v>
      </c>
    </row>
    <row r="946" spans="1:4" x14ac:dyDescent="0.15">
      <c r="A946" s="113">
        <v>836</v>
      </c>
      <c r="B946" s="114">
        <v>14091</v>
      </c>
      <c r="C946" s="115" t="s">
        <v>407</v>
      </c>
      <c r="D946" s="116">
        <v>2</v>
      </c>
    </row>
    <row r="947" spans="1:4" x14ac:dyDescent="0.15">
      <c r="A947" s="113">
        <v>836</v>
      </c>
      <c r="B947" s="114">
        <v>14092</v>
      </c>
      <c r="C947" s="115" t="s">
        <v>407</v>
      </c>
      <c r="D947" s="116">
        <v>1</v>
      </c>
    </row>
    <row r="948" spans="1:4" x14ac:dyDescent="0.15">
      <c r="A948" s="113">
        <v>837</v>
      </c>
      <c r="B948" s="114">
        <v>14093</v>
      </c>
      <c r="C948" s="115" t="s">
        <v>408</v>
      </c>
      <c r="D948" s="116" t="s">
        <v>220</v>
      </c>
    </row>
    <row r="949" spans="1:4" x14ac:dyDescent="0.15">
      <c r="A949" s="113">
        <v>838</v>
      </c>
      <c r="B949" s="114">
        <v>14094</v>
      </c>
      <c r="C949" s="115" t="s">
        <v>407</v>
      </c>
      <c r="D949" s="116">
        <v>2</v>
      </c>
    </row>
    <row r="950" spans="1:4" x14ac:dyDescent="0.15">
      <c r="A950" s="113">
        <v>838</v>
      </c>
      <c r="B950" s="114">
        <v>14095</v>
      </c>
      <c r="C950" s="115" t="s">
        <v>407</v>
      </c>
      <c r="D950" s="116">
        <v>1</v>
      </c>
    </row>
    <row r="951" spans="1:4" x14ac:dyDescent="0.15">
      <c r="A951" s="113">
        <v>839</v>
      </c>
      <c r="B951" s="114">
        <v>14096</v>
      </c>
      <c r="C951" s="115" t="s">
        <v>408</v>
      </c>
      <c r="D951" s="116" t="s">
        <v>220</v>
      </c>
    </row>
    <row r="952" spans="1:4" x14ac:dyDescent="0.15">
      <c r="A952" s="113">
        <v>840</v>
      </c>
      <c r="B952" s="114">
        <v>14110</v>
      </c>
      <c r="C952" s="115" t="s">
        <v>407</v>
      </c>
      <c r="D952" s="116">
        <v>2</v>
      </c>
    </row>
    <row r="953" spans="1:4" x14ac:dyDescent="0.15">
      <c r="A953" s="113">
        <v>840</v>
      </c>
      <c r="B953" s="114">
        <v>14111</v>
      </c>
      <c r="C953" s="115" t="s">
        <v>407</v>
      </c>
      <c r="D953" s="116">
        <v>1</v>
      </c>
    </row>
    <row r="954" spans="1:4" x14ac:dyDescent="0.15">
      <c r="A954" s="113">
        <v>841</v>
      </c>
      <c r="B954" s="114">
        <v>14112</v>
      </c>
      <c r="C954" s="115" t="s">
        <v>408</v>
      </c>
      <c r="D954" s="116" t="s">
        <v>220</v>
      </c>
    </row>
    <row r="955" spans="1:4" x14ac:dyDescent="0.15">
      <c r="A955" s="113">
        <v>842</v>
      </c>
      <c r="B955" s="114">
        <v>14113</v>
      </c>
      <c r="C955" s="115" t="s">
        <v>407</v>
      </c>
      <c r="D955" s="116">
        <v>2</v>
      </c>
    </row>
    <row r="956" spans="1:4" x14ac:dyDescent="0.15">
      <c r="A956" s="113">
        <v>842</v>
      </c>
      <c r="B956" s="114">
        <v>14114</v>
      </c>
      <c r="C956" s="115" t="s">
        <v>407</v>
      </c>
      <c r="D956" s="116">
        <v>1</v>
      </c>
    </row>
    <row r="957" spans="1:4" x14ac:dyDescent="0.15">
      <c r="A957" s="113">
        <v>843</v>
      </c>
      <c r="B957" s="114">
        <v>14115</v>
      </c>
      <c r="C957" s="115" t="s">
        <v>408</v>
      </c>
      <c r="D957" s="116" t="s">
        <v>220</v>
      </c>
    </row>
    <row r="958" spans="1:4" x14ac:dyDescent="0.15">
      <c r="A958" s="113">
        <v>844</v>
      </c>
      <c r="B958" s="114">
        <v>14116</v>
      </c>
      <c r="C958" s="115" t="s">
        <v>407</v>
      </c>
      <c r="D958" s="116">
        <v>2</v>
      </c>
    </row>
    <row r="959" spans="1:4" x14ac:dyDescent="0.15">
      <c r="A959" s="113">
        <v>844</v>
      </c>
      <c r="B959" s="114">
        <v>14117</v>
      </c>
      <c r="C959" s="115" t="s">
        <v>407</v>
      </c>
      <c r="D959" s="116">
        <v>1</v>
      </c>
    </row>
    <row r="960" spans="1:4" x14ac:dyDescent="0.15">
      <c r="A960" s="113">
        <v>845</v>
      </c>
      <c r="B960" s="114">
        <v>14118</v>
      </c>
      <c r="C960" s="115" t="s">
        <v>408</v>
      </c>
      <c r="D960" s="116" t="s">
        <v>220</v>
      </c>
    </row>
    <row r="961" spans="1:4" x14ac:dyDescent="0.15">
      <c r="A961" s="113">
        <v>846</v>
      </c>
      <c r="B961" s="114">
        <v>14138</v>
      </c>
      <c r="C961" s="115" t="s">
        <v>407</v>
      </c>
      <c r="D961" s="116">
        <v>2</v>
      </c>
    </row>
    <row r="962" spans="1:4" x14ac:dyDescent="0.15">
      <c r="A962" s="113">
        <v>846</v>
      </c>
      <c r="B962" s="114">
        <v>14139</v>
      </c>
      <c r="C962" s="115" t="s">
        <v>407</v>
      </c>
      <c r="D962" s="116">
        <v>1</v>
      </c>
    </row>
    <row r="963" spans="1:4" x14ac:dyDescent="0.15">
      <c r="A963" s="113">
        <v>847</v>
      </c>
      <c r="B963" s="114">
        <v>14140</v>
      </c>
      <c r="C963" s="115" t="s">
        <v>408</v>
      </c>
      <c r="D963" s="116" t="s">
        <v>220</v>
      </c>
    </row>
    <row r="964" spans="1:4" x14ac:dyDescent="0.15">
      <c r="A964" s="113">
        <v>848</v>
      </c>
      <c r="B964" s="114">
        <v>14141</v>
      </c>
      <c r="C964" s="115" t="s">
        <v>407</v>
      </c>
      <c r="D964" s="116">
        <v>2</v>
      </c>
    </row>
    <row r="965" spans="1:4" x14ac:dyDescent="0.15">
      <c r="A965" s="113">
        <v>848</v>
      </c>
      <c r="B965" s="114">
        <v>14142</v>
      </c>
      <c r="C965" s="115" t="s">
        <v>407</v>
      </c>
      <c r="D965" s="116">
        <v>1</v>
      </c>
    </row>
    <row r="966" spans="1:4" x14ac:dyDescent="0.15">
      <c r="A966" s="113">
        <v>849</v>
      </c>
      <c r="B966" s="114">
        <v>14143</v>
      </c>
      <c r="C966" s="115" t="s">
        <v>408</v>
      </c>
      <c r="D966" s="116" t="s">
        <v>220</v>
      </c>
    </row>
    <row r="967" spans="1:4" x14ac:dyDescent="0.15">
      <c r="A967" s="113">
        <v>850</v>
      </c>
      <c r="B967" s="114">
        <v>14014</v>
      </c>
      <c r="C967" s="115" t="s">
        <v>408</v>
      </c>
      <c r="D967" s="116" t="s">
        <v>220</v>
      </c>
    </row>
    <row r="968" spans="1:4" x14ac:dyDescent="0.15">
      <c r="A968" s="113">
        <v>851</v>
      </c>
      <c r="B968" s="114">
        <v>14038</v>
      </c>
      <c r="C968" s="115" t="s">
        <v>408</v>
      </c>
      <c r="D968" s="116" t="s">
        <v>220</v>
      </c>
    </row>
    <row r="969" spans="1:4" x14ac:dyDescent="0.15">
      <c r="A969" s="113">
        <v>852</v>
      </c>
      <c r="B969" s="114">
        <v>14001</v>
      </c>
      <c r="C969" s="115" t="s">
        <v>407</v>
      </c>
      <c r="D969" s="116">
        <v>2</v>
      </c>
    </row>
    <row r="970" spans="1:4" x14ac:dyDescent="0.15">
      <c r="A970" s="113">
        <v>852</v>
      </c>
      <c r="B970" s="114">
        <v>14002</v>
      </c>
      <c r="C970" s="115" t="s">
        <v>407</v>
      </c>
      <c r="D970" s="116">
        <v>1</v>
      </c>
    </row>
    <row r="971" spans="1:4" x14ac:dyDescent="0.15">
      <c r="A971" s="113">
        <v>853</v>
      </c>
      <c r="B971" s="114">
        <v>14081</v>
      </c>
      <c r="C971" s="115" t="s">
        <v>407</v>
      </c>
      <c r="D971" s="116">
        <v>2</v>
      </c>
    </row>
    <row r="972" spans="1:4" x14ac:dyDescent="0.15">
      <c r="A972" s="113">
        <v>853</v>
      </c>
      <c r="B972" s="114">
        <v>14082</v>
      </c>
      <c r="C972" s="115" t="s">
        <v>407</v>
      </c>
      <c r="D972" s="116">
        <v>1</v>
      </c>
    </row>
    <row r="973" spans="1:4" x14ac:dyDescent="0.15">
      <c r="A973" s="113">
        <v>854</v>
      </c>
      <c r="B973" s="114">
        <v>14083</v>
      </c>
      <c r="C973" s="115" t="s">
        <v>407</v>
      </c>
      <c r="D973" s="116">
        <v>2</v>
      </c>
    </row>
    <row r="974" spans="1:4" x14ac:dyDescent="0.15">
      <c r="A974" s="113">
        <v>854</v>
      </c>
      <c r="B974" s="114">
        <v>14084</v>
      </c>
      <c r="C974" s="115" t="s">
        <v>407</v>
      </c>
      <c r="D974" s="116">
        <v>1</v>
      </c>
    </row>
    <row r="975" spans="1:4" x14ac:dyDescent="0.15">
      <c r="A975" s="113">
        <v>855</v>
      </c>
      <c r="B975" s="114">
        <v>14103</v>
      </c>
      <c r="C975" s="115" t="s">
        <v>407</v>
      </c>
      <c r="D975" s="116">
        <v>2</v>
      </c>
    </row>
    <row r="976" spans="1:4" x14ac:dyDescent="0.15">
      <c r="A976" s="113">
        <v>855</v>
      </c>
      <c r="B976" s="114">
        <v>14104</v>
      </c>
      <c r="C976" s="115" t="s">
        <v>407</v>
      </c>
      <c r="D976" s="116">
        <v>1</v>
      </c>
    </row>
    <row r="977" spans="1:4" x14ac:dyDescent="0.15">
      <c r="A977" s="113">
        <v>856</v>
      </c>
      <c r="B977" s="114">
        <v>14105</v>
      </c>
      <c r="C977" s="115" t="s">
        <v>407</v>
      </c>
      <c r="D977" s="116">
        <v>2</v>
      </c>
    </row>
    <row r="978" spans="1:4" x14ac:dyDescent="0.15">
      <c r="A978" s="113">
        <v>856</v>
      </c>
      <c r="B978" s="114">
        <v>14106</v>
      </c>
      <c r="C978" s="115" t="s">
        <v>407</v>
      </c>
      <c r="D978" s="116">
        <v>1</v>
      </c>
    </row>
    <row r="979" spans="1:4" x14ac:dyDescent="0.15">
      <c r="A979" s="113">
        <v>857</v>
      </c>
      <c r="B979" s="114">
        <v>14015</v>
      </c>
      <c r="C979" s="115" t="s">
        <v>407</v>
      </c>
      <c r="D979" s="116">
        <v>2</v>
      </c>
    </row>
    <row r="980" spans="1:4" x14ac:dyDescent="0.15">
      <c r="A980" s="113">
        <v>857</v>
      </c>
      <c r="B980" s="114">
        <v>14016</v>
      </c>
      <c r="C980" s="115" t="s">
        <v>407</v>
      </c>
      <c r="D980" s="116">
        <v>1</v>
      </c>
    </row>
    <row r="981" spans="1:4" x14ac:dyDescent="0.15">
      <c r="A981" s="113">
        <v>858</v>
      </c>
      <c r="B981" s="114">
        <v>14039</v>
      </c>
      <c r="C981" s="115" t="s">
        <v>407</v>
      </c>
      <c r="D981" s="116">
        <v>2</v>
      </c>
    </row>
    <row r="982" spans="1:4" x14ac:dyDescent="0.15">
      <c r="A982" s="113">
        <v>858</v>
      </c>
      <c r="B982" s="114">
        <v>14040</v>
      </c>
      <c r="C982" s="115" t="s">
        <v>407</v>
      </c>
      <c r="D982" s="116">
        <v>1</v>
      </c>
    </row>
    <row r="983" spans="1:4" x14ac:dyDescent="0.15">
      <c r="A983" s="113">
        <v>859</v>
      </c>
      <c r="B983" s="114">
        <v>14003</v>
      </c>
      <c r="C983" s="115" t="s">
        <v>407</v>
      </c>
      <c r="D983" s="116">
        <v>2</v>
      </c>
    </row>
    <row r="984" spans="1:4" x14ac:dyDescent="0.15">
      <c r="A984" s="113">
        <v>859</v>
      </c>
      <c r="B984" s="114">
        <v>14004</v>
      </c>
      <c r="C984" s="115" t="s">
        <v>407</v>
      </c>
      <c r="D984" s="116">
        <v>1</v>
      </c>
    </row>
    <row r="985" spans="1:4" x14ac:dyDescent="0.15">
      <c r="A985" s="113">
        <v>860</v>
      </c>
      <c r="B985" s="114">
        <v>14026</v>
      </c>
      <c r="C985" s="115" t="s">
        <v>407</v>
      </c>
      <c r="D985" s="116">
        <v>2</v>
      </c>
    </row>
    <row r="986" spans="1:4" x14ac:dyDescent="0.15">
      <c r="A986" s="113">
        <v>860</v>
      </c>
      <c r="B986" s="114">
        <v>14027</v>
      </c>
      <c r="C986" s="115" t="s">
        <v>407</v>
      </c>
      <c r="D986" s="116">
        <v>1</v>
      </c>
    </row>
    <row r="987" spans="1:4" x14ac:dyDescent="0.15">
      <c r="A987" s="113">
        <v>861</v>
      </c>
      <c r="B987" s="114">
        <v>14051</v>
      </c>
      <c r="C987" s="115" t="s">
        <v>407</v>
      </c>
      <c r="D987" s="116">
        <v>2</v>
      </c>
    </row>
    <row r="988" spans="1:4" x14ac:dyDescent="0.15">
      <c r="A988" s="113">
        <v>861</v>
      </c>
      <c r="B988" s="114">
        <v>14052</v>
      </c>
      <c r="C988" s="115" t="s">
        <v>407</v>
      </c>
      <c r="D988" s="116">
        <v>1</v>
      </c>
    </row>
    <row r="989" spans="1:4" x14ac:dyDescent="0.15">
      <c r="A989" s="113">
        <v>862</v>
      </c>
      <c r="B989" s="114">
        <v>14107</v>
      </c>
      <c r="C989" s="115" t="s">
        <v>407</v>
      </c>
      <c r="D989" s="116">
        <v>2</v>
      </c>
    </row>
    <row r="990" spans="1:4" x14ac:dyDescent="0.15">
      <c r="A990" s="113">
        <v>862</v>
      </c>
      <c r="B990" s="114">
        <v>14108</v>
      </c>
      <c r="C990" s="115" t="s">
        <v>407</v>
      </c>
      <c r="D990" s="116">
        <v>1</v>
      </c>
    </row>
    <row r="991" spans="1:4" x14ac:dyDescent="0.15">
      <c r="A991" s="113">
        <v>863</v>
      </c>
      <c r="B991" s="114">
        <v>14054</v>
      </c>
      <c r="C991" s="115" t="s">
        <v>407</v>
      </c>
      <c r="D991" s="116">
        <v>2</v>
      </c>
    </row>
    <row r="992" spans="1:4" x14ac:dyDescent="0.15">
      <c r="A992" s="113">
        <v>863</v>
      </c>
      <c r="B992" s="114">
        <v>14055</v>
      </c>
      <c r="C992" s="115" t="s">
        <v>407</v>
      </c>
      <c r="D992" s="116">
        <v>1</v>
      </c>
    </row>
    <row r="993" spans="1:4" x14ac:dyDescent="0.15">
      <c r="A993" s="113">
        <v>864</v>
      </c>
      <c r="B993" s="114">
        <v>14121</v>
      </c>
      <c r="C993" s="115" t="s">
        <v>407</v>
      </c>
      <c r="D993" s="116">
        <v>2</v>
      </c>
    </row>
    <row r="994" spans="1:4" x14ac:dyDescent="0.15">
      <c r="A994" s="113">
        <v>864</v>
      </c>
      <c r="B994" s="114">
        <v>14122</v>
      </c>
      <c r="C994" s="115" t="s">
        <v>407</v>
      </c>
      <c r="D994" s="116">
        <v>1</v>
      </c>
    </row>
    <row r="995" spans="1:4" x14ac:dyDescent="0.15">
      <c r="A995" s="113">
        <v>865</v>
      </c>
      <c r="B995" s="114">
        <v>14057</v>
      </c>
      <c r="C995" s="115" t="s">
        <v>407</v>
      </c>
      <c r="D995" s="116">
        <v>2</v>
      </c>
    </row>
    <row r="996" spans="1:4" x14ac:dyDescent="0.15">
      <c r="A996" s="113">
        <v>865</v>
      </c>
      <c r="B996" s="114">
        <v>14058</v>
      </c>
      <c r="C996" s="115" t="s">
        <v>407</v>
      </c>
      <c r="D996" s="116">
        <v>1</v>
      </c>
    </row>
    <row r="997" spans="1:4" x14ac:dyDescent="0.15">
      <c r="A997" s="113">
        <v>866</v>
      </c>
      <c r="B997" s="114">
        <v>14059</v>
      </c>
      <c r="C997" s="115" t="s">
        <v>408</v>
      </c>
      <c r="D997" s="116" t="s">
        <v>220</v>
      </c>
    </row>
    <row r="998" spans="1:4" x14ac:dyDescent="0.15">
      <c r="A998" s="113">
        <v>867</v>
      </c>
      <c r="B998" s="114">
        <v>14060</v>
      </c>
      <c r="C998" s="115" t="s">
        <v>407</v>
      </c>
      <c r="D998" s="116">
        <v>2</v>
      </c>
    </row>
    <row r="999" spans="1:4" x14ac:dyDescent="0.15">
      <c r="A999" s="113">
        <v>867</v>
      </c>
      <c r="B999" s="114">
        <v>14061</v>
      </c>
      <c r="C999" s="115" t="s">
        <v>407</v>
      </c>
      <c r="D999" s="116">
        <v>1</v>
      </c>
    </row>
    <row r="1000" spans="1:4" x14ac:dyDescent="0.15">
      <c r="A1000" s="113">
        <v>868</v>
      </c>
      <c r="B1000" s="114">
        <v>14062</v>
      </c>
      <c r="C1000" s="115" t="s">
        <v>408</v>
      </c>
      <c r="D1000" s="116" t="s">
        <v>220</v>
      </c>
    </row>
    <row r="1001" spans="1:4" x14ac:dyDescent="0.15">
      <c r="A1001" s="113">
        <v>869</v>
      </c>
      <c r="B1001" s="114">
        <v>14063</v>
      </c>
      <c r="C1001" s="115" t="s">
        <v>407</v>
      </c>
      <c r="D1001" s="116">
        <v>2</v>
      </c>
    </row>
    <row r="1002" spans="1:4" x14ac:dyDescent="0.15">
      <c r="A1002" s="113">
        <v>869</v>
      </c>
      <c r="B1002" s="114">
        <v>14064</v>
      </c>
      <c r="C1002" s="115" t="s">
        <v>407</v>
      </c>
      <c r="D1002" s="116">
        <v>1</v>
      </c>
    </row>
    <row r="1003" spans="1:4" x14ac:dyDescent="0.15">
      <c r="A1003" s="113">
        <v>870</v>
      </c>
      <c r="B1003" s="114">
        <v>14065</v>
      </c>
      <c r="C1003" s="115" t="s">
        <v>408</v>
      </c>
      <c r="D1003" s="116" t="s">
        <v>220</v>
      </c>
    </row>
    <row r="1004" spans="1:4" x14ac:dyDescent="0.15">
      <c r="A1004" s="113">
        <v>871</v>
      </c>
      <c r="B1004" s="114">
        <v>14066</v>
      </c>
      <c r="C1004" s="115" t="s">
        <v>407</v>
      </c>
      <c r="D1004" s="116">
        <v>2</v>
      </c>
    </row>
    <row r="1005" spans="1:4" x14ac:dyDescent="0.15">
      <c r="A1005" s="113">
        <v>871</v>
      </c>
      <c r="B1005" s="114">
        <v>14067</v>
      </c>
      <c r="C1005" s="115" t="s">
        <v>407</v>
      </c>
      <c r="D1005" s="116">
        <v>1</v>
      </c>
    </row>
    <row r="1006" spans="1:4" x14ac:dyDescent="0.15">
      <c r="A1006" s="113">
        <v>872</v>
      </c>
      <c r="B1006" s="114">
        <v>14068</v>
      </c>
      <c r="C1006" s="115" t="s">
        <v>408</v>
      </c>
      <c r="D1006" s="116" t="s">
        <v>220</v>
      </c>
    </row>
    <row r="1007" spans="1:4" x14ac:dyDescent="0.15">
      <c r="A1007" s="113">
        <v>873</v>
      </c>
      <c r="B1007" s="114">
        <v>14078</v>
      </c>
      <c r="C1007" s="115" t="s">
        <v>407</v>
      </c>
      <c r="D1007" s="116">
        <v>2</v>
      </c>
    </row>
    <row r="1008" spans="1:4" x14ac:dyDescent="0.15">
      <c r="A1008" s="113">
        <v>873</v>
      </c>
      <c r="B1008" s="114">
        <v>14079</v>
      </c>
      <c r="C1008" s="115" t="s">
        <v>407</v>
      </c>
      <c r="D1008" s="116">
        <v>1</v>
      </c>
    </row>
    <row r="1009" spans="1:4" x14ac:dyDescent="0.15">
      <c r="A1009" s="113">
        <v>874</v>
      </c>
      <c r="B1009" s="114">
        <v>14080</v>
      </c>
      <c r="C1009" s="115" t="s">
        <v>408</v>
      </c>
      <c r="D1009" s="116" t="s">
        <v>220</v>
      </c>
    </row>
    <row r="1010" spans="1:4" x14ac:dyDescent="0.15">
      <c r="A1010" s="113">
        <v>875</v>
      </c>
      <c r="B1010" s="114">
        <v>14100</v>
      </c>
      <c r="C1010" s="115" t="s">
        <v>407</v>
      </c>
      <c r="D1010" s="116">
        <v>2</v>
      </c>
    </row>
    <row r="1011" spans="1:4" x14ac:dyDescent="0.15">
      <c r="A1011" s="113">
        <v>875</v>
      </c>
      <c r="B1011" s="114">
        <v>14101</v>
      </c>
      <c r="C1011" s="115" t="s">
        <v>407</v>
      </c>
      <c r="D1011" s="116">
        <v>1</v>
      </c>
    </row>
    <row r="1012" spans="1:4" x14ac:dyDescent="0.15">
      <c r="A1012" s="113">
        <v>876</v>
      </c>
      <c r="B1012" s="114">
        <v>14102</v>
      </c>
      <c r="C1012" s="115" t="s">
        <v>408</v>
      </c>
      <c r="D1012" s="116" t="s">
        <v>220</v>
      </c>
    </row>
    <row r="1013" spans="1:4" x14ac:dyDescent="0.15">
      <c r="A1013" s="113">
        <v>877</v>
      </c>
      <c r="B1013" s="114">
        <v>14123</v>
      </c>
      <c r="C1013" s="115" t="s">
        <v>407</v>
      </c>
      <c r="D1013" s="116">
        <v>2</v>
      </c>
    </row>
    <row r="1014" spans="1:4" x14ac:dyDescent="0.15">
      <c r="A1014" s="113">
        <v>877</v>
      </c>
      <c r="B1014" s="114">
        <v>14124</v>
      </c>
      <c r="C1014" s="115" t="s">
        <v>407</v>
      </c>
      <c r="D1014" s="116">
        <v>1</v>
      </c>
    </row>
    <row r="1015" spans="1:4" x14ac:dyDescent="0.15">
      <c r="A1015" s="113">
        <v>878</v>
      </c>
      <c r="B1015" s="114">
        <v>14125</v>
      </c>
      <c r="C1015" s="115" t="s">
        <v>408</v>
      </c>
      <c r="D1015" s="116" t="s">
        <v>220</v>
      </c>
    </row>
    <row r="1016" spans="1:4" x14ac:dyDescent="0.15">
      <c r="A1016" s="113">
        <v>879</v>
      </c>
      <c r="B1016" s="114">
        <v>14126</v>
      </c>
      <c r="C1016" s="115" t="s">
        <v>407</v>
      </c>
      <c r="D1016" s="116">
        <v>2</v>
      </c>
    </row>
    <row r="1017" spans="1:4" x14ac:dyDescent="0.15">
      <c r="A1017" s="113">
        <v>879</v>
      </c>
      <c r="B1017" s="114">
        <v>14127</v>
      </c>
      <c r="C1017" s="115" t="s">
        <v>407</v>
      </c>
      <c r="D1017" s="116">
        <v>1</v>
      </c>
    </row>
    <row r="1018" spans="1:4" x14ac:dyDescent="0.15">
      <c r="A1018" s="113">
        <v>880</v>
      </c>
      <c r="B1018" s="114">
        <v>14128</v>
      </c>
      <c r="C1018" s="115" t="s">
        <v>408</v>
      </c>
      <c r="D1018" s="116" t="s">
        <v>220</v>
      </c>
    </row>
    <row r="1019" spans="1:4" x14ac:dyDescent="0.15">
      <c r="A1019" s="113">
        <v>881</v>
      </c>
      <c r="B1019" s="114">
        <v>14129</v>
      </c>
      <c r="C1019" s="115" t="s">
        <v>407</v>
      </c>
      <c r="D1019" s="116">
        <v>2</v>
      </c>
    </row>
    <row r="1020" spans="1:4" x14ac:dyDescent="0.15">
      <c r="A1020" s="113">
        <v>881</v>
      </c>
      <c r="B1020" s="114">
        <v>14130</v>
      </c>
      <c r="C1020" s="115" t="s">
        <v>407</v>
      </c>
      <c r="D1020" s="116">
        <v>1</v>
      </c>
    </row>
    <row r="1021" spans="1:4" x14ac:dyDescent="0.15">
      <c r="A1021" s="113">
        <v>882</v>
      </c>
      <c r="B1021" s="114">
        <v>14131</v>
      </c>
      <c r="C1021" s="115" t="s">
        <v>408</v>
      </c>
      <c r="D1021" s="116" t="s">
        <v>220</v>
      </c>
    </row>
    <row r="1022" spans="1:4" x14ac:dyDescent="0.15">
      <c r="A1022" s="113">
        <v>883</v>
      </c>
      <c r="B1022" s="114">
        <v>14132</v>
      </c>
      <c r="C1022" s="115" t="s">
        <v>407</v>
      </c>
      <c r="D1022" s="116">
        <v>2</v>
      </c>
    </row>
    <row r="1023" spans="1:4" x14ac:dyDescent="0.15">
      <c r="A1023" s="113">
        <v>883</v>
      </c>
      <c r="B1023" s="114">
        <v>14133</v>
      </c>
      <c r="C1023" s="115" t="s">
        <v>407</v>
      </c>
      <c r="D1023" s="116">
        <v>1</v>
      </c>
    </row>
    <row r="1024" spans="1:4" x14ac:dyDescent="0.15">
      <c r="A1024" s="113">
        <v>884</v>
      </c>
      <c r="B1024" s="114">
        <v>14134</v>
      </c>
      <c r="C1024" s="115" t="s">
        <v>408</v>
      </c>
      <c r="D1024" s="116" t="s">
        <v>220</v>
      </c>
    </row>
    <row r="1025" spans="1:4" x14ac:dyDescent="0.15">
      <c r="A1025" s="113">
        <v>885</v>
      </c>
      <c r="B1025" s="114">
        <v>14135</v>
      </c>
      <c r="C1025" s="115" t="s">
        <v>407</v>
      </c>
      <c r="D1025" s="116">
        <v>2</v>
      </c>
    </row>
    <row r="1026" spans="1:4" x14ac:dyDescent="0.15">
      <c r="A1026" s="113">
        <v>885</v>
      </c>
      <c r="B1026" s="114">
        <v>14136</v>
      </c>
      <c r="C1026" s="115" t="s">
        <v>407</v>
      </c>
      <c r="D1026" s="116">
        <v>1</v>
      </c>
    </row>
    <row r="1027" spans="1:4" x14ac:dyDescent="0.15">
      <c r="A1027" s="113">
        <v>886</v>
      </c>
      <c r="B1027" s="114">
        <v>14137</v>
      </c>
      <c r="C1027" s="115" t="s">
        <v>408</v>
      </c>
      <c r="D1027" s="116" t="s">
        <v>220</v>
      </c>
    </row>
    <row r="1028" spans="1:4" x14ac:dyDescent="0.15">
      <c r="A1028" s="113">
        <v>887</v>
      </c>
      <c r="B1028" s="114">
        <v>14144</v>
      </c>
      <c r="C1028" s="115" t="s">
        <v>407</v>
      </c>
      <c r="D1028" s="116">
        <v>2</v>
      </c>
    </row>
    <row r="1029" spans="1:4" x14ac:dyDescent="0.15">
      <c r="A1029" s="113">
        <v>887</v>
      </c>
      <c r="B1029" s="114">
        <v>14145</v>
      </c>
      <c r="C1029" s="115" t="s">
        <v>407</v>
      </c>
      <c r="D1029" s="116">
        <v>1</v>
      </c>
    </row>
    <row r="1030" spans="1:4" x14ac:dyDescent="0.15">
      <c r="A1030" s="113">
        <v>888</v>
      </c>
      <c r="B1030" s="114">
        <v>14146</v>
      </c>
      <c r="C1030" s="115" t="s">
        <v>408</v>
      </c>
      <c r="D1030" s="116" t="s">
        <v>220</v>
      </c>
    </row>
    <row r="1031" spans="1:4" x14ac:dyDescent="0.15">
      <c r="A1031" s="113">
        <v>889</v>
      </c>
      <c r="B1031" s="114">
        <v>278</v>
      </c>
      <c r="C1031" s="115" t="s">
        <v>407</v>
      </c>
      <c r="D1031" s="116">
        <v>2</v>
      </c>
    </row>
    <row r="1032" spans="1:4" x14ac:dyDescent="0.15">
      <c r="A1032" s="113">
        <v>889</v>
      </c>
      <c r="B1032" s="114">
        <v>289</v>
      </c>
      <c r="C1032" s="115" t="s">
        <v>407</v>
      </c>
      <c r="D1032" s="116">
        <v>1</v>
      </c>
    </row>
    <row r="1033" spans="1:4" x14ac:dyDescent="0.15">
      <c r="A1033" s="113">
        <v>890</v>
      </c>
      <c r="B1033" s="114">
        <v>14028</v>
      </c>
      <c r="C1033" s="115" t="s">
        <v>408</v>
      </c>
      <c r="D1033" s="116" t="s">
        <v>220</v>
      </c>
    </row>
    <row r="1034" spans="1:4" x14ac:dyDescent="0.15">
      <c r="A1034" s="113">
        <v>891</v>
      </c>
      <c r="B1034" s="114">
        <v>14099</v>
      </c>
      <c r="C1034" s="115" t="s">
        <v>408</v>
      </c>
      <c r="D1034" s="116" t="s">
        <v>220</v>
      </c>
    </row>
    <row r="1035" spans="1:4" x14ac:dyDescent="0.15">
      <c r="A1035" s="113">
        <v>892</v>
      </c>
      <c r="B1035" s="114">
        <v>14119</v>
      </c>
      <c r="C1035" s="115" t="s">
        <v>408</v>
      </c>
      <c r="D1035" s="116" t="s">
        <v>220</v>
      </c>
    </row>
    <row r="1036" spans="1:4" x14ac:dyDescent="0.15">
      <c r="A1036" s="113">
        <v>893</v>
      </c>
      <c r="B1036" s="114">
        <v>14120</v>
      </c>
      <c r="C1036" s="115" t="s">
        <v>408</v>
      </c>
      <c r="D1036" s="116" t="s">
        <v>220</v>
      </c>
    </row>
    <row r="1037" spans="1:4" x14ac:dyDescent="0.15">
      <c r="A1037" s="113">
        <v>894</v>
      </c>
      <c r="B1037" s="114">
        <v>300</v>
      </c>
      <c r="C1037" s="115" t="s">
        <v>365</v>
      </c>
      <c r="D1037" s="116" t="s">
        <v>220</v>
      </c>
    </row>
    <row r="1038" spans="1:4" x14ac:dyDescent="0.15">
      <c r="A1038" s="113">
        <v>895</v>
      </c>
      <c r="B1038" s="114">
        <v>311</v>
      </c>
      <c r="C1038" s="115" t="s">
        <v>365</v>
      </c>
      <c r="D1038" s="116" t="s">
        <v>220</v>
      </c>
    </row>
    <row r="1039" spans="1:4" x14ac:dyDescent="0.15">
      <c r="A1039" s="113">
        <v>896</v>
      </c>
      <c r="B1039" s="114">
        <v>312</v>
      </c>
      <c r="C1039" s="115" t="s">
        <v>365</v>
      </c>
      <c r="D1039" s="116" t="s">
        <v>220</v>
      </c>
    </row>
    <row r="1040" spans="1:4" x14ac:dyDescent="0.15">
      <c r="A1040" s="113">
        <v>897</v>
      </c>
      <c r="B1040" s="114">
        <v>14097</v>
      </c>
      <c r="C1040" s="115" t="s">
        <v>408</v>
      </c>
      <c r="D1040" s="116" t="s">
        <v>220</v>
      </c>
    </row>
    <row r="1041" spans="1:4" x14ac:dyDescent="0.15">
      <c r="A1041" s="113">
        <v>898</v>
      </c>
      <c r="B1041" s="114">
        <v>14098</v>
      </c>
      <c r="C1041" s="115" t="s">
        <v>408</v>
      </c>
      <c r="D1041" s="116" t="s">
        <v>220</v>
      </c>
    </row>
    <row r="1042" spans="1:4" x14ac:dyDescent="0.15">
      <c r="A1042" s="113">
        <v>899</v>
      </c>
      <c r="B1042" s="114">
        <v>281</v>
      </c>
      <c r="C1042" s="115" t="s">
        <v>409</v>
      </c>
      <c r="D1042" s="116" t="s">
        <v>220</v>
      </c>
    </row>
    <row r="1043" spans="1:4" x14ac:dyDescent="0.15">
      <c r="A1043" s="113">
        <v>900</v>
      </c>
      <c r="B1043" s="114">
        <v>282</v>
      </c>
      <c r="C1043" s="115" t="s">
        <v>409</v>
      </c>
      <c r="D1043" s="116" t="s">
        <v>220</v>
      </c>
    </row>
    <row r="1044" spans="1:4" x14ac:dyDescent="0.15">
      <c r="A1044" s="113">
        <v>901</v>
      </c>
      <c r="B1044" s="114">
        <v>283</v>
      </c>
      <c r="C1044" s="115" t="s">
        <v>409</v>
      </c>
      <c r="D1044" s="116" t="s">
        <v>220</v>
      </c>
    </row>
    <row r="1045" spans="1:4" x14ac:dyDescent="0.15">
      <c r="A1045" s="113">
        <v>902</v>
      </c>
      <c r="B1045" s="114">
        <v>284</v>
      </c>
      <c r="C1045" s="115" t="s">
        <v>409</v>
      </c>
      <c r="D1045" s="116" t="s">
        <v>220</v>
      </c>
    </row>
    <row r="1046" spans="1:4" x14ac:dyDescent="0.15">
      <c r="A1046" s="113">
        <v>903</v>
      </c>
      <c r="B1046" s="114">
        <v>285</v>
      </c>
      <c r="C1046" s="115" t="s">
        <v>409</v>
      </c>
      <c r="D1046" s="116" t="s">
        <v>220</v>
      </c>
    </row>
    <row r="1047" spans="1:4" x14ac:dyDescent="0.15">
      <c r="A1047" s="113">
        <v>904</v>
      </c>
      <c r="B1047" s="114">
        <v>286</v>
      </c>
      <c r="C1047" s="115" t="s">
        <v>410</v>
      </c>
      <c r="D1047" s="116" t="s">
        <v>220</v>
      </c>
    </row>
    <row r="1048" spans="1:4" x14ac:dyDescent="0.15">
      <c r="A1048" s="113">
        <v>905</v>
      </c>
      <c r="B1048" s="114">
        <v>287</v>
      </c>
      <c r="C1048" s="115" t="s">
        <v>410</v>
      </c>
      <c r="D1048" s="116" t="s">
        <v>220</v>
      </c>
    </row>
    <row r="1049" spans="1:4" x14ac:dyDescent="0.15">
      <c r="A1049" s="113">
        <v>906</v>
      </c>
      <c r="B1049" s="114">
        <v>288</v>
      </c>
      <c r="C1049" s="115" t="s">
        <v>410</v>
      </c>
      <c r="D1049" s="116" t="s">
        <v>220</v>
      </c>
    </row>
    <row r="1050" spans="1:4" x14ac:dyDescent="0.15">
      <c r="A1050" s="113">
        <v>907</v>
      </c>
      <c r="B1050" s="114">
        <v>292</v>
      </c>
      <c r="C1050" s="115" t="s">
        <v>411</v>
      </c>
      <c r="D1050" s="116" t="s">
        <v>220</v>
      </c>
    </row>
    <row r="1051" spans="1:4" x14ac:dyDescent="0.15">
      <c r="A1051" s="113">
        <v>908</v>
      </c>
      <c r="B1051" s="114">
        <v>293</v>
      </c>
      <c r="C1051" s="115" t="s">
        <v>411</v>
      </c>
      <c r="D1051" s="116" t="s">
        <v>220</v>
      </c>
    </row>
    <row r="1052" spans="1:4" x14ac:dyDescent="0.15">
      <c r="A1052" s="113">
        <v>909</v>
      </c>
      <c r="B1052" s="114">
        <v>294</v>
      </c>
      <c r="C1052" s="115" t="s">
        <v>411</v>
      </c>
      <c r="D1052" s="116" t="s">
        <v>220</v>
      </c>
    </row>
    <row r="1053" spans="1:4" x14ac:dyDescent="0.15">
      <c r="A1053" s="113">
        <v>910</v>
      </c>
      <c r="B1053" s="114">
        <v>295</v>
      </c>
      <c r="C1053" s="115" t="s">
        <v>411</v>
      </c>
      <c r="D1053" s="116" t="s">
        <v>220</v>
      </c>
    </row>
    <row r="1054" spans="1:4" x14ac:dyDescent="0.15">
      <c r="A1054" s="113">
        <v>911</v>
      </c>
      <c r="B1054" s="114">
        <v>296</v>
      </c>
      <c r="C1054" s="115" t="s">
        <v>411</v>
      </c>
      <c r="D1054" s="116" t="s">
        <v>220</v>
      </c>
    </row>
    <row r="1055" spans="1:4" x14ac:dyDescent="0.15">
      <c r="A1055" s="113">
        <v>912</v>
      </c>
      <c r="B1055" s="114">
        <v>297</v>
      </c>
      <c r="C1055" s="115" t="s">
        <v>411</v>
      </c>
      <c r="D1055" s="116" t="s">
        <v>220</v>
      </c>
    </row>
    <row r="1056" spans="1:4" x14ac:dyDescent="0.15">
      <c r="A1056" s="113">
        <v>913</v>
      </c>
      <c r="B1056" s="114">
        <v>298</v>
      </c>
      <c r="C1056" s="115" t="s">
        <v>411</v>
      </c>
      <c r="D1056" s="116" t="s">
        <v>220</v>
      </c>
    </row>
    <row r="1057" spans="1:4" x14ac:dyDescent="0.15">
      <c r="A1057" s="113">
        <v>914</v>
      </c>
      <c r="B1057" s="114">
        <v>299</v>
      </c>
      <c r="C1057" s="115" t="s">
        <v>412</v>
      </c>
      <c r="D1057" s="116">
        <v>1</v>
      </c>
    </row>
    <row r="1058" spans="1:4" x14ac:dyDescent="0.15">
      <c r="A1058" s="113">
        <v>915</v>
      </c>
      <c r="B1058" s="114">
        <v>313</v>
      </c>
      <c r="C1058" s="115" t="s">
        <v>365</v>
      </c>
      <c r="D1058" s="116">
        <v>2</v>
      </c>
    </row>
    <row r="1059" spans="1:4" x14ac:dyDescent="0.15">
      <c r="A1059" s="113">
        <v>915</v>
      </c>
      <c r="B1059" s="114">
        <v>314</v>
      </c>
      <c r="C1059" s="115" t="s">
        <v>365</v>
      </c>
      <c r="D1059" s="116">
        <v>1</v>
      </c>
    </row>
    <row r="1060" spans="1:4" x14ac:dyDescent="0.15">
      <c r="A1060" s="113">
        <v>916</v>
      </c>
      <c r="B1060" s="114">
        <v>315</v>
      </c>
      <c r="C1060" s="115" t="s">
        <v>365</v>
      </c>
      <c r="D1060" s="116">
        <v>2</v>
      </c>
    </row>
    <row r="1061" spans="1:4" x14ac:dyDescent="0.15">
      <c r="A1061" s="113">
        <v>916</v>
      </c>
      <c r="B1061" s="114">
        <v>316</v>
      </c>
      <c r="C1061" s="115" t="s">
        <v>365</v>
      </c>
      <c r="D1061" s="116">
        <v>1</v>
      </c>
    </row>
    <row r="1062" spans="1:4" x14ac:dyDescent="0.15">
      <c r="A1062" s="113">
        <v>917</v>
      </c>
      <c r="B1062" s="114">
        <v>279</v>
      </c>
      <c r="C1062" s="115" t="s">
        <v>365</v>
      </c>
      <c r="D1062" s="116">
        <v>2</v>
      </c>
    </row>
    <row r="1063" spans="1:4" x14ac:dyDescent="0.15">
      <c r="A1063" s="113">
        <v>917</v>
      </c>
      <c r="B1063" s="114">
        <v>280</v>
      </c>
      <c r="C1063" s="115" t="s">
        <v>365</v>
      </c>
      <c r="D1063" s="116">
        <v>1</v>
      </c>
    </row>
    <row r="1064" spans="1:4" x14ac:dyDescent="0.15">
      <c r="A1064" s="113">
        <v>918</v>
      </c>
      <c r="B1064" s="114">
        <v>290</v>
      </c>
      <c r="C1064" s="115" t="s">
        <v>300</v>
      </c>
      <c r="D1064" s="116">
        <v>1</v>
      </c>
    </row>
    <row r="1065" spans="1:4" x14ac:dyDescent="0.15">
      <c r="A1065" s="113">
        <v>918</v>
      </c>
      <c r="B1065" s="114">
        <v>291</v>
      </c>
      <c r="C1065" s="115" t="s">
        <v>300</v>
      </c>
      <c r="D1065" s="116">
        <v>1</v>
      </c>
    </row>
    <row r="1066" spans="1:4" x14ac:dyDescent="0.15">
      <c r="A1066" s="113">
        <v>919</v>
      </c>
      <c r="B1066" s="114">
        <v>57</v>
      </c>
      <c r="C1066" s="115" t="s">
        <v>413</v>
      </c>
      <c r="D1066" s="116">
        <v>1</v>
      </c>
    </row>
    <row r="1067" spans="1:4" x14ac:dyDescent="0.15">
      <c r="A1067" s="113">
        <v>919</v>
      </c>
      <c r="B1067" s="114">
        <v>278</v>
      </c>
      <c r="C1067" s="115" t="s">
        <v>413</v>
      </c>
      <c r="D1067" s="116">
        <v>2</v>
      </c>
    </row>
    <row r="1068" spans="1:4" x14ac:dyDescent="0.15">
      <c r="A1068" s="113">
        <v>920</v>
      </c>
      <c r="B1068" s="114">
        <v>57</v>
      </c>
      <c r="C1068" s="115" t="s">
        <v>413</v>
      </c>
      <c r="D1068" s="116">
        <v>1</v>
      </c>
    </row>
    <row r="1069" spans="1:4" x14ac:dyDescent="0.15">
      <c r="A1069" s="113">
        <v>920</v>
      </c>
      <c r="B1069" s="114">
        <v>278</v>
      </c>
      <c r="C1069" s="115" t="s">
        <v>413</v>
      </c>
      <c r="D1069" s="116">
        <v>2</v>
      </c>
    </row>
    <row r="1070" spans="1:4" x14ac:dyDescent="0.15">
      <c r="A1070" s="113">
        <v>922</v>
      </c>
      <c r="B1070" s="114">
        <v>301</v>
      </c>
      <c r="C1070" s="115" t="s">
        <v>323</v>
      </c>
      <c r="D1070" s="116">
        <v>1</v>
      </c>
    </row>
    <row r="1071" spans="1:4" x14ac:dyDescent="0.15">
      <c r="A1071" s="113">
        <v>923</v>
      </c>
      <c r="B1071" s="114">
        <v>302</v>
      </c>
      <c r="C1071" s="115" t="s">
        <v>323</v>
      </c>
      <c r="D1071" s="116">
        <v>1</v>
      </c>
    </row>
    <row r="1072" spans="1:4" x14ac:dyDescent="0.15">
      <c r="A1072" s="113">
        <v>924</v>
      </c>
      <c r="B1072" s="114">
        <v>303</v>
      </c>
      <c r="C1072" s="115" t="s">
        <v>323</v>
      </c>
      <c r="D1072" s="116">
        <v>1</v>
      </c>
    </row>
    <row r="1073" spans="1:4" x14ac:dyDescent="0.15">
      <c r="A1073" s="113">
        <v>925</v>
      </c>
      <c r="B1073" s="114">
        <v>259</v>
      </c>
      <c r="C1073" s="115" t="s">
        <v>414</v>
      </c>
      <c r="D1073" s="116" t="s">
        <v>353</v>
      </c>
    </row>
    <row r="1074" spans="1:4" x14ac:dyDescent="0.15">
      <c r="A1074" s="113">
        <v>925</v>
      </c>
      <c r="B1074" s="114">
        <v>307</v>
      </c>
      <c r="C1074" s="115" t="s">
        <v>414</v>
      </c>
      <c r="D1074" s="116" t="s">
        <v>353</v>
      </c>
    </row>
    <row r="1075" spans="1:4" x14ac:dyDescent="0.15">
      <c r="A1075" s="113">
        <v>926</v>
      </c>
      <c r="B1075" s="114">
        <v>261</v>
      </c>
      <c r="C1075" s="115" t="s">
        <v>354</v>
      </c>
      <c r="D1075" s="116" t="s">
        <v>353</v>
      </c>
    </row>
    <row r="1076" spans="1:4" x14ac:dyDescent="0.15">
      <c r="A1076" s="113">
        <v>926</v>
      </c>
      <c r="B1076" s="114">
        <v>308</v>
      </c>
      <c r="C1076" s="115" t="s">
        <v>354</v>
      </c>
      <c r="D1076" s="116" t="s">
        <v>353</v>
      </c>
    </row>
    <row r="1077" spans="1:4" x14ac:dyDescent="0.15">
      <c r="A1077" s="113">
        <v>927</v>
      </c>
      <c r="B1077" s="114">
        <v>263</v>
      </c>
      <c r="C1077" s="115" t="s">
        <v>356</v>
      </c>
      <c r="D1077" s="116" t="s">
        <v>353</v>
      </c>
    </row>
    <row r="1078" spans="1:4" x14ac:dyDescent="0.15">
      <c r="A1078" s="113">
        <v>927</v>
      </c>
      <c r="B1078" s="114">
        <v>309</v>
      </c>
      <c r="C1078" s="115" t="s">
        <v>356</v>
      </c>
      <c r="D1078" s="116" t="s">
        <v>353</v>
      </c>
    </row>
    <row r="1079" spans="1:4" x14ac:dyDescent="0.15">
      <c r="A1079" s="113">
        <v>928</v>
      </c>
      <c r="B1079" s="114">
        <v>265</v>
      </c>
      <c r="C1079" s="115" t="s">
        <v>355</v>
      </c>
      <c r="D1079" s="116" t="s">
        <v>353</v>
      </c>
    </row>
    <row r="1080" spans="1:4" x14ac:dyDescent="0.15">
      <c r="A1080" s="113">
        <v>928</v>
      </c>
      <c r="B1080" s="114">
        <v>310</v>
      </c>
      <c r="C1080" s="115" t="s">
        <v>355</v>
      </c>
      <c r="D1080" s="116" t="s">
        <v>353</v>
      </c>
    </row>
    <row r="1081" spans="1:4" x14ac:dyDescent="0.15">
      <c r="A1081" s="113">
        <v>929</v>
      </c>
      <c r="B1081" s="114">
        <v>14041</v>
      </c>
      <c r="C1081" s="115" t="s">
        <v>409</v>
      </c>
      <c r="D1081" s="116" t="s">
        <v>220</v>
      </c>
    </row>
    <row r="1082" spans="1:4" x14ac:dyDescent="0.15">
      <c r="A1082" s="113">
        <v>930</v>
      </c>
      <c r="B1082" s="114">
        <v>14053</v>
      </c>
      <c r="C1082" s="115" t="s">
        <v>409</v>
      </c>
      <c r="D1082" s="116" t="s">
        <v>220</v>
      </c>
    </row>
    <row r="1083" spans="1:4" x14ac:dyDescent="0.15">
      <c r="A1083" s="113">
        <v>931</v>
      </c>
      <c r="B1083" s="114">
        <v>14056</v>
      </c>
      <c r="C1083" s="115" t="s">
        <v>409</v>
      </c>
      <c r="D1083" s="116" t="s">
        <v>220</v>
      </c>
    </row>
    <row r="1084" spans="1:4" x14ac:dyDescent="0.15">
      <c r="A1084" s="113">
        <v>932</v>
      </c>
      <c r="B1084" s="114">
        <v>191</v>
      </c>
      <c r="C1084" s="115" t="s">
        <v>415</v>
      </c>
      <c r="D1084" s="116">
        <v>2</v>
      </c>
    </row>
    <row r="1085" spans="1:4" x14ac:dyDescent="0.15">
      <c r="A1085" s="113">
        <v>932</v>
      </c>
      <c r="B1085" s="114">
        <v>353</v>
      </c>
      <c r="C1085" s="115" t="s">
        <v>415</v>
      </c>
      <c r="D1085" s="116">
        <v>1</v>
      </c>
    </row>
    <row r="1086" spans="1:4" x14ac:dyDescent="0.15">
      <c r="A1086" s="113">
        <v>932</v>
      </c>
      <c r="B1086" s="114">
        <v>354</v>
      </c>
      <c r="C1086" s="115" t="s">
        <v>415</v>
      </c>
      <c r="D1086" s="116">
        <v>1</v>
      </c>
    </row>
    <row r="1087" spans="1:4" x14ac:dyDescent="0.15">
      <c r="A1087" s="113">
        <v>932</v>
      </c>
      <c r="B1087" s="114">
        <v>355</v>
      </c>
      <c r="C1087" s="115" t="s">
        <v>415</v>
      </c>
      <c r="D1087" s="116">
        <v>1</v>
      </c>
    </row>
    <row r="1088" spans="1:4" x14ac:dyDescent="0.15">
      <c r="A1088" s="113">
        <v>933</v>
      </c>
      <c r="B1088" s="114">
        <v>14147</v>
      </c>
      <c r="C1088" s="115" t="s">
        <v>407</v>
      </c>
      <c r="D1088" s="116">
        <v>2</v>
      </c>
    </row>
    <row r="1089" spans="1:4" x14ac:dyDescent="0.15">
      <c r="A1089" s="113">
        <v>933</v>
      </c>
      <c r="B1089" s="114">
        <v>14148</v>
      </c>
      <c r="C1089" s="115" t="s">
        <v>407</v>
      </c>
      <c r="D1089" s="116">
        <v>1</v>
      </c>
    </row>
    <row r="1090" spans="1:4" x14ac:dyDescent="0.15">
      <c r="A1090" s="113">
        <v>934</v>
      </c>
      <c r="B1090" s="114">
        <v>14149</v>
      </c>
      <c r="C1090" s="115" t="s">
        <v>408</v>
      </c>
      <c r="D1090" s="116" t="s">
        <v>220</v>
      </c>
    </row>
    <row r="1091" spans="1:4" x14ac:dyDescent="0.15">
      <c r="A1091" s="113">
        <v>935</v>
      </c>
      <c r="B1091" s="114">
        <v>374</v>
      </c>
      <c r="C1091" s="115" t="s">
        <v>416</v>
      </c>
      <c r="D1091" s="116" t="s">
        <v>467</v>
      </c>
    </row>
    <row r="1092" spans="1:4" x14ac:dyDescent="0.15">
      <c r="A1092" s="113">
        <v>935</v>
      </c>
      <c r="B1092" s="114">
        <v>375</v>
      </c>
      <c r="C1092" s="115" t="s">
        <v>416</v>
      </c>
      <c r="D1092" s="116" t="s">
        <v>465</v>
      </c>
    </row>
    <row r="1093" spans="1:4" x14ac:dyDescent="0.15">
      <c r="A1093" s="113">
        <v>936</v>
      </c>
      <c r="B1093" s="114">
        <v>1422</v>
      </c>
      <c r="C1093" s="115" t="s">
        <v>416</v>
      </c>
      <c r="D1093" s="116">
        <v>1</v>
      </c>
    </row>
    <row r="1094" spans="1:4" x14ac:dyDescent="0.15">
      <c r="A1094" s="113">
        <v>936</v>
      </c>
      <c r="B1094" s="114">
        <v>1423</v>
      </c>
      <c r="C1094" s="115" t="s">
        <v>416</v>
      </c>
      <c r="D1094" s="116">
        <v>2</v>
      </c>
    </row>
    <row r="1095" spans="1:4" x14ac:dyDescent="0.15">
      <c r="A1095" s="113">
        <v>937</v>
      </c>
      <c r="B1095" s="114">
        <v>14150</v>
      </c>
      <c r="C1095" s="115" t="s">
        <v>416</v>
      </c>
      <c r="D1095" s="116">
        <v>2</v>
      </c>
    </row>
    <row r="1096" spans="1:4" x14ac:dyDescent="0.15">
      <c r="A1096" s="113">
        <v>937</v>
      </c>
      <c r="B1096" s="114">
        <v>14151</v>
      </c>
      <c r="C1096" s="115" t="s">
        <v>416</v>
      </c>
      <c r="D1096" s="116">
        <v>1</v>
      </c>
    </row>
    <row r="1097" spans="1:4" x14ac:dyDescent="0.15">
      <c r="A1097" s="113">
        <v>938</v>
      </c>
      <c r="B1097" s="114">
        <v>376</v>
      </c>
      <c r="C1097" s="115" t="s">
        <v>416</v>
      </c>
      <c r="D1097" s="116">
        <v>2</v>
      </c>
    </row>
    <row r="1098" spans="1:4" x14ac:dyDescent="0.15">
      <c r="A1098" s="113">
        <v>938</v>
      </c>
      <c r="B1098" s="114">
        <v>377</v>
      </c>
      <c r="C1098" s="115" t="s">
        <v>416</v>
      </c>
      <c r="D1098" s="116">
        <v>1</v>
      </c>
    </row>
    <row r="1099" spans="1:4" x14ac:dyDescent="0.15">
      <c r="A1099" s="113">
        <v>939</v>
      </c>
      <c r="B1099" s="114">
        <v>395</v>
      </c>
      <c r="C1099" s="115" t="s">
        <v>416</v>
      </c>
      <c r="D1099" s="116">
        <v>2</v>
      </c>
    </row>
    <row r="1100" spans="1:4" x14ac:dyDescent="0.15">
      <c r="A1100" s="113">
        <v>939</v>
      </c>
      <c r="B1100" s="114">
        <v>396</v>
      </c>
      <c r="C1100" s="115" t="s">
        <v>416</v>
      </c>
      <c r="D1100" s="116">
        <v>1</v>
      </c>
    </row>
    <row r="1101" spans="1:4" x14ac:dyDescent="0.15">
      <c r="A1101" s="113">
        <v>940</v>
      </c>
      <c r="B1101" s="114">
        <v>397</v>
      </c>
      <c r="C1101" s="115" t="s">
        <v>417</v>
      </c>
      <c r="D1101" s="116" t="s">
        <v>375</v>
      </c>
    </row>
    <row r="1102" spans="1:4" x14ac:dyDescent="0.15">
      <c r="A1102" s="113">
        <v>941</v>
      </c>
      <c r="B1102" s="114">
        <v>398</v>
      </c>
      <c r="C1102" s="115" t="s">
        <v>418</v>
      </c>
      <c r="D1102" s="116" t="s">
        <v>375</v>
      </c>
    </row>
    <row r="1103" spans="1:4" x14ac:dyDescent="0.15">
      <c r="A1103" s="113">
        <v>942</v>
      </c>
      <c r="B1103" s="114">
        <v>400</v>
      </c>
      <c r="C1103" s="115" t="s">
        <v>268</v>
      </c>
      <c r="D1103" s="116">
        <v>1</v>
      </c>
    </row>
    <row r="1104" spans="1:4" x14ac:dyDescent="0.15">
      <c r="A1104" s="113">
        <v>942</v>
      </c>
      <c r="B1104" s="114">
        <v>401</v>
      </c>
      <c r="C1104" s="115" t="s">
        <v>268</v>
      </c>
      <c r="D1104" s="116">
        <v>2</v>
      </c>
    </row>
    <row r="1105" spans="1:4" x14ac:dyDescent="0.15">
      <c r="A1105" s="113">
        <v>943</v>
      </c>
      <c r="B1105" s="114">
        <v>404</v>
      </c>
      <c r="C1105" s="115" t="s">
        <v>258</v>
      </c>
      <c r="D1105" s="116">
        <v>1</v>
      </c>
    </row>
    <row r="1106" spans="1:4" x14ac:dyDescent="0.15">
      <c r="A1106" s="113">
        <v>943</v>
      </c>
      <c r="B1106" s="114">
        <v>405</v>
      </c>
      <c r="C1106" s="115" t="s">
        <v>258</v>
      </c>
      <c r="D1106" s="116">
        <v>2</v>
      </c>
    </row>
    <row r="1107" spans="1:4" x14ac:dyDescent="0.15">
      <c r="A1107" s="113">
        <v>944</v>
      </c>
      <c r="B1107" s="114">
        <v>406</v>
      </c>
      <c r="C1107" s="115" t="s">
        <v>258</v>
      </c>
      <c r="D1107" s="116">
        <v>1</v>
      </c>
    </row>
    <row r="1108" spans="1:4" x14ac:dyDescent="0.15">
      <c r="A1108" s="113">
        <v>944</v>
      </c>
      <c r="B1108" s="114">
        <v>407</v>
      </c>
      <c r="C1108" s="115" t="s">
        <v>258</v>
      </c>
      <c r="D1108" s="116">
        <v>2</v>
      </c>
    </row>
    <row r="1109" spans="1:4" x14ac:dyDescent="0.15">
      <c r="A1109" s="113">
        <v>945</v>
      </c>
      <c r="B1109" s="114">
        <v>408</v>
      </c>
      <c r="C1109" s="115" t="s">
        <v>258</v>
      </c>
      <c r="D1109" s="116">
        <v>1</v>
      </c>
    </row>
    <row r="1110" spans="1:4" x14ac:dyDescent="0.15">
      <c r="A1110" s="113">
        <v>945</v>
      </c>
      <c r="B1110" s="114">
        <v>409</v>
      </c>
      <c r="C1110" s="115" t="s">
        <v>258</v>
      </c>
      <c r="D1110" s="116">
        <v>2</v>
      </c>
    </row>
    <row r="1111" spans="1:4" x14ac:dyDescent="0.15">
      <c r="A1111" s="113">
        <v>946</v>
      </c>
      <c r="B1111" s="114">
        <v>410</v>
      </c>
      <c r="C1111" s="115" t="s">
        <v>258</v>
      </c>
      <c r="D1111" s="116">
        <v>1</v>
      </c>
    </row>
    <row r="1112" spans="1:4" x14ac:dyDescent="0.15">
      <c r="A1112" s="113">
        <v>946</v>
      </c>
      <c r="B1112" s="114">
        <v>411</v>
      </c>
      <c r="C1112" s="115" t="s">
        <v>258</v>
      </c>
      <c r="D1112" s="116">
        <v>2</v>
      </c>
    </row>
    <row r="1113" spans="1:4" x14ac:dyDescent="0.15">
      <c r="A1113" s="113">
        <v>947</v>
      </c>
      <c r="B1113" s="114">
        <v>412</v>
      </c>
      <c r="C1113" s="115" t="s">
        <v>419</v>
      </c>
      <c r="D1113" s="116">
        <v>2</v>
      </c>
    </row>
    <row r="1114" spans="1:4" x14ac:dyDescent="0.15">
      <c r="A1114" s="113">
        <v>947</v>
      </c>
      <c r="B1114" s="114">
        <v>413</v>
      </c>
      <c r="C1114" s="115" t="s">
        <v>419</v>
      </c>
      <c r="D1114" s="116">
        <v>1</v>
      </c>
    </row>
    <row r="1115" spans="1:4" x14ac:dyDescent="0.15">
      <c r="A1115" s="113">
        <v>947</v>
      </c>
      <c r="B1115" s="114">
        <v>414</v>
      </c>
      <c r="C1115" s="115" t="s">
        <v>419</v>
      </c>
      <c r="D1115" s="116">
        <v>1</v>
      </c>
    </row>
    <row r="1116" spans="1:4" x14ac:dyDescent="0.15">
      <c r="A1116" s="113">
        <v>948</v>
      </c>
      <c r="B1116" s="114">
        <v>415</v>
      </c>
      <c r="C1116" s="115" t="s">
        <v>420</v>
      </c>
      <c r="D1116" s="116" t="s">
        <v>467</v>
      </c>
    </row>
    <row r="1117" spans="1:4" x14ac:dyDescent="0.15">
      <c r="A1117" s="113">
        <v>948</v>
      </c>
      <c r="B1117" s="114">
        <v>416</v>
      </c>
      <c r="C1117" s="115" t="s">
        <v>420</v>
      </c>
      <c r="D1117" s="116">
        <v>1</v>
      </c>
    </row>
    <row r="1118" spans="1:4" x14ac:dyDescent="0.15">
      <c r="A1118" s="113">
        <v>949</v>
      </c>
      <c r="B1118" s="114">
        <v>417</v>
      </c>
      <c r="C1118" s="115" t="s">
        <v>499</v>
      </c>
      <c r="D1118" s="116">
        <v>1</v>
      </c>
    </row>
    <row r="1119" spans="1:4" x14ac:dyDescent="0.15">
      <c r="A1119" s="113">
        <v>949</v>
      </c>
      <c r="B1119" s="114">
        <v>418</v>
      </c>
      <c r="C1119" s="115" t="s">
        <v>499</v>
      </c>
      <c r="D1119" s="116">
        <v>2</v>
      </c>
    </row>
    <row r="1120" spans="1:4" x14ac:dyDescent="0.15">
      <c r="A1120" s="113">
        <v>950</v>
      </c>
      <c r="B1120" s="114">
        <v>419</v>
      </c>
      <c r="C1120" s="115" t="s">
        <v>500</v>
      </c>
      <c r="D1120" s="116" t="s">
        <v>220</v>
      </c>
    </row>
    <row r="1121" spans="1:4" x14ac:dyDescent="0.15">
      <c r="A1121" s="113">
        <v>951</v>
      </c>
      <c r="B1121" s="114">
        <v>420</v>
      </c>
      <c r="C1121" s="115" t="s">
        <v>501</v>
      </c>
      <c r="D1121" s="116" t="s">
        <v>220</v>
      </c>
    </row>
    <row r="1122" spans="1:4" x14ac:dyDescent="0.15">
      <c r="A1122" s="113">
        <v>952</v>
      </c>
      <c r="B1122" s="114">
        <v>421</v>
      </c>
      <c r="C1122" s="115" t="s">
        <v>502</v>
      </c>
      <c r="D1122" s="116">
        <v>1</v>
      </c>
    </row>
    <row r="1123" spans="1:4" x14ac:dyDescent="0.15">
      <c r="A1123" s="113">
        <v>952</v>
      </c>
      <c r="B1123" s="114">
        <v>422</v>
      </c>
      <c r="C1123" s="115" t="s">
        <v>502</v>
      </c>
      <c r="D1123" s="116">
        <v>2</v>
      </c>
    </row>
    <row r="1124" spans="1:4" x14ac:dyDescent="0.15">
      <c r="A1124" s="113">
        <v>953</v>
      </c>
      <c r="B1124" s="114">
        <v>423</v>
      </c>
      <c r="C1124" s="115" t="s">
        <v>421</v>
      </c>
      <c r="D1124" s="116">
        <v>1</v>
      </c>
    </row>
    <row r="1125" spans="1:4" x14ac:dyDescent="0.15">
      <c r="A1125" s="113">
        <v>953</v>
      </c>
      <c r="B1125" s="114">
        <v>424</v>
      </c>
      <c r="C1125" s="115" t="s">
        <v>421</v>
      </c>
      <c r="D1125" s="116" t="s">
        <v>465</v>
      </c>
    </row>
    <row r="1126" spans="1:4" x14ac:dyDescent="0.15">
      <c r="A1126" s="113">
        <v>954</v>
      </c>
      <c r="B1126" s="114">
        <v>425</v>
      </c>
      <c r="C1126" s="115" t="s">
        <v>422</v>
      </c>
      <c r="D1126" s="116" t="s">
        <v>467</v>
      </c>
    </row>
    <row r="1127" spans="1:4" x14ac:dyDescent="0.15">
      <c r="A1127" s="113">
        <v>954</v>
      </c>
      <c r="B1127" s="114">
        <v>426</v>
      </c>
      <c r="C1127" s="115" t="s">
        <v>422</v>
      </c>
      <c r="D1127" s="116" t="s">
        <v>465</v>
      </c>
    </row>
    <row r="1128" spans="1:4" x14ac:dyDescent="0.15">
      <c r="A1128" s="113">
        <v>954</v>
      </c>
      <c r="B1128" s="114">
        <v>427</v>
      </c>
      <c r="C1128" s="115" t="s">
        <v>422</v>
      </c>
      <c r="D1128" s="116" t="s">
        <v>465</v>
      </c>
    </row>
    <row r="1129" spans="1:4" x14ac:dyDescent="0.15">
      <c r="A1129" s="113">
        <v>955</v>
      </c>
      <c r="B1129" s="114">
        <v>206</v>
      </c>
      <c r="C1129" s="115" t="s">
        <v>423</v>
      </c>
      <c r="D1129" s="116">
        <v>2</v>
      </c>
    </row>
    <row r="1130" spans="1:4" x14ac:dyDescent="0.15">
      <c r="A1130" s="113">
        <v>955</v>
      </c>
      <c r="B1130" s="114">
        <v>428</v>
      </c>
      <c r="C1130" s="115" t="s">
        <v>423</v>
      </c>
      <c r="D1130" s="116">
        <v>1</v>
      </c>
    </row>
    <row r="1131" spans="1:4" x14ac:dyDescent="0.15">
      <c r="A1131" s="113">
        <v>955</v>
      </c>
      <c r="B1131" s="114">
        <v>429</v>
      </c>
      <c r="C1131" s="115" t="s">
        <v>423</v>
      </c>
      <c r="D1131" s="116">
        <v>2</v>
      </c>
    </row>
    <row r="1132" spans="1:4" x14ac:dyDescent="0.15">
      <c r="A1132" s="113">
        <v>955</v>
      </c>
      <c r="B1132" s="114">
        <v>430</v>
      </c>
      <c r="C1132" s="115" t="s">
        <v>423</v>
      </c>
      <c r="D1132" s="116">
        <v>1</v>
      </c>
    </row>
    <row r="1133" spans="1:4" x14ac:dyDescent="0.15">
      <c r="A1133" s="113">
        <v>956</v>
      </c>
      <c r="B1133" s="114">
        <v>160</v>
      </c>
      <c r="C1133" s="115" t="s">
        <v>424</v>
      </c>
      <c r="D1133" s="116">
        <v>2</v>
      </c>
    </row>
    <row r="1134" spans="1:4" x14ac:dyDescent="0.15">
      <c r="A1134" s="113">
        <v>956</v>
      </c>
      <c r="B1134" s="114">
        <v>427</v>
      </c>
      <c r="C1134" s="115" t="s">
        <v>424</v>
      </c>
      <c r="D1134" s="116">
        <v>1</v>
      </c>
    </row>
    <row r="1135" spans="1:4" x14ac:dyDescent="0.15">
      <c r="A1135" s="113">
        <v>956</v>
      </c>
      <c r="B1135" s="114">
        <v>431</v>
      </c>
      <c r="C1135" s="115" t="s">
        <v>424</v>
      </c>
      <c r="D1135" s="116">
        <v>2</v>
      </c>
    </row>
    <row r="1136" spans="1:4" x14ac:dyDescent="0.15">
      <c r="A1136" s="113">
        <v>956</v>
      </c>
      <c r="B1136" s="114">
        <v>432</v>
      </c>
      <c r="C1136" s="115" t="s">
        <v>424</v>
      </c>
      <c r="D1136" s="116">
        <v>1</v>
      </c>
    </row>
    <row r="1137" spans="1:4" x14ac:dyDescent="0.15">
      <c r="A1137" s="113">
        <v>957</v>
      </c>
      <c r="B1137" s="114">
        <v>432</v>
      </c>
      <c r="C1137" s="115" t="s">
        <v>425</v>
      </c>
      <c r="D1137" s="116">
        <v>1</v>
      </c>
    </row>
    <row r="1138" spans="1:4" x14ac:dyDescent="0.15">
      <c r="A1138" s="113">
        <v>957</v>
      </c>
      <c r="B1138" s="114">
        <v>433</v>
      </c>
      <c r="C1138" s="115" t="s">
        <v>425</v>
      </c>
      <c r="D1138" s="116">
        <v>2</v>
      </c>
    </row>
    <row r="1139" spans="1:4" x14ac:dyDescent="0.15">
      <c r="A1139" s="113">
        <v>958</v>
      </c>
      <c r="B1139" s="114">
        <v>434</v>
      </c>
      <c r="C1139" s="115" t="s">
        <v>426</v>
      </c>
      <c r="D1139" s="116">
        <v>2</v>
      </c>
    </row>
    <row r="1140" spans="1:4" x14ac:dyDescent="0.15">
      <c r="A1140" s="113">
        <v>958</v>
      </c>
      <c r="B1140" s="114">
        <v>435</v>
      </c>
      <c r="C1140" s="115" t="s">
        <v>426</v>
      </c>
      <c r="D1140" s="116">
        <v>1</v>
      </c>
    </row>
    <row r="1141" spans="1:4" x14ac:dyDescent="0.15">
      <c r="A1141" s="113">
        <v>959</v>
      </c>
      <c r="B1141" s="114">
        <v>160</v>
      </c>
      <c r="C1141" s="115" t="s">
        <v>427</v>
      </c>
      <c r="D1141" s="116">
        <v>2</v>
      </c>
    </row>
    <row r="1142" spans="1:4" x14ac:dyDescent="0.15">
      <c r="A1142" s="113">
        <v>959</v>
      </c>
      <c r="B1142" s="114">
        <v>432</v>
      </c>
      <c r="C1142" s="115" t="s">
        <v>427</v>
      </c>
      <c r="D1142" s="116">
        <v>1</v>
      </c>
    </row>
    <row r="1143" spans="1:4" x14ac:dyDescent="0.15">
      <c r="A1143" s="113">
        <v>959</v>
      </c>
      <c r="B1143" s="114">
        <v>436</v>
      </c>
      <c r="C1143" s="115" t="s">
        <v>427</v>
      </c>
      <c r="D1143" s="116">
        <v>2</v>
      </c>
    </row>
    <row r="1144" spans="1:4" x14ac:dyDescent="0.15">
      <c r="A1144" s="113">
        <v>960</v>
      </c>
      <c r="B1144" s="114">
        <v>160</v>
      </c>
      <c r="C1144" s="115" t="s">
        <v>428</v>
      </c>
      <c r="D1144" s="116">
        <v>2</v>
      </c>
    </row>
    <row r="1145" spans="1:4" x14ac:dyDescent="0.15">
      <c r="A1145" s="113">
        <v>960</v>
      </c>
      <c r="B1145" s="114">
        <v>435</v>
      </c>
      <c r="C1145" s="115" t="s">
        <v>428</v>
      </c>
      <c r="D1145" s="116">
        <v>1</v>
      </c>
    </row>
    <row r="1146" spans="1:4" x14ac:dyDescent="0.15">
      <c r="A1146" s="113">
        <v>960</v>
      </c>
      <c r="B1146" s="114">
        <v>441</v>
      </c>
      <c r="C1146" s="115" t="s">
        <v>428</v>
      </c>
      <c r="D1146" s="116">
        <v>1</v>
      </c>
    </row>
    <row r="1147" spans="1:4" x14ac:dyDescent="0.15">
      <c r="A1147" s="113">
        <v>961</v>
      </c>
      <c r="B1147" s="114">
        <v>427</v>
      </c>
      <c r="C1147" s="115" t="s">
        <v>429</v>
      </c>
      <c r="D1147" s="116">
        <v>1</v>
      </c>
    </row>
    <row r="1148" spans="1:4" x14ac:dyDescent="0.15">
      <c r="A1148" s="113">
        <v>961</v>
      </c>
      <c r="B1148" s="114">
        <v>432</v>
      </c>
      <c r="C1148" s="115" t="s">
        <v>429</v>
      </c>
      <c r="D1148" s="116">
        <v>1</v>
      </c>
    </row>
    <row r="1149" spans="1:4" x14ac:dyDescent="0.15">
      <c r="A1149" s="113">
        <v>961</v>
      </c>
      <c r="B1149" s="114">
        <v>437</v>
      </c>
      <c r="C1149" s="115" t="s">
        <v>429</v>
      </c>
      <c r="D1149" s="116">
        <v>2</v>
      </c>
    </row>
    <row r="1150" spans="1:4" x14ac:dyDescent="0.15">
      <c r="A1150" s="113">
        <v>962</v>
      </c>
      <c r="B1150" s="114">
        <v>427</v>
      </c>
      <c r="C1150" s="115" t="s">
        <v>430</v>
      </c>
      <c r="D1150" s="116">
        <v>1</v>
      </c>
    </row>
    <row r="1151" spans="1:4" x14ac:dyDescent="0.15">
      <c r="A1151" s="113">
        <v>962</v>
      </c>
      <c r="B1151" s="114">
        <v>435</v>
      </c>
      <c r="C1151" s="115" t="s">
        <v>430</v>
      </c>
      <c r="D1151" s="116">
        <v>1</v>
      </c>
    </row>
    <row r="1152" spans="1:4" x14ac:dyDescent="0.15">
      <c r="A1152" s="113">
        <v>962</v>
      </c>
      <c r="B1152" s="114">
        <v>438</v>
      </c>
      <c r="C1152" s="115" t="s">
        <v>430</v>
      </c>
      <c r="D1152" s="116">
        <v>2</v>
      </c>
    </row>
    <row r="1153" spans="1:4" x14ac:dyDescent="0.15">
      <c r="A1153" s="113">
        <v>963</v>
      </c>
      <c r="B1153" s="114">
        <v>160</v>
      </c>
      <c r="C1153" s="115" t="s">
        <v>431</v>
      </c>
      <c r="D1153" s="116">
        <v>2</v>
      </c>
    </row>
    <row r="1154" spans="1:4" x14ac:dyDescent="0.15">
      <c r="A1154" s="113">
        <v>963</v>
      </c>
      <c r="B1154" s="114">
        <v>427</v>
      </c>
      <c r="C1154" s="115" t="s">
        <v>431</v>
      </c>
      <c r="D1154" s="116">
        <v>1</v>
      </c>
    </row>
    <row r="1155" spans="1:4" x14ac:dyDescent="0.15">
      <c r="A1155" s="113">
        <v>963</v>
      </c>
      <c r="B1155" s="114">
        <v>435</v>
      </c>
      <c r="C1155" s="115" t="s">
        <v>431</v>
      </c>
      <c r="D1155" s="116">
        <v>1</v>
      </c>
    </row>
    <row r="1156" spans="1:4" x14ac:dyDescent="0.15">
      <c r="A1156" s="113">
        <v>963</v>
      </c>
      <c r="B1156" s="114">
        <v>439</v>
      </c>
      <c r="C1156" s="115" t="s">
        <v>431</v>
      </c>
      <c r="D1156" s="116">
        <v>2</v>
      </c>
    </row>
    <row r="1157" spans="1:4" x14ac:dyDescent="0.15">
      <c r="A1157" s="113">
        <v>964</v>
      </c>
      <c r="B1157" s="114">
        <v>160</v>
      </c>
      <c r="C1157" s="115" t="s">
        <v>432</v>
      </c>
      <c r="D1157" s="116">
        <v>2</v>
      </c>
    </row>
    <row r="1158" spans="1:4" x14ac:dyDescent="0.15">
      <c r="A1158" s="113">
        <v>964</v>
      </c>
      <c r="B1158" s="114">
        <v>431</v>
      </c>
      <c r="C1158" s="115" t="s">
        <v>432</v>
      </c>
      <c r="D1158" s="116">
        <v>2</v>
      </c>
    </row>
    <row r="1159" spans="1:4" x14ac:dyDescent="0.15">
      <c r="A1159" s="113">
        <v>964</v>
      </c>
      <c r="B1159" s="114">
        <v>440</v>
      </c>
      <c r="C1159" s="115" t="s">
        <v>432</v>
      </c>
      <c r="D1159" s="116">
        <v>1</v>
      </c>
    </row>
    <row r="1160" spans="1:4" x14ac:dyDescent="0.15">
      <c r="A1160" s="113">
        <v>965</v>
      </c>
      <c r="B1160" s="114">
        <v>194</v>
      </c>
      <c r="C1160" s="115" t="s">
        <v>433</v>
      </c>
      <c r="D1160" s="116">
        <v>2</v>
      </c>
    </row>
    <row r="1161" spans="1:4" x14ac:dyDescent="0.15">
      <c r="A1161" s="113">
        <v>965</v>
      </c>
      <c r="B1161" s="114">
        <v>489</v>
      </c>
      <c r="C1161" s="115" t="s">
        <v>433</v>
      </c>
      <c r="D1161" s="116">
        <v>1</v>
      </c>
    </row>
    <row r="1162" spans="1:4" x14ac:dyDescent="0.15">
      <c r="A1162" s="113">
        <v>965</v>
      </c>
      <c r="B1162" s="114">
        <v>500</v>
      </c>
      <c r="C1162" s="115" t="s">
        <v>433</v>
      </c>
      <c r="D1162" s="116">
        <v>2</v>
      </c>
    </row>
    <row r="1163" spans="1:4" x14ac:dyDescent="0.15">
      <c r="A1163" s="113">
        <v>966</v>
      </c>
      <c r="B1163" s="114">
        <v>488</v>
      </c>
      <c r="C1163" s="115" t="s">
        <v>280</v>
      </c>
      <c r="D1163" s="116" t="s">
        <v>220</v>
      </c>
    </row>
    <row r="1164" spans="1:4" x14ac:dyDescent="0.15">
      <c r="A1164" s="113">
        <v>967</v>
      </c>
      <c r="B1164" s="114">
        <v>442</v>
      </c>
      <c r="C1164" s="115" t="s">
        <v>292</v>
      </c>
      <c r="D1164" s="116">
        <v>1</v>
      </c>
    </row>
    <row r="1165" spans="1:4" x14ac:dyDescent="0.15">
      <c r="A1165" s="113">
        <v>967</v>
      </c>
      <c r="B1165" s="114">
        <v>443</v>
      </c>
      <c r="C1165" s="115" t="s">
        <v>292</v>
      </c>
      <c r="D1165" s="116">
        <v>2</v>
      </c>
    </row>
    <row r="1166" spans="1:4" x14ac:dyDescent="0.15">
      <c r="A1166" s="113">
        <v>968</v>
      </c>
      <c r="B1166" s="114">
        <v>444</v>
      </c>
      <c r="C1166" s="115" t="s">
        <v>292</v>
      </c>
      <c r="D1166" s="116">
        <v>1</v>
      </c>
    </row>
    <row r="1167" spans="1:4" x14ac:dyDescent="0.15">
      <c r="A1167" s="113">
        <v>969</v>
      </c>
      <c r="B1167" s="114">
        <v>443</v>
      </c>
      <c r="C1167" s="115" t="s">
        <v>433</v>
      </c>
      <c r="D1167" s="116">
        <v>2</v>
      </c>
    </row>
    <row r="1168" spans="1:4" x14ac:dyDescent="0.15">
      <c r="A1168" s="113">
        <v>969</v>
      </c>
      <c r="B1168" s="114">
        <v>489</v>
      </c>
      <c r="C1168" s="115" t="s">
        <v>433</v>
      </c>
      <c r="D1168" s="116">
        <v>1</v>
      </c>
    </row>
    <row r="1169" spans="1:4" x14ac:dyDescent="0.15">
      <c r="A1169" s="113">
        <v>969</v>
      </c>
      <c r="B1169" s="114">
        <v>501</v>
      </c>
      <c r="C1169" s="115" t="s">
        <v>433</v>
      </c>
      <c r="D1169" s="116">
        <v>1</v>
      </c>
    </row>
    <row r="1170" spans="1:4" x14ac:dyDescent="0.15">
      <c r="A1170" s="113">
        <v>970</v>
      </c>
      <c r="B1170" s="114">
        <v>447</v>
      </c>
      <c r="C1170" s="115" t="s">
        <v>246</v>
      </c>
      <c r="D1170" s="116">
        <v>2</v>
      </c>
    </row>
    <row r="1171" spans="1:4" x14ac:dyDescent="0.15">
      <c r="A1171" s="113">
        <v>970</v>
      </c>
      <c r="B1171" s="114">
        <v>448</v>
      </c>
      <c r="C1171" s="115" t="s">
        <v>246</v>
      </c>
      <c r="D1171" s="116">
        <v>1</v>
      </c>
    </row>
    <row r="1172" spans="1:4" x14ac:dyDescent="0.15">
      <c r="A1172" s="113">
        <v>971</v>
      </c>
      <c r="B1172" s="114">
        <v>492</v>
      </c>
      <c r="C1172" s="115" t="s">
        <v>434</v>
      </c>
      <c r="D1172" s="116">
        <v>2</v>
      </c>
    </row>
    <row r="1173" spans="1:4" x14ac:dyDescent="0.15">
      <c r="A1173" s="113">
        <v>971</v>
      </c>
      <c r="B1173" s="114">
        <v>493</v>
      </c>
      <c r="C1173" s="115" t="s">
        <v>434</v>
      </c>
      <c r="D1173" s="116">
        <v>1</v>
      </c>
    </row>
    <row r="1174" spans="1:4" x14ac:dyDescent="0.15">
      <c r="A1174" s="113">
        <v>971</v>
      </c>
      <c r="B1174" s="114">
        <v>494</v>
      </c>
      <c r="C1174" s="115" t="s">
        <v>434</v>
      </c>
      <c r="D1174" s="116">
        <v>1</v>
      </c>
    </row>
    <row r="1175" spans="1:4" x14ac:dyDescent="0.15">
      <c r="A1175" s="113">
        <v>972</v>
      </c>
      <c r="B1175" s="114">
        <v>502</v>
      </c>
      <c r="C1175" s="115" t="s">
        <v>468</v>
      </c>
      <c r="D1175" s="116">
        <v>1</v>
      </c>
    </row>
    <row r="1176" spans="1:4" x14ac:dyDescent="0.15">
      <c r="A1176" s="113">
        <v>972</v>
      </c>
      <c r="B1176" s="114">
        <v>503</v>
      </c>
      <c r="C1176" s="115" t="s">
        <v>468</v>
      </c>
      <c r="D1176" s="116" t="s">
        <v>467</v>
      </c>
    </row>
    <row r="1177" spans="1:4" x14ac:dyDescent="0.15">
      <c r="A1177" s="113">
        <v>973</v>
      </c>
      <c r="B1177" s="114">
        <v>453</v>
      </c>
      <c r="C1177" s="115" t="s">
        <v>290</v>
      </c>
      <c r="D1177" s="116">
        <v>1</v>
      </c>
    </row>
    <row r="1178" spans="1:4" x14ac:dyDescent="0.15">
      <c r="A1178" s="113">
        <v>973</v>
      </c>
      <c r="B1178" s="114">
        <v>454</v>
      </c>
      <c r="C1178" s="115" t="s">
        <v>290</v>
      </c>
      <c r="D1178" s="116">
        <v>2</v>
      </c>
    </row>
    <row r="1179" spans="1:4" x14ac:dyDescent="0.15">
      <c r="A1179" s="113">
        <v>974</v>
      </c>
      <c r="B1179" s="114">
        <v>455</v>
      </c>
      <c r="C1179" s="115" t="s">
        <v>316</v>
      </c>
      <c r="D1179" s="116">
        <v>2</v>
      </c>
    </row>
    <row r="1180" spans="1:4" x14ac:dyDescent="0.15">
      <c r="A1180" s="113">
        <v>975</v>
      </c>
      <c r="B1180" s="114">
        <v>504</v>
      </c>
      <c r="C1180" s="115" t="s">
        <v>503</v>
      </c>
      <c r="D1180" s="116">
        <v>1</v>
      </c>
    </row>
    <row r="1181" spans="1:4" x14ac:dyDescent="0.15">
      <c r="A1181" s="113">
        <v>975</v>
      </c>
      <c r="B1181" s="114">
        <v>505</v>
      </c>
      <c r="C1181" s="115" t="s">
        <v>503</v>
      </c>
      <c r="D1181" s="116">
        <v>2</v>
      </c>
    </row>
    <row r="1182" spans="1:4" x14ac:dyDescent="0.15">
      <c r="A1182" s="113">
        <v>976</v>
      </c>
      <c r="B1182" s="114">
        <v>506</v>
      </c>
      <c r="C1182" s="115" t="s">
        <v>504</v>
      </c>
      <c r="D1182" s="116">
        <v>1</v>
      </c>
    </row>
    <row r="1183" spans="1:4" x14ac:dyDescent="0.15">
      <c r="A1183" s="113">
        <v>976</v>
      </c>
      <c r="B1183" s="114">
        <v>507</v>
      </c>
      <c r="C1183" s="115" t="s">
        <v>504</v>
      </c>
      <c r="D1183" s="116">
        <v>2</v>
      </c>
    </row>
    <row r="1184" spans="1:4" x14ac:dyDescent="0.15">
      <c r="A1184" s="113">
        <v>978</v>
      </c>
      <c r="B1184" s="114">
        <v>462</v>
      </c>
      <c r="C1184" s="115" t="s">
        <v>274</v>
      </c>
      <c r="D1184" s="116" t="s">
        <v>220</v>
      </c>
    </row>
    <row r="1185" spans="1:4" x14ac:dyDescent="0.15">
      <c r="A1185" s="113">
        <v>979</v>
      </c>
      <c r="B1185" s="114">
        <v>463</v>
      </c>
      <c r="C1185" s="115" t="s">
        <v>313</v>
      </c>
      <c r="D1185" s="116" t="s">
        <v>460</v>
      </c>
    </row>
    <row r="1186" spans="1:4" x14ac:dyDescent="0.15">
      <c r="A1186" s="113">
        <v>980</v>
      </c>
      <c r="B1186" s="114">
        <v>466</v>
      </c>
      <c r="C1186" s="115" t="s">
        <v>435</v>
      </c>
      <c r="D1186" s="116">
        <v>2</v>
      </c>
    </row>
    <row r="1187" spans="1:4" x14ac:dyDescent="0.15">
      <c r="A1187" s="113">
        <v>980</v>
      </c>
      <c r="B1187" s="114">
        <v>467</v>
      </c>
      <c r="C1187" s="115" t="s">
        <v>435</v>
      </c>
      <c r="D1187" s="116">
        <v>1</v>
      </c>
    </row>
    <row r="1188" spans="1:4" x14ac:dyDescent="0.15">
      <c r="A1188" s="113">
        <v>981</v>
      </c>
      <c r="B1188" s="114">
        <v>468</v>
      </c>
      <c r="C1188" s="115" t="s">
        <v>436</v>
      </c>
      <c r="D1188" s="116" t="s">
        <v>220</v>
      </c>
    </row>
    <row r="1189" spans="1:4" x14ac:dyDescent="0.15">
      <c r="A1189" s="113">
        <v>982</v>
      </c>
      <c r="B1189" s="114">
        <v>508</v>
      </c>
      <c r="C1189" s="115" t="s">
        <v>505</v>
      </c>
      <c r="D1189" s="116">
        <v>2</v>
      </c>
    </row>
    <row r="1190" spans="1:4" x14ac:dyDescent="0.15">
      <c r="A1190" s="113">
        <v>982</v>
      </c>
      <c r="B1190" s="114">
        <v>509</v>
      </c>
      <c r="C1190" s="115" t="s">
        <v>505</v>
      </c>
      <c r="D1190" s="116">
        <v>1</v>
      </c>
    </row>
    <row r="1191" spans="1:4" x14ac:dyDescent="0.15">
      <c r="A1191" s="113">
        <v>983</v>
      </c>
      <c r="B1191" s="114">
        <v>510</v>
      </c>
      <c r="C1191" s="115" t="s">
        <v>506</v>
      </c>
      <c r="D1191" s="116">
        <v>2</v>
      </c>
    </row>
    <row r="1192" spans="1:4" x14ac:dyDescent="0.15">
      <c r="A1192" s="113">
        <v>983</v>
      </c>
      <c r="B1192" s="114">
        <v>511</v>
      </c>
      <c r="C1192" s="115" t="s">
        <v>506</v>
      </c>
      <c r="D1192" s="116">
        <v>1</v>
      </c>
    </row>
    <row r="1193" spans="1:4" s="146" customFormat="1" ht="14" x14ac:dyDescent="0.2">
      <c r="A1193" s="113">
        <v>984</v>
      </c>
      <c r="B1193" s="114">
        <v>512</v>
      </c>
      <c r="C1193" s="115" t="s">
        <v>557</v>
      </c>
      <c r="D1193" s="116">
        <v>1</v>
      </c>
    </row>
    <row r="1194" spans="1:4" s="146" customFormat="1" ht="14" x14ac:dyDescent="0.2">
      <c r="A1194" s="113">
        <v>984</v>
      </c>
      <c r="B1194" s="114">
        <v>513</v>
      </c>
      <c r="C1194" s="115" t="s">
        <v>557</v>
      </c>
      <c r="D1194" s="116">
        <v>2</v>
      </c>
    </row>
    <row r="1195" spans="1:4" s="146" customFormat="1" ht="14" x14ac:dyDescent="0.2">
      <c r="A1195" s="113">
        <v>985</v>
      </c>
      <c r="B1195" s="114">
        <v>514</v>
      </c>
      <c r="C1195" s="115" t="s">
        <v>558</v>
      </c>
      <c r="D1195" s="116">
        <v>1</v>
      </c>
    </row>
    <row r="1196" spans="1:4" s="146" customFormat="1" ht="14" x14ac:dyDescent="0.2">
      <c r="A1196" s="113">
        <v>985</v>
      </c>
      <c r="B1196" s="114">
        <v>515</v>
      </c>
      <c r="C1196" s="115" t="s">
        <v>558</v>
      </c>
      <c r="D1196" s="116">
        <v>2</v>
      </c>
    </row>
    <row r="1197" spans="1:4" x14ac:dyDescent="0.15">
      <c r="A1197" s="113">
        <v>989</v>
      </c>
      <c r="B1197" s="114">
        <v>475</v>
      </c>
      <c r="C1197" s="115" t="s">
        <v>329</v>
      </c>
      <c r="D1197" s="116">
        <v>2</v>
      </c>
    </row>
    <row r="1198" spans="1:4" x14ac:dyDescent="0.15">
      <c r="A1198" s="113">
        <v>989</v>
      </c>
      <c r="B1198" s="114">
        <v>476</v>
      </c>
      <c r="C1198" s="115" t="s">
        <v>329</v>
      </c>
      <c r="D1198" s="116">
        <v>1</v>
      </c>
    </row>
    <row r="1199" spans="1:4" x14ac:dyDescent="0.15">
      <c r="A1199" s="113">
        <v>990</v>
      </c>
      <c r="B1199" s="114">
        <v>477</v>
      </c>
      <c r="C1199" s="115" t="s">
        <v>330</v>
      </c>
      <c r="D1199" s="116" t="s">
        <v>220</v>
      </c>
    </row>
    <row r="1200" spans="1:4" x14ac:dyDescent="0.15">
      <c r="A1200" s="113">
        <v>991</v>
      </c>
      <c r="B1200" s="114">
        <v>478</v>
      </c>
      <c r="C1200" s="115" t="s">
        <v>280</v>
      </c>
      <c r="D1200" s="116" t="s">
        <v>220</v>
      </c>
    </row>
    <row r="1201" spans="1:4" x14ac:dyDescent="0.15">
      <c r="A1201" s="113">
        <v>996</v>
      </c>
      <c r="B1201" s="114">
        <v>485</v>
      </c>
      <c r="C1201" s="115" t="s">
        <v>360</v>
      </c>
      <c r="D1201" s="116">
        <v>2</v>
      </c>
    </row>
    <row r="1202" spans="1:4" x14ac:dyDescent="0.15">
      <c r="A1202" s="113">
        <v>996</v>
      </c>
      <c r="B1202" s="114">
        <v>486</v>
      </c>
      <c r="C1202" s="115" t="s">
        <v>360</v>
      </c>
      <c r="D1202" s="116">
        <v>1</v>
      </c>
    </row>
    <row r="1203" spans="1:4" x14ac:dyDescent="0.15">
      <c r="A1203" s="113">
        <v>996</v>
      </c>
      <c r="B1203" s="114">
        <v>487</v>
      </c>
      <c r="C1203" s="115" t="s">
        <v>360</v>
      </c>
      <c r="D1203" s="116">
        <v>2</v>
      </c>
    </row>
    <row r="1204" spans="1:4" x14ac:dyDescent="0.15">
      <c r="A1204" s="113">
        <v>997</v>
      </c>
      <c r="B1204" s="114">
        <v>490</v>
      </c>
      <c r="C1204" s="115" t="s">
        <v>437</v>
      </c>
      <c r="D1204" s="116" t="s">
        <v>467</v>
      </c>
    </row>
    <row r="1205" spans="1:4" x14ac:dyDescent="0.15">
      <c r="A1205" s="113">
        <v>997</v>
      </c>
      <c r="B1205" s="114">
        <v>491</v>
      </c>
      <c r="C1205" s="115" t="s">
        <v>437</v>
      </c>
      <c r="D1205" s="116">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baseColWidth="10" defaultColWidth="9.1640625" defaultRowHeight="13" x14ac:dyDescent="0.15"/>
  <cols>
    <col min="1" max="1" width="2.5" style="123" customWidth="1"/>
    <col min="2" max="2" width="33.6640625" style="123" customWidth="1"/>
    <col min="3" max="4" width="14.1640625" style="123" customWidth="1"/>
    <col min="5" max="9" width="12.1640625" style="123" customWidth="1"/>
    <col min="10" max="10" width="5.5" style="123" customWidth="1"/>
    <col min="11" max="11" width="5.33203125" style="123" customWidth="1"/>
    <col min="12" max="12" width="35.33203125" style="123" customWidth="1"/>
    <col min="13" max="20" width="11.6640625" style="123" customWidth="1"/>
    <col min="21" max="16384" width="9.1640625" style="123"/>
  </cols>
  <sheetData>
    <row r="1" spans="1:156" x14ac:dyDescent="0.15">
      <c r="B1" s="106" t="s">
        <v>88</v>
      </c>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4"/>
      <c r="CP1" s="124"/>
      <c r="CQ1" s="124"/>
      <c r="CR1" s="124"/>
      <c r="CS1" s="124"/>
      <c r="CT1" s="124"/>
      <c r="CU1" s="124"/>
      <c r="CV1" s="124"/>
      <c r="CW1" s="124"/>
      <c r="CX1" s="124"/>
      <c r="CY1" s="124"/>
      <c r="CZ1" s="124"/>
      <c r="DA1" s="124"/>
      <c r="DB1" s="124"/>
      <c r="DC1" s="124"/>
      <c r="DD1" s="124"/>
      <c r="DE1" s="124"/>
      <c r="DF1" s="124"/>
      <c r="DG1" s="124"/>
      <c r="DH1" s="124"/>
      <c r="DI1" s="124"/>
      <c r="DJ1" s="124"/>
      <c r="DK1" s="124"/>
      <c r="DL1" s="124"/>
      <c r="DM1" s="124"/>
      <c r="DN1" s="124"/>
      <c r="DO1" s="124"/>
      <c r="DP1" s="124"/>
      <c r="DQ1" s="124"/>
      <c r="DR1" s="124"/>
      <c r="DS1" s="124"/>
      <c r="DT1" s="124"/>
      <c r="DU1" s="124"/>
      <c r="DV1" s="124"/>
      <c r="DW1" s="124"/>
      <c r="DX1" s="124"/>
      <c r="DY1" s="124"/>
      <c r="DZ1" s="124"/>
      <c r="EA1" s="124"/>
      <c r="EB1" s="124"/>
      <c r="EC1" s="124"/>
      <c r="ED1" s="124"/>
      <c r="EE1" s="124"/>
      <c r="EF1" s="124"/>
      <c r="EG1" s="124"/>
      <c r="EH1" s="124"/>
      <c r="EI1" s="124"/>
      <c r="EJ1" s="124"/>
      <c r="EK1" s="124"/>
      <c r="EL1" s="124"/>
      <c r="EM1" s="124"/>
      <c r="EN1" s="124"/>
      <c r="EO1" s="124"/>
      <c r="EP1" s="124"/>
      <c r="EQ1" s="124"/>
      <c r="ER1" s="124"/>
      <c r="ES1" s="124"/>
      <c r="ET1" s="124"/>
      <c r="EU1" s="124"/>
      <c r="EV1" s="124"/>
      <c r="EW1" s="124"/>
      <c r="EX1" s="124"/>
      <c r="EY1" s="124"/>
      <c r="EZ1" s="124"/>
    </row>
    <row r="2" spans="1:156" s="125" customFormat="1" ht="21.75" customHeight="1" x14ac:dyDescent="0.15">
      <c r="B2" s="319" t="str">
        <f>Overview!B4&amp; " - Effective from "&amp;Overview!D4&amp;" - "&amp;Overview!E4</f>
        <v>Southern Electric Power Distribution plc - Effective from 1 April 2020 - Final</v>
      </c>
      <c r="C2" s="320"/>
      <c r="D2" s="320"/>
      <c r="E2" s="320"/>
      <c r="F2" s="320"/>
      <c r="G2" s="320"/>
      <c r="H2" s="320"/>
      <c r="I2" s="320"/>
      <c r="J2" s="320"/>
      <c r="K2" s="320"/>
      <c r="L2" s="320"/>
      <c r="M2" s="320"/>
      <c r="N2" s="320"/>
      <c r="O2" s="320"/>
      <c r="P2" s="320"/>
      <c r="Q2" s="320"/>
      <c r="R2" s="320"/>
      <c r="S2" s="320"/>
      <c r="T2" s="321"/>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4"/>
      <c r="EB2" s="124"/>
      <c r="EC2" s="124"/>
      <c r="ED2" s="124"/>
      <c r="EE2" s="124"/>
      <c r="EF2" s="124"/>
      <c r="EG2" s="124"/>
      <c r="EH2" s="124"/>
      <c r="EI2" s="124"/>
      <c r="EJ2" s="124"/>
      <c r="EK2" s="124"/>
      <c r="EL2" s="124"/>
      <c r="EM2" s="124"/>
      <c r="EN2" s="124"/>
      <c r="EO2" s="124"/>
      <c r="EP2" s="124"/>
      <c r="EQ2" s="124"/>
      <c r="ER2" s="124"/>
      <c r="ES2" s="124"/>
      <c r="ET2" s="124"/>
      <c r="EU2" s="124"/>
      <c r="EV2" s="124"/>
      <c r="EW2" s="124"/>
      <c r="EX2" s="124"/>
      <c r="EY2" s="124"/>
      <c r="EZ2" s="124"/>
    </row>
    <row r="3" spans="1:156" s="127" customFormat="1" ht="9" customHeight="1" x14ac:dyDescent="0.15">
      <c r="A3" s="126"/>
      <c r="B3" s="126"/>
      <c r="C3" s="126"/>
      <c r="D3" s="126"/>
      <c r="E3" s="126"/>
      <c r="F3" s="126"/>
      <c r="G3" s="126"/>
      <c r="H3" s="126"/>
      <c r="I3" s="126"/>
      <c r="J3" s="126"/>
      <c r="K3" s="126"/>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c r="CS3" s="124"/>
      <c r="CT3" s="124"/>
      <c r="CU3" s="124"/>
      <c r="CV3" s="124"/>
      <c r="CW3" s="124"/>
      <c r="CX3" s="124"/>
      <c r="CY3" s="124"/>
      <c r="CZ3" s="124"/>
      <c r="DA3" s="124"/>
      <c r="DB3" s="124"/>
      <c r="DC3" s="124"/>
      <c r="DD3" s="124"/>
      <c r="DE3" s="124"/>
      <c r="DF3" s="124"/>
      <c r="DG3" s="124"/>
      <c r="DH3" s="124"/>
      <c r="DI3" s="124"/>
      <c r="DJ3" s="124"/>
      <c r="DK3" s="124"/>
      <c r="DL3" s="124"/>
      <c r="DM3" s="124"/>
      <c r="DN3" s="124"/>
      <c r="DO3" s="124"/>
      <c r="DP3" s="124"/>
      <c r="DQ3" s="124"/>
      <c r="DR3" s="124"/>
      <c r="DS3" s="124"/>
      <c r="DT3" s="124"/>
      <c r="DU3" s="124"/>
      <c r="DV3" s="124"/>
      <c r="DW3" s="124"/>
      <c r="DX3" s="124"/>
      <c r="DY3" s="124"/>
      <c r="DZ3" s="124"/>
      <c r="EA3" s="124"/>
      <c r="EB3" s="124"/>
      <c r="EC3" s="124"/>
      <c r="ED3" s="124"/>
      <c r="EE3" s="124"/>
      <c r="EF3" s="124"/>
      <c r="EG3" s="124"/>
      <c r="EH3" s="124"/>
      <c r="EI3" s="124"/>
      <c r="EJ3" s="124"/>
      <c r="EK3" s="124"/>
      <c r="EL3" s="124"/>
      <c r="EM3" s="124"/>
      <c r="EN3" s="124"/>
      <c r="EO3" s="124"/>
      <c r="EP3" s="124"/>
      <c r="EQ3" s="124"/>
      <c r="ER3" s="124"/>
      <c r="ES3" s="124"/>
      <c r="ET3" s="124"/>
      <c r="EU3" s="124"/>
      <c r="EV3" s="124"/>
      <c r="EW3" s="124"/>
      <c r="EX3" s="124"/>
      <c r="EY3" s="124"/>
      <c r="EZ3" s="124"/>
    </row>
    <row r="4" spans="1:156" ht="26.25" customHeight="1" x14ac:dyDescent="0.15">
      <c r="B4" s="325" t="s">
        <v>512</v>
      </c>
      <c r="C4" s="326"/>
      <c r="D4" s="326"/>
      <c r="E4" s="326"/>
      <c r="F4" s="326"/>
      <c r="G4" s="326"/>
      <c r="H4" s="326"/>
      <c r="I4" s="327"/>
      <c r="L4" s="325" t="s">
        <v>528</v>
      </c>
      <c r="M4" s="326"/>
      <c r="N4" s="326"/>
      <c r="O4" s="326"/>
      <c r="P4" s="326"/>
      <c r="Q4" s="326"/>
      <c r="R4" s="326"/>
      <c r="S4" s="326"/>
      <c r="T4" s="327"/>
    </row>
    <row r="5" spans="1:156" ht="18" customHeight="1" x14ac:dyDescent="0.15">
      <c r="B5" s="329" t="s">
        <v>549</v>
      </c>
      <c r="C5" s="329"/>
      <c r="D5" s="329"/>
      <c r="E5" s="329"/>
      <c r="F5" s="329"/>
      <c r="G5" s="329"/>
      <c r="H5" s="329"/>
      <c r="I5" s="329"/>
      <c r="L5" s="329" t="s">
        <v>551</v>
      </c>
      <c r="M5" s="329"/>
      <c r="N5" s="329"/>
      <c r="O5" s="329"/>
      <c r="P5" s="329"/>
      <c r="Q5" s="329"/>
      <c r="R5" s="329"/>
      <c r="S5" s="329"/>
      <c r="T5" s="329"/>
    </row>
    <row r="6" spans="1:156" s="128" customFormat="1" ht="27.75" customHeight="1" x14ac:dyDescent="0.15">
      <c r="B6" s="328" t="s">
        <v>555</v>
      </c>
      <c r="C6" s="328"/>
      <c r="D6" s="328"/>
      <c r="E6" s="328"/>
      <c r="F6" s="328"/>
      <c r="G6" s="328"/>
      <c r="H6" s="328"/>
      <c r="I6" s="328"/>
      <c r="L6" s="328" t="s">
        <v>556</v>
      </c>
      <c r="M6" s="328"/>
      <c r="N6" s="328"/>
      <c r="O6" s="328"/>
      <c r="P6" s="328"/>
      <c r="Q6" s="328"/>
      <c r="R6" s="328"/>
      <c r="S6" s="328"/>
      <c r="T6" s="328"/>
    </row>
    <row r="7" spans="1:156" ht="18" customHeight="1" x14ac:dyDescent="0.15">
      <c r="B7" s="329" t="s">
        <v>550</v>
      </c>
      <c r="C7" s="329"/>
      <c r="D7" s="329"/>
      <c r="E7" s="329"/>
      <c r="F7" s="329"/>
      <c r="G7" s="329"/>
      <c r="H7" s="329"/>
      <c r="I7" s="329"/>
      <c r="L7" s="329" t="s">
        <v>552</v>
      </c>
      <c r="M7" s="329"/>
      <c r="N7" s="329"/>
      <c r="O7" s="329"/>
      <c r="P7" s="329"/>
      <c r="Q7" s="329"/>
      <c r="R7" s="329"/>
      <c r="S7" s="329"/>
      <c r="T7" s="329"/>
    </row>
    <row r="8" spans="1:156" ht="8.25" customHeight="1" x14ac:dyDescent="0.15"/>
    <row r="9" spans="1:156" ht="72" customHeight="1" x14ac:dyDescent="0.15">
      <c r="B9" s="129" t="s">
        <v>553</v>
      </c>
      <c r="C9" s="130" t="str">
        <f>'Annex 1 LV and HV charges'!D13</f>
        <v>Unit charge 1 (NHH)
or red/black charge (HH)
p/kWh</v>
      </c>
      <c r="D9" s="130" t="str">
        <f>'Annex 1 LV and HV charges'!E13</f>
        <v>Unit charge 2 (NHH)
or amber/yellow charge (HH)
p/kWh</v>
      </c>
      <c r="E9" s="130" t="str">
        <f>'Annex 1 LV and HV charges'!F13</f>
        <v>Green charge(HH)
p/kWh</v>
      </c>
      <c r="F9" s="130" t="str">
        <f>'Annex 1 LV and HV charges'!G13</f>
        <v>Fixed charge p/MPAN/day</v>
      </c>
      <c r="G9" s="130" t="str">
        <f>'Annex 1 LV and HV charges'!H13</f>
        <v>Capacity charge p/kVA/day</v>
      </c>
      <c r="H9" s="130" t="str">
        <f>'Annex 1 LV and HV charges'!I13</f>
        <v>Exceeded capacity charge
p/kVA/day</v>
      </c>
      <c r="I9" s="130" t="str">
        <f>'Annex 1 LV and HV charges'!J13</f>
        <v>Reactive power charge
p/kVArh</v>
      </c>
      <c r="L9" s="129" t="s">
        <v>554</v>
      </c>
      <c r="M9" s="149" t="str">
        <f>'Annex 2 EHV charges'!F9</f>
        <v>Import
Super Red
unit charge
(p/kWh)</v>
      </c>
      <c r="N9" s="149" t="str">
        <f>'Annex 2 EHV charges'!G9</f>
        <v>Import
fixed charge
(p/day)</v>
      </c>
      <c r="O9" s="149" t="str">
        <f>'Annex 2 EHV charges'!H9</f>
        <v>Import
capacity charge
(p/kVA/day)</v>
      </c>
      <c r="P9" s="149" t="str">
        <f>'Annex 2 EHV charges'!I9</f>
        <v>Import
exceeded capacity charge
(p/kVA/day)</v>
      </c>
      <c r="Q9" s="150" t="str">
        <f>'Annex 2 EHV charges'!J9</f>
        <v>Export
Super Red
unit charge
(p/kWh)</v>
      </c>
      <c r="R9" s="150" t="str">
        <f>'Annex 2 EHV charges'!K9</f>
        <v>Export
fixed charge
(p/day)</v>
      </c>
      <c r="S9" s="150" t="str">
        <f>'Annex 2 EHV charges'!L9</f>
        <v>Export
capacity charge
(p/kVA/day)</v>
      </c>
      <c r="T9" s="150" t="str">
        <f>'Annex 2 EHV charges'!M9</f>
        <v>Export
exceeded capacity charge
(p/kVA/day)</v>
      </c>
    </row>
    <row r="10" spans="1:156" ht="30" customHeight="1" x14ac:dyDescent="0.15">
      <c r="B10" s="117"/>
      <c r="C10" s="144" t="str">
        <f>IFERROR(VLOOKUP($B$10,'Annex 1 LV and HV charges'!$A:$K,4,FALSE),"")</f>
        <v/>
      </c>
      <c r="D10" s="145" t="str">
        <f>IFERROR(VLOOKUP($B$10,'Annex 1 LV and HV charges'!$A:$K,5,FALSE),"")</f>
        <v/>
      </c>
      <c r="E10" s="145" t="str">
        <f>IFERROR(VLOOKUP($B$10,'Annex 1 LV and HV charges'!$A:$K,6,FALSE),"")</f>
        <v/>
      </c>
      <c r="F10" s="119" t="str">
        <f>IFERROR(VLOOKUP($B$10,'Annex 1 LV and HV charges'!$A:$K,7,FALSE),"")</f>
        <v/>
      </c>
      <c r="G10" s="119" t="str">
        <f>IFERROR(VLOOKUP($B$10,'Annex 1 LV and HV charges'!$A:$K,8,FALSE),"")</f>
        <v/>
      </c>
      <c r="H10" s="119" t="str">
        <f>IFERROR(VLOOKUP($B$10,'Annex 1 LV and HV charges'!$A:$K,9,FALSE),"")</f>
        <v/>
      </c>
      <c r="I10" s="119" t="str">
        <f>IFERROR(VLOOKUP($B$10,'Annex 1 LV and HV charges'!$A:$K,10,FALSE),"")</f>
        <v/>
      </c>
      <c r="L10" s="117"/>
      <c r="M10" s="119">
        <f>IFERROR(VLOOKUP($L$10,'Annex 2 EHV charges'!$G:$M,2,FALSE),"")</f>
        <v>6.04</v>
      </c>
      <c r="N10" s="119">
        <f>IFERROR(VLOOKUP($L$10,'Annex 2 EHV charges'!$G:$M,3,FALSE),"")</f>
        <v>6.04</v>
      </c>
      <c r="O10" s="119">
        <f>IFERROR(VLOOKUP($L$10,'Annex 2 EHV charges'!$G:$M,4,FALSE),"")</f>
        <v>0</v>
      </c>
      <c r="P10" s="119">
        <f>IFERROR(VLOOKUP($L$10,'Annex 2 EHV charges'!$G:$M,5,FALSE),"")</f>
        <v>0</v>
      </c>
      <c r="Q10" s="132">
        <f>IFERROR(VLOOKUP($L$10,'Annex 2 EHV charges'!$G:$M,6,FALSE),"")</f>
        <v>0</v>
      </c>
      <c r="R10" s="132">
        <f>IFERROR(VLOOKUP($L$10,'Annex 2 EHV charges'!$G:$M,7,FALSE),"")</f>
        <v>0</v>
      </c>
      <c r="S10" s="132" t="str">
        <f>IFERROR(VLOOKUP($L$10,'Annex 2 EHV charges'!$G:$M,8,FALSE),"")</f>
        <v/>
      </c>
      <c r="T10" s="132" t="str">
        <f>IFERROR(VLOOKUP($L$10,'Annex 2 EHV charges'!$G:$M,9,FALSE),"")</f>
        <v/>
      </c>
    </row>
    <row r="11" spans="1:156" ht="7.5" customHeight="1" x14ac:dyDescent="0.15"/>
    <row r="12" spans="1:156" ht="88.5" customHeight="1" x14ac:dyDescent="0.15">
      <c r="B12" s="133" t="s">
        <v>515</v>
      </c>
      <c r="C12" s="130" t="s">
        <v>529</v>
      </c>
      <c r="D12" s="130" t="s">
        <v>530</v>
      </c>
      <c r="E12" s="130" t="s">
        <v>531</v>
      </c>
      <c r="F12" s="130" t="s">
        <v>516</v>
      </c>
      <c r="G12" s="130" t="s">
        <v>513</v>
      </c>
      <c r="H12" s="130" t="s">
        <v>691</v>
      </c>
      <c r="I12" s="130" t="s">
        <v>514</v>
      </c>
      <c r="L12" s="133" t="s">
        <v>515</v>
      </c>
      <c r="M12" s="130" t="s">
        <v>539</v>
      </c>
      <c r="N12" s="130" t="s">
        <v>516</v>
      </c>
      <c r="O12" s="130" t="s">
        <v>535</v>
      </c>
      <c r="P12" s="130" t="s">
        <v>691</v>
      </c>
      <c r="Q12" s="131" t="s">
        <v>537</v>
      </c>
      <c r="R12" s="131" t="s">
        <v>516</v>
      </c>
      <c r="S12" s="131" t="s">
        <v>536</v>
      </c>
      <c r="T12" s="131" t="s">
        <v>691</v>
      </c>
    </row>
    <row r="13" spans="1:156" ht="30" customHeight="1" x14ac:dyDescent="0.15">
      <c r="B13" s="134" t="s">
        <v>517</v>
      </c>
      <c r="C13" s="139"/>
      <c r="D13" s="139"/>
      <c r="E13" s="139"/>
      <c r="F13" s="139"/>
      <c r="G13" s="139"/>
      <c r="H13" s="139"/>
      <c r="I13" s="139"/>
      <c r="L13" s="134" t="s">
        <v>517</v>
      </c>
      <c r="M13" s="120"/>
      <c r="N13" s="120"/>
      <c r="O13" s="120"/>
      <c r="P13" s="120"/>
      <c r="Q13" s="121"/>
      <c r="R13" s="121">
        <f>N13</f>
        <v>0</v>
      </c>
      <c r="S13" s="121"/>
      <c r="T13" s="121"/>
    </row>
    <row r="14" spans="1:156" ht="30" customHeight="1" x14ac:dyDescent="0.15">
      <c r="B14" s="135" t="s">
        <v>519</v>
      </c>
      <c r="C14" s="118">
        <f>C13</f>
        <v>0</v>
      </c>
      <c r="D14" s="118">
        <f t="shared" ref="D14:G14" si="0">D13</f>
        <v>0</v>
      </c>
      <c r="E14" s="118">
        <f t="shared" si="0"/>
        <v>0</v>
      </c>
      <c r="F14" s="118">
        <f t="shared" si="0"/>
        <v>0</v>
      </c>
      <c r="G14" s="118">
        <f t="shared" si="0"/>
        <v>0</v>
      </c>
      <c r="H14" s="118">
        <f>H13</f>
        <v>0</v>
      </c>
      <c r="I14" s="118">
        <f>I13</f>
        <v>0</v>
      </c>
      <c r="L14" s="135" t="s">
        <v>519</v>
      </c>
      <c r="M14" s="118">
        <f>M13</f>
        <v>0</v>
      </c>
      <c r="N14" s="118">
        <f t="shared" ref="N14:T14" si="1">N13</f>
        <v>0</v>
      </c>
      <c r="O14" s="118">
        <f t="shared" si="1"/>
        <v>0</v>
      </c>
      <c r="P14" s="118">
        <f t="shared" si="1"/>
        <v>0</v>
      </c>
      <c r="Q14" s="122">
        <f t="shared" si="1"/>
        <v>0</v>
      </c>
      <c r="R14" s="122">
        <f t="shared" si="1"/>
        <v>0</v>
      </c>
      <c r="S14" s="122">
        <f t="shared" si="1"/>
        <v>0</v>
      </c>
      <c r="T14" s="122">
        <f t="shared" si="1"/>
        <v>0</v>
      </c>
    </row>
    <row r="15" spans="1:156" ht="7.5" customHeight="1" x14ac:dyDescent="0.15"/>
    <row r="16" spans="1:156" ht="63.75" customHeight="1" x14ac:dyDescent="0.15">
      <c r="B16" s="133" t="s">
        <v>518</v>
      </c>
      <c r="C16" s="130" t="s">
        <v>532</v>
      </c>
      <c r="D16" s="130" t="s">
        <v>533</v>
      </c>
      <c r="E16" s="130" t="s">
        <v>534</v>
      </c>
      <c r="F16" s="130" t="s">
        <v>524</v>
      </c>
      <c r="G16" s="130" t="s">
        <v>523</v>
      </c>
      <c r="H16" s="130" t="s">
        <v>692</v>
      </c>
      <c r="I16" s="130" t="s">
        <v>522</v>
      </c>
      <c r="L16" s="133" t="s">
        <v>518</v>
      </c>
      <c r="M16" s="130" t="s">
        <v>540</v>
      </c>
      <c r="N16" s="130" t="s">
        <v>538</v>
      </c>
      <c r="O16" s="130" t="s">
        <v>543</v>
      </c>
      <c r="P16" s="130" t="s">
        <v>693</v>
      </c>
      <c r="Q16" s="131" t="s">
        <v>541</v>
      </c>
      <c r="R16" s="131" t="s">
        <v>542</v>
      </c>
      <c r="S16" s="131" t="s">
        <v>544</v>
      </c>
      <c r="T16" s="131" t="s">
        <v>694</v>
      </c>
    </row>
    <row r="17" spans="2:20" ht="30" customHeight="1" x14ac:dyDescent="0.15">
      <c r="B17" s="134" t="s">
        <v>520</v>
      </c>
      <c r="C17" s="140" t="str">
        <f>IFERROR(C10*C13/100,"")</f>
        <v/>
      </c>
      <c r="D17" s="140" t="str">
        <f t="shared" ref="D17:I17" si="2">IFERROR(D10*D13/100,"")</f>
        <v/>
      </c>
      <c r="E17" s="140" t="str">
        <f t="shared" si="2"/>
        <v/>
      </c>
      <c r="F17" s="140" t="str">
        <f t="shared" si="2"/>
        <v/>
      </c>
      <c r="G17" s="140" t="str">
        <f>IFERROR(G10*G13*F13/100,"")</f>
        <v/>
      </c>
      <c r="H17" s="140" t="str">
        <f>IFERROR(H10*H13*F13/100,"")</f>
        <v/>
      </c>
      <c r="I17" s="140" t="str">
        <f t="shared" si="2"/>
        <v/>
      </c>
      <c r="L17" s="136" t="s">
        <v>520</v>
      </c>
      <c r="M17" s="140">
        <f>IFERROR(M10*M13/100,"")</f>
        <v>0</v>
      </c>
      <c r="N17" s="140">
        <f>IFERROR(N10*N13/100,"")</f>
        <v>0</v>
      </c>
      <c r="O17" s="140">
        <f>IFERROR(O10*O13*N13/100,"")</f>
        <v>0</v>
      </c>
      <c r="P17" s="140">
        <f>IFERROR(P10*P13*N13/100,"")</f>
        <v>0</v>
      </c>
      <c r="Q17" s="141">
        <f>IFERROR(Q10*Q13/100,"")</f>
        <v>0</v>
      </c>
      <c r="R17" s="141">
        <f>IFERROR(R10*R13/100,"")</f>
        <v>0</v>
      </c>
      <c r="S17" s="141" t="str">
        <f>IFERROR(S10*S13*R13/100,"")</f>
        <v/>
      </c>
      <c r="T17" s="141" t="str">
        <f>IFERROR(T10*T13*R13/100,"")</f>
        <v/>
      </c>
    </row>
    <row r="18" spans="2:20" ht="30" customHeight="1" x14ac:dyDescent="0.15">
      <c r="B18" s="135" t="s">
        <v>521</v>
      </c>
      <c r="C18" s="142" t="str">
        <f>IFERROR(C10*C14/100,"")</f>
        <v/>
      </c>
      <c r="D18" s="142" t="str">
        <f t="shared" ref="D18:I18" si="3">IFERROR(D10*D14/100,"")</f>
        <v/>
      </c>
      <c r="E18" s="142" t="str">
        <f t="shared" si="3"/>
        <v/>
      </c>
      <c r="F18" s="142" t="str">
        <f t="shared" si="3"/>
        <v/>
      </c>
      <c r="G18" s="142" t="str">
        <f>IFERROR(G10*G14*F14/100,"")</f>
        <v/>
      </c>
      <c r="H18" s="142" t="str">
        <f>IFERROR(H10*H14*F14/100,"")</f>
        <v/>
      </c>
      <c r="I18" s="142" t="str">
        <f t="shared" si="3"/>
        <v/>
      </c>
      <c r="L18" s="137" t="s">
        <v>521</v>
      </c>
      <c r="M18" s="142">
        <f>IFERROR(M10*M14/100,"")</f>
        <v>0</v>
      </c>
      <c r="N18" s="142">
        <f t="shared" ref="N18" si="4">IFERROR(N10*N14/100,"")</f>
        <v>0</v>
      </c>
      <c r="O18" s="142">
        <f>IFERROR(O10*O14*N14/100,"")</f>
        <v>0</v>
      </c>
      <c r="P18" s="142">
        <f>IFERROR(P10*P14*N14/100,"")</f>
        <v>0</v>
      </c>
      <c r="Q18" s="143">
        <f>IFERROR(Q10*Q14/100,"")</f>
        <v>0</v>
      </c>
      <c r="R18" s="143">
        <f t="shared" ref="R18" si="5">IFERROR(R10*R14/100,"")</f>
        <v>0</v>
      </c>
      <c r="S18" s="143" t="str">
        <f>IFERROR(S10*S14*R14/100,"")</f>
        <v/>
      </c>
      <c r="T18" s="143" t="str">
        <f>IFERROR(T10*T14*R14/100,"")</f>
        <v/>
      </c>
    </row>
    <row r="19" spans="2:20" ht="7.5" customHeight="1" x14ac:dyDescent="0.15"/>
    <row r="20" spans="2:20" ht="39.75" customHeight="1" x14ac:dyDescent="0.15">
      <c r="C20" s="138" t="s">
        <v>525</v>
      </c>
      <c r="M20" s="130" t="s">
        <v>545</v>
      </c>
      <c r="N20" s="131" t="s">
        <v>546</v>
      </c>
    </row>
    <row r="21" spans="2:20" ht="30" customHeight="1" x14ac:dyDescent="0.15">
      <c r="B21" s="134" t="s">
        <v>520</v>
      </c>
      <c r="C21" s="140">
        <f>SUM(C17:I17)</f>
        <v>0</v>
      </c>
      <c r="L21" s="134" t="s">
        <v>520</v>
      </c>
      <c r="M21" s="140">
        <f>SUM(M17:P17)</f>
        <v>0</v>
      </c>
      <c r="N21" s="141">
        <f>SUM(Q17:T17)</f>
        <v>0</v>
      </c>
    </row>
    <row r="22" spans="2:20" ht="30" customHeight="1" x14ac:dyDescent="0.15">
      <c r="B22" s="135" t="s">
        <v>521</v>
      </c>
      <c r="C22" s="142">
        <f>SUM(C18:I18)</f>
        <v>0</v>
      </c>
      <c r="L22" s="135" t="s">
        <v>521</v>
      </c>
      <c r="M22" s="142">
        <f>SUM(M18:P18)</f>
        <v>0</v>
      </c>
      <c r="N22" s="143">
        <f>SUM(Q18:T18)</f>
        <v>0</v>
      </c>
    </row>
    <row r="24" spans="2:20" ht="30.75" customHeight="1" x14ac:dyDescent="0.15">
      <c r="B24" s="322" t="s">
        <v>547</v>
      </c>
      <c r="C24" s="323"/>
      <c r="D24" s="324"/>
      <c r="L24" s="322" t="s">
        <v>548</v>
      </c>
      <c r="M24" s="323"/>
      <c r="N24" s="32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charges'!$G$10:$G$400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2016-12-07T10:57:59Z</cp:lastPrinted>
  <dcterms:created xsi:type="dcterms:W3CDTF">2009-11-12T11:38:00Z</dcterms:created>
  <dcterms:modified xsi:type="dcterms:W3CDTF">2020-12-01T14:30:03Z</dcterms:modified>
</cp:coreProperties>
</file>